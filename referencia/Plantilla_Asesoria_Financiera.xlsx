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icio" sheetId="1" state="visible" r:id="rId3"/>
    <sheet name="Resumen" sheetId="2" state="visible" r:id="rId4"/>
    <sheet name="Supuestos" sheetId="3" state="visible" r:id="rId5"/>
    <sheet name="Ingresos" sheetId="4" state="visible" r:id="rId6"/>
    <sheet name="Presupuesto" sheetId="5" state="visible" r:id="rId7"/>
    <sheet name="Deudas" sheetId="6" state="visible" r:id="rId8"/>
    <sheet name="Flujo anual" sheetId="7" state="visible" r:id="rId9"/>
    <sheet name="Bolsillos" sheetId="8" state="visible" r:id="rId10"/>
    <sheet name="Fondo emergencia" sheetId="9" state="visible" r:id="rId11"/>
    <sheet name="Metas" sheetId="10" state="visible" r:id="rId12"/>
    <sheet name="Seguros" sheetId="11" state="visible" r:id="rId13"/>
    <sheet name="Inversión" sheetId="12" state="visible" r:id="rId14"/>
    <sheet name="Pensión" sheetId="13" state="visible" r:id="rId15"/>
    <sheet name="Patrimonio" sheetId="14" state="visible" r:id="rId16"/>
    <sheet name="Control mensual" sheetId="15" state="visible" r:id="rId17"/>
    <sheet name="Plan de acción" sheetId="16" state="visible" r:id="rId18"/>
    <sheet name="Listas" sheetId="17" state="visible" r:id="rId19"/>
  </sheets>
  <definedNames>
    <definedName function="false" hidden="false" localSheetId="5" name="_xlnm.Print_Area" vbProcedure="false">Deudas!$B$1:$P$26,Deudas!$B$84:$F$95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<sst xmlns="http://schemas.openxmlformats.org/spreadsheetml/2006/main" count="1312" uniqueCount="789">
  <si>
    <t xml:space="preserve">Asesoría Financiera Personal</t>
  </si>
  <si>
    <t xml:space="preserve">Cliente</t>
  </si>
  <si>
    <t xml:space="preserve">Fecha de corte</t>
  </si>
  <si>
    <t xml:space="preserve">Orden para llenar</t>
  </si>
  <si>
    <t xml:space="preserve">Paso</t>
  </si>
  <si>
    <t xml:space="preserve">Hoja</t>
  </si>
  <si>
    <t xml:space="preserve">Qué hacer</t>
  </si>
  <si>
    <t xml:space="preserve">Supuestos</t>
  </si>
  <si>
    <t xml:space="preserve">Datos del cliente, tasa de cambio, prueba de realidad y cuentas por cobrar.</t>
  </si>
  <si>
    <t xml:space="preserve">Ingresos</t>
  </si>
  <si>
    <t xml:space="preserve">Cada fuente en su moneda (pesos o dólares); 1 o 0 en los meses en que llega. Meses de pago de seguridad social.</t>
  </si>
  <si>
    <t xml:space="preserve">Presupuesto</t>
  </si>
  <si>
    <t xml:space="preserve">Valor por pago y frecuencia de cada gasto. Las filas grises son automáticas.</t>
  </si>
  <si>
    <t xml:space="preserve">Deudas</t>
  </si>
  <si>
    <t xml:space="preserve">Saldo, tasa efectiva anual, cuota mínima y si acepta abonos extra. Elegir el método de pago.</t>
  </si>
  <si>
    <t xml:space="preserve">Metas</t>
  </si>
  <si>
    <t xml:space="preserve">Metas con valor y fecha, o que se repiten. Calculadora de viaje en dólares.</t>
  </si>
  <si>
    <t xml:space="preserve">Seguros</t>
  </si>
  <si>
    <t xml:space="preserve">Marcar qué seguros tiene y escribir primas de seguros nuevos.</t>
  </si>
  <si>
    <t xml:space="preserve">Patrimonio</t>
  </si>
  <si>
    <t xml:space="preserve">Cuentas, inmuebles, vehículos y otros activos.</t>
  </si>
  <si>
    <t xml:space="preserve">Inversión</t>
  </si>
  <si>
    <t xml:space="preserve">Inversiones actuales y las preguntas de perfil de riesgo.</t>
  </si>
  <si>
    <t xml:space="preserve">Pensión</t>
  </si>
  <si>
    <t xml:space="preserve">Régimen, semanas, fecha y base de cotización.</t>
  </si>
  <si>
    <t xml:space="preserve">Bolsillos</t>
  </si>
  <si>
    <t xml:space="preserve">Revisar el reparto del saldo y escribir saldos iniciales de otros bolsillos.</t>
  </si>
  <si>
    <t xml:space="preserve">Resumen</t>
  </si>
  <si>
    <t xml:space="preserve">Revisar indicadores, estados y la lista de pendientes.</t>
  </si>
  <si>
    <t xml:space="preserve">Control mensual y Plan de acción</t>
  </si>
  <si>
    <t xml:space="preserve">Seguimiento: gasto real cada mes y tareas con fecha.</t>
  </si>
  <si>
    <t xml:space="preserve">Leyenda</t>
  </si>
  <si>
    <t xml:space="preserve">Dato editable</t>
  </si>
  <si>
    <t xml:space="preserve">Celda para llenar o ajustar.</t>
  </si>
  <si>
    <t xml:space="preserve">Por confirmar</t>
  </si>
  <si>
    <t xml:space="preserve">Dato pendiente de confirmar.</t>
  </si>
  <si>
    <t xml:space="preserve">Cálculo automático</t>
  </si>
  <si>
    <t xml:space="preserve">Fórmula: no se edita.</t>
  </si>
  <si>
    <t xml:space="preserve">Fila automática</t>
  </si>
  <si>
    <t xml:space="preserve">Se llena desde otra hoja: no se edita.</t>
  </si>
  <si>
    <t xml:space="preserve">Color de las pestañas</t>
  </si>
  <si>
    <t xml:space="preserve">Dorada: tiene datos para llenar. Verde azulado: solo cálculos. Petróleo: portada y resumen.</t>
  </si>
  <si>
    <t xml:space="preserve">Ejemplo de una fila del Presupuesto</t>
  </si>
  <si>
    <t xml:space="preserve">Categoría</t>
  </si>
  <si>
    <t xml:space="preserve">Concepto</t>
  </si>
  <si>
    <t xml:space="preserve">Valor por pago</t>
  </si>
  <si>
    <t xml:space="preserve">Frecuencia</t>
  </si>
  <si>
    <t xml:space="preserve">Tipo / ¿Esencial?</t>
  </si>
  <si>
    <t xml:space="preserve">Alimentación</t>
  </si>
  <si>
    <t xml:space="preserve">Mercado</t>
  </si>
  <si>
    <t xml:space="preserve">Semanal</t>
  </si>
  <si>
    <t xml:space="preserve">Directo / Sí</t>
  </si>
  <si>
    <t xml:space="preserve">Resultado: 130.000 x 52 semanas = 6.760.000 al año, 563.333 al mes.</t>
  </si>
  <si>
    <t xml:space="preserve">Notas</t>
  </si>
  <si>
    <t xml:space="preserve">Todas las cifras están en pesos de hoy (sin inflación).</t>
  </si>
  <si>
    <t xml:space="preserve">Los rangos de inversión y las proyecciones son orientativos y no garantizan rendimientos. No se recomiendan productos específicos.</t>
  </si>
  <si>
    <t xml:space="preserve">Salario mínimo, tasa de cambio y reglas de pensión deben verificarse al inicio de cada asesoría.</t>
  </si>
  <si>
    <t xml:space="preserve">Impuestos, pensión y temas legales se validan con contador, administradora de pensiones y abogado.</t>
  </si>
  <si>
    <t xml:space="preserve">Paleta de la marca: Petróleo y Oro</t>
  </si>
  <si>
    <t xml:space="preserve">Petróleo</t>
  </si>
  <si>
    <t xml:space="preserve">#0E3B43</t>
  </si>
  <si>
    <t xml:space="preserve">Verde azulado</t>
  </si>
  <si>
    <t xml:space="preserve">#1D6A72</t>
  </si>
  <si>
    <t xml:space="preserve">Oro</t>
  </si>
  <si>
    <t xml:space="preserve">#C8A04A</t>
  </si>
  <si>
    <t xml:space="preserve">Bruma</t>
  </si>
  <si>
    <t xml:space="preserve">#E6EFEF</t>
  </si>
  <si>
    <t xml:space="preserve">Crema</t>
  </si>
  <si>
    <t xml:space="preserve">#FFF8E6</t>
  </si>
  <si>
    <t xml:space="preserve">Resumen financiero</t>
  </si>
  <si>
    <t xml:space="preserve">Indicadores principales. Pesos de hoy. Estados: Bien, Atención, Alerta (referencias orientativas).</t>
  </si>
  <si>
    <t xml:space="preserve">Edad</t>
  </si>
  <si>
    <t xml:space="preserve">Tipo de cliente</t>
  </si>
  <si>
    <t xml:space="preserve">Asesor</t>
  </si>
  <si>
    <t xml:space="preserve">Indicador</t>
  </si>
  <si>
    <t xml:space="preserve">Valor</t>
  </si>
  <si>
    <t xml:space="preserve">Estado</t>
  </si>
  <si>
    <t xml:space="preserve">Comentario</t>
  </si>
  <si>
    <t xml:space="preserve">Ingreso anual</t>
  </si>
  <si>
    <t xml:space="preserve">Suma de ingresos en sus meses reales.</t>
  </si>
  <si>
    <t xml:space="preserve">Gasto anual (sin ahorro)</t>
  </si>
  <si>
    <t xml:space="preserve">Incluye bolsillos y cuotas de deuda.</t>
  </si>
  <si>
    <t xml:space="preserve">Ahorro programado anual</t>
  </si>
  <si>
    <t xml:space="preserve">Cooperativas, fondos, pensión voluntaria.</t>
  </si>
  <si>
    <t xml:space="preserve">Sobrante anual</t>
  </si>
  <si>
    <t xml:space="preserve">Después de gastos, bolsillos y ahorro programado.</t>
  </si>
  <si>
    <t xml:space="preserve">Tasa de ahorro total</t>
  </si>
  <si>
    <t xml:space="preserve">Referencia: sobre 20% es buena.</t>
  </si>
  <si>
    <t xml:space="preserve">Carga de deuda</t>
  </si>
  <si>
    <t xml:space="preserve">Cuotas / ingreso mensual. Referencia: bajo 30%.</t>
  </si>
  <si>
    <t xml:space="preserve">Deuda total</t>
  </si>
  <si>
    <t xml:space="preserve">¿Hay deuda cara?</t>
  </si>
  <si>
    <t xml:space="preserve">Con deuda cara no se invierte: el sobrante va a deudas.</t>
  </si>
  <si>
    <t xml:space="preserve">Salida de la deuda cara</t>
  </si>
  <si>
    <t xml:space="preserve">Según la simulación de la hoja Deudas.</t>
  </si>
  <si>
    <t xml:space="preserve">Liquidez (meses de gasto esencial)</t>
  </si>
  <si>
    <t xml:space="preserve">Meta vigente del fondo de emergencia</t>
  </si>
  <si>
    <t xml:space="preserve">Avance del fondo frente a la meta completa</t>
  </si>
  <si>
    <t xml:space="preserve">Faltante de los meses sin ingreso</t>
  </si>
  <si>
    <t xml:space="preserve">Se cubre con su propio bolsillo.</t>
  </si>
  <si>
    <t xml:space="preserve">Aporte mensual a ese bolsillo</t>
  </si>
  <si>
    <t xml:space="preserve">En los meses con sobrante.</t>
  </si>
  <si>
    <t xml:space="preserve">Inversión anual</t>
  </si>
  <si>
    <t xml:space="preserve">Incluye abonos de cuentas por cobrar destinados a inversión.</t>
  </si>
  <si>
    <t xml:space="preserve">Aporte único a inversión</t>
  </si>
  <si>
    <t xml:space="preserve">Del excedente del saldo actual.</t>
  </si>
  <si>
    <t xml:space="preserve">Perfil de inversión</t>
  </si>
  <si>
    <t xml:space="preserve">El menor entre disposición y capacidad.</t>
  </si>
  <si>
    <t xml:space="preserve">% en crecimiento</t>
  </si>
  <si>
    <t xml:space="preserve">Rango orientativo según edad y perfil.</t>
  </si>
  <si>
    <t xml:space="preserve">Semanas estimadas al cumplir la edad de pensión</t>
  </si>
  <si>
    <t xml:space="preserve">¿Cumple las semanas?</t>
  </si>
  <si>
    <t xml:space="preserve">Mesada neta estimada (escenario medio)</t>
  </si>
  <si>
    <t xml:space="preserve">Solo Colpensiones. Confirmar con la administradora.</t>
  </si>
  <si>
    <t xml:space="preserve">¿Brecha pensional?</t>
  </si>
  <si>
    <t xml:space="preserve">Si deja de trabajar, escenario medio.</t>
  </si>
  <si>
    <t xml:space="preserve">Patrimonio neto</t>
  </si>
  <si>
    <t xml:space="preserve">Concentración en inmuebles y vehículos</t>
  </si>
  <si>
    <t xml:space="preserve">Referencia: más de 80% es poco líquido.</t>
  </si>
  <si>
    <t xml:space="preserve">Prueba de realidad</t>
  </si>
  <si>
    <t xml:space="preserve">Mientras esté pendiente se invierte un % menor.</t>
  </si>
  <si>
    <t xml:space="preserve">Pendientes y alertas</t>
  </si>
  <si>
    <t xml:space="preserve">Sensibilidad a la tasa de cambio (solo si hay ingresos en dólares)</t>
  </si>
  <si>
    <t xml:space="preserve">Ingreso anual en dólares</t>
  </si>
  <si>
    <t xml:space="preserve">Cada 100 pesos que baje la tasa, el ingreso mensual cambia en</t>
  </si>
  <si>
    <t xml:space="preserve">Si la tasa de cambio fuera</t>
  </si>
  <si>
    <t xml:space="preserve">Sobrante anual aproximado</t>
  </si>
  <si>
    <t xml:space="preserve">Supuestos y datos base</t>
  </si>
  <si>
    <t xml:space="preserve">Celdas crema: datos que se llenan o ajustan. Celdas ámbar: por confirmar. Todo lo demás se calcula solo.</t>
  </si>
  <si>
    <t xml:space="preserve">Datos del cliente</t>
  </si>
  <si>
    <t xml:space="preserve">Nota</t>
  </si>
  <si>
    <t xml:space="preserve">Marca o nombre del asesor</t>
  </si>
  <si>
    <t xml:space="preserve">Aparece en el Inicio y el Resumen.</t>
  </si>
  <si>
    <t xml:space="preserve">Nombre del cliente</t>
  </si>
  <si>
    <t xml:space="preserve">Fecha de nacimiento</t>
  </si>
  <si>
    <t xml:space="preserve">Formato dd/mm/aaaa.</t>
  </si>
  <si>
    <t xml:space="preserve">Sexo</t>
  </si>
  <si>
    <t xml:space="preserve">Define edad y semanas de pensión.</t>
  </si>
  <si>
    <t xml:space="preserve">Define los meses de fondo de emergencia sugeridos.</t>
  </si>
  <si>
    <t xml:space="preserve">Personas a cargo</t>
  </si>
  <si>
    <t xml:space="preserve">Hijos u otras personas que dependen económicamente.</t>
  </si>
  <si>
    <t xml:space="preserve">Por defecto, hoy. Se puede escribir una fecha fija.</t>
  </si>
  <si>
    <t xml:space="preserve">Año del flujo anual</t>
  </si>
  <si>
    <t xml:space="preserve">Año que se proyecta mes a mes en la hoja Flujo anual.</t>
  </si>
  <si>
    <t xml:space="preserve">Parámetros</t>
  </si>
  <si>
    <t xml:space="preserve">Tasa de cambio COP por USD</t>
  </si>
  <si>
    <t xml:space="preserve">Buscar la tasa oficial vigente.</t>
  </si>
  <si>
    <t xml:space="preserve">Salario mínimo del año</t>
  </si>
  <si>
    <t xml:space="preserve">Colombia 2026. Verificar cada año.</t>
  </si>
  <si>
    <t xml:space="preserve">Meses de fondo de emergencia sugeridos</t>
  </si>
  <si>
    <t xml:space="preserve">Según el tipo de cliente.</t>
  </si>
  <si>
    <t xml:space="preserve">Meses de fondo a usar (opcional)</t>
  </si>
  <si>
    <t xml:space="preserve">Déjalo vacío para usar el sugerido.</t>
  </si>
  <si>
    <t xml:space="preserve">Meses de fondo efectivos</t>
  </si>
  <si>
    <t xml:space="preserve">Umbral de deuda cara (tasa efectiva anual)</t>
  </si>
  <si>
    <t xml:space="preserve">Ajustar según las tasas vigentes.</t>
  </si>
  <si>
    <t xml:space="preserve">% del sobrante a inversión (prueba de realidad confirmada)</t>
  </si>
  <si>
    <t xml:space="preserve">El resto queda como margen.</t>
  </si>
  <si>
    <t xml:space="preserve">% del sobrante a inversión (prueba pendiente)</t>
  </si>
  <si>
    <t xml:space="preserve">Más prudente mientras no se confirme el sobrante.</t>
  </si>
  <si>
    <t xml:space="preserve">% del sobrante a deudas cuando hay deuda cara</t>
  </si>
  <si>
    <t xml:space="preserve">Con deuda cara no se invierte.</t>
  </si>
  <si>
    <t xml:space="preserve">% del excedente actual a inversión</t>
  </si>
  <si>
    <t xml:space="preserve">Del saldo que sobra después de llenar los bolsillos.</t>
  </si>
  <si>
    <t xml:space="preserve">Rendimiento real supuesto: crecimiento</t>
  </si>
  <si>
    <t xml:space="preserve">Ilustrativo, por encima de la inflación. No garantizado.</t>
  </si>
  <si>
    <t xml:space="preserve">Rendimiento real supuesto: estabilidad</t>
  </si>
  <si>
    <t xml:space="preserve">Edad de retiro esperada</t>
  </si>
  <si>
    <t xml:space="preserve">Por defecto, la edad de pensión. Se puede cambiar.</t>
  </si>
  <si>
    <t xml:space="preserve">Reducción anual del % en crecimiento cerca del retiro</t>
  </si>
  <si>
    <t xml:space="preserve">Se aplica en los 10 años anteriores al retiro.</t>
  </si>
  <si>
    <t xml:space="preserve">Piso del % en crecimiento</t>
  </si>
  <si>
    <t xml:space="preserve">Colchón mínimo en la cuenta operativa</t>
  </si>
  <si>
    <t xml:space="preserve">Dinero que no se reparte en bolsillos.</t>
  </si>
  <si>
    <t xml:space="preserve">Ahorro total hace N meses</t>
  </si>
  <si>
    <t xml:space="preserve">Suma de cuentas, bolsillos e inversiones en esa fecha.</t>
  </si>
  <si>
    <t xml:space="preserve">N (meses)</t>
  </si>
  <si>
    <t xml:space="preserve">Ahorro total hoy</t>
  </si>
  <si>
    <t xml:space="preserve">Sin contar ingresos extraordinarios (herencias, ventas).</t>
  </si>
  <si>
    <t xml:space="preserve">Ahorro real mensual</t>
  </si>
  <si>
    <t xml:space="preserve">Ahorro esperado mensual (sobrante + ahorro programado)</t>
  </si>
  <si>
    <t xml:space="preserve">Diferencia</t>
  </si>
  <si>
    <t xml:space="preserve">Estado de la prueba</t>
  </si>
  <si>
    <t xml:space="preserve">Confirmada si el ahorro real es al menos 85% del esperado.</t>
  </si>
  <si>
    <t xml:space="preserve">% del sobrante a inversión aplicado</t>
  </si>
  <si>
    <t xml:space="preserve">Cuentas por cobrar (dinero que le deben al cliente)</t>
  </si>
  <si>
    <t xml:space="preserve">Deudor</t>
  </si>
  <si>
    <t xml:space="preserve">Saldo</t>
  </si>
  <si>
    <t xml:space="preserve">Cuota mensual</t>
  </si>
  <si>
    <t xml:space="preserve">Fecha del primer pago</t>
  </si>
  <si>
    <t xml:space="preserve">N.º de cuotas</t>
  </si>
  <si>
    <t xml:space="preserve">Último pago</t>
  </si>
  <si>
    <t xml:space="preserve">% a inversión</t>
  </si>
  <si>
    <t xml:space="preserve">Saldo pendiente hoy</t>
  </si>
  <si>
    <t xml:space="preserve">Aux. inicio</t>
  </si>
  <si>
    <t xml:space="preserve">Aux. fin</t>
  </si>
  <si>
    <t xml:space="preserve">Total pendiente por cobrar</t>
  </si>
  <si>
    <t xml:space="preserve">Los abonos no se cuentan como ingreso del presupuesto: se destinan a inversión (o a deuda cara si existe) en la hoja Flujo anual.</t>
  </si>
  <si>
    <t xml:space="preserve">Un renglón por fuente, en su moneda. En los meses escribe 1 si el ingreso llega ese mes y 0 si no. Valores netos (lo que llega a la cuenta).</t>
  </si>
  <si>
    <t xml:space="preserve">Fuente</t>
  </si>
  <si>
    <t xml:space="preserve">Tipo</t>
  </si>
  <si>
    <t xml:space="preserve">Moneda</t>
  </si>
  <si>
    <t xml:space="preserve">Valor mensual en su moneda</t>
  </si>
  <si>
    <t xml:space="preserve">Valor mensual en pesos</t>
  </si>
  <si>
    <t xml:space="preserve">Ene</t>
  </si>
  <si>
    <t xml:space="preserve">Feb</t>
  </si>
  <si>
    <t xml:space="preserve">Mar</t>
  </si>
  <si>
    <t xml:space="preserve">Abr</t>
  </si>
  <si>
    <t xml:space="preserve">May</t>
  </si>
  <si>
    <t xml:space="preserve">Jun</t>
  </si>
  <si>
    <t xml:space="preserve">Jul</t>
  </si>
  <si>
    <t xml:space="preserve">Ago</t>
  </si>
  <si>
    <t xml:space="preserve">Sep</t>
  </si>
  <si>
    <t xml:space="preserve">Oct</t>
  </si>
  <si>
    <t xml:space="preserve">Nov</t>
  </si>
  <si>
    <t xml:space="preserve">Dic</t>
  </si>
  <si>
    <t xml:space="preserve">Meses</t>
  </si>
  <si>
    <t xml:space="preserve">Total anual</t>
  </si>
  <si>
    <t xml:space="preserve">Promedio mensual</t>
  </si>
  <si>
    <t xml:space="preserve">COP</t>
  </si>
  <si>
    <t xml:space="preserve">Total por mes</t>
  </si>
  <si>
    <t xml:space="preserve">Totales por mes en miles de pesos. Ingresos en dólares: se convierten con la tasa de cambio de Supuestos.</t>
  </si>
  <si>
    <t xml:space="preserve">Seguridad social</t>
  </si>
  <si>
    <t xml:space="preserve">¿Se paga seguridad social este mes? (1 = sí)</t>
  </si>
  <si>
    <t xml:space="preserve">Si se cotiza mes vencido, el mes siguiente al primer mes sin contrato suele no tener pago.</t>
  </si>
  <si>
    <t xml:space="preserve">Totales por tipo de ingreso</t>
  </si>
  <si>
    <t xml:space="preserve">Laboral</t>
  </si>
  <si>
    <t xml:space="preserve">Renta</t>
  </si>
  <si>
    <t xml:space="preserve">Otro</t>
  </si>
  <si>
    <t xml:space="preserve">Total</t>
  </si>
  <si>
    <t xml:space="preserve">De ese total, ingreso anual en dólares (USD)</t>
  </si>
  <si>
    <t xml:space="preserve">Calculadora de ingreso base (para ingresos variables)</t>
  </si>
  <si>
    <t xml:space="preserve">Ingreso de cada uno de los últimos 12 meses</t>
  </si>
  <si>
    <t xml:space="preserve">Mes 1</t>
  </si>
  <si>
    <t xml:space="preserve">Mes 2</t>
  </si>
  <si>
    <t xml:space="preserve">Mes 3</t>
  </si>
  <si>
    <t xml:space="preserve">Mes 4</t>
  </si>
  <si>
    <t xml:space="preserve">Mes 5</t>
  </si>
  <si>
    <t xml:space="preserve">Mes 6</t>
  </si>
  <si>
    <t xml:space="preserve">Mes 7</t>
  </si>
  <si>
    <t xml:space="preserve">Mes 8</t>
  </si>
  <si>
    <t xml:space="preserve">Mes 9</t>
  </si>
  <si>
    <t xml:space="preserve">Mes 10</t>
  </si>
  <si>
    <t xml:space="preserve">Mes 11</t>
  </si>
  <si>
    <t xml:space="preserve">Mes 12</t>
  </si>
  <si>
    <t xml:space="preserve">Valores (en su moneda)</t>
  </si>
  <si>
    <t xml:space="preserve">Promedio de 12 meses</t>
  </si>
  <si>
    <t xml:space="preserve">Promedio de los 3 meses más bajos</t>
  </si>
  <si>
    <t xml:space="preserve">Ingreso base sugerido</t>
  </si>
  <si>
    <t xml:space="preserve">Escribe este valor como "Valor mensual en su moneda" de la fuente variable. Lo que llegue por encima se reparte con una regla fija.</t>
  </si>
  <si>
    <t xml:space="preserve">Presupuesto detallado</t>
  </si>
  <si>
    <t xml:space="preserve">Cada gasto con su valor por pago y su frecuencia. Las filas grises son automáticas. "Tipo" indica cómo se paga.</t>
  </si>
  <si>
    <t xml:space="preserve">Días que dura</t>
  </si>
  <si>
    <t xml:space="preserve">Veces al año</t>
  </si>
  <si>
    <t xml:space="preserve">Bolsillo</t>
  </si>
  <si>
    <t xml:space="preserve">¿Esencial?</t>
  </si>
  <si>
    <t xml:space="preserve">Cuotas mínimas de deudas (hoja Deudas)</t>
  </si>
  <si>
    <t xml:space="preserve">Mensual</t>
  </si>
  <si>
    <t xml:space="preserve">Deuda</t>
  </si>
  <si>
    <t xml:space="preserve">Sí</t>
  </si>
  <si>
    <t xml:space="preserve">Automático: no editar.</t>
  </si>
  <si>
    <t xml:space="preserve">Primas de seguros nuevos (hoja Seguros)</t>
  </si>
  <si>
    <t xml:space="preserve">Anual</t>
  </si>
  <si>
    <t xml:space="preserve">No</t>
  </si>
  <si>
    <t xml:space="preserve">Salud, pensión y ARL (valor por mes de pago)</t>
  </si>
  <si>
    <t xml:space="preserve">Meses con seguridad social</t>
  </si>
  <si>
    <t xml:space="preserve">Seg. social</t>
  </si>
  <si>
    <t xml:space="preserve">Los meses de pago se marcan en Ingresos.</t>
  </si>
  <si>
    <t xml:space="preserve">Vivienda</t>
  </si>
  <si>
    <t xml:space="preserve">Arriendo o cuota de vivienda</t>
  </si>
  <si>
    <t xml:space="preserve">Directo</t>
  </si>
  <si>
    <t xml:space="preserve">Administración</t>
  </si>
  <si>
    <t xml:space="preserve">Servicios públicos</t>
  </si>
  <si>
    <t xml:space="preserve">Internet y televisión</t>
  </si>
  <si>
    <t xml:space="preserve">Aseo o empleada doméstica</t>
  </si>
  <si>
    <t xml:space="preserve">Mantenimiento del hogar</t>
  </si>
  <si>
    <t xml:space="preserve">Impuestos y trámites</t>
  </si>
  <si>
    <t xml:space="preserve">Predial</t>
  </si>
  <si>
    <t xml:space="preserve">Restaurantes y salidas a comer</t>
  </si>
  <si>
    <t xml:space="preserve">Domicilios</t>
  </si>
  <si>
    <t xml:space="preserve">Transporte</t>
  </si>
  <si>
    <t xml:space="preserve">Gasolina</t>
  </si>
  <si>
    <t xml:space="preserve">Parqueadero y peajes</t>
  </si>
  <si>
    <t xml:space="preserve">Transporte público y apps</t>
  </si>
  <si>
    <t xml:space="preserve">SOAT</t>
  </si>
  <si>
    <t xml:space="preserve">Vehículo</t>
  </si>
  <si>
    <t xml:space="preserve">Seguro del carro</t>
  </si>
  <si>
    <t xml:space="preserve">Seguros que ya existen van aquí, no en la hoja Seguros.</t>
  </si>
  <si>
    <t xml:space="preserve">Mantenimiento del carro</t>
  </si>
  <si>
    <t xml:space="preserve">Semestral</t>
  </si>
  <si>
    <t xml:space="preserve">Impuesto vehicular</t>
  </si>
  <si>
    <t xml:space="preserve">Salud y bienestar</t>
  </si>
  <si>
    <t xml:space="preserve">Medicina prepagada o plan complementario</t>
  </si>
  <si>
    <t xml:space="preserve">Droguería</t>
  </si>
  <si>
    <t xml:space="preserve">Terapias o psicología</t>
  </si>
  <si>
    <t xml:space="preserve">Gimnasio</t>
  </si>
  <si>
    <t xml:space="preserve">Si se paga anual, cambia la frecuencia y el tipo a Bolsillo.</t>
  </si>
  <si>
    <t xml:space="preserve">Suplementos</t>
  </si>
  <si>
    <t xml:space="preserve">Por duración (días)</t>
  </si>
  <si>
    <t xml:space="preserve">Salud y cuidado</t>
  </si>
  <si>
    <t xml:space="preserve">Escribe los días que dura el frasco.</t>
  </si>
  <si>
    <t xml:space="preserve">Cuidado personal</t>
  </si>
  <si>
    <t xml:space="preserve">Peluquería y uñas</t>
  </si>
  <si>
    <t xml:space="preserve">Skincare</t>
  </si>
  <si>
    <t xml:space="preserve">Cada 4 meses</t>
  </si>
  <si>
    <t xml:space="preserve">Ropa y calzado</t>
  </si>
  <si>
    <t xml:space="preserve">Ropa</t>
  </si>
  <si>
    <t xml:space="preserve">Hijos y familia</t>
  </si>
  <si>
    <t xml:space="preserve">Colegio o universidad (mensualidad)</t>
  </si>
  <si>
    <t xml:space="preserve">Matrículas y útiles</t>
  </si>
  <si>
    <t xml:space="preserve">Educación</t>
  </si>
  <si>
    <t xml:space="preserve">Gastos y mesadas de hijos</t>
  </si>
  <si>
    <t xml:space="preserve">Ayudas a familiares</t>
  </si>
  <si>
    <t xml:space="preserve">Mascotas</t>
  </si>
  <si>
    <t xml:space="preserve">Comida de mascota</t>
  </si>
  <si>
    <t xml:space="preserve">Baño y peluquería de mascota</t>
  </si>
  <si>
    <t xml:space="preserve">Veterinario y vacunas</t>
  </si>
  <si>
    <t xml:space="preserve">Hogar y mascotas</t>
  </si>
  <si>
    <t xml:space="preserve">Servicios</t>
  </si>
  <si>
    <t xml:space="preserve">Celular</t>
  </si>
  <si>
    <t xml:space="preserve">Suscripciones</t>
  </si>
  <si>
    <t xml:space="preserve">Viajes y ocio</t>
  </si>
  <si>
    <t xml:space="preserve">Viaje nacional</t>
  </si>
  <si>
    <t xml:space="preserve">Viajes</t>
  </si>
  <si>
    <t xml:space="preserve">Viajes con cálculo detallado van en la hoja Metas.</t>
  </si>
  <si>
    <t xml:space="preserve">Salidas y entretenimiento</t>
  </si>
  <si>
    <t xml:space="preserve">Temporada</t>
  </si>
  <si>
    <t xml:space="preserve">Navidad, cumpleaños y celebraciones</t>
  </si>
  <si>
    <t xml:space="preserve">Impuesto de renta a pagar</t>
  </si>
  <si>
    <t xml:space="preserve">Confirmar con el contador.</t>
  </si>
  <si>
    <t xml:space="preserve">Contador</t>
  </si>
  <si>
    <t xml:space="preserve">Compras puntuales</t>
  </si>
  <si>
    <t xml:space="preserve">Compras puntuales (tecnología, hogar)</t>
  </si>
  <si>
    <t xml:space="preserve">Fondo anual para compras grandes.</t>
  </si>
  <si>
    <t xml:space="preserve">Ahorro</t>
  </si>
  <si>
    <t xml:space="preserve">Ahorro en cooperativa o fondo</t>
  </si>
  <si>
    <t xml:space="preserve">Es ahorro, no gasto.</t>
  </si>
  <si>
    <t xml:space="preserve">Pensión voluntaria o AFC</t>
  </si>
  <si>
    <t xml:space="preserve">Totales</t>
  </si>
  <si>
    <t xml:space="preserve">Total gastos (sin ahorro)</t>
  </si>
  <si>
    <t xml:space="preserve">Pagos directos</t>
  </si>
  <si>
    <t xml:space="preserve">Aportes a bolsillos</t>
  </si>
  <si>
    <t xml:space="preserve">Cuotas de deudas</t>
  </si>
  <si>
    <t xml:space="preserve">Ahorro programado</t>
  </si>
  <si>
    <t xml:space="preserve">Gasto esencial</t>
  </si>
  <si>
    <t xml:space="preserve">Seguridad social por cada mes de pago</t>
  </si>
  <si>
    <t xml:space="preserve">Filas con valor pero sin frecuencia o tipo</t>
  </si>
  <si>
    <t xml:space="preserve">Debe ser 0 (Ver pendientes en Resumen).</t>
  </si>
  <si>
    <t xml:space="preserve">Inventario, orden de pago y simulación mes a mes. El pago extra sale del sobrante (hoja Flujo anual). Para el seguimiento mensual de cada crédito usa la plantilla de créditos.</t>
  </si>
  <si>
    <t xml:space="preserve">Método de pago</t>
  </si>
  <si>
    <t xml:space="preserve">Avalancha</t>
  </si>
  <si>
    <t xml:space="preserve">Avalancha: mayor tasa primero (ahorra más). Bola de nieve: menor saldo primero (motiva más).</t>
  </si>
  <si>
    <t xml:space="preserve">Umbral de deuda cara</t>
  </si>
  <si>
    <t xml:space="preserve">Pago extra mensual (desde el sobrante)</t>
  </si>
  <si>
    <t xml:space="preserve">Pago mensual total para deudas</t>
  </si>
  <si>
    <t xml:space="preserve">Abono único inicial (desde el excedente)</t>
  </si>
  <si>
    <t xml:space="preserve">Primer mes de la simulación</t>
  </si>
  <si>
    <t xml:space="preserve">Tasa EA</t>
  </si>
  <si>
    <t xml:space="preserve">Cuota mínima mensual</t>
  </si>
  <si>
    <t xml:space="preserve">¿Acepta abonos extra?</t>
  </si>
  <si>
    <t xml:space="preserve">Abonos extra desde</t>
  </si>
  <si>
    <t xml:space="preserve">Tasa mensual</t>
  </si>
  <si>
    <t xml:space="preserve">¿Deuda cara?</t>
  </si>
  <si>
    <t xml:space="preserve">Orden de pago</t>
  </si>
  <si>
    <t xml:space="preserve">Meses para pagar</t>
  </si>
  <si>
    <t xml:space="preserve">Fecha de salida</t>
  </si>
  <si>
    <t xml:space="preserve">Intereses con el plan</t>
  </si>
  <si>
    <t xml:space="preserve">Intereses solo con la cuota (aprox.)</t>
  </si>
  <si>
    <t xml:space="preserve">Aux.</t>
  </si>
  <si>
    <t xml:space="preserve">Saldo en deuda cara</t>
  </si>
  <si>
    <t xml:space="preserve">Ahorro en intereses con el plan</t>
  </si>
  <si>
    <t xml:space="preserve">"No acepta abonos" o "desde": créditos con cobertura FRECH, préstamos familiares sin interés o con penalidad por prepago. El extra pasa al siguiente en la lista.</t>
  </si>
  <si>
    <t xml:space="preserve">Carga de deuda (cuotas / ingreso mensual)</t>
  </si>
  <si>
    <t xml:space="preserve">Intereses solo con la cuota: cálculo aproximado si nunca se hicieran abonos extra.</t>
  </si>
  <si>
    <t xml:space="preserve">Fecha de salida de la deuda cara</t>
  </si>
  <si>
    <t xml:space="preserve">¿Alguna deuda tarda más de 120 meses?</t>
  </si>
  <si>
    <t xml:space="preserve">Simulación mes a mes (orden de pago; el pago total se mantiene y lo liberado pasa a la siguiente deuda que acepte abonos)</t>
  </si>
  <si>
    <t xml:space="preserve">Mes</t>
  </si>
  <si>
    <t xml:space="preserve">Pago total disponible</t>
  </si>
  <si>
    <t xml:space="preserve">Disponible para abono extra</t>
  </si>
  <si>
    <t xml:space="preserve">Debe con interés</t>
  </si>
  <si>
    <t xml:space="preserve">Pago mínimo aplicado</t>
  </si>
  <si>
    <t xml:space="preserve">Abono extra</t>
  </si>
  <si>
    <t xml:space="preserve">inicial</t>
  </si>
  <si>
    <t xml:space="preserve">Resultado por orden de pago</t>
  </si>
  <si>
    <t xml:space="preserve">Orden</t>
  </si>
  <si>
    <t xml:space="preserve">Saldo inicial</t>
  </si>
  <si>
    <t xml:space="preserve">Intereses</t>
  </si>
  <si>
    <t xml:space="preserve">Si una deuda muestra "Más de 120", el pago total no alcanza a cubrirla en 10 años (normal en hipotecarios). El detalle cuota a cuota va en la plantilla de créditos.</t>
  </si>
  <si>
    <t xml:space="preserve">Flujo mes a mes</t>
  </si>
  <si>
    <t xml:space="preserve">Entradas, salidas, meses sin ingreso y destino del sobrante para el año del flujo. Pesos de hoy.</t>
  </si>
  <si>
    <t xml:space="preserve">Total año</t>
  </si>
  <si>
    <t xml:space="preserve">ENTRADAS</t>
  </si>
  <si>
    <t xml:space="preserve">Ingresos laborales</t>
  </si>
  <si>
    <t xml:space="preserve">Rentas</t>
  </si>
  <si>
    <t xml:space="preserve">Otros ingresos</t>
  </si>
  <si>
    <t xml:space="preserve">Total entradas</t>
  </si>
  <si>
    <t xml:space="preserve">SALIDAS</t>
  </si>
  <si>
    <t xml:space="preserve">Total salidas</t>
  </si>
  <si>
    <t xml:space="preserve">Balance del mes</t>
  </si>
  <si>
    <t xml:space="preserve">Meses sin ingreso (cálculo)</t>
  </si>
  <si>
    <t xml:space="preserve">Uso del bolsillo de meses sin ingreso</t>
  </si>
  <si>
    <t xml:space="preserve">Faltante total de los meses en rojo</t>
  </si>
  <si>
    <t xml:space="preserve">Aporte al bolsillo de meses sin ingreso</t>
  </si>
  <si>
    <t xml:space="preserve">Suma de balances positivos</t>
  </si>
  <si>
    <t xml:space="preserve">Sobrante del mes</t>
  </si>
  <si>
    <t xml:space="preserve">Meses con balance positivo</t>
  </si>
  <si>
    <t xml:space="preserve">DESTINO DEL SOBRANTE</t>
  </si>
  <si>
    <t xml:space="preserve">Aporte igual por mes positivo</t>
  </si>
  <si>
    <t xml:space="preserve">Abono extra a deudas</t>
  </si>
  <si>
    <t xml:space="preserve">Menor balance positivo</t>
  </si>
  <si>
    <t xml:space="preserve">Método de aporte</t>
  </si>
  <si>
    <t xml:space="preserve">Margen libre</t>
  </si>
  <si>
    <t xml:space="preserve">Faltante que alcanza a cubrirse</t>
  </si>
  <si>
    <t xml:space="preserve">CUENTAS POR COBRAR</t>
  </si>
  <si>
    <t xml:space="preserve">Cobertura del faltante</t>
  </si>
  <si>
    <t xml:space="preserve">Abonos recibidos</t>
  </si>
  <si>
    <t xml:space="preserve">Abonos a deudas</t>
  </si>
  <si>
    <t xml:space="preserve">Abonos a inversión</t>
  </si>
  <si>
    <t xml:space="preserve">Abonos libres</t>
  </si>
  <si>
    <t xml:space="preserve">TOTALES</t>
  </si>
  <si>
    <t xml:space="preserve">Total a inversión</t>
  </si>
  <si>
    <t xml:space="preserve">Total extra a deudas</t>
  </si>
  <si>
    <t xml:space="preserve">El aporte al bolsillo se hace en los meses con balance positivo y se usa en los meses en rojo. Si todos los aportes caben, se aporta el mismo valor cada mes. Si el año no alcanza, la parte no cubierta queda como sobrante negativo.</t>
  </si>
  <si>
    <t xml:space="preserve">Con deuda cara, el sobrante y los abonos por cobrar van a deudas y no se invierte.</t>
  </si>
  <si>
    <t xml:space="preserve">Aporte mensual a cada bolsillo y reparto del saldo actual. Los nombres de bolsillos se cambian en la hoja Listas.</t>
  </si>
  <si>
    <t xml:space="preserve">Qué guarda</t>
  </si>
  <si>
    <t xml:space="preserve">Meta anual</t>
  </si>
  <si>
    <t xml:space="preserve">Aporte mensual</t>
  </si>
  <si>
    <t xml:space="preserve">Cuándo se usa</t>
  </si>
  <si>
    <t xml:space="preserve">Saldo inicial sugerido</t>
  </si>
  <si>
    <t xml:space="preserve">Fondo de emergencia</t>
  </si>
  <si>
    <t xml:space="preserve">Solo emergencias reales.</t>
  </si>
  <si>
    <t xml:space="preserve">Solo emergencias</t>
  </si>
  <si>
    <t xml:space="preserve">Aporte para completarlo en 12 meses si hoy no alcanza.</t>
  </si>
  <si>
    <t xml:space="preserve">Meses sin ingreso</t>
  </si>
  <si>
    <t xml:space="preserve">Cubre los meses en rojo del flujo.</t>
  </si>
  <si>
    <t xml:space="preserve">Aporte en los meses con sobrante (ver Flujo anual).</t>
  </si>
  <si>
    <t xml:space="preserve">Reparto del saldo actual</t>
  </si>
  <si>
    <t xml:space="preserve">Saldo líquido disponible (hoja Patrimonio)</t>
  </si>
  <si>
    <t xml:space="preserve">Colchón en la cuenta operativa</t>
  </si>
  <si>
    <t xml:space="preserve">Disponible para repartir</t>
  </si>
  <si>
    <t xml:space="preserve">Asignado a bolsillos</t>
  </si>
  <si>
    <t xml:space="preserve">Excedente</t>
  </si>
  <si>
    <t xml:space="preserve">Abono único a deuda cara</t>
  </si>
  <si>
    <t xml:space="preserve">Queda sin asignar</t>
  </si>
  <si>
    <t xml:space="preserve">Bolsillos con aporte (verificar límite del banco)</t>
  </si>
  <si>
    <t xml:space="preserve">Orden del reparto: fondo de emergencia, meses sin ingreso y luego los saldos que escribas en la columna G (por ejemplo, gastos grandes cercanos).</t>
  </si>
  <si>
    <t xml:space="preserve">Se calcula sobre el gasto esencial y según los ingresos que se mantienen en cada escenario.</t>
  </si>
  <si>
    <t xml:space="preserve">Dato</t>
  </si>
  <si>
    <t xml:space="preserve">Gasto mensual promedio total</t>
  </si>
  <si>
    <t xml:space="preserve">Gasto esencial mensual</t>
  </si>
  <si>
    <t xml:space="preserve">Lo marcado "Sí" en ¿Esencial? del Presupuesto.</t>
  </si>
  <si>
    <t xml:space="preserve">Ingreso laboral mensual promedio</t>
  </si>
  <si>
    <t xml:space="preserve">Rentas mensuales promedio</t>
  </si>
  <si>
    <t xml:space="preserve">Pensión mensual</t>
  </si>
  <si>
    <t xml:space="preserve">Otros ingresos mensuales</t>
  </si>
  <si>
    <t xml:space="preserve">Escenario</t>
  </si>
  <si>
    <t xml:space="preserve">Ingreso que se mantiene</t>
  </si>
  <si>
    <t xml:space="preserve">Faltante mensual</t>
  </si>
  <si>
    <t xml:space="preserve">Meses que cubre la meta</t>
  </si>
  <si>
    <t xml:space="preserve">A. Pierde el ingreso laboral</t>
  </si>
  <si>
    <t xml:space="preserve">B. Pierde las rentas</t>
  </si>
  <si>
    <t xml:space="preserve">C. Pierde laboral y rentas (peor caso)</t>
  </si>
  <si>
    <t xml:space="preserve">Meses de cobertura</t>
  </si>
  <si>
    <t xml:space="preserve">Meta por el peor caso</t>
  </si>
  <si>
    <t xml:space="preserve">Mínimo (1 mes de gasto esencial)</t>
  </si>
  <si>
    <t xml:space="preserve">Meta completa</t>
  </si>
  <si>
    <t xml:space="preserve">Meta vigente</t>
  </si>
  <si>
    <t xml:space="preserve">Con deuda cara: 1 mes de lo esencial; luego se paga la deuda y se completa el fondo.</t>
  </si>
  <si>
    <t xml:space="preserve">Comparación: 6 meses de gasto total</t>
  </si>
  <si>
    <t xml:space="preserve">Capital que se libera frente a esa regla</t>
  </si>
  <si>
    <t xml:space="preserve">Saldo asignado hoy (hoja Bolsillos)</t>
  </si>
  <si>
    <t xml:space="preserve">Avance frente a la meta completa</t>
  </si>
  <si>
    <t xml:space="preserve">El fondo se guarda en una cuenta o bolsillo con liquidez inmediata, nunca en inversiones volátiles.</t>
  </si>
  <si>
    <t xml:space="preserve">Metas con valor y fecha, o que se repiten cada cierto número de años. El aporte pasa solo al Presupuesto.</t>
  </si>
  <si>
    <t xml:space="preserve">Meta</t>
  </si>
  <si>
    <t xml:space="preserve">Valor ingresado</t>
  </si>
  <si>
    <t xml:space="preserve">¿Usa calculadora de viaje?</t>
  </si>
  <si>
    <t xml:space="preserve">Valor usado</t>
  </si>
  <si>
    <t xml:space="preserve">Ya ahorrado</t>
  </si>
  <si>
    <t xml:space="preserve">Se repite cada (años)</t>
  </si>
  <si>
    <t xml:space="preserve">Fecha objetivo</t>
  </si>
  <si>
    <t xml:space="preserve">Meses restantes</t>
  </si>
  <si>
    <t xml:space="preserve">Meta que se repite (por ejemplo, un viaje cada 2 años): llena "Se repite cada" y deja la fecha vacía. Meta única: llena la fecha y lo ya ahorrado.</t>
  </si>
  <si>
    <t xml:space="preserve">Calculadora de viaje (en dólares)</t>
  </si>
  <si>
    <t xml:space="preserve">Valor unitario (USD)</t>
  </si>
  <si>
    <t xml:space="preserve">Cantidad</t>
  </si>
  <si>
    <t xml:space="preserve">Total USD</t>
  </si>
  <si>
    <t xml:space="preserve">Tiquete ida y vuelta con maleta</t>
  </si>
  <si>
    <t xml:space="preserve">Buscar precios reales y actuales.</t>
  </si>
  <si>
    <t xml:space="preserve">Alojamiento por noche</t>
  </si>
  <si>
    <t xml:space="preserve">Cantidad = noches.</t>
  </si>
  <si>
    <t xml:space="preserve">Impuestos del alojamiento (%)</t>
  </si>
  <si>
    <t xml:space="preserve">Comida por día</t>
  </si>
  <si>
    <t xml:space="preserve">Cantidad = días.</t>
  </si>
  <si>
    <t xml:space="preserve">Transporte local</t>
  </si>
  <si>
    <t xml:space="preserve">Pases y taxis.</t>
  </si>
  <si>
    <t xml:space="preserve">Atracciones</t>
  </si>
  <si>
    <t xml:space="preserve">Seguro de viaje</t>
  </si>
  <si>
    <t xml:space="preserve">Compras y gastos varios</t>
  </si>
  <si>
    <t xml:space="preserve">Subtotal</t>
  </si>
  <si>
    <t xml:space="preserve">Colchón por tasa de cambio y comisiones (%)</t>
  </si>
  <si>
    <t xml:space="preserve">Total en dólares</t>
  </si>
  <si>
    <t xml:space="preserve">Tasa de cambio</t>
  </si>
  <si>
    <t xml:space="preserve">Total en pesos</t>
  </si>
  <si>
    <t xml:space="preserve">Trayecto nacional hasta el aeropuerto (pesos)</t>
  </si>
  <si>
    <t xml:space="preserve">Visa, si no la tiene (pesos)</t>
  </si>
  <si>
    <t xml:space="preserve">Total del viaje en pesos</t>
  </si>
  <si>
    <t xml:space="preserve">Análisis de seguros</t>
  </si>
  <si>
    <t xml:space="preserve">Trasladar los riesgos grandes a pólizas. Escribe primas solo de seguros nuevos: los que ya se pagan van en el Presupuesto.</t>
  </si>
  <si>
    <t xml:space="preserve">Seguro</t>
  </si>
  <si>
    <t xml:space="preserve">Qué cubre</t>
  </si>
  <si>
    <t xml:space="preserve">Ojo: qué no cubre o qué revisar</t>
  </si>
  <si>
    <t xml:space="preserve">Prioridad típica</t>
  </si>
  <si>
    <t xml:space="preserve">¿Lo tiene?</t>
  </si>
  <si>
    <t xml:space="preserve">Beneficiarios</t>
  </si>
  <si>
    <t xml:space="preserve">Prima anual cotizada</t>
  </si>
  <si>
    <t xml:space="preserve">Costo mensual</t>
  </si>
  <si>
    <t xml:space="preserve">Hogar para inmuebles</t>
  </si>
  <si>
    <t xml:space="preserve">Terremoto, incendio, inundación, daños y responsabilidad civil.</t>
  </si>
  <si>
    <t xml:space="preserve">Revisar qué cubre la póliza de la copropiedad.</t>
  </si>
  <si>
    <t xml:space="preserve">Alta si hay inmuebles</t>
  </si>
  <si>
    <t xml:space="preserve">Arrendamiento</t>
  </si>
  <si>
    <t xml:space="preserve">Canon y administración si el arrendatario no paga.</t>
  </si>
  <si>
    <t xml:space="preserve">No cubre el inmueble desocupado.</t>
  </si>
  <si>
    <t xml:space="preserve">Alta si hay arriendos</t>
  </si>
  <si>
    <t xml:space="preserve">Enfermedades graves</t>
  </si>
  <si>
    <t xml:space="preserve">Pago único al diagnóstico.</t>
  </si>
  <si>
    <t xml:space="preserve">Lista de enfermedades, preexistencias, carencias y edad máxima.</t>
  </si>
  <si>
    <t xml:space="preserve">Alta desde 45-50 años</t>
  </si>
  <si>
    <t xml:space="preserve">Renta por hospitalización o incapacidad</t>
  </si>
  <si>
    <t xml:space="preserve">Valor diario mientras está hospitalizado o incapacitado.</t>
  </si>
  <si>
    <t xml:space="preserve">Complementa el pago de la EPS.</t>
  </si>
  <si>
    <t xml:space="preserve">Media</t>
  </si>
  <si>
    <t xml:space="preserve">Vida e incapacidad permanente</t>
  </si>
  <si>
    <t xml:space="preserve">Pago a beneficiarios o al asegurado.</t>
  </si>
  <si>
    <t xml:space="preserve">Suma asegurada: ver calculadora abajo.</t>
  </si>
  <si>
    <t xml:space="preserve">Alta con dependientes o deudas</t>
  </si>
  <si>
    <t xml:space="preserve">Plan complementario o prepagada</t>
  </si>
  <si>
    <t xml:space="preserve">Acceso a especialistas y menos copagos.</t>
  </si>
  <si>
    <t xml:space="preserve">Sube con la edad; puede excluir preexistencias.</t>
  </si>
  <si>
    <t xml:space="preserve">Opcional</t>
  </si>
  <si>
    <t xml:space="preserve">Desempleo o protección de ingresos</t>
  </si>
  <si>
    <t xml:space="preserve">Pago mensual si se pierde el ingreso.</t>
  </si>
  <si>
    <t xml:space="preserve">Limitado para contratistas e independientes.</t>
  </si>
  <si>
    <t xml:space="preserve">Baja</t>
  </si>
  <si>
    <t xml:space="preserve">Vehículo (todo riesgo)</t>
  </si>
  <si>
    <t xml:space="preserve">Daños y robo del vehículo.</t>
  </si>
  <si>
    <t xml:space="preserve">Confirmar quién lo paga hoy.</t>
  </si>
  <si>
    <t xml:space="preserve">Media si hay vehículo</t>
  </si>
  <si>
    <t xml:space="preserve">Total seguros nuevos</t>
  </si>
  <si>
    <t xml:space="preserve">El total pasa al Presupuesto (fila automática) y al bolsillo Seguros. Las pólizas marcadas "Sí" no se suman.</t>
  </si>
  <si>
    <t xml:space="preserve">Suma asegurada orientativa de vida</t>
  </si>
  <si>
    <t xml:space="preserve">Deudas pendientes</t>
  </si>
  <si>
    <t xml:space="preserve">Gasto anual que se quiere cubrir</t>
  </si>
  <si>
    <t xml:space="preserve">Años de apoyo a dependientes</t>
  </si>
  <si>
    <t xml:space="preserve">Patrimonio líquido e inversiones</t>
  </si>
  <si>
    <t xml:space="preserve">Suma asegurada orientativa</t>
  </si>
  <si>
    <t xml:space="preserve">Orientativa. Cotizar con 2 o 3 aseguradoras y comparar exclusiones.</t>
  </si>
  <si>
    <t xml:space="preserve">Inversión por plazos, edad y perfil</t>
  </si>
  <si>
    <t xml:space="preserve">Rangos orientativos, no recomendación personalizada. No se nombran productos. Validar con un asesor certificado.</t>
  </si>
  <si>
    <t xml:space="preserve">Inversiones actuales</t>
  </si>
  <si>
    <t xml:space="preserve">Inversión o plataforma</t>
  </si>
  <si>
    <t xml:space="preserve">Saldo en su moneda</t>
  </si>
  <si>
    <t xml:space="preserve">Valor en pesos</t>
  </si>
  <si>
    <t xml:space="preserve">Total invertido</t>
  </si>
  <si>
    <t xml:space="preserve">En crecimiento</t>
  </si>
  <si>
    <t xml:space="preserve">En estabilidad</t>
  </si>
  <si>
    <t xml:space="preserve">Perfil de riesgo: disposición (lo que quiere asumir)</t>
  </si>
  <si>
    <t xml:space="preserve">Pregunta</t>
  </si>
  <si>
    <t xml:space="preserve">Respuesta</t>
  </si>
  <si>
    <t xml:space="preserve">Puntos</t>
  </si>
  <si>
    <t xml:space="preserve">Resultado</t>
  </si>
  <si>
    <t xml:space="preserve">a. Si su inversión bajara 15% en un año, ¿qué haría?</t>
  </si>
  <si>
    <t xml:space="preserve">b. ¿Qué experiencia tiene invirtiendo?</t>
  </si>
  <si>
    <t xml:space="preserve">Disposición</t>
  </si>
  <si>
    <t xml:space="preserve">Plazo en que podría necesitar el dinero</t>
  </si>
  <si>
    <t xml:space="preserve">No suma puntos: si es menos de 3 años, todo va a estabilidad.</t>
  </si>
  <si>
    <t xml:space="preserve">Perfil de riesgo: capacidad (lo que puede asumir)</t>
  </si>
  <si>
    <t xml:space="preserve">Condición</t>
  </si>
  <si>
    <t xml:space="preserve">¿Se cumple?</t>
  </si>
  <si>
    <t xml:space="preserve">Origen</t>
  </si>
  <si>
    <t xml:space="preserve">Ingresos variables o contrato inestable</t>
  </si>
  <si>
    <t xml:space="preserve">Automático según tipo de cliente; se puede cambiar.</t>
  </si>
  <si>
    <t xml:space="preserve">Personas a cargo sin seguro de vida</t>
  </si>
  <si>
    <t xml:space="preserve">Automático; se puede cambiar.</t>
  </si>
  <si>
    <t xml:space="preserve">Brecha pensional (la mesada y las rentas no cubren lo básico)</t>
  </si>
  <si>
    <t xml:space="preserve">Automático (hoja Pensión).</t>
  </si>
  <si>
    <t xml:space="preserve">Fondo de emergencia incompleto</t>
  </si>
  <si>
    <t xml:space="preserve">Automático (hoja Fondo emergencia).</t>
  </si>
  <si>
    <t xml:space="preserve">Menos de 5 años para el retiro sin pensión asegurada</t>
  </si>
  <si>
    <t xml:space="preserve">Condiciones que se cumplen</t>
  </si>
  <si>
    <t xml:space="preserve">Capacidad</t>
  </si>
  <si>
    <t xml:space="preserve">Perfil final (el menor entre disposición y capacidad)</t>
  </si>
  <si>
    <t xml:space="preserve">Rango orientativo en crecimiento según edad y perfil</t>
  </si>
  <si>
    <t xml:space="preserve">Edad desde</t>
  </si>
  <si>
    <t xml:space="preserve">Tramo</t>
  </si>
  <si>
    <t xml:space="preserve">Conservador mín.</t>
  </si>
  <si>
    <t xml:space="preserve">Conservador máx.</t>
  </si>
  <si>
    <t xml:space="preserve">Moderado mín.</t>
  </si>
  <si>
    <t xml:space="preserve">Moderado máx.</t>
  </si>
  <si>
    <t xml:space="preserve">Tolerante mín.</t>
  </si>
  <si>
    <t xml:space="preserve">Tolerante máx.</t>
  </si>
  <si>
    <t xml:space="preserve">Menos de 35</t>
  </si>
  <si>
    <t xml:space="preserve">35 a 49</t>
  </si>
  <si>
    <t xml:space="preserve">50 a 59</t>
  </si>
  <si>
    <t xml:space="preserve">60 o más</t>
  </si>
  <si>
    <t xml:space="preserve">Tramo de edad del cliente</t>
  </si>
  <si>
    <t xml:space="preserve">Rango mínimo</t>
  </si>
  <si>
    <t xml:space="preserve">Rango máximo</t>
  </si>
  <si>
    <t xml:space="preserve">Posición dentro del rango (0% = mínimo, 100% = máximo)</t>
  </si>
  <si>
    <t xml:space="preserve">Hacia el máximo si la pensión y las rentas cubren lo básico o el dinero es para herencia; hacia el mínimo si hay brecha, dependientes o metas cercanas.</t>
  </si>
  <si>
    <t xml:space="preserve">% en estabilidad</t>
  </si>
  <si>
    <t xml:space="preserve">Distribución</t>
  </si>
  <si>
    <t xml:space="preserve">Crecimiento</t>
  </si>
  <si>
    <t xml:space="preserve">Estabilidad</t>
  </si>
  <si>
    <t xml:space="preserve">Inversión mensual promedio</t>
  </si>
  <si>
    <t xml:space="preserve">Aporte único desde el excedente</t>
  </si>
  <si>
    <t xml:space="preserve">Saldo invertido hoy</t>
  </si>
  <si>
    <t xml:space="preserve">Objetivo del total (saldo + aporte único)</t>
  </si>
  <si>
    <t xml:space="preserve">Movimiento sugerido hacia el objetivo</t>
  </si>
  <si>
    <t xml:space="preserve">Positivo: llevar dinero a ese tramo. Negativo: el tramo está por encima del objetivo. Los aportes nuevos pueden hacer el ajuste sin vender.</t>
  </si>
  <si>
    <t xml:space="preserve">Proyección ilustrativa (pesos de hoy, rendimientos no garantizados)</t>
  </si>
  <si>
    <t xml:space="preserve">Año</t>
  </si>
  <si>
    <t xml:space="preserve">Edad al cierre</t>
  </si>
  <si>
    <t xml:space="preserve">Rendimiento real mezclado</t>
  </si>
  <si>
    <t xml:space="preserve">Aporte del sobrante</t>
  </si>
  <si>
    <t xml:space="preserve">Abonos por cobrar</t>
  </si>
  <si>
    <t xml:space="preserve">Rendimiento</t>
  </si>
  <si>
    <t xml:space="preserve">Saldo final</t>
  </si>
  <si>
    <t xml:space="preserve">Años para el retiro hoy</t>
  </si>
  <si>
    <t xml:space="preserve">El % en crecimiento baja gradualmente en los 10 años anteriores al retiro (Supuestos). El aporte del sobrante se supone constante.</t>
  </si>
  <si>
    <t xml:space="preserve">Pensión de vejez (Colombia)</t>
  </si>
  <si>
    <t xml:space="preserve">Estimación en pesos de hoy. Verificar reglas vigentes y pedir el cálculo oficial a la administradora.</t>
  </si>
  <si>
    <t xml:space="preserve">Régimen</t>
  </si>
  <si>
    <t xml:space="preserve">Semanas cotizadas</t>
  </si>
  <si>
    <t xml:space="preserve">Según la historia laboral.</t>
  </si>
  <si>
    <t xml:space="preserve">Fecha de esas semanas</t>
  </si>
  <si>
    <t xml:space="preserve">Desde Supuestos.</t>
  </si>
  <si>
    <t xml:space="preserve">Edad de pensión</t>
  </si>
  <si>
    <t xml:space="preserve">Fecha en que cumple la edad</t>
  </si>
  <si>
    <t xml:space="preserve">Meses cotizados por año</t>
  </si>
  <si>
    <t xml:space="preserve">Meses con seguridad social (hoja Ingresos).</t>
  </si>
  <si>
    <t xml:space="preserve">Base de cotización actual (en salarios mínimos)</t>
  </si>
  <si>
    <t xml:space="preserve">Por ejemplo, 3. Contratistas: suele ser el 40% del contrato.</t>
  </si>
  <si>
    <t xml:space="preserve">Base de cotización en pesos</t>
  </si>
  <si>
    <t xml:space="preserve">Hijos</t>
  </si>
  <si>
    <t xml:space="preserve">¿Aplicar descuento de semanas por hijos?</t>
  </si>
  <si>
    <t xml:space="preserve">Solo si la administradora lo reconoce.</t>
  </si>
  <si>
    <t xml:space="preserve">Semanas de descuento</t>
  </si>
  <si>
    <t xml:space="preserve">50 por hijo, máximo 3.</t>
  </si>
  <si>
    <t xml:space="preserve">Proyección de semanas</t>
  </si>
  <si>
    <t xml:space="preserve">Semanas estimadas al cumplir la edad</t>
  </si>
  <si>
    <t xml:space="preserve">Año en que cumple la edad</t>
  </si>
  <si>
    <t xml:space="preserve">Semanas requeridas ese año</t>
  </si>
  <si>
    <t xml:space="preserve">Colpensiones: mujeres según el año (1.250 en 2026, -25/año hasta 1.000); hombres 1.300. Fondo privado: semanas de la garantía de pensión mínima.</t>
  </si>
  <si>
    <t xml:space="preserve">Semanas de sobra (o faltantes)</t>
  </si>
  <si>
    <t xml:space="preserve">¿Cumple las semanas al llegar a la edad?</t>
  </si>
  <si>
    <t xml:space="preserve">Si faltan: meses adicionales de cotización al ritmo actual</t>
  </si>
  <si>
    <t xml:space="preserve">Semanas mujeres por año</t>
  </si>
  <si>
    <t xml:space="preserve">Colpensiones</t>
  </si>
  <si>
    <t xml:space="preserve">Fondo privado (garantía mínima)</t>
  </si>
  <si>
    <t xml:space="preserve">Semanas año por año</t>
  </si>
  <si>
    <t xml:space="preserve">Semanas al cierre del año</t>
  </si>
  <si>
    <t xml:space="preserve">Semanas requeridas</t>
  </si>
  <si>
    <t xml:space="preserve">¿Alcanza?</t>
  </si>
  <si>
    <t xml:space="preserve">Mesada estimada (solo Colpensiones)</t>
  </si>
  <si>
    <t xml:space="preserve">Escenario bajo</t>
  </si>
  <si>
    <t xml:space="preserve">Escenario medio</t>
  </si>
  <si>
    <t xml:space="preserve">Escenario alto</t>
  </si>
  <si>
    <t xml:space="preserve">IBL en salarios mínimos (promedio últimos 10 años)</t>
  </si>
  <si>
    <t xml:space="preserve">IBL en pesos</t>
  </si>
  <si>
    <t xml:space="preserve">Tasa de reemplazo</t>
  </si>
  <si>
    <t xml:space="preserve">Mesada bruta</t>
  </si>
  <si>
    <t xml:space="preserve">Descuento de salud</t>
  </si>
  <si>
    <t xml:space="preserve">Mesada neta</t>
  </si>
  <si>
    <t xml:space="preserve">Aporte a salud del pensionado</t>
  </si>
  <si>
    <t xml:space="preserve">Puede ser menor en mesadas bajas: verificar.</t>
  </si>
  <si>
    <t xml:space="preserve">Flujo mensual después de pensionarse (pesos de hoy)</t>
  </si>
  <si>
    <t xml:space="preserve">Rentas y otros ingresos</t>
  </si>
  <si>
    <t xml:space="preserve">Gastos del mes sin seguridad social</t>
  </si>
  <si>
    <t xml:space="preserve">Escenario 1: deja de trabajar. Sobrante mensual</t>
  </si>
  <si>
    <t xml:space="preserve">Ingreso laboral promedio si sigue trabajando</t>
  </si>
  <si>
    <t xml:space="preserve">Salud y ARL del contrato (promedio mensual)</t>
  </si>
  <si>
    <t xml:space="preserve">Salud y ARL del contrato (% de la base)</t>
  </si>
  <si>
    <t xml:space="preserve">Pensionado que trabaja: no cotiza pensión. Confirmar con el contador.</t>
  </si>
  <si>
    <t xml:space="preserve">Escenario 2: sigue trabajando. Sobrante mensual</t>
  </si>
  <si>
    <t xml:space="preserve">Para comparar: sobrante mensual promedio hoy</t>
  </si>
  <si>
    <t xml:space="preserve">¿Brecha pensional? (escenario medio, deja de trabajar)</t>
  </si>
  <si>
    <t xml:space="preserve">Tasa de reemplazo = 65,5% - 0,5 x IBL en salarios mínimos, entre 55% y 65%, con mesada mínima de un salario mínimo. Colpensiones toma 1.300 semanas como referencia para sumar 1,5% por cada 50 adicionales.</t>
  </si>
  <si>
    <t xml:space="preserve">Fondo privado: la mesada depende del capital ahorrado. Pedir la proyección oficial y la doble asesoría.</t>
  </si>
  <si>
    <t xml:space="preserve">Activos, deudas y composición. Las inversiones se registran en la hoja Inversión y aparecen aquí solas.</t>
  </si>
  <si>
    <t xml:space="preserve">Activo</t>
  </si>
  <si>
    <t xml:space="preserve">Valor en su moneda</t>
  </si>
  <si>
    <t xml:space="preserve">¿Genera ingreso?</t>
  </si>
  <si>
    <t xml:space="preserve">Inversiones (hoja Inversión)</t>
  </si>
  <si>
    <t xml:space="preserve">Automático.</t>
  </si>
  <si>
    <t xml:space="preserve">Cuentas por cobrar (Supuestos)</t>
  </si>
  <si>
    <t xml:space="preserve">Por cobrar</t>
  </si>
  <si>
    <t xml:space="preserve">Total activos</t>
  </si>
  <si>
    <t xml:space="preserve">Deudas (hoja Deudas)</t>
  </si>
  <si>
    <t xml:space="preserve">Composición</t>
  </si>
  <si>
    <t xml:space="preserve">% de activos</t>
  </si>
  <si>
    <t xml:space="preserve">Líquido</t>
  </si>
  <si>
    <t xml:space="preserve">Inmueble</t>
  </si>
  <si>
    <t xml:space="preserve">Líquido: cuentas, bolsillos y efectivo disponibles. Aportes a cooperativas, cesantías o pensión voluntaria: tipo Otro.</t>
  </si>
  <si>
    <t xml:space="preserve">Control mensual</t>
  </si>
  <si>
    <t xml:space="preserve">Escribe cada mes el gasto real por categoría. Se compara con el presupuesto; desviaciones mayores al 10% se resaltan.</t>
  </si>
  <si>
    <t xml:space="preserve">Presupuesto mensual</t>
  </si>
  <si>
    <t xml:space="preserve">Promedio real</t>
  </si>
  <si>
    <t xml:space="preserve">% desviación</t>
  </si>
  <si>
    <t xml:space="preserve">Meses registrados</t>
  </si>
  <si>
    <t xml:space="preserve">El presupuesto mensual es el promedio (los gastos anuales se reparten en 12). Compara el promedio real de varios meses, no un mes aislado.</t>
  </si>
  <si>
    <t xml:space="preserve">Plan de acción</t>
  </si>
  <si>
    <t xml:space="preserve">Tareas con prioridad, responsable y fecha. Las vencidas se resaltan en rojo; las hechas, en verde.</t>
  </si>
  <si>
    <t xml:space="preserve">#</t>
  </si>
  <si>
    <t xml:space="preserve">Tarea</t>
  </si>
  <si>
    <t xml:space="preserve">Prioridad</t>
  </si>
  <si>
    <t xml:space="preserve">Responsable</t>
  </si>
  <si>
    <t xml:space="preserve">Fecha límite</t>
  </si>
  <si>
    <t xml:space="preserve">Crear los bolsillos y repartir el saldo actual</t>
  </si>
  <si>
    <t xml:space="preserve">Alta</t>
  </si>
  <si>
    <t xml:space="preserve">Pendiente</t>
  </si>
  <si>
    <t xml:space="preserve">Programar transferencias automáticas el día de pago</t>
  </si>
  <si>
    <t xml:space="preserve">Registrar gastos reales en la hoja Control mensual</t>
  </si>
  <si>
    <t xml:space="preserve">Completar la prueba de realidad del presupuesto</t>
  </si>
  <si>
    <t xml:space="preserve">Pagar deudas según el orden de la hoja Deudas</t>
  </si>
  <si>
    <t xml:space="preserve">Cotizar los seguros de prioridad alta</t>
  </si>
  <si>
    <t xml:space="preserve">Revisar beneficiarios de seguros, pensión y cuentas</t>
  </si>
  <si>
    <t xml:space="preserve">Consultar al contador: renta, retenciones y beneficios tributarios</t>
  </si>
  <si>
    <t xml:space="preserve">Descargar la historia laboral y pedir la proyección de pensión</t>
  </si>
  <si>
    <t xml:space="preserve">Administradora de pensiones</t>
  </si>
  <si>
    <t xml:space="preserve">Evaluar testamento y preparar la carpeta familiar</t>
  </si>
  <si>
    <t xml:space="preserve">Abogado</t>
  </si>
  <si>
    <t xml:space="preserve">Definir el perfil de inversión y la distribución</t>
  </si>
  <si>
    <t xml:space="preserve">Revisión de seguimiento a 30 días</t>
  </si>
  <si>
    <t xml:space="preserve">Revisión de seguimiento a 90 días</t>
  </si>
  <si>
    <t xml:space="preserve">Revisión anual del plan</t>
  </si>
  <si>
    <t xml:space="preserve">Tipo de gasto</t>
  </si>
  <si>
    <t xml:space="preserve">Sí / No</t>
  </si>
  <si>
    <t xml:space="preserve">Bolsillos (editable)</t>
  </si>
  <si>
    <t xml:space="preserve">Tipo de ingreso</t>
  </si>
  <si>
    <t xml:space="preserve">Meses de fondo sugeridos</t>
  </si>
  <si>
    <t xml:space="preserve">Régimen de pensión</t>
  </si>
  <si>
    <t xml:space="preserve">Tipo de activo</t>
  </si>
  <si>
    <t xml:space="preserve">Si la inversión cae 15%</t>
  </si>
  <si>
    <t xml:space="preserve">Experiencia invirtiendo</t>
  </si>
  <si>
    <t xml:space="preserve">Plazo del dinero</t>
  </si>
  <si>
    <t xml:space="preserve">Método de pago de deudas</t>
  </si>
  <si>
    <t xml:space="preserve">Tipo de deuda</t>
  </si>
  <si>
    <t xml:space="preserve">Tipo de inversión</t>
  </si>
  <si>
    <t xml:space="preserve">¿Tiene el seguro?</t>
  </si>
  <si>
    <t xml:space="preserve">Empleado</t>
  </si>
  <si>
    <t xml:space="preserve">Mujer</t>
  </si>
  <si>
    <t xml:space="preserve">Vendería</t>
  </si>
  <si>
    <t xml:space="preserve">Ninguna</t>
  </si>
  <si>
    <t xml:space="preserve">Menos de 3 años</t>
  </si>
  <si>
    <t xml:space="preserve">Tarjeta de crédito</t>
  </si>
  <si>
    <t xml:space="preserve">Quincenal</t>
  </si>
  <si>
    <t xml:space="preserve">Contratista</t>
  </si>
  <si>
    <t xml:space="preserve">Hombre</t>
  </si>
  <si>
    <t xml:space="preserve">Fondo privado</t>
  </si>
  <si>
    <t xml:space="preserve">USD</t>
  </si>
  <si>
    <t xml:space="preserve">Esperaría</t>
  </si>
  <si>
    <t xml:space="preserve">Algo</t>
  </si>
  <si>
    <t xml:space="preserve">3 a 7 años</t>
  </si>
  <si>
    <t xml:space="preserve">Bola de nieve</t>
  </si>
  <si>
    <t xml:space="preserve">Libre inversión</t>
  </si>
  <si>
    <t xml:space="preserve">En curso</t>
  </si>
  <si>
    <t xml:space="preserve">Independiente variable</t>
  </si>
  <si>
    <t xml:space="preserve">Invertiría más</t>
  </si>
  <si>
    <t xml:space="preserve">Bastante</t>
  </si>
  <si>
    <t xml:space="preserve">Más de 7 años</t>
  </si>
  <si>
    <t xml:space="preserve">Hecho</t>
  </si>
  <si>
    <t xml:space="preserve">Cotizando</t>
  </si>
  <si>
    <t xml:space="preserve">Bimestral</t>
  </si>
  <si>
    <t xml:space="preserve">Pensionado</t>
  </si>
  <si>
    <t xml:space="preserve">Hipotecario</t>
  </si>
  <si>
    <t xml:space="preserve">Trimestral</t>
  </si>
  <si>
    <t xml:space="preserve">Rentista</t>
  </si>
  <si>
    <t xml:space="preserve">Libranza</t>
  </si>
  <si>
    <t xml:space="preserve">Aseguradora</t>
  </si>
  <si>
    <t xml:space="preserve">Mixto</t>
  </si>
  <si>
    <t xml:space="preserve">Informal</t>
  </si>
  <si>
    <t xml:space="preserve">Cada 2 años</t>
  </si>
  <si>
    <t xml:space="preserve">Calculado</t>
  </si>
  <si>
    <t xml:space="preserve">Otros</t>
  </si>
  <si>
    <t xml:space="preserve">Los nombres de bolsillos (columna F) se pueden cambiar; las demás listas no deben modificarse.</t>
  </si>
</sst>
</file>

<file path=xl/styles.xml><?xml version="1.0" encoding="utf-8"?>
<styleSheet xmlns="http://schemas.openxmlformats.org/spreadsheetml/2006/main">
  <numFmts count="14">
    <numFmt numFmtId="164" formatCode="General"/>
    <numFmt numFmtId="165" formatCode="dd/mm/yyyy"/>
    <numFmt numFmtId="166" formatCode="0"/>
    <numFmt numFmtId="167" formatCode="\$#,##0;[RED]&quot;($&quot;#,##0\);\-"/>
    <numFmt numFmtId="168" formatCode="0.0%"/>
    <numFmt numFmtId="169" formatCode="mmm\ yyyy"/>
    <numFmt numFmtId="170" formatCode="0.0"/>
    <numFmt numFmtId="171" formatCode="#,##0"/>
    <numFmt numFmtId="172" formatCode="&quot;US$&quot;#,##0;[RED]&quot;(US$&quot;#,##0\);\-"/>
    <numFmt numFmtId="173" formatCode="#,##0,"/>
    <numFmt numFmtId="174" formatCode="0.00"/>
    <numFmt numFmtId="175" formatCode="0.00%"/>
    <numFmt numFmtId="176" formatCode="0%"/>
    <numFmt numFmtId="177" formatCode="#,##0;[RED]\-#,##0"/>
  </numFmts>
  <fonts count="24">
    <font>
      <sz val="11"/>
      <color theme="1"/>
      <name val="Calibri"/>
      <family val="2"/>
      <charset val="1"/>
    </font>
    <font>
      <sz val="10"/>
      <name val="Arial"/>
      <family val="0"/>
    </font>
    <font>
      <sz val="10"/>
      <name val="Arial"/>
      <family val="0"/>
    </font>
    <font>
      <sz val="10"/>
      <name val="Arial"/>
      <family val="0"/>
    </font>
    <font>
      <b val="true"/>
      <sz val="22"/>
      <color rgb="FFFFFFFF"/>
      <name val="Arial"/>
      <family val="0"/>
      <charset val="1"/>
    </font>
    <font>
      <i val="true"/>
      <sz val="12"/>
      <color rgb="FFC8A04A"/>
      <name val="Arial"/>
      <family val="0"/>
      <charset val="1"/>
    </font>
    <font>
      <b val="true"/>
      <sz val="10"/>
      <color rgb="FF0E3B43"/>
      <name val="Arial"/>
      <family val="0"/>
      <charset val="1"/>
    </font>
    <font>
      <b val="true"/>
      <sz val="10"/>
      <color rgb="FF1D6A72"/>
      <name val="Arial"/>
      <family val="0"/>
      <charset val="1"/>
    </font>
    <font>
      <b val="true"/>
      <sz val="10"/>
      <color rgb="FFFFFFFF"/>
      <name val="Arial"/>
      <family val="0"/>
      <charset val="1"/>
    </font>
    <font>
      <b val="true"/>
      <sz val="10"/>
      <color rgb="FF1E2A2C"/>
      <name val="Arial"/>
      <family val="0"/>
      <charset val="1"/>
    </font>
    <font>
      <sz val="10"/>
      <color rgb="FF1E2A2C"/>
      <name val="Arial"/>
      <family val="0"/>
      <charset val="1"/>
    </font>
    <font>
      <sz val="10"/>
      <color rgb="FF1F4E9E"/>
      <name val="Arial"/>
      <family val="0"/>
      <charset val="1"/>
    </font>
    <font>
      <i val="true"/>
      <sz val="10"/>
      <color rgb="FF5F6B6D"/>
      <name val="Arial"/>
      <family val="0"/>
      <charset val="1"/>
    </font>
    <font>
      <sz val="10"/>
      <name val="Arial"/>
      <family val="0"/>
      <charset val="1"/>
    </font>
    <font>
      <i val="true"/>
      <sz val="9"/>
      <color rgb="FF5F6B6D"/>
      <name val="Arial"/>
      <family val="0"/>
      <charset val="1"/>
    </font>
    <font>
      <b val="true"/>
      <sz val="16"/>
      <color rgb="FF0E3B43"/>
      <name val="Arial"/>
      <family val="0"/>
      <charset val="1"/>
    </font>
    <font>
      <i val="true"/>
      <sz val="9"/>
      <color rgb="FF1D6A72"/>
      <name val="Arial"/>
      <family val="0"/>
      <charset val="1"/>
    </font>
    <font>
      <sz val="10"/>
      <color rgb="FF5F6B6D"/>
      <name val="Arial"/>
      <family val="0"/>
      <charset val="1"/>
    </font>
    <font>
      <sz val="10"/>
      <color rgb="FFB3261E"/>
      <name val="Arial"/>
      <family val="0"/>
      <charset val="1"/>
    </font>
    <font>
      <sz val="10"/>
      <color rgb="FF1D6A72"/>
      <name val="Arial"/>
      <family val="0"/>
      <charset val="1"/>
    </font>
    <font>
      <sz val="10"/>
      <color rgb="FFBBBBBB"/>
      <name val="Arial"/>
      <family val="0"/>
      <charset val="1"/>
    </font>
    <font>
      <b val="true"/>
      <sz val="10"/>
      <color rgb="FFB3261E"/>
      <name val="Arial"/>
      <family val="0"/>
      <charset val="1"/>
    </font>
    <font>
      <b val="true"/>
      <sz val="10"/>
      <color rgb="FF5F6B6D"/>
      <name val="Arial"/>
      <family val="0"/>
      <charset val="1"/>
    </font>
    <font>
      <b val="true"/>
      <sz val="10"/>
      <color rgb="FFB7791F"/>
      <name val="Arial"/>
      <family val="0"/>
      <charset val="1"/>
    </font>
  </fonts>
  <fills count="9">
    <fill>
      <patternFill patternType="none"/>
    </fill>
    <fill>
      <patternFill patternType="gray125"/>
    </fill>
    <fill>
      <patternFill patternType="solid">
        <fgColor rgb="FF0E3B43"/>
        <bgColor rgb="FF1E2A2C"/>
      </patternFill>
    </fill>
    <fill>
      <patternFill patternType="solid">
        <fgColor rgb="FFC8A04A"/>
        <bgColor rgb="FFB7791F"/>
      </patternFill>
    </fill>
    <fill>
      <patternFill patternType="solid">
        <fgColor rgb="FF1D6A72"/>
        <bgColor rgb="FF008080"/>
      </patternFill>
    </fill>
    <fill>
      <patternFill patternType="solid">
        <fgColor rgb="FFFFF8E6"/>
        <bgColor rgb="FFF4F8F8"/>
      </patternFill>
    </fill>
    <fill>
      <patternFill patternType="solid">
        <fgColor rgb="FFFDE9B8"/>
        <bgColor rgb="FFFCEBC5"/>
      </patternFill>
    </fill>
    <fill>
      <patternFill patternType="solid">
        <fgColor rgb="FFF4F8F8"/>
        <bgColor rgb="FFFFFFFF"/>
      </patternFill>
    </fill>
    <fill>
      <patternFill patternType="solid">
        <fgColor rgb="FFE6EFEF"/>
        <bgColor rgb="FFF4F8F8"/>
      </patternFill>
    </fill>
  </fills>
  <borders count="4">
    <border diagonalUp="false" diagonalDown="false">
      <left/>
      <right/>
      <top/>
      <bottom/>
      <diagonal/>
    </border>
    <border diagonalUp="false" diagonalDown="false">
      <left/>
      <right/>
      <top/>
      <bottom style="thin">
        <color rgb="FFC9D6D7"/>
      </bottom>
      <diagonal/>
    </border>
    <border diagonalUp="false" diagonalDown="false">
      <left style="thin">
        <color rgb="FFE3D3A8"/>
      </left>
      <right style="thin">
        <color rgb="FFE3D3A8"/>
      </right>
      <top style="thin">
        <color rgb="FFE3D3A8"/>
      </top>
      <bottom style="thin">
        <color rgb="FFE3D3A8"/>
      </bottom>
      <diagonal/>
    </border>
    <border diagonalUp="false" diagonalDown="false">
      <left/>
      <right/>
      <top/>
      <bottom style="medium">
        <color rgb="FFC8A04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general" vertical="bottom" textRotation="0" wrapText="false" indent="0" shrinkToFit="false"/>
      <protection locked="true" hidden="false"/>
    </xf>
    <xf numFmtId="164" fontId="5" fillId="2" borderId="0" xfId="0" applyFont="true" applyBorder="false" applyAlignment="true" applyProtection="true">
      <alignment horizontal="general" vertical="bottom"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5" fontId="7" fillId="0" borderId="0" xfId="0" applyFont="true" applyBorder="false" applyAlignment="true" applyProtection="true">
      <alignment horizontal="left" vertical="bottom" textRotation="0" wrapText="false" indent="0" shrinkToFit="false"/>
      <protection locked="true" hidden="false"/>
    </xf>
    <xf numFmtId="164" fontId="8" fillId="4" borderId="0" xfId="0" applyFont="true" applyBorder="false" applyAlignment="true" applyProtection="true">
      <alignment horizontal="general" vertical="bottom" textRotation="0" wrapText="false" indent="0" shrinkToFit="false"/>
      <protection locked="true" hidden="false"/>
    </xf>
    <xf numFmtId="164" fontId="0" fillId="4" borderId="0" xfId="0" applyFont="false" applyBorder="false" applyAlignment="true" applyProtection="true">
      <alignment horizontal="general" vertical="bottom" textRotation="0" wrapText="false" indent="0" shrinkToFit="false"/>
      <protection locked="true" hidden="false"/>
    </xf>
    <xf numFmtId="164" fontId="8" fillId="2" borderId="0" xfId="0" applyFont="true" applyBorder="false" applyAlignment="true" applyProtection="true">
      <alignment horizontal="left" vertical="center" textRotation="0" wrapText="true" indent="0" shrinkToFit="false"/>
      <protection locked="true" hidden="false"/>
    </xf>
    <xf numFmtId="164" fontId="8" fillId="2" borderId="0" xfId="0" applyFont="true" applyBorder="false" applyAlignment="true" applyProtection="true">
      <alignment horizontal="center" vertical="center" textRotation="0" wrapText="true" indent="0" shrinkToFit="false"/>
      <protection locked="true" hidden="false"/>
    </xf>
    <xf numFmtId="166" fontId="6" fillId="0" borderId="1" xfId="0" applyFont="true" applyBorder="true" applyAlignment="true" applyProtection="true">
      <alignment horizontal="center" vertical="bottom" textRotation="0" wrapText="false" indent="0" shrinkToFit="false"/>
      <protection locked="true" hidden="false"/>
    </xf>
    <xf numFmtId="164" fontId="9" fillId="0" borderId="1" xfId="0" applyFont="true" applyBorder="true" applyAlignment="true" applyProtection="true">
      <alignment horizontal="general" vertical="bottom" textRotation="0" wrapText="false" indent="0" shrinkToFit="false"/>
      <protection locked="true" hidden="false"/>
    </xf>
    <xf numFmtId="164" fontId="10" fillId="0" borderId="1" xfId="0" applyFont="true" applyBorder="true" applyAlignment="true" applyProtection="true">
      <alignment horizontal="general" vertical="bottom" textRotation="0" wrapText="false" indent="0" shrinkToFit="false"/>
      <protection locked="true" hidden="false"/>
    </xf>
    <xf numFmtId="164" fontId="11" fillId="5" borderId="2" xfId="0" applyFont="true" applyBorder="tru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11" fillId="6" borderId="2" xfId="0" applyFont="true" applyBorder="true" applyAlignment="true" applyProtection="true">
      <alignment horizontal="general" vertical="bottom" textRotation="0" wrapText="false" indent="0" shrinkToFit="false"/>
      <protection locked="true" hidden="false"/>
    </xf>
    <xf numFmtId="164" fontId="12" fillId="7"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11" fillId="5" borderId="0" xfId="0" applyFont="true" applyBorder="false" applyAlignment="true" applyProtection="true">
      <alignment horizontal="general" vertical="bottom" textRotation="0" wrapText="false" indent="0" shrinkToFit="false"/>
      <protection locked="true" hidden="false"/>
    </xf>
    <xf numFmtId="167" fontId="11" fillId="5" borderId="0" xfId="0" applyFont="true" applyBorder="fals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general" vertical="top"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0" fillId="8" borderId="0" xfId="0" applyFont="false" applyBorder="false" applyAlignment="true" applyProtection="true">
      <alignment horizontal="general" vertical="bottom" textRotation="0" wrapText="false" indent="0" shrinkToFit="false"/>
      <protection locked="true" hidden="false"/>
    </xf>
    <xf numFmtId="164" fontId="0" fillId="5" borderId="0" xfId="0" applyFont="false" applyBorder="fals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16" fillId="0" borderId="3" xfId="0" applyFont="true" applyBorder="true" applyAlignment="true" applyProtection="true">
      <alignment horizontal="general" vertical="bottom" textRotation="0" wrapText="false" indent="0" shrinkToFit="false"/>
      <protection locked="true" hidden="false"/>
    </xf>
    <xf numFmtId="164" fontId="0" fillId="0" borderId="3" xfId="0" applyFont="false" applyBorder="tru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left" vertical="bottom" textRotation="0" wrapText="false" indent="0" shrinkToFit="false"/>
      <protection locked="true" hidden="false"/>
    </xf>
    <xf numFmtId="166" fontId="7" fillId="0" borderId="0" xfId="0" applyFont="true" applyBorder="false" applyAlignment="true" applyProtection="true">
      <alignment horizontal="left" vertical="bottom" textRotation="0" wrapText="false" indent="0" shrinkToFit="false"/>
      <protection locked="true" hidden="false"/>
    </xf>
    <xf numFmtId="167" fontId="9" fillId="0" borderId="1" xfId="0" applyFont="true" applyBorder="true" applyAlignment="true" applyProtection="true">
      <alignment horizontal="right" vertical="bottom" textRotation="0" wrapText="false" indent="0" shrinkToFit="false"/>
      <protection locked="true" hidden="false"/>
    </xf>
    <xf numFmtId="164" fontId="9" fillId="0" borderId="1" xfId="0" applyFont="true" applyBorder="true" applyAlignment="true" applyProtection="true">
      <alignment horizontal="center" vertical="bottom" textRotation="0" wrapText="false" indent="0" shrinkToFit="false"/>
      <protection locked="true" hidden="false"/>
    </xf>
    <xf numFmtId="164" fontId="14" fillId="0" borderId="1" xfId="0" applyFont="true" applyBorder="true" applyAlignment="true" applyProtection="true">
      <alignment horizontal="general" vertical="top" textRotation="0" wrapText="false" indent="0" shrinkToFit="false"/>
      <protection locked="true" hidden="false"/>
    </xf>
    <xf numFmtId="168" fontId="9" fillId="0" borderId="1" xfId="0" applyFont="true" applyBorder="true" applyAlignment="true" applyProtection="true">
      <alignment horizontal="right" vertical="bottom" textRotation="0" wrapText="false" indent="0" shrinkToFit="false"/>
      <protection locked="true" hidden="false"/>
    </xf>
    <xf numFmtId="164" fontId="9" fillId="0" borderId="1" xfId="0" applyFont="true" applyBorder="true" applyAlignment="true" applyProtection="true">
      <alignment horizontal="right" vertical="bottom" textRotation="0" wrapText="false" indent="0" shrinkToFit="false"/>
      <protection locked="true" hidden="false"/>
    </xf>
    <xf numFmtId="169" fontId="9" fillId="0" borderId="1" xfId="0" applyFont="true" applyBorder="true" applyAlignment="true" applyProtection="true">
      <alignment horizontal="right" vertical="bottom" textRotation="0" wrapText="false" indent="0" shrinkToFit="false"/>
      <protection locked="true" hidden="false"/>
    </xf>
    <xf numFmtId="170" fontId="9" fillId="0" borderId="1" xfId="0" applyFont="true" applyBorder="true" applyAlignment="true" applyProtection="true">
      <alignment horizontal="right" vertical="bottom" textRotation="0" wrapText="false" indent="0" shrinkToFit="false"/>
      <protection locked="true" hidden="false"/>
    </xf>
    <xf numFmtId="171" fontId="9" fillId="0" borderId="1" xfId="0" applyFont="true" applyBorder="true" applyAlignment="true" applyProtection="true">
      <alignment horizontal="right" vertical="bottom" textRotation="0" wrapText="false" indent="0" shrinkToFit="false"/>
      <protection locked="true" hidden="false"/>
    </xf>
    <xf numFmtId="164" fontId="17" fillId="0" borderId="1" xfId="0" applyFont="true" applyBorder="true" applyAlignment="true" applyProtection="true">
      <alignment horizontal="general" vertical="bottom" textRotation="0" wrapText="fals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72" fontId="9" fillId="0" borderId="0" xfId="0" applyFont="true" applyBorder="false" applyAlignment="true" applyProtection="true">
      <alignment horizontal="right" vertical="bottom" textRotation="0" wrapText="false" indent="0" shrinkToFit="false"/>
      <protection locked="true" hidden="false"/>
    </xf>
    <xf numFmtId="167" fontId="9" fillId="0" borderId="0" xfId="0" applyFont="true" applyBorder="false" applyAlignment="true" applyProtection="true">
      <alignment horizontal="right" vertical="bottom" textRotation="0" wrapText="false" indent="0" shrinkToFit="false"/>
      <protection locked="true" hidden="false"/>
    </xf>
    <xf numFmtId="171" fontId="10" fillId="0" borderId="1" xfId="0" applyFont="true" applyBorder="true" applyAlignment="true" applyProtection="true">
      <alignment horizontal="left" vertical="bottom" textRotation="0" wrapText="false" indent="0" shrinkToFit="false"/>
      <protection locked="true" hidden="false"/>
    </xf>
    <xf numFmtId="167" fontId="10" fillId="0" borderId="1" xfId="0" applyFont="true" applyBorder="true" applyAlignment="true" applyProtection="true">
      <alignment horizontal="general" vertical="bottom" textRotation="0" wrapText="false" indent="0" shrinkToFit="false"/>
      <protection locked="true" hidden="false"/>
    </xf>
    <xf numFmtId="168" fontId="10" fillId="0" borderId="1" xfId="0" applyFont="true" applyBorder="true" applyAlignment="true" applyProtection="true">
      <alignment horizontal="center" vertical="bottom" textRotation="0" wrapText="false" indent="0" shrinkToFit="false"/>
      <protection locked="true" hidden="false"/>
    </xf>
    <xf numFmtId="171" fontId="9" fillId="0" borderId="1" xfId="0" applyFont="true" applyBorder="true" applyAlignment="true" applyProtection="true">
      <alignment horizontal="left"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5" fontId="11" fillId="5" borderId="2" xfId="0" applyFont="true" applyBorder="true" applyAlignment="true" applyProtection="true">
      <alignment horizontal="general" vertical="bottom" textRotation="0" wrapText="false" indent="0" shrinkToFit="false"/>
      <protection locked="true" hidden="false"/>
    </xf>
    <xf numFmtId="166" fontId="11" fillId="5" borderId="2" xfId="0" applyFont="true" applyBorder="true" applyAlignment="true" applyProtection="true">
      <alignment horizontal="general" vertical="bottom" textRotation="0" wrapText="false" indent="0" shrinkToFit="false"/>
      <protection locked="true" hidden="false"/>
    </xf>
    <xf numFmtId="166" fontId="10" fillId="0" borderId="0" xfId="0" applyFont="true" applyBorder="false" applyAlignment="true" applyProtection="true">
      <alignment horizontal="general" vertical="bottom" textRotation="0" wrapText="false" indent="0" shrinkToFit="false"/>
      <protection locked="true" hidden="false"/>
    </xf>
    <xf numFmtId="171" fontId="11" fillId="6" borderId="2" xfId="0" applyFont="true" applyBorder="true" applyAlignment="true" applyProtection="true">
      <alignment horizontal="general" vertical="bottom" textRotation="0" wrapText="false" indent="0" shrinkToFit="false"/>
      <protection locked="true" hidden="false"/>
    </xf>
    <xf numFmtId="167" fontId="11" fillId="5" borderId="2" xfId="0" applyFont="true" applyBorder="true" applyAlignment="true" applyProtection="true">
      <alignment horizontal="general" vertical="bottom" textRotation="0" wrapText="false" indent="0" shrinkToFit="false"/>
      <protection locked="true" hidden="false"/>
    </xf>
    <xf numFmtId="166" fontId="9" fillId="0" borderId="0" xfId="0" applyFont="true" applyBorder="false" applyAlignment="true" applyProtection="true">
      <alignment horizontal="general" vertical="bottom" textRotation="0" wrapText="false" indent="0" shrinkToFit="false"/>
      <protection locked="true" hidden="false"/>
    </xf>
    <xf numFmtId="168" fontId="11" fillId="5" borderId="2" xfId="0" applyFont="true" applyBorder="true" applyAlignment="true" applyProtection="true">
      <alignment horizontal="general" vertical="bottom" textRotation="0" wrapText="false" indent="0" shrinkToFit="false"/>
      <protection locked="true" hidden="false"/>
    </xf>
    <xf numFmtId="167" fontId="11" fillId="6" borderId="2" xfId="0" applyFont="true" applyBorder="true" applyAlignment="true" applyProtection="true">
      <alignment horizontal="general" vertical="bottom" textRotation="0" wrapText="false" indent="0" shrinkToFit="false"/>
      <protection locked="true" hidden="false"/>
    </xf>
    <xf numFmtId="166" fontId="11" fillId="6" borderId="2" xfId="0" applyFont="true" applyBorder="true" applyAlignment="true" applyProtection="true">
      <alignment horizontal="general" vertical="bottom" textRotation="0" wrapText="false" indent="0" shrinkToFit="false"/>
      <protection locked="true" hidden="false"/>
    </xf>
    <xf numFmtId="167" fontId="10" fillId="0" borderId="0" xfId="0" applyFont="true" applyBorder="false" applyAlignment="true" applyProtection="true">
      <alignment horizontal="general" vertical="bottom" textRotation="0" wrapText="false" indent="0" shrinkToFit="false"/>
      <protection locked="true" hidden="false"/>
    </xf>
    <xf numFmtId="168" fontId="10" fillId="0" borderId="0" xfId="0" applyFont="true" applyBorder="false" applyAlignment="true" applyProtection="true">
      <alignment horizontal="general" vertical="bottom" textRotation="0" wrapText="false" indent="0" shrinkToFit="false"/>
      <protection locked="true" hidden="false"/>
    </xf>
    <xf numFmtId="168" fontId="9" fillId="0" borderId="0" xfId="0" applyFont="true" applyBorder="false" applyAlignment="true" applyProtection="true">
      <alignment horizontal="general" vertical="bottom" textRotation="0" wrapText="false" indent="0" shrinkToFit="false"/>
      <protection locked="true" hidden="false"/>
    </xf>
    <xf numFmtId="164" fontId="11" fillId="5" borderId="1" xfId="0" applyFont="true" applyBorder="true" applyAlignment="true" applyProtection="true">
      <alignment horizontal="general" vertical="bottom" textRotation="0" wrapText="false" indent="0" shrinkToFit="false"/>
      <protection locked="true" hidden="false"/>
    </xf>
    <xf numFmtId="167" fontId="11" fillId="5" borderId="1" xfId="0" applyFont="true" applyBorder="true" applyAlignment="true" applyProtection="true">
      <alignment horizontal="general" vertical="bottom" textRotation="0" wrapText="false" indent="0" shrinkToFit="false"/>
      <protection locked="true" hidden="false"/>
    </xf>
    <xf numFmtId="165" fontId="11" fillId="5" borderId="1" xfId="0" applyFont="true" applyBorder="true" applyAlignment="true" applyProtection="true">
      <alignment horizontal="general" vertical="bottom" textRotation="0" wrapText="false" indent="0" shrinkToFit="false"/>
      <protection locked="true" hidden="false"/>
    </xf>
    <xf numFmtId="166" fontId="10" fillId="0" borderId="1" xfId="0" applyFont="true" applyBorder="true" applyAlignment="true" applyProtection="true">
      <alignment horizontal="general" vertical="bottom" textRotation="0" wrapText="false" indent="0" shrinkToFit="false"/>
      <protection locked="true" hidden="false"/>
    </xf>
    <xf numFmtId="165" fontId="10" fillId="0" borderId="1" xfId="0" applyFont="true" applyBorder="true" applyAlignment="true" applyProtection="true">
      <alignment horizontal="general" vertical="bottom" textRotation="0" wrapText="false" indent="0" shrinkToFit="false"/>
      <protection locked="true" hidden="false"/>
    </xf>
    <xf numFmtId="168" fontId="11" fillId="5" borderId="1" xfId="0" applyFont="true" applyBorder="true" applyAlignment="true" applyProtection="true">
      <alignment horizontal="general" vertical="bottom" textRotation="0" wrapText="false" indent="0" shrinkToFit="false"/>
      <protection locked="true" hidden="false"/>
    </xf>
    <xf numFmtId="166" fontId="17" fillId="0" borderId="1" xfId="0" applyFont="true" applyBorder="true" applyAlignment="true" applyProtection="true">
      <alignment horizontal="general" vertical="bottom" textRotation="0" wrapText="false" indent="0" shrinkToFit="false"/>
      <protection locked="true" hidden="false"/>
    </xf>
    <xf numFmtId="164" fontId="9" fillId="8" borderId="0" xfId="0" applyFont="true" applyBorder="false" applyAlignment="true" applyProtection="true">
      <alignment horizontal="general" vertical="bottom" textRotation="0" wrapText="false" indent="0" shrinkToFit="false"/>
      <protection locked="true" hidden="false"/>
    </xf>
    <xf numFmtId="167" fontId="9" fillId="8" borderId="0" xfId="0" applyFont="true" applyBorder="false" applyAlignment="true" applyProtection="true">
      <alignment horizontal="general" vertical="bottom" textRotation="0" wrapText="false" indent="0" shrinkToFit="false"/>
      <protection locked="true" hidden="false"/>
    </xf>
    <xf numFmtId="164" fontId="11" fillId="5" borderId="1" xfId="0" applyFont="true" applyBorder="true" applyAlignment="true" applyProtection="true">
      <alignment horizontal="center" vertical="bottom" textRotation="0" wrapText="false" indent="0" shrinkToFit="false"/>
      <protection locked="true" hidden="false"/>
    </xf>
    <xf numFmtId="171" fontId="11" fillId="5" borderId="1" xfId="0" applyFont="true" applyBorder="true" applyAlignment="true" applyProtection="true">
      <alignment horizontal="general" vertical="bottom" textRotation="0" wrapText="false" indent="0" shrinkToFit="false"/>
      <protection locked="true" hidden="false"/>
    </xf>
    <xf numFmtId="166" fontId="11" fillId="5" borderId="1" xfId="0" applyFont="true" applyBorder="true" applyAlignment="true" applyProtection="true">
      <alignment horizontal="center" vertical="bottom" textRotation="0" wrapText="false" indent="0" shrinkToFit="false"/>
      <protection locked="true" hidden="false"/>
    </xf>
    <xf numFmtId="166" fontId="10" fillId="0" borderId="1" xfId="0" applyFont="true" applyBorder="true" applyAlignment="true" applyProtection="true">
      <alignment horizontal="center" vertical="bottom" textRotation="0" wrapText="false" indent="0" shrinkToFit="false"/>
      <protection locked="true" hidden="false"/>
    </xf>
    <xf numFmtId="173" fontId="9" fillId="8"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top" textRotation="0" wrapText="true" indent="0" shrinkToFit="false"/>
      <protection locked="true" hidden="false"/>
    </xf>
    <xf numFmtId="166" fontId="11" fillId="5" borderId="2" xfId="0" applyFont="true" applyBorder="true" applyAlignment="true" applyProtection="true">
      <alignment horizontal="center" vertical="bottom" textRotation="0" wrapText="false" indent="0" shrinkToFit="false"/>
      <protection locked="true" hidden="false"/>
    </xf>
    <xf numFmtId="166" fontId="9" fillId="0" borderId="0" xfId="0" applyFont="true" applyBorder="false" applyAlignment="true" applyProtection="true">
      <alignment horizontal="center" vertical="bottom" textRotation="0" wrapText="false" indent="0" shrinkToFit="false"/>
      <protection locked="true" hidden="false"/>
    </xf>
    <xf numFmtId="172" fontId="10" fillId="0"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center" vertical="bottom" textRotation="0" wrapText="false" indent="0" shrinkToFit="false"/>
      <protection locked="true" hidden="false"/>
    </xf>
    <xf numFmtId="173" fontId="11" fillId="5" borderId="2" xfId="0" applyFont="true" applyBorder="true" applyAlignment="true" applyProtection="true">
      <alignment horizontal="general" vertical="bottom" textRotation="0" wrapText="false" indent="0" shrinkToFit="false"/>
      <protection locked="true" hidden="false"/>
    </xf>
    <xf numFmtId="171" fontId="10" fillId="0" borderId="0" xfId="0" applyFont="true" applyBorder="false" applyAlignment="true" applyProtection="true">
      <alignment horizontal="general" vertical="bottom" textRotation="0" wrapText="false" indent="0" shrinkToFit="false"/>
      <protection locked="true" hidden="false"/>
    </xf>
    <xf numFmtId="171" fontId="9" fillId="0" borderId="0" xfId="0" applyFont="true" applyBorder="false" applyAlignment="true" applyProtection="true">
      <alignment horizontal="general" vertical="bottom" textRotation="0" wrapText="false" indent="0" shrinkToFit="false"/>
      <protection locked="true" hidden="false"/>
    </xf>
    <xf numFmtId="164" fontId="12" fillId="7" borderId="1" xfId="0" applyFont="true" applyBorder="true" applyAlignment="true" applyProtection="true">
      <alignment horizontal="general" vertical="bottom" textRotation="0" wrapText="false" indent="0" shrinkToFit="false"/>
      <protection locked="true" hidden="false"/>
    </xf>
    <xf numFmtId="167" fontId="12" fillId="7" borderId="1" xfId="0" applyFont="true" applyBorder="true" applyAlignment="true" applyProtection="true">
      <alignment horizontal="general" vertical="bottom" textRotation="0" wrapText="false" indent="0" shrinkToFit="false"/>
      <protection locked="true" hidden="false"/>
    </xf>
    <xf numFmtId="174" fontId="10" fillId="0" borderId="1" xfId="0" applyFont="true" applyBorder="true" applyAlignment="true" applyProtection="true">
      <alignment horizontal="general" vertical="bottom" textRotation="0" wrapText="false" indent="0" shrinkToFit="false"/>
      <protection locked="true" hidden="false"/>
    </xf>
    <xf numFmtId="166" fontId="11" fillId="5" borderId="1" xfId="0" applyFont="true" applyBorder="true" applyAlignment="true" applyProtection="true">
      <alignment horizontal="general" vertical="bottom" textRotation="0" wrapText="false" indent="0" shrinkToFit="false"/>
      <protection locked="true" hidden="false"/>
    </xf>
    <xf numFmtId="168" fontId="19" fillId="0" borderId="0" xfId="0" applyFont="true" applyBorder="false" applyAlignment="true" applyProtection="true">
      <alignment horizontal="general" vertical="bottom" textRotation="0" wrapText="false" indent="0" shrinkToFit="false"/>
      <protection locked="true" hidden="false"/>
    </xf>
    <xf numFmtId="167" fontId="19" fillId="0" borderId="0" xfId="0" applyFont="true" applyBorder="false" applyAlignment="true" applyProtection="true">
      <alignment horizontal="general" vertical="bottom" textRotation="0" wrapText="false" indent="0" shrinkToFit="false"/>
      <protection locked="true" hidden="false"/>
    </xf>
    <xf numFmtId="167" fontId="9" fillId="0" borderId="0" xfId="0" applyFont="true" applyBorder="false" applyAlignment="true" applyProtection="true">
      <alignment horizontal="general" vertical="bottom" textRotation="0" wrapText="false" indent="0" shrinkToFit="false"/>
      <protection locked="true" hidden="false"/>
    </xf>
    <xf numFmtId="169" fontId="10" fillId="0" borderId="0" xfId="0" applyFont="true" applyBorder="false" applyAlignment="true" applyProtection="true">
      <alignment horizontal="general" vertical="bottom" textRotation="0" wrapText="false" indent="0" shrinkToFit="false"/>
      <protection locked="true" hidden="false"/>
    </xf>
    <xf numFmtId="175" fontId="10" fillId="0" borderId="1" xfId="0" applyFont="true" applyBorder="true" applyAlignment="true" applyProtection="true">
      <alignment horizontal="general" vertical="bottom" textRotation="0" wrapText="false" indent="0" shrinkToFit="false"/>
      <protection locked="true" hidden="false"/>
    </xf>
    <xf numFmtId="164" fontId="10" fillId="0" borderId="1" xfId="0" applyFont="true" applyBorder="true" applyAlignment="true" applyProtection="true">
      <alignment horizontal="center" vertical="bottom" textRotation="0" wrapText="false" indent="0" shrinkToFit="false"/>
      <protection locked="true" hidden="false"/>
    </xf>
    <xf numFmtId="169" fontId="10" fillId="0" borderId="1" xfId="0" applyFont="true" applyBorder="true" applyAlignment="true" applyProtection="true">
      <alignment horizontal="general" vertical="bottom" textRotation="0" wrapText="false" indent="0" shrinkToFit="false"/>
      <protection locked="true" hidden="false"/>
    </xf>
    <xf numFmtId="166" fontId="20" fillId="0" borderId="1" xfId="0" applyFont="true" applyBorder="true" applyAlignment="true" applyProtection="true">
      <alignment horizontal="general" vertical="bottom" textRotation="0" wrapText="false" indent="0" shrinkToFit="false"/>
      <protection locked="true" hidden="false"/>
    </xf>
    <xf numFmtId="169" fontId="9" fillId="8" borderId="0" xfId="0" applyFont="true" applyBorder="false" applyAlignment="true" applyProtection="true">
      <alignment horizontal="general" vertical="bottom" textRotation="0" wrapText="false" indent="0" shrinkToFit="false"/>
      <protection locked="true" hidden="false"/>
    </xf>
    <xf numFmtId="166" fontId="17" fillId="0"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75" fontId="17" fillId="0" borderId="0" xfId="0" applyFont="true" applyBorder="false" applyAlignment="true" applyProtection="true">
      <alignment horizontal="general" vertical="bottom" textRotation="0" wrapText="false" indent="0" shrinkToFit="false"/>
      <protection locked="true" hidden="false"/>
    </xf>
    <xf numFmtId="167" fontId="17" fillId="0" borderId="0" xfId="0" applyFont="true" applyBorder="false" applyAlignment="true" applyProtection="true">
      <alignment horizontal="general" vertical="bottom" textRotation="0" wrapText="false" indent="0" shrinkToFit="false"/>
      <protection locked="true" hidden="false"/>
    </xf>
    <xf numFmtId="165" fontId="17" fillId="0" borderId="0" xfId="0" applyFont="true" applyBorder="false" applyAlignment="true" applyProtection="true">
      <alignment horizontal="general" vertical="bottom" textRotation="0" wrapText="false" indent="0" shrinkToFit="false"/>
      <protection locked="true" hidden="false"/>
    </xf>
    <xf numFmtId="169" fontId="17" fillId="0" borderId="0" xfId="0" applyFont="true" applyBorder="false" applyAlignment="true" applyProtection="true">
      <alignment horizontal="center" vertical="bottom" textRotation="0" wrapText="false" indent="0" shrinkToFit="false"/>
      <protection locked="true" hidden="false"/>
    </xf>
    <xf numFmtId="164" fontId="21" fillId="0" borderId="0" xfId="0" applyFont="true" applyBorder="false" applyAlignment="true" applyProtection="true">
      <alignment horizontal="general" vertical="bottom" textRotation="0" wrapText="false" indent="0" shrinkToFit="false"/>
      <protection locked="true" hidden="false"/>
    </xf>
    <xf numFmtId="167" fontId="19" fillId="0" borderId="1" xfId="0" applyFont="true" applyBorder="true" applyAlignment="true" applyProtection="true">
      <alignment horizontal="general" vertical="bottom" textRotation="0" wrapText="fals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70" fontId="10" fillId="0" borderId="1" xfId="0" applyFont="true" applyBorder="true" applyAlignment="true" applyProtection="true">
      <alignment horizontal="center" vertical="bottom" textRotation="0" wrapText="false" indent="0" shrinkToFit="false"/>
      <protection locked="true" hidden="false"/>
    </xf>
    <xf numFmtId="166" fontId="19" fillId="0" borderId="0" xfId="0" applyFont="true" applyBorder="false" applyAlignment="true" applyProtection="true">
      <alignment horizontal="general" vertical="bottom" textRotation="0" wrapText="false" indent="0" shrinkToFit="false"/>
      <protection locked="true" hidden="false"/>
    </xf>
    <xf numFmtId="164" fontId="22" fillId="8" borderId="0" xfId="0" applyFont="true" applyBorder="false" applyAlignment="true" applyProtection="true">
      <alignment horizontal="general" vertical="top" textRotation="0" wrapText="false" indent="0" shrinkToFit="false"/>
      <protection locked="true" hidden="false"/>
    </xf>
    <xf numFmtId="170" fontId="11" fillId="5" borderId="1" xfId="0" applyFont="true" applyBorder="true" applyAlignment="true" applyProtection="true">
      <alignment horizontal="general" vertical="bottom" textRotation="0" wrapText="false" indent="0" shrinkToFit="false"/>
      <protection locked="true" hidden="false"/>
    </xf>
    <xf numFmtId="167" fontId="9" fillId="0" borderId="1" xfId="0" applyFont="true" applyBorder="true" applyAlignment="true" applyProtection="true">
      <alignment horizontal="general" vertical="bottom" textRotation="0" wrapText="false" indent="0" shrinkToFit="false"/>
      <protection locked="true" hidden="false"/>
    </xf>
    <xf numFmtId="172" fontId="11" fillId="5" borderId="2" xfId="0" applyFont="true" applyBorder="true" applyAlignment="true" applyProtection="true">
      <alignment horizontal="general" vertical="bottom" textRotation="0" wrapText="false" indent="0" shrinkToFit="false"/>
      <protection locked="true" hidden="false"/>
    </xf>
    <xf numFmtId="172" fontId="9" fillId="8" borderId="0" xfId="0" applyFont="true" applyBorder="false" applyAlignment="true" applyProtection="true">
      <alignment horizontal="general" vertical="bottom" textRotation="0" wrapText="false" indent="0" shrinkToFit="false"/>
      <protection locked="true" hidden="false"/>
    </xf>
    <xf numFmtId="171" fontId="19" fillId="0" borderId="0" xfId="0" applyFont="true" applyBorder="false" applyAlignment="true" applyProtection="true">
      <alignment horizontal="general" vertical="bottom" textRotation="0" wrapText="false" indent="0" shrinkToFit="false"/>
      <protection locked="true" hidden="false"/>
    </xf>
    <xf numFmtId="164" fontId="10" fillId="0" borderId="1" xfId="0" applyFont="true" applyBorder="true" applyAlignment="true" applyProtection="true">
      <alignment horizontal="general" vertical="top" textRotation="0" wrapText="true" indent="0" shrinkToFit="false"/>
      <protection locked="true" hidden="false"/>
    </xf>
    <xf numFmtId="164" fontId="14" fillId="8" borderId="0" xfId="0" applyFont="true" applyBorder="false" applyAlignment="true" applyProtection="true">
      <alignment horizontal="general" vertical="top" textRotation="0" wrapText="false" indent="0" shrinkToFit="false"/>
      <protection locked="true" hidden="false"/>
    </xf>
    <xf numFmtId="166" fontId="10" fillId="0" borderId="0" xfId="0" applyFont="true" applyBorder="false" applyAlignment="true" applyProtection="true">
      <alignment horizontal="center" vertical="bottom" textRotation="0" wrapText="false" indent="0" shrinkToFit="false"/>
      <protection locked="true" hidden="false"/>
    </xf>
    <xf numFmtId="176" fontId="11" fillId="5" borderId="1" xfId="0" applyFont="true" applyBorder="true" applyAlignment="true" applyProtection="true">
      <alignment horizontal="center" vertical="bottom" textRotation="0" wrapText="false" indent="0" shrinkToFit="false"/>
      <protection locked="true" hidden="false"/>
    </xf>
    <xf numFmtId="168" fontId="9" fillId="8" borderId="0" xfId="0" applyFont="true" applyBorder="false" applyAlignment="true" applyProtection="true">
      <alignment horizontal="general" vertical="bottom" textRotation="0" wrapText="false" indent="0" shrinkToFit="false"/>
      <protection locked="true" hidden="false"/>
    </xf>
    <xf numFmtId="164" fontId="23" fillId="0" borderId="0" xfId="0" applyFont="true" applyBorder="false" applyAlignment="true" applyProtection="true">
      <alignment horizontal="general" vertical="bottom" textRotation="0" wrapText="false" indent="0" shrinkToFit="false"/>
      <protection locked="true" hidden="false"/>
    </xf>
    <xf numFmtId="168" fontId="10" fillId="0" borderId="1" xfId="0" applyFont="true" applyBorder="true" applyAlignment="true" applyProtection="true">
      <alignment horizontal="general" vertical="bottom" textRotation="0" wrapText="false" indent="0" shrinkToFit="false"/>
      <protection locked="true" hidden="false"/>
    </xf>
    <xf numFmtId="171" fontId="11" fillId="5" borderId="2" xfId="0" applyFont="true" applyBorder="true" applyAlignment="true" applyProtection="true">
      <alignment horizontal="general" vertical="bottom" textRotation="0" wrapText="false" indent="0" shrinkToFit="false"/>
      <protection locked="true" hidden="false"/>
    </xf>
    <xf numFmtId="165" fontId="10" fillId="0" borderId="0" xfId="0" applyFont="true" applyBorder="false" applyAlignment="true" applyProtection="true">
      <alignment horizontal="general" vertical="bottom" textRotation="0" wrapText="false" indent="0" shrinkToFit="false"/>
      <protection locked="true" hidden="false"/>
    </xf>
    <xf numFmtId="170" fontId="11" fillId="5" borderId="2" xfId="0" applyFont="true" applyBorder="true" applyAlignment="true" applyProtection="true">
      <alignment horizontal="general" vertical="bottom" textRotation="0" wrapText="false" indent="0" shrinkToFit="false"/>
      <protection locked="true" hidden="false"/>
    </xf>
    <xf numFmtId="177" fontId="10" fillId="0" borderId="0" xfId="0" applyFont="true" applyBorder="false" applyAlignment="true" applyProtection="true">
      <alignment horizontal="general" vertical="bottom" textRotation="0" wrapText="false" indent="0" shrinkToFit="false"/>
      <protection locked="true" hidden="false"/>
    </xf>
    <xf numFmtId="171" fontId="10" fillId="0" borderId="1" xfId="0" applyFont="true" applyBorder="true" applyAlignment="true" applyProtection="true">
      <alignment horizontal="general" vertical="bottom" textRotation="0" wrapText="false" indent="0" shrinkToFit="false"/>
      <protection locked="true" hidden="false"/>
    </xf>
    <xf numFmtId="175" fontId="11" fillId="5" borderId="2" xfId="0" applyFont="true" applyBorder="true" applyAlignment="true" applyProtection="true">
      <alignment horizontal="general" vertical="bottom" textRotation="0" wrapText="false" indent="0" shrinkToFit="false"/>
      <protection locked="true" hidden="false"/>
    </xf>
    <xf numFmtId="171" fontId="9" fillId="8" borderId="0" xfId="0" applyFont="true" applyBorder="false" applyAlignment="true" applyProtection="true">
      <alignment horizontal="general" vertical="bottom" textRotation="0" wrapText="false" indent="0" shrinkToFit="false"/>
      <protection locked="true" hidden="false"/>
    </xf>
    <xf numFmtId="164" fontId="8" fillId="2" borderId="0" xfId="0" applyFont="true" applyBorder="false" applyAlignment="true" applyProtection="true">
      <alignment horizontal="general" vertical="bottom" textRotation="0" wrapText="true" indent="0" shrinkToFit="false"/>
      <protection locked="true" hidden="false"/>
    </xf>
    <xf numFmtId="164" fontId="8" fillId="2" borderId="0" xfId="0" applyFont="true" applyBorder="fals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ont>
        <b val="1"/>
        <color rgb="FF2E7D32"/>
      </font>
      <fill>
        <patternFill>
          <bgColor rgb="FFD9EAD3"/>
        </patternFill>
      </fill>
    </dxf>
    <dxf>
      <font>
        <b val="1"/>
        <color rgb="FFB7791F"/>
      </font>
      <fill>
        <patternFill>
          <bgColor rgb="FFFCEBC5"/>
        </patternFill>
      </fill>
    </dxf>
    <dxf>
      <font>
        <b val="1"/>
        <color rgb="FFB3261E"/>
      </font>
      <fill>
        <patternFill>
          <bgColor rgb="FFF6D5D3"/>
        </patternFill>
      </fill>
    </dxf>
    <dxf>
      <font>
        <color rgb="FF2E7D32"/>
      </font>
      <fill>
        <patternFill>
          <bgColor rgb="FFD9EAD3"/>
        </patternFill>
      </fill>
    </dxf>
    <dxf>
      <font>
        <color rgb="FFB3261E"/>
      </font>
      <fill>
        <patternFill>
          <bgColor rgb="FFF6D5D3"/>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B7791F"/>
      <rgbColor rgb="FF800080"/>
      <rgbColor rgb="FF1D6A72"/>
      <rgbColor rgb="FFBBBBBB"/>
      <rgbColor rgb="FF808080"/>
      <rgbColor rgb="FF9999FF"/>
      <rgbColor rgb="FF993366"/>
      <rgbColor rgb="FFFFF8E6"/>
      <rgbColor rgb="FFE6EFEF"/>
      <rgbColor rgb="FF660066"/>
      <rgbColor rgb="FFFF8080"/>
      <rgbColor rgb="FF0066CC"/>
      <rgbColor rgb="FFC9D6D7"/>
      <rgbColor rgb="FF000080"/>
      <rgbColor rgb="FFFF00FF"/>
      <rgbColor rgb="FFFFFF00"/>
      <rgbColor rgb="FF00FFFF"/>
      <rgbColor rgb="FF800080"/>
      <rgbColor rgb="FF800000"/>
      <rgbColor rgb="FF008080"/>
      <rgbColor rgb="FF0000FF"/>
      <rgbColor rgb="FF00CCFF"/>
      <rgbColor rgb="FFF4F8F8"/>
      <rgbColor rgb="FFD9EAD3"/>
      <rgbColor rgb="FFFDE9B8"/>
      <rgbColor rgb="FFFCEBC5"/>
      <rgbColor rgb="FFF6D5D3"/>
      <rgbColor rgb="FFCC99FF"/>
      <rgbColor rgb="FFE3D3A8"/>
      <rgbColor rgb="FF3366FF"/>
      <rgbColor rgb="FF33CCCC"/>
      <rgbColor rgb="FF99CC00"/>
      <rgbColor rgb="FFFFCC00"/>
      <rgbColor rgb="FFC8A04A"/>
      <rgbColor rgb="FFFF6600"/>
      <rgbColor rgb="FF5F6B6D"/>
      <rgbColor rgb="FF9AA5A7"/>
      <rgbColor rgb="FF0E3B43"/>
      <rgbColor rgb="FF2E7D32"/>
      <rgbColor rgb="FF003300"/>
      <rgbColor rgb="FF333300"/>
      <rgbColor rgb="FFB3261E"/>
      <rgbColor rgb="FF993366"/>
      <rgbColor rgb="FF1F4E9E"/>
      <rgbColor rgb="FF1E2A2C"/>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E3B43"/>
    <pageSetUpPr fitToPage="true"/>
  </sheetPr>
  <dimension ref="B1:G48"/>
  <sheetViews>
    <sheetView showFormulas="false" showGridLines="false" showRowColHeaders="true" showZeros="true" rightToLeft="false" tabSelected="tru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6"/>
    <col collapsed="false" customWidth="true" hidden="false" outlineLevel="0" max="3" min="3" style="1" width="30"/>
    <col collapsed="false" customWidth="true" hidden="false" outlineLevel="0" max="4" min="4" style="1" width="70"/>
    <col collapsed="false" customWidth="true" hidden="false" outlineLevel="0" max="5" min="5" style="1" width="16"/>
    <col collapsed="false" customWidth="true" hidden="false" outlineLevel="0" max="6" min="6" style="1" width="14"/>
    <col collapsed="false" customWidth="true" hidden="false" outlineLevel="0" max="7" min="7" style="1" width="18"/>
  </cols>
  <sheetData>
    <row r="1" customFormat="false" ht="15" hidden="false" customHeight="false" outlineLevel="0" collapsed="false">
      <c r="B1" s="2"/>
      <c r="C1" s="2"/>
      <c r="D1" s="2"/>
      <c r="E1" s="2"/>
      <c r="F1" s="2"/>
      <c r="G1" s="2"/>
    </row>
    <row r="2" customFormat="false" ht="33.75" hidden="false" customHeight="true" outlineLevel="0" collapsed="false">
      <c r="B2" s="2"/>
      <c r="C2" s="3" t="s">
        <v>0</v>
      </c>
      <c r="D2" s="2"/>
      <c r="E2" s="2"/>
      <c r="F2" s="2"/>
      <c r="G2" s="2"/>
    </row>
    <row r="3" customFormat="false" ht="15" hidden="false" customHeight="false" outlineLevel="0" collapsed="false">
      <c r="B3" s="2"/>
      <c r="C3" s="4" t="str">
        <f aca="false">IF(Supuestos!$C$6="","Tu marca aquí (Supuestos)",Supuestos!$C$6)</f>
        <v>Tu marca aquí (Supuestos)</v>
      </c>
      <c r="D3" s="2"/>
      <c r="E3" s="2"/>
      <c r="F3" s="2"/>
      <c r="G3" s="2"/>
    </row>
    <row r="4" customFormat="false" ht="15" hidden="false" customHeight="false" outlineLevel="0" collapsed="false">
      <c r="B4" s="2"/>
      <c r="C4" s="2"/>
      <c r="D4" s="2"/>
      <c r="E4" s="2"/>
      <c r="F4" s="2"/>
      <c r="G4" s="2"/>
    </row>
    <row r="5" customFormat="false" ht="4.5" hidden="false" customHeight="true" outlineLevel="0" collapsed="false">
      <c r="B5" s="5"/>
      <c r="C5" s="5"/>
      <c r="D5" s="5"/>
      <c r="E5" s="5"/>
      <c r="F5" s="5"/>
      <c r="G5" s="5"/>
    </row>
    <row r="7" customFormat="false" ht="15" hidden="false" customHeight="false" outlineLevel="0" collapsed="false">
      <c r="C7" s="6" t="s">
        <v>1</v>
      </c>
      <c r="D7" s="7" t="str">
        <f aca="false">IF(Supuestos!$C$7="","",Supuestos!$C$7)</f>
        <v/>
      </c>
    </row>
    <row r="8" customFormat="false" ht="15" hidden="false" customHeight="false" outlineLevel="0" collapsed="false">
      <c r="C8" s="6" t="s">
        <v>2</v>
      </c>
      <c r="D8" s="8" t="n">
        <f aca="false">Supuestos!$C$12</f>
        <v>46290</v>
      </c>
    </row>
    <row r="10" customFormat="false" ht="15" hidden="false" customHeight="false" outlineLevel="0" collapsed="false">
      <c r="B10" s="9" t="s">
        <v>3</v>
      </c>
      <c r="C10" s="10"/>
      <c r="D10" s="10"/>
      <c r="E10" s="10"/>
      <c r="F10" s="10"/>
      <c r="G10" s="10"/>
    </row>
    <row r="11" customFormat="false" ht="30" hidden="false" customHeight="true" outlineLevel="0" collapsed="false">
      <c r="B11" s="11" t="s">
        <v>4</v>
      </c>
      <c r="C11" s="12" t="s">
        <v>5</v>
      </c>
      <c r="D11" s="12" t="s">
        <v>6</v>
      </c>
    </row>
    <row r="12" customFormat="false" ht="15" hidden="false" customHeight="false" outlineLevel="0" collapsed="false">
      <c r="B12" s="13" t="n">
        <v>1</v>
      </c>
      <c r="C12" s="14" t="s">
        <v>7</v>
      </c>
      <c r="D12" s="15" t="s">
        <v>8</v>
      </c>
    </row>
    <row r="13" customFormat="false" ht="15" hidden="false" customHeight="false" outlineLevel="0" collapsed="false">
      <c r="B13" s="13" t="n">
        <v>2</v>
      </c>
      <c r="C13" s="14" t="s">
        <v>9</v>
      </c>
      <c r="D13" s="15" t="s">
        <v>10</v>
      </c>
    </row>
    <row r="14" customFormat="false" ht="15" hidden="false" customHeight="false" outlineLevel="0" collapsed="false">
      <c r="B14" s="13" t="n">
        <v>3</v>
      </c>
      <c r="C14" s="14" t="s">
        <v>11</v>
      </c>
      <c r="D14" s="15" t="s">
        <v>12</v>
      </c>
    </row>
    <row r="15" customFormat="false" ht="15" hidden="false" customHeight="false" outlineLevel="0" collapsed="false">
      <c r="B15" s="13" t="n">
        <v>4</v>
      </c>
      <c r="C15" s="14" t="s">
        <v>13</v>
      </c>
      <c r="D15" s="15" t="s">
        <v>14</v>
      </c>
    </row>
    <row r="16" customFormat="false" ht="15" hidden="false" customHeight="false" outlineLevel="0" collapsed="false">
      <c r="B16" s="13" t="n">
        <v>5</v>
      </c>
      <c r="C16" s="14" t="s">
        <v>15</v>
      </c>
      <c r="D16" s="15" t="s">
        <v>16</v>
      </c>
    </row>
    <row r="17" customFormat="false" ht="15" hidden="false" customHeight="false" outlineLevel="0" collapsed="false">
      <c r="B17" s="13" t="n">
        <v>6</v>
      </c>
      <c r="C17" s="14" t="s">
        <v>17</v>
      </c>
      <c r="D17" s="15" t="s">
        <v>18</v>
      </c>
    </row>
    <row r="18" customFormat="false" ht="15" hidden="false" customHeight="false" outlineLevel="0" collapsed="false">
      <c r="B18" s="13" t="n">
        <v>7</v>
      </c>
      <c r="C18" s="14" t="s">
        <v>19</v>
      </c>
      <c r="D18" s="15" t="s">
        <v>20</v>
      </c>
    </row>
    <row r="19" customFormat="false" ht="15" hidden="false" customHeight="false" outlineLevel="0" collapsed="false">
      <c r="B19" s="13" t="n">
        <v>8</v>
      </c>
      <c r="C19" s="14" t="s">
        <v>21</v>
      </c>
      <c r="D19" s="15" t="s">
        <v>22</v>
      </c>
    </row>
    <row r="20" customFormat="false" ht="15" hidden="false" customHeight="false" outlineLevel="0" collapsed="false">
      <c r="B20" s="13" t="n">
        <v>9</v>
      </c>
      <c r="C20" s="14" t="s">
        <v>23</v>
      </c>
      <c r="D20" s="15" t="s">
        <v>24</v>
      </c>
    </row>
    <row r="21" customFormat="false" ht="15" hidden="false" customHeight="false" outlineLevel="0" collapsed="false">
      <c r="B21" s="13" t="n">
        <v>10</v>
      </c>
      <c r="C21" s="14" t="s">
        <v>25</v>
      </c>
      <c r="D21" s="15" t="s">
        <v>26</v>
      </c>
    </row>
    <row r="22" customFormat="false" ht="15" hidden="false" customHeight="false" outlineLevel="0" collapsed="false">
      <c r="B22" s="13" t="n">
        <v>11</v>
      </c>
      <c r="C22" s="14" t="s">
        <v>27</v>
      </c>
      <c r="D22" s="15" t="s">
        <v>28</v>
      </c>
    </row>
    <row r="23" customFormat="false" ht="15" hidden="false" customHeight="false" outlineLevel="0" collapsed="false">
      <c r="B23" s="13" t="n">
        <v>12</v>
      </c>
      <c r="C23" s="14" t="s">
        <v>29</v>
      </c>
      <c r="D23" s="15" t="s">
        <v>30</v>
      </c>
    </row>
    <row r="25" customFormat="false" ht="15" hidden="false" customHeight="false" outlineLevel="0" collapsed="false">
      <c r="B25" s="9" t="s">
        <v>31</v>
      </c>
      <c r="C25" s="10"/>
      <c r="D25" s="10"/>
      <c r="E25" s="10"/>
      <c r="F25" s="10"/>
      <c r="G25" s="10"/>
    </row>
    <row r="26" customFormat="false" ht="15" hidden="false" customHeight="false" outlineLevel="0" collapsed="false">
      <c r="C26" s="16" t="s">
        <v>32</v>
      </c>
      <c r="D26" s="17" t="s">
        <v>33</v>
      </c>
    </row>
    <row r="27" customFormat="false" ht="15" hidden="false" customHeight="false" outlineLevel="0" collapsed="false">
      <c r="C27" s="18" t="s">
        <v>34</v>
      </c>
      <c r="D27" s="17" t="s">
        <v>35</v>
      </c>
    </row>
    <row r="28" customFormat="false" ht="15" hidden="false" customHeight="false" outlineLevel="0" collapsed="false">
      <c r="C28" s="17" t="s">
        <v>36</v>
      </c>
      <c r="D28" s="17" t="s">
        <v>37</v>
      </c>
    </row>
    <row r="29" customFormat="false" ht="15" hidden="false" customHeight="false" outlineLevel="0" collapsed="false">
      <c r="C29" s="19" t="s">
        <v>38</v>
      </c>
      <c r="D29" s="17" t="s">
        <v>39</v>
      </c>
    </row>
    <row r="30" customFormat="false" ht="15" hidden="false" customHeight="false" outlineLevel="0" collapsed="false">
      <c r="C30" s="20" t="s">
        <v>40</v>
      </c>
      <c r="D30" s="17" t="s">
        <v>41</v>
      </c>
    </row>
    <row r="32" customFormat="false" ht="15" hidden="false" customHeight="false" outlineLevel="0" collapsed="false">
      <c r="B32" s="9" t="s">
        <v>42</v>
      </c>
      <c r="C32" s="10"/>
      <c r="D32" s="10"/>
      <c r="E32" s="10"/>
      <c r="F32" s="10"/>
      <c r="G32" s="10"/>
    </row>
    <row r="33" customFormat="false" ht="15" hidden="false" customHeight="false" outlineLevel="0" collapsed="false">
      <c r="C33" s="9" t="s">
        <v>43</v>
      </c>
      <c r="D33" s="9" t="s">
        <v>44</v>
      </c>
      <c r="E33" s="9" t="s">
        <v>45</v>
      </c>
      <c r="F33" s="9" t="s">
        <v>46</v>
      </c>
      <c r="G33" s="9" t="s">
        <v>47</v>
      </c>
    </row>
    <row r="34" customFormat="false" ht="15" hidden="false" customHeight="false" outlineLevel="0" collapsed="false">
      <c r="C34" s="21" t="s">
        <v>48</v>
      </c>
      <c r="D34" s="21" t="s">
        <v>49</v>
      </c>
      <c r="E34" s="22" t="n">
        <v>130000</v>
      </c>
      <c r="F34" s="21" t="s">
        <v>50</v>
      </c>
      <c r="G34" s="21" t="s">
        <v>51</v>
      </c>
    </row>
    <row r="35" customFormat="false" ht="15" hidden="false" customHeight="false" outlineLevel="0" collapsed="false">
      <c r="C35" s="23" t="s">
        <v>52</v>
      </c>
    </row>
    <row r="37" customFormat="false" ht="15" hidden="false" customHeight="false" outlineLevel="0" collapsed="false">
      <c r="B37" s="9" t="s">
        <v>53</v>
      </c>
      <c r="C37" s="10"/>
      <c r="D37" s="10"/>
      <c r="E37" s="10"/>
      <c r="F37" s="10"/>
      <c r="G37" s="10"/>
    </row>
    <row r="38" customFormat="false" ht="15" hidden="false" customHeight="false" outlineLevel="0" collapsed="false">
      <c r="C38" s="17" t="s">
        <v>54</v>
      </c>
    </row>
    <row r="39" customFormat="false" ht="15" hidden="false" customHeight="false" outlineLevel="0" collapsed="false">
      <c r="C39" s="17" t="s">
        <v>55</v>
      </c>
    </row>
    <row r="40" customFormat="false" ht="15" hidden="false" customHeight="false" outlineLevel="0" collapsed="false">
      <c r="C40" s="17" t="s">
        <v>56</v>
      </c>
    </row>
    <row r="41" customFormat="false" ht="15" hidden="false" customHeight="false" outlineLevel="0" collapsed="false">
      <c r="C41" s="17" t="s">
        <v>57</v>
      </c>
    </row>
    <row r="43" customFormat="false" ht="15" hidden="false" customHeight="false" outlineLevel="0" collapsed="false">
      <c r="B43" s="9" t="s">
        <v>58</v>
      </c>
      <c r="C43" s="10"/>
      <c r="D43" s="10"/>
      <c r="E43" s="10"/>
      <c r="F43" s="10"/>
      <c r="G43" s="10"/>
    </row>
    <row r="44" customFormat="false" ht="15" hidden="false" customHeight="false" outlineLevel="0" collapsed="false">
      <c r="B44" s="2"/>
      <c r="C44" s="24" t="s">
        <v>59</v>
      </c>
      <c r="D44" s="17" t="s">
        <v>60</v>
      </c>
    </row>
    <row r="45" customFormat="false" ht="15" hidden="false" customHeight="false" outlineLevel="0" collapsed="false">
      <c r="B45" s="10"/>
      <c r="C45" s="24" t="s">
        <v>61</v>
      </c>
      <c r="D45" s="17" t="s">
        <v>62</v>
      </c>
    </row>
    <row r="46" customFormat="false" ht="15" hidden="false" customHeight="false" outlineLevel="0" collapsed="false">
      <c r="B46" s="5"/>
      <c r="C46" s="24" t="s">
        <v>63</v>
      </c>
      <c r="D46" s="17" t="s">
        <v>64</v>
      </c>
    </row>
    <row r="47" customFormat="false" ht="15" hidden="false" customHeight="false" outlineLevel="0" collapsed="false">
      <c r="B47" s="25"/>
      <c r="C47" s="24" t="s">
        <v>65</v>
      </c>
      <c r="D47" s="17" t="s">
        <v>66</v>
      </c>
    </row>
    <row r="48" customFormat="false" ht="15" hidden="false" customHeight="false" outlineLevel="0" collapsed="false">
      <c r="B48" s="26"/>
      <c r="C48" s="24" t="s">
        <v>67</v>
      </c>
      <c r="D48" s="17" t="s">
        <v>68</v>
      </c>
    </row>
  </sheetData>
  <printOptions headings="false" gridLines="false" gridLinesSet="true" horizontalCentered="false" verticalCentered="false"/>
  <pageMargins left="0.4" right="0.4"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E3B43"/>
    <pageSetUpPr fitToPage="true"/>
  </sheetPr>
  <dimension ref="B1:E60"/>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10" topLeftCell="A11"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46"/>
    <col collapsed="false" customWidth="true" hidden="false" outlineLevel="0" max="3" min="3" style="1" width="20"/>
    <col collapsed="false" customWidth="true" hidden="false" outlineLevel="0" max="4" min="4" style="1" width="12"/>
    <col collapsed="false" customWidth="true" hidden="false" outlineLevel="0" max="5" min="5" style="1" width="60"/>
  </cols>
  <sheetData>
    <row r="1" customFormat="false" ht="24" hidden="false" customHeight="true" outlineLevel="0" collapsed="false">
      <c r="B1" s="27" t="s">
        <v>69</v>
      </c>
    </row>
    <row r="2" customFormat="false" ht="15" hidden="false" customHeight="false" outlineLevel="0" collapsed="false">
      <c r="B2" s="28" t="s">
        <v>70</v>
      </c>
      <c r="C2" s="29"/>
      <c r="D2" s="29"/>
      <c r="E2" s="29"/>
    </row>
    <row r="4" customFormat="false" ht="15" hidden="false" customHeight="false" outlineLevel="0" collapsed="false">
      <c r="B4" s="6" t="s">
        <v>1</v>
      </c>
      <c r="C4" s="30" t="str">
        <f aca="false">IF(Supuestos!$C$7="","",Supuestos!$C$7)</f>
        <v/>
      </c>
    </row>
    <row r="5" customFormat="false" ht="15" hidden="false" customHeight="false" outlineLevel="0" collapsed="false">
      <c r="B5" s="6" t="s">
        <v>71</v>
      </c>
      <c r="C5" s="31" t="str">
        <f aca="false">Supuestos!$C$13</f>
        <v/>
      </c>
    </row>
    <row r="6" customFormat="false" ht="15" hidden="false" customHeight="false" outlineLevel="0" collapsed="false">
      <c r="B6" s="6" t="s">
        <v>72</v>
      </c>
      <c r="C6" s="30" t="str">
        <f aca="false">IF(Supuestos!$C$10="","",Supuestos!$C$10)</f>
        <v/>
      </c>
    </row>
    <row r="7" customFormat="false" ht="15" hidden="false" customHeight="false" outlineLevel="0" collapsed="false">
      <c r="B7" s="6" t="s">
        <v>2</v>
      </c>
      <c r="C7" s="8" t="n">
        <f aca="false">Supuestos!$C$12</f>
        <v>46290</v>
      </c>
    </row>
    <row r="8" customFormat="false" ht="15" hidden="false" customHeight="false" outlineLevel="0" collapsed="false">
      <c r="B8" s="6" t="s">
        <v>73</v>
      </c>
      <c r="C8" s="30" t="str">
        <f aca="false">IF(Supuestos!$C$6="","",Supuestos!$C$6)</f>
        <v/>
      </c>
    </row>
    <row r="10" customFormat="false" ht="30" hidden="false" customHeight="true" outlineLevel="0" collapsed="false">
      <c r="B10" s="11" t="s">
        <v>74</v>
      </c>
      <c r="C10" s="12" t="s">
        <v>75</v>
      </c>
      <c r="D10" s="12" t="s">
        <v>76</v>
      </c>
      <c r="E10" s="12" t="s">
        <v>77</v>
      </c>
    </row>
    <row r="11" customFormat="false" ht="15" hidden="false" customHeight="false" outlineLevel="0" collapsed="false">
      <c r="B11" s="15" t="s">
        <v>78</v>
      </c>
      <c r="C11" s="32" t="n">
        <f aca="false">Ingresos!$T$14</f>
        <v>0</v>
      </c>
      <c r="D11" s="33" t="str">
        <f aca="false">""</f>
        <v/>
      </c>
      <c r="E11" s="34" t="s">
        <v>79</v>
      </c>
    </row>
    <row r="12" customFormat="false" ht="15" hidden="false" customHeight="false" outlineLevel="0" collapsed="false">
      <c r="B12" s="15" t="s">
        <v>80</v>
      </c>
      <c r="C12" s="32" t="n">
        <f aca="false">Presupuesto!$H$89</f>
        <v>0</v>
      </c>
      <c r="D12" s="33" t="str">
        <f aca="false">""</f>
        <v/>
      </c>
      <c r="E12" s="34" t="s">
        <v>81</v>
      </c>
    </row>
    <row r="13" customFormat="false" ht="15" hidden="false" customHeight="false" outlineLevel="0" collapsed="false">
      <c r="B13" s="15" t="s">
        <v>82</v>
      </c>
      <c r="C13" s="32" t="n">
        <f aca="false">Presupuesto!$H$94</f>
        <v>0</v>
      </c>
      <c r="D13" s="33" t="str">
        <f aca="false">""</f>
        <v/>
      </c>
      <c r="E13" s="34" t="s">
        <v>83</v>
      </c>
    </row>
    <row r="14" customFormat="false" ht="15" hidden="false" customHeight="false" outlineLevel="0" collapsed="false">
      <c r="B14" s="15" t="s">
        <v>84</v>
      </c>
      <c r="C14" s="32" t="n">
        <f aca="false">'Flujo anual'!$Q$22</f>
        <v>0</v>
      </c>
      <c r="D14" s="33" t="str">
        <f aca="false">IF(C14&lt;0,"Alerta","Bien")</f>
        <v>Bien</v>
      </c>
      <c r="E14" s="34" t="s">
        <v>85</v>
      </c>
    </row>
    <row r="15" customFormat="false" ht="15" hidden="false" customHeight="false" outlineLevel="0" collapsed="false">
      <c r="B15" s="15" t="s">
        <v>86</v>
      </c>
      <c r="C15" s="35" t="str">
        <f aca="false">IF(C11=0,"",(C13+C14)/C11)</f>
        <v/>
      </c>
      <c r="D15" s="33" t="str">
        <f aca="false">IF(C15="","",IF(C15&gt;=0.2,"Bien",IF(C15&gt;=0.1,"Atención","Alerta")))</f>
        <v/>
      </c>
      <c r="E15" s="34" t="s">
        <v>87</v>
      </c>
    </row>
    <row r="16" customFormat="false" ht="15" hidden="false" customHeight="false" outlineLevel="0" collapsed="false">
      <c r="B16" s="15" t="s">
        <v>88</v>
      </c>
      <c r="C16" s="35" t="str">
        <f aca="false">Deudas!$C$24</f>
        <v/>
      </c>
      <c r="D16" s="33" t="str">
        <f aca="false">IF(C16="","",IF(C16&lt;0.3,"Bien",IF(C16&lt;0.4,"Atención","Alerta")))</f>
        <v/>
      </c>
      <c r="E16" s="34" t="s">
        <v>89</v>
      </c>
    </row>
    <row r="17" customFormat="false" ht="15" hidden="false" customHeight="false" outlineLevel="0" collapsed="false">
      <c r="B17" s="15" t="s">
        <v>90</v>
      </c>
      <c r="C17" s="32" t="n">
        <f aca="false">Deudas!$D$21</f>
        <v>0</v>
      </c>
      <c r="D17" s="33" t="str">
        <f aca="false">""</f>
        <v/>
      </c>
      <c r="E17" s="34"/>
    </row>
    <row r="18" customFormat="false" ht="15" hidden="false" customHeight="false" outlineLevel="0" collapsed="false">
      <c r="B18" s="15" t="s">
        <v>91</v>
      </c>
      <c r="C18" s="36" t="str">
        <f aca="false">Deudas!$C$23</f>
        <v>No</v>
      </c>
      <c r="D18" s="33" t="str">
        <f aca="false">IF(C18="Sí","Alerta","Bien")</f>
        <v>Bien</v>
      </c>
      <c r="E18" s="34" t="s">
        <v>92</v>
      </c>
    </row>
    <row r="19" customFormat="false" ht="15" hidden="false" customHeight="false" outlineLevel="0" collapsed="false">
      <c r="B19" s="15" t="s">
        <v>93</v>
      </c>
      <c r="C19" s="37" t="str">
        <f aca="false">Deudas!$C$25</f>
        <v/>
      </c>
      <c r="D19" s="33" t="str">
        <f aca="false">""</f>
        <v/>
      </c>
      <c r="E19" s="34" t="s">
        <v>94</v>
      </c>
    </row>
    <row r="20" customFormat="false" ht="15" hidden="false" customHeight="false" outlineLevel="0" collapsed="false">
      <c r="B20" s="15" t="s">
        <v>95</v>
      </c>
      <c r="C20" s="38" t="str">
        <f aca="false">IF(Presupuesto!$I$95=0,"",Patrimonio!$C$33/Presupuesto!$I$95)</f>
        <v/>
      </c>
      <c r="D20" s="33" t="str">
        <f aca="false">IF(C20="","",IF(C20&gt;=3,"Bien",IF(C20&gt;=1,"Atención","Alerta")))</f>
        <v/>
      </c>
      <c r="E20" s="34"/>
    </row>
    <row r="21" customFormat="false" ht="15" hidden="false" customHeight="false" outlineLevel="0" collapsed="false">
      <c r="B21" s="15" t="s">
        <v>96</v>
      </c>
      <c r="C21" s="32" t="n">
        <f aca="false">'Fondo emergencia'!$C$21</f>
        <v>0</v>
      </c>
      <c r="D21" s="33" t="str">
        <f aca="false">""</f>
        <v/>
      </c>
      <c r="E21" s="34"/>
    </row>
    <row r="22" customFormat="false" ht="15" hidden="false" customHeight="false" outlineLevel="0" collapsed="false">
      <c r="B22" s="15" t="s">
        <v>97</v>
      </c>
      <c r="C22" s="35" t="n">
        <f aca="false">'Fondo emergencia'!$C$25</f>
        <v>1</v>
      </c>
      <c r="D22" s="33" t="str">
        <f aca="false">IF(C22&gt;=0.999,"Bien",IF(C22&gt;=0.5,"Atención","Alerta"))</f>
        <v>Bien</v>
      </c>
      <c r="E22" s="34"/>
    </row>
    <row r="23" customFormat="false" ht="15" hidden="false" customHeight="false" outlineLevel="0" collapsed="false">
      <c r="B23" s="15" t="s">
        <v>98</v>
      </c>
      <c r="C23" s="32" t="n">
        <f aca="false">'Flujo anual'!$T$20</f>
        <v>-0</v>
      </c>
      <c r="D23" s="33" t="str">
        <f aca="false">""</f>
        <v/>
      </c>
      <c r="E23" s="34" t="s">
        <v>99</v>
      </c>
    </row>
    <row r="24" customFormat="false" ht="15" hidden="false" customHeight="false" outlineLevel="0" collapsed="false">
      <c r="B24" s="15" t="s">
        <v>100</v>
      </c>
      <c r="C24" s="32" t="n">
        <f aca="false">'Flujo anual'!$T$23</f>
        <v>0</v>
      </c>
      <c r="D24" s="33" t="str">
        <f aca="false">""</f>
        <v/>
      </c>
      <c r="E24" s="34" t="s">
        <v>101</v>
      </c>
    </row>
    <row r="25" customFormat="false" ht="15" hidden="false" customHeight="false" outlineLevel="0" collapsed="false">
      <c r="B25" s="15" t="s">
        <v>102</v>
      </c>
      <c r="C25" s="32" t="n">
        <f aca="false">'Flujo anual'!$Q$33</f>
        <v>0</v>
      </c>
      <c r="D25" s="33" t="str">
        <f aca="false">""</f>
        <v/>
      </c>
      <c r="E25" s="34" t="s">
        <v>103</v>
      </c>
    </row>
    <row r="26" customFormat="false" ht="15" hidden="false" customHeight="false" outlineLevel="0" collapsed="false">
      <c r="B26" s="15" t="s">
        <v>104</v>
      </c>
      <c r="C26" s="32" t="n">
        <f aca="false">Bolsillos!$C$27</f>
        <v>0</v>
      </c>
      <c r="D26" s="33" t="str">
        <f aca="false">""</f>
        <v/>
      </c>
      <c r="E26" s="34" t="s">
        <v>105</v>
      </c>
    </row>
    <row r="27" customFormat="false" ht="15" hidden="false" customHeight="false" outlineLevel="0" collapsed="false">
      <c r="B27" s="15" t="s">
        <v>106</v>
      </c>
      <c r="C27" s="36" t="str">
        <f aca="false">Inversión!$E$32</f>
        <v>Falta responder</v>
      </c>
      <c r="D27" s="33" t="str">
        <f aca="false">""</f>
        <v/>
      </c>
      <c r="E27" s="34" t="s">
        <v>107</v>
      </c>
    </row>
    <row r="28" customFormat="false" ht="15" hidden="false" customHeight="false" outlineLevel="0" collapsed="false">
      <c r="B28" s="15" t="s">
        <v>108</v>
      </c>
      <c r="C28" s="35" t="n">
        <f aca="false">Inversión!$C$45</f>
        <v>0</v>
      </c>
      <c r="D28" s="33" t="str">
        <f aca="false">""</f>
        <v/>
      </c>
      <c r="E28" s="34" t="s">
        <v>109</v>
      </c>
    </row>
    <row r="29" customFormat="false" ht="15" hidden="false" customHeight="false" outlineLevel="0" collapsed="false">
      <c r="B29" s="15" t="s">
        <v>110</v>
      </c>
      <c r="C29" s="39" t="str">
        <f aca="false">Pensión!$C$20</f>
        <v/>
      </c>
      <c r="D29" s="33" t="str">
        <f aca="false">""</f>
        <v/>
      </c>
      <c r="E29" s="40" t="str">
        <f aca="false">IF(Pensión!$C$22="","","Requeridas: "&amp;ROUND(Pensión!$C$22,0))</f>
        <v/>
      </c>
    </row>
    <row r="30" customFormat="false" ht="15" hidden="false" customHeight="false" outlineLevel="0" collapsed="false">
      <c r="B30" s="15" t="s">
        <v>111</v>
      </c>
      <c r="C30" s="36" t="str">
        <f aca="false">Pensión!$C$24</f>
        <v/>
      </c>
      <c r="D30" s="33" t="str">
        <f aca="false">IF(C30="Sí","Bien",IF(C30="No","Alerta",""))</f>
        <v/>
      </c>
      <c r="E30" s="34"/>
    </row>
    <row r="31" customFormat="false" ht="15" hidden="false" customHeight="false" outlineLevel="0" collapsed="false">
      <c r="B31" s="15" t="s">
        <v>112</v>
      </c>
      <c r="C31" s="32" t="str">
        <f aca="false">IF(OR(Pensión!$C$6="",Pensión!$C$13=""),"",Pensión!$D$63)</f>
        <v/>
      </c>
      <c r="D31" s="33" t="str">
        <f aca="false">""</f>
        <v/>
      </c>
      <c r="E31" s="34" t="s">
        <v>113</v>
      </c>
    </row>
    <row r="32" customFormat="false" ht="15" hidden="false" customHeight="false" outlineLevel="0" collapsed="false">
      <c r="B32" s="15" t="s">
        <v>114</v>
      </c>
      <c r="C32" s="36" t="str">
        <f aca="false">Pensión!$C$78</f>
        <v/>
      </c>
      <c r="D32" s="33" t="str">
        <f aca="false">IF(C32="Sí","Alerta",IF(C32="No","Bien",""))</f>
        <v/>
      </c>
      <c r="E32" s="34" t="s">
        <v>115</v>
      </c>
    </row>
    <row r="33" customFormat="false" ht="15" hidden="false" customHeight="false" outlineLevel="0" collapsed="false">
      <c r="B33" s="15" t="s">
        <v>116</v>
      </c>
      <c r="C33" s="32" t="n">
        <f aca="false">Patrimonio!$F$30</f>
        <v>0</v>
      </c>
      <c r="D33" s="33" t="str">
        <f aca="false">""</f>
        <v/>
      </c>
      <c r="E33" s="34"/>
    </row>
    <row r="34" customFormat="false" ht="15" hidden="false" customHeight="false" outlineLevel="0" collapsed="false">
      <c r="B34" s="15" t="s">
        <v>117</v>
      </c>
      <c r="C34" s="35" t="n">
        <f aca="false">Patrimonio!$C$39</f>
        <v>0</v>
      </c>
      <c r="D34" s="33" t="str">
        <f aca="false">IF(C34&lt;=0.8,"Bien","Atención")</f>
        <v>Bien</v>
      </c>
      <c r="E34" s="34" t="s">
        <v>118</v>
      </c>
    </row>
    <row r="35" customFormat="false" ht="15" hidden="false" customHeight="false" outlineLevel="0" collapsed="false">
      <c r="B35" s="15" t="s">
        <v>119</v>
      </c>
      <c r="C35" s="36" t="str">
        <f aca="false">Supuestos!$C$41</f>
        <v>Pendiente</v>
      </c>
      <c r="D35" s="33" t="str">
        <f aca="false">IF(C35="Confirmada","Bien",IF(C35="Pendiente","Atención","Alerta"))</f>
        <v>Atención</v>
      </c>
      <c r="E35" s="34" t="s">
        <v>120</v>
      </c>
    </row>
    <row r="37" customFormat="false" ht="15" hidden="false" customHeight="false" outlineLevel="0" collapsed="false">
      <c r="B37" s="9" t="s">
        <v>121</v>
      </c>
      <c r="C37" s="10"/>
      <c r="D37" s="10"/>
      <c r="E37" s="10"/>
    </row>
    <row r="38" customFormat="false" ht="15" hidden="false" customHeight="false" outlineLevel="0" collapsed="false">
      <c r="B38" s="41" t="str">
        <f aca="false">IF(Supuestos!$C$8="","Falta la fecha de nacimiento (Supuestos).","")</f>
        <v>Falta la fecha de nacimiento (Supuestos).</v>
      </c>
    </row>
    <row r="39" customFormat="false" ht="15" hidden="false" customHeight="false" outlineLevel="0" collapsed="false">
      <c r="B39" s="41" t="str">
        <f aca="false">IF(Supuestos!$C$17="","Falta la tasa de cambio (Supuestos).","")</f>
        <v>Falta la tasa de cambio (Supuestos).</v>
      </c>
    </row>
    <row r="40" customFormat="false" ht="15" hidden="false" customHeight="false" outlineLevel="0" collapsed="false">
      <c r="B40" s="41" t="str">
        <f aca="false">IF(Supuestos!$C$41="Pendiente","Prueba de realidad pendiente: se invierte un % menor del sobrante.",IF(Supuestos!$C$41="Revisar gastos","La prueba de realidad muestra gastos no registrados: revisar el presupuesto.",""))</f>
        <v>Prueba de realidad pendiente: se invierte un % menor del sobrante.</v>
      </c>
    </row>
    <row r="41" customFormat="false" ht="15" hidden="false" customHeight="false" outlineLevel="0" collapsed="false">
      <c r="B41" s="41" t="str">
        <f aca="false">IF(Presupuesto!$I$97&gt;0,"Hay filas del presupuesto con valor pero sin frecuencia o tipo.","")</f>
        <v/>
      </c>
    </row>
    <row r="42" customFormat="false" ht="15" hidden="false" customHeight="false" outlineLevel="0" collapsed="false">
      <c r="B42" s="41" t="str">
        <f aca="false">'Flujo anual'!$B$36</f>
        <v/>
      </c>
    </row>
    <row r="43" customFormat="false" ht="15" hidden="false" customHeight="false" outlineLevel="0" collapsed="false">
      <c r="B43" s="41" t="str">
        <f aca="false">IF(Bolsillos!$C$25&lt;-0.5,"Los saldos iniciales de los bolsillos superan lo disponible.","")</f>
        <v/>
      </c>
    </row>
    <row r="44" customFormat="false" ht="15" hidden="false" customHeight="false" outlineLevel="0" collapsed="false">
      <c r="B44" s="41" t="str">
        <f aca="false">IF(Inversión!$D$20="","Falta responder el perfil de inversión (hoja Inversión).","")</f>
        <v>Falta responder el perfil de inversión (hoja Inversión).</v>
      </c>
    </row>
    <row r="45" customFormat="false" ht="15" hidden="false" customHeight="false" outlineLevel="0" collapsed="false">
      <c r="B45" s="41" t="str">
        <f aca="false">IF(Pensión!$C$6="","Faltan los datos de pensión (régimen y semanas).","")</f>
        <v>Faltan los datos de pensión (régimen y semanas).</v>
      </c>
    </row>
    <row r="46" customFormat="false" ht="15" hidden="false" customHeight="false" outlineLevel="0" collapsed="false">
      <c r="B46" s="41" t="str">
        <f aca="false">IF(COUNTIF(Seguros!$F$6:$F$13,"")&gt;0,"Falta marcar qué seguros tiene el cliente.","")</f>
        <v>Falta marcar qué seguros tiene el cliente.</v>
      </c>
    </row>
    <row r="47" customFormat="false" ht="15" hidden="false" customHeight="false" outlineLevel="0" collapsed="false">
      <c r="B47" s="41" t="str">
        <f aca="false">IF(Deudas!$C$26="Sí","Alguna deuda tarda más de 120 meses en pagarse (normal en hipotecarios; si no lo es, revisar).","")</f>
        <v/>
      </c>
    </row>
    <row r="50" customFormat="false" ht="15" hidden="false" customHeight="false" outlineLevel="0" collapsed="false">
      <c r="B50" s="9" t="s">
        <v>122</v>
      </c>
      <c r="C50" s="10"/>
      <c r="D50" s="10"/>
      <c r="E50" s="10"/>
    </row>
    <row r="51" customFormat="false" ht="15" hidden="false" customHeight="false" outlineLevel="0" collapsed="false">
      <c r="B51" s="17" t="s">
        <v>123</v>
      </c>
      <c r="C51" s="42" t="n">
        <f aca="false">Ingresos!$T$25</f>
        <v>0</v>
      </c>
    </row>
    <row r="52" customFormat="false" ht="15" hidden="false" customHeight="false" outlineLevel="0" collapsed="false">
      <c r="B52" s="17" t="s">
        <v>124</v>
      </c>
      <c r="C52" s="43" t="n">
        <f aca="false">-C51/12*100</f>
        <v>-0</v>
      </c>
    </row>
    <row r="53" customFormat="false" ht="30" hidden="false" customHeight="true" outlineLevel="0" collapsed="false">
      <c r="B53" s="11" t="s">
        <v>125</v>
      </c>
      <c r="C53" s="12" t="s">
        <v>78</v>
      </c>
      <c r="D53" s="12" t="s">
        <v>88</v>
      </c>
      <c r="E53" s="12" t="s">
        <v>126</v>
      </c>
    </row>
    <row r="54" customFormat="false" ht="15" hidden="false" customHeight="false" outlineLevel="0" collapsed="false">
      <c r="B54" s="44" t="str">
        <f aca="false">IF(N(Supuestos!$C$17)=0,"",Supuestos!$C$17*0.85)</f>
        <v/>
      </c>
      <c r="C54" s="45" t="str">
        <f aca="false">IF(B54="","",Ingresos!$T$14+C$51*(B54-Supuestos!$C$17))</f>
        <v/>
      </c>
      <c r="D54" s="46" t="str">
        <f aca="false">IF(OR(B54="",N(C54)=0),"",Deudas!$F$21/(C54/12))</f>
        <v/>
      </c>
      <c r="E54" s="45" t="str">
        <f aca="false">IF(B54="","",'Flujo anual'!$Q$22+C$51*(B54-Supuestos!$C$17))</f>
        <v/>
      </c>
    </row>
    <row r="55" customFormat="false" ht="15" hidden="false" customHeight="false" outlineLevel="0" collapsed="false">
      <c r="B55" s="44" t="str">
        <f aca="false">IF(N(Supuestos!$C$17)=0,"",Supuestos!$C$17*0.9)</f>
        <v/>
      </c>
      <c r="C55" s="45" t="str">
        <f aca="false">IF(B55="","",Ingresos!$T$14+C$51*(B55-Supuestos!$C$17))</f>
        <v/>
      </c>
      <c r="D55" s="46" t="str">
        <f aca="false">IF(OR(B55="",N(C55)=0),"",Deudas!$F$21/(C55/12))</f>
        <v/>
      </c>
      <c r="E55" s="45" t="str">
        <f aca="false">IF(B55="","",'Flujo anual'!$Q$22+C$51*(B55-Supuestos!$C$17))</f>
        <v/>
      </c>
    </row>
    <row r="56" customFormat="false" ht="15" hidden="false" customHeight="false" outlineLevel="0" collapsed="false">
      <c r="B56" s="44" t="str">
        <f aca="false">IF(N(Supuestos!$C$17)=0,"",Supuestos!$C$17*0.95)</f>
        <v/>
      </c>
      <c r="C56" s="45" t="str">
        <f aca="false">IF(B56="","",Ingresos!$T$14+C$51*(B56-Supuestos!$C$17))</f>
        <v/>
      </c>
      <c r="D56" s="46" t="str">
        <f aca="false">IF(OR(B56="",N(C56)=0),"",Deudas!$F$21/(C56/12))</f>
        <v/>
      </c>
      <c r="E56" s="45" t="str">
        <f aca="false">IF(B56="","",'Flujo anual'!$Q$22+C$51*(B56-Supuestos!$C$17))</f>
        <v/>
      </c>
    </row>
    <row r="57" customFormat="false" ht="15" hidden="false" customHeight="false" outlineLevel="0" collapsed="false">
      <c r="B57" s="47" t="str">
        <f aca="false">IF(N(Supuestos!$C$17)=0,"",Supuestos!$C$17*1)</f>
        <v/>
      </c>
      <c r="C57" s="45" t="str">
        <f aca="false">IF(B57="","",Ingresos!$T$14+C$51*(B57-Supuestos!$C$17))</f>
        <v/>
      </c>
      <c r="D57" s="46" t="str">
        <f aca="false">IF(OR(B57="",N(C57)=0),"",Deudas!$F$21/(C57/12))</f>
        <v/>
      </c>
      <c r="E57" s="45" t="str">
        <f aca="false">IF(B57="","",'Flujo anual'!$Q$22+C$51*(B57-Supuestos!$C$17))</f>
        <v/>
      </c>
    </row>
    <row r="58" customFormat="false" ht="15" hidden="false" customHeight="false" outlineLevel="0" collapsed="false">
      <c r="B58" s="44" t="str">
        <f aca="false">IF(N(Supuestos!$C$17)=0,"",Supuestos!$C$17*1.05)</f>
        <v/>
      </c>
      <c r="C58" s="45" t="str">
        <f aca="false">IF(B58="","",Ingresos!$T$14+C$51*(B58-Supuestos!$C$17))</f>
        <v/>
      </c>
      <c r="D58" s="46" t="str">
        <f aca="false">IF(OR(B58="",N(C58)=0),"",Deudas!$F$21/(C58/12))</f>
        <v/>
      </c>
      <c r="E58" s="45" t="str">
        <f aca="false">IF(B58="","",'Flujo anual'!$Q$22+C$51*(B58-Supuestos!$C$17))</f>
        <v/>
      </c>
    </row>
    <row r="59" customFormat="false" ht="15" hidden="false" customHeight="false" outlineLevel="0" collapsed="false">
      <c r="B59" s="44" t="str">
        <f aca="false">IF(N(Supuestos!$C$17)=0,"",Supuestos!$C$17*1.1)</f>
        <v/>
      </c>
      <c r="C59" s="45" t="str">
        <f aca="false">IF(B59="","",Ingresos!$T$14+C$51*(B59-Supuestos!$C$17))</f>
        <v/>
      </c>
      <c r="D59" s="46" t="str">
        <f aca="false">IF(OR(B59="",N(C59)=0),"",Deudas!$F$21/(C59/12))</f>
        <v/>
      </c>
      <c r="E59" s="45" t="str">
        <f aca="false">IF(B59="","",'Flujo anual'!$Q$22+C$51*(B59-Supuestos!$C$17))</f>
        <v/>
      </c>
    </row>
    <row r="60" customFormat="false" ht="15" hidden="false" customHeight="false" outlineLevel="0" collapsed="false">
      <c r="B60" s="48" t="str">
        <f aca="false">IF(C51=0,"El cliente no tiene ingresos en dólares: esta tabla no aplica.","La fila en negrilla es la tasa actual. El sobrante es aproximado: supone que el cambio se reparte igual en el año.")</f>
        <v>El cliente no tiene ingresos en dólares: esta tabla no aplica.</v>
      </c>
    </row>
  </sheetData>
  <conditionalFormatting sqref="D11:D35">
    <cfRule type="cellIs" priority="2" operator="equal" aboveAverage="0" equalAverage="0" bottom="0" percent="0" rank="0" text="" dxfId="0">
      <formula>"Bien"</formula>
    </cfRule>
    <cfRule type="cellIs" priority="3" operator="equal" aboveAverage="0" equalAverage="0" bottom="0" percent="0" rank="0" text="" dxfId="1">
      <formula>"Atención"</formula>
    </cfRule>
    <cfRule type="cellIs" priority="4" operator="equal" aboveAverage="0" equalAverage="0" bottom="0" percent="0" rank="0" text="" dxfId="2">
      <formula>"Alerta"</formula>
    </cfRule>
  </conditionalFormatting>
  <printOptions headings="false" gridLines="false" gridLinesSet="true" horizontalCentered="true" verticalCentered="false"/>
  <pageMargins left="0.4" right="0.4"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8A04A"/>
    <pageSetUpPr fitToPage="true"/>
  </sheetPr>
  <dimension ref="B1:K50"/>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50"/>
    <col collapsed="false" customWidth="true" hidden="false" outlineLevel="0" max="3" min="3" style="1" width="20"/>
    <col collapsed="false" customWidth="true" hidden="false" outlineLevel="0" max="5" min="4" style="1" width="16"/>
    <col collapsed="false" customWidth="true" hidden="false" outlineLevel="0" max="6" min="6" style="1" width="12"/>
    <col collapsed="false" customWidth="true" hidden="false" outlineLevel="0" max="7" min="7" style="1" width="14"/>
    <col collapsed="false" customWidth="true" hidden="false" outlineLevel="0" max="8" min="8" style="1" width="12"/>
    <col collapsed="false" customWidth="true" hidden="false" outlineLevel="0" max="9" min="9" style="1" width="16"/>
    <col collapsed="false" customWidth="true" hidden="false" outlineLevel="0" max="11" min="10" style="1" width="10"/>
  </cols>
  <sheetData>
    <row r="1" customFormat="false" ht="24" hidden="false" customHeight="true" outlineLevel="0" collapsed="false">
      <c r="B1" s="27" t="s">
        <v>127</v>
      </c>
    </row>
    <row r="2" customFormat="false" ht="15" hidden="false" customHeight="false" outlineLevel="0" collapsed="false">
      <c r="B2" s="28" t="s">
        <v>128</v>
      </c>
      <c r="C2" s="29"/>
      <c r="D2" s="29"/>
      <c r="E2" s="29"/>
      <c r="F2" s="29"/>
      <c r="G2" s="29"/>
      <c r="H2" s="29"/>
      <c r="I2" s="29"/>
      <c r="J2" s="29"/>
      <c r="K2" s="29"/>
    </row>
    <row r="5" customFormat="false" ht="15" hidden="false" customHeight="false" outlineLevel="0" collapsed="false">
      <c r="B5" s="9" t="s">
        <v>129</v>
      </c>
      <c r="C5" s="10"/>
      <c r="D5" s="9" t="s">
        <v>130</v>
      </c>
    </row>
    <row r="6" customFormat="false" ht="15" hidden="false" customHeight="false" outlineLevel="0" collapsed="false">
      <c r="B6" s="17" t="s">
        <v>131</v>
      </c>
      <c r="C6" s="16"/>
      <c r="D6" s="23" t="s">
        <v>132</v>
      </c>
    </row>
    <row r="7" customFormat="false" ht="15" hidden="false" customHeight="false" outlineLevel="0" collapsed="false">
      <c r="B7" s="17" t="s">
        <v>133</v>
      </c>
      <c r="C7" s="16"/>
      <c r="D7" s="23"/>
    </row>
    <row r="8" customFormat="false" ht="15" hidden="false" customHeight="false" outlineLevel="0" collapsed="false">
      <c r="B8" s="17" t="s">
        <v>134</v>
      </c>
      <c r="C8" s="49"/>
      <c r="D8" s="23" t="s">
        <v>135</v>
      </c>
    </row>
    <row r="9" customFormat="false" ht="15" hidden="false" customHeight="false" outlineLevel="0" collapsed="false">
      <c r="B9" s="17" t="s">
        <v>136</v>
      </c>
      <c r="C9" s="16"/>
      <c r="D9" s="23" t="s">
        <v>137</v>
      </c>
    </row>
    <row r="10" customFormat="false" ht="15" hidden="false" customHeight="false" outlineLevel="0" collapsed="false">
      <c r="B10" s="17" t="s">
        <v>72</v>
      </c>
      <c r="C10" s="16"/>
      <c r="D10" s="23" t="s">
        <v>138</v>
      </c>
    </row>
    <row r="11" customFormat="false" ht="15" hidden="false" customHeight="false" outlineLevel="0" collapsed="false">
      <c r="B11" s="17" t="s">
        <v>139</v>
      </c>
      <c r="C11" s="50" t="n">
        <v>0</v>
      </c>
      <c r="D11" s="23" t="s">
        <v>140</v>
      </c>
    </row>
    <row r="12" customFormat="false" ht="15" hidden="false" customHeight="false" outlineLevel="0" collapsed="false">
      <c r="B12" s="17" t="s">
        <v>2</v>
      </c>
      <c r="C12" s="49" t="n">
        <f aca="true">TODAY()</f>
        <v>46290</v>
      </c>
      <c r="D12" s="23" t="s">
        <v>141</v>
      </c>
    </row>
    <row r="13" customFormat="false" ht="15" hidden="false" customHeight="false" outlineLevel="0" collapsed="false">
      <c r="B13" s="17" t="s">
        <v>71</v>
      </c>
      <c r="C13" s="51" t="str">
        <f aca="false">IF(C8="","",DATEDIF(C8,C12,"y"))</f>
        <v/>
      </c>
    </row>
    <row r="14" customFormat="false" ht="15" hidden="false" customHeight="false" outlineLevel="0" collapsed="false">
      <c r="B14" s="17" t="s">
        <v>142</v>
      </c>
      <c r="C14" s="50" t="n">
        <f aca="false">YEAR(C12)+1</f>
        <v>2027</v>
      </c>
      <c r="D14" s="23" t="s">
        <v>143</v>
      </c>
    </row>
    <row r="16" customFormat="false" ht="15" hidden="false" customHeight="false" outlineLevel="0" collapsed="false">
      <c r="B16" s="9" t="s">
        <v>144</v>
      </c>
      <c r="C16" s="10"/>
      <c r="D16" s="10"/>
    </row>
    <row r="17" customFormat="false" ht="15" hidden="false" customHeight="false" outlineLevel="0" collapsed="false">
      <c r="B17" s="17" t="s">
        <v>145</v>
      </c>
      <c r="C17" s="52"/>
      <c r="D17" s="23" t="s">
        <v>146</v>
      </c>
    </row>
    <row r="18" customFormat="false" ht="15" hidden="false" customHeight="false" outlineLevel="0" collapsed="false">
      <c r="B18" s="17" t="s">
        <v>147</v>
      </c>
      <c r="C18" s="53" t="n">
        <v>1750905</v>
      </c>
      <c r="D18" s="23" t="s">
        <v>148</v>
      </c>
    </row>
    <row r="19" customFormat="false" ht="15" hidden="false" customHeight="false" outlineLevel="0" collapsed="false">
      <c r="B19" s="17" t="s">
        <v>149</v>
      </c>
      <c r="C19" s="51" t="n">
        <f aca="false">IFERROR(VLOOKUP(C10,Listas!$H$2:$I$7,2,FALSE()),3)</f>
        <v>3</v>
      </c>
      <c r="D19" s="23" t="s">
        <v>150</v>
      </c>
    </row>
    <row r="20" customFormat="false" ht="15" hidden="false" customHeight="false" outlineLevel="0" collapsed="false">
      <c r="B20" s="17" t="s">
        <v>151</v>
      </c>
      <c r="C20" s="50"/>
      <c r="D20" s="23" t="s">
        <v>152</v>
      </c>
    </row>
    <row r="21" customFormat="false" ht="15" hidden="false" customHeight="false" outlineLevel="0" collapsed="false">
      <c r="B21" s="17" t="s">
        <v>153</v>
      </c>
      <c r="C21" s="54" t="n">
        <f aca="false">IF(C20="",C19,C20)</f>
        <v>3</v>
      </c>
    </row>
    <row r="22" customFormat="false" ht="15" hidden="false" customHeight="false" outlineLevel="0" collapsed="false">
      <c r="B22" s="17" t="s">
        <v>154</v>
      </c>
      <c r="C22" s="55" t="n">
        <v>0.2</v>
      </c>
      <c r="D22" s="23" t="s">
        <v>155</v>
      </c>
    </row>
    <row r="23" customFormat="false" ht="15" hidden="false" customHeight="false" outlineLevel="0" collapsed="false">
      <c r="B23" s="17" t="s">
        <v>156</v>
      </c>
      <c r="C23" s="55" t="n">
        <v>0.7</v>
      </c>
      <c r="D23" s="23" t="s">
        <v>157</v>
      </c>
    </row>
    <row r="24" customFormat="false" ht="15" hidden="false" customHeight="false" outlineLevel="0" collapsed="false">
      <c r="B24" s="17" t="s">
        <v>158</v>
      </c>
      <c r="C24" s="55" t="n">
        <v>0.5</v>
      </c>
      <c r="D24" s="23" t="s">
        <v>159</v>
      </c>
    </row>
    <row r="25" customFormat="false" ht="15" hidden="false" customHeight="false" outlineLevel="0" collapsed="false">
      <c r="B25" s="17" t="s">
        <v>160</v>
      </c>
      <c r="C25" s="55" t="n">
        <v>0.9</v>
      </c>
      <c r="D25" s="23" t="s">
        <v>161</v>
      </c>
    </row>
    <row r="26" customFormat="false" ht="15" hidden="false" customHeight="false" outlineLevel="0" collapsed="false">
      <c r="B26" s="17" t="s">
        <v>162</v>
      </c>
      <c r="C26" s="55" t="n">
        <v>0.5</v>
      </c>
      <c r="D26" s="23" t="s">
        <v>163</v>
      </c>
    </row>
    <row r="27" customFormat="false" ht="15" hidden="false" customHeight="false" outlineLevel="0" collapsed="false">
      <c r="B27" s="17" t="s">
        <v>164</v>
      </c>
      <c r="C27" s="55" t="n">
        <v>0.05</v>
      </c>
      <c r="D27" s="23" t="s">
        <v>165</v>
      </c>
    </row>
    <row r="28" customFormat="false" ht="15" hidden="false" customHeight="false" outlineLevel="0" collapsed="false">
      <c r="B28" s="17" t="s">
        <v>166</v>
      </c>
      <c r="C28" s="55" t="n">
        <v>0.015</v>
      </c>
      <c r="D28" s="23" t="s">
        <v>165</v>
      </c>
    </row>
    <row r="29" customFormat="false" ht="15" hidden="false" customHeight="false" outlineLevel="0" collapsed="false">
      <c r="B29" s="17" t="s">
        <v>167</v>
      </c>
      <c r="C29" s="50" t="n">
        <f aca="false">IF(C9="Hombre",62,57)</f>
        <v>57</v>
      </c>
      <c r="D29" s="23" t="s">
        <v>168</v>
      </c>
    </row>
    <row r="30" customFormat="false" ht="15" hidden="false" customHeight="false" outlineLevel="0" collapsed="false">
      <c r="B30" s="17" t="s">
        <v>169</v>
      </c>
      <c r="C30" s="55" t="n">
        <v>0.02</v>
      </c>
      <c r="D30" s="23" t="s">
        <v>170</v>
      </c>
    </row>
    <row r="31" customFormat="false" ht="15" hidden="false" customHeight="false" outlineLevel="0" collapsed="false">
      <c r="B31" s="17" t="s">
        <v>171</v>
      </c>
      <c r="C31" s="55" t="n">
        <v>0.1</v>
      </c>
    </row>
    <row r="32" customFormat="false" ht="15" hidden="false" customHeight="false" outlineLevel="0" collapsed="false">
      <c r="B32" s="17" t="s">
        <v>172</v>
      </c>
      <c r="C32" s="53" t="n">
        <v>0</v>
      </c>
      <c r="D32" s="23" t="s">
        <v>173</v>
      </c>
    </row>
    <row r="34" customFormat="false" ht="15" hidden="false" customHeight="false" outlineLevel="0" collapsed="false">
      <c r="B34" s="9" t="s">
        <v>119</v>
      </c>
      <c r="C34" s="10"/>
      <c r="D34" s="10"/>
    </row>
    <row r="35" customFormat="false" ht="15" hidden="false" customHeight="false" outlineLevel="0" collapsed="false">
      <c r="B35" s="17" t="s">
        <v>174</v>
      </c>
      <c r="C35" s="56"/>
      <c r="D35" s="23" t="s">
        <v>175</v>
      </c>
    </row>
    <row r="36" customFormat="false" ht="15" hidden="false" customHeight="false" outlineLevel="0" collapsed="false">
      <c r="B36" s="17" t="s">
        <v>176</v>
      </c>
      <c r="C36" s="57"/>
    </row>
    <row r="37" customFormat="false" ht="15" hidden="false" customHeight="false" outlineLevel="0" collapsed="false">
      <c r="B37" s="17" t="s">
        <v>177</v>
      </c>
      <c r="C37" s="56"/>
      <c r="D37" s="23" t="s">
        <v>178</v>
      </c>
    </row>
    <row r="38" customFormat="false" ht="15" hidden="false" customHeight="false" outlineLevel="0" collapsed="false">
      <c r="B38" s="17" t="s">
        <v>179</v>
      </c>
      <c r="C38" s="58" t="str">
        <f aca="false">IF(OR(C35="",C36="",C37=""),"",(C37-C35)/C36)</f>
        <v/>
      </c>
    </row>
    <row r="39" customFormat="false" ht="15" hidden="false" customHeight="false" outlineLevel="0" collapsed="false">
      <c r="B39" s="17" t="s">
        <v>180</v>
      </c>
      <c r="C39" s="58" t="n">
        <f aca="false">('Flujo anual'!$Q$22+Presupuesto!$H$94)/12</f>
        <v>0</v>
      </c>
    </row>
    <row r="40" customFormat="false" ht="15" hidden="false" customHeight="false" outlineLevel="0" collapsed="false">
      <c r="B40" s="17" t="s">
        <v>181</v>
      </c>
      <c r="C40" s="59" t="str">
        <f aca="false">IF(C38="","",IF(C39=0,"",(C38-C39)/ABS(C39)))</f>
        <v/>
      </c>
    </row>
    <row r="41" customFormat="false" ht="15" hidden="false" customHeight="false" outlineLevel="0" collapsed="false">
      <c r="B41" s="24" t="s">
        <v>182</v>
      </c>
      <c r="C41" s="24" t="str">
        <f aca="false">IF(C38="","Pendiente",IF(C40="","Pendiente",IF(C40&gt;=-0.15,"Confirmada","Revisar gastos")))</f>
        <v>Pendiente</v>
      </c>
      <c r="D41" s="23" t="s">
        <v>183</v>
      </c>
    </row>
    <row r="42" customFormat="false" ht="15" hidden="false" customHeight="false" outlineLevel="0" collapsed="false">
      <c r="B42" s="24" t="s">
        <v>184</v>
      </c>
      <c r="C42" s="60" t="n">
        <f aca="false">IF(C41="Confirmada",C23,C24)</f>
        <v>0.5</v>
      </c>
    </row>
    <row r="44" customFormat="false" ht="15" hidden="false" customHeight="false" outlineLevel="0" collapsed="false">
      <c r="B44" s="9" t="s">
        <v>185</v>
      </c>
      <c r="C44" s="10"/>
      <c r="D44" s="10"/>
      <c r="E44" s="10"/>
      <c r="F44" s="10"/>
      <c r="G44" s="10"/>
      <c r="H44" s="10"/>
      <c r="I44" s="10"/>
      <c r="J44" s="10"/>
      <c r="K44" s="10"/>
    </row>
    <row r="45" customFormat="false" ht="30" hidden="false" customHeight="true" outlineLevel="0" collapsed="false">
      <c r="B45" s="11" t="s">
        <v>186</v>
      </c>
      <c r="C45" s="12" t="s">
        <v>187</v>
      </c>
      <c r="D45" s="12" t="s">
        <v>188</v>
      </c>
      <c r="E45" s="12" t="s">
        <v>189</v>
      </c>
      <c r="F45" s="12" t="s">
        <v>190</v>
      </c>
      <c r="G45" s="12" t="s">
        <v>191</v>
      </c>
      <c r="H45" s="12" t="s">
        <v>192</v>
      </c>
      <c r="I45" s="12" t="s">
        <v>193</v>
      </c>
      <c r="J45" s="12" t="s">
        <v>194</v>
      </c>
      <c r="K45" s="12" t="s">
        <v>195</v>
      </c>
    </row>
    <row r="46" customFormat="false" ht="15" hidden="false" customHeight="false" outlineLevel="0" collapsed="false">
      <c r="B46" s="61"/>
      <c r="C46" s="62"/>
      <c r="D46" s="62"/>
      <c r="E46" s="63"/>
      <c r="F46" s="64" t="str">
        <f aca="false">IF(OR(N(C46)=0,N(D46)=0),"",ROUNDUP(C46/D46,0))</f>
        <v/>
      </c>
      <c r="G46" s="65" t="str">
        <f aca="false">IF(OR(F46="",E46=""),"",EDATE(E46,F46-1))</f>
        <v/>
      </c>
      <c r="H46" s="66" t="n">
        <v>1</v>
      </c>
      <c r="I46" s="45" t="n">
        <f aca="false">IF(N(C46)=0,0,IF(OR(J46="",F46=""),C46,MAX(0,C46-D46*MAX(0,MIN(F46,YEAR($C$12)*12+MONTH($C$12)-J46+1)))))</f>
        <v>0</v>
      </c>
      <c r="J46" s="67" t="str">
        <f aca="false">IF(E46="","",YEAR(E46)*12+MONTH(E46))</f>
        <v/>
      </c>
      <c r="K46" s="67" t="str">
        <f aca="false">IF(G46="","",YEAR(G46)*12+MONTH(G46))</f>
        <v/>
      </c>
    </row>
    <row r="47" customFormat="false" ht="15" hidden="false" customHeight="false" outlineLevel="0" collapsed="false">
      <c r="B47" s="61"/>
      <c r="C47" s="62"/>
      <c r="D47" s="62"/>
      <c r="E47" s="63"/>
      <c r="F47" s="64" t="str">
        <f aca="false">IF(OR(N(C47)=0,N(D47)=0),"",ROUNDUP(C47/D47,0))</f>
        <v/>
      </c>
      <c r="G47" s="65" t="str">
        <f aca="false">IF(OR(F47="",E47=""),"",EDATE(E47,F47-1))</f>
        <v/>
      </c>
      <c r="H47" s="66" t="n">
        <v>1</v>
      </c>
      <c r="I47" s="45" t="n">
        <f aca="false">IF(N(C47)=0,0,IF(OR(J47="",F47=""),C47,MAX(0,C47-D47*MAX(0,MIN(F47,YEAR($C$12)*12+MONTH($C$12)-J47+1)))))</f>
        <v>0</v>
      </c>
      <c r="J47" s="67" t="str">
        <f aca="false">IF(E47="","",YEAR(E47)*12+MONTH(E47))</f>
        <v/>
      </c>
      <c r="K47" s="67" t="str">
        <f aca="false">IF(G47="","",YEAR(G47)*12+MONTH(G47))</f>
        <v/>
      </c>
    </row>
    <row r="48" customFormat="false" ht="15" hidden="false" customHeight="false" outlineLevel="0" collapsed="false">
      <c r="B48" s="61"/>
      <c r="C48" s="62"/>
      <c r="D48" s="62"/>
      <c r="E48" s="63"/>
      <c r="F48" s="64" t="str">
        <f aca="false">IF(OR(N(C48)=0,N(D48)=0),"",ROUNDUP(C48/D48,0))</f>
        <v/>
      </c>
      <c r="G48" s="65" t="str">
        <f aca="false">IF(OR(F48="",E48=""),"",EDATE(E48,F48-1))</f>
        <v/>
      </c>
      <c r="H48" s="66" t="n">
        <v>1</v>
      </c>
      <c r="I48" s="45" t="n">
        <f aca="false">IF(N(C48)=0,0,IF(OR(J48="",F48=""),C48,MAX(0,C48-D48*MAX(0,MIN(F48,YEAR($C$12)*12+MONTH($C$12)-J48+1)))))</f>
        <v>0</v>
      </c>
      <c r="J48" s="67" t="str">
        <f aca="false">IF(E48="","",YEAR(E48)*12+MONTH(E48))</f>
        <v/>
      </c>
      <c r="K48" s="67" t="str">
        <f aca="false">IF(G48="","",YEAR(G48)*12+MONTH(G48))</f>
        <v/>
      </c>
    </row>
    <row r="49" customFormat="false" ht="15" hidden="false" customHeight="false" outlineLevel="0" collapsed="false">
      <c r="B49" s="68" t="s">
        <v>196</v>
      </c>
      <c r="C49" s="68"/>
      <c r="D49" s="68"/>
      <c r="E49" s="68"/>
      <c r="F49" s="68"/>
      <c r="G49" s="68"/>
      <c r="H49" s="68"/>
      <c r="I49" s="69" t="n">
        <f aca="false">SUM(I46:I48)</f>
        <v>0</v>
      </c>
      <c r="J49" s="68"/>
      <c r="K49" s="68"/>
    </row>
    <row r="50" customFormat="false" ht="15" hidden="false" customHeight="false" outlineLevel="0" collapsed="false">
      <c r="B50" s="23" t="s">
        <v>197</v>
      </c>
    </row>
  </sheetData>
  <dataValidations count="2">
    <dataValidation allowBlank="true" error="Elige un valor de la lista." errorStyle="stop" errorTitle="Valor no válido" operator="between" showDropDown="false" showErrorMessage="true" showInputMessage="false" sqref="C9" type="list">
      <formula1>Listas!$J$2:$J$3</formula1>
      <formula2>0</formula2>
    </dataValidation>
    <dataValidation allowBlank="true" error="Elige un valor de la lista." errorStyle="stop" errorTitle="Valor no válido" operator="between" showDropDown="false" showErrorMessage="true" showInputMessage="false" sqref="C10" type="list">
      <formula1>Listas!$H$2:$H$7</formula1>
      <formula2>0</formula2>
    </dataValidation>
  </dataValidations>
  <printOptions headings="false" gridLines="false" gridLinesSet="true" horizontalCentered="false" verticalCentered="false"/>
  <pageMargins left="0.4" right="0.4"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8A04A"/>
    <pageSetUpPr fitToPage="true"/>
  </sheetPr>
  <dimension ref="B1:V32"/>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32"/>
    <col collapsed="false" customWidth="true" hidden="false" outlineLevel="0" max="3" min="3" style="1" width="11"/>
    <col collapsed="false" customWidth="true" hidden="false" outlineLevel="0" max="4" min="4" style="1" width="8"/>
    <col collapsed="false" customWidth="true" hidden="false" outlineLevel="0" max="5" min="5" style="1" width="14"/>
    <col collapsed="false" customWidth="true" hidden="false" outlineLevel="0" max="6" min="6" style="1" width="15"/>
    <col collapsed="false" customWidth="true" hidden="false" outlineLevel="0" max="18" min="7" style="1" width="6.51"/>
    <col collapsed="false" customWidth="true" hidden="false" outlineLevel="0" max="19" min="19" style="1" width="8"/>
    <col collapsed="false" customWidth="true" hidden="false" outlineLevel="0" max="20" min="20" style="1" width="16"/>
    <col collapsed="false" customWidth="true" hidden="false" outlineLevel="0" max="21" min="21" style="1" width="15"/>
    <col collapsed="false" customWidth="true" hidden="false" outlineLevel="0" max="22" min="22" style="1" width="36"/>
  </cols>
  <sheetData>
    <row r="1" customFormat="false" ht="24" hidden="false" customHeight="true" outlineLevel="0" collapsed="false">
      <c r="B1" s="27" t="s">
        <v>9</v>
      </c>
    </row>
    <row r="2" customFormat="false" ht="15" hidden="false" customHeight="false" outlineLevel="0" collapsed="false">
      <c r="B2" s="28" t="s">
        <v>198</v>
      </c>
      <c r="C2" s="29"/>
      <c r="D2" s="29"/>
      <c r="E2" s="29"/>
      <c r="F2" s="29"/>
      <c r="G2" s="29"/>
      <c r="H2" s="29"/>
      <c r="I2" s="29"/>
      <c r="J2" s="29"/>
      <c r="K2" s="29"/>
      <c r="L2" s="29"/>
      <c r="M2" s="29"/>
      <c r="N2" s="29"/>
      <c r="O2" s="29"/>
      <c r="P2" s="29"/>
      <c r="Q2" s="29"/>
      <c r="R2" s="29"/>
      <c r="S2" s="29"/>
      <c r="T2" s="29"/>
      <c r="U2" s="29"/>
      <c r="V2" s="29"/>
    </row>
    <row r="5" customFormat="false" ht="30" hidden="false" customHeight="true" outlineLevel="0" collapsed="false">
      <c r="B5" s="11" t="s">
        <v>199</v>
      </c>
      <c r="C5" s="12" t="s">
        <v>200</v>
      </c>
      <c r="D5" s="12" t="s">
        <v>201</v>
      </c>
      <c r="E5" s="12" t="s">
        <v>202</v>
      </c>
      <c r="F5" s="12" t="s">
        <v>203</v>
      </c>
      <c r="G5" s="12" t="s">
        <v>204</v>
      </c>
      <c r="H5" s="12" t="s">
        <v>205</v>
      </c>
      <c r="I5" s="12" t="s">
        <v>206</v>
      </c>
      <c r="J5" s="12" t="s">
        <v>207</v>
      </c>
      <c r="K5" s="12" t="s">
        <v>208</v>
      </c>
      <c r="L5" s="12" t="s">
        <v>209</v>
      </c>
      <c r="M5" s="12" t="s">
        <v>210</v>
      </c>
      <c r="N5" s="12" t="s">
        <v>211</v>
      </c>
      <c r="O5" s="12" t="s">
        <v>212</v>
      </c>
      <c r="P5" s="12" t="s">
        <v>213</v>
      </c>
      <c r="Q5" s="12" t="s">
        <v>214</v>
      </c>
      <c r="R5" s="12" t="s">
        <v>215</v>
      </c>
      <c r="S5" s="12" t="s">
        <v>216</v>
      </c>
      <c r="T5" s="12" t="s">
        <v>217</v>
      </c>
      <c r="U5" s="12" t="s">
        <v>218</v>
      </c>
      <c r="V5" s="12" t="s">
        <v>130</v>
      </c>
    </row>
    <row r="6" customFormat="false" ht="15" hidden="false" customHeight="false" outlineLevel="0" collapsed="false">
      <c r="B6" s="61"/>
      <c r="C6" s="61"/>
      <c r="D6" s="70" t="s">
        <v>219</v>
      </c>
      <c r="E6" s="71"/>
      <c r="F6" s="45" t="n">
        <f aca="false">IF(N(E6)=0,0,IF(D6="USD",E6*N(Supuestos!$C$17),E6))</f>
        <v>0</v>
      </c>
      <c r="G6" s="72" t="n">
        <v>1</v>
      </c>
      <c r="H6" s="72" t="n">
        <v>1</v>
      </c>
      <c r="I6" s="72" t="n">
        <v>1</v>
      </c>
      <c r="J6" s="72" t="n">
        <v>1</v>
      </c>
      <c r="K6" s="72" t="n">
        <v>1</v>
      </c>
      <c r="L6" s="72" t="n">
        <v>1</v>
      </c>
      <c r="M6" s="72" t="n">
        <v>1</v>
      </c>
      <c r="N6" s="72" t="n">
        <v>1</v>
      </c>
      <c r="O6" s="72" t="n">
        <v>1</v>
      </c>
      <c r="P6" s="72" t="n">
        <v>1</v>
      </c>
      <c r="Q6" s="72" t="n">
        <v>1</v>
      </c>
      <c r="R6" s="72" t="n">
        <v>1</v>
      </c>
      <c r="S6" s="73" t="n">
        <f aca="false">SUM(G6:R6)</f>
        <v>12</v>
      </c>
      <c r="T6" s="45" t="n">
        <f aca="false">F6*S6</f>
        <v>0</v>
      </c>
      <c r="U6" s="45" t="n">
        <f aca="false">T6/12</f>
        <v>0</v>
      </c>
      <c r="V6" s="61"/>
    </row>
    <row r="7" customFormat="false" ht="15" hidden="false" customHeight="false" outlineLevel="0" collapsed="false">
      <c r="B7" s="61"/>
      <c r="C7" s="61"/>
      <c r="D7" s="70" t="s">
        <v>219</v>
      </c>
      <c r="E7" s="71"/>
      <c r="F7" s="45" t="n">
        <f aca="false">IF(N(E7)=0,0,IF(D7="USD",E7*N(Supuestos!$C$17),E7))</f>
        <v>0</v>
      </c>
      <c r="G7" s="72" t="n">
        <v>1</v>
      </c>
      <c r="H7" s="72" t="n">
        <v>1</v>
      </c>
      <c r="I7" s="72" t="n">
        <v>1</v>
      </c>
      <c r="J7" s="72" t="n">
        <v>1</v>
      </c>
      <c r="K7" s="72" t="n">
        <v>1</v>
      </c>
      <c r="L7" s="72" t="n">
        <v>1</v>
      </c>
      <c r="M7" s="72" t="n">
        <v>1</v>
      </c>
      <c r="N7" s="72" t="n">
        <v>1</v>
      </c>
      <c r="O7" s="72" t="n">
        <v>1</v>
      </c>
      <c r="P7" s="72" t="n">
        <v>1</v>
      </c>
      <c r="Q7" s="72" t="n">
        <v>1</v>
      </c>
      <c r="R7" s="72" t="n">
        <v>1</v>
      </c>
      <c r="S7" s="73" t="n">
        <f aca="false">SUM(G7:R7)</f>
        <v>12</v>
      </c>
      <c r="T7" s="45" t="n">
        <f aca="false">F7*S7</f>
        <v>0</v>
      </c>
      <c r="U7" s="45" t="n">
        <f aca="false">T7/12</f>
        <v>0</v>
      </c>
      <c r="V7" s="61"/>
    </row>
    <row r="8" customFormat="false" ht="15" hidden="false" customHeight="false" outlineLevel="0" collapsed="false">
      <c r="B8" s="61"/>
      <c r="C8" s="61"/>
      <c r="D8" s="70" t="s">
        <v>219</v>
      </c>
      <c r="E8" s="71"/>
      <c r="F8" s="45" t="n">
        <f aca="false">IF(N(E8)=0,0,IF(D8="USD",E8*N(Supuestos!$C$17),E8))</f>
        <v>0</v>
      </c>
      <c r="G8" s="72" t="n">
        <v>1</v>
      </c>
      <c r="H8" s="72" t="n">
        <v>1</v>
      </c>
      <c r="I8" s="72" t="n">
        <v>1</v>
      </c>
      <c r="J8" s="72" t="n">
        <v>1</v>
      </c>
      <c r="K8" s="72" t="n">
        <v>1</v>
      </c>
      <c r="L8" s="72" t="n">
        <v>1</v>
      </c>
      <c r="M8" s="72" t="n">
        <v>1</v>
      </c>
      <c r="N8" s="72" t="n">
        <v>1</v>
      </c>
      <c r="O8" s="72" t="n">
        <v>1</v>
      </c>
      <c r="P8" s="72" t="n">
        <v>1</v>
      </c>
      <c r="Q8" s="72" t="n">
        <v>1</v>
      </c>
      <c r="R8" s="72" t="n">
        <v>1</v>
      </c>
      <c r="S8" s="73" t="n">
        <f aca="false">SUM(G8:R8)</f>
        <v>12</v>
      </c>
      <c r="T8" s="45" t="n">
        <f aca="false">F8*S8</f>
        <v>0</v>
      </c>
      <c r="U8" s="45" t="n">
        <f aca="false">T8/12</f>
        <v>0</v>
      </c>
      <c r="V8" s="61"/>
    </row>
    <row r="9" customFormat="false" ht="15" hidden="false" customHeight="false" outlineLevel="0" collapsed="false">
      <c r="B9" s="61"/>
      <c r="C9" s="61"/>
      <c r="D9" s="70" t="s">
        <v>219</v>
      </c>
      <c r="E9" s="71"/>
      <c r="F9" s="45" t="n">
        <f aca="false">IF(N(E9)=0,0,IF(D9="USD",E9*N(Supuestos!$C$17),E9))</f>
        <v>0</v>
      </c>
      <c r="G9" s="72" t="n">
        <v>1</v>
      </c>
      <c r="H9" s="72" t="n">
        <v>1</v>
      </c>
      <c r="I9" s="72" t="n">
        <v>1</v>
      </c>
      <c r="J9" s="72" t="n">
        <v>1</v>
      </c>
      <c r="K9" s="72" t="n">
        <v>1</v>
      </c>
      <c r="L9" s="72" t="n">
        <v>1</v>
      </c>
      <c r="M9" s="72" t="n">
        <v>1</v>
      </c>
      <c r="N9" s="72" t="n">
        <v>1</v>
      </c>
      <c r="O9" s="72" t="n">
        <v>1</v>
      </c>
      <c r="P9" s="72" t="n">
        <v>1</v>
      </c>
      <c r="Q9" s="72" t="n">
        <v>1</v>
      </c>
      <c r="R9" s="72" t="n">
        <v>1</v>
      </c>
      <c r="S9" s="73" t="n">
        <f aca="false">SUM(G9:R9)</f>
        <v>12</v>
      </c>
      <c r="T9" s="45" t="n">
        <f aca="false">F9*S9</f>
        <v>0</v>
      </c>
      <c r="U9" s="45" t="n">
        <f aca="false">T9/12</f>
        <v>0</v>
      </c>
      <c r="V9" s="61"/>
    </row>
    <row r="10" customFormat="false" ht="15" hidden="false" customHeight="false" outlineLevel="0" collapsed="false">
      <c r="B10" s="61"/>
      <c r="C10" s="61"/>
      <c r="D10" s="70" t="s">
        <v>219</v>
      </c>
      <c r="E10" s="71"/>
      <c r="F10" s="45" t="n">
        <f aca="false">IF(N(E10)=0,0,IF(D10="USD",E10*N(Supuestos!$C$17),E10))</f>
        <v>0</v>
      </c>
      <c r="G10" s="72" t="n">
        <v>1</v>
      </c>
      <c r="H10" s="72" t="n">
        <v>1</v>
      </c>
      <c r="I10" s="72" t="n">
        <v>1</v>
      </c>
      <c r="J10" s="72" t="n">
        <v>1</v>
      </c>
      <c r="K10" s="72" t="n">
        <v>1</v>
      </c>
      <c r="L10" s="72" t="n">
        <v>1</v>
      </c>
      <c r="M10" s="72" t="n">
        <v>1</v>
      </c>
      <c r="N10" s="72" t="n">
        <v>1</v>
      </c>
      <c r="O10" s="72" t="n">
        <v>1</v>
      </c>
      <c r="P10" s="72" t="n">
        <v>1</v>
      </c>
      <c r="Q10" s="72" t="n">
        <v>1</v>
      </c>
      <c r="R10" s="72" t="n">
        <v>1</v>
      </c>
      <c r="S10" s="73" t="n">
        <f aca="false">SUM(G10:R10)</f>
        <v>12</v>
      </c>
      <c r="T10" s="45" t="n">
        <f aca="false">F10*S10</f>
        <v>0</v>
      </c>
      <c r="U10" s="45" t="n">
        <f aca="false">T10/12</f>
        <v>0</v>
      </c>
      <c r="V10" s="61"/>
    </row>
    <row r="11" customFormat="false" ht="15" hidden="false" customHeight="false" outlineLevel="0" collapsed="false">
      <c r="B11" s="61"/>
      <c r="C11" s="61"/>
      <c r="D11" s="70" t="s">
        <v>219</v>
      </c>
      <c r="E11" s="71"/>
      <c r="F11" s="45" t="n">
        <f aca="false">IF(N(E11)=0,0,IF(D11="USD",E11*N(Supuestos!$C$17),E11))</f>
        <v>0</v>
      </c>
      <c r="G11" s="72" t="n">
        <v>1</v>
      </c>
      <c r="H11" s="72" t="n">
        <v>1</v>
      </c>
      <c r="I11" s="72" t="n">
        <v>1</v>
      </c>
      <c r="J11" s="72" t="n">
        <v>1</v>
      </c>
      <c r="K11" s="72" t="n">
        <v>1</v>
      </c>
      <c r="L11" s="72" t="n">
        <v>1</v>
      </c>
      <c r="M11" s="72" t="n">
        <v>1</v>
      </c>
      <c r="N11" s="72" t="n">
        <v>1</v>
      </c>
      <c r="O11" s="72" t="n">
        <v>1</v>
      </c>
      <c r="P11" s="72" t="n">
        <v>1</v>
      </c>
      <c r="Q11" s="72" t="n">
        <v>1</v>
      </c>
      <c r="R11" s="72" t="n">
        <v>1</v>
      </c>
      <c r="S11" s="73" t="n">
        <f aca="false">SUM(G11:R11)</f>
        <v>12</v>
      </c>
      <c r="T11" s="45" t="n">
        <f aca="false">F11*S11</f>
        <v>0</v>
      </c>
      <c r="U11" s="45" t="n">
        <f aca="false">T11/12</f>
        <v>0</v>
      </c>
      <c r="V11" s="61"/>
    </row>
    <row r="12" customFormat="false" ht="15" hidden="false" customHeight="false" outlineLevel="0" collapsed="false">
      <c r="B12" s="61"/>
      <c r="C12" s="61"/>
      <c r="D12" s="70" t="s">
        <v>219</v>
      </c>
      <c r="E12" s="71"/>
      <c r="F12" s="45" t="n">
        <f aca="false">IF(N(E12)=0,0,IF(D12="USD",E12*N(Supuestos!$C$17),E12))</f>
        <v>0</v>
      </c>
      <c r="G12" s="72" t="n">
        <v>1</v>
      </c>
      <c r="H12" s="72" t="n">
        <v>1</v>
      </c>
      <c r="I12" s="72" t="n">
        <v>1</v>
      </c>
      <c r="J12" s="72" t="n">
        <v>1</v>
      </c>
      <c r="K12" s="72" t="n">
        <v>1</v>
      </c>
      <c r="L12" s="72" t="n">
        <v>1</v>
      </c>
      <c r="M12" s="72" t="n">
        <v>1</v>
      </c>
      <c r="N12" s="72" t="n">
        <v>1</v>
      </c>
      <c r="O12" s="72" t="n">
        <v>1</v>
      </c>
      <c r="P12" s="72" t="n">
        <v>1</v>
      </c>
      <c r="Q12" s="72" t="n">
        <v>1</v>
      </c>
      <c r="R12" s="72" t="n">
        <v>1</v>
      </c>
      <c r="S12" s="73" t="n">
        <f aca="false">SUM(G12:R12)</f>
        <v>12</v>
      </c>
      <c r="T12" s="45" t="n">
        <f aca="false">F12*S12</f>
        <v>0</v>
      </c>
      <c r="U12" s="45" t="n">
        <f aca="false">T12/12</f>
        <v>0</v>
      </c>
      <c r="V12" s="61"/>
    </row>
    <row r="13" customFormat="false" ht="15" hidden="false" customHeight="false" outlineLevel="0" collapsed="false">
      <c r="B13" s="61"/>
      <c r="C13" s="61"/>
      <c r="D13" s="70" t="s">
        <v>219</v>
      </c>
      <c r="E13" s="71"/>
      <c r="F13" s="45" t="n">
        <f aca="false">IF(N(E13)=0,0,IF(D13="USD",E13*N(Supuestos!$C$17),E13))</f>
        <v>0</v>
      </c>
      <c r="G13" s="72" t="n">
        <v>1</v>
      </c>
      <c r="H13" s="72" t="n">
        <v>1</v>
      </c>
      <c r="I13" s="72" t="n">
        <v>1</v>
      </c>
      <c r="J13" s="72" t="n">
        <v>1</v>
      </c>
      <c r="K13" s="72" t="n">
        <v>1</v>
      </c>
      <c r="L13" s="72" t="n">
        <v>1</v>
      </c>
      <c r="M13" s="72" t="n">
        <v>1</v>
      </c>
      <c r="N13" s="72" t="n">
        <v>1</v>
      </c>
      <c r="O13" s="72" t="n">
        <v>1</v>
      </c>
      <c r="P13" s="72" t="n">
        <v>1</v>
      </c>
      <c r="Q13" s="72" t="n">
        <v>1</v>
      </c>
      <c r="R13" s="72" t="n">
        <v>1</v>
      </c>
      <c r="S13" s="73" t="n">
        <f aca="false">SUM(G13:R13)</f>
        <v>12</v>
      </c>
      <c r="T13" s="45" t="n">
        <f aca="false">F13*S13</f>
        <v>0</v>
      </c>
      <c r="U13" s="45" t="n">
        <f aca="false">T13/12</f>
        <v>0</v>
      </c>
      <c r="V13" s="61"/>
    </row>
    <row r="14" customFormat="false" ht="15" hidden="false" customHeight="false" outlineLevel="0" collapsed="false">
      <c r="B14" s="68" t="s">
        <v>220</v>
      </c>
      <c r="C14" s="68"/>
      <c r="D14" s="68"/>
      <c r="E14" s="68"/>
      <c r="F14" s="68"/>
      <c r="G14" s="74" t="n">
        <f aca="false">SUMPRODUCT($F$6:$F$13,G6:G13)</f>
        <v>0</v>
      </c>
      <c r="H14" s="74" t="n">
        <f aca="false">SUMPRODUCT($F$6:$F$13,H6:H13)</f>
        <v>0</v>
      </c>
      <c r="I14" s="74" t="n">
        <f aca="false">SUMPRODUCT($F$6:$F$13,I6:I13)</f>
        <v>0</v>
      </c>
      <c r="J14" s="74" t="n">
        <f aca="false">SUMPRODUCT($F$6:$F$13,J6:J13)</f>
        <v>0</v>
      </c>
      <c r="K14" s="74" t="n">
        <f aca="false">SUMPRODUCT($F$6:$F$13,K6:K13)</f>
        <v>0</v>
      </c>
      <c r="L14" s="74" t="n">
        <f aca="false">SUMPRODUCT($F$6:$F$13,L6:L13)</f>
        <v>0</v>
      </c>
      <c r="M14" s="74" t="n">
        <f aca="false">SUMPRODUCT($F$6:$F$13,M6:M13)</f>
        <v>0</v>
      </c>
      <c r="N14" s="74" t="n">
        <f aca="false">SUMPRODUCT($F$6:$F$13,N6:N13)</f>
        <v>0</v>
      </c>
      <c r="O14" s="74" t="n">
        <f aca="false">SUMPRODUCT($F$6:$F$13,O6:O13)</f>
        <v>0</v>
      </c>
      <c r="P14" s="74" t="n">
        <f aca="false">SUMPRODUCT($F$6:$F$13,P6:P13)</f>
        <v>0</v>
      </c>
      <c r="Q14" s="74" t="n">
        <f aca="false">SUMPRODUCT($F$6:$F$13,Q6:Q13)</f>
        <v>0</v>
      </c>
      <c r="R14" s="74" t="n">
        <f aca="false">SUMPRODUCT($F$6:$F$13,R6:R13)</f>
        <v>0</v>
      </c>
      <c r="S14" s="68"/>
      <c r="T14" s="69" t="n">
        <f aca="false">SUM(T6:T13)</f>
        <v>0</v>
      </c>
      <c r="U14" s="69" t="n">
        <f aca="false">T14/12</f>
        <v>0</v>
      </c>
      <c r="V14" s="68"/>
    </row>
    <row r="15" customFormat="false" ht="15" hidden="false" customHeight="false" outlineLevel="0" collapsed="false">
      <c r="G15" s="23" t="s">
        <v>221</v>
      </c>
    </row>
    <row r="16" customFormat="false" ht="15" hidden="false" customHeight="false" outlineLevel="0" collapsed="false">
      <c r="B16" s="9" t="s">
        <v>222</v>
      </c>
      <c r="C16" s="10"/>
      <c r="D16" s="10"/>
      <c r="E16" s="10"/>
      <c r="F16" s="10"/>
      <c r="G16" s="10"/>
      <c r="H16" s="10"/>
      <c r="I16" s="10"/>
      <c r="J16" s="10"/>
      <c r="K16" s="10"/>
      <c r="L16" s="10"/>
      <c r="M16" s="10"/>
      <c r="N16" s="10"/>
      <c r="O16" s="10"/>
      <c r="P16" s="10"/>
      <c r="Q16" s="10"/>
      <c r="R16" s="10"/>
      <c r="S16" s="10"/>
      <c r="T16" s="10"/>
      <c r="U16" s="10"/>
      <c r="V16" s="10"/>
    </row>
    <row r="17" customFormat="false" ht="27.75" hidden="false" customHeight="true" outlineLevel="0" collapsed="false">
      <c r="B17" s="75" t="s">
        <v>223</v>
      </c>
      <c r="G17" s="76" t="n">
        <v>1</v>
      </c>
      <c r="H17" s="76" t="n">
        <v>1</v>
      </c>
      <c r="I17" s="76" t="n">
        <v>1</v>
      </c>
      <c r="J17" s="76" t="n">
        <v>1</v>
      </c>
      <c r="K17" s="76" t="n">
        <v>1</v>
      </c>
      <c r="L17" s="76" t="n">
        <v>1</v>
      </c>
      <c r="M17" s="76" t="n">
        <v>1</v>
      </c>
      <c r="N17" s="76" t="n">
        <v>1</v>
      </c>
      <c r="O17" s="76" t="n">
        <v>1</v>
      </c>
      <c r="P17" s="76" t="n">
        <v>1</v>
      </c>
      <c r="Q17" s="76" t="n">
        <v>1</v>
      </c>
      <c r="R17" s="76" t="n">
        <v>1</v>
      </c>
      <c r="S17" s="77" t="n">
        <f aca="false">SUM(G17:R17)</f>
        <v>12</v>
      </c>
      <c r="V17" s="23" t="s">
        <v>224</v>
      </c>
    </row>
    <row r="19" customFormat="false" ht="15" hidden="false" customHeight="false" outlineLevel="0" collapsed="false">
      <c r="B19" s="9" t="s">
        <v>225</v>
      </c>
      <c r="C19" s="10"/>
      <c r="D19" s="10"/>
      <c r="E19" s="10"/>
      <c r="F19" s="10"/>
      <c r="G19" s="10"/>
      <c r="H19" s="10"/>
      <c r="I19" s="10"/>
      <c r="J19" s="10"/>
      <c r="K19" s="10"/>
      <c r="L19" s="10"/>
      <c r="M19" s="10"/>
      <c r="N19" s="10"/>
      <c r="O19" s="10"/>
      <c r="P19" s="10"/>
      <c r="Q19" s="10"/>
      <c r="R19" s="10"/>
      <c r="S19" s="10"/>
      <c r="T19" s="10"/>
      <c r="U19" s="10"/>
      <c r="V19" s="10"/>
    </row>
    <row r="20" customFormat="false" ht="15" hidden="false" customHeight="false" outlineLevel="0" collapsed="false">
      <c r="B20" s="17" t="s">
        <v>226</v>
      </c>
      <c r="T20" s="58" t="n">
        <f aca="false">SUMIFS($T$6:$T$13,$C$6:$C$13,B20)</f>
        <v>0</v>
      </c>
      <c r="U20" s="58" t="n">
        <f aca="false">T20/12</f>
        <v>0</v>
      </c>
    </row>
    <row r="21" customFormat="false" ht="15" hidden="false" customHeight="false" outlineLevel="0" collapsed="false">
      <c r="B21" s="17" t="s">
        <v>227</v>
      </c>
      <c r="T21" s="58" t="n">
        <f aca="false">SUMIFS($T$6:$T$13,$C$6:$C$13,B21)</f>
        <v>0</v>
      </c>
      <c r="U21" s="58" t="n">
        <f aca="false">T21/12</f>
        <v>0</v>
      </c>
    </row>
    <row r="22" customFormat="false" ht="15" hidden="false" customHeight="false" outlineLevel="0" collapsed="false">
      <c r="B22" s="17" t="s">
        <v>23</v>
      </c>
      <c r="T22" s="58" t="n">
        <f aca="false">SUMIFS($T$6:$T$13,$C$6:$C$13,B22)</f>
        <v>0</v>
      </c>
      <c r="U22" s="58" t="n">
        <f aca="false">T22/12</f>
        <v>0</v>
      </c>
    </row>
    <row r="23" customFormat="false" ht="15" hidden="false" customHeight="false" outlineLevel="0" collapsed="false">
      <c r="B23" s="17" t="s">
        <v>228</v>
      </c>
      <c r="T23" s="58" t="n">
        <f aca="false">SUMIFS($T$6:$T$13,$C$6:$C$13,B23)</f>
        <v>0</v>
      </c>
      <c r="U23" s="58" t="n">
        <f aca="false">T23/12</f>
        <v>0</v>
      </c>
    </row>
    <row r="24" customFormat="false" ht="15" hidden="false" customHeight="false" outlineLevel="0" collapsed="false">
      <c r="B24" s="68" t="s">
        <v>229</v>
      </c>
      <c r="C24" s="68"/>
      <c r="D24" s="68"/>
      <c r="E24" s="68"/>
      <c r="F24" s="68"/>
      <c r="G24" s="68"/>
      <c r="H24" s="68"/>
      <c r="I24" s="68"/>
      <c r="J24" s="68"/>
      <c r="K24" s="68"/>
      <c r="L24" s="68"/>
      <c r="M24" s="68"/>
      <c r="N24" s="68"/>
      <c r="O24" s="68"/>
      <c r="P24" s="68"/>
      <c r="Q24" s="68"/>
      <c r="R24" s="68"/>
      <c r="S24" s="68"/>
      <c r="T24" s="69" t="n">
        <f aca="false">SUM(T20:T23)</f>
        <v>0</v>
      </c>
      <c r="U24" s="69" t="n">
        <f aca="false">T24/12</f>
        <v>0</v>
      </c>
      <c r="V24" s="68"/>
    </row>
    <row r="25" customFormat="false" ht="15" hidden="false" customHeight="false" outlineLevel="0" collapsed="false">
      <c r="B25" s="17" t="s">
        <v>230</v>
      </c>
      <c r="T25" s="78" t="n">
        <f aca="false">SUMPRODUCT((D6:D13="USD")*E6:E13*S6:S13)</f>
        <v>0</v>
      </c>
    </row>
    <row r="27" customFormat="false" ht="15" hidden="false" customHeight="false" outlineLevel="0" collapsed="false">
      <c r="B27" s="9" t="s">
        <v>231</v>
      </c>
      <c r="C27" s="10"/>
      <c r="D27" s="10"/>
      <c r="E27" s="10"/>
      <c r="F27" s="10"/>
      <c r="G27" s="10"/>
      <c r="H27" s="10"/>
      <c r="I27" s="10"/>
      <c r="J27" s="10"/>
      <c r="K27" s="10"/>
      <c r="L27" s="10"/>
      <c r="M27" s="10"/>
      <c r="N27" s="10"/>
      <c r="O27" s="10"/>
      <c r="P27" s="10"/>
      <c r="Q27" s="10"/>
      <c r="R27" s="10"/>
      <c r="S27" s="10"/>
      <c r="T27" s="10"/>
      <c r="U27" s="10"/>
      <c r="V27" s="10"/>
    </row>
    <row r="28" customFormat="false" ht="15" hidden="false" customHeight="false" outlineLevel="0" collapsed="false">
      <c r="B28" s="17" t="s">
        <v>232</v>
      </c>
      <c r="G28" s="79" t="s">
        <v>233</v>
      </c>
      <c r="H28" s="79" t="s">
        <v>234</v>
      </c>
      <c r="I28" s="79" t="s">
        <v>235</v>
      </c>
      <c r="J28" s="79" t="s">
        <v>236</v>
      </c>
      <c r="K28" s="79" t="s">
        <v>237</v>
      </c>
      <c r="L28" s="79" t="s">
        <v>238</v>
      </c>
      <c r="M28" s="79" t="s">
        <v>239</v>
      </c>
      <c r="N28" s="79" t="s">
        <v>240</v>
      </c>
      <c r="O28" s="79" t="s">
        <v>241</v>
      </c>
      <c r="P28" s="79" t="s">
        <v>242</v>
      </c>
      <c r="Q28" s="79" t="s">
        <v>243</v>
      </c>
      <c r="R28" s="79" t="s">
        <v>244</v>
      </c>
    </row>
    <row r="29" customFormat="false" ht="15" hidden="false" customHeight="false" outlineLevel="0" collapsed="false">
      <c r="B29" s="17" t="s">
        <v>245</v>
      </c>
      <c r="G29" s="80"/>
      <c r="H29" s="80"/>
      <c r="I29" s="80"/>
      <c r="J29" s="80"/>
      <c r="K29" s="80"/>
      <c r="L29" s="80"/>
      <c r="M29" s="80"/>
      <c r="N29" s="80"/>
      <c r="O29" s="80"/>
      <c r="P29" s="80"/>
      <c r="Q29" s="80"/>
      <c r="R29" s="80"/>
    </row>
    <row r="30" customFormat="false" ht="15" hidden="false" customHeight="false" outlineLevel="0" collapsed="false">
      <c r="B30" s="17" t="s">
        <v>246</v>
      </c>
      <c r="E30" s="81" t="str">
        <f aca="false">IF(COUNT(G29:R29)=0,"",AVERAGE(G29:R29))</f>
        <v/>
      </c>
    </row>
    <row r="31" customFormat="false" ht="15" hidden="false" customHeight="false" outlineLevel="0" collapsed="false">
      <c r="B31" s="17" t="s">
        <v>247</v>
      </c>
      <c r="E31" s="81" t="str">
        <f aca="false">IF(COUNT(G29:R29)&lt;3,"",(SMALL(G29:R29,1)+SMALL(G29:R29,2)+SMALL(G29:R29,3))/3)</f>
        <v/>
      </c>
    </row>
    <row r="32" customFormat="false" ht="15" hidden="false" customHeight="false" outlineLevel="0" collapsed="false">
      <c r="B32" s="24" t="s">
        <v>248</v>
      </c>
      <c r="E32" s="82" t="str">
        <f aca="false">IF(OR(E30="",E31=""),"",MIN(E30,E31))</f>
        <v/>
      </c>
      <c r="G32" s="23" t="s">
        <v>249</v>
      </c>
    </row>
  </sheetData>
  <dataValidations count="3">
    <dataValidation allowBlank="true" error="Elige un valor de la lista." errorStyle="stop" errorTitle="Valor no válido" operator="between" showDropDown="false" showErrorMessage="true" showInputMessage="false" sqref="C6:C13" type="list">
      <formula1>Listas!$G$2:$G$5</formula1>
      <formula2>0</formula2>
    </dataValidation>
    <dataValidation allowBlank="true" error="Elige un valor de la lista." errorStyle="stop" errorTitle="Valor no válido" operator="between" showDropDown="false" showErrorMessage="true" showInputMessage="false" sqref="D6:D13" type="list">
      <formula1>Listas!$M$2:$M$3</formula1>
      <formula2>0</formula2>
    </dataValidation>
    <dataValidation allowBlank="true" error="Escribe un número entre 0 y 1." errorStyle="stop" errorTitle="Valor no válido" operator="between" showDropDown="false" showErrorMessage="true" showInputMessage="false" sqref="G6:R13 G17:R17" type="whole">
      <formula1>0</formula1>
      <formula2>1</formula2>
    </dataValidation>
  </dataValidations>
  <printOptions headings="false" gridLines="false" gridLinesSet="true" horizontalCentered="true" verticalCentered="false"/>
  <pageMargins left="0.4" right="0.4"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8A04A"/>
    <pageSetUpPr fitToPage="true"/>
  </sheetPr>
  <dimension ref="B1:M97"/>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18"/>
    <col collapsed="false" customWidth="true" hidden="false" outlineLevel="0" max="3" min="3" style="1" width="40"/>
    <col collapsed="false" customWidth="true" hidden="false" outlineLevel="0" max="4" min="4" style="1" width="15"/>
    <col collapsed="false" customWidth="true" hidden="false" outlineLevel="0" max="5" min="5" style="1" width="20"/>
    <col collapsed="false" customWidth="true" hidden="false" outlineLevel="0" max="7" min="6" style="1" width="9"/>
    <col collapsed="false" customWidth="true" hidden="false" outlineLevel="0" max="8" min="8" style="1" width="15"/>
    <col collapsed="false" customWidth="true" hidden="false" outlineLevel="0" max="9" min="9" style="1" width="14"/>
    <col collapsed="false" customWidth="true" hidden="false" outlineLevel="0" max="10" min="10" style="1" width="12"/>
    <col collapsed="false" customWidth="true" hidden="false" outlineLevel="0" max="11" min="11" style="1" width="18"/>
    <col collapsed="false" customWidth="true" hidden="false" outlineLevel="0" max="12" min="12" style="1" width="9"/>
    <col collapsed="false" customWidth="true" hidden="false" outlineLevel="0" max="13" min="13" style="1" width="38"/>
  </cols>
  <sheetData>
    <row r="1" customFormat="false" ht="24" hidden="false" customHeight="true" outlineLevel="0" collapsed="false">
      <c r="B1" s="27" t="s">
        <v>250</v>
      </c>
    </row>
    <row r="2" customFormat="false" ht="15" hidden="false" customHeight="false" outlineLevel="0" collapsed="false">
      <c r="B2" s="28" t="s">
        <v>251</v>
      </c>
      <c r="C2" s="29"/>
      <c r="D2" s="29"/>
      <c r="E2" s="29"/>
      <c r="F2" s="29"/>
      <c r="G2" s="29"/>
      <c r="H2" s="29"/>
      <c r="I2" s="29"/>
      <c r="J2" s="29"/>
      <c r="K2" s="29"/>
      <c r="L2" s="29"/>
      <c r="M2" s="29"/>
    </row>
    <row r="5" customFormat="false" ht="30" hidden="false" customHeight="true" outlineLevel="0" collapsed="false">
      <c r="B5" s="11" t="s">
        <v>43</v>
      </c>
      <c r="C5" s="12" t="s">
        <v>44</v>
      </c>
      <c r="D5" s="12" t="s">
        <v>45</v>
      </c>
      <c r="E5" s="12" t="s">
        <v>46</v>
      </c>
      <c r="F5" s="12" t="s">
        <v>252</v>
      </c>
      <c r="G5" s="12" t="s">
        <v>253</v>
      </c>
      <c r="H5" s="12" t="s">
        <v>217</v>
      </c>
      <c r="I5" s="12" t="s">
        <v>218</v>
      </c>
      <c r="J5" s="12" t="s">
        <v>200</v>
      </c>
      <c r="K5" s="12" t="s">
        <v>254</v>
      </c>
      <c r="L5" s="12" t="s">
        <v>255</v>
      </c>
      <c r="M5" s="12" t="s">
        <v>130</v>
      </c>
    </row>
    <row r="6" customFormat="false" ht="15" hidden="false" customHeight="false" outlineLevel="0" collapsed="false">
      <c r="B6" s="83" t="s">
        <v>13</v>
      </c>
      <c r="C6" s="83" t="s">
        <v>256</v>
      </c>
      <c r="D6" s="84" t="n">
        <f aca="false">Deudas!$F$21</f>
        <v>0</v>
      </c>
      <c r="E6" s="83" t="s">
        <v>257</v>
      </c>
      <c r="F6" s="83"/>
      <c r="G6" s="85" t="n">
        <f aca="false">IF(E6="","",IF(E6="Por duración (días)",IF(N(F6)&gt;0,365/F6,0),IF(E6="Meses con seguridad social",Ingresos!$S$17,IFERROR(VLOOKUP(E6,Listas!$C$2:$D$10,2,FALSE()),0))))</f>
        <v>12</v>
      </c>
      <c r="H6" s="45" t="n">
        <f aca="false">IF(OR(N(D6)=0,G6=""),0,D6*G6)</f>
        <v>0</v>
      </c>
      <c r="I6" s="45" t="n">
        <f aca="false">H6/12</f>
        <v>0</v>
      </c>
      <c r="J6" s="83" t="s">
        <v>258</v>
      </c>
      <c r="K6" s="83"/>
      <c r="L6" s="83" t="s">
        <v>259</v>
      </c>
      <c r="M6" s="34" t="s">
        <v>260</v>
      </c>
    </row>
    <row r="7" customFormat="false" ht="15" hidden="false" customHeight="false" outlineLevel="0" collapsed="false">
      <c r="B7" s="83" t="s">
        <v>17</v>
      </c>
      <c r="C7" s="83" t="s">
        <v>261</v>
      </c>
      <c r="D7" s="84" t="n">
        <f aca="false">Seguros!$H$16</f>
        <v>0</v>
      </c>
      <c r="E7" s="83" t="s">
        <v>262</v>
      </c>
      <c r="F7" s="83"/>
      <c r="G7" s="85" t="n">
        <f aca="false">IF(E7="","",IF(E7="Por duración (días)",IF(N(F7)&gt;0,365/F7,0),IF(E7="Meses con seguridad social",Ingresos!$S$17,IFERROR(VLOOKUP(E7,Listas!$C$2:$D$10,2,FALSE()),0))))</f>
        <v>1</v>
      </c>
      <c r="H7" s="45" t="n">
        <f aca="false">IF(OR(N(D7)=0,G7=""),0,D7*G7)</f>
        <v>0</v>
      </c>
      <c r="I7" s="45" t="n">
        <f aca="false">H7/12</f>
        <v>0</v>
      </c>
      <c r="J7" s="83" t="s">
        <v>254</v>
      </c>
      <c r="K7" s="83" t="s">
        <v>17</v>
      </c>
      <c r="L7" s="83" t="s">
        <v>259</v>
      </c>
      <c r="M7" s="34" t="s">
        <v>260</v>
      </c>
    </row>
    <row r="8" customFormat="false" ht="15" hidden="false" customHeight="false" outlineLevel="0" collapsed="false">
      <c r="B8" s="83" t="s">
        <v>15</v>
      </c>
      <c r="C8" s="83" t="str">
        <f aca="false">IF(Metas!$B$6="","(Meta sin usar)","Meta: "&amp;Metas!$B$6)</f>
        <v>(Meta sin usar)</v>
      </c>
      <c r="D8" s="84" t="n">
        <f aca="false">Metas!$K$6</f>
        <v>0</v>
      </c>
      <c r="E8" s="83" t="s">
        <v>257</v>
      </c>
      <c r="F8" s="83"/>
      <c r="G8" s="85" t="n">
        <f aca="false">IF(E8="","",IF(E8="Por duración (días)",IF(N(F8)&gt;0,365/F8,0),IF(E8="Meses con seguridad social",Ingresos!$S$17,IFERROR(VLOOKUP(E8,Listas!$C$2:$D$10,2,FALSE()),0))))</f>
        <v>12</v>
      </c>
      <c r="H8" s="45" t="n">
        <f aca="false">IF(OR(N(D8)=0,G8=""),0,D8*G8)</f>
        <v>0</v>
      </c>
      <c r="I8" s="45" t="n">
        <f aca="false">H8/12</f>
        <v>0</v>
      </c>
      <c r="J8" s="83" t="s">
        <v>254</v>
      </c>
      <c r="K8" s="83" t="str">
        <f aca="false">IF(Metas!$C$6="","Metas",Metas!$C$6)</f>
        <v>Metas</v>
      </c>
      <c r="L8" s="83" t="s">
        <v>263</v>
      </c>
      <c r="M8" s="34" t="s">
        <v>260</v>
      </c>
    </row>
    <row r="9" customFormat="false" ht="15" hidden="false" customHeight="false" outlineLevel="0" collapsed="false">
      <c r="B9" s="83" t="s">
        <v>15</v>
      </c>
      <c r="C9" s="83" t="str">
        <f aca="false">IF(Metas!$B$7="","(Meta sin usar)","Meta: "&amp;Metas!$B$7)</f>
        <v>(Meta sin usar)</v>
      </c>
      <c r="D9" s="84" t="n">
        <f aca="false">Metas!$K$7</f>
        <v>0</v>
      </c>
      <c r="E9" s="83" t="s">
        <v>257</v>
      </c>
      <c r="F9" s="83"/>
      <c r="G9" s="85" t="n">
        <f aca="false">IF(E9="","",IF(E9="Por duración (días)",IF(N(F9)&gt;0,365/F9,0),IF(E9="Meses con seguridad social",Ingresos!$S$17,IFERROR(VLOOKUP(E9,Listas!$C$2:$D$10,2,FALSE()),0))))</f>
        <v>12</v>
      </c>
      <c r="H9" s="45" t="n">
        <f aca="false">IF(OR(N(D9)=0,G9=""),0,D9*G9)</f>
        <v>0</v>
      </c>
      <c r="I9" s="45" t="n">
        <f aca="false">H9/12</f>
        <v>0</v>
      </c>
      <c r="J9" s="83" t="s">
        <v>254</v>
      </c>
      <c r="K9" s="83" t="str">
        <f aca="false">IF(Metas!$C$7="","Metas",Metas!$C$7)</f>
        <v>Metas</v>
      </c>
      <c r="L9" s="83" t="s">
        <v>263</v>
      </c>
      <c r="M9" s="34" t="s">
        <v>260</v>
      </c>
    </row>
    <row r="10" customFormat="false" ht="15" hidden="false" customHeight="false" outlineLevel="0" collapsed="false">
      <c r="B10" s="83" t="s">
        <v>15</v>
      </c>
      <c r="C10" s="83" t="str">
        <f aca="false">IF(Metas!$B$8="","(Meta sin usar)","Meta: "&amp;Metas!$B$8)</f>
        <v>(Meta sin usar)</v>
      </c>
      <c r="D10" s="84" t="n">
        <f aca="false">Metas!$K$8</f>
        <v>0</v>
      </c>
      <c r="E10" s="83" t="s">
        <v>257</v>
      </c>
      <c r="F10" s="83"/>
      <c r="G10" s="85" t="n">
        <f aca="false">IF(E10="","",IF(E10="Por duración (días)",IF(N(F10)&gt;0,365/F10,0),IF(E10="Meses con seguridad social",Ingresos!$S$17,IFERROR(VLOOKUP(E10,Listas!$C$2:$D$10,2,FALSE()),0))))</f>
        <v>12</v>
      </c>
      <c r="H10" s="45" t="n">
        <f aca="false">IF(OR(N(D10)=0,G10=""),0,D10*G10)</f>
        <v>0</v>
      </c>
      <c r="I10" s="45" t="n">
        <f aca="false">H10/12</f>
        <v>0</v>
      </c>
      <c r="J10" s="83" t="s">
        <v>254</v>
      </c>
      <c r="K10" s="83" t="str">
        <f aca="false">IF(Metas!$C$8="","Metas",Metas!$C$8)</f>
        <v>Metas</v>
      </c>
      <c r="L10" s="83" t="s">
        <v>263</v>
      </c>
      <c r="M10" s="34" t="s">
        <v>260</v>
      </c>
    </row>
    <row r="11" customFormat="false" ht="15" hidden="false" customHeight="false" outlineLevel="0" collapsed="false">
      <c r="B11" s="83" t="s">
        <v>15</v>
      </c>
      <c r="C11" s="83" t="str">
        <f aca="false">IF(Metas!$B$9="","(Meta sin usar)","Meta: "&amp;Metas!$B$9)</f>
        <v>(Meta sin usar)</v>
      </c>
      <c r="D11" s="84" t="n">
        <f aca="false">Metas!$K$9</f>
        <v>0</v>
      </c>
      <c r="E11" s="83" t="s">
        <v>257</v>
      </c>
      <c r="F11" s="83"/>
      <c r="G11" s="85" t="n">
        <f aca="false">IF(E11="","",IF(E11="Por duración (días)",IF(N(F11)&gt;0,365/F11,0),IF(E11="Meses con seguridad social",Ingresos!$S$17,IFERROR(VLOOKUP(E11,Listas!$C$2:$D$10,2,FALSE()),0))))</f>
        <v>12</v>
      </c>
      <c r="H11" s="45" t="n">
        <f aca="false">IF(OR(N(D11)=0,G11=""),0,D11*G11)</f>
        <v>0</v>
      </c>
      <c r="I11" s="45" t="n">
        <f aca="false">H11/12</f>
        <v>0</v>
      </c>
      <c r="J11" s="83" t="s">
        <v>254</v>
      </c>
      <c r="K11" s="83" t="str">
        <f aca="false">IF(Metas!$C$9="","Metas",Metas!$C$9)</f>
        <v>Metas</v>
      </c>
      <c r="L11" s="83" t="s">
        <v>263</v>
      </c>
      <c r="M11" s="34" t="s">
        <v>260</v>
      </c>
    </row>
    <row r="12" customFormat="false" ht="15" hidden="false" customHeight="false" outlineLevel="0" collapsed="false">
      <c r="B12" s="83" t="s">
        <v>15</v>
      </c>
      <c r="C12" s="83" t="str">
        <f aca="false">IF(Metas!$B$10="","(Meta sin usar)","Meta: "&amp;Metas!$B$10)</f>
        <v>(Meta sin usar)</v>
      </c>
      <c r="D12" s="84" t="n">
        <f aca="false">Metas!$K$10</f>
        <v>0</v>
      </c>
      <c r="E12" s="83" t="s">
        <v>257</v>
      </c>
      <c r="F12" s="83"/>
      <c r="G12" s="85" t="n">
        <f aca="false">IF(E12="","",IF(E12="Por duración (días)",IF(N(F12)&gt;0,365/F12,0),IF(E12="Meses con seguridad social",Ingresos!$S$17,IFERROR(VLOOKUP(E12,Listas!$C$2:$D$10,2,FALSE()),0))))</f>
        <v>12</v>
      </c>
      <c r="H12" s="45" t="n">
        <f aca="false">IF(OR(N(D12)=0,G12=""),0,D12*G12)</f>
        <v>0</v>
      </c>
      <c r="I12" s="45" t="n">
        <f aca="false">H12/12</f>
        <v>0</v>
      </c>
      <c r="J12" s="83" t="s">
        <v>254</v>
      </c>
      <c r="K12" s="83" t="str">
        <f aca="false">IF(Metas!$C$10="","Metas",Metas!$C$10)</f>
        <v>Metas</v>
      </c>
      <c r="L12" s="83" t="s">
        <v>263</v>
      </c>
      <c r="M12" s="34" t="s">
        <v>260</v>
      </c>
    </row>
    <row r="13" customFormat="false" ht="15" hidden="false" customHeight="false" outlineLevel="0" collapsed="false">
      <c r="B13" s="61" t="s">
        <v>222</v>
      </c>
      <c r="C13" s="61" t="s">
        <v>264</v>
      </c>
      <c r="D13" s="62"/>
      <c r="E13" s="61" t="s">
        <v>265</v>
      </c>
      <c r="F13" s="86"/>
      <c r="G13" s="85" t="n">
        <f aca="false">IF(E13="","",IF(E13="Por duración (días)",IF(N(F13)&gt;0,365/F13,0),IF(E13="Meses con seguridad social",Ingresos!$S$17,IFERROR(VLOOKUP(E13,Listas!$C$2:$D$10,2,FALSE()),0))))</f>
        <v>12</v>
      </c>
      <c r="H13" s="45" t="n">
        <f aca="false">IF(OR(N(D13)=0,G13=""),0,D13*G13)</f>
        <v>0</v>
      </c>
      <c r="I13" s="45" t="n">
        <f aca="false">H13/12</f>
        <v>0</v>
      </c>
      <c r="J13" s="61" t="s">
        <v>266</v>
      </c>
      <c r="K13" s="61"/>
      <c r="L13" s="61" t="s">
        <v>259</v>
      </c>
      <c r="M13" s="61" t="s">
        <v>267</v>
      </c>
    </row>
    <row r="14" customFormat="false" ht="15" hidden="false" customHeight="false" outlineLevel="0" collapsed="false">
      <c r="B14" s="61" t="s">
        <v>268</v>
      </c>
      <c r="C14" s="61" t="s">
        <v>269</v>
      </c>
      <c r="D14" s="62"/>
      <c r="E14" s="61" t="s">
        <v>257</v>
      </c>
      <c r="F14" s="86"/>
      <c r="G14" s="85" t="n">
        <f aca="false">IF(E14="","",IF(E14="Por duración (días)",IF(N(F14)&gt;0,365/F14,0),IF(E14="Meses con seguridad social",Ingresos!$S$17,IFERROR(VLOOKUP(E14,Listas!$C$2:$D$10,2,FALSE()),0))))</f>
        <v>12</v>
      </c>
      <c r="H14" s="45" t="n">
        <f aca="false">IF(OR(N(D14)=0,G14=""),0,D14*G14)</f>
        <v>0</v>
      </c>
      <c r="I14" s="45" t="n">
        <f aca="false">H14/12</f>
        <v>0</v>
      </c>
      <c r="J14" s="61" t="s">
        <v>270</v>
      </c>
      <c r="K14" s="61"/>
      <c r="L14" s="61" t="s">
        <v>259</v>
      </c>
      <c r="M14" s="61"/>
    </row>
    <row r="15" customFormat="false" ht="15" hidden="false" customHeight="false" outlineLevel="0" collapsed="false">
      <c r="B15" s="61" t="s">
        <v>268</v>
      </c>
      <c r="C15" s="61" t="s">
        <v>271</v>
      </c>
      <c r="D15" s="62"/>
      <c r="E15" s="61" t="s">
        <v>257</v>
      </c>
      <c r="F15" s="86"/>
      <c r="G15" s="85" t="n">
        <f aca="false">IF(E15="","",IF(E15="Por duración (días)",IF(N(F15)&gt;0,365/F15,0),IF(E15="Meses con seguridad social",Ingresos!$S$17,IFERROR(VLOOKUP(E15,Listas!$C$2:$D$10,2,FALSE()),0))))</f>
        <v>12</v>
      </c>
      <c r="H15" s="45" t="n">
        <f aca="false">IF(OR(N(D15)=0,G15=""),0,D15*G15)</f>
        <v>0</v>
      </c>
      <c r="I15" s="45" t="n">
        <f aca="false">H15/12</f>
        <v>0</v>
      </c>
      <c r="J15" s="61" t="s">
        <v>270</v>
      </c>
      <c r="K15" s="61"/>
      <c r="L15" s="61" t="s">
        <v>259</v>
      </c>
      <c r="M15" s="61"/>
    </row>
    <row r="16" customFormat="false" ht="15" hidden="false" customHeight="false" outlineLevel="0" collapsed="false">
      <c r="B16" s="61" t="s">
        <v>268</v>
      </c>
      <c r="C16" s="61" t="s">
        <v>272</v>
      </c>
      <c r="D16" s="62"/>
      <c r="E16" s="61" t="s">
        <v>257</v>
      </c>
      <c r="F16" s="86"/>
      <c r="G16" s="85" t="n">
        <f aca="false">IF(E16="","",IF(E16="Por duración (días)",IF(N(F16)&gt;0,365/F16,0),IF(E16="Meses con seguridad social",Ingresos!$S$17,IFERROR(VLOOKUP(E16,Listas!$C$2:$D$10,2,FALSE()),0))))</f>
        <v>12</v>
      </c>
      <c r="H16" s="45" t="n">
        <f aca="false">IF(OR(N(D16)=0,G16=""),0,D16*G16)</f>
        <v>0</v>
      </c>
      <c r="I16" s="45" t="n">
        <f aca="false">H16/12</f>
        <v>0</v>
      </c>
      <c r="J16" s="61" t="s">
        <v>270</v>
      </c>
      <c r="K16" s="61"/>
      <c r="L16" s="61" t="s">
        <v>259</v>
      </c>
      <c r="M16" s="61"/>
    </row>
    <row r="17" customFormat="false" ht="15" hidden="false" customHeight="false" outlineLevel="0" collapsed="false">
      <c r="B17" s="61" t="s">
        <v>268</v>
      </c>
      <c r="C17" s="61" t="s">
        <v>273</v>
      </c>
      <c r="D17" s="62"/>
      <c r="E17" s="61" t="s">
        <v>257</v>
      </c>
      <c r="F17" s="86"/>
      <c r="G17" s="85" t="n">
        <f aca="false">IF(E17="","",IF(E17="Por duración (días)",IF(N(F17)&gt;0,365/F17,0),IF(E17="Meses con seguridad social",Ingresos!$S$17,IFERROR(VLOOKUP(E17,Listas!$C$2:$D$10,2,FALSE()),0))))</f>
        <v>12</v>
      </c>
      <c r="H17" s="45" t="n">
        <f aca="false">IF(OR(N(D17)=0,G17=""),0,D17*G17)</f>
        <v>0</v>
      </c>
      <c r="I17" s="45" t="n">
        <f aca="false">H17/12</f>
        <v>0</v>
      </c>
      <c r="J17" s="61" t="s">
        <v>270</v>
      </c>
      <c r="K17" s="61"/>
      <c r="L17" s="61" t="s">
        <v>259</v>
      </c>
      <c r="M17" s="61"/>
    </row>
    <row r="18" customFormat="false" ht="15" hidden="false" customHeight="false" outlineLevel="0" collapsed="false">
      <c r="B18" s="61" t="s">
        <v>268</v>
      </c>
      <c r="C18" s="61" t="s">
        <v>274</v>
      </c>
      <c r="D18" s="62"/>
      <c r="E18" s="61" t="s">
        <v>257</v>
      </c>
      <c r="F18" s="86"/>
      <c r="G18" s="85" t="n">
        <f aca="false">IF(E18="","",IF(E18="Por duración (días)",IF(N(F18)&gt;0,365/F18,0),IF(E18="Meses con seguridad social",Ingresos!$S$17,IFERROR(VLOOKUP(E18,Listas!$C$2:$D$10,2,FALSE()),0))))</f>
        <v>12</v>
      </c>
      <c r="H18" s="45" t="n">
        <f aca="false">IF(OR(N(D18)=0,G18=""),0,D18*G18)</f>
        <v>0</v>
      </c>
      <c r="I18" s="45" t="n">
        <f aca="false">H18/12</f>
        <v>0</v>
      </c>
      <c r="J18" s="61" t="s">
        <v>270</v>
      </c>
      <c r="K18" s="61"/>
      <c r="L18" s="61" t="s">
        <v>263</v>
      </c>
      <c r="M18" s="61"/>
    </row>
    <row r="19" customFormat="false" ht="15" hidden="false" customHeight="false" outlineLevel="0" collapsed="false">
      <c r="B19" s="61" t="s">
        <v>268</v>
      </c>
      <c r="C19" s="61" t="s">
        <v>275</v>
      </c>
      <c r="D19" s="62"/>
      <c r="E19" s="61" t="s">
        <v>257</v>
      </c>
      <c r="F19" s="86"/>
      <c r="G19" s="85" t="n">
        <f aca="false">IF(E19="","",IF(E19="Por duración (días)",IF(N(F19)&gt;0,365/F19,0),IF(E19="Meses con seguridad social",Ingresos!$S$17,IFERROR(VLOOKUP(E19,Listas!$C$2:$D$10,2,FALSE()),0))))</f>
        <v>12</v>
      </c>
      <c r="H19" s="45" t="n">
        <f aca="false">IF(OR(N(D19)=0,G19=""),0,D19*G19)</f>
        <v>0</v>
      </c>
      <c r="I19" s="45" t="n">
        <f aca="false">H19/12</f>
        <v>0</v>
      </c>
      <c r="J19" s="61" t="s">
        <v>270</v>
      </c>
      <c r="K19" s="61"/>
      <c r="L19" s="61" t="s">
        <v>263</v>
      </c>
      <c r="M19" s="61"/>
    </row>
    <row r="20" customFormat="false" ht="15" hidden="false" customHeight="false" outlineLevel="0" collapsed="false">
      <c r="B20" s="61" t="s">
        <v>276</v>
      </c>
      <c r="C20" s="61" t="s">
        <v>277</v>
      </c>
      <c r="D20" s="62"/>
      <c r="E20" s="61" t="s">
        <v>262</v>
      </c>
      <c r="F20" s="86"/>
      <c r="G20" s="85" t="n">
        <f aca="false">IF(E20="","",IF(E20="Por duración (días)",IF(N(F20)&gt;0,365/F20,0),IF(E20="Meses con seguridad social",Ingresos!$S$17,IFERROR(VLOOKUP(E20,Listas!$C$2:$D$10,2,FALSE()),0))))</f>
        <v>1</v>
      </c>
      <c r="H20" s="45" t="n">
        <f aca="false">IF(OR(N(D20)=0,G20=""),0,D20*G20)</f>
        <v>0</v>
      </c>
      <c r="I20" s="45" t="n">
        <f aca="false">H20/12</f>
        <v>0</v>
      </c>
      <c r="J20" s="61" t="s">
        <v>254</v>
      </c>
      <c r="K20" s="61" t="s">
        <v>276</v>
      </c>
      <c r="L20" s="61" t="s">
        <v>259</v>
      </c>
      <c r="M20" s="61"/>
    </row>
    <row r="21" customFormat="false" ht="15" hidden="false" customHeight="false" outlineLevel="0" collapsed="false">
      <c r="B21" s="61" t="s">
        <v>48</v>
      </c>
      <c r="C21" s="61" t="s">
        <v>49</v>
      </c>
      <c r="D21" s="62"/>
      <c r="E21" s="61" t="s">
        <v>50</v>
      </c>
      <c r="F21" s="86"/>
      <c r="G21" s="85" t="n">
        <f aca="false">IF(E21="","",IF(E21="Por duración (días)",IF(N(F21)&gt;0,365/F21,0),IF(E21="Meses con seguridad social",Ingresos!$S$17,IFERROR(VLOOKUP(E21,Listas!$C$2:$D$10,2,FALSE()),0))))</f>
        <v>52</v>
      </c>
      <c r="H21" s="45" t="n">
        <f aca="false">IF(OR(N(D21)=0,G21=""),0,D21*G21)</f>
        <v>0</v>
      </c>
      <c r="I21" s="45" t="n">
        <f aca="false">H21/12</f>
        <v>0</v>
      </c>
      <c r="J21" s="61" t="s">
        <v>270</v>
      </c>
      <c r="K21" s="61"/>
      <c r="L21" s="61" t="s">
        <v>259</v>
      </c>
      <c r="M21" s="61"/>
    </row>
    <row r="22" customFormat="false" ht="15" hidden="false" customHeight="false" outlineLevel="0" collapsed="false">
      <c r="B22" s="61" t="s">
        <v>48</v>
      </c>
      <c r="C22" s="61" t="s">
        <v>278</v>
      </c>
      <c r="D22" s="62"/>
      <c r="E22" s="61" t="s">
        <v>257</v>
      </c>
      <c r="F22" s="86"/>
      <c r="G22" s="85" t="n">
        <f aca="false">IF(E22="","",IF(E22="Por duración (días)",IF(N(F22)&gt;0,365/F22,0),IF(E22="Meses con seguridad social",Ingresos!$S$17,IFERROR(VLOOKUP(E22,Listas!$C$2:$D$10,2,FALSE()),0))))</f>
        <v>12</v>
      </c>
      <c r="H22" s="45" t="n">
        <f aca="false">IF(OR(N(D22)=0,G22=""),0,D22*G22)</f>
        <v>0</v>
      </c>
      <c r="I22" s="45" t="n">
        <f aca="false">H22/12</f>
        <v>0</v>
      </c>
      <c r="J22" s="61" t="s">
        <v>270</v>
      </c>
      <c r="K22" s="61"/>
      <c r="L22" s="61" t="s">
        <v>263</v>
      </c>
      <c r="M22" s="61"/>
    </row>
    <row r="23" customFormat="false" ht="15" hidden="false" customHeight="false" outlineLevel="0" collapsed="false">
      <c r="B23" s="61" t="s">
        <v>48</v>
      </c>
      <c r="C23" s="61" t="s">
        <v>279</v>
      </c>
      <c r="D23" s="62"/>
      <c r="E23" s="61" t="s">
        <v>257</v>
      </c>
      <c r="F23" s="86"/>
      <c r="G23" s="85" t="n">
        <f aca="false">IF(E23="","",IF(E23="Por duración (días)",IF(N(F23)&gt;0,365/F23,0),IF(E23="Meses con seguridad social",Ingresos!$S$17,IFERROR(VLOOKUP(E23,Listas!$C$2:$D$10,2,FALSE()),0))))</f>
        <v>12</v>
      </c>
      <c r="H23" s="45" t="n">
        <f aca="false">IF(OR(N(D23)=0,G23=""),0,D23*G23)</f>
        <v>0</v>
      </c>
      <c r="I23" s="45" t="n">
        <f aca="false">H23/12</f>
        <v>0</v>
      </c>
      <c r="J23" s="61" t="s">
        <v>270</v>
      </c>
      <c r="K23" s="61"/>
      <c r="L23" s="61" t="s">
        <v>263</v>
      </c>
      <c r="M23" s="61"/>
    </row>
    <row r="24" customFormat="false" ht="15" hidden="false" customHeight="false" outlineLevel="0" collapsed="false">
      <c r="B24" s="61" t="s">
        <v>280</v>
      </c>
      <c r="C24" s="61" t="s">
        <v>281</v>
      </c>
      <c r="D24" s="62"/>
      <c r="E24" s="61" t="s">
        <v>257</v>
      </c>
      <c r="F24" s="86"/>
      <c r="G24" s="85" t="n">
        <f aca="false">IF(E24="","",IF(E24="Por duración (días)",IF(N(F24)&gt;0,365/F24,0),IF(E24="Meses con seguridad social",Ingresos!$S$17,IFERROR(VLOOKUP(E24,Listas!$C$2:$D$10,2,FALSE()),0))))</f>
        <v>12</v>
      </c>
      <c r="H24" s="45" t="n">
        <f aca="false">IF(OR(N(D24)=0,G24=""),0,D24*G24)</f>
        <v>0</v>
      </c>
      <c r="I24" s="45" t="n">
        <f aca="false">H24/12</f>
        <v>0</v>
      </c>
      <c r="J24" s="61" t="s">
        <v>270</v>
      </c>
      <c r="K24" s="61"/>
      <c r="L24" s="61" t="s">
        <v>259</v>
      </c>
      <c r="M24" s="61"/>
    </row>
    <row r="25" customFormat="false" ht="15" hidden="false" customHeight="false" outlineLevel="0" collapsed="false">
      <c r="B25" s="61" t="s">
        <v>280</v>
      </c>
      <c r="C25" s="61" t="s">
        <v>282</v>
      </c>
      <c r="D25" s="62"/>
      <c r="E25" s="61" t="s">
        <v>257</v>
      </c>
      <c r="F25" s="86"/>
      <c r="G25" s="85" t="n">
        <f aca="false">IF(E25="","",IF(E25="Por duración (días)",IF(N(F25)&gt;0,365/F25,0),IF(E25="Meses con seguridad social",Ingresos!$S$17,IFERROR(VLOOKUP(E25,Listas!$C$2:$D$10,2,FALSE()),0))))</f>
        <v>12</v>
      </c>
      <c r="H25" s="45" t="n">
        <f aca="false">IF(OR(N(D25)=0,G25=""),0,D25*G25)</f>
        <v>0</v>
      </c>
      <c r="I25" s="45" t="n">
        <f aca="false">H25/12</f>
        <v>0</v>
      </c>
      <c r="J25" s="61" t="s">
        <v>270</v>
      </c>
      <c r="K25" s="61"/>
      <c r="L25" s="61" t="s">
        <v>263</v>
      </c>
      <c r="M25" s="61"/>
    </row>
    <row r="26" customFormat="false" ht="15" hidden="false" customHeight="false" outlineLevel="0" collapsed="false">
      <c r="B26" s="61" t="s">
        <v>280</v>
      </c>
      <c r="C26" s="61" t="s">
        <v>283</v>
      </c>
      <c r="D26" s="62"/>
      <c r="E26" s="61" t="s">
        <v>257</v>
      </c>
      <c r="F26" s="86"/>
      <c r="G26" s="85" t="n">
        <f aca="false">IF(E26="","",IF(E26="Por duración (días)",IF(N(F26)&gt;0,365/F26,0),IF(E26="Meses con seguridad social",Ingresos!$S$17,IFERROR(VLOOKUP(E26,Listas!$C$2:$D$10,2,FALSE()),0))))</f>
        <v>12</v>
      </c>
      <c r="H26" s="45" t="n">
        <f aca="false">IF(OR(N(D26)=0,G26=""),0,D26*G26)</f>
        <v>0</v>
      </c>
      <c r="I26" s="45" t="n">
        <f aca="false">H26/12</f>
        <v>0</v>
      </c>
      <c r="J26" s="61" t="s">
        <v>270</v>
      </c>
      <c r="K26" s="61"/>
      <c r="L26" s="61" t="s">
        <v>259</v>
      </c>
      <c r="M26" s="61"/>
    </row>
    <row r="27" customFormat="false" ht="15" hidden="false" customHeight="false" outlineLevel="0" collapsed="false">
      <c r="B27" s="61" t="s">
        <v>280</v>
      </c>
      <c r="C27" s="61" t="s">
        <v>284</v>
      </c>
      <c r="D27" s="62"/>
      <c r="E27" s="61" t="s">
        <v>262</v>
      </c>
      <c r="F27" s="86"/>
      <c r="G27" s="85" t="n">
        <f aca="false">IF(E27="","",IF(E27="Por duración (días)",IF(N(F27)&gt;0,365/F27,0),IF(E27="Meses con seguridad social",Ingresos!$S$17,IFERROR(VLOOKUP(E27,Listas!$C$2:$D$10,2,FALSE()),0))))</f>
        <v>1</v>
      </c>
      <c r="H27" s="45" t="n">
        <f aca="false">IF(OR(N(D27)=0,G27=""),0,D27*G27)</f>
        <v>0</v>
      </c>
      <c r="I27" s="45" t="n">
        <f aca="false">H27/12</f>
        <v>0</v>
      </c>
      <c r="J27" s="61" t="s">
        <v>254</v>
      </c>
      <c r="K27" s="61" t="s">
        <v>285</v>
      </c>
      <c r="L27" s="61" t="s">
        <v>259</v>
      </c>
      <c r="M27" s="61"/>
    </row>
    <row r="28" customFormat="false" ht="15" hidden="false" customHeight="false" outlineLevel="0" collapsed="false">
      <c r="B28" s="61" t="s">
        <v>280</v>
      </c>
      <c r="C28" s="61" t="s">
        <v>286</v>
      </c>
      <c r="D28" s="62"/>
      <c r="E28" s="61" t="s">
        <v>262</v>
      </c>
      <c r="F28" s="86"/>
      <c r="G28" s="85" t="n">
        <f aca="false">IF(E28="","",IF(E28="Por duración (días)",IF(N(F28)&gt;0,365/F28,0),IF(E28="Meses con seguridad social",Ingresos!$S$17,IFERROR(VLOOKUP(E28,Listas!$C$2:$D$10,2,FALSE()),0))))</f>
        <v>1</v>
      </c>
      <c r="H28" s="45" t="n">
        <f aca="false">IF(OR(N(D28)=0,G28=""),0,D28*G28)</f>
        <v>0</v>
      </c>
      <c r="I28" s="45" t="n">
        <f aca="false">H28/12</f>
        <v>0</v>
      </c>
      <c r="J28" s="61" t="s">
        <v>254</v>
      </c>
      <c r="K28" s="61" t="s">
        <v>285</v>
      </c>
      <c r="L28" s="61" t="s">
        <v>259</v>
      </c>
      <c r="M28" s="61" t="s">
        <v>287</v>
      </c>
    </row>
    <row r="29" customFormat="false" ht="15" hidden="false" customHeight="false" outlineLevel="0" collapsed="false">
      <c r="B29" s="61" t="s">
        <v>280</v>
      </c>
      <c r="C29" s="61" t="s">
        <v>288</v>
      </c>
      <c r="D29" s="62"/>
      <c r="E29" s="61" t="s">
        <v>289</v>
      </c>
      <c r="F29" s="86"/>
      <c r="G29" s="85" t="n">
        <f aca="false">IF(E29="","",IF(E29="Por duración (días)",IF(N(F29)&gt;0,365/F29,0),IF(E29="Meses con seguridad social",Ingresos!$S$17,IFERROR(VLOOKUP(E29,Listas!$C$2:$D$10,2,FALSE()),0))))</f>
        <v>2</v>
      </c>
      <c r="H29" s="45" t="n">
        <f aca="false">IF(OR(N(D29)=0,G29=""),0,D29*G29)</f>
        <v>0</v>
      </c>
      <c r="I29" s="45" t="n">
        <f aca="false">H29/12</f>
        <v>0</v>
      </c>
      <c r="J29" s="61" t="s">
        <v>254</v>
      </c>
      <c r="K29" s="61" t="s">
        <v>285</v>
      </c>
      <c r="L29" s="61" t="s">
        <v>263</v>
      </c>
      <c r="M29" s="61"/>
    </row>
    <row r="30" customFormat="false" ht="15" hidden="false" customHeight="false" outlineLevel="0" collapsed="false">
      <c r="B30" s="61" t="s">
        <v>276</v>
      </c>
      <c r="C30" s="61" t="s">
        <v>290</v>
      </c>
      <c r="D30" s="62"/>
      <c r="E30" s="61" t="s">
        <v>262</v>
      </c>
      <c r="F30" s="86"/>
      <c r="G30" s="85" t="n">
        <f aca="false">IF(E30="","",IF(E30="Por duración (días)",IF(N(F30)&gt;0,365/F30,0),IF(E30="Meses con seguridad social",Ingresos!$S$17,IFERROR(VLOOKUP(E30,Listas!$C$2:$D$10,2,FALSE()),0))))</f>
        <v>1</v>
      </c>
      <c r="H30" s="45" t="n">
        <f aca="false">IF(OR(N(D30)=0,G30=""),0,D30*G30)</f>
        <v>0</v>
      </c>
      <c r="I30" s="45" t="n">
        <f aca="false">H30/12</f>
        <v>0</v>
      </c>
      <c r="J30" s="61" t="s">
        <v>254</v>
      </c>
      <c r="K30" s="61" t="s">
        <v>276</v>
      </c>
      <c r="L30" s="61" t="s">
        <v>259</v>
      </c>
      <c r="M30" s="61"/>
    </row>
    <row r="31" customFormat="false" ht="15" hidden="false" customHeight="false" outlineLevel="0" collapsed="false">
      <c r="B31" s="61" t="s">
        <v>291</v>
      </c>
      <c r="C31" s="61" t="s">
        <v>292</v>
      </c>
      <c r="D31" s="62"/>
      <c r="E31" s="61" t="s">
        <v>257</v>
      </c>
      <c r="F31" s="86"/>
      <c r="G31" s="85" t="n">
        <f aca="false">IF(E31="","",IF(E31="Por duración (días)",IF(N(F31)&gt;0,365/F31,0),IF(E31="Meses con seguridad social",Ingresos!$S$17,IFERROR(VLOOKUP(E31,Listas!$C$2:$D$10,2,FALSE()),0))))</f>
        <v>12</v>
      </c>
      <c r="H31" s="45" t="n">
        <f aca="false">IF(OR(N(D31)=0,G31=""),0,D31*G31)</f>
        <v>0</v>
      </c>
      <c r="I31" s="45" t="n">
        <f aca="false">H31/12</f>
        <v>0</v>
      </c>
      <c r="J31" s="61" t="s">
        <v>270</v>
      </c>
      <c r="K31" s="61"/>
      <c r="L31" s="61" t="s">
        <v>259</v>
      </c>
      <c r="M31" s="61"/>
    </row>
    <row r="32" customFormat="false" ht="15" hidden="false" customHeight="false" outlineLevel="0" collapsed="false">
      <c r="B32" s="61" t="s">
        <v>291</v>
      </c>
      <c r="C32" s="61" t="s">
        <v>293</v>
      </c>
      <c r="D32" s="62"/>
      <c r="E32" s="61" t="s">
        <v>257</v>
      </c>
      <c r="F32" s="86"/>
      <c r="G32" s="85" t="n">
        <f aca="false">IF(E32="","",IF(E32="Por duración (días)",IF(N(F32)&gt;0,365/F32,0),IF(E32="Meses con seguridad social",Ingresos!$S$17,IFERROR(VLOOKUP(E32,Listas!$C$2:$D$10,2,FALSE()),0))))</f>
        <v>12</v>
      </c>
      <c r="H32" s="45" t="n">
        <f aca="false">IF(OR(N(D32)=0,G32=""),0,D32*G32)</f>
        <v>0</v>
      </c>
      <c r="I32" s="45" t="n">
        <f aca="false">H32/12</f>
        <v>0</v>
      </c>
      <c r="J32" s="61" t="s">
        <v>270</v>
      </c>
      <c r="K32" s="61"/>
      <c r="L32" s="61" t="s">
        <v>259</v>
      </c>
      <c r="M32" s="61"/>
    </row>
    <row r="33" customFormat="false" ht="15" hidden="false" customHeight="false" outlineLevel="0" collapsed="false">
      <c r="B33" s="61" t="s">
        <v>291</v>
      </c>
      <c r="C33" s="61" t="s">
        <v>294</v>
      </c>
      <c r="D33" s="62"/>
      <c r="E33" s="61" t="s">
        <v>257</v>
      </c>
      <c r="F33" s="86"/>
      <c r="G33" s="85" t="n">
        <f aca="false">IF(E33="","",IF(E33="Por duración (días)",IF(N(F33)&gt;0,365/F33,0),IF(E33="Meses con seguridad social",Ingresos!$S$17,IFERROR(VLOOKUP(E33,Listas!$C$2:$D$10,2,FALSE()),0))))</f>
        <v>12</v>
      </c>
      <c r="H33" s="45" t="n">
        <f aca="false">IF(OR(N(D33)=0,G33=""),0,D33*G33)</f>
        <v>0</v>
      </c>
      <c r="I33" s="45" t="n">
        <f aca="false">H33/12</f>
        <v>0</v>
      </c>
      <c r="J33" s="61" t="s">
        <v>270</v>
      </c>
      <c r="K33" s="61"/>
      <c r="L33" s="61" t="s">
        <v>263</v>
      </c>
      <c r="M33" s="61"/>
    </row>
    <row r="34" customFormat="false" ht="15" hidden="false" customHeight="false" outlineLevel="0" collapsed="false">
      <c r="B34" s="61" t="s">
        <v>291</v>
      </c>
      <c r="C34" s="61" t="s">
        <v>295</v>
      </c>
      <c r="D34" s="62"/>
      <c r="E34" s="61" t="s">
        <v>257</v>
      </c>
      <c r="F34" s="86"/>
      <c r="G34" s="85" t="n">
        <f aca="false">IF(E34="","",IF(E34="Por duración (días)",IF(N(F34)&gt;0,365/F34,0),IF(E34="Meses con seguridad social",Ingresos!$S$17,IFERROR(VLOOKUP(E34,Listas!$C$2:$D$10,2,FALSE()),0))))</f>
        <v>12</v>
      </c>
      <c r="H34" s="45" t="n">
        <f aca="false">IF(OR(N(D34)=0,G34=""),0,D34*G34)</f>
        <v>0</v>
      </c>
      <c r="I34" s="45" t="n">
        <f aca="false">H34/12</f>
        <v>0</v>
      </c>
      <c r="J34" s="61" t="s">
        <v>270</v>
      </c>
      <c r="K34" s="61"/>
      <c r="L34" s="61" t="s">
        <v>263</v>
      </c>
      <c r="M34" s="61" t="s">
        <v>296</v>
      </c>
    </row>
    <row r="35" customFormat="false" ht="15" hidden="false" customHeight="false" outlineLevel="0" collapsed="false">
      <c r="B35" s="61" t="s">
        <v>291</v>
      </c>
      <c r="C35" s="61" t="s">
        <v>297</v>
      </c>
      <c r="D35" s="62"/>
      <c r="E35" s="61" t="s">
        <v>298</v>
      </c>
      <c r="F35" s="86"/>
      <c r="G35" s="85" t="n">
        <f aca="false">IF(E35="","",IF(E35="Por duración (días)",IF(N(F35)&gt;0,365/F35,0),IF(E35="Meses con seguridad social",Ingresos!$S$17,IFERROR(VLOOKUP(E35,Listas!$C$2:$D$10,2,FALSE()),0))))</f>
        <v>0</v>
      </c>
      <c r="H35" s="45" t="n">
        <f aca="false">IF(OR(N(D35)=0,G35=""),0,D35*G35)</f>
        <v>0</v>
      </c>
      <c r="I35" s="45" t="n">
        <f aca="false">H35/12</f>
        <v>0</v>
      </c>
      <c r="J35" s="61" t="s">
        <v>254</v>
      </c>
      <c r="K35" s="61" t="s">
        <v>299</v>
      </c>
      <c r="L35" s="61" t="s">
        <v>263</v>
      </c>
      <c r="M35" s="61" t="s">
        <v>300</v>
      </c>
    </row>
    <row r="36" customFormat="false" ht="15" hidden="false" customHeight="false" outlineLevel="0" collapsed="false">
      <c r="B36" s="61" t="s">
        <v>301</v>
      </c>
      <c r="C36" s="61" t="s">
        <v>302</v>
      </c>
      <c r="D36" s="62"/>
      <c r="E36" s="61" t="s">
        <v>257</v>
      </c>
      <c r="F36" s="86"/>
      <c r="G36" s="85" t="n">
        <f aca="false">IF(E36="","",IF(E36="Por duración (días)",IF(N(F36)&gt;0,365/F36,0),IF(E36="Meses con seguridad social",Ingresos!$S$17,IFERROR(VLOOKUP(E36,Listas!$C$2:$D$10,2,FALSE()),0))))</f>
        <v>12</v>
      </c>
      <c r="H36" s="45" t="n">
        <f aca="false">IF(OR(N(D36)=0,G36=""),0,D36*G36)</f>
        <v>0</v>
      </c>
      <c r="I36" s="45" t="n">
        <f aca="false">H36/12</f>
        <v>0</v>
      </c>
      <c r="J36" s="61" t="s">
        <v>270</v>
      </c>
      <c r="K36" s="61"/>
      <c r="L36" s="61" t="s">
        <v>263</v>
      </c>
      <c r="M36" s="61"/>
    </row>
    <row r="37" customFormat="false" ht="15" hidden="false" customHeight="false" outlineLevel="0" collapsed="false">
      <c r="B37" s="61" t="s">
        <v>301</v>
      </c>
      <c r="C37" s="61" t="s">
        <v>303</v>
      </c>
      <c r="D37" s="62"/>
      <c r="E37" s="61" t="s">
        <v>304</v>
      </c>
      <c r="F37" s="86"/>
      <c r="G37" s="85" t="n">
        <f aca="false">IF(E37="","",IF(E37="Por duración (días)",IF(N(F37)&gt;0,365/F37,0),IF(E37="Meses con seguridad social",Ingresos!$S$17,IFERROR(VLOOKUP(E37,Listas!$C$2:$D$10,2,FALSE()),0))))</f>
        <v>3</v>
      </c>
      <c r="H37" s="45" t="n">
        <f aca="false">IF(OR(N(D37)=0,G37=""),0,D37*G37)</f>
        <v>0</v>
      </c>
      <c r="I37" s="45" t="n">
        <f aca="false">H37/12</f>
        <v>0</v>
      </c>
      <c r="J37" s="61" t="s">
        <v>254</v>
      </c>
      <c r="K37" s="61" t="s">
        <v>299</v>
      </c>
      <c r="L37" s="61" t="s">
        <v>263</v>
      </c>
      <c r="M37" s="61"/>
    </row>
    <row r="38" customFormat="false" ht="15" hidden="false" customHeight="false" outlineLevel="0" collapsed="false">
      <c r="B38" s="61" t="s">
        <v>301</v>
      </c>
      <c r="C38" s="61" t="s">
        <v>305</v>
      </c>
      <c r="D38" s="62"/>
      <c r="E38" s="61" t="s">
        <v>262</v>
      </c>
      <c r="F38" s="86"/>
      <c r="G38" s="85" t="n">
        <f aca="false">IF(E38="","",IF(E38="Por duración (días)",IF(N(F38)&gt;0,365/F38,0),IF(E38="Meses con seguridad social",Ingresos!$S$17,IFERROR(VLOOKUP(E38,Listas!$C$2:$D$10,2,FALSE()),0))))</f>
        <v>1</v>
      </c>
      <c r="H38" s="45" t="n">
        <f aca="false">IF(OR(N(D38)=0,G38=""),0,D38*G38)</f>
        <v>0</v>
      </c>
      <c r="I38" s="45" t="n">
        <f aca="false">H38/12</f>
        <v>0</v>
      </c>
      <c r="J38" s="61" t="s">
        <v>254</v>
      </c>
      <c r="K38" s="61" t="s">
        <v>306</v>
      </c>
      <c r="L38" s="61" t="s">
        <v>263</v>
      </c>
      <c r="M38" s="61"/>
    </row>
    <row r="39" customFormat="false" ht="15" hidden="false" customHeight="false" outlineLevel="0" collapsed="false">
      <c r="B39" s="61" t="s">
        <v>307</v>
      </c>
      <c r="C39" s="61" t="s">
        <v>308</v>
      </c>
      <c r="D39" s="62"/>
      <c r="E39" s="61" t="s">
        <v>257</v>
      </c>
      <c r="F39" s="86"/>
      <c r="G39" s="85" t="n">
        <f aca="false">IF(E39="","",IF(E39="Por duración (días)",IF(N(F39)&gt;0,365/F39,0),IF(E39="Meses con seguridad social",Ingresos!$S$17,IFERROR(VLOOKUP(E39,Listas!$C$2:$D$10,2,FALSE()),0))))</f>
        <v>12</v>
      </c>
      <c r="H39" s="45" t="n">
        <f aca="false">IF(OR(N(D39)=0,G39=""),0,D39*G39)</f>
        <v>0</v>
      </c>
      <c r="I39" s="45" t="n">
        <f aca="false">H39/12</f>
        <v>0</v>
      </c>
      <c r="J39" s="61" t="s">
        <v>270</v>
      </c>
      <c r="K39" s="61"/>
      <c r="L39" s="61" t="s">
        <v>259</v>
      </c>
      <c r="M39" s="61"/>
    </row>
    <row r="40" customFormat="false" ht="15" hidden="false" customHeight="false" outlineLevel="0" collapsed="false">
      <c r="B40" s="61" t="s">
        <v>307</v>
      </c>
      <c r="C40" s="61" t="s">
        <v>309</v>
      </c>
      <c r="D40" s="62"/>
      <c r="E40" s="61" t="s">
        <v>262</v>
      </c>
      <c r="F40" s="86"/>
      <c r="G40" s="85" t="n">
        <f aca="false">IF(E40="","",IF(E40="Por duración (días)",IF(N(F40)&gt;0,365/F40,0),IF(E40="Meses con seguridad social",Ingresos!$S$17,IFERROR(VLOOKUP(E40,Listas!$C$2:$D$10,2,FALSE()),0))))</f>
        <v>1</v>
      </c>
      <c r="H40" s="45" t="n">
        <f aca="false">IF(OR(N(D40)=0,G40=""),0,D40*G40)</f>
        <v>0</v>
      </c>
      <c r="I40" s="45" t="n">
        <f aca="false">H40/12</f>
        <v>0</v>
      </c>
      <c r="J40" s="61" t="s">
        <v>254</v>
      </c>
      <c r="K40" s="61" t="s">
        <v>310</v>
      </c>
      <c r="L40" s="61" t="s">
        <v>259</v>
      </c>
      <c r="M40" s="61"/>
    </row>
    <row r="41" customFormat="false" ht="15" hidden="false" customHeight="false" outlineLevel="0" collapsed="false">
      <c r="B41" s="61" t="s">
        <v>307</v>
      </c>
      <c r="C41" s="61" t="s">
        <v>311</v>
      </c>
      <c r="D41" s="62"/>
      <c r="E41" s="61" t="s">
        <v>257</v>
      </c>
      <c r="F41" s="86"/>
      <c r="G41" s="85" t="n">
        <f aca="false">IF(E41="","",IF(E41="Por duración (días)",IF(N(F41)&gt;0,365/F41,0),IF(E41="Meses con seguridad social",Ingresos!$S$17,IFERROR(VLOOKUP(E41,Listas!$C$2:$D$10,2,FALSE()),0))))</f>
        <v>12</v>
      </c>
      <c r="H41" s="45" t="n">
        <f aca="false">IF(OR(N(D41)=0,G41=""),0,D41*G41)</f>
        <v>0</v>
      </c>
      <c r="I41" s="45" t="n">
        <f aca="false">H41/12</f>
        <v>0</v>
      </c>
      <c r="J41" s="61" t="s">
        <v>270</v>
      </c>
      <c r="K41" s="61"/>
      <c r="L41" s="61" t="s">
        <v>259</v>
      </c>
      <c r="M41" s="61"/>
    </row>
    <row r="42" customFormat="false" ht="15" hidden="false" customHeight="false" outlineLevel="0" collapsed="false">
      <c r="B42" s="61" t="s">
        <v>307</v>
      </c>
      <c r="C42" s="61" t="s">
        <v>312</v>
      </c>
      <c r="D42" s="62"/>
      <c r="E42" s="61" t="s">
        <v>257</v>
      </c>
      <c r="F42" s="86"/>
      <c r="G42" s="85" t="n">
        <f aca="false">IF(E42="","",IF(E42="Por duración (días)",IF(N(F42)&gt;0,365/F42,0),IF(E42="Meses con seguridad social",Ingresos!$S$17,IFERROR(VLOOKUP(E42,Listas!$C$2:$D$10,2,FALSE()),0))))</f>
        <v>12</v>
      </c>
      <c r="H42" s="45" t="n">
        <f aca="false">IF(OR(N(D42)=0,G42=""),0,D42*G42)</f>
        <v>0</v>
      </c>
      <c r="I42" s="45" t="n">
        <f aca="false">H42/12</f>
        <v>0</v>
      </c>
      <c r="J42" s="61" t="s">
        <v>270</v>
      </c>
      <c r="K42" s="61"/>
      <c r="L42" s="61" t="s">
        <v>263</v>
      </c>
      <c r="M42" s="61"/>
    </row>
    <row r="43" customFormat="false" ht="15" hidden="false" customHeight="false" outlineLevel="0" collapsed="false">
      <c r="B43" s="61" t="s">
        <v>313</v>
      </c>
      <c r="C43" s="61" t="s">
        <v>314</v>
      </c>
      <c r="D43" s="62"/>
      <c r="E43" s="61" t="s">
        <v>257</v>
      </c>
      <c r="F43" s="86"/>
      <c r="G43" s="85" t="n">
        <f aca="false">IF(E43="","",IF(E43="Por duración (días)",IF(N(F43)&gt;0,365/F43,0),IF(E43="Meses con seguridad social",Ingresos!$S$17,IFERROR(VLOOKUP(E43,Listas!$C$2:$D$10,2,FALSE()),0))))</f>
        <v>12</v>
      </c>
      <c r="H43" s="45" t="n">
        <f aca="false">IF(OR(N(D43)=0,G43=""),0,D43*G43)</f>
        <v>0</v>
      </c>
      <c r="I43" s="45" t="n">
        <f aca="false">H43/12</f>
        <v>0</v>
      </c>
      <c r="J43" s="61" t="s">
        <v>270</v>
      </c>
      <c r="K43" s="61"/>
      <c r="L43" s="61" t="s">
        <v>259</v>
      </c>
      <c r="M43" s="61"/>
    </row>
    <row r="44" customFormat="false" ht="15" hidden="false" customHeight="false" outlineLevel="0" collapsed="false">
      <c r="B44" s="61" t="s">
        <v>313</v>
      </c>
      <c r="C44" s="61" t="s">
        <v>315</v>
      </c>
      <c r="D44" s="62"/>
      <c r="E44" s="61" t="s">
        <v>257</v>
      </c>
      <c r="F44" s="86"/>
      <c r="G44" s="85" t="n">
        <f aca="false">IF(E44="","",IF(E44="Por duración (días)",IF(N(F44)&gt;0,365/F44,0),IF(E44="Meses con seguridad social",Ingresos!$S$17,IFERROR(VLOOKUP(E44,Listas!$C$2:$D$10,2,FALSE()),0))))</f>
        <v>12</v>
      </c>
      <c r="H44" s="45" t="n">
        <f aca="false">IF(OR(N(D44)=0,G44=""),0,D44*G44)</f>
        <v>0</v>
      </c>
      <c r="I44" s="45" t="n">
        <f aca="false">H44/12</f>
        <v>0</v>
      </c>
      <c r="J44" s="61" t="s">
        <v>270</v>
      </c>
      <c r="K44" s="61"/>
      <c r="L44" s="61" t="s">
        <v>263</v>
      </c>
      <c r="M44" s="61"/>
    </row>
    <row r="45" customFormat="false" ht="15" hidden="false" customHeight="false" outlineLevel="0" collapsed="false">
      <c r="B45" s="61" t="s">
        <v>313</v>
      </c>
      <c r="C45" s="61" t="s">
        <v>316</v>
      </c>
      <c r="D45" s="62"/>
      <c r="E45" s="61" t="s">
        <v>262</v>
      </c>
      <c r="F45" s="86"/>
      <c r="G45" s="85" t="n">
        <f aca="false">IF(E45="","",IF(E45="Por duración (días)",IF(N(F45)&gt;0,365/F45,0),IF(E45="Meses con seguridad social",Ingresos!$S$17,IFERROR(VLOOKUP(E45,Listas!$C$2:$D$10,2,FALSE()),0))))</f>
        <v>1</v>
      </c>
      <c r="H45" s="45" t="n">
        <f aca="false">IF(OR(N(D45)=0,G45=""),0,D45*G45)</f>
        <v>0</v>
      </c>
      <c r="I45" s="45" t="n">
        <f aca="false">H45/12</f>
        <v>0</v>
      </c>
      <c r="J45" s="61" t="s">
        <v>254</v>
      </c>
      <c r="K45" s="61" t="s">
        <v>317</v>
      </c>
      <c r="L45" s="61" t="s">
        <v>259</v>
      </c>
      <c r="M45" s="61"/>
    </row>
    <row r="46" customFormat="false" ht="15" hidden="false" customHeight="false" outlineLevel="0" collapsed="false">
      <c r="B46" s="61" t="s">
        <v>318</v>
      </c>
      <c r="C46" s="61" t="s">
        <v>319</v>
      </c>
      <c r="D46" s="62"/>
      <c r="E46" s="61" t="s">
        <v>257</v>
      </c>
      <c r="F46" s="86"/>
      <c r="G46" s="85" t="n">
        <f aca="false">IF(E46="","",IF(E46="Por duración (días)",IF(N(F46)&gt;0,365/F46,0),IF(E46="Meses con seguridad social",Ingresos!$S$17,IFERROR(VLOOKUP(E46,Listas!$C$2:$D$10,2,FALSE()),0))))</f>
        <v>12</v>
      </c>
      <c r="H46" s="45" t="n">
        <f aca="false">IF(OR(N(D46)=0,G46=""),0,D46*G46)</f>
        <v>0</v>
      </c>
      <c r="I46" s="45" t="n">
        <f aca="false">H46/12</f>
        <v>0</v>
      </c>
      <c r="J46" s="61" t="s">
        <v>270</v>
      </c>
      <c r="K46" s="61"/>
      <c r="L46" s="61" t="s">
        <v>259</v>
      </c>
      <c r="M46" s="61"/>
    </row>
    <row r="47" customFormat="false" ht="15" hidden="false" customHeight="false" outlineLevel="0" collapsed="false">
      <c r="B47" s="61" t="s">
        <v>318</v>
      </c>
      <c r="C47" s="61" t="s">
        <v>320</v>
      </c>
      <c r="D47" s="62"/>
      <c r="E47" s="61" t="s">
        <v>257</v>
      </c>
      <c r="F47" s="86"/>
      <c r="G47" s="85" t="n">
        <f aca="false">IF(E47="","",IF(E47="Por duración (días)",IF(N(F47)&gt;0,365/F47,0),IF(E47="Meses con seguridad social",Ingresos!$S$17,IFERROR(VLOOKUP(E47,Listas!$C$2:$D$10,2,FALSE()),0))))</f>
        <v>12</v>
      </c>
      <c r="H47" s="45" t="n">
        <f aca="false">IF(OR(N(D47)=0,G47=""),0,D47*G47)</f>
        <v>0</v>
      </c>
      <c r="I47" s="45" t="n">
        <f aca="false">H47/12</f>
        <v>0</v>
      </c>
      <c r="J47" s="61" t="s">
        <v>270</v>
      </c>
      <c r="K47" s="61"/>
      <c r="L47" s="61" t="s">
        <v>263</v>
      </c>
      <c r="M47" s="61"/>
    </row>
    <row r="48" customFormat="false" ht="15" hidden="false" customHeight="false" outlineLevel="0" collapsed="false">
      <c r="B48" s="61" t="s">
        <v>321</v>
      </c>
      <c r="C48" s="61" t="s">
        <v>322</v>
      </c>
      <c r="D48" s="62"/>
      <c r="E48" s="61" t="s">
        <v>262</v>
      </c>
      <c r="F48" s="86"/>
      <c r="G48" s="85" t="n">
        <f aca="false">IF(E48="","",IF(E48="Por duración (días)",IF(N(F48)&gt;0,365/F48,0),IF(E48="Meses con seguridad social",Ingresos!$S$17,IFERROR(VLOOKUP(E48,Listas!$C$2:$D$10,2,FALSE()),0))))</f>
        <v>1</v>
      </c>
      <c r="H48" s="45" t="n">
        <f aca="false">IF(OR(N(D48)=0,G48=""),0,D48*G48)</f>
        <v>0</v>
      </c>
      <c r="I48" s="45" t="n">
        <f aca="false">H48/12</f>
        <v>0</v>
      </c>
      <c r="J48" s="61" t="s">
        <v>254</v>
      </c>
      <c r="K48" s="61" t="s">
        <v>323</v>
      </c>
      <c r="L48" s="61" t="s">
        <v>263</v>
      </c>
      <c r="M48" s="61" t="s">
        <v>324</v>
      </c>
    </row>
    <row r="49" customFormat="false" ht="15" hidden="false" customHeight="false" outlineLevel="0" collapsed="false">
      <c r="B49" s="61" t="s">
        <v>321</v>
      </c>
      <c r="C49" s="61" t="s">
        <v>325</v>
      </c>
      <c r="D49" s="62"/>
      <c r="E49" s="61" t="s">
        <v>257</v>
      </c>
      <c r="F49" s="86"/>
      <c r="G49" s="85" t="n">
        <f aca="false">IF(E49="","",IF(E49="Por duración (días)",IF(N(F49)&gt;0,365/F49,0),IF(E49="Meses con seguridad social",Ingresos!$S$17,IFERROR(VLOOKUP(E49,Listas!$C$2:$D$10,2,FALSE()),0))))</f>
        <v>12</v>
      </c>
      <c r="H49" s="45" t="n">
        <f aca="false">IF(OR(N(D49)=0,G49=""),0,D49*G49)</f>
        <v>0</v>
      </c>
      <c r="I49" s="45" t="n">
        <f aca="false">H49/12</f>
        <v>0</v>
      </c>
      <c r="J49" s="61" t="s">
        <v>270</v>
      </c>
      <c r="K49" s="61"/>
      <c r="L49" s="61" t="s">
        <v>263</v>
      </c>
      <c r="M49" s="61"/>
    </row>
    <row r="50" customFormat="false" ht="15" hidden="false" customHeight="false" outlineLevel="0" collapsed="false">
      <c r="B50" s="61" t="s">
        <v>326</v>
      </c>
      <c r="C50" s="61" t="s">
        <v>327</v>
      </c>
      <c r="D50" s="62"/>
      <c r="E50" s="61" t="s">
        <v>262</v>
      </c>
      <c r="F50" s="86"/>
      <c r="G50" s="85" t="n">
        <f aca="false">IF(E50="","",IF(E50="Por duración (días)",IF(N(F50)&gt;0,365/F50,0),IF(E50="Meses con seguridad social",Ingresos!$S$17,IFERROR(VLOOKUP(E50,Listas!$C$2:$D$10,2,FALSE()),0))))</f>
        <v>1</v>
      </c>
      <c r="H50" s="45" t="n">
        <f aca="false">IF(OR(N(D50)=0,G50=""),0,D50*G50)</f>
        <v>0</v>
      </c>
      <c r="I50" s="45" t="n">
        <f aca="false">H50/12</f>
        <v>0</v>
      </c>
      <c r="J50" s="61" t="s">
        <v>254</v>
      </c>
      <c r="K50" s="61" t="s">
        <v>326</v>
      </c>
      <c r="L50" s="61" t="s">
        <v>263</v>
      </c>
      <c r="M50" s="61"/>
    </row>
    <row r="51" customFormat="false" ht="15" hidden="false" customHeight="false" outlineLevel="0" collapsed="false">
      <c r="B51" s="61" t="s">
        <v>276</v>
      </c>
      <c r="C51" s="61" t="s">
        <v>328</v>
      </c>
      <c r="D51" s="62"/>
      <c r="E51" s="61" t="s">
        <v>262</v>
      </c>
      <c r="F51" s="86"/>
      <c r="G51" s="85" t="n">
        <f aca="false">IF(E51="","",IF(E51="Por duración (días)",IF(N(F51)&gt;0,365/F51,0),IF(E51="Meses con seguridad social",Ingresos!$S$17,IFERROR(VLOOKUP(E51,Listas!$C$2:$D$10,2,FALSE()),0))))</f>
        <v>1</v>
      </c>
      <c r="H51" s="45" t="n">
        <f aca="false">IF(OR(N(D51)=0,G51=""),0,D51*G51)</f>
        <v>0</v>
      </c>
      <c r="I51" s="45" t="n">
        <f aca="false">H51/12</f>
        <v>0</v>
      </c>
      <c r="J51" s="61" t="s">
        <v>254</v>
      </c>
      <c r="K51" s="61" t="s">
        <v>276</v>
      </c>
      <c r="L51" s="61" t="s">
        <v>259</v>
      </c>
      <c r="M51" s="61" t="s">
        <v>329</v>
      </c>
    </row>
    <row r="52" customFormat="false" ht="15" hidden="false" customHeight="false" outlineLevel="0" collapsed="false">
      <c r="B52" s="61" t="s">
        <v>276</v>
      </c>
      <c r="C52" s="61" t="s">
        <v>330</v>
      </c>
      <c r="D52" s="62"/>
      <c r="E52" s="61" t="s">
        <v>262</v>
      </c>
      <c r="F52" s="86"/>
      <c r="G52" s="85" t="n">
        <f aca="false">IF(E52="","",IF(E52="Por duración (días)",IF(N(F52)&gt;0,365/F52,0),IF(E52="Meses con seguridad social",Ingresos!$S$17,IFERROR(VLOOKUP(E52,Listas!$C$2:$D$10,2,FALSE()),0))))</f>
        <v>1</v>
      </c>
      <c r="H52" s="45" t="n">
        <f aca="false">IF(OR(N(D52)=0,G52=""),0,D52*G52)</f>
        <v>0</v>
      </c>
      <c r="I52" s="45" t="n">
        <f aca="false">H52/12</f>
        <v>0</v>
      </c>
      <c r="J52" s="61" t="s">
        <v>254</v>
      </c>
      <c r="K52" s="61" t="s">
        <v>276</v>
      </c>
      <c r="L52" s="61" t="s">
        <v>259</v>
      </c>
      <c r="M52" s="61"/>
    </row>
    <row r="53" customFormat="false" ht="15" hidden="false" customHeight="false" outlineLevel="0" collapsed="false">
      <c r="B53" s="61" t="s">
        <v>331</v>
      </c>
      <c r="C53" s="61" t="s">
        <v>332</v>
      </c>
      <c r="D53" s="62"/>
      <c r="E53" s="61" t="s">
        <v>262</v>
      </c>
      <c r="F53" s="86"/>
      <c r="G53" s="85" t="n">
        <f aca="false">IF(E53="","",IF(E53="Por duración (días)",IF(N(F53)&gt;0,365/F53,0),IF(E53="Meses con seguridad social",Ingresos!$S$17,IFERROR(VLOOKUP(E53,Listas!$C$2:$D$10,2,FALSE()),0))))</f>
        <v>1</v>
      </c>
      <c r="H53" s="45" t="n">
        <f aca="false">IF(OR(N(D53)=0,G53=""),0,D53*G53)</f>
        <v>0</v>
      </c>
      <c r="I53" s="45" t="n">
        <f aca="false">H53/12</f>
        <v>0</v>
      </c>
      <c r="J53" s="61" t="s">
        <v>254</v>
      </c>
      <c r="K53" s="61" t="s">
        <v>317</v>
      </c>
      <c r="L53" s="61" t="s">
        <v>263</v>
      </c>
      <c r="M53" s="61" t="s">
        <v>333</v>
      </c>
    </row>
    <row r="54" customFormat="false" ht="15" hidden="false" customHeight="false" outlineLevel="0" collapsed="false">
      <c r="B54" s="61" t="s">
        <v>334</v>
      </c>
      <c r="C54" s="61" t="s">
        <v>335</v>
      </c>
      <c r="D54" s="62"/>
      <c r="E54" s="61" t="s">
        <v>257</v>
      </c>
      <c r="F54" s="86"/>
      <c r="G54" s="85" t="n">
        <f aca="false">IF(E54="","",IF(E54="Por duración (días)",IF(N(F54)&gt;0,365/F54,0),IF(E54="Meses con seguridad social",Ingresos!$S$17,IFERROR(VLOOKUP(E54,Listas!$C$2:$D$10,2,FALSE()),0))))</f>
        <v>12</v>
      </c>
      <c r="H54" s="45" t="n">
        <f aca="false">IF(OR(N(D54)=0,G54=""),0,D54*G54)</f>
        <v>0</v>
      </c>
      <c r="I54" s="45" t="n">
        <f aca="false">H54/12</f>
        <v>0</v>
      </c>
      <c r="J54" s="61" t="s">
        <v>334</v>
      </c>
      <c r="K54" s="61"/>
      <c r="L54" s="61" t="s">
        <v>263</v>
      </c>
      <c r="M54" s="61" t="s">
        <v>336</v>
      </c>
    </row>
    <row r="55" customFormat="false" ht="15" hidden="false" customHeight="false" outlineLevel="0" collapsed="false">
      <c r="B55" s="61" t="s">
        <v>334</v>
      </c>
      <c r="C55" s="61" t="s">
        <v>337</v>
      </c>
      <c r="D55" s="62"/>
      <c r="E55" s="61" t="s">
        <v>257</v>
      </c>
      <c r="F55" s="86"/>
      <c r="G55" s="85" t="n">
        <f aca="false">IF(E55="","",IF(E55="Por duración (días)",IF(N(F55)&gt;0,365/F55,0),IF(E55="Meses con seguridad social",Ingresos!$S$17,IFERROR(VLOOKUP(E55,Listas!$C$2:$D$10,2,FALSE()),0))))</f>
        <v>12</v>
      </c>
      <c r="H55" s="45" t="n">
        <f aca="false">IF(OR(N(D55)=0,G55=""),0,D55*G55)</f>
        <v>0</v>
      </c>
      <c r="I55" s="45" t="n">
        <f aca="false">H55/12</f>
        <v>0</v>
      </c>
      <c r="J55" s="61" t="s">
        <v>334</v>
      </c>
      <c r="K55" s="61"/>
      <c r="L55" s="61" t="s">
        <v>263</v>
      </c>
      <c r="M55" s="61" t="s">
        <v>336</v>
      </c>
    </row>
    <row r="56" customFormat="false" ht="15" hidden="false" customHeight="false" outlineLevel="0" collapsed="false">
      <c r="B56" s="61"/>
      <c r="C56" s="61"/>
      <c r="D56" s="62"/>
      <c r="E56" s="61"/>
      <c r="F56" s="86"/>
      <c r="G56" s="85" t="str">
        <f aca="false">IF(E56="","",IF(E56="Por duración (días)",IF(N(F56)&gt;0,365/F56,0),IF(E56="Meses con seguridad social",Ingresos!$S$17,IFERROR(VLOOKUP(E56,Listas!$C$2:$D$10,2,FALSE()),0))))</f>
        <v/>
      </c>
      <c r="H56" s="45" t="n">
        <f aca="false">IF(OR(N(D56)=0,G56=""),0,D56*G56)</f>
        <v>0</v>
      </c>
      <c r="I56" s="45" t="n">
        <f aca="false">H56/12</f>
        <v>0</v>
      </c>
      <c r="J56" s="61"/>
      <c r="K56" s="61"/>
      <c r="L56" s="61"/>
      <c r="M56" s="61"/>
    </row>
    <row r="57" customFormat="false" ht="15" hidden="false" customHeight="false" outlineLevel="0" collapsed="false">
      <c r="B57" s="61"/>
      <c r="C57" s="61"/>
      <c r="D57" s="62"/>
      <c r="E57" s="61"/>
      <c r="F57" s="86"/>
      <c r="G57" s="85" t="str">
        <f aca="false">IF(E57="","",IF(E57="Por duración (días)",IF(N(F57)&gt;0,365/F57,0),IF(E57="Meses con seguridad social",Ingresos!$S$17,IFERROR(VLOOKUP(E57,Listas!$C$2:$D$10,2,FALSE()),0))))</f>
        <v/>
      </c>
      <c r="H57" s="45" t="n">
        <f aca="false">IF(OR(N(D57)=0,G57=""),0,D57*G57)</f>
        <v>0</v>
      </c>
      <c r="I57" s="45" t="n">
        <f aca="false">H57/12</f>
        <v>0</v>
      </c>
      <c r="J57" s="61"/>
      <c r="K57" s="61"/>
      <c r="L57" s="61"/>
      <c r="M57" s="61"/>
    </row>
    <row r="58" customFormat="false" ht="15" hidden="false" customHeight="false" outlineLevel="0" collapsed="false">
      <c r="B58" s="61"/>
      <c r="C58" s="61"/>
      <c r="D58" s="62"/>
      <c r="E58" s="61"/>
      <c r="F58" s="86"/>
      <c r="G58" s="85" t="str">
        <f aca="false">IF(E58="","",IF(E58="Por duración (días)",IF(N(F58)&gt;0,365/F58,0),IF(E58="Meses con seguridad social",Ingresos!$S$17,IFERROR(VLOOKUP(E58,Listas!$C$2:$D$10,2,FALSE()),0))))</f>
        <v/>
      </c>
      <c r="H58" s="45" t="n">
        <f aca="false">IF(OR(N(D58)=0,G58=""),0,D58*G58)</f>
        <v>0</v>
      </c>
      <c r="I58" s="45" t="n">
        <f aca="false">H58/12</f>
        <v>0</v>
      </c>
      <c r="J58" s="61"/>
      <c r="K58" s="61"/>
      <c r="L58" s="61"/>
      <c r="M58" s="61"/>
    </row>
    <row r="59" customFormat="false" ht="15" hidden="false" customHeight="false" outlineLevel="0" collapsed="false">
      <c r="B59" s="61"/>
      <c r="C59" s="61"/>
      <c r="D59" s="62"/>
      <c r="E59" s="61"/>
      <c r="F59" s="86"/>
      <c r="G59" s="85" t="str">
        <f aca="false">IF(E59="","",IF(E59="Por duración (días)",IF(N(F59)&gt;0,365/F59,0),IF(E59="Meses con seguridad social",Ingresos!$S$17,IFERROR(VLOOKUP(E59,Listas!$C$2:$D$10,2,FALSE()),0))))</f>
        <v/>
      </c>
      <c r="H59" s="45" t="n">
        <f aca="false">IF(OR(N(D59)=0,G59=""),0,D59*G59)</f>
        <v>0</v>
      </c>
      <c r="I59" s="45" t="n">
        <f aca="false">H59/12</f>
        <v>0</v>
      </c>
      <c r="J59" s="61"/>
      <c r="K59" s="61"/>
      <c r="L59" s="61"/>
      <c r="M59" s="61"/>
    </row>
    <row r="60" customFormat="false" ht="15" hidden="false" customHeight="false" outlineLevel="0" collapsed="false">
      <c r="B60" s="61"/>
      <c r="C60" s="61"/>
      <c r="D60" s="62"/>
      <c r="E60" s="61"/>
      <c r="F60" s="86"/>
      <c r="G60" s="85" t="str">
        <f aca="false">IF(E60="","",IF(E60="Por duración (días)",IF(N(F60)&gt;0,365/F60,0),IF(E60="Meses con seguridad social",Ingresos!$S$17,IFERROR(VLOOKUP(E60,Listas!$C$2:$D$10,2,FALSE()),0))))</f>
        <v/>
      </c>
      <c r="H60" s="45" t="n">
        <f aca="false">IF(OR(N(D60)=0,G60=""),0,D60*G60)</f>
        <v>0</v>
      </c>
      <c r="I60" s="45" t="n">
        <f aca="false">H60/12</f>
        <v>0</v>
      </c>
      <c r="J60" s="61"/>
      <c r="K60" s="61"/>
      <c r="L60" s="61"/>
      <c r="M60" s="61"/>
    </row>
    <row r="61" customFormat="false" ht="15" hidden="false" customHeight="false" outlineLevel="0" collapsed="false">
      <c r="B61" s="61"/>
      <c r="C61" s="61"/>
      <c r="D61" s="62"/>
      <c r="E61" s="61"/>
      <c r="F61" s="86"/>
      <c r="G61" s="85" t="str">
        <f aca="false">IF(E61="","",IF(E61="Por duración (días)",IF(N(F61)&gt;0,365/F61,0),IF(E61="Meses con seguridad social",Ingresos!$S$17,IFERROR(VLOOKUP(E61,Listas!$C$2:$D$10,2,FALSE()),0))))</f>
        <v/>
      </c>
      <c r="H61" s="45" t="n">
        <f aca="false">IF(OR(N(D61)=0,G61=""),0,D61*G61)</f>
        <v>0</v>
      </c>
      <c r="I61" s="45" t="n">
        <f aca="false">H61/12</f>
        <v>0</v>
      </c>
      <c r="J61" s="61"/>
      <c r="K61" s="61"/>
      <c r="L61" s="61"/>
      <c r="M61" s="61"/>
    </row>
    <row r="62" customFormat="false" ht="15" hidden="false" customHeight="false" outlineLevel="0" collapsed="false">
      <c r="B62" s="61"/>
      <c r="C62" s="61"/>
      <c r="D62" s="62"/>
      <c r="E62" s="61"/>
      <c r="F62" s="86"/>
      <c r="G62" s="85" t="str">
        <f aca="false">IF(E62="","",IF(E62="Por duración (días)",IF(N(F62)&gt;0,365/F62,0),IF(E62="Meses con seguridad social",Ingresos!$S$17,IFERROR(VLOOKUP(E62,Listas!$C$2:$D$10,2,FALSE()),0))))</f>
        <v/>
      </c>
      <c r="H62" s="45" t="n">
        <f aca="false">IF(OR(N(D62)=0,G62=""),0,D62*G62)</f>
        <v>0</v>
      </c>
      <c r="I62" s="45" t="n">
        <f aca="false">H62/12</f>
        <v>0</v>
      </c>
      <c r="J62" s="61"/>
      <c r="K62" s="61"/>
      <c r="L62" s="61"/>
      <c r="M62" s="61"/>
    </row>
    <row r="63" customFormat="false" ht="15" hidden="false" customHeight="false" outlineLevel="0" collapsed="false">
      <c r="B63" s="61"/>
      <c r="C63" s="61"/>
      <c r="D63" s="62"/>
      <c r="E63" s="61"/>
      <c r="F63" s="86"/>
      <c r="G63" s="85" t="str">
        <f aca="false">IF(E63="","",IF(E63="Por duración (días)",IF(N(F63)&gt;0,365/F63,0),IF(E63="Meses con seguridad social",Ingresos!$S$17,IFERROR(VLOOKUP(E63,Listas!$C$2:$D$10,2,FALSE()),0))))</f>
        <v/>
      </c>
      <c r="H63" s="45" t="n">
        <f aca="false">IF(OR(N(D63)=0,G63=""),0,D63*G63)</f>
        <v>0</v>
      </c>
      <c r="I63" s="45" t="n">
        <f aca="false">H63/12</f>
        <v>0</v>
      </c>
      <c r="J63" s="61"/>
      <c r="K63" s="61"/>
      <c r="L63" s="61"/>
      <c r="M63" s="61"/>
    </row>
    <row r="64" customFormat="false" ht="15" hidden="false" customHeight="false" outlineLevel="0" collapsed="false">
      <c r="B64" s="61"/>
      <c r="C64" s="61"/>
      <c r="D64" s="62"/>
      <c r="E64" s="61"/>
      <c r="F64" s="86"/>
      <c r="G64" s="85" t="str">
        <f aca="false">IF(E64="","",IF(E64="Por duración (días)",IF(N(F64)&gt;0,365/F64,0),IF(E64="Meses con seguridad social",Ingresos!$S$17,IFERROR(VLOOKUP(E64,Listas!$C$2:$D$10,2,FALSE()),0))))</f>
        <v/>
      </c>
      <c r="H64" s="45" t="n">
        <f aca="false">IF(OR(N(D64)=0,G64=""),0,D64*G64)</f>
        <v>0</v>
      </c>
      <c r="I64" s="45" t="n">
        <f aca="false">H64/12</f>
        <v>0</v>
      </c>
      <c r="J64" s="61"/>
      <c r="K64" s="61"/>
      <c r="L64" s="61"/>
      <c r="M64" s="61"/>
    </row>
    <row r="65" customFormat="false" ht="15" hidden="false" customHeight="false" outlineLevel="0" collapsed="false">
      <c r="B65" s="61"/>
      <c r="C65" s="61"/>
      <c r="D65" s="62"/>
      <c r="E65" s="61"/>
      <c r="F65" s="86"/>
      <c r="G65" s="85" t="str">
        <f aca="false">IF(E65="","",IF(E65="Por duración (días)",IF(N(F65)&gt;0,365/F65,0),IF(E65="Meses con seguridad social",Ingresos!$S$17,IFERROR(VLOOKUP(E65,Listas!$C$2:$D$10,2,FALSE()),0))))</f>
        <v/>
      </c>
      <c r="H65" s="45" t="n">
        <f aca="false">IF(OR(N(D65)=0,G65=""),0,D65*G65)</f>
        <v>0</v>
      </c>
      <c r="I65" s="45" t="n">
        <f aca="false">H65/12</f>
        <v>0</v>
      </c>
      <c r="J65" s="61"/>
      <c r="K65" s="61"/>
      <c r="L65" s="61"/>
      <c r="M65" s="61"/>
    </row>
    <row r="66" customFormat="false" ht="15" hidden="false" customHeight="false" outlineLevel="0" collapsed="false">
      <c r="B66" s="61"/>
      <c r="C66" s="61"/>
      <c r="D66" s="62"/>
      <c r="E66" s="61"/>
      <c r="F66" s="86"/>
      <c r="G66" s="85" t="str">
        <f aca="false">IF(E66="","",IF(E66="Por duración (días)",IF(N(F66)&gt;0,365/F66,0),IF(E66="Meses con seguridad social",Ingresos!$S$17,IFERROR(VLOOKUP(E66,Listas!$C$2:$D$10,2,FALSE()),0))))</f>
        <v/>
      </c>
      <c r="H66" s="45" t="n">
        <f aca="false">IF(OR(N(D66)=0,G66=""),0,D66*G66)</f>
        <v>0</v>
      </c>
      <c r="I66" s="45" t="n">
        <f aca="false">H66/12</f>
        <v>0</v>
      </c>
      <c r="J66" s="61"/>
      <c r="K66" s="61"/>
      <c r="L66" s="61"/>
      <c r="M66" s="61"/>
    </row>
    <row r="67" customFormat="false" ht="15" hidden="false" customHeight="false" outlineLevel="0" collapsed="false">
      <c r="B67" s="61"/>
      <c r="C67" s="61"/>
      <c r="D67" s="62"/>
      <c r="E67" s="61"/>
      <c r="F67" s="86"/>
      <c r="G67" s="85" t="str">
        <f aca="false">IF(E67="","",IF(E67="Por duración (días)",IF(N(F67)&gt;0,365/F67,0),IF(E67="Meses con seguridad social",Ingresos!$S$17,IFERROR(VLOOKUP(E67,Listas!$C$2:$D$10,2,FALSE()),0))))</f>
        <v/>
      </c>
      <c r="H67" s="45" t="n">
        <f aca="false">IF(OR(N(D67)=0,G67=""),0,D67*G67)</f>
        <v>0</v>
      </c>
      <c r="I67" s="45" t="n">
        <f aca="false">H67/12</f>
        <v>0</v>
      </c>
      <c r="J67" s="61"/>
      <c r="K67" s="61"/>
      <c r="L67" s="61"/>
      <c r="M67" s="61"/>
    </row>
    <row r="68" customFormat="false" ht="15" hidden="false" customHeight="false" outlineLevel="0" collapsed="false">
      <c r="B68" s="61"/>
      <c r="C68" s="61"/>
      <c r="D68" s="62"/>
      <c r="E68" s="61"/>
      <c r="F68" s="86"/>
      <c r="G68" s="85" t="str">
        <f aca="false">IF(E68="","",IF(E68="Por duración (días)",IF(N(F68)&gt;0,365/F68,0),IF(E68="Meses con seguridad social",Ingresos!$S$17,IFERROR(VLOOKUP(E68,Listas!$C$2:$D$10,2,FALSE()),0))))</f>
        <v/>
      </c>
      <c r="H68" s="45" t="n">
        <f aca="false">IF(OR(N(D68)=0,G68=""),0,D68*G68)</f>
        <v>0</v>
      </c>
      <c r="I68" s="45" t="n">
        <f aca="false">H68/12</f>
        <v>0</v>
      </c>
      <c r="J68" s="61"/>
      <c r="K68" s="61"/>
      <c r="L68" s="61"/>
      <c r="M68" s="61"/>
    </row>
    <row r="69" customFormat="false" ht="15" hidden="false" customHeight="false" outlineLevel="0" collapsed="false">
      <c r="B69" s="61"/>
      <c r="C69" s="61"/>
      <c r="D69" s="62"/>
      <c r="E69" s="61"/>
      <c r="F69" s="86"/>
      <c r="G69" s="85" t="str">
        <f aca="false">IF(E69="","",IF(E69="Por duración (días)",IF(N(F69)&gt;0,365/F69,0),IF(E69="Meses con seguridad social",Ingresos!$S$17,IFERROR(VLOOKUP(E69,Listas!$C$2:$D$10,2,FALSE()),0))))</f>
        <v/>
      </c>
      <c r="H69" s="45" t="n">
        <f aca="false">IF(OR(N(D69)=0,G69=""),0,D69*G69)</f>
        <v>0</v>
      </c>
      <c r="I69" s="45" t="n">
        <f aca="false">H69/12</f>
        <v>0</v>
      </c>
      <c r="J69" s="61"/>
      <c r="K69" s="61"/>
      <c r="L69" s="61"/>
      <c r="M69" s="61"/>
    </row>
    <row r="70" customFormat="false" ht="15" hidden="false" customHeight="false" outlineLevel="0" collapsed="false">
      <c r="B70" s="61"/>
      <c r="C70" s="61"/>
      <c r="D70" s="62"/>
      <c r="E70" s="61"/>
      <c r="F70" s="86"/>
      <c r="G70" s="85" t="str">
        <f aca="false">IF(E70="","",IF(E70="Por duración (días)",IF(N(F70)&gt;0,365/F70,0),IF(E70="Meses con seguridad social",Ingresos!$S$17,IFERROR(VLOOKUP(E70,Listas!$C$2:$D$10,2,FALSE()),0))))</f>
        <v/>
      </c>
      <c r="H70" s="45" t="n">
        <f aca="false">IF(OR(N(D70)=0,G70=""),0,D70*G70)</f>
        <v>0</v>
      </c>
      <c r="I70" s="45" t="n">
        <f aca="false">H70/12</f>
        <v>0</v>
      </c>
      <c r="J70" s="61"/>
      <c r="K70" s="61"/>
      <c r="L70" s="61"/>
      <c r="M70" s="61"/>
    </row>
    <row r="71" customFormat="false" ht="15" hidden="false" customHeight="false" outlineLevel="0" collapsed="false">
      <c r="B71" s="61"/>
      <c r="C71" s="61"/>
      <c r="D71" s="62"/>
      <c r="E71" s="61"/>
      <c r="F71" s="86"/>
      <c r="G71" s="85" t="str">
        <f aca="false">IF(E71="","",IF(E71="Por duración (días)",IF(N(F71)&gt;0,365/F71,0),IF(E71="Meses con seguridad social",Ingresos!$S$17,IFERROR(VLOOKUP(E71,Listas!$C$2:$D$10,2,FALSE()),0))))</f>
        <v/>
      </c>
      <c r="H71" s="45" t="n">
        <f aca="false">IF(OR(N(D71)=0,G71=""),0,D71*G71)</f>
        <v>0</v>
      </c>
      <c r="I71" s="45" t="n">
        <f aca="false">H71/12</f>
        <v>0</v>
      </c>
      <c r="J71" s="61"/>
      <c r="K71" s="61"/>
      <c r="L71" s="61"/>
      <c r="M71" s="61"/>
    </row>
    <row r="72" customFormat="false" ht="15" hidden="false" customHeight="false" outlineLevel="0" collapsed="false">
      <c r="B72" s="61"/>
      <c r="C72" s="61"/>
      <c r="D72" s="62"/>
      <c r="E72" s="61"/>
      <c r="F72" s="86"/>
      <c r="G72" s="85" t="str">
        <f aca="false">IF(E72="","",IF(E72="Por duración (días)",IF(N(F72)&gt;0,365/F72,0),IF(E72="Meses con seguridad social",Ingresos!$S$17,IFERROR(VLOOKUP(E72,Listas!$C$2:$D$10,2,FALSE()),0))))</f>
        <v/>
      </c>
      <c r="H72" s="45" t="n">
        <f aca="false">IF(OR(N(D72)=0,G72=""),0,D72*G72)</f>
        <v>0</v>
      </c>
      <c r="I72" s="45" t="n">
        <f aca="false">H72/12</f>
        <v>0</v>
      </c>
      <c r="J72" s="61"/>
      <c r="K72" s="61"/>
      <c r="L72" s="61"/>
      <c r="M72" s="61"/>
    </row>
    <row r="73" customFormat="false" ht="15" hidden="false" customHeight="false" outlineLevel="0" collapsed="false">
      <c r="B73" s="61"/>
      <c r="C73" s="61"/>
      <c r="D73" s="62"/>
      <c r="E73" s="61"/>
      <c r="F73" s="86"/>
      <c r="G73" s="85" t="str">
        <f aca="false">IF(E73="","",IF(E73="Por duración (días)",IF(N(F73)&gt;0,365/F73,0),IF(E73="Meses con seguridad social",Ingresos!$S$17,IFERROR(VLOOKUP(E73,Listas!$C$2:$D$10,2,FALSE()),0))))</f>
        <v/>
      </c>
      <c r="H73" s="45" t="n">
        <f aca="false">IF(OR(N(D73)=0,G73=""),0,D73*G73)</f>
        <v>0</v>
      </c>
      <c r="I73" s="45" t="n">
        <f aca="false">H73/12</f>
        <v>0</v>
      </c>
      <c r="J73" s="61"/>
      <c r="K73" s="61"/>
      <c r="L73" s="61"/>
      <c r="M73" s="61"/>
    </row>
    <row r="74" customFormat="false" ht="15" hidden="false" customHeight="false" outlineLevel="0" collapsed="false">
      <c r="B74" s="61"/>
      <c r="C74" s="61"/>
      <c r="D74" s="62"/>
      <c r="E74" s="61"/>
      <c r="F74" s="86"/>
      <c r="G74" s="85" t="str">
        <f aca="false">IF(E74="","",IF(E74="Por duración (días)",IF(N(F74)&gt;0,365/F74,0),IF(E74="Meses con seguridad social",Ingresos!$S$17,IFERROR(VLOOKUP(E74,Listas!$C$2:$D$10,2,FALSE()),0))))</f>
        <v/>
      </c>
      <c r="H74" s="45" t="n">
        <f aca="false">IF(OR(N(D74)=0,G74=""),0,D74*G74)</f>
        <v>0</v>
      </c>
      <c r="I74" s="45" t="n">
        <f aca="false">H74/12</f>
        <v>0</v>
      </c>
      <c r="J74" s="61"/>
      <c r="K74" s="61"/>
      <c r="L74" s="61"/>
      <c r="M74" s="61"/>
    </row>
    <row r="75" customFormat="false" ht="15" hidden="false" customHeight="false" outlineLevel="0" collapsed="false">
      <c r="B75" s="61"/>
      <c r="C75" s="61"/>
      <c r="D75" s="62"/>
      <c r="E75" s="61"/>
      <c r="F75" s="86"/>
      <c r="G75" s="85" t="str">
        <f aca="false">IF(E75="","",IF(E75="Por duración (días)",IF(N(F75)&gt;0,365/F75,0),IF(E75="Meses con seguridad social",Ingresos!$S$17,IFERROR(VLOOKUP(E75,Listas!$C$2:$D$10,2,FALSE()),0))))</f>
        <v/>
      </c>
      <c r="H75" s="45" t="n">
        <f aca="false">IF(OR(N(D75)=0,G75=""),0,D75*G75)</f>
        <v>0</v>
      </c>
      <c r="I75" s="45" t="n">
        <f aca="false">H75/12</f>
        <v>0</v>
      </c>
      <c r="J75" s="61"/>
      <c r="K75" s="61"/>
      <c r="L75" s="61"/>
      <c r="M75" s="61"/>
    </row>
    <row r="76" customFormat="false" ht="15" hidden="false" customHeight="false" outlineLevel="0" collapsed="false">
      <c r="B76" s="61"/>
      <c r="C76" s="61"/>
      <c r="D76" s="62"/>
      <c r="E76" s="61"/>
      <c r="F76" s="86"/>
      <c r="G76" s="85" t="str">
        <f aca="false">IF(E76="","",IF(E76="Por duración (días)",IF(N(F76)&gt;0,365/F76,0),IF(E76="Meses con seguridad social",Ingresos!$S$17,IFERROR(VLOOKUP(E76,Listas!$C$2:$D$10,2,FALSE()),0))))</f>
        <v/>
      </c>
      <c r="H76" s="45" t="n">
        <f aca="false">IF(OR(N(D76)=0,G76=""),0,D76*G76)</f>
        <v>0</v>
      </c>
      <c r="I76" s="45" t="n">
        <f aca="false">H76/12</f>
        <v>0</v>
      </c>
      <c r="J76" s="61"/>
      <c r="K76" s="61"/>
      <c r="L76" s="61"/>
      <c r="M76" s="61"/>
    </row>
    <row r="77" customFormat="false" ht="15" hidden="false" customHeight="false" outlineLevel="0" collapsed="false">
      <c r="B77" s="61"/>
      <c r="C77" s="61"/>
      <c r="D77" s="62"/>
      <c r="E77" s="61"/>
      <c r="F77" s="86"/>
      <c r="G77" s="85" t="str">
        <f aca="false">IF(E77="","",IF(E77="Por duración (días)",IF(N(F77)&gt;0,365/F77,0),IF(E77="Meses con seguridad social",Ingresos!$S$17,IFERROR(VLOOKUP(E77,Listas!$C$2:$D$10,2,FALSE()),0))))</f>
        <v/>
      </c>
      <c r="H77" s="45" t="n">
        <f aca="false">IF(OR(N(D77)=0,G77=""),0,D77*G77)</f>
        <v>0</v>
      </c>
      <c r="I77" s="45" t="n">
        <f aca="false">H77/12</f>
        <v>0</v>
      </c>
      <c r="J77" s="61"/>
      <c r="K77" s="61"/>
      <c r="L77" s="61"/>
      <c r="M77" s="61"/>
    </row>
    <row r="78" customFormat="false" ht="15" hidden="false" customHeight="false" outlineLevel="0" collapsed="false">
      <c r="B78" s="61"/>
      <c r="C78" s="61"/>
      <c r="D78" s="62"/>
      <c r="E78" s="61"/>
      <c r="F78" s="86"/>
      <c r="G78" s="85" t="str">
        <f aca="false">IF(E78="","",IF(E78="Por duración (días)",IF(N(F78)&gt;0,365/F78,0),IF(E78="Meses con seguridad social",Ingresos!$S$17,IFERROR(VLOOKUP(E78,Listas!$C$2:$D$10,2,FALSE()),0))))</f>
        <v/>
      </c>
      <c r="H78" s="45" t="n">
        <f aca="false">IF(OR(N(D78)=0,G78=""),0,D78*G78)</f>
        <v>0</v>
      </c>
      <c r="I78" s="45" t="n">
        <f aca="false">H78/12</f>
        <v>0</v>
      </c>
      <c r="J78" s="61"/>
      <c r="K78" s="61"/>
      <c r="L78" s="61"/>
      <c r="M78" s="61"/>
    </row>
    <row r="79" customFormat="false" ht="15" hidden="false" customHeight="false" outlineLevel="0" collapsed="false">
      <c r="B79" s="61"/>
      <c r="C79" s="61"/>
      <c r="D79" s="62"/>
      <c r="E79" s="61"/>
      <c r="F79" s="86"/>
      <c r="G79" s="85" t="str">
        <f aca="false">IF(E79="","",IF(E79="Por duración (días)",IF(N(F79)&gt;0,365/F79,0),IF(E79="Meses con seguridad social",Ingresos!$S$17,IFERROR(VLOOKUP(E79,Listas!$C$2:$D$10,2,FALSE()),0))))</f>
        <v/>
      </c>
      <c r="H79" s="45" t="n">
        <f aca="false">IF(OR(N(D79)=0,G79=""),0,D79*G79)</f>
        <v>0</v>
      </c>
      <c r="I79" s="45" t="n">
        <f aca="false">H79/12</f>
        <v>0</v>
      </c>
      <c r="J79" s="61"/>
      <c r="K79" s="61"/>
      <c r="L79" s="61"/>
      <c r="M79" s="61"/>
    </row>
    <row r="80" customFormat="false" ht="15" hidden="false" customHeight="false" outlineLevel="0" collapsed="false">
      <c r="B80" s="61"/>
      <c r="C80" s="61"/>
      <c r="D80" s="62"/>
      <c r="E80" s="61"/>
      <c r="F80" s="86"/>
      <c r="G80" s="85" t="str">
        <f aca="false">IF(E80="","",IF(E80="Por duración (días)",IF(N(F80)&gt;0,365/F80,0),IF(E80="Meses con seguridad social",Ingresos!$S$17,IFERROR(VLOOKUP(E80,Listas!$C$2:$D$10,2,FALSE()),0))))</f>
        <v/>
      </c>
      <c r="H80" s="45" t="n">
        <f aca="false">IF(OR(N(D80)=0,G80=""),0,D80*G80)</f>
        <v>0</v>
      </c>
      <c r="I80" s="45" t="n">
        <f aca="false">H80/12</f>
        <v>0</v>
      </c>
      <c r="J80" s="61"/>
      <c r="K80" s="61"/>
      <c r="L80" s="61"/>
      <c r="M80" s="61"/>
    </row>
    <row r="81" customFormat="false" ht="15" hidden="false" customHeight="false" outlineLevel="0" collapsed="false">
      <c r="B81" s="61"/>
      <c r="C81" s="61"/>
      <c r="D81" s="62"/>
      <c r="E81" s="61"/>
      <c r="F81" s="86"/>
      <c r="G81" s="85" t="str">
        <f aca="false">IF(E81="","",IF(E81="Por duración (días)",IF(N(F81)&gt;0,365/F81,0),IF(E81="Meses con seguridad social",Ingresos!$S$17,IFERROR(VLOOKUP(E81,Listas!$C$2:$D$10,2,FALSE()),0))))</f>
        <v/>
      </c>
      <c r="H81" s="45" t="n">
        <f aca="false">IF(OR(N(D81)=0,G81=""),0,D81*G81)</f>
        <v>0</v>
      </c>
      <c r="I81" s="45" t="n">
        <f aca="false">H81/12</f>
        <v>0</v>
      </c>
      <c r="J81" s="61"/>
      <c r="K81" s="61"/>
      <c r="L81" s="61"/>
      <c r="M81" s="61"/>
    </row>
    <row r="82" customFormat="false" ht="15" hidden="false" customHeight="false" outlineLevel="0" collapsed="false">
      <c r="B82" s="61"/>
      <c r="C82" s="61"/>
      <c r="D82" s="62"/>
      <c r="E82" s="61"/>
      <c r="F82" s="86"/>
      <c r="G82" s="85" t="str">
        <f aca="false">IF(E82="","",IF(E82="Por duración (días)",IF(N(F82)&gt;0,365/F82,0),IF(E82="Meses con seguridad social",Ingresos!$S$17,IFERROR(VLOOKUP(E82,Listas!$C$2:$D$10,2,FALSE()),0))))</f>
        <v/>
      </c>
      <c r="H82" s="45" t="n">
        <f aca="false">IF(OR(N(D82)=0,G82=""),0,D82*G82)</f>
        <v>0</v>
      </c>
      <c r="I82" s="45" t="n">
        <f aca="false">H82/12</f>
        <v>0</v>
      </c>
      <c r="J82" s="61"/>
      <c r="K82" s="61"/>
      <c r="L82" s="61"/>
      <c r="M82" s="61"/>
    </row>
    <row r="83" customFormat="false" ht="15" hidden="false" customHeight="false" outlineLevel="0" collapsed="false">
      <c r="B83" s="61"/>
      <c r="C83" s="61"/>
      <c r="D83" s="62"/>
      <c r="E83" s="61"/>
      <c r="F83" s="86"/>
      <c r="G83" s="85" t="str">
        <f aca="false">IF(E83="","",IF(E83="Por duración (días)",IF(N(F83)&gt;0,365/F83,0),IF(E83="Meses con seguridad social",Ingresos!$S$17,IFERROR(VLOOKUP(E83,Listas!$C$2:$D$10,2,FALSE()),0))))</f>
        <v/>
      </c>
      <c r="H83" s="45" t="n">
        <f aca="false">IF(OR(N(D83)=0,G83=""),0,D83*G83)</f>
        <v>0</v>
      </c>
      <c r="I83" s="45" t="n">
        <f aca="false">H83/12</f>
        <v>0</v>
      </c>
      <c r="J83" s="61"/>
      <c r="K83" s="61"/>
      <c r="L83" s="61"/>
      <c r="M83" s="61"/>
    </row>
    <row r="84" customFormat="false" ht="15" hidden="false" customHeight="false" outlineLevel="0" collapsed="false">
      <c r="B84" s="61"/>
      <c r="C84" s="61"/>
      <c r="D84" s="62"/>
      <c r="E84" s="61"/>
      <c r="F84" s="86"/>
      <c r="G84" s="85" t="str">
        <f aca="false">IF(E84="","",IF(E84="Por duración (días)",IF(N(F84)&gt;0,365/F84,0),IF(E84="Meses con seguridad social",Ingresos!$S$17,IFERROR(VLOOKUP(E84,Listas!$C$2:$D$10,2,FALSE()),0))))</f>
        <v/>
      </c>
      <c r="H84" s="45" t="n">
        <f aca="false">IF(OR(N(D84)=0,G84=""),0,D84*G84)</f>
        <v>0</v>
      </c>
      <c r="I84" s="45" t="n">
        <f aca="false">H84/12</f>
        <v>0</v>
      </c>
      <c r="J84" s="61"/>
      <c r="K84" s="61"/>
      <c r="L84" s="61"/>
      <c r="M84" s="61"/>
    </row>
    <row r="85" customFormat="false" ht="15" hidden="false" customHeight="false" outlineLevel="0" collapsed="false">
      <c r="B85" s="61"/>
      <c r="C85" s="61"/>
      <c r="D85" s="62"/>
      <c r="E85" s="61"/>
      <c r="F85" s="86"/>
      <c r="G85" s="85" t="str">
        <f aca="false">IF(E85="","",IF(E85="Por duración (días)",IF(N(F85)&gt;0,365/F85,0),IF(E85="Meses con seguridad social",Ingresos!$S$17,IFERROR(VLOOKUP(E85,Listas!$C$2:$D$10,2,FALSE()),0))))</f>
        <v/>
      </c>
      <c r="H85" s="45" t="n">
        <f aca="false">IF(OR(N(D85)=0,G85=""),0,D85*G85)</f>
        <v>0</v>
      </c>
      <c r="I85" s="45" t="n">
        <f aca="false">H85/12</f>
        <v>0</v>
      </c>
      <c r="J85" s="61"/>
      <c r="K85" s="61"/>
      <c r="L85" s="61"/>
      <c r="M85" s="61"/>
    </row>
    <row r="86" customFormat="false" ht="15" hidden="false" customHeight="false" outlineLevel="0" collapsed="false">
      <c r="B86" s="61"/>
      <c r="C86" s="61"/>
      <c r="D86" s="62"/>
      <c r="E86" s="61"/>
      <c r="F86" s="86"/>
      <c r="G86" s="85" t="str">
        <f aca="false">IF(E86="","",IF(E86="Por duración (días)",IF(N(F86)&gt;0,365/F86,0),IF(E86="Meses con seguridad social",Ingresos!$S$17,IFERROR(VLOOKUP(E86,Listas!$C$2:$D$10,2,FALSE()),0))))</f>
        <v/>
      </c>
      <c r="H86" s="45" t="n">
        <f aca="false">IF(OR(N(D86)=0,G86=""),0,D86*G86)</f>
        <v>0</v>
      </c>
      <c r="I86" s="45" t="n">
        <f aca="false">H86/12</f>
        <v>0</v>
      </c>
      <c r="J86" s="61"/>
      <c r="K86" s="61"/>
      <c r="L86" s="61"/>
      <c r="M86" s="61"/>
    </row>
    <row r="87" customFormat="false" ht="15" hidden="false" customHeight="false" outlineLevel="0" collapsed="false">
      <c r="B87" s="61"/>
      <c r="C87" s="61"/>
      <c r="D87" s="62"/>
      <c r="E87" s="61"/>
      <c r="F87" s="86"/>
      <c r="G87" s="85" t="str">
        <f aca="false">IF(E87="","",IF(E87="Por duración (días)",IF(N(F87)&gt;0,365/F87,0),IF(E87="Meses con seguridad social",Ingresos!$S$17,IFERROR(VLOOKUP(E87,Listas!$C$2:$D$10,2,FALSE()),0))))</f>
        <v/>
      </c>
      <c r="H87" s="45" t="n">
        <f aca="false">IF(OR(N(D87)=0,G87=""),0,D87*G87)</f>
        <v>0</v>
      </c>
      <c r="I87" s="45" t="n">
        <f aca="false">H87/12</f>
        <v>0</v>
      </c>
      <c r="J87" s="61"/>
      <c r="K87" s="61"/>
      <c r="L87" s="61"/>
      <c r="M87" s="61"/>
    </row>
    <row r="88" customFormat="false" ht="30" hidden="false" customHeight="true" outlineLevel="0" collapsed="false">
      <c r="B88" s="11" t="s">
        <v>338</v>
      </c>
      <c r="C88" s="12"/>
      <c r="D88" s="12"/>
      <c r="E88" s="12"/>
      <c r="F88" s="12"/>
      <c r="G88" s="12"/>
      <c r="H88" s="12" t="s">
        <v>217</v>
      </c>
      <c r="I88" s="12" t="s">
        <v>218</v>
      </c>
    </row>
    <row r="89" customFormat="false" ht="15" hidden="false" customHeight="false" outlineLevel="0" collapsed="false">
      <c r="B89" s="68"/>
      <c r="C89" s="68" t="s">
        <v>339</v>
      </c>
      <c r="D89" s="68"/>
      <c r="E89" s="68"/>
      <c r="F89" s="68"/>
      <c r="G89" s="68"/>
      <c r="H89" s="69" t="n">
        <f aca="false">SUMIFS($H$6:$H$87,$J$6:$J$87,"&lt;&gt;Ahorro")</f>
        <v>0</v>
      </c>
      <c r="I89" s="69" t="n">
        <f aca="false">H89/12</f>
        <v>0</v>
      </c>
      <c r="J89" s="68"/>
      <c r="K89" s="68"/>
      <c r="L89" s="68"/>
      <c r="M89" s="68"/>
    </row>
    <row r="90" customFormat="false" ht="15" hidden="false" customHeight="false" outlineLevel="0" collapsed="false">
      <c r="B90" s="68"/>
      <c r="C90" s="68" t="s">
        <v>340</v>
      </c>
      <c r="D90" s="68"/>
      <c r="E90" s="68"/>
      <c r="F90" s="68"/>
      <c r="G90" s="68"/>
      <c r="H90" s="69" t="n">
        <f aca="false">SUMIFS($H$6:$H$87,$J$6:$J$87,"Directo")</f>
        <v>0</v>
      </c>
      <c r="I90" s="69" t="n">
        <f aca="false">H90/12</f>
        <v>0</v>
      </c>
      <c r="J90" s="68"/>
      <c r="K90" s="68"/>
      <c r="L90" s="68"/>
      <c r="M90" s="68"/>
    </row>
    <row r="91" customFormat="false" ht="15" hidden="false" customHeight="false" outlineLevel="0" collapsed="false">
      <c r="B91" s="68"/>
      <c r="C91" s="68" t="s">
        <v>341</v>
      </c>
      <c r="D91" s="68"/>
      <c r="E91" s="68"/>
      <c r="F91" s="68"/>
      <c r="G91" s="68"/>
      <c r="H91" s="69" t="n">
        <f aca="false">SUMIFS($H$6:$H$87,$J$6:$J$87,"Bolsillo")</f>
        <v>0</v>
      </c>
      <c r="I91" s="69" t="n">
        <f aca="false">H91/12</f>
        <v>0</v>
      </c>
      <c r="J91" s="68"/>
      <c r="K91" s="68"/>
      <c r="L91" s="68"/>
      <c r="M91" s="68"/>
    </row>
    <row r="92" customFormat="false" ht="15" hidden="false" customHeight="false" outlineLevel="0" collapsed="false">
      <c r="B92" s="68"/>
      <c r="C92" s="68" t="s">
        <v>222</v>
      </c>
      <c r="D92" s="68"/>
      <c r="E92" s="68"/>
      <c r="F92" s="68"/>
      <c r="G92" s="68"/>
      <c r="H92" s="69" t="n">
        <f aca="false">SUMIFS($H$6:$H$87,$J$6:$J$87,"Seg. social")</f>
        <v>0</v>
      </c>
      <c r="I92" s="69" t="n">
        <f aca="false">H92/12</f>
        <v>0</v>
      </c>
      <c r="J92" s="68"/>
      <c r="K92" s="68"/>
      <c r="L92" s="68"/>
      <c r="M92" s="68"/>
    </row>
    <row r="93" customFormat="false" ht="15" hidden="false" customHeight="false" outlineLevel="0" collapsed="false">
      <c r="B93" s="68"/>
      <c r="C93" s="68" t="s">
        <v>342</v>
      </c>
      <c r="D93" s="68"/>
      <c r="E93" s="68"/>
      <c r="F93" s="68"/>
      <c r="G93" s="68"/>
      <c r="H93" s="69" t="n">
        <f aca="false">SUMIFS($H$6:$H$87,$J$6:$J$87,"Deuda")</f>
        <v>0</v>
      </c>
      <c r="I93" s="69" t="n">
        <f aca="false">H93/12</f>
        <v>0</v>
      </c>
      <c r="J93" s="68"/>
      <c r="K93" s="68"/>
      <c r="L93" s="68"/>
      <c r="M93" s="68"/>
    </row>
    <row r="94" customFormat="false" ht="15" hidden="false" customHeight="false" outlineLevel="0" collapsed="false">
      <c r="B94" s="68"/>
      <c r="C94" s="68" t="s">
        <v>343</v>
      </c>
      <c r="D94" s="68"/>
      <c r="E94" s="68"/>
      <c r="F94" s="68"/>
      <c r="G94" s="68"/>
      <c r="H94" s="69" t="n">
        <f aca="false">SUMIFS($H$6:$H$87,$J$6:$J$87,"Ahorro")</f>
        <v>0</v>
      </c>
      <c r="I94" s="69" t="n">
        <f aca="false">H94/12</f>
        <v>0</v>
      </c>
      <c r="J94" s="68"/>
      <c r="K94" s="68"/>
      <c r="L94" s="68"/>
      <c r="M94" s="68"/>
    </row>
    <row r="95" customFormat="false" ht="15" hidden="false" customHeight="false" outlineLevel="0" collapsed="false">
      <c r="B95" s="68"/>
      <c r="C95" s="68" t="s">
        <v>344</v>
      </c>
      <c r="D95" s="68"/>
      <c r="E95" s="68"/>
      <c r="F95" s="68"/>
      <c r="G95" s="68"/>
      <c r="H95" s="69" t="n">
        <f aca="false">SUMIFS($H$6:$H$87,$L$6:$L$87,"Sí",$J$6:$J$87,"&lt;&gt;Ahorro")</f>
        <v>0</v>
      </c>
      <c r="I95" s="69" t="n">
        <f aca="false">H95/12</f>
        <v>0</v>
      </c>
      <c r="J95" s="68"/>
      <c r="K95" s="68"/>
      <c r="L95" s="68"/>
      <c r="M95" s="68"/>
    </row>
    <row r="96" customFormat="false" ht="15" hidden="false" customHeight="false" outlineLevel="0" collapsed="false">
      <c r="C96" s="17" t="s">
        <v>345</v>
      </c>
      <c r="I96" s="58" t="n">
        <f aca="false">SUMIFS($D$6:$D$87,$J$6:$J$87,"Seg. social")</f>
        <v>0</v>
      </c>
    </row>
    <row r="97" customFormat="false" ht="15" hidden="false" customHeight="false" outlineLevel="0" collapsed="false">
      <c r="C97" s="17" t="s">
        <v>346</v>
      </c>
      <c r="I97" s="51" t="n">
        <f aca="false">SUMPRODUCT((N(+$D$6:$D$87)&gt;0)*(($E$6:$E$87="")+($J$6:$J$87="")&gt;0))</f>
        <v>0</v>
      </c>
      <c r="M97" s="23" t="s">
        <v>347</v>
      </c>
    </row>
  </sheetData>
  <dataValidations count="5">
    <dataValidation allowBlank="true" error="Elige un valor de la lista." errorStyle="stop" errorTitle="Valor no válido" operator="between" showDropDown="false" showErrorMessage="true" showInputMessage="false" sqref="B13:B87" type="list">
      <formula1>Listas!$E$2:$E$19</formula1>
      <formula2>0</formula2>
    </dataValidation>
    <dataValidation allowBlank="true" error="Elige un valor de la lista." errorStyle="stop" errorTitle="Valor no válido" operator="between" showDropDown="false" showErrorMessage="true" showInputMessage="false" sqref="E13:E87" type="list">
      <formula1>Listas!$C$2:$C$12</formula1>
      <formula2>0</formula2>
    </dataValidation>
    <dataValidation allowBlank="true" error="Elige un valor de la lista." errorStyle="stop" errorTitle="Valor no válido" operator="between" showDropDown="false" showErrorMessage="true" showInputMessage="false" sqref="J13:J87" type="list">
      <formula1>Listas!$A$2:$A$6</formula1>
      <formula2>0</formula2>
    </dataValidation>
    <dataValidation allowBlank="true" error="Elige un valor de la lista." errorStyle="stop" errorTitle="Valor no válido" operator="between" showDropDown="false" showErrorMessage="true" showInputMessage="false" sqref="K13:K87" type="list">
      <formula1>Listas!$F$2:$F$11</formula1>
      <formula2>0</formula2>
    </dataValidation>
    <dataValidation allowBlank="true" error="Elige un valor de la lista." errorStyle="stop" errorTitle="Valor no válido" operator="between" showDropDown="false" showErrorMessage="true" showInputMessage="false" sqref="L13:L87" type="list">
      <formula1>Listas!$B$2:$B$3</formula1>
      <formula2>0</formula2>
    </dataValidation>
  </dataValidations>
  <printOptions headings="false" gridLines="false" gridLinesSet="true" horizontalCentered="true" verticalCentered="false"/>
  <pageMargins left="0.4" right="0.4"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8A04A"/>
    <pageSetUpPr fitToPage="true"/>
  </sheetPr>
  <dimension ref="B1:DT95"/>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12" topLeftCell="C13" activePane="bottomRight" state="frozen"/>
      <selection pane="topLeft" activeCell="A1" activeCellId="0" sqref="A1"/>
      <selection pane="topRight" activeCell="C1" activeCellId="0" sqref="C1"/>
      <selection pane="bottomLeft" activeCell="A13" activeCellId="0" sqref="A13"/>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8"/>
    <col collapsed="false" customWidth="true" hidden="false" outlineLevel="0" max="3" min="3" style="1" width="16"/>
    <col collapsed="false" customWidth="true" hidden="false" outlineLevel="0" max="4" min="4" style="1" width="15"/>
    <col collapsed="false" customWidth="true" hidden="false" outlineLevel="0" max="5" min="5" style="1" width="9"/>
    <col collapsed="false" customWidth="true" hidden="false" outlineLevel="0" max="6" min="6" style="1" width="13"/>
    <col collapsed="false" customWidth="true" hidden="false" outlineLevel="0" max="7" min="7" style="1" width="10"/>
    <col collapsed="false" customWidth="true" hidden="false" outlineLevel="0" max="8" min="8" style="1" width="11"/>
    <col collapsed="false" customWidth="true" hidden="false" outlineLevel="0" max="10" min="9" style="1" width="9"/>
    <col collapsed="false" customWidth="true" hidden="false" outlineLevel="0" max="11" min="11" style="1" width="8"/>
    <col collapsed="false" customWidth="true" hidden="false" outlineLevel="0" max="12" min="12" style="1" width="10"/>
    <col collapsed="false" customWidth="true" hidden="false" outlineLevel="0" max="13" min="13" style="1" width="11"/>
    <col collapsed="false" customWidth="true" hidden="false" outlineLevel="0" max="15" min="14" style="1" width="14"/>
    <col collapsed="false" customWidth="true" hidden="false" outlineLevel="0" max="16" min="16" style="1" width="6"/>
    <col collapsed="false" customWidth="true" hidden="false" outlineLevel="0" max="124" min="17" style="1" width="12"/>
  </cols>
  <sheetData>
    <row r="1" customFormat="false" ht="24" hidden="false" customHeight="true" outlineLevel="0" collapsed="false">
      <c r="B1" s="27" t="s">
        <v>13</v>
      </c>
    </row>
    <row r="2" customFormat="false" ht="15" hidden="false" customHeight="false" outlineLevel="0" collapsed="false">
      <c r="B2" s="28" t="s">
        <v>348</v>
      </c>
      <c r="C2" s="29"/>
      <c r="D2" s="29"/>
      <c r="E2" s="29"/>
      <c r="F2" s="29"/>
      <c r="G2" s="29"/>
      <c r="H2" s="29"/>
      <c r="I2" s="29"/>
      <c r="J2" s="29"/>
      <c r="K2" s="29"/>
      <c r="L2" s="29"/>
      <c r="M2" s="29"/>
      <c r="N2" s="29"/>
      <c r="O2" s="29"/>
      <c r="P2" s="29"/>
    </row>
    <row r="5" customFormat="false" ht="15" hidden="false" customHeight="false" outlineLevel="0" collapsed="false">
      <c r="B5" s="9" t="s">
        <v>144</v>
      </c>
      <c r="C5" s="10"/>
      <c r="D5" s="10"/>
    </row>
    <row r="6" customFormat="false" ht="15" hidden="false" customHeight="false" outlineLevel="0" collapsed="false">
      <c r="B6" s="17" t="s">
        <v>349</v>
      </c>
      <c r="C6" s="16" t="s">
        <v>350</v>
      </c>
      <c r="D6" s="23" t="s">
        <v>351</v>
      </c>
    </row>
    <row r="7" customFormat="false" ht="15" hidden="false" customHeight="false" outlineLevel="0" collapsed="false">
      <c r="B7" s="17" t="s">
        <v>352</v>
      </c>
      <c r="C7" s="87" t="n">
        <f aca="false">Supuestos!$C$22</f>
        <v>0.2</v>
      </c>
    </row>
    <row r="8" customFormat="false" ht="15" hidden="false" customHeight="false" outlineLevel="0" collapsed="false">
      <c r="B8" s="17" t="s">
        <v>353</v>
      </c>
      <c r="C8" s="88" t="n">
        <f aca="false">'Flujo anual'!$Q$34/12</f>
        <v>0</v>
      </c>
    </row>
    <row r="9" customFormat="false" ht="15" hidden="false" customHeight="false" outlineLevel="0" collapsed="false">
      <c r="B9" s="17" t="s">
        <v>354</v>
      </c>
      <c r="C9" s="89" t="n">
        <f aca="false">F21+C8</f>
        <v>0</v>
      </c>
    </row>
    <row r="10" customFormat="false" ht="15" hidden="false" customHeight="false" outlineLevel="0" collapsed="false">
      <c r="B10" s="17" t="s">
        <v>355</v>
      </c>
      <c r="C10" s="88" t="n">
        <f aca="false">Bolsillos!$C$26</f>
        <v>0</v>
      </c>
    </row>
    <row r="11" customFormat="false" ht="15" hidden="false" customHeight="false" outlineLevel="0" collapsed="false">
      <c r="B11" s="17" t="s">
        <v>356</v>
      </c>
      <c r="C11" s="90" t="n">
        <f aca="false">DATE(YEAR(Supuestos!$C$12),MONTH(Supuestos!$C$12)+1,1)</f>
        <v>46296</v>
      </c>
    </row>
    <row r="12" customFormat="false" ht="30" hidden="false" customHeight="true" outlineLevel="0" collapsed="false">
      <c r="B12" s="11" t="s">
        <v>258</v>
      </c>
      <c r="C12" s="12" t="s">
        <v>200</v>
      </c>
      <c r="D12" s="12" t="s">
        <v>187</v>
      </c>
      <c r="E12" s="12" t="s">
        <v>357</v>
      </c>
      <c r="F12" s="12" t="s">
        <v>358</v>
      </c>
      <c r="G12" s="12" t="s">
        <v>359</v>
      </c>
      <c r="H12" s="12" t="s">
        <v>360</v>
      </c>
      <c r="I12" s="12" t="s">
        <v>361</v>
      </c>
      <c r="J12" s="12" t="s">
        <v>362</v>
      </c>
      <c r="K12" s="12" t="s">
        <v>363</v>
      </c>
      <c r="L12" s="12" t="s">
        <v>364</v>
      </c>
      <c r="M12" s="12" t="s">
        <v>365</v>
      </c>
      <c r="N12" s="12" t="s">
        <v>366</v>
      </c>
      <c r="O12" s="12" t="s">
        <v>367</v>
      </c>
      <c r="P12" s="12" t="s">
        <v>368</v>
      </c>
    </row>
    <row r="13" customFormat="false" ht="15" hidden="false" customHeight="false" outlineLevel="0" collapsed="false">
      <c r="B13" s="61"/>
      <c r="C13" s="61"/>
      <c r="D13" s="62"/>
      <c r="E13" s="66"/>
      <c r="F13" s="62"/>
      <c r="G13" s="70" t="s">
        <v>259</v>
      </c>
      <c r="H13" s="63"/>
      <c r="I13" s="91" t="str">
        <f aca="false">IF(E13="","",(1+E13)^(1/12)-1)</f>
        <v/>
      </c>
      <c r="J13" s="92" t="str">
        <f aca="false">IF(N(D13)&lt;=0,"",IF(N(E13)&gt;=$C$7,"Sí","No"))</f>
        <v/>
      </c>
      <c r="K13" s="73" t="str">
        <f aca="false">IF(N(D13)&lt;=0,"",IF($C$6="Bola de nieve",1+COUNTIFS($D$13:$D$20,"&gt;0",$D$13:$D$20,"&lt;"&amp;D13)+COUNTIFS($D$13:$D$20,D13,$P$13:$P$20,"&lt;"&amp;P13),1+COUNTIFS($D$13:$D$20,"&gt;0",$E$13:$E$20,"&gt;"&amp;N(E13))+COUNTIFS($D$13:$D$20,"&gt;0",$E$13:$E$20,N(E13),$P$13:$P$20,"&lt;"&amp;P13)))</f>
        <v/>
      </c>
      <c r="L13" s="73" t="str">
        <f aca="false">IF(K13="","",INDEX($E$86:$E$93,K13))</f>
        <v/>
      </c>
      <c r="M13" s="93" t="str">
        <f aca="false">IF(OR(L13="",NOT(ISNUMBER(L13))),"",IF(L13=0,$C$11,EDATE($C$11,L13-1)))</f>
        <v/>
      </c>
      <c r="N13" s="45" t="str">
        <f aca="false">IF(K13="","",INDEX($F$86:$F$93,K13))</f>
        <v/>
      </c>
      <c r="O13" s="45" t="str">
        <f aca="false">IF(N(D13)&lt;=0,"",IF(N(E13)=0,0,IFERROR(IF(N(F13)&lt;=D13*I13,"No se paga",F13*NPER(I13,-F13,D13)-D13),"No se paga")))</f>
        <v/>
      </c>
      <c r="P13" s="94" t="n">
        <f aca="false">ROW()</f>
        <v>13</v>
      </c>
    </row>
    <row r="14" customFormat="false" ht="15" hidden="false" customHeight="false" outlineLevel="0" collapsed="false">
      <c r="B14" s="61"/>
      <c r="C14" s="61"/>
      <c r="D14" s="62"/>
      <c r="E14" s="66"/>
      <c r="F14" s="62"/>
      <c r="G14" s="70" t="s">
        <v>259</v>
      </c>
      <c r="H14" s="63"/>
      <c r="I14" s="91" t="str">
        <f aca="false">IF(E14="","",(1+E14)^(1/12)-1)</f>
        <v/>
      </c>
      <c r="J14" s="92" t="str">
        <f aca="false">IF(N(D14)&lt;=0,"",IF(N(E14)&gt;=$C$7,"Sí","No"))</f>
        <v/>
      </c>
      <c r="K14" s="73" t="str">
        <f aca="false">IF(N(D14)&lt;=0,"",IF($C$6="Bola de nieve",1+COUNTIFS($D$13:$D$20,"&gt;0",$D$13:$D$20,"&lt;"&amp;D14)+COUNTIFS($D$13:$D$20,D14,$P$13:$P$20,"&lt;"&amp;P14),1+COUNTIFS($D$13:$D$20,"&gt;0",$E$13:$E$20,"&gt;"&amp;N(E14))+COUNTIFS($D$13:$D$20,"&gt;0",$E$13:$E$20,N(E14),$P$13:$P$20,"&lt;"&amp;P14)))</f>
        <v/>
      </c>
      <c r="L14" s="73" t="str">
        <f aca="false">IF(K14="","",INDEX($E$86:$E$93,K14))</f>
        <v/>
      </c>
      <c r="M14" s="93" t="str">
        <f aca="false">IF(OR(L14="",NOT(ISNUMBER(L14))),"",IF(L14=0,$C$11,EDATE($C$11,L14-1)))</f>
        <v/>
      </c>
      <c r="N14" s="45" t="str">
        <f aca="false">IF(K14="","",INDEX($F$86:$F$93,K14))</f>
        <v/>
      </c>
      <c r="O14" s="45" t="str">
        <f aca="false">IF(N(D14)&lt;=0,"",IF(N(E14)=0,0,IFERROR(IF(N(F14)&lt;=D14*I14,"No se paga",F14*NPER(I14,-F14,D14)-D14),"No se paga")))</f>
        <v/>
      </c>
      <c r="P14" s="94" t="n">
        <f aca="false">ROW()</f>
        <v>14</v>
      </c>
    </row>
    <row r="15" customFormat="false" ht="15" hidden="false" customHeight="false" outlineLevel="0" collapsed="false">
      <c r="B15" s="61"/>
      <c r="C15" s="61"/>
      <c r="D15" s="62"/>
      <c r="E15" s="66"/>
      <c r="F15" s="62"/>
      <c r="G15" s="70" t="s">
        <v>259</v>
      </c>
      <c r="H15" s="63"/>
      <c r="I15" s="91" t="str">
        <f aca="false">IF(E15="","",(1+E15)^(1/12)-1)</f>
        <v/>
      </c>
      <c r="J15" s="92" t="str">
        <f aca="false">IF(N(D15)&lt;=0,"",IF(N(E15)&gt;=$C$7,"Sí","No"))</f>
        <v/>
      </c>
      <c r="K15" s="73" t="str">
        <f aca="false">IF(N(D15)&lt;=0,"",IF($C$6="Bola de nieve",1+COUNTIFS($D$13:$D$20,"&gt;0",$D$13:$D$20,"&lt;"&amp;D15)+COUNTIFS($D$13:$D$20,D15,$P$13:$P$20,"&lt;"&amp;P15),1+COUNTIFS($D$13:$D$20,"&gt;0",$E$13:$E$20,"&gt;"&amp;N(E15))+COUNTIFS($D$13:$D$20,"&gt;0",$E$13:$E$20,N(E15),$P$13:$P$20,"&lt;"&amp;P15)))</f>
        <v/>
      </c>
      <c r="L15" s="73" t="str">
        <f aca="false">IF(K15="","",INDEX($E$86:$E$93,K15))</f>
        <v/>
      </c>
      <c r="M15" s="93" t="str">
        <f aca="false">IF(OR(L15="",NOT(ISNUMBER(L15))),"",IF(L15=0,$C$11,EDATE($C$11,L15-1)))</f>
        <v/>
      </c>
      <c r="N15" s="45" t="str">
        <f aca="false">IF(K15="","",INDEX($F$86:$F$93,K15))</f>
        <v/>
      </c>
      <c r="O15" s="45" t="str">
        <f aca="false">IF(N(D15)&lt;=0,"",IF(N(E15)=0,0,IFERROR(IF(N(F15)&lt;=D15*I15,"No se paga",F15*NPER(I15,-F15,D15)-D15),"No se paga")))</f>
        <v/>
      </c>
      <c r="P15" s="94" t="n">
        <f aca="false">ROW()</f>
        <v>15</v>
      </c>
    </row>
    <row r="16" customFormat="false" ht="15" hidden="false" customHeight="false" outlineLevel="0" collapsed="false">
      <c r="B16" s="61"/>
      <c r="C16" s="61"/>
      <c r="D16" s="62"/>
      <c r="E16" s="66"/>
      <c r="F16" s="62"/>
      <c r="G16" s="70" t="s">
        <v>259</v>
      </c>
      <c r="H16" s="63"/>
      <c r="I16" s="91" t="str">
        <f aca="false">IF(E16="","",(1+E16)^(1/12)-1)</f>
        <v/>
      </c>
      <c r="J16" s="92" t="str">
        <f aca="false">IF(N(D16)&lt;=0,"",IF(N(E16)&gt;=$C$7,"Sí","No"))</f>
        <v/>
      </c>
      <c r="K16" s="73" t="str">
        <f aca="false">IF(N(D16)&lt;=0,"",IF($C$6="Bola de nieve",1+COUNTIFS($D$13:$D$20,"&gt;0",$D$13:$D$20,"&lt;"&amp;D16)+COUNTIFS($D$13:$D$20,D16,$P$13:$P$20,"&lt;"&amp;P16),1+COUNTIFS($D$13:$D$20,"&gt;0",$E$13:$E$20,"&gt;"&amp;N(E16))+COUNTIFS($D$13:$D$20,"&gt;0",$E$13:$E$20,N(E16),$P$13:$P$20,"&lt;"&amp;P16)))</f>
        <v/>
      </c>
      <c r="L16" s="73" t="str">
        <f aca="false">IF(K16="","",INDEX($E$86:$E$93,K16))</f>
        <v/>
      </c>
      <c r="M16" s="93" t="str">
        <f aca="false">IF(OR(L16="",NOT(ISNUMBER(L16))),"",IF(L16=0,$C$11,EDATE($C$11,L16-1)))</f>
        <v/>
      </c>
      <c r="N16" s="45" t="str">
        <f aca="false">IF(K16="","",INDEX($F$86:$F$93,K16))</f>
        <v/>
      </c>
      <c r="O16" s="45" t="str">
        <f aca="false">IF(N(D16)&lt;=0,"",IF(N(E16)=0,0,IFERROR(IF(N(F16)&lt;=D16*I16,"No se paga",F16*NPER(I16,-F16,D16)-D16),"No se paga")))</f>
        <v/>
      </c>
      <c r="P16" s="94" t="n">
        <f aca="false">ROW()</f>
        <v>16</v>
      </c>
    </row>
    <row r="17" customFormat="false" ht="15" hidden="false" customHeight="false" outlineLevel="0" collapsed="false">
      <c r="B17" s="61"/>
      <c r="C17" s="61"/>
      <c r="D17" s="62"/>
      <c r="E17" s="66"/>
      <c r="F17" s="62"/>
      <c r="G17" s="70" t="s">
        <v>259</v>
      </c>
      <c r="H17" s="63"/>
      <c r="I17" s="91" t="str">
        <f aca="false">IF(E17="","",(1+E17)^(1/12)-1)</f>
        <v/>
      </c>
      <c r="J17" s="92" t="str">
        <f aca="false">IF(N(D17)&lt;=0,"",IF(N(E17)&gt;=$C$7,"Sí","No"))</f>
        <v/>
      </c>
      <c r="K17" s="73" t="str">
        <f aca="false">IF(N(D17)&lt;=0,"",IF($C$6="Bola de nieve",1+COUNTIFS($D$13:$D$20,"&gt;0",$D$13:$D$20,"&lt;"&amp;D17)+COUNTIFS($D$13:$D$20,D17,$P$13:$P$20,"&lt;"&amp;P17),1+COUNTIFS($D$13:$D$20,"&gt;0",$E$13:$E$20,"&gt;"&amp;N(E17))+COUNTIFS($D$13:$D$20,"&gt;0",$E$13:$E$20,N(E17),$P$13:$P$20,"&lt;"&amp;P17)))</f>
        <v/>
      </c>
      <c r="L17" s="73" t="str">
        <f aca="false">IF(K17="","",INDEX($E$86:$E$93,K17))</f>
        <v/>
      </c>
      <c r="M17" s="93" t="str">
        <f aca="false">IF(OR(L17="",NOT(ISNUMBER(L17))),"",IF(L17=0,$C$11,EDATE($C$11,L17-1)))</f>
        <v/>
      </c>
      <c r="N17" s="45" t="str">
        <f aca="false">IF(K17="","",INDEX($F$86:$F$93,K17))</f>
        <v/>
      </c>
      <c r="O17" s="45" t="str">
        <f aca="false">IF(N(D17)&lt;=0,"",IF(N(E17)=0,0,IFERROR(IF(N(F17)&lt;=D17*I17,"No se paga",F17*NPER(I17,-F17,D17)-D17),"No se paga")))</f>
        <v/>
      </c>
      <c r="P17" s="94" t="n">
        <f aca="false">ROW()</f>
        <v>17</v>
      </c>
    </row>
    <row r="18" customFormat="false" ht="15" hidden="false" customHeight="false" outlineLevel="0" collapsed="false">
      <c r="B18" s="61"/>
      <c r="C18" s="61"/>
      <c r="D18" s="62"/>
      <c r="E18" s="66"/>
      <c r="F18" s="62"/>
      <c r="G18" s="70" t="s">
        <v>259</v>
      </c>
      <c r="H18" s="63"/>
      <c r="I18" s="91" t="str">
        <f aca="false">IF(E18="","",(1+E18)^(1/12)-1)</f>
        <v/>
      </c>
      <c r="J18" s="92" t="str">
        <f aca="false">IF(N(D18)&lt;=0,"",IF(N(E18)&gt;=$C$7,"Sí","No"))</f>
        <v/>
      </c>
      <c r="K18" s="73" t="str">
        <f aca="false">IF(N(D18)&lt;=0,"",IF($C$6="Bola de nieve",1+COUNTIFS($D$13:$D$20,"&gt;0",$D$13:$D$20,"&lt;"&amp;D18)+COUNTIFS($D$13:$D$20,D18,$P$13:$P$20,"&lt;"&amp;P18),1+COUNTIFS($D$13:$D$20,"&gt;0",$E$13:$E$20,"&gt;"&amp;N(E18))+COUNTIFS($D$13:$D$20,"&gt;0",$E$13:$E$20,N(E18),$P$13:$P$20,"&lt;"&amp;P18)))</f>
        <v/>
      </c>
      <c r="L18" s="73" t="str">
        <f aca="false">IF(K18="","",INDEX($E$86:$E$93,K18))</f>
        <v/>
      </c>
      <c r="M18" s="93" t="str">
        <f aca="false">IF(OR(L18="",NOT(ISNUMBER(L18))),"",IF(L18=0,$C$11,EDATE($C$11,L18-1)))</f>
        <v/>
      </c>
      <c r="N18" s="45" t="str">
        <f aca="false">IF(K18="","",INDEX($F$86:$F$93,K18))</f>
        <v/>
      </c>
      <c r="O18" s="45" t="str">
        <f aca="false">IF(N(D18)&lt;=0,"",IF(N(E18)=0,0,IFERROR(IF(N(F18)&lt;=D18*I18,"No se paga",F18*NPER(I18,-F18,D18)-D18),"No se paga")))</f>
        <v/>
      </c>
      <c r="P18" s="94" t="n">
        <f aca="false">ROW()</f>
        <v>18</v>
      </c>
    </row>
    <row r="19" customFormat="false" ht="15" hidden="false" customHeight="false" outlineLevel="0" collapsed="false">
      <c r="B19" s="61"/>
      <c r="C19" s="61"/>
      <c r="D19" s="62"/>
      <c r="E19" s="66"/>
      <c r="F19" s="62"/>
      <c r="G19" s="70" t="s">
        <v>259</v>
      </c>
      <c r="H19" s="63"/>
      <c r="I19" s="91" t="str">
        <f aca="false">IF(E19="","",(1+E19)^(1/12)-1)</f>
        <v/>
      </c>
      <c r="J19" s="92" t="str">
        <f aca="false">IF(N(D19)&lt;=0,"",IF(N(E19)&gt;=$C$7,"Sí","No"))</f>
        <v/>
      </c>
      <c r="K19" s="73" t="str">
        <f aca="false">IF(N(D19)&lt;=0,"",IF($C$6="Bola de nieve",1+COUNTIFS($D$13:$D$20,"&gt;0",$D$13:$D$20,"&lt;"&amp;D19)+COUNTIFS($D$13:$D$20,D19,$P$13:$P$20,"&lt;"&amp;P19),1+COUNTIFS($D$13:$D$20,"&gt;0",$E$13:$E$20,"&gt;"&amp;N(E19))+COUNTIFS($D$13:$D$20,"&gt;0",$E$13:$E$20,N(E19),$P$13:$P$20,"&lt;"&amp;P19)))</f>
        <v/>
      </c>
      <c r="L19" s="73" t="str">
        <f aca="false">IF(K19="","",INDEX($E$86:$E$93,K19))</f>
        <v/>
      </c>
      <c r="M19" s="93" t="str">
        <f aca="false">IF(OR(L19="",NOT(ISNUMBER(L19))),"",IF(L19=0,$C$11,EDATE($C$11,L19-1)))</f>
        <v/>
      </c>
      <c r="N19" s="45" t="str">
        <f aca="false">IF(K19="","",INDEX($F$86:$F$93,K19))</f>
        <v/>
      </c>
      <c r="O19" s="45" t="str">
        <f aca="false">IF(N(D19)&lt;=0,"",IF(N(E19)=0,0,IFERROR(IF(N(F19)&lt;=D19*I19,"No se paga",F19*NPER(I19,-F19,D19)-D19),"No se paga")))</f>
        <v/>
      </c>
      <c r="P19" s="94" t="n">
        <f aca="false">ROW()</f>
        <v>19</v>
      </c>
    </row>
    <row r="20" customFormat="false" ht="15" hidden="false" customHeight="false" outlineLevel="0" collapsed="false">
      <c r="B20" s="61"/>
      <c r="C20" s="61"/>
      <c r="D20" s="62"/>
      <c r="E20" s="66"/>
      <c r="F20" s="62"/>
      <c r="G20" s="70" t="s">
        <v>259</v>
      </c>
      <c r="H20" s="63"/>
      <c r="I20" s="91" t="str">
        <f aca="false">IF(E20="","",(1+E20)^(1/12)-1)</f>
        <v/>
      </c>
      <c r="J20" s="92" t="str">
        <f aca="false">IF(N(D20)&lt;=0,"",IF(N(E20)&gt;=$C$7,"Sí","No"))</f>
        <v/>
      </c>
      <c r="K20" s="73" t="str">
        <f aca="false">IF(N(D20)&lt;=0,"",IF($C$6="Bola de nieve",1+COUNTIFS($D$13:$D$20,"&gt;0",$D$13:$D$20,"&lt;"&amp;D20)+COUNTIFS($D$13:$D$20,D20,$P$13:$P$20,"&lt;"&amp;P20),1+COUNTIFS($D$13:$D$20,"&gt;0",$E$13:$E$20,"&gt;"&amp;N(E20))+COUNTIFS($D$13:$D$20,"&gt;0",$E$13:$E$20,N(E20),$P$13:$P$20,"&lt;"&amp;P20)))</f>
        <v/>
      </c>
      <c r="L20" s="73" t="str">
        <f aca="false">IF(K20="","",INDEX($E$86:$E$93,K20))</f>
        <v/>
      </c>
      <c r="M20" s="93" t="str">
        <f aca="false">IF(OR(L20="",NOT(ISNUMBER(L20))),"",IF(L20=0,$C$11,EDATE($C$11,L20-1)))</f>
        <v/>
      </c>
      <c r="N20" s="45" t="str">
        <f aca="false">IF(K20="","",INDEX($F$86:$F$93,K20))</f>
        <v/>
      </c>
      <c r="O20" s="45" t="str">
        <f aca="false">IF(N(D20)&lt;=0,"",IF(N(E20)=0,0,IFERROR(IF(N(F20)&lt;=D20*I20,"No se paga",F20*NPER(I20,-F20,D20)-D20),"No se paga")))</f>
        <v/>
      </c>
      <c r="P20" s="94" t="n">
        <f aca="false">ROW()</f>
        <v>20</v>
      </c>
    </row>
    <row r="21" customFormat="false" ht="15" hidden="false" customHeight="false" outlineLevel="0" collapsed="false">
      <c r="B21" s="68" t="s">
        <v>229</v>
      </c>
      <c r="C21" s="68"/>
      <c r="D21" s="69" t="n">
        <f aca="false">SUM(D13:D20)</f>
        <v>0</v>
      </c>
      <c r="E21" s="68"/>
      <c r="F21" s="69" t="n">
        <f aca="false">SUM(F13:F20)</f>
        <v>0</v>
      </c>
      <c r="G21" s="68"/>
      <c r="H21" s="68"/>
      <c r="I21" s="68"/>
      <c r="J21" s="68"/>
      <c r="K21" s="68"/>
      <c r="L21" s="68"/>
      <c r="M21" s="68"/>
      <c r="N21" s="69" t="n">
        <f aca="false">SUM(N13:N20)</f>
        <v>0</v>
      </c>
      <c r="O21" s="69" t="n">
        <f aca="false">SUM(O13:O20)</f>
        <v>0</v>
      </c>
      <c r="P21" s="68"/>
    </row>
    <row r="22" customFormat="false" ht="15" hidden="false" customHeight="false" outlineLevel="0" collapsed="false">
      <c r="B22" s="17" t="s">
        <v>369</v>
      </c>
      <c r="C22" s="58" t="n">
        <f aca="false">SUMIFS(D13:D20,J13:J20,"Sí")</f>
        <v>0</v>
      </c>
      <c r="E22" s="24" t="s">
        <v>370</v>
      </c>
      <c r="H22" s="89" t="n">
        <f aca="false">IF(OR(COUNTIF(O13:O20,"No se paga")&gt;0,COUNTIF(L13:L20,"Más de 120")&gt;0),"Ver detalle",SUMIFS(O13:O20,K13:K20,"&gt;0")-N21)</f>
        <v>0</v>
      </c>
    </row>
    <row r="23" customFormat="false" ht="15" hidden="false" customHeight="false" outlineLevel="0" collapsed="false">
      <c r="B23" s="24" t="s">
        <v>91</v>
      </c>
      <c r="C23" s="24" t="str">
        <f aca="false">IF(C22&gt;0,"Sí","No")</f>
        <v>No</v>
      </c>
      <c r="E23" s="23" t="s">
        <v>371</v>
      </c>
    </row>
    <row r="24" customFormat="false" ht="15" hidden="false" customHeight="false" outlineLevel="0" collapsed="false">
      <c r="B24" s="17" t="s">
        <v>372</v>
      </c>
      <c r="C24" s="59" t="str">
        <f aca="false">IF(Ingresos!$U$14=0,"",F21/Ingresos!$U$14)</f>
        <v/>
      </c>
      <c r="E24" s="23" t="s">
        <v>373</v>
      </c>
    </row>
    <row r="25" customFormat="false" ht="15" hidden="false" customHeight="false" outlineLevel="0" collapsed="false">
      <c r="B25" s="17" t="s">
        <v>374</v>
      </c>
      <c r="C25" s="90" t="str">
        <f aca="false">IF(C22=0,"",IF(COUNTIFS(J13:J20,"Sí",L13:L20,"Más de 120")&gt;0,"Más de 120 meses",_xlfn.MAXIFS(M13:M20,J13:J20,"Sí")))</f>
        <v/>
      </c>
    </row>
    <row r="26" customFormat="false" ht="15" hidden="false" customHeight="false" outlineLevel="0" collapsed="false">
      <c r="B26" s="17" t="s">
        <v>375</v>
      </c>
      <c r="C26" s="17" t="str">
        <f aca="false">IF(COUNTIF(L13:L20,"Más de 120")&gt;0,"Sí","No")</f>
        <v>No</v>
      </c>
    </row>
    <row r="28" customFormat="false" ht="15" hidden="false" customHeight="false" outlineLevel="0" collapsed="false">
      <c r="B28" s="9" t="s">
        <v>376</v>
      </c>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10"/>
      <c r="BK28" s="10"/>
      <c r="BL28" s="10"/>
      <c r="BM28" s="10"/>
      <c r="BN28" s="10"/>
      <c r="BO28" s="10"/>
      <c r="BP28" s="10"/>
      <c r="BQ28" s="10"/>
      <c r="BR28" s="10"/>
      <c r="BS28" s="10"/>
      <c r="BT28" s="10"/>
      <c r="BU28" s="10"/>
      <c r="BV28" s="10"/>
      <c r="BW28" s="10"/>
      <c r="BX28" s="10"/>
      <c r="BY28" s="10"/>
      <c r="BZ28" s="10"/>
      <c r="CA28" s="10"/>
      <c r="CB28" s="10"/>
      <c r="CC28" s="10"/>
      <c r="CD28" s="10"/>
      <c r="CE28" s="10"/>
      <c r="CF28" s="10"/>
      <c r="CG28" s="10"/>
      <c r="CH28" s="10"/>
      <c r="CI28" s="10"/>
      <c r="CJ28" s="10"/>
      <c r="CK28" s="10"/>
      <c r="CL28" s="10"/>
      <c r="CM28" s="10"/>
      <c r="CN28" s="10"/>
      <c r="CO28" s="10"/>
      <c r="CP28" s="10"/>
      <c r="CQ28" s="10"/>
      <c r="CR28" s="10"/>
      <c r="CS28" s="10"/>
      <c r="CT28" s="10"/>
      <c r="CU28" s="10"/>
      <c r="CV28" s="10"/>
      <c r="CW28" s="10"/>
      <c r="CX28" s="10"/>
      <c r="CY28" s="10"/>
      <c r="CZ28" s="10"/>
      <c r="DA28" s="10"/>
      <c r="DB28" s="10"/>
      <c r="DC28" s="10"/>
      <c r="DD28" s="10"/>
      <c r="DE28" s="10"/>
      <c r="DF28" s="10"/>
      <c r="DG28" s="10"/>
      <c r="DH28" s="10"/>
      <c r="DI28" s="10"/>
      <c r="DJ28" s="10"/>
      <c r="DK28" s="10"/>
      <c r="DL28" s="10"/>
      <c r="DM28" s="10"/>
      <c r="DN28" s="10"/>
      <c r="DO28" s="10"/>
      <c r="DP28" s="10"/>
      <c r="DQ28" s="10"/>
      <c r="DR28" s="10"/>
      <c r="DS28" s="10"/>
      <c r="DT28" s="10"/>
    </row>
    <row r="29" customFormat="false" ht="15" hidden="false" customHeight="false" outlineLevel="0" collapsed="false">
      <c r="B29" s="24" t="s">
        <v>377</v>
      </c>
      <c r="E29" s="95" t="n">
        <f aca="false">EDATE($C$11,0)</f>
        <v>46296</v>
      </c>
      <c r="F29" s="95" t="n">
        <f aca="false">EDATE($C$11,1)</f>
        <v>46327</v>
      </c>
      <c r="G29" s="95" t="n">
        <f aca="false">EDATE($C$11,2)</f>
        <v>46357</v>
      </c>
      <c r="H29" s="95" t="n">
        <f aca="false">EDATE($C$11,3)</f>
        <v>46388</v>
      </c>
      <c r="I29" s="95" t="n">
        <f aca="false">EDATE($C$11,4)</f>
        <v>46419</v>
      </c>
      <c r="J29" s="95" t="n">
        <f aca="false">EDATE($C$11,5)</f>
        <v>46447</v>
      </c>
      <c r="K29" s="95" t="n">
        <f aca="false">EDATE($C$11,6)</f>
        <v>46478</v>
      </c>
      <c r="L29" s="95" t="n">
        <f aca="false">EDATE($C$11,7)</f>
        <v>46508</v>
      </c>
      <c r="M29" s="95" t="n">
        <f aca="false">EDATE($C$11,8)</f>
        <v>46539</v>
      </c>
      <c r="N29" s="95" t="n">
        <f aca="false">EDATE($C$11,9)</f>
        <v>46569</v>
      </c>
      <c r="O29" s="95" t="n">
        <f aca="false">EDATE($C$11,10)</f>
        <v>46600</v>
      </c>
      <c r="P29" s="95" t="n">
        <f aca="false">EDATE($C$11,11)</f>
        <v>46631</v>
      </c>
      <c r="Q29" s="95" t="n">
        <f aca="false">EDATE($C$11,12)</f>
        <v>46661</v>
      </c>
      <c r="R29" s="95" t="n">
        <f aca="false">EDATE($C$11,13)</f>
        <v>46692</v>
      </c>
      <c r="S29" s="95" t="n">
        <f aca="false">EDATE($C$11,14)</f>
        <v>46722</v>
      </c>
      <c r="T29" s="95" t="n">
        <f aca="false">EDATE($C$11,15)</f>
        <v>46753</v>
      </c>
      <c r="U29" s="95" t="n">
        <f aca="false">EDATE($C$11,16)</f>
        <v>46784</v>
      </c>
      <c r="V29" s="95" t="n">
        <f aca="false">EDATE($C$11,17)</f>
        <v>46813</v>
      </c>
      <c r="W29" s="95" t="n">
        <f aca="false">EDATE($C$11,18)</f>
        <v>46844</v>
      </c>
      <c r="X29" s="95" t="n">
        <f aca="false">EDATE($C$11,19)</f>
        <v>46874</v>
      </c>
      <c r="Y29" s="95" t="n">
        <f aca="false">EDATE($C$11,20)</f>
        <v>46905</v>
      </c>
      <c r="Z29" s="95" t="n">
        <f aca="false">EDATE($C$11,21)</f>
        <v>46935</v>
      </c>
      <c r="AA29" s="95" t="n">
        <f aca="false">EDATE($C$11,22)</f>
        <v>46966</v>
      </c>
      <c r="AB29" s="95" t="n">
        <f aca="false">EDATE($C$11,23)</f>
        <v>46997</v>
      </c>
      <c r="AC29" s="95" t="n">
        <f aca="false">EDATE($C$11,24)</f>
        <v>47027</v>
      </c>
      <c r="AD29" s="95" t="n">
        <f aca="false">EDATE($C$11,25)</f>
        <v>47058</v>
      </c>
      <c r="AE29" s="95" t="n">
        <f aca="false">EDATE($C$11,26)</f>
        <v>47088</v>
      </c>
      <c r="AF29" s="95" t="n">
        <f aca="false">EDATE($C$11,27)</f>
        <v>47119</v>
      </c>
      <c r="AG29" s="95" t="n">
        <f aca="false">EDATE($C$11,28)</f>
        <v>47150</v>
      </c>
      <c r="AH29" s="95" t="n">
        <f aca="false">EDATE($C$11,29)</f>
        <v>47178</v>
      </c>
      <c r="AI29" s="95" t="n">
        <f aca="false">EDATE($C$11,30)</f>
        <v>47209</v>
      </c>
      <c r="AJ29" s="95" t="n">
        <f aca="false">EDATE($C$11,31)</f>
        <v>47239</v>
      </c>
      <c r="AK29" s="95" t="n">
        <f aca="false">EDATE($C$11,32)</f>
        <v>47270</v>
      </c>
      <c r="AL29" s="95" t="n">
        <f aca="false">EDATE($C$11,33)</f>
        <v>47300</v>
      </c>
      <c r="AM29" s="95" t="n">
        <f aca="false">EDATE($C$11,34)</f>
        <v>47331</v>
      </c>
      <c r="AN29" s="95" t="n">
        <f aca="false">EDATE($C$11,35)</f>
        <v>47362</v>
      </c>
      <c r="AO29" s="95" t="n">
        <f aca="false">EDATE($C$11,36)</f>
        <v>47392</v>
      </c>
      <c r="AP29" s="95" t="n">
        <f aca="false">EDATE($C$11,37)</f>
        <v>47423</v>
      </c>
      <c r="AQ29" s="95" t="n">
        <f aca="false">EDATE($C$11,38)</f>
        <v>47453</v>
      </c>
      <c r="AR29" s="95" t="n">
        <f aca="false">EDATE($C$11,39)</f>
        <v>47484</v>
      </c>
      <c r="AS29" s="95" t="n">
        <f aca="false">EDATE($C$11,40)</f>
        <v>47515</v>
      </c>
      <c r="AT29" s="95" t="n">
        <f aca="false">EDATE($C$11,41)</f>
        <v>47543</v>
      </c>
      <c r="AU29" s="95" t="n">
        <f aca="false">EDATE($C$11,42)</f>
        <v>47574</v>
      </c>
      <c r="AV29" s="95" t="n">
        <f aca="false">EDATE($C$11,43)</f>
        <v>47604</v>
      </c>
      <c r="AW29" s="95" t="n">
        <f aca="false">EDATE($C$11,44)</f>
        <v>47635</v>
      </c>
      <c r="AX29" s="95" t="n">
        <f aca="false">EDATE($C$11,45)</f>
        <v>47665</v>
      </c>
      <c r="AY29" s="95" t="n">
        <f aca="false">EDATE($C$11,46)</f>
        <v>47696</v>
      </c>
      <c r="AZ29" s="95" t="n">
        <f aca="false">EDATE($C$11,47)</f>
        <v>47727</v>
      </c>
      <c r="BA29" s="95" t="n">
        <f aca="false">EDATE($C$11,48)</f>
        <v>47757</v>
      </c>
      <c r="BB29" s="95" t="n">
        <f aca="false">EDATE($C$11,49)</f>
        <v>47788</v>
      </c>
      <c r="BC29" s="95" t="n">
        <f aca="false">EDATE($C$11,50)</f>
        <v>47818</v>
      </c>
      <c r="BD29" s="95" t="n">
        <f aca="false">EDATE($C$11,51)</f>
        <v>47849</v>
      </c>
      <c r="BE29" s="95" t="n">
        <f aca="false">EDATE($C$11,52)</f>
        <v>47880</v>
      </c>
      <c r="BF29" s="95" t="n">
        <f aca="false">EDATE($C$11,53)</f>
        <v>47908</v>
      </c>
      <c r="BG29" s="95" t="n">
        <f aca="false">EDATE($C$11,54)</f>
        <v>47939</v>
      </c>
      <c r="BH29" s="95" t="n">
        <f aca="false">EDATE($C$11,55)</f>
        <v>47969</v>
      </c>
      <c r="BI29" s="95" t="n">
        <f aca="false">EDATE($C$11,56)</f>
        <v>48000</v>
      </c>
      <c r="BJ29" s="95" t="n">
        <f aca="false">EDATE($C$11,57)</f>
        <v>48030</v>
      </c>
      <c r="BK29" s="95" t="n">
        <f aca="false">EDATE($C$11,58)</f>
        <v>48061</v>
      </c>
      <c r="BL29" s="95" t="n">
        <f aca="false">EDATE($C$11,59)</f>
        <v>48092</v>
      </c>
      <c r="BM29" s="95" t="n">
        <f aca="false">EDATE($C$11,60)</f>
        <v>48122</v>
      </c>
      <c r="BN29" s="95" t="n">
        <f aca="false">EDATE($C$11,61)</f>
        <v>48153</v>
      </c>
      <c r="BO29" s="95" t="n">
        <f aca="false">EDATE($C$11,62)</f>
        <v>48183</v>
      </c>
      <c r="BP29" s="95" t="n">
        <f aca="false">EDATE($C$11,63)</f>
        <v>48214</v>
      </c>
      <c r="BQ29" s="95" t="n">
        <f aca="false">EDATE($C$11,64)</f>
        <v>48245</v>
      </c>
      <c r="BR29" s="95" t="n">
        <f aca="false">EDATE($C$11,65)</f>
        <v>48274</v>
      </c>
      <c r="BS29" s="95" t="n">
        <f aca="false">EDATE($C$11,66)</f>
        <v>48305</v>
      </c>
      <c r="BT29" s="95" t="n">
        <f aca="false">EDATE($C$11,67)</f>
        <v>48335</v>
      </c>
      <c r="BU29" s="95" t="n">
        <f aca="false">EDATE($C$11,68)</f>
        <v>48366</v>
      </c>
      <c r="BV29" s="95" t="n">
        <f aca="false">EDATE($C$11,69)</f>
        <v>48396</v>
      </c>
      <c r="BW29" s="95" t="n">
        <f aca="false">EDATE($C$11,70)</f>
        <v>48427</v>
      </c>
      <c r="BX29" s="95" t="n">
        <f aca="false">EDATE($C$11,71)</f>
        <v>48458</v>
      </c>
      <c r="BY29" s="95" t="n">
        <f aca="false">EDATE($C$11,72)</f>
        <v>48488</v>
      </c>
      <c r="BZ29" s="95" t="n">
        <f aca="false">EDATE($C$11,73)</f>
        <v>48519</v>
      </c>
      <c r="CA29" s="95" t="n">
        <f aca="false">EDATE($C$11,74)</f>
        <v>48549</v>
      </c>
      <c r="CB29" s="95" t="n">
        <f aca="false">EDATE($C$11,75)</f>
        <v>48580</v>
      </c>
      <c r="CC29" s="95" t="n">
        <f aca="false">EDATE($C$11,76)</f>
        <v>48611</v>
      </c>
      <c r="CD29" s="95" t="n">
        <f aca="false">EDATE($C$11,77)</f>
        <v>48639</v>
      </c>
      <c r="CE29" s="95" t="n">
        <f aca="false">EDATE($C$11,78)</f>
        <v>48670</v>
      </c>
      <c r="CF29" s="95" t="n">
        <f aca="false">EDATE($C$11,79)</f>
        <v>48700</v>
      </c>
      <c r="CG29" s="95" t="n">
        <f aca="false">EDATE($C$11,80)</f>
        <v>48731</v>
      </c>
      <c r="CH29" s="95" t="n">
        <f aca="false">EDATE($C$11,81)</f>
        <v>48761</v>
      </c>
      <c r="CI29" s="95" t="n">
        <f aca="false">EDATE($C$11,82)</f>
        <v>48792</v>
      </c>
      <c r="CJ29" s="95" t="n">
        <f aca="false">EDATE($C$11,83)</f>
        <v>48823</v>
      </c>
      <c r="CK29" s="95" t="n">
        <f aca="false">EDATE($C$11,84)</f>
        <v>48853</v>
      </c>
      <c r="CL29" s="95" t="n">
        <f aca="false">EDATE($C$11,85)</f>
        <v>48884</v>
      </c>
      <c r="CM29" s="95" t="n">
        <f aca="false">EDATE($C$11,86)</f>
        <v>48914</v>
      </c>
      <c r="CN29" s="95" t="n">
        <f aca="false">EDATE($C$11,87)</f>
        <v>48945</v>
      </c>
      <c r="CO29" s="95" t="n">
        <f aca="false">EDATE($C$11,88)</f>
        <v>48976</v>
      </c>
      <c r="CP29" s="95" t="n">
        <f aca="false">EDATE($C$11,89)</f>
        <v>49004</v>
      </c>
      <c r="CQ29" s="95" t="n">
        <f aca="false">EDATE($C$11,90)</f>
        <v>49035</v>
      </c>
      <c r="CR29" s="95" t="n">
        <f aca="false">EDATE($C$11,91)</f>
        <v>49065</v>
      </c>
      <c r="CS29" s="95" t="n">
        <f aca="false">EDATE($C$11,92)</f>
        <v>49096</v>
      </c>
      <c r="CT29" s="95" t="n">
        <f aca="false">EDATE($C$11,93)</f>
        <v>49126</v>
      </c>
      <c r="CU29" s="95" t="n">
        <f aca="false">EDATE($C$11,94)</f>
        <v>49157</v>
      </c>
      <c r="CV29" s="95" t="n">
        <f aca="false">EDATE($C$11,95)</f>
        <v>49188</v>
      </c>
      <c r="CW29" s="95" t="n">
        <f aca="false">EDATE($C$11,96)</f>
        <v>49218</v>
      </c>
      <c r="CX29" s="95" t="n">
        <f aca="false">EDATE($C$11,97)</f>
        <v>49249</v>
      </c>
      <c r="CY29" s="95" t="n">
        <f aca="false">EDATE($C$11,98)</f>
        <v>49279</v>
      </c>
      <c r="CZ29" s="95" t="n">
        <f aca="false">EDATE($C$11,99)</f>
        <v>49310</v>
      </c>
      <c r="DA29" s="95" t="n">
        <f aca="false">EDATE($C$11,100)</f>
        <v>49341</v>
      </c>
      <c r="DB29" s="95" t="n">
        <f aca="false">EDATE($C$11,101)</f>
        <v>49369</v>
      </c>
      <c r="DC29" s="95" t="n">
        <f aca="false">EDATE($C$11,102)</f>
        <v>49400</v>
      </c>
      <c r="DD29" s="95" t="n">
        <f aca="false">EDATE($C$11,103)</f>
        <v>49430</v>
      </c>
      <c r="DE29" s="95" t="n">
        <f aca="false">EDATE($C$11,104)</f>
        <v>49461</v>
      </c>
      <c r="DF29" s="95" t="n">
        <f aca="false">EDATE($C$11,105)</f>
        <v>49491</v>
      </c>
      <c r="DG29" s="95" t="n">
        <f aca="false">EDATE($C$11,106)</f>
        <v>49522</v>
      </c>
      <c r="DH29" s="95" t="n">
        <f aca="false">EDATE($C$11,107)</f>
        <v>49553</v>
      </c>
      <c r="DI29" s="95" t="n">
        <f aca="false">EDATE($C$11,108)</f>
        <v>49583</v>
      </c>
      <c r="DJ29" s="95" t="n">
        <f aca="false">EDATE($C$11,109)</f>
        <v>49614</v>
      </c>
      <c r="DK29" s="95" t="n">
        <f aca="false">EDATE($C$11,110)</f>
        <v>49644</v>
      </c>
      <c r="DL29" s="95" t="n">
        <f aca="false">EDATE($C$11,111)</f>
        <v>49675</v>
      </c>
      <c r="DM29" s="95" t="n">
        <f aca="false">EDATE($C$11,112)</f>
        <v>49706</v>
      </c>
      <c r="DN29" s="95" t="n">
        <f aca="false">EDATE($C$11,113)</f>
        <v>49735</v>
      </c>
      <c r="DO29" s="95" t="n">
        <f aca="false">EDATE($C$11,114)</f>
        <v>49766</v>
      </c>
      <c r="DP29" s="95" t="n">
        <f aca="false">EDATE($C$11,115)</f>
        <v>49796</v>
      </c>
      <c r="DQ29" s="95" t="n">
        <f aca="false">EDATE($C$11,116)</f>
        <v>49827</v>
      </c>
      <c r="DR29" s="95" t="n">
        <f aca="false">EDATE($C$11,117)</f>
        <v>49857</v>
      </c>
      <c r="DS29" s="95" t="n">
        <f aca="false">EDATE($C$11,118)</f>
        <v>49888</v>
      </c>
      <c r="DT29" s="95" t="n">
        <f aca="false">EDATE($C$11,119)</f>
        <v>49919</v>
      </c>
    </row>
    <row r="30" customFormat="false" ht="15" hidden="false" customHeight="false" outlineLevel="0" collapsed="false">
      <c r="B30" s="17" t="s">
        <v>378</v>
      </c>
      <c r="E30" s="58" t="n">
        <f aca="false">$C$9</f>
        <v>0</v>
      </c>
      <c r="F30" s="58" t="n">
        <f aca="false">$C$9</f>
        <v>0</v>
      </c>
      <c r="G30" s="58" t="n">
        <f aca="false">$C$9</f>
        <v>0</v>
      </c>
      <c r="H30" s="58" t="n">
        <f aca="false">$C$9</f>
        <v>0</v>
      </c>
      <c r="I30" s="58" t="n">
        <f aca="false">$C$9</f>
        <v>0</v>
      </c>
      <c r="J30" s="58" t="n">
        <f aca="false">$C$9</f>
        <v>0</v>
      </c>
      <c r="K30" s="58" t="n">
        <f aca="false">$C$9</f>
        <v>0</v>
      </c>
      <c r="L30" s="58" t="n">
        <f aca="false">$C$9</f>
        <v>0</v>
      </c>
      <c r="M30" s="58" t="n">
        <f aca="false">$C$9</f>
        <v>0</v>
      </c>
      <c r="N30" s="58" t="n">
        <f aca="false">$C$9</f>
        <v>0</v>
      </c>
      <c r="O30" s="58" t="n">
        <f aca="false">$C$9</f>
        <v>0</v>
      </c>
      <c r="P30" s="58" t="n">
        <f aca="false">$C$9</f>
        <v>0</v>
      </c>
      <c r="Q30" s="58" t="n">
        <f aca="false">$C$9</f>
        <v>0</v>
      </c>
      <c r="R30" s="58" t="n">
        <f aca="false">$C$9</f>
        <v>0</v>
      </c>
      <c r="S30" s="58" t="n">
        <f aca="false">$C$9</f>
        <v>0</v>
      </c>
      <c r="T30" s="58" t="n">
        <f aca="false">$C$9</f>
        <v>0</v>
      </c>
      <c r="U30" s="58" t="n">
        <f aca="false">$C$9</f>
        <v>0</v>
      </c>
      <c r="V30" s="58" t="n">
        <f aca="false">$C$9</f>
        <v>0</v>
      </c>
      <c r="W30" s="58" t="n">
        <f aca="false">$C$9</f>
        <v>0</v>
      </c>
      <c r="X30" s="58" t="n">
        <f aca="false">$C$9</f>
        <v>0</v>
      </c>
      <c r="Y30" s="58" t="n">
        <f aca="false">$C$9</f>
        <v>0</v>
      </c>
      <c r="Z30" s="58" t="n">
        <f aca="false">$C$9</f>
        <v>0</v>
      </c>
      <c r="AA30" s="58" t="n">
        <f aca="false">$C$9</f>
        <v>0</v>
      </c>
      <c r="AB30" s="58" t="n">
        <f aca="false">$C$9</f>
        <v>0</v>
      </c>
      <c r="AC30" s="58" t="n">
        <f aca="false">$C$9</f>
        <v>0</v>
      </c>
      <c r="AD30" s="58" t="n">
        <f aca="false">$C$9</f>
        <v>0</v>
      </c>
      <c r="AE30" s="58" t="n">
        <f aca="false">$C$9</f>
        <v>0</v>
      </c>
      <c r="AF30" s="58" t="n">
        <f aca="false">$C$9</f>
        <v>0</v>
      </c>
      <c r="AG30" s="58" t="n">
        <f aca="false">$C$9</f>
        <v>0</v>
      </c>
      <c r="AH30" s="58" t="n">
        <f aca="false">$C$9</f>
        <v>0</v>
      </c>
      <c r="AI30" s="58" t="n">
        <f aca="false">$C$9</f>
        <v>0</v>
      </c>
      <c r="AJ30" s="58" t="n">
        <f aca="false">$C$9</f>
        <v>0</v>
      </c>
      <c r="AK30" s="58" t="n">
        <f aca="false">$C$9</f>
        <v>0</v>
      </c>
      <c r="AL30" s="58" t="n">
        <f aca="false">$C$9</f>
        <v>0</v>
      </c>
      <c r="AM30" s="58" t="n">
        <f aca="false">$C$9</f>
        <v>0</v>
      </c>
      <c r="AN30" s="58" t="n">
        <f aca="false">$C$9</f>
        <v>0</v>
      </c>
      <c r="AO30" s="58" t="n">
        <f aca="false">$C$9</f>
        <v>0</v>
      </c>
      <c r="AP30" s="58" t="n">
        <f aca="false">$C$9</f>
        <v>0</v>
      </c>
      <c r="AQ30" s="58" t="n">
        <f aca="false">$C$9</f>
        <v>0</v>
      </c>
      <c r="AR30" s="58" t="n">
        <f aca="false">$C$9</f>
        <v>0</v>
      </c>
      <c r="AS30" s="58" t="n">
        <f aca="false">$C$9</f>
        <v>0</v>
      </c>
      <c r="AT30" s="58" t="n">
        <f aca="false">$C$9</f>
        <v>0</v>
      </c>
      <c r="AU30" s="58" t="n">
        <f aca="false">$C$9</f>
        <v>0</v>
      </c>
      <c r="AV30" s="58" t="n">
        <f aca="false">$C$9</f>
        <v>0</v>
      </c>
      <c r="AW30" s="58" t="n">
        <f aca="false">$C$9</f>
        <v>0</v>
      </c>
      <c r="AX30" s="58" t="n">
        <f aca="false">$C$9</f>
        <v>0</v>
      </c>
      <c r="AY30" s="58" t="n">
        <f aca="false">$C$9</f>
        <v>0</v>
      </c>
      <c r="AZ30" s="58" t="n">
        <f aca="false">$C$9</f>
        <v>0</v>
      </c>
      <c r="BA30" s="58" t="n">
        <f aca="false">$C$9</f>
        <v>0</v>
      </c>
      <c r="BB30" s="58" t="n">
        <f aca="false">$C$9</f>
        <v>0</v>
      </c>
      <c r="BC30" s="58" t="n">
        <f aca="false">$C$9</f>
        <v>0</v>
      </c>
      <c r="BD30" s="58" t="n">
        <f aca="false">$C$9</f>
        <v>0</v>
      </c>
      <c r="BE30" s="58" t="n">
        <f aca="false">$C$9</f>
        <v>0</v>
      </c>
      <c r="BF30" s="58" t="n">
        <f aca="false">$C$9</f>
        <v>0</v>
      </c>
      <c r="BG30" s="58" t="n">
        <f aca="false">$C$9</f>
        <v>0</v>
      </c>
      <c r="BH30" s="58" t="n">
        <f aca="false">$C$9</f>
        <v>0</v>
      </c>
      <c r="BI30" s="58" t="n">
        <f aca="false">$C$9</f>
        <v>0</v>
      </c>
      <c r="BJ30" s="58" t="n">
        <f aca="false">$C$9</f>
        <v>0</v>
      </c>
      <c r="BK30" s="58" t="n">
        <f aca="false">$C$9</f>
        <v>0</v>
      </c>
      <c r="BL30" s="58" t="n">
        <f aca="false">$C$9</f>
        <v>0</v>
      </c>
      <c r="BM30" s="58" t="n">
        <f aca="false">$C$9</f>
        <v>0</v>
      </c>
      <c r="BN30" s="58" t="n">
        <f aca="false">$C$9</f>
        <v>0</v>
      </c>
      <c r="BO30" s="58" t="n">
        <f aca="false">$C$9</f>
        <v>0</v>
      </c>
      <c r="BP30" s="58" t="n">
        <f aca="false">$C$9</f>
        <v>0</v>
      </c>
      <c r="BQ30" s="58" t="n">
        <f aca="false">$C$9</f>
        <v>0</v>
      </c>
      <c r="BR30" s="58" t="n">
        <f aca="false">$C$9</f>
        <v>0</v>
      </c>
      <c r="BS30" s="58" t="n">
        <f aca="false">$C$9</f>
        <v>0</v>
      </c>
      <c r="BT30" s="58" t="n">
        <f aca="false">$C$9</f>
        <v>0</v>
      </c>
      <c r="BU30" s="58" t="n">
        <f aca="false">$C$9</f>
        <v>0</v>
      </c>
      <c r="BV30" s="58" t="n">
        <f aca="false">$C$9</f>
        <v>0</v>
      </c>
      <c r="BW30" s="58" t="n">
        <f aca="false">$C$9</f>
        <v>0</v>
      </c>
      <c r="BX30" s="58" t="n">
        <f aca="false">$C$9</f>
        <v>0</v>
      </c>
      <c r="BY30" s="58" t="n">
        <f aca="false">$C$9</f>
        <v>0</v>
      </c>
      <c r="BZ30" s="58" t="n">
        <f aca="false">$C$9</f>
        <v>0</v>
      </c>
      <c r="CA30" s="58" t="n">
        <f aca="false">$C$9</f>
        <v>0</v>
      </c>
      <c r="CB30" s="58" t="n">
        <f aca="false">$C$9</f>
        <v>0</v>
      </c>
      <c r="CC30" s="58" t="n">
        <f aca="false">$C$9</f>
        <v>0</v>
      </c>
      <c r="CD30" s="58" t="n">
        <f aca="false">$C$9</f>
        <v>0</v>
      </c>
      <c r="CE30" s="58" t="n">
        <f aca="false">$C$9</f>
        <v>0</v>
      </c>
      <c r="CF30" s="58" t="n">
        <f aca="false">$C$9</f>
        <v>0</v>
      </c>
      <c r="CG30" s="58" t="n">
        <f aca="false">$C$9</f>
        <v>0</v>
      </c>
      <c r="CH30" s="58" t="n">
        <f aca="false">$C$9</f>
        <v>0</v>
      </c>
      <c r="CI30" s="58" t="n">
        <f aca="false">$C$9</f>
        <v>0</v>
      </c>
      <c r="CJ30" s="58" t="n">
        <f aca="false">$C$9</f>
        <v>0</v>
      </c>
      <c r="CK30" s="58" t="n">
        <f aca="false">$C$9</f>
        <v>0</v>
      </c>
      <c r="CL30" s="58" t="n">
        <f aca="false">$C$9</f>
        <v>0</v>
      </c>
      <c r="CM30" s="58" t="n">
        <f aca="false">$C$9</f>
        <v>0</v>
      </c>
      <c r="CN30" s="58" t="n">
        <f aca="false">$C$9</f>
        <v>0</v>
      </c>
      <c r="CO30" s="58" t="n">
        <f aca="false">$C$9</f>
        <v>0</v>
      </c>
      <c r="CP30" s="58" t="n">
        <f aca="false">$C$9</f>
        <v>0</v>
      </c>
      <c r="CQ30" s="58" t="n">
        <f aca="false">$C$9</f>
        <v>0</v>
      </c>
      <c r="CR30" s="58" t="n">
        <f aca="false">$C$9</f>
        <v>0</v>
      </c>
      <c r="CS30" s="58" t="n">
        <f aca="false">$C$9</f>
        <v>0</v>
      </c>
      <c r="CT30" s="58" t="n">
        <f aca="false">$C$9</f>
        <v>0</v>
      </c>
      <c r="CU30" s="58" t="n">
        <f aca="false">$C$9</f>
        <v>0</v>
      </c>
      <c r="CV30" s="58" t="n">
        <f aca="false">$C$9</f>
        <v>0</v>
      </c>
      <c r="CW30" s="58" t="n">
        <f aca="false">$C$9</f>
        <v>0</v>
      </c>
      <c r="CX30" s="58" t="n">
        <f aca="false">$C$9</f>
        <v>0</v>
      </c>
      <c r="CY30" s="58" t="n">
        <f aca="false">$C$9</f>
        <v>0</v>
      </c>
      <c r="CZ30" s="58" t="n">
        <f aca="false">$C$9</f>
        <v>0</v>
      </c>
      <c r="DA30" s="58" t="n">
        <f aca="false">$C$9</f>
        <v>0</v>
      </c>
      <c r="DB30" s="58" t="n">
        <f aca="false">$C$9</f>
        <v>0</v>
      </c>
      <c r="DC30" s="58" t="n">
        <f aca="false">$C$9</f>
        <v>0</v>
      </c>
      <c r="DD30" s="58" t="n">
        <f aca="false">$C$9</f>
        <v>0</v>
      </c>
      <c r="DE30" s="58" t="n">
        <f aca="false">$C$9</f>
        <v>0</v>
      </c>
      <c r="DF30" s="58" t="n">
        <f aca="false">$C$9</f>
        <v>0</v>
      </c>
      <c r="DG30" s="58" t="n">
        <f aca="false">$C$9</f>
        <v>0</v>
      </c>
      <c r="DH30" s="58" t="n">
        <f aca="false">$C$9</f>
        <v>0</v>
      </c>
      <c r="DI30" s="58" t="n">
        <f aca="false">$C$9</f>
        <v>0</v>
      </c>
      <c r="DJ30" s="58" t="n">
        <f aca="false">$C$9</f>
        <v>0</v>
      </c>
      <c r="DK30" s="58" t="n">
        <f aca="false">$C$9</f>
        <v>0</v>
      </c>
      <c r="DL30" s="58" t="n">
        <f aca="false">$C$9</f>
        <v>0</v>
      </c>
      <c r="DM30" s="58" t="n">
        <f aca="false">$C$9</f>
        <v>0</v>
      </c>
      <c r="DN30" s="58" t="n">
        <f aca="false">$C$9</f>
        <v>0</v>
      </c>
      <c r="DO30" s="58" t="n">
        <f aca="false">$C$9</f>
        <v>0</v>
      </c>
      <c r="DP30" s="58" t="n">
        <f aca="false">$C$9</f>
        <v>0</v>
      </c>
      <c r="DQ30" s="58" t="n">
        <f aca="false">$C$9</f>
        <v>0</v>
      </c>
      <c r="DR30" s="58" t="n">
        <f aca="false">$C$9</f>
        <v>0</v>
      </c>
      <c r="DS30" s="58" t="n">
        <f aca="false">$C$9</f>
        <v>0</v>
      </c>
      <c r="DT30" s="58" t="n">
        <f aca="false">$C$9</f>
        <v>0</v>
      </c>
    </row>
    <row r="31" customFormat="false" ht="15" hidden="false" customHeight="false" outlineLevel="0" collapsed="false">
      <c r="B31" s="24" t="s">
        <v>379</v>
      </c>
      <c r="E31" s="89" t="n">
        <f aca="false">E30-(E35+E41+E47+E53+E59+E65+E71+E77)</f>
        <v>0</v>
      </c>
      <c r="F31" s="89" t="n">
        <f aca="false">F30-(F35+F41+F47+F53+F59+F65+F71+F77)</f>
        <v>0</v>
      </c>
      <c r="G31" s="89" t="n">
        <f aca="false">G30-(G35+G41+G47+G53+G59+G65+G71+G77)</f>
        <v>0</v>
      </c>
      <c r="H31" s="89" t="n">
        <f aca="false">H30-(H35+H41+H47+H53+H59+H65+H71+H77)</f>
        <v>0</v>
      </c>
      <c r="I31" s="89" t="n">
        <f aca="false">I30-(I35+I41+I47+I53+I59+I65+I71+I77)</f>
        <v>0</v>
      </c>
      <c r="J31" s="89" t="n">
        <f aca="false">J30-(J35+J41+J47+J53+J59+J65+J71+J77)</f>
        <v>0</v>
      </c>
      <c r="K31" s="89" t="n">
        <f aca="false">K30-(K35+K41+K47+K53+K59+K65+K71+K77)</f>
        <v>0</v>
      </c>
      <c r="L31" s="89" t="n">
        <f aca="false">L30-(L35+L41+L47+L53+L59+L65+L71+L77)</f>
        <v>0</v>
      </c>
      <c r="M31" s="89" t="n">
        <f aca="false">M30-(M35+M41+M47+M53+M59+M65+M71+M77)</f>
        <v>0</v>
      </c>
      <c r="N31" s="89" t="n">
        <f aca="false">N30-(N35+N41+N47+N53+N59+N65+N71+N77)</f>
        <v>0</v>
      </c>
      <c r="O31" s="89" t="n">
        <f aca="false">O30-(O35+O41+O47+O53+O59+O65+O71+O77)</f>
        <v>0</v>
      </c>
      <c r="P31" s="89" t="n">
        <f aca="false">P30-(P35+P41+P47+P53+P59+P65+P71+P77)</f>
        <v>0</v>
      </c>
      <c r="Q31" s="89" t="n">
        <f aca="false">Q30-(Q35+Q41+Q47+Q53+Q59+Q65+Q71+Q77)</f>
        <v>0</v>
      </c>
      <c r="R31" s="89" t="n">
        <f aca="false">R30-(R35+R41+R47+R53+R59+R65+R71+R77)</f>
        <v>0</v>
      </c>
      <c r="S31" s="89" t="n">
        <f aca="false">S30-(S35+S41+S47+S53+S59+S65+S71+S77)</f>
        <v>0</v>
      </c>
      <c r="T31" s="89" t="n">
        <f aca="false">T30-(T35+T41+T47+T53+T59+T65+T71+T77)</f>
        <v>0</v>
      </c>
      <c r="U31" s="89" t="n">
        <f aca="false">U30-(U35+U41+U47+U53+U59+U65+U71+U77)</f>
        <v>0</v>
      </c>
      <c r="V31" s="89" t="n">
        <f aca="false">V30-(V35+V41+V47+V53+V59+V65+V71+V77)</f>
        <v>0</v>
      </c>
      <c r="W31" s="89" t="n">
        <f aca="false">W30-(W35+W41+W47+W53+W59+W65+W71+W77)</f>
        <v>0</v>
      </c>
      <c r="X31" s="89" t="n">
        <f aca="false">X30-(X35+X41+X47+X53+X59+X65+X71+X77)</f>
        <v>0</v>
      </c>
      <c r="Y31" s="89" t="n">
        <f aca="false">Y30-(Y35+Y41+Y47+Y53+Y59+Y65+Y71+Y77)</f>
        <v>0</v>
      </c>
      <c r="Z31" s="89" t="n">
        <f aca="false">Z30-(Z35+Z41+Z47+Z53+Z59+Z65+Z71+Z77)</f>
        <v>0</v>
      </c>
      <c r="AA31" s="89" t="n">
        <f aca="false">AA30-(AA35+AA41+AA47+AA53+AA59+AA65+AA71+AA77)</f>
        <v>0</v>
      </c>
      <c r="AB31" s="89" t="n">
        <f aca="false">AB30-(AB35+AB41+AB47+AB53+AB59+AB65+AB71+AB77)</f>
        <v>0</v>
      </c>
      <c r="AC31" s="89" t="n">
        <f aca="false">AC30-(AC35+AC41+AC47+AC53+AC59+AC65+AC71+AC77)</f>
        <v>0</v>
      </c>
      <c r="AD31" s="89" t="n">
        <f aca="false">AD30-(AD35+AD41+AD47+AD53+AD59+AD65+AD71+AD77)</f>
        <v>0</v>
      </c>
      <c r="AE31" s="89" t="n">
        <f aca="false">AE30-(AE35+AE41+AE47+AE53+AE59+AE65+AE71+AE77)</f>
        <v>0</v>
      </c>
      <c r="AF31" s="89" t="n">
        <f aca="false">AF30-(AF35+AF41+AF47+AF53+AF59+AF65+AF71+AF77)</f>
        <v>0</v>
      </c>
      <c r="AG31" s="89" t="n">
        <f aca="false">AG30-(AG35+AG41+AG47+AG53+AG59+AG65+AG71+AG77)</f>
        <v>0</v>
      </c>
      <c r="AH31" s="89" t="n">
        <f aca="false">AH30-(AH35+AH41+AH47+AH53+AH59+AH65+AH71+AH77)</f>
        <v>0</v>
      </c>
      <c r="AI31" s="89" t="n">
        <f aca="false">AI30-(AI35+AI41+AI47+AI53+AI59+AI65+AI71+AI77)</f>
        <v>0</v>
      </c>
      <c r="AJ31" s="89" t="n">
        <f aca="false">AJ30-(AJ35+AJ41+AJ47+AJ53+AJ59+AJ65+AJ71+AJ77)</f>
        <v>0</v>
      </c>
      <c r="AK31" s="89" t="n">
        <f aca="false">AK30-(AK35+AK41+AK47+AK53+AK59+AK65+AK71+AK77)</f>
        <v>0</v>
      </c>
      <c r="AL31" s="89" t="n">
        <f aca="false">AL30-(AL35+AL41+AL47+AL53+AL59+AL65+AL71+AL77)</f>
        <v>0</v>
      </c>
      <c r="AM31" s="89" t="n">
        <f aca="false">AM30-(AM35+AM41+AM47+AM53+AM59+AM65+AM71+AM77)</f>
        <v>0</v>
      </c>
      <c r="AN31" s="89" t="n">
        <f aca="false">AN30-(AN35+AN41+AN47+AN53+AN59+AN65+AN71+AN77)</f>
        <v>0</v>
      </c>
      <c r="AO31" s="89" t="n">
        <f aca="false">AO30-(AO35+AO41+AO47+AO53+AO59+AO65+AO71+AO77)</f>
        <v>0</v>
      </c>
      <c r="AP31" s="89" t="n">
        <f aca="false">AP30-(AP35+AP41+AP47+AP53+AP59+AP65+AP71+AP77)</f>
        <v>0</v>
      </c>
      <c r="AQ31" s="89" t="n">
        <f aca="false">AQ30-(AQ35+AQ41+AQ47+AQ53+AQ59+AQ65+AQ71+AQ77)</f>
        <v>0</v>
      </c>
      <c r="AR31" s="89" t="n">
        <f aca="false">AR30-(AR35+AR41+AR47+AR53+AR59+AR65+AR71+AR77)</f>
        <v>0</v>
      </c>
      <c r="AS31" s="89" t="n">
        <f aca="false">AS30-(AS35+AS41+AS47+AS53+AS59+AS65+AS71+AS77)</f>
        <v>0</v>
      </c>
      <c r="AT31" s="89" t="n">
        <f aca="false">AT30-(AT35+AT41+AT47+AT53+AT59+AT65+AT71+AT77)</f>
        <v>0</v>
      </c>
      <c r="AU31" s="89" t="n">
        <f aca="false">AU30-(AU35+AU41+AU47+AU53+AU59+AU65+AU71+AU77)</f>
        <v>0</v>
      </c>
      <c r="AV31" s="89" t="n">
        <f aca="false">AV30-(AV35+AV41+AV47+AV53+AV59+AV65+AV71+AV77)</f>
        <v>0</v>
      </c>
      <c r="AW31" s="89" t="n">
        <f aca="false">AW30-(AW35+AW41+AW47+AW53+AW59+AW65+AW71+AW77)</f>
        <v>0</v>
      </c>
      <c r="AX31" s="89" t="n">
        <f aca="false">AX30-(AX35+AX41+AX47+AX53+AX59+AX65+AX71+AX77)</f>
        <v>0</v>
      </c>
      <c r="AY31" s="89" t="n">
        <f aca="false">AY30-(AY35+AY41+AY47+AY53+AY59+AY65+AY71+AY77)</f>
        <v>0</v>
      </c>
      <c r="AZ31" s="89" t="n">
        <f aca="false">AZ30-(AZ35+AZ41+AZ47+AZ53+AZ59+AZ65+AZ71+AZ77)</f>
        <v>0</v>
      </c>
      <c r="BA31" s="89" t="n">
        <f aca="false">BA30-(BA35+BA41+BA47+BA53+BA59+BA65+BA71+BA77)</f>
        <v>0</v>
      </c>
      <c r="BB31" s="89" t="n">
        <f aca="false">BB30-(BB35+BB41+BB47+BB53+BB59+BB65+BB71+BB77)</f>
        <v>0</v>
      </c>
      <c r="BC31" s="89" t="n">
        <f aca="false">BC30-(BC35+BC41+BC47+BC53+BC59+BC65+BC71+BC77)</f>
        <v>0</v>
      </c>
      <c r="BD31" s="89" t="n">
        <f aca="false">BD30-(BD35+BD41+BD47+BD53+BD59+BD65+BD71+BD77)</f>
        <v>0</v>
      </c>
      <c r="BE31" s="89" t="n">
        <f aca="false">BE30-(BE35+BE41+BE47+BE53+BE59+BE65+BE71+BE77)</f>
        <v>0</v>
      </c>
      <c r="BF31" s="89" t="n">
        <f aca="false">BF30-(BF35+BF41+BF47+BF53+BF59+BF65+BF71+BF77)</f>
        <v>0</v>
      </c>
      <c r="BG31" s="89" t="n">
        <f aca="false">BG30-(BG35+BG41+BG47+BG53+BG59+BG65+BG71+BG77)</f>
        <v>0</v>
      </c>
      <c r="BH31" s="89" t="n">
        <f aca="false">BH30-(BH35+BH41+BH47+BH53+BH59+BH65+BH71+BH77)</f>
        <v>0</v>
      </c>
      <c r="BI31" s="89" t="n">
        <f aca="false">BI30-(BI35+BI41+BI47+BI53+BI59+BI65+BI71+BI77)</f>
        <v>0</v>
      </c>
      <c r="BJ31" s="89" t="n">
        <f aca="false">BJ30-(BJ35+BJ41+BJ47+BJ53+BJ59+BJ65+BJ71+BJ77)</f>
        <v>0</v>
      </c>
      <c r="BK31" s="89" t="n">
        <f aca="false">BK30-(BK35+BK41+BK47+BK53+BK59+BK65+BK71+BK77)</f>
        <v>0</v>
      </c>
      <c r="BL31" s="89" t="n">
        <f aca="false">BL30-(BL35+BL41+BL47+BL53+BL59+BL65+BL71+BL77)</f>
        <v>0</v>
      </c>
      <c r="BM31" s="89" t="n">
        <f aca="false">BM30-(BM35+BM41+BM47+BM53+BM59+BM65+BM71+BM77)</f>
        <v>0</v>
      </c>
      <c r="BN31" s="89" t="n">
        <f aca="false">BN30-(BN35+BN41+BN47+BN53+BN59+BN65+BN71+BN77)</f>
        <v>0</v>
      </c>
      <c r="BO31" s="89" t="n">
        <f aca="false">BO30-(BO35+BO41+BO47+BO53+BO59+BO65+BO71+BO77)</f>
        <v>0</v>
      </c>
      <c r="BP31" s="89" t="n">
        <f aca="false">BP30-(BP35+BP41+BP47+BP53+BP59+BP65+BP71+BP77)</f>
        <v>0</v>
      </c>
      <c r="BQ31" s="89" t="n">
        <f aca="false">BQ30-(BQ35+BQ41+BQ47+BQ53+BQ59+BQ65+BQ71+BQ77)</f>
        <v>0</v>
      </c>
      <c r="BR31" s="89" t="n">
        <f aca="false">BR30-(BR35+BR41+BR47+BR53+BR59+BR65+BR71+BR77)</f>
        <v>0</v>
      </c>
      <c r="BS31" s="89" t="n">
        <f aca="false">BS30-(BS35+BS41+BS47+BS53+BS59+BS65+BS71+BS77)</f>
        <v>0</v>
      </c>
      <c r="BT31" s="89" t="n">
        <f aca="false">BT30-(BT35+BT41+BT47+BT53+BT59+BT65+BT71+BT77)</f>
        <v>0</v>
      </c>
      <c r="BU31" s="89" t="n">
        <f aca="false">BU30-(BU35+BU41+BU47+BU53+BU59+BU65+BU71+BU77)</f>
        <v>0</v>
      </c>
      <c r="BV31" s="89" t="n">
        <f aca="false">BV30-(BV35+BV41+BV47+BV53+BV59+BV65+BV71+BV77)</f>
        <v>0</v>
      </c>
      <c r="BW31" s="89" t="n">
        <f aca="false">BW30-(BW35+BW41+BW47+BW53+BW59+BW65+BW71+BW77)</f>
        <v>0</v>
      </c>
      <c r="BX31" s="89" t="n">
        <f aca="false">BX30-(BX35+BX41+BX47+BX53+BX59+BX65+BX71+BX77)</f>
        <v>0</v>
      </c>
      <c r="BY31" s="89" t="n">
        <f aca="false">BY30-(BY35+BY41+BY47+BY53+BY59+BY65+BY71+BY77)</f>
        <v>0</v>
      </c>
      <c r="BZ31" s="89" t="n">
        <f aca="false">BZ30-(BZ35+BZ41+BZ47+BZ53+BZ59+BZ65+BZ71+BZ77)</f>
        <v>0</v>
      </c>
      <c r="CA31" s="89" t="n">
        <f aca="false">CA30-(CA35+CA41+CA47+CA53+CA59+CA65+CA71+CA77)</f>
        <v>0</v>
      </c>
      <c r="CB31" s="89" t="n">
        <f aca="false">CB30-(CB35+CB41+CB47+CB53+CB59+CB65+CB71+CB77)</f>
        <v>0</v>
      </c>
      <c r="CC31" s="89" t="n">
        <f aca="false">CC30-(CC35+CC41+CC47+CC53+CC59+CC65+CC71+CC77)</f>
        <v>0</v>
      </c>
      <c r="CD31" s="89" t="n">
        <f aca="false">CD30-(CD35+CD41+CD47+CD53+CD59+CD65+CD71+CD77)</f>
        <v>0</v>
      </c>
      <c r="CE31" s="89" t="n">
        <f aca="false">CE30-(CE35+CE41+CE47+CE53+CE59+CE65+CE71+CE77)</f>
        <v>0</v>
      </c>
      <c r="CF31" s="89" t="n">
        <f aca="false">CF30-(CF35+CF41+CF47+CF53+CF59+CF65+CF71+CF77)</f>
        <v>0</v>
      </c>
      <c r="CG31" s="89" t="n">
        <f aca="false">CG30-(CG35+CG41+CG47+CG53+CG59+CG65+CG71+CG77)</f>
        <v>0</v>
      </c>
      <c r="CH31" s="89" t="n">
        <f aca="false">CH30-(CH35+CH41+CH47+CH53+CH59+CH65+CH71+CH77)</f>
        <v>0</v>
      </c>
      <c r="CI31" s="89" t="n">
        <f aca="false">CI30-(CI35+CI41+CI47+CI53+CI59+CI65+CI71+CI77)</f>
        <v>0</v>
      </c>
      <c r="CJ31" s="89" t="n">
        <f aca="false">CJ30-(CJ35+CJ41+CJ47+CJ53+CJ59+CJ65+CJ71+CJ77)</f>
        <v>0</v>
      </c>
      <c r="CK31" s="89" t="n">
        <f aca="false">CK30-(CK35+CK41+CK47+CK53+CK59+CK65+CK71+CK77)</f>
        <v>0</v>
      </c>
      <c r="CL31" s="89" t="n">
        <f aca="false">CL30-(CL35+CL41+CL47+CL53+CL59+CL65+CL71+CL77)</f>
        <v>0</v>
      </c>
      <c r="CM31" s="89" t="n">
        <f aca="false">CM30-(CM35+CM41+CM47+CM53+CM59+CM65+CM71+CM77)</f>
        <v>0</v>
      </c>
      <c r="CN31" s="89" t="n">
        <f aca="false">CN30-(CN35+CN41+CN47+CN53+CN59+CN65+CN71+CN77)</f>
        <v>0</v>
      </c>
      <c r="CO31" s="89" t="n">
        <f aca="false">CO30-(CO35+CO41+CO47+CO53+CO59+CO65+CO71+CO77)</f>
        <v>0</v>
      </c>
      <c r="CP31" s="89" t="n">
        <f aca="false">CP30-(CP35+CP41+CP47+CP53+CP59+CP65+CP71+CP77)</f>
        <v>0</v>
      </c>
      <c r="CQ31" s="89" t="n">
        <f aca="false">CQ30-(CQ35+CQ41+CQ47+CQ53+CQ59+CQ65+CQ71+CQ77)</f>
        <v>0</v>
      </c>
      <c r="CR31" s="89" t="n">
        <f aca="false">CR30-(CR35+CR41+CR47+CR53+CR59+CR65+CR71+CR77)</f>
        <v>0</v>
      </c>
      <c r="CS31" s="89" t="n">
        <f aca="false">CS30-(CS35+CS41+CS47+CS53+CS59+CS65+CS71+CS77)</f>
        <v>0</v>
      </c>
      <c r="CT31" s="89" t="n">
        <f aca="false">CT30-(CT35+CT41+CT47+CT53+CT59+CT65+CT71+CT77)</f>
        <v>0</v>
      </c>
      <c r="CU31" s="89" t="n">
        <f aca="false">CU30-(CU35+CU41+CU47+CU53+CU59+CU65+CU71+CU77)</f>
        <v>0</v>
      </c>
      <c r="CV31" s="89" t="n">
        <f aca="false">CV30-(CV35+CV41+CV47+CV53+CV59+CV65+CV71+CV77)</f>
        <v>0</v>
      </c>
      <c r="CW31" s="89" t="n">
        <f aca="false">CW30-(CW35+CW41+CW47+CW53+CW59+CW65+CW71+CW77)</f>
        <v>0</v>
      </c>
      <c r="CX31" s="89" t="n">
        <f aca="false">CX30-(CX35+CX41+CX47+CX53+CX59+CX65+CX71+CX77)</f>
        <v>0</v>
      </c>
      <c r="CY31" s="89" t="n">
        <f aca="false">CY30-(CY35+CY41+CY47+CY53+CY59+CY65+CY71+CY77)</f>
        <v>0</v>
      </c>
      <c r="CZ31" s="89" t="n">
        <f aca="false">CZ30-(CZ35+CZ41+CZ47+CZ53+CZ59+CZ65+CZ71+CZ77)</f>
        <v>0</v>
      </c>
      <c r="DA31" s="89" t="n">
        <f aca="false">DA30-(DA35+DA41+DA47+DA53+DA59+DA65+DA71+DA77)</f>
        <v>0</v>
      </c>
      <c r="DB31" s="89" t="n">
        <f aca="false">DB30-(DB35+DB41+DB47+DB53+DB59+DB65+DB71+DB77)</f>
        <v>0</v>
      </c>
      <c r="DC31" s="89" t="n">
        <f aca="false">DC30-(DC35+DC41+DC47+DC53+DC59+DC65+DC71+DC77)</f>
        <v>0</v>
      </c>
      <c r="DD31" s="89" t="n">
        <f aca="false">DD30-(DD35+DD41+DD47+DD53+DD59+DD65+DD71+DD77)</f>
        <v>0</v>
      </c>
      <c r="DE31" s="89" t="n">
        <f aca="false">DE30-(DE35+DE41+DE47+DE53+DE59+DE65+DE71+DE77)</f>
        <v>0</v>
      </c>
      <c r="DF31" s="89" t="n">
        <f aca="false">DF30-(DF35+DF41+DF47+DF53+DF59+DF65+DF71+DF77)</f>
        <v>0</v>
      </c>
      <c r="DG31" s="89" t="n">
        <f aca="false">DG30-(DG35+DG41+DG47+DG53+DG59+DG65+DG71+DG77)</f>
        <v>0</v>
      </c>
      <c r="DH31" s="89" t="n">
        <f aca="false">DH30-(DH35+DH41+DH47+DH53+DH59+DH65+DH71+DH77)</f>
        <v>0</v>
      </c>
      <c r="DI31" s="89" t="n">
        <f aca="false">DI30-(DI35+DI41+DI47+DI53+DI59+DI65+DI71+DI77)</f>
        <v>0</v>
      </c>
      <c r="DJ31" s="89" t="n">
        <f aca="false">DJ30-(DJ35+DJ41+DJ47+DJ53+DJ59+DJ65+DJ71+DJ77)</f>
        <v>0</v>
      </c>
      <c r="DK31" s="89" t="n">
        <f aca="false">DK30-(DK35+DK41+DK47+DK53+DK59+DK65+DK71+DK77)</f>
        <v>0</v>
      </c>
      <c r="DL31" s="89" t="n">
        <f aca="false">DL30-(DL35+DL41+DL47+DL53+DL59+DL65+DL71+DL77)</f>
        <v>0</v>
      </c>
      <c r="DM31" s="89" t="n">
        <f aca="false">DM30-(DM35+DM41+DM47+DM53+DM59+DM65+DM71+DM77)</f>
        <v>0</v>
      </c>
      <c r="DN31" s="89" t="n">
        <f aca="false">DN30-(DN35+DN41+DN47+DN53+DN59+DN65+DN71+DN77)</f>
        <v>0</v>
      </c>
      <c r="DO31" s="89" t="n">
        <f aca="false">DO30-(DO35+DO41+DO47+DO53+DO59+DO65+DO71+DO77)</f>
        <v>0</v>
      </c>
      <c r="DP31" s="89" t="n">
        <f aca="false">DP30-(DP35+DP41+DP47+DP53+DP59+DP65+DP71+DP77)</f>
        <v>0</v>
      </c>
      <c r="DQ31" s="89" t="n">
        <f aca="false">DQ30-(DQ35+DQ41+DQ47+DQ53+DQ59+DQ65+DQ71+DQ77)</f>
        <v>0</v>
      </c>
      <c r="DR31" s="89" t="n">
        <f aca="false">DR30-(DR35+DR41+DR47+DR53+DR59+DR65+DR71+DR77)</f>
        <v>0</v>
      </c>
      <c r="DS31" s="89" t="n">
        <f aca="false">DS30-(DS35+DS41+DS47+DS53+DS59+DS65+DS71+DS77)</f>
        <v>0</v>
      </c>
      <c r="DT31" s="89" t="n">
        <f aca="false">DT30-(DT35+DT41+DT47+DT53+DT59+DT65+DT71+DT77)</f>
        <v>0</v>
      </c>
    </row>
    <row r="33" customFormat="false" ht="15" hidden="false" customHeight="false" outlineLevel="0" collapsed="false">
      <c r="B33" s="6" t="str">
        <f aca="false">"Orden 1: "&amp;D33</f>
        <v>Orden 1: (sin deuda)</v>
      </c>
      <c r="C33" s="96" t="n">
        <f aca="false">IFERROR(MATCH(1,$K$13:$K$20,0),0)</f>
        <v>0</v>
      </c>
      <c r="D33" s="97" t="str">
        <f aca="false">IF(C33=0,"(sin deuda)",INDEX($B$13:$B$20,C33))</f>
        <v>(sin deuda)</v>
      </c>
    </row>
    <row r="34" customFormat="false" ht="15" hidden="false" customHeight="false" outlineLevel="0" collapsed="false">
      <c r="B34" s="17" t="s">
        <v>380</v>
      </c>
      <c r="C34" s="98" t="n">
        <f aca="false">IF(C33=0,0,N(INDEX($I$13:$I$20,C33)))</f>
        <v>0</v>
      </c>
      <c r="E34" s="58" t="n">
        <f aca="false">D37*(1+$C$34)</f>
        <v>0</v>
      </c>
      <c r="F34" s="58" t="n">
        <f aca="false">E37*(1+$C$34)</f>
        <v>0</v>
      </c>
      <c r="G34" s="58" t="n">
        <f aca="false">F37*(1+$C$34)</f>
        <v>0</v>
      </c>
      <c r="H34" s="58" t="n">
        <f aca="false">G37*(1+$C$34)</f>
        <v>0</v>
      </c>
      <c r="I34" s="58" t="n">
        <f aca="false">H37*(1+$C$34)</f>
        <v>0</v>
      </c>
      <c r="J34" s="58" t="n">
        <f aca="false">I37*(1+$C$34)</f>
        <v>0</v>
      </c>
      <c r="K34" s="58" t="n">
        <f aca="false">J37*(1+$C$34)</f>
        <v>0</v>
      </c>
      <c r="L34" s="58" t="n">
        <f aca="false">K37*(1+$C$34)</f>
        <v>0</v>
      </c>
      <c r="M34" s="58" t="n">
        <f aca="false">L37*(1+$C$34)</f>
        <v>0</v>
      </c>
      <c r="N34" s="58" t="n">
        <f aca="false">M37*(1+$C$34)</f>
        <v>0</v>
      </c>
      <c r="O34" s="58" t="n">
        <f aca="false">N37*(1+$C$34)</f>
        <v>0</v>
      </c>
      <c r="P34" s="58" t="n">
        <f aca="false">O37*(1+$C$34)</f>
        <v>0</v>
      </c>
      <c r="Q34" s="58" t="n">
        <f aca="false">P37*(1+$C$34)</f>
        <v>0</v>
      </c>
      <c r="R34" s="58" t="n">
        <f aca="false">Q37*(1+$C$34)</f>
        <v>0</v>
      </c>
      <c r="S34" s="58" t="n">
        <f aca="false">R37*(1+$C$34)</f>
        <v>0</v>
      </c>
      <c r="T34" s="58" t="n">
        <f aca="false">S37*(1+$C$34)</f>
        <v>0</v>
      </c>
      <c r="U34" s="58" t="n">
        <f aca="false">T37*(1+$C$34)</f>
        <v>0</v>
      </c>
      <c r="V34" s="58" t="n">
        <f aca="false">U37*(1+$C$34)</f>
        <v>0</v>
      </c>
      <c r="W34" s="58" t="n">
        <f aca="false">V37*(1+$C$34)</f>
        <v>0</v>
      </c>
      <c r="X34" s="58" t="n">
        <f aca="false">W37*(1+$C$34)</f>
        <v>0</v>
      </c>
      <c r="Y34" s="58" t="n">
        <f aca="false">X37*(1+$C$34)</f>
        <v>0</v>
      </c>
      <c r="Z34" s="58" t="n">
        <f aca="false">Y37*(1+$C$34)</f>
        <v>0</v>
      </c>
      <c r="AA34" s="58" t="n">
        <f aca="false">Z37*(1+$C$34)</f>
        <v>0</v>
      </c>
      <c r="AB34" s="58" t="n">
        <f aca="false">AA37*(1+$C$34)</f>
        <v>0</v>
      </c>
      <c r="AC34" s="58" t="n">
        <f aca="false">AB37*(1+$C$34)</f>
        <v>0</v>
      </c>
      <c r="AD34" s="58" t="n">
        <f aca="false">AC37*(1+$C$34)</f>
        <v>0</v>
      </c>
      <c r="AE34" s="58" t="n">
        <f aca="false">AD37*(1+$C$34)</f>
        <v>0</v>
      </c>
      <c r="AF34" s="58" t="n">
        <f aca="false">AE37*(1+$C$34)</f>
        <v>0</v>
      </c>
      <c r="AG34" s="58" t="n">
        <f aca="false">AF37*(1+$C$34)</f>
        <v>0</v>
      </c>
      <c r="AH34" s="58" t="n">
        <f aca="false">AG37*(1+$C$34)</f>
        <v>0</v>
      </c>
      <c r="AI34" s="58" t="n">
        <f aca="false">AH37*(1+$C$34)</f>
        <v>0</v>
      </c>
      <c r="AJ34" s="58" t="n">
        <f aca="false">AI37*(1+$C$34)</f>
        <v>0</v>
      </c>
      <c r="AK34" s="58" t="n">
        <f aca="false">AJ37*(1+$C$34)</f>
        <v>0</v>
      </c>
      <c r="AL34" s="58" t="n">
        <f aca="false">AK37*(1+$C$34)</f>
        <v>0</v>
      </c>
      <c r="AM34" s="58" t="n">
        <f aca="false">AL37*(1+$C$34)</f>
        <v>0</v>
      </c>
      <c r="AN34" s="58" t="n">
        <f aca="false">AM37*(1+$C$34)</f>
        <v>0</v>
      </c>
      <c r="AO34" s="58" t="n">
        <f aca="false">AN37*(1+$C$34)</f>
        <v>0</v>
      </c>
      <c r="AP34" s="58" t="n">
        <f aca="false">AO37*(1+$C$34)</f>
        <v>0</v>
      </c>
      <c r="AQ34" s="58" t="n">
        <f aca="false">AP37*(1+$C$34)</f>
        <v>0</v>
      </c>
      <c r="AR34" s="58" t="n">
        <f aca="false">AQ37*(1+$C$34)</f>
        <v>0</v>
      </c>
      <c r="AS34" s="58" t="n">
        <f aca="false">AR37*(1+$C$34)</f>
        <v>0</v>
      </c>
      <c r="AT34" s="58" t="n">
        <f aca="false">AS37*(1+$C$34)</f>
        <v>0</v>
      </c>
      <c r="AU34" s="58" t="n">
        <f aca="false">AT37*(1+$C$34)</f>
        <v>0</v>
      </c>
      <c r="AV34" s="58" t="n">
        <f aca="false">AU37*(1+$C$34)</f>
        <v>0</v>
      </c>
      <c r="AW34" s="58" t="n">
        <f aca="false">AV37*(1+$C$34)</f>
        <v>0</v>
      </c>
      <c r="AX34" s="58" t="n">
        <f aca="false">AW37*(1+$C$34)</f>
        <v>0</v>
      </c>
      <c r="AY34" s="58" t="n">
        <f aca="false">AX37*(1+$C$34)</f>
        <v>0</v>
      </c>
      <c r="AZ34" s="58" t="n">
        <f aca="false">AY37*(1+$C$34)</f>
        <v>0</v>
      </c>
      <c r="BA34" s="58" t="n">
        <f aca="false">AZ37*(1+$C$34)</f>
        <v>0</v>
      </c>
      <c r="BB34" s="58" t="n">
        <f aca="false">BA37*(1+$C$34)</f>
        <v>0</v>
      </c>
      <c r="BC34" s="58" t="n">
        <f aca="false">BB37*(1+$C$34)</f>
        <v>0</v>
      </c>
      <c r="BD34" s="58" t="n">
        <f aca="false">BC37*(1+$C$34)</f>
        <v>0</v>
      </c>
      <c r="BE34" s="58" t="n">
        <f aca="false">BD37*(1+$C$34)</f>
        <v>0</v>
      </c>
      <c r="BF34" s="58" t="n">
        <f aca="false">BE37*(1+$C$34)</f>
        <v>0</v>
      </c>
      <c r="BG34" s="58" t="n">
        <f aca="false">BF37*(1+$C$34)</f>
        <v>0</v>
      </c>
      <c r="BH34" s="58" t="n">
        <f aca="false">BG37*(1+$C$34)</f>
        <v>0</v>
      </c>
      <c r="BI34" s="58" t="n">
        <f aca="false">BH37*(1+$C$34)</f>
        <v>0</v>
      </c>
      <c r="BJ34" s="58" t="n">
        <f aca="false">BI37*(1+$C$34)</f>
        <v>0</v>
      </c>
      <c r="BK34" s="58" t="n">
        <f aca="false">BJ37*(1+$C$34)</f>
        <v>0</v>
      </c>
      <c r="BL34" s="58" t="n">
        <f aca="false">BK37*(1+$C$34)</f>
        <v>0</v>
      </c>
      <c r="BM34" s="58" t="n">
        <f aca="false">BL37*(1+$C$34)</f>
        <v>0</v>
      </c>
      <c r="BN34" s="58" t="n">
        <f aca="false">BM37*(1+$C$34)</f>
        <v>0</v>
      </c>
      <c r="BO34" s="58" t="n">
        <f aca="false">BN37*(1+$C$34)</f>
        <v>0</v>
      </c>
      <c r="BP34" s="58" t="n">
        <f aca="false">BO37*(1+$C$34)</f>
        <v>0</v>
      </c>
      <c r="BQ34" s="58" t="n">
        <f aca="false">BP37*(1+$C$34)</f>
        <v>0</v>
      </c>
      <c r="BR34" s="58" t="n">
        <f aca="false">BQ37*(1+$C$34)</f>
        <v>0</v>
      </c>
      <c r="BS34" s="58" t="n">
        <f aca="false">BR37*(1+$C$34)</f>
        <v>0</v>
      </c>
      <c r="BT34" s="58" t="n">
        <f aca="false">BS37*(1+$C$34)</f>
        <v>0</v>
      </c>
      <c r="BU34" s="58" t="n">
        <f aca="false">BT37*(1+$C$34)</f>
        <v>0</v>
      </c>
      <c r="BV34" s="58" t="n">
        <f aca="false">BU37*(1+$C$34)</f>
        <v>0</v>
      </c>
      <c r="BW34" s="58" t="n">
        <f aca="false">BV37*(1+$C$34)</f>
        <v>0</v>
      </c>
      <c r="BX34" s="58" t="n">
        <f aca="false">BW37*(1+$C$34)</f>
        <v>0</v>
      </c>
      <c r="BY34" s="58" t="n">
        <f aca="false">BX37*(1+$C$34)</f>
        <v>0</v>
      </c>
      <c r="BZ34" s="58" t="n">
        <f aca="false">BY37*(1+$C$34)</f>
        <v>0</v>
      </c>
      <c r="CA34" s="58" t="n">
        <f aca="false">BZ37*(1+$C$34)</f>
        <v>0</v>
      </c>
      <c r="CB34" s="58" t="n">
        <f aca="false">CA37*(1+$C$34)</f>
        <v>0</v>
      </c>
      <c r="CC34" s="58" t="n">
        <f aca="false">CB37*(1+$C$34)</f>
        <v>0</v>
      </c>
      <c r="CD34" s="58" t="n">
        <f aca="false">CC37*(1+$C$34)</f>
        <v>0</v>
      </c>
      <c r="CE34" s="58" t="n">
        <f aca="false">CD37*(1+$C$34)</f>
        <v>0</v>
      </c>
      <c r="CF34" s="58" t="n">
        <f aca="false">CE37*(1+$C$34)</f>
        <v>0</v>
      </c>
      <c r="CG34" s="58" t="n">
        <f aca="false">CF37*(1+$C$34)</f>
        <v>0</v>
      </c>
      <c r="CH34" s="58" t="n">
        <f aca="false">CG37*(1+$C$34)</f>
        <v>0</v>
      </c>
      <c r="CI34" s="58" t="n">
        <f aca="false">CH37*(1+$C$34)</f>
        <v>0</v>
      </c>
      <c r="CJ34" s="58" t="n">
        <f aca="false">CI37*(1+$C$34)</f>
        <v>0</v>
      </c>
      <c r="CK34" s="58" t="n">
        <f aca="false">CJ37*(1+$C$34)</f>
        <v>0</v>
      </c>
      <c r="CL34" s="58" t="n">
        <f aca="false">CK37*(1+$C$34)</f>
        <v>0</v>
      </c>
      <c r="CM34" s="58" t="n">
        <f aca="false">CL37*(1+$C$34)</f>
        <v>0</v>
      </c>
      <c r="CN34" s="58" t="n">
        <f aca="false">CM37*(1+$C$34)</f>
        <v>0</v>
      </c>
      <c r="CO34" s="58" t="n">
        <f aca="false">CN37*(1+$C$34)</f>
        <v>0</v>
      </c>
      <c r="CP34" s="58" t="n">
        <f aca="false">CO37*(1+$C$34)</f>
        <v>0</v>
      </c>
      <c r="CQ34" s="58" t="n">
        <f aca="false">CP37*(1+$C$34)</f>
        <v>0</v>
      </c>
      <c r="CR34" s="58" t="n">
        <f aca="false">CQ37*(1+$C$34)</f>
        <v>0</v>
      </c>
      <c r="CS34" s="58" t="n">
        <f aca="false">CR37*(1+$C$34)</f>
        <v>0</v>
      </c>
      <c r="CT34" s="58" t="n">
        <f aca="false">CS37*(1+$C$34)</f>
        <v>0</v>
      </c>
      <c r="CU34" s="58" t="n">
        <f aca="false">CT37*(1+$C$34)</f>
        <v>0</v>
      </c>
      <c r="CV34" s="58" t="n">
        <f aca="false">CU37*(1+$C$34)</f>
        <v>0</v>
      </c>
      <c r="CW34" s="58" t="n">
        <f aca="false">CV37*(1+$C$34)</f>
        <v>0</v>
      </c>
      <c r="CX34" s="58" t="n">
        <f aca="false">CW37*(1+$C$34)</f>
        <v>0</v>
      </c>
      <c r="CY34" s="58" t="n">
        <f aca="false">CX37*(1+$C$34)</f>
        <v>0</v>
      </c>
      <c r="CZ34" s="58" t="n">
        <f aca="false">CY37*(1+$C$34)</f>
        <v>0</v>
      </c>
      <c r="DA34" s="58" t="n">
        <f aca="false">CZ37*(1+$C$34)</f>
        <v>0</v>
      </c>
      <c r="DB34" s="58" t="n">
        <f aca="false">DA37*(1+$C$34)</f>
        <v>0</v>
      </c>
      <c r="DC34" s="58" t="n">
        <f aca="false">DB37*(1+$C$34)</f>
        <v>0</v>
      </c>
      <c r="DD34" s="58" t="n">
        <f aca="false">DC37*(1+$C$34)</f>
        <v>0</v>
      </c>
      <c r="DE34" s="58" t="n">
        <f aca="false">DD37*(1+$C$34)</f>
        <v>0</v>
      </c>
      <c r="DF34" s="58" t="n">
        <f aca="false">DE37*(1+$C$34)</f>
        <v>0</v>
      </c>
      <c r="DG34" s="58" t="n">
        <f aca="false">DF37*(1+$C$34)</f>
        <v>0</v>
      </c>
      <c r="DH34" s="58" t="n">
        <f aca="false">DG37*(1+$C$34)</f>
        <v>0</v>
      </c>
      <c r="DI34" s="58" t="n">
        <f aca="false">DH37*(1+$C$34)</f>
        <v>0</v>
      </c>
      <c r="DJ34" s="58" t="n">
        <f aca="false">DI37*(1+$C$34)</f>
        <v>0</v>
      </c>
      <c r="DK34" s="58" t="n">
        <f aca="false">DJ37*(1+$C$34)</f>
        <v>0</v>
      </c>
      <c r="DL34" s="58" t="n">
        <f aca="false">DK37*(1+$C$34)</f>
        <v>0</v>
      </c>
      <c r="DM34" s="58" t="n">
        <f aca="false">DL37*(1+$C$34)</f>
        <v>0</v>
      </c>
      <c r="DN34" s="58" t="n">
        <f aca="false">DM37*(1+$C$34)</f>
        <v>0</v>
      </c>
      <c r="DO34" s="58" t="n">
        <f aca="false">DN37*(1+$C$34)</f>
        <v>0</v>
      </c>
      <c r="DP34" s="58" t="n">
        <f aca="false">DO37*(1+$C$34)</f>
        <v>0</v>
      </c>
      <c r="DQ34" s="58" t="n">
        <f aca="false">DP37*(1+$C$34)</f>
        <v>0</v>
      </c>
      <c r="DR34" s="58" t="n">
        <f aca="false">DQ37*(1+$C$34)</f>
        <v>0</v>
      </c>
      <c r="DS34" s="58" t="n">
        <f aca="false">DR37*(1+$C$34)</f>
        <v>0</v>
      </c>
      <c r="DT34" s="58" t="n">
        <f aca="false">DS37*(1+$C$34)</f>
        <v>0</v>
      </c>
    </row>
    <row r="35" customFormat="false" ht="15" hidden="false" customHeight="false" outlineLevel="0" collapsed="false">
      <c r="B35" s="17" t="s">
        <v>381</v>
      </c>
      <c r="C35" s="99" t="n">
        <f aca="false">IF(C33=0,0,N(INDEX($F$13:$F$20,C33)))</f>
        <v>0</v>
      </c>
      <c r="E35" s="58" t="n">
        <f aca="false">MIN($C$35,E34)</f>
        <v>0</v>
      </c>
      <c r="F35" s="58" t="n">
        <f aca="false">MIN($C$35,F34)</f>
        <v>0</v>
      </c>
      <c r="G35" s="58" t="n">
        <f aca="false">MIN($C$35,G34)</f>
        <v>0</v>
      </c>
      <c r="H35" s="58" t="n">
        <f aca="false">MIN($C$35,H34)</f>
        <v>0</v>
      </c>
      <c r="I35" s="58" t="n">
        <f aca="false">MIN($C$35,I34)</f>
        <v>0</v>
      </c>
      <c r="J35" s="58" t="n">
        <f aca="false">MIN($C$35,J34)</f>
        <v>0</v>
      </c>
      <c r="K35" s="58" t="n">
        <f aca="false">MIN($C$35,K34)</f>
        <v>0</v>
      </c>
      <c r="L35" s="58" t="n">
        <f aca="false">MIN($C$35,L34)</f>
        <v>0</v>
      </c>
      <c r="M35" s="58" t="n">
        <f aca="false">MIN($C$35,M34)</f>
        <v>0</v>
      </c>
      <c r="N35" s="58" t="n">
        <f aca="false">MIN($C$35,N34)</f>
        <v>0</v>
      </c>
      <c r="O35" s="58" t="n">
        <f aca="false">MIN($C$35,O34)</f>
        <v>0</v>
      </c>
      <c r="P35" s="58" t="n">
        <f aca="false">MIN($C$35,P34)</f>
        <v>0</v>
      </c>
      <c r="Q35" s="58" t="n">
        <f aca="false">MIN($C$35,Q34)</f>
        <v>0</v>
      </c>
      <c r="R35" s="58" t="n">
        <f aca="false">MIN($C$35,R34)</f>
        <v>0</v>
      </c>
      <c r="S35" s="58" t="n">
        <f aca="false">MIN($C$35,S34)</f>
        <v>0</v>
      </c>
      <c r="T35" s="58" t="n">
        <f aca="false">MIN($C$35,T34)</f>
        <v>0</v>
      </c>
      <c r="U35" s="58" t="n">
        <f aca="false">MIN($C$35,U34)</f>
        <v>0</v>
      </c>
      <c r="V35" s="58" t="n">
        <f aca="false">MIN($C$35,V34)</f>
        <v>0</v>
      </c>
      <c r="W35" s="58" t="n">
        <f aca="false">MIN($C$35,W34)</f>
        <v>0</v>
      </c>
      <c r="X35" s="58" t="n">
        <f aca="false">MIN($C$35,X34)</f>
        <v>0</v>
      </c>
      <c r="Y35" s="58" t="n">
        <f aca="false">MIN($C$35,Y34)</f>
        <v>0</v>
      </c>
      <c r="Z35" s="58" t="n">
        <f aca="false">MIN($C$35,Z34)</f>
        <v>0</v>
      </c>
      <c r="AA35" s="58" t="n">
        <f aca="false">MIN($C$35,AA34)</f>
        <v>0</v>
      </c>
      <c r="AB35" s="58" t="n">
        <f aca="false">MIN($C$35,AB34)</f>
        <v>0</v>
      </c>
      <c r="AC35" s="58" t="n">
        <f aca="false">MIN($C$35,AC34)</f>
        <v>0</v>
      </c>
      <c r="AD35" s="58" t="n">
        <f aca="false">MIN($C$35,AD34)</f>
        <v>0</v>
      </c>
      <c r="AE35" s="58" t="n">
        <f aca="false">MIN($C$35,AE34)</f>
        <v>0</v>
      </c>
      <c r="AF35" s="58" t="n">
        <f aca="false">MIN($C$35,AF34)</f>
        <v>0</v>
      </c>
      <c r="AG35" s="58" t="n">
        <f aca="false">MIN($C$35,AG34)</f>
        <v>0</v>
      </c>
      <c r="AH35" s="58" t="n">
        <f aca="false">MIN($C$35,AH34)</f>
        <v>0</v>
      </c>
      <c r="AI35" s="58" t="n">
        <f aca="false">MIN($C$35,AI34)</f>
        <v>0</v>
      </c>
      <c r="AJ35" s="58" t="n">
        <f aca="false">MIN($C$35,AJ34)</f>
        <v>0</v>
      </c>
      <c r="AK35" s="58" t="n">
        <f aca="false">MIN($C$35,AK34)</f>
        <v>0</v>
      </c>
      <c r="AL35" s="58" t="n">
        <f aca="false">MIN($C$35,AL34)</f>
        <v>0</v>
      </c>
      <c r="AM35" s="58" t="n">
        <f aca="false">MIN($C$35,AM34)</f>
        <v>0</v>
      </c>
      <c r="AN35" s="58" t="n">
        <f aca="false">MIN($C$35,AN34)</f>
        <v>0</v>
      </c>
      <c r="AO35" s="58" t="n">
        <f aca="false">MIN($C$35,AO34)</f>
        <v>0</v>
      </c>
      <c r="AP35" s="58" t="n">
        <f aca="false">MIN($C$35,AP34)</f>
        <v>0</v>
      </c>
      <c r="AQ35" s="58" t="n">
        <f aca="false">MIN($C$35,AQ34)</f>
        <v>0</v>
      </c>
      <c r="AR35" s="58" t="n">
        <f aca="false">MIN($C$35,AR34)</f>
        <v>0</v>
      </c>
      <c r="AS35" s="58" t="n">
        <f aca="false">MIN($C$35,AS34)</f>
        <v>0</v>
      </c>
      <c r="AT35" s="58" t="n">
        <f aca="false">MIN($C$35,AT34)</f>
        <v>0</v>
      </c>
      <c r="AU35" s="58" t="n">
        <f aca="false">MIN($C$35,AU34)</f>
        <v>0</v>
      </c>
      <c r="AV35" s="58" t="n">
        <f aca="false">MIN($C$35,AV34)</f>
        <v>0</v>
      </c>
      <c r="AW35" s="58" t="n">
        <f aca="false">MIN($C$35,AW34)</f>
        <v>0</v>
      </c>
      <c r="AX35" s="58" t="n">
        <f aca="false">MIN($C$35,AX34)</f>
        <v>0</v>
      </c>
      <c r="AY35" s="58" t="n">
        <f aca="false">MIN($C$35,AY34)</f>
        <v>0</v>
      </c>
      <c r="AZ35" s="58" t="n">
        <f aca="false">MIN($C$35,AZ34)</f>
        <v>0</v>
      </c>
      <c r="BA35" s="58" t="n">
        <f aca="false">MIN($C$35,BA34)</f>
        <v>0</v>
      </c>
      <c r="BB35" s="58" t="n">
        <f aca="false">MIN($C$35,BB34)</f>
        <v>0</v>
      </c>
      <c r="BC35" s="58" t="n">
        <f aca="false">MIN($C$35,BC34)</f>
        <v>0</v>
      </c>
      <c r="BD35" s="58" t="n">
        <f aca="false">MIN($C$35,BD34)</f>
        <v>0</v>
      </c>
      <c r="BE35" s="58" t="n">
        <f aca="false">MIN($C$35,BE34)</f>
        <v>0</v>
      </c>
      <c r="BF35" s="58" t="n">
        <f aca="false">MIN($C$35,BF34)</f>
        <v>0</v>
      </c>
      <c r="BG35" s="58" t="n">
        <f aca="false">MIN($C$35,BG34)</f>
        <v>0</v>
      </c>
      <c r="BH35" s="58" t="n">
        <f aca="false">MIN($C$35,BH34)</f>
        <v>0</v>
      </c>
      <c r="BI35" s="58" t="n">
        <f aca="false">MIN($C$35,BI34)</f>
        <v>0</v>
      </c>
      <c r="BJ35" s="58" t="n">
        <f aca="false">MIN($C$35,BJ34)</f>
        <v>0</v>
      </c>
      <c r="BK35" s="58" t="n">
        <f aca="false">MIN($C$35,BK34)</f>
        <v>0</v>
      </c>
      <c r="BL35" s="58" t="n">
        <f aca="false">MIN($C$35,BL34)</f>
        <v>0</v>
      </c>
      <c r="BM35" s="58" t="n">
        <f aca="false">MIN($C$35,BM34)</f>
        <v>0</v>
      </c>
      <c r="BN35" s="58" t="n">
        <f aca="false">MIN($C$35,BN34)</f>
        <v>0</v>
      </c>
      <c r="BO35" s="58" t="n">
        <f aca="false">MIN($C$35,BO34)</f>
        <v>0</v>
      </c>
      <c r="BP35" s="58" t="n">
        <f aca="false">MIN($C$35,BP34)</f>
        <v>0</v>
      </c>
      <c r="BQ35" s="58" t="n">
        <f aca="false">MIN($C$35,BQ34)</f>
        <v>0</v>
      </c>
      <c r="BR35" s="58" t="n">
        <f aca="false">MIN($C$35,BR34)</f>
        <v>0</v>
      </c>
      <c r="BS35" s="58" t="n">
        <f aca="false">MIN($C$35,BS34)</f>
        <v>0</v>
      </c>
      <c r="BT35" s="58" t="n">
        <f aca="false">MIN($C$35,BT34)</f>
        <v>0</v>
      </c>
      <c r="BU35" s="58" t="n">
        <f aca="false">MIN($C$35,BU34)</f>
        <v>0</v>
      </c>
      <c r="BV35" s="58" t="n">
        <f aca="false">MIN($C$35,BV34)</f>
        <v>0</v>
      </c>
      <c r="BW35" s="58" t="n">
        <f aca="false">MIN($C$35,BW34)</f>
        <v>0</v>
      </c>
      <c r="BX35" s="58" t="n">
        <f aca="false">MIN($C$35,BX34)</f>
        <v>0</v>
      </c>
      <c r="BY35" s="58" t="n">
        <f aca="false">MIN($C$35,BY34)</f>
        <v>0</v>
      </c>
      <c r="BZ35" s="58" t="n">
        <f aca="false">MIN($C$35,BZ34)</f>
        <v>0</v>
      </c>
      <c r="CA35" s="58" t="n">
        <f aca="false">MIN($C$35,CA34)</f>
        <v>0</v>
      </c>
      <c r="CB35" s="58" t="n">
        <f aca="false">MIN($C$35,CB34)</f>
        <v>0</v>
      </c>
      <c r="CC35" s="58" t="n">
        <f aca="false">MIN($C$35,CC34)</f>
        <v>0</v>
      </c>
      <c r="CD35" s="58" t="n">
        <f aca="false">MIN($C$35,CD34)</f>
        <v>0</v>
      </c>
      <c r="CE35" s="58" t="n">
        <f aca="false">MIN($C$35,CE34)</f>
        <v>0</v>
      </c>
      <c r="CF35" s="58" t="n">
        <f aca="false">MIN($C$35,CF34)</f>
        <v>0</v>
      </c>
      <c r="CG35" s="58" t="n">
        <f aca="false">MIN($C$35,CG34)</f>
        <v>0</v>
      </c>
      <c r="CH35" s="58" t="n">
        <f aca="false">MIN($C$35,CH34)</f>
        <v>0</v>
      </c>
      <c r="CI35" s="58" t="n">
        <f aca="false">MIN($C$35,CI34)</f>
        <v>0</v>
      </c>
      <c r="CJ35" s="58" t="n">
        <f aca="false">MIN($C$35,CJ34)</f>
        <v>0</v>
      </c>
      <c r="CK35" s="58" t="n">
        <f aca="false">MIN($C$35,CK34)</f>
        <v>0</v>
      </c>
      <c r="CL35" s="58" t="n">
        <f aca="false">MIN($C$35,CL34)</f>
        <v>0</v>
      </c>
      <c r="CM35" s="58" t="n">
        <f aca="false">MIN($C$35,CM34)</f>
        <v>0</v>
      </c>
      <c r="CN35" s="58" t="n">
        <f aca="false">MIN($C$35,CN34)</f>
        <v>0</v>
      </c>
      <c r="CO35" s="58" t="n">
        <f aca="false">MIN($C$35,CO34)</f>
        <v>0</v>
      </c>
      <c r="CP35" s="58" t="n">
        <f aca="false">MIN($C$35,CP34)</f>
        <v>0</v>
      </c>
      <c r="CQ35" s="58" t="n">
        <f aca="false">MIN($C$35,CQ34)</f>
        <v>0</v>
      </c>
      <c r="CR35" s="58" t="n">
        <f aca="false">MIN($C$35,CR34)</f>
        <v>0</v>
      </c>
      <c r="CS35" s="58" t="n">
        <f aca="false">MIN($C$35,CS34)</f>
        <v>0</v>
      </c>
      <c r="CT35" s="58" t="n">
        <f aca="false">MIN($C$35,CT34)</f>
        <v>0</v>
      </c>
      <c r="CU35" s="58" t="n">
        <f aca="false">MIN($C$35,CU34)</f>
        <v>0</v>
      </c>
      <c r="CV35" s="58" t="n">
        <f aca="false">MIN($C$35,CV34)</f>
        <v>0</v>
      </c>
      <c r="CW35" s="58" t="n">
        <f aca="false">MIN($C$35,CW34)</f>
        <v>0</v>
      </c>
      <c r="CX35" s="58" t="n">
        <f aca="false">MIN($C$35,CX34)</f>
        <v>0</v>
      </c>
      <c r="CY35" s="58" t="n">
        <f aca="false">MIN($C$35,CY34)</f>
        <v>0</v>
      </c>
      <c r="CZ35" s="58" t="n">
        <f aca="false">MIN($C$35,CZ34)</f>
        <v>0</v>
      </c>
      <c r="DA35" s="58" t="n">
        <f aca="false">MIN($C$35,DA34)</f>
        <v>0</v>
      </c>
      <c r="DB35" s="58" t="n">
        <f aca="false">MIN($C$35,DB34)</f>
        <v>0</v>
      </c>
      <c r="DC35" s="58" t="n">
        <f aca="false">MIN($C$35,DC34)</f>
        <v>0</v>
      </c>
      <c r="DD35" s="58" t="n">
        <f aca="false">MIN($C$35,DD34)</f>
        <v>0</v>
      </c>
      <c r="DE35" s="58" t="n">
        <f aca="false">MIN($C$35,DE34)</f>
        <v>0</v>
      </c>
      <c r="DF35" s="58" t="n">
        <f aca="false">MIN($C$35,DF34)</f>
        <v>0</v>
      </c>
      <c r="DG35" s="58" t="n">
        <f aca="false">MIN($C$35,DG34)</f>
        <v>0</v>
      </c>
      <c r="DH35" s="58" t="n">
        <f aca="false">MIN($C$35,DH34)</f>
        <v>0</v>
      </c>
      <c r="DI35" s="58" t="n">
        <f aca="false">MIN($C$35,DI34)</f>
        <v>0</v>
      </c>
      <c r="DJ35" s="58" t="n">
        <f aca="false">MIN($C$35,DJ34)</f>
        <v>0</v>
      </c>
      <c r="DK35" s="58" t="n">
        <f aca="false">MIN($C$35,DK34)</f>
        <v>0</v>
      </c>
      <c r="DL35" s="58" t="n">
        <f aca="false">MIN($C$35,DL34)</f>
        <v>0</v>
      </c>
      <c r="DM35" s="58" t="n">
        <f aca="false">MIN($C$35,DM34)</f>
        <v>0</v>
      </c>
      <c r="DN35" s="58" t="n">
        <f aca="false">MIN($C$35,DN34)</f>
        <v>0</v>
      </c>
      <c r="DO35" s="58" t="n">
        <f aca="false">MIN($C$35,DO34)</f>
        <v>0</v>
      </c>
      <c r="DP35" s="58" t="n">
        <f aca="false">MIN($C$35,DP34)</f>
        <v>0</v>
      </c>
      <c r="DQ35" s="58" t="n">
        <f aca="false">MIN($C$35,DQ34)</f>
        <v>0</v>
      </c>
      <c r="DR35" s="58" t="n">
        <f aca="false">MIN($C$35,DR34)</f>
        <v>0</v>
      </c>
      <c r="DS35" s="58" t="n">
        <f aca="false">MIN($C$35,DS34)</f>
        <v>0</v>
      </c>
      <c r="DT35" s="58" t="n">
        <f aca="false">MIN($C$35,DT34)</f>
        <v>0</v>
      </c>
    </row>
    <row r="36" customFormat="false" ht="15" hidden="false" customHeight="false" outlineLevel="0" collapsed="false">
      <c r="B36" s="17" t="s">
        <v>382</v>
      </c>
      <c r="C36" s="96" t="n">
        <f aca="false">IF(C33=0,0,IF(INDEX($G$13:$G$20,C33)="No",0,1))</f>
        <v>0</v>
      </c>
      <c r="D36" s="100" t="str">
        <f aca="false">IF(C33=0,"",IF(N(INDEX($H$13:$H$20,C33))=0,"",INDEX($H$13:$H$20,C33)))</f>
        <v/>
      </c>
      <c r="E36" s="58" t="n">
        <f aca="false">IF(AND($C$36=1,OR($D$36="",E$29&gt;=$D$36)),MAX(0,MIN(E34-E35,E$31-(0))),0)</f>
        <v>0</v>
      </c>
      <c r="F36" s="58" t="n">
        <f aca="false">IF(AND($C$36=1,OR($D$36="",F$29&gt;=$D$36)),MAX(0,MIN(F34-F35,F$31-(0))),0)</f>
        <v>0</v>
      </c>
      <c r="G36" s="58" t="n">
        <f aca="false">IF(AND($C$36=1,OR($D$36="",G$29&gt;=$D$36)),MAX(0,MIN(G34-G35,G$31-(0))),0)</f>
        <v>0</v>
      </c>
      <c r="H36" s="58" t="n">
        <f aca="false">IF(AND($C$36=1,OR($D$36="",H$29&gt;=$D$36)),MAX(0,MIN(H34-H35,H$31-(0))),0)</f>
        <v>0</v>
      </c>
      <c r="I36" s="58" t="n">
        <f aca="false">IF(AND($C$36=1,OR($D$36="",I$29&gt;=$D$36)),MAX(0,MIN(I34-I35,I$31-(0))),0)</f>
        <v>0</v>
      </c>
      <c r="J36" s="58" t="n">
        <f aca="false">IF(AND($C$36=1,OR($D$36="",J$29&gt;=$D$36)),MAX(0,MIN(J34-J35,J$31-(0))),0)</f>
        <v>0</v>
      </c>
      <c r="K36" s="58" t="n">
        <f aca="false">IF(AND($C$36=1,OR($D$36="",K$29&gt;=$D$36)),MAX(0,MIN(K34-K35,K$31-(0))),0)</f>
        <v>0</v>
      </c>
      <c r="L36" s="58" t="n">
        <f aca="false">IF(AND($C$36=1,OR($D$36="",L$29&gt;=$D$36)),MAX(0,MIN(L34-L35,L$31-(0))),0)</f>
        <v>0</v>
      </c>
      <c r="M36" s="58" t="n">
        <f aca="false">IF(AND($C$36=1,OR($D$36="",M$29&gt;=$D$36)),MAX(0,MIN(M34-M35,M$31-(0))),0)</f>
        <v>0</v>
      </c>
      <c r="N36" s="58" t="n">
        <f aca="false">IF(AND($C$36=1,OR($D$36="",N$29&gt;=$D$36)),MAX(0,MIN(N34-N35,N$31-(0))),0)</f>
        <v>0</v>
      </c>
      <c r="O36" s="58" t="n">
        <f aca="false">IF(AND($C$36=1,OR($D$36="",O$29&gt;=$D$36)),MAX(0,MIN(O34-O35,O$31-(0))),0)</f>
        <v>0</v>
      </c>
      <c r="P36" s="58" t="n">
        <f aca="false">IF(AND($C$36=1,OR($D$36="",P$29&gt;=$D$36)),MAX(0,MIN(P34-P35,P$31-(0))),0)</f>
        <v>0</v>
      </c>
      <c r="Q36" s="58" t="n">
        <f aca="false">IF(AND($C$36=1,OR($D$36="",Q$29&gt;=$D$36)),MAX(0,MIN(Q34-Q35,Q$31-(0))),0)</f>
        <v>0</v>
      </c>
      <c r="R36" s="58" t="n">
        <f aca="false">IF(AND($C$36=1,OR($D$36="",R$29&gt;=$D$36)),MAX(0,MIN(R34-R35,R$31-(0))),0)</f>
        <v>0</v>
      </c>
      <c r="S36" s="58" t="n">
        <f aca="false">IF(AND($C$36=1,OR($D$36="",S$29&gt;=$D$36)),MAX(0,MIN(S34-S35,S$31-(0))),0)</f>
        <v>0</v>
      </c>
      <c r="T36" s="58" t="n">
        <f aca="false">IF(AND($C$36=1,OR($D$36="",T$29&gt;=$D$36)),MAX(0,MIN(T34-T35,T$31-(0))),0)</f>
        <v>0</v>
      </c>
      <c r="U36" s="58" t="n">
        <f aca="false">IF(AND($C$36=1,OR($D$36="",U$29&gt;=$D$36)),MAX(0,MIN(U34-U35,U$31-(0))),0)</f>
        <v>0</v>
      </c>
      <c r="V36" s="58" t="n">
        <f aca="false">IF(AND($C$36=1,OR($D$36="",V$29&gt;=$D$36)),MAX(0,MIN(V34-V35,V$31-(0))),0)</f>
        <v>0</v>
      </c>
      <c r="W36" s="58" t="n">
        <f aca="false">IF(AND($C$36=1,OR($D$36="",W$29&gt;=$D$36)),MAX(0,MIN(W34-W35,W$31-(0))),0)</f>
        <v>0</v>
      </c>
      <c r="X36" s="58" t="n">
        <f aca="false">IF(AND($C$36=1,OR($D$36="",X$29&gt;=$D$36)),MAX(0,MIN(X34-X35,X$31-(0))),0)</f>
        <v>0</v>
      </c>
      <c r="Y36" s="58" t="n">
        <f aca="false">IF(AND($C$36=1,OR($D$36="",Y$29&gt;=$D$36)),MAX(0,MIN(Y34-Y35,Y$31-(0))),0)</f>
        <v>0</v>
      </c>
      <c r="Z36" s="58" t="n">
        <f aca="false">IF(AND($C$36=1,OR($D$36="",Z$29&gt;=$D$36)),MAX(0,MIN(Z34-Z35,Z$31-(0))),0)</f>
        <v>0</v>
      </c>
      <c r="AA36" s="58" t="n">
        <f aca="false">IF(AND($C$36=1,OR($D$36="",AA$29&gt;=$D$36)),MAX(0,MIN(AA34-AA35,AA$31-(0))),0)</f>
        <v>0</v>
      </c>
      <c r="AB36" s="58" t="n">
        <f aca="false">IF(AND($C$36=1,OR($D$36="",AB$29&gt;=$D$36)),MAX(0,MIN(AB34-AB35,AB$31-(0))),0)</f>
        <v>0</v>
      </c>
      <c r="AC36" s="58" t="n">
        <f aca="false">IF(AND($C$36=1,OR($D$36="",AC$29&gt;=$D$36)),MAX(0,MIN(AC34-AC35,AC$31-(0))),0)</f>
        <v>0</v>
      </c>
      <c r="AD36" s="58" t="n">
        <f aca="false">IF(AND($C$36=1,OR($D$36="",AD$29&gt;=$D$36)),MAX(0,MIN(AD34-AD35,AD$31-(0))),0)</f>
        <v>0</v>
      </c>
      <c r="AE36" s="58" t="n">
        <f aca="false">IF(AND($C$36=1,OR($D$36="",AE$29&gt;=$D$36)),MAX(0,MIN(AE34-AE35,AE$31-(0))),0)</f>
        <v>0</v>
      </c>
      <c r="AF36" s="58" t="n">
        <f aca="false">IF(AND($C$36=1,OR($D$36="",AF$29&gt;=$D$36)),MAX(0,MIN(AF34-AF35,AF$31-(0))),0)</f>
        <v>0</v>
      </c>
      <c r="AG36" s="58" t="n">
        <f aca="false">IF(AND($C$36=1,OR($D$36="",AG$29&gt;=$D$36)),MAX(0,MIN(AG34-AG35,AG$31-(0))),0)</f>
        <v>0</v>
      </c>
      <c r="AH36" s="58" t="n">
        <f aca="false">IF(AND($C$36=1,OR($D$36="",AH$29&gt;=$D$36)),MAX(0,MIN(AH34-AH35,AH$31-(0))),0)</f>
        <v>0</v>
      </c>
      <c r="AI36" s="58" t="n">
        <f aca="false">IF(AND($C$36=1,OR($D$36="",AI$29&gt;=$D$36)),MAX(0,MIN(AI34-AI35,AI$31-(0))),0)</f>
        <v>0</v>
      </c>
      <c r="AJ36" s="58" t="n">
        <f aca="false">IF(AND($C$36=1,OR($D$36="",AJ$29&gt;=$D$36)),MAX(0,MIN(AJ34-AJ35,AJ$31-(0))),0)</f>
        <v>0</v>
      </c>
      <c r="AK36" s="58" t="n">
        <f aca="false">IF(AND($C$36=1,OR($D$36="",AK$29&gt;=$D$36)),MAX(0,MIN(AK34-AK35,AK$31-(0))),0)</f>
        <v>0</v>
      </c>
      <c r="AL36" s="58" t="n">
        <f aca="false">IF(AND($C$36=1,OR($D$36="",AL$29&gt;=$D$36)),MAX(0,MIN(AL34-AL35,AL$31-(0))),0)</f>
        <v>0</v>
      </c>
      <c r="AM36" s="58" t="n">
        <f aca="false">IF(AND($C$36=1,OR($D$36="",AM$29&gt;=$D$36)),MAX(0,MIN(AM34-AM35,AM$31-(0))),0)</f>
        <v>0</v>
      </c>
      <c r="AN36" s="58" t="n">
        <f aca="false">IF(AND($C$36=1,OR($D$36="",AN$29&gt;=$D$36)),MAX(0,MIN(AN34-AN35,AN$31-(0))),0)</f>
        <v>0</v>
      </c>
      <c r="AO36" s="58" t="n">
        <f aca="false">IF(AND($C$36=1,OR($D$36="",AO$29&gt;=$D$36)),MAX(0,MIN(AO34-AO35,AO$31-(0))),0)</f>
        <v>0</v>
      </c>
      <c r="AP36" s="58" t="n">
        <f aca="false">IF(AND($C$36=1,OR($D$36="",AP$29&gt;=$D$36)),MAX(0,MIN(AP34-AP35,AP$31-(0))),0)</f>
        <v>0</v>
      </c>
      <c r="AQ36" s="58" t="n">
        <f aca="false">IF(AND($C$36=1,OR($D$36="",AQ$29&gt;=$D$36)),MAX(0,MIN(AQ34-AQ35,AQ$31-(0))),0)</f>
        <v>0</v>
      </c>
      <c r="AR36" s="58" t="n">
        <f aca="false">IF(AND($C$36=1,OR($D$36="",AR$29&gt;=$D$36)),MAX(0,MIN(AR34-AR35,AR$31-(0))),0)</f>
        <v>0</v>
      </c>
      <c r="AS36" s="58" t="n">
        <f aca="false">IF(AND($C$36=1,OR($D$36="",AS$29&gt;=$D$36)),MAX(0,MIN(AS34-AS35,AS$31-(0))),0)</f>
        <v>0</v>
      </c>
      <c r="AT36" s="58" t="n">
        <f aca="false">IF(AND($C$36=1,OR($D$36="",AT$29&gt;=$D$36)),MAX(0,MIN(AT34-AT35,AT$31-(0))),0)</f>
        <v>0</v>
      </c>
      <c r="AU36" s="58" t="n">
        <f aca="false">IF(AND($C$36=1,OR($D$36="",AU$29&gt;=$D$36)),MAX(0,MIN(AU34-AU35,AU$31-(0))),0)</f>
        <v>0</v>
      </c>
      <c r="AV36" s="58" t="n">
        <f aca="false">IF(AND($C$36=1,OR($D$36="",AV$29&gt;=$D$36)),MAX(0,MIN(AV34-AV35,AV$31-(0))),0)</f>
        <v>0</v>
      </c>
      <c r="AW36" s="58" t="n">
        <f aca="false">IF(AND($C$36=1,OR($D$36="",AW$29&gt;=$D$36)),MAX(0,MIN(AW34-AW35,AW$31-(0))),0)</f>
        <v>0</v>
      </c>
      <c r="AX36" s="58" t="n">
        <f aca="false">IF(AND($C$36=1,OR($D$36="",AX$29&gt;=$D$36)),MAX(0,MIN(AX34-AX35,AX$31-(0))),0)</f>
        <v>0</v>
      </c>
      <c r="AY36" s="58" t="n">
        <f aca="false">IF(AND($C$36=1,OR($D$36="",AY$29&gt;=$D$36)),MAX(0,MIN(AY34-AY35,AY$31-(0))),0)</f>
        <v>0</v>
      </c>
      <c r="AZ36" s="58" t="n">
        <f aca="false">IF(AND($C$36=1,OR($D$36="",AZ$29&gt;=$D$36)),MAX(0,MIN(AZ34-AZ35,AZ$31-(0))),0)</f>
        <v>0</v>
      </c>
      <c r="BA36" s="58" t="n">
        <f aca="false">IF(AND($C$36=1,OR($D$36="",BA$29&gt;=$D$36)),MAX(0,MIN(BA34-BA35,BA$31-(0))),0)</f>
        <v>0</v>
      </c>
      <c r="BB36" s="58" t="n">
        <f aca="false">IF(AND($C$36=1,OR($D$36="",BB$29&gt;=$D$36)),MAX(0,MIN(BB34-BB35,BB$31-(0))),0)</f>
        <v>0</v>
      </c>
      <c r="BC36" s="58" t="n">
        <f aca="false">IF(AND($C$36=1,OR($D$36="",BC$29&gt;=$D$36)),MAX(0,MIN(BC34-BC35,BC$31-(0))),0)</f>
        <v>0</v>
      </c>
      <c r="BD36" s="58" t="n">
        <f aca="false">IF(AND($C$36=1,OR($D$36="",BD$29&gt;=$D$36)),MAX(0,MIN(BD34-BD35,BD$31-(0))),0)</f>
        <v>0</v>
      </c>
      <c r="BE36" s="58" t="n">
        <f aca="false">IF(AND($C$36=1,OR($D$36="",BE$29&gt;=$D$36)),MAX(0,MIN(BE34-BE35,BE$31-(0))),0)</f>
        <v>0</v>
      </c>
      <c r="BF36" s="58" t="n">
        <f aca="false">IF(AND($C$36=1,OR($D$36="",BF$29&gt;=$D$36)),MAX(0,MIN(BF34-BF35,BF$31-(0))),0)</f>
        <v>0</v>
      </c>
      <c r="BG36" s="58" t="n">
        <f aca="false">IF(AND($C$36=1,OR($D$36="",BG$29&gt;=$D$36)),MAX(0,MIN(BG34-BG35,BG$31-(0))),0)</f>
        <v>0</v>
      </c>
      <c r="BH36" s="58" t="n">
        <f aca="false">IF(AND($C$36=1,OR($D$36="",BH$29&gt;=$D$36)),MAX(0,MIN(BH34-BH35,BH$31-(0))),0)</f>
        <v>0</v>
      </c>
      <c r="BI36" s="58" t="n">
        <f aca="false">IF(AND($C$36=1,OR($D$36="",BI$29&gt;=$D$36)),MAX(0,MIN(BI34-BI35,BI$31-(0))),0)</f>
        <v>0</v>
      </c>
      <c r="BJ36" s="58" t="n">
        <f aca="false">IF(AND($C$36=1,OR($D$36="",BJ$29&gt;=$D$36)),MAX(0,MIN(BJ34-BJ35,BJ$31-(0))),0)</f>
        <v>0</v>
      </c>
      <c r="BK36" s="58" t="n">
        <f aca="false">IF(AND($C$36=1,OR($D$36="",BK$29&gt;=$D$36)),MAX(0,MIN(BK34-BK35,BK$31-(0))),0)</f>
        <v>0</v>
      </c>
      <c r="BL36" s="58" t="n">
        <f aca="false">IF(AND($C$36=1,OR($D$36="",BL$29&gt;=$D$36)),MAX(0,MIN(BL34-BL35,BL$31-(0))),0)</f>
        <v>0</v>
      </c>
      <c r="BM36" s="58" t="n">
        <f aca="false">IF(AND($C$36=1,OR($D$36="",BM$29&gt;=$D$36)),MAX(0,MIN(BM34-BM35,BM$31-(0))),0)</f>
        <v>0</v>
      </c>
      <c r="BN36" s="58" t="n">
        <f aca="false">IF(AND($C$36=1,OR($D$36="",BN$29&gt;=$D$36)),MAX(0,MIN(BN34-BN35,BN$31-(0))),0)</f>
        <v>0</v>
      </c>
      <c r="BO36" s="58" t="n">
        <f aca="false">IF(AND($C$36=1,OR($D$36="",BO$29&gt;=$D$36)),MAX(0,MIN(BO34-BO35,BO$31-(0))),0)</f>
        <v>0</v>
      </c>
      <c r="BP36" s="58" t="n">
        <f aca="false">IF(AND($C$36=1,OR($D$36="",BP$29&gt;=$D$36)),MAX(0,MIN(BP34-BP35,BP$31-(0))),0)</f>
        <v>0</v>
      </c>
      <c r="BQ36" s="58" t="n">
        <f aca="false">IF(AND($C$36=1,OR($D$36="",BQ$29&gt;=$D$36)),MAX(0,MIN(BQ34-BQ35,BQ$31-(0))),0)</f>
        <v>0</v>
      </c>
      <c r="BR36" s="58" t="n">
        <f aca="false">IF(AND($C$36=1,OR($D$36="",BR$29&gt;=$D$36)),MAX(0,MIN(BR34-BR35,BR$31-(0))),0)</f>
        <v>0</v>
      </c>
      <c r="BS36" s="58" t="n">
        <f aca="false">IF(AND($C$36=1,OR($D$36="",BS$29&gt;=$D$36)),MAX(0,MIN(BS34-BS35,BS$31-(0))),0)</f>
        <v>0</v>
      </c>
      <c r="BT36" s="58" t="n">
        <f aca="false">IF(AND($C$36=1,OR($D$36="",BT$29&gt;=$D$36)),MAX(0,MIN(BT34-BT35,BT$31-(0))),0)</f>
        <v>0</v>
      </c>
      <c r="BU36" s="58" t="n">
        <f aca="false">IF(AND($C$36=1,OR($D$36="",BU$29&gt;=$D$36)),MAX(0,MIN(BU34-BU35,BU$31-(0))),0)</f>
        <v>0</v>
      </c>
      <c r="BV36" s="58" t="n">
        <f aca="false">IF(AND($C$36=1,OR($D$36="",BV$29&gt;=$D$36)),MAX(0,MIN(BV34-BV35,BV$31-(0))),0)</f>
        <v>0</v>
      </c>
      <c r="BW36" s="58" t="n">
        <f aca="false">IF(AND($C$36=1,OR($D$36="",BW$29&gt;=$D$36)),MAX(0,MIN(BW34-BW35,BW$31-(0))),0)</f>
        <v>0</v>
      </c>
      <c r="BX36" s="58" t="n">
        <f aca="false">IF(AND($C$36=1,OR($D$36="",BX$29&gt;=$D$36)),MAX(0,MIN(BX34-BX35,BX$31-(0))),0)</f>
        <v>0</v>
      </c>
      <c r="BY36" s="58" t="n">
        <f aca="false">IF(AND($C$36=1,OR($D$36="",BY$29&gt;=$D$36)),MAX(0,MIN(BY34-BY35,BY$31-(0))),0)</f>
        <v>0</v>
      </c>
      <c r="BZ36" s="58" t="n">
        <f aca="false">IF(AND($C$36=1,OR($D$36="",BZ$29&gt;=$D$36)),MAX(0,MIN(BZ34-BZ35,BZ$31-(0))),0)</f>
        <v>0</v>
      </c>
      <c r="CA36" s="58" t="n">
        <f aca="false">IF(AND($C$36=1,OR($D$36="",CA$29&gt;=$D$36)),MAX(0,MIN(CA34-CA35,CA$31-(0))),0)</f>
        <v>0</v>
      </c>
      <c r="CB36" s="58" t="n">
        <f aca="false">IF(AND($C$36=1,OR($D$36="",CB$29&gt;=$D$36)),MAX(0,MIN(CB34-CB35,CB$31-(0))),0)</f>
        <v>0</v>
      </c>
      <c r="CC36" s="58" t="n">
        <f aca="false">IF(AND($C$36=1,OR($D$36="",CC$29&gt;=$D$36)),MAX(0,MIN(CC34-CC35,CC$31-(0))),0)</f>
        <v>0</v>
      </c>
      <c r="CD36" s="58" t="n">
        <f aca="false">IF(AND($C$36=1,OR($D$36="",CD$29&gt;=$D$36)),MAX(0,MIN(CD34-CD35,CD$31-(0))),0)</f>
        <v>0</v>
      </c>
      <c r="CE36" s="58" t="n">
        <f aca="false">IF(AND($C$36=1,OR($D$36="",CE$29&gt;=$D$36)),MAX(0,MIN(CE34-CE35,CE$31-(0))),0)</f>
        <v>0</v>
      </c>
      <c r="CF36" s="58" t="n">
        <f aca="false">IF(AND($C$36=1,OR($D$36="",CF$29&gt;=$D$36)),MAX(0,MIN(CF34-CF35,CF$31-(0))),0)</f>
        <v>0</v>
      </c>
      <c r="CG36" s="58" t="n">
        <f aca="false">IF(AND($C$36=1,OR($D$36="",CG$29&gt;=$D$36)),MAX(0,MIN(CG34-CG35,CG$31-(0))),0)</f>
        <v>0</v>
      </c>
      <c r="CH36" s="58" t="n">
        <f aca="false">IF(AND($C$36=1,OR($D$36="",CH$29&gt;=$D$36)),MAX(0,MIN(CH34-CH35,CH$31-(0))),0)</f>
        <v>0</v>
      </c>
      <c r="CI36" s="58" t="n">
        <f aca="false">IF(AND($C$36=1,OR($D$36="",CI$29&gt;=$D$36)),MAX(0,MIN(CI34-CI35,CI$31-(0))),0)</f>
        <v>0</v>
      </c>
      <c r="CJ36" s="58" t="n">
        <f aca="false">IF(AND($C$36=1,OR($D$36="",CJ$29&gt;=$D$36)),MAX(0,MIN(CJ34-CJ35,CJ$31-(0))),0)</f>
        <v>0</v>
      </c>
      <c r="CK36" s="58" t="n">
        <f aca="false">IF(AND($C$36=1,OR($D$36="",CK$29&gt;=$D$36)),MAX(0,MIN(CK34-CK35,CK$31-(0))),0)</f>
        <v>0</v>
      </c>
      <c r="CL36" s="58" t="n">
        <f aca="false">IF(AND($C$36=1,OR($D$36="",CL$29&gt;=$D$36)),MAX(0,MIN(CL34-CL35,CL$31-(0))),0)</f>
        <v>0</v>
      </c>
      <c r="CM36" s="58" t="n">
        <f aca="false">IF(AND($C$36=1,OR($D$36="",CM$29&gt;=$D$36)),MAX(0,MIN(CM34-CM35,CM$31-(0))),0)</f>
        <v>0</v>
      </c>
      <c r="CN36" s="58" t="n">
        <f aca="false">IF(AND($C$36=1,OR($D$36="",CN$29&gt;=$D$36)),MAX(0,MIN(CN34-CN35,CN$31-(0))),0)</f>
        <v>0</v>
      </c>
      <c r="CO36" s="58" t="n">
        <f aca="false">IF(AND($C$36=1,OR($D$36="",CO$29&gt;=$D$36)),MAX(0,MIN(CO34-CO35,CO$31-(0))),0)</f>
        <v>0</v>
      </c>
      <c r="CP36" s="58" t="n">
        <f aca="false">IF(AND($C$36=1,OR($D$36="",CP$29&gt;=$D$36)),MAX(0,MIN(CP34-CP35,CP$31-(0))),0)</f>
        <v>0</v>
      </c>
      <c r="CQ36" s="58" t="n">
        <f aca="false">IF(AND($C$36=1,OR($D$36="",CQ$29&gt;=$D$36)),MAX(0,MIN(CQ34-CQ35,CQ$31-(0))),0)</f>
        <v>0</v>
      </c>
      <c r="CR36" s="58" t="n">
        <f aca="false">IF(AND($C$36=1,OR($D$36="",CR$29&gt;=$D$36)),MAX(0,MIN(CR34-CR35,CR$31-(0))),0)</f>
        <v>0</v>
      </c>
      <c r="CS36" s="58" t="n">
        <f aca="false">IF(AND($C$36=1,OR($D$36="",CS$29&gt;=$D$36)),MAX(0,MIN(CS34-CS35,CS$31-(0))),0)</f>
        <v>0</v>
      </c>
      <c r="CT36" s="58" t="n">
        <f aca="false">IF(AND($C$36=1,OR($D$36="",CT$29&gt;=$D$36)),MAX(0,MIN(CT34-CT35,CT$31-(0))),0)</f>
        <v>0</v>
      </c>
      <c r="CU36" s="58" t="n">
        <f aca="false">IF(AND($C$36=1,OR($D$36="",CU$29&gt;=$D$36)),MAX(0,MIN(CU34-CU35,CU$31-(0))),0)</f>
        <v>0</v>
      </c>
      <c r="CV36" s="58" t="n">
        <f aca="false">IF(AND($C$36=1,OR($D$36="",CV$29&gt;=$D$36)),MAX(0,MIN(CV34-CV35,CV$31-(0))),0)</f>
        <v>0</v>
      </c>
      <c r="CW36" s="58" t="n">
        <f aca="false">IF(AND($C$36=1,OR($D$36="",CW$29&gt;=$D$36)),MAX(0,MIN(CW34-CW35,CW$31-(0))),0)</f>
        <v>0</v>
      </c>
      <c r="CX36" s="58" t="n">
        <f aca="false">IF(AND($C$36=1,OR($D$36="",CX$29&gt;=$D$36)),MAX(0,MIN(CX34-CX35,CX$31-(0))),0)</f>
        <v>0</v>
      </c>
      <c r="CY36" s="58" t="n">
        <f aca="false">IF(AND($C$36=1,OR($D$36="",CY$29&gt;=$D$36)),MAX(0,MIN(CY34-CY35,CY$31-(0))),0)</f>
        <v>0</v>
      </c>
      <c r="CZ36" s="58" t="n">
        <f aca="false">IF(AND($C$36=1,OR($D$36="",CZ$29&gt;=$D$36)),MAX(0,MIN(CZ34-CZ35,CZ$31-(0))),0)</f>
        <v>0</v>
      </c>
      <c r="DA36" s="58" t="n">
        <f aca="false">IF(AND($C$36=1,OR($D$36="",DA$29&gt;=$D$36)),MAX(0,MIN(DA34-DA35,DA$31-(0))),0)</f>
        <v>0</v>
      </c>
      <c r="DB36" s="58" t="n">
        <f aca="false">IF(AND($C$36=1,OR($D$36="",DB$29&gt;=$D$36)),MAX(0,MIN(DB34-DB35,DB$31-(0))),0)</f>
        <v>0</v>
      </c>
      <c r="DC36" s="58" t="n">
        <f aca="false">IF(AND($C$36=1,OR($D$36="",DC$29&gt;=$D$36)),MAX(0,MIN(DC34-DC35,DC$31-(0))),0)</f>
        <v>0</v>
      </c>
      <c r="DD36" s="58" t="n">
        <f aca="false">IF(AND($C$36=1,OR($D$36="",DD$29&gt;=$D$36)),MAX(0,MIN(DD34-DD35,DD$31-(0))),0)</f>
        <v>0</v>
      </c>
      <c r="DE36" s="58" t="n">
        <f aca="false">IF(AND($C$36=1,OR($D$36="",DE$29&gt;=$D$36)),MAX(0,MIN(DE34-DE35,DE$31-(0))),0)</f>
        <v>0</v>
      </c>
      <c r="DF36" s="58" t="n">
        <f aca="false">IF(AND($C$36=1,OR($D$36="",DF$29&gt;=$D$36)),MAX(0,MIN(DF34-DF35,DF$31-(0))),0)</f>
        <v>0</v>
      </c>
      <c r="DG36" s="58" t="n">
        <f aca="false">IF(AND($C$36=1,OR($D$36="",DG$29&gt;=$D$36)),MAX(0,MIN(DG34-DG35,DG$31-(0))),0)</f>
        <v>0</v>
      </c>
      <c r="DH36" s="58" t="n">
        <f aca="false">IF(AND($C$36=1,OR($D$36="",DH$29&gt;=$D$36)),MAX(0,MIN(DH34-DH35,DH$31-(0))),0)</f>
        <v>0</v>
      </c>
      <c r="DI36" s="58" t="n">
        <f aca="false">IF(AND($C$36=1,OR($D$36="",DI$29&gt;=$D$36)),MAX(0,MIN(DI34-DI35,DI$31-(0))),0)</f>
        <v>0</v>
      </c>
      <c r="DJ36" s="58" t="n">
        <f aca="false">IF(AND($C$36=1,OR($D$36="",DJ$29&gt;=$D$36)),MAX(0,MIN(DJ34-DJ35,DJ$31-(0))),0)</f>
        <v>0</v>
      </c>
      <c r="DK36" s="58" t="n">
        <f aca="false">IF(AND($C$36=1,OR($D$36="",DK$29&gt;=$D$36)),MAX(0,MIN(DK34-DK35,DK$31-(0))),0)</f>
        <v>0</v>
      </c>
      <c r="DL36" s="58" t="n">
        <f aca="false">IF(AND($C$36=1,OR($D$36="",DL$29&gt;=$D$36)),MAX(0,MIN(DL34-DL35,DL$31-(0))),0)</f>
        <v>0</v>
      </c>
      <c r="DM36" s="58" t="n">
        <f aca="false">IF(AND($C$36=1,OR($D$36="",DM$29&gt;=$D$36)),MAX(0,MIN(DM34-DM35,DM$31-(0))),0)</f>
        <v>0</v>
      </c>
      <c r="DN36" s="58" t="n">
        <f aca="false">IF(AND($C$36=1,OR($D$36="",DN$29&gt;=$D$36)),MAX(0,MIN(DN34-DN35,DN$31-(0))),0)</f>
        <v>0</v>
      </c>
      <c r="DO36" s="58" t="n">
        <f aca="false">IF(AND($C$36=1,OR($D$36="",DO$29&gt;=$D$36)),MAX(0,MIN(DO34-DO35,DO$31-(0))),0)</f>
        <v>0</v>
      </c>
      <c r="DP36" s="58" t="n">
        <f aca="false">IF(AND($C$36=1,OR($D$36="",DP$29&gt;=$D$36)),MAX(0,MIN(DP34-DP35,DP$31-(0))),0)</f>
        <v>0</v>
      </c>
      <c r="DQ36" s="58" t="n">
        <f aca="false">IF(AND($C$36=1,OR($D$36="",DQ$29&gt;=$D$36)),MAX(0,MIN(DQ34-DQ35,DQ$31-(0))),0)</f>
        <v>0</v>
      </c>
      <c r="DR36" s="58" t="n">
        <f aca="false">IF(AND($C$36=1,OR($D$36="",DR$29&gt;=$D$36)),MAX(0,MIN(DR34-DR35,DR$31-(0))),0)</f>
        <v>0</v>
      </c>
      <c r="DS36" s="58" t="n">
        <f aca="false">IF(AND($C$36=1,OR($D$36="",DS$29&gt;=$D$36)),MAX(0,MIN(DS34-DS35,DS$31-(0))),0)</f>
        <v>0</v>
      </c>
      <c r="DT36" s="58" t="n">
        <f aca="false">IF(AND($C$36=1,OR($D$36="",DT$29&gt;=$D$36)),MAX(0,MIN(DT34-DT35,DT$31-(0))),0)</f>
        <v>0</v>
      </c>
    </row>
    <row r="37" customFormat="false" ht="15" hidden="false" customHeight="false" outlineLevel="0" collapsed="false">
      <c r="B37" s="24" t="s">
        <v>187</v>
      </c>
      <c r="C37" s="23" t="s">
        <v>383</v>
      </c>
      <c r="D37" s="89" t="n">
        <f aca="false">IF($C$38=0,D38,MAX(0,D38-MAX(0,$C$10-(0))))</f>
        <v>0</v>
      </c>
      <c r="E37" s="89" t="n">
        <f aca="false">E34-E35-E36</f>
        <v>0</v>
      </c>
      <c r="F37" s="89" t="n">
        <f aca="false">F34-F35-F36</f>
        <v>0</v>
      </c>
      <c r="G37" s="89" t="n">
        <f aca="false">G34-G35-G36</f>
        <v>0</v>
      </c>
      <c r="H37" s="89" t="n">
        <f aca="false">H34-H35-H36</f>
        <v>0</v>
      </c>
      <c r="I37" s="89" t="n">
        <f aca="false">I34-I35-I36</f>
        <v>0</v>
      </c>
      <c r="J37" s="89" t="n">
        <f aca="false">J34-J35-J36</f>
        <v>0</v>
      </c>
      <c r="K37" s="89" t="n">
        <f aca="false">K34-K35-K36</f>
        <v>0</v>
      </c>
      <c r="L37" s="89" t="n">
        <f aca="false">L34-L35-L36</f>
        <v>0</v>
      </c>
      <c r="M37" s="89" t="n">
        <f aca="false">M34-M35-M36</f>
        <v>0</v>
      </c>
      <c r="N37" s="89" t="n">
        <f aca="false">N34-N35-N36</f>
        <v>0</v>
      </c>
      <c r="O37" s="89" t="n">
        <f aca="false">O34-O35-O36</f>
        <v>0</v>
      </c>
      <c r="P37" s="89" t="n">
        <f aca="false">P34-P35-P36</f>
        <v>0</v>
      </c>
      <c r="Q37" s="89" t="n">
        <f aca="false">Q34-Q35-Q36</f>
        <v>0</v>
      </c>
      <c r="R37" s="89" t="n">
        <f aca="false">R34-R35-R36</f>
        <v>0</v>
      </c>
      <c r="S37" s="89" t="n">
        <f aca="false">S34-S35-S36</f>
        <v>0</v>
      </c>
      <c r="T37" s="89" t="n">
        <f aca="false">T34-T35-T36</f>
        <v>0</v>
      </c>
      <c r="U37" s="89" t="n">
        <f aca="false">U34-U35-U36</f>
        <v>0</v>
      </c>
      <c r="V37" s="89" t="n">
        <f aca="false">V34-V35-V36</f>
        <v>0</v>
      </c>
      <c r="W37" s="89" t="n">
        <f aca="false">W34-W35-W36</f>
        <v>0</v>
      </c>
      <c r="X37" s="89" t="n">
        <f aca="false">X34-X35-X36</f>
        <v>0</v>
      </c>
      <c r="Y37" s="89" t="n">
        <f aca="false">Y34-Y35-Y36</f>
        <v>0</v>
      </c>
      <c r="Z37" s="89" t="n">
        <f aca="false">Z34-Z35-Z36</f>
        <v>0</v>
      </c>
      <c r="AA37" s="89" t="n">
        <f aca="false">AA34-AA35-AA36</f>
        <v>0</v>
      </c>
      <c r="AB37" s="89" t="n">
        <f aca="false">AB34-AB35-AB36</f>
        <v>0</v>
      </c>
      <c r="AC37" s="89" t="n">
        <f aca="false">AC34-AC35-AC36</f>
        <v>0</v>
      </c>
      <c r="AD37" s="89" t="n">
        <f aca="false">AD34-AD35-AD36</f>
        <v>0</v>
      </c>
      <c r="AE37" s="89" t="n">
        <f aca="false">AE34-AE35-AE36</f>
        <v>0</v>
      </c>
      <c r="AF37" s="89" t="n">
        <f aca="false">AF34-AF35-AF36</f>
        <v>0</v>
      </c>
      <c r="AG37" s="89" t="n">
        <f aca="false">AG34-AG35-AG36</f>
        <v>0</v>
      </c>
      <c r="AH37" s="89" t="n">
        <f aca="false">AH34-AH35-AH36</f>
        <v>0</v>
      </c>
      <c r="AI37" s="89" t="n">
        <f aca="false">AI34-AI35-AI36</f>
        <v>0</v>
      </c>
      <c r="AJ37" s="89" t="n">
        <f aca="false">AJ34-AJ35-AJ36</f>
        <v>0</v>
      </c>
      <c r="AK37" s="89" t="n">
        <f aca="false">AK34-AK35-AK36</f>
        <v>0</v>
      </c>
      <c r="AL37" s="89" t="n">
        <f aca="false">AL34-AL35-AL36</f>
        <v>0</v>
      </c>
      <c r="AM37" s="89" t="n">
        <f aca="false">AM34-AM35-AM36</f>
        <v>0</v>
      </c>
      <c r="AN37" s="89" t="n">
        <f aca="false">AN34-AN35-AN36</f>
        <v>0</v>
      </c>
      <c r="AO37" s="89" t="n">
        <f aca="false">AO34-AO35-AO36</f>
        <v>0</v>
      </c>
      <c r="AP37" s="89" t="n">
        <f aca="false">AP34-AP35-AP36</f>
        <v>0</v>
      </c>
      <c r="AQ37" s="89" t="n">
        <f aca="false">AQ34-AQ35-AQ36</f>
        <v>0</v>
      </c>
      <c r="AR37" s="89" t="n">
        <f aca="false">AR34-AR35-AR36</f>
        <v>0</v>
      </c>
      <c r="AS37" s="89" t="n">
        <f aca="false">AS34-AS35-AS36</f>
        <v>0</v>
      </c>
      <c r="AT37" s="89" t="n">
        <f aca="false">AT34-AT35-AT36</f>
        <v>0</v>
      </c>
      <c r="AU37" s="89" t="n">
        <f aca="false">AU34-AU35-AU36</f>
        <v>0</v>
      </c>
      <c r="AV37" s="89" t="n">
        <f aca="false">AV34-AV35-AV36</f>
        <v>0</v>
      </c>
      <c r="AW37" s="89" t="n">
        <f aca="false">AW34-AW35-AW36</f>
        <v>0</v>
      </c>
      <c r="AX37" s="89" t="n">
        <f aca="false">AX34-AX35-AX36</f>
        <v>0</v>
      </c>
      <c r="AY37" s="89" t="n">
        <f aca="false">AY34-AY35-AY36</f>
        <v>0</v>
      </c>
      <c r="AZ37" s="89" t="n">
        <f aca="false">AZ34-AZ35-AZ36</f>
        <v>0</v>
      </c>
      <c r="BA37" s="89" t="n">
        <f aca="false">BA34-BA35-BA36</f>
        <v>0</v>
      </c>
      <c r="BB37" s="89" t="n">
        <f aca="false">BB34-BB35-BB36</f>
        <v>0</v>
      </c>
      <c r="BC37" s="89" t="n">
        <f aca="false">BC34-BC35-BC36</f>
        <v>0</v>
      </c>
      <c r="BD37" s="89" t="n">
        <f aca="false">BD34-BD35-BD36</f>
        <v>0</v>
      </c>
      <c r="BE37" s="89" t="n">
        <f aca="false">BE34-BE35-BE36</f>
        <v>0</v>
      </c>
      <c r="BF37" s="89" t="n">
        <f aca="false">BF34-BF35-BF36</f>
        <v>0</v>
      </c>
      <c r="BG37" s="89" t="n">
        <f aca="false">BG34-BG35-BG36</f>
        <v>0</v>
      </c>
      <c r="BH37" s="89" t="n">
        <f aca="false">BH34-BH35-BH36</f>
        <v>0</v>
      </c>
      <c r="BI37" s="89" t="n">
        <f aca="false">BI34-BI35-BI36</f>
        <v>0</v>
      </c>
      <c r="BJ37" s="89" t="n">
        <f aca="false">BJ34-BJ35-BJ36</f>
        <v>0</v>
      </c>
      <c r="BK37" s="89" t="n">
        <f aca="false">BK34-BK35-BK36</f>
        <v>0</v>
      </c>
      <c r="BL37" s="89" t="n">
        <f aca="false">BL34-BL35-BL36</f>
        <v>0</v>
      </c>
      <c r="BM37" s="89" t="n">
        <f aca="false">BM34-BM35-BM36</f>
        <v>0</v>
      </c>
      <c r="BN37" s="89" t="n">
        <f aca="false">BN34-BN35-BN36</f>
        <v>0</v>
      </c>
      <c r="BO37" s="89" t="n">
        <f aca="false">BO34-BO35-BO36</f>
        <v>0</v>
      </c>
      <c r="BP37" s="89" t="n">
        <f aca="false">BP34-BP35-BP36</f>
        <v>0</v>
      </c>
      <c r="BQ37" s="89" t="n">
        <f aca="false">BQ34-BQ35-BQ36</f>
        <v>0</v>
      </c>
      <c r="BR37" s="89" t="n">
        <f aca="false">BR34-BR35-BR36</f>
        <v>0</v>
      </c>
      <c r="BS37" s="89" t="n">
        <f aca="false">BS34-BS35-BS36</f>
        <v>0</v>
      </c>
      <c r="BT37" s="89" t="n">
        <f aca="false">BT34-BT35-BT36</f>
        <v>0</v>
      </c>
      <c r="BU37" s="89" t="n">
        <f aca="false">BU34-BU35-BU36</f>
        <v>0</v>
      </c>
      <c r="BV37" s="89" t="n">
        <f aca="false">BV34-BV35-BV36</f>
        <v>0</v>
      </c>
      <c r="BW37" s="89" t="n">
        <f aca="false">BW34-BW35-BW36</f>
        <v>0</v>
      </c>
      <c r="BX37" s="89" t="n">
        <f aca="false">BX34-BX35-BX36</f>
        <v>0</v>
      </c>
      <c r="BY37" s="89" t="n">
        <f aca="false">BY34-BY35-BY36</f>
        <v>0</v>
      </c>
      <c r="BZ37" s="89" t="n">
        <f aca="false">BZ34-BZ35-BZ36</f>
        <v>0</v>
      </c>
      <c r="CA37" s="89" t="n">
        <f aca="false">CA34-CA35-CA36</f>
        <v>0</v>
      </c>
      <c r="CB37" s="89" t="n">
        <f aca="false">CB34-CB35-CB36</f>
        <v>0</v>
      </c>
      <c r="CC37" s="89" t="n">
        <f aca="false">CC34-CC35-CC36</f>
        <v>0</v>
      </c>
      <c r="CD37" s="89" t="n">
        <f aca="false">CD34-CD35-CD36</f>
        <v>0</v>
      </c>
      <c r="CE37" s="89" t="n">
        <f aca="false">CE34-CE35-CE36</f>
        <v>0</v>
      </c>
      <c r="CF37" s="89" t="n">
        <f aca="false">CF34-CF35-CF36</f>
        <v>0</v>
      </c>
      <c r="CG37" s="89" t="n">
        <f aca="false">CG34-CG35-CG36</f>
        <v>0</v>
      </c>
      <c r="CH37" s="89" t="n">
        <f aca="false">CH34-CH35-CH36</f>
        <v>0</v>
      </c>
      <c r="CI37" s="89" t="n">
        <f aca="false">CI34-CI35-CI36</f>
        <v>0</v>
      </c>
      <c r="CJ37" s="89" t="n">
        <f aca="false">CJ34-CJ35-CJ36</f>
        <v>0</v>
      </c>
      <c r="CK37" s="89" t="n">
        <f aca="false">CK34-CK35-CK36</f>
        <v>0</v>
      </c>
      <c r="CL37" s="89" t="n">
        <f aca="false">CL34-CL35-CL36</f>
        <v>0</v>
      </c>
      <c r="CM37" s="89" t="n">
        <f aca="false">CM34-CM35-CM36</f>
        <v>0</v>
      </c>
      <c r="CN37" s="89" t="n">
        <f aca="false">CN34-CN35-CN36</f>
        <v>0</v>
      </c>
      <c r="CO37" s="89" t="n">
        <f aca="false">CO34-CO35-CO36</f>
        <v>0</v>
      </c>
      <c r="CP37" s="89" t="n">
        <f aca="false">CP34-CP35-CP36</f>
        <v>0</v>
      </c>
      <c r="CQ37" s="89" t="n">
        <f aca="false">CQ34-CQ35-CQ36</f>
        <v>0</v>
      </c>
      <c r="CR37" s="89" t="n">
        <f aca="false">CR34-CR35-CR36</f>
        <v>0</v>
      </c>
      <c r="CS37" s="89" t="n">
        <f aca="false">CS34-CS35-CS36</f>
        <v>0</v>
      </c>
      <c r="CT37" s="89" t="n">
        <f aca="false">CT34-CT35-CT36</f>
        <v>0</v>
      </c>
      <c r="CU37" s="89" t="n">
        <f aca="false">CU34-CU35-CU36</f>
        <v>0</v>
      </c>
      <c r="CV37" s="89" t="n">
        <f aca="false">CV34-CV35-CV36</f>
        <v>0</v>
      </c>
      <c r="CW37" s="89" t="n">
        <f aca="false">CW34-CW35-CW36</f>
        <v>0</v>
      </c>
      <c r="CX37" s="89" t="n">
        <f aca="false">CX34-CX35-CX36</f>
        <v>0</v>
      </c>
      <c r="CY37" s="89" t="n">
        <f aca="false">CY34-CY35-CY36</f>
        <v>0</v>
      </c>
      <c r="CZ37" s="89" t="n">
        <f aca="false">CZ34-CZ35-CZ36</f>
        <v>0</v>
      </c>
      <c r="DA37" s="89" t="n">
        <f aca="false">DA34-DA35-DA36</f>
        <v>0</v>
      </c>
      <c r="DB37" s="89" t="n">
        <f aca="false">DB34-DB35-DB36</f>
        <v>0</v>
      </c>
      <c r="DC37" s="89" t="n">
        <f aca="false">DC34-DC35-DC36</f>
        <v>0</v>
      </c>
      <c r="DD37" s="89" t="n">
        <f aca="false">DD34-DD35-DD36</f>
        <v>0</v>
      </c>
      <c r="DE37" s="89" t="n">
        <f aca="false">DE34-DE35-DE36</f>
        <v>0</v>
      </c>
      <c r="DF37" s="89" t="n">
        <f aca="false">DF34-DF35-DF36</f>
        <v>0</v>
      </c>
      <c r="DG37" s="89" t="n">
        <f aca="false">DG34-DG35-DG36</f>
        <v>0</v>
      </c>
      <c r="DH37" s="89" t="n">
        <f aca="false">DH34-DH35-DH36</f>
        <v>0</v>
      </c>
      <c r="DI37" s="89" t="n">
        <f aca="false">DI34-DI35-DI36</f>
        <v>0</v>
      </c>
      <c r="DJ37" s="89" t="n">
        <f aca="false">DJ34-DJ35-DJ36</f>
        <v>0</v>
      </c>
      <c r="DK37" s="89" t="n">
        <f aca="false">DK34-DK35-DK36</f>
        <v>0</v>
      </c>
      <c r="DL37" s="89" t="n">
        <f aca="false">DL34-DL35-DL36</f>
        <v>0</v>
      </c>
      <c r="DM37" s="89" t="n">
        <f aca="false">DM34-DM35-DM36</f>
        <v>0</v>
      </c>
      <c r="DN37" s="89" t="n">
        <f aca="false">DN34-DN35-DN36</f>
        <v>0</v>
      </c>
      <c r="DO37" s="89" t="n">
        <f aca="false">DO34-DO35-DO36</f>
        <v>0</v>
      </c>
      <c r="DP37" s="89" t="n">
        <f aca="false">DP34-DP35-DP36</f>
        <v>0</v>
      </c>
      <c r="DQ37" s="89" t="n">
        <f aca="false">DQ34-DQ35-DQ36</f>
        <v>0</v>
      </c>
      <c r="DR37" s="89" t="n">
        <f aca="false">DR34-DR35-DR36</f>
        <v>0</v>
      </c>
      <c r="DS37" s="89" t="n">
        <f aca="false">DS34-DS35-DS36</f>
        <v>0</v>
      </c>
      <c r="DT37" s="89" t="n">
        <f aca="false">DT34-DT35-DT36</f>
        <v>0</v>
      </c>
    </row>
    <row r="38" customFormat="false" ht="15" hidden="false" customHeight="false" outlineLevel="0" collapsed="false">
      <c r="C38" s="96" t="n">
        <f aca="false">IF(AND(C36=1,OR(D36="",D36&lt;=$C$11)),1,0)</f>
        <v>0</v>
      </c>
      <c r="D38" s="99" t="n">
        <f aca="false">IF(C33=0,0,N(INDEX($D$13:$D$20,C33)))</f>
        <v>0</v>
      </c>
    </row>
    <row r="39" customFormat="false" ht="15" hidden="false" customHeight="false" outlineLevel="0" collapsed="false">
      <c r="B39" s="6" t="str">
        <f aca="false">"Orden 2: "&amp;D39</f>
        <v>Orden 2: (sin deuda)</v>
      </c>
      <c r="C39" s="96" t="n">
        <f aca="false">IFERROR(MATCH(2,$K$13:$K$20,0),0)</f>
        <v>0</v>
      </c>
      <c r="D39" s="97" t="str">
        <f aca="false">IF(C39=0,"(sin deuda)",INDEX($B$13:$B$20,C39))</f>
        <v>(sin deuda)</v>
      </c>
    </row>
    <row r="40" customFormat="false" ht="15" hidden="false" customHeight="false" outlineLevel="0" collapsed="false">
      <c r="B40" s="17" t="s">
        <v>380</v>
      </c>
      <c r="C40" s="98" t="n">
        <f aca="false">IF(C39=0,0,N(INDEX($I$13:$I$20,C39)))</f>
        <v>0</v>
      </c>
      <c r="E40" s="58" t="n">
        <f aca="false">D43*(1+$C$40)</f>
        <v>0</v>
      </c>
      <c r="F40" s="58" t="n">
        <f aca="false">E43*(1+$C$40)</f>
        <v>0</v>
      </c>
      <c r="G40" s="58" t="n">
        <f aca="false">F43*(1+$C$40)</f>
        <v>0</v>
      </c>
      <c r="H40" s="58" t="n">
        <f aca="false">G43*(1+$C$40)</f>
        <v>0</v>
      </c>
      <c r="I40" s="58" t="n">
        <f aca="false">H43*(1+$C$40)</f>
        <v>0</v>
      </c>
      <c r="J40" s="58" t="n">
        <f aca="false">I43*(1+$C$40)</f>
        <v>0</v>
      </c>
      <c r="K40" s="58" t="n">
        <f aca="false">J43*(1+$C$40)</f>
        <v>0</v>
      </c>
      <c r="L40" s="58" t="n">
        <f aca="false">K43*(1+$C$40)</f>
        <v>0</v>
      </c>
      <c r="M40" s="58" t="n">
        <f aca="false">L43*(1+$C$40)</f>
        <v>0</v>
      </c>
      <c r="N40" s="58" t="n">
        <f aca="false">M43*(1+$C$40)</f>
        <v>0</v>
      </c>
      <c r="O40" s="58" t="n">
        <f aca="false">N43*(1+$C$40)</f>
        <v>0</v>
      </c>
      <c r="P40" s="58" t="n">
        <f aca="false">O43*(1+$C$40)</f>
        <v>0</v>
      </c>
      <c r="Q40" s="58" t="n">
        <f aca="false">P43*(1+$C$40)</f>
        <v>0</v>
      </c>
      <c r="R40" s="58" t="n">
        <f aca="false">Q43*(1+$C$40)</f>
        <v>0</v>
      </c>
      <c r="S40" s="58" t="n">
        <f aca="false">R43*(1+$C$40)</f>
        <v>0</v>
      </c>
      <c r="T40" s="58" t="n">
        <f aca="false">S43*(1+$C$40)</f>
        <v>0</v>
      </c>
      <c r="U40" s="58" t="n">
        <f aca="false">T43*(1+$C$40)</f>
        <v>0</v>
      </c>
      <c r="V40" s="58" t="n">
        <f aca="false">U43*(1+$C$40)</f>
        <v>0</v>
      </c>
      <c r="W40" s="58" t="n">
        <f aca="false">V43*(1+$C$40)</f>
        <v>0</v>
      </c>
      <c r="X40" s="58" t="n">
        <f aca="false">W43*(1+$C$40)</f>
        <v>0</v>
      </c>
      <c r="Y40" s="58" t="n">
        <f aca="false">X43*(1+$C$40)</f>
        <v>0</v>
      </c>
      <c r="Z40" s="58" t="n">
        <f aca="false">Y43*(1+$C$40)</f>
        <v>0</v>
      </c>
      <c r="AA40" s="58" t="n">
        <f aca="false">Z43*(1+$C$40)</f>
        <v>0</v>
      </c>
      <c r="AB40" s="58" t="n">
        <f aca="false">AA43*(1+$C$40)</f>
        <v>0</v>
      </c>
      <c r="AC40" s="58" t="n">
        <f aca="false">AB43*(1+$C$40)</f>
        <v>0</v>
      </c>
      <c r="AD40" s="58" t="n">
        <f aca="false">AC43*(1+$C$40)</f>
        <v>0</v>
      </c>
      <c r="AE40" s="58" t="n">
        <f aca="false">AD43*(1+$C$40)</f>
        <v>0</v>
      </c>
      <c r="AF40" s="58" t="n">
        <f aca="false">AE43*(1+$C$40)</f>
        <v>0</v>
      </c>
      <c r="AG40" s="58" t="n">
        <f aca="false">AF43*(1+$C$40)</f>
        <v>0</v>
      </c>
      <c r="AH40" s="58" t="n">
        <f aca="false">AG43*(1+$C$40)</f>
        <v>0</v>
      </c>
      <c r="AI40" s="58" t="n">
        <f aca="false">AH43*(1+$C$40)</f>
        <v>0</v>
      </c>
      <c r="AJ40" s="58" t="n">
        <f aca="false">AI43*(1+$C$40)</f>
        <v>0</v>
      </c>
      <c r="AK40" s="58" t="n">
        <f aca="false">AJ43*(1+$C$40)</f>
        <v>0</v>
      </c>
      <c r="AL40" s="58" t="n">
        <f aca="false">AK43*(1+$C$40)</f>
        <v>0</v>
      </c>
      <c r="AM40" s="58" t="n">
        <f aca="false">AL43*(1+$C$40)</f>
        <v>0</v>
      </c>
      <c r="AN40" s="58" t="n">
        <f aca="false">AM43*(1+$C$40)</f>
        <v>0</v>
      </c>
      <c r="AO40" s="58" t="n">
        <f aca="false">AN43*(1+$C$40)</f>
        <v>0</v>
      </c>
      <c r="AP40" s="58" t="n">
        <f aca="false">AO43*(1+$C$40)</f>
        <v>0</v>
      </c>
      <c r="AQ40" s="58" t="n">
        <f aca="false">AP43*(1+$C$40)</f>
        <v>0</v>
      </c>
      <c r="AR40" s="58" t="n">
        <f aca="false">AQ43*(1+$C$40)</f>
        <v>0</v>
      </c>
      <c r="AS40" s="58" t="n">
        <f aca="false">AR43*(1+$C$40)</f>
        <v>0</v>
      </c>
      <c r="AT40" s="58" t="n">
        <f aca="false">AS43*(1+$C$40)</f>
        <v>0</v>
      </c>
      <c r="AU40" s="58" t="n">
        <f aca="false">AT43*(1+$C$40)</f>
        <v>0</v>
      </c>
      <c r="AV40" s="58" t="n">
        <f aca="false">AU43*(1+$C$40)</f>
        <v>0</v>
      </c>
      <c r="AW40" s="58" t="n">
        <f aca="false">AV43*(1+$C$40)</f>
        <v>0</v>
      </c>
      <c r="AX40" s="58" t="n">
        <f aca="false">AW43*(1+$C$40)</f>
        <v>0</v>
      </c>
      <c r="AY40" s="58" t="n">
        <f aca="false">AX43*(1+$C$40)</f>
        <v>0</v>
      </c>
      <c r="AZ40" s="58" t="n">
        <f aca="false">AY43*(1+$C$40)</f>
        <v>0</v>
      </c>
      <c r="BA40" s="58" t="n">
        <f aca="false">AZ43*(1+$C$40)</f>
        <v>0</v>
      </c>
      <c r="BB40" s="58" t="n">
        <f aca="false">BA43*(1+$C$40)</f>
        <v>0</v>
      </c>
      <c r="BC40" s="58" t="n">
        <f aca="false">BB43*(1+$C$40)</f>
        <v>0</v>
      </c>
      <c r="BD40" s="58" t="n">
        <f aca="false">BC43*(1+$C$40)</f>
        <v>0</v>
      </c>
      <c r="BE40" s="58" t="n">
        <f aca="false">BD43*(1+$C$40)</f>
        <v>0</v>
      </c>
      <c r="BF40" s="58" t="n">
        <f aca="false">BE43*(1+$C$40)</f>
        <v>0</v>
      </c>
      <c r="BG40" s="58" t="n">
        <f aca="false">BF43*(1+$C$40)</f>
        <v>0</v>
      </c>
      <c r="BH40" s="58" t="n">
        <f aca="false">BG43*(1+$C$40)</f>
        <v>0</v>
      </c>
      <c r="BI40" s="58" t="n">
        <f aca="false">BH43*(1+$C$40)</f>
        <v>0</v>
      </c>
      <c r="BJ40" s="58" t="n">
        <f aca="false">BI43*(1+$C$40)</f>
        <v>0</v>
      </c>
      <c r="BK40" s="58" t="n">
        <f aca="false">BJ43*(1+$C$40)</f>
        <v>0</v>
      </c>
      <c r="BL40" s="58" t="n">
        <f aca="false">BK43*(1+$C$40)</f>
        <v>0</v>
      </c>
      <c r="BM40" s="58" t="n">
        <f aca="false">BL43*(1+$C$40)</f>
        <v>0</v>
      </c>
      <c r="BN40" s="58" t="n">
        <f aca="false">BM43*(1+$C$40)</f>
        <v>0</v>
      </c>
      <c r="BO40" s="58" t="n">
        <f aca="false">BN43*(1+$C$40)</f>
        <v>0</v>
      </c>
      <c r="BP40" s="58" t="n">
        <f aca="false">BO43*(1+$C$40)</f>
        <v>0</v>
      </c>
      <c r="BQ40" s="58" t="n">
        <f aca="false">BP43*(1+$C$40)</f>
        <v>0</v>
      </c>
      <c r="BR40" s="58" t="n">
        <f aca="false">BQ43*(1+$C$40)</f>
        <v>0</v>
      </c>
      <c r="BS40" s="58" t="n">
        <f aca="false">BR43*(1+$C$40)</f>
        <v>0</v>
      </c>
      <c r="BT40" s="58" t="n">
        <f aca="false">BS43*(1+$C$40)</f>
        <v>0</v>
      </c>
      <c r="BU40" s="58" t="n">
        <f aca="false">BT43*(1+$C$40)</f>
        <v>0</v>
      </c>
      <c r="BV40" s="58" t="n">
        <f aca="false">BU43*(1+$C$40)</f>
        <v>0</v>
      </c>
      <c r="BW40" s="58" t="n">
        <f aca="false">BV43*(1+$C$40)</f>
        <v>0</v>
      </c>
      <c r="BX40" s="58" t="n">
        <f aca="false">BW43*(1+$C$40)</f>
        <v>0</v>
      </c>
      <c r="BY40" s="58" t="n">
        <f aca="false">BX43*(1+$C$40)</f>
        <v>0</v>
      </c>
      <c r="BZ40" s="58" t="n">
        <f aca="false">BY43*(1+$C$40)</f>
        <v>0</v>
      </c>
      <c r="CA40" s="58" t="n">
        <f aca="false">BZ43*(1+$C$40)</f>
        <v>0</v>
      </c>
      <c r="CB40" s="58" t="n">
        <f aca="false">CA43*(1+$C$40)</f>
        <v>0</v>
      </c>
      <c r="CC40" s="58" t="n">
        <f aca="false">CB43*(1+$C$40)</f>
        <v>0</v>
      </c>
      <c r="CD40" s="58" t="n">
        <f aca="false">CC43*(1+$C$40)</f>
        <v>0</v>
      </c>
      <c r="CE40" s="58" t="n">
        <f aca="false">CD43*(1+$C$40)</f>
        <v>0</v>
      </c>
      <c r="CF40" s="58" t="n">
        <f aca="false">CE43*(1+$C$40)</f>
        <v>0</v>
      </c>
      <c r="CG40" s="58" t="n">
        <f aca="false">CF43*(1+$C$40)</f>
        <v>0</v>
      </c>
      <c r="CH40" s="58" t="n">
        <f aca="false">CG43*(1+$C$40)</f>
        <v>0</v>
      </c>
      <c r="CI40" s="58" t="n">
        <f aca="false">CH43*(1+$C$40)</f>
        <v>0</v>
      </c>
      <c r="CJ40" s="58" t="n">
        <f aca="false">CI43*(1+$C$40)</f>
        <v>0</v>
      </c>
      <c r="CK40" s="58" t="n">
        <f aca="false">CJ43*(1+$C$40)</f>
        <v>0</v>
      </c>
      <c r="CL40" s="58" t="n">
        <f aca="false">CK43*(1+$C$40)</f>
        <v>0</v>
      </c>
      <c r="CM40" s="58" t="n">
        <f aca="false">CL43*(1+$C$40)</f>
        <v>0</v>
      </c>
      <c r="CN40" s="58" t="n">
        <f aca="false">CM43*(1+$C$40)</f>
        <v>0</v>
      </c>
      <c r="CO40" s="58" t="n">
        <f aca="false">CN43*(1+$C$40)</f>
        <v>0</v>
      </c>
      <c r="CP40" s="58" t="n">
        <f aca="false">CO43*(1+$C$40)</f>
        <v>0</v>
      </c>
      <c r="CQ40" s="58" t="n">
        <f aca="false">CP43*(1+$C$40)</f>
        <v>0</v>
      </c>
      <c r="CR40" s="58" t="n">
        <f aca="false">CQ43*(1+$C$40)</f>
        <v>0</v>
      </c>
      <c r="CS40" s="58" t="n">
        <f aca="false">CR43*(1+$C$40)</f>
        <v>0</v>
      </c>
      <c r="CT40" s="58" t="n">
        <f aca="false">CS43*(1+$C$40)</f>
        <v>0</v>
      </c>
      <c r="CU40" s="58" t="n">
        <f aca="false">CT43*(1+$C$40)</f>
        <v>0</v>
      </c>
      <c r="CV40" s="58" t="n">
        <f aca="false">CU43*(1+$C$40)</f>
        <v>0</v>
      </c>
      <c r="CW40" s="58" t="n">
        <f aca="false">CV43*(1+$C$40)</f>
        <v>0</v>
      </c>
      <c r="CX40" s="58" t="n">
        <f aca="false">CW43*(1+$C$40)</f>
        <v>0</v>
      </c>
      <c r="CY40" s="58" t="n">
        <f aca="false">CX43*(1+$C$40)</f>
        <v>0</v>
      </c>
      <c r="CZ40" s="58" t="n">
        <f aca="false">CY43*(1+$C$40)</f>
        <v>0</v>
      </c>
      <c r="DA40" s="58" t="n">
        <f aca="false">CZ43*(1+$C$40)</f>
        <v>0</v>
      </c>
      <c r="DB40" s="58" t="n">
        <f aca="false">DA43*(1+$C$40)</f>
        <v>0</v>
      </c>
      <c r="DC40" s="58" t="n">
        <f aca="false">DB43*(1+$C$40)</f>
        <v>0</v>
      </c>
      <c r="DD40" s="58" t="n">
        <f aca="false">DC43*(1+$C$40)</f>
        <v>0</v>
      </c>
      <c r="DE40" s="58" t="n">
        <f aca="false">DD43*(1+$C$40)</f>
        <v>0</v>
      </c>
      <c r="DF40" s="58" t="n">
        <f aca="false">DE43*(1+$C$40)</f>
        <v>0</v>
      </c>
      <c r="DG40" s="58" t="n">
        <f aca="false">DF43*(1+$C$40)</f>
        <v>0</v>
      </c>
      <c r="DH40" s="58" t="n">
        <f aca="false">DG43*(1+$C$40)</f>
        <v>0</v>
      </c>
      <c r="DI40" s="58" t="n">
        <f aca="false">DH43*(1+$C$40)</f>
        <v>0</v>
      </c>
      <c r="DJ40" s="58" t="n">
        <f aca="false">DI43*(1+$C$40)</f>
        <v>0</v>
      </c>
      <c r="DK40" s="58" t="n">
        <f aca="false">DJ43*(1+$C$40)</f>
        <v>0</v>
      </c>
      <c r="DL40" s="58" t="n">
        <f aca="false">DK43*(1+$C$40)</f>
        <v>0</v>
      </c>
      <c r="DM40" s="58" t="n">
        <f aca="false">DL43*(1+$C$40)</f>
        <v>0</v>
      </c>
      <c r="DN40" s="58" t="n">
        <f aca="false">DM43*(1+$C$40)</f>
        <v>0</v>
      </c>
      <c r="DO40" s="58" t="n">
        <f aca="false">DN43*(1+$C$40)</f>
        <v>0</v>
      </c>
      <c r="DP40" s="58" t="n">
        <f aca="false">DO43*(1+$C$40)</f>
        <v>0</v>
      </c>
      <c r="DQ40" s="58" t="n">
        <f aca="false">DP43*(1+$C$40)</f>
        <v>0</v>
      </c>
      <c r="DR40" s="58" t="n">
        <f aca="false">DQ43*(1+$C$40)</f>
        <v>0</v>
      </c>
      <c r="DS40" s="58" t="n">
        <f aca="false">DR43*(1+$C$40)</f>
        <v>0</v>
      </c>
      <c r="DT40" s="58" t="n">
        <f aca="false">DS43*(1+$C$40)</f>
        <v>0</v>
      </c>
    </row>
    <row r="41" customFormat="false" ht="15" hidden="false" customHeight="false" outlineLevel="0" collapsed="false">
      <c r="B41" s="17" t="s">
        <v>381</v>
      </c>
      <c r="C41" s="99" t="n">
        <f aca="false">IF(C39=0,0,N(INDEX($F$13:$F$20,C39)))</f>
        <v>0</v>
      </c>
      <c r="E41" s="58" t="n">
        <f aca="false">MIN($C$41,E40)</f>
        <v>0</v>
      </c>
      <c r="F41" s="58" t="n">
        <f aca="false">MIN($C$41,F40)</f>
        <v>0</v>
      </c>
      <c r="G41" s="58" t="n">
        <f aca="false">MIN($C$41,G40)</f>
        <v>0</v>
      </c>
      <c r="H41" s="58" t="n">
        <f aca="false">MIN($C$41,H40)</f>
        <v>0</v>
      </c>
      <c r="I41" s="58" t="n">
        <f aca="false">MIN($C$41,I40)</f>
        <v>0</v>
      </c>
      <c r="J41" s="58" t="n">
        <f aca="false">MIN($C$41,J40)</f>
        <v>0</v>
      </c>
      <c r="K41" s="58" t="n">
        <f aca="false">MIN($C$41,K40)</f>
        <v>0</v>
      </c>
      <c r="L41" s="58" t="n">
        <f aca="false">MIN($C$41,L40)</f>
        <v>0</v>
      </c>
      <c r="M41" s="58" t="n">
        <f aca="false">MIN($C$41,M40)</f>
        <v>0</v>
      </c>
      <c r="N41" s="58" t="n">
        <f aca="false">MIN($C$41,N40)</f>
        <v>0</v>
      </c>
      <c r="O41" s="58" t="n">
        <f aca="false">MIN($C$41,O40)</f>
        <v>0</v>
      </c>
      <c r="P41" s="58" t="n">
        <f aca="false">MIN($C$41,P40)</f>
        <v>0</v>
      </c>
      <c r="Q41" s="58" t="n">
        <f aca="false">MIN($C$41,Q40)</f>
        <v>0</v>
      </c>
      <c r="R41" s="58" t="n">
        <f aca="false">MIN($C$41,R40)</f>
        <v>0</v>
      </c>
      <c r="S41" s="58" t="n">
        <f aca="false">MIN($C$41,S40)</f>
        <v>0</v>
      </c>
      <c r="T41" s="58" t="n">
        <f aca="false">MIN($C$41,T40)</f>
        <v>0</v>
      </c>
      <c r="U41" s="58" t="n">
        <f aca="false">MIN($C$41,U40)</f>
        <v>0</v>
      </c>
      <c r="V41" s="58" t="n">
        <f aca="false">MIN($C$41,V40)</f>
        <v>0</v>
      </c>
      <c r="W41" s="58" t="n">
        <f aca="false">MIN($C$41,W40)</f>
        <v>0</v>
      </c>
      <c r="X41" s="58" t="n">
        <f aca="false">MIN($C$41,X40)</f>
        <v>0</v>
      </c>
      <c r="Y41" s="58" t="n">
        <f aca="false">MIN($C$41,Y40)</f>
        <v>0</v>
      </c>
      <c r="Z41" s="58" t="n">
        <f aca="false">MIN($C$41,Z40)</f>
        <v>0</v>
      </c>
      <c r="AA41" s="58" t="n">
        <f aca="false">MIN($C$41,AA40)</f>
        <v>0</v>
      </c>
      <c r="AB41" s="58" t="n">
        <f aca="false">MIN($C$41,AB40)</f>
        <v>0</v>
      </c>
      <c r="AC41" s="58" t="n">
        <f aca="false">MIN($C$41,AC40)</f>
        <v>0</v>
      </c>
      <c r="AD41" s="58" t="n">
        <f aca="false">MIN($C$41,AD40)</f>
        <v>0</v>
      </c>
      <c r="AE41" s="58" t="n">
        <f aca="false">MIN($C$41,AE40)</f>
        <v>0</v>
      </c>
      <c r="AF41" s="58" t="n">
        <f aca="false">MIN($C$41,AF40)</f>
        <v>0</v>
      </c>
      <c r="AG41" s="58" t="n">
        <f aca="false">MIN($C$41,AG40)</f>
        <v>0</v>
      </c>
      <c r="AH41" s="58" t="n">
        <f aca="false">MIN($C$41,AH40)</f>
        <v>0</v>
      </c>
      <c r="AI41" s="58" t="n">
        <f aca="false">MIN($C$41,AI40)</f>
        <v>0</v>
      </c>
      <c r="AJ41" s="58" t="n">
        <f aca="false">MIN($C$41,AJ40)</f>
        <v>0</v>
      </c>
      <c r="AK41" s="58" t="n">
        <f aca="false">MIN($C$41,AK40)</f>
        <v>0</v>
      </c>
      <c r="AL41" s="58" t="n">
        <f aca="false">MIN($C$41,AL40)</f>
        <v>0</v>
      </c>
      <c r="AM41" s="58" t="n">
        <f aca="false">MIN($C$41,AM40)</f>
        <v>0</v>
      </c>
      <c r="AN41" s="58" t="n">
        <f aca="false">MIN($C$41,AN40)</f>
        <v>0</v>
      </c>
      <c r="AO41" s="58" t="n">
        <f aca="false">MIN($C$41,AO40)</f>
        <v>0</v>
      </c>
      <c r="AP41" s="58" t="n">
        <f aca="false">MIN($C$41,AP40)</f>
        <v>0</v>
      </c>
      <c r="AQ41" s="58" t="n">
        <f aca="false">MIN($C$41,AQ40)</f>
        <v>0</v>
      </c>
      <c r="AR41" s="58" t="n">
        <f aca="false">MIN($C$41,AR40)</f>
        <v>0</v>
      </c>
      <c r="AS41" s="58" t="n">
        <f aca="false">MIN($C$41,AS40)</f>
        <v>0</v>
      </c>
      <c r="AT41" s="58" t="n">
        <f aca="false">MIN($C$41,AT40)</f>
        <v>0</v>
      </c>
      <c r="AU41" s="58" t="n">
        <f aca="false">MIN($C$41,AU40)</f>
        <v>0</v>
      </c>
      <c r="AV41" s="58" t="n">
        <f aca="false">MIN($C$41,AV40)</f>
        <v>0</v>
      </c>
      <c r="AW41" s="58" t="n">
        <f aca="false">MIN($C$41,AW40)</f>
        <v>0</v>
      </c>
      <c r="AX41" s="58" t="n">
        <f aca="false">MIN($C$41,AX40)</f>
        <v>0</v>
      </c>
      <c r="AY41" s="58" t="n">
        <f aca="false">MIN($C$41,AY40)</f>
        <v>0</v>
      </c>
      <c r="AZ41" s="58" t="n">
        <f aca="false">MIN($C$41,AZ40)</f>
        <v>0</v>
      </c>
      <c r="BA41" s="58" t="n">
        <f aca="false">MIN($C$41,BA40)</f>
        <v>0</v>
      </c>
      <c r="BB41" s="58" t="n">
        <f aca="false">MIN($C$41,BB40)</f>
        <v>0</v>
      </c>
      <c r="BC41" s="58" t="n">
        <f aca="false">MIN($C$41,BC40)</f>
        <v>0</v>
      </c>
      <c r="BD41" s="58" t="n">
        <f aca="false">MIN($C$41,BD40)</f>
        <v>0</v>
      </c>
      <c r="BE41" s="58" t="n">
        <f aca="false">MIN($C$41,BE40)</f>
        <v>0</v>
      </c>
      <c r="BF41" s="58" t="n">
        <f aca="false">MIN($C$41,BF40)</f>
        <v>0</v>
      </c>
      <c r="BG41" s="58" t="n">
        <f aca="false">MIN($C$41,BG40)</f>
        <v>0</v>
      </c>
      <c r="BH41" s="58" t="n">
        <f aca="false">MIN($C$41,BH40)</f>
        <v>0</v>
      </c>
      <c r="BI41" s="58" t="n">
        <f aca="false">MIN($C$41,BI40)</f>
        <v>0</v>
      </c>
      <c r="BJ41" s="58" t="n">
        <f aca="false">MIN($C$41,BJ40)</f>
        <v>0</v>
      </c>
      <c r="BK41" s="58" t="n">
        <f aca="false">MIN($C$41,BK40)</f>
        <v>0</v>
      </c>
      <c r="BL41" s="58" t="n">
        <f aca="false">MIN($C$41,BL40)</f>
        <v>0</v>
      </c>
      <c r="BM41" s="58" t="n">
        <f aca="false">MIN($C$41,BM40)</f>
        <v>0</v>
      </c>
      <c r="BN41" s="58" t="n">
        <f aca="false">MIN($C$41,BN40)</f>
        <v>0</v>
      </c>
      <c r="BO41" s="58" t="n">
        <f aca="false">MIN($C$41,BO40)</f>
        <v>0</v>
      </c>
      <c r="BP41" s="58" t="n">
        <f aca="false">MIN($C$41,BP40)</f>
        <v>0</v>
      </c>
      <c r="BQ41" s="58" t="n">
        <f aca="false">MIN($C$41,BQ40)</f>
        <v>0</v>
      </c>
      <c r="BR41" s="58" t="n">
        <f aca="false">MIN($C$41,BR40)</f>
        <v>0</v>
      </c>
      <c r="BS41" s="58" t="n">
        <f aca="false">MIN($C$41,BS40)</f>
        <v>0</v>
      </c>
      <c r="BT41" s="58" t="n">
        <f aca="false">MIN($C$41,BT40)</f>
        <v>0</v>
      </c>
      <c r="BU41" s="58" t="n">
        <f aca="false">MIN($C$41,BU40)</f>
        <v>0</v>
      </c>
      <c r="BV41" s="58" t="n">
        <f aca="false">MIN($C$41,BV40)</f>
        <v>0</v>
      </c>
      <c r="BW41" s="58" t="n">
        <f aca="false">MIN($C$41,BW40)</f>
        <v>0</v>
      </c>
      <c r="BX41" s="58" t="n">
        <f aca="false">MIN($C$41,BX40)</f>
        <v>0</v>
      </c>
      <c r="BY41" s="58" t="n">
        <f aca="false">MIN($C$41,BY40)</f>
        <v>0</v>
      </c>
      <c r="BZ41" s="58" t="n">
        <f aca="false">MIN($C$41,BZ40)</f>
        <v>0</v>
      </c>
      <c r="CA41" s="58" t="n">
        <f aca="false">MIN($C$41,CA40)</f>
        <v>0</v>
      </c>
      <c r="CB41" s="58" t="n">
        <f aca="false">MIN($C$41,CB40)</f>
        <v>0</v>
      </c>
      <c r="CC41" s="58" t="n">
        <f aca="false">MIN($C$41,CC40)</f>
        <v>0</v>
      </c>
      <c r="CD41" s="58" t="n">
        <f aca="false">MIN($C$41,CD40)</f>
        <v>0</v>
      </c>
      <c r="CE41" s="58" t="n">
        <f aca="false">MIN($C$41,CE40)</f>
        <v>0</v>
      </c>
      <c r="CF41" s="58" t="n">
        <f aca="false">MIN($C$41,CF40)</f>
        <v>0</v>
      </c>
      <c r="CG41" s="58" t="n">
        <f aca="false">MIN($C$41,CG40)</f>
        <v>0</v>
      </c>
      <c r="CH41" s="58" t="n">
        <f aca="false">MIN($C$41,CH40)</f>
        <v>0</v>
      </c>
      <c r="CI41" s="58" t="n">
        <f aca="false">MIN($C$41,CI40)</f>
        <v>0</v>
      </c>
      <c r="CJ41" s="58" t="n">
        <f aca="false">MIN($C$41,CJ40)</f>
        <v>0</v>
      </c>
      <c r="CK41" s="58" t="n">
        <f aca="false">MIN($C$41,CK40)</f>
        <v>0</v>
      </c>
      <c r="CL41" s="58" t="n">
        <f aca="false">MIN($C$41,CL40)</f>
        <v>0</v>
      </c>
      <c r="CM41" s="58" t="n">
        <f aca="false">MIN($C$41,CM40)</f>
        <v>0</v>
      </c>
      <c r="CN41" s="58" t="n">
        <f aca="false">MIN($C$41,CN40)</f>
        <v>0</v>
      </c>
      <c r="CO41" s="58" t="n">
        <f aca="false">MIN($C$41,CO40)</f>
        <v>0</v>
      </c>
      <c r="CP41" s="58" t="n">
        <f aca="false">MIN($C$41,CP40)</f>
        <v>0</v>
      </c>
      <c r="CQ41" s="58" t="n">
        <f aca="false">MIN($C$41,CQ40)</f>
        <v>0</v>
      </c>
      <c r="CR41" s="58" t="n">
        <f aca="false">MIN($C$41,CR40)</f>
        <v>0</v>
      </c>
      <c r="CS41" s="58" t="n">
        <f aca="false">MIN($C$41,CS40)</f>
        <v>0</v>
      </c>
      <c r="CT41" s="58" t="n">
        <f aca="false">MIN($C$41,CT40)</f>
        <v>0</v>
      </c>
      <c r="CU41" s="58" t="n">
        <f aca="false">MIN($C$41,CU40)</f>
        <v>0</v>
      </c>
      <c r="CV41" s="58" t="n">
        <f aca="false">MIN($C$41,CV40)</f>
        <v>0</v>
      </c>
      <c r="CW41" s="58" t="n">
        <f aca="false">MIN($C$41,CW40)</f>
        <v>0</v>
      </c>
      <c r="CX41" s="58" t="n">
        <f aca="false">MIN($C$41,CX40)</f>
        <v>0</v>
      </c>
      <c r="CY41" s="58" t="n">
        <f aca="false">MIN($C$41,CY40)</f>
        <v>0</v>
      </c>
      <c r="CZ41" s="58" t="n">
        <f aca="false">MIN($C$41,CZ40)</f>
        <v>0</v>
      </c>
      <c r="DA41" s="58" t="n">
        <f aca="false">MIN($C$41,DA40)</f>
        <v>0</v>
      </c>
      <c r="DB41" s="58" t="n">
        <f aca="false">MIN($C$41,DB40)</f>
        <v>0</v>
      </c>
      <c r="DC41" s="58" t="n">
        <f aca="false">MIN($C$41,DC40)</f>
        <v>0</v>
      </c>
      <c r="DD41" s="58" t="n">
        <f aca="false">MIN($C$41,DD40)</f>
        <v>0</v>
      </c>
      <c r="DE41" s="58" t="n">
        <f aca="false">MIN($C$41,DE40)</f>
        <v>0</v>
      </c>
      <c r="DF41" s="58" t="n">
        <f aca="false">MIN($C$41,DF40)</f>
        <v>0</v>
      </c>
      <c r="DG41" s="58" t="n">
        <f aca="false">MIN($C$41,DG40)</f>
        <v>0</v>
      </c>
      <c r="DH41" s="58" t="n">
        <f aca="false">MIN($C$41,DH40)</f>
        <v>0</v>
      </c>
      <c r="DI41" s="58" t="n">
        <f aca="false">MIN($C$41,DI40)</f>
        <v>0</v>
      </c>
      <c r="DJ41" s="58" t="n">
        <f aca="false">MIN($C$41,DJ40)</f>
        <v>0</v>
      </c>
      <c r="DK41" s="58" t="n">
        <f aca="false">MIN($C$41,DK40)</f>
        <v>0</v>
      </c>
      <c r="DL41" s="58" t="n">
        <f aca="false">MIN($C$41,DL40)</f>
        <v>0</v>
      </c>
      <c r="DM41" s="58" t="n">
        <f aca="false">MIN($C$41,DM40)</f>
        <v>0</v>
      </c>
      <c r="DN41" s="58" t="n">
        <f aca="false">MIN($C$41,DN40)</f>
        <v>0</v>
      </c>
      <c r="DO41" s="58" t="n">
        <f aca="false">MIN($C$41,DO40)</f>
        <v>0</v>
      </c>
      <c r="DP41" s="58" t="n">
        <f aca="false">MIN($C$41,DP40)</f>
        <v>0</v>
      </c>
      <c r="DQ41" s="58" t="n">
        <f aca="false">MIN($C$41,DQ40)</f>
        <v>0</v>
      </c>
      <c r="DR41" s="58" t="n">
        <f aca="false">MIN($C$41,DR40)</f>
        <v>0</v>
      </c>
      <c r="DS41" s="58" t="n">
        <f aca="false">MIN($C$41,DS40)</f>
        <v>0</v>
      </c>
      <c r="DT41" s="58" t="n">
        <f aca="false">MIN($C$41,DT40)</f>
        <v>0</v>
      </c>
    </row>
    <row r="42" customFormat="false" ht="15" hidden="false" customHeight="false" outlineLevel="0" collapsed="false">
      <c r="B42" s="17" t="s">
        <v>382</v>
      </c>
      <c r="C42" s="96" t="n">
        <f aca="false">IF(C39=0,0,IF(INDEX($G$13:$G$20,C39)="No",0,1))</f>
        <v>0</v>
      </c>
      <c r="D42" s="100" t="str">
        <f aca="false">IF(C39=0,"",IF(N(INDEX($H$13:$H$20,C39))=0,"",INDEX($H$13:$H$20,C39)))</f>
        <v/>
      </c>
      <c r="E42" s="58" t="n">
        <f aca="false">IF(AND($C$42=1,OR($D$42="",E$29&gt;=$D$42)),MAX(0,MIN(E40-E41,E$31-(E36))),0)</f>
        <v>0</v>
      </c>
      <c r="F42" s="58" t="n">
        <f aca="false">IF(AND($C$42=1,OR($D$42="",F$29&gt;=$D$42)),MAX(0,MIN(F40-F41,F$31-(F36))),0)</f>
        <v>0</v>
      </c>
      <c r="G42" s="58" t="n">
        <f aca="false">IF(AND($C$42=1,OR($D$42="",G$29&gt;=$D$42)),MAX(0,MIN(G40-G41,G$31-(G36))),0)</f>
        <v>0</v>
      </c>
      <c r="H42" s="58" t="n">
        <f aca="false">IF(AND($C$42=1,OR($D$42="",H$29&gt;=$D$42)),MAX(0,MIN(H40-H41,H$31-(H36))),0)</f>
        <v>0</v>
      </c>
      <c r="I42" s="58" t="n">
        <f aca="false">IF(AND($C$42=1,OR($D$42="",I$29&gt;=$D$42)),MAX(0,MIN(I40-I41,I$31-(I36))),0)</f>
        <v>0</v>
      </c>
      <c r="J42" s="58" t="n">
        <f aca="false">IF(AND($C$42=1,OR($D$42="",J$29&gt;=$D$42)),MAX(0,MIN(J40-J41,J$31-(J36))),0)</f>
        <v>0</v>
      </c>
      <c r="K42" s="58" t="n">
        <f aca="false">IF(AND($C$42=1,OR($D$42="",K$29&gt;=$D$42)),MAX(0,MIN(K40-K41,K$31-(K36))),0)</f>
        <v>0</v>
      </c>
      <c r="L42" s="58" t="n">
        <f aca="false">IF(AND($C$42=1,OR($D$42="",L$29&gt;=$D$42)),MAX(0,MIN(L40-L41,L$31-(L36))),0)</f>
        <v>0</v>
      </c>
      <c r="M42" s="58" t="n">
        <f aca="false">IF(AND($C$42=1,OR($D$42="",M$29&gt;=$D$42)),MAX(0,MIN(M40-M41,M$31-(M36))),0)</f>
        <v>0</v>
      </c>
      <c r="N42" s="58" t="n">
        <f aca="false">IF(AND($C$42=1,OR($D$42="",N$29&gt;=$D$42)),MAX(0,MIN(N40-N41,N$31-(N36))),0)</f>
        <v>0</v>
      </c>
      <c r="O42" s="58" t="n">
        <f aca="false">IF(AND($C$42=1,OR($D$42="",O$29&gt;=$D$42)),MAX(0,MIN(O40-O41,O$31-(O36))),0)</f>
        <v>0</v>
      </c>
      <c r="P42" s="58" t="n">
        <f aca="false">IF(AND($C$42=1,OR($D$42="",P$29&gt;=$D$42)),MAX(0,MIN(P40-P41,P$31-(P36))),0)</f>
        <v>0</v>
      </c>
      <c r="Q42" s="58" t="n">
        <f aca="false">IF(AND($C$42=1,OR($D$42="",Q$29&gt;=$D$42)),MAX(0,MIN(Q40-Q41,Q$31-(Q36))),0)</f>
        <v>0</v>
      </c>
      <c r="R42" s="58" t="n">
        <f aca="false">IF(AND($C$42=1,OR($D$42="",R$29&gt;=$D$42)),MAX(0,MIN(R40-R41,R$31-(R36))),0)</f>
        <v>0</v>
      </c>
      <c r="S42" s="58" t="n">
        <f aca="false">IF(AND($C$42=1,OR($D$42="",S$29&gt;=$D$42)),MAX(0,MIN(S40-S41,S$31-(S36))),0)</f>
        <v>0</v>
      </c>
      <c r="T42" s="58" t="n">
        <f aca="false">IF(AND($C$42=1,OR($D$42="",T$29&gt;=$D$42)),MAX(0,MIN(T40-T41,T$31-(T36))),0)</f>
        <v>0</v>
      </c>
      <c r="U42" s="58" t="n">
        <f aca="false">IF(AND($C$42=1,OR($D$42="",U$29&gt;=$D$42)),MAX(0,MIN(U40-U41,U$31-(U36))),0)</f>
        <v>0</v>
      </c>
      <c r="V42" s="58" t="n">
        <f aca="false">IF(AND($C$42=1,OR($D$42="",V$29&gt;=$D$42)),MAX(0,MIN(V40-V41,V$31-(V36))),0)</f>
        <v>0</v>
      </c>
      <c r="W42" s="58" t="n">
        <f aca="false">IF(AND($C$42=1,OR($D$42="",W$29&gt;=$D$42)),MAX(0,MIN(W40-W41,W$31-(W36))),0)</f>
        <v>0</v>
      </c>
      <c r="X42" s="58" t="n">
        <f aca="false">IF(AND($C$42=1,OR($D$42="",X$29&gt;=$D$42)),MAX(0,MIN(X40-X41,X$31-(X36))),0)</f>
        <v>0</v>
      </c>
      <c r="Y42" s="58" t="n">
        <f aca="false">IF(AND($C$42=1,OR($D$42="",Y$29&gt;=$D$42)),MAX(0,MIN(Y40-Y41,Y$31-(Y36))),0)</f>
        <v>0</v>
      </c>
      <c r="Z42" s="58" t="n">
        <f aca="false">IF(AND($C$42=1,OR($D$42="",Z$29&gt;=$D$42)),MAX(0,MIN(Z40-Z41,Z$31-(Z36))),0)</f>
        <v>0</v>
      </c>
      <c r="AA42" s="58" t="n">
        <f aca="false">IF(AND($C$42=1,OR($D$42="",AA$29&gt;=$D$42)),MAX(0,MIN(AA40-AA41,AA$31-(AA36))),0)</f>
        <v>0</v>
      </c>
      <c r="AB42" s="58" t="n">
        <f aca="false">IF(AND($C$42=1,OR($D$42="",AB$29&gt;=$D$42)),MAX(0,MIN(AB40-AB41,AB$31-(AB36))),0)</f>
        <v>0</v>
      </c>
      <c r="AC42" s="58" t="n">
        <f aca="false">IF(AND($C$42=1,OR($D$42="",AC$29&gt;=$D$42)),MAX(0,MIN(AC40-AC41,AC$31-(AC36))),0)</f>
        <v>0</v>
      </c>
      <c r="AD42" s="58" t="n">
        <f aca="false">IF(AND($C$42=1,OR($D$42="",AD$29&gt;=$D$42)),MAX(0,MIN(AD40-AD41,AD$31-(AD36))),0)</f>
        <v>0</v>
      </c>
      <c r="AE42" s="58" t="n">
        <f aca="false">IF(AND($C$42=1,OR($D$42="",AE$29&gt;=$D$42)),MAX(0,MIN(AE40-AE41,AE$31-(AE36))),0)</f>
        <v>0</v>
      </c>
      <c r="AF42" s="58" t="n">
        <f aca="false">IF(AND($C$42=1,OR($D$42="",AF$29&gt;=$D$42)),MAX(0,MIN(AF40-AF41,AF$31-(AF36))),0)</f>
        <v>0</v>
      </c>
      <c r="AG42" s="58" t="n">
        <f aca="false">IF(AND($C$42=1,OR($D$42="",AG$29&gt;=$D$42)),MAX(0,MIN(AG40-AG41,AG$31-(AG36))),0)</f>
        <v>0</v>
      </c>
      <c r="AH42" s="58" t="n">
        <f aca="false">IF(AND($C$42=1,OR($D$42="",AH$29&gt;=$D$42)),MAX(0,MIN(AH40-AH41,AH$31-(AH36))),0)</f>
        <v>0</v>
      </c>
      <c r="AI42" s="58" t="n">
        <f aca="false">IF(AND($C$42=1,OR($D$42="",AI$29&gt;=$D$42)),MAX(0,MIN(AI40-AI41,AI$31-(AI36))),0)</f>
        <v>0</v>
      </c>
      <c r="AJ42" s="58" t="n">
        <f aca="false">IF(AND($C$42=1,OR($D$42="",AJ$29&gt;=$D$42)),MAX(0,MIN(AJ40-AJ41,AJ$31-(AJ36))),0)</f>
        <v>0</v>
      </c>
      <c r="AK42" s="58" t="n">
        <f aca="false">IF(AND($C$42=1,OR($D$42="",AK$29&gt;=$D$42)),MAX(0,MIN(AK40-AK41,AK$31-(AK36))),0)</f>
        <v>0</v>
      </c>
      <c r="AL42" s="58" t="n">
        <f aca="false">IF(AND($C$42=1,OR($D$42="",AL$29&gt;=$D$42)),MAX(0,MIN(AL40-AL41,AL$31-(AL36))),0)</f>
        <v>0</v>
      </c>
      <c r="AM42" s="58" t="n">
        <f aca="false">IF(AND($C$42=1,OR($D$42="",AM$29&gt;=$D$42)),MAX(0,MIN(AM40-AM41,AM$31-(AM36))),0)</f>
        <v>0</v>
      </c>
      <c r="AN42" s="58" t="n">
        <f aca="false">IF(AND($C$42=1,OR($D$42="",AN$29&gt;=$D$42)),MAX(0,MIN(AN40-AN41,AN$31-(AN36))),0)</f>
        <v>0</v>
      </c>
      <c r="AO42" s="58" t="n">
        <f aca="false">IF(AND($C$42=1,OR($D$42="",AO$29&gt;=$D$42)),MAX(0,MIN(AO40-AO41,AO$31-(AO36))),0)</f>
        <v>0</v>
      </c>
      <c r="AP42" s="58" t="n">
        <f aca="false">IF(AND($C$42=1,OR($D$42="",AP$29&gt;=$D$42)),MAX(0,MIN(AP40-AP41,AP$31-(AP36))),0)</f>
        <v>0</v>
      </c>
      <c r="AQ42" s="58" t="n">
        <f aca="false">IF(AND($C$42=1,OR($D$42="",AQ$29&gt;=$D$42)),MAX(0,MIN(AQ40-AQ41,AQ$31-(AQ36))),0)</f>
        <v>0</v>
      </c>
      <c r="AR42" s="58" t="n">
        <f aca="false">IF(AND($C$42=1,OR($D$42="",AR$29&gt;=$D$42)),MAX(0,MIN(AR40-AR41,AR$31-(AR36))),0)</f>
        <v>0</v>
      </c>
      <c r="AS42" s="58" t="n">
        <f aca="false">IF(AND($C$42=1,OR($D$42="",AS$29&gt;=$D$42)),MAX(0,MIN(AS40-AS41,AS$31-(AS36))),0)</f>
        <v>0</v>
      </c>
      <c r="AT42" s="58" t="n">
        <f aca="false">IF(AND($C$42=1,OR($D$42="",AT$29&gt;=$D$42)),MAX(0,MIN(AT40-AT41,AT$31-(AT36))),0)</f>
        <v>0</v>
      </c>
      <c r="AU42" s="58" t="n">
        <f aca="false">IF(AND($C$42=1,OR($D$42="",AU$29&gt;=$D$42)),MAX(0,MIN(AU40-AU41,AU$31-(AU36))),0)</f>
        <v>0</v>
      </c>
      <c r="AV42" s="58" t="n">
        <f aca="false">IF(AND($C$42=1,OR($D$42="",AV$29&gt;=$D$42)),MAX(0,MIN(AV40-AV41,AV$31-(AV36))),0)</f>
        <v>0</v>
      </c>
      <c r="AW42" s="58" t="n">
        <f aca="false">IF(AND($C$42=1,OR($D$42="",AW$29&gt;=$D$42)),MAX(0,MIN(AW40-AW41,AW$31-(AW36))),0)</f>
        <v>0</v>
      </c>
      <c r="AX42" s="58" t="n">
        <f aca="false">IF(AND($C$42=1,OR($D$42="",AX$29&gt;=$D$42)),MAX(0,MIN(AX40-AX41,AX$31-(AX36))),0)</f>
        <v>0</v>
      </c>
      <c r="AY42" s="58" t="n">
        <f aca="false">IF(AND($C$42=1,OR($D$42="",AY$29&gt;=$D$42)),MAX(0,MIN(AY40-AY41,AY$31-(AY36))),0)</f>
        <v>0</v>
      </c>
      <c r="AZ42" s="58" t="n">
        <f aca="false">IF(AND($C$42=1,OR($D$42="",AZ$29&gt;=$D$42)),MAX(0,MIN(AZ40-AZ41,AZ$31-(AZ36))),0)</f>
        <v>0</v>
      </c>
      <c r="BA42" s="58" t="n">
        <f aca="false">IF(AND($C$42=1,OR($D$42="",BA$29&gt;=$D$42)),MAX(0,MIN(BA40-BA41,BA$31-(BA36))),0)</f>
        <v>0</v>
      </c>
      <c r="BB42" s="58" t="n">
        <f aca="false">IF(AND($C$42=1,OR($D$42="",BB$29&gt;=$D$42)),MAX(0,MIN(BB40-BB41,BB$31-(BB36))),0)</f>
        <v>0</v>
      </c>
      <c r="BC42" s="58" t="n">
        <f aca="false">IF(AND($C$42=1,OR($D$42="",BC$29&gt;=$D$42)),MAX(0,MIN(BC40-BC41,BC$31-(BC36))),0)</f>
        <v>0</v>
      </c>
      <c r="BD42" s="58" t="n">
        <f aca="false">IF(AND($C$42=1,OR($D$42="",BD$29&gt;=$D$42)),MAX(0,MIN(BD40-BD41,BD$31-(BD36))),0)</f>
        <v>0</v>
      </c>
      <c r="BE42" s="58" t="n">
        <f aca="false">IF(AND($C$42=1,OR($D$42="",BE$29&gt;=$D$42)),MAX(0,MIN(BE40-BE41,BE$31-(BE36))),0)</f>
        <v>0</v>
      </c>
      <c r="BF42" s="58" t="n">
        <f aca="false">IF(AND($C$42=1,OR($D$42="",BF$29&gt;=$D$42)),MAX(0,MIN(BF40-BF41,BF$31-(BF36))),0)</f>
        <v>0</v>
      </c>
      <c r="BG42" s="58" t="n">
        <f aca="false">IF(AND($C$42=1,OR($D$42="",BG$29&gt;=$D$42)),MAX(0,MIN(BG40-BG41,BG$31-(BG36))),0)</f>
        <v>0</v>
      </c>
      <c r="BH42" s="58" t="n">
        <f aca="false">IF(AND($C$42=1,OR($D$42="",BH$29&gt;=$D$42)),MAX(0,MIN(BH40-BH41,BH$31-(BH36))),0)</f>
        <v>0</v>
      </c>
      <c r="BI42" s="58" t="n">
        <f aca="false">IF(AND($C$42=1,OR($D$42="",BI$29&gt;=$D$42)),MAX(0,MIN(BI40-BI41,BI$31-(BI36))),0)</f>
        <v>0</v>
      </c>
      <c r="BJ42" s="58" t="n">
        <f aca="false">IF(AND($C$42=1,OR($D$42="",BJ$29&gt;=$D$42)),MAX(0,MIN(BJ40-BJ41,BJ$31-(BJ36))),0)</f>
        <v>0</v>
      </c>
      <c r="BK42" s="58" t="n">
        <f aca="false">IF(AND($C$42=1,OR($D$42="",BK$29&gt;=$D$42)),MAX(0,MIN(BK40-BK41,BK$31-(BK36))),0)</f>
        <v>0</v>
      </c>
      <c r="BL42" s="58" t="n">
        <f aca="false">IF(AND($C$42=1,OR($D$42="",BL$29&gt;=$D$42)),MAX(0,MIN(BL40-BL41,BL$31-(BL36))),0)</f>
        <v>0</v>
      </c>
      <c r="BM42" s="58" t="n">
        <f aca="false">IF(AND($C$42=1,OR($D$42="",BM$29&gt;=$D$42)),MAX(0,MIN(BM40-BM41,BM$31-(BM36))),0)</f>
        <v>0</v>
      </c>
      <c r="BN42" s="58" t="n">
        <f aca="false">IF(AND($C$42=1,OR($D$42="",BN$29&gt;=$D$42)),MAX(0,MIN(BN40-BN41,BN$31-(BN36))),0)</f>
        <v>0</v>
      </c>
      <c r="BO42" s="58" t="n">
        <f aca="false">IF(AND($C$42=1,OR($D$42="",BO$29&gt;=$D$42)),MAX(0,MIN(BO40-BO41,BO$31-(BO36))),0)</f>
        <v>0</v>
      </c>
      <c r="BP42" s="58" t="n">
        <f aca="false">IF(AND($C$42=1,OR($D$42="",BP$29&gt;=$D$42)),MAX(0,MIN(BP40-BP41,BP$31-(BP36))),0)</f>
        <v>0</v>
      </c>
      <c r="BQ42" s="58" t="n">
        <f aca="false">IF(AND($C$42=1,OR($D$42="",BQ$29&gt;=$D$42)),MAX(0,MIN(BQ40-BQ41,BQ$31-(BQ36))),0)</f>
        <v>0</v>
      </c>
      <c r="BR42" s="58" t="n">
        <f aca="false">IF(AND($C$42=1,OR($D$42="",BR$29&gt;=$D$42)),MAX(0,MIN(BR40-BR41,BR$31-(BR36))),0)</f>
        <v>0</v>
      </c>
      <c r="BS42" s="58" t="n">
        <f aca="false">IF(AND($C$42=1,OR($D$42="",BS$29&gt;=$D$42)),MAX(0,MIN(BS40-BS41,BS$31-(BS36))),0)</f>
        <v>0</v>
      </c>
      <c r="BT42" s="58" t="n">
        <f aca="false">IF(AND($C$42=1,OR($D$42="",BT$29&gt;=$D$42)),MAX(0,MIN(BT40-BT41,BT$31-(BT36))),0)</f>
        <v>0</v>
      </c>
      <c r="BU42" s="58" t="n">
        <f aca="false">IF(AND($C$42=1,OR($D$42="",BU$29&gt;=$D$42)),MAX(0,MIN(BU40-BU41,BU$31-(BU36))),0)</f>
        <v>0</v>
      </c>
      <c r="BV42" s="58" t="n">
        <f aca="false">IF(AND($C$42=1,OR($D$42="",BV$29&gt;=$D$42)),MAX(0,MIN(BV40-BV41,BV$31-(BV36))),0)</f>
        <v>0</v>
      </c>
      <c r="BW42" s="58" t="n">
        <f aca="false">IF(AND($C$42=1,OR($D$42="",BW$29&gt;=$D$42)),MAX(0,MIN(BW40-BW41,BW$31-(BW36))),0)</f>
        <v>0</v>
      </c>
      <c r="BX42" s="58" t="n">
        <f aca="false">IF(AND($C$42=1,OR($D$42="",BX$29&gt;=$D$42)),MAX(0,MIN(BX40-BX41,BX$31-(BX36))),0)</f>
        <v>0</v>
      </c>
      <c r="BY42" s="58" t="n">
        <f aca="false">IF(AND($C$42=1,OR($D$42="",BY$29&gt;=$D$42)),MAX(0,MIN(BY40-BY41,BY$31-(BY36))),0)</f>
        <v>0</v>
      </c>
      <c r="BZ42" s="58" t="n">
        <f aca="false">IF(AND($C$42=1,OR($D$42="",BZ$29&gt;=$D$42)),MAX(0,MIN(BZ40-BZ41,BZ$31-(BZ36))),0)</f>
        <v>0</v>
      </c>
      <c r="CA42" s="58" t="n">
        <f aca="false">IF(AND($C$42=1,OR($D$42="",CA$29&gt;=$D$42)),MAX(0,MIN(CA40-CA41,CA$31-(CA36))),0)</f>
        <v>0</v>
      </c>
      <c r="CB42" s="58" t="n">
        <f aca="false">IF(AND($C$42=1,OR($D$42="",CB$29&gt;=$D$42)),MAX(0,MIN(CB40-CB41,CB$31-(CB36))),0)</f>
        <v>0</v>
      </c>
      <c r="CC42" s="58" t="n">
        <f aca="false">IF(AND($C$42=1,OR($D$42="",CC$29&gt;=$D$42)),MAX(0,MIN(CC40-CC41,CC$31-(CC36))),0)</f>
        <v>0</v>
      </c>
      <c r="CD42" s="58" t="n">
        <f aca="false">IF(AND($C$42=1,OR($D$42="",CD$29&gt;=$D$42)),MAX(0,MIN(CD40-CD41,CD$31-(CD36))),0)</f>
        <v>0</v>
      </c>
      <c r="CE42" s="58" t="n">
        <f aca="false">IF(AND($C$42=1,OR($D$42="",CE$29&gt;=$D$42)),MAX(0,MIN(CE40-CE41,CE$31-(CE36))),0)</f>
        <v>0</v>
      </c>
      <c r="CF42" s="58" t="n">
        <f aca="false">IF(AND($C$42=1,OR($D$42="",CF$29&gt;=$D$42)),MAX(0,MIN(CF40-CF41,CF$31-(CF36))),0)</f>
        <v>0</v>
      </c>
      <c r="CG42" s="58" t="n">
        <f aca="false">IF(AND($C$42=1,OR($D$42="",CG$29&gt;=$D$42)),MAX(0,MIN(CG40-CG41,CG$31-(CG36))),0)</f>
        <v>0</v>
      </c>
      <c r="CH42" s="58" t="n">
        <f aca="false">IF(AND($C$42=1,OR($D$42="",CH$29&gt;=$D$42)),MAX(0,MIN(CH40-CH41,CH$31-(CH36))),0)</f>
        <v>0</v>
      </c>
      <c r="CI42" s="58" t="n">
        <f aca="false">IF(AND($C$42=1,OR($D$42="",CI$29&gt;=$D$42)),MAX(0,MIN(CI40-CI41,CI$31-(CI36))),0)</f>
        <v>0</v>
      </c>
      <c r="CJ42" s="58" t="n">
        <f aca="false">IF(AND($C$42=1,OR($D$42="",CJ$29&gt;=$D$42)),MAX(0,MIN(CJ40-CJ41,CJ$31-(CJ36))),0)</f>
        <v>0</v>
      </c>
      <c r="CK42" s="58" t="n">
        <f aca="false">IF(AND($C$42=1,OR($D$42="",CK$29&gt;=$D$42)),MAX(0,MIN(CK40-CK41,CK$31-(CK36))),0)</f>
        <v>0</v>
      </c>
      <c r="CL42" s="58" t="n">
        <f aca="false">IF(AND($C$42=1,OR($D$42="",CL$29&gt;=$D$42)),MAX(0,MIN(CL40-CL41,CL$31-(CL36))),0)</f>
        <v>0</v>
      </c>
      <c r="CM42" s="58" t="n">
        <f aca="false">IF(AND($C$42=1,OR($D$42="",CM$29&gt;=$D$42)),MAX(0,MIN(CM40-CM41,CM$31-(CM36))),0)</f>
        <v>0</v>
      </c>
      <c r="CN42" s="58" t="n">
        <f aca="false">IF(AND($C$42=1,OR($D$42="",CN$29&gt;=$D$42)),MAX(0,MIN(CN40-CN41,CN$31-(CN36))),0)</f>
        <v>0</v>
      </c>
      <c r="CO42" s="58" t="n">
        <f aca="false">IF(AND($C$42=1,OR($D$42="",CO$29&gt;=$D$42)),MAX(0,MIN(CO40-CO41,CO$31-(CO36))),0)</f>
        <v>0</v>
      </c>
      <c r="CP42" s="58" t="n">
        <f aca="false">IF(AND($C$42=1,OR($D$42="",CP$29&gt;=$D$42)),MAX(0,MIN(CP40-CP41,CP$31-(CP36))),0)</f>
        <v>0</v>
      </c>
      <c r="CQ42" s="58" t="n">
        <f aca="false">IF(AND($C$42=1,OR($D$42="",CQ$29&gt;=$D$42)),MAX(0,MIN(CQ40-CQ41,CQ$31-(CQ36))),0)</f>
        <v>0</v>
      </c>
      <c r="CR42" s="58" t="n">
        <f aca="false">IF(AND($C$42=1,OR($D$42="",CR$29&gt;=$D$42)),MAX(0,MIN(CR40-CR41,CR$31-(CR36))),0)</f>
        <v>0</v>
      </c>
      <c r="CS42" s="58" t="n">
        <f aca="false">IF(AND($C$42=1,OR($D$42="",CS$29&gt;=$D$42)),MAX(0,MIN(CS40-CS41,CS$31-(CS36))),0)</f>
        <v>0</v>
      </c>
      <c r="CT42" s="58" t="n">
        <f aca="false">IF(AND($C$42=1,OR($D$42="",CT$29&gt;=$D$42)),MAX(0,MIN(CT40-CT41,CT$31-(CT36))),0)</f>
        <v>0</v>
      </c>
      <c r="CU42" s="58" t="n">
        <f aca="false">IF(AND($C$42=1,OR($D$42="",CU$29&gt;=$D$42)),MAX(0,MIN(CU40-CU41,CU$31-(CU36))),0)</f>
        <v>0</v>
      </c>
      <c r="CV42" s="58" t="n">
        <f aca="false">IF(AND($C$42=1,OR($D$42="",CV$29&gt;=$D$42)),MAX(0,MIN(CV40-CV41,CV$31-(CV36))),0)</f>
        <v>0</v>
      </c>
      <c r="CW42" s="58" t="n">
        <f aca="false">IF(AND($C$42=1,OR($D$42="",CW$29&gt;=$D$42)),MAX(0,MIN(CW40-CW41,CW$31-(CW36))),0)</f>
        <v>0</v>
      </c>
      <c r="CX42" s="58" t="n">
        <f aca="false">IF(AND($C$42=1,OR($D$42="",CX$29&gt;=$D$42)),MAX(0,MIN(CX40-CX41,CX$31-(CX36))),0)</f>
        <v>0</v>
      </c>
      <c r="CY42" s="58" t="n">
        <f aca="false">IF(AND($C$42=1,OR($D$42="",CY$29&gt;=$D$42)),MAX(0,MIN(CY40-CY41,CY$31-(CY36))),0)</f>
        <v>0</v>
      </c>
      <c r="CZ42" s="58" t="n">
        <f aca="false">IF(AND($C$42=1,OR($D$42="",CZ$29&gt;=$D$42)),MAX(0,MIN(CZ40-CZ41,CZ$31-(CZ36))),0)</f>
        <v>0</v>
      </c>
      <c r="DA42" s="58" t="n">
        <f aca="false">IF(AND($C$42=1,OR($D$42="",DA$29&gt;=$D$42)),MAX(0,MIN(DA40-DA41,DA$31-(DA36))),0)</f>
        <v>0</v>
      </c>
      <c r="DB42" s="58" t="n">
        <f aca="false">IF(AND($C$42=1,OR($D$42="",DB$29&gt;=$D$42)),MAX(0,MIN(DB40-DB41,DB$31-(DB36))),0)</f>
        <v>0</v>
      </c>
      <c r="DC42" s="58" t="n">
        <f aca="false">IF(AND($C$42=1,OR($D$42="",DC$29&gt;=$D$42)),MAX(0,MIN(DC40-DC41,DC$31-(DC36))),0)</f>
        <v>0</v>
      </c>
      <c r="DD42" s="58" t="n">
        <f aca="false">IF(AND($C$42=1,OR($D$42="",DD$29&gt;=$D$42)),MAX(0,MIN(DD40-DD41,DD$31-(DD36))),0)</f>
        <v>0</v>
      </c>
      <c r="DE42" s="58" t="n">
        <f aca="false">IF(AND($C$42=1,OR($D$42="",DE$29&gt;=$D$42)),MAX(0,MIN(DE40-DE41,DE$31-(DE36))),0)</f>
        <v>0</v>
      </c>
      <c r="DF42" s="58" t="n">
        <f aca="false">IF(AND($C$42=1,OR($D$42="",DF$29&gt;=$D$42)),MAX(0,MIN(DF40-DF41,DF$31-(DF36))),0)</f>
        <v>0</v>
      </c>
      <c r="DG42" s="58" t="n">
        <f aca="false">IF(AND($C$42=1,OR($D$42="",DG$29&gt;=$D$42)),MAX(0,MIN(DG40-DG41,DG$31-(DG36))),0)</f>
        <v>0</v>
      </c>
      <c r="DH42" s="58" t="n">
        <f aca="false">IF(AND($C$42=1,OR($D$42="",DH$29&gt;=$D$42)),MAX(0,MIN(DH40-DH41,DH$31-(DH36))),0)</f>
        <v>0</v>
      </c>
      <c r="DI42" s="58" t="n">
        <f aca="false">IF(AND($C$42=1,OR($D$42="",DI$29&gt;=$D$42)),MAX(0,MIN(DI40-DI41,DI$31-(DI36))),0)</f>
        <v>0</v>
      </c>
      <c r="DJ42" s="58" t="n">
        <f aca="false">IF(AND($C$42=1,OR($D$42="",DJ$29&gt;=$D$42)),MAX(0,MIN(DJ40-DJ41,DJ$31-(DJ36))),0)</f>
        <v>0</v>
      </c>
      <c r="DK42" s="58" t="n">
        <f aca="false">IF(AND($C$42=1,OR($D$42="",DK$29&gt;=$D$42)),MAX(0,MIN(DK40-DK41,DK$31-(DK36))),0)</f>
        <v>0</v>
      </c>
      <c r="DL42" s="58" t="n">
        <f aca="false">IF(AND($C$42=1,OR($D$42="",DL$29&gt;=$D$42)),MAX(0,MIN(DL40-DL41,DL$31-(DL36))),0)</f>
        <v>0</v>
      </c>
      <c r="DM42" s="58" t="n">
        <f aca="false">IF(AND($C$42=1,OR($D$42="",DM$29&gt;=$D$42)),MAX(0,MIN(DM40-DM41,DM$31-(DM36))),0)</f>
        <v>0</v>
      </c>
      <c r="DN42" s="58" t="n">
        <f aca="false">IF(AND($C$42=1,OR($D$42="",DN$29&gt;=$D$42)),MAX(0,MIN(DN40-DN41,DN$31-(DN36))),0)</f>
        <v>0</v>
      </c>
      <c r="DO42" s="58" t="n">
        <f aca="false">IF(AND($C$42=1,OR($D$42="",DO$29&gt;=$D$42)),MAX(0,MIN(DO40-DO41,DO$31-(DO36))),0)</f>
        <v>0</v>
      </c>
      <c r="DP42" s="58" t="n">
        <f aca="false">IF(AND($C$42=1,OR($D$42="",DP$29&gt;=$D$42)),MAX(0,MIN(DP40-DP41,DP$31-(DP36))),0)</f>
        <v>0</v>
      </c>
      <c r="DQ42" s="58" t="n">
        <f aca="false">IF(AND($C$42=1,OR($D$42="",DQ$29&gt;=$D$42)),MAX(0,MIN(DQ40-DQ41,DQ$31-(DQ36))),0)</f>
        <v>0</v>
      </c>
      <c r="DR42" s="58" t="n">
        <f aca="false">IF(AND($C$42=1,OR($D$42="",DR$29&gt;=$D$42)),MAX(0,MIN(DR40-DR41,DR$31-(DR36))),0)</f>
        <v>0</v>
      </c>
      <c r="DS42" s="58" t="n">
        <f aca="false">IF(AND($C$42=1,OR($D$42="",DS$29&gt;=$D$42)),MAX(0,MIN(DS40-DS41,DS$31-(DS36))),0)</f>
        <v>0</v>
      </c>
      <c r="DT42" s="58" t="n">
        <f aca="false">IF(AND($C$42=1,OR($D$42="",DT$29&gt;=$D$42)),MAX(0,MIN(DT40-DT41,DT$31-(DT36))),0)</f>
        <v>0</v>
      </c>
    </row>
    <row r="43" customFormat="false" ht="15" hidden="false" customHeight="false" outlineLevel="0" collapsed="false">
      <c r="B43" s="24" t="s">
        <v>187</v>
      </c>
      <c r="C43" s="23" t="s">
        <v>383</v>
      </c>
      <c r="D43" s="89" t="n">
        <f aca="false">IF($C$44=0,D44,MAX(0,D44-MAX(0,$C$10-($D$38*$C$38))))</f>
        <v>0</v>
      </c>
      <c r="E43" s="89" t="n">
        <f aca="false">E40-E41-E42</f>
        <v>0</v>
      </c>
      <c r="F43" s="89" t="n">
        <f aca="false">F40-F41-F42</f>
        <v>0</v>
      </c>
      <c r="G43" s="89" t="n">
        <f aca="false">G40-G41-G42</f>
        <v>0</v>
      </c>
      <c r="H43" s="89" t="n">
        <f aca="false">H40-H41-H42</f>
        <v>0</v>
      </c>
      <c r="I43" s="89" t="n">
        <f aca="false">I40-I41-I42</f>
        <v>0</v>
      </c>
      <c r="J43" s="89" t="n">
        <f aca="false">J40-J41-J42</f>
        <v>0</v>
      </c>
      <c r="K43" s="89" t="n">
        <f aca="false">K40-K41-K42</f>
        <v>0</v>
      </c>
      <c r="L43" s="89" t="n">
        <f aca="false">L40-L41-L42</f>
        <v>0</v>
      </c>
      <c r="M43" s="89" t="n">
        <f aca="false">M40-M41-M42</f>
        <v>0</v>
      </c>
      <c r="N43" s="89" t="n">
        <f aca="false">N40-N41-N42</f>
        <v>0</v>
      </c>
      <c r="O43" s="89" t="n">
        <f aca="false">O40-O41-O42</f>
        <v>0</v>
      </c>
      <c r="P43" s="89" t="n">
        <f aca="false">P40-P41-P42</f>
        <v>0</v>
      </c>
      <c r="Q43" s="89" t="n">
        <f aca="false">Q40-Q41-Q42</f>
        <v>0</v>
      </c>
      <c r="R43" s="89" t="n">
        <f aca="false">R40-R41-R42</f>
        <v>0</v>
      </c>
      <c r="S43" s="89" t="n">
        <f aca="false">S40-S41-S42</f>
        <v>0</v>
      </c>
      <c r="T43" s="89" t="n">
        <f aca="false">T40-T41-T42</f>
        <v>0</v>
      </c>
      <c r="U43" s="89" t="n">
        <f aca="false">U40-U41-U42</f>
        <v>0</v>
      </c>
      <c r="V43" s="89" t="n">
        <f aca="false">V40-V41-V42</f>
        <v>0</v>
      </c>
      <c r="W43" s="89" t="n">
        <f aca="false">W40-W41-W42</f>
        <v>0</v>
      </c>
      <c r="X43" s="89" t="n">
        <f aca="false">X40-X41-X42</f>
        <v>0</v>
      </c>
      <c r="Y43" s="89" t="n">
        <f aca="false">Y40-Y41-Y42</f>
        <v>0</v>
      </c>
      <c r="Z43" s="89" t="n">
        <f aca="false">Z40-Z41-Z42</f>
        <v>0</v>
      </c>
      <c r="AA43" s="89" t="n">
        <f aca="false">AA40-AA41-AA42</f>
        <v>0</v>
      </c>
      <c r="AB43" s="89" t="n">
        <f aca="false">AB40-AB41-AB42</f>
        <v>0</v>
      </c>
      <c r="AC43" s="89" t="n">
        <f aca="false">AC40-AC41-AC42</f>
        <v>0</v>
      </c>
      <c r="AD43" s="89" t="n">
        <f aca="false">AD40-AD41-AD42</f>
        <v>0</v>
      </c>
      <c r="AE43" s="89" t="n">
        <f aca="false">AE40-AE41-AE42</f>
        <v>0</v>
      </c>
      <c r="AF43" s="89" t="n">
        <f aca="false">AF40-AF41-AF42</f>
        <v>0</v>
      </c>
      <c r="AG43" s="89" t="n">
        <f aca="false">AG40-AG41-AG42</f>
        <v>0</v>
      </c>
      <c r="AH43" s="89" t="n">
        <f aca="false">AH40-AH41-AH42</f>
        <v>0</v>
      </c>
      <c r="AI43" s="89" t="n">
        <f aca="false">AI40-AI41-AI42</f>
        <v>0</v>
      </c>
      <c r="AJ43" s="89" t="n">
        <f aca="false">AJ40-AJ41-AJ42</f>
        <v>0</v>
      </c>
      <c r="AK43" s="89" t="n">
        <f aca="false">AK40-AK41-AK42</f>
        <v>0</v>
      </c>
      <c r="AL43" s="89" t="n">
        <f aca="false">AL40-AL41-AL42</f>
        <v>0</v>
      </c>
      <c r="AM43" s="89" t="n">
        <f aca="false">AM40-AM41-AM42</f>
        <v>0</v>
      </c>
      <c r="AN43" s="89" t="n">
        <f aca="false">AN40-AN41-AN42</f>
        <v>0</v>
      </c>
      <c r="AO43" s="89" t="n">
        <f aca="false">AO40-AO41-AO42</f>
        <v>0</v>
      </c>
      <c r="AP43" s="89" t="n">
        <f aca="false">AP40-AP41-AP42</f>
        <v>0</v>
      </c>
      <c r="AQ43" s="89" t="n">
        <f aca="false">AQ40-AQ41-AQ42</f>
        <v>0</v>
      </c>
      <c r="AR43" s="89" t="n">
        <f aca="false">AR40-AR41-AR42</f>
        <v>0</v>
      </c>
      <c r="AS43" s="89" t="n">
        <f aca="false">AS40-AS41-AS42</f>
        <v>0</v>
      </c>
      <c r="AT43" s="89" t="n">
        <f aca="false">AT40-AT41-AT42</f>
        <v>0</v>
      </c>
      <c r="AU43" s="89" t="n">
        <f aca="false">AU40-AU41-AU42</f>
        <v>0</v>
      </c>
      <c r="AV43" s="89" t="n">
        <f aca="false">AV40-AV41-AV42</f>
        <v>0</v>
      </c>
      <c r="AW43" s="89" t="n">
        <f aca="false">AW40-AW41-AW42</f>
        <v>0</v>
      </c>
      <c r="AX43" s="89" t="n">
        <f aca="false">AX40-AX41-AX42</f>
        <v>0</v>
      </c>
      <c r="AY43" s="89" t="n">
        <f aca="false">AY40-AY41-AY42</f>
        <v>0</v>
      </c>
      <c r="AZ43" s="89" t="n">
        <f aca="false">AZ40-AZ41-AZ42</f>
        <v>0</v>
      </c>
      <c r="BA43" s="89" t="n">
        <f aca="false">BA40-BA41-BA42</f>
        <v>0</v>
      </c>
      <c r="BB43" s="89" t="n">
        <f aca="false">BB40-BB41-BB42</f>
        <v>0</v>
      </c>
      <c r="BC43" s="89" t="n">
        <f aca="false">BC40-BC41-BC42</f>
        <v>0</v>
      </c>
      <c r="BD43" s="89" t="n">
        <f aca="false">BD40-BD41-BD42</f>
        <v>0</v>
      </c>
      <c r="BE43" s="89" t="n">
        <f aca="false">BE40-BE41-BE42</f>
        <v>0</v>
      </c>
      <c r="BF43" s="89" t="n">
        <f aca="false">BF40-BF41-BF42</f>
        <v>0</v>
      </c>
      <c r="BG43" s="89" t="n">
        <f aca="false">BG40-BG41-BG42</f>
        <v>0</v>
      </c>
      <c r="BH43" s="89" t="n">
        <f aca="false">BH40-BH41-BH42</f>
        <v>0</v>
      </c>
      <c r="BI43" s="89" t="n">
        <f aca="false">BI40-BI41-BI42</f>
        <v>0</v>
      </c>
      <c r="BJ43" s="89" t="n">
        <f aca="false">BJ40-BJ41-BJ42</f>
        <v>0</v>
      </c>
      <c r="BK43" s="89" t="n">
        <f aca="false">BK40-BK41-BK42</f>
        <v>0</v>
      </c>
      <c r="BL43" s="89" t="n">
        <f aca="false">BL40-BL41-BL42</f>
        <v>0</v>
      </c>
      <c r="BM43" s="89" t="n">
        <f aca="false">BM40-BM41-BM42</f>
        <v>0</v>
      </c>
      <c r="BN43" s="89" t="n">
        <f aca="false">BN40-BN41-BN42</f>
        <v>0</v>
      </c>
      <c r="BO43" s="89" t="n">
        <f aca="false">BO40-BO41-BO42</f>
        <v>0</v>
      </c>
      <c r="BP43" s="89" t="n">
        <f aca="false">BP40-BP41-BP42</f>
        <v>0</v>
      </c>
      <c r="BQ43" s="89" t="n">
        <f aca="false">BQ40-BQ41-BQ42</f>
        <v>0</v>
      </c>
      <c r="BR43" s="89" t="n">
        <f aca="false">BR40-BR41-BR42</f>
        <v>0</v>
      </c>
      <c r="BS43" s="89" t="n">
        <f aca="false">BS40-BS41-BS42</f>
        <v>0</v>
      </c>
      <c r="BT43" s="89" t="n">
        <f aca="false">BT40-BT41-BT42</f>
        <v>0</v>
      </c>
      <c r="BU43" s="89" t="n">
        <f aca="false">BU40-BU41-BU42</f>
        <v>0</v>
      </c>
      <c r="BV43" s="89" t="n">
        <f aca="false">BV40-BV41-BV42</f>
        <v>0</v>
      </c>
      <c r="BW43" s="89" t="n">
        <f aca="false">BW40-BW41-BW42</f>
        <v>0</v>
      </c>
      <c r="BX43" s="89" t="n">
        <f aca="false">BX40-BX41-BX42</f>
        <v>0</v>
      </c>
      <c r="BY43" s="89" t="n">
        <f aca="false">BY40-BY41-BY42</f>
        <v>0</v>
      </c>
      <c r="BZ43" s="89" t="n">
        <f aca="false">BZ40-BZ41-BZ42</f>
        <v>0</v>
      </c>
      <c r="CA43" s="89" t="n">
        <f aca="false">CA40-CA41-CA42</f>
        <v>0</v>
      </c>
      <c r="CB43" s="89" t="n">
        <f aca="false">CB40-CB41-CB42</f>
        <v>0</v>
      </c>
      <c r="CC43" s="89" t="n">
        <f aca="false">CC40-CC41-CC42</f>
        <v>0</v>
      </c>
      <c r="CD43" s="89" t="n">
        <f aca="false">CD40-CD41-CD42</f>
        <v>0</v>
      </c>
      <c r="CE43" s="89" t="n">
        <f aca="false">CE40-CE41-CE42</f>
        <v>0</v>
      </c>
      <c r="CF43" s="89" t="n">
        <f aca="false">CF40-CF41-CF42</f>
        <v>0</v>
      </c>
      <c r="CG43" s="89" t="n">
        <f aca="false">CG40-CG41-CG42</f>
        <v>0</v>
      </c>
      <c r="CH43" s="89" t="n">
        <f aca="false">CH40-CH41-CH42</f>
        <v>0</v>
      </c>
      <c r="CI43" s="89" t="n">
        <f aca="false">CI40-CI41-CI42</f>
        <v>0</v>
      </c>
      <c r="CJ43" s="89" t="n">
        <f aca="false">CJ40-CJ41-CJ42</f>
        <v>0</v>
      </c>
      <c r="CK43" s="89" t="n">
        <f aca="false">CK40-CK41-CK42</f>
        <v>0</v>
      </c>
      <c r="CL43" s="89" t="n">
        <f aca="false">CL40-CL41-CL42</f>
        <v>0</v>
      </c>
      <c r="CM43" s="89" t="n">
        <f aca="false">CM40-CM41-CM42</f>
        <v>0</v>
      </c>
      <c r="CN43" s="89" t="n">
        <f aca="false">CN40-CN41-CN42</f>
        <v>0</v>
      </c>
      <c r="CO43" s="89" t="n">
        <f aca="false">CO40-CO41-CO42</f>
        <v>0</v>
      </c>
      <c r="CP43" s="89" t="n">
        <f aca="false">CP40-CP41-CP42</f>
        <v>0</v>
      </c>
      <c r="CQ43" s="89" t="n">
        <f aca="false">CQ40-CQ41-CQ42</f>
        <v>0</v>
      </c>
      <c r="CR43" s="89" t="n">
        <f aca="false">CR40-CR41-CR42</f>
        <v>0</v>
      </c>
      <c r="CS43" s="89" t="n">
        <f aca="false">CS40-CS41-CS42</f>
        <v>0</v>
      </c>
      <c r="CT43" s="89" t="n">
        <f aca="false">CT40-CT41-CT42</f>
        <v>0</v>
      </c>
      <c r="CU43" s="89" t="n">
        <f aca="false">CU40-CU41-CU42</f>
        <v>0</v>
      </c>
      <c r="CV43" s="89" t="n">
        <f aca="false">CV40-CV41-CV42</f>
        <v>0</v>
      </c>
      <c r="CW43" s="89" t="n">
        <f aca="false">CW40-CW41-CW42</f>
        <v>0</v>
      </c>
      <c r="CX43" s="89" t="n">
        <f aca="false">CX40-CX41-CX42</f>
        <v>0</v>
      </c>
      <c r="CY43" s="89" t="n">
        <f aca="false">CY40-CY41-CY42</f>
        <v>0</v>
      </c>
      <c r="CZ43" s="89" t="n">
        <f aca="false">CZ40-CZ41-CZ42</f>
        <v>0</v>
      </c>
      <c r="DA43" s="89" t="n">
        <f aca="false">DA40-DA41-DA42</f>
        <v>0</v>
      </c>
      <c r="DB43" s="89" t="n">
        <f aca="false">DB40-DB41-DB42</f>
        <v>0</v>
      </c>
      <c r="DC43" s="89" t="n">
        <f aca="false">DC40-DC41-DC42</f>
        <v>0</v>
      </c>
      <c r="DD43" s="89" t="n">
        <f aca="false">DD40-DD41-DD42</f>
        <v>0</v>
      </c>
      <c r="DE43" s="89" t="n">
        <f aca="false">DE40-DE41-DE42</f>
        <v>0</v>
      </c>
      <c r="DF43" s="89" t="n">
        <f aca="false">DF40-DF41-DF42</f>
        <v>0</v>
      </c>
      <c r="DG43" s="89" t="n">
        <f aca="false">DG40-DG41-DG42</f>
        <v>0</v>
      </c>
      <c r="DH43" s="89" t="n">
        <f aca="false">DH40-DH41-DH42</f>
        <v>0</v>
      </c>
      <c r="DI43" s="89" t="n">
        <f aca="false">DI40-DI41-DI42</f>
        <v>0</v>
      </c>
      <c r="DJ43" s="89" t="n">
        <f aca="false">DJ40-DJ41-DJ42</f>
        <v>0</v>
      </c>
      <c r="DK43" s="89" t="n">
        <f aca="false">DK40-DK41-DK42</f>
        <v>0</v>
      </c>
      <c r="DL43" s="89" t="n">
        <f aca="false">DL40-DL41-DL42</f>
        <v>0</v>
      </c>
      <c r="DM43" s="89" t="n">
        <f aca="false">DM40-DM41-DM42</f>
        <v>0</v>
      </c>
      <c r="DN43" s="89" t="n">
        <f aca="false">DN40-DN41-DN42</f>
        <v>0</v>
      </c>
      <c r="DO43" s="89" t="n">
        <f aca="false">DO40-DO41-DO42</f>
        <v>0</v>
      </c>
      <c r="DP43" s="89" t="n">
        <f aca="false">DP40-DP41-DP42</f>
        <v>0</v>
      </c>
      <c r="DQ43" s="89" t="n">
        <f aca="false">DQ40-DQ41-DQ42</f>
        <v>0</v>
      </c>
      <c r="DR43" s="89" t="n">
        <f aca="false">DR40-DR41-DR42</f>
        <v>0</v>
      </c>
      <c r="DS43" s="89" t="n">
        <f aca="false">DS40-DS41-DS42</f>
        <v>0</v>
      </c>
      <c r="DT43" s="89" t="n">
        <f aca="false">DT40-DT41-DT42</f>
        <v>0</v>
      </c>
    </row>
    <row r="44" customFormat="false" ht="15" hidden="false" customHeight="false" outlineLevel="0" collapsed="false">
      <c r="C44" s="96" t="n">
        <f aca="false">IF(AND(C42=1,OR(D42="",D42&lt;=$C$11)),1,0)</f>
        <v>0</v>
      </c>
      <c r="D44" s="99" t="n">
        <f aca="false">IF(C39=0,0,N(INDEX($D$13:$D$20,C39)))</f>
        <v>0</v>
      </c>
    </row>
    <row r="45" customFormat="false" ht="15" hidden="false" customHeight="false" outlineLevel="0" collapsed="false">
      <c r="B45" s="6" t="str">
        <f aca="false">"Orden 3: "&amp;D45</f>
        <v>Orden 3: (sin deuda)</v>
      </c>
      <c r="C45" s="96" t="n">
        <f aca="false">IFERROR(MATCH(3,$K$13:$K$20,0),0)</f>
        <v>0</v>
      </c>
      <c r="D45" s="97" t="str">
        <f aca="false">IF(C45=0,"(sin deuda)",INDEX($B$13:$B$20,C45))</f>
        <v>(sin deuda)</v>
      </c>
    </row>
    <row r="46" customFormat="false" ht="15" hidden="false" customHeight="false" outlineLevel="0" collapsed="false">
      <c r="B46" s="17" t="s">
        <v>380</v>
      </c>
      <c r="C46" s="98" t="n">
        <f aca="false">IF(C45=0,0,N(INDEX($I$13:$I$20,C45)))</f>
        <v>0</v>
      </c>
      <c r="E46" s="58" t="n">
        <f aca="false">D49*(1+$C$46)</f>
        <v>0</v>
      </c>
      <c r="F46" s="58" t="n">
        <f aca="false">E49*(1+$C$46)</f>
        <v>0</v>
      </c>
      <c r="G46" s="58" t="n">
        <f aca="false">F49*(1+$C$46)</f>
        <v>0</v>
      </c>
      <c r="H46" s="58" t="n">
        <f aca="false">G49*(1+$C$46)</f>
        <v>0</v>
      </c>
      <c r="I46" s="58" t="n">
        <f aca="false">H49*(1+$C$46)</f>
        <v>0</v>
      </c>
      <c r="J46" s="58" t="n">
        <f aca="false">I49*(1+$C$46)</f>
        <v>0</v>
      </c>
      <c r="K46" s="58" t="n">
        <f aca="false">J49*(1+$C$46)</f>
        <v>0</v>
      </c>
      <c r="L46" s="58" t="n">
        <f aca="false">K49*(1+$C$46)</f>
        <v>0</v>
      </c>
      <c r="M46" s="58" t="n">
        <f aca="false">L49*(1+$C$46)</f>
        <v>0</v>
      </c>
      <c r="N46" s="58" t="n">
        <f aca="false">M49*(1+$C$46)</f>
        <v>0</v>
      </c>
      <c r="O46" s="58" t="n">
        <f aca="false">N49*(1+$C$46)</f>
        <v>0</v>
      </c>
      <c r="P46" s="58" t="n">
        <f aca="false">O49*(1+$C$46)</f>
        <v>0</v>
      </c>
      <c r="Q46" s="58" t="n">
        <f aca="false">P49*(1+$C$46)</f>
        <v>0</v>
      </c>
      <c r="R46" s="58" t="n">
        <f aca="false">Q49*(1+$C$46)</f>
        <v>0</v>
      </c>
      <c r="S46" s="58" t="n">
        <f aca="false">R49*(1+$C$46)</f>
        <v>0</v>
      </c>
      <c r="T46" s="58" t="n">
        <f aca="false">S49*(1+$C$46)</f>
        <v>0</v>
      </c>
      <c r="U46" s="58" t="n">
        <f aca="false">T49*(1+$C$46)</f>
        <v>0</v>
      </c>
      <c r="V46" s="58" t="n">
        <f aca="false">U49*(1+$C$46)</f>
        <v>0</v>
      </c>
      <c r="W46" s="58" t="n">
        <f aca="false">V49*(1+$C$46)</f>
        <v>0</v>
      </c>
      <c r="X46" s="58" t="n">
        <f aca="false">W49*(1+$C$46)</f>
        <v>0</v>
      </c>
      <c r="Y46" s="58" t="n">
        <f aca="false">X49*(1+$C$46)</f>
        <v>0</v>
      </c>
      <c r="Z46" s="58" t="n">
        <f aca="false">Y49*(1+$C$46)</f>
        <v>0</v>
      </c>
      <c r="AA46" s="58" t="n">
        <f aca="false">Z49*(1+$C$46)</f>
        <v>0</v>
      </c>
      <c r="AB46" s="58" t="n">
        <f aca="false">AA49*(1+$C$46)</f>
        <v>0</v>
      </c>
      <c r="AC46" s="58" t="n">
        <f aca="false">AB49*(1+$C$46)</f>
        <v>0</v>
      </c>
      <c r="AD46" s="58" t="n">
        <f aca="false">AC49*(1+$C$46)</f>
        <v>0</v>
      </c>
      <c r="AE46" s="58" t="n">
        <f aca="false">AD49*(1+$C$46)</f>
        <v>0</v>
      </c>
      <c r="AF46" s="58" t="n">
        <f aca="false">AE49*(1+$C$46)</f>
        <v>0</v>
      </c>
      <c r="AG46" s="58" t="n">
        <f aca="false">AF49*(1+$C$46)</f>
        <v>0</v>
      </c>
      <c r="AH46" s="58" t="n">
        <f aca="false">AG49*(1+$C$46)</f>
        <v>0</v>
      </c>
      <c r="AI46" s="58" t="n">
        <f aca="false">AH49*(1+$C$46)</f>
        <v>0</v>
      </c>
      <c r="AJ46" s="58" t="n">
        <f aca="false">AI49*(1+$C$46)</f>
        <v>0</v>
      </c>
      <c r="AK46" s="58" t="n">
        <f aca="false">AJ49*(1+$C$46)</f>
        <v>0</v>
      </c>
      <c r="AL46" s="58" t="n">
        <f aca="false">AK49*(1+$C$46)</f>
        <v>0</v>
      </c>
      <c r="AM46" s="58" t="n">
        <f aca="false">AL49*(1+$C$46)</f>
        <v>0</v>
      </c>
      <c r="AN46" s="58" t="n">
        <f aca="false">AM49*(1+$C$46)</f>
        <v>0</v>
      </c>
      <c r="AO46" s="58" t="n">
        <f aca="false">AN49*(1+$C$46)</f>
        <v>0</v>
      </c>
      <c r="AP46" s="58" t="n">
        <f aca="false">AO49*(1+$C$46)</f>
        <v>0</v>
      </c>
      <c r="AQ46" s="58" t="n">
        <f aca="false">AP49*(1+$C$46)</f>
        <v>0</v>
      </c>
      <c r="AR46" s="58" t="n">
        <f aca="false">AQ49*(1+$C$46)</f>
        <v>0</v>
      </c>
      <c r="AS46" s="58" t="n">
        <f aca="false">AR49*(1+$C$46)</f>
        <v>0</v>
      </c>
      <c r="AT46" s="58" t="n">
        <f aca="false">AS49*(1+$C$46)</f>
        <v>0</v>
      </c>
      <c r="AU46" s="58" t="n">
        <f aca="false">AT49*(1+$C$46)</f>
        <v>0</v>
      </c>
      <c r="AV46" s="58" t="n">
        <f aca="false">AU49*(1+$C$46)</f>
        <v>0</v>
      </c>
      <c r="AW46" s="58" t="n">
        <f aca="false">AV49*(1+$C$46)</f>
        <v>0</v>
      </c>
      <c r="AX46" s="58" t="n">
        <f aca="false">AW49*(1+$C$46)</f>
        <v>0</v>
      </c>
      <c r="AY46" s="58" t="n">
        <f aca="false">AX49*(1+$C$46)</f>
        <v>0</v>
      </c>
      <c r="AZ46" s="58" t="n">
        <f aca="false">AY49*(1+$C$46)</f>
        <v>0</v>
      </c>
      <c r="BA46" s="58" t="n">
        <f aca="false">AZ49*(1+$C$46)</f>
        <v>0</v>
      </c>
      <c r="BB46" s="58" t="n">
        <f aca="false">BA49*(1+$C$46)</f>
        <v>0</v>
      </c>
      <c r="BC46" s="58" t="n">
        <f aca="false">BB49*(1+$C$46)</f>
        <v>0</v>
      </c>
      <c r="BD46" s="58" t="n">
        <f aca="false">BC49*(1+$C$46)</f>
        <v>0</v>
      </c>
      <c r="BE46" s="58" t="n">
        <f aca="false">BD49*(1+$C$46)</f>
        <v>0</v>
      </c>
      <c r="BF46" s="58" t="n">
        <f aca="false">BE49*(1+$C$46)</f>
        <v>0</v>
      </c>
      <c r="BG46" s="58" t="n">
        <f aca="false">BF49*(1+$C$46)</f>
        <v>0</v>
      </c>
      <c r="BH46" s="58" t="n">
        <f aca="false">BG49*(1+$C$46)</f>
        <v>0</v>
      </c>
      <c r="BI46" s="58" t="n">
        <f aca="false">BH49*(1+$C$46)</f>
        <v>0</v>
      </c>
      <c r="BJ46" s="58" t="n">
        <f aca="false">BI49*(1+$C$46)</f>
        <v>0</v>
      </c>
      <c r="BK46" s="58" t="n">
        <f aca="false">BJ49*(1+$C$46)</f>
        <v>0</v>
      </c>
      <c r="BL46" s="58" t="n">
        <f aca="false">BK49*(1+$C$46)</f>
        <v>0</v>
      </c>
      <c r="BM46" s="58" t="n">
        <f aca="false">BL49*(1+$C$46)</f>
        <v>0</v>
      </c>
      <c r="BN46" s="58" t="n">
        <f aca="false">BM49*(1+$C$46)</f>
        <v>0</v>
      </c>
      <c r="BO46" s="58" t="n">
        <f aca="false">BN49*(1+$C$46)</f>
        <v>0</v>
      </c>
      <c r="BP46" s="58" t="n">
        <f aca="false">BO49*(1+$C$46)</f>
        <v>0</v>
      </c>
      <c r="BQ46" s="58" t="n">
        <f aca="false">BP49*(1+$C$46)</f>
        <v>0</v>
      </c>
      <c r="BR46" s="58" t="n">
        <f aca="false">BQ49*(1+$C$46)</f>
        <v>0</v>
      </c>
      <c r="BS46" s="58" t="n">
        <f aca="false">BR49*(1+$C$46)</f>
        <v>0</v>
      </c>
      <c r="BT46" s="58" t="n">
        <f aca="false">BS49*(1+$C$46)</f>
        <v>0</v>
      </c>
      <c r="BU46" s="58" t="n">
        <f aca="false">BT49*(1+$C$46)</f>
        <v>0</v>
      </c>
      <c r="BV46" s="58" t="n">
        <f aca="false">BU49*(1+$C$46)</f>
        <v>0</v>
      </c>
      <c r="BW46" s="58" t="n">
        <f aca="false">BV49*(1+$C$46)</f>
        <v>0</v>
      </c>
      <c r="BX46" s="58" t="n">
        <f aca="false">BW49*(1+$C$46)</f>
        <v>0</v>
      </c>
      <c r="BY46" s="58" t="n">
        <f aca="false">BX49*(1+$C$46)</f>
        <v>0</v>
      </c>
      <c r="BZ46" s="58" t="n">
        <f aca="false">BY49*(1+$C$46)</f>
        <v>0</v>
      </c>
      <c r="CA46" s="58" t="n">
        <f aca="false">BZ49*(1+$C$46)</f>
        <v>0</v>
      </c>
      <c r="CB46" s="58" t="n">
        <f aca="false">CA49*(1+$C$46)</f>
        <v>0</v>
      </c>
      <c r="CC46" s="58" t="n">
        <f aca="false">CB49*(1+$C$46)</f>
        <v>0</v>
      </c>
      <c r="CD46" s="58" t="n">
        <f aca="false">CC49*(1+$C$46)</f>
        <v>0</v>
      </c>
      <c r="CE46" s="58" t="n">
        <f aca="false">CD49*(1+$C$46)</f>
        <v>0</v>
      </c>
      <c r="CF46" s="58" t="n">
        <f aca="false">CE49*(1+$C$46)</f>
        <v>0</v>
      </c>
      <c r="CG46" s="58" t="n">
        <f aca="false">CF49*(1+$C$46)</f>
        <v>0</v>
      </c>
      <c r="CH46" s="58" t="n">
        <f aca="false">CG49*(1+$C$46)</f>
        <v>0</v>
      </c>
      <c r="CI46" s="58" t="n">
        <f aca="false">CH49*(1+$C$46)</f>
        <v>0</v>
      </c>
      <c r="CJ46" s="58" t="n">
        <f aca="false">CI49*(1+$C$46)</f>
        <v>0</v>
      </c>
      <c r="CK46" s="58" t="n">
        <f aca="false">CJ49*(1+$C$46)</f>
        <v>0</v>
      </c>
      <c r="CL46" s="58" t="n">
        <f aca="false">CK49*(1+$C$46)</f>
        <v>0</v>
      </c>
      <c r="CM46" s="58" t="n">
        <f aca="false">CL49*(1+$C$46)</f>
        <v>0</v>
      </c>
      <c r="CN46" s="58" t="n">
        <f aca="false">CM49*(1+$C$46)</f>
        <v>0</v>
      </c>
      <c r="CO46" s="58" t="n">
        <f aca="false">CN49*(1+$C$46)</f>
        <v>0</v>
      </c>
      <c r="CP46" s="58" t="n">
        <f aca="false">CO49*(1+$C$46)</f>
        <v>0</v>
      </c>
      <c r="CQ46" s="58" t="n">
        <f aca="false">CP49*(1+$C$46)</f>
        <v>0</v>
      </c>
      <c r="CR46" s="58" t="n">
        <f aca="false">CQ49*(1+$C$46)</f>
        <v>0</v>
      </c>
      <c r="CS46" s="58" t="n">
        <f aca="false">CR49*(1+$C$46)</f>
        <v>0</v>
      </c>
      <c r="CT46" s="58" t="n">
        <f aca="false">CS49*(1+$C$46)</f>
        <v>0</v>
      </c>
      <c r="CU46" s="58" t="n">
        <f aca="false">CT49*(1+$C$46)</f>
        <v>0</v>
      </c>
      <c r="CV46" s="58" t="n">
        <f aca="false">CU49*(1+$C$46)</f>
        <v>0</v>
      </c>
      <c r="CW46" s="58" t="n">
        <f aca="false">CV49*(1+$C$46)</f>
        <v>0</v>
      </c>
      <c r="CX46" s="58" t="n">
        <f aca="false">CW49*(1+$C$46)</f>
        <v>0</v>
      </c>
      <c r="CY46" s="58" t="n">
        <f aca="false">CX49*(1+$C$46)</f>
        <v>0</v>
      </c>
      <c r="CZ46" s="58" t="n">
        <f aca="false">CY49*(1+$C$46)</f>
        <v>0</v>
      </c>
      <c r="DA46" s="58" t="n">
        <f aca="false">CZ49*(1+$C$46)</f>
        <v>0</v>
      </c>
      <c r="DB46" s="58" t="n">
        <f aca="false">DA49*(1+$C$46)</f>
        <v>0</v>
      </c>
      <c r="DC46" s="58" t="n">
        <f aca="false">DB49*(1+$C$46)</f>
        <v>0</v>
      </c>
      <c r="DD46" s="58" t="n">
        <f aca="false">DC49*(1+$C$46)</f>
        <v>0</v>
      </c>
      <c r="DE46" s="58" t="n">
        <f aca="false">DD49*(1+$C$46)</f>
        <v>0</v>
      </c>
      <c r="DF46" s="58" t="n">
        <f aca="false">DE49*(1+$C$46)</f>
        <v>0</v>
      </c>
      <c r="DG46" s="58" t="n">
        <f aca="false">DF49*(1+$C$46)</f>
        <v>0</v>
      </c>
      <c r="DH46" s="58" t="n">
        <f aca="false">DG49*(1+$C$46)</f>
        <v>0</v>
      </c>
      <c r="DI46" s="58" t="n">
        <f aca="false">DH49*(1+$C$46)</f>
        <v>0</v>
      </c>
      <c r="DJ46" s="58" t="n">
        <f aca="false">DI49*(1+$C$46)</f>
        <v>0</v>
      </c>
      <c r="DK46" s="58" t="n">
        <f aca="false">DJ49*(1+$C$46)</f>
        <v>0</v>
      </c>
      <c r="DL46" s="58" t="n">
        <f aca="false">DK49*(1+$C$46)</f>
        <v>0</v>
      </c>
      <c r="DM46" s="58" t="n">
        <f aca="false">DL49*(1+$C$46)</f>
        <v>0</v>
      </c>
      <c r="DN46" s="58" t="n">
        <f aca="false">DM49*(1+$C$46)</f>
        <v>0</v>
      </c>
      <c r="DO46" s="58" t="n">
        <f aca="false">DN49*(1+$C$46)</f>
        <v>0</v>
      </c>
      <c r="DP46" s="58" t="n">
        <f aca="false">DO49*(1+$C$46)</f>
        <v>0</v>
      </c>
      <c r="DQ46" s="58" t="n">
        <f aca="false">DP49*(1+$C$46)</f>
        <v>0</v>
      </c>
      <c r="DR46" s="58" t="n">
        <f aca="false">DQ49*(1+$C$46)</f>
        <v>0</v>
      </c>
      <c r="DS46" s="58" t="n">
        <f aca="false">DR49*(1+$C$46)</f>
        <v>0</v>
      </c>
      <c r="DT46" s="58" t="n">
        <f aca="false">DS49*(1+$C$46)</f>
        <v>0</v>
      </c>
    </row>
    <row r="47" customFormat="false" ht="15" hidden="false" customHeight="false" outlineLevel="0" collapsed="false">
      <c r="B47" s="17" t="s">
        <v>381</v>
      </c>
      <c r="C47" s="99" t="n">
        <f aca="false">IF(C45=0,0,N(INDEX($F$13:$F$20,C45)))</f>
        <v>0</v>
      </c>
      <c r="E47" s="58" t="n">
        <f aca="false">MIN($C$47,E46)</f>
        <v>0</v>
      </c>
      <c r="F47" s="58" t="n">
        <f aca="false">MIN($C$47,F46)</f>
        <v>0</v>
      </c>
      <c r="G47" s="58" t="n">
        <f aca="false">MIN($C$47,G46)</f>
        <v>0</v>
      </c>
      <c r="H47" s="58" t="n">
        <f aca="false">MIN($C$47,H46)</f>
        <v>0</v>
      </c>
      <c r="I47" s="58" t="n">
        <f aca="false">MIN($C$47,I46)</f>
        <v>0</v>
      </c>
      <c r="J47" s="58" t="n">
        <f aca="false">MIN($C$47,J46)</f>
        <v>0</v>
      </c>
      <c r="K47" s="58" t="n">
        <f aca="false">MIN($C$47,K46)</f>
        <v>0</v>
      </c>
      <c r="L47" s="58" t="n">
        <f aca="false">MIN($C$47,L46)</f>
        <v>0</v>
      </c>
      <c r="M47" s="58" t="n">
        <f aca="false">MIN($C$47,M46)</f>
        <v>0</v>
      </c>
      <c r="N47" s="58" t="n">
        <f aca="false">MIN($C$47,N46)</f>
        <v>0</v>
      </c>
      <c r="O47" s="58" t="n">
        <f aca="false">MIN($C$47,O46)</f>
        <v>0</v>
      </c>
      <c r="P47" s="58" t="n">
        <f aca="false">MIN($C$47,P46)</f>
        <v>0</v>
      </c>
      <c r="Q47" s="58" t="n">
        <f aca="false">MIN($C$47,Q46)</f>
        <v>0</v>
      </c>
      <c r="R47" s="58" t="n">
        <f aca="false">MIN($C$47,R46)</f>
        <v>0</v>
      </c>
      <c r="S47" s="58" t="n">
        <f aca="false">MIN($C$47,S46)</f>
        <v>0</v>
      </c>
      <c r="T47" s="58" t="n">
        <f aca="false">MIN($C$47,T46)</f>
        <v>0</v>
      </c>
      <c r="U47" s="58" t="n">
        <f aca="false">MIN($C$47,U46)</f>
        <v>0</v>
      </c>
      <c r="V47" s="58" t="n">
        <f aca="false">MIN($C$47,V46)</f>
        <v>0</v>
      </c>
      <c r="W47" s="58" t="n">
        <f aca="false">MIN($C$47,W46)</f>
        <v>0</v>
      </c>
      <c r="X47" s="58" t="n">
        <f aca="false">MIN($C$47,X46)</f>
        <v>0</v>
      </c>
      <c r="Y47" s="58" t="n">
        <f aca="false">MIN($C$47,Y46)</f>
        <v>0</v>
      </c>
      <c r="Z47" s="58" t="n">
        <f aca="false">MIN($C$47,Z46)</f>
        <v>0</v>
      </c>
      <c r="AA47" s="58" t="n">
        <f aca="false">MIN($C$47,AA46)</f>
        <v>0</v>
      </c>
      <c r="AB47" s="58" t="n">
        <f aca="false">MIN($C$47,AB46)</f>
        <v>0</v>
      </c>
      <c r="AC47" s="58" t="n">
        <f aca="false">MIN($C$47,AC46)</f>
        <v>0</v>
      </c>
      <c r="AD47" s="58" t="n">
        <f aca="false">MIN($C$47,AD46)</f>
        <v>0</v>
      </c>
      <c r="AE47" s="58" t="n">
        <f aca="false">MIN($C$47,AE46)</f>
        <v>0</v>
      </c>
      <c r="AF47" s="58" t="n">
        <f aca="false">MIN($C$47,AF46)</f>
        <v>0</v>
      </c>
      <c r="AG47" s="58" t="n">
        <f aca="false">MIN($C$47,AG46)</f>
        <v>0</v>
      </c>
      <c r="AH47" s="58" t="n">
        <f aca="false">MIN($C$47,AH46)</f>
        <v>0</v>
      </c>
      <c r="AI47" s="58" t="n">
        <f aca="false">MIN($C$47,AI46)</f>
        <v>0</v>
      </c>
      <c r="AJ47" s="58" t="n">
        <f aca="false">MIN($C$47,AJ46)</f>
        <v>0</v>
      </c>
      <c r="AK47" s="58" t="n">
        <f aca="false">MIN($C$47,AK46)</f>
        <v>0</v>
      </c>
      <c r="AL47" s="58" t="n">
        <f aca="false">MIN($C$47,AL46)</f>
        <v>0</v>
      </c>
      <c r="AM47" s="58" t="n">
        <f aca="false">MIN($C$47,AM46)</f>
        <v>0</v>
      </c>
      <c r="AN47" s="58" t="n">
        <f aca="false">MIN($C$47,AN46)</f>
        <v>0</v>
      </c>
      <c r="AO47" s="58" t="n">
        <f aca="false">MIN($C$47,AO46)</f>
        <v>0</v>
      </c>
      <c r="AP47" s="58" t="n">
        <f aca="false">MIN($C$47,AP46)</f>
        <v>0</v>
      </c>
      <c r="AQ47" s="58" t="n">
        <f aca="false">MIN($C$47,AQ46)</f>
        <v>0</v>
      </c>
      <c r="AR47" s="58" t="n">
        <f aca="false">MIN($C$47,AR46)</f>
        <v>0</v>
      </c>
      <c r="AS47" s="58" t="n">
        <f aca="false">MIN($C$47,AS46)</f>
        <v>0</v>
      </c>
      <c r="AT47" s="58" t="n">
        <f aca="false">MIN($C$47,AT46)</f>
        <v>0</v>
      </c>
      <c r="AU47" s="58" t="n">
        <f aca="false">MIN($C$47,AU46)</f>
        <v>0</v>
      </c>
      <c r="AV47" s="58" t="n">
        <f aca="false">MIN($C$47,AV46)</f>
        <v>0</v>
      </c>
      <c r="AW47" s="58" t="n">
        <f aca="false">MIN($C$47,AW46)</f>
        <v>0</v>
      </c>
      <c r="AX47" s="58" t="n">
        <f aca="false">MIN($C$47,AX46)</f>
        <v>0</v>
      </c>
      <c r="AY47" s="58" t="n">
        <f aca="false">MIN($C$47,AY46)</f>
        <v>0</v>
      </c>
      <c r="AZ47" s="58" t="n">
        <f aca="false">MIN($C$47,AZ46)</f>
        <v>0</v>
      </c>
      <c r="BA47" s="58" t="n">
        <f aca="false">MIN($C$47,BA46)</f>
        <v>0</v>
      </c>
      <c r="BB47" s="58" t="n">
        <f aca="false">MIN($C$47,BB46)</f>
        <v>0</v>
      </c>
      <c r="BC47" s="58" t="n">
        <f aca="false">MIN($C$47,BC46)</f>
        <v>0</v>
      </c>
      <c r="BD47" s="58" t="n">
        <f aca="false">MIN($C$47,BD46)</f>
        <v>0</v>
      </c>
      <c r="BE47" s="58" t="n">
        <f aca="false">MIN($C$47,BE46)</f>
        <v>0</v>
      </c>
      <c r="BF47" s="58" t="n">
        <f aca="false">MIN($C$47,BF46)</f>
        <v>0</v>
      </c>
      <c r="BG47" s="58" t="n">
        <f aca="false">MIN($C$47,BG46)</f>
        <v>0</v>
      </c>
      <c r="BH47" s="58" t="n">
        <f aca="false">MIN($C$47,BH46)</f>
        <v>0</v>
      </c>
      <c r="BI47" s="58" t="n">
        <f aca="false">MIN($C$47,BI46)</f>
        <v>0</v>
      </c>
      <c r="BJ47" s="58" t="n">
        <f aca="false">MIN($C$47,BJ46)</f>
        <v>0</v>
      </c>
      <c r="BK47" s="58" t="n">
        <f aca="false">MIN($C$47,BK46)</f>
        <v>0</v>
      </c>
      <c r="BL47" s="58" t="n">
        <f aca="false">MIN($C$47,BL46)</f>
        <v>0</v>
      </c>
      <c r="BM47" s="58" t="n">
        <f aca="false">MIN($C$47,BM46)</f>
        <v>0</v>
      </c>
      <c r="BN47" s="58" t="n">
        <f aca="false">MIN($C$47,BN46)</f>
        <v>0</v>
      </c>
      <c r="BO47" s="58" t="n">
        <f aca="false">MIN($C$47,BO46)</f>
        <v>0</v>
      </c>
      <c r="BP47" s="58" t="n">
        <f aca="false">MIN($C$47,BP46)</f>
        <v>0</v>
      </c>
      <c r="BQ47" s="58" t="n">
        <f aca="false">MIN($C$47,BQ46)</f>
        <v>0</v>
      </c>
      <c r="BR47" s="58" t="n">
        <f aca="false">MIN($C$47,BR46)</f>
        <v>0</v>
      </c>
      <c r="BS47" s="58" t="n">
        <f aca="false">MIN($C$47,BS46)</f>
        <v>0</v>
      </c>
      <c r="BT47" s="58" t="n">
        <f aca="false">MIN($C$47,BT46)</f>
        <v>0</v>
      </c>
      <c r="BU47" s="58" t="n">
        <f aca="false">MIN($C$47,BU46)</f>
        <v>0</v>
      </c>
      <c r="BV47" s="58" t="n">
        <f aca="false">MIN($C$47,BV46)</f>
        <v>0</v>
      </c>
      <c r="BW47" s="58" t="n">
        <f aca="false">MIN($C$47,BW46)</f>
        <v>0</v>
      </c>
      <c r="BX47" s="58" t="n">
        <f aca="false">MIN($C$47,BX46)</f>
        <v>0</v>
      </c>
      <c r="BY47" s="58" t="n">
        <f aca="false">MIN($C$47,BY46)</f>
        <v>0</v>
      </c>
      <c r="BZ47" s="58" t="n">
        <f aca="false">MIN($C$47,BZ46)</f>
        <v>0</v>
      </c>
      <c r="CA47" s="58" t="n">
        <f aca="false">MIN($C$47,CA46)</f>
        <v>0</v>
      </c>
      <c r="CB47" s="58" t="n">
        <f aca="false">MIN($C$47,CB46)</f>
        <v>0</v>
      </c>
      <c r="CC47" s="58" t="n">
        <f aca="false">MIN($C$47,CC46)</f>
        <v>0</v>
      </c>
      <c r="CD47" s="58" t="n">
        <f aca="false">MIN($C$47,CD46)</f>
        <v>0</v>
      </c>
      <c r="CE47" s="58" t="n">
        <f aca="false">MIN($C$47,CE46)</f>
        <v>0</v>
      </c>
      <c r="CF47" s="58" t="n">
        <f aca="false">MIN($C$47,CF46)</f>
        <v>0</v>
      </c>
      <c r="CG47" s="58" t="n">
        <f aca="false">MIN($C$47,CG46)</f>
        <v>0</v>
      </c>
      <c r="CH47" s="58" t="n">
        <f aca="false">MIN($C$47,CH46)</f>
        <v>0</v>
      </c>
      <c r="CI47" s="58" t="n">
        <f aca="false">MIN($C$47,CI46)</f>
        <v>0</v>
      </c>
      <c r="CJ47" s="58" t="n">
        <f aca="false">MIN($C$47,CJ46)</f>
        <v>0</v>
      </c>
      <c r="CK47" s="58" t="n">
        <f aca="false">MIN($C$47,CK46)</f>
        <v>0</v>
      </c>
      <c r="CL47" s="58" t="n">
        <f aca="false">MIN($C$47,CL46)</f>
        <v>0</v>
      </c>
      <c r="CM47" s="58" t="n">
        <f aca="false">MIN($C$47,CM46)</f>
        <v>0</v>
      </c>
      <c r="CN47" s="58" t="n">
        <f aca="false">MIN($C$47,CN46)</f>
        <v>0</v>
      </c>
      <c r="CO47" s="58" t="n">
        <f aca="false">MIN($C$47,CO46)</f>
        <v>0</v>
      </c>
      <c r="CP47" s="58" t="n">
        <f aca="false">MIN($C$47,CP46)</f>
        <v>0</v>
      </c>
      <c r="CQ47" s="58" t="n">
        <f aca="false">MIN($C$47,CQ46)</f>
        <v>0</v>
      </c>
      <c r="CR47" s="58" t="n">
        <f aca="false">MIN($C$47,CR46)</f>
        <v>0</v>
      </c>
      <c r="CS47" s="58" t="n">
        <f aca="false">MIN($C$47,CS46)</f>
        <v>0</v>
      </c>
      <c r="CT47" s="58" t="n">
        <f aca="false">MIN($C$47,CT46)</f>
        <v>0</v>
      </c>
      <c r="CU47" s="58" t="n">
        <f aca="false">MIN($C$47,CU46)</f>
        <v>0</v>
      </c>
      <c r="CV47" s="58" t="n">
        <f aca="false">MIN($C$47,CV46)</f>
        <v>0</v>
      </c>
      <c r="CW47" s="58" t="n">
        <f aca="false">MIN($C$47,CW46)</f>
        <v>0</v>
      </c>
      <c r="CX47" s="58" t="n">
        <f aca="false">MIN($C$47,CX46)</f>
        <v>0</v>
      </c>
      <c r="CY47" s="58" t="n">
        <f aca="false">MIN($C$47,CY46)</f>
        <v>0</v>
      </c>
      <c r="CZ47" s="58" t="n">
        <f aca="false">MIN($C$47,CZ46)</f>
        <v>0</v>
      </c>
      <c r="DA47" s="58" t="n">
        <f aca="false">MIN($C$47,DA46)</f>
        <v>0</v>
      </c>
      <c r="DB47" s="58" t="n">
        <f aca="false">MIN($C$47,DB46)</f>
        <v>0</v>
      </c>
      <c r="DC47" s="58" t="n">
        <f aca="false">MIN($C$47,DC46)</f>
        <v>0</v>
      </c>
      <c r="DD47" s="58" t="n">
        <f aca="false">MIN($C$47,DD46)</f>
        <v>0</v>
      </c>
      <c r="DE47" s="58" t="n">
        <f aca="false">MIN($C$47,DE46)</f>
        <v>0</v>
      </c>
      <c r="DF47" s="58" t="n">
        <f aca="false">MIN($C$47,DF46)</f>
        <v>0</v>
      </c>
      <c r="DG47" s="58" t="n">
        <f aca="false">MIN($C$47,DG46)</f>
        <v>0</v>
      </c>
      <c r="DH47" s="58" t="n">
        <f aca="false">MIN($C$47,DH46)</f>
        <v>0</v>
      </c>
      <c r="DI47" s="58" t="n">
        <f aca="false">MIN($C$47,DI46)</f>
        <v>0</v>
      </c>
      <c r="DJ47" s="58" t="n">
        <f aca="false">MIN($C$47,DJ46)</f>
        <v>0</v>
      </c>
      <c r="DK47" s="58" t="n">
        <f aca="false">MIN($C$47,DK46)</f>
        <v>0</v>
      </c>
      <c r="DL47" s="58" t="n">
        <f aca="false">MIN($C$47,DL46)</f>
        <v>0</v>
      </c>
      <c r="DM47" s="58" t="n">
        <f aca="false">MIN($C$47,DM46)</f>
        <v>0</v>
      </c>
      <c r="DN47" s="58" t="n">
        <f aca="false">MIN($C$47,DN46)</f>
        <v>0</v>
      </c>
      <c r="DO47" s="58" t="n">
        <f aca="false">MIN($C$47,DO46)</f>
        <v>0</v>
      </c>
      <c r="DP47" s="58" t="n">
        <f aca="false">MIN($C$47,DP46)</f>
        <v>0</v>
      </c>
      <c r="DQ47" s="58" t="n">
        <f aca="false">MIN($C$47,DQ46)</f>
        <v>0</v>
      </c>
      <c r="DR47" s="58" t="n">
        <f aca="false">MIN($C$47,DR46)</f>
        <v>0</v>
      </c>
      <c r="DS47" s="58" t="n">
        <f aca="false">MIN($C$47,DS46)</f>
        <v>0</v>
      </c>
      <c r="DT47" s="58" t="n">
        <f aca="false">MIN($C$47,DT46)</f>
        <v>0</v>
      </c>
    </row>
    <row r="48" customFormat="false" ht="15" hidden="false" customHeight="false" outlineLevel="0" collapsed="false">
      <c r="B48" s="17" t="s">
        <v>382</v>
      </c>
      <c r="C48" s="96" t="n">
        <f aca="false">IF(C45=0,0,IF(INDEX($G$13:$G$20,C45)="No",0,1))</f>
        <v>0</v>
      </c>
      <c r="D48" s="100" t="str">
        <f aca="false">IF(C45=0,"",IF(N(INDEX($H$13:$H$20,C45))=0,"",INDEX($H$13:$H$20,C45)))</f>
        <v/>
      </c>
      <c r="E48" s="58" t="n">
        <f aca="false">IF(AND($C$48=1,OR($D$48="",E$29&gt;=$D$48)),MAX(0,MIN(E46-E47,E$31-(E36+E42))),0)</f>
        <v>0</v>
      </c>
      <c r="F48" s="58" t="n">
        <f aca="false">IF(AND($C$48=1,OR($D$48="",F$29&gt;=$D$48)),MAX(0,MIN(F46-F47,F$31-(F36+F42))),0)</f>
        <v>0</v>
      </c>
      <c r="G48" s="58" t="n">
        <f aca="false">IF(AND($C$48=1,OR($D$48="",G$29&gt;=$D$48)),MAX(0,MIN(G46-G47,G$31-(G36+G42))),0)</f>
        <v>0</v>
      </c>
      <c r="H48" s="58" t="n">
        <f aca="false">IF(AND($C$48=1,OR($D$48="",H$29&gt;=$D$48)),MAX(0,MIN(H46-H47,H$31-(H36+H42))),0)</f>
        <v>0</v>
      </c>
      <c r="I48" s="58" t="n">
        <f aca="false">IF(AND($C$48=1,OR($D$48="",I$29&gt;=$D$48)),MAX(0,MIN(I46-I47,I$31-(I36+I42))),0)</f>
        <v>0</v>
      </c>
      <c r="J48" s="58" t="n">
        <f aca="false">IF(AND($C$48=1,OR($D$48="",J$29&gt;=$D$48)),MAX(0,MIN(J46-J47,J$31-(J36+J42))),0)</f>
        <v>0</v>
      </c>
      <c r="K48" s="58" t="n">
        <f aca="false">IF(AND($C$48=1,OR($D$48="",K$29&gt;=$D$48)),MAX(0,MIN(K46-K47,K$31-(K36+K42))),0)</f>
        <v>0</v>
      </c>
      <c r="L48" s="58" t="n">
        <f aca="false">IF(AND($C$48=1,OR($D$48="",L$29&gt;=$D$48)),MAX(0,MIN(L46-L47,L$31-(L36+L42))),0)</f>
        <v>0</v>
      </c>
      <c r="M48" s="58" t="n">
        <f aca="false">IF(AND($C$48=1,OR($D$48="",M$29&gt;=$D$48)),MAX(0,MIN(M46-M47,M$31-(M36+M42))),0)</f>
        <v>0</v>
      </c>
      <c r="N48" s="58" t="n">
        <f aca="false">IF(AND($C$48=1,OR($D$48="",N$29&gt;=$D$48)),MAX(0,MIN(N46-N47,N$31-(N36+N42))),0)</f>
        <v>0</v>
      </c>
      <c r="O48" s="58" t="n">
        <f aca="false">IF(AND($C$48=1,OR($D$48="",O$29&gt;=$D$48)),MAX(0,MIN(O46-O47,O$31-(O36+O42))),0)</f>
        <v>0</v>
      </c>
      <c r="P48" s="58" t="n">
        <f aca="false">IF(AND($C$48=1,OR($D$48="",P$29&gt;=$D$48)),MAX(0,MIN(P46-P47,P$31-(P36+P42))),0)</f>
        <v>0</v>
      </c>
      <c r="Q48" s="58" t="n">
        <f aca="false">IF(AND($C$48=1,OR($D$48="",Q$29&gt;=$D$48)),MAX(0,MIN(Q46-Q47,Q$31-(Q36+Q42))),0)</f>
        <v>0</v>
      </c>
      <c r="R48" s="58" t="n">
        <f aca="false">IF(AND($C$48=1,OR($D$48="",R$29&gt;=$D$48)),MAX(0,MIN(R46-R47,R$31-(R36+R42))),0)</f>
        <v>0</v>
      </c>
      <c r="S48" s="58" t="n">
        <f aca="false">IF(AND($C$48=1,OR($D$48="",S$29&gt;=$D$48)),MAX(0,MIN(S46-S47,S$31-(S36+S42))),0)</f>
        <v>0</v>
      </c>
      <c r="T48" s="58" t="n">
        <f aca="false">IF(AND($C$48=1,OR($D$48="",T$29&gt;=$D$48)),MAX(0,MIN(T46-T47,T$31-(T36+T42))),0)</f>
        <v>0</v>
      </c>
      <c r="U48" s="58" t="n">
        <f aca="false">IF(AND($C$48=1,OR($D$48="",U$29&gt;=$D$48)),MAX(0,MIN(U46-U47,U$31-(U36+U42))),0)</f>
        <v>0</v>
      </c>
      <c r="V48" s="58" t="n">
        <f aca="false">IF(AND($C$48=1,OR($D$48="",V$29&gt;=$D$48)),MAX(0,MIN(V46-V47,V$31-(V36+V42))),0)</f>
        <v>0</v>
      </c>
      <c r="W48" s="58" t="n">
        <f aca="false">IF(AND($C$48=1,OR($D$48="",W$29&gt;=$D$48)),MAX(0,MIN(W46-W47,W$31-(W36+W42))),0)</f>
        <v>0</v>
      </c>
      <c r="X48" s="58" t="n">
        <f aca="false">IF(AND($C$48=1,OR($D$48="",X$29&gt;=$D$48)),MAX(0,MIN(X46-X47,X$31-(X36+X42))),0)</f>
        <v>0</v>
      </c>
      <c r="Y48" s="58" t="n">
        <f aca="false">IF(AND($C$48=1,OR($D$48="",Y$29&gt;=$D$48)),MAX(0,MIN(Y46-Y47,Y$31-(Y36+Y42))),0)</f>
        <v>0</v>
      </c>
      <c r="Z48" s="58" t="n">
        <f aca="false">IF(AND($C$48=1,OR($D$48="",Z$29&gt;=$D$48)),MAX(0,MIN(Z46-Z47,Z$31-(Z36+Z42))),0)</f>
        <v>0</v>
      </c>
      <c r="AA48" s="58" t="n">
        <f aca="false">IF(AND($C$48=1,OR($D$48="",AA$29&gt;=$D$48)),MAX(0,MIN(AA46-AA47,AA$31-(AA36+AA42))),0)</f>
        <v>0</v>
      </c>
      <c r="AB48" s="58" t="n">
        <f aca="false">IF(AND($C$48=1,OR($D$48="",AB$29&gt;=$D$48)),MAX(0,MIN(AB46-AB47,AB$31-(AB36+AB42))),0)</f>
        <v>0</v>
      </c>
      <c r="AC48" s="58" t="n">
        <f aca="false">IF(AND($C$48=1,OR($D$48="",AC$29&gt;=$D$48)),MAX(0,MIN(AC46-AC47,AC$31-(AC36+AC42))),0)</f>
        <v>0</v>
      </c>
      <c r="AD48" s="58" t="n">
        <f aca="false">IF(AND($C$48=1,OR($D$48="",AD$29&gt;=$D$48)),MAX(0,MIN(AD46-AD47,AD$31-(AD36+AD42))),0)</f>
        <v>0</v>
      </c>
      <c r="AE48" s="58" t="n">
        <f aca="false">IF(AND($C$48=1,OR($D$48="",AE$29&gt;=$D$48)),MAX(0,MIN(AE46-AE47,AE$31-(AE36+AE42))),0)</f>
        <v>0</v>
      </c>
      <c r="AF48" s="58" t="n">
        <f aca="false">IF(AND($C$48=1,OR($D$48="",AF$29&gt;=$D$48)),MAX(0,MIN(AF46-AF47,AF$31-(AF36+AF42))),0)</f>
        <v>0</v>
      </c>
      <c r="AG48" s="58" t="n">
        <f aca="false">IF(AND($C$48=1,OR($D$48="",AG$29&gt;=$D$48)),MAX(0,MIN(AG46-AG47,AG$31-(AG36+AG42))),0)</f>
        <v>0</v>
      </c>
      <c r="AH48" s="58" t="n">
        <f aca="false">IF(AND($C$48=1,OR($D$48="",AH$29&gt;=$D$48)),MAX(0,MIN(AH46-AH47,AH$31-(AH36+AH42))),0)</f>
        <v>0</v>
      </c>
      <c r="AI48" s="58" t="n">
        <f aca="false">IF(AND($C$48=1,OR($D$48="",AI$29&gt;=$D$48)),MAX(0,MIN(AI46-AI47,AI$31-(AI36+AI42))),0)</f>
        <v>0</v>
      </c>
      <c r="AJ48" s="58" t="n">
        <f aca="false">IF(AND($C$48=1,OR($D$48="",AJ$29&gt;=$D$48)),MAX(0,MIN(AJ46-AJ47,AJ$31-(AJ36+AJ42))),0)</f>
        <v>0</v>
      </c>
      <c r="AK48" s="58" t="n">
        <f aca="false">IF(AND($C$48=1,OR($D$48="",AK$29&gt;=$D$48)),MAX(0,MIN(AK46-AK47,AK$31-(AK36+AK42))),0)</f>
        <v>0</v>
      </c>
      <c r="AL48" s="58" t="n">
        <f aca="false">IF(AND($C$48=1,OR($D$48="",AL$29&gt;=$D$48)),MAX(0,MIN(AL46-AL47,AL$31-(AL36+AL42))),0)</f>
        <v>0</v>
      </c>
      <c r="AM48" s="58" t="n">
        <f aca="false">IF(AND($C$48=1,OR($D$48="",AM$29&gt;=$D$48)),MAX(0,MIN(AM46-AM47,AM$31-(AM36+AM42))),0)</f>
        <v>0</v>
      </c>
      <c r="AN48" s="58" t="n">
        <f aca="false">IF(AND($C$48=1,OR($D$48="",AN$29&gt;=$D$48)),MAX(0,MIN(AN46-AN47,AN$31-(AN36+AN42))),0)</f>
        <v>0</v>
      </c>
      <c r="AO48" s="58" t="n">
        <f aca="false">IF(AND($C$48=1,OR($D$48="",AO$29&gt;=$D$48)),MAX(0,MIN(AO46-AO47,AO$31-(AO36+AO42))),0)</f>
        <v>0</v>
      </c>
      <c r="AP48" s="58" t="n">
        <f aca="false">IF(AND($C$48=1,OR($D$48="",AP$29&gt;=$D$48)),MAX(0,MIN(AP46-AP47,AP$31-(AP36+AP42))),0)</f>
        <v>0</v>
      </c>
      <c r="AQ48" s="58" t="n">
        <f aca="false">IF(AND($C$48=1,OR($D$48="",AQ$29&gt;=$D$48)),MAX(0,MIN(AQ46-AQ47,AQ$31-(AQ36+AQ42))),0)</f>
        <v>0</v>
      </c>
      <c r="AR48" s="58" t="n">
        <f aca="false">IF(AND($C$48=1,OR($D$48="",AR$29&gt;=$D$48)),MAX(0,MIN(AR46-AR47,AR$31-(AR36+AR42))),0)</f>
        <v>0</v>
      </c>
      <c r="AS48" s="58" t="n">
        <f aca="false">IF(AND($C$48=1,OR($D$48="",AS$29&gt;=$D$48)),MAX(0,MIN(AS46-AS47,AS$31-(AS36+AS42))),0)</f>
        <v>0</v>
      </c>
      <c r="AT48" s="58" t="n">
        <f aca="false">IF(AND($C$48=1,OR($D$48="",AT$29&gt;=$D$48)),MAX(0,MIN(AT46-AT47,AT$31-(AT36+AT42))),0)</f>
        <v>0</v>
      </c>
      <c r="AU48" s="58" t="n">
        <f aca="false">IF(AND($C$48=1,OR($D$48="",AU$29&gt;=$D$48)),MAX(0,MIN(AU46-AU47,AU$31-(AU36+AU42))),0)</f>
        <v>0</v>
      </c>
      <c r="AV48" s="58" t="n">
        <f aca="false">IF(AND($C$48=1,OR($D$48="",AV$29&gt;=$D$48)),MAX(0,MIN(AV46-AV47,AV$31-(AV36+AV42))),0)</f>
        <v>0</v>
      </c>
      <c r="AW48" s="58" t="n">
        <f aca="false">IF(AND($C$48=1,OR($D$48="",AW$29&gt;=$D$48)),MAX(0,MIN(AW46-AW47,AW$31-(AW36+AW42))),0)</f>
        <v>0</v>
      </c>
      <c r="AX48" s="58" t="n">
        <f aca="false">IF(AND($C$48=1,OR($D$48="",AX$29&gt;=$D$48)),MAX(0,MIN(AX46-AX47,AX$31-(AX36+AX42))),0)</f>
        <v>0</v>
      </c>
      <c r="AY48" s="58" t="n">
        <f aca="false">IF(AND($C$48=1,OR($D$48="",AY$29&gt;=$D$48)),MAX(0,MIN(AY46-AY47,AY$31-(AY36+AY42))),0)</f>
        <v>0</v>
      </c>
      <c r="AZ48" s="58" t="n">
        <f aca="false">IF(AND($C$48=1,OR($D$48="",AZ$29&gt;=$D$48)),MAX(0,MIN(AZ46-AZ47,AZ$31-(AZ36+AZ42))),0)</f>
        <v>0</v>
      </c>
      <c r="BA48" s="58" t="n">
        <f aca="false">IF(AND($C$48=1,OR($D$48="",BA$29&gt;=$D$48)),MAX(0,MIN(BA46-BA47,BA$31-(BA36+BA42))),0)</f>
        <v>0</v>
      </c>
      <c r="BB48" s="58" t="n">
        <f aca="false">IF(AND($C$48=1,OR($D$48="",BB$29&gt;=$D$48)),MAX(0,MIN(BB46-BB47,BB$31-(BB36+BB42))),0)</f>
        <v>0</v>
      </c>
      <c r="BC48" s="58" t="n">
        <f aca="false">IF(AND($C$48=1,OR($D$48="",BC$29&gt;=$D$48)),MAX(0,MIN(BC46-BC47,BC$31-(BC36+BC42))),0)</f>
        <v>0</v>
      </c>
      <c r="BD48" s="58" t="n">
        <f aca="false">IF(AND($C$48=1,OR($D$48="",BD$29&gt;=$D$48)),MAX(0,MIN(BD46-BD47,BD$31-(BD36+BD42))),0)</f>
        <v>0</v>
      </c>
      <c r="BE48" s="58" t="n">
        <f aca="false">IF(AND($C$48=1,OR($D$48="",BE$29&gt;=$D$48)),MAX(0,MIN(BE46-BE47,BE$31-(BE36+BE42))),0)</f>
        <v>0</v>
      </c>
      <c r="BF48" s="58" t="n">
        <f aca="false">IF(AND($C$48=1,OR($D$48="",BF$29&gt;=$D$48)),MAX(0,MIN(BF46-BF47,BF$31-(BF36+BF42))),0)</f>
        <v>0</v>
      </c>
      <c r="BG48" s="58" t="n">
        <f aca="false">IF(AND($C$48=1,OR($D$48="",BG$29&gt;=$D$48)),MAX(0,MIN(BG46-BG47,BG$31-(BG36+BG42))),0)</f>
        <v>0</v>
      </c>
      <c r="BH48" s="58" t="n">
        <f aca="false">IF(AND($C$48=1,OR($D$48="",BH$29&gt;=$D$48)),MAX(0,MIN(BH46-BH47,BH$31-(BH36+BH42))),0)</f>
        <v>0</v>
      </c>
      <c r="BI48" s="58" t="n">
        <f aca="false">IF(AND($C$48=1,OR($D$48="",BI$29&gt;=$D$48)),MAX(0,MIN(BI46-BI47,BI$31-(BI36+BI42))),0)</f>
        <v>0</v>
      </c>
      <c r="BJ48" s="58" t="n">
        <f aca="false">IF(AND($C$48=1,OR($D$48="",BJ$29&gt;=$D$48)),MAX(0,MIN(BJ46-BJ47,BJ$31-(BJ36+BJ42))),0)</f>
        <v>0</v>
      </c>
      <c r="BK48" s="58" t="n">
        <f aca="false">IF(AND($C$48=1,OR($D$48="",BK$29&gt;=$D$48)),MAX(0,MIN(BK46-BK47,BK$31-(BK36+BK42))),0)</f>
        <v>0</v>
      </c>
      <c r="BL48" s="58" t="n">
        <f aca="false">IF(AND($C$48=1,OR($D$48="",BL$29&gt;=$D$48)),MAX(0,MIN(BL46-BL47,BL$31-(BL36+BL42))),0)</f>
        <v>0</v>
      </c>
      <c r="BM48" s="58" t="n">
        <f aca="false">IF(AND($C$48=1,OR($D$48="",BM$29&gt;=$D$48)),MAX(0,MIN(BM46-BM47,BM$31-(BM36+BM42))),0)</f>
        <v>0</v>
      </c>
      <c r="BN48" s="58" t="n">
        <f aca="false">IF(AND($C$48=1,OR($D$48="",BN$29&gt;=$D$48)),MAX(0,MIN(BN46-BN47,BN$31-(BN36+BN42))),0)</f>
        <v>0</v>
      </c>
      <c r="BO48" s="58" t="n">
        <f aca="false">IF(AND($C$48=1,OR($D$48="",BO$29&gt;=$D$48)),MAX(0,MIN(BO46-BO47,BO$31-(BO36+BO42))),0)</f>
        <v>0</v>
      </c>
      <c r="BP48" s="58" t="n">
        <f aca="false">IF(AND($C$48=1,OR($D$48="",BP$29&gt;=$D$48)),MAX(0,MIN(BP46-BP47,BP$31-(BP36+BP42))),0)</f>
        <v>0</v>
      </c>
      <c r="BQ48" s="58" t="n">
        <f aca="false">IF(AND($C$48=1,OR($D$48="",BQ$29&gt;=$D$48)),MAX(0,MIN(BQ46-BQ47,BQ$31-(BQ36+BQ42))),0)</f>
        <v>0</v>
      </c>
      <c r="BR48" s="58" t="n">
        <f aca="false">IF(AND($C$48=1,OR($D$48="",BR$29&gt;=$D$48)),MAX(0,MIN(BR46-BR47,BR$31-(BR36+BR42))),0)</f>
        <v>0</v>
      </c>
      <c r="BS48" s="58" t="n">
        <f aca="false">IF(AND($C$48=1,OR($D$48="",BS$29&gt;=$D$48)),MAX(0,MIN(BS46-BS47,BS$31-(BS36+BS42))),0)</f>
        <v>0</v>
      </c>
      <c r="BT48" s="58" t="n">
        <f aca="false">IF(AND($C$48=1,OR($D$48="",BT$29&gt;=$D$48)),MAX(0,MIN(BT46-BT47,BT$31-(BT36+BT42))),0)</f>
        <v>0</v>
      </c>
      <c r="BU48" s="58" t="n">
        <f aca="false">IF(AND($C$48=1,OR($D$48="",BU$29&gt;=$D$48)),MAX(0,MIN(BU46-BU47,BU$31-(BU36+BU42))),0)</f>
        <v>0</v>
      </c>
      <c r="BV48" s="58" t="n">
        <f aca="false">IF(AND($C$48=1,OR($D$48="",BV$29&gt;=$D$48)),MAX(0,MIN(BV46-BV47,BV$31-(BV36+BV42))),0)</f>
        <v>0</v>
      </c>
      <c r="BW48" s="58" t="n">
        <f aca="false">IF(AND($C$48=1,OR($D$48="",BW$29&gt;=$D$48)),MAX(0,MIN(BW46-BW47,BW$31-(BW36+BW42))),0)</f>
        <v>0</v>
      </c>
      <c r="BX48" s="58" t="n">
        <f aca="false">IF(AND($C$48=1,OR($D$48="",BX$29&gt;=$D$48)),MAX(0,MIN(BX46-BX47,BX$31-(BX36+BX42))),0)</f>
        <v>0</v>
      </c>
      <c r="BY48" s="58" t="n">
        <f aca="false">IF(AND($C$48=1,OR($D$48="",BY$29&gt;=$D$48)),MAX(0,MIN(BY46-BY47,BY$31-(BY36+BY42))),0)</f>
        <v>0</v>
      </c>
      <c r="BZ48" s="58" t="n">
        <f aca="false">IF(AND($C$48=1,OR($D$48="",BZ$29&gt;=$D$48)),MAX(0,MIN(BZ46-BZ47,BZ$31-(BZ36+BZ42))),0)</f>
        <v>0</v>
      </c>
      <c r="CA48" s="58" t="n">
        <f aca="false">IF(AND($C$48=1,OR($D$48="",CA$29&gt;=$D$48)),MAX(0,MIN(CA46-CA47,CA$31-(CA36+CA42))),0)</f>
        <v>0</v>
      </c>
      <c r="CB48" s="58" t="n">
        <f aca="false">IF(AND($C$48=1,OR($D$48="",CB$29&gt;=$D$48)),MAX(0,MIN(CB46-CB47,CB$31-(CB36+CB42))),0)</f>
        <v>0</v>
      </c>
      <c r="CC48" s="58" t="n">
        <f aca="false">IF(AND($C$48=1,OR($D$48="",CC$29&gt;=$D$48)),MAX(0,MIN(CC46-CC47,CC$31-(CC36+CC42))),0)</f>
        <v>0</v>
      </c>
      <c r="CD48" s="58" t="n">
        <f aca="false">IF(AND($C$48=1,OR($D$48="",CD$29&gt;=$D$48)),MAX(0,MIN(CD46-CD47,CD$31-(CD36+CD42))),0)</f>
        <v>0</v>
      </c>
      <c r="CE48" s="58" t="n">
        <f aca="false">IF(AND($C$48=1,OR($D$48="",CE$29&gt;=$D$48)),MAX(0,MIN(CE46-CE47,CE$31-(CE36+CE42))),0)</f>
        <v>0</v>
      </c>
      <c r="CF48" s="58" t="n">
        <f aca="false">IF(AND($C$48=1,OR($D$48="",CF$29&gt;=$D$48)),MAX(0,MIN(CF46-CF47,CF$31-(CF36+CF42))),0)</f>
        <v>0</v>
      </c>
      <c r="CG48" s="58" t="n">
        <f aca="false">IF(AND($C$48=1,OR($D$48="",CG$29&gt;=$D$48)),MAX(0,MIN(CG46-CG47,CG$31-(CG36+CG42))),0)</f>
        <v>0</v>
      </c>
      <c r="CH48" s="58" t="n">
        <f aca="false">IF(AND($C$48=1,OR($D$48="",CH$29&gt;=$D$48)),MAX(0,MIN(CH46-CH47,CH$31-(CH36+CH42))),0)</f>
        <v>0</v>
      </c>
      <c r="CI48" s="58" t="n">
        <f aca="false">IF(AND($C$48=1,OR($D$48="",CI$29&gt;=$D$48)),MAX(0,MIN(CI46-CI47,CI$31-(CI36+CI42))),0)</f>
        <v>0</v>
      </c>
      <c r="CJ48" s="58" t="n">
        <f aca="false">IF(AND($C$48=1,OR($D$48="",CJ$29&gt;=$D$48)),MAX(0,MIN(CJ46-CJ47,CJ$31-(CJ36+CJ42))),0)</f>
        <v>0</v>
      </c>
      <c r="CK48" s="58" t="n">
        <f aca="false">IF(AND($C$48=1,OR($D$48="",CK$29&gt;=$D$48)),MAX(0,MIN(CK46-CK47,CK$31-(CK36+CK42))),0)</f>
        <v>0</v>
      </c>
      <c r="CL48" s="58" t="n">
        <f aca="false">IF(AND($C$48=1,OR($D$48="",CL$29&gt;=$D$48)),MAX(0,MIN(CL46-CL47,CL$31-(CL36+CL42))),0)</f>
        <v>0</v>
      </c>
      <c r="CM48" s="58" t="n">
        <f aca="false">IF(AND($C$48=1,OR($D$48="",CM$29&gt;=$D$48)),MAX(0,MIN(CM46-CM47,CM$31-(CM36+CM42))),0)</f>
        <v>0</v>
      </c>
      <c r="CN48" s="58" t="n">
        <f aca="false">IF(AND($C$48=1,OR($D$48="",CN$29&gt;=$D$48)),MAX(0,MIN(CN46-CN47,CN$31-(CN36+CN42))),0)</f>
        <v>0</v>
      </c>
      <c r="CO48" s="58" t="n">
        <f aca="false">IF(AND($C$48=1,OR($D$48="",CO$29&gt;=$D$48)),MAX(0,MIN(CO46-CO47,CO$31-(CO36+CO42))),0)</f>
        <v>0</v>
      </c>
      <c r="CP48" s="58" t="n">
        <f aca="false">IF(AND($C$48=1,OR($D$48="",CP$29&gt;=$D$48)),MAX(0,MIN(CP46-CP47,CP$31-(CP36+CP42))),0)</f>
        <v>0</v>
      </c>
      <c r="CQ48" s="58" t="n">
        <f aca="false">IF(AND($C$48=1,OR($D$48="",CQ$29&gt;=$D$48)),MAX(0,MIN(CQ46-CQ47,CQ$31-(CQ36+CQ42))),0)</f>
        <v>0</v>
      </c>
      <c r="CR48" s="58" t="n">
        <f aca="false">IF(AND($C$48=1,OR($D$48="",CR$29&gt;=$D$48)),MAX(0,MIN(CR46-CR47,CR$31-(CR36+CR42))),0)</f>
        <v>0</v>
      </c>
      <c r="CS48" s="58" t="n">
        <f aca="false">IF(AND($C$48=1,OR($D$48="",CS$29&gt;=$D$48)),MAX(0,MIN(CS46-CS47,CS$31-(CS36+CS42))),0)</f>
        <v>0</v>
      </c>
      <c r="CT48" s="58" t="n">
        <f aca="false">IF(AND($C$48=1,OR($D$48="",CT$29&gt;=$D$48)),MAX(0,MIN(CT46-CT47,CT$31-(CT36+CT42))),0)</f>
        <v>0</v>
      </c>
      <c r="CU48" s="58" t="n">
        <f aca="false">IF(AND($C$48=1,OR($D$48="",CU$29&gt;=$D$48)),MAX(0,MIN(CU46-CU47,CU$31-(CU36+CU42))),0)</f>
        <v>0</v>
      </c>
      <c r="CV48" s="58" t="n">
        <f aca="false">IF(AND($C$48=1,OR($D$48="",CV$29&gt;=$D$48)),MAX(0,MIN(CV46-CV47,CV$31-(CV36+CV42))),0)</f>
        <v>0</v>
      </c>
      <c r="CW48" s="58" t="n">
        <f aca="false">IF(AND($C$48=1,OR($D$48="",CW$29&gt;=$D$48)),MAX(0,MIN(CW46-CW47,CW$31-(CW36+CW42))),0)</f>
        <v>0</v>
      </c>
      <c r="CX48" s="58" t="n">
        <f aca="false">IF(AND($C$48=1,OR($D$48="",CX$29&gt;=$D$48)),MAX(0,MIN(CX46-CX47,CX$31-(CX36+CX42))),0)</f>
        <v>0</v>
      </c>
      <c r="CY48" s="58" t="n">
        <f aca="false">IF(AND($C$48=1,OR($D$48="",CY$29&gt;=$D$48)),MAX(0,MIN(CY46-CY47,CY$31-(CY36+CY42))),0)</f>
        <v>0</v>
      </c>
      <c r="CZ48" s="58" t="n">
        <f aca="false">IF(AND($C$48=1,OR($D$48="",CZ$29&gt;=$D$48)),MAX(0,MIN(CZ46-CZ47,CZ$31-(CZ36+CZ42))),0)</f>
        <v>0</v>
      </c>
      <c r="DA48" s="58" t="n">
        <f aca="false">IF(AND($C$48=1,OR($D$48="",DA$29&gt;=$D$48)),MAX(0,MIN(DA46-DA47,DA$31-(DA36+DA42))),0)</f>
        <v>0</v>
      </c>
      <c r="DB48" s="58" t="n">
        <f aca="false">IF(AND($C$48=1,OR($D$48="",DB$29&gt;=$D$48)),MAX(0,MIN(DB46-DB47,DB$31-(DB36+DB42))),0)</f>
        <v>0</v>
      </c>
      <c r="DC48" s="58" t="n">
        <f aca="false">IF(AND($C$48=1,OR($D$48="",DC$29&gt;=$D$48)),MAX(0,MIN(DC46-DC47,DC$31-(DC36+DC42))),0)</f>
        <v>0</v>
      </c>
      <c r="DD48" s="58" t="n">
        <f aca="false">IF(AND($C$48=1,OR($D$48="",DD$29&gt;=$D$48)),MAX(0,MIN(DD46-DD47,DD$31-(DD36+DD42))),0)</f>
        <v>0</v>
      </c>
      <c r="DE48" s="58" t="n">
        <f aca="false">IF(AND($C$48=1,OR($D$48="",DE$29&gt;=$D$48)),MAX(0,MIN(DE46-DE47,DE$31-(DE36+DE42))),0)</f>
        <v>0</v>
      </c>
      <c r="DF48" s="58" t="n">
        <f aca="false">IF(AND($C$48=1,OR($D$48="",DF$29&gt;=$D$48)),MAX(0,MIN(DF46-DF47,DF$31-(DF36+DF42))),0)</f>
        <v>0</v>
      </c>
      <c r="DG48" s="58" t="n">
        <f aca="false">IF(AND($C$48=1,OR($D$48="",DG$29&gt;=$D$48)),MAX(0,MIN(DG46-DG47,DG$31-(DG36+DG42))),0)</f>
        <v>0</v>
      </c>
      <c r="DH48" s="58" t="n">
        <f aca="false">IF(AND($C$48=1,OR($D$48="",DH$29&gt;=$D$48)),MAX(0,MIN(DH46-DH47,DH$31-(DH36+DH42))),0)</f>
        <v>0</v>
      </c>
      <c r="DI48" s="58" t="n">
        <f aca="false">IF(AND($C$48=1,OR($D$48="",DI$29&gt;=$D$48)),MAX(0,MIN(DI46-DI47,DI$31-(DI36+DI42))),0)</f>
        <v>0</v>
      </c>
      <c r="DJ48" s="58" t="n">
        <f aca="false">IF(AND($C$48=1,OR($D$48="",DJ$29&gt;=$D$48)),MAX(0,MIN(DJ46-DJ47,DJ$31-(DJ36+DJ42))),0)</f>
        <v>0</v>
      </c>
      <c r="DK48" s="58" t="n">
        <f aca="false">IF(AND($C$48=1,OR($D$48="",DK$29&gt;=$D$48)),MAX(0,MIN(DK46-DK47,DK$31-(DK36+DK42))),0)</f>
        <v>0</v>
      </c>
      <c r="DL48" s="58" t="n">
        <f aca="false">IF(AND($C$48=1,OR($D$48="",DL$29&gt;=$D$48)),MAX(0,MIN(DL46-DL47,DL$31-(DL36+DL42))),0)</f>
        <v>0</v>
      </c>
      <c r="DM48" s="58" t="n">
        <f aca="false">IF(AND($C$48=1,OR($D$48="",DM$29&gt;=$D$48)),MAX(0,MIN(DM46-DM47,DM$31-(DM36+DM42))),0)</f>
        <v>0</v>
      </c>
      <c r="DN48" s="58" t="n">
        <f aca="false">IF(AND($C$48=1,OR($D$48="",DN$29&gt;=$D$48)),MAX(0,MIN(DN46-DN47,DN$31-(DN36+DN42))),0)</f>
        <v>0</v>
      </c>
      <c r="DO48" s="58" t="n">
        <f aca="false">IF(AND($C$48=1,OR($D$48="",DO$29&gt;=$D$48)),MAX(0,MIN(DO46-DO47,DO$31-(DO36+DO42))),0)</f>
        <v>0</v>
      </c>
      <c r="DP48" s="58" t="n">
        <f aca="false">IF(AND($C$48=1,OR($D$48="",DP$29&gt;=$D$48)),MAX(0,MIN(DP46-DP47,DP$31-(DP36+DP42))),0)</f>
        <v>0</v>
      </c>
      <c r="DQ48" s="58" t="n">
        <f aca="false">IF(AND($C$48=1,OR($D$48="",DQ$29&gt;=$D$48)),MAX(0,MIN(DQ46-DQ47,DQ$31-(DQ36+DQ42))),0)</f>
        <v>0</v>
      </c>
      <c r="DR48" s="58" t="n">
        <f aca="false">IF(AND($C$48=1,OR($D$48="",DR$29&gt;=$D$48)),MAX(0,MIN(DR46-DR47,DR$31-(DR36+DR42))),0)</f>
        <v>0</v>
      </c>
      <c r="DS48" s="58" t="n">
        <f aca="false">IF(AND($C$48=1,OR($D$48="",DS$29&gt;=$D$48)),MAX(0,MIN(DS46-DS47,DS$31-(DS36+DS42))),0)</f>
        <v>0</v>
      </c>
      <c r="DT48" s="58" t="n">
        <f aca="false">IF(AND($C$48=1,OR($D$48="",DT$29&gt;=$D$48)),MAX(0,MIN(DT46-DT47,DT$31-(DT36+DT42))),0)</f>
        <v>0</v>
      </c>
    </row>
    <row r="49" customFormat="false" ht="15" hidden="false" customHeight="false" outlineLevel="0" collapsed="false">
      <c r="B49" s="24" t="s">
        <v>187</v>
      </c>
      <c r="C49" s="23" t="s">
        <v>383</v>
      </c>
      <c r="D49" s="89" t="n">
        <f aca="false">IF($C$50=0,D50,MAX(0,D50-MAX(0,$C$10-($D$38*$C$38+$D$44*$C$44))))</f>
        <v>0</v>
      </c>
      <c r="E49" s="89" t="n">
        <f aca="false">E46-E47-E48</f>
        <v>0</v>
      </c>
      <c r="F49" s="89" t="n">
        <f aca="false">F46-F47-F48</f>
        <v>0</v>
      </c>
      <c r="G49" s="89" t="n">
        <f aca="false">G46-G47-G48</f>
        <v>0</v>
      </c>
      <c r="H49" s="89" t="n">
        <f aca="false">H46-H47-H48</f>
        <v>0</v>
      </c>
      <c r="I49" s="89" t="n">
        <f aca="false">I46-I47-I48</f>
        <v>0</v>
      </c>
      <c r="J49" s="89" t="n">
        <f aca="false">J46-J47-J48</f>
        <v>0</v>
      </c>
      <c r="K49" s="89" t="n">
        <f aca="false">K46-K47-K48</f>
        <v>0</v>
      </c>
      <c r="L49" s="89" t="n">
        <f aca="false">L46-L47-L48</f>
        <v>0</v>
      </c>
      <c r="M49" s="89" t="n">
        <f aca="false">M46-M47-M48</f>
        <v>0</v>
      </c>
      <c r="N49" s="89" t="n">
        <f aca="false">N46-N47-N48</f>
        <v>0</v>
      </c>
      <c r="O49" s="89" t="n">
        <f aca="false">O46-O47-O48</f>
        <v>0</v>
      </c>
      <c r="P49" s="89" t="n">
        <f aca="false">P46-P47-P48</f>
        <v>0</v>
      </c>
      <c r="Q49" s="89" t="n">
        <f aca="false">Q46-Q47-Q48</f>
        <v>0</v>
      </c>
      <c r="R49" s="89" t="n">
        <f aca="false">R46-R47-R48</f>
        <v>0</v>
      </c>
      <c r="S49" s="89" t="n">
        <f aca="false">S46-S47-S48</f>
        <v>0</v>
      </c>
      <c r="T49" s="89" t="n">
        <f aca="false">T46-T47-T48</f>
        <v>0</v>
      </c>
      <c r="U49" s="89" t="n">
        <f aca="false">U46-U47-U48</f>
        <v>0</v>
      </c>
      <c r="V49" s="89" t="n">
        <f aca="false">V46-V47-V48</f>
        <v>0</v>
      </c>
      <c r="W49" s="89" t="n">
        <f aca="false">W46-W47-W48</f>
        <v>0</v>
      </c>
      <c r="X49" s="89" t="n">
        <f aca="false">X46-X47-X48</f>
        <v>0</v>
      </c>
      <c r="Y49" s="89" t="n">
        <f aca="false">Y46-Y47-Y48</f>
        <v>0</v>
      </c>
      <c r="Z49" s="89" t="n">
        <f aca="false">Z46-Z47-Z48</f>
        <v>0</v>
      </c>
      <c r="AA49" s="89" t="n">
        <f aca="false">AA46-AA47-AA48</f>
        <v>0</v>
      </c>
      <c r="AB49" s="89" t="n">
        <f aca="false">AB46-AB47-AB48</f>
        <v>0</v>
      </c>
      <c r="AC49" s="89" t="n">
        <f aca="false">AC46-AC47-AC48</f>
        <v>0</v>
      </c>
      <c r="AD49" s="89" t="n">
        <f aca="false">AD46-AD47-AD48</f>
        <v>0</v>
      </c>
      <c r="AE49" s="89" t="n">
        <f aca="false">AE46-AE47-AE48</f>
        <v>0</v>
      </c>
      <c r="AF49" s="89" t="n">
        <f aca="false">AF46-AF47-AF48</f>
        <v>0</v>
      </c>
      <c r="AG49" s="89" t="n">
        <f aca="false">AG46-AG47-AG48</f>
        <v>0</v>
      </c>
      <c r="AH49" s="89" t="n">
        <f aca="false">AH46-AH47-AH48</f>
        <v>0</v>
      </c>
      <c r="AI49" s="89" t="n">
        <f aca="false">AI46-AI47-AI48</f>
        <v>0</v>
      </c>
      <c r="AJ49" s="89" t="n">
        <f aca="false">AJ46-AJ47-AJ48</f>
        <v>0</v>
      </c>
      <c r="AK49" s="89" t="n">
        <f aca="false">AK46-AK47-AK48</f>
        <v>0</v>
      </c>
      <c r="AL49" s="89" t="n">
        <f aca="false">AL46-AL47-AL48</f>
        <v>0</v>
      </c>
      <c r="AM49" s="89" t="n">
        <f aca="false">AM46-AM47-AM48</f>
        <v>0</v>
      </c>
      <c r="AN49" s="89" t="n">
        <f aca="false">AN46-AN47-AN48</f>
        <v>0</v>
      </c>
      <c r="AO49" s="89" t="n">
        <f aca="false">AO46-AO47-AO48</f>
        <v>0</v>
      </c>
      <c r="AP49" s="89" t="n">
        <f aca="false">AP46-AP47-AP48</f>
        <v>0</v>
      </c>
      <c r="AQ49" s="89" t="n">
        <f aca="false">AQ46-AQ47-AQ48</f>
        <v>0</v>
      </c>
      <c r="AR49" s="89" t="n">
        <f aca="false">AR46-AR47-AR48</f>
        <v>0</v>
      </c>
      <c r="AS49" s="89" t="n">
        <f aca="false">AS46-AS47-AS48</f>
        <v>0</v>
      </c>
      <c r="AT49" s="89" t="n">
        <f aca="false">AT46-AT47-AT48</f>
        <v>0</v>
      </c>
      <c r="AU49" s="89" t="n">
        <f aca="false">AU46-AU47-AU48</f>
        <v>0</v>
      </c>
      <c r="AV49" s="89" t="n">
        <f aca="false">AV46-AV47-AV48</f>
        <v>0</v>
      </c>
      <c r="AW49" s="89" t="n">
        <f aca="false">AW46-AW47-AW48</f>
        <v>0</v>
      </c>
      <c r="AX49" s="89" t="n">
        <f aca="false">AX46-AX47-AX48</f>
        <v>0</v>
      </c>
      <c r="AY49" s="89" t="n">
        <f aca="false">AY46-AY47-AY48</f>
        <v>0</v>
      </c>
      <c r="AZ49" s="89" t="n">
        <f aca="false">AZ46-AZ47-AZ48</f>
        <v>0</v>
      </c>
      <c r="BA49" s="89" t="n">
        <f aca="false">BA46-BA47-BA48</f>
        <v>0</v>
      </c>
      <c r="BB49" s="89" t="n">
        <f aca="false">BB46-BB47-BB48</f>
        <v>0</v>
      </c>
      <c r="BC49" s="89" t="n">
        <f aca="false">BC46-BC47-BC48</f>
        <v>0</v>
      </c>
      <c r="BD49" s="89" t="n">
        <f aca="false">BD46-BD47-BD48</f>
        <v>0</v>
      </c>
      <c r="BE49" s="89" t="n">
        <f aca="false">BE46-BE47-BE48</f>
        <v>0</v>
      </c>
      <c r="BF49" s="89" t="n">
        <f aca="false">BF46-BF47-BF48</f>
        <v>0</v>
      </c>
      <c r="BG49" s="89" t="n">
        <f aca="false">BG46-BG47-BG48</f>
        <v>0</v>
      </c>
      <c r="BH49" s="89" t="n">
        <f aca="false">BH46-BH47-BH48</f>
        <v>0</v>
      </c>
      <c r="BI49" s="89" t="n">
        <f aca="false">BI46-BI47-BI48</f>
        <v>0</v>
      </c>
      <c r="BJ49" s="89" t="n">
        <f aca="false">BJ46-BJ47-BJ48</f>
        <v>0</v>
      </c>
      <c r="BK49" s="89" t="n">
        <f aca="false">BK46-BK47-BK48</f>
        <v>0</v>
      </c>
      <c r="BL49" s="89" t="n">
        <f aca="false">BL46-BL47-BL48</f>
        <v>0</v>
      </c>
      <c r="BM49" s="89" t="n">
        <f aca="false">BM46-BM47-BM48</f>
        <v>0</v>
      </c>
      <c r="BN49" s="89" t="n">
        <f aca="false">BN46-BN47-BN48</f>
        <v>0</v>
      </c>
      <c r="BO49" s="89" t="n">
        <f aca="false">BO46-BO47-BO48</f>
        <v>0</v>
      </c>
      <c r="BP49" s="89" t="n">
        <f aca="false">BP46-BP47-BP48</f>
        <v>0</v>
      </c>
      <c r="BQ49" s="89" t="n">
        <f aca="false">BQ46-BQ47-BQ48</f>
        <v>0</v>
      </c>
      <c r="BR49" s="89" t="n">
        <f aca="false">BR46-BR47-BR48</f>
        <v>0</v>
      </c>
      <c r="BS49" s="89" t="n">
        <f aca="false">BS46-BS47-BS48</f>
        <v>0</v>
      </c>
      <c r="BT49" s="89" t="n">
        <f aca="false">BT46-BT47-BT48</f>
        <v>0</v>
      </c>
      <c r="BU49" s="89" t="n">
        <f aca="false">BU46-BU47-BU48</f>
        <v>0</v>
      </c>
      <c r="BV49" s="89" t="n">
        <f aca="false">BV46-BV47-BV48</f>
        <v>0</v>
      </c>
      <c r="BW49" s="89" t="n">
        <f aca="false">BW46-BW47-BW48</f>
        <v>0</v>
      </c>
      <c r="BX49" s="89" t="n">
        <f aca="false">BX46-BX47-BX48</f>
        <v>0</v>
      </c>
      <c r="BY49" s="89" t="n">
        <f aca="false">BY46-BY47-BY48</f>
        <v>0</v>
      </c>
      <c r="BZ49" s="89" t="n">
        <f aca="false">BZ46-BZ47-BZ48</f>
        <v>0</v>
      </c>
      <c r="CA49" s="89" t="n">
        <f aca="false">CA46-CA47-CA48</f>
        <v>0</v>
      </c>
      <c r="CB49" s="89" t="n">
        <f aca="false">CB46-CB47-CB48</f>
        <v>0</v>
      </c>
      <c r="CC49" s="89" t="n">
        <f aca="false">CC46-CC47-CC48</f>
        <v>0</v>
      </c>
      <c r="CD49" s="89" t="n">
        <f aca="false">CD46-CD47-CD48</f>
        <v>0</v>
      </c>
      <c r="CE49" s="89" t="n">
        <f aca="false">CE46-CE47-CE48</f>
        <v>0</v>
      </c>
      <c r="CF49" s="89" t="n">
        <f aca="false">CF46-CF47-CF48</f>
        <v>0</v>
      </c>
      <c r="CG49" s="89" t="n">
        <f aca="false">CG46-CG47-CG48</f>
        <v>0</v>
      </c>
      <c r="CH49" s="89" t="n">
        <f aca="false">CH46-CH47-CH48</f>
        <v>0</v>
      </c>
      <c r="CI49" s="89" t="n">
        <f aca="false">CI46-CI47-CI48</f>
        <v>0</v>
      </c>
      <c r="CJ49" s="89" t="n">
        <f aca="false">CJ46-CJ47-CJ48</f>
        <v>0</v>
      </c>
      <c r="CK49" s="89" t="n">
        <f aca="false">CK46-CK47-CK48</f>
        <v>0</v>
      </c>
      <c r="CL49" s="89" t="n">
        <f aca="false">CL46-CL47-CL48</f>
        <v>0</v>
      </c>
      <c r="CM49" s="89" t="n">
        <f aca="false">CM46-CM47-CM48</f>
        <v>0</v>
      </c>
      <c r="CN49" s="89" t="n">
        <f aca="false">CN46-CN47-CN48</f>
        <v>0</v>
      </c>
      <c r="CO49" s="89" t="n">
        <f aca="false">CO46-CO47-CO48</f>
        <v>0</v>
      </c>
      <c r="CP49" s="89" t="n">
        <f aca="false">CP46-CP47-CP48</f>
        <v>0</v>
      </c>
      <c r="CQ49" s="89" t="n">
        <f aca="false">CQ46-CQ47-CQ48</f>
        <v>0</v>
      </c>
      <c r="CR49" s="89" t="n">
        <f aca="false">CR46-CR47-CR48</f>
        <v>0</v>
      </c>
      <c r="CS49" s="89" t="n">
        <f aca="false">CS46-CS47-CS48</f>
        <v>0</v>
      </c>
      <c r="CT49" s="89" t="n">
        <f aca="false">CT46-CT47-CT48</f>
        <v>0</v>
      </c>
      <c r="CU49" s="89" t="n">
        <f aca="false">CU46-CU47-CU48</f>
        <v>0</v>
      </c>
      <c r="CV49" s="89" t="n">
        <f aca="false">CV46-CV47-CV48</f>
        <v>0</v>
      </c>
      <c r="CW49" s="89" t="n">
        <f aca="false">CW46-CW47-CW48</f>
        <v>0</v>
      </c>
      <c r="CX49" s="89" t="n">
        <f aca="false">CX46-CX47-CX48</f>
        <v>0</v>
      </c>
      <c r="CY49" s="89" t="n">
        <f aca="false">CY46-CY47-CY48</f>
        <v>0</v>
      </c>
      <c r="CZ49" s="89" t="n">
        <f aca="false">CZ46-CZ47-CZ48</f>
        <v>0</v>
      </c>
      <c r="DA49" s="89" t="n">
        <f aca="false">DA46-DA47-DA48</f>
        <v>0</v>
      </c>
      <c r="DB49" s="89" t="n">
        <f aca="false">DB46-DB47-DB48</f>
        <v>0</v>
      </c>
      <c r="DC49" s="89" t="n">
        <f aca="false">DC46-DC47-DC48</f>
        <v>0</v>
      </c>
      <c r="DD49" s="89" t="n">
        <f aca="false">DD46-DD47-DD48</f>
        <v>0</v>
      </c>
      <c r="DE49" s="89" t="n">
        <f aca="false">DE46-DE47-DE48</f>
        <v>0</v>
      </c>
      <c r="DF49" s="89" t="n">
        <f aca="false">DF46-DF47-DF48</f>
        <v>0</v>
      </c>
      <c r="DG49" s="89" t="n">
        <f aca="false">DG46-DG47-DG48</f>
        <v>0</v>
      </c>
      <c r="DH49" s="89" t="n">
        <f aca="false">DH46-DH47-DH48</f>
        <v>0</v>
      </c>
      <c r="DI49" s="89" t="n">
        <f aca="false">DI46-DI47-DI48</f>
        <v>0</v>
      </c>
      <c r="DJ49" s="89" t="n">
        <f aca="false">DJ46-DJ47-DJ48</f>
        <v>0</v>
      </c>
      <c r="DK49" s="89" t="n">
        <f aca="false">DK46-DK47-DK48</f>
        <v>0</v>
      </c>
      <c r="DL49" s="89" t="n">
        <f aca="false">DL46-DL47-DL48</f>
        <v>0</v>
      </c>
      <c r="DM49" s="89" t="n">
        <f aca="false">DM46-DM47-DM48</f>
        <v>0</v>
      </c>
      <c r="DN49" s="89" t="n">
        <f aca="false">DN46-DN47-DN48</f>
        <v>0</v>
      </c>
      <c r="DO49" s="89" t="n">
        <f aca="false">DO46-DO47-DO48</f>
        <v>0</v>
      </c>
      <c r="DP49" s="89" t="n">
        <f aca="false">DP46-DP47-DP48</f>
        <v>0</v>
      </c>
      <c r="DQ49" s="89" t="n">
        <f aca="false">DQ46-DQ47-DQ48</f>
        <v>0</v>
      </c>
      <c r="DR49" s="89" t="n">
        <f aca="false">DR46-DR47-DR48</f>
        <v>0</v>
      </c>
      <c r="DS49" s="89" t="n">
        <f aca="false">DS46-DS47-DS48</f>
        <v>0</v>
      </c>
      <c r="DT49" s="89" t="n">
        <f aca="false">DT46-DT47-DT48</f>
        <v>0</v>
      </c>
    </row>
    <row r="50" customFormat="false" ht="15" hidden="false" customHeight="false" outlineLevel="0" collapsed="false">
      <c r="C50" s="96" t="n">
        <f aca="false">IF(AND(C48=1,OR(D48="",D48&lt;=$C$11)),1,0)</f>
        <v>0</v>
      </c>
      <c r="D50" s="99" t="n">
        <f aca="false">IF(C45=0,0,N(INDEX($D$13:$D$20,C45)))</f>
        <v>0</v>
      </c>
    </row>
    <row r="51" customFormat="false" ht="15" hidden="false" customHeight="false" outlineLevel="0" collapsed="false">
      <c r="B51" s="6" t="str">
        <f aca="false">"Orden 4: "&amp;D51</f>
        <v>Orden 4: (sin deuda)</v>
      </c>
      <c r="C51" s="96" t="n">
        <f aca="false">IFERROR(MATCH(4,$K$13:$K$20,0),0)</f>
        <v>0</v>
      </c>
      <c r="D51" s="97" t="str">
        <f aca="false">IF(C51=0,"(sin deuda)",INDEX($B$13:$B$20,C51))</f>
        <v>(sin deuda)</v>
      </c>
    </row>
    <row r="52" customFormat="false" ht="15" hidden="false" customHeight="false" outlineLevel="0" collapsed="false">
      <c r="B52" s="17" t="s">
        <v>380</v>
      </c>
      <c r="C52" s="98" t="n">
        <f aca="false">IF(C51=0,0,N(INDEX($I$13:$I$20,C51)))</f>
        <v>0</v>
      </c>
      <c r="E52" s="58" t="n">
        <f aca="false">D55*(1+$C$52)</f>
        <v>0</v>
      </c>
      <c r="F52" s="58" t="n">
        <f aca="false">E55*(1+$C$52)</f>
        <v>0</v>
      </c>
      <c r="G52" s="58" t="n">
        <f aca="false">F55*(1+$C$52)</f>
        <v>0</v>
      </c>
      <c r="H52" s="58" t="n">
        <f aca="false">G55*(1+$C$52)</f>
        <v>0</v>
      </c>
      <c r="I52" s="58" t="n">
        <f aca="false">H55*(1+$C$52)</f>
        <v>0</v>
      </c>
      <c r="J52" s="58" t="n">
        <f aca="false">I55*(1+$C$52)</f>
        <v>0</v>
      </c>
      <c r="K52" s="58" t="n">
        <f aca="false">J55*(1+$C$52)</f>
        <v>0</v>
      </c>
      <c r="L52" s="58" t="n">
        <f aca="false">K55*(1+$C$52)</f>
        <v>0</v>
      </c>
      <c r="M52" s="58" t="n">
        <f aca="false">L55*(1+$C$52)</f>
        <v>0</v>
      </c>
      <c r="N52" s="58" t="n">
        <f aca="false">M55*(1+$C$52)</f>
        <v>0</v>
      </c>
      <c r="O52" s="58" t="n">
        <f aca="false">N55*(1+$C$52)</f>
        <v>0</v>
      </c>
      <c r="P52" s="58" t="n">
        <f aca="false">O55*(1+$C$52)</f>
        <v>0</v>
      </c>
      <c r="Q52" s="58" t="n">
        <f aca="false">P55*(1+$C$52)</f>
        <v>0</v>
      </c>
      <c r="R52" s="58" t="n">
        <f aca="false">Q55*(1+$C$52)</f>
        <v>0</v>
      </c>
      <c r="S52" s="58" t="n">
        <f aca="false">R55*(1+$C$52)</f>
        <v>0</v>
      </c>
      <c r="T52" s="58" t="n">
        <f aca="false">S55*(1+$C$52)</f>
        <v>0</v>
      </c>
      <c r="U52" s="58" t="n">
        <f aca="false">T55*(1+$C$52)</f>
        <v>0</v>
      </c>
      <c r="V52" s="58" t="n">
        <f aca="false">U55*(1+$C$52)</f>
        <v>0</v>
      </c>
      <c r="W52" s="58" t="n">
        <f aca="false">V55*(1+$C$52)</f>
        <v>0</v>
      </c>
      <c r="X52" s="58" t="n">
        <f aca="false">W55*(1+$C$52)</f>
        <v>0</v>
      </c>
      <c r="Y52" s="58" t="n">
        <f aca="false">X55*(1+$C$52)</f>
        <v>0</v>
      </c>
      <c r="Z52" s="58" t="n">
        <f aca="false">Y55*(1+$C$52)</f>
        <v>0</v>
      </c>
      <c r="AA52" s="58" t="n">
        <f aca="false">Z55*(1+$C$52)</f>
        <v>0</v>
      </c>
      <c r="AB52" s="58" t="n">
        <f aca="false">AA55*(1+$C$52)</f>
        <v>0</v>
      </c>
      <c r="AC52" s="58" t="n">
        <f aca="false">AB55*(1+$C$52)</f>
        <v>0</v>
      </c>
      <c r="AD52" s="58" t="n">
        <f aca="false">AC55*(1+$C$52)</f>
        <v>0</v>
      </c>
      <c r="AE52" s="58" t="n">
        <f aca="false">AD55*(1+$C$52)</f>
        <v>0</v>
      </c>
      <c r="AF52" s="58" t="n">
        <f aca="false">AE55*(1+$C$52)</f>
        <v>0</v>
      </c>
      <c r="AG52" s="58" t="n">
        <f aca="false">AF55*(1+$C$52)</f>
        <v>0</v>
      </c>
      <c r="AH52" s="58" t="n">
        <f aca="false">AG55*(1+$C$52)</f>
        <v>0</v>
      </c>
      <c r="AI52" s="58" t="n">
        <f aca="false">AH55*(1+$C$52)</f>
        <v>0</v>
      </c>
      <c r="AJ52" s="58" t="n">
        <f aca="false">AI55*(1+$C$52)</f>
        <v>0</v>
      </c>
      <c r="AK52" s="58" t="n">
        <f aca="false">AJ55*(1+$C$52)</f>
        <v>0</v>
      </c>
      <c r="AL52" s="58" t="n">
        <f aca="false">AK55*(1+$C$52)</f>
        <v>0</v>
      </c>
      <c r="AM52" s="58" t="n">
        <f aca="false">AL55*(1+$C$52)</f>
        <v>0</v>
      </c>
      <c r="AN52" s="58" t="n">
        <f aca="false">AM55*(1+$C$52)</f>
        <v>0</v>
      </c>
      <c r="AO52" s="58" t="n">
        <f aca="false">AN55*(1+$C$52)</f>
        <v>0</v>
      </c>
      <c r="AP52" s="58" t="n">
        <f aca="false">AO55*(1+$C$52)</f>
        <v>0</v>
      </c>
      <c r="AQ52" s="58" t="n">
        <f aca="false">AP55*(1+$C$52)</f>
        <v>0</v>
      </c>
      <c r="AR52" s="58" t="n">
        <f aca="false">AQ55*(1+$C$52)</f>
        <v>0</v>
      </c>
      <c r="AS52" s="58" t="n">
        <f aca="false">AR55*(1+$C$52)</f>
        <v>0</v>
      </c>
      <c r="AT52" s="58" t="n">
        <f aca="false">AS55*(1+$C$52)</f>
        <v>0</v>
      </c>
      <c r="AU52" s="58" t="n">
        <f aca="false">AT55*(1+$C$52)</f>
        <v>0</v>
      </c>
      <c r="AV52" s="58" t="n">
        <f aca="false">AU55*(1+$C$52)</f>
        <v>0</v>
      </c>
      <c r="AW52" s="58" t="n">
        <f aca="false">AV55*(1+$C$52)</f>
        <v>0</v>
      </c>
      <c r="AX52" s="58" t="n">
        <f aca="false">AW55*(1+$C$52)</f>
        <v>0</v>
      </c>
      <c r="AY52" s="58" t="n">
        <f aca="false">AX55*(1+$C$52)</f>
        <v>0</v>
      </c>
      <c r="AZ52" s="58" t="n">
        <f aca="false">AY55*(1+$C$52)</f>
        <v>0</v>
      </c>
      <c r="BA52" s="58" t="n">
        <f aca="false">AZ55*(1+$C$52)</f>
        <v>0</v>
      </c>
      <c r="BB52" s="58" t="n">
        <f aca="false">BA55*(1+$C$52)</f>
        <v>0</v>
      </c>
      <c r="BC52" s="58" t="n">
        <f aca="false">BB55*(1+$C$52)</f>
        <v>0</v>
      </c>
      <c r="BD52" s="58" t="n">
        <f aca="false">BC55*(1+$C$52)</f>
        <v>0</v>
      </c>
      <c r="BE52" s="58" t="n">
        <f aca="false">BD55*(1+$C$52)</f>
        <v>0</v>
      </c>
      <c r="BF52" s="58" t="n">
        <f aca="false">BE55*(1+$C$52)</f>
        <v>0</v>
      </c>
      <c r="BG52" s="58" t="n">
        <f aca="false">BF55*(1+$C$52)</f>
        <v>0</v>
      </c>
      <c r="BH52" s="58" t="n">
        <f aca="false">BG55*(1+$C$52)</f>
        <v>0</v>
      </c>
      <c r="BI52" s="58" t="n">
        <f aca="false">BH55*(1+$C$52)</f>
        <v>0</v>
      </c>
      <c r="BJ52" s="58" t="n">
        <f aca="false">BI55*(1+$C$52)</f>
        <v>0</v>
      </c>
      <c r="BK52" s="58" t="n">
        <f aca="false">BJ55*(1+$C$52)</f>
        <v>0</v>
      </c>
      <c r="BL52" s="58" t="n">
        <f aca="false">BK55*(1+$C$52)</f>
        <v>0</v>
      </c>
      <c r="BM52" s="58" t="n">
        <f aca="false">BL55*(1+$C$52)</f>
        <v>0</v>
      </c>
      <c r="BN52" s="58" t="n">
        <f aca="false">BM55*(1+$C$52)</f>
        <v>0</v>
      </c>
      <c r="BO52" s="58" t="n">
        <f aca="false">BN55*(1+$C$52)</f>
        <v>0</v>
      </c>
      <c r="BP52" s="58" t="n">
        <f aca="false">BO55*(1+$C$52)</f>
        <v>0</v>
      </c>
      <c r="BQ52" s="58" t="n">
        <f aca="false">BP55*(1+$C$52)</f>
        <v>0</v>
      </c>
      <c r="BR52" s="58" t="n">
        <f aca="false">BQ55*(1+$C$52)</f>
        <v>0</v>
      </c>
      <c r="BS52" s="58" t="n">
        <f aca="false">BR55*(1+$C$52)</f>
        <v>0</v>
      </c>
      <c r="BT52" s="58" t="n">
        <f aca="false">BS55*(1+$C$52)</f>
        <v>0</v>
      </c>
      <c r="BU52" s="58" t="n">
        <f aca="false">BT55*(1+$C$52)</f>
        <v>0</v>
      </c>
      <c r="BV52" s="58" t="n">
        <f aca="false">BU55*(1+$C$52)</f>
        <v>0</v>
      </c>
      <c r="BW52" s="58" t="n">
        <f aca="false">BV55*(1+$C$52)</f>
        <v>0</v>
      </c>
      <c r="BX52" s="58" t="n">
        <f aca="false">BW55*(1+$C$52)</f>
        <v>0</v>
      </c>
      <c r="BY52" s="58" t="n">
        <f aca="false">BX55*(1+$C$52)</f>
        <v>0</v>
      </c>
      <c r="BZ52" s="58" t="n">
        <f aca="false">BY55*(1+$C$52)</f>
        <v>0</v>
      </c>
      <c r="CA52" s="58" t="n">
        <f aca="false">BZ55*(1+$C$52)</f>
        <v>0</v>
      </c>
      <c r="CB52" s="58" t="n">
        <f aca="false">CA55*(1+$C$52)</f>
        <v>0</v>
      </c>
      <c r="CC52" s="58" t="n">
        <f aca="false">CB55*(1+$C$52)</f>
        <v>0</v>
      </c>
      <c r="CD52" s="58" t="n">
        <f aca="false">CC55*(1+$C$52)</f>
        <v>0</v>
      </c>
      <c r="CE52" s="58" t="n">
        <f aca="false">CD55*(1+$C$52)</f>
        <v>0</v>
      </c>
      <c r="CF52" s="58" t="n">
        <f aca="false">CE55*(1+$C$52)</f>
        <v>0</v>
      </c>
      <c r="CG52" s="58" t="n">
        <f aca="false">CF55*(1+$C$52)</f>
        <v>0</v>
      </c>
      <c r="CH52" s="58" t="n">
        <f aca="false">CG55*(1+$C$52)</f>
        <v>0</v>
      </c>
      <c r="CI52" s="58" t="n">
        <f aca="false">CH55*(1+$C$52)</f>
        <v>0</v>
      </c>
      <c r="CJ52" s="58" t="n">
        <f aca="false">CI55*(1+$C$52)</f>
        <v>0</v>
      </c>
      <c r="CK52" s="58" t="n">
        <f aca="false">CJ55*(1+$C$52)</f>
        <v>0</v>
      </c>
      <c r="CL52" s="58" t="n">
        <f aca="false">CK55*(1+$C$52)</f>
        <v>0</v>
      </c>
      <c r="CM52" s="58" t="n">
        <f aca="false">CL55*(1+$C$52)</f>
        <v>0</v>
      </c>
      <c r="CN52" s="58" t="n">
        <f aca="false">CM55*(1+$C$52)</f>
        <v>0</v>
      </c>
      <c r="CO52" s="58" t="n">
        <f aca="false">CN55*(1+$C$52)</f>
        <v>0</v>
      </c>
      <c r="CP52" s="58" t="n">
        <f aca="false">CO55*(1+$C$52)</f>
        <v>0</v>
      </c>
      <c r="CQ52" s="58" t="n">
        <f aca="false">CP55*(1+$C$52)</f>
        <v>0</v>
      </c>
      <c r="CR52" s="58" t="n">
        <f aca="false">CQ55*(1+$C$52)</f>
        <v>0</v>
      </c>
      <c r="CS52" s="58" t="n">
        <f aca="false">CR55*(1+$C$52)</f>
        <v>0</v>
      </c>
      <c r="CT52" s="58" t="n">
        <f aca="false">CS55*(1+$C$52)</f>
        <v>0</v>
      </c>
      <c r="CU52" s="58" t="n">
        <f aca="false">CT55*(1+$C$52)</f>
        <v>0</v>
      </c>
      <c r="CV52" s="58" t="n">
        <f aca="false">CU55*(1+$C$52)</f>
        <v>0</v>
      </c>
      <c r="CW52" s="58" t="n">
        <f aca="false">CV55*(1+$C$52)</f>
        <v>0</v>
      </c>
      <c r="CX52" s="58" t="n">
        <f aca="false">CW55*(1+$C$52)</f>
        <v>0</v>
      </c>
      <c r="CY52" s="58" t="n">
        <f aca="false">CX55*(1+$C$52)</f>
        <v>0</v>
      </c>
      <c r="CZ52" s="58" t="n">
        <f aca="false">CY55*(1+$C$52)</f>
        <v>0</v>
      </c>
      <c r="DA52" s="58" t="n">
        <f aca="false">CZ55*(1+$C$52)</f>
        <v>0</v>
      </c>
      <c r="DB52" s="58" t="n">
        <f aca="false">DA55*(1+$C$52)</f>
        <v>0</v>
      </c>
      <c r="DC52" s="58" t="n">
        <f aca="false">DB55*(1+$C$52)</f>
        <v>0</v>
      </c>
      <c r="DD52" s="58" t="n">
        <f aca="false">DC55*(1+$C$52)</f>
        <v>0</v>
      </c>
      <c r="DE52" s="58" t="n">
        <f aca="false">DD55*(1+$C$52)</f>
        <v>0</v>
      </c>
      <c r="DF52" s="58" t="n">
        <f aca="false">DE55*(1+$C$52)</f>
        <v>0</v>
      </c>
      <c r="DG52" s="58" t="n">
        <f aca="false">DF55*(1+$C$52)</f>
        <v>0</v>
      </c>
      <c r="DH52" s="58" t="n">
        <f aca="false">DG55*(1+$C$52)</f>
        <v>0</v>
      </c>
      <c r="DI52" s="58" t="n">
        <f aca="false">DH55*(1+$C$52)</f>
        <v>0</v>
      </c>
      <c r="DJ52" s="58" t="n">
        <f aca="false">DI55*(1+$C$52)</f>
        <v>0</v>
      </c>
      <c r="DK52" s="58" t="n">
        <f aca="false">DJ55*(1+$C$52)</f>
        <v>0</v>
      </c>
      <c r="DL52" s="58" t="n">
        <f aca="false">DK55*(1+$C$52)</f>
        <v>0</v>
      </c>
      <c r="DM52" s="58" t="n">
        <f aca="false">DL55*(1+$C$52)</f>
        <v>0</v>
      </c>
      <c r="DN52" s="58" t="n">
        <f aca="false">DM55*(1+$C$52)</f>
        <v>0</v>
      </c>
      <c r="DO52" s="58" t="n">
        <f aca="false">DN55*(1+$C$52)</f>
        <v>0</v>
      </c>
      <c r="DP52" s="58" t="n">
        <f aca="false">DO55*(1+$C$52)</f>
        <v>0</v>
      </c>
      <c r="DQ52" s="58" t="n">
        <f aca="false">DP55*(1+$C$52)</f>
        <v>0</v>
      </c>
      <c r="DR52" s="58" t="n">
        <f aca="false">DQ55*(1+$C$52)</f>
        <v>0</v>
      </c>
      <c r="DS52" s="58" t="n">
        <f aca="false">DR55*(1+$C$52)</f>
        <v>0</v>
      </c>
      <c r="DT52" s="58" t="n">
        <f aca="false">DS55*(1+$C$52)</f>
        <v>0</v>
      </c>
    </row>
    <row r="53" customFormat="false" ht="15" hidden="false" customHeight="false" outlineLevel="0" collapsed="false">
      <c r="B53" s="17" t="s">
        <v>381</v>
      </c>
      <c r="C53" s="99" t="n">
        <f aca="false">IF(C51=0,0,N(INDEX($F$13:$F$20,C51)))</f>
        <v>0</v>
      </c>
      <c r="E53" s="58" t="n">
        <f aca="false">MIN($C$53,E52)</f>
        <v>0</v>
      </c>
      <c r="F53" s="58" t="n">
        <f aca="false">MIN($C$53,F52)</f>
        <v>0</v>
      </c>
      <c r="G53" s="58" t="n">
        <f aca="false">MIN($C$53,G52)</f>
        <v>0</v>
      </c>
      <c r="H53" s="58" t="n">
        <f aca="false">MIN($C$53,H52)</f>
        <v>0</v>
      </c>
      <c r="I53" s="58" t="n">
        <f aca="false">MIN($C$53,I52)</f>
        <v>0</v>
      </c>
      <c r="J53" s="58" t="n">
        <f aca="false">MIN($C$53,J52)</f>
        <v>0</v>
      </c>
      <c r="K53" s="58" t="n">
        <f aca="false">MIN($C$53,K52)</f>
        <v>0</v>
      </c>
      <c r="L53" s="58" t="n">
        <f aca="false">MIN($C$53,L52)</f>
        <v>0</v>
      </c>
      <c r="M53" s="58" t="n">
        <f aca="false">MIN($C$53,M52)</f>
        <v>0</v>
      </c>
      <c r="N53" s="58" t="n">
        <f aca="false">MIN($C$53,N52)</f>
        <v>0</v>
      </c>
      <c r="O53" s="58" t="n">
        <f aca="false">MIN($C$53,O52)</f>
        <v>0</v>
      </c>
      <c r="P53" s="58" t="n">
        <f aca="false">MIN($C$53,P52)</f>
        <v>0</v>
      </c>
      <c r="Q53" s="58" t="n">
        <f aca="false">MIN($C$53,Q52)</f>
        <v>0</v>
      </c>
      <c r="R53" s="58" t="n">
        <f aca="false">MIN($C$53,R52)</f>
        <v>0</v>
      </c>
      <c r="S53" s="58" t="n">
        <f aca="false">MIN($C$53,S52)</f>
        <v>0</v>
      </c>
      <c r="T53" s="58" t="n">
        <f aca="false">MIN($C$53,T52)</f>
        <v>0</v>
      </c>
      <c r="U53" s="58" t="n">
        <f aca="false">MIN($C$53,U52)</f>
        <v>0</v>
      </c>
      <c r="V53" s="58" t="n">
        <f aca="false">MIN($C$53,V52)</f>
        <v>0</v>
      </c>
      <c r="W53" s="58" t="n">
        <f aca="false">MIN($C$53,W52)</f>
        <v>0</v>
      </c>
      <c r="X53" s="58" t="n">
        <f aca="false">MIN($C$53,X52)</f>
        <v>0</v>
      </c>
      <c r="Y53" s="58" t="n">
        <f aca="false">MIN($C$53,Y52)</f>
        <v>0</v>
      </c>
      <c r="Z53" s="58" t="n">
        <f aca="false">MIN($C$53,Z52)</f>
        <v>0</v>
      </c>
      <c r="AA53" s="58" t="n">
        <f aca="false">MIN($C$53,AA52)</f>
        <v>0</v>
      </c>
      <c r="AB53" s="58" t="n">
        <f aca="false">MIN($C$53,AB52)</f>
        <v>0</v>
      </c>
      <c r="AC53" s="58" t="n">
        <f aca="false">MIN($C$53,AC52)</f>
        <v>0</v>
      </c>
      <c r="AD53" s="58" t="n">
        <f aca="false">MIN($C$53,AD52)</f>
        <v>0</v>
      </c>
      <c r="AE53" s="58" t="n">
        <f aca="false">MIN($C$53,AE52)</f>
        <v>0</v>
      </c>
      <c r="AF53" s="58" t="n">
        <f aca="false">MIN($C$53,AF52)</f>
        <v>0</v>
      </c>
      <c r="AG53" s="58" t="n">
        <f aca="false">MIN($C$53,AG52)</f>
        <v>0</v>
      </c>
      <c r="AH53" s="58" t="n">
        <f aca="false">MIN($C$53,AH52)</f>
        <v>0</v>
      </c>
      <c r="AI53" s="58" t="n">
        <f aca="false">MIN($C$53,AI52)</f>
        <v>0</v>
      </c>
      <c r="AJ53" s="58" t="n">
        <f aca="false">MIN($C$53,AJ52)</f>
        <v>0</v>
      </c>
      <c r="AK53" s="58" t="n">
        <f aca="false">MIN($C$53,AK52)</f>
        <v>0</v>
      </c>
      <c r="AL53" s="58" t="n">
        <f aca="false">MIN($C$53,AL52)</f>
        <v>0</v>
      </c>
      <c r="AM53" s="58" t="n">
        <f aca="false">MIN($C$53,AM52)</f>
        <v>0</v>
      </c>
      <c r="AN53" s="58" t="n">
        <f aca="false">MIN($C$53,AN52)</f>
        <v>0</v>
      </c>
      <c r="AO53" s="58" t="n">
        <f aca="false">MIN($C$53,AO52)</f>
        <v>0</v>
      </c>
      <c r="AP53" s="58" t="n">
        <f aca="false">MIN($C$53,AP52)</f>
        <v>0</v>
      </c>
      <c r="AQ53" s="58" t="n">
        <f aca="false">MIN($C$53,AQ52)</f>
        <v>0</v>
      </c>
      <c r="AR53" s="58" t="n">
        <f aca="false">MIN($C$53,AR52)</f>
        <v>0</v>
      </c>
      <c r="AS53" s="58" t="n">
        <f aca="false">MIN($C$53,AS52)</f>
        <v>0</v>
      </c>
      <c r="AT53" s="58" t="n">
        <f aca="false">MIN($C$53,AT52)</f>
        <v>0</v>
      </c>
      <c r="AU53" s="58" t="n">
        <f aca="false">MIN($C$53,AU52)</f>
        <v>0</v>
      </c>
      <c r="AV53" s="58" t="n">
        <f aca="false">MIN($C$53,AV52)</f>
        <v>0</v>
      </c>
      <c r="AW53" s="58" t="n">
        <f aca="false">MIN($C$53,AW52)</f>
        <v>0</v>
      </c>
      <c r="AX53" s="58" t="n">
        <f aca="false">MIN($C$53,AX52)</f>
        <v>0</v>
      </c>
      <c r="AY53" s="58" t="n">
        <f aca="false">MIN($C$53,AY52)</f>
        <v>0</v>
      </c>
      <c r="AZ53" s="58" t="n">
        <f aca="false">MIN($C$53,AZ52)</f>
        <v>0</v>
      </c>
      <c r="BA53" s="58" t="n">
        <f aca="false">MIN($C$53,BA52)</f>
        <v>0</v>
      </c>
      <c r="BB53" s="58" t="n">
        <f aca="false">MIN($C$53,BB52)</f>
        <v>0</v>
      </c>
      <c r="BC53" s="58" t="n">
        <f aca="false">MIN($C$53,BC52)</f>
        <v>0</v>
      </c>
      <c r="BD53" s="58" t="n">
        <f aca="false">MIN($C$53,BD52)</f>
        <v>0</v>
      </c>
      <c r="BE53" s="58" t="n">
        <f aca="false">MIN($C$53,BE52)</f>
        <v>0</v>
      </c>
      <c r="BF53" s="58" t="n">
        <f aca="false">MIN($C$53,BF52)</f>
        <v>0</v>
      </c>
      <c r="BG53" s="58" t="n">
        <f aca="false">MIN($C$53,BG52)</f>
        <v>0</v>
      </c>
      <c r="BH53" s="58" t="n">
        <f aca="false">MIN($C$53,BH52)</f>
        <v>0</v>
      </c>
      <c r="BI53" s="58" t="n">
        <f aca="false">MIN($C$53,BI52)</f>
        <v>0</v>
      </c>
      <c r="BJ53" s="58" t="n">
        <f aca="false">MIN($C$53,BJ52)</f>
        <v>0</v>
      </c>
      <c r="BK53" s="58" t="n">
        <f aca="false">MIN($C$53,BK52)</f>
        <v>0</v>
      </c>
      <c r="BL53" s="58" t="n">
        <f aca="false">MIN($C$53,BL52)</f>
        <v>0</v>
      </c>
      <c r="BM53" s="58" t="n">
        <f aca="false">MIN($C$53,BM52)</f>
        <v>0</v>
      </c>
      <c r="BN53" s="58" t="n">
        <f aca="false">MIN($C$53,BN52)</f>
        <v>0</v>
      </c>
      <c r="BO53" s="58" t="n">
        <f aca="false">MIN($C$53,BO52)</f>
        <v>0</v>
      </c>
      <c r="BP53" s="58" t="n">
        <f aca="false">MIN($C$53,BP52)</f>
        <v>0</v>
      </c>
      <c r="BQ53" s="58" t="n">
        <f aca="false">MIN($C$53,BQ52)</f>
        <v>0</v>
      </c>
      <c r="BR53" s="58" t="n">
        <f aca="false">MIN($C$53,BR52)</f>
        <v>0</v>
      </c>
      <c r="BS53" s="58" t="n">
        <f aca="false">MIN($C$53,BS52)</f>
        <v>0</v>
      </c>
      <c r="BT53" s="58" t="n">
        <f aca="false">MIN($C$53,BT52)</f>
        <v>0</v>
      </c>
      <c r="BU53" s="58" t="n">
        <f aca="false">MIN($C$53,BU52)</f>
        <v>0</v>
      </c>
      <c r="BV53" s="58" t="n">
        <f aca="false">MIN($C$53,BV52)</f>
        <v>0</v>
      </c>
      <c r="BW53" s="58" t="n">
        <f aca="false">MIN($C$53,BW52)</f>
        <v>0</v>
      </c>
      <c r="BX53" s="58" t="n">
        <f aca="false">MIN($C$53,BX52)</f>
        <v>0</v>
      </c>
      <c r="BY53" s="58" t="n">
        <f aca="false">MIN($C$53,BY52)</f>
        <v>0</v>
      </c>
      <c r="BZ53" s="58" t="n">
        <f aca="false">MIN($C$53,BZ52)</f>
        <v>0</v>
      </c>
      <c r="CA53" s="58" t="n">
        <f aca="false">MIN($C$53,CA52)</f>
        <v>0</v>
      </c>
      <c r="CB53" s="58" t="n">
        <f aca="false">MIN($C$53,CB52)</f>
        <v>0</v>
      </c>
      <c r="CC53" s="58" t="n">
        <f aca="false">MIN($C$53,CC52)</f>
        <v>0</v>
      </c>
      <c r="CD53" s="58" t="n">
        <f aca="false">MIN($C$53,CD52)</f>
        <v>0</v>
      </c>
      <c r="CE53" s="58" t="n">
        <f aca="false">MIN($C$53,CE52)</f>
        <v>0</v>
      </c>
      <c r="CF53" s="58" t="n">
        <f aca="false">MIN($C$53,CF52)</f>
        <v>0</v>
      </c>
      <c r="CG53" s="58" t="n">
        <f aca="false">MIN($C$53,CG52)</f>
        <v>0</v>
      </c>
      <c r="CH53" s="58" t="n">
        <f aca="false">MIN($C$53,CH52)</f>
        <v>0</v>
      </c>
      <c r="CI53" s="58" t="n">
        <f aca="false">MIN($C$53,CI52)</f>
        <v>0</v>
      </c>
      <c r="CJ53" s="58" t="n">
        <f aca="false">MIN($C$53,CJ52)</f>
        <v>0</v>
      </c>
      <c r="CK53" s="58" t="n">
        <f aca="false">MIN($C$53,CK52)</f>
        <v>0</v>
      </c>
      <c r="CL53" s="58" t="n">
        <f aca="false">MIN($C$53,CL52)</f>
        <v>0</v>
      </c>
      <c r="CM53" s="58" t="n">
        <f aca="false">MIN($C$53,CM52)</f>
        <v>0</v>
      </c>
      <c r="CN53" s="58" t="n">
        <f aca="false">MIN($C$53,CN52)</f>
        <v>0</v>
      </c>
      <c r="CO53" s="58" t="n">
        <f aca="false">MIN($C$53,CO52)</f>
        <v>0</v>
      </c>
      <c r="CP53" s="58" t="n">
        <f aca="false">MIN($C$53,CP52)</f>
        <v>0</v>
      </c>
      <c r="CQ53" s="58" t="n">
        <f aca="false">MIN($C$53,CQ52)</f>
        <v>0</v>
      </c>
      <c r="CR53" s="58" t="n">
        <f aca="false">MIN($C$53,CR52)</f>
        <v>0</v>
      </c>
      <c r="CS53" s="58" t="n">
        <f aca="false">MIN($C$53,CS52)</f>
        <v>0</v>
      </c>
      <c r="CT53" s="58" t="n">
        <f aca="false">MIN($C$53,CT52)</f>
        <v>0</v>
      </c>
      <c r="CU53" s="58" t="n">
        <f aca="false">MIN($C$53,CU52)</f>
        <v>0</v>
      </c>
      <c r="CV53" s="58" t="n">
        <f aca="false">MIN($C$53,CV52)</f>
        <v>0</v>
      </c>
      <c r="CW53" s="58" t="n">
        <f aca="false">MIN($C$53,CW52)</f>
        <v>0</v>
      </c>
      <c r="CX53" s="58" t="n">
        <f aca="false">MIN($C$53,CX52)</f>
        <v>0</v>
      </c>
      <c r="CY53" s="58" t="n">
        <f aca="false">MIN($C$53,CY52)</f>
        <v>0</v>
      </c>
      <c r="CZ53" s="58" t="n">
        <f aca="false">MIN($C$53,CZ52)</f>
        <v>0</v>
      </c>
      <c r="DA53" s="58" t="n">
        <f aca="false">MIN($C$53,DA52)</f>
        <v>0</v>
      </c>
      <c r="DB53" s="58" t="n">
        <f aca="false">MIN($C$53,DB52)</f>
        <v>0</v>
      </c>
      <c r="DC53" s="58" t="n">
        <f aca="false">MIN($C$53,DC52)</f>
        <v>0</v>
      </c>
      <c r="DD53" s="58" t="n">
        <f aca="false">MIN($C$53,DD52)</f>
        <v>0</v>
      </c>
      <c r="DE53" s="58" t="n">
        <f aca="false">MIN($C$53,DE52)</f>
        <v>0</v>
      </c>
      <c r="DF53" s="58" t="n">
        <f aca="false">MIN($C$53,DF52)</f>
        <v>0</v>
      </c>
      <c r="DG53" s="58" t="n">
        <f aca="false">MIN($C$53,DG52)</f>
        <v>0</v>
      </c>
      <c r="DH53" s="58" t="n">
        <f aca="false">MIN($C$53,DH52)</f>
        <v>0</v>
      </c>
      <c r="DI53" s="58" t="n">
        <f aca="false">MIN($C$53,DI52)</f>
        <v>0</v>
      </c>
      <c r="DJ53" s="58" t="n">
        <f aca="false">MIN($C$53,DJ52)</f>
        <v>0</v>
      </c>
      <c r="DK53" s="58" t="n">
        <f aca="false">MIN($C$53,DK52)</f>
        <v>0</v>
      </c>
      <c r="DL53" s="58" t="n">
        <f aca="false">MIN($C$53,DL52)</f>
        <v>0</v>
      </c>
      <c r="DM53" s="58" t="n">
        <f aca="false">MIN($C$53,DM52)</f>
        <v>0</v>
      </c>
      <c r="DN53" s="58" t="n">
        <f aca="false">MIN($C$53,DN52)</f>
        <v>0</v>
      </c>
      <c r="DO53" s="58" t="n">
        <f aca="false">MIN($C$53,DO52)</f>
        <v>0</v>
      </c>
      <c r="DP53" s="58" t="n">
        <f aca="false">MIN($C$53,DP52)</f>
        <v>0</v>
      </c>
      <c r="DQ53" s="58" t="n">
        <f aca="false">MIN($C$53,DQ52)</f>
        <v>0</v>
      </c>
      <c r="DR53" s="58" t="n">
        <f aca="false">MIN($C$53,DR52)</f>
        <v>0</v>
      </c>
      <c r="DS53" s="58" t="n">
        <f aca="false">MIN($C$53,DS52)</f>
        <v>0</v>
      </c>
      <c r="DT53" s="58" t="n">
        <f aca="false">MIN($C$53,DT52)</f>
        <v>0</v>
      </c>
    </row>
    <row r="54" customFormat="false" ht="15" hidden="false" customHeight="false" outlineLevel="0" collapsed="false">
      <c r="B54" s="17" t="s">
        <v>382</v>
      </c>
      <c r="C54" s="96" t="n">
        <f aca="false">IF(C51=0,0,IF(INDEX($G$13:$G$20,C51)="No",0,1))</f>
        <v>0</v>
      </c>
      <c r="D54" s="100" t="str">
        <f aca="false">IF(C51=0,"",IF(N(INDEX($H$13:$H$20,C51))=0,"",INDEX($H$13:$H$20,C51)))</f>
        <v/>
      </c>
      <c r="E54" s="58" t="n">
        <f aca="false">IF(AND($C$54=1,OR($D$54="",E$29&gt;=$D$54)),MAX(0,MIN(E52-E53,E$31-(E36+E42+E48))),0)</f>
        <v>0</v>
      </c>
      <c r="F54" s="58" t="n">
        <f aca="false">IF(AND($C$54=1,OR($D$54="",F$29&gt;=$D$54)),MAX(0,MIN(F52-F53,F$31-(F36+F42+F48))),0)</f>
        <v>0</v>
      </c>
      <c r="G54" s="58" t="n">
        <f aca="false">IF(AND($C$54=1,OR($D$54="",G$29&gt;=$D$54)),MAX(0,MIN(G52-G53,G$31-(G36+G42+G48))),0)</f>
        <v>0</v>
      </c>
      <c r="H54" s="58" t="n">
        <f aca="false">IF(AND($C$54=1,OR($D$54="",H$29&gt;=$D$54)),MAX(0,MIN(H52-H53,H$31-(H36+H42+H48))),0)</f>
        <v>0</v>
      </c>
      <c r="I54" s="58" t="n">
        <f aca="false">IF(AND($C$54=1,OR($D$54="",I$29&gt;=$D$54)),MAX(0,MIN(I52-I53,I$31-(I36+I42+I48))),0)</f>
        <v>0</v>
      </c>
      <c r="J54" s="58" t="n">
        <f aca="false">IF(AND($C$54=1,OR($D$54="",J$29&gt;=$D$54)),MAX(0,MIN(J52-J53,J$31-(J36+J42+J48))),0)</f>
        <v>0</v>
      </c>
      <c r="K54" s="58" t="n">
        <f aca="false">IF(AND($C$54=1,OR($D$54="",K$29&gt;=$D$54)),MAX(0,MIN(K52-K53,K$31-(K36+K42+K48))),0)</f>
        <v>0</v>
      </c>
      <c r="L54" s="58" t="n">
        <f aca="false">IF(AND($C$54=1,OR($D$54="",L$29&gt;=$D$54)),MAX(0,MIN(L52-L53,L$31-(L36+L42+L48))),0)</f>
        <v>0</v>
      </c>
      <c r="M54" s="58" t="n">
        <f aca="false">IF(AND($C$54=1,OR($D$54="",M$29&gt;=$D$54)),MAX(0,MIN(M52-M53,M$31-(M36+M42+M48))),0)</f>
        <v>0</v>
      </c>
      <c r="N54" s="58" t="n">
        <f aca="false">IF(AND($C$54=1,OR($D$54="",N$29&gt;=$D$54)),MAX(0,MIN(N52-N53,N$31-(N36+N42+N48))),0)</f>
        <v>0</v>
      </c>
      <c r="O54" s="58" t="n">
        <f aca="false">IF(AND($C$54=1,OR($D$54="",O$29&gt;=$D$54)),MAX(0,MIN(O52-O53,O$31-(O36+O42+O48))),0)</f>
        <v>0</v>
      </c>
      <c r="P54" s="58" t="n">
        <f aca="false">IF(AND($C$54=1,OR($D$54="",P$29&gt;=$D$54)),MAX(0,MIN(P52-P53,P$31-(P36+P42+P48))),0)</f>
        <v>0</v>
      </c>
      <c r="Q54" s="58" t="n">
        <f aca="false">IF(AND($C$54=1,OR($D$54="",Q$29&gt;=$D$54)),MAX(0,MIN(Q52-Q53,Q$31-(Q36+Q42+Q48))),0)</f>
        <v>0</v>
      </c>
      <c r="R54" s="58" t="n">
        <f aca="false">IF(AND($C$54=1,OR($D$54="",R$29&gt;=$D$54)),MAX(0,MIN(R52-R53,R$31-(R36+R42+R48))),0)</f>
        <v>0</v>
      </c>
      <c r="S54" s="58" t="n">
        <f aca="false">IF(AND($C$54=1,OR($D$54="",S$29&gt;=$D$54)),MAX(0,MIN(S52-S53,S$31-(S36+S42+S48))),0)</f>
        <v>0</v>
      </c>
      <c r="T54" s="58" t="n">
        <f aca="false">IF(AND($C$54=1,OR($D$54="",T$29&gt;=$D$54)),MAX(0,MIN(T52-T53,T$31-(T36+T42+T48))),0)</f>
        <v>0</v>
      </c>
      <c r="U54" s="58" t="n">
        <f aca="false">IF(AND($C$54=1,OR($D$54="",U$29&gt;=$D$54)),MAX(0,MIN(U52-U53,U$31-(U36+U42+U48))),0)</f>
        <v>0</v>
      </c>
      <c r="V54" s="58" t="n">
        <f aca="false">IF(AND($C$54=1,OR($D$54="",V$29&gt;=$D$54)),MAX(0,MIN(V52-V53,V$31-(V36+V42+V48))),0)</f>
        <v>0</v>
      </c>
      <c r="W54" s="58" t="n">
        <f aca="false">IF(AND($C$54=1,OR($D$54="",W$29&gt;=$D$54)),MAX(0,MIN(W52-W53,W$31-(W36+W42+W48))),0)</f>
        <v>0</v>
      </c>
      <c r="X54" s="58" t="n">
        <f aca="false">IF(AND($C$54=1,OR($D$54="",X$29&gt;=$D$54)),MAX(0,MIN(X52-X53,X$31-(X36+X42+X48))),0)</f>
        <v>0</v>
      </c>
      <c r="Y54" s="58" t="n">
        <f aca="false">IF(AND($C$54=1,OR($D$54="",Y$29&gt;=$D$54)),MAX(0,MIN(Y52-Y53,Y$31-(Y36+Y42+Y48))),0)</f>
        <v>0</v>
      </c>
      <c r="Z54" s="58" t="n">
        <f aca="false">IF(AND($C$54=1,OR($D$54="",Z$29&gt;=$D$54)),MAX(0,MIN(Z52-Z53,Z$31-(Z36+Z42+Z48))),0)</f>
        <v>0</v>
      </c>
      <c r="AA54" s="58" t="n">
        <f aca="false">IF(AND($C$54=1,OR($D$54="",AA$29&gt;=$D$54)),MAX(0,MIN(AA52-AA53,AA$31-(AA36+AA42+AA48))),0)</f>
        <v>0</v>
      </c>
      <c r="AB54" s="58" t="n">
        <f aca="false">IF(AND($C$54=1,OR($D$54="",AB$29&gt;=$D$54)),MAX(0,MIN(AB52-AB53,AB$31-(AB36+AB42+AB48))),0)</f>
        <v>0</v>
      </c>
      <c r="AC54" s="58" t="n">
        <f aca="false">IF(AND($C$54=1,OR($D$54="",AC$29&gt;=$D$54)),MAX(0,MIN(AC52-AC53,AC$31-(AC36+AC42+AC48))),0)</f>
        <v>0</v>
      </c>
      <c r="AD54" s="58" t="n">
        <f aca="false">IF(AND($C$54=1,OR($D$54="",AD$29&gt;=$D$54)),MAX(0,MIN(AD52-AD53,AD$31-(AD36+AD42+AD48))),0)</f>
        <v>0</v>
      </c>
      <c r="AE54" s="58" t="n">
        <f aca="false">IF(AND($C$54=1,OR($D$54="",AE$29&gt;=$D$54)),MAX(0,MIN(AE52-AE53,AE$31-(AE36+AE42+AE48))),0)</f>
        <v>0</v>
      </c>
      <c r="AF54" s="58" t="n">
        <f aca="false">IF(AND($C$54=1,OR($D$54="",AF$29&gt;=$D$54)),MAX(0,MIN(AF52-AF53,AF$31-(AF36+AF42+AF48))),0)</f>
        <v>0</v>
      </c>
      <c r="AG54" s="58" t="n">
        <f aca="false">IF(AND($C$54=1,OR($D$54="",AG$29&gt;=$D$54)),MAX(0,MIN(AG52-AG53,AG$31-(AG36+AG42+AG48))),0)</f>
        <v>0</v>
      </c>
      <c r="AH54" s="58" t="n">
        <f aca="false">IF(AND($C$54=1,OR($D$54="",AH$29&gt;=$D$54)),MAX(0,MIN(AH52-AH53,AH$31-(AH36+AH42+AH48))),0)</f>
        <v>0</v>
      </c>
      <c r="AI54" s="58" t="n">
        <f aca="false">IF(AND($C$54=1,OR($D$54="",AI$29&gt;=$D$54)),MAX(0,MIN(AI52-AI53,AI$31-(AI36+AI42+AI48))),0)</f>
        <v>0</v>
      </c>
      <c r="AJ54" s="58" t="n">
        <f aca="false">IF(AND($C$54=1,OR($D$54="",AJ$29&gt;=$D$54)),MAX(0,MIN(AJ52-AJ53,AJ$31-(AJ36+AJ42+AJ48))),0)</f>
        <v>0</v>
      </c>
      <c r="AK54" s="58" t="n">
        <f aca="false">IF(AND($C$54=1,OR($D$54="",AK$29&gt;=$D$54)),MAX(0,MIN(AK52-AK53,AK$31-(AK36+AK42+AK48))),0)</f>
        <v>0</v>
      </c>
      <c r="AL54" s="58" t="n">
        <f aca="false">IF(AND($C$54=1,OR($D$54="",AL$29&gt;=$D$54)),MAX(0,MIN(AL52-AL53,AL$31-(AL36+AL42+AL48))),0)</f>
        <v>0</v>
      </c>
      <c r="AM54" s="58" t="n">
        <f aca="false">IF(AND($C$54=1,OR($D$54="",AM$29&gt;=$D$54)),MAX(0,MIN(AM52-AM53,AM$31-(AM36+AM42+AM48))),0)</f>
        <v>0</v>
      </c>
      <c r="AN54" s="58" t="n">
        <f aca="false">IF(AND($C$54=1,OR($D$54="",AN$29&gt;=$D$54)),MAX(0,MIN(AN52-AN53,AN$31-(AN36+AN42+AN48))),0)</f>
        <v>0</v>
      </c>
      <c r="AO54" s="58" t="n">
        <f aca="false">IF(AND($C$54=1,OR($D$54="",AO$29&gt;=$D$54)),MAX(0,MIN(AO52-AO53,AO$31-(AO36+AO42+AO48))),0)</f>
        <v>0</v>
      </c>
      <c r="AP54" s="58" t="n">
        <f aca="false">IF(AND($C$54=1,OR($D$54="",AP$29&gt;=$D$54)),MAX(0,MIN(AP52-AP53,AP$31-(AP36+AP42+AP48))),0)</f>
        <v>0</v>
      </c>
      <c r="AQ54" s="58" t="n">
        <f aca="false">IF(AND($C$54=1,OR($D$54="",AQ$29&gt;=$D$54)),MAX(0,MIN(AQ52-AQ53,AQ$31-(AQ36+AQ42+AQ48))),0)</f>
        <v>0</v>
      </c>
      <c r="AR54" s="58" t="n">
        <f aca="false">IF(AND($C$54=1,OR($D$54="",AR$29&gt;=$D$54)),MAX(0,MIN(AR52-AR53,AR$31-(AR36+AR42+AR48))),0)</f>
        <v>0</v>
      </c>
      <c r="AS54" s="58" t="n">
        <f aca="false">IF(AND($C$54=1,OR($D$54="",AS$29&gt;=$D$54)),MAX(0,MIN(AS52-AS53,AS$31-(AS36+AS42+AS48))),0)</f>
        <v>0</v>
      </c>
      <c r="AT54" s="58" t="n">
        <f aca="false">IF(AND($C$54=1,OR($D$54="",AT$29&gt;=$D$54)),MAX(0,MIN(AT52-AT53,AT$31-(AT36+AT42+AT48))),0)</f>
        <v>0</v>
      </c>
      <c r="AU54" s="58" t="n">
        <f aca="false">IF(AND($C$54=1,OR($D$54="",AU$29&gt;=$D$54)),MAX(0,MIN(AU52-AU53,AU$31-(AU36+AU42+AU48))),0)</f>
        <v>0</v>
      </c>
      <c r="AV54" s="58" t="n">
        <f aca="false">IF(AND($C$54=1,OR($D$54="",AV$29&gt;=$D$54)),MAX(0,MIN(AV52-AV53,AV$31-(AV36+AV42+AV48))),0)</f>
        <v>0</v>
      </c>
      <c r="AW54" s="58" t="n">
        <f aca="false">IF(AND($C$54=1,OR($D$54="",AW$29&gt;=$D$54)),MAX(0,MIN(AW52-AW53,AW$31-(AW36+AW42+AW48))),0)</f>
        <v>0</v>
      </c>
      <c r="AX54" s="58" t="n">
        <f aca="false">IF(AND($C$54=1,OR($D$54="",AX$29&gt;=$D$54)),MAX(0,MIN(AX52-AX53,AX$31-(AX36+AX42+AX48))),0)</f>
        <v>0</v>
      </c>
      <c r="AY54" s="58" t="n">
        <f aca="false">IF(AND($C$54=1,OR($D$54="",AY$29&gt;=$D$54)),MAX(0,MIN(AY52-AY53,AY$31-(AY36+AY42+AY48))),0)</f>
        <v>0</v>
      </c>
      <c r="AZ54" s="58" t="n">
        <f aca="false">IF(AND($C$54=1,OR($D$54="",AZ$29&gt;=$D$54)),MAX(0,MIN(AZ52-AZ53,AZ$31-(AZ36+AZ42+AZ48))),0)</f>
        <v>0</v>
      </c>
      <c r="BA54" s="58" t="n">
        <f aca="false">IF(AND($C$54=1,OR($D$54="",BA$29&gt;=$D$54)),MAX(0,MIN(BA52-BA53,BA$31-(BA36+BA42+BA48))),0)</f>
        <v>0</v>
      </c>
      <c r="BB54" s="58" t="n">
        <f aca="false">IF(AND($C$54=1,OR($D$54="",BB$29&gt;=$D$54)),MAX(0,MIN(BB52-BB53,BB$31-(BB36+BB42+BB48))),0)</f>
        <v>0</v>
      </c>
      <c r="BC54" s="58" t="n">
        <f aca="false">IF(AND($C$54=1,OR($D$54="",BC$29&gt;=$D$54)),MAX(0,MIN(BC52-BC53,BC$31-(BC36+BC42+BC48))),0)</f>
        <v>0</v>
      </c>
      <c r="BD54" s="58" t="n">
        <f aca="false">IF(AND($C$54=1,OR($D$54="",BD$29&gt;=$D$54)),MAX(0,MIN(BD52-BD53,BD$31-(BD36+BD42+BD48))),0)</f>
        <v>0</v>
      </c>
      <c r="BE54" s="58" t="n">
        <f aca="false">IF(AND($C$54=1,OR($D$54="",BE$29&gt;=$D$54)),MAX(0,MIN(BE52-BE53,BE$31-(BE36+BE42+BE48))),0)</f>
        <v>0</v>
      </c>
      <c r="BF54" s="58" t="n">
        <f aca="false">IF(AND($C$54=1,OR($D$54="",BF$29&gt;=$D$54)),MAX(0,MIN(BF52-BF53,BF$31-(BF36+BF42+BF48))),0)</f>
        <v>0</v>
      </c>
      <c r="BG54" s="58" t="n">
        <f aca="false">IF(AND($C$54=1,OR($D$54="",BG$29&gt;=$D$54)),MAX(0,MIN(BG52-BG53,BG$31-(BG36+BG42+BG48))),0)</f>
        <v>0</v>
      </c>
      <c r="BH54" s="58" t="n">
        <f aca="false">IF(AND($C$54=1,OR($D$54="",BH$29&gt;=$D$54)),MAX(0,MIN(BH52-BH53,BH$31-(BH36+BH42+BH48))),0)</f>
        <v>0</v>
      </c>
      <c r="BI54" s="58" t="n">
        <f aca="false">IF(AND($C$54=1,OR($D$54="",BI$29&gt;=$D$54)),MAX(0,MIN(BI52-BI53,BI$31-(BI36+BI42+BI48))),0)</f>
        <v>0</v>
      </c>
      <c r="BJ54" s="58" t="n">
        <f aca="false">IF(AND($C$54=1,OR($D$54="",BJ$29&gt;=$D$54)),MAX(0,MIN(BJ52-BJ53,BJ$31-(BJ36+BJ42+BJ48))),0)</f>
        <v>0</v>
      </c>
      <c r="BK54" s="58" t="n">
        <f aca="false">IF(AND($C$54=1,OR($D$54="",BK$29&gt;=$D$54)),MAX(0,MIN(BK52-BK53,BK$31-(BK36+BK42+BK48))),0)</f>
        <v>0</v>
      </c>
      <c r="BL54" s="58" t="n">
        <f aca="false">IF(AND($C$54=1,OR($D$54="",BL$29&gt;=$D$54)),MAX(0,MIN(BL52-BL53,BL$31-(BL36+BL42+BL48))),0)</f>
        <v>0</v>
      </c>
      <c r="BM54" s="58" t="n">
        <f aca="false">IF(AND($C$54=1,OR($D$54="",BM$29&gt;=$D$54)),MAX(0,MIN(BM52-BM53,BM$31-(BM36+BM42+BM48))),0)</f>
        <v>0</v>
      </c>
      <c r="BN54" s="58" t="n">
        <f aca="false">IF(AND($C$54=1,OR($D$54="",BN$29&gt;=$D$54)),MAX(0,MIN(BN52-BN53,BN$31-(BN36+BN42+BN48))),0)</f>
        <v>0</v>
      </c>
      <c r="BO54" s="58" t="n">
        <f aca="false">IF(AND($C$54=1,OR($D$54="",BO$29&gt;=$D$54)),MAX(0,MIN(BO52-BO53,BO$31-(BO36+BO42+BO48))),0)</f>
        <v>0</v>
      </c>
      <c r="BP54" s="58" t="n">
        <f aca="false">IF(AND($C$54=1,OR($D$54="",BP$29&gt;=$D$54)),MAX(0,MIN(BP52-BP53,BP$31-(BP36+BP42+BP48))),0)</f>
        <v>0</v>
      </c>
      <c r="BQ54" s="58" t="n">
        <f aca="false">IF(AND($C$54=1,OR($D$54="",BQ$29&gt;=$D$54)),MAX(0,MIN(BQ52-BQ53,BQ$31-(BQ36+BQ42+BQ48))),0)</f>
        <v>0</v>
      </c>
      <c r="BR54" s="58" t="n">
        <f aca="false">IF(AND($C$54=1,OR($D$54="",BR$29&gt;=$D$54)),MAX(0,MIN(BR52-BR53,BR$31-(BR36+BR42+BR48))),0)</f>
        <v>0</v>
      </c>
      <c r="BS54" s="58" t="n">
        <f aca="false">IF(AND($C$54=1,OR($D$54="",BS$29&gt;=$D$54)),MAX(0,MIN(BS52-BS53,BS$31-(BS36+BS42+BS48))),0)</f>
        <v>0</v>
      </c>
      <c r="BT54" s="58" t="n">
        <f aca="false">IF(AND($C$54=1,OR($D$54="",BT$29&gt;=$D$54)),MAX(0,MIN(BT52-BT53,BT$31-(BT36+BT42+BT48))),0)</f>
        <v>0</v>
      </c>
      <c r="BU54" s="58" t="n">
        <f aca="false">IF(AND($C$54=1,OR($D$54="",BU$29&gt;=$D$54)),MAX(0,MIN(BU52-BU53,BU$31-(BU36+BU42+BU48))),0)</f>
        <v>0</v>
      </c>
      <c r="BV54" s="58" t="n">
        <f aca="false">IF(AND($C$54=1,OR($D$54="",BV$29&gt;=$D$54)),MAX(0,MIN(BV52-BV53,BV$31-(BV36+BV42+BV48))),0)</f>
        <v>0</v>
      </c>
      <c r="BW54" s="58" t="n">
        <f aca="false">IF(AND($C$54=1,OR($D$54="",BW$29&gt;=$D$54)),MAX(0,MIN(BW52-BW53,BW$31-(BW36+BW42+BW48))),0)</f>
        <v>0</v>
      </c>
      <c r="BX54" s="58" t="n">
        <f aca="false">IF(AND($C$54=1,OR($D$54="",BX$29&gt;=$D$54)),MAX(0,MIN(BX52-BX53,BX$31-(BX36+BX42+BX48))),0)</f>
        <v>0</v>
      </c>
      <c r="BY54" s="58" t="n">
        <f aca="false">IF(AND($C$54=1,OR($D$54="",BY$29&gt;=$D$54)),MAX(0,MIN(BY52-BY53,BY$31-(BY36+BY42+BY48))),0)</f>
        <v>0</v>
      </c>
      <c r="BZ54" s="58" t="n">
        <f aca="false">IF(AND($C$54=1,OR($D$54="",BZ$29&gt;=$D$54)),MAX(0,MIN(BZ52-BZ53,BZ$31-(BZ36+BZ42+BZ48))),0)</f>
        <v>0</v>
      </c>
      <c r="CA54" s="58" t="n">
        <f aca="false">IF(AND($C$54=1,OR($D$54="",CA$29&gt;=$D$54)),MAX(0,MIN(CA52-CA53,CA$31-(CA36+CA42+CA48))),0)</f>
        <v>0</v>
      </c>
      <c r="CB54" s="58" t="n">
        <f aca="false">IF(AND($C$54=1,OR($D$54="",CB$29&gt;=$D$54)),MAX(0,MIN(CB52-CB53,CB$31-(CB36+CB42+CB48))),0)</f>
        <v>0</v>
      </c>
      <c r="CC54" s="58" t="n">
        <f aca="false">IF(AND($C$54=1,OR($D$54="",CC$29&gt;=$D$54)),MAX(0,MIN(CC52-CC53,CC$31-(CC36+CC42+CC48))),0)</f>
        <v>0</v>
      </c>
      <c r="CD54" s="58" t="n">
        <f aca="false">IF(AND($C$54=1,OR($D$54="",CD$29&gt;=$D$54)),MAX(0,MIN(CD52-CD53,CD$31-(CD36+CD42+CD48))),0)</f>
        <v>0</v>
      </c>
      <c r="CE54" s="58" t="n">
        <f aca="false">IF(AND($C$54=1,OR($D$54="",CE$29&gt;=$D$54)),MAX(0,MIN(CE52-CE53,CE$31-(CE36+CE42+CE48))),0)</f>
        <v>0</v>
      </c>
      <c r="CF54" s="58" t="n">
        <f aca="false">IF(AND($C$54=1,OR($D$54="",CF$29&gt;=$D$54)),MAX(0,MIN(CF52-CF53,CF$31-(CF36+CF42+CF48))),0)</f>
        <v>0</v>
      </c>
      <c r="CG54" s="58" t="n">
        <f aca="false">IF(AND($C$54=1,OR($D$54="",CG$29&gt;=$D$54)),MAX(0,MIN(CG52-CG53,CG$31-(CG36+CG42+CG48))),0)</f>
        <v>0</v>
      </c>
      <c r="CH54" s="58" t="n">
        <f aca="false">IF(AND($C$54=1,OR($D$54="",CH$29&gt;=$D$54)),MAX(0,MIN(CH52-CH53,CH$31-(CH36+CH42+CH48))),0)</f>
        <v>0</v>
      </c>
      <c r="CI54" s="58" t="n">
        <f aca="false">IF(AND($C$54=1,OR($D$54="",CI$29&gt;=$D$54)),MAX(0,MIN(CI52-CI53,CI$31-(CI36+CI42+CI48))),0)</f>
        <v>0</v>
      </c>
      <c r="CJ54" s="58" t="n">
        <f aca="false">IF(AND($C$54=1,OR($D$54="",CJ$29&gt;=$D$54)),MAX(0,MIN(CJ52-CJ53,CJ$31-(CJ36+CJ42+CJ48))),0)</f>
        <v>0</v>
      </c>
      <c r="CK54" s="58" t="n">
        <f aca="false">IF(AND($C$54=1,OR($D$54="",CK$29&gt;=$D$54)),MAX(0,MIN(CK52-CK53,CK$31-(CK36+CK42+CK48))),0)</f>
        <v>0</v>
      </c>
      <c r="CL54" s="58" t="n">
        <f aca="false">IF(AND($C$54=1,OR($D$54="",CL$29&gt;=$D$54)),MAX(0,MIN(CL52-CL53,CL$31-(CL36+CL42+CL48))),0)</f>
        <v>0</v>
      </c>
      <c r="CM54" s="58" t="n">
        <f aca="false">IF(AND($C$54=1,OR($D$54="",CM$29&gt;=$D$54)),MAX(0,MIN(CM52-CM53,CM$31-(CM36+CM42+CM48))),0)</f>
        <v>0</v>
      </c>
      <c r="CN54" s="58" t="n">
        <f aca="false">IF(AND($C$54=1,OR($D$54="",CN$29&gt;=$D$54)),MAX(0,MIN(CN52-CN53,CN$31-(CN36+CN42+CN48))),0)</f>
        <v>0</v>
      </c>
      <c r="CO54" s="58" t="n">
        <f aca="false">IF(AND($C$54=1,OR($D$54="",CO$29&gt;=$D$54)),MAX(0,MIN(CO52-CO53,CO$31-(CO36+CO42+CO48))),0)</f>
        <v>0</v>
      </c>
      <c r="CP54" s="58" t="n">
        <f aca="false">IF(AND($C$54=1,OR($D$54="",CP$29&gt;=$D$54)),MAX(0,MIN(CP52-CP53,CP$31-(CP36+CP42+CP48))),0)</f>
        <v>0</v>
      </c>
      <c r="CQ54" s="58" t="n">
        <f aca="false">IF(AND($C$54=1,OR($D$54="",CQ$29&gt;=$D$54)),MAX(0,MIN(CQ52-CQ53,CQ$31-(CQ36+CQ42+CQ48))),0)</f>
        <v>0</v>
      </c>
      <c r="CR54" s="58" t="n">
        <f aca="false">IF(AND($C$54=1,OR($D$54="",CR$29&gt;=$D$54)),MAX(0,MIN(CR52-CR53,CR$31-(CR36+CR42+CR48))),0)</f>
        <v>0</v>
      </c>
      <c r="CS54" s="58" t="n">
        <f aca="false">IF(AND($C$54=1,OR($D$54="",CS$29&gt;=$D$54)),MAX(0,MIN(CS52-CS53,CS$31-(CS36+CS42+CS48))),0)</f>
        <v>0</v>
      </c>
      <c r="CT54" s="58" t="n">
        <f aca="false">IF(AND($C$54=1,OR($D$54="",CT$29&gt;=$D$54)),MAX(0,MIN(CT52-CT53,CT$31-(CT36+CT42+CT48))),0)</f>
        <v>0</v>
      </c>
      <c r="CU54" s="58" t="n">
        <f aca="false">IF(AND($C$54=1,OR($D$54="",CU$29&gt;=$D$54)),MAX(0,MIN(CU52-CU53,CU$31-(CU36+CU42+CU48))),0)</f>
        <v>0</v>
      </c>
      <c r="CV54" s="58" t="n">
        <f aca="false">IF(AND($C$54=1,OR($D$54="",CV$29&gt;=$D$54)),MAX(0,MIN(CV52-CV53,CV$31-(CV36+CV42+CV48))),0)</f>
        <v>0</v>
      </c>
      <c r="CW54" s="58" t="n">
        <f aca="false">IF(AND($C$54=1,OR($D$54="",CW$29&gt;=$D$54)),MAX(0,MIN(CW52-CW53,CW$31-(CW36+CW42+CW48))),0)</f>
        <v>0</v>
      </c>
      <c r="CX54" s="58" t="n">
        <f aca="false">IF(AND($C$54=1,OR($D$54="",CX$29&gt;=$D$54)),MAX(0,MIN(CX52-CX53,CX$31-(CX36+CX42+CX48))),0)</f>
        <v>0</v>
      </c>
      <c r="CY54" s="58" t="n">
        <f aca="false">IF(AND($C$54=1,OR($D$54="",CY$29&gt;=$D$54)),MAX(0,MIN(CY52-CY53,CY$31-(CY36+CY42+CY48))),0)</f>
        <v>0</v>
      </c>
      <c r="CZ54" s="58" t="n">
        <f aca="false">IF(AND($C$54=1,OR($D$54="",CZ$29&gt;=$D$54)),MAX(0,MIN(CZ52-CZ53,CZ$31-(CZ36+CZ42+CZ48))),0)</f>
        <v>0</v>
      </c>
      <c r="DA54" s="58" t="n">
        <f aca="false">IF(AND($C$54=1,OR($D$54="",DA$29&gt;=$D$54)),MAX(0,MIN(DA52-DA53,DA$31-(DA36+DA42+DA48))),0)</f>
        <v>0</v>
      </c>
      <c r="DB54" s="58" t="n">
        <f aca="false">IF(AND($C$54=1,OR($D$54="",DB$29&gt;=$D$54)),MAX(0,MIN(DB52-DB53,DB$31-(DB36+DB42+DB48))),0)</f>
        <v>0</v>
      </c>
      <c r="DC54" s="58" t="n">
        <f aca="false">IF(AND($C$54=1,OR($D$54="",DC$29&gt;=$D$54)),MAX(0,MIN(DC52-DC53,DC$31-(DC36+DC42+DC48))),0)</f>
        <v>0</v>
      </c>
      <c r="DD54" s="58" t="n">
        <f aca="false">IF(AND($C$54=1,OR($D$54="",DD$29&gt;=$D$54)),MAX(0,MIN(DD52-DD53,DD$31-(DD36+DD42+DD48))),0)</f>
        <v>0</v>
      </c>
      <c r="DE54" s="58" t="n">
        <f aca="false">IF(AND($C$54=1,OR($D$54="",DE$29&gt;=$D$54)),MAX(0,MIN(DE52-DE53,DE$31-(DE36+DE42+DE48))),0)</f>
        <v>0</v>
      </c>
      <c r="DF54" s="58" t="n">
        <f aca="false">IF(AND($C$54=1,OR($D$54="",DF$29&gt;=$D$54)),MAX(0,MIN(DF52-DF53,DF$31-(DF36+DF42+DF48))),0)</f>
        <v>0</v>
      </c>
      <c r="DG54" s="58" t="n">
        <f aca="false">IF(AND($C$54=1,OR($D$54="",DG$29&gt;=$D$54)),MAX(0,MIN(DG52-DG53,DG$31-(DG36+DG42+DG48))),0)</f>
        <v>0</v>
      </c>
      <c r="DH54" s="58" t="n">
        <f aca="false">IF(AND($C$54=1,OR($D$54="",DH$29&gt;=$D$54)),MAX(0,MIN(DH52-DH53,DH$31-(DH36+DH42+DH48))),0)</f>
        <v>0</v>
      </c>
      <c r="DI54" s="58" t="n">
        <f aca="false">IF(AND($C$54=1,OR($D$54="",DI$29&gt;=$D$54)),MAX(0,MIN(DI52-DI53,DI$31-(DI36+DI42+DI48))),0)</f>
        <v>0</v>
      </c>
      <c r="DJ54" s="58" t="n">
        <f aca="false">IF(AND($C$54=1,OR($D$54="",DJ$29&gt;=$D$54)),MAX(0,MIN(DJ52-DJ53,DJ$31-(DJ36+DJ42+DJ48))),0)</f>
        <v>0</v>
      </c>
      <c r="DK54" s="58" t="n">
        <f aca="false">IF(AND($C$54=1,OR($D$54="",DK$29&gt;=$D$54)),MAX(0,MIN(DK52-DK53,DK$31-(DK36+DK42+DK48))),0)</f>
        <v>0</v>
      </c>
      <c r="DL54" s="58" t="n">
        <f aca="false">IF(AND($C$54=1,OR($D$54="",DL$29&gt;=$D$54)),MAX(0,MIN(DL52-DL53,DL$31-(DL36+DL42+DL48))),0)</f>
        <v>0</v>
      </c>
      <c r="DM54" s="58" t="n">
        <f aca="false">IF(AND($C$54=1,OR($D$54="",DM$29&gt;=$D$54)),MAX(0,MIN(DM52-DM53,DM$31-(DM36+DM42+DM48))),0)</f>
        <v>0</v>
      </c>
      <c r="DN54" s="58" t="n">
        <f aca="false">IF(AND($C$54=1,OR($D$54="",DN$29&gt;=$D$54)),MAX(0,MIN(DN52-DN53,DN$31-(DN36+DN42+DN48))),0)</f>
        <v>0</v>
      </c>
      <c r="DO54" s="58" t="n">
        <f aca="false">IF(AND($C$54=1,OR($D$54="",DO$29&gt;=$D$54)),MAX(0,MIN(DO52-DO53,DO$31-(DO36+DO42+DO48))),0)</f>
        <v>0</v>
      </c>
      <c r="DP54" s="58" t="n">
        <f aca="false">IF(AND($C$54=1,OR($D$54="",DP$29&gt;=$D$54)),MAX(0,MIN(DP52-DP53,DP$31-(DP36+DP42+DP48))),0)</f>
        <v>0</v>
      </c>
      <c r="DQ54" s="58" t="n">
        <f aca="false">IF(AND($C$54=1,OR($D$54="",DQ$29&gt;=$D$54)),MAX(0,MIN(DQ52-DQ53,DQ$31-(DQ36+DQ42+DQ48))),0)</f>
        <v>0</v>
      </c>
      <c r="DR54" s="58" t="n">
        <f aca="false">IF(AND($C$54=1,OR($D$54="",DR$29&gt;=$D$54)),MAX(0,MIN(DR52-DR53,DR$31-(DR36+DR42+DR48))),0)</f>
        <v>0</v>
      </c>
      <c r="DS54" s="58" t="n">
        <f aca="false">IF(AND($C$54=1,OR($D$54="",DS$29&gt;=$D$54)),MAX(0,MIN(DS52-DS53,DS$31-(DS36+DS42+DS48))),0)</f>
        <v>0</v>
      </c>
      <c r="DT54" s="58" t="n">
        <f aca="false">IF(AND($C$54=1,OR($D$54="",DT$29&gt;=$D$54)),MAX(0,MIN(DT52-DT53,DT$31-(DT36+DT42+DT48))),0)</f>
        <v>0</v>
      </c>
    </row>
    <row r="55" customFormat="false" ht="15" hidden="false" customHeight="false" outlineLevel="0" collapsed="false">
      <c r="B55" s="24" t="s">
        <v>187</v>
      </c>
      <c r="C55" s="23" t="s">
        <v>383</v>
      </c>
      <c r="D55" s="89" t="n">
        <f aca="false">IF($C$56=0,D56,MAX(0,D56-MAX(0,$C$10-($D$38*$C$38+$D$44*$C$44+$D$50*$C$50))))</f>
        <v>0</v>
      </c>
      <c r="E55" s="89" t="n">
        <f aca="false">E52-E53-E54</f>
        <v>0</v>
      </c>
      <c r="F55" s="89" t="n">
        <f aca="false">F52-F53-F54</f>
        <v>0</v>
      </c>
      <c r="G55" s="89" t="n">
        <f aca="false">G52-G53-G54</f>
        <v>0</v>
      </c>
      <c r="H55" s="89" t="n">
        <f aca="false">H52-H53-H54</f>
        <v>0</v>
      </c>
      <c r="I55" s="89" t="n">
        <f aca="false">I52-I53-I54</f>
        <v>0</v>
      </c>
      <c r="J55" s="89" t="n">
        <f aca="false">J52-J53-J54</f>
        <v>0</v>
      </c>
      <c r="K55" s="89" t="n">
        <f aca="false">K52-K53-K54</f>
        <v>0</v>
      </c>
      <c r="L55" s="89" t="n">
        <f aca="false">L52-L53-L54</f>
        <v>0</v>
      </c>
      <c r="M55" s="89" t="n">
        <f aca="false">M52-M53-M54</f>
        <v>0</v>
      </c>
      <c r="N55" s="89" t="n">
        <f aca="false">N52-N53-N54</f>
        <v>0</v>
      </c>
      <c r="O55" s="89" t="n">
        <f aca="false">O52-O53-O54</f>
        <v>0</v>
      </c>
      <c r="P55" s="89" t="n">
        <f aca="false">P52-P53-P54</f>
        <v>0</v>
      </c>
      <c r="Q55" s="89" t="n">
        <f aca="false">Q52-Q53-Q54</f>
        <v>0</v>
      </c>
      <c r="R55" s="89" t="n">
        <f aca="false">R52-R53-R54</f>
        <v>0</v>
      </c>
      <c r="S55" s="89" t="n">
        <f aca="false">S52-S53-S54</f>
        <v>0</v>
      </c>
      <c r="T55" s="89" t="n">
        <f aca="false">T52-T53-T54</f>
        <v>0</v>
      </c>
      <c r="U55" s="89" t="n">
        <f aca="false">U52-U53-U54</f>
        <v>0</v>
      </c>
      <c r="V55" s="89" t="n">
        <f aca="false">V52-V53-V54</f>
        <v>0</v>
      </c>
      <c r="W55" s="89" t="n">
        <f aca="false">W52-W53-W54</f>
        <v>0</v>
      </c>
      <c r="X55" s="89" t="n">
        <f aca="false">X52-X53-X54</f>
        <v>0</v>
      </c>
      <c r="Y55" s="89" t="n">
        <f aca="false">Y52-Y53-Y54</f>
        <v>0</v>
      </c>
      <c r="Z55" s="89" t="n">
        <f aca="false">Z52-Z53-Z54</f>
        <v>0</v>
      </c>
      <c r="AA55" s="89" t="n">
        <f aca="false">AA52-AA53-AA54</f>
        <v>0</v>
      </c>
      <c r="AB55" s="89" t="n">
        <f aca="false">AB52-AB53-AB54</f>
        <v>0</v>
      </c>
      <c r="AC55" s="89" t="n">
        <f aca="false">AC52-AC53-AC54</f>
        <v>0</v>
      </c>
      <c r="AD55" s="89" t="n">
        <f aca="false">AD52-AD53-AD54</f>
        <v>0</v>
      </c>
      <c r="AE55" s="89" t="n">
        <f aca="false">AE52-AE53-AE54</f>
        <v>0</v>
      </c>
      <c r="AF55" s="89" t="n">
        <f aca="false">AF52-AF53-AF54</f>
        <v>0</v>
      </c>
      <c r="AG55" s="89" t="n">
        <f aca="false">AG52-AG53-AG54</f>
        <v>0</v>
      </c>
      <c r="AH55" s="89" t="n">
        <f aca="false">AH52-AH53-AH54</f>
        <v>0</v>
      </c>
      <c r="AI55" s="89" t="n">
        <f aca="false">AI52-AI53-AI54</f>
        <v>0</v>
      </c>
      <c r="AJ55" s="89" t="n">
        <f aca="false">AJ52-AJ53-AJ54</f>
        <v>0</v>
      </c>
      <c r="AK55" s="89" t="n">
        <f aca="false">AK52-AK53-AK54</f>
        <v>0</v>
      </c>
      <c r="AL55" s="89" t="n">
        <f aca="false">AL52-AL53-AL54</f>
        <v>0</v>
      </c>
      <c r="AM55" s="89" t="n">
        <f aca="false">AM52-AM53-AM54</f>
        <v>0</v>
      </c>
      <c r="AN55" s="89" t="n">
        <f aca="false">AN52-AN53-AN54</f>
        <v>0</v>
      </c>
      <c r="AO55" s="89" t="n">
        <f aca="false">AO52-AO53-AO54</f>
        <v>0</v>
      </c>
      <c r="AP55" s="89" t="n">
        <f aca="false">AP52-AP53-AP54</f>
        <v>0</v>
      </c>
      <c r="AQ55" s="89" t="n">
        <f aca="false">AQ52-AQ53-AQ54</f>
        <v>0</v>
      </c>
      <c r="AR55" s="89" t="n">
        <f aca="false">AR52-AR53-AR54</f>
        <v>0</v>
      </c>
      <c r="AS55" s="89" t="n">
        <f aca="false">AS52-AS53-AS54</f>
        <v>0</v>
      </c>
      <c r="AT55" s="89" t="n">
        <f aca="false">AT52-AT53-AT54</f>
        <v>0</v>
      </c>
      <c r="AU55" s="89" t="n">
        <f aca="false">AU52-AU53-AU54</f>
        <v>0</v>
      </c>
      <c r="AV55" s="89" t="n">
        <f aca="false">AV52-AV53-AV54</f>
        <v>0</v>
      </c>
      <c r="AW55" s="89" t="n">
        <f aca="false">AW52-AW53-AW54</f>
        <v>0</v>
      </c>
      <c r="AX55" s="89" t="n">
        <f aca="false">AX52-AX53-AX54</f>
        <v>0</v>
      </c>
      <c r="AY55" s="89" t="n">
        <f aca="false">AY52-AY53-AY54</f>
        <v>0</v>
      </c>
      <c r="AZ55" s="89" t="n">
        <f aca="false">AZ52-AZ53-AZ54</f>
        <v>0</v>
      </c>
      <c r="BA55" s="89" t="n">
        <f aca="false">BA52-BA53-BA54</f>
        <v>0</v>
      </c>
      <c r="BB55" s="89" t="n">
        <f aca="false">BB52-BB53-BB54</f>
        <v>0</v>
      </c>
      <c r="BC55" s="89" t="n">
        <f aca="false">BC52-BC53-BC54</f>
        <v>0</v>
      </c>
      <c r="BD55" s="89" t="n">
        <f aca="false">BD52-BD53-BD54</f>
        <v>0</v>
      </c>
      <c r="BE55" s="89" t="n">
        <f aca="false">BE52-BE53-BE54</f>
        <v>0</v>
      </c>
      <c r="BF55" s="89" t="n">
        <f aca="false">BF52-BF53-BF54</f>
        <v>0</v>
      </c>
      <c r="BG55" s="89" t="n">
        <f aca="false">BG52-BG53-BG54</f>
        <v>0</v>
      </c>
      <c r="BH55" s="89" t="n">
        <f aca="false">BH52-BH53-BH54</f>
        <v>0</v>
      </c>
      <c r="BI55" s="89" t="n">
        <f aca="false">BI52-BI53-BI54</f>
        <v>0</v>
      </c>
      <c r="BJ55" s="89" t="n">
        <f aca="false">BJ52-BJ53-BJ54</f>
        <v>0</v>
      </c>
      <c r="BK55" s="89" t="n">
        <f aca="false">BK52-BK53-BK54</f>
        <v>0</v>
      </c>
      <c r="BL55" s="89" t="n">
        <f aca="false">BL52-BL53-BL54</f>
        <v>0</v>
      </c>
      <c r="BM55" s="89" t="n">
        <f aca="false">BM52-BM53-BM54</f>
        <v>0</v>
      </c>
      <c r="BN55" s="89" t="n">
        <f aca="false">BN52-BN53-BN54</f>
        <v>0</v>
      </c>
      <c r="BO55" s="89" t="n">
        <f aca="false">BO52-BO53-BO54</f>
        <v>0</v>
      </c>
      <c r="BP55" s="89" t="n">
        <f aca="false">BP52-BP53-BP54</f>
        <v>0</v>
      </c>
      <c r="BQ55" s="89" t="n">
        <f aca="false">BQ52-BQ53-BQ54</f>
        <v>0</v>
      </c>
      <c r="BR55" s="89" t="n">
        <f aca="false">BR52-BR53-BR54</f>
        <v>0</v>
      </c>
      <c r="BS55" s="89" t="n">
        <f aca="false">BS52-BS53-BS54</f>
        <v>0</v>
      </c>
      <c r="BT55" s="89" t="n">
        <f aca="false">BT52-BT53-BT54</f>
        <v>0</v>
      </c>
      <c r="BU55" s="89" t="n">
        <f aca="false">BU52-BU53-BU54</f>
        <v>0</v>
      </c>
      <c r="BV55" s="89" t="n">
        <f aca="false">BV52-BV53-BV54</f>
        <v>0</v>
      </c>
      <c r="BW55" s="89" t="n">
        <f aca="false">BW52-BW53-BW54</f>
        <v>0</v>
      </c>
      <c r="BX55" s="89" t="n">
        <f aca="false">BX52-BX53-BX54</f>
        <v>0</v>
      </c>
      <c r="BY55" s="89" t="n">
        <f aca="false">BY52-BY53-BY54</f>
        <v>0</v>
      </c>
      <c r="BZ55" s="89" t="n">
        <f aca="false">BZ52-BZ53-BZ54</f>
        <v>0</v>
      </c>
      <c r="CA55" s="89" t="n">
        <f aca="false">CA52-CA53-CA54</f>
        <v>0</v>
      </c>
      <c r="CB55" s="89" t="n">
        <f aca="false">CB52-CB53-CB54</f>
        <v>0</v>
      </c>
      <c r="CC55" s="89" t="n">
        <f aca="false">CC52-CC53-CC54</f>
        <v>0</v>
      </c>
      <c r="CD55" s="89" t="n">
        <f aca="false">CD52-CD53-CD54</f>
        <v>0</v>
      </c>
      <c r="CE55" s="89" t="n">
        <f aca="false">CE52-CE53-CE54</f>
        <v>0</v>
      </c>
      <c r="CF55" s="89" t="n">
        <f aca="false">CF52-CF53-CF54</f>
        <v>0</v>
      </c>
      <c r="CG55" s="89" t="n">
        <f aca="false">CG52-CG53-CG54</f>
        <v>0</v>
      </c>
      <c r="CH55" s="89" t="n">
        <f aca="false">CH52-CH53-CH54</f>
        <v>0</v>
      </c>
      <c r="CI55" s="89" t="n">
        <f aca="false">CI52-CI53-CI54</f>
        <v>0</v>
      </c>
      <c r="CJ55" s="89" t="n">
        <f aca="false">CJ52-CJ53-CJ54</f>
        <v>0</v>
      </c>
      <c r="CK55" s="89" t="n">
        <f aca="false">CK52-CK53-CK54</f>
        <v>0</v>
      </c>
      <c r="CL55" s="89" t="n">
        <f aca="false">CL52-CL53-CL54</f>
        <v>0</v>
      </c>
      <c r="CM55" s="89" t="n">
        <f aca="false">CM52-CM53-CM54</f>
        <v>0</v>
      </c>
      <c r="CN55" s="89" t="n">
        <f aca="false">CN52-CN53-CN54</f>
        <v>0</v>
      </c>
      <c r="CO55" s="89" t="n">
        <f aca="false">CO52-CO53-CO54</f>
        <v>0</v>
      </c>
      <c r="CP55" s="89" t="n">
        <f aca="false">CP52-CP53-CP54</f>
        <v>0</v>
      </c>
      <c r="CQ55" s="89" t="n">
        <f aca="false">CQ52-CQ53-CQ54</f>
        <v>0</v>
      </c>
      <c r="CR55" s="89" t="n">
        <f aca="false">CR52-CR53-CR54</f>
        <v>0</v>
      </c>
      <c r="CS55" s="89" t="n">
        <f aca="false">CS52-CS53-CS54</f>
        <v>0</v>
      </c>
      <c r="CT55" s="89" t="n">
        <f aca="false">CT52-CT53-CT54</f>
        <v>0</v>
      </c>
      <c r="CU55" s="89" t="n">
        <f aca="false">CU52-CU53-CU54</f>
        <v>0</v>
      </c>
      <c r="CV55" s="89" t="n">
        <f aca="false">CV52-CV53-CV54</f>
        <v>0</v>
      </c>
      <c r="CW55" s="89" t="n">
        <f aca="false">CW52-CW53-CW54</f>
        <v>0</v>
      </c>
      <c r="CX55" s="89" t="n">
        <f aca="false">CX52-CX53-CX54</f>
        <v>0</v>
      </c>
      <c r="CY55" s="89" t="n">
        <f aca="false">CY52-CY53-CY54</f>
        <v>0</v>
      </c>
      <c r="CZ55" s="89" t="n">
        <f aca="false">CZ52-CZ53-CZ54</f>
        <v>0</v>
      </c>
      <c r="DA55" s="89" t="n">
        <f aca="false">DA52-DA53-DA54</f>
        <v>0</v>
      </c>
      <c r="DB55" s="89" t="n">
        <f aca="false">DB52-DB53-DB54</f>
        <v>0</v>
      </c>
      <c r="DC55" s="89" t="n">
        <f aca="false">DC52-DC53-DC54</f>
        <v>0</v>
      </c>
      <c r="DD55" s="89" t="n">
        <f aca="false">DD52-DD53-DD54</f>
        <v>0</v>
      </c>
      <c r="DE55" s="89" t="n">
        <f aca="false">DE52-DE53-DE54</f>
        <v>0</v>
      </c>
      <c r="DF55" s="89" t="n">
        <f aca="false">DF52-DF53-DF54</f>
        <v>0</v>
      </c>
      <c r="DG55" s="89" t="n">
        <f aca="false">DG52-DG53-DG54</f>
        <v>0</v>
      </c>
      <c r="DH55" s="89" t="n">
        <f aca="false">DH52-DH53-DH54</f>
        <v>0</v>
      </c>
      <c r="DI55" s="89" t="n">
        <f aca="false">DI52-DI53-DI54</f>
        <v>0</v>
      </c>
      <c r="DJ55" s="89" t="n">
        <f aca="false">DJ52-DJ53-DJ54</f>
        <v>0</v>
      </c>
      <c r="DK55" s="89" t="n">
        <f aca="false">DK52-DK53-DK54</f>
        <v>0</v>
      </c>
      <c r="DL55" s="89" t="n">
        <f aca="false">DL52-DL53-DL54</f>
        <v>0</v>
      </c>
      <c r="DM55" s="89" t="n">
        <f aca="false">DM52-DM53-DM54</f>
        <v>0</v>
      </c>
      <c r="DN55" s="89" t="n">
        <f aca="false">DN52-DN53-DN54</f>
        <v>0</v>
      </c>
      <c r="DO55" s="89" t="n">
        <f aca="false">DO52-DO53-DO54</f>
        <v>0</v>
      </c>
      <c r="DP55" s="89" t="n">
        <f aca="false">DP52-DP53-DP54</f>
        <v>0</v>
      </c>
      <c r="DQ55" s="89" t="n">
        <f aca="false">DQ52-DQ53-DQ54</f>
        <v>0</v>
      </c>
      <c r="DR55" s="89" t="n">
        <f aca="false">DR52-DR53-DR54</f>
        <v>0</v>
      </c>
      <c r="DS55" s="89" t="n">
        <f aca="false">DS52-DS53-DS54</f>
        <v>0</v>
      </c>
      <c r="DT55" s="89" t="n">
        <f aca="false">DT52-DT53-DT54</f>
        <v>0</v>
      </c>
    </row>
    <row r="56" customFormat="false" ht="15" hidden="false" customHeight="false" outlineLevel="0" collapsed="false">
      <c r="C56" s="96" t="n">
        <f aca="false">IF(AND(C54=1,OR(D54="",D54&lt;=$C$11)),1,0)</f>
        <v>0</v>
      </c>
      <c r="D56" s="99" t="n">
        <f aca="false">IF(C51=0,0,N(INDEX($D$13:$D$20,C51)))</f>
        <v>0</v>
      </c>
    </row>
    <row r="57" customFormat="false" ht="15" hidden="false" customHeight="false" outlineLevel="0" collapsed="false">
      <c r="B57" s="6" t="str">
        <f aca="false">"Orden 5: "&amp;D57</f>
        <v>Orden 5: (sin deuda)</v>
      </c>
      <c r="C57" s="96" t="n">
        <f aca="false">IFERROR(MATCH(5,$K$13:$K$20,0),0)</f>
        <v>0</v>
      </c>
      <c r="D57" s="97" t="str">
        <f aca="false">IF(C57=0,"(sin deuda)",INDEX($B$13:$B$20,C57))</f>
        <v>(sin deuda)</v>
      </c>
    </row>
    <row r="58" customFormat="false" ht="15" hidden="false" customHeight="false" outlineLevel="0" collapsed="false">
      <c r="B58" s="17" t="s">
        <v>380</v>
      </c>
      <c r="C58" s="98" t="n">
        <f aca="false">IF(C57=0,0,N(INDEX($I$13:$I$20,C57)))</f>
        <v>0</v>
      </c>
      <c r="E58" s="58" t="n">
        <f aca="false">D61*(1+$C$58)</f>
        <v>0</v>
      </c>
      <c r="F58" s="58" t="n">
        <f aca="false">E61*(1+$C$58)</f>
        <v>0</v>
      </c>
      <c r="G58" s="58" t="n">
        <f aca="false">F61*(1+$C$58)</f>
        <v>0</v>
      </c>
      <c r="H58" s="58" t="n">
        <f aca="false">G61*(1+$C$58)</f>
        <v>0</v>
      </c>
      <c r="I58" s="58" t="n">
        <f aca="false">H61*(1+$C$58)</f>
        <v>0</v>
      </c>
      <c r="J58" s="58" t="n">
        <f aca="false">I61*(1+$C$58)</f>
        <v>0</v>
      </c>
      <c r="K58" s="58" t="n">
        <f aca="false">J61*(1+$C$58)</f>
        <v>0</v>
      </c>
      <c r="L58" s="58" t="n">
        <f aca="false">K61*(1+$C$58)</f>
        <v>0</v>
      </c>
      <c r="M58" s="58" t="n">
        <f aca="false">L61*(1+$C$58)</f>
        <v>0</v>
      </c>
      <c r="N58" s="58" t="n">
        <f aca="false">M61*(1+$C$58)</f>
        <v>0</v>
      </c>
      <c r="O58" s="58" t="n">
        <f aca="false">N61*(1+$C$58)</f>
        <v>0</v>
      </c>
      <c r="P58" s="58" t="n">
        <f aca="false">O61*(1+$C$58)</f>
        <v>0</v>
      </c>
      <c r="Q58" s="58" t="n">
        <f aca="false">P61*(1+$C$58)</f>
        <v>0</v>
      </c>
      <c r="R58" s="58" t="n">
        <f aca="false">Q61*(1+$C$58)</f>
        <v>0</v>
      </c>
      <c r="S58" s="58" t="n">
        <f aca="false">R61*(1+$C$58)</f>
        <v>0</v>
      </c>
      <c r="T58" s="58" t="n">
        <f aca="false">S61*(1+$C$58)</f>
        <v>0</v>
      </c>
      <c r="U58" s="58" t="n">
        <f aca="false">T61*(1+$C$58)</f>
        <v>0</v>
      </c>
      <c r="V58" s="58" t="n">
        <f aca="false">U61*(1+$C$58)</f>
        <v>0</v>
      </c>
      <c r="W58" s="58" t="n">
        <f aca="false">V61*(1+$C$58)</f>
        <v>0</v>
      </c>
      <c r="X58" s="58" t="n">
        <f aca="false">W61*(1+$C$58)</f>
        <v>0</v>
      </c>
      <c r="Y58" s="58" t="n">
        <f aca="false">X61*(1+$C$58)</f>
        <v>0</v>
      </c>
      <c r="Z58" s="58" t="n">
        <f aca="false">Y61*(1+$C$58)</f>
        <v>0</v>
      </c>
      <c r="AA58" s="58" t="n">
        <f aca="false">Z61*(1+$C$58)</f>
        <v>0</v>
      </c>
      <c r="AB58" s="58" t="n">
        <f aca="false">AA61*(1+$C$58)</f>
        <v>0</v>
      </c>
      <c r="AC58" s="58" t="n">
        <f aca="false">AB61*(1+$C$58)</f>
        <v>0</v>
      </c>
      <c r="AD58" s="58" t="n">
        <f aca="false">AC61*(1+$C$58)</f>
        <v>0</v>
      </c>
      <c r="AE58" s="58" t="n">
        <f aca="false">AD61*(1+$C$58)</f>
        <v>0</v>
      </c>
      <c r="AF58" s="58" t="n">
        <f aca="false">AE61*(1+$C$58)</f>
        <v>0</v>
      </c>
      <c r="AG58" s="58" t="n">
        <f aca="false">AF61*(1+$C$58)</f>
        <v>0</v>
      </c>
      <c r="AH58" s="58" t="n">
        <f aca="false">AG61*(1+$C$58)</f>
        <v>0</v>
      </c>
      <c r="AI58" s="58" t="n">
        <f aca="false">AH61*(1+$C$58)</f>
        <v>0</v>
      </c>
      <c r="AJ58" s="58" t="n">
        <f aca="false">AI61*(1+$C$58)</f>
        <v>0</v>
      </c>
      <c r="AK58" s="58" t="n">
        <f aca="false">AJ61*(1+$C$58)</f>
        <v>0</v>
      </c>
      <c r="AL58" s="58" t="n">
        <f aca="false">AK61*(1+$C$58)</f>
        <v>0</v>
      </c>
      <c r="AM58" s="58" t="n">
        <f aca="false">AL61*(1+$C$58)</f>
        <v>0</v>
      </c>
      <c r="AN58" s="58" t="n">
        <f aca="false">AM61*(1+$C$58)</f>
        <v>0</v>
      </c>
      <c r="AO58" s="58" t="n">
        <f aca="false">AN61*(1+$C$58)</f>
        <v>0</v>
      </c>
      <c r="AP58" s="58" t="n">
        <f aca="false">AO61*(1+$C$58)</f>
        <v>0</v>
      </c>
      <c r="AQ58" s="58" t="n">
        <f aca="false">AP61*(1+$C$58)</f>
        <v>0</v>
      </c>
      <c r="AR58" s="58" t="n">
        <f aca="false">AQ61*(1+$C$58)</f>
        <v>0</v>
      </c>
      <c r="AS58" s="58" t="n">
        <f aca="false">AR61*(1+$C$58)</f>
        <v>0</v>
      </c>
      <c r="AT58" s="58" t="n">
        <f aca="false">AS61*(1+$C$58)</f>
        <v>0</v>
      </c>
      <c r="AU58" s="58" t="n">
        <f aca="false">AT61*(1+$C$58)</f>
        <v>0</v>
      </c>
      <c r="AV58" s="58" t="n">
        <f aca="false">AU61*(1+$C$58)</f>
        <v>0</v>
      </c>
      <c r="AW58" s="58" t="n">
        <f aca="false">AV61*(1+$C$58)</f>
        <v>0</v>
      </c>
      <c r="AX58" s="58" t="n">
        <f aca="false">AW61*(1+$C$58)</f>
        <v>0</v>
      </c>
      <c r="AY58" s="58" t="n">
        <f aca="false">AX61*(1+$C$58)</f>
        <v>0</v>
      </c>
      <c r="AZ58" s="58" t="n">
        <f aca="false">AY61*(1+$C$58)</f>
        <v>0</v>
      </c>
      <c r="BA58" s="58" t="n">
        <f aca="false">AZ61*(1+$C$58)</f>
        <v>0</v>
      </c>
      <c r="BB58" s="58" t="n">
        <f aca="false">BA61*(1+$C$58)</f>
        <v>0</v>
      </c>
      <c r="BC58" s="58" t="n">
        <f aca="false">BB61*(1+$C$58)</f>
        <v>0</v>
      </c>
      <c r="BD58" s="58" t="n">
        <f aca="false">BC61*(1+$C$58)</f>
        <v>0</v>
      </c>
      <c r="BE58" s="58" t="n">
        <f aca="false">BD61*(1+$C$58)</f>
        <v>0</v>
      </c>
      <c r="BF58" s="58" t="n">
        <f aca="false">BE61*(1+$C$58)</f>
        <v>0</v>
      </c>
      <c r="BG58" s="58" t="n">
        <f aca="false">BF61*(1+$C$58)</f>
        <v>0</v>
      </c>
      <c r="BH58" s="58" t="n">
        <f aca="false">BG61*(1+$C$58)</f>
        <v>0</v>
      </c>
      <c r="BI58" s="58" t="n">
        <f aca="false">BH61*(1+$C$58)</f>
        <v>0</v>
      </c>
      <c r="BJ58" s="58" t="n">
        <f aca="false">BI61*(1+$C$58)</f>
        <v>0</v>
      </c>
      <c r="BK58" s="58" t="n">
        <f aca="false">BJ61*(1+$C$58)</f>
        <v>0</v>
      </c>
      <c r="BL58" s="58" t="n">
        <f aca="false">BK61*(1+$C$58)</f>
        <v>0</v>
      </c>
      <c r="BM58" s="58" t="n">
        <f aca="false">BL61*(1+$C$58)</f>
        <v>0</v>
      </c>
      <c r="BN58" s="58" t="n">
        <f aca="false">BM61*(1+$C$58)</f>
        <v>0</v>
      </c>
      <c r="BO58" s="58" t="n">
        <f aca="false">BN61*(1+$C$58)</f>
        <v>0</v>
      </c>
      <c r="BP58" s="58" t="n">
        <f aca="false">BO61*(1+$C$58)</f>
        <v>0</v>
      </c>
      <c r="BQ58" s="58" t="n">
        <f aca="false">BP61*(1+$C$58)</f>
        <v>0</v>
      </c>
      <c r="BR58" s="58" t="n">
        <f aca="false">BQ61*(1+$C$58)</f>
        <v>0</v>
      </c>
      <c r="BS58" s="58" t="n">
        <f aca="false">BR61*(1+$C$58)</f>
        <v>0</v>
      </c>
      <c r="BT58" s="58" t="n">
        <f aca="false">BS61*(1+$C$58)</f>
        <v>0</v>
      </c>
      <c r="BU58" s="58" t="n">
        <f aca="false">BT61*(1+$C$58)</f>
        <v>0</v>
      </c>
      <c r="BV58" s="58" t="n">
        <f aca="false">BU61*(1+$C$58)</f>
        <v>0</v>
      </c>
      <c r="BW58" s="58" t="n">
        <f aca="false">BV61*(1+$C$58)</f>
        <v>0</v>
      </c>
      <c r="BX58" s="58" t="n">
        <f aca="false">BW61*(1+$C$58)</f>
        <v>0</v>
      </c>
      <c r="BY58" s="58" t="n">
        <f aca="false">BX61*(1+$C$58)</f>
        <v>0</v>
      </c>
      <c r="BZ58" s="58" t="n">
        <f aca="false">BY61*(1+$C$58)</f>
        <v>0</v>
      </c>
      <c r="CA58" s="58" t="n">
        <f aca="false">BZ61*(1+$C$58)</f>
        <v>0</v>
      </c>
      <c r="CB58" s="58" t="n">
        <f aca="false">CA61*(1+$C$58)</f>
        <v>0</v>
      </c>
      <c r="CC58" s="58" t="n">
        <f aca="false">CB61*(1+$C$58)</f>
        <v>0</v>
      </c>
      <c r="CD58" s="58" t="n">
        <f aca="false">CC61*(1+$C$58)</f>
        <v>0</v>
      </c>
      <c r="CE58" s="58" t="n">
        <f aca="false">CD61*(1+$C$58)</f>
        <v>0</v>
      </c>
      <c r="CF58" s="58" t="n">
        <f aca="false">CE61*(1+$C$58)</f>
        <v>0</v>
      </c>
      <c r="CG58" s="58" t="n">
        <f aca="false">CF61*(1+$C$58)</f>
        <v>0</v>
      </c>
      <c r="CH58" s="58" t="n">
        <f aca="false">CG61*(1+$C$58)</f>
        <v>0</v>
      </c>
      <c r="CI58" s="58" t="n">
        <f aca="false">CH61*(1+$C$58)</f>
        <v>0</v>
      </c>
      <c r="CJ58" s="58" t="n">
        <f aca="false">CI61*(1+$C$58)</f>
        <v>0</v>
      </c>
      <c r="CK58" s="58" t="n">
        <f aca="false">CJ61*(1+$C$58)</f>
        <v>0</v>
      </c>
      <c r="CL58" s="58" t="n">
        <f aca="false">CK61*(1+$C$58)</f>
        <v>0</v>
      </c>
      <c r="CM58" s="58" t="n">
        <f aca="false">CL61*(1+$C$58)</f>
        <v>0</v>
      </c>
      <c r="CN58" s="58" t="n">
        <f aca="false">CM61*(1+$C$58)</f>
        <v>0</v>
      </c>
      <c r="CO58" s="58" t="n">
        <f aca="false">CN61*(1+$C$58)</f>
        <v>0</v>
      </c>
      <c r="CP58" s="58" t="n">
        <f aca="false">CO61*(1+$C$58)</f>
        <v>0</v>
      </c>
      <c r="CQ58" s="58" t="n">
        <f aca="false">CP61*(1+$C$58)</f>
        <v>0</v>
      </c>
      <c r="CR58" s="58" t="n">
        <f aca="false">CQ61*(1+$C$58)</f>
        <v>0</v>
      </c>
      <c r="CS58" s="58" t="n">
        <f aca="false">CR61*(1+$C$58)</f>
        <v>0</v>
      </c>
      <c r="CT58" s="58" t="n">
        <f aca="false">CS61*(1+$C$58)</f>
        <v>0</v>
      </c>
      <c r="CU58" s="58" t="n">
        <f aca="false">CT61*(1+$C$58)</f>
        <v>0</v>
      </c>
      <c r="CV58" s="58" t="n">
        <f aca="false">CU61*(1+$C$58)</f>
        <v>0</v>
      </c>
      <c r="CW58" s="58" t="n">
        <f aca="false">CV61*(1+$C$58)</f>
        <v>0</v>
      </c>
      <c r="CX58" s="58" t="n">
        <f aca="false">CW61*(1+$C$58)</f>
        <v>0</v>
      </c>
      <c r="CY58" s="58" t="n">
        <f aca="false">CX61*(1+$C$58)</f>
        <v>0</v>
      </c>
      <c r="CZ58" s="58" t="n">
        <f aca="false">CY61*(1+$C$58)</f>
        <v>0</v>
      </c>
      <c r="DA58" s="58" t="n">
        <f aca="false">CZ61*(1+$C$58)</f>
        <v>0</v>
      </c>
      <c r="DB58" s="58" t="n">
        <f aca="false">DA61*(1+$C$58)</f>
        <v>0</v>
      </c>
      <c r="DC58" s="58" t="n">
        <f aca="false">DB61*(1+$C$58)</f>
        <v>0</v>
      </c>
      <c r="DD58" s="58" t="n">
        <f aca="false">DC61*(1+$C$58)</f>
        <v>0</v>
      </c>
      <c r="DE58" s="58" t="n">
        <f aca="false">DD61*(1+$C$58)</f>
        <v>0</v>
      </c>
      <c r="DF58" s="58" t="n">
        <f aca="false">DE61*(1+$C$58)</f>
        <v>0</v>
      </c>
      <c r="DG58" s="58" t="n">
        <f aca="false">DF61*(1+$C$58)</f>
        <v>0</v>
      </c>
      <c r="DH58" s="58" t="n">
        <f aca="false">DG61*(1+$C$58)</f>
        <v>0</v>
      </c>
      <c r="DI58" s="58" t="n">
        <f aca="false">DH61*(1+$C$58)</f>
        <v>0</v>
      </c>
      <c r="DJ58" s="58" t="n">
        <f aca="false">DI61*(1+$C$58)</f>
        <v>0</v>
      </c>
      <c r="DK58" s="58" t="n">
        <f aca="false">DJ61*(1+$C$58)</f>
        <v>0</v>
      </c>
      <c r="DL58" s="58" t="n">
        <f aca="false">DK61*(1+$C$58)</f>
        <v>0</v>
      </c>
      <c r="DM58" s="58" t="n">
        <f aca="false">DL61*(1+$C$58)</f>
        <v>0</v>
      </c>
      <c r="DN58" s="58" t="n">
        <f aca="false">DM61*(1+$C$58)</f>
        <v>0</v>
      </c>
      <c r="DO58" s="58" t="n">
        <f aca="false">DN61*(1+$C$58)</f>
        <v>0</v>
      </c>
      <c r="DP58" s="58" t="n">
        <f aca="false">DO61*(1+$C$58)</f>
        <v>0</v>
      </c>
      <c r="DQ58" s="58" t="n">
        <f aca="false">DP61*(1+$C$58)</f>
        <v>0</v>
      </c>
      <c r="DR58" s="58" t="n">
        <f aca="false">DQ61*(1+$C$58)</f>
        <v>0</v>
      </c>
      <c r="DS58" s="58" t="n">
        <f aca="false">DR61*(1+$C$58)</f>
        <v>0</v>
      </c>
      <c r="DT58" s="58" t="n">
        <f aca="false">DS61*(1+$C$58)</f>
        <v>0</v>
      </c>
    </row>
    <row r="59" customFormat="false" ht="15" hidden="false" customHeight="false" outlineLevel="0" collapsed="false">
      <c r="B59" s="17" t="s">
        <v>381</v>
      </c>
      <c r="C59" s="99" t="n">
        <f aca="false">IF(C57=0,0,N(INDEX($F$13:$F$20,C57)))</f>
        <v>0</v>
      </c>
      <c r="E59" s="58" t="n">
        <f aca="false">MIN($C$59,E58)</f>
        <v>0</v>
      </c>
      <c r="F59" s="58" t="n">
        <f aca="false">MIN($C$59,F58)</f>
        <v>0</v>
      </c>
      <c r="G59" s="58" t="n">
        <f aca="false">MIN($C$59,G58)</f>
        <v>0</v>
      </c>
      <c r="H59" s="58" t="n">
        <f aca="false">MIN($C$59,H58)</f>
        <v>0</v>
      </c>
      <c r="I59" s="58" t="n">
        <f aca="false">MIN($C$59,I58)</f>
        <v>0</v>
      </c>
      <c r="J59" s="58" t="n">
        <f aca="false">MIN($C$59,J58)</f>
        <v>0</v>
      </c>
      <c r="K59" s="58" t="n">
        <f aca="false">MIN($C$59,K58)</f>
        <v>0</v>
      </c>
      <c r="L59" s="58" t="n">
        <f aca="false">MIN($C$59,L58)</f>
        <v>0</v>
      </c>
      <c r="M59" s="58" t="n">
        <f aca="false">MIN($C$59,M58)</f>
        <v>0</v>
      </c>
      <c r="N59" s="58" t="n">
        <f aca="false">MIN($C$59,N58)</f>
        <v>0</v>
      </c>
      <c r="O59" s="58" t="n">
        <f aca="false">MIN($C$59,O58)</f>
        <v>0</v>
      </c>
      <c r="P59" s="58" t="n">
        <f aca="false">MIN($C$59,P58)</f>
        <v>0</v>
      </c>
      <c r="Q59" s="58" t="n">
        <f aca="false">MIN($C$59,Q58)</f>
        <v>0</v>
      </c>
      <c r="R59" s="58" t="n">
        <f aca="false">MIN($C$59,R58)</f>
        <v>0</v>
      </c>
      <c r="S59" s="58" t="n">
        <f aca="false">MIN($C$59,S58)</f>
        <v>0</v>
      </c>
      <c r="T59" s="58" t="n">
        <f aca="false">MIN($C$59,T58)</f>
        <v>0</v>
      </c>
      <c r="U59" s="58" t="n">
        <f aca="false">MIN($C$59,U58)</f>
        <v>0</v>
      </c>
      <c r="V59" s="58" t="n">
        <f aca="false">MIN($C$59,V58)</f>
        <v>0</v>
      </c>
      <c r="W59" s="58" t="n">
        <f aca="false">MIN($C$59,W58)</f>
        <v>0</v>
      </c>
      <c r="X59" s="58" t="n">
        <f aca="false">MIN($C$59,X58)</f>
        <v>0</v>
      </c>
      <c r="Y59" s="58" t="n">
        <f aca="false">MIN($C$59,Y58)</f>
        <v>0</v>
      </c>
      <c r="Z59" s="58" t="n">
        <f aca="false">MIN($C$59,Z58)</f>
        <v>0</v>
      </c>
      <c r="AA59" s="58" t="n">
        <f aca="false">MIN($C$59,AA58)</f>
        <v>0</v>
      </c>
      <c r="AB59" s="58" t="n">
        <f aca="false">MIN($C$59,AB58)</f>
        <v>0</v>
      </c>
      <c r="AC59" s="58" t="n">
        <f aca="false">MIN($C$59,AC58)</f>
        <v>0</v>
      </c>
      <c r="AD59" s="58" t="n">
        <f aca="false">MIN($C$59,AD58)</f>
        <v>0</v>
      </c>
      <c r="AE59" s="58" t="n">
        <f aca="false">MIN($C$59,AE58)</f>
        <v>0</v>
      </c>
      <c r="AF59" s="58" t="n">
        <f aca="false">MIN($C$59,AF58)</f>
        <v>0</v>
      </c>
      <c r="AG59" s="58" t="n">
        <f aca="false">MIN($C$59,AG58)</f>
        <v>0</v>
      </c>
      <c r="AH59" s="58" t="n">
        <f aca="false">MIN($C$59,AH58)</f>
        <v>0</v>
      </c>
      <c r="AI59" s="58" t="n">
        <f aca="false">MIN($C$59,AI58)</f>
        <v>0</v>
      </c>
      <c r="AJ59" s="58" t="n">
        <f aca="false">MIN($C$59,AJ58)</f>
        <v>0</v>
      </c>
      <c r="AK59" s="58" t="n">
        <f aca="false">MIN($C$59,AK58)</f>
        <v>0</v>
      </c>
      <c r="AL59" s="58" t="n">
        <f aca="false">MIN($C$59,AL58)</f>
        <v>0</v>
      </c>
      <c r="AM59" s="58" t="n">
        <f aca="false">MIN($C$59,AM58)</f>
        <v>0</v>
      </c>
      <c r="AN59" s="58" t="n">
        <f aca="false">MIN($C$59,AN58)</f>
        <v>0</v>
      </c>
      <c r="AO59" s="58" t="n">
        <f aca="false">MIN($C$59,AO58)</f>
        <v>0</v>
      </c>
      <c r="AP59" s="58" t="n">
        <f aca="false">MIN($C$59,AP58)</f>
        <v>0</v>
      </c>
      <c r="AQ59" s="58" t="n">
        <f aca="false">MIN($C$59,AQ58)</f>
        <v>0</v>
      </c>
      <c r="AR59" s="58" t="n">
        <f aca="false">MIN($C$59,AR58)</f>
        <v>0</v>
      </c>
      <c r="AS59" s="58" t="n">
        <f aca="false">MIN($C$59,AS58)</f>
        <v>0</v>
      </c>
      <c r="AT59" s="58" t="n">
        <f aca="false">MIN($C$59,AT58)</f>
        <v>0</v>
      </c>
      <c r="AU59" s="58" t="n">
        <f aca="false">MIN($C$59,AU58)</f>
        <v>0</v>
      </c>
      <c r="AV59" s="58" t="n">
        <f aca="false">MIN($C$59,AV58)</f>
        <v>0</v>
      </c>
      <c r="AW59" s="58" t="n">
        <f aca="false">MIN($C$59,AW58)</f>
        <v>0</v>
      </c>
      <c r="AX59" s="58" t="n">
        <f aca="false">MIN($C$59,AX58)</f>
        <v>0</v>
      </c>
      <c r="AY59" s="58" t="n">
        <f aca="false">MIN($C$59,AY58)</f>
        <v>0</v>
      </c>
      <c r="AZ59" s="58" t="n">
        <f aca="false">MIN($C$59,AZ58)</f>
        <v>0</v>
      </c>
      <c r="BA59" s="58" t="n">
        <f aca="false">MIN($C$59,BA58)</f>
        <v>0</v>
      </c>
      <c r="BB59" s="58" t="n">
        <f aca="false">MIN($C$59,BB58)</f>
        <v>0</v>
      </c>
      <c r="BC59" s="58" t="n">
        <f aca="false">MIN($C$59,BC58)</f>
        <v>0</v>
      </c>
      <c r="BD59" s="58" t="n">
        <f aca="false">MIN($C$59,BD58)</f>
        <v>0</v>
      </c>
      <c r="BE59" s="58" t="n">
        <f aca="false">MIN($C$59,BE58)</f>
        <v>0</v>
      </c>
      <c r="BF59" s="58" t="n">
        <f aca="false">MIN($C$59,BF58)</f>
        <v>0</v>
      </c>
      <c r="BG59" s="58" t="n">
        <f aca="false">MIN($C$59,BG58)</f>
        <v>0</v>
      </c>
      <c r="BH59" s="58" t="n">
        <f aca="false">MIN($C$59,BH58)</f>
        <v>0</v>
      </c>
      <c r="BI59" s="58" t="n">
        <f aca="false">MIN($C$59,BI58)</f>
        <v>0</v>
      </c>
      <c r="BJ59" s="58" t="n">
        <f aca="false">MIN($C$59,BJ58)</f>
        <v>0</v>
      </c>
      <c r="BK59" s="58" t="n">
        <f aca="false">MIN($C$59,BK58)</f>
        <v>0</v>
      </c>
      <c r="BL59" s="58" t="n">
        <f aca="false">MIN($C$59,BL58)</f>
        <v>0</v>
      </c>
      <c r="BM59" s="58" t="n">
        <f aca="false">MIN($C$59,BM58)</f>
        <v>0</v>
      </c>
      <c r="BN59" s="58" t="n">
        <f aca="false">MIN($C$59,BN58)</f>
        <v>0</v>
      </c>
      <c r="BO59" s="58" t="n">
        <f aca="false">MIN($C$59,BO58)</f>
        <v>0</v>
      </c>
      <c r="BP59" s="58" t="n">
        <f aca="false">MIN($C$59,BP58)</f>
        <v>0</v>
      </c>
      <c r="BQ59" s="58" t="n">
        <f aca="false">MIN($C$59,BQ58)</f>
        <v>0</v>
      </c>
      <c r="BR59" s="58" t="n">
        <f aca="false">MIN($C$59,BR58)</f>
        <v>0</v>
      </c>
      <c r="BS59" s="58" t="n">
        <f aca="false">MIN($C$59,BS58)</f>
        <v>0</v>
      </c>
      <c r="BT59" s="58" t="n">
        <f aca="false">MIN($C$59,BT58)</f>
        <v>0</v>
      </c>
      <c r="BU59" s="58" t="n">
        <f aca="false">MIN($C$59,BU58)</f>
        <v>0</v>
      </c>
      <c r="BV59" s="58" t="n">
        <f aca="false">MIN($C$59,BV58)</f>
        <v>0</v>
      </c>
      <c r="BW59" s="58" t="n">
        <f aca="false">MIN($C$59,BW58)</f>
        <v>0</v>
      </c>
      <c r="BX59" s="58" t="n">
        <f aca="false">MIN($C$59,BX58)</f>
        <v>0</v>
      </c>
      <c r="BY59" s="58" t="n">
        <f aca="false">MIN($C$59,BY58)</f>
        <v>0</v>
      </c>
      <c r="BZ59" s="58" t="n">
        <f aca="false">MIN($C$59,BZ58)</f>
        <v>0</v>
      </c>
      <c r="CA59" s="58" t="n">
        <f aca="false">MIN($C$59,CA58)</f>
        <v>0</v>
      </c>
      <c r="CB59" s="58" t="n">
        <f aca="false">MIN($C$59,CB58)</f>
        <v>0</v>
      </c>
      <c r="CC59" s="58" t="n">
        <f aca="false">MIN($C$59,CC58)</f>
        <v>0</v>
      </c>
      <c r="CD59" s="58" t="n">
        <f aca="false">MIN($C$59,CD58)</f>
        <v>0</v>
      </c>
      <c r="CE59" s="58" t="n">
        <f aca="false">MIN($C$59,CE58)</f>
        <v>0</v>
      </c>
      <c r="CF59" s="58" t="n">
        <f aca="false">MIN($C$59,CF58)</f>
        <v>0</v>
      </c>
      <c r="CG59" s="58" t="n">
        <f aca="false">MIN($C$59,CG58)</f>
        <v>0</v>
      </c>
      <c r="CH59" s="58" t="n">
        <f aca="false">MIN($C$59,CH58)</f>
        <v>0</v>
      </c>
      <c r="CI59" s="58" t="n">
        <f aca="false">MIN($C$59,CI58)</f>
        <v>0</v>
      </c>
      <c r="CJ59" s="58" t="n">
        <f aca="false">MIN($C$59,CJ58)</f>
        <v>0</v>
      </c>
      <c r="CK59" s="58" t="n">
        <f aca="false">MIN($C$59,CK58)</f>
        <v>0</v>
      </c>
      <c r="CL59" s="58" t="n">
        <f aca="false">MIN($C$59,CL58)</f>
        <v>0</v>
      </c>
      <c r="CM59" s="58" t="n">
        <f aca="false">MIN($C$59,CM58)</f>
        <v>0</v>
      </c>
      <c r="CN59" s="58" t="n">
        <f aca="false">MIN($C$59,CN58)</f>
        <v>0</v>
      </c>
      <c r="CO59" s="58" t="n">
        <f aca="false">MIN($C$59,CO58)</f>
        <v>0</v>
      </c>
      <c r="CP59" s="58" t="n">
        <f aca="false">MIN($C$59,CP58)</f>
        <v>0</v>
      </c>
      <c r="CQ59" s="58" t="n">
        <f aca="false">MIN($C$59,CQ58)</f>
        <v>0</v>
      </c>
      <c r="CR59" s="58" t="n">
        <f aca="false">MIN($C$59,CR58)</f>
        <v>0</v>
      </c>
      <c r="CS59" s="58" t="n">
        <f aca="false">MIN($C$59,CS58)</f>
        <v>0</v>
      </c>
      <c r="CT59" s="58" t="n">
        <f aca="false">MIN($C$59,CT58)</f>
        <v>0</v>
      </c>
      <c r="CU59" s="58" t="n">
        <f aca="false">MIN($C$59,CU58)</f>
        <v>0</v>
      </c>
      <c r="CV59" s="58" t="n">
        <f aca="false">MIN($C$59,CV58)</f>
        <v>0</v>
      </c>
      <c r="CW59" s="58" t="n">
        <f aca="false">MIN($C$59,CW58)</f>
        <v>0</v>
      </c>
      <c r="CX59" s="58" t="n">
        <f aca="false">MIN($C$59,CX58)</f>
        <v>0</v>
      </c>
      <c r="CY59" s="58" t="n">
        <f aca="false">MIN($C$59,CY58)</f>
        <v>0</v>
      </c>
      <c r="CZ59" s="58" t="n">
        <f aca="false">MIN($C$59,CZ58)</f>
        <v>0</v>
      </c>
      <c r="DA59" s="58" t="n">
        <f aca="false">MIN($C$59,DA58)</f>
        <v>0</v>
      </c>
      <c r="DB59" s="58" t="n">
        <f aca="false">MIN($C$59,DB58)</f>
        <v>0</v>
      </c>
      <c r="DC59" s="58" t="n">
        <f aca="false">MIN($C$59,DC58)</f>
        <v>0</v>
      </c>
      <c r="DD59" s="58" t="n">
        <f aca="false">MIN($C$59,DD58)</f>
        <v>0</v>
      </c>
      <c r="DE59" s="58" t="n">
        <f aca="false">MIN($C$59,DE58)</f>
        <v>0</v>
      </c>
      <c r="DF59" s="58" t="n">
        <f aca="false">MIN($C$59,DF58)</f>
        <v>0</v>
      </c>
      <c r="DG59" s="58" t="n">
        <f aca="false">MIN($C$59,DG58)</f>
        <v>0</v>
      </c>
      <c r="DH59" s="58" t="n">
        <f aca="false">MIN($C$59,DH58)</f>
        <v>0</v>
      </c>
      <c r="DI59" s="58" t="n">
        <f aca="false">MIN($C$59,DI58)</f>
        <v>0</v>
      </c>
      <c r="DJ59" s="58" t="n">
        <f aca="false">MIN($C$59,DJ58)</f>
        <v>0</v>
      </c>
      <c r="DK59" s="58" t="n">
        <f aca="false">MIN($C$59,DK58)</f>
        <v>0</v>
      </c>
      <c r="DL59" s="58" t="n">
        <f aca="false">MIN($C$59,DL58)</f>
        <v>0</v>
      </c>
      <c r="DM59" s="58" t="n">
        <f aca="false">MIN($C$59,DM58)</f>
        <v>0</v>
      </c>
      <c r="DN59" s="58" t="n">
        <f aca="false">MIN($C$59,DN58)</f>
        <v>0</v>
      </c>
      <c r="DO59" s="58" t="n">
        <f aca="false">MIN($C$59,DO58)</f>
        <v>0</v>
      </c>
      <c r="DP59" s="58" t="n">
        <f aca="false">MIN($C$59,DP58)</f>
        <v>0</v>
      </c>
      <c r="DQ59" s="58" t="n">
        <f aca="false">MIN($C$59,DQ58)</f>
        <v>0</v>
      </c>
      <c r="DR59" s="58" t="n">
        <f aca="false">MIN($C$59,DR58)</f>
        <v>0</v>
      </c>
      <c r="DS59" s="58" t="n">
        <f aca="false">MIN($C$59,DS58)</f>
        <v>0</v>
      </c>
      <c r="DT59" s="58" t="n">
        <f aca="false">MIN($C$59,DT58)</f>
        <v>0</v>
      </c>
    </row>
    <row r="60" customFormat="false" ht="15" hidden="false" customHeight="false" outlineLevel="0" collapsed="false">
      <c r="B60" s="17" t="s">
        <v>382</v>
      </c>
      <c r="C60" s="96" t="n">
        <f aca="false">IF(C57=0,0,IF(INDEX($G$13:$G$20,C57)="No",0,1))</f>
        <v>0</v>
      </c>
      <c r="D60" s="100" t="str">
        <f aca="false">IF(C57=0,"",IF(N(INDEX($H$13:$H$20,C57))=0,"",INDEX($H$13:$H$20,C57)))</f>
        <v/>
      </c>
      <c r="E60" s="58" t="n">
        <f aca="false">IF(AND($C$60=1,OR($D$60="",E$29&gt;=$D$60)),MAX(0,MIN(E58-E59,E$31-(E36+E42+E48+E54))),0)</f>
        <v>0</v>
      </c>
      <c r="F60" s="58" t="n">
        <f aca="false">IF(AND($C$60=1,OR($D$60="",F$29&gt;=$D$60)),MAX(0,MIN(F58-F59,F$31-(F36+F42+F48+F54))),0)</f>
        <v>0</v>
      </c>
      <c r="G60" s="58" t="n">
        <f aca="false">IF(AND($C$60=1,OR($D$60="",G$29&gt;=$D$60)),MAX(0,MIN(G58-G59,G$31-(G36+G42+G48+G54))),0)</f>
        <v>0</v>
      </c>
      <c r="H60" s="58" t="n">
        <f aca="false">IF(AND($C$60=1,OR($D$60="",H$29&gt;=$D$60)),MAX(0,MIN(H58-H59,H$31-(H36+H42+H48+H54))),0)</f>
        <v>0</v>
      </c>
      <c r="I60" s="58" t="n">
        <f aca="false">IF(AND($C$60=1,OR($D$60="",I$29&gt;=$D$60)),MAX(0,MIN(I58-I59,I$31-(I36+I42+I48+I54))),0)</f>
        <v>0</v>
      </c>
      <c r="J60" s="58" t="n">
        <f aca="false">IF(AND($C$60=1,OR($D$60="",J$29&gt;=$D$60)),MAX(0,MIN(J58-J59,J$31-(J36+J42+J48+J54))),0)</f>
        <v>0</v>
      </c>
      <c r="K60" s="58" t="n">
        <f aca="false">IF(AND($C$60=1,OR($D$60="",K$29&gt;=$D$60)),MAX(0,MIN(K58-K59,K$31-(K36+K42+K48+K54))),0)</f>
        <v>0</v>
      </c>
      <c r="L60" s="58" t="n">
        <f aca="false">IF(AND($C$60=1,OR($D$60="",L$29&gt;=$D$60)),MAX(0,MIN(L58-L59,L$31-(L36+L42+L48+L54))),0)</f>
        <v>0</v>
      </c>
      <c r="M60" s="58" t="n">
        <f aca="false">IF(AND($C$60=1,OR($D$60="",M$29&gt;=$D$60)),MAX(0,MIN(M58-M59,M$31-(M36+M42+M48+M54))),0)</f>
        <v>0</v>
      </c>
      <c r="N60" s="58" t="n">
        <f aca="false">IF(AND($C$60=1,OR($D$60="",N$29&gt;=$D$60)),MAX(0,MIN(N58-N59,N$31-(N36+N42+N48+N54))),0)</f>
        <v>0</v>
      </c>
      <c r="O60" s="58" t="n">
        <f aca="false">IF(AND($C$60=1,OR($D$60="",O$29&gt;=$D$60)),MAX(0,MIN(O58-O59,O$31-(O36+O42+O48+O54))),0)</f>
        <v>0</v>
      </c>
      <c r="P60" s="58" t="n">
        <f aca="false">IF(AND($C$60=1,OR($D$60="",P$29&gt;=$D$60)),MAX(0,MIN(P58-P59,P$31-(P36+P42+P48+P54))),0)</f>
        <v>0</v>
      </c>
      <c r="Q60" s="58" t="n">
        <f aca="false">IF(AND($C$60=1,OR($D$60="",Q$29&gt;=$D$60)),MAX(0,MIN(Q58-Q59,Q$31-(Q36+Q42+Q48+Q54))),0)</f>
        <v>0</v>
      </c>
      <c r="R60" s="58" t="n">
        <f aca="false">IF(AND($C$60=1,OR($D$60="",R$29&gt;=$D$60)),MAX(0,MIN(R58-R59,R$31-(R36+R42+R48+R54))),0)</f>
        <v>0</v>
      </c>
      <c r="S60" s="58" t="n">
        <f aca="false">IF(AND($C$60=1,OR($D$60="",S$29&gt;=$D$60)),MAX(0,MIN(S58-S59,S$31-(S36+S42+S48+S54))),0)</f>
        <v>0</v>
      </c>
      <c r="T60" s="58" t="n">
        <f aca="false">IF(AND($C$60=1,OR($D$60="",T$29&gt;=$D$60)),MAX(0,MIN(T58-T59,T$31-(T36+T42+T48+T54))),0)</f>
        <v>0</v>
      </c>
      <c r="U60" s="58" t="n">
        <f aca="false">IF(AND($C$60=1,OR($D$60="",U$29&gt;=$D$60)),MAX(0,MIN(U58-U59,U$31-(U36+U42+U48+U54))),0)</f>
        <v>0</v>
      </c>
      <c r="V60" s="58" t="n">
        <f aca="false">IF(AND($C$60=1,OR($D$60="",V$29&gt;=$D$60)),MAX(0,MIN(V58-V59,V$31-(V36+V42+V48+V54))),0)</f>
        <v>0</v>
      </c>
      <c r="W60" s="58" t="n">
        <f aca="false">IF(AND($C$60=1,OR($D$60="",W$29&gt;=$D$60)),MAX(0,MIN(W58-W59,W$31-(W36+W42+W48+W54))),0)</f>
        <v>0</v>
      </c>
      <c r="X60" s="58" t="n">
        <f aca="false">IF(AND($C$60=1,OR($D$60="",X$29&gt;=$D$60)),MAX(0,MIN(X58-X59,X$31-(X36+X42+X48+X54))),0)</f>
        <v>0</v>
      </c>
      <c r="Y60" s="58" t="n">
        <f aca="false">IF(AND($C$60=1,OR($D$60="",Y$29&gt;=$D$60)),MAX(0,MIN(Y58-Y59,Y$31-(Y36+Y42+Y48+Y54))),0)</f>
        <v>0</v>
      </c>
      <c r="Z60" s="58" t="n">
        <f aca="false">IF(AND($C$60=1,OR($D$60="",Z$29&gt;=$D$60)),MAX(0,MIN(Z58-Z59,Z$31-(Z36+Z42+Z48+Z54))),0)</f>
        <v>0</v>
      </c>
      <c r="AA60" s="58" t="n">
        <f aca="false">IF(AND($C$60=1,OR($D$60="",AA$29&gt;=$D$60)),MAX(0,MIN(AA58-AA59,AA$31-(AA36+AA42+AA48+AA54))),0)</f>
        <v>0</v>
      </c>
      <c r="AB60" s="58" t="n">
        <f aca="false">IF(AND($C$60=1,OR($D$60="",AB$29&gt;=$D$60)),MAX(0,MIN(AB58-AB59,AB$31-(AB36+AB42+AB48+AB54))),0)</f>
        <v>0</v>
      </c>
      <c r="AC60" s="58" t="n">
        <f aca="false">IF(AND($C$60=1,OR($D$60="",AC$29&gt;=$D$60)),MAX(0,MIN(AC58-AC59,AC$31-(AC36+AC42+AC48+AC54))),0)</f>
        <v>0</v>
      </c>
      <c r="AD60" s="58" t="n">
        <f aca="false">IF(AND($C$60=1,OR($D$60="",AD$29&gt;=$D$60)),MAX(0,MIN(AD58-AD59,AD$31-(AD36+AD42+AD48+AD54))),0)</f>
        <v>0</v>
      </c>
      <c r="AE60" s="58" t="n">
        <f aca="false">IF(AND($C$60=1,OR($D$60="",AE$29&gt;=$D$60)),MAX(0,MIN(AE58-AE59,AE$31-(AE36+AE42+AE48+AE54))),0)</f>
        <v>0</v>
      </c>
      <c r="AF60" s="58" t="n">
        <f aca="false">IF(AND($C$60=1,OR($D$60="",AF$29&gt;=$D$60)),MAX(0,MIN(AF58-AF59,AF$31-(AF36+AF42+AF48+AF54))),0)</f>
        <v>0</v>
      </c>
      <c r="AG60" s="58" t="n">
        <f aca="false">IF(AND($C$60=1,OR($D$60="",AG$29&gt;=$D$60)),MAX(0,MIN(AG58-AG59,AG$31-(AG36+AG42+AG48+AG54))),0)</f>
        <v>0</v>
      </c>
      <c r="AH60" s="58" t="n">
        <f aca="false">IF(AND($C$60=1,OR($D$60="",AH$29&gt;=$D$60)),MAX(0,MIN(AH58-AH59,AH$31-(AH36+AH42+AH48+AH54))),0)</f>
        <v>0</v>
      </c>
      <c r="AI60" s="58" t="n">
        <f aca="false">IF(AND($C$60=1,OR($D$60="",AI$29&gt;=$D$60)),MAX(0,MIN(AI58-AI59,AI$31-(AI36+AI42+AI48+AI54))),0)</f>
        <v>0</v>
      </c>
      <c r="AJ60" s="58" t="n">
        <f aca="false">IF(AND($C$60=1,OR($D$60="",AJ$29&gt;=$D$60)),MAX(0,MIN(AJ58-AJ59,AJ$31-(AJ36+AJ42+AJ48+AJ54))),0)</f>
        <v>0</v>
      </c>
      <c r="AK60" s="58" t="n">
        <f aca="false">IF(AND($C$60=1,OR($D$60="",AK$29&gt;=$D$60)),MAX(0,MIN(AK58-AK59,AK$31-(AK36+AK42+AK48+AK54))),0)</f>
        <v>0</v>
      </c>
      <c r="AL60" s="58" t="n">
        <f aca="false">IF(AND($C$60=1,OR($D$60="",AL$29&gt;=$D$60)),MAX(0,MIN(AL58-AL59,AL$31-(AL36+AL42+AL48+AL54))),0)</f>
        <v>0</v>
      </c>
      <c r="AM60" s="58" t="n">
        <f aca="false">IF(AND($C$60=1,OR($D$60="",AM$29&gt;=$D$60)),MAX(0,MIN(AM58-AM59,AM$31-(AM36+AM42+AM48+AM54))),0)</f>
        <v>0</v>
      </c>
      <c r="AN60" s="58" t="n">
        <f aca="false">IF(AND($C$60=1,OR($D$60="",AN$29&gt;=$D$60)),MAX(0,MIN(AN58-AN59,AN$31-(AN36+AN42+AN48+AN54))),0)</f>
        <v>0</v>
      </c>
      <c r="AO60" s="58" t="n">
        <f aca="false">IF(AND($C$60=1,OR($D$60="",AO$29&gt;=$D$60)),MAX(0,MIN(AO58-AO59,AO$31-(AO36+AO42+AO48+AO54))),0)</f>
        <v>0</v>
      </c>
      <c r="AP60" s="58" t="n">
        <f aca="false">IF(AND($C$60=1,OR($D$60="",AP$29&gt;=$D$60)),MAX(0,MIN(AP58-AP59,AP$31-(AP36+AP42+AP48+AP54))),0)</f>
        <v>0</v>
      </c>
      <c r="AQ60" s="58" t="n">
        <f aca="false">IF(AND($C$60=1,OR($D$60="",AQ$29&gt;=$D$60)),MAX(0,MIN(AQ58-AQ59,AQ$31-(AQ36+AQ42+AQ48+AQ54))),0)</f>
        <v>0</v>
      </c>
      <c r="AR60" s="58" t="n">
        <f aca="false">IF(AND($C$60=1,OR($D$60="",AR$29&gt;=$D$60)),MAX(0,MIN(AR58-AR59,AR$31-(AR36+AR42+AR48+AR54))),0)</f>
        <v>0</v>
      </c>
      <c r="AS60" s="58" t="n">
        <f aca="false">IF(AND($C$60=1,OR($D$60="",AS$29&gt;=$D$60)),MAX(0,MIN(AS58-AS59,AS$31-(AS36+AS42+AS48+AS54))),0)</f>
        <v>0</v>
      </c>
      <c r="AT60" s="58" t="n">
        <f aca="false">IF(AND($C$60=1,OR($D$60="",AT$29&gt;=$D$60)),MAX(0,MIN(AT58-AT59,AT$31-(AT36+AT42+AT48+AT54))),0)</f>
        <v>0</v>
      </c>
      <c r="AU60" s="58" t="n">
        <f aca="false">IF(AND($C$60=1,OR($D$60="",AU$29&gt;=$D$60)),MAX(0,MIN(AU58-AU59,AU$31-(AU36+AU42+AU48+AU54))),0)</f>
        <v>0</v>
      </c>
      <c r="AV60" s="58" t="n">
        <f aca="false">IF(AND($C$60=1,OR($D$60="",AV$29&gt;=$D$60)),MAX(0,MIN(AV58-AV59,AV$31-(AV36+AV42+AV48+AV54))),0)</f>
        <v>0</v>
      </c>
      <c r="AW60" s="58" t="n">
        <f aca="false">IF(AND($C$60=1,OR($D$60="",AW$29&gt;=$D$60)),MAX(0,MIN(AW58-AW59,AW$31-(AW36+AW42+AW48+AW54))),0)</f>
        <v>0</v>
      </c>
      <c r="AX60" s="58" t="n">
        <f aca="false">IF(AND($C$60=1,OR($D$60="",AX$29&gt;=$D$60)),MAX(0,MIN(AX58-AX59,AX$31-(AX36+AX42+AX48+AX54))),0)</f>
        <v>0</v>
      </c>
      <c r="AY60" s="58" t="n">
        <f aca="false">IF(AND($C$60=1,OR($D$60="",AY$29&gt;=$D$60)),MAX(0,MIN(AY58-AY59,AY$31-(AY36+AY42+AY48+AY54))),0)</f>
        <v>0</v>
      </c>
      <c r="AZ60" s="58" t="n">
        <f aca="false">IF(AND($C$60=1,OR($D$60="",AZ$29&gt;=$D$60)),MAX(0,MIN(AZ58-AZ59,AZ$31-(AZ36+AZ42+AZ48+AZ54))),0)</f>
        <v>0</v>
      </c>
      <c r="BA60" s="58" t="n">
        <f aca="false">IF(AND($C$60=1,OR($D$60="",BA$29&gt;=$D$60)),MAX(0,MIN(BA58-BA59,BA$31-(BA36+BA42+BA48+BA54))),0)</f>
        <v>0</v>
      </c>
      <c r="BB60" s="58" t="n">
        <f aca="false">IF(AND($C$60=1,OR($D$60="",BB$29&gt;=$D$60)),MAX(0,MIN(BB58-BB59,BB$31-(BB36+BB42+BB48+BB54))),0)</f>
        <v>0</v>
      </c>
      <c r="BC60" s="58" t="n">
        <f aca="false">IF(AND($C$60=1,OR($D$60="",BC$29&gt;=$D$60)),MAX(0,MIN(BC58-BC59,BC$31-(BC36+BC42+BC48+BC54))),0)</f>
        <v>0</v>
      </c>
      <c r="BD60" s="58" t="n">
        <f aca="false">IF(AND($C$60=1,OR($D$60="",BD$29&gt;=$D$60)),MAX(0,MIN(BD58-BD59,BD$31-(BD36+BD42+BD48+BD54))),0)</f>
        <v>0</v>
      </c>
      <c r="BE60" s="58" t="n">
        <f aca="false">IF(AND($C$60=1,OR($D$60="",BE$29&gt;=$D$60)),MAX(0,MIN(BE58-BE59,BE$31-(BE36+BE42+BE48+BE54))),0)</f>
        <v>0</v>
      </c>
      <c r="BF60" s="58" t="n">
        <f aca="false">IF(AND($C$60=1,OR($D$60="",BF$29&gt;=$D$60)),MAX(0,MIN(BF58-BF59,BF$31-(BF36+BF42+BF48+BF54))),0)</f>
        <v>0</v>
      </c>
      <c r="BG60" s="58" t="n">
        <f aca="false">IF(AND($C$60=1,OR($D$60="",BG$29&gt;=$D$60)),MAX(0,MIN(BG58-BG59,BG$31-(BG36+BG42+BG48+BG54))),0)</f>
        <v>0</v>
      </c>
      <c r="BH60" s="58" t="n">
        <f aca="false">IF(AND($C$60=1,OR($D$60="",BH$29&gt;=$D$60)),MAX(0,MIN(BH58-BH59,BH$31-(BH36+BH42+BH48+BH54))),0)</f>
        <v>0</v>
      </c>
      <c r="BI60" s="58" t="n">
        <f aca="false">IF(AND($C$60=1,OR($D$60="",BI$29&gt;=$D$60)),MAX(0,MIN(BI58-BI59,BI$31-(BI36+BI42+BI48+BI54))),0)</f>
        <v>0</v>
      </c>
      <c r="BJ60" s="58" t="n">
        <f aca="false">IF(AND($C$60=1,OR($D$60="",BJ$29&gt;=$D$60)),MAX(0,MIN(BJ58-BJ59,BJ$31-(BJ36+BJ42+BJ48+BJ54))),0)</f>
        <v>0</v>
      </c>
      <c r="BK60" s="58" t="n">
        <f aca="false">IF(AND($C$60=1,OR($D$60="",BK$29&gt;=$D$60)),MAX(0,MIN(BK58-BK59,BK$31-(BK36+BK42+BK48+BK54))),0)</f>
        <v>0</v>
      </c>
      <c r="BL60" s="58" t="n">
        <f aca="false">IF(AND($C$60=1,OR($D$60="",BL$29&gt;=$D$60)),MAX(0,MIN(BL58-BL59,BL$31-(BL36+BL42+BL48+BL54))),0)</f>
        <v>0</v>
      </c>
      <c r="BM60" s="58" t="n">
        <f aca="false">IF(AND($C$60=1,OR($D$60="",BM$29&gt;=$D$60)),MAX(0,MIN(BM58-BM59,BM$31-(BM36+BM42+BM48+BM54))),0)</f>
        <v>0</v>
      </c>
      <c r="BN60" s="58" t="n">
        <f aca="false">IF(AND($C$60=1,OR($D$60="",BN$29&gt;=$D$60)),MAX(0,MIN(BN58-BN59,BN$31-(BN36+BN42+BN48+BN54))),0)</f>
        <v>0</v>
      </c>
      <c r="BO60" s="58" t="n">
        <f aca="false">IF(AND($C$60=1,OR($D$60="",BO$29&gt;=$D$60)),MAX(0,MIN(BO58-BO59,BO$31-(BO36+BO42+BO48+BO54))),0)</f>
        <v>0</v>
      </c>
      <c r="BP60" s="58" t="n">
        <f aca="false">IF(AND($C$60=1,OR($D$60="",BP$29&gt;=$D$60)),MAX(0,MIN(BP58-BP59,BP$31-(BP36+BP42+BP48+BP54))),0)</f>
        <v>0</v>
      </c>
      <c r="BQ60" s="58" t="n">
        <f aca="false">IF(AND($C$60=1,OR($D$60="",BQ$29&gt;=$D$60)),MAX(0,MIN(BQ58-BQ59,BQ$31-(BQ36+BQ42+BQ48+BQ54))),0)</f>
        <v>0</v>
      </c>
      <c r="BR60" s="58" t="n">
        <f aca="false">IF(AND($C$60=1,OR($D$60="",BR$29&gt;=$D$60)),MAX(0,MIN(BR58-BR59,BR$31-(BR36+BR42+BR48+BR54))),0)</f>
        <v>0</v>
      </c>
      <c r="BS60" s="58" t="n">
        <f aca="false">IF(AND($C$60=1,OR($D$60="",BS$29&gt;=$D$60)),MAX(0,MIN(BS58-BS59,BS$31-(BS36+BS42+BS48+BS54))),0)</f>
        <v>0</v>
      </c>
      <c r="BT60" s="58" t="n">
        <f aca="false">IF(AND($C$60=1,OR($D$60="",BT$29&gt;=$D$60)),MAX(0,MIN(BT58-BT59,BT$31-(BT36+BT42+BT48+BT54))),0)</f>
        <v>0</v>
      </c>
      <c r="BU60" s="58" t="n">
        <f aca="false">IF(AND($C$60=1,OR($D$60="",BU$29&gt;=$D$60)),MAX(0,MIN(BU58-BU59,BU$31-(BU36+BU42+BU48+BU54))),0)</f>
        <v>0</v>
      </c>
      <c r="BV60" s="58" t="n">
        <f aca="false">IF(AND($C$60=1,OR($D$60="",BV$29&gt;=$D$60)),MAX(0,MIN(BV58-BV59,BV$31-(BV36+BV42+BV48+BV54))),0)</f>
        <v>0</v>
      </c>
      <c r="BW60" s="58" t="n">
        <f aca="false">IF(AND($C$60=1,OR($D$60="",BW$29&gt;=$D$60)),MAX(0,MIN(BW58-BW59,BW$31-(BW36+BW42+BW48+BW54))),0)</f>
        <v>0</v>
      </c>
      <c r="BX60" s="58" t="n">
        <f aca="false">IF(AND($C$60=1,OR($D$60="",BX$29&gt;=$D$60)),MAX(0,MIN(BX58-BX59,BX$31-(BX36+BX42+BX48+BX54))),0)</f>
        <v>0</v>
      </c>
      <c r="BY60" s="58" t="n">
        <f aca="false">IF(AND($C$60=1,OR($D$60="",BY$29&gt;=$D$60)),MAX(0,MIN(BY58-BY59,BY$31-(BY36+BY42+BY48+BY54))),0)</f>
        <v>0</v>
      </c>
      <c r="BZ60" s="58" t="n">
        <f aca="false">IF(AND($C$60=1,OR($D$60="",BZ$29&gt;=$D$60)),MAX(0,MIN(BZ58-BZ59,BZ$31-(BZ36+BZ42+BZ48+BZ54))),0)</f>
        <v>0</v>
      </c>
      <c r="CA60" s="58" t="n">
        <f aca="false">IF(AND($C$60=1,OR($D$60="",CA$29&gt;=$D$60)),MAX(0,MIN(CA58-CA59,CA$31-(CA36+CA42+CA48+CA54))),0)</f>
        <v>0</v>
      </c>
      <c r="CB60" s="58" t="n">
        <f aca="false">IF(AND($C$60=1,OR($D$60="",CB$29&gt;=$D$60)),MAX(0,MIN(CB58-CB59,CB$31-(CB36+CB42+CB48+CB54))),0)</f>
        <v>0</v>
      </c>
      <c r="CC60" s="58" t="n">
        <f aca="false">IF(AND($C$60=1,OR($D$60="",CC$29&gt;=$D$60)),MAX(0,MIN(CC58-CC59,CC$31-(CC36+CC42+CC48+CC54))),0)</f>
        <v>0</v>
      </c>
      <c r="CD60" s="58" t="n">
        <f aca="false">IF(AND($C$60=1,OR($D$60="",CD$29&gt;=$D$60)),MAX(0,MIN(CD58-CD59,CD$31-(CD36+CD42+CD48+CD54))),0)</f>
        <v>0</v>
      </c>
      <c r="CE60" s="58" t="n">
        <f aca="false">IF(AND($C$60=1,OR($D$60="",CE$29&gt;=$D$60)),MAX(0,MIN(CE58-CE59,CE$31-(CE36+CE42+CE48+CE54))),0)</f>
        <v>0</v>
      </c>
      <c r="CF60" s="58" t="n">
        <f aca="false">IF(AND($C$60=1,OR($D$60="",CF$29&gt;=$D$60)),MAX(0,MIN(CF58-CF59,CF$31-(CF36+CF42+CF48+CF54))),0)</f>
        <v>0</v>
      </c>
      <c r="CG60" s="58" t="n">
        <f aca="false">IF(AND($C$60=1,OR($D$60="",CG$29&gt;=$D$60)),MAX(0,MIN(CG58-CG59,CG$31-(CG36+CG42+CG48+CG54))),0)</f>
        <v>0</v>
      </c>
      <c r="CH60" s="58" t="n">
        <f aca="false">IF(AND($C$60=1,OR($D$60="",CH$29&gt;=$D$60)),MAX(0,MIN(CH58-CH59,CH$31-(CH36+CH42+CH48+CH54))),0)</f>
        <v>0</v>
      </c>
      <c r="CI60" s="58" t="n">
        <f aca="false">IF(AND($C$60=1,OR($D$60="",CI$29&gt;=$D$60)),MAX(0,MIN(CI58-CI59,CI$31-(CI36+CI42+CI48+CI54))),0)</f>
        <v>0</v>
      </c>
      <c r="CJ60" s="58" t="n">
        <f aca="false">IF(AND($C$60=1,OR($D$60="",CJ$29&gt;=$D$60)),MAX(0,MIN(CJ58-CJ59,CJ$31-(CJ36+CJ42+CJ48+CJ54))),0)</f>
        <v>0</v>
      </c>
      <c r="CK60" s="58" t="n">
        <f aca="false">IF(AND($C$60=1,OR($D$60="",CK$29&gt;=$D$60)),MAX(0,MIN(CK58-CK59,CK$31-(CK36+CK42+CK48+CK54))),0)</f>
        <v>0</v>
      </c>
      <c r="CL60" s="58" t="n">
        <f aca="false">IF(AND($C$60=1,OR($D$60="",CL$29&gt;=$D$60)),MAX(0,MIN(CL58-CL59,CL$31-(CL36+CL42+CL48+CL54))),0)</f>
        <v>0</v>
      </c>
      <c r="CM60" s="58" t="n">
        <f aca="false">IF(AND($C$60=1,OR($D$60="",CM$29&gt;=$D$60)),MAX(0,MIN(CM58-CM59,CM$31-(CM36+CM42+CM48+CM54))),0)</f>
        <v>0</v>
      </c>
      <c r="CN60" s="58" t="n">
        <f aca="false">IF(AND($C$60=1,OR($D$60="",CN$29&gt;=$D$60)),MAX(0,MIN(CN58-CN59,CN$31-(CN36+CN42+CN48+CN54))),0)</f>
        <v>0</v>
      </c>
      <c r="CO60" s="58" t="n">
        <f aca="false">IF(AND($C$60=1,OR($D$60="",CO$29&gt;=$D$60)),MAX(0,MIN(CO58-CO59,CO$31-(CO36+CO42+CO48+CO54))),0)</f>
        <v>0</v>
      </c>
      <c r="CP60" s="58" t="n">
        <f aca="false">IF(AND($C$60=1,OR($D$60="",CP$29&gt;=$D$60)),MAX(0,MIN(CP58-CP59,CP$31-(CP36+CP42+CP48+CP54))),0)</f>
        <v>0</v>
      </c>
      <c r="CQ60" s="58" t="n">
        <f aca="false">IF(AND($C$60=1,OR($D$60="",CQ$29&gt;=$D$60)),MAX(0,MIN(CQ58-CQ59,CQ$31-(CQ36+CQ42+CQ48+CQ54))),0)</f>
        <v>0</v>
      </c>
      <c r="CR60" s="58" t="n">
        <f aca="false">IF(AND($C$60=1,OR($D$60="",CR$29&gt;=$D$60)),MAX(0,MIN(CR58-CR59,CR$31-(CR36+CR42+CR48+CR54))),0)</f>
        <v>0</v>
      </c>
      <c r="CS60" s="58" t="n">
        <f aca="false">IF(AND($C$60=1,OR($D$60="",CS$29&gt;=$D$60)),MAX(0,MIN(CS58-CS59,CS$31-(CS36+CS42+CS48+CS54))),0)</f>
        <v>0</v>
      </c>
      <c r="CT60" s="58" t="n">
        <f aca="false">IF(AND($C$60=1,OR($D$60="",CT$29&gt;=$D$60)),MAX(0,MIN(CT58-CT59,CT$31-(CT36+CT42+CT48+CT54))),0)</f>
        <v>0</v>
      </c>
      <c r="CU60" s="58" t="n">
        <f aca="false">IF(AND($C$60=1,OR($D$60="",CU$29&gt;=$D$60)),MAX(0,MIN(CU58-CU59,CU$31-(CU36+CU42+CU48+CU54))),0)</f>
        <v>0</v>
      </c>
      <c r="CV60" s="58" t="n">
        <f aca="false">IF(AND($C$60=1,OR($D$60="",CV$29&gt;=$D$60)),MAX(0,MIN(CV58-CV59,CV$31-(CV36+CV42+CV48+CV54))),0)</f>
        <v>0</v>
      </c>
      <c r="CW60" s="58" t="n">
        <f aca="false">IF(AND($C$60=1,OR($D$60="",CW$29&gt;=$D$60)),MAX(0,MIN(CW58-CW59,CW$31-(CW36+CW42+CW48+CW54))),0)</f>
        <v>0</v>
      </c>
      <c r="CX60" s="58" t="n">
        <f aca="false">IF(AND($C$60=1,OR($D$60="",CX$29&gt;=$D$60)),MAX(0,MIN(CX58-CX59,CX$31-(CX36+CX42+CX48+CX54))),0)</f>
        <v>0</v>
      </c>
      <c r="CY60" s="58" t="n">
        <f aca="false">IF(AND($C$60=1,OR($D$60="",CY$29&gt;=$D$60)),MAX(0,MIN(CY58-CY59,CY$31-(CY36+CY42+CY48+CY54))),0)</f>
        <v>0</v>
      </c>
      <c r="CZ60" s="58" t="n">
        <f aca="false">IF(AND($C$60=1,OR($D$60="",CZ$29&gt;=$D$60)),MAX(0,MIN(CZ58-CZ59,CZ$31-(CZ36+CZ42+CZ48+CZ54))),0)</f>
        <v>0</v>
      </c>
      <c r="DA60" s="58" t="n">
        <f aca="false">IF(AND($C$60=1,OR($D$60="",DA$29&gt;=$D$60)),MAX(0,MIN(DA58-DA59,DA$31-(DA36+DA42+DA48+DA54))),0)</f>
        <v>0</v>
      </c>
      <c r="DB60" s="58" t="n">
        <f aca="false">IF(AND($C$60=1,OR($D$60="",DB$29&gt;=$D$60)),MAX(0,MIN(DB58-DB59,DB$31-(DB36+DB42+DB48+DB54))),0)</f>
        <v>0</v>
      </c>
      <c r="DC60" s="58" t="n">
        <f aca="false">IF(AND($C$60=1,OR($D$60="",DC$29&gt;=$D$60)),MAX(0,MIN(DC58-DC59,DC$31-(DC36+DC42+DC48+DC54))),0)</f>
        <v>0</v>
      </c>
      <c r="DD60" s="58" t="n">
        <f aca="false">IF(AND($C$60=1,OR($D$60="",DD$29&gt;=$D$60)),MAX(0,MIN(DD58-DD59,DD$31-(DD36+DD42+DD48+DD54))),0)</f>
        <v>0</v>
      </c>
      <c r="DE60" s="58" t="n">
        <f aca="false">IF(AND($C$60=1,OR($D$60="",DE$29&gt;=$D$60)),MAX(0,MIN(DE58-DE59,DE$31-(DE36+DE42+DE48+DE54))),0)</f>
        <v>0</v>
      </c>
      <c r="DF60" s="58" t="n">
        <f aca="false">IF(AND($C$60=1,OR($D$60="",DF$29&gt;=$D$60)),MAX(0,MIN(DF58-DF59,DF$31-(DF36+DF42+DF48+DF54))),0)</f>
        <v>0</v>
      </c>
      <c r="DG60" s="58" t="n">
        <f aca="false">IF(AND($C$60=1,OR($D$60="",DG$29&gt;=$D$60)),MAX(0,MIN(DG58-DG59,DG$31-(DG36+DG42+DG48+DG54))),0)</f>
        <v>0</v>
      </c>
      <c r="DH60" s="58" t="n">
        <f aca="false">IF(AND($C$60=1,OR($D$60="",DH$29&gt;=$D$60)),MAX(0,MIN(DH58-DH59,DH$31-(DH36+DH42+DH48+DH54))),0)</f>
        <v>0</v>
      </c>
      <c r="DI60" s="58" t="n">
        <f aca="false">IF(AND($C$60=1,OR($D$60="",DI$29&gt;=$D$60)),MAX(0,MIN(DI58-DI59,DI$31-(DI36+DI42+DI48+DI54))),0)</f>
        <v>0</v>
      </c>
      <c r="DJ60" s="58" t="n">
        <f aca="false">IF(AND($C$60=1,OR($D$60="",DJ$29&gt;=$D$60)),MAX(0,MIN(DJ58-DJ59,DJ$31-(DJ36+DJ42+DJ48+DJ54))),0)</f>
        <v>0</v>
      </c>
      <c r="DK60" s="58" t="n">
        <f aca="false">IF(AND($C$60=1,OR($D$60="",DK$29&gt;=$D$60)),MAX(0,MIN(DK58-DK59,DK$31-(DK36+DK42+DK48+DK54))),0)</f>
        <v>0</v>
      </c>
      <c r="DL60" s="58" t="n">
        <f aca="false">IF(AND($C$60=1,OR($D$60="",DL$29&gt;=$D$60)),MAX(0,MIN(DL58-DL59,DL$31-(DL36+DL42+DL48+DL54))),0)</f>
        <v>0</v>
      </c>
      <c r="DM60" s="58" t="n">
        <f aca="false">IF(AND($C$60=1,OR($D$60="",DM$29&gt;=$D$60)),MAX(0,MIN(DM58-DM59,DM$31-(DM36+DM42+DM48+DM54))),0)</f>
        <v>0</v>
      </c>
      <c r="DN60" s="58" t="n">
        <f aca="false">IF(AND($C$60=1,OR($D$60="",DN$29&gt;=$D$60)),MAX(0,MIN(DN58-DN59,DN$31-(DN36+DN42+DN48+DN54))),0)</f>
        <v>0</v>
      </c>
      <c r="DO60" s="58" t="n">
        <f aca="false">IF(AND($C$60=1,OR($D$60="",DO$29&gt;=$D$60)),MAX(0,MIN(DO58-DO59,DO$31-(DO36+DO42+DO48+DO54))),0)</f>
        <v>0</v>
      </c>
      <c r="DP60" s="58" t="n">
        <f aca="false">IF(AND($C$60=1,OR($D$60="",DP$29&gt;=$D$60)),MAX(0,MIN(DP58-DP59,DP$31-(DP36+DP42+DP48+DP54))),0)</f>
        <v>0</v>
      </c>
      <c r="DQ60" s="58" t="n">
        <f aca="false">IF(AND($C$60=1,OR($D$60="",DQ$29&gt;=$D$60)),MAX(0,MIN(DQ58-DQ59,DQ$31-(DQ36+DQ42+DQ48+DQ54))),0)</f>
        <v>0</v>
      </c>
      <c r="DR60" s="58" t="n">
        <f aca="false">IF(AND($C$60=1,OR($D$60="",DR$29&gt;=$D$60)),MAX(0,MIN(DR58-DR59,DR$31-(DR36+DR42+DR48+DR54))),0)</f>
        <v>0</v>
      </c>
      <c r="DS60" s="58" t="n">
        <f aca="false">IF(AND($C$60=1,OR($D$60="",DS$29&gt;=$D$60)),MAX(0,MIN(DS58-DS59,DS$31-(DS36+DS42+DS48+DS54))),0)</f>
        <v>0</v>
      </c>
      <c r="DT60" s="58" t="n">
        <f aca="false">IF(AND($C$60=1,OR($D$60="",DT$29&gt;=$D$60)),MAX(0,MIN(DT58-DT59,DT$31-(DT36+DT42+DT48+DT54))),0)</f>
        <v>0</v>
      </c>
    </row>
    <row r="61" customFormat="false" ht="15" hidden="false" customHeight="false" outlineLevel="0" collapsed="false">
      <c r="B61" s="24" t="s">
        <v>187</v>
      </c>
      <c r="C61" s="23" t="s">
        <v>383</v>
      </c>
      <c r="D61" s="89" t="n">
        <f aca="false">IF($C$62=0,D62,MAX(0,D62-MAX(0,$C$10-($D$38*$C$38+$D$44*$C$44+$D$50*$C$50+$D$56*$C$56))))</f>
        <v>0</v>
      </c>
      <c r="E61" s="89" t="n">
        <f aca="false">E58-E59-E60</f>
        <v>0</v>
      </c>
      <c r="F61" s="89" t="n">
        <f aca="false">F58-F59-F60</f>
        <v>0</v>
      </c>
      <c r="G61" s="89" t="n">
        <f aca="false">G58-G59-G60</f>
        <v>0</v>
      </c>
      <c r="H61" s="89" t="n">
        <f aca="false">H58-H59-H60</f>
        <v>0</v>
      </c>
      <c r="I61" s="89" t="n">
        <f aca="false">I58-I59-I60</f>
        <v>0</v>
      </c>
      <c r="J61" s="89" t="n">
        <f aca="false">J58-J59-J60</f>
        <v>0</v>
      </c>
      <c r="K61" s="89" t="n">
        <f aca="false">K58-K59-K60</f>
        <v>0</v>
      </c>
      <c r="L61" s="89" t="n">
        <f aca="false">L58-L59-L60</f>
        <v>0</v>
      </c>
      <c r="M61" s="89" t="n">
        <f aca="false">M58-M59-M60</f>
        <v>0</v>
      </c>
      <c r="N61" s="89" t="n">
        <f aca="false">N58-N59-N60</f>
        <v>0</v>
      </c>
      <c r="O61" s="89" t="n">
        <f aca="false">O58-O59-O60</f>
        <v>0</v>
      </c>
      <c r="P61" s="89" t="n">
        <f aca="false">P58-P59-P60</f>
        <v>0</v>
      </c>
      <c r="Q61" s="89" t="n">
        <f aca="false">Q58-Q59-Q60</f>
        <v>0</v>
      </c>
      <c r="R61" s="89" t="n">
        <f aca="false">R58-R59-R60</f>
        <v>0</v>
      </c>
      <c r="S61" s="89" t="n">
        <f aca="false">S58-S59-S60</f>
        <v>0</v>
      </c>
      <c r="T61" s="89" t="n">
        <f aca="false">T58-T59-T60</f>
        <v>0</v>
      </c>
      <c r="U61" s="89" t="n">
        <f aca="false">U58-U59-U60</f>
        <v>0</v>
      </c>
      <c r="V61" s="89" t="n">
        <f aca="false">V58-V59-V60</f>
        <v>0</v>
      </c>
      <c r="W61" s="89" t="n">
        <f aca="false">W58-W59-W60</f>
        <v>0</v>
      </c>
      <c r="X61" s="89" t="n">
        <f aca="false">X58-X59-X60</f>
        <v>0</v>
      </c>
      <c r="Y61" s="89" t="n">
        <f aca="false">Y58-Y59-Y60</f>
        <v>0</v>
      </c>
      <c r="Z61" s="89" t="n">
        <f aca="false">Z58-Z59-Z60</f>
        <v>0</v>
      </c>
      <c r="AA61" s="89" t="n">
        <f aca="false">AA58-AA59-AA60</f>
        <v>0</v>
      </c>
      <c r="AB61" s="89" t="n">
        <f aca="false">AB58-AB59-AB60</f>
        <v>0</v>
      </c>
      <c r="AC61" s="89" t="n">
        <f aca="false">AC58-AC59-AC60</f>
        <v>0</v>
      </c>
      <c r="AD61" s="89" t="n">
        <f aca="false">AD58-AD59-AD60</f>
        <v>0</v>
      </c>
      <c r="AE61" s="89" t="n">
        <f aca="false">AE58-AE59-AE60</f>
        <v>0</v>
      </c>
      <c r="AF61" s="89" t="n">
        <f aca="false">AF58-AF59-AF60</f>
        <v>0</v>
      </c>
      <c r="AG61" s="89" t="n">
        <f aca="false">AG58-AG59-AG60</f>
        <v>0</v>
      </c>
      <c r="AH61" s="89" t="n">
        <f aca="false">AH58-AH59-AH60</f>
        <v>0</v>
      </c>
      <c r="AI61" s="89" t="n">
        <f aca="false">AI58-AI59-AI60</f>
        <v>0</v>
      </c>
      <c r="AJ61" s="89" t="n">
        <f aca="false">AJ58-AJ59-AJ60</f>
        <v>0</v>
      </c>
      <c r="AK61" s="89" t="n">
        <f aca="false">AK58-AK59-AK60</f>
        <v>0</v>
      </c>
      <c r="AL61" s="89" t="n">
        <f aca="false">AL58-AL59-AL60</f>
        <v>0</v>
      </c>
      <c r="AM61" s="89" t="n">
        <f aca="false">AM58-AM59-AM60</f>
        <v>0</v>
      </c>
      <c r="AN61" s="89" t="n">
        <f aca="false">AN58-AN59-AN60</f>
        <v>0</v>
      </c>
      <c r="AO61" s="89" t="n">
        <f aca="false">AO58-AO59-AO60</f>
        <v>0</v>
      </c>
      <c r="AP61" s="89" t="n">
        <f aca="false">AP58-AP59-AP60</f>
        <v>0</v>
      </c>
      <c r="AQ61" s="89" t="n">
        <f aca="false">AQ58-AQ59-AQ60</f>
        <v>0</v>
      </c>
      <c r="AR61" s="89" t="n">
        <f aca="false">AR58-AR59-AR60</f>
        <v>0</v>
      </c>
      <c r="AS61" s="89" t="n">
        <f aca="false">AS58-AS59-AS60</f>
        <v>0</v>
      </c>
      <c r="AT61" s="89" t="n">
        <f aca="false">AT58-AT59-AT60</f>
        <v>0</v>
      </c>
      <c r="AU61" s="89" t="n">
        <f aca="false">AU58-AU59-AU60</f>
        <v>0</v>
      </c>
      <c r="AV61" s="89" t="n">
        <f aca="false">AV58-AV59-AV60</f>
        <v>0</v>
      </c>
      <c r="AW61" s="89" t="n">
        <f aca="false">AW58-AW59-AW60</f>
        <v>0</v>
      </c>
      <c r="AX61" s="89" t="n">
        <f aca="false">AX58-AX59-AX60</f>
        <v>0</v>
      </c>
      <c r="AY61" s="89" t="n">
        <f aca="false">AY58-AY59-AY60</f>
        <v>0</v>
      </c>
      <c r="AZ61" s="89" t="n">
        <f aca="false">AZ58-AZ59-AZ60</f>
        <v>0</v>
      </c>
      <c r="BA61" s="89" t="n">
        <f aca="false">BA58-BA59-BA60</f>
        <v>0</v>
      </c>
      <c r="BB61" s="89" t="n">
        <f aca="false">BB58-BB59-BB60</f>
        <v>0</v>
      </c>
      <c r="BC61" s="89" t="n">
        <f aca="false">BC58-BC59-BC60</f>
        <v>0</v>
      </c>
      <c r="BD61" s="89" t="n">
        <f aca="false">BD58-BD59-BD60</f>
        <v>0</v>
      </c>
      <c r="BE61" s="89" t="n">
        <f aca="false">BE58-BE59-BE60</f>
        <v>0</v>
      </c>
      <c r="BF61" s="89" t="n">
        <f aca="false">BF58-BF59-BF60</f>
        <v>0</v>
      </c>
      <c r="BG61" s="89" t="n">
        <f aca="false">BG58-BG59-BG60</f>
        <v>0</v>
      </c>
      <c r="BH61" s="89" t="n">
        <f aca="false">BH58-BH59-BH60</f>
        <v>0</v>
      </c>
      <c r="BI61" s="89" t="n">
        <f aca="false">BI58-BI59-BI60</f>
        <v>0</v>
      </c>
      <c r="BJ61" s="89" t="n">
        <f aca="false">BJ58-BJ59-BJ60</f>
        <v>0</v>
      </c>
      <c r="BK61" s="89" t="n">
        <f aca="false">BK58-BK59-BK60</f>
        <v>0</v>
      </c>
      <c r="BL61" s="89" t="n">
        <f aca="false">BL58-BL59-BL60</f>
        <v>0</v>
      </c>
      <c r="BM61" s="89" t="n">
        <f aca="false">BM58-BM59-BM60</f>
        <v>0</v>
      </c>
      <c r="BN61" s="89" t="n">
        <f aca="false">BN58-BN59-BN60</f>
        <v>0</v>
      </c>
      <c r="BO61" s="89" t="n">
        <f aca="false">BO58-BO59-BO60</f>
        <v>0</v>
      </c>
      <c r="BP61" s="89" t="n">
        <f aca="false">BP58-BP59-BP60</f>
        <v>0</v>
      </c>
      <c r="BQ61" s="89" t="n">
        <f aca="false">BQ58-BQ59-BQ60</f>
        <v>0</v>
      </c>
      <c r="BR61" s="89" t="n">
        <f aca="false">BR58-BR59-BR60</f>
        <v>0</v>
      </c>
      <c r="BS61" s="89" t="n">
        <f aca="false">BS58-BS59-BS60</f>
        <v>0</v>
      </c>
      <c r="BT61" s="89" t="n">
        <f aca="false">BT58-BT59-BT60</f>
        <v>0</v>
      </c>
      <c r="BU61" s="89" t="n">
        <f aca="false">BU58-BU59-BU60</f>
        <v>0</v>
      </c>
      <c r="BV61" s="89" t="n">
        <f aca="false">BV58-BV59-BV60</f>
        <v>0</v>
      </c>
      <c r="BW61" s="89" t="n">
        <f aca="false">BW58-BW59-BW60</f>
        <v>0</v>
      </c>
      <c r="BX61" s="89" t="n">
        <f aca="false">BX58-BX59-BX60</f>
        <v>0</v>
      </c>
      <c r="BY61" s="89" t="n">
        <f aca="false">BY58-BY59-BY60</f>
        <v>0</v>
      </c>
      <c r="BZ61" s="89" t="n">
        <f aca="false">BZ58-BZ59-BZ60</f>
        <v>0</v>
      </c>
      <c r="CA61" s="89" t="n">
        <f aca="false">CA58-CA59-CA60</f>
        <v>0</v>
      </c>
      <c r="CB61" s="89" t="n">
        <f aca="false">CB58-CB59-CB60</f>
        <v>0</v>
      </c>
      <c r="CC61" s="89" t="n">
        <f aca="false">CC58-CC59-CC60</f>
        <v>0</v>
      </c>
      <c r="CD61" s="89" t="n">
        <f aca="false">CD58-CD59-CD60</f>
        <v>0</v>
      </c>
      <c r="CE61" s="89" t="n">
        <f aca="false">CE58-CE59-CE60</f>
        <v>0</v>
      </c>
      <c r="CF61" s="89" t="n">
        <f aca="false">CF58-CF59-CF60</f>
        <v>0</v>
      </c>
      <c r="CG61" s="89" t="n">
        <f aca="false">CG58-CG59-CG60</f>
        <v>0</v>
      </c>
      <c r="CH61" s="89" t="n">
        <f aca="false">CH58-CH59-CH60</f>
        <v>0</v>
      </c>
      <c r="CI61" s="89" t="n">
        <f aca="false">CI58-CI59-CI60</f>
        <v>0</v>
      </c>
      <c r="CJ61" s="89" t="n">
        <f aca="false">CJ58-CJ59-CJ60</f>
        <v>0</v>
      </c>
      <c r="CK61" s="89" t="n">
        <f aca="false">CK58-CK59-CK60</f>
        <v>0</v>
      </c>
      <c r="CL61" s="89" t="n">
        <f aca="false">CL58-CL59-CL60</f>
        <v>0</v>
      </c>
      <c r="CM61" s="89" t="n">
        <f aca="false">CM58-CM59-CM60</f>
        <v>0</v>
      </c>
      <c r="CN61" s="89" t="n">
        <f aca="false">CN58-CN59-CN60</f>
        <v>0</v>
      </c>
      <c r="CO61" s="89" t="n">
        <f aca="false">CO58-CO59-CO60</f>
        <v>0</v>
      </c>
      <c r="CP61" s="89" t="n">
        <f aca="false">CP58-CP59-CP60</f>
        <v>0</v>
      </c>
      <c r="CQ61" s="89" t="n">
        <f aca="false">CQ58-CQ59-CQ60</f>
        <v>0</v>
      </c>
      <c r="CR61" s="89" t="n">
        <f aca="false">CR58-CR59-CR60</f>
        <v>0</v>
      </c>
      <c r="CS61" s="89" t="n">
        <f aca="false">CS58-CS59-CS60</f>
        <v>0</v>
      </c>
      <c r="CT61" s="89" t="n">
        <f aca="false">CT58-CT59-CT60</f>
        <v>0</v>
      </c>
      <c r="CU61" s="89" t="n">
        <f aca="false">CU58-CU59-CU60</f>
        <v>0</v>
      </c>
      <c r="CV61" s="89" t="n">
        <f aca="false">CV58-CV59-CV60</f>
        <v>0</v>
      </c>
      <c r="CW61" s="89" t="n">
        <f aca="false">CW58-CW59-CW60</f>
        <v>0</v>
      </c>
      <c r="CX61" s="89" t="n">
        <f aca="false">CX58-CX59-CX60</f>
        <v>0</v>
      </c>
      <c r="CY61" s="89" t="n">
        <f aca="false">CY58-CY59-CY60</f>
        <v>0</v>
      </c>
      <c r="CZ61" s="89" t="n">
        <f aca="false">CZ58-CZ59-CZ60</f>
        <v>0</v>
      </c>
      <c r="DA61" s="89" t="n">
        <f aca="false">DA58-DA59-DA60</f>
        <v>0</v>
      </c>
      <c r="DB61" s="89" t="n">
        <f aca="false">DB58-DB59-DB60</f>
        <v>0</v>
      </c>
      <c r="DC61" s="89" t="n">
        <f aca="false">DC58-DC59-DC60</f>
        <v>0</v>
      </c>
      <c r="DD61" s="89" t="n">
        <f aca="false">DD58-DD59-DD60</f>
        <v>0</v>
      </c>
      <c r="DE61" s="89" t="n">
        <f aca="false">DE58-DE59-DE60</f>
        <v>0</v>
      </c>
      <c r="DF61" s="89" t="n">
        <f aca="false">DF58-DF59-DF60</f>
        <v>0</v>
      </c>
      <c r="DG61" s="89" t="n">
        <f aca="false">DG58-DG59-DG60</f>
        <v>0</v>
      </c>
      <c r="DH61" s="89" t="n">
        <f aca="false">DH58-DH59-DH60</f>
        <v>0</v>
      </c>
      <c r="DI61" s="89" t="n">
        <f aca="false">DI58-DI59-DI60</f>
        <v>0</v>
      </c>
      <c r="DJ61" s="89" t="n">
        <f aca="false">DJ58-DJ59-DJ60</f>
        <v>0</v>
      </c>
      <c r="DK61" s="89" t="n">
        <f aca="false">DK58-DK59-DK60</f>
        <v>0</v>
      </c>
      <c r="DL61" s="89" t="n">
        <f aca="false">DL58-DL59-DL60</f>
        <v>0</v>
      </c>
      <c r="DM61" s="89" t="n">
        <f aca="false">DM58-DM59-DM60</f>
        <v>0</v>
      </c>
      <c r="DN61" s="89" t="n">
        <f aca="false">DN58-DN59-DN60</f>
        <v>0</v>
      </c>
      <c r="DO61" s="89" t="n">
        <f aca="false">DO58-DO59-DO60</f>
        <v>0</v>
      </c>
      <c r="DP61" s="89" t="n">
        <f aca="false">DP58-DP59-DP60</f>
        <v>0</v>
      </c>
      <c r="DQ61" s="89" t="n">
        <f aca="false">DQ58-DQ59-DQ60</f>
        <v>0</v>
      </c>
      <c r="DR61" s="89" t="n">
        <f aca="false">DR58-DR59-DR60</f>
        <v>0</v>
      </c>
      <c r="DS61" s="89" t="n">
        <f aca="false">DS58-DS59-DS60</f>
        <v>0</v>
      </c>
      <c r="DT61" s="89" t="n">
        <f aca="false">DT58-DT59-DT60</f>
        <v>0</v>
      </c>
    </row>
    <row r="62" customFormat="false" ht="15" hidden="false" customHeight="false" outlineLevel="0" collapsed="false">
      <c r="C62" s="96" t="n">
        <f aca="false">IF(AND(C60=1,OR(D60="",D60&lt;=$C$11)),1,0)</f>
        <v>0</v>
      </c>
      <c r="D62" s="99" t="n">
        <f aca="false">IF(C57=0,0,N(INDEX($D$13:$D$20,C57)))</f>
        <v>0</v>
      </c>
    </row>
    <row r="63" customFormat="false" ht="15" hidden="false" customHeight="false" outlineLevel="0" collapsed="false">
      <c r="B63" s="6" t="str">
        <f aca="false">"Orden 6: "&amp;D63</f>
        <v>Orden 6: (sin deuda)</v>
      </c>
      <c r="C63" s="96" t="n">
        <f aca="false">IFERROR(MATCH(6,$K$13:$K$20,0),0)</f>
        <v>0</v>
      </c>
      <c r="D63" s="97" t="str">
        <f aca="false">IF(C63=0,"(sin deuda)",INDEX($B$13:$B$20,C63))</f>
        <v>(sin deuda)</v>
      </c>
    </row>
    <row r="64" customFormat="false" ht="15" hidden="false" customHeight="false" outlineLevel="0" collapsed="false">
      <c r="B64" s="17" t="s">
        <v>380</v>
      </c>
      <c r="C64" s="98" t="n">
        <f aca="false">IF(C63=0,0,N(INDEX($I$13:$I$20,C63)))</f>
        <v>0</v>
      </c>
      <c r="E64" s="58" t="n">
        <f aca="false">D67*(1+$C$64)</f>
        <v>0</v>
      </c>
      <c r="F64" s="58" t="n">
        <f aca="false">E67*(1+$C$64)</f>
        <v>0</v>
      </c>
      <c r="G64" s="58" t="n">
        <f aca="false">F67*(1+$C$64)</f>
        <v>0</v>
      </c>
      <c r="H64" s="58" t="n">
        <f aca="false">G67*(1+$C$64)</f>
        <v>0</v>
      </c>
      <c r="I64" s="58" t="n">
        <f aca="false">H67*(1+$C$64)</f>
        <v>0</v>
      </c>
      <c r="J64" s="58" t="n">
        <f aca="false">I67*(1+$C$64)</f>
        <v>0</v>
      </c>
      <c r="K64" s="58" t="n">
        <f aca="false">J67*(1+$C$64)</f>
        <v>0</v>
      </c>
      <c r="L64" s="58" t="n">
        <f aca="false">K67*(1+$C$64)</f>
        <v>0</v>
      </c>
      <c r="M64" s="58" t="n">
        <f aca="false">L67*(1+$C$64)</f>
        <v>0</v>
      </c>
      <c r="N64" s="58" t="n">
        <f aca="false">M67*(1+$C$64)</f>
        <v>0</v>
      </c>
      <c r="O64" s="58" t="n">
        <f aca="false">N67*(1+$C$64)</f>
        <v>0</v>
      </c>
      <c r="P64" s="58" t="n">
        <f aca="false">O67*(1+$C$64)</f>
        <v>0</v>
      </c>
      <c r="Q64" s="58" t="n">
        <f aca="false">P67*(1+$C$64)</f>
        <v>0</v>
      </c>
      <c r="R64" s="58" t="n">
        <f aca="false">Q67*(1+$C$64)</f>
        <v>0</v>
      </c>
      <c r="S64" s="58" t="n">
        <f aca="false">R67*(1+$C$64)</f>
        <v>0</v>
      </c>
      <c r="T64" s="58" t="n">
        <f aca="false">S67*(1+$C$64)</f>
        <v>0</v>
      </c>
      <c r="U64" s="58" t="n">
        <f aca="false">T67*(1+$C$64)</f>
        <v>0</v>
      </c>
      <c r="V64" s="58" t="n">
        <f aca="false">U67*(1+$C$64)</f>
        <v>0</v>
      </c>
      <c r="W64" s="58" t="n">
        <f aca="false">V67*(1+$C$64)</f>
        <v>0</v>
      </c>
      <c r="X64" s="58" t="n">
        <f aca="false">W67*(1+$C$64)</f>
        <v>0</v>
      </c>
      <c r="Y64" s="58" t="n">
        <f aca="false">X67*(1+$C$64)</f>
        <v>0</v>
      </c>
      <c r="Z64" s="58" t="n">
        <f aca="false">Y67*(1+$C$64)</f>
        <v>0</v>
      </c>
      <c r="AA64" s="58" t="n">
        <f aca="false">Z67*(1+$C$64)</f>
        <v>0</v>
      </c>
      <c r="AB64" s="58" t="n">
        <f aca="false">AA67*(1+$C$64)</f>
        <v>0</v>
      </c>
      <c r="AC64" s="58" t="n">
        <f aca="false">AB67*(1+$C$64)</f>
        <v>0</v>
      </c>
      <c r="AD64" s="58" t="n">
        <f aca="false">AC67*(1+$C$64)</f>
        <v>0</v>
      </c>
      <c r="AE64" s="58" t="n">
        <f aca="false">AD67*(1+$C$64)</f>
        <v>0</v>
      </c>
      <c r="AF64" s="58" t="n">
        <f aca="false">AE67*(1+$C$64)</f>
        <v>0</v>
      </c>
      <c r="AG64" s="58" t="n">
        <f aca="false">AF67*(1+$C$64)</f>
        <v>0</v>
      </c>
      <c r="AH64" s="58" t="n">
        <f aca="false">AG67*(1+$C$64)</f>
        <v>0</v>
      </c>
      <c r="AI64" s="58" t="n">
        <f aca="false">AH67*(1+$C$64)</f>
        <v>0</v>
      </c>
      <c r="AJ64" s="58" t="n">
        <f aca="false">AI67*(1+$C$64)</f>
        <v>0</v>
      </c>
      <c r="AK64" s="58" t="n">
        <f aca="false">AJ67*(1+$C$64)</f>
        <v>0</v>
      </c>
      <c r="AL64" s="58" t="n">
        <f aca="false">AK67*(1+$C$64)</f>
        <v>0</v>
      </c>
      <c r="AM64" s="58" t="n">
        <f aca="false">AL67*(1+$C$64)</f>
        <v>0</v>
      </c>
      <c r="AN64" s="58" t="n">
        <f aca="false">AM67*(1+$C$64)</f>
        <v>0</v>
      </c>
      <c r="AO64" s="58" t="n">
        <f aca="false">AN67*(1+$C$64)</f>
        <v>0</v>
      </c>
      <c r="AP64" s="58" t="n">
        <f aca="false">AO67*(1+$C$64)</f>
        <v>0</v>
      </c>
      <c r="AQ64" s="58" t="n">
        <f aca="false">AP67*(1+$C$64)</f>
        <v>0</v>
      </c>
      <c r="AR64" s="58" t="n">
        <f aca="false">AQ67*(1+$C$64)</f>
        <v>0</v>
      </c>
      <c r="AS64" s="58" t="n">
        <f aca="false">AR67*(1+$C$64)</f>
        <v>0</v>
      </c>
      <c r="AT64" s="58" t="n">
        <f aca="false">AS67*(1+$C$64)</f>
        <v>0</v>
      </c>
      <c r="AU64" s="58" t="n">
        <f aca="false">AT67*(1+$C$64)</f>
        <v>0</v>
      </c>
      <c r="AV64" s="58" t="n">
        <f aca="false">AU67*(1+$C$64)</f>
        <v>0</v>
      </c>
      <c r="AW64" s="58" t="n">
        <f aca="false">AV67*(1+$C$64)</f>
        <v>0</v>
      </c>
      <c r="AX64" s="58" t="n">
        <f aca="false">AW67*(1+$C$64)</f>
        <v>0</v>
      </c>
      <c r="AY64" s="58" t="n">
        <f aca="false">AX67*(1+$C$64)</f>
        <v>0</v>
      </c>
      <c r="AZ64" s="58" t="n">
        <f aca="false">AY67*(1+$C$64)</f>
        <v>0</v>
      </c>
      <c r="BA64" s="58" t="n">
        <f aca="false">AZ67*(1+$C$64)</f>
        <v>0</v>
      </c>
      <c r="BB64" s="58" t="n">
        <f aca="false">BA67*(1+$C$64)</f>
        <v>0</v>
      </c>
      <c r="BC64" s="58" t="n">
        <f aca="false">BB67*(1+$C$64)</f>
        <v>0</v>
      </c>
      <c r="BD64" s="58" t="n">
        <f aca="false">BC67*(1+$C$64)</f>
        <v>0</v>
      </c>
      <c r="BE64" s="58" t="n">
        <f aca="false">BD67*(1+$C$64)</f>
        <v>0</v>
      </c>
      <c r="BF64" s="58" t="n">
        <f aca="false">BE67*(1+$C$64)</f>
        <v>0</v>
      </c>
      <c r="BG64" s="58" t="n">
        <f aca="false">BF67*(1+$C$64)</f>
        <v>0</v>
      </c>
      <c r="BH64" s="58" t="n">
        <f aca="false">BG67*(1+$C$64)</f>
        <v>0</v>
      </c>
      <c r="BI64" s="58" t="n">
        <f aca="false">BH67*(1+$C$64)</f>
        <v>0</v>
      </c>
      <c r="BJ64" s="58" t="n">
        <f aca="false">BI67*(1+$C$64)</f>
        <v>0</v>
      </c>
      <c r="BK64" s="58" t="n">
        <f aca="false">BJ67*(1+$C$64)</f>
        <v>0</v>
      </c>
      <c r="BL64" s="58" t="n">
        <f aca="false">BK67*(1+$C$64)</f>
        <v>0</v>
      </c>
      <c r="BM64" s="58" t="n">
        <f aca="false">BL67*(1+$C$64)</f>
        <v>0</v>
      </c>
      <c r="BN64" s="58" t="n">
        <f aca="false">BM67*(1+$C$64)</f>
        <v>0</v>
      </c>
      <c r="BO64" s="58" t="n">
        <f aca="false">BN67*(1+$C$64)</f>
        <v>0</v>
      </c>
      <c r="BP64" s="58" t="n">
        <f aca="false">BO67*(1+$C$64)</f>
        <v>0</v>
      </c>
      <c r="BQ64" s="58" t="n">
        <f aca="false">BP67*(1+$C$64)</f>
        <v>0</v>
      </c>
      <c r="BR64" s="58" t="n">
        <f aca="false">BQ67*(1+$C$64)</f>
        <v>0</v>
      </c>
      <c r="BS64" s="58" t="n">
        <f aca="false">BR67*(1+$C$64)</f>
        <v>0</v>
      </c>
      <c r="BT64" s="58" t="n">
        <f aca="false">BS67*(1+$C$64)</f>
        <v>0</v>
      </c>
      <c r="BU64" s="58" t="n">
        <f aca="false">BT67*(1+$C$64)</f>
        <v>0</v>
      </c>
      <c r="BV64" s="58" t="n">
        <f aca="false">BU67*(1+$C$64)</f>
        <v>0</v>
      </c>
      <c r="BW64" s="58" t="n">
        <f aca="false">BV67*(1+$C$64)</f>
        <v>0</v>
      </c>
      <c r="BX64" s="58" t="n">
        <f aca="false">BW67*(1+$C$64)</f>
        <v>0</v>
      </c>
      <c r="BY64" s="58" t="n">
        <f aca="false">BX67*(1+$C$64)</f>
        <v>0</v>
      </c>
      <c r="BZ64" s="58" t="n">
        <f aca="false">BY67*(1+$C$64)</f>
        <v>0</v>
      </c>
      <c r="CA64" s="58" t="n">
        <f aca="false">BZ67*(1+$C$64)</f>
        <v>0</v>
      </c>
      <c r="CB64" s="58" t="n">
        <f aca="false">CA67*(1+$C$64)</f>
        <v>0</v>
      </c>
      <c r="CC64" s="58" t="n">
        <f aca="false">CB67*(1+$C$64)</f>
        <v>0</v>
      </c>
      <c r="CD64" s="58" t="n">
        <f aca="false">CC67*(1+$C$64)</f>
        <v>0</v>
      </c>
      <c r="CE64" s="58" t="n">
        <f aca="false">CD67*(1+$C$64)</f>
        <v>0</v>
      </c>
      <c r="CF64" s="58" t="n">
        <f aca="false">CE67*(1+$C$64)</f>
        <v>0</v>
      </c>
      <c r="CG64" s="58" t="n">
        <f aca="false">CF67*(1+$C$64)</f>
        <v>0</v>
      </c>
      <c r="CH64" s="58" t="n">
        <f aca="false">CG67*(1+$C$64)</f>
        <v>0</v>
      </c>
      <c r="CI64" s="58" t="n">
        <f aca="false">CH67*(1+$C$64)</f>
        <v>0</v>
      </c>
      <c r="CJ64" s="58" t="n">
        <f aca="false">CI67*(1+$C$64)</f>
        <v>0</v>
      </c>
      <c r="CK64" s="58" t="n">
        <f aca="false">CJ67*(1+$C$64)</f>
        <v>0</v>
      </c>
      <c r="CL64" s="58" t="n">
        <f aca="false">CK67*(1+$C$64)</f>
        <v>0</v>
      </c>
      <c r="CM64" s="58" t="n">
        <f aca="false">CL67*(1+$C$64)</f>
        <v>0</v>
      </c>
      <c r="CN64" s="58" t="n">
        <f aca="false">CM67*(1+$C$64)</f>
        <v>0</v>
      </c>
      <c r="CO64" s="58" t="n">
        <f aca="false">CN67*(1+$C$64)</f>
        <v>0</v>
      </c>
      <c r="CP64" s="58" t="n">
        <f aca="false">CO67*(1+$C$64)</f>
        <v>0</v>
      </c>
      <c r="CQ64" s="58" t="n">
        <f aca="false">CP67*(1+$C$64)</f>
        <v>0</v>
      </c>
      <c r="CR64" s="58" t="n">
        <f aca="false">CQ67*(1+$C$64)</f>
        <v>0</v>
      </c>
      <c r="CS64" s="58" t="n">
        <f aca="false">CR67*(1+$C$64)</f>
        <v>0</v>
      </c>
      <c r="CT64" s="58" t="n">
        <f aca="false">CS67*(1+$C$64)</f>
        <v>0</v>
      </c>
      <c r="CU64" s="58" t="n">
        <f aca="false">CT67*(1+$C$64)</f>
        <v>0</v>
      </c>
      <c r="CV64" s="58" t="n">
        <f aca="false">CU67*(1+$C$64)</f>
        <v>0</v>
      </c>
      <c r="CW64" s="58" t="n">
        <f aca="false">CV67*(1+$C$64)</f>
        <v>0</v>
      </c>
      <c r="CX64" s="58" t="n">
        <f aca="false">CW67*(1+$C$64)</f>
        <v>0</v>
      </c>
      <c r="CY64" s="58" t="n">
        <f aca="false">CX67*(1+$C$64)</f>
        <v>0</v>
      </c>
      <c r="CZ64" s="58" t="n">
        <f aca="false">CY67*(1+$C$64)</f>
        <v>0</v>
      </c>
      <c r="DA64" s="58" t="n">
        <f aca="false">CZ67*(1+$C$64)</f>
        <v>0</v>
      </c>
      <c r="DB64" s="58" t="n">
        <f aca="false">DA67*(1+$C$64)</f>
        <v>0</v>
      </c>
      <c r="DC64" s="58" t="n">
        <f aca="false">DB67*(1+$C$64)</f>
        <v>0</v>
      </c>
      <c r="DD64" s="58" t="n">
        <f aca="false">DC67*(1+$C$64)</f>
        <v>0</v>
      </c>
      <c r="DE64" s="58" t="n">
        <f aca="false">DD67*(1+$C$64)</f>
        <v>0</v>
      </c>
      <c r="DF64" s="58" t="n">
        <f aca="false">DE67*(1+$C$64)</f>
        <v>0</v>
      </c>
      <c r="DG64" s="58" t="n">
        <f aca="false">DF67*(1+$C$64)</f>
        <v>0</v>
      </c>
      <c r="DH64" s="58" t="n">
        <f aca="false">DG67*(1+$C$64)</f>
        <v>0</v>
      </c>
      <c r="DI64" s="58" t="n">
        <f aca="false">DH67*(1+$C$64)</f>
        <v>0</v>
      </c>
      <c r="DJ64" s="58" t="n">
        <f aca="false">DI67*(1+$C$64)</f>
        <v>0</v>
      </c>
      <c r="DK64" s="58" t="n">
        <f aca="false">DJ67*(1+$C$64)</f>
        <v>0</v>
      </c>
      <c r="DL64" s="58" t="n">
        <f aca="false">DK67*(1+$C$64)</f>
        <v>0</v>
      </c>
      <c r="DM64" s="58" t="n">
        <f aca="false">DL67*(1+$C$64)</f>
        <v>0</v>
      </c>
      <c r="DN64" s="58" t="n">
        <f aca="false">DM67*(1+$C$64)</f>
        <v>0</v>
      </c>
      <c r="DO64" s="58" t="n">
        <f aca="false">DN67*(1+$C$64)</f>
        <v>0</v>
      </c>
      <c r="DP64" s="58" t="n">
        <f aca="false">DO67*(1+$C$64)</f>
        <v>0</v>
      </c>
      <c r="DQ64" s="58" t="n">
        <f aca="false">DP67*(1+$C$64)</f>
        <v>0</v>
      </c>
      <c r="DR64" s="58" t="n">
        <f aca="false">DQ67*(1+$C$64)</f>
        <v>0</v>
      </c>
      <c r="DS64" s="58" t="n">
        <f aca="false">DR67*(1+$C$64)</f>
        <v>0</v>
      </c>
      <c r="DT64" s="58" t="n">
        <f aca="false">DS67*(1+$C$64)</f>
        <v>0</v>
      </c>
    </row>
    <row r="65" customFormat="false" ht="15" hidden="false" customHeight="false" outlineLevel="0" collapsed="false">
      <c r="B65" s="17" t="s">
        <v>381</v>
      </c>
      <c r="C65" s="99" t="n">
        <f aca="false">IF(C63=0,0,N(INDEX($F$13:$F$20,C63)))</f>
        <v>0</v>
      </c>
      <c r="E65" s="58" t="n">
        <f aca="false">MIN($C$65,E64)</f>
        <v>0</v>
      </c>
      <c r="F65" s="58" t="n">
        <f aca="false">MIN($C$65,F64)</f>
        <v>0</v>
      </c>
      <c r="G65" s="58" t="n">
        <f aca="false">MIN($C$65,G64)</f>
        <v>0</v>
      </c>
      <c r="H65" s="58" t="n">
        <f aca="false">MIN($C$65,H64)</f>
        <v>0</v>
      </c>
      <c r="I65" s="58" t="n">
        <f aca="false">MIN($C$65,I64)</f>
        <v>0</v>
      </c>
      <c r="J65" s="58" t="n">
        <f aca="false">MIN($C$65,J64)</f>
        <v>0</v>
      </c>
      <c r="K65" s="58" t="n">
        <f aca="false">MIN($C$65,K64)</f>
        <v>0</v>
      </c>
      <c r="L65" s="58" t="n">
        <f aca="false">MIN($C$65,L64)</f>
        <v>0</v>
      </c>
      <c r="M65" s="58" t="n">
        <f aca="false">MIN($C$65,M64)</f>
        <v>0</v>
      </c>
      <c r="N65" s="58" t="n">
        <f aca="false">MIN($C$65,N64)</f>
        <v>0</v>
      </c>
      <c r="O65" s="58" t="n">
        <f aca="false">MIN($C$65,O64)</f>
        <v>0</v>
      </c>
      <c r="P65" s="58" t="n">
        <f aca="false">MIN($C$65,P64)</f>
        <v>0</v>
      </c>
      <c r="Q65" s="58" t="n">
        <f aca="false">MIN($C$65,Q64)</f>
        <v>0</v>
      </c>
      <c r="R65" s="58" t="n">
        <f aca="false">MIN($C$65,R64)</f>
        <v>0</v>
      </c>
      <c r="S65" s="58" t="n">
        <f aca="false">MIN($C$65,S64)</f>
        <v>0</v>
      </c>
      <c r="T65" s="58" t="n">
        <f aca="false">MIN($C$65,T64)</f>
        <v>0</v>
      </c>
      <c r="U65" s="58" t="n">
        <f aca="false">MIN($C$65,U64)</f>
        <v>0</v>
      </c>
      <c r="V65" s="58" t="n">
        <f aca="false">MIN($C$65,V64)</f>
        <v>0</v>
      </c>
      <c r="W65" s="58" t="n">
        <f aca="false">MIN($C$65,W64)</f>
        <v>0</v>
      </c>
      <c r="X65" s="58" t="n">
        <f aca="false">MIN($C$65,X64)</f>
        <v>0</v>
      </c>
      <c r="Y65" s="58" t="n">
        <f aca="false">MIN($C$65,Y64)</f>
        <v>0</v>
      </c>
      <c r="Z65" s="58" t="n">
        <f aca="false">MIN($C$65,Z64)</f>
        <v>0</v>
      </c>
      <c r="AA65" s="58" t="n">
        <f aca="false">MIN($C$65,AA64)</f>
        <v>0</v>
      </c>
      <c r="AB65" s="58" t="n">
        <f aca="false">MIN($C$65,AB64)</f>
        <v>0</v>
      </c>
      <c r="AC65" s="58" t="n">
        <f aca="false">MIN($C$65,AC64)</f>
        <v>0</v>
      </c>
      <c r="AD65" s="58" t="n">
        <f aca="false">MIN($C$65,AD64)</f>
        <v>0</v>
      </c>
      <c r="AE65" s="58" t="n">
        <f aca="false">MIN($C$65,AE64)</f>
        <v>0</v>
      </c>
      <c r="AF65" s="58" t="n">
        <f aca="false">MIN($C$65,AF64)</f>
        <v>0</v>
      </c>
      <c r="AG65" s="58" t="n">
        <f aca="false">MIN($C$65,AG64)</f>
        <v>0</v>
      </c>
      <c r="AH65" s="58" t="n">
        <f aca="false">MIN($C$65,AH64)</f>
        <v>0</v>
      </c>
      <c r="AI65" s="58" t="n">
        <f aca="false">MIN($C$65,AI64)</f>
        <v>0</v>
      </c>
      <c r="AJ65" s="58" t="n">
        <f aca="false">MIN($C$65,AJ64)</f>
        <v>0</v>
      </c>
      <c r="AK65" s="58" t="n">
        <f aca="false">MIN($C$65,AK64)</f>
        <v>0</v>
      </c>
      <c r="AL65" s="58" t="n">
        <f aca="false">MIN($C$65,AL64)</f>
        <v>0</v>
      </c>
      <c r="AM65" s="58" t="n">
        <f aca="false">MIN($C$65,AM64)</f>
        <v>0</v>
      </c>
      <c r="AN65" s="58" t="n">
        <f aca="false">MIN($C$65,AN64)</f>
        <v>0</v>
      </c>
      <c r="AO65" s="58" t="n">
        <f aca="false">MIN($C$65,AO64)</f>
        <v>0</v>
      </c>
      <c r="AP65" s="58" t="n">
        <f aca="false">MIN($C$65,AP64)</f>
        <v>0</v>
      </c>
      <c r="AQ65" s="58" t="n">
        <f aca="false">MIN($C$65,AQ64)</f>
        <v>0</v>
      </c>
      <c r="AR65" s="58" t="n">
        <f aca="false">MIN($C$65,AR64)</f>
        <v>0</v>
      </c>
      <c r="AS65" s="58" t="n">
        <f aca="false">MIN($C$65,AS64)</f>
        <v>0</v>
      </c>
      <c r="AT65" s="58" t="n">
        <f aca="false">MIN($C$65,AT64)</f>
        <v>0</v>
      </c>
      <c r="AU65" s="58" t="n">
        <f aca="false">MIN($C$65,AU64)</f>
        <v>0</v>
      </c>
      <c r="AV65" s="58" t="n">
        <f aca="false">MIN($C$65,AV64)</f>
        <v>0</v>
      </c>
      <c r="AW65" s="58" t="n">
        <f aca="false">MIN($C$65,AW64)</f>
        <v>0</v>
      </c>
      <c r="AX65" s="58" t="n">
        <f aca="false">MIN($C$65,AX64)</f>
        <v>0</v>
      </c>
      <c r="AY65" s="58" t="n">
        <f aca="false">MIN($C$65,AY64)</f>
        <v>0</v>
      </c>
      <c r="AZ65" s="58" t="n">
        <f aca="false">MIN($C$65,AZ64)</f>
        <v>0</v>
      </c>
      <c r="BA65" s="58" t="n">
        <f aca="false">MIN($C$65,BA64)</f>
        <v>0</v>
      </c>
      <c r="BB65" s="58" t="n">
        <f aca="false">MIN($C$65,BB64)</f>
        <v>0</v>
      </c>
      <c r="BC65" s="58" t="n">
        <f aca="false">MIN($C$65,BC64)</f>
        <v>0</v>
      </c>
      <c r="BD65" s="58" t="n">
        <f aca="false">MIN($C$65,BD64)</f>
        <v>0</v>
      </c>
      <c r="BE65" s="58" t="n">
        <f aca="false">MIN($C$65,BE64)</f>
        <v>0</v>
      </c>
      <c r="BF65" s="58" t="n">
        <f aca="false">MIN($C$65,BF64)</f>
        <v>0</v>
      </c>
      <c r="BG65" s="58" t="n">
        <f aca="false">MIN($C$65,BG64)</f>
        <v>0</v>
      </c>
      <c r="BH65" s="58" t="n">
        <f aca="false">MIN($C$65,BH64)</f>
        <v>0</v>
      </c>
      <c r="BI65" s="58" t="n">
        <f aca="false">MIN($C$65,BI64)</f>
        <v>0</v>
      </c>
      <c r="BJ65" s="58" t="n">
        <f aca="false">MIN($C$65,BJ64)</f>
        <v>0</v>
      </c>
      <c r="BK65" s="58" t="n">
        <f aca="false">MIN($C$65,BK64)</f>
        <v>0</v>
      </c>
      <c r="BL65" s="58" t="n">
        <f aca="false">MIN($C$65,BL64)</f>
        <v>0</v>
      </c>
      <c r="BM65" s="58" t="n">
        <f aca="false">MIN($C$65,BM64)</f>
        <v>0</v>
      </c>
      <c r="BN65" s="58" t="n">
        <f aca="false">MIN($C$65,BN64)</f>
        <v>0</v>
      </c>
      <c r="BO65" s="58" t="n">
        <f aca="false">MIN($C$65,BO64)</f>
        <v>0</v>
      </c>
      <c r="BP65" s="58" t="n">
        <f aca="false">MIN($C$65,BP64)</f>
        <v>0</v>
      </c>
      <c r="BQ65" s="58" t="n">
        <f aca="false">MIN($C$65,BQ64)</f>
        <v>0</v>
      </c>
      <c r="BR65" s="58" t="n">
        <f aca="false">MIN($C$65,BR64)</f>
        <v>0</v>
      </c>
      <c r="BS65" s="58" t="n">
        <f aca="false">MIN($C$65,BS64)</f>
        <v>0</v>
      </c>
      <c r="BT65" s="58" t="n">
        <f aca="false">MIN($C$65,BT64)</f>
        <v>0</v>
      </c>
      <c r="BU65" s="58" t="n">
        <f aca="false">MIN($C$65,BU64)</f>
        <v>0</v>
      </c>
      <c r="BV65" s="58" t="n">
        <f aca="false">MIN($C$65,BV64)</f>
        <v>0</v>
      </c>
      <c r="BW65" s="58" t="n">
        <f aca="false">MIN($C$65,BW64)</f>
        <v>0</v>
      </c>
      <c r="BX65" s="58" t="n">
        <f aca="false">MIN($C$65,BX64)</f>
        <v>0</v>
      </c>
      <c r="BY65" s="58" t="n">
        <f aca="false">MIN($C$65,BY64)</f>
        <v>0</v>
      </c>
      <c r="BZ65" s="58" t="n">
        <f aca="false">MIN($C$65,BZ64)</f>
        <v>0</v>
      </c>
      <c r="CA65" s="58" t="n">
        <f aca="false">MIN($C$65,CA64)</f>
        <v>0</v>
      </c>
      <c r="CB65" s="58" t="n">
        <f aca="false">MIN($C$65,CB64)</f>
        <v>0</v>
      </c>
      <c r="CC65" s="58" t="n">
        <f aca="false">MIN($C$65,CC64)</f>
        <v>0</v>
      </c>
      <c r="CD65" s="58" t="n">
        <f aca="false">MIN($C$65,CD64)</f>
        <v>0</v>
      </c>
      <c r="CE65" s="58" t="n">
        <f aca="false">MIN($C$65,CE64)</f>
        <v>0</v>
      </c>
      <c r="CF65" s="58" t="n">
        <f aca="false">MIN($C$65,CF64)</f>
        <v>0</v>
      </c>
      <c r="CG65" s="58" t="n">
        <f aca="false">MIN($C$65,CG64)</f>
        <v>0</v>
      </c>
      <c r="CH65" s="58" t="n">
        <f aca="false">MIN($C$65,CH64)</f>
        <v>0</v>
      </c>
      <c r="CI65" s="58" t="n">
        <f aca="false">MIN($C$65,CI64)</f>
        <v>0</v>
      </c>
      <c r="CJ65" s="58" t="n">
        <f aca="false">MIN($C$65,CJ64)</f>
        <v>0</v>
      </c>
      <c r="CK65" s="58" t="n">
        <f aca="false">MIN($C$65,CK64)</f>
        <v>0</v>
      </c>
      <c r="CL65" s="58" t="n">
        <f aca="false">MIN($C$65,CL64)</f>
        <v>0</v>
      </c>
      <c r="CM65" s="58" t="n">
        <f aca="false">MIN($C$65,CM64)</f>
        <v>0</v>
      </c>
      <c r="CN65" s="58" t="n">
        <f aca="false">MIN($C$65,CN64)</f>
        <v>0</v>
      </c>
      <c r="CO65" s="58" t="n">
        <f aca="false">MIN($C$65,CO64)</f>
        <v>0</v>
      </c>
      <c r="CP65" s="58" t="n">
        <f aca="false">MIN($C$65,CP64)</f>
        <v>0</v>
      </c>
      <c r="CQ65" s="58" t="n">
        <f aca="false">MIN($C$65,CQ64)</f>
        <v>0</v>
      </c>
      <c r="CR65" s="58" t="n">
        <f aca="false">MIN($C$65,CR64)</f>
        <v>0</v>
      </c>
      <c r="CS65" s="58" t="n">
        <f aca="false">MIN($C$65,CS64)</f>
        <v>0</v>
      </c>
      <c r="CT65" s="58" t="n">
        <f aca="false">MIN($C$65,CT64)</f>
        <v>0</v>
      </c>
      <c r="CU65" s="58" t="n">
        <f aca="false">MIN($C$65,CU64)</f>
        <v>0</v>
      </c>
      <c r="CV65" s="58" t="n">
        <f aca="false">MIN($C$65,CV64)</f>
        <v>0</v>
      </c>
      <c r="CW65" s="58" t="n">
        <f aca="false">MIN($C$65,CW64)</f>
        <v>0</v>
      </c>
      <c r="CX65" s="58" t="n">
        <f aca="false">MIN($C$65,CX64)</f>
        <v>0</v>
      </c>
      <c r="CY65" s="58" t="n">
        <f aca="false">MIN($C$65,CY64)</f>
        <v>0</v>
      </c>
      <c r="CZ65" s="58" t="n">
        <f aca="false">MIN($C$65,CZ64)</f>
        <v>0</v>
      </c>
      <c r="DA65" s="58" t="n">
        <f aca="false">MIN($C$65,DA64)</f>
        <v>0</v>
      </c>
      <c r="DB65" s="58" t="n">
        <f aca="false">MIN($C$65,DB64)</f>
        <v>0</v>
      </c>
      <c r="DC65" s="58" t="n">
        <f aca="false">MIN($C$65,DC64)</f>
        <v>0</v>
      </c>
      <c r="DD65" s="58" t="n">
        <f aca="false">MIN($C$65,DD64)</f>
        <v>0</v>
      </c>
      <c r="DE65" s="58" t="n">
        <f aca="false">MIN($C$65,DE64)</f>
        <v>0</v>
      </c>
      <c r="DF65" s="58" t="n">
        <f aca="false">MIN($C$65,DF64)</f>
        <v>0</v>
      </c>
      <c r="DG65" s="58" t="n">
        <f aca="false">MIN($C$65,DG64)</f>
        <v>0</v>
      </c>
      <c r="DH65" s="58" t="n">
        <f aca="false">MIN($C$65,DH64)</f>
        <v>0</v>
      </c>
      <c r="DI65" s="58" t="n">
        <f aca="false">MIN($C$65,DI64)</f>
        <v>0</v>
      </c>
      <c r="DJ65" s="58" t="n">
        <f aca="false">MIN($C$65,DJ64)</f>
        <v>0</v>
      </c>
      <c r="DK65" s="58" t="n">
        <f aca="false">MIN($C$65,DK64)</f>
        <v>0</v>
      </c>
      <c r="DL65" s="58" t="n">
        <f aca="false">MIN($C$65,DL64)</f>
        <v>0</v>
      </c>
      <c r="DM65" s="58" t="n">
        <f aca="false">MIN($C$65,DM64)</f>
        <v>0</v>
      </c>
      <c r="DN65" s="58" t="n">
        <f aca="false">MIN($C$65,DN64)</f>
        <v>0</v>
      </c>
      <c r="DO65" s="58" t="n">
        <f aca="false">MIN($C$65,DO64)</f>
        <v>0</v>
      </c>
      <c r="DP65" s="58" t="n">
        <f aca="false">MIN($C$65,DP64)</f>
        <v>0</v>
      </c>
      <c r="DQ65" s="58" t="n">
        <f aca="false">MIN($C$65,DQ64)</f>
        <v>0</v>
      </c>
      <c r="DR65" s="58" t="n">
        <f aca="false">MIN($C$65,DR64)</f>
        <v>0</v>
      </c>
      <c r="DS65" s="58" t="n">
        <f aca="false">MIN($C$65,DS64)</f>
        <v>0</v>
      </c>
      <c r="DT65" s="58" t="n">
        <f aca="false">MIN($C$65,DT64)</f>
        <v>0</v>
      </c>
    </row>
    <row r="66" customFormat="false" ht="15" hidden="false" customHeight="false" outlineLevel="0" collapsed="false">
      <c r="B66" s="17" t="s">
        <v>382</v>
      </c>
      <c r="C66" s="96" t="n">
        <f aca="false">IF(C63=0,0,IF(INDEX($G$13:$G$20,C63)="No",0,1))</f>
        <v>0</v>
      </c>
      <c r="D66" s="100" t="str">
        <f aca="false">IF(C63=0,"",IF(N(INDEX($H$13:$H$20,C63))=0,"",INDEX($H$13:$H$20,C63)))</f>
        <v/>
      </c>
      <c r="E66" s="58" t="n">
        <f aca="false">IF(AND($C$66=1,OR($D$66="",E$29&gt;=$D$66)),MAX(0,MIN(E64-E65,E$31-(E36+E42+E48+E54+E60))),0)</f>
        <v>0</v>
      </c>
      <c r="F66" s="58" t="n">
        <f aca="false">IF(AND($C$66=1,OR($D$66="",F$29&gt;=$D$66)),MAX(0,MIN(F64-F65,F$31-(F36+F42+F48+F54+F60))),0)</f>
        <v>0</v>
      </c>
      <c r="G66" s="58" t="n">
        <f aca="false">IF(AND($C$66=1,OR($D$66="",G$29&gt;=$D$66)),MAX(0,MIN(G64-G65,G$31-(G36+G42+G48+G54+G60))),0)</f>
        <v>0</v>
      </c>
      <c r="H66" s="58" t="n">
        <f aca="false">IF(AND($C$66=1,OR($D$66="",H$29&gt;=$D$66)),MAX(0,MIN(H64-H65,H$31-(H36+H42+H48+H54+H60))),0)</f>
        <v>0</v>
      </c>
      <c r="I66" s="58" t="n">
        <f aca="false">IF(AND($C$66=1,OR($D$66="",I$29&gt;=$D$66)),MAX(0,MIN(I64-I65,I$31-(I36+I42+I48+I54+I60))),0)</f>
        <v>0</v>
      </c>
      <c r="J66" s="58" t="n">
        <f aca="false">IF(AND($C$66=1,OR($D$66="",J$29&gt;=$D$66)),MAX(0,MIN(J64-J65,J$31-(J36+J42+J48+J54+J60))),0)</f>
        <v>0</v>
      </c>
      <c r="K66" s="58" t="n">
        <f aca="false">IF(AND($C$66=1,OR($D$66="",K$29&gt;=$D$66)),MAX(0,MIN(K64-K65,K$31-(K36+K42+K48+K54+K60))),0)</f>
        <v>0</v>
      </c>
      <c r="L66" s="58" t="n">
        <f aca="false">IF(AND($C$66=1,OR($D$66="",L$29&gt;=$D$66)),MAX(0,MIN(L64-L65,L$31-(L36+L42+L48+L54+L60))),0)</f>
        <v>0</v>
      </c>
      <c r="M66" s="58" t="n">
        <f aca="false">IF(AND($C$66=1,OR($D$66="",M$29&gt;=$D$66)),MAX(0,MIN(M64-M65,M$31-(M36+M42+M48+M54+M60))),0)</f>
        <v>0</v>
      </c>
      <c r="N66" s="58" t="n">
        <f aca="false">IF(AND($C$66=1,OR($D$66="",N$29&gt;=$D$66)),MAX(0,MIN(N64-N65,N$31-(N36+N42+N48+N54+N60))),0)</f>
        <v>0</v>
      </c>
      <c r="O66" s="58" t="n">
        <f aca="false">IF(AND($C$66=1,OR($D$66="",O$29&gt;=$D$66)),MAX(0,MIN(O64-O65,O$31-(O36+O42+O48+O54+O60))),0)</f>
        <v>0</v>
      </c>
      <c r="P66" s="58" t="n">
        <f aca="false">IF(AND($C$66=1,OR($D$66="",P$29&gt;=$D$66)),MAX(0,MIN(P64-P65,P$31-(P36+P42+P48+P54+P60))),0)</f>
        <v>0</v>
      </c>
      <c r="Q66" s="58" t="n">
        <f aca="false">IF(AND($C$66=1,OR($D$66="",Q$29&gt;=$D$66)),MAX(0,MIN(Q64-Q65,Q$31-(Q36+Q42+Q48+Q54+Q60))),0)</f>
        <v>0</v>
      </c>
      <c r="R66" s="58" t="n">
        <f aca="false">IF(AND($C$66=1,OR($D$66="",R$29&gt;=$D$66)),MAX(0,MIN(R64-R65,R$31-(R36+R42+R48+R54+R60))),0)</f>
        <v>0</v>
      </c>
      <c r="S66" s="58" t="n">
        <f aca="false">IF(AND($C$66=1,OR($D$66="",S$29&gt;=$D$66)),MAX(0,MIN(S64-S65,S$31-(S36+S42+S48+S54+S60))),0)</f>
        <v>0</v>
      </c>
      <c r="T66" s="58" t="n">
        <f aca="false">IF(AND($C$66=1,OR($D$66="",T$29&gt;=$D$66)),MAX(0,MIN(T64-T65,T$31-(T36+T42+T48+T54+T60))),0)</f>
        <v>0</v>
      </c>
      <c r="U66" s="58" t="n">
        <f aca="false">IF(AND($C$66=1,OR($D$66="",U$29&gt;=$D$66)),MAX(0,MIN(U64-U65,U$31-(U36+U42+U48+U54+U60))),0)</f>
        <v>0</v>
      </c>
      <c r="V66" s="58" t="n">
        <f aca="false">IF(AND($C$66=1,OR($D$66="",V$29&gt;=$D$66)),MAX(0,MIN(V64-V65,V$31-(V36+V42+V48+V54+V60))),0)</f>
        <v>0</v>
      </c>
      <c r="W66" s="58" t="n">
        <f aca="false">IF(AND($C$66=1,OR($D$66="",W$29&gt;=$D$66)),MAX(0,MIN(W64-W65,W$31-(W36+W42+W48+W54+W60))),0)</f>
        <v>0</v>
      </c>
      <c r="X66" s="58" t="n">
        <f aca="false">IF(AND($C$66=1,OR($D$66="",X$29&gt;=$D$66)),MAX(0,MIN(X64-X65,X$31-(X36+X42+X48+X54+X60))),0)</f>
        <v>0</v>
      </c>
      <c r="Y66" s="58" t="n">
        <f aca="false">IF(AND($C$66=1,OR($D$66="",Y$29&gt;=$D$66)),MAX(0,MIN(Y64-Y65,Y$31-(Y36+Y42+Y48+Y54+Y60))),0)</f>
        <v>0</v>
      </c>
      <c r="Z66" s="58" t="n">
        <f aca="false">IF(AND($C$66=1,OR($D$66="",Z$29&gt;=$D$66)),MAX(0,MIN(Z64-Z65,Z$31-(Z36+Z42+Z48+Z54+Z60))),0)</f>
        <v>0</v>
      </c>
      <c r="AA66" s="58" t="n">
        <f aca="false">IF(AND($C$66=1,OR($D$66="",AA$29&gt;=$D$66)),MAX(0,MIN(AA64-AA65,AA$31-(AA36+AA42+AA48+AA54+AA60))),0)</f>
        <v>0</v>
      </c>
      <c r="AB66" s="58" t="n">
        <f aca="false">IF(AND($C$66=1,OR($D$66="",AB$29&gt;=$D$66)),MAX(0,MIN(AB64-AB65,AB$31-(AB36+AB42+AB48+AB54+AB60))),0)</f>
        <v>0</v>
      </c>
      <c r="AC66" s="58" t="n">
        <f aca="false">IF(AND($C$66=1,OR($D$66="",AC$29&gt;=$D$66)),MAX(0,MIN(AC64-AC65,AC$31-(AC36+AC42+AC48+AC54+AC60))),0)</f>
        <v>0</v>
      </c>
      <c r="AD66" s="58" t="n">
        <f aca="false">IF(AND($C$66=1,OR($D$66="",AD$29&gt;=$D$66)),MAX(0,MIN(AD64-AD65,AD$31-(AD36+AD42+AD48+AD54+AD60))),0)</f>
        <v>0</v>
      </c>
      <c r="AE66" s="58" t="n">
        <f aca="false">IF(AND($C$66=1,OR($D$66="",AE$29&gt;=$D$66)),MAX(0,MIN(AE64-AE65,AE$31-(AE36+AE42+AE48+AE54+AE60))),0)</f>
        <v>0</v>
      </c>
      <c r="AF66" s="58" t="n">
        <f aca="false">IF(AND($C$66=1,OR($D$66="",AF$29&gt;=$D$66)),MAX(0,MIN(AF64-AF65,AF$31-(AF36+AF42+AF48+AF54+AF60))),0)</f>
        <v>0</v>
      </c>
      <c r="AG66" s="58" t="n">
        <f aca="false">IF(AND($C$66=1,OR($D$66="",AG$29&gt;=$D$66)),MAX(0,MIN(AG64-AG65,AG$31-(AG36+AG42+AG48+AG54+AG60))),0)</f>
        <v>0</v>
      </c>
      <c r="AH66" s="58" t="n">
        <f aca="false">IF(AND($C$66=1,OR($D$66="",AH$29&gt;=$D$66)),MAX(0,MIN(AH64-AH65,AH$31-(AH36+AH42+AH48+AH54+AH60))),0)</f>
        <v>0</v>
      </c>
      <c r="AI66" s="58" t="n">
        <f aca="false">IF(AND($C$66=1,OR($D$66="",AI$29&gt;=$D$66)),MAX(0,MIN(AI64-AI65,AI$31-(AI36+AI42+AI48+AI54+AI60))),0)</f>
        <v>0</v>
      </c>
      <c r="AJ66" s="58" t="n">
        <f aca="false">IF(AND($C$66=1,OR($D$66="",AJ$29&gt;=$D$66)),MAX(0,MIN(AJ64-AJ65,AJ$31-(AJ36+AJ42+AJ48+AJ54+AJ60))),0)</f>
        <v>0</v>
      </c>
      <c r="AK66" s="58" t="n">
        <f aca="false">IF(AND($C$66=1,OR($D$66="",AK$29&gt;=$D$66)),MAX(0,MIN(AK64-AK65,AK$31-(AK36+AK42+AK48+AK54+AK60))),0)</f>
        <v>0</v>
      </c>
      <c r="AL66" s="58" t="n">
        <f aca="false">IF(AND($C$66=1,OR($D$66="",AL$29&gt;=$D$66)),MAX(0,MIN(AL64-AL65,AL$31-(AL36+AL42+AL48+AL54+AL60))),0)</f>
        <v>0</v>
      </c>
      <c r="AM66" s="58" t="n">
        <f aca="false">IF(AND($C$66=1,OR($D$66="",AM$29&gt;=$D$66)),MAX(0,MIN(AM64-AM65,AM$31-(AM36+AM42+AM48+AM54+AM60))),0)</f>
        <v>0</v>
      </c>
      <c r="AN66" s="58" t="n">
        <f aca="false">IF(AND($C$66=1,OR($D$66="",AN$29&gt;=$D$66)),MAX(0,MIN(AN64-AN65,AN$31-(AN36+AN42+AN48+AN54+AN60))),0)</f>
        <v>0</v>
      </c>
      <c r="AO66" s="58" t="n">
        <f aca="false">IF(AND($C$66=1,OR($D$66="",AO$29&gt;=$D$66)),MAX(0,MIN(AO64-AO65,AO$31-(AO36+AO42+AO48+AO54+AO60))),0)</f>
        <v>0</v>
      </c>
      <c r="AP66" s="58" t="n">
        <f aca="false">IF(AND($C$66=1,OR($D$66="",AP$29&gt;=$D$66)),MAX(0,MIN(AP64-AP65,AP$31-(AP36+AP42+AP48+AP54+AP60))),0)</f>
        <v>0</v>
      </c>
      <c r="AQ66" s="58" t="n">
        <f aca="false">IF(AND($C$66=1,OR($D$66="",AQ$29&gt;=$D$66)),MAX(0,MIN(AQ64-AQ65,AQ$31-(AQ36+AQ42+AQ48+AQ54+AQ60))),0)</f>
        <v>0</v>
      </c>
      <c r="AR66" s="58" t="n">
        <f aca="false">IF(AND($C$66=1,OR($D$66="",AR$29&gt;=$D$66)),MAX(0,MIN(AR64-AR65,AR$31-(AR36+AR42+AR48+AR54+AR60))),0)</f>
        <v>0</v>
      </c>
      <c r="AS66" s="58" t="n">
        <f aca="false">IF(AND($C$66=1,OR($D$66="",AS$29&gt;=$D$66)),MAX(0,MIN(AS64-AS65,AS$31-(AS36+AS42+AS48+AS54+AS60))),0)</f>
        <v>0</v>
      </c>
      <c r="AT66" s="58" t="n">
        <f aca="false">IF(AND($C$66=1,OR($D$66="",AT$29&gt;=$D$66)),MAX(0,MIN(AT64-AT65,AT$31-(AT36+AT42+AT48+AT54+AT60))),0)</f>
        <v>0</v>
      </c>
      <c r="AU66" s="58" t="n">
        <f aca="false">IF(AND($C$66=1,OR($D$66="",AU$29&gt;=$D$66)),MAX(0,MIN(AU64-AU65,AU$31-(AU36+AU42+AU48+AU54+AU60))),0)</f>
        <v>0</v>
      </c>
      <c r="AV66" s="58" t="n">
        <f aca="false">IF(AND($C$66=1,OR($D$66="",AV$29&gt;=$D$66)),MAX(0,MIN(AV64-AV65,AV$31-(AV36+AV42+AV48+AV54+AV60))),0)</f>
        <v>0</v>
      </c>
      <c r="AW66" s="58" t="n">
        <f aca="false">IF(AND($C$66=1,OR($D$66="",AW$29&gt;=$D$66)),MAX(0,MIN(AW64-AW65,AW$31-(AW36+AW42+AW48+AW54+AW60))),0)</f>
        <v>0</v>
      </c>
      <c r="AX66" s="58" t="n">
        <f aca="false">IF(AND($C$66=1,OR($D$66="",AX$29&gt;=$D$66)),MAX(0,MIN(AX64-AX65,AX$31-(AX36+AX42+AX48+AX54+AX60))),0)</f>
        <v>0</v>
      </c>
      <c r="AY66" s="58" t="n">
        <f aca="false">IF(AND($C$66=1,OR($D$66="",AY$29&gt;=$D$66)),MAX(0,MIN(AY64-AY65,AY$31-(AY36+AY42+AY48+AY54+AY60))),0)</f>
        <v>0</v>
      </c>
      <c r="AZ66" s="58" t="n">
        <f aca="false">IF(AND($C$66=1,OR($D$66="",AZ$29&gt;=$D$66)),MAX(0,MIN(AZ64-AZ65,AZ$31-(AZ36+AZ42+AZ48+AZ54+AZ60))),0)</f>
        <v>0</v>
      </c>
      <c r="BA66" s="58" t="n">
        <f aca="false">IF(AND($C$66=1,OR($D$66="",BA$29&gt;=$D$66)),MAX(0,MIN(BA64-BA65,BA$31-(BA36+BA42+BA48+BA54+BA60))),0)</f>
        <v>0</v>
      </c>
      <c r="BB66" s="58" t="n">
        <f aca="false">IF(AND($C$66=1,OR($D$66="",BB$29&gt;=$D$66)),MAX(0,MIN(BB64-BB65,BB$31-(BB36+BB42+BB48+BB54+BB60))),0)</f>
        <v>0</v>
      </c>
      <c r="BC66" s="58" t="n">
        <f aca="false">IF(AND($C$66=1,OR($D$66="",BC$29&gt;=$D$66)),MAX(0,MIN(BC64-BC65,BC$31-(BC36+BC42+BC48+BC54+BC60))),0)</f>
        <v>0</v>
      </c>
      <c r="BD66" s="58" t="n">
        <f aca="false">IF(AND($C$66=1,OR($D$66="",BD$29&gt;=$D$66)),MAX(0,MIN(BD64-BD65,BD$31-(BD36+BD42+BD48+BD54+BD60))),0)</f>
        <v>0</v>
      </c>
      <c r="BE66" s="58" t="n">
        <f aca="false">IF(AND($C$66=1,OR($D$66="",BE$29&gt;=$D$66)),MAX(0,MIN(BE64-BE65,BE$31-(BE36+BE42+BE48+BE54+BE60))),0)</f>
        <v>0</v>
      </c>
      <c r="BF66" s="58" t="n">
        <f aca="false">IF(AND($C$66=1,OR($D$66="",BF$29&gt;=$D$66)),MAX(0,MIN(BF64-BF65,BF$31-(BF36+BF42+BF48+BF54+BF60))),0)</f>
        <v>0</v>
      </c>
      <c r="BG66" s="58" t="n">
        <f aca="false">IF(AND($C$66=1,OR($D$66="",BG$29&gt;=$D$66)),MAX(0,MIN(BG64-BG65,BG$31-(BG36+BG42+BG48+BG54+BG60))),0)</f>
        <v>0</v>
      </c>
      <c r="BH66" s="58" t="n">
        <f aca="false">IF(AND($C$66=1,OR($D$66="",BH$29&gt;=$D$66)),MAX(0,MIN(BH64-BH65,BH$31-(BH36+BH42+BH48+BH54+BH60))),0)</f>
        <v>0</v>
      </c>
      <c r="BI66" s="58" t="n">
        <f aca="false">IF(AND($C$66=1,OR($D$66="",BI$29&gt;=$D$66)),MAX(0,MIN(BI64-BI65,BI$31-(BI36+BI42+BI48+BI54+BI60))),0)</f>
        <v>0</v>
      </c>
      <c r="BJ66" s="58" t="n">
        <f aca="false">IF(AND($C$66=1,OR($D$66="",BJ$29&gt;=$D$66)),MAX(0,MIN(BJ64-BJ65,BJ$31-(BJ36+BJ42+BJ48+BJ54+BJ60))),0)</f>
        <v>0</v>
      </c>
      <c r="BK66" s="58" t="n">
        <f aca="false">IF(AND($C$66=1,OR($D$66="",BK$29&gt;=$D$66)),MAX(0,MIN(BK64-BK65,BK$31-(BK36+BK42+BK48+BK54+BK60))),0)</f>
        <v>0</v>
      </c>
      <c r="BL66" s="58" t="n">
        <f aca="false">IF(AND($C$66=1,OR($D$66="",BL$29&gt;=$D$66)),MAX(0,MIN(BL64-BL65,BL$31-(BL36+BL42+BL48+BL54+BL60))),0)</f>
        <v>0</v>
      </c>
      <c r="BM66" s="58" t="n">
        <f aca="false">IF(AND($C$66=1,OR($D$66="",BM$29&gt;=$D$66)),MAX(0,MIN(BM64-BM65,BM$31-(BM36+BM42+BM48+BM54+BM60))),0)</f>
        <v>0</v>
      </c>
      <c r="BN66" s="58" t="n">
        <f aca="false">IF(AND($C$66=1,OR($D$66="",BN$29&gt;=$D$66)),MAX(0,MIN(BN64-BN65,BN$31-(BN36+BN42+BN48+BN54+BN60))),0)</f>
        <v>0</v>
      </c>
      <c r="BO66" s="58" t="n">
        <f aca="false">IF(AND($C$66=1,OR($D$66="",BO$29&gt;=$D$66)),MAX(0,MIN(BO64-BO65,BO$31-(BO36+BO42+BO48+BO54+BO60))),0)</f>
        <v>0</v>
      </c>
      <c r="BP66" s="58" t="n">
        <f aca="false">IF(AND($C$66=1,OR($D$66="",BP$29&gt;=$D$66)),MAX(0,MIN(BP64-BP65,BP$31-(BP36+BP42+BP48+BP54+BP60))),0)</f>
        <v>0</v>
      </c>
      <c r="BQ66" s="58" t="n">
        <f aca="false">IF(AND($C$66=1,OR($D$66="",BQ$29&gt;=$D$66)),MAX(0,MIN(BQ64-BQ65,BQ$31-(BQ36+BQ42+BQ48+BQ54+BQ60))),0)</f>
        <v>0</v>
      </c>
      <c r="BR66" s="58" t="n">
        <f aca="false">IF(AND($C$66=1,OR($D$66="",BR$29&gt;=$D$66)),MAX(0,MIN(BR64-BR65,BR$31-(BR36+BR42+BR48+BR54+BR60))),0)</f>
        <v>0</v>
      </c>
      <c r="BS66" s="58" t="n">
        <f aca="false">IF(AND($C$66=1,OR($D$66="",BS$29&gt;=$D$66)),MAX(0,MIN(BS64-BS65,BS$31-(BS36+BS42+BS48+BS54+BS60))),0)</f>
        <v>0</v>
      </c>
      <c r="BT66" s="58" t="n">
        <f aca="false">IF(AND($C$66=1,OR($D$66="",BT$29&gt;=$D$66)),MAX(0,MIN(BT64-BT65,BT$31-(BT36+BT42+BT48+BT54+BT60))),0)</f>
        <v>0</v>
      </c>
      <c r="BU66" s="58" t="n">
        <f aca="false">IF(AND($C$66=1,OR($D$66="",BU$29&gt;=$D$66)),MAX(0,MIN(BU64-BU65,BU$31-(BU36+BU42+BU48+BU54+BU60))),0)</f>
        <v>0</v>
      </c>
      <c r="BV66" s="58" t="n">
        <f aca="false">IF(AND($C$66=1,OR($D$66="",BV$29&gt;=$D$66)),MAX(0,MIN(BV64-BV65,BV$31-(BV36+BV42+BV48+BV54+BV60))),0)</f>
        <v>0</v>
      </c>
      <c r="BW66" s="58" t="n">
        <f aca="false">IF(AND($C$66=1,OR($D$66="",BW$29&gt;=$D$66)),MAX(0,MIN(BW64-BW65,BW$31-(BW36+BW42+BW48+BW54+BW60))),0)</f>
        <v>0</v>
      </c>
      <c r="BX66" s="58" t="n">
        <f aca="false">IF(AND($C$66=1,OR($D$66="",BX$29&gt;=$D$66)),MAX(0,MIN(BX64-BX65,BX$31-(BX36+BX42+BX48+BX54+BX60))),0)</f>
        <v>0</v>
      </c>
      <c r="BY66" s="58" t="n">
        <f aca="false">IF(AND($C$66=1,OR($D$66="",BY$29&gt;=$D$66)),MAX(0,MIN(BY64-BY65,BY$31-(BY36+BY42+BY48+BY54+BY60))),0)</f>
        <v>0</v>
      </c>
      <c r="BZ66" s="58" t="n">
        <f aca="false">IF(AND($C$66=1,OR($D$66="",BZ$29&gt;=$D$66)),MAX(0,MIN(BZ64-BZ65,BZ$31-(BZ36+BZ42+BZ48+BZ54+BZ60))),0)</f>
        <v>0</v>
      </c>
      <c r="CA66" s="58" t="n">
        <f aca="false">IF(AND($C$66=1,OR($D$66="",CA$29&gt;=$D$66)),MAX(0,MIN(CA64-CA65,CA$31-(CA36+CA42+CA48+CA54+CA60))),0)</f>
        <v>0</v>
      </c>
      <c r="CB66" s="58" t="n">
        <f aca="false">IF(AND($C$66=1,OR($D$66="",CB$29&gt;=$D$66)),MAX(0,MIN(CB64-CB65,CB$31-(CB36+CB42+CB48+CB54+CB60))),0)</f>
        <v>0</v>
      </c>
      <c r="CC66" s="58" t="n">
        <f aca="false">IF(AND($C$66=1,OR($D$66="",CC$29&gt;=$D$66)),MAX(0,MIN(CC64-CC65,CC$31-(CC36+CC42+CC48+CC54+CC60))),0)</f>
        <v>0</v>
      </c>
      <c r="CD66" s="58" t="n">
        <f aca="false">IF(AND($C$66=1,OR($D$66="",CD$29&gt;=$D$66)),MAX(0,MIN(CD64-CD65,CD$31-(CD36+CD42+CD48+CD54+CD60))),0)</f>
        <v>0</v>
      </c>
      <c r="CE66" s="58" t="n">
        <f aca="false">IF(AND($C$66=1,OR($D$66="",CE$29&gt;=$D$66)),MAX(0,MIN(CE64-CE65,CE$31-(CE36+CE42+CE48+CE54+CE60))),0)</f>
        <v>0</v>
      </c>
      <c r="CF66" s="58" t="n">
        <f aca="false">IF(AND($C$66=1,OR($D$66="",CF$29&gt;=$D$66)),MAX(0,MIN(CF64-CF65,CF$31-(CF36+CF42+CF48+CF54+CF60))),0)</f>
        <v>0</v>
      </c>
      <c r="CG66" s="58" t="n">
        <f aca="false">IF(AND($C$66=1,OR($D$66="",CG$29&gt;=$D$66)),MAX(0,MIN(CG64-CG65,CG$31-(CG36+CG42+CG48+CG54+CG60))),0)</f>
        <v>0</v>
      </c>
      <c r="CH66" s="58" t="n">
        <f aca="false">IF(AND($C$66=1,OR($D$66="",CH$29&gt;=$D$66)),MAX(0,MIN(CH64-CH65,CH$31-(CH36+CH42+CH48+CH54+CH60))),0)</f>
        <v>0</v>
      </c>
      <c r="CI66" s="58" t="n">
        <f aca="false">IF(AND($C$66=1,OR($D$66="",CI$29&gt;=$D$66)),MAX(0,MIN(CI64-CI65,CI$31-(CI36+CI42+CI48+CI54+CI60))),0)</f>
        <v>0</v>
      </c>
      <c r="CJ66" s="58" t="n">
        <f aca="false">IF(AND($C$66=1,OR($D$66="",CJ$29&gt;=$D$66)),MAX(0,MIN(CJ64-CJ65,CJ$31-(CJ36+CJ42+CJ48+CJ54+CJ60))),0)</f>
        <v>0</v>
      </c>
      <c r="CK66" s="58" t="n">
        <f aca="false">IF(AND($C$66=1,OR($D$66="",CK$29&gt;=$D$66)),MAX(0,MIN(CK64-CK65,CK$31-(CK36+CK42+CK48+CK54+CK60))),0)</f>
        <v>0</v>
      </c>
      <c r="CL66" s="58" t="n">
        <f aca="false">IF(AND($C$66=1,OR($D$66="",CL$29&gt;=$D$66)),MAX(0,MIN(CL64-CL65,CL$31-(CL36+CL42+CL48+CL54+CL60))),0)</f>
        <v>0</v>
      </c>
      <c r="CM66" s="58" t="n">
        <f aca="false">IF(AND($C$66=1,OR($D$66="",CM$29&gt;=$D$66)),MAX(0,MIN(CM64-CM65,CM$31-(CM36+CM42+CM48+CM54+CM60))),0)</f>
        <v>0</v>
      </c>
      <c r="CN66" s="58" t="n">
        <f aca="false">IF(AND($C$66=1,OR($D$66="",CN$29&gt;=$D$66)),MAX(0,MIN(CN64-CN65,CN$31-(CN36+CN42+CN48+CN54+CN60))),0)</f>
        <v>0</v>
      </c>
      <c r="CO66" s="58" t="n">
        <f aca="false">IF(AND($C$66=1,OR($D$66="",CO$29&gt;=$D$66)),MAX(0,MIN(CO64-CO65,CO$31-(CO36+CO42+CO48+CO54+CO60))),0)</f>
        <v>0</v>
      </c>
      <c r="CP66" s="58" t="n">
        <f aca="false">IF(AND($C$66=1,OR($D$66="",CP$29&gt;=$D$66)),MAX(0,MIN(CP64-CP65,CP$31-(CP36+CP42+CP48+CP54+CP60))),0)</f>
        <v>0</v>
      </c>
      <c r="CQ66" s="58" t="n">
        <f aca="false">IF(AND($C$66=1,OR($D$66="",CQ$29&gt;=$D$66)),MAX(0,MIN(CQ64-CQ65,CQ$31-(CQ36+CQ42+CQ48+CQ54+CQ60))),0)</f>
        <v>0</v>
      </c>
      <c r="CR66" s="58" t="n">
        <f aca="false">IF(AND($C$66=1,OR($D$66="",CR$29&gt;=$D$66)),MAX(0,MIN(CR64-CR65,CR$31-(CR36+CR42+CR48+CR54+CR60))),0)</f>
        <v>0</v>
      </c>
      <c r="CS66" s="58" t="n">
        <f aca="false">IF(AND($C$66=1,OR($D$66="",CS$29&gt;=$D$66)),MAX(0,MIN(CS64-CS65,CS$31-(CS36+CS42+CS48+CS54+CS60))),0)</f>
        <v>0</v>
      </c>
      <c r="CT66" s="58" t="n">
        <f aca="false">IF(AND($C$66=1,OR($D$66="",CT$29&gt;=$D$66)),MAX(0,MIN(CT64-CT65,CT$31-(CT36+CT42+CT48+CT54+CT60))),0)</f>
        <v>0</v>
      </c>
      <c r="CU66" s="58" t="n">
        <f aca="false">IF(AND($C$66=1,OR($D$66="",CU$29&gt;=$D$66)),MAX(0,MIN(CU64-CU65,CU$31-(CU36+CU42+CU48+CU54+CU60))),0)</f>
        <v>0</v>
      </c>
      <c r="CV66" s="58" t="n">
        <f aca="false">IF(AND($C$66=1,OR($D$66="",CV$29&gt;=$D$66)),MAX(0,MIN(CV64-CV65,CV$31-(CV36+CV42+CV48+CV54+CV60))),0)</f>
        <v>0</v>
      </c>
      <c r="CW66" s="58" t="n">
        <f aca="false">IF(AND($C$66=1,OR($D$66="",CW$29&gt;=$D$66)),MAX(0,MIN(CW64-CW65,CW$31-(CW36+CW42+CW48+CW54+CW60))),0)</f>
        <v>0</v>
      </c>
      <c r="CX66" s="58" t="n">
        <f aca="false">IF(AND($C$66=1,OR($D$66="",CX$29&gt;=$D$66)),MAX(0,MIN(CX64-CX65,CX$31-(CX36+CX42+CX48+CX54+CX60))),0)</f>
        <v>0</v>
      </c>
      <c r="CY66" s="58" t="n">
        <f aca="false">IF(AND($C$66=1,OR($D$66="",CY$29&gt;=$D$66)),MAX(0,MIN(CY64-CY65,CY$31-(CY36+CY42+CY48+CY54+CY60))),0)</f>
        <v>0</v>
      </c>
      <c r="CZ66" s="58" t="n">
        <f aca="false">IF(AND($C$66=1,OR($D$66="",CZ$29&gt;=$D$66)),MAX(0,MIN(CZ64-CZ65,CZ$31-(CZ36+CZ42+CZ48+CZ54+CZ60))),0)</f>
        <v>0</v>
      </c>
      <c r="DA66" s="58" t="n">
        <f aca="false">IF(AND($C$66=1,OR($D$66="",DA$29&gt;=$D$66)),MAX(0,MIN(DA64-DA65,DA$31-(DA36+DA42+DA48+DA54+DA60))),0)</f>
        <v>0</v>
      </c>
      <c r="DB66" s="58" t="n">
        <f aca="false">IF(AND($C$66=1,OR($D$66="",DB$29&gt;=$D$66)),MAX(0,MIN(DB64-DB65,DB$31-(DB36+DB42+DB48+DB54+DB60))),0)</f>
        <v>0</v>
      </c>
      <c r="DC66" s="58" t="n">
        <f aca="false">IF(AND($C$66=1,OR($D$66="",DC$29&gt;=$D$66)),MAX(0,MIN(DC64-DC65,DC$31-(DC36+DC42+DC48+DC54+DC60))),0)</f>
        <v>0</v>
      </c>
      <c r="DD66" s="58" t="n">
        <f aca="false">IF(AND($C$66=1,OR($D$66="",DD$29&gt;=$D$66)),MAX(0,MIN(DD64-DD65,DD$31-(DD36+DD42+DD48+DD54+DD60))),0)</f>
        <v>0</v>
      </c>
      <c r="DE66" s="58" t="n">
        <f aca="false">IF(AND($C$66=1,OR($D$66="",DE$29&gt;=$D$66)),MAX(0,MIN(DE64-DE65,DE$31-(DE36+DE42+DE48+DE54+DE60))),0)</f>
        <v>0</v>
      </c>
      <c r="DF66" s="58" t="n">
        <f aca="false">IF(AND($C$66=1,OR($D$66="",DF$29&gt;=$D$66)),MAX(0,MIN(DF64-DF65,DF$31-(DF36+DF42+DF48+DF54+DF60))),0)</f>
        <v>0</v>
      </c>
      <c r="DG66" s="58" t="n">
        <f aca="false">IF(AND($C$66=1,OR($D$66="",DG$29&gt;=$D$66)),MAX(0,MIN(DG64-DG65,DG$31-(DG36+DG42+DG48+DG54+DG60))),0)</f>
        <v>0</v>
      </c>
      <c r="DH66" s="58" t="n">
        <f aca="false">IF(AND($C$66=1,OR($D$66="",DH$29&gt;=$D$66)),MAX(0,MIN(DH64-DH65,DH$31-(DH36+DH42+DH48+DH54+DH60))),0)</f>
        <v>0</v>
      </c>
      <c r="DI66" s="58" t="n">
        <f aca="false">IF(AND($C$66=1,OR($D$66="",DI$29&gt;=$D$66)),MAX(0,MIN(DI64-DI65,DI$31-(DI36+DI42+DI48+DI54+DI60))),0)</f>
        <v>0</v>
      </c>
      <c r="DJ66" s="58" t="n">
        <f aca="false">IF(AND($C$66=1,OR($D$66="",DJ$29&gt;=$D$66)),MAX(0,MIN(DJ64-DJ65,DJ$31-(DJ36+DJ42+DJ48+DJ54+DJ60))),0)</f>
        <v>0</v>
      </c>
      <c r="DK66" s="58" t="n">
        <f aca="false">IF(AND($C$66=1,OR($D$66="",DK$29&gt;=$D$66)),MAX(0,MIN(DK64-DK65,DK$31-(DK36+DK42+DK48+DK54+DK60))),0)</f>
        <v>0</v>
      </c>
      <c r="DL66" s="58" t="n">
        <f aca="false">IF(AND($C$66=1,OR($D$66="",DL$29&gt;=$D$66)),MAX(0,MIN(DL64-DL65,DL$31-(DL36+DL42+DL48+DL54+DL60))),0)</f>
        <v>0</v>
      </c>
      <c r="DM66" s="58" t="n">
        <f aca="false">IF(AND($C$66=1,OR($D$66="",DM$29&gt;=$D$66)),MAX(0,MIN(DM64-DM65,DM$31-(DM36+DM42+DM48+DM54+DM60))),0)</f>
        <v>0</v>
      </c>
      <c r="DN66" s="58" t="n">
        <f aca="false">IF(AND($C$66=1,OR($D$66="",DN$29&gt;=$D$66)),MAX(0,MIN(DN64-DN65,DN$31-(DN36+DN42+DN48+DN54+DN60))),0)</f>
        <v>0</v>
      </c>
      <c r="DO66" s="58" t="n">
        <f aca="false">IF(AND($C$66=1,OR($D$66="",DO$29&gt;=$D$66)),MAX(0,MIN(DO64-DO65,DO$31-(DO36+DO42+DO48+DO54+DO60))),0)</f>
        <v>0</v>
      </c>
      <c r="DP66" s="58" t="n">
        <f aca="false">IF(AND($C$66=1,OR($D$66="",DP$29&gt;=$D$66)),MAX(0,MIN(DP64-DP65,DP$31-(DP36+DP42+DP48+DP54+DP60))),0)</f>
        <v>0</v>
      </c>
      <c r="DQ66" s="58" t="n">
        <f aca="false">IF(AND($C$66=1,OR($D$66="",DQ$29&gt;=$D$66)),MAX(0,MIN(DQ64-DQ65,DQ$31-(DQ36+DQ42+DQ48+DQ54+DQ60))),0)</f>
        <v>0</v>
      </c>
      <c r="DR66" s="58" t="n">
        <f aca="false">IF(AND($C$66=1,OR($D$66="",DR$29&gt;=$D$66)),MAX(0,MIN(DR64-DR65,DR$31-(DR36+DR42+DR48+DR54+DR60))),0)</f>
        <v>0</v>
      </c>
      <c r="DS66" s="58" t="n">
        <f aca="false">IF(AND($C$66=1,OR($D$66="",DS$29&gt;=$D$66)),MAX(0,MIN(DS64-DS65,DS$31-(DS36+DS42+DS48+DS54+DS60))),0)</f>
        <v>0</v>
      </c>
      <c r="DT66" s="58" t="n">
        <f aca="false">IF(AND($C$66=1,OR($D$66="",DT$29&gt;=$D$66)),MAX(0,MIN(DT64-DT65,DT$31-(DT36+DT42+DT48+DT54+DT60))),0)</f>
        <v>0</v>
      </c>
    </row>
    <row r="67" customFormat="false" ht="15" hidden="false" customHeight="false" outlineLevel="0" collapsed="false">
      <c r="B67" s="24" t="s">
        <v>187</v>
      </c>
      <c r="C67" s="23" t="s">
        <v>383</v>
      </c>
      <c r="D67" s="89" t="n">
        <f aca="false">IF($C$68=0,D68,MAX(0,D68-MAX(0,$C$10-($D$38*$C$38+$D$44*$C$44+$D$50*$C$50+$D$56*$C$56+$D$62*$C$62))))</f>
        <v>0</v>
      </c>
      <c r="E67" s="89" t="n">
        <f aca="false">E64-E65-E66</f>
        <v>0</v>
      </c>
      <c r="F67" s="89" t="n">
        <f aca="false">F64-F65-F66</f>
        <v>0</v>
      </c>
      <c r="G67" s="89" t="n">
        <f aca="false">G64-G65-G66</f>
        <v>0</v>
      </c>
      <c r="H67" s="89" t="n">
        <f aca="false">H64-H65-H66</f>
        <v>0</v>
      </c>
      <c r="I67" s="89" t="n">
        <f aca="false">I64-I65-I66</f>
        <v>0</v>
      </c>
      <c r="J67" s="89" t="n">
        <f aca="false">J64-J65-J66</f>
        <v>0</v>
      </c>
      <c r="K67" s="89" t="n">
        <f aca="false">K64-K65-K66</f>
        <v>0</v>
      </c>
      <c r="L67" s="89" t="n">
        <f aca="false">L64-L65-L66</f>
        <v>0</v>
      </c>
      <c r="M67" s="89" t="n">
        <f aca="false">M64-M65-M66</f>
        <v>0</v>
      </c>
      <c r="N67" s="89" t="n">
        <f aca="false">N64-N65-N66</f>
        <v>0</v>
      </c>
      <c r="O67" s="89" t="n">
        <f aca="false">O64-O65-O66</f>
        <v>0</v>
      </c>
      <c r="P67" s="89" t="n">
        <f aca="false">P64-P65-P66</f>
        <v>0</v>
      </c>
      <c r="Q67" s="89" t="n">
        <f aca="false">Q64-Q65-Q66</f>
        <v>0</v>
      </c>
      <c r="R67" s="89" t="n">
        <f aca="false">R64-R65-R66</f>
        <v>0</v>
      </c>
      <c r="S67" s="89" t="n">
        <f aca="false">S64-S65-S66</f>
        <v>0</v>
      </c>
      <c r="T67" s="89" t="n">
        <f aca="false">T64-T65-T66</f>
        <v>0</v>
      </c>
      <c r="U67" s="89" t="n">
        <f aca="false">U64-U65-U66</f>
        <v>0</v>
      </c>
      <c r="V67" s="89" t="n">
        <f aca="false">V64-V65-V66</f>
        <v>0</v>
      </c>
      <c r="W67" s="89" t="n">
        <f aca="false">W64-W65-W66</f>
        <v>0</v>
      </c>
      <c r="X67" s="89" t="n">
        <f aca="false">X64-X65-X66</f>
        <v>0</v>
      </c>
      <c r="Y67" s="89" t="n">
        <f aca="false">Y64-Y65-Y66</f>
        <v>0</v>
      </c>
      <c r="Z67" s="89" t="n">
        <f aca="false">Z64-Z65-Z66</f>
        <v>0</v>
      </c>
      <c r="AA67" s="89" t="n">
        <f aca="false">AA64-AA65-AA66</f>
        <v>0</v>
      </c>
      <c r="AB67" s="89" t="n">
        <f aca="false">AB64-AB65-AB66</f>
        <v>0</v>
      </c>
      <c r="AC67" s="89" t="n">
        <f aca="false">AC64-AC65-AC66</f>
        <v>0</v>
      </c>
      <c r="AD67" s="89" t="n">
        <f aca="false">AD64-AD65-AD66</f>
        <v>0</v>
      </c>
      <c r="AE67" s="89" t="n">
        <f aca="false">AE64-AE65-AE66</f>
        <v>0</v>
      </c>
      <c r="AF67" s="89" t="n">
        <f aca="false">AF64-AF65-AF66</f>
        <v>0</v>
      </c>
      <c r="AG67" s="89" t="n">
        <f aca="false">AG64-AG65-AG66</f>
        <v>0</v>
      </c>
      <c r="AH67" s="89" t="n">
        <f aca="false">AH64-AH65-AH66</f>
        <v>0</v>
      </c>
      <c r="AI67" s="89" t="n">
        <f aca="false">AI64-AI65-AI66</f>
        <v>0</v>
      </c>
      <c r="AJ67" s="89" t="n">
        <f aca="false">AJ64-AJ65-AJ66</f>
        <v>0</v>
      </c>
      <c r="AK67" s="89" t="n">
        <f aca="false">AK64-AK65-AK66</f>
        <v>0</v>
      </c>
      <c r="AL67" s="89" t="n">
        <f aca="false">AL64-AL65-AL66</f>
        <v>0</v>
      </c>
      <c r="AM67" s="89" t="n">
        <f aca="false">AM64-AM65-AM66</f>
        <v>0</v>
      </c>
      <c r="AN67" s="89" t="n">
        <f aca="false">AN64-AN65-AN66</f>
        <v>0</v>
      </c>
      <c r="AO67" s="89" t="n">
        <f aca="false">AO64-AO65-AO66</f>
        <v>0</v>
      </c>
      <c r="AP67" s="89" t="n">
        <f aca="false">AP64-AP65-AP66</f>
        <v>0</v>
      </c>
      <c r="AQ67" s="89" t="n">
        <f aca="false">AQ64-AQ65-AQ66</f>
        <v>0</v>
      </c>
      <c r="AR67" s="89" t="n">
        <f aca="false">AR64-AR65-AR66</f>
        <v>0</v>
      </c>
      <c r="AS67" s="89" t="n">
        <f aca="false">AS64-AS65-AS66</f>
        <v>0</v>
      </c>
      <c r="AT67" s="89" t="n">
        <f aca="false">AT64-AT65-AT66</f>
        <v>0</v>
      </c>
      <c r="AU67" s="89" t="n">
        <f aca="false">AU64-AU65-AU66</f>
        <v>0</v>
      </c>
      <c r="AV67" s="89" t="n">
        <f aca="false">AV64-AV65-AV66</f>
        <v>0</v>
      </c>
      <c r="AW67" s="89" t="n">
        <f aca="false">AW64-AW65-AW66</f>
        <v>0</v>
      </c>
      <c r="AX67" s="89" t="n">
        <f aca="false">AX64-AX65-AX66</f>
        <v>0</v>
      </c>
      <c r="AY67" s="89" t="n">
        <f aca="false">AY64-AY65-AY66</f>
        <v>0</v>
      </c>
      <c r="AZ67" s="89" t="n">
        <f aca="false">AZ64-AZ65-AZ66</f>
        <v>0</v>
      </c>
      <c r="BA67" s="89" t="n">
        <f aca="false">BA64-BA65-BA66</f>
        <v>0</v>
      </c>
      <c r="BB67" s="89" t="n">
        <f aca="false">BB64-BB65-BB66</f>
        <v>0</v>
      </c>
      <c r="BC67" s="89" t="n">
        <f aca="false">BC64-BC65-BC66</f>
        <v>0</v>
      </c>
      <c r="BD67" s="89" t="n">
        <f aca="false">BD64-BD65-BD66</f>
        <v>0</v>
      </c>
      <c r="BE67" s="89" t="n">
        <f aca="false">BE64-BE65-BE66</f>
        <v>0</v>
      </c>
      <c r="BF67" s="89" t="n">
        <f aca="false">BF64-BF65-BF66</f>
        <v>0</v>
      </c>
      <c r="BG67" s="89" t="n">
        <f aca="false">BG64-BG65-BG66</f>
        <v>0</v>
      </c>
      <c r="BH67" s="89" t="n">
        <f aca="false">BH64-BH65-BH66</f>
        <v>0</v>
      </c>
      <c r="BI67" s="89" t="n">
        <f aca="false">BI64-BI65-BI66</f>
        <v>0</v>
      </c>
      <c r="BJ67" s="89" t="n">
        <f aca="false">BJ64-BJ65-BJ66</f>
        <v>0</v>
      </c>
      <c r="BK67" s="89" t="n">
        <f aca="false">BK64-BK65-BK66</f>
        <v>0</v>
      </c>
      <c r="BL67" s="89" t="n">
        <f aca="false">BL64-BL65-BL66</f>
        <v>0</v>
      </c>
      <c r="BM67" s="89" t="n">
        <f aca="false">BM64-BM65-BM66</f>
        <v>0</v>
      </c>
      <c r="BN67" s="89" t="n">
        <f aca="false">BN64-BN65-BN66</f>
        <v>0</v>
      </c>
      <c r="BO67" s="89" t="n">
        <f aca="false">BO64-BO65-BO66</f>
        <v>0</v>
      </c>
      <c r="BP67" s="89" t="n">
        <f aca="false">BP64-BP65-BP66</f>
        <v>0</v>
      </c>
      <c r="BQ67" s="89" t="n">
        <f aca="false">BQ64-BQ65-BQ66</f>
        <v>0</v>
      </c>
      <c r="BR67" s="89" t="n">
        <f aca="false">BR64-BR65-BR66</f>
        <v>0</v>
      </c>
      <c r="BS67" s="89" t="n">
        <f aca="false">BS64-BS65-BS66</f>
        <v>0</v>
      </c>
      <c r="BT67" s="89" t="n">
        <f aca="false">BT64-BT65-BT66</f>
        <v>0</v>
      </c>
      <c r="BU67" s="89" t="n">
        <f aca="false">BU64-BU65-BU66</f>
        <v>0</v>
      </c>
      <c r="BV67" s="89" t="n">
        <f aca="false">BV64-BV65-BV66</f>
        <v>0</v>
      </c>
      <c r="BW67" s="89" t="n">
        <f aca="false">BW64-BW65-BW66</f>
        <v>0</v>
      </c>
      <c r="BX67" s="89" t="n">
        <f aca="false">BX64-BX65-BX66</f>
        <v>0</v>
      </c>
      <c r="BY67" s="89" t="n">
        <f aca="false">BY64-BY65-BY66</f>
        <v>0</v>
      </c>
      <c r="BZ67" s="89" t="n">
        <f aca="false">BZ64-BZ65-BZ66</f>
        <v>0</v>
      </c>
      <c r="CA67" s="89" t="n">
        <f aca="false">CA64-CA65-CA66</f>
        <v>0</v>
      </c>
      <c r="CB67" s="89" t="n">
        <f aca="false">CB64-CB65-CB66</f>
        <v>0</v>
      </c>
      <c r="CC67" s="89" t="n">
        <f aca="false">CC64-CC65-CC66</f>
        <v>0</v>
      </c>
      <c r="CD67" s="89" t="n">
        <f aca="false">CD64-CD65-CD66</f>
        <v>0</v>
      </c>
      <c r="CE67" s="89" t="n">
        <f aca="false">CE64-CE65-CE66</f>
        <v>0</v>
      </c>
      <c r="CF67" s="89" t="n">
        <f aca="false">CF64-CF65-CF66</f>
        <v>0</v>
      </c>
      <c r="CG67" s="89" t="n">
        <f aca="false">CG64-CG65-CG66</f>
        <v>0</v>
      </c>
      <c r="CH67" s="89" t="n">
        <f aca="false">CH64-CH65-CH66</f>
        <v>0</v>
      </c>
      <c r="CI67" s="89" t="n">
        <f aca="false">CI64-CI65-CI66</f>
        <v>0</v>
      </c>
      <c r="CJ67" s="89" t="n">
        <f aca="false">CJ64-CJ65-CJ66</f>
        <v>0</v>
      </c>
      <c r="CK67" s="89" t="n">
        <f aca="false">CK64-CK65-CK66</f>
        <v>0</v>
      </c>
      <c r="CL67" s="89" t="n">
        <f aca="false">CL64-CL65-CL66</f>
        <v>0</v>
      </c>
      <c r="CM67" s="89" t="n">
        <f aca="false">CM64-CM65-CM66</f>
        <v>0</v>
      </c>
      <c r="CN67" s="89" t="n">
        <f aca="false">CN64-CN65-CN66</f>
        <v>0</v>
      </c>
      <c r="CO67" s="89" t="n">
        <f aca="false">CO64-CO65-CO66</f>
        <v>0</v>
      </c>
      <c r="CP67" s="89" t="n">
        <f aca="false">CP64-CP65-CP66</f>
        <v>0</v>
      </c>
      <c r="CQ67" s="89" t="n">
        <f aca="false">CQ64-CQ65-CQ66</f>
        <v>0</v>
      </c>
      <c r="CR67" s="89" t="n">
        <f aca="false">CR64-CR65-CR66</f>
        <v>0</v>
      </c>
      <c r="CS67" s="89" t="n">
        <f aca="false">CS64-CS65-CS66</f>
        <v>0</v>
      </c>
      <c r="CT67" s="89" t="n">
        <f aca="false">CT64-CT65-CT66</f>
        <v>0</v>
      </c>
      <c r="CU67" s="89" t="n">
        <f aca="false">CU64-CU65-CU66</f>
        <v>0</v>
      </c>
      <c r="CV67" s="89" t="n">
        <f aca="false">CV64-CV65-CV66</f>
        <v>0</v>
      </c>
      <c r="CW67" s="89" t="n">
        <f aca="false">CW64-CW65-CW66</f>
        <v>0</v>
      </c>
      <c r="CX67" s="89" t="n">
        <f aca="false">CX64-CX65-CX66</f>
        <v>0</v>
      </c>
      <c r="CY67" s="89" t="n">
        <f aca="false">CY64-CY65-CY66</f>
        <v>0</v>
      </c>
      <c r="CZ67" s="89" t="n">
        <f aca="false">CZ64-CZ65-CZ66</f>
        <v>0</v>
      </c>
      <c r="DA67" s="89" t="n">
        <f aca="false">DA64-DA65-DA66</f>
        <v>0</v>
      </c>
      <c r="DB67" s="89" t="n">
        <f aca="false">DB64-DB65-DB66</f>
        <v>0</v>
      </c>
      <c r="DC67" s="89" t="n">
        <f aca="false">DC64-DC65-DC66</f>
        <v>0</v>
      </c>
      <c r="DD67" s="89" t="n">
        <f aca="false">DD64-DD65-DD66</f>
        <v>0</v>
      </c>
      <c r="DE67" s="89" t="n">
        <f aca="false">DE64-DE65-DE66</f>
        <v>0</v>
      </c>
      <c r="DF67" s="89" t="n">
        <f aca="false">DF64-DF65-DF66</f>
        <v>0</v>
      </c>
      <c r="DG67" s="89" t="n">
        <f aca="false">DG64-DG65-DG66</f>
        <v>0</v>
      </c>
      <c r="DH67" s="89" t="n">
        <f aca="false">DH64-DH65-DH66</f>
        <v>0</v>
      </c>
      <c r="DI67" s="89" t="n">
        <f aca="false">DI64-DI65-DI66</f>
        <v>0</v>
      </c>
      <c r="DJ67" s="89" t="n">
        <f aca="false">DJ64-DJ65-DJ66</f>
        <v>0</v>
      </c>
      <c r="DK67" s="89" t="n">
        <f aca="false">DK64-DK65-DK66</f>
        <v>0</v>
      </c>
      <c r="DL67" s="89" t="n">
        <f aca="false">DL64-DL65-DL66</f>
        <v>0</v>
      </c>
      <c r="DM67" s="89" t="n">
        <f aca="false">DM64-DM65-DM66</f>
        <v>0</v>
      </c>
      <c r="DN67" s="89" t="n">
        <f aca="false">DN64-DN65-DN66</f>
        <v>0</v>
      </c>
      <c r="DO67" s="89" t="n">
        <f aca="false">DO64-DO65-DO66</f>
        <v>0</v>
      </c>
      <c r="DP67" s="89" t="n">
        <f aca="false">DP64-DP65-DP66</f>
        <v>0</v>
      </c>
      <c r="DQ67" s="89" t="n">
        <f aca="false">DQ64-DQ65-DQ66</f>
        <v>0</v>
      </c>
      <c r="DR67" s="89" t="n">
        <f aca="false">DR64-DR65-DR66</f>
        <v>0</v>
      </c>
      <c r="DS67" s="89" t="n">
        <f aca="false">DS64-DS65-DS66</f>
        <v>0</v>
      </c>
      <c r="DT67" s="89" t="n">
        <f aca="false">DT64-DT65-DT66</f>
        <v>0</v>
      </c>
    </row>
    <row r="68" customFormat="false" ht="15" hidden="false" customHeight="false" outlineLevel="0" collapsed="false">
      <c r="C68" s="96" t="n">
        <f aca="false">IF(AND(C66=1,OR(D66="",D66&lt;=$C$11)),1,0)</f>
        <v>0</v>
      </c>
      <c r="D68" s="99" t="n">
        <f aca="false">IF(C63=0,0,N(INDEX($D$13:$D$20,C63)))</f>
        <v>0</v>
      </c>
    </row>
    <row r="69" customFormat="false" ht="15" hidden="false" customHeight="false" outlineLevel="0" collapsed="false">
      <c r="B69" s="6" t="str">
        <f aca="false">"Orden 7: "&amp;D69</f>
        <v>Orden 7: (sin deuda)</v>
      </c>
      <c r="C69" s="96" t="n">
        <f aca="false">IFERROR(MATCH(7,$K$13:$K$20,0),0)</f>
        <v>0</v>
      </c>
      <c r="D69" s="97" t="str">
        <f aca="false">IF(C69=0,"(sin deuda)",INDEX($B$13:$B$20,C69))</f>
        <v>(sin deuda)</v>
      </c>
    </row>
    <row r="70" customFormat="false" ht="15" hidden="false" customHeight="false" outlineLevel="0" collapsed="false">
      <c r="B70" s="17" t="s">
        <v>380</v>
      </c>
      <c r="C70" s="98" t="n">
        <f aca="false">IF(C69=0,0,N(INDEX($I$13:$I$20,C69)))</f>
        <v>0</v>
      </c>
      <c r="E70" s="58" t="n">
        <f aca="false">D73*(1+$C$70)</f>
        <v>0</v>
      </c>
      <c r="F70" s="58" t="n">
        <f aca="false">E73*(1+$C$70)</f>
        <v>0</v>
      </c>
      <c r="G70" s="58" t="n">
        <f aca="false">F73*(1+$C$70)</f>
        <v>0</v>
      </c>
      <c r="H70" s="58" t="n">
        <f aca="false">G73*(1+$C$70)</f>
        <v>0</v>
      </c>
      <c r="I70" s="58" t="n">
        <f aca="false">H73*(1+$C$70)</f>
        <v>0</v>
      </c>
      <c r="J70" s="58" t="n">
        <f aca="false">I73*(1+$C$70)</f>
        <v>0</v>
      </c>
      <c r="K70" s="58" t="n">
        <f aca="false">J73*(1+$C$70)</f>
        <v>0</v>
      </c>
      <c r="L70" s="58" t="n">
        <f aca="false">K73*(1+$C$70)</f>
        <v>0</v>
      </c>
      <c r="M70" s="58" t="n">
        <f aca="false">L73*(1+$C$70)</f>
        <v>0</v>
      </c>
      <c r="N70" s="58" t="n">
        <f aca="false">M73*(1+$C$70)</f>
        <v>0</v>
      </c>
      <c r="O70" s="58" t="n">
        <f aca="false">N73*(1+$C$70)</f>
        <v>0</v>
      </c>
      <c r="P70" s="58" t="n">
        <f aca="false">O73*(1+$C$70)</f>
        <v>0</v>
      </c>
      <c r="Q70" s="58" t="n">
        <f aca="false">P73*(1+$C$70)</f>
        <v>0</v>
      </c>
      <c r="R70" s="58" t="n">
        <f aca="false">Q73*(1+$C$70)</f>
        <v>0</v>
      </c>
      <c r="S70" s="58" t="n">
        <f aca="false">R73*(1+$C$70)</f>
        <v>0</v>
      </c>
      <c r="T70" s="58" t="n">
        <f aca="false">S73*(1+$C$70)</f>
        <v>0</v>
      </c>
      <c r="U70" s="58" t="n">
        <f aca="false">T73*(1+$C$70)</f>
        <v>0</v>
      </c>
      <c r="V70" s="58" t="n">
        <f aca="false">U73*(1+$C$70)</f>
        <v>0</v>
      </c>
      <c r="W70" s="58" t="n">
        <f aca="false">V73*(1+$C$70)</f>
        <v>0</v>
      </c>
      <c r="X70" s="58" t="n">
        <f aca="false">W73*(1+$C$70)</f>
        <v>0</v>
      </c>
      <c r="Y70" s="58" t="n">
        <f aca="false">X73*(1+$C$70)</f>
        <v>0</v>
      </c>
      <c r="Z70" s="58" t="n">
        <f aca="false">Y73*(1+$C$70)</f>
        <v>0</v>
      </c>
      <c r="AA70" s="58" t="n">
        <f aca="false">Z73*(1+$C$70)</f>
        <v>0</v>
      </c>
      <c r="AB70" s="58" t="n">
        <f aca="false">AA73*(1+$C$70)</f>
        <v>0</v>
      </c>
      <c r="AC70" s="58" t="n">
        <f aca="false">AB73*(1+$C$70)</f>
        <v>0</v>
      </c>
      <c r="AD70" s="58" t="n">
        <f aca="false">AC73*(1+$C$70)</f>
        <v>0</v>
      </c>
      <c r="AE70" s="58" t="n">
        <f aca="false">AD73*(1+$C$70)</f>
        <v>0</v>
      </c>
      <c r="AF70" s="58" t="n">
        <f aca="false">AE73*(1+$C$70)</f>
        <v>0</v>
      </c>
      <c r="AG70" s="58" t="n">
        <f aca="false">AF73*(1+$C$70)</f>
        <v>0</v>
      </c>
      <c r="AH70" s="58" t="n">
        <f aca="false">AG73*(1+$C$70)</f>
        <v>0</v>
      </c>
      <c r="AI70" s="58" t="n">
        <f aca="false">AH73*(1+$C$70)</f>
        <v>0</v>
      </c>
      <c r="AJ70" s="58" t="n">
        <f aca="false">AI73*(1+$C$70)</f>
        <v>0</v>
      </c>
      <c r="AK70" s="58" t="n">
        <f aca="false">AJ73*(1+$C$70)</f>
        <v>0</v>
      </c>
      <c r="AL70" s="58" t="n">
        <f aca="false">AK73*(1+$C$70)</f>
        <v>0</v>
      </c>
      <c r="AM70" s="58" t="n">
        <f aca="false">AL73*(1+$C$70)</f>
        <v>0</v>
      </c>
      <c r="AN70" s="58" t="n">
        <f aca="false">AM73*(1+$C$70)</f>
        <v>0</v>
      </c>
      <c r="AO70" s="58" t="n">
        <f aca="false">AN73*(1+$C$70)</f>
        <v>0</v>
      </c>
      <c r="AP70" s="58" t="n">
        <f aca="false">AO73*(1+$C$70)</f>
        <v>0</v>
      </c>
      <c r="AQ70" s="58" t="n">
        <f aca="false">AP73*(1+$C$70)</f>
        <v>0</v>
      </c>
      <c r="AR70" s="58" t="n">
        <f aca="false">AQ73*(1+$C$70)</f>
        <v>0</v>
      </c>
      <c r="AS70" s="58" t="n">
        <f aca="false">AR73*(1+$C$70)</f>
        <v>0</v>
      </c>
      <c r="AT70" s="58" t="n">
        <f aca="false">AS73*(1+$C$70)</f>
        <v>0</v>
      </c>
      <c r="AU70" s="58" t="n">
        <f aca="false">AT73*(1+$C$70)</f>
        <v>0</v>
      </c>
      <c r="AV70" s="58" t="n">
        <f aca="false">AU73*(1+$C$70)</f>
        <v>0</v>
      </c>
      <c r="AW70" s="58" t="n">
        <f aca="false">AV73*(1+$C$70)</f>
        <v>0</v>
      </c>
      <c r="AX70" s="58" t="n">
        <f aca="false">AW73*(1+$C$70)</f>
        <v>0</v>
      </c>
      <c r="AY70" s="58" t="n">
        <f aca="false">AX73*(1+$C$70)</f>
        <v>0</v>
      </c>
      <c r="AZ70" s="58" t="n">
        <f aca="false">AY73*(1+$C$70)</f>
        <v>0</v>
      </c>
      <c r="BA70" s="58" t="n">
        <f aca="false">AZ73*(1+$C$70)</f>
        <v>0</v>
      </c>
      <c r="BB70" s="58" t="n">
        <f aca="false">BA73*(1+$C$70)</f>
        <v>0</v>
      </c>
      <c r="BC70" s="58" t="n">
        <f aca="false">BB73*(1+$C$70)</f>
        <v>0</v>
      </c>
      <c r="BD70" s="58" t="n">
        <f aca="false">BC73*(1+$C$70)</f>
        <v>0</v>
      </c>
      <c r="BE70" s="58" t="n">
        <f aca="false">BD73*(1+$C$70)</f>
        <v>0</v>
      </c>
      <c r="BF70" s="58" t="n">
        <f aca="false">BE73*(1+$C$70)</f>
        <v>0</v>
      </c>
      <c r="BG70" s="58" t="n">
        <f aca="false">BF73*(1+$C$70)</f>
        <v>0</v>
      </c>
      <c r="BH70" s="58" t="n">
        <f aca="false">BG73*(1+$C$70)</f>
        <v>0</v>
      </c>
      <c r="BI70" s="58" t="n">
        <f aca="false">BH73*(1+$C$70)</f>
        <v>0</v>
      </c>
      <c r="BJ70" s="58" t="n">
        <f aca="false">BI73*(1+$C$70)</f>
        <v>0</v>
      </c>
      <c r="BK70" s="58" t="n">
        <f aca="false">BJ73*(1+$C$70)</f>
        <v>0</v>
      </c>
      <c r="BL70" s="58" t="n">
        <f aca="false">BK73*(1+$C$70)</f>
        <v>0</v>
      </c>
      <c r="BM70" s="58" t="n">
        <f aca="false">BL73*(1+$C$70)</f>
        <v>0</v>
      </c>
      <c r="BN70" s="58" t="n">
        <f aca="false">BM73*(1+$C$70)</f>
        <v>0</v>
      </c>
      <c r="BO70" s="58" t="n">
        <f aca="false">BN73*(1+$C$70)</f>
        <v>0</v>
      </c>
      <c r="BP70" s="58" t="n">
        <f aca="false">BO73*(1+$C$70)</f>
        <v>0</v>
      </c>
      <c r="BQ70" s="58" t="n">
        <f aca="false">BP73*(1+$C$70)</f>
        <v>0</v>
      </c>
      <c r="BR70" s="58" t="n">
        <f aca="false">BQ73*(1+$C$70)</f>
        <v>0</v>
      </c>
      <c r="BS70" s="58" t="n">
        <f aca="false">BR73*(1+$C$70)</f>
        <v>0</v>
      </c>
      <c r="BT70" s="58" t="n">
        <f aca="false">BS73*(1+$C$70)</f>
        <v>0</v>
      </c>
      <c r="BU70" s="58" t="n">
        <f aca="false">BT73*(1+$C$70)</f>
        <v>0</v>
      </c>
      <c r="BV70" s="58" t="n">
        <f aca="false">BU73*(1+$C$70)</f>
        <v>0</v>
      </c>
      <c r="BW70" s="58" t="n">
        <f aca="false">BV73*(1+$C$70)</f>
        <v>0</v>
      </c>
      <c r="BX70" s="58" t="n">
        <f aca="false">BW73*(1+$C$70)</f>
        <v>0</v>
      </c>
      <c r="BY70" s="58" t="n">
        <f aca="false">BX73*(1+$C$70)</f>
        <v>0</v>
      </c>
      <c r="BZ70" s="58" t="n">
        <f aca="false">BY73*(1+$C$70)</f>
        <v>0</v>
      </c>
      <c r="CA70" s="58" t="n">
        <f aca="false">BZ73*(1+$C$70)</f>
        <v>0</v>
      </c>
      <c r="CB70" s="58" t="n">
        <f aca="false">CA73*(1+$C$70)</f>
        <v>0</v>
      </c>
      <c r="CC70" s="58" t="n">
        <f aca="false">CB73*(1+$C$70)</f>
        <v>0</v>
      </c>
      <c r="CD70" s="58" t="n">
        <f aca="false">CC73*(1+$C$70)</f>
        <v>0</v>
      </c>
      <c r="CE70" s="58" t="n">
        <f aca="false">CD73*(1+$C$70)</f>
        <v>0</v>
      </c>
      <c r="CF70" s="58" t="n">
        <f aca="false">CE73*(1+$C$70)</f>
        <v>0</v>
      </c>
      <c r="CG70" s="58" t="n">
        <f aca="false">CF73*(1+$C$70)</f>
        <v>0</v>
      </c>
      <c r="CH70" s="58" t="n">
        <f aca="false">CG73*(1+$C$70)</f>
        <v>0</v>
      </c>
      <c r="CI70" s="58" t="n">
        <f aca="false">CH73*(1+$C$70)</f>
        <v>0</v>
      </c>
      <c r="CJ70" s="58" t="n">
        <f aca="false">CI73*(1+$C$70)</f>
        <v>0</v>
      </c>
      <c r="CK70" s="58" t="n">
        <f aca="false">CJ73*(1+$C$70)</f>
        <v>0</v>
      </c>
      <c r="CL70" s="58" t="n">
        <f aca="false">CK73*(1+$C$70)</f>
        <v>0</v>
      </c>
      <c r="CM70" s="58" t="n">
        <f aca="false">CL73*(1+$C$70)</f>
        <v>0</v>
      </c>
      <c r="CN70" s="58" t="n">
        <f aca="false">CM73*(1+$C$70)</f>
        <v>0</v>
      </c>
      <c r="CO70" s="58" t="n">
        <f aca="false">CN73*(1+$C$70)</f>
        <v>0</v>
      </c>
      <c r="CP70" s="58" t="n">
        <f aca="false">CO73*(1+$C$70)</f>
        <v>0</v>
      </c>
      <c r="CQ70" s="58" t="n">
        <f aca="false">CP73*(1+$C$70)</f>
        <v>0</v>
      </c>
      <c r="CR70" s="58" t="n">
        <f aca="false">CQ73*(1+$C$70)</f>
        <v>0</v>
      </c>
      <c r="CS70" s="58" t="n">
        <f aca="false">CR73*(1+$C$70)</f>
        <v>0</v>
      </c>
      <c r="CT70" s="58" t="n">
        <f aca="false">CS73*(1+$C$70)</f>
        <v>0</v>
      </c>
      <c r="CU70" s="58" t="n">
        <f aca="false">CT73*(1+$C$70)</f>
        <v>0</v>
      </c>
      <c r="CV70" s="58" t="n">
        <f aca="false">CU73*(1+$C$70)</f>
        <v>0</v>
      </c>
      <c r="CW70" s="58" t="n">
        <f aca="false">CV73*(1+$C$70)</f>
        <v>0</v>
      </c>
      <c r="CX70" s="58" t="n">
        <f aca="false">CW73*(1+$C$70)</f>
        <v>0</v>
      </c>
      <c r="CY70" s="58" t="n">
        <f aca="false">CX73*(1+$C$70)</f>
        <v>0</v>
      </c>
      <c r="CZ70" s="58" t="n">
        <f aca="false">CY73*(1+$C$70)</f>
        <v>0</v>
      </c>
      <c r="DA70" s="58" t="n">
        <f aca="false">CZ73*(1+$C$70)</f>
        <v>0</v>
      </c>
      <c r="DB70" s="58" t="n">
        <f aca="false">DA73*(1+$C$70)</f>
        <v>0</v>
      </c>
      <c r="DC70" s="58" t="n">
        <f aca="false">DB73*(1+$C$70)</f>
        <v>0</v>
      </c>
      <c r="DD70" s="58" t="n">
        <f aca="false">DC73*(1+$C$70)</f>
        <v>0</v>
      </c>
      <c r="DE70" s="58" t="n">
        <f aca="false">DD73*(1+$C$70)</f>
        <v>0</v>
      </c>
      <c r="DF70" s="58" t="n">
        <f aca="false">DE73*(1+$C$70)</f>
        <v>0</v>
      </c>
      <c r="DG70" s="58" t="n">
        <f aca="false">DF73*(1+$C$70)</f>
        <v>0</v>
      </c>
      <c r="DH70" s="58" t="n">
        <f aca="false">DG73*(1+$C$70)</f>
        <v>0</v>
      </c>
      <c r="DI70" s="58" t="n">
        <f aca="false">DH73*(1+$C$70)</f>
        <v>0</v>
      </c>
      <c r="DJ70" s="58" t="n">
        <f aca="false">DI73*(1+$C$70)</f>
        <v>0</v>
      </c>
      <c r="DK70" s="58" t="n">
        <f aca="false">DJ73*(1+$C$70)</f>
        <v>0</v>
      </c>
      <c r="DL70" s="58" t="n">
        <f aca="false">DK73*(1+$C$70)</f>
        <v>0</v>
      </c>
      <c r="DM70" s="58" t="n">
        <f aca="false">DL73*(1+$C$70)</f>
        <v>0</v>
      </c>
      <c r="DN70" s="58" t="n">
        <f aca="false">DM73*(1+$C$70)</f>
        <v>0</v>
      </c>
      <c r="DO70" s="58" t="n">
        <f aca="false">DN73*(1+$C$70)</f>
        <v>0</v>
      </c>
      <c r="DP70" s="58" t="n">
        <f aca="false">DO73*(1+$C$70)</f>
        <v>0</v>
      </c>
      <c r="DQ70" s="58" t="n">
        <f aca="false">DP73*(1+$C$70)</f>
        <v>0</v>
      </c>
      <c r="DR70" s="58" t="n">
        <f aca="false">DQ73*(1+$C$70)</f>
        <v>0</v>
      </c>
      <c r="DS70" s="58" t="n">
        <f aca="false">DR73*(1+$C$70)</f>
        <v>0</v>
      </c>
      <c r="DT70" s="58" t="n">
        <f aca="false">DS73*(1+$C$70)</f>
        <v>0</v>
      </c>
    </row>
    <row r="71" customFormat="false" ht="15" hidden="false" customHeight="false" outlineLevel="0" collapsed="false">
      <c r="B71" s="17" t="s">
        <v>381</v>
      </c>
      <c r="C71" s="99" t="n">
        <f aca="false">IF(C69=0,0,N(INDEX($F$13:$F$20,C69)))</f>
        <v>0</v>
      </c>
      <c r="E71" s="58" t="n">
        <f aca="false">MIN($C$71,E70)</f>
        <v>0</v>
      </c>
      <c r="F71" s="58" t="n">
        <f aca="false">MIN($C$71,F70)</f>
        <v>0</v>
      </c>
      <c r="G71" s="58" t="n">
        <f aca="false">MIN($C$71,G70)</f>
        <v>0</v>
      </c>
      <c r="H71" s="58" t="n">
        <f aca="false">MIN($C$71,H70)</f>
        <v>0</v>
      </c>
      <c r="I71" s="58" t="n">
        <f aca="false">MIN($C$71,I70)</f>
        <v>0</v>
      </c>
      <c r="J71" s="58" t="n">
        <f aca="false">MIN($C$71,J70)</f>
        <v>0</v>
      </c>
      <c r="K71" s="58" t="n">
        <f aca="false">MIN($C$71,K70)</f>
        <v>0</v>
      </c>
      <c r="L71" s="58" t="n">
        <f aca="false">MIN($C$71,L70)</f>
        <v>0</v>
      </c>
      <c r="M71" s="58" t="n">
        <f aca="false">MIN($C$71,M70)</f>
        <v>0</v>
      </c>
      <c r="N71" s="58" t="n">
        <f aca="false">MIN($C$71,N70)</f>
        <v>0</v>
      </c>
      <c r="O71" s="58" t="n">
        <f aca="false">MIN($C$71,O70)</f>
        <v>0</v>
      </c>
      <c r="P71" s="58" t="n">
        <f aca="false">MIN($C$71,P70)</f>
        <v>0</v>
      </c>
      <c r="Q71" s="58" t="n">
        <f aca="false">MIN($C$71,Q70)</f>
        <v>0</v>
      </c>
      <c r="R71" s="58" t="n">
        <f aca="false">MIN($C$71,R70)</f>
        <v>0</v>
      </c>
      <c r="S71" s="58" t="n">
        <f aca="false">MIN($C$71,S70)</f>
        <v>0</v>
      </c>
      <c r="T71" s="58" t="n">
        <f aca="false">MIN($C$71,T70)</f>
        <v>0</v>
      </c>
      <c r="U71" s="58" t="n">
        <f aca="false">MIN($C$71,U70)</f>
        <v>0</v>
      </c>
      <c r="V71" s="58" t="n">
        <f aca="false">MIN($C$71,V70)</f>
        <v>0</v>
      </c>
      <c r="W71" s="58" t="n">
        <f aca="false">MIN($C$71,W70)</f>
        <v>0</v>
      </c>
      <c r="X71" s="58" t="n">
        <f aca="false">MIN($C$71,X70)</f>
        <v>0</v>
      </c>
      <c r="Y71" s="58" t="n">
        <f aca="false">MIN($C$71,Y70)</f>
        <v>0</v>
      </c>
      <c r="Z71" s="58" t="n">
        <f aca="false">MIN($C$71,Z70)</f>
        <v>0</v>
      </c>
      <c r="AA71" s="58" t="n">
        <f aca="false">MIN($C$71,AA70)</f>
        <v>0</v>
      </c>
      <c r="AB71" s="58" t="n">
        <f aca="false">MIN($C$71,AB70)</f>
        <v>0</v>
      </c>
      <c r="AC71" s="58" t="n">
        <f aca="false">MIN($C$71,AC70)</f>
        <v>0</v>
      </c>
      <c r="AD71" s="58" t="n">
        <f aca="false">MIN($C$71,AD70)</f>
        <v>0</v>
      </c>
      <c r="AE71" s="58" t="n">
        <f aca="false">MIN($C$71,AE70)</f>
        <v>0</v>
      </c>
      <c r="AF71" s="58" t="n">
        <f aca="false">MIN($C$71,AF70)</f>
        <v>0</v>
      </c>
      <c r="AG71" s="58" t="n">
        <f aca="false">MIN($C$71,AG70)</f>
        <v>0</v>
      </c>
      <c r="AH71" s="58" t="n">
        <f aca="false">MIN($C$71,AH70)</f>
        <v>0</v>
      </c>
      <c r="AI71" s="58" t="n">
        <f aca="false">MIN($C$71,AI70)</f>
        <v>0</v>
      </c>
      <c r="AJ71" s="58" t="n">
        <f aca="false">MIN($C$71,AJ70)</f>
        <v>0</v>
      </c>
      <c r="AK71" s="58" t="n">
        <f aca="false">MIN($C$71,AK70)</f>
        <v>0</v>
      </c>
      <c r="AL71" s="58" t="n">
        <f aca="false">MIN($C$71,AL70)</f>
        <v>0</v>
      </c>
      <c r="AM71" s="58" t="n">
        <f aca="false">MIN($C$71,AM70)</f>
        <v>0</v>
      </c>
      <c r="AN71" s="58" t="n">
        <f aca="false">MIN($C$71,AN70)</f>
        <v>0</v>
      </c>
      <c r="AO71" s="58" t="n">
        <f aca="false">MIN($C$71,AO70)</f>
        <v>0</v>
      </c>
      <c r="AP71" s="58" t="n">
        <f aca="false">MIN($C$71,AP70)</f>
        <v>0</v>
      </c>
      <c r="AQ71" s="58" t="n">
        <f aca="false">MIN($C$71,AQ70)</f>
        <v>0</v>
      </c>
      <c r="AR71" s="58" t="n">
        <f aca="false">MIN($C$71,AR70)</f>
        <v>0</v>
      </c>
      <c r="AS71" s="58" t="n">
        <f aca="false">MIN($C$71,AS70)</f>
        <v>0</v>
      </c>
      <c r="AT71" s="58" t="n">
        <f aca="false">MIN($C$71,AT70)</f>
        <v>0</v>
      </c>
      <c r="AU71" s="58" t="n">
        <f aca="false">MIN($C$71,AU70)</f>
        <v>0</v>
      </c>
      <c r="AV71" s="58" t="n">
        <f aca="false">MIN($C$71,AV70)</f>
        <v>0</v>
      </c>
      <c r="AW71" s="58" t="n">
        <f aca="false">MIN($C$71,AW70)</f>
        <v>0</v>
      </c>
      <c r="AX71" s="58" t="n">
        <f aca="false">MIN($C$71,AX70)</f>
        <v>0</v>
      </c>
      <c r="AY71" s="58" t="n">
        <f aca="false">MIN($C$71,AY70)</f>
        <v>0</v>
      </c>
      <c r="AZ71" s="58" t="n">
        <f aca="false">MIN($C$71,AZ70)</f>
        <v>0</v>
      </c>
      <c r="BA71" s="58" t="n">
        <f aca="false">MIN($C$71,BA70)</f>
        <v>0</v>
      </c>
      <c r="BB71" s="58" t="n">
        <f aca="false">MIN($C$71,BB70)</f>
        <v>0</v>
      </c>
      <c r="BC71" s="58" t="n">
        <f aca="false">MIN($C$71,BC70)</f>
        <v>0</v>
      </c>
      <c r="BD71" s="58" t="n">
        <f aca="false">MIN($C$71,BD70)</f>
        <v>0</v>
      </c>
      <c r="BE71" s="58" t="n">
        <f aca="false">MIN($C$71,BE70)</f>
        <v>0</v>
      </c>
      <c r="BF71" s="58" t="n">
        <f aca="false">MIN($C$71,BF70)</f>
        <v>0</v>
      </c>
      <c r="BG71" s="58" t="n">
        <f aca="false">MIN($C$71,BG70)</f>
        <v>0</v>
      </c>
      <c r="BH71" s="58" t="n">
        <f aca="false">MIN($C$71,BH70)</f>
        <v>0</v>
      </c>
      <c r="BI71" s="58" t="n">
        <f aca="false">MIN($C$71,BI70)</f>
        <v>0</v>
      </c>
      <c r="BJ71" s="58" t="n">
        <f aca="false">MIN($C$71,BJ70)</f>
        <v>0</v>
      </c>
      <c r="BK71" s="58" t="n">
        <f aca="false">MIN($C$71,BK70)</f>
        <v>0</v>
      </c>
      <c r="BL71" s="58" t="n">
        <f aca="false">MIN($C$71,BL70)</f>
        <v>0</v>
      </c>
      <c r="BM71" s="58" t="n">
        <f aca="false">MIN($C$71,BM70)</f>
        <v>0</v>
      </c>
      <c r="BN71" s="58" t="n">
        <f aca="false">MIN($C$71,BN70)</f>
        <v>0</v>
      </c>
      <c r="BO71" s="58" t="n">
        <f aca="false">MIN($C$71,BO70)</f>
        <v>0</v>
      </c>
      <c r="BP71" s="58" t="n">
        <f aca="false">MIN($C$71,BP70)</f>
        <v>0</v>
      </c>
      <c r="BQ71" s="58" t="n">
        <f aca="false">MIN($C$71,BQ70)</f>
        <v>0</v>
      </c>
      <c r="BR71" s="58" t="n">
        <f aca="false">MIN($C$71,BR70)</f>
        <v>0</v>
      </c>
      <c r="BS71" s="58" t="n">
        <f aca="false">MIN($C$71,BS70)</f>
        <v>0</v>
      </c>
      <c r="BT71" s="58" t="n">
        <f aca="false">MIN($C$71,BT70)</f>
        <v>0</v>
      </c>
      <c r="BU71" s="58" t="n">
        <f aca="false">MIN($C$71,BU70)</f>
        <v>0</v>
      </c>
      <c r="BV71" s="58" t="n">
        <f aca="false">MIN($C$71,BV70)</f>
        <v>0</v>
      </c>
      <c r="BW71" s="58" t="n">
        <f aca="false">MIN($C$71,BW70)</f>
        <v>0</v>
      </c>
      <c r="BX71" s="58" t="n">
        <f aca="false">MIN($C$71,BX70)</f>
        <v>0</v>
      </c>
      <c r="BY71" s="58" t="n">
        <f aca="false">MIN($C$71,BY70)</f>
        <v>0</v>
      </c>
      <c r="BZ71" s="58" t="n">
        <f aca="false">MIN($C$71,BZ70)</f>
        <v>0</v>
      </c>
      <c r="CA71" s="58" t="n">
        <f aca="false">MIN($C$71,CA70)</f>
        <v>0</v>
      </c>
      <c r="CB71" s="58" t="n">
        <f aca="false">MIN($C$71,CB70)</f>
        <v>0</v>
      </c>
      <c r="CC71" s="58" t="n">
        <f aca="false">MIN($C$71,CC70)</f>
        <v>0</v>
      </c>
      <c r="CD71" s="58" t="n">
        <f aca="false">MIN($C$71,CD70)</f>
        <v>0</v>
      </c>
      <c r="CE71" s="58" t="n">
        <f aca="false">MIN($C$71,CE70)</f>
        <v>0</v>
      </c>
      <c r="CF71" s="58" t="n">
        <f aca="false">MIN($C$71,CF70)</f>
        <v>0</v>
      </c>
      <c r="CG71" s="58" t="n">
        <f aca="false">MIN($C$71,CG70)</f>
        <v>0</v>
      </c>
      <c r="CH71" s="58" t="n">
        <f aca="false">MIN($C$71,CH70)</f>
        <v>0</v>
      </c>
      <c r="CI71" s="58" t="n">
        <f aca="false">MIN($C$71,CI70)</f>
        <v>0</v>
      </c>
      <c r="CJ71" s="58" t="n">
        <f aca="false">MIN($C$71,CJ70)</f>
        <v>0</v>
      </c>
      <c r="CK71" s="58" t="n">
        <f aca="false">MIN($C$71,CK70)</f>
        <v>0</v>
      </c>
      <c r="CL71" s="58" t="n">
        <f aca="false">MIN($C$71,CL70)</f>
        <v>0</v>
      </c>
      <c r="CM71" s="58" t="n">
        <f aca="false">MIN($C$71,CM70)</f>
        <v>0</v>
      </c>
      <c r="CN71" s="58" t="n">
        <f aca="false">MIN($C$71,CN70)</f>
        <v>0</v>
      </c>
      <c r="CO71" s="58" t="n">
        <f aca="false">MIN($C$71,CO70)</f>
        <v>0</v>
      </c>
      <c r="CP71" s="58" t="n">
        <f aca="false">MIN($C$71,CP70)</f>
        <v>0</v>
      </c>
      <c r="CQ71" s="58" t="n">
        <f aca="false">MIN($C$71,CQ70)</f>
        <v>0</v>
      </c>
      <c r="CR71" s="58" t="n">
        <f aca="false">MIN($C$71,CR70)</f>
        <v>0</v>
      </c>
      <c r="CS71" s="58" t="n">
        <f aca="false">MIN($C$71,CS70)</f>
        <v>0</v>
      </c>
      <c r="CT71" s="58" t="n">
        <f aca="false">MIN($C$71,CT70)</f>
        <v>0</v>
      </c>
      <c r="CU71" s="58" t="n">
        <f aca="false">MIN($C$71,CU70)</f>
        <v>0</v>
      </c>
      <c r="CV71" s="58" t="n">
        <f aca="false">MIN($C$71,CV70)</f>
        <v>0</v>
      </c>
      <c r="CW71" s="58" t="n">
        <f aca="false">MIN($C$71,CW70)</f>
        <v>0</v>
      </c>
      <c r="CX71" s="58" t="n">
        <f aca="false">MIN($C$71,CX70)</f>
        <v>0</v>
      </c>
      <c r="CY71" s="58" t="n">
        <f aca="false">MIN($C$71,CY70)</f>
        <v>0</v>
      </c>
      <c r="CZ71" s="58" t="n">
        <f aca="false">MIN($C$71,CZ70)</f>
        <v>0</v>
      </c>
      <c r="DA71" s="58" t="n">
        <f aca="false">MIN($C$71,DA70)</f>
        <v>0</v>
      </c>
      <c r="DB71" s="58" t="n">
        <f aca="false">MIN($C$71,DB70)</f>
        <v>0</v>
      </c>
      <c r="DC71" s="58" t="n">
        <f aca="false">MIN($C$71,DC70)</f>
        <v>0</v>
      </c>
      <c r="DD71" s="58" t="n">
        <f aca="false">MIN($C$71,DD70)</f>
        <v>0</v>
      </c>
      <c r="DE71" s="58" t="n">
        <f aca="false">MIN($C$71,DE70)</f>
        <v>0</v>
      </c>
      <c r="DF71" s="58" t="n">
        <f aca="false">MIN($C$71,DF70)</f>
        <v>0</v>
      </c>
      <c r="DG71" s="58" t="n">
        <f aca="false">MIN($C$71,DG70)</f>
        <v>0</v>
      </c>
      <c r="DH71" s="58" t="n">
        <f aca="false">MIN($C$71,DH70)</f>
        <v>0</v>
      </c>
      <c r="DI71" s="58" t="n">
        <f aca="false">MIN($C$71,DI70)</f>
        <v>0</v>
      </c>
      <c r="DJ71" s="58" t="n">
        <f aca="false">MIN($C$71,DJ70)</f>
        <v>0</v>
      </c>
      <c r="DK71" s="58" t="n">
        <f aca="false">MIN($C$71,DK70)</f>
        <v>0</v>
      </c>
      <c r="DL71" s="58" t="n">
        <f aca="false">MIN($C$71,DL70)</f>
        <v>0</v>
      </c>
      <c r="DM71" s="58" t="n">
        <f aca="false">MIN($C$71,DM70)</f>
        <v>0</v>
      </c>
      <c r="DN71" s="58" t="n">
        <f aca="false">MIN($C$71,DN70)</f>
        <v>0</v>
      </c>
      <c r="DO71" s="58" t="n">
        <f aca="false">MIN($C$71,DO70)</f>
        <v>0</v>
      </c>
      <c r="DP71" s="58" t="n">
        <f aca="false">MIN($C$71,DP70)</f>
        <v>0</v>
      </c>
      <c r="DQ71" s="58" t="n">
        <f aca="false">MIN($C$71,DQ70)</f>
        <v>0</v>
      </c>
      <c r="DR71" s="58" t="n">
        <f aca="false">MIN($C$71,DR70)</f>
        <v>0</v>
      </c>
      <c r="DS71" s="58" t="n">
        <f aca="false">MIN($C$71,DS70)</f>
        <v>0</v>
      </c>
      <c r="DT71" s="58" t="n">
        <f aca="false">MIN($C$71,DT70)</f>
        <v>0</v>
      </c>
    </row>
    <row r="72" customFormat="false" ht="15" hidden="false" customHeight="false" outlineLevel="0" collapsed="false">
      <c r="B72" s="17" t="s">
        <v>382</v>
      </c>
      <c r="C72" s="96" t="n">
        <f aca="false">IF(C69=0,0,IF(INDEX($G$13:$G$20,C69)="No",0,1))</f>
        <v>0</v>
      </c>
      <c r="D72" s="100" t="str">
        <f aca="false">IF(C69=0,"",IF(N(INDEX($H$13:$H$20,C69))=0,"",INDEX($H$13:$H$20,C69)))</f>
        <v/>
      </c>
      <c r="E72" s="58" t="n">
        <f aca="false">IF(AND($C$72=1,OR($D$72="",E$29&gt;=$D$72)),MAX(0,MIN(E70-E71,E$31-(E36+E42+E48+E54+E60+E66))),0)</f>
        <v>0</v>
      </c>
      <c r="F72" s="58" t="n">
        <f aca="false">IF(AND($C$72=1,OR($D$72="",F$29&gt;=$D$72)),MAX(0,MIN(F70-F71,F$31-(F36+F42+F48+F54+F60+F66))),0)</f>
        <v>0</v>
      </c>
      <c r="G72" s="58" t="n">
        <f aca="false">IF(AND($C$72=1,OR($D$72="",G$29&gt;=$D$72)),MAX(0,MIN(G70-G71,G$31-(G36+G42+G48+G54+G60+G66))),0)</f>
        <v>0</v>
      </c>
      <c r="H72" s="58" t="n">
        <f aca="false">IF(AND($C$72=1,OR($D$72="",H$29&gt;=$D$72)),MAX(0,MIN(H70-H71,H$31-(H36+H42+H48+H54+H60+H66))),0)</f>
        <v>0</v>
      </c>
      <c r="I72" s="58" t="n">
        <f aca="false">IF(AND($C$72=1,OR($D$72="",I$29&gt;=$D$72)),MAX(0,MIN(I70-I71,I$31-(I36+I42+I48+I54+I60+I66))),0)</f>
        <v>0</v>
      </c>
      <c r="J72" s="58" t="n">
        <f aca="false">IF(AND($C$72=1,OR($D$72="",J$29&gt;=$D$72)),MAX(0,MIN(J70-J71,J$31-(J36+J42+J48+J54+J60+J66))),0)</f>
        <v>0</v>
      </c>
      <c r="K72" s="58" t="n">
        <f aca="false">IF(AND($C$72=1,OR($D$72="",K$29&gt;=$D$72)),MAX(0,MIN(K70-K71,K$31-(K36+K42+K48+K54+K60+K66))),0)</f>
        <v>0</v>
      </c>
      <c r="L72" s="58" t="n">
        <f aca="false">IF(AND($C$72=1,OR($D$72="",L$29&gt;=$D$72)),MAX(0,MIN(L70-L71,L$31-(L36+L42+L48+L54+L60+L66))),0)</f>
        <v>0</v>
      </c>
      <c r="M72" s="58" t="n">
        <f aca="false">IF(AND($C$72=1,OR($D$72="",M$29&gt;=$D$72)),MAX(0,MIN(M70-M71,M$31-(M36+M42+M48+M54+M60+M66))),0)</f>
        <v>0</v>
      </c>
      <c r="N72" s="58" t="n">
        <f aca="false">IF(AND($C$72=1,OR($D$72="",N$29&gt;=$D$72)),MAX(0,MIN(N70-N71,N$31-(N36+N42+N48+N54+N60+N66))),0)</f>
        <v>0</v>
      </c>
      <c r="O72" s="58" t="n">
        <f aca="false">IF(AND($C$72=1,OR($D$72="",O$29&gt;=$D$72)),MAX(0,MIN(O70-O71,O$31-(O36+O42+O48+O54+O60+O66))),0)</f>
        <v>0</v>
      </c>
      <c r="P72" s="58" t="n">
        <f aca="false">IF(AND($C$72=1,OR($D$72="",P$29&gt;=$D$72)),MAX(0,MIN(P70-P71,P$31-(P36+P42+P48+P54+P60+P66))),0)</f>
        <v>0</v>
      </c>
      <c r="Q72" s="58" t="n">
        <f aca="false">IF(AND($C$72=1,OR($D$72="",Q$29&gt;=$D$72)),MAX(0,MIN(Q70-Q71,Q$31-(Q36+Q42+Q48+Q54+Q60+Q66))),0)</f>
        <v>0</v>
      </c>
      <c r="R72" s="58" t="n">
        <f aca="false">IF(AND($C$72=1,OR($D$72="",R$29&gt;=$D$72)),MAX(0,MIN(R70-R71,R$31-(R36+R42+R48+R54+R60+R66))),0)</f>
        <v>0</v>
      </c>
      <c r="S72" s="58" t="n">
        <f aca="false">IF(AND($C$72=1,OR($D$72="",S$29&gt;=$D$72)),MAX(0,MIN(S70-S71,S$31-(S36+S42+S48+S54+S60+S66))),0)</f>
        <v>0</v>
      </c>
      <c r="T72" s="58" t="n">
        <f aca="false">IF(AND($C$72=1,OR($D$72="",T$29&gt;=$D$72)),MAX(0,MIN(T70-T71,T$31-(T36+T42+T48+T54+T60+T66))),0)</f>
        <v>0</v>
      </c>
      <c r="U72" s="58" t="n">
        <f aca="false">IF(AND($C$72=1,OR($D$72="",U$29&gt;=$D$72)),MAX(0,MIN(U70-U71,U$31-(U36+U42+U48+U54+U60+U66))),0)</f>
        <v>0</v>
      </c>
      <c r="V72" s="58" t="n">
        <f aca="false">IF(AND($C$72=1,OR($D$72="",V$29&gt;=$D$72)),MAX(0,MIN(V70-V71,V$31-(V36+V42+V48+V54+V60+V66))),0)</f>
        <v>0</v>
      </c>
      <c r="W72" s="58" t="n">
        <f aca="false">IF(AND($C$72=1,OR($D$72="",W$29&gt;=$D$72)),MAX(0,MIN(W70-W71,W$31-(W36+W42+W48+W54+W60+W66))),0)</f>
        <v>0</v>
      </c>
      <c r="X72" s="58" t="n">
        <f aca="false">IF(AND($C$72=1,OR($D$72="",X$29&gt;=$D$72)),MAX(0,MIN(X70-X71,X$31-(X36+X42+X48+X54+X60+X66))),0)</f>
        <v>0</v>
      </c>
      <c r="Y72" s="58" t="n">
        <f aca="false">IF(AND($C$72=1,OR($D$72="",Y$29&gt;=$D$72)),MAX(0,MIN(Y70-Y71,Y$31-(Y36+Y42+Y48+Y54+Y60+Y66))),0)</f>
        <v>0</v>
      </c>
      <c r="Z72" s="58" t="n">
        <f aca="false">IF(AND($C$72=1,OR($D$72="",Z$29&gt;=$D$72)),MAX(0,MIN(Z70-Z71,Z$31-(Z36+Z42+Z48+Z54+Z60+Z66))),0)</f>
        <v>0</v>
      </c>
      <c r="AA72" s="58" t="n">
        <f aca="false">IF(AND($C$72=1,OR($D$72="",AA$29&gt;=$D$72)),MAX(0,MIN(AA70-AA71,AA$31-(AA36+AA42+AA48+AA54+AA60+AA66))),0)</f>
        <v>0</v>
      </c>
      <c r="AB72" s="58" t="n">
        <f aca="false">IF(AND($C$72=1,OR($D$72="",AB$29&gt;=$D$72)),MAX(0,MIN(AB70-AB71,AB$31-(AB36+AB42+AB48+AB54+AB60+AB66))),0)</f>
        <v>0</v>
      </c>
      <c r="AC72" s="58" t="n">
        <f aca="false">IF(AND($C$72=1,OR($D$72="",AC$29&gt;=$D$72)),MAX(0,MIN(AC70-AC71,AC$31-(AC36+AC42+AC48+AC54+AC60+AC66))),0)</f>
        <v>0</v>
      </c>
      <c r="AD72" s="58" t="n">
        <f aca="false">IF(AND($C$72=1,OR($D$72="",AD$29&gt;=$D$72)),MAX(0,MIN(AD70-AD71,AD$31-(AD36+AD42+AD48+AD54+AD60+AD66))),0)</f>
        <v>0</v>
      </c>
      <c r="AE72" s="58" t="n">
        <f aca="false">IF(AND($C$72=1,OR($D$72="",AE$29&gt;=$D$72)),MAX(0,MIN(AE70-AE71,AE$31-(AE36+AE42+AE48+AE54+AE60+AE66))),0)</f>
        <v>0</v>
      </c>
      <c r="AF72" s="58" t="n">
        <f aca="false">IF(AND($C$72=1,OR($D$72="",AF$29&gt;=$D$72)),MAX(0,MIN(AF70-AF71,AF$31-(AF36+AF42+AF48+AF54+AF60+AF66))),0)</f>
        <v>0</v>
      </c>
      <c r="AG72" s="58" t="n">
        <f aca="false">IF(AND($C$72=1,OR($D$72="",AG$29&gt;=$D$72)),MAX(0,MIN(AG70-AG71,AG$31-(AG36+AG42+AG48+AG54+AG60+AG66))),0)</f>
        <v>0</v>
      </c>
      <c r="AH72" s="58" t="n">
        <f aca="false">IF(AND($C$72=1,OR($D$72="",AH$29&gt;=$D$72)),MAX(0,MIN(AH70-AH71,AH$31-(AH36+AH42+AH48+AH54+AH60+AH66))),0)</f>
        <v>0</v>
      </c>
      <c r="AI72" s="58" t="n">
        <f aca="false">IF(AND($C$72=1,OR($D$72="",AI$29&gt;=$D$72)),MAX(0,MIN(AI70-AI71,AI$31-(AI36+AI42+AI48+AI54+AI60+AI66))),0)</f>
        <v>0</v>
      </c>
      <c r="AJ72" s="58" t="n">
        <f aca="false">IF(AND($C$72=1,OR($D$72="",AJ$29&gt;=$D$72)),MAX(0,MIN(AJ70-AJ71,AJ$31-(AJ36+AJ42+AJ48+AJ54+AJ60+AJ66))),0)</f>
        <v>0</v>
      </c>
      <c r="AK72" s="58" t="n">
        <f aca="false">IF(AND($C$72=1,OR($D$72="",AK$29&gt;=$D$72)),MAX(0,MIN(AK70-AK71,AK$31-(AK36+AK42+AK48+AK54+AK60+AK66))),0)</f>
        <v>0</v>
      </c>
      <c r="AL72" s="58" t="n">
        <f aca="false">IF(AND($C$72=1,OR($D$72="",AL$29&gt;=$D$72)),MAX(0,MIN(AL70-AL71,AL$31-(AL36+AL42+AL48+AL54+AL60+AL66))),0)</f>
        <v>0</v>
      </c>
      <c r="AM72" s="58" t="n">
        <f aca="false">IF(AND($C$72=1,OR($D$72="",AM$29&gt;=$D$72)),MAX(0,MIN(AM70-AM71,AM$31-(AM36+AM42+AM48+AM54+AM60+AM66))),0)</f>
        <v>0</v>
      </c>
      <c r="AN72" s="58" t="n">
        <f aca="false">IF(AND($C$72=1,OR($D$72="",AN$29&gt;=$D$72)),MAX(0,MIN(AN70-AN71,AN$31-(AN36+AN42+AN48+AN54+AN60+AN66))),0)</f>
        <v>0</v>
      </c>
      <c r="AO72" s="58" t="n">
        <f aca="false">IF(AND($C$72=1,OR($D$72="",AO$29&gt;=$D$72)),MAX(0,MIN(AO70-AO71,AO$31-(AO36+AO42+AO48+AO54+AO60+AO66))),0)</f>
        <v>0</v>
      </c>
      <c r="AP72" s="58" t="n">
        <f aca="false">IF(AND($C$72=1,OR($D$72="",AP$29&gt;=$D$72)),MAX(0,MIN(AP70-AP71,AP$31-(AP36+AP42+AP48+AP54+AP60+AP66))),0)</f>
        <v>0</v>
      </c>
      <c r="AQ72" s="58" t="n">
        <f aca="false">IF(AND($C$72=1,OR($D$72="",AQ$29&gt;=$D$72)),MAX(0,MIN(AQ70-AQ71,AQ$31-(AQ36+AQ42+AQ48+AQ54+AQ60+AQ66))),0)</f>
        <v>0</v>
      </c>
      <c r="AR72" s="58" t="n">
        <f aca="false">IF(AND($C$72=1,OR($D$72="",AR$29&gt;=$D$72)),MAX(0,MIN(AR70-AR71,AR$31-(AR36+AR42+AR48+AR54+AR60+AR66))),0)</f>
        <v>0</v>
      </c>
      <c r="AS72" s="58" t="n">
        <f aca="false">IF(AND($C$72=1,OR($D$72="",AS$29&gt;=$D$72)),MAX(0,MIN(AS70-AS71,AS$31-(AS36+AS42+AS48+AS54+AS60+AS66))),0)</f>
        <v>0</v>
      </c>
      <c r="AT72" s="58" t="n">
        <f aca="false">IF(AND($C$72=1,OR($D$72="",AT$29&gt;=$D$72)),MAX(0,MIN(AT70-AT71,AT$31-(AT36+AT42+AT48+AT54+AT60+AT66))),0)</f>
        <v>0</v>
      </c>
      <c r="AU72" s="58" t="n">
        <f aca="false">IF(AND($C$72=1,OR($D$72="",AU$29&gt;=$D$72)),MAX(0,MIN(AU70-AU71,AU$31-(AU36+AU42+AU48+AU54+AU60+AU66))),0)</f>
        <v>0</v>
      </c>
      <c r="AV72" s="58" t="n">
        <f aca="false">IF(AND($C$72=1,OR($D$72="",AV$29&gt;=$D$72)),MAX(0,MIN(AV70-AV71,AV$31-(AV36+AV42+AV48+AV54+AV60+AV66))),0)</f>
        <v>0</v>
      </c>
      <c r="AW72" s="58" t="n">
        <f aca="false">IF(AND($C$72=1,OR($D$72="",AW$29&gt;=$D$72)),MAX(0,MIN(AW70-AW71,AW$31-(AW36+AW42+AW48+AW54+AW60+AW66))),0)</f>
        <v>0</v>
      </c>
      <c r="AX72" s="58" t="n">
        <f aca="false">IF(AND($C$72=1,OR($D$72="",AX$29&gt;=$D$72)),MAX(0,MIN(AX70-AX71,AX$31-(AX36+AX42+AX48+AX54+AX60+AX66))),0)</f>
        <v>0</v>
      </c>
      <c r="AY72" s="58" t="n">
        <f aca="false">IF(AND($C$72=1,OR($D$72="",AY$29&gt;=$D$72)),MAX(0,MIN(AY70-AY71,AY$31-(AY36+AY42+AY48+AY54+AY60+AY66))),0)</f>
        <v>0</v>
      </c>
      <c r="AZ72" s="58" t="n">
        <f aca="false">IF(AND($C$72=1,OR($D$72="",AZ$29&gt;=$D$72)),MAX(0,MIN(AZ70-AZ71,AZ$31-(AZ36+AZ42+AZ48+AZ54+AZ60+AZ66))),0)</f>
        <v>0</v>
      </c>
      <c r="BA72" s="58" t="n">
        <f aca="false">IF(AND($C$72=1,OR($D$72="",BA$29&gt;=$D$72)),MAX(0,MIN(BA70-BA71,BA$31-(BA36+BA42+BA48+BA54+BA60+BA66))),0)</f>
        <v>0</v>
      </c>
      <c r="BB72" s="58" t="n">
        <f aca="false">IF(AND($C$72=1,OR($D$72="",BB$29&gt;=$D$72)),MAX(0,MIN(BB70-BB71,BB$31-(BB36+BB42+BB48+BB54+BB60+BB66))),0)</f>
        <v>0</v>
      </c>
      <c r="BC72" s="58" t="n">
        <f aca="false">IF(AND($C$72=1,OR($D$72="",BC$29&gt;=$D$72)),MAX(0,MIN(BC70-BC71,BC$31-(BC36+BC42+BC48+BC54+BC60+BC66))),0)</f>
        <v>0</v>
      </c>
      <c r="BD72" s="58" t="n">
        <f aca="false">IF(AND($C$72=1,OR($D$72="",BD$29&gt;=$D$72)),MAX(0,MIN(BD70-BD71,BD$31-(BD36+BD42+BD48+BD54+BD60+BD66))),0)</f>
        <v>0</v>
      </c>
      <c r="BE72" s="58" t="n">
        <f aca="false">IF(AND($C$72=1,OR($D$72="",BE$29&gt;=$D$72)),MAX(0,MIN(BE70-BE71,BE$31-(BE36+BE42+BE48+BE54+BE60+BE66))),0)</f>
        <v>0</v>
      </c>
      <c r="BF72" s="58" t="n">
        <f aca="false">IF(AND($C$72=1,OR($D$72="",BF$29&gt;=$D$72)),MAX(0,MIN(BF70-BF71,BF$31-(BF36+BF42+BF48+BF54+BF60+BF66))),0)</f>
        <v>0</v>
      </c>
      <c r="BG72" s="58" t="n">
        <f aca="false">IF(AND($C$72=1,OR($D$72="",BG$29&gt;=$D$72)),MAX(0,MIN(BG70-BG71,BG$31-(BG36+BG42+BG48+BG54+BG60+BG66))),0)</f>
        <v>0</v>
      </c>
      <c r="BH72" s="58" t="n">
        <f aca="false">IF(AND($C$72=1,OR($D$72="",BH$29&gt;=$D$72)),MAX(0,MIN(BH70-BH71,BH$31-(BH36+BH42+BH48+BH54+BH60+BH66))),0)</f>
        <v>0</v>
      </c>
      <c r="BI72" s="58" t="n">
        <f aca="false">IF(AND($C$72=1,OR($D$72="",BI$29&gt;=$D$72)),MAX(0,MIN(BI70-BI71,BI$31-(BI36+BI42+BI48+BI54+BI60+BI66))),0)</f>
        <v>0</v>
      </c>
      <c r="BJ72" s="58" t="n">
        <f aca="false">IF(AND($C$72=1,OR($D$72="",BJ$29&gt;=$D$72)),MAX(0,MIN(BJ70-BJ71,BJ$31-(BJ36+BJ42+BJ48+BJ54+BJ60+BJ66))),0)</f>
        <v>0</v>
      </c>
      <c r="BK72" s="58" t="n">
        <f aca="false">IF(AND($C$72=1,OR($D$72="",BK$29&gt;=$D$72)),MAX(0,MIN(BK70-BK71,BK$31-(BK36+BK42+BK48+BK54+BK60+BK66))),0)</f>
        <v>0</v>
      </c>
      <c r="BL72" s="58" t="n">
        <f aca="false">IF(AND($C$72=1,OR($D$72="",BL$29&gt;=$D$72)),MAX(0,MIN(BL70-BL71,BL$31-(BL36+BL42+BL48+BL54+BL60+BL66))),0)</f>
        <v>0</v>
      </c>
      <c r="BM72" s="58" t="n">
        <f aca="false">IF(AND($C$72=1,OR($D$72="",BM$29&gt;=$D$72)),MAX(0,MIN(BM70-BM71,BM$31-(BM36+BM42+BM48+BM54+BM60+BM66))),0)</f>
        <v>0</v>
      </c>
      <c r="BN72" s="58" t="n">
        <f aca="false">IF(AND($C$72=1,OR($D$72="",BN$29&gt;=$D$72)),MAX(0,MIN(BN70-BN71,BN$31-(BN36+BN42+BN48+BN54+BN60+BN66))),0)</f>
        <v>0</v>
      </c>
      <c r="BO72" s="58" t="n">
        <f aca="false">IF(AND($C$72=1,OR($D$72="",BO$29&gt;=$D$72)),MAX(0,MIN(BO70-BO71,BO$31-(BO36+BO42+BO48+BO54+BO60+BO66))),0)</f>
        <v>0</v>
      </c>
      <c r="BP72" s="58" t="n">
        <f aca="false">IF(AND($C$72=1,OR($D$72="",BP$29&gt;=$D$72)),MAX(0,MIN(BP70-BP71,BP$31-(BP36+BP42+BP48+BP54+BP60+BP66))),0)</f>
        <v>0</v>
      </c>
      <c r="BQ72" s="58" t="n">
        <f aca="false">IF(AND($C$72=1,OR($D$72="",BQ$29&gt;=$D$72)),MAX(0,MIN(BQ70-BQ71,BQ$31-(BQ36+BQ42+BQ48+BQ54+BQ60+BQ66))),0)</f>
        <v>0</v>
      </c>
      <c r="BR72" s="58" t="n">
        <f aca="false">IF(AND($C$72=1,OR($D$72="",BR$29&gt;=$D$72)),MAX(0,MIN(BR70-BR71,BR$31-(BR36+BR42+BR48+BR54+BR60+BR66))),0)</f>
        <v>0</v>
      </c>
      <c r="BS72" s="58" t="n">
        <f aca="false">IF(AND($C$72=1,OR($D$72="",BS$29&gt;=$D$72)),MAX(0,MIN(BS70-BS71,BS$31-(BS36+BS42+BS48+BS54+BS60+BS66))),0)</f>
        <v>0</v>
      </c>
      <c r="BT72" s="58" t="n">
        <f aca="false">IF(AND($C$72=1,OR($D$72="",BT$29&gt;=$D$72)),MAX(0,MIN(BT70-BT71,BT$31-(BT36+BT42+BT48+BT54+BT60+BT66))),0)</f>
        <v>0</v>
      </c>
      <c r="BU72" s="58" t="n">
        <f aca="false">IF(AND($C$72=1,OR($D$72="",BU$29&gt;=$D$72)),MAX(0,MIN(BU70-BU71,BU$31-(BU36+BU42+BU48+BU54+BU60+BU66))),0)</f>
        <v>0</v>
      </c>
      <c r="BV72" s="58" t="n">
        <f aca="false">IF(AND($C$72=1,OR($D$72="",BV$29&gt;=$D$72)),MAX(0,MIN(BV70-BV71,BV$31-(BV36+BV42+BV48+BV54+BV60+BV66))),0)</f>
        <v>0</v>
      </c>
      <c r="BW72" s="58" t="n">
        <f aca="false">IF(AND($C$72=1,OR($D$72="",BW$29&gt;=$D$72)),MAX(0,MIN(BW70-BW71,BW$31-(BW36+BW42+BW48+BW54+BW60+BW66))),0)</f>
        <v>0</v>
      </c>
      <c r="BX72" s="58" t="n">
        <f aca="false">IF(AND($C$72=1,OR($D$72="",BX$29&gt;=$D$72)),MAX(0,MIN(BX70-BX71,BX$31-(BX36+BX42+BX48+BX54+BX60+BX66))),0)</f>
        <v>0</v>
      </c>
      <c r="BY72" s="58" t="n">
        <f aca="false">IF(AND($C$72=1,OR($D$72="",BY$29&gt;=$D$72)),MAX(0,MIN(BY70-BY71,BY$31-(BY36+BY42+BY48+BY54+BY60+BY66))),0)</f>
        <v>0</v>
      </c>
      <c r="BZ72" s="58" t="n">
        <f aca="false">IF(AND($C$72=1,OR($D$72="",BZ$29&gt;=$D$72)),MAX(0,MIN(BZ70-BZ71,BZ$31-(BZ36+BZ42+BZ48+BZ54+BZ60+BZ66))),0)</f>
        <v>0</v>
      </c>
      <c r="CA72" s="58" t="n">
        <f aca="false">IF(AND($C$72=1,OR($D$72="",CA$29&gt;=$D$72)),MAX(0,MIN(CA70-CA71,CA$31-(CA36+CA42+CA48+CA54+CA60+CA66))),0)</f>
        <v>0</v>
      </c>
      <c r="CB72" s="58" t="n">
        <f aca="false">IF(AND($C$72=1,OR($D$72="",CB$29&gt;=$D$72)),MAX(0,MIN(CB70-CB71,CB$31-(CB36+CB42+CB48+CB54+CB60+CB66))),0)</f>
        <v>0</v>
      </c>
      <c r="CC72" s="58" t="n">
        <f aca="false">IF(AND($C$72=1,OR($D$72="",CC$29&gt;=$D$72)),MAX(0,MIN(CC70-CC71,CC$31-(CC36+CC42+CC48+CC54+CC60+CC66))),0)</f>
        <v>0</v>
      </c>
      <c r="CD72" s="58" t="n">
        <f aca="false">IF(AND($C$72=1,OR($D$72="",CD$29&gt;=$D$72)),MAX(0,MIN(CD70-CD71,CD$31-(CD36+CD42+CD48+CD54+CD60+CD66))),0)</f>
        <v>0</v>
      </c>
      <c r="CE72" s="58" t="n">
        <f aca="false">IF(AND($C$72=1,OR($D$72="",CE$29&gt;=$D$72)),MAX(0,MIN(CE70-CE71,CE$31-(CE36+CE42+CE48+CE54+CE60+CE66))),0)</f>
        <v>0</v>
      </c>
      <c r="CF72" s="58" t="n">
        <f aca="false">IF(AND($C$72=1,OR($D$72="",CF$29&gt;=$D$72)),MAX(0,MIN(CF70-CF71,CF$31-(CF36+CF42+CF48+CF54+CF60+CF66))),0)</f>
        <v>0</v>
      </c>
      <c r="CG72" s="58" t="n">
        <f aca="false">IF(AND($C$72=1,OR($D$72="",CG$29&gt;=$D$72)),MAX(0,MIN(CG70-CG71,CG$31-(CG36+CG42+CG48+CG54+CG60+CG66))),0)</f>
        <v>0</v>
      </c>
      <c r="CH72" s="58" t="n">
        <f aca="false">IF(AND($C$72=1,OR($D$72="",CH$29&gt;=$D$72)),MAX(0,MIN(CH70-CH71,CH$31-(CH36+CH42+CH48+CH54+CH60+CH66))),0)</f>
        <v>0</v>
      </c>
      <c r="CI72" s="58" t="n">
        <f aca="false">IF(AND($C$72=1,OR($D$72="",CI$29&gt;=$D$72)),MAX(0,MIN(CI70-CI71,CI$31-(CI36+CI42+CI48+CI54+CI60+CI66))),0)</f>
        <v>0</v>
      </c>
      <c r="CJ72" s="58" t="n">
        <f aca="false">IF(AND($C$72=1,OR($D$72="",CJ$29&gt;=$D$72)),MAX(0,MIN(CJ70-CJ71,CJ$31-(CJ36+CJ42+CJ48+CJ54+CJ60+CJ66))),0)</f>
        <v>0</v>
      </c>
      <c r="CK72" s="58" t="n">
        <f aca="false">IF(AND($C$72=1,OR($D$72="",CK$29&gt;=$D$72)),MAX(0,MIN(CK70-CK71,CK$31-(CK36+CK42+CK48+CK54+CK60+CK66))),0)</f>
        <v>0</v>
      </c>
      <c r="CL72" s="58" t="n">
        <f aca="false">IF(AND($C$72=1,OR($D$72="",CL$29&gt;=$D$72)),MAX(0,MIN(CL70-CL71,CL$31-(CL36+CL42+CL48+CL54+CL60+CL66))),0)</f>
        <v>0</v>
      </c>
      <c r="CM72" s="58" t="n">
        <f aca="false">IF(AND($C$72=1,OR($D$72="",CM$29&gt;=$D$72)),MAX(0,MIN(CM70-CM71,CM$31-(CM36+CM42+CM48+CM54+CM60+CM66))),0)</f>
        <v>0</v>
      </c>
      <c r="CN72" s="58" t="n">
        <f aca="false">IF(AND($C$72=1,OR($D$72="",CN$29&gt;=$D$72)),MAX(0,MIN(CN70-CN71,CN$31-(CN36+CN42+CN48+CN54+CN60+CN66))),0)</f>
        <v>0</v>
      </c>
      <c r="CO72" s="58" t="n">
        <f aca="false">IF(AND($C$72=1,OR($D$72="",CO$29&gt;=$D$72)),MAX(0,MIN(CO70-CO71,CO$31-(CO36+CO42+CO48+CO54+CO60+CO66))),0)</f>
        <v>0</v>
      </c>
      <c r="CP72" s="58" t="n">
        <f aca="false">IF(AND($C$72=1,OR($D$72="",CP$29&gt;=$D$72)),MAX(0,MIN(CP70-CP71,CP$31-(CP36+CP42+CP48+CP54+CP60+CP66))),0)</f>
        <v>0</v>
      </c>
      <c r="CQ72" s="58" t="n">
        <f aca="false">IF(AND($C$72=1,OR($D$72="",CQ$29&gt;=$D$72)),MAX(0,MIN(CQ70-CQ71,CQ$31-(CQ36+CQ42+CQ48+CQ54+CQ60+CQ66))),0)</f>
        <v>0</v>
      </c>
      <c r="CR72" s="58" t="n">
        <f aca="false">IF(AND($C$72=1,OR($D$72="",CR$29&gt;=$D$72)),MAX(0,MIN(CR70-CR71,CR$31-(CR36+CR42+CR48+CR54+CR60+CR66))),0)</f>
        <v>0</v>
      </c>
      <c r="CS72" s="58" t="n">
        <f aca="false">IF(AND($C$72=1,OR($D$72="",CS$29&gt;=$D$72)),MAX(0,MIN(CS70-CS71,CS$31-(CS36+CS42+CS48+CS54+CS60+CS66))),0)</f>
        <v>0</v>
      </c>
      <c r="CT72" s="58" t="n">
        <f aca="false">IF(AND($C$72=1,OR($D$72="",CT$29&gt;=$D$72)),MAX(0,MIN(CT70-CT71,CT$31-(CT36+CT42+CT48+CT54+CT60+CT66))),0)</f>
        <v>0</v>
      </c>
      <c r="CU72" s="58" t="n">
        <f aca="false">IF(AND($C$72=1,OR($D$72="",CU$29&gt;=$D$72)),MAX(0,MIN(CU70-CU71,CU$31-(CU36+CU42+CU48+CU54+CU60+CU66))),0)</f>
        <v>0</v>
      </c>
      <c r="CV72" s="58" t="n">
        <f aca="false">IF(AND($C$72=1,OR($D$72="",CV$29&gt;=$D$72)),MAX(0,MIN(CV70-CV71,CV$31-(CV36+CV42+CV48+CV54+CV60+CV66))),0)</f>
        <v>0</v>
      </c>
      <c r="CW72" s="58" t="n">
        <f aca="false">IF(AND($C$72=1,OR($D$72="",CW$29&gt;=$D$72)),MAX(0,MIN(CW70-CW71,CW$31-(CW36+CW42+CW48+CW54+CW60+CW66))),0)</f>
        <v>0</v>
      </c>
      <c r="CX72" s="58" t="n">
        <f aca="false">IF(AND($C$72=1,OR($D$72="",CX$29&gt;=$D$72)),MAX(0,MIN(CX70-CX71,CX$31-(CX36+CX42+CX48+CX54+CX60+CX66))),0)</f>
        <v>0</v>
      </c>
      <c r="CY72" s="58" t="n">
        <f aca="false">IF(AND($C$72=1,OR($D$72="",CY$29&gt;=$D$72)),MAX(0,MIN(CY70-CY71,CY$31-(CY36+CY42+CY48+CY54+CY60+CY66))),0)</f>
        <v>0</v>
      </c>
      <c r="CZ72" s="58" t="n">
        <f aca="false">IF(AND($C$72=1,OR($D$72="",CZ$29&gt;=$D$72)),MAX(0,MIN(CZ70-CZ71,CZ$31-(CZ36+CZ42+CZ48+CZ54+CZ60+CZ66))),0)</f>
        <v>0</v>
      </c>
      <c r="DA72" s="58" t="n">
        <f aca="false">IF(AND($C$72=1,OR($D$72="",DA$29&gt;=$D$72)),MAX(0,MIN(DA70-DA71,DA$31-(DA36+DA42+DA48+DA54+DA60+DA66))),0)</f>
        <v>0</v>
      </c>
      <c r="DB72" s="58" t="n">
        <f aca="false">IF(AND($C$72=1,OR($D$72="",DB$29&gt;=$D$72)),MAX(0,MIN(DB70-DB71,DB$31-(DB36+DB42+DB48+DB54+DB60+DB66))),0)</f>
        <v>0</v>
      </c>
      <c r="DC72" s="58" t="n">
        <f aca="false">IF(AND($C$72=1,OR($D$72="",DC$29&gt;=$D$72)),MAX(0,MIN(DC70-DC71,DC$31-(DC36+DC42+DC48+DC54+DC60+DC66))),0)</f>
        <v>0</v>
      </c>
      <c r="DD72" s="58" t="n">
        <f aca="false">IF(AND($C$72=1,OR($D$72="",DD$29&gt;=$D$72)),MAX(0,MIN(DD70-DD71,DD$31-(DD36+DD42+DD48+DD54+DD60+DD66))),0)</f>
        <v>0</v>
      </c>
      <c r="DE72" s="58" t="n">
        <f aca="false">IF(AND($C$72=1,OR($D$72="",DE$29&gt;=$D$72)),MAX(0,MIN(DE70-DE71,DE$31-(DE36+DE42+DE48+DE54+DE60+DE66))),0)</f>
        <v>0</v>
      </c>
      <c r="DF72" s="58" t="n">
        <f aca="false">IF(AND($C$72=1,OR($D$72="",DF$29&gt;=$D$72)),MAX(0,MIN(DF70-DF71,DF$31-(DF36+DF42+DF48+DF54+DF60+DF66))),0)</f>
        <v>0</v>
      </c>
      <c r="DG72" s="58" t="n">
        <f aca="false">IF(AND($C$72=1,OR($D$72="",DG$29&gt;=$D$72)),MAX(0,MIN(DG70-DG71,DG$31-(DG36+DG42+DG48+DG54+DG60+DG66))),0)</f>
        <v>0</v>
      </c>
      <c r="DH72" s="58" t="n">
        <f aca="false">IF(AND($C$72=1,OR($D$72="",DH$29&gt;=$D$72)),MAX(0,MIN(DH70-DH71,DH$31-(DH36+DH42+DH48+DH54+DH60+DH66))),0)</f>
        <v>0</v>
      </c>
      <c r="DI72" s="58" t="n">
        <f aca="false">IF(AND($C$72=1,OR($D$72="",DI$29&gt;=$D$72)),MAX(0,MIN(DI70-DI71,DI$31-(DI36+DI42+DI48+DI54+DI60+DI66))),0)</f>
        <v>0</v>
      </c>
      <c r="DJ72" s="58" t="n">
        <f aca="false">IF(AND($C$72=1,OR($D$72="",DJ$29&gt;=$D$72)),MAX(0,MIN(DJ70-DJ71,DJ$31-(DJ36+DJ42+DJ48+DJ54+DJ60+DJ66))),0)</f>
        <v>0</v>
      </c>
      <c r="DK72" s="58" t="n">
        <f aca="false">IF(AND($C$72=1,OR($D$72="",DK$29&gt;=$D$72)),MAX(0,MIN(DK70-DK71,DK$31-(DK36+DK42+DK48+DK54+DK60+DK66))),0)</f>
        <v>0</v>
      </c>
      <c r="DL72" s="58" t="n">
        <f aca="false">IF(AND($C$72=1,OR($D$72="",DL$29&gt;=$D$72)),MAX(0,MIN(DL70-DL71,DL$31-(DL36+DL42+DL48+DL54+DL60+DL66))),0)</f>
        <v>0</v>
      </c>
      <c r="DM72" s="58" t="n">
        <f aca="false">IF(AND($C$72=1,OR($D$72="",DM$29&gt;=$D$72)),MAX(0,MIN(DM70-DM71,DM$31-(DM36+DM42+DM48+DM54+DM60+DM66))),0)</f>
        <v>0</v>
      </c>
      <c r="DN72" s="58" t="n">
        <f aca="false">IF(AND($C$72=1,OR($D$72="",DN$29&gt;=$D$72)),MAX(0,MIN(DN70-DN71,DN$31-(DN36+DN42+DN48+DN54+DN60+DN66))),0)</f>
        <v>0</v>
      </c>
      <c r="DO72" s="58" t="n">
        <f aca="false">IF(AND($C$72=1,OR($D$72="",DO$29&gt;=$D$72)),MAX(0,MIN(DO70-DO71,DO$31-(DO36+DO42+DO48+DO54+DO60+DO66))),0)</f>
        <v>0</v>
      </c>
      <c r="DP72" s="58" t="n">
        <f aca="false">IF(AND($C$72=1,OR($D$72="",DP$29&gt;=$D$72)),MAX(0,MIN(DP70-DP71,DP$31-(DP36+DP42+DP48+DP54+DP60+DP66))),0)</f>
        <v>0</v>
      </c>
      <c r="DQ72" s="58" t="n">
        <f aca="false">IF(AND($C$72=1,OR($D$72="",DQ$29&gt;=$D$72)),MAX(0,MIN(DQ70-DQ71,DQ$31-(DQ36+DQ42+DQ48+DQ54+DQ60+DQ66))),0)</f>
        <v>0</v>
      </c>
      <c r="DR72" s="58" t="n">
        <f aca="false">IF(AND($C$72=1,OR($D$72="",DR$29&gt;=$D$72)),MAX(0,MIN(DR70-DR71,DR$31-(DR36+DR42+DR48+DR54+DR60+DR66))),0)</f>
        <v>0</v>
      </c>
      <c r="DS72" s="58" t="n">
        <f aca="false">IF(AND($C$72=1,OR($D$72="",DS$29&gt;=$D$72)),MAX(0,MIN(DS70-DS71,DS$31-(DS36+DS42+DS48+DS54+DS60+DS66))),0)</f>
        <v>0</v>
      </c>
      <c r="DT72" s="58" t="n">
        <f aca="false">IF(AND($C$72=1,OR($D$72="",DT$29&gt;=$D$72)),MAX(0,MIN(DT70-DT71,DT$31-(DT36+DT42+DT48+DT54+DT60+DT66))),0)</f>
        <v>0</v>
      </c>
    </row>
    <row r="73" customFormat="false" ht="15" hidden="false" customHeight="false" outlineLevel="0" collapsed="false">
      <c r="B73" s="24" t="s">
        <v>187</v>
      </c>
      <c r="C73" s="23" t="s">
        <v>383</v>
      </c>
      <c r="D73" s="89" t="n">
        <f aca="false">IF($C$74=0,D74,MAX(0,D74-MAX(0,$C$10-($D$38*$C$38+$D$44*$C$44+$D$50*$C$50+$D$56*$C$56+$D$62*$C$62+$D$68*$C$68))))</f>
        <v>0</v>
      </c>
      <c r="E73" s="89" t="n">
        <f aca="false">E70-E71-E72</f>
        <v>0</v>
      </c>
      <c r="F73" s="89" t="n">
        <f aca="false">F70-F71-F72</f>
        <v>0</v>
      </c>
      <c r="G73" s="89" t="n">
        <f aca="false">G70-G71-G72</f>
        <v>0</v>
      </c>
      <c r="H73" s="89" t="n">
        <f aca="false">H70-H71-H72</f>
        <v>0</v>
      </c>
      <c r="I73" s="89" t="n">
        <f aca="false">I70-I71-I72</f>
        <v>0</v>
      </c>
      <c r="J73" s="89" t="n">
        <f aca="false">J70-J71-J72</f>
        <v>0</v>
      </c>
      <c r="K73" s="89" t="n">
        <f aca="false">K70-K71-K72</f>
        <v>0</v>
      </c>
      <c r="L73" s="89" t="n">
        <f aca="false">L70-L71-L72</f>
        <v>0</v>
      </c>
      <c r="M73" s="89" t="n">
        <f aca="false">M70-M71-M72</f>
        <v>0</v>
      </c>
      <c r="N73" s="89" t="n">
        <f aca="false">N70-N71-N72</f>
        <v>0</v>
      </c>
      <c r="O73" s="89" t="n">
        <f aca="false">O70-O71-O72</f>
        <v>0</v>
      </c>
      <c r="P73" s="89" t="n">
        <f aca="false">P70-P71-P72</f>
        <v>0</v>
      </c>
      <c r="Q73" s="89" t="n">
        <f aca="false">Q70-Q71-Q72</f>
        <v>0</v>
      </c>
      <c r="R73" s="89" t="n">
        <f aca="false">R70-R71-R72</f>
        <v>0</v>
      </c>
      <c r="S73" s="89" t="n">
        <f aca="false">S70-S71-S72</f>
        <v>0</v>
      </c>
      <c r="T73" s="89" t="n">
        <f aca="false">T70-T71-T72</f>
        <v>0</v>
      </c>
      <c r="U73" s="89" t="n">
        <f aca="false">U70-U71-U72</f>
        <v>0</v>
      </c>
      <c r="V73" s="89" t="n">
        <f aca="false">V70-V71-V72</f>
        <v>0</v>
      </c>
      <c r="W73" s="89" t="n">
        <f aca="false">W70-W71-W72</f>
        <v>0</v>
      </c>
      <c r="X73" s="89" t="n">
        <f aca="false">X70-X71-X72</f>
        <v>0</v>
      </c>
      <c r="Y73" s="89" t="n">
        <f aca="false">Y70-Y71-Y72</f>
        <v>0</v>
      </c>
      <c r="Z73" s="89" t="n">
        <f aca="false">Z70-Z71-Z72</f>
        <v>0</v>
      </c>
      <c r="AA73" s="89" t="n">
        <f aca="false">AA70-AA71-AA72</f>
        <v>0</v>
      </c>
      <c r="AB73" s="89" t="n">
        <f aca="false">AB70-AB71-AB72</f>
        <v>0</v>
      </c>
      <c r="AC73" s="89" t="n">
        <f aca="false">AC70-AC71-AC72</f>
        <v>0</v>
      </c>
      <c r="AD73" s="89" t="n">
        <f aca="false">AD70-AD71-AD72</f>
        <v>0</v>
      </c>
      <c r="AE73" s="89" t="n">
        <f aca="false">AE70-AE71-AE72</f>
        <v>0</v>
      </c>
      <c r="AF73" s="89" t="n">
        <f aca="false">AF70-AF71-AF72</f>
        <v>0</v>
      </c>
      <c r="AG73" s="89" t="n">
        <f aca="false">AG70-AG71-AG72</f>
        <v>0</v>
      </c>
      <c r="AH73" s="89" t="n">
        <f aca="false">AH70-AH71-AH72</f>
        <v>0</v>
      </c>
      <c r="AI73" s="89" t="n">
        <f aca="false">AI70-AI71-AI72</f>
        <v>0</v>
      </c>
      <c r="AJ73" s="89" t="n">
        <f aca="false">AJ70-AJ71-AJ72</f>
        <v>0</v>
      </c>
      <c r="AK73" s="89" t="n">
        <f aca="false">AK70-AK71-AK72</f>
        <v>0</v>
      </c>
      <c r="AL73" s="89" t="n">
        <f aca="false">AL70-AL71-AL72</f>
        <v>0</v>
      </c>
      <c r="AM73" s="89" t="n">
        <f aca="false">AM70-AM71-AM72</f>
        <v>0</v>
      </c>
      <c r="AN73" s="89" t="n">
        <f aca="false">AN70-AN71-AN72</f>
        <v>0</v>
      </c>
      <c r="AO73" s="89" t="n">
        <f aca="false">AO70-AO71-AO72</f>
        <v>0</v>
      </c>
      <c r="AP73" s="89" t="n">
        <f aca="false">AP70-AP71-AP72</f>
        <v>0</v>
      </c>
      <c r="AQ73" s="89" t="n">
        <f aca="false">AQ70-AQ71-AQ72</f>
        <v>0</v>
      </c>
      <c r="AR73" s="89" t="n">
        <f aca="false">AR70-AR71-AR72</f>
        <v>0</v>
      </c>
      <c r="AS73" s="89" t="n">
        <f aca="false">AS70-AS71-AS72</f>
        <v>0</v>
      </c>
      <c r="AT73" s="89" t="n">
        <f aca="false">AT70-AT71-AT72</f>
        <v>0</v>
      </c>
      <c r="AU73" s="89" t="n">
        <f aca="false">AU70-AU71-AU72</f>
        <v>0</v>
      </c>
      <c r="AV73" s="89" t="n">
        <f aca="false">AV70-AV71-AV72</f>
        <v>0</v>
      </c>
      <c r="AW73" s="89" t="n">
        <f aca="false">AW70-AW71-AW72</f>
        <v>0</v>
      </c>
      <c r="AX73" s="89" t="n">
        <f aca="false">AX70-AX71-AX72</f>
        <v>0</v>
      </c>
      <c r="AY73" s="89" t="n">
        <f aca="false">AY70-AY71-AY72</f>
        <v>0</v>
      </c>
      <c r="AZ73" s="89" t="n">
        <f aca="false">AZ70-AZ71-AZ72</f>
        <v>0</v>
      </c>
      <c r="BA73" s="89" t="n">
        <f aca="false">BA70-BA71-BA72</f>
        <v>0</v>
      </c>
      <c r="BB73" s="89" t="n">
        <f aca="false">BB70-BB71-BB72</f>
        <v>0</v>
      </c>
      <c r="BC73" s="89" t="n">
        <f aca="false">BC70-BC71-BC72</f>
        <v>0</v>
      </c>
      <c r="BD73" s="89" t="n">
        <f aca="false">BD70-BD71-BD72</f>
        <v>0</v>
      </c>
      <c r="BE73" s="89" t="n">
        <f aca="false">BE70-BE71-BE72</f>
        <v>0</v>
      </c>
      <c r="BF73" s="89" t="n">
        <f aca="false">BF70-BF71-BF72</f>
        <v>0</v>
      </c>
      <c r="BG73" s="89" t="n">
        <f aca="false">BG70-BG71-BG72</f>
        <v>0</v>
      </c>
      <c r="BH73" s="89" t="n">
        <f aca="false">BH70-BH71-BH72</f>
        <v>0</v>
      </c>
      <c r="BI73" s="89" t="n">
        <f aca="false">BI70-BI71-BI72</f>
        <v>0</v>
      </c>
      <c r="BJ73" s="89" t="n">
        <f aca="false">BJ70-BJ71-BJ72</f>
        <v>0</v>
      </c>
      <c r="BK73" s="89" t="n">
        <f aca="false">BK70-BK71-BK72</f>
        <v>0</v>
      </c>
      <c r="BL73" s="89" t="n">
        <f aca="false">BL70-BL71-BL72</f>
        <v>0</v>
      </c>
      <c r="BM73" s="89" t="n">
        <f aca="false">BM70-BM71-BM72</f>
        <v>0</v>
      </c>
      <c r="BN73" s="89" t="n">
        <f aca="false">BN70-BN71-BN72</f>
        <v>0</v>
      </c>
      <c r="BO73" s="89" t="n">
        <f aca="false">BO70-BO71-BO72</f>
        <v>0</v>
      </c>
      <c r="BP73" s="89" t="n">
        <f aca="false">BP70-BP71-BP72</f>
        <v>0</v>
      </c>
      <c r="BQ73" s="89" t="n">
        <f aca="false">BQ70-BQ71-BQ72</f>
        <v>0</v>
      </c>
      <c r="BR73" s="89" t="n">
        <f aca="false">BR70-BR71-BR72</f>
        <v>0</v>
      </c>
      <c r="BS73" s="89" t="n">
        <f aca="false">BS70-BS71-BS72</f>
        <v>0</v>
      </c>
      <c r="BT73" s="89" t="n">
        <f aca="false">BT70-BT71-BT72</f>
        <v>0</v>
      </c>
      <c r="BU73" s="89" t="n">
        <f aca="false">BU70-BU71-BU72</f>
        <v>0</v>
      </c>
      <c r="BV73" s="89" t="n">
        <f aca="false">BV70-BV71-BV72</f>
        <v>0</v>
      </c>
      <c r="BW73" s="89" t="n">
        <f aca="false">BW70-BW71-BW72</f>
        <v>0</v>
      </c>
      <c r="BX73" s="89" t="n">
        <f aca="false">BX70-BX71-BX72</f>
        <v>0</v>
      </c>
      <c r="BY73" s="89" t="n">
        <f aca="false">BY70-BY71-BY72</f>
        <v>0</v>
      </c>
      <c r="BZ73" s="89" t="n">
        <f aca="false">BZ70-BZ71-BZ72</f>
        <v>0</v>
      </c>
      <c r="CA73" s="89" t="n">
        <f aca="false">CA70-CA71-CA72</f>
        <v>0</v>
      </c>
      <c r="CB73" s="89" t="n">
        <f aca="false">CB70-CB71-CB72</f>
        <v>0</v>
      </c>
      <c r="CC73" s="89" t="n">
        <f aca="false">CC70-CC71-CC72</f>
        <v>0</v>
      </c>
      <c r="CD73" s="89" t="n">
        <f aca="false">CD70-CD71-CD72</f>
        <v>0</v>
      </c>
      <c r="CE73" s="89" t="n">
        <f aca="false">CE70-CE71-CE72</f>
        <v>0</v>
      </c>
      <c r="CF73" s="89" t="n">
        <f aca="false">CF70-CF71-CF72</f>
        <v>0</v>
      </c>
      <c r="CG73" s="89" t="n">
        <f aca="false">CG70-CG71-CG72</f>
        <v>0</v>
      </c>
      <c r="CH73" s="89" t="n">
        <f aca="false">CH70-CH71-CH72</f>
        <v>0</v>
      </c>
      <c r="CI73" s="89" t="n">
        <f aca="false">CI70-CI71-CI72</f>
        <v>0</v>
      </c>
      <c r="CJ73" s="89" t="n">
        <f aca="false">CJ70-CJ71-CJ72</f>
        <v>0</v>
      </c>
      <c r="CK73" s="89" t="n">
        <f aca="false">CK70-CK71-CK72</f>
        <v>0</v>
      </c>
      <c r="CL73" s="89" t="n">
        <f aca="false">CL70-CL71-CL72</f>
        <v>0</v>
      </c>
      <c r="CM73" s="89" t="n">
        <f aca="false">CM70-CM71-CM72</f>
        <v>0</v>
      </c>
      <c r="CN73" s="89" t="n">
        <f aca="false">CN70-CN71-CN72</f>
        <v>0</v>
      </c>
      <c r="CO73" s="89" t="n">
        <f aca="false">CO70-CO71-CO72</f>
        <v>0</v>
      </c>
      <c r="CP73" s="89" t="n">
        <f aca="false">CP70-CP71-CP72</f>
        <v>0</v>
      </c>
      <c r="CQ73" s="89" t="n">
        <f aca="false">CQ70-CQ71-CQ72</f>
        <v>0</v>
      </c>
      <c r="CR73" s="89" t="n">
        <f aca="false">CR70-CR71-CR72</f>
        <v>0</v>
      </c>
      <c r="CS73" s="89" t="n">
        <f aca="false">CS70-CS71-CS72</f>
        <v>0</v>
      </c>
      <c r="CT73" s="89" t="n">
        <f aca="false">CT70-CT71-CT72</f>
        <v>0</v>
      </c>
      <c r="CU73" s="89" t="n">
        <f aca="false">CU70-CU71-CU72</f>
        <v>0</v>
      </c>
      <c r="CV73" s="89" t="n">
        <f aca="false">CV70-CV71-CV72</f>
        <v>0</v>
      </c>
      <c r="CW73" s="89" t="n">
        <f aca="false">CW70-CW71-CW72</f>
        <v>0</v>
      </c>
      <c r="CX73" s="89" t="n">
        <f aca="false">CX70-CX71-CX72</f>
        <v>0</v>
      </c>
      <c r="CY73" s="89" t="n">
        <f aca="false">CY70-CY71-CY72</f>
        <v>0</v>
      </c>
      <c r="CZ73" s="89" t="n">
        <f aca="false">CZ70-CZ71-CZ72</f>
        <v>0</v>
      </c>
      <c r="DA73" s="89" t="n">
        <f aca="false">DA70-DA71-DA72</f>
        <v>0</v>
      </c>
      <c r="DB73" s="89" t="n">
        <f aca="false">DB70-DB71-DB72</f>
        <v>0</v>
      </c>
      <c r="DC73" s="89" t="n">
        <f aca="false">DC70-DC71-DC72</f>
        <v>0</v>
      </c>
      <c r="DD73" s="89" t="n">
        <f aca="false">DD70-DD71-DD72</f>
        <v>0</v>
      </c>
      <c r="DE73" s="89" t="n">
        <f aca="false">DE70-DE71-DE72</f>
        <v>0</v>
      </c>
      <c r="DF73" s="89" t="n">
        <f aca="false">DF70-DF71-DF72</f>
        <v>0</v>
      </c>
      <c r="DG73" s="89" t="n">
        <f aca="false">DG70-DG71-DG72</f>
        <v>0</v>
      </c>
      <c r="DH73" s="89" t="n">
        <f aca="false">DH70-DH71-DH72</f>
        <v>0</v>
      </c>
      <c r="DI73" s="89" t="n">
        <f aca="false">DI70-DI71-DI72</f>
        <v>0</v>
      </c>
      <c r="DJ73" s="89" t="n">
        <f aca="false">DJ70-DJ71-DJ72</f>
        <v>0</v>
      </c>
      <c r="DK73" s="89" t="n">
        <f aca="false">DK70-DK71-DK72</f>
        <v>0</v>
      </c>
      <c r="DL73" s="89" t="n">
        <f aca="false">DL70-DL71-DL72</f>
        <v>0</v>
      </c>
      <c r="DM73" s="89" t="n">
        <f aca="false">DM70-DM71-DM72</f>
        <v>0</v>
      </c>
      <c r="DN73" s="89" t="n">
        <f aca="false">DN70-DN71-DN72</f>
        <v>0</v>
      </c>
      <c r="DO73" s="89" t="n">
        <f aca="false">DO70-DO71-DO72</f>
        <v>0</v>
      </c>
      <c r="DP73" s="89" t="n">
        <f aca="false">DP70-DP71-DP72</f>
        <v>0</v>
      </c>
      <c r="DQ73" s="89" t="n">
        <f aca="false">DQ70-DQ71-DQ72</f>
        <v>0</v>
      </c>
      <c r="DR73" s="89" t="n">
        <f aca="false">DR70-DR71-DR72</f>
        <v>0</v>
      </c>
      <c r="DS73" s="89" t="n">
        <f aca="false">DS70-DS71-DS72</f>
        <v>0</v>
      </c>
      <c r="DT73" s="89" t="n">
        <f aca="false">DT70-DT71-DT72</f>
        <v>0</v>
      </c>
    </row>
    <row r="74" customFormat="false" ht="15" hidden="false" customHeight="false" outlineLevel="0" collapsed="false">
      <c r="C74" s="96" t="n">
        <f aca="false">IF(AND(C72=1,OR(D72="",D72&lt;=$C$11)),1,0)</f>
        <v>0</v>
      </c>
      <c r="D74" s="99" t="n">
        <f aca="false">IF(C69=0,0,N(INDEX($D$13:$D$20,C69)))</f>
        <v>0</v>
      </c>
    </row>
    <row r="75" customFormat="false" ht="15" hidden="false" customHeight="false" outlineLevel="0" collapsed="false">
      <c r="B75" s="6" t="str">
        <f aca="false">"Orden 8: "&amp;D75</f>
        <v>Orden 8: (sin deuda)</v>
      </c>
      <c r="C75" s="96" t="n">
        <f aca="false">IFERROR(MATCH(8,$K$13:$K$20,0),0)</f>
        <v>0</v>
      </c>
      <c r="D75" s="97" t="str">
        <f aca="false">IF(C75=0,"(sin deuda)",INDEX($B$13:$B$20,C75))</f>
        <v>(sin deuda)</v>
      </c>
    </row>
    <row r="76" customFormat="false" ht="15" hidden="false" customHeight="false" outlineLevel="0" collapsed="false">
      <c r="B76" s="17" t="s">
        <v>380</v>
      </c>
      <c r="C76" s="98" t="n">
        <f aca="false">IF(C75=0,0,N(INDEX($I$13:$I$20,C75)))</f>
        <v>0</v>
      </c>
      <c r="E76" s="58" t="n">
        <f aca="false">D79*(1+$C$76)</f>
        <v>0</v>
      </c>
      <c r="F76" s="58" t="n">
        <f aca="false">E79*(1+$C$76)</f>
        <v>0</v>
      </c>
      <c r="G76" s="58" t="n">
        <f aca="false">F79*(1+$C$76)</f>
        <v>0</v>
      </c>
      <c r="H76" s="58" t="n">
        <f aca="false">G79*(1+$C$76)</f>
        <v>0</v>
      </c>
      <c r="I76" s="58" t="n">
        <f aca="false">H79*(1+$C$76)</f>
        <v>0</v>
      </c>
      <c r="J76" s="58" t="n">
        <f aca="false">I79*(1+$C$76)</f>
        <v>0</v>
      </c>
      <c r="K76" s="58" t="n">
        <f aca="false">J79*(1+$C$76)</f>
        <v>0</v>
      </c>
      <c r="L76" s="58" t="n">
        <f aca="false">K79*(1+$C$76)</f>
        <v>0</v>
      </c>
      <c r="M76" s="58" t="n">
        <f aca="false">L79*(1+$C$76)</f>
        <v>0</v>
      </c>
      <c r="N76" s="58" t="n">
        <f aca="false">M79*(1+$C$76)</f>
        <v>0</v>
      </c>
      <c r="O76" s="58" t="n">
        <f aca="false">N79*(1+$C$76)</f>
        <v>0</v>
      </c>
      <c r="P76" s="58" t="n">
        <f aca="false">O79*(1+$C$76)</f>
        <v>0</v>
      </c>
      <c r="Q76" s="58" t="n">
        <f aca="false">P79*(1+$C$76)</f>
        <v>0</v>
      </c>
      <c r="R76" s="58" t="n">
        <f aca="false">Q79*(1+$C$76)</f>
        <v>0</v>
      </c>
      <c r="S76" s="58" t="n">
        <f aca="false">R79*(1+$C$76)</f>
        <v>0</v>
      </c>
      <c r="T76" s="58" t="n">
        <f aca="false">S79*(1+$C$76)</f>
        <v>0</v>
      </c>
      <c r="U76" s="58" t="n">
        <f aca="false">T79*(1+$C$76)</f>
        <v>0</v>
      </c>
      <c r="V76" s="58" t="n">
        <f aca="false">U79*(1+$C$76)</f>
        <v>0</v>
      </c>
      <c r="W76" s="58" t="n">
        <f aca="false">V79*(1+$C$76)</f>
        <v>0</v>
      </c>
      <c r="X76" s="58" t="n">
        <f aca="false">W79*(1+$C$76)</f>
        <v>0</v>
      </c>
      <c r="Y76" s="58" t="n">
        <f aca="false">X79*(1+$C$76)</f>
        <v>0</v>
      </c>
      <c r="Z76" s="58" t="n">
        <f aca="false">Y79*(1+$C$76)</f>
        <v>0</v>
      </c>
      <c r="AA76" s="58" t="n">
        <f aca="false">Z79*(1+$C$76)</f>
        <v>0</v>
      </c>
      <c r="AB76" s="58" t="n">
        <f aca="false">AA79*(1+$C$76)</f>
        <v>0</v>
      </c>
      <c r="AC76" s="58" t="n">
        <f aca="false">AB79*(1+$C$76)</f>
        <v>0</v>
      </c>
      <c r="AD76" s="58" t="n">
        <f aca="false">AC79*(1+$C$76)</f>
        <v>0</v>
      </c>
      <c r="AE76" s="58" t="n">
        <f aca="false">AD79*(1+$C$76)</f>
        <v>0</v>
      </c>
      <c r="AF76" s="58" t="n">
        <f aca="false">AE79*(1+$C$76)</f>
        <v>0</v>
      </c>
      <c r="AG76" s="58" t="n">
        <f aca="false">AF79*(1+$C$76)</f>
        <v>0</v>
      </c>
      <c r="AH76" s="58" t="n">
        <f aca="false">AG79*(1+$C$76)</f>
        <v>0</v>
      </c>
      <c r="AI76" s="58" t="n">
        <f aca="false">AH79*(1+$C$76)</f>
        <v>0</v>
      </c>
      <c r="AJ76" s="58" t="n">
        <f aca="false">AI79*(1+$C$76)</f>
        <v>0</v>
      </c>
      <c r="AK76" s="58" t="n">
        <f aca="false">AJ79*(1+$C$76)</f>
        <v>0</v>
      </c>
      <c r="AL76" s="58" t="n">
        <f aca="false">AK79*(1+$C$76)</f>
        <v>0</v>
      </c>
      <c r="AM76" s="58" t="n">
        <f aca="false">AL79*(1+$C$76)</f>
        <v>0</v>
      </c>
      <c r="AN76" s="58" t="n">
        <f aca="false">AM79*(1+$C$76)</f>
        <v>0</v>
      </c>
      <c r="AO76" s="58" t="n">
        <f aca="false">AN79*(1+$C$76)</f>
        <v>0</v>
      </c>
      <c r="AP76" s="58" t="n">
        <f aca="false">AO79*(1+$C$76)</f>
        <v>0</v>
      </c>
      <c r="AQ76" s="58" t="n">
        <f aca="false">AP79*(1+$C$76)</f>
        <v>0</v>
      </c>
      <c r="AR76" s="58" t="n">
        <f aca="false">AQ79*(1+$C$76)</f>
        <v>0</v>
      </c>
      <c r="AS76" s="58" t="n">
        <f aca="false">AR79*(1+$C$76)</f>
        <v>0</v>
      </c>
      <c r="AT76" s="58" t="n">
        <f aca="false">AS79*(1+$C$76)</f>
        <v>0</v>
      </c>
      <c r="AU76" s="58" t="n">
        <f aca="false">AT79*(1+$C$76)</f>
        <v>0</v>
      </c>
      <c r="AV76" s="58" t="n">
        <f aca="false">AU79*(1+$C$76)</f>
        <v>0</v>
      </c>
      <c r="AW76" s="58" t="n">
        <f aca="false">AV79*(1+$C$76)</f>
        <v>0</v>
      </c>
      <c r="AX76" s="58" t="n">
        <f aca="false">AW79*(1+$C$76)</f>
        <v>0</v>
      </c>
      <c r="AY76" s="58" t="n">
        <f aca="false">AX79*(1+$C$76)</f>
        <v>0</v>
      </c>
      <c r="AZ76" s="58" t="n">
        <f aca="false">AY79*(1+$C$76)</f>
        <v>0</v>
      </c>
      <c r="BA76" s="58" t="n">
        <f aca="false">AZ79*(1+$C$76)</f>
        <v>0</v>
      </c>
      <c r="BB76" s="58" t="n">
        <f aca="false">BA79*(1+$C$76)</f>
        <v>0</v>
      </c>
      <c r="BC76" s="58" t="n">
        <f aca="false">BB79*(1+$C$76)</f>
        <v>0</v>
      </c>
      <c r="BD76" s="58" t="n">
        <f aca="false">BC79*(1+$C$76)</f>
        <v>0</v>
      </c>
      <c r="BE76" s="58" t="n">
        <f aca="false">BD79*(1+$C$76)</f>
        <v>0</v>
      </c>
      <c r="BF76" s="58" t="n">
        <f aca="false">BE79*(1+$C$76)</f>
        <v>0</v>
      </c>
      <c r="BG76" s="58" t="n">
        <f aca="false">BF79*(1+$C$76)</f>
        <v>0</v>
      </c>
      <c r="BH76" s="58" t="n">
        <f aca="false">BG79*(1+$C$76)</f>
        <v>0</v>
      </c>
      <c r="BI76" s="58" t="n">
        <f aca="false">BH79*(1+$C$76)</f>
        <v>0</v>
      </c>
      <c r="BJ76" s="58" t="n">
        <f aca="false">BI79*(1+$C$76)</f>
        <v>0</v>
      </c>
      <c r="BK76" s="58" t="n">
        <f aca="false">BJ79*(1+$C$76)</f>
        <v>0</v>
      </c>
      <c r="BL76" s="58" t="n">
        <f aca="false">BK79*(1+$C$76)</f>
        <v>0</v>
      </c>
      <c r="BM76" s="58" t="n">
        <f aca="false">BL79*(1+$C$76)</f>
        <v>0</v>
      </c>
      <c r="BN76" s="58" t="n">
        <f aca="false">BM79*(1+$C$76)</f>
        <v>0</v>
      </c>
      <c r="BO76" s="58" t="n">
        <f aca="false">BN79*(1+$C$76)</f>
        <v>0</v>
      </c>
      <c r="BP76" s="58" t="n">
        <f aca="false">BO79*(1+$C$76)</f>
        <v>0</v>
      </c>
      <c r="BQ76" s="58" t="n">
        <f aca="false">BP79*(1+$C$76)</f>
        <v>0</v>
      </c>
      <c r="BR76" s="58" t="n">
        <f aca="false">BQ79*(1+$C$76)</f>
        <v>0</v>
      </c>
      <c r="BS76" s="58" t="n">
        <f aca="false">BR79*(1+$C$76)</f>
        <v>0</v>
      </c>
      <c r="BT76" s="58" t="n">
        <f aca="false">BS79*(1+$C$76)</f>
        <v>0</v>
      </c>
      <c r="BU76" s="58" t="n">
        <f aca="false">BT79*(1+$C$76)</f>
        <v>0</v>
      </c>
      <c r="BV76" s="58" t="n">
        <f aca="false">BU79*(1+$C$76)</f>
        <v>0</v>
      </c>
      <c r="BW76" s="58" t="n">
        <f aca="false">BV79*(1+$C$76)</f>
        <v>0</v>
      </c>
      <c r="BX76" s="58" t="n">
        <f aca="false">BW79*(1+$C$76)</f>
        <v>0</v>
      </c>
      <c r="BY76" s="58" t="n">
        <f aca="false">BX79*(1+$C$76)</f>
        <v>0</v>
      </c>
      <c r="BZ76" s="58" t="n">
        <f aca="false">BY79*(1+$C$76)</f>
        <v>0</v>
      </c>
      <c r="CA76" s="58" t="n">
        <f aca="false">BZ79*(1+$C$76)</f>
        <v>0</v>
      </c>
      <c r="CB76" s="58" t="n">
        <f aca="false">CA79*(1+$C$76)</f>
        <v>0</v>
      </c>
      <c r="CC76" s="58" t="n">
        <f aca="false">CB79*(1+$C$76)</f>
        <v>0</v>
      </c>
      <c r="CD76" s="58" t="n">
        <f aca="false">CC79*(1+$C$76)</f>
        <v>0</v>
      </c>
      <c r="CE76" s="58" t="n">
        <f aca="false">CD79*(1+$C$76)</f>
        <v>0</v>
      </c>
      <c r="CF76" s="58" t="n">
        <f aca="false">CE79*(1+$C$76)</f>
        <v>0</v>
      </c>
      <c r="CG76" s="58" t="n">
        <f aca="false">CF79*(1+$C$76)</f>
        <v>0</v>
      </c>
      <c r="CH76" s="58" t="n">
        <f aca="false">CG79*(1+$C$76)</f>
        <v>0</v>
      </c>
      <c r="CI76" s="58" t="n">
        <f aca="false">CH79*(1+$C$76)</f>
        <v>0</v>
      </c>
      <c r="CJ76" s="58" t="n">
        <f aca="false">CI79*(1+$C$76)</f>
        <v>0</v>
      </c>
      <c r="CK76" s="58" t="n">
        <f aca="false">CJ79*(1+$C$76)</f>
        <v>0</v>
      </c>
      <c r="CL76" s="58" t="n">
        <f aca="false">CK79*(1+$C$76)</f>
        <v>0</v>
      </c>
      <c r="CM76" s="58" t="n">
        <f aca="false">CL79*(1+$C$76)</f>
        <v>0</v>
      </c>
      <c r="CN76" s="58" t="n">
        <f aca="false">CM79*(1+$C$76)</f>
        <v>0</v>
      </c>
      <c r="CO76" s="58" t="n">
        <f aca="false">CN79*(1+$C$76)</f>
        <v>0</v>
      </c>
      <c r="CP76" s="58" t="n">
        <f aca="false">CO79*(1+$C$76)</f>
        <v>0</v>
      </c>
      <c r="CQ76" s="58" t="n">
        <f aca="false">CP79*(1+$C$76)</f>
        <v>0</v>
      </c>
      <c r="CR76" s="58" t="n">
        <f aca="false">CQ79*(1+$C$76)</f>
        <v>0</v>
      </c>
      <c r="CS76" s="58" t="n">
        <f aca="false">CR79*(1+$C$76)</f>
        <v>0</v>
      </c>
      <c r="CT76" s="58" t="n">
        <f aca="false">CS79*(1+$C$76)</f>
        <v>0</v>
      </c>
      <c r="CU76" s="58" t="n">
        <f aca="false">CT79*(1+$C$76)</f>
        <v>0</v>
      </c>
      <c r="CV76" s="58" t="n">
        <f aca="false">CU79*(1+$C$76)</f>
        <v>0</v>
      </c>
      <c r="CW76" s="58" t="n">
        <f aca="false">CV79*(1+$C$76)</f>
        <v>0</v>
      </c>
      <c r="CX76" s="58" t="n">
        <f aca="false">CW79*(1+$C$76)</f>
        <v>0</v>
      </c>
      <c r="CY76" s="58" t="n">
        <f aca="false">CX79*(1+$C$76)</f>
        <v>0</v>
      </c>
      <c r="CZ76" s="58" t="n">
        <f aca="false">CY79*(1+$C$76)</f>
        <v>0</v>
      </c>
      <c r="DA76" s="58" t="n">
        <f aca="false">CZ79*(1+$C$76)</f>
        <v>0</v>
      </c>
      <c r="DB76" s="58" t="n">
        <f aca="false">DA79*(1+$C$76)</f>
        <v>0</v>
      </c>
      <c r="DC76" s="58" t="n">
        <f aca="false">DB79*(1+$C$76)</f>
        <v>0</v>
      </c>
      <c r="DD76" s="58" t="n">
        <f aca="false">DC79*(1+$C$76)</f>
        <v>0</v>
      </c>
      <c r="DE76" s="58" t="n">
        <f aca="false">DD79*(1+$C$76)</f>
        <v>0</v>
      </c>
      <c r="DF76" s="58" t="n">
        <f aca="false">DE79*(1+$C$76)</f>
        <v>0</v>
      </c>
      <c r="DG76" s="58" t="n">
        <f aca="false">DF79*(1+$C$76)</f>
        <v>0</v>
      </c>
      <c r="DH76" s="58" t="n">
        <f aca="false">DG79*(1+$C$76)</f>
        <v>0</v>
      </c>
      <c r="DI76" s="58" t="n">
        <f aca="false">DH79*(1+$C$76)</f>
        <v>0</v>
      </c>
      <c r="DJ76" s="58" t="n">
        <f aca="false">DI79*(1+$C$76)</f>
        <v>0</v>
      </c>
      <c r="DK76" s="58" t="n">
        <f aca="false">DJ79*(1+$C$76)</f>
        <v>0</v>
      </c>
      <c r="DL76" s="58" t="n">
        <f aca="false">DK79*(1+$C$76)</f>
        <v>0</v>
      </c>
      <c r="DM76" s="58" t="n">
        <f aca="false">DL79*(1+$C$76)</f>
        <v>0</v>
      </c>
      <c r="DN76" s="58" t="n">
        <f aca="false">DM79*(1+$C$76)</f>
        <v>0</v>
      </c>
      <c r="DO76" s="58" t="n">
        <f aca="false">DN79*(1+$C$76)</f>
        <v>0</v>
      </c>
      <c r="DP76" s="58" t="n">
        <f aca="false">DO79*(1+$C$76)</f>
        <v>0</v>
      </c>
      <c r="DQ76" s="58" t="n">
        <f aca="false">DP79*(1+$C$76)</f>
        <v>0</v>
      </c>
      <c r="DR76" s="58" t="n">
        <f aca="false">DQ79*(1+$C$76)</f>
        <v>0</v>
      </c>
      <c r="DS76" s="58" t="n">
        <f aca="false">DR79*(1+$C$76)</f>
        <v>0</v>
      </c>
      <c r="DT76" s="58" t="n">
        <f aca="false">DS79*(1+$C$76)</f>
        <v>0</v>
      </c>
    </row>
    <row r="77" customFormat="false" ht="15" hidden="false" customHeight="false" outlineLevel="0" collapsed="false">
      <c r="B77" s="17" t="s">
        <v>381</v>
      </c>
      <c r="C77" s="99" t="n">
        <f aca="false">IF(C75=0,0,N(INDEX($F$13:$F$20,C75)))</f>
        <v>0</v>
      </c>
      <c r="E77" s="58" t="n">
        <f aca="false">MIN($C$77,E76)</f>
        <v>0</v>
      </c>
      <c r="F77" s="58" t="n">
        <f aca="false">MIN($C$77,F76)</f>
        <v>0</v>
      </c>
      <c r="G77" s="58" t="n">
        <f aca="false">MIN($C$77,G76)</f>
        <v>0</v>
      </c>
      <c r="H77" s="58" t="n">
        <f aca="false">MIN($C$77,H76)</f>
        <v>0</v>
      </c>
      <c r="I77" s="58" t="n">
        <f aca="false">MIN($C$77,I76)</f>
        <v>0</v>
      </c>
      <c r="J77" s="58" t="n">
        <f aca="false">MIN($C$77,J76)</f>
        <v>0</v>
      </c>
      <c r="K77" s="58" t="n">
        <f aca="false">MIN($C$77,K76)</f>
        <v>0</v>
      </c>
      <c r="L77" s="58" t="n">
        <f aca="false">MIN($C$77,L76)</f>
        <v>0</v>
      </c>
      <c r="M77" s="58" t="n">
        <f aca="false">MIN($C$77,M76)</f>
        <v>0</v>
      </c>
      <c r="N77" s="58" t="n">
        <f aca="false">MIN($C$77,N76)</f>
        <v>0</v>
      </c>
      <c r="O77" s="58" t="n">
        <f aca="false">MIN($C$77,O76)</f>
        <v>0</v>
      </c>
      <c r="P77" s="58" t="n">
        <f aca="false">MIN($C$77,P76)</f>
        <v>0</v>
      </c>
      <c r="Q77" s="58" t="n">
        <f aca="false">MIN($C$77,Q76)</f>
        <v>0</v>
      </c>
      <c r="R77" s="58" t="n">
        <f aca="false">MIN($C$77,R76)</f>
        <v>0</v>
      </c>
      <c r="S77" s="58" t="n">
        <f aca="false">MIN($C$77,S76)</f>
        <v>0</v>
      </c>
      <c r="T77" s="58" t="n">
        <f aca="false">MIN($C$77,T76)</f>
        <v>0</v>
      </c>
      <c r="U77" s="58" t="n">
        <f aca="false">MIN($C$77,U76)</f>
        <v>0</v>
      </c>
      <c r="V77" s="58" t="n">
        <f aca="false">MIN($C$77,V76)</f>
        <v>0</v>
      </c>
      <c r="W77" s="58" t="n">
        <f aca="false">MIN($C$77,W76)</f>
        <v>0</v>
      </c>
      <c r="X77" s="58" t="n">
        <f aca="false">MIN($C$77,X76)</f>
        <v>0</v>
      </c>
      <c r="Y77" s="58" t="n">
        <f aca="false">MIN($C$77,Y76)</f>
        <v>0</v>
      </c>
      <c r="Z77" s="58" t="n">
        <f aca="false">MIN($C$77,Z76)</f>
        <v>0</v>
      </c>
      <c r="AA77" s="58" t="n">
        <f aca="false">MIN($C$77,AA76)</f>
        <v>0</v>
      </c>
      <c r="AB77" s="58" t="n">
        <f aca="false">MIN($C$77,AB76)</f>
        <v>0</v>
      </c>
      <c r="AC77" s="58" t="n">
        <f aca="false">MIN($C$77,AC76)</f>
        <v>0</v>
      </c>
      <c r="AD77" s="58" t="n">
        <f aca="false">MIN($C$77,AD76)</f>
        <v>0</v>
      </c>
      <c r="AE77" s="58" t="n">
        <f aca="false">MIN($C$77,AE76)</f>
        <v>0</v>
      </c>
      <c r="AF77" s="58" t="n">
        <f aca="false">MIN($C$77,AF76)</f>
        <v>0</v>
      </c>
      <c r="AG77" s="58" t="n">
        <f aca="false">MIN($C$77,AG76)</f>
        <v>0</v>
      </c>
      <c r="AH77" s="58" t="n">
        <f aca="false">MIN($C$77,AH76)</f>
        <v>0</v>
      </c>
      <c r="AI77" s="58" t="n">
        <f aca="false">MIN($C$77,AI76)</f>
        <v>0</v>
      </c>
      <c r="AJ77" s="58" t="n">
        <f aca="false">MIN($C$77,AJ76)</f>
        <v>0</v>
      </c>
      <c r="AK77" s="58" t="n">
        <f aca="false">MIN($C$77,AK76)</f>
        <v>0</v>
      </c>
      <c r="AL77" s="58" t="n">
        <f aca="false">MIN($C$77,AL76)</f>
        <v>0</v>
      </c>
      <c r="AM77" s="58" t="n">
        <f aca="false">MIN($C$77,AM76)</f>
        <v>0</v>
      </c>
      <c r="AN77" s="58" t="n">
        <f aca="false">MIN($C$77,AN76)</f>
        <v>0</v>
      </c>
      <c r="AO77" s="58" t="n">
        <f aca="false">MIN($C$77,AO76)</f>
        <v>0</v>
      </c>
      <c r="AP77" s="58" t="n">
        <f aca="false">MIN($C$77,AP76)</f>
        <v>0</v>
      </c>
      <c r="AQ77" s="58" t="n">
        <f aca="false">MIN($C$77,AQ76)</f>
        <v>0</v>
      </c>
      <c r="AR77" s="58" t="n">
        <f aca="false">MIN($C$77,AR76)</f>
        <v>0</v>
      </c>
      <c r="AS77" s="58" t="n">
        <f aca="false">MIN($C$77,AS76)</f>
        <v>0</v>
      </c>
      <c r="AT77" s="58" t="n">
        <f aca="false">MIN($C$77,AT76)</f>
        <v>0</v>
      </c>
      <c r="AU77" s="58" t="n">
        <f aca="false">MIN($C$77,AU76)</f>
        <v>0</v>
      </c>
      <c r="AV77" s="58" t="n">
        <f aca="false">MIN($C$77,AV76)</f>
        <v>0</v>
      </c>
      <c r="AW77" s="58" t="n">
        <f aca="false">MIN($C$77,AW76)</f>
        <v>0</v>
      </c>
      <c r="AX77" s="58" t="n">
        <f aca="false">MIN($C$77,AX76)</f>
        <v>0</v>
      </c>
      <c r="AY77" s="58" t="n">
        <f aca="false">MIN($C$77,AY76)</f>
        <v>0</v>
      </c>
      <c r="AZ77" s="58" t="n">
        <f aca="false">MIN($C$77,AZ76)</f>
        <v>0</v>
      </c>
      <c r="BA77" s="58" t="n">
        <f aca="false">MIN($C$77,BA76)</f>
        <v>0</v>
      </c>
      <c r="BB77" s="58" t="n">
        <f aca="false">MIN($C$77,BB76)</f>
        <v>0</v>
      </c>
      <c r="BC77" s="58" t="n">
        <f aca="false">MIN($C$77,BC76)</f>
        <v>0</v>
      </c>
      <c r="BD77" s="58" t="n">
        <f aca="false">MIN($C$77,BD76)</f>
        <v>0</v>
      </c>
      <c r="BE77" s="58" t="n">
        <f aca="false">MIN($C$77,BE76)</f>
        <v>0</v>
      </c>
      <c r="BF77" s="58" t="n">
        <f aca="false">MIN($C$77,BF76)</f>
        <v>0</v>
      </c>
      <c r="BG77" s="58" t="n">
        <f aca="false">MIN($C$77,BG76)</f>
        <v>0</v>
      </c>
      <c r="BH77" s="58" t="n">
        <f aca="false">MIN($C$77,BH76)</f>
        <v>0</v>
      </c>
      <c r="BI77" s="58" t="n">
        <f aca="false">MIN($C$77,BI76)</f>
        <v>0</v>
      </c>
      <c r="BJ77" s="58" t="n">
        <f aca="false">MIN($C$77,BJ76)</f>
        <v>0</v>
      </c>
      <c r="BK77" s="58" t="n">
        <f aca="false">MIN($C$77,BK76)</f>
        <v>0</v>
      </c>
      <c r="BL77" s="58" t="n">
        <f aca="false">MIN($C$77,BL76)</f>
        <v>0</v>
      </c>
      <c r="BM77" s="58" t="n">
        <f aca="false">MIN($C$77,BM76)</f>
        <v>0</v>
      </c>
      <c r="BN77" s="58" t="n">
        <f aca="false">MIN($C$77,BN76)</f>
        <v>0</v>
      </c>
      <c r="BO77" s="58" t="n">
        <f aca="false">MIN($C$77,BO76)</f>
        <v>0</v>
      </c>
      <c r="BP77" s="58" t="n">
        <f aca="false">MIN($C$77,BP76)</f>
        <v>0</v>
      </c>
      <c r="BQ77" s="58" t="n">
        <f aca="false">MIN($C$77,BQ76)</f>
        <v>0</v>
      </c>
      <c r="BR77" s="58" t="n">
        <f aca="false">MIN($C$77,BR76)</f>
        <v>0</v>
      </c>
      <c r="BS77" s="58" t="n">
        <f aca="false">MIN($C$77,BS76)</f>
        <v>0</v>
      </c>
      <c r="BT77" s="58" t="n">
        <f aca="false">MIN($C$77,BT76)</f>
        <v>0</v>
      </c>
      <c r="BU77" s="58" t="n">
        <f aca="false">MIN($C$77,BU76)</f>
        <v>0</v>
      </c>
      <c r="BV77" s="58" t="n">
        <f aca="false">MIN($C$77,BV76)</f>
        <v>0</v>
      </c>
      <c r="BW77" s="58" t="n">
        <f aca="false">MIN($C$77,BW76)</f>
        <v>0</v>
      </c>
      <c r="BX77" s="58" t="n">
        <f aca="false">MIN($C$77,BX76)</f>
        <v>0</v>
      </c>
      <c r="BY77" s="58" t="n">
        <f aca="false">MIN($C$77,BY76)</f>
        <v>0</v>
      </c>
      <c r="BZ77" s="58" t="n">
        <f aca="false">MIN($C$77,BZ76)</f>
        <v>0</v>
      </c>
      <c r="CA77" s="58" t="n">
        <f aca="false">MIN($C$77,CA76)</f>
        <v>0</v>
      </c>
      <c r="CB77" s="58" t="n">
        <f aca="false">MIN($C$77,CB76)</f>
        <v>0</v>
      </c>
      <c r="CC77" s="58" t="n">
        <f aca="false">MIN($C$77,CC76)</f>
        <v>0</v>
      </c>
      <c r="CD77" s="58" t="n">
        <f aca="false">MIN($C$77,CD76)</f>
        <v>0</v>
      </c>
      <c r="CE77" s="58" t="n">
        <f aca="false">MIN($C$77,CE76)</f>
        <v>0</v>
      </c>
      <c r="CF77" s="58" t="n">
        <f aca="false">MIN($C$77,CF76)</f>
        <v>0</v>
      </c>
      <c r="CG77" s="58" t="n">
        <f aca="false">MIN($C$77,CG76)</f>
        <v>0</v>
      </c>
      <c r="CH77" s="58" t="n">
        <f aca="false">MIN($C$77,CH76)</f>
        <v>0</v>
      </c>
      <c r="CI77" s="58" t="n">
        <f aca="false">MIN($C$77,CI76)</f>
        <v>0</v>
      </c>
      <c r="CJ77" s="58" t="n">
        <f aca="false">MIN($C$77,CJ76)</f>
        <v>0</v>
      </c>
      <c r="CK77" s="58" t="n">
        <f aca="false">MIN($C$77,CK76)</f>
        <v>0</v>
      </c>
      <c r="CL77" s="58" t="n">
        <f aca="false">MIN($C$77,CL76)</f>
        <v>0</v>
      </c>
      <c r="CM77" s="58" t="n">
        <f aca="false">MIN($C$77,CM76)</f>
        <v>0</v>
      </c>
      <c r="CN77" s="58" t="n">
        <f aca="false">MIN($C$77,CN76)</f>
        <v>0</v>
      </c>
      <c r="CO77" s="58" t="n">
        <f aca="false">MIN($C$77,CO76)</f>
        <v>0</v>
      </c>
      <c r="CP77" s="58" t="n">
        <f aca="false">MIN($C$77,CP76)</f>
        <v>0</v>
      </c>
      <c r="CQ77" s="58" t="n">
        <f aca="false">MIN($C$77,CQ76)</f>
        <v>0</v>
      </c>
      <c r="CR77" s="58" t="n">
        <f aca="false">MIN($C$77,CR76)</f>
        <v>0</v>
      </c>
      <c r="CS77" s="58" t="n">
        <f aca="false">MIN($C$77,CS76)</f>
        <v>0</v>
      </c>
      <c r="CT77" s="58" t="n">
        <f aca="false">MIN($C$77,CT76)</f>
        <v>0</v>
      </c>
      <c r="CU77" s="58" t="n">
        <f aca="false">MIN($C$77,CU76)</f>
        <v>0</v>
      </c>
      <c r="CV77" s="58" t="n">
        <f aca="false">MIN($C$77,CV76)</f>
        <v>0</v>
      </c>
      <c r="CW77" s="58" t="n">
        <f aca="false">MIN($C$77,CW76)</f>
        <v>0</v>
      </c>
      <c r="CX77" s="58" t="n">
        <f aca="false">MIN($C$77,CX76)</f>
        <v>0</v>
      </c>
      <c r="CY77" s="58" t="n">
        <f aca="false">MIN($C$77,CY76)</f>
        <v>0</v>
      </c>
      <c r="CZ77" s="58" t="n">
        <f aca="false">MIN($C$77,CZ76)</f>
        <v>0</v>
      </c>
      <c r="DA77" s="58" t="n">
        <f aca="false">MIN($C$77,DA76)</f>
        <v>0</v>
      </c>
      <c r="DB77" s="58" t="n">
        <f aca="false">MIN($C$77,DB76)</f>
        <v>0</v>
      </c>
      <c r="DC77" s="58" t="n">
        <f aca="false">MIN($C$77,DC76)</f>
        <v>0</v>
      </c>
      <c r="DD77" s="58" t="n">
        <f aca="false">MIN($C$77,DD76)</f>
        <v>0</v>
      </c>
      <c r="DE77" s="58" t="n">
        <f aca="false">MIN($C$77,DE76)</f>
        <v>0</v>
      </c>
      <c r="DF77" s="58" t="n">
        <f aca="false">MIN($C$77,DF76)</f>
        <v>0</v>
      </c>
      <c r="DG77" s="58" t="n">
        <f aca="false">MIN($C$77,DG76)</f>
        <v>0</v>
      </c>
      <c r="DH77" s="58" t="n">
        <f aca="false">MIN($C$77,DH76)</f>
        <v>0</v>
      </c>
      <c r="DI77" s="58" t="n">
        <f aca="false">MIN($C$77,DI76)</f>
        <v>0</v>
      </c>
      <c r="DJ77" s="58" t="n">
        <f aca="false">MIN($C$77,DJ76)</f>
        <v>0</v>
      </c>
      <c r="DK77" s="58" t="n">
        <f aca="false">MIN($C$77,DK76)</f>
        <v>0</v>
      </c>
      <c r="DL77" s="58" t="n">
        <f aca="false">MIN($C$77,DL76)</f>
        <v>0</v>
      </c>
      <c r="DM77" s="58" t="n">
        <f aca="false">MIN($C$77,DM76)</f>
        <v>0</v>
      </c>
      <c r="DN77" s="58" t="n">
        <f aca="false">MIN($C$77,DN76)</f>
        <v>0</v>
      </c>
      <c r="DO77" s="58" t="n">
        <f aca="false">MIN($C$77,DO76)</f>
        <v>0</v>
      </c>
      <c r="DP77" s="58" t="n">
        <f aca="false">MIN($C$77,DP76)</f>
        <v>0</v>
      </c>
      <c r="DQ77" s="58" t="n">
        <f aca="false">MIN($C$77,DQ76)</f>
        <v>0</v>
      </c>
      <c r="DR77" s="58" t="n">
        <f aca="false">MIN($C$77,DR76)</f>
        <v>0</v>
      </c>
      <c r="DS77" s="58" t="n">
        <f aca="false">MIN($C$77,DS76)</f>
        <v>0</v>
      </c>
      <c r="DT77" s="58" t="n">
        <f aca="false">MIN($C$77,DT76)</f>
        <v>0</v>
      </c>
    </row>
    <row r="78" customFormat="false" ht="15" hidden="false" customHeight="false" outlineLevel="0" collapsed="false">
      <c r="B78" s="17" t="s">
        <v>382</v>
      </c>
      <c r="C78" s="96" t="n">
        <f aca="false">IF(C75=0,0,IF(INDEX($G$13:$G$20,C75)="No",0,1))</f>
        <v>0</v>
      </c>
      <c r="D78" s="100" t="str">
        <f aca="false">IF(C75=0,"",IF(N(INDEX($H$13:$H$20,C75))=0,"",INDEX($H$13:$H$20,C75)))</f>
        <v/>
      </c>
      <c r="E78" s="58" t="n">
        <f aca="false">IF(AND($C$78=1,OR($D$78="",E$29&gt;=$D$78)),MAX(0,MIN(E76-E77,E$31-(E36+E42+E48+E54+E60+E66+E72))),0)</f>
        <v>0</v>
      </c>
      <c r="F78" s="58" t="n">
        <f aca="false">IF(AND($C$78=1,OR($D$78="",F$29&gt;=$D$78)),MAX(0,MIN(F76-F77,F$31-(F36+F42+F48+F54+F60+F66+F72))),0)</f>
        <v>0</v>
      </c>
      <c r="G78" s="58" t="n">
        <f aca="false">IF(AND($C$78=1,OR($D$78="",G$29&gt;=$D$78)),MAX(0,MIN(G76-G77,G$31-(G36+G42+G48+G54+G60+G66+G72))),0)</f>
        <v>0</v>
      </c>
      <c r="H78" s="58" t="n">
        <f aca="false">IF(AND($C$78=1,OR($D$78="",H$29&gt;=$D$78)),MAX(0,MIN(H76-H77,H$31-(H36+H42+H48+H54+H60+H66+H72))),0)</f>
        <v>0</v>
      </c>
      <c r="I78" s="58" t="n">
        <f aca="false">IF(AND($C$78=1,OR($D$78="",I$29&gt;=$D$78)),MAX(0,MIN(I76-I77,I$31-(I36+I42+I48+I54+I60+I66+I72))),0)</f>
        <v>0</v>
      </c>
      <c r="J78" s="58" t="n">
        <f aca="false">IF(AND($C$78=1,OR($D$78="",J$29&gt;=$D$78)),MAX(0,MIN(J76-J77,J$31-(J36+J42+J48+J54+J60+J66+J72))),0)</f>
        <v>0</v>
      </c>
      <c r="K78" s="58" t="n">
        <f aca="false">IF(AND($C$78=1,OR($D$78="",K$29&gt;=$D$78)),MAX(0,MIN(K76-K77,K$31-(K36+K42+K48+K54+K60+K66+K72))),0)</f>
        <v>0</v>
      </c>
      <c r="L78" s="58" t="n">
        <f aca="false">IF(AND($C$78=1,OR($D$78="",L$29&gt;=$D$78)),MAX(0,MIN(L76-L77,L$31-(L36+L42+L48+L54+L60+L66+L72))),0)</f>
        <v>0</v>
      </c>
      <c r="M78" s="58" t="n">
        <f aca="false">IF(AND($C$78=1,OR($D$78="",M$29&gt;=$D$78)),MAX(0,MIN(M76-M77,M$31-(M36+M42+M48+M54+M60+M66+M72))),0)</f>
        <v>0</v>
      </c>
      <c r="N78" s="58" t="n">
        <f aca="false">IF(AND($C$78=1,OR($D$78="",N$29&gt;=$D$78)),MAX(0,MIN(N76-N77,N$31-(N36+N42+N48+N54+N60+N66+N72))),0)</f>
        <v>0</v>
      </c>
      <c r="O78" s="58" t="n">
        <f aca="false">IF(AND($C$78=1,OR($D$78="",O$29&gt;=$D$78)),MAX(0,MIN(O76-O77,O$31-(O36+O42+O48+O54+O60+O66+O72))),0)</f>
        <v>0</v>
      </c>
      <c r="P78" s="58" t="n">
        <f aca="false">IF(AND($C$78=1,OR($D$78="",P$29&gt;=$D$78)),MAX(0,MIN(P76-P77,P$31-(P36+P42+P48+P54+P60+P66+P72))),0)</f>
        <v>0</v>
      </c>
      <c r="Q78" s="58" t="n">
        <f aca="false">IF(AND($C$78=1,OR($D$78="",Q$29&gt;=$D$78)),MAX(0,MIN(Q76-Q77,Q$31-(Q36+Q42+Q48+Q54+Q60+Q66+Q72))),0)</f>
        <v>0</v>
      </c>
      <c r="R78" s="58" t="n">
        <f aca="false">IF(AND($C$78=1,OR($D$78="",R$29&gt;=$D$78)),MAX(0,MIN(R76-R77,R$31-(R36+R42+R48+R54+R60+R66+R72))),0)</f>
        <v>0</v>
      </c>
      <c r="S78" s="58" t="n">
        <f aca="false">IF(AND($C$78=1,OR($D$78="",S$29&gt;=$D$78)),MAX(0,MIN(S76-S77,S$31-(S36+S42+S48+S54+S60+S66+S72))),0)</f>
        <v>0</v>
      </c>
      <c r="T78" s="58" t="n">
        <f aca="false">IF(AND($C$78=1,OR($D$78="",T$29&gt;=$D$78)),MAX(0,MIN(T76-T77,T$31-(T36+T42+T48+T54+T60+T66+T72))),0)</f>
        <v>0</v>
      </c>
      <c r="U78" s="58" t="n">
        <f aca="false">IF(AND($C$78=1,OR($D$78="",U$29&gt;=$D$78)),MAX(0,MIN(U76-U77,U$31-(U36+U42+U48+U54+U60+U66+U72))),0)</f>
        <v>0</v>
      </c>
      <c r="V78" s="58" t="n">
        <f aca="false">IF(AND($C$78=1,OR($D$78="",V$29&gt;=$D$78)),MAX(0,MIN(V76-V77,V$31-(V36+V42+V48+V54+V60+V66+V72))),0)</f>
        <v>0</v>
      </c>
      <c r="W78" s="58" t="n">
        <f aca="false">IF(AND($C$78=1,OR($D$78="",W$29&gt;=$D$78)),MAX(0,MIN(W76-W77,W$31-(W36+W42+W48+W54+W60+W66+W72))),0)</f>
        <v>0</v>
      </c>
      <c r="X78" s="58" t="n">
        <f aca="false">IF(AND($C$78=1,OR($D$78="",X$29&gt;=$D$78)),MAX(0,MIN(X76-X77,X$31-(X36+X42+X48+X54+X60+X66+X72))),0)</f>
        <v>0</v>
      </c>
      <c r="Y78" s="58" t="n">
        <f aca="false">IF(AND($C$78=1,OR($D$78="",Y$29&gt;=$D$78)),MAX(0,MIN(Y76-Y77,Y$31-(Y36+Y42+Y48+Y54+Y60+Y66+Y72))),0)</f>
        <v>0</v>
      </c>
      <c r="Z78" s="58" t="n">
        <f aca="false">IF(AND($C$78=1,OR($D$78="",Z$29&gt;=$D$78)),MAX(0,MIN(Z76-Z77,Z$31-(Z36+Z42+Z48+Z54+Z60+Z66+Z72))),0)</f>
        <v>0</v>
      </c>
      <c r="AA78" s="58" t="n">
        <f aca="false">IF(AND($C$78=1,OR($D$78="",AA$29&gt;=$D$78)),MAX(0,MIN(AA76-AA77,AA$31-(AA36+AA42+AA48+AA54+AA60+AA66+AA72))),0)</f>
        <v>0</v>
      </c>
      <c r="AB78" s="58" t="n">
        <f aca="false">IF(AND($C$78=1,OR($D$78="",AB$29&gt;=$D$78)),MAX(0,MIN(AB76-AB77,AB$31-(AB36+AB42+AB48+AB54+AB60+AB66+AB72))),0)</f>
        <v>0</v>
      </c>
      <c r="AC78" s="58" t="n">
        <f aca="false">IF(AND($C$78=1,OR($D$78="",AC$29&gt;=$D$78)),MAX(0,MIN(AC76-AC77,AC$31-(AC36+AC42+AC48+AC54+AC60+AC66+AC72))),0)</f>
        <v>0</v>
      </c>
      <c r="AD78" s="58" t="n">
        <f aca="false">IF(AND($C$78=1,OR($D$78="",AD$29&gt;=$D$78)),MAX(0,MIN(AD76-AD77,AD$31-(AD36+AD42+AD48+AD54+AD60+AD66+AD72))),0)</f>
        <v>0</v>
      </c>
      <c r="AE78" s="58" t="n">
        <f aca="false">IF(AND($C$78=1,OR($D$78="",AE$29&gt;=$D$78)),MAX(0,MIN(AE76-AE77,AE$31-(AE36+AE42+AE48+AE54+AE60+AE66+AE72))),0)</f>
        <v>0</v>
      </c>
      <c r="AF78" s="58" t="n">
        <f aca="false">IF(AND($C$78=1,OR($D$78="",AF$29&gt;=$D$78)),MAX(0,MIN(AF76-AF77,AF$31-(AF36+AF42+AF48+AF54+AF60+AF66+AF72))),0)</f>
        <v>0</v>
      </c>
      <c r="AG78" s="58" t="n">
        <f aca="false">IF(AND($C$78=1,OR($D$78="",AG$29&gt;=$D$78)),MAX(0,MIN(AG76-AG77,AG$31-(AG36+AG42+AG48+AG54+AG60+AG66+AG72))),0)</f>
        <v>0</v>
      </c>
      <c r="AH78" s="58" t="n">
        <f aca="false">IF(AND($C$78=1,OR($D$78="",AH$29&gt;=$D$78)),MAX(0,MIN(AH76-AH77,AH$31-(AH36+AH42+AH48+AH54+AH60+AH66+AH72))),0)</f>
        <v>0</v>
      </c>
      <c r="AI78" s="58" t="n">
        <f aca="false">IF(AND($C$78=1,OR($D$78="",AI$29&gt;=$D$78)),MAX(0,MIN(AI76-AI77,AI$31-(AI36+AI42+AI48+AI54+AI60+AI66+AI72))),0)</f>
        <v>0</v>
      </c>
      <c r="AJ78" s="58" t="n">
        <f aca="false">IF(AND($C$78=1,OR($D$78="",AJ$29&gt;=$D$78)),MAX(0,MIN(AJ76-AJ77,AJ$31-(AJ36+AJ42+AJ48+AJ54+AJ60+AJ66+AJ72))),0)</f>
        <v>0</v>
      </c>
      <c r="AK78" s="58" t="n">
        <f aca="false">IF(AND($C$78=1,OR($D$78="",AK$29&gt;=$D$78)),MAX(0,MIN(AK76-AK77,AK$31-(AK36+AK42+AK48+AK54+AK60+AK66+AK72))),0)</f>
        <v>0</v>
      </c>
      <c r="AL78" s="58" t="n">
        <f aca="false">IF(AND($C$78=1,OR($D$78="",AL$29&gt;=$D$78)),MAX(0,MIN(AL76-AL77,AL$31-(AL36+AL42+AL48+AL54+AL60+AL66+AL72))),0)</f>
        <v>0</v>
      </c>
      <c r="AM78" s="58" t="n">
        <f aca="false">IF(AND($C$78=1,OR($D$78="",AM$29&gt;=$D$78)),MAX(0,MIN(AM76-AM77,AM$31-(AM36+AM42+AM48+AM54+AM60+AM66+AM72))),0)</f>
        <v>0</v>
      </c>
      <c r="AN78" s="58" t="n">
        <f aca="false">IF(AND($C$78=1,OR($D$78="",AN$29&gt;=$D$78)),MAX(0,MIN(AN76-AN77,AN$31-(AN36+AN42+AN48+AN54+AN60+AN66+AN72))),0)</f>
        <v>0</v>
      </c>
      <c r="AO78" s="58" t="n">
        <f aca="false">IF(AND($C$78=1,OR($D$78="",AO$29&gt;=$D$78)),MAX(0,MIN(AO76-AO77,AO$31-(AO36+AO42+AO48+AO54+AO60+AO66+AO72))),0)</f>
        <v>0</v>
      </c>
      <c r="AP78" s="58" t="n">
        <f aca="false">IF(AND($C$78=1,OR($D$78="",AP$29&gt;=$D$78)),MAX(0,MIN(AP76-AP77,AP$31-(AP36+AP42+AP48+AP54+AP60+AP66+AP72))),0)</f>
        <v>0</v>
      </c>
      <c r="AQ78" s="58" t="n">
        <f aca="false">IF(AND($C$78=1,OR($D$78="",AQ$29&gt;=$D$78)),MAX(0,MIN(AQ76-AQ77,AQ$31-(AQ36+AQ42+AQ48+AQ54+AQ60+AQ66+AQ72))),0)</f>
        <v>0</v>
      </c>
      <c r="AR78" s="58" t="n">
        <f aca="false">IF(AND($C$78=1,OR($D$78="",AR$29&gt;=$D$78)),MAX(0,MIN(AR76-AR77,AR$31-(AR36+AR42+AR48+AR54+AR60+AR66+AR72))),0)</f>
        <v>0</v>
      </c>
      <c r="AS78" s="58" t="n">
        <f aca="false">IF(AND($C$78=1,OR($D$78="",AS$29&gt;=$D$78)),MAX(0,MIN(AS76-AS77,AS$31-(AS36+AS42+AS48+AS54+AS60+AS66+AS72))),0)</f>
        <v>0</v>
      </c>
      <c r="AT78" s="58" t="n">
        <f aca="false">IF(AND($C$78=1,OR($D$78="",AT$29&gt;=$D$78)),MAX(0,MIN(AT76-AT77,AT$31-(AT36+AT42+AT48+AT54+AT60+AT66+AT72))),0)</f>
        <v>0</v>
      </c>
      <c r="AU78" s="58" t="n">
        <f aca="false">IF(AND($C$78=1,OR($D$78="",AU$29&gt;=$D$78)),MAX(0,MIN(AU76-AU77,AU$31-(AU36+AU42+AU48+AU54+AU60+AU66+AU72))),0)</f>
        <v>0</v>
      </c>
      <c r="AV78" s="58" t="n">
        <f aca="false">IF(AND($C$78=1,OR($D$78="",AV$29&gt;=$D$78)),MAX(0,MIN(AV76-AV77,AV$31-(AV36+AV42+AV48+AV54+AV60+AV66+AV72))),0)</f>
        <v>0</v>
      </c>
      <c r="AW78" s="58" t="n">
        <f aca="false">IF(AND($C$78=1,OR($D$78="",AW$29&gt;=$D$78)),MAX(0,MIN(AW76-AW77,AW$31-(AW36+AW42+AW48+AW54+AW60+AW66+AW72))),0)</f>
        <v>0</v>
      </c>
      <c r="AX78" s="58" t="n">
        <f aca="false">IF(AND($C$78=1,OR($D$78="",AX$29&gt;=$D$78)),MAX(0,MIN(AX76-AX77,AX$31-(AX36+AX42+AX48+AX54+AX60+AX66+AX72))),0)</f>
        <v>0</v>
      </c>
      <c r="AY78" s="58" t="n">
        <f aca="false">IF(AND($C$78=1,OR($D$78="",AY$29&gt;=$D$78)),MAX(0,MIN(AY76-AY77,AY$31-(AY36+AY42+AY48+AY54+AY60+AY66+AY72))),0)</f>
        <v>0</v>
      </c>
      <c r="AZ78" s="58" t="n">
        <f aca="false">IF(AND($C$78=1,OR($D$78="",AZ$29&gt;=$D$78)),MAX(0,MIN(AZ76-AZ77,AZ$31-(AZ36+AZ42+AZ48+AZ54+AZ60+AZ66+AZ72))),0)</f>
        <v>0</v>
      </c>
      <c r="BA78" s="58" t="n">
        <f aca="false">IF(AND($C$78=1,OR($D$78="",BA$29&gt;=$D$78)),MAX(0,MIN(BA76-BA77,BA$31-(BA36+BA42+BA48+BA54+BA60+BA66+BA72))),0)</f>
        <v>0</v>
      </c>
      <c r="BB78" s="58" t="n">
        <f aca="false">IF(AND($C$78=1,OR($D$78="",BB$29&gt;=$D$78)),MAX(0,MIN(BB76-BB77,BB$31-(BB36+BB42+BB48+BB54+BB60+BB66+BB72))),0)</f>
        <v>0</v>
      </c>
      <c r="BC78" s="58" t="n">
        <f aca="false">IF(AND($C$78=1,OR($D$78="",BC$29&gt;=$D$78)),MAX(0,MIN(BC76-BC77,BC$31-(BC36+BC42+BC48+BC54+BC60+BC66+BC72))),0)</f>
        <v>0</v>
      </c>
      <c r="BD78" s="58" t="n">
        <f aca="false">IF(AND($C$78=1,OR($D$78="",BD$29&gt;=$D$78)),MAX(0,MIN(BD76-BD77,BD$31-(BD36+BD42+BD48+BD54+BD60+BD66+BD72))),0)</f>
        <v>0</v>
      </c>
      <c r="BE78" s="58" t="n">
        <f aca="false">IF(AND($C$78=1,OR($D$78="",BE$29&gt;=$D$78)),MAX(0,MIN(BE76-BE77,BE$31-(BE36+BE42+BE48+BE54+BE60+BE66+BE72))),0)</f>
        <v>0</v>
      </c>
      <c r="BF78" s="58" t="n">
        <f aca="false">IF(AND($C$78=1,OR($D$78="",BF$29&gt;=$D$78)),MAX(0,MIN(BF76-BF77,BF$31-(BF36+BF42+BF48+BF54+BF60+BF66+BF72))),0)</f>
        <v>0</v>
      </c>
      <c r="BG78" s="58" t="n">
        <f aca="false">IF(AND($C$78=1,OR($D$78="",BG$29&gt;=$D$78)),MAX(0,MIN(BG76-BG77,BG$31-(BG36+BG42+BG48+BG54+BG60+BG66+BG72))),0)</f>
        <v>0</v>
      </c>
      <c r="BH78" s="58" t="n">
        <f aca="false">IF(AND($C$78=1,OR($D$78="",BH$29&gt;=$D$78)),MAX(0,MIN(BH76-BH77,BH$31-(BH36+BH42+BH48+BH54+BH60+BH66+BH72))),0)</f>
        <v>0</v>
      </c>
      <c r="BI78" s="58" t="n">
        <f aca="false">IF(AND($C$78=1,OR($D$78="",BI$29&gt;=$D$78)),MAX(0,MIN(BI76-BI77,BI$31-(BI36+BI42+BI48+BI54+BI60+BI66+BI72))),0)</f>
        <v>0</v>
      </c>
      <c r="BJ78" s="58" t="n">
        <f aca="false">IF(AND($C$78=1,OR($D$78="",BJ$29&gt;=$D$78)),MAX(0,MIN(BJ76-BJ77,BJ$31-(BJ36+BJ42+BJ48+BJ54+BJ60+BJ66+BJ72))),0)</f>
        <v>0</v>
      </c>
      <c r="BK78" s="58" t="n">
        <f aca="false">IF(AND($C$78=1,OR($D$78="",BK$29&gt;=$D$78)),MAX(0,MIN(BK76-BK77,BK$31-(BK36+BK42+BK48+BK54+BK60+BK66+BK72))),0)</f>
        <v>0</v>
      </c>
      <c r="BL78" s="58" t="n">
        <f aca="false">IF(AND($C$78=1,OR($D$78="",BL$29&gt;=$D$78)),MAX(0,MIN(BL76-BL77,BL$31-(BL36+BL42+BL48+BL54+BL60+BL66+BL72))),0)</f>
        <v>0</v>
      </c>
      <c r="BM78" s="58" t="n">
        <f aca="false">IF(AND($C$78=1,OR($D$78="",BM$29&gt;=$D$78)),MAX(0,MIN(BM76-BM77,BM$31-(BM36+BM42+BM48+BM54+BM60+BM66+BM72))),0)</f>
        <v>0</v>
      </c>
      <c r="BN78" s="58" t="n">
        <f aca="false">IF(AND($C$78=1,OR($D$78="",BN$29&gt;=$D$78)),MAX(0,MIN(BN76-BN77,BN$31-(BN36+BN42+BN48+BN54+BN60+BN66+BN72))),0)</f>
        <v>0</v>
      </c>
      <c r="BO78" s="58" t="n">
        <f aca="false">IF(AND($C$78=1,OR($D$78="",BO$29&gt;=$D$78)),MAX(0,MIN(BO76-BO77,BO$31-(BO36+BO42+BO48+BO54+BO60+BO66+BO72))),0)</f>
        <v>0</v>
      </c>
      <c r="BP78" s="58" t="n">
        <f aca="false">IF(AND($C$78=1,OR($D$78="",BP$29&gt;=$D$78)),MAX(0,MIN(BP76-BP77,BP$31-(BP36+BP42+BP48+BP54+BP60+BP66+BP72))),0)</f>
        <v>0</v>
      </c>
      <c r="BQ78" s="58" t="n">
        <f aca="false">IF(AND($C$78=1,OR($D$78="",BQ$29&gt;=$D$78)),MAX(0,MIN(BQ76-BQ77,BQ$31-(BQ36+BQ42+BQ48+BQ54+BQ60+BQ66+BQ72))),0)</f>
        <v>0</v>
      </c>
      <c r="BR78" s="58" t="n">
        <f aca="false">IF(AND($C$78=1,OR($D$78="",BR$29&gt;=$D$78)),MAX(0,MIN(BR76-BR77,BR$31-(BR36+BR42+BR48+BR54+BR60+BR66+BR72))),0)</f>
        <v>0</v>
      </c>
      <c r="BS78" s="58" t="n">
        <f aca="false">IF(AND($C$78=1,OR($D$78="",BS$29&gt;=$D$78)),MAX(0,MIN(BS76-BS77,BS$31-(BS36+BS42+BS48+BS54+BS60+BS66+BS72))),0)</f>
        <v>0</v>
      </c>
      <c r="BT78" s="58" t="n">
        <f aca="false">IF(AND($C$78=1,OR($D$78="",BT$29&gt;=$D$78)),MAX(0,MIN(BT76-BT77,BT$31-(BT36+BT42+BT48+BT54+BT60+BT66+BT72))),0)</f>
        <v>0</v>
      </c>
      <c r="BU78" s="58" t="n">
        <f aca="false">IF(AND($C$78=1,OR($D$78="",BU$29&gt;=$D$78)),MAX(0,MIN(BU76-BU77,BU$31-(BU36+BU42+BU48+BU54+BU60+BU66+BU72))),0)</f>
        <v>0</v>
      </c>
      <c r="BV78" s="58" t="n">
        <f aca="false">IF(AND($C$78=1,OR($D$78="",BV$29&gt;=$D$78)),MAX(0,MIN(BV76-BV77,BV$31-(BV36+BV42+BV48+BV54+BV60+BV66+BV72))),0)</f>
        <v>0</v>
      </c>
      <c r="BW78" s="58" t="n">
        <f aca="false">IF(AND($C$78=1,OR($D$78="",BW$29&gt;=$D$78)),MAX(0,MIN(BW76-BW77,BW$31-(BW36+BW42+BW48+BW54+BW60+BW66+BW72))),0)</f>
        <v>0</v>
      </c>
      <c r="BX78" s="58" t="n">
        <f aca="false">IF(AND($C$78=1,OR($D$78="",BX$29&gt;=$D$78)),MAX(0,MIN(BX76-BX77,BX$31-(BX36+BX42+BX48+BX54+BX60+BX66+BX72))),0)</f>
        <v>0</v>
      </c>
      <c r="BY78" s="58" t="n">
        <f aca="false">IF(AND($C$78=1,OR($D$78="",BY$29&gt;=$D$78)),MAX(0,MIN(BY76-BY77,BY$31-(BY36+BY42+BY48+BY54+BY60+BY66+BY72))),0)</f>
        <v>0</v>
      </c>
      <c r="BZ78" s="58" t="n">
        <f aca="false">IF(AND($C$78=1,OR($D$78="",BZ$29&gt;=$D$78)),MAX(0,MIN(BZ76-BZ77,BZ$31-(BZ36+BZ42+BZ48+BZ54+BZ60+BZ66+BZ72))),0)</f>
        <v>0</v>
      </c>
      <c r="CA78" s="58" t="n">
        <f aca="false">IF(AND($C$78=1,OR($D$78="",CA$29&gt;=$D$78)),MAX(0,MIN(CA76-CA77,CA$31-(CA36+CA42+CA48+CA54+CA60+CA66+CA72))),0)</f>
        <v>0</v>
      </c>
      <c r="CB78" s="58" t="n">
        <f aca="false">IF(AND($C$78=1,OR($D$78="",CB$29&gt;=$D$78)),MAX(0,MIN(CB76-CB77,CB$31-(CB36+CB42+CB48+CB54+CB60+CB66+CB72))),0)</f>
        <v>0</v>
      </c>
      <c r="CC78" s="58" t="n">
        <f aca="false">IF(AND($C$78=1,OR($D$78="",CC$29&gt;=$D$78)),MAX(0,MIN(CC76-CC77,CC$31-(CC36+CC42+CC48+CC54+CC60+CC66+CC72))),0)</f>
        <v>0</v>
      </c>
      <c r="CD78" s="58" t="n">
        <f aca="false">IF(AND($C$78=1,OR($D$78="",CD$29&gt;=$D$78)),MAX(0,MIN(CD76-CD77,CD$31-(CD36+CD42+CD48+CD54+CD60+CD66+CD72))),0)</f>
        <v>0</v>
      </c>
      <c r="CE78" s="58" t="n">
        <f aca="false">IF(AND($C$78=1,OR($D$78="",CE$29&gt;=$D$78)),MAX(0,MIN(CE76-CE77,CE$31-(CE36+CE42+CE48+CE54+CE60+CE66+CE72))),0)</f>
        <v>0</v>
      </c>
      <c r="CF78" s="58" t="n">
        <f aca="false">IF(AND($C$78=1,OR($D$78="",CF$29&gt;=$D$78)),MAX(0,MIN(CF76-CF77,CF$31-(CF36+CF42+CF48+CF54+CF60+CF66+CF72))),0)</f>
        <v>0</v>
      </c>
      <c r="CG78" s="58" t="n">
        <f aca="false">IF(AND($C$78=1,OR($D$78="",CG$29&gt;=$D$78)),MAX(0,MIN(CG76-CG77,CG$31-(CG36+CG42+CG48+CG54+CG60+CG66+CG72))),0)</f>
        <v>0</v>
      </c>
      <c r="CH78" s="58" t="n">
        <f aca="false">IF(AND($C$78=1,OR($D$78="",CH$29&gt;=$D$78)),MAX(0,MIN(CH76-CH77,CH$31-(CH36+CH42+CH48+CH54+CH60+CH66+CH72))),0)</f>
        <v>0</v>
      </c>
      <c r="CI78" s="58" t="n">
        <f aca="false">IF(AND($C$78=1,OR($D$78="",CI$29&gt;=$D$78)),MAX(0,MIN(CI76-CI77,CI$31-(CI36+CI42+CI48+CI54+CI60+CI66+CI72))),0)</f>
        <v>0</v>
      </c>
      <c r="CJ78" s="58" t="n">
        <f aca="false">IF(AND($C$78=1,OR($D$78="",CJ$29&gt;=$D$78)),MAX(0,MIN(CJ76-CJ77,CJ$31-(CJ36+CJ42+CJ48+CJ54+CJ60+CJ66+CJ72))),0)</f>
        <v>0</v>
      </c>
      <c r="CK78" s="58" t="n">
        <f aca="false">IF(AND($C$78=1,OR($D$78="",CK$29&gt;=$D$78)),MAX(0,MIN(CK76-CK77,CK$31-(CK36+CK42+CK48+CK54+CK60+CK66+CK72))),0)</f>
        <v>0</v>
      </c>
      <c r="CL78" s="58" t="n">
        <f aca="false">IF(AND($C$78=1,OR($D$78="",CL$29&gt;=$D$78)),MAX(0,MIN(CL76-CL77,CL$31-(CL36+CL42+CL48+CL54+CL60+CL66+CL72))),0)</f>
        <v>0</v>
      </c>
      <c r="CM78" s="58" t="n">
        <f aca="false">IF(AND($C$78=1,OR($D$78="",CM$29&gt;=$D$78)),MAX(0,MIN(CM76-CM77,CM$31-(CM36+CM42+CM48+CM54+CM60+CM66+CM72))),0)</f>
        <v>0</v>
      </c>
      <c r="CN78" s="58" t="n">
        <f aca="false">IF(AND($C$78=1,OR($D$78="",CN$29&gt;=$D$78)),MAX(0,MIN(CN76-CN77,CN$31-(CN36+CN42+CN48+CN54+CN60+CN66+CN72))),0)</f>
        <v>0</v>
      </c>
      <c r="CO78" s="58" t="n">
        <f aca="false">IF(AND($C$78=1,OR($D$78="",CO$29&gt;=$D$78)),MAX(0,MIN(CO76-CO77,CO$31-(CO36+CO42+CO48+CO54+CO60+CO66+CO72))),0)</f>
        <v>0</v>
      </c>
      <c r="CP78" s="58" t="n">
        <f aca="false">IF(AND($C$78=1,OR($D$78="",CP$29&gt;=$D$78)),MAX(0,MIN(CP76-CP77,CP$31-(CP36+CP42+CP48+CP54+CP60+CP66+CP72))),0)</f>
        <v>0</v>
      </c>
      <c r="CQ78" s="58" t="n">
        <f aca="false">IF(AND($C$78=1,OR($D$78="",CQ$29&gt;=$D$78)),MAX(0,MIN(CQ76-CQ77,CQ$31-(CQ36+CQ42+CQ48+CQ54+CQ60+CQ66+CQ72))),0)</f>
        <v>0</v>
      </c>
      <c r="CR78" s="58" t="n">
        <f aca="false">IF(AND($C$78=1,OR($D$78="",CR$29&gt;=$D$78)),MAX(0,MIN(CR76-CR77,CR$31-(CR36+CR42+CR48+CR54+CR60+CR66+CR72))),0)</f>
        <v>0</v>
      </c>
      <c r="CS78" s="58" t="n">
        <f aca="false">IF(AND($C$78=1,OR($D$78="",CS$29&gt;=$D$78)),MAX(0,MIN(CS76-CS77,CS$31-(CS36+CS42+CS48+CS54+CS60+CS66+CS72))),0)</f>
        <v>0</v>
      </c>
      <c r="CT78" s="58" t="n">
        <f aca="false">IF(AND($C$78=1,OR($D$78="",CT$29&gt;=$D$78)),MAX(0,MIN(CT76-CT77,CT$31-(CT36+CT42+CT48+CT54+CT60+CT66+CT72))),0)</f>
        <v>0</v>
      </c>
      <c r="CU78" s="58" t="n">
        <f aca="false">IF(AND($C$78=1,OR($D$78="",CU$29&gt;=$D$78)),MAX(0,MIN(CU76-CU77,CU$31-(CU36+CU42+CU48+CU54+CU60+CU66+CU72))),0)</f>
        <v>0</v>
      </c>
      <c r="CV78" s="58" t="n">
        <f aca="false">IF(AND($C$78=1,OR($D$78="",CV$29&gt;=$D$78)),MAX(0,MIN(CV76-CV77,CV$31-(CV36+CV42+CV48+CV54+CV60+CV66+CV72))),0)</f>
        <v>0</v>
      </c>
      <c r="CW78" s="58" t="n">
        <f aca="false">IF(AND($C$78=1,OR($D$78="",CW$29&gt;=$D$78)),MAX(0,MIN(CW76-CW77,CW$31-(CW36+CW42+CW48+CW54+CW60+CW66+CW72))),0)</f>
        <v>0</v>
      </c>
      <c r="CX78" s="58" t="n">
        <f aca="false">IF(AND($C$78=1,OR($D$78="",CX$29&gt;=$D$78)),MAX(0,MIN(CX76-CX77,CX$31-(CX36+CX42+CX48+CX54+CX60+CX66+CX72))),0)</f>
        <v>0</v>
      </c>
      <c r="CY78" s="58" t="n">
        <f aca="false">IF(AND($C$78=1,OR($D$78="",CY$29&gt;=$D$78)),MAX(0,MIN(CY76-CY77,CY$31-(CY36+CY42+CY48+CY54+CY60+CY66+CY72))),0)</f>
        <v>0</v>
      </c>
      <c r="CZ78" s="58" t="n">
        <f aca="false">IF(AND($C$78=1,OR($D$78="",CZ$29&gt;=$D$78)),MAX(0,MIN(CZ76-CZ77,CZ$31-(CZ36+CZ42+CZ48+CZ54+CZ60+CZ66+CZ72))),0)</f>
        <v>0</v>
      </c>
      <c r="DA78" s="58" t="n">
        <f aca="false">IF(AND($C$78=1,OR($D$78="",DA$29&gt;=$D$78)),MAX(0,MIN(DA76-DA77,DA$31-(DA36+DA42+DA48+DA54+DA60+DA66+DA72))),0)</f>
        <v>0</v>
      </c>
      <c r="DB78" s="58" t="n">
        <f aca="false">IF(AND($C$78=1,OR($D$78="",DB$29&gt;=$D$78)),MAX(0,MIN(DB76-DB77,DB$31-(DB36+DB42+DB48+DB54+DB60+DB66+DB72))),0)</f>
        <v>0</v>
      </c>
      <c r="DC78" s="58" t="n">
        <f aca="false">IF(AND($C$78=1,OR($D$78="",DC$29&gt;=$D$78)),MAX(0,MIN(DC76-DC77,DC$31-(DC36+DC42+DC48+DC54+DC60+DC66+DC72))),0)</f>
        <v>0</v>
      </c>
      <c r="DD78" s="58" t="n">
        <f aca="false">IF(AND($C$78=1,OR($D$78="",DD$29&gt;=$D$78)),MAX(0,MIN(DD76-DD77,DD$31-(DD36+DD42+DD48+DD54+DD60+DD66+DD72))),0)</f>
        <v>0</v>
      </c>
      <c r="DE78" s="58" t="n">
        <f aca="false">IF(AND($C$78=1,OR($D$78="",DE$29&gt;=$D$78)),MAX(0,MIN(DE76-DE77,DE$31-(DE36+DE42+DE48+DE54+DE60+DE66+DE72))),0)</f>
        <v>0</v>
      </c>
      <c r="DF78" s="58" t="n">
        <f aca="false">IF(AND($C$78=1,OR($D$78="",DF$29&gt;=$D$78)),MAX(0,MIN(DF76-DF77,DF$31-(DF36+DF42+DF48+DF54+DF60+DF66+DF72))),0)</f>
        <v>0</v>
      </c>
      <c r="DG78" s="58" t="n">
        <f aca="false">IF(AND($C$78=1,OR($D$78="",DG$29&gt;=$D$78)),MAX(0,MIN(DG76-DG77,DG$31-(DG36+DG42+DG48+DG54+DG60+DG66+DG72))),0)</f>
        <v>0</v>
      </c>
      <c r="DH78" s="58" t="n">
        <f aca="false">IF(AND($C$78=1,OR($D$78="",DH$29&gt;=$D$78)),MAX(0,MIN(DH76-DH77,DH$31-(DH36+DH42+DH48+DH54+DH60+DH66+DH72))),0)</f>
        <v>0</v>
      </c>
      <c r="DI78" s="58" t="n">
        <f aca="false">IF(AND($C$78=1,OR($D$78="",DI$29&gt;=$D$78)),MAX(0,MIN(DI76-DI77,DI$31-(DI36+DI42+DI48+DI54+DI60+DI66+DI72))),0)</f>
        <v>0</v>
      </c>
      <c r="DJ78" s="58" t="n">
        <f aca="false">IF(AND($C$78=1,OR($D$78="",DJ$29&gt;=$D$78)),MAX(0,MIN(DJ76-DJ77,DJ$31-(DJ36+DJ42+DJ48+DJ54+DJ60+DJ66+DJ72))),0)</f>
        <v>0</v>
      </c>
      <c r="DK78" s="58" t="n">
        <f aca="false">IF(AND($C$78=1,OR($D$78="",DK$29&gt;=$D$78)),MAX(0,MIN(DK76-DK77,DK$31-(DK36+DK42+DK48+DK54+DK60+DK66+DK72))),0)</f>
        <v>0</v>
      </c>
      <c r="DL78" s="58" t="n">
        <f aca="false">IF(AND($C$78=1,OR($D$78="",DL$29&gt;=$D$78)),MAX(0,MIN(DL76-DL77,DL$31-(DL36+DL42+DL48+DL54+DL60+DL66+DL72))),0)</f>
        <v>0</v>
      </c>
      <c r="DM78" s="58" t="n">
        <f aca="false">IF(AND($C$78=1,OR($D$78="",DM$29&gt;=$D$78)),MAX(0,MIN(DM76-DM77,DM$31-(DM36+DM42+DM48+DM54+DM60+DM66+DM72))),0)</f>
        <v>0</v>
      </c>
      <c r="DN78" s="58" t="n">
        <f aca="false">IF(AND($C$78=1,OR($D$78="",DN$29&gt;=$D$78)),MAX(0,MIN(DN76-DN77,DN$31-(DN36+DN42+DN48+DN54+DN60+DN66+DN72))),0)</f>
        <v>0</v>
      </c>
      <c r="DO78" s="58" t="n">
        <f aca="false">IF(AND($C$78=1,OR($D$78="",DO$29&gt;=$D$78)),MAX(0,MIN(DO76-DO77,DO$31-(DO36+DO42+DO48+DO54+DO60+DO66+DO72))),0)</f>
        <v>0</v>
      </c>
      <c r="DP78" s="58" t="n">
        <f aca="false">IF(AND($C$78=1,OR($D$78="",DP$29&gt;=$D$78)),MAX(0,MIN(DP76-DP77,DP$31-(DP36+DP42+DP48+DP54+DP60+DP66+DP72))),0)</f>
        <v>0</v>
      </c>
      <c r="DQ78" s="58" t="n">
        <f aca="false">IF(AND($C$78=1,OR($D$78="",DQ$29&gt;=$D$78)),MAX(0,MIN(DQ76-DQ77,DQ$31-(DQ36+DQ42+DQ48+DQ54+DQ60+DQ66+DQ72))),0)</f>
        <v>0</v>
      </c>
      <c r="DR78" s="58" t="n">
        <f aca="false">IF(AND($C$78=1,OR($D$78="",DR$29&gt;=$D$78)),MAX(0,MIN(DR76-DR77,DR$31-(DR36+DR42+DR48+DR54+DR60+DR66+DR72))),0)</f>
        <v>0</v>
      </c>
      <c r="DS78" s="58" t="n">
        <f aca="false">IF(AND($C$78=1,OR($D$78="",DS$29&gt;=$D$78)),MAX(0,MIN(DS76-DS77,DS$31-(DS36+DS42+DS48+DS54+DS60+DS66+DS72))),0)</f>
        <v>0</v>
      </c>
      <c r="DT78" s="58" t="n">
        <f aca="false">IF(AND($C$78=1,OR($D$78="",DT$29&gt;=$D$78)),MAX(0,MIN(DT76-DT77,DT$31-(DT36+DT42+DT48+DT54+DT60+DT66+DT72))),0)</f>
        <v>0</v>
      </c>
    </row>
    <row r="79" customFormat="false" ht="15" hidden="false" customHeight="false" outlineLevel="0" collapsed="false">
      <c r="B79" s="24" t="s">
        <v>187</v>
      </c>
      <c r="C79" s="23" t="s">
        <v>383</v>
      </c>
      <c r="D79" s="89" t="n">
        <f aca="false">IF($C$80=0,D80,MAX(0,D80-MAX(0,$C$10-($D$38*$C$38+$D$44*$C$44+$D$50*$C$50+$D$56*$C$56+$D$62*$C$62+$D$68*$C$68+$D$74*$C$74))))</f>
        <v>0</v>
      </c>
      <c r="E79" s="89" t="n">
        <f aca="false">E76-E77-E78</f>
        <v>0</v>
      </c>
      <c r="F79" s="89" t="n">
        <f aca="false">F76-F77-F78</f>
        <v>0</v>
      </c>
      <c r="G79" s="89" t="n">
        <f aca="false">G76-G77-G78</f>
        <v>0</v>
      </c>
      <c r="H79" s="89" t="n">
        <f aca="false">H76-H77-H78</f>
        <v>0</v>
      </c>
      <c r="I79" s="89" t="n">
        <f aca="false">I76-I77-I78</f>
        <v>0</v>
      </c>
      <c r="J79" s="89" t="n">
        <f aca="false">J76-J77-J78</f>
        <v>0</v>
      </c>
      <c r="K79" s="89" t="n">
        <f aca="false">K76-K77-K78</f>
        <v>0</v>
      </c>
      <c r="L79" s="89" t="n">
        <f aca="false">L76-L77-L78</f>
        <v>0</v>
      </c>
      <c r="M79" s="89" t="n">
        <f aca="false">M76-M77-M78</f>
        <v>0</v>
      </c>
      <c r="N79" s="89" t="n">
        <f aca="false">N76-N77-N78</f>
        <v>0</v>
      </c>
      <c r="O79" s="89" t="n">
        <f aca="false">O76-O77-O78</f>
        <v>0</v>
      </c>
      <c r="P79" s="89" t="n">
        <f aca="false">P76-P77-P78</f>
        <v>0</v>
      </c>
      <c r="Q79" s="89" t="n">
        <f aca="false">Q76-Q77-Q78</f>
        <v>0</v>
      </c>
      <c r="R79" s="89" t="n">
        <f aca="false">R76-R77-R78</f>
        <v>0</v>
      </c>
      <c r="S79" s="89" t="n">
        <f aca="false">S76-S77-S78</f>
        <v>0</v>
      </c>
      <c r="T79" s="89" t="n">
        <f aca="false">T76-T77-T78</f>
        <v>0</v>
      </c>
      <c r="U79" s="89" t="n">
        <f aca="false">U76-U77-U78</f>
        <v>0</v>
      </c>
      <c r="V79" s="89" t="n">
        <f aca="false">V76-V77-V78</f>
        <v>0</v>
      </c>
      <c r="W79" s="89" t="n">
        <f aca="false">W76-W77-W78</f>
        <v>0</v>
      </c>
      <c r="X79" s="89" t="n">
        <f aca="false">X76-X77-X78</f>
        <v>0</v>
      </c>
      <c r="Y79" s="89" t="n">
        <f aca="false">Y76-Y77-Y78</f>
        <v>0</v>
      </c>
      <c r="Z79" s="89" t="n">
        <f aca="false">Z76-Z77-Z78</f>
        <v>0</v>
      </c>
      <c r="AA79" s="89" t="n">
        <f aca="false">AA76-AA77-AA78</f>
        <v>0</v>
      </c>
      <c r="AB79" s="89" t="n">
        <f aca="false">AB76-AB77-AB78</f>
        <v>0</v>
      </c>
      <c r="AC79" s="89" t="n">
        <f aca="false">AC76-AC77-AC78</f>
        <v>0</v>
      </c>
      <c r="AD79" s="89" t="n">
        <f aca="false">AD76-AD77-AD78</f>
        <v>0</v>
      </c>
      <c r="AE79" s="89" t="n">
        <f aca="false">AE76-AE77-AE78</f>
        <v>0</v>
      </c>
      <c r="AF79" s="89" t="n">
        <f aca="false">AF76-AF77-AF78</f>
        <v>0</v>
      </c>
      <c r="AG79" s="89" t="n">
        <f aca="false">AG76-AG77-AG78</f>
        <v>0</v>
      </c>
      <c r="AH79" s="89" t="n">
        <f aca="false">AH76-AH77-AH78</f>
        <v>0</v>
      </c>
      <c r="AI79" s="89" t="n">
        <f aca="false">AI76-AI77-AI78</f>
        <v>0</v>
      </c>
      <c r="AJ79" s="89" t="n">
        <f aca="false">AJ76-AJ77-AJ78</f>
        <v>0</v>
      </c>
      <c r="AK79" s="89" t="n">
        <f aca="false">AK76-AK77-AK78</f>
        <v>0</v>
      </c>
      <c r="AL79" s="89" t="n">
        <f aca="false">AL76-AL77-AL78</f>
        <v>0</v>
      </c>
      <c r="AM79" s="89" t="n">
        <f aca="false">AM76-AM77-AM78</f>
        <v>0</v>
      </c>
      <c r="AN79" s="89" t="n">
        <f aca="false">AN76-AN77-AN78</f>
        <v>0</v>
      </c>
      <c r="AO79" s="89" t="n">
        <f aca="false">AO76-AO77-AO78</f>
        <v>0</v>
      </c>
      <c r="AP79" s="89" t="n">
        <f aca="false">AP76-AP77-AP78</f>
        <v>0</v>
      </c>
      <c r="AQ79" s="89" t="n">
        <f aca="false">AQ76-AQ77-AQ78</f>
        <v>0</v>
      </c>
      <c r="AR79" s="89" t="n">
        <f aca="false">AR76-AR77-AR78</f>
        <v>0</v>
      </c>
      <c r="AS79" s="89" t="n">
        <f aca="false">AS76-AS77-AS78</f>
        <v>0</v>
      </c>
      <c r="AT79" s="89" t="n">
        <f aca="false">AT76-AT77-AT78</f>
        <v>0</v>
      </c>
      <c r="AU79" s="89" t="n">
        <f aca="false">AU76-AU77-AU78</f>
        <v>0</v>
      </c>
      <c r="AV79" s="89" t="n">
        <f aca="false">AV76-AV77-AV78</f>
        <v>0</v>
      </c>
      <c r="AW79" s="89" t="n">
        <f aca="false">AW76-AW77-AW78</f>
        <v>0</v>
      </c>
      <c r="AX79" s="89" t="n">
        <f aca="false">AX76-AX77-AX78</f>
        <v>0</v>
      </c>
      <c r="AY79" s="89" t="n">
        <f aca="false">AY76-AY77-AY78</f>
        <v>0</v>
      </c>
      <c r="AZ79" s="89" t="n">
        <f aca="false">AZ76-AZ77-AZ78</f>
        <v>0</v>
      </c>
      <c r="BA79" s="89" t="n">
        <f aca="false">BA76-BA77-BA78</f>
        <v>0</v>
      </c>
      <c r="BB79" s="89" t="n">
        <f aca="false">BB76-BB77-BB78</f>
        <v>0</v>
      </c>
      <c r="BC79" s="89" t="n">
        <f aca="false">BC76-BC77-BC78</f>
        <v>0</v>
      </c>
      <c r="BD79" s="89" t="n">
        <f aca="false">BD76-BD77-BD78</f>
        <v>0</v>
      </c>
      <c r="BE79" s="89" t="n">
        <f aca="false">BE76-BE77-BE78</f>
        <v>0</v>
      </c>
      <c r="BF79" s="89" t="n">
        <f aca="false">BF76-BF77-BF78</f>
        <v>0</v>
      </c>
      <c r="BG79" s="89" t="n">
        <f aca="false">BG76-BG77-BG78</f>
        <v>0</v>
      </c>
      <c r="BH79" s="89" t="n">
        <f aca="false">BH76-BH77-BH78</f>
        <v>0</v>
      </c>
      <c r="BI79" s="89" t="n">
        <f aca="false">BI76-BI77-BI78</f>
        <v>0</v>
      </c>
      <c r="BJ79" s="89" t="n">
        <f aca="false">BJ76-BJ77-BJ78</f>
        <v>0</v>
      </c>
      <c r="BK79" s="89" t="n">
        <f aca="false">BK76-BK77-BK78</f>
        <v>0</v>
      </c>
      <c r="BL79" s="89" t="n">
        <f aca="false">BL76-BL77-BL78</f>
        <v>0</v>
      </c>
      <c r="BM79" s="89" t="n">
        <f aca="false">BM76-BM77-BM78</f>
        <v>0</v>
      </c>
      <c r="BN79" s="89" t="n">
        <f aca="false">BN76-BN77-BN78</f>
        <v>0</v>
      </c>
      <c r="BO79" s="89" t="n">
        <f aca="false">BO76-BO77-BO78</f>
        <v>0</v>
      </c>
      <c r="BP79" s="89" t="n">
        <f aca="false">BP76-BP77-BP78</f>
        <v>0</v>
      </c>
      <c r="BQ79" s="89" t="n">
        <f aca="false">BQ76-BQ77-BQ78</f>
        <v>0</v>
      </c>
      <c r="BR79" s="89" t="n">
        <f aca="false">BR76-BR77-BR78</f>
        <v>0</v>
      </c>
      <c r="BS79" s="89" t="n">
        <f aca="false">BS76-BS77-BS78</f>
        <v>0</v>
      </c>
      <c r="BT79" s="89" t="n">
        <f aca="false">BT76-BT77-BT78</f>
        <v>0</v>
      </c>
      <c r="BU79" s="89" t="n">
        <f aca="false">BU76-BU77-BU78</f>
        <v>0</v>
      </c>
      <c r="BV79" s="89" t="n">
        <f aca="false">BV76-BV77-BV78</f>
        <v>0</v>
      </c>
      <c r="BW79" s="89" t="n">
        <f aca="false">BW76-BW77-BW78</f>
        <v>0</v>
      </c>
      <c r="BX79" s="89" t="n">
        <f aca="false">BX76-BX77-BX78</f>
        <v>0</v>
      </c>
      <c r="BY79" s="89" t="n">
        <f aca="false">BY76-BY77-BY78</f>
        <v>0</v>
      </c>
      <c r="BZ79" s="89" t="n">
        <f aca="false">BZ76-BZ77-BZ78</f>
        <v>0</v>
      </c>
      <c r="CA79" s="89" t="n">
        <f aca="false">CA76-CA77-CA78</f>
        <v>0</v>
      </c>
      <c r="CB79" s="89" t="n">
        <f aca="false">CB76-CB77-CB78</f>
        <v>0</v>
      </c>
      <c r="CC79" s="89" t="n">
        <f aca="false">CC76-CC77-CC78</f>
        <v>0</v>
      </c>
      <c r="CD79" s="89" t="n">
        <f aca="false">CD76-CD77-CD78</f>
        <v>0</v>
      </c>
      <c r="CE79" s="89" t="n">
        <f aca="false">CE76-CE77-CE78</f>
        <v>0</v>
      </c>
      <c r="CF79" s="89" t="n">
        <f aca="false">CF76-CF77-CF78</f>
        <v>0</v>
      </c>
      <c r="CG79" s="89" t="n">
        <f aca="false">CG76-CG77-CG78</f>
        <v>0</v>
      </c>
      <c r="CH79" s="89" t="n">
        <f aca="false">CH76-CH77-CH78</f>
        <v>0</v>
      </c>
      <c r="CI79" s="89" t="n">
        <f aca="false">CI76-CI77-CI78</f>
        <v>0</v>
      </c>
      <c r="CJ79" s="89" t="n">
        <f aca="false">CJ76-CJ77-CJ78</f>
        <v>0</v>
      </c>
      <c r="CK79" s="89" t="n">
        <f aca="false">CK76-CK77-CK78</f>
        <v>0</v>
      </c>
      <c r="CL79" s="89" t="n">
        <f aca="false">CL76-CL77-CL78</f>
        <v>0</v>
      </c>
      <c r="CM79" s="89" t="n">
        <f aca="false">CM76-CM77-CM78</f>
        <v>0</v>
      </c>
      <c r="CN79" s="89" t="n">
        <f aca="false">CN76-CN77-CN78</f>
        <v>0</v>
      </c>
      <c r="CO79" s="89" t="n">
        <f aca="false">CO76-CO77-CO78</f>
        <v>0</v>
      </c>
      <c r="CP79" s="89" t="n">
        <f aca="false">CP76-CP77-CP78</f>
        <v>0</v>
      </c>
      <c r="CQ79" s="89" t="n">
        <f aca="false">CQ76-CQ77-CQ78</f>
        <v>0</v>
      </c>
      <c r="CR79" s="89" t="n">
        <f aca="false">CR76-CR77-CR78</f>
        <v>0</v>
      </c>
      <c r="CS79" s="89" t="n">
        <f aca="false">CS76-CS77-CS78</f>
        <v>0</v>
      </c>
      <c r="CT79" s="89" t="n">
        <f aca="false">CT76-CT77-CT78</f>
        <v>0</v>
      </c>
      <c r="CU79" s="89" t="n">
        <f aca="false">CU76-CU77-CU78</f>
        <v>0</v>
      </c>
      <c r="CV79" s="89" t="n">
        <f aca="false">CV76-CV77-CV78</f>
        <v>0</v>
      </c>
      <c r="CW79" s="89" t="n">
        <f aca="false">CW76-CW77-CW78</f>
        <v>0</v>
      </c>
      <c r="CX79" s="89" t="n">
        <f aca="false">CX76-CX77-CX78</f>
        <v>0</v>
      </c>
      <c r="CY79" s="89" t="n">
        <f aca="false">CY76-CY77-CY78</f>
        <v>0</v>
      </c>
      <c r="CZ79" s="89" t="n">
        <f aca="false">CZ76-CZ77-CZ78</f>
        <v>0</v>
      </c>
      <c r="DA79" s="89" t="n">
        <f aca="false">DA76-DA77-DA78</f>
        <v>0</v>
      </c>
      <c r="DB79" s="89" t="n">
        <f aca="false">DB76-DB77-DB78</f>
        <v>0</v>
      </c>
      <c r="DC79" s="89" t="n">
        <f aca="false">DC76-DC77-DC78</f>
        <v>0</v>
      </c>
      <c r="DD79" s="89" t="n">
        <f aca="false">DD76-DD77-DD78</f>
        <v>0</v>
      </c>
      <c r="DE79" s="89" t="n">
        <f aca="false">DE76-DE77-DE78</f>
        <v>0</v>
      </c>
      <c r="DF79" s="89" t="n">
        <f aca="false">DF76-DF77-DF78</f>
        <v>0</v>
      </c>
      <c r="DG79" s="89" t="n">
        <f aca="false">DG76-DG77-DG78</f>
        <v>0</v>
      </c>
      <c r="DH79" s="89" t="n">
        <f aca="false">DH76-DH77-DH78</f>
        <v>0</v>
      </c>
      <c r="DI79" s="89" t="n">
        <f aca="false">DI76-DI77-DI78</f>
        <v>0</v>
      </c>
      <c r="DJ79" s="89" t="n">
        <f aca="false">DJ76-DJ77-DJ78</f>
        <v>0</v>
      </c>
      <c r="DK79" s="89" t="n">
        <f aca="false">DK76-DK77-DK78</f>
        <v>0</v>
      </c>
      <c r="DL79" s="89" t="n">
        <f aca="false">DL76-DL77-DL78</f>
        <v>0</v>
      </c>
      <c r="DM79" s="89" t="n">
        <f aca="false">DM76-DM77-DM78</f>
        <v>0</v>
      </c>
      <c r="DN79" s="89" t="n">
        <f aca="false">DN76-DN77-DN78</f>
        <v>0</v>
      </c>
      <c r="DO79" s="89" t="n">
        <f aca="false">DO76-DO77-DO78</f>
        <v>0</v>
      </c>
      <c r="DP79" s="89" t="n">
        <f aca="false">DP76-DP77-DP78</f>
        <v>0</v>
      </c>
      <c r="DQ79" s="89" t="n">
        <f aca="false">DQ76-DQ77-DQ78</f>
        <v>0</v>
      </c>
      <c r="DR79" s="89" t="n">
        <f aca="false">DR76-DR77-DR78</f>
        <v>0</v>
      </c>
      <c r="DS79" s="89" t="n">
        <f aca="false">DS76-DS77-DS78</f>
        <v>0</v>
      </c>
      <c r="DT79" s="89" t="n">
        <f aca="false">DT76-DT77-DT78</f>
        <v>0</v>
      </c>
    </row>
    <row r="80" customFormat="false" ht="15" hidden="false" customHeight="false" outlineLevel="0" collapsed="false">
      <c r="C80" s="96" t="n">
        <f aca="false">IF(AND(C78=1,OR(D78="",D78&lt;=$C$11)),1,0)</f>
        <v>0</v>
      </c>
      <c r="D80" s="99" t="n">
        <f aca="false">IF(C75=0,0,N(INDEX($D$13:$D$20,C75)))</f>
        <v>0</v>
      </c>
    </row>
    <row r="84" customFormat="false" ht="15" hidden="false" customHeight="false" outlineLevel="0" collapsed="false">
      <c r="B84" s="9" t="s">
        <v>384</v>
      </c>
      <c r="C84" s="10"/>
      <c r="D84" s="10"/>
      <c r="E84" s="10"/>
      <c r="F84" s="10"/>
    </row>
    <row r="85" customFormat="false" ht="30" hidden="false" customHeight="true" outlineLevel="0" collapsed="false">
      <c r="B85" s="11" t="s">
        <v>385</v>
      </c>
      <c r="C85" s="12" t="s">
        <v>258</v>
      </c>
      <c r="D85" s="12" t="s">
        <v>386</v>
      </c>
      <c r="E85" s="12" t="s">
        <v>364</v>
      </c>
      <c r="F85" s="12" t="s">
        <v>387</v>
      </c>
    </row>
    <row r="86" customFormat="false" ht="15" hidden="false" customHeight="false" outlineLevel="0" collapsed="false">
      <c r="B86" s="51" t="n">
        <v>1</v>
      </c>
      <c r="C86" s="17" t="str">
        <f aca="false">D33</f>
        <v>(sin deuda)</v>
      </c>
      <c r="D86" s="58" t="n">
        <f aca="false">D37</f>
        <v>0</v>
      </c>
      <c r="E86" s="51" t="n">
        <f aca="false">IF(D86=0,0,IF(DT37&gt;0.5,"Más de 120",COUNTIF(E37:DT37,"&gt;0.5")+1))</f>
        <v>0</v>
      </c>
      <c r="F86" s="58" t="n">
        <f aca="false">IF(D86=0,0,SUM(E35:DT35)+SUM(E36:DT36)+DT37-D86)</f>
        <v>0</v>
      </c>
    </row>
    <row r="87" customFormat="false" ht="15" hidden="false" customHeight="false" outlineLevel="0" collapsed="false">
      <c r="B87" s="51" t="n">
        <v>2</v>
      </c>
      <c r="C87" s="17" t="str">
        <f aca="false">D39</f>
        <v>(sin deuda)</v>
      </c>
      <c r="D87" s="58" t="n">
        <f aca="false">D43</f>
        <v>0</v>
      </c>
      <c r="E87" s="51" t="n">
        <f aca="false">IF(D87=0,0,IF(DT43&gt;0.5,"Más de 120",COUNTIF(E43:DT43,"&gt;0.5")+1))</f>
        <v>0</v>
      </c>
      <c r="F87" s="58" t="n">
        <f aca="false">IF(D87=0,0,SUM(E41:DT41)+SUM(E42:DT42)+DT43-D87)</f>
        <v>0</v>
      </c>
    </row>
    <row r="88" customFormat="false" ht="15" hidden="false" customHeight="false" outlineLevel="0" collapsed="false">
      <c r="B88" s="51" t="n">
        <v>3</v>
      </c>
      <c r="C88" s="17" t="str">
        <f aca="false">D45</f>
        <v>(sin deuda)</v>
      </c>
      <c r="D88" s="58" t="n">
        <f aca="false">D49</f>
        <v>0</v>
      </c>
      <c r="E88" s="51" t="n">
        <f aca="false">IF(D88=0,0,IF(DT49&gt;0.5,"Más de 120",COUNTIF(E49:DT49,"&gt;0.5")+1))</f>
        <v>0</v>
      </c>
      <c r="F88" s="58" t="n">
        <f aca="false">IF(D88=0,0,SUM(E47:DT47)+SUM(E48:DT48)+DT49-D88)</f>
        <v>0</v>
      </c>
    </row>
    <row r="89" customFormat="false" ht="15" hidden="false" customHeight="false" outlineLevel="0" collapsed="false">
      <c r="B89" s="51" t="n">
        <v>4</v>
      </c>
      <c r="C89" s="17" t="str">
        <f aca="false">D51</f>
        <v>(sin deuda)</v>
      </c>
      <c r="D89" s="58" t="n">
        <f aca="false">D55</f>
        <v>0</v>
      </c>
      <c r="E89" s="51" t="n">
        <f aca="false">IF(D89=0,0,IF(DT55&gt;0.5,"Más de 120",COUNTIF(E55:DT55,"&gt;0.5")+1))</f>
        <v>0</v>
      </c>
      <c r="F89" s="58" t="n">
        <f aca="false">IF(D89=0,0,SUM(E53:DT53)+SUM(E54:DT54)+DT55-D89)</f>
        <v>0</v>
      </c>
    </row>
    <row r="90" customFormat="false" ht="15" hidden="false" customHeight="false" outlineLevel="0" collapsed="false">
      <c r="B90" s="51" t="n">
        <v>5</v>
      </c>
      <c r="C90" s="17" t="str">
        <f aca="false">D57</f>
        <v>(sin deuda)</v>
      </c>
      <c r="D90" s="58" t="n">
        <f aca="false">D61</f>
        <v>0</v>
      </c>
      <c r="E90" s="51" t="n">
        <f aca="false">IF(D90=0,0,IF(DT61&gt;0.5,"Más de 120",COUNTIF(E61:DT61,"&gt;0.5")+1))</f>
        <v>0</v>
      </c>
      <c r="F90" s="58" t="n">
        <f aca="false">IF(D90=0,0,SUM(E59:DT59)+SUM(E60:DT60)+DT61-D90)</f>
        <v>0</v>
      </c>
    </row>
    <row r="91" customFormat="false" ht="15" hidden="false" customHeight="false" outlineLevel="0" collapsed="false">
      <c r="B91" s="51" t="n">
        <v>6</v>
      </c>
      <c r="C91" s="17" t="str">
        <f aca="false">D63</f>
        <v>(sin deuda)</v>
      </c>
      <c r="D91" s="58" t="n">
        <f aca="false">D67</f>
        <v>0</v>
      </c>
      <c r="E91" s="51" t="n">
        <f aca="false">IF(D91=0,0,IF(DT67&gt;0.5,"Más de 120",COUNTIF(E67:DT67,"&gt;0.5")+1))</f>
        <v>0</v>
      </c>
      <c r="F91" s="58" t="n">
        <f aca="false">IF(D91=0,0,SUM(E65:DT65)+SUM(E66:DT66)+DT67-D91)</f>
        <v>0</v>
      </c>
    </row>
    <row r="92" customFormat="false" ht="15" hidden="false" customHeight="false" outlineLevel="0" collapsed="false">
      <c r="B92" s="51" t="n">
        <v>7</v>
      </c>
      <c r="C92" s="17" t="str">
        <f aca="false">D69</f>
        <v>(sin deuda)</v>
      </c>
      <c r="D92" s="58" t="n">
        <f aca="false">D73</f>
        <v>0</v>
      </c>
      <c r="E92" s="51" t="n">
        <f aca="false">IF(D92=0,0,IF(DT73&gt;0.5,"Más de 120",COUNTIF(E73:DT73,"&gt;0.5")+1))</f>
        <v>0</v>
      </c>
      <c r="F92" s="58" t="n">
        <f aca="false">IF(D92=0,0,SUM(E71:DT71)+SUM(E72:DT72)+DT73-D92)</f>
        <v>0</v>
      </c>
    </row>
    <row r="93" customFormat="false" ht="15" hidden="false" customHeight="false" outlineLevel="0" collapsed="false">
      <c r="B93" s="51" t="n">
        <v>8</v>
      </c>
      <c r="C93" s="17" t="str">
        <f aca="false">D75</f>
        <v>(sin deuda)</v>
      </c>
      <c r="D93" s="58" t="n">
        <f aca="false">D79</f>
        <v>0</v>
      </c>
      <c r="E93" s="51" t="n">
        <f aca="false">IF(D93=0,0,IF(DT79&gt;0.5,"Más de 120",COUNTIF(E79:DT79,"&gt;0.5")+1))</f>
        <v>0</v>
      </c>
      <c r="F93" s="58" t="n">
        <f aca="false">IF(D93=0,0,SUM(E77:DT77)+SUM(E78:DT78)+DT79-D93)</f>
        <v>0</v>
      </c>
    </row>
    <row r="95" customFormat="false" ht="15" hidden="false" customHeight="false" outlineLevel="0" collapsed="false">
      <c r="B95" s="23" t="s">
        <v>388</v>
      </c>
    </row>
  </sheetData>
  <dataValidations count="3">
    <dataValidation allowBlank="true" error="Elige un valor de la lista." errorStyle="stop" errorTitle="Valor no válido" operator="between" showDropDown="false" showErrorMessage="true" showInputMessage="false" sqref="C6" type="list">
      <formula1>Listas!$S$2:$S$3</formula1>
      <formula2>0</formula2>
    </dataValidation>
    <dataValidation allowBlank="true" error="Elige un valor de la lista." errorStyle="stop" errorTitle="Valor no válido" operator="between" showDropDown="false" showErrorMessage="true" showInputMessage="false" sqref="C13:C20" type="list">
      <formula1>Listas!$T$2:$T$8</formula1>
      <formula2>0</formula2>
    </dataValidation>
    <dataValidation allowBlank="true" error="Elige un valor de la lista." errorStyle="stop" errorTitle="Valor no válido" operator="between" showDropDown="false" showErrorMessage="true" showInputMessage="false" sqref="G13:G20" type="list">
      <formula1>Listas!$B$2:$B$3</formula1>
      <formula2>0</formula2>
    </dataValidation>
  </dataValidations>
  <printOptions headings="false" gridLines="false" gridLinesSet="true" horizontalCentered="false" verticalCentered="false"/>
  <pageMargins left="0.4" right="0.4"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D6A72"/>
    <pageSetUpPr fitToPage="true"/>
  </sheetPr>
  <dimension ref="B1:T38"/>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44"/>
    <col collapsed="false" customWidth="true" hidden="false" outlineLevel="0" max="4" min="3" style="1" width="2"/>
    <col collapsed="false" customWidth="true" hidden="false" outlineLevel="0" max="16" min="5" style="1" width="12"/>
    <col collapsed="false" customWidth="true" hidden="false" outlineLevel="0" max="17" min="17" style="1" width="15"/>
    <col collapsed="false" customWidth="true" hidden="false" outlineLevel="0" max="18" min="18" style="1" width="3"/>
    <col collapsed="false" customWidth="true" hidden="false" outlineLevel="0" max="19" min="19" style="1" width="36"/>
    <col collapsed="false" customWidth="true" hidden="false" outlineLevel="0" max="20" min="20" style="1" width="15"/>
  </cols>
  <sheetData>
    <row r="1" customFormat="false" ht="24" hidden="false" customHeight="true" outlineLevel="0" collapsed="false">
      <c r="B1" s="27" t="s">
        <v>389</v>
      </c>
    </row>
    <row r="2" customFormat="false" ht="15" hidden="false" customHeight="false" outlineLevel="0" collapsed="false">
      <c r="B2" s="28" t="s">
        <v>390</v>
      </c>
      <c r="C2" s="29"/>
      <c r="D2" s="29"/>
      <c r="E2" s="29"/>
      <c r="F2" s="29"/>
      <c r="G2" s="29"/>
      <c r="H2" s="29"/>
      <c r="I2" s="29"/>
      <c r="J2" s="29"/>
      <c r="K2" s="29"/>
      <c r="L2" s="29"/>
      <c r="M2" s="29"/>
      <c r="N2" s="29"/>
      <c r="O2" s="29"/>
      <c r="P2" s="29"/>
      <c r="Q2" s="29"/>
      <c r="R2" s="29"/>
      <c r="S2" s="29"/>
      <c r="T2" s="29"/>
    </row>
    <row r="4" customFormat="false" ht="15" hidden="false" customHeight="false" outlineLevel="0" collapsed="false">
      <c r="E4" s="101" t="n">
        <f aca="false">DATE(Supuestos!$C$14,1,1)</f>
        <v>46388</v>
      </c>
      <c r="F4" s="101" t="n">
        <f aca="false">DATE(Supuestos!$C$14,2,1)</f>
        <v>46419</v>
      </c>
      <c r="G4" s="101" t="n">
        <f aca="false">DATE(Supuestos!$C$14,3,1)</f>
        <v>46447</v>
      </c>
      <c r="H4" s="101" t="n">
        <f aca="false">DATE(Supuestos!$C$14,4,1)</f>
        <v>46478</v>
      </c>
      <c r="I4" s="101" t="n">
        <f aca="false">DATE(Supuestos!$C$14,5,1)</f>
        <v>46508</v>
      </c>
      <c r="J4" s="101" t="n">
        <f aca="false">DATE(Supuestos!$C$14,6,1)</f>
        <v>46539</v>
      </c>
      <c r="K4" s="101" t="n">
        <f aca="false">DATE(Supuestos!$C$14,7,1)</f>
        <v>46569</v>
      </c>
      <c r="L4" s="101" t="n">
        <f aca="false">DATE(Supuestos!$C$14,8,1)</f>
        <v>46600</v>
      </c>
      <c r="M4" s="101" t="n">
        <f aca="false">DATE(Supuestos!$C$14,9,1)</f>
        <v>46631</v>
      </c>
      <c r="N4" s="101" t="n">
        <f aca="false">DATE(Supuestos!$C$14,10,1)</f>
        <v>46661</v>
      </c>
      <c r="O4" s="101" t="n">
        <f aca="false">DATE(Supuestos!$C$14,11,1)</f>
        <v>46692</v>
      </c>
      <c r="P4" s="101" t="n">
        <f aca="false">DATE(Supuestos!$C$14,12,1)</f>
        <v>46722</v>
      </c>
    </row>
    <row r="5" customFormat="false" ht="30" hidden="false" customHeight="true" outlineLevel="0" collapsed="false">
      <c r="B5" s="11" t="s">
        <v>44</v>
      </c>
      <c r="C5" s="12"/>
      <c r="D5" s="12"/>
      <c r="E5" s="12" t="s">
        <v>204</v>
      </c>
      <c r="F5" s="12" t="s">
        <v>205</v>
      </c>
      <c r="G5" s="12" t="s">
        <v>206</v>
      </c>
      <c r="H5" s="12" t="s">
        <v>207</v>
      </c>
      <c r="I5" s="12" t="s">
        <v>208</v>
      </c>
      <c r="J5" s="12" t="s">
        <v>209</v>
      </c>
      <c r="K5" s="12" t="s">
        <v>210</v>
      </c>
      <c r="L5" s="12" t="s">
        <v>211</v>
      </c>
      <c r="M5" s="12" t="s">
        <v>212</v>
      </c>
      <c r="N5" s="12" t="s">
        <v>213</v>
      </c>
      <c r="O5" s="12" t="s">
        <v>214</v>
      </c>
      <c r="P5" s="12" t="s">
        <v>215</v>
      </c>
      <c r="Q5" s="12" t="s">
        <v>391</v>
      </c>
    </row>
    <row r="6" customFormat="false" ht="15" hidden="false" customHeight="false" outlineLevel="0" collapsed="false">
      <c r="B6" s="9" t="s">
        <v>392</v>
      </c>
      <c r="C6" s="10"/>
      <c r="D6" s="10"/>
      <c r="E6" s="10"/>
      <c r="F6" s="10"/>
      <c r="G6" s="10"/>
      <c r="H6" s="10"/>
      <c r="I6" s="10"/>
      <c r="J6" s="10"/>
      <c r="K6" s="10"/>
      <c r="L6" s="10"/>
      <c r="M6" s="10"/>
      <c r="N6" s="10"/>
      <c r="O6" s="10"/>
      <c r="P6" s="10"/>
      <c r="Q6" s="10"/>
    </row>
    <row r="7" customFormat="false" ht="15" hidden="false" customHeight="false" outlineLevel="0" collapsed="false">
      <c r="B7" s="17" t="s">
        <v>393</v>
      </c>
      <c r="E7" s="58" t="n">
        <f aca="false">SUMPRODUCT((Ingresos!$C$6:$C$13="Laboral")*Ingresos!$F$6:$F$13*Ingresos!G$6:G$13)</f>
        <v>0</v>
      </c>
      <c r="F7" s="58" t="n">
        <f aca="false">SUMPRODUCT((Ingresos!$C$6:$C$13="Laboral")*Ingresos!$F$6:$F$13*Ingresos!H$6:H$13)</f>
        <v>0</v>
      </c>
      <c r="G7" s="58" t="n">
        <f aca="false">SUMPRODUCT((Ingresos!$C$6:$C$13="Laboral")*Ingresos!$F$6:$F$13*Ingresos!I$6:I$13)</f>
        <v>0</v>
      </c>
      <c r="H7" s="58" t="n">
        <f aca="false">SUMPRODUCT((Ingresos!$C$6:$C$13="Laboral")*Ingresos!$F$6:$F$13*Ingresos!J$6:J$13)</f>
        <v>0</v>
      </c>
      <c r="I7" s="58" t="n">
        <f aca="false">SUMPRODUCT((Ingresos!$C$6:$C$13="Laboral")*Ingresos!$F$6:$F$13*Ingresos!K$6:K$13)</f>
        <v>0</v>
      </c>
      <c r="J7" s="58" t="n">
        <f aca="false">SUMPRODUCT((Ingresos!$C$6:$C$13="Laboral")*Ingresos!$F$6:$F$13*Ingresos!L$6:L$13)</f>
        <v>0</v>
      </c>
      <c r="K7" s="58" t="n">
        <f aca="false">SUMPRODUCT((Ingresos!$C$6:$C$13="Laboral")*Ingresos!$F$6:$F$13*Ingresos!M$6:M$13)</f>
        <v>0</v>
      </c>
      <c r="L7" s="58" t="n">
        <f aca="false">SUMPRODUCT((Ingresos!$C$6:$C$13="Laboral")*Ingresos!$F$6:$F$13*Ingresos!N$6:N$13)</f>
        <v>0</v>
      </c>
      <c r="M7" s="58" t="n">
        <f aca="false">SUMPRODUCT((Ingresos!$C$6:$C$13="Laboral")*Ingresos!$F$6:$F$13*Ingresos!O$6:O$13)</f>
        <v>0</v>
      </c>
      <c r="N7" s="58" t="n">
        <f aca="false">SUMPRODUCT((Ingresos!$C$6:$C$13="Laboral")*Ingresos!$F$6:$F$13*Ingresos!P$6:P$13)</f>
        <v>0</v>
      </c>
      <c r="O7" s="58" t="n">
        <f aca="false">SUMPRODUCT((Ingresos!$C$6:$C$13="Laboral")*Ingresos!$F$6:$F$13*Ingresos!Q$6:Q$13)</f>
        <v>0</v>
      </c>
      <c r="P7" s="58" t="n">
        <f aca="false">SUMPRODUCT((Ingresos!$C$6:$C$13="Laboral")*Ingresos!$F$6:$F$13*Ingresos!R$6:R$13)</f>
        <v>0</v>
      </c>
      <c r="Q7" s="89" t="n">
        <f aca="false">SUM(E7:P7)</f>
        <v>0</v>
      </c>
    </row>
    <row r="8" customFormat="false" ht="15" hidden="false" customHeight="false" outlineLevel="0" collapsed="false">
      <c r="B8" s="17" t="s">
        <v>394</v>
      </c>
      <c r="E8" s="58" t="n">
        <f aca="false">SUMPRODUCT((Ingresos!$C$6:$C$13="Renta")*Ingresos!$F$6:$F$13*Ingresos!G$6:G$13)</f>
        <v>0</v>
      </c>
      <c r="F8" s="58" t="n">
        <f aca="false">SUMPRODUCT((Ingresos!$C$6:$C$13="Renta")*Ingresos!$F$6:$F$13*Ingresos!H$6:H$13)</f>
        <v>0</v>
      </c>
      <c r="G8" s="58" t="n">
        <f aca="false">SUMPRODUCT((Ingresos!$C$6:$C$13="Renta")*Ingresos!$F$6:$F$13*Ingresos!I$6:I$13)</f>
        <v>0</v>
      </c>
      <c r="H8" s="58" t="n">
        <f aca="false">SUMPRODUCT((Ingresos!$C$6:$C$13="Renta")*Ingresos!$F$6:$F$13*Ingresos!J$6:J$13)</f>
        <v>0</v>
      </c>
      <c r="I8" s="58" t="n">
        <f aca="false">SUMPRODUCT((Ingresos!$C$6:$C$13="Renta")*Ingresos!$F$6:$F$13*Ingresos!K$6:K$13)</f>
        <v>0</v>
      </c>
      <c r="J8" s="58" t="n">
        <f aca="false">SUMPRODUCT((Ingresos!$C$6:$C$13="Renta")*Ingresos!$F$6:$F$13*Ingresos!L$6:L$13)</f>
        <v>0</v>
      </c>
      <c r="K8" s="58" t="n">
        <f aca="false">SUMPRODUCT((Ingresos!$C$6:$C$13="Renta")*Ingresos!$F$6:$F$13*Ingresos!M$6:M$13)</f>
        <v>0</v>
      </c>
      <c r="L8" s="58" t="n">
        <f aca="false">SUMPRODUCT((Ingresos!$C$6:$C$13="Renta")*Ingresos!$F$6:$F$13*Ingresos!N$6:N$13)</f>
        <v>0</v>
      </c>
      <c r="M8" s="58" t="n">
        <f aca="false">SUMPRODUCT((Ingresos!$C$6:$C$13="Renta")*Ingresos!$F$6:$F$13*Ingresos!O$6:O$13)</f>
        <v>0</v>
      </c>
      <c r="N8" s="58" t="n">
        <f aca="false">SUMPRODUCT((Ingresos!$C$6:$C$13="Renta")*Ingresos!$F$6:$F$13*Ingresos!P$6:P$13)</f>
        <v>0</v>
      </c>
      <c r="O8" s="58" t="n">
        <f aca="false">SUMPRODUCT((Ingresos!$C$6:$C$13="Renta")*Ingresos!$F$6:$F$13*Ingresos!Q$6:Q$13)</f>
        <v>0</v>
      </c>
      <c r="P8" s="58" t="n">
        <f aca="false">SUMPRODUCT((Ingresos!$C$6:$C$13="Renta")*Ingresos!$F$6:$F$13*Ingresos!R$6:R$13)</f>
        <v>0</v>
      </c>
      <c r="Q8" s="89" t="n">
        <f aca="false">SUM(E8:P8)</f>
        <v>0</v>
      </c>
    </row>
    <row r="9" customFormat="false" ht="15" hidden="false" customHeight="false" outlineLevel="0" collapsed="false">
      <c r="B9" s="17" t="s">
        <v>23</v>
      </c>
      <c r="E9" s="58" t="n">
        <f aca="false">SUMPRODUCT((Ingresos!$C$6:$C$13="Pensión")*Ingresos!$F$6:$F$13*Ingresos!G$6:G$13)</f>
        <v>0</v>
      </c>
      <c r="F9" s="58" t="n">
        <f aca="false">SUMPRODUCT((Ingresos!$C$6:$C$13="Pensión")*Ingresos!$F$6:$F$13*Ingresos!H$6:H$13)</f>
        <v>0</v>
      </c>
      <c r="G9" s="58" t="n">
        <f aca="false">SUMPRODUCT((Ingresos!$C$6:$C$13="Pensión")*Ingresos!$F$6:$F$13*Ingresos!I$6:I$13)</f>
        <v>0</v>
      </c>
      <c r="H9" s="58" t="n">
        <f aca="false">SUMPRODUCT((Ingresos!$C$6:$C$13="Pensión")*Ingresos!$F$6:$F$13*Ingresos!J$6:J$13)</f>
        <v>0</v>
      </c>
      <c r="I9" s="58" t="n">
        <f aca="false">SUMPRODUCT((Ingresos!$C$6:$C$13="Pensión")*Ingresos!$F$6:$F$13*Ingresos!K$6:K$13)</f>
        <v>0</v>
      </c>
      <c r="J9" s="58" t="n">
        <f aca="false">SUMPRODUCT((Ingresos!$C$6:$C$13="Pensión")*Ingresos!$F$6:$F$13*Ingresos!L$6:L$13)</f>
        <v>0</v>
      </c>
      <c r="K9" s="58" t="n">
        <f aca="false">SUMPRODUCT((Ingresos!$C$6:$C$13="Pensión")*Ingresos!$F$6:$F$13*Ingresos!M$6:M$13)</f>
        <v>0</v>
      </c>
      <c r="L9" s="58" t="n">
        <f aca="false">SUMPRODUCT((Ingresos!$C$6:$C$13="Pensión")*Ingresos!$F$6:$F$13*Ingresos!N$6:N$13)</f>
        <v>0</v>
      </c>
      <c r="M9" s="58" t="n">
        <f aca="false">SUMPRODUCT((Ingresos!$C$6:$C$13="Pensión")*Ingresos!$F$6:$F$13*Ingresos!O$6:O$13)</f>
        <v>0</v>
      </c>
      <c r="N9" s="58" t="n">
        <f aca="false">SUMPRODUCT((Ingresos!$C$6:$C$13="Pensión")*Ingresos!$F$6:$F$13*Ingresos!P$6:P$13)</f>
        <v>0</v>
      </c>
      <c r="O9" s="58" t="n">
        <f aca="false">SUMPRODUCT((Ingresos!$C$6:$C$13="Pensión")*Ingresos!$F$6:$F$13*Ingresos!Q$6:Q$13)</f>
        <v>0</v>
      </c>
      <c r="P9" s="58" t="n">
        <f aca="false">SUMPRODUCT((Ingresos!$C$6:$C$13="Pensión")*Ingresos!$F$6:$F$13*Ingresos!R$6:R$13)</f>
        <v>0</v>
      </c>
      <c r="Q9" s="89" t="n">
        <f aca="false">SUM(E9:P9)</f>
        <v>0</v>
      </c>
    </row>
    <row r="10" customFormat="false" ht="15" hidden="false" customHeight="false" outlineLevel="0" collapsed="false">
      <c r="B10" s="17" t="s">
        <v>395</v>
      </c>
      <c r="E10" s="58" t="n">
        <f aca="false">SUMPRODUCT((Ingresos!$C$6:$C$13="Otro")*Ingresos!$F$6:$F$13*Ingresos!G$6:G$13)</f>
        <v>0</v>
      </c>
      <c r="F10" s="58" t="n">
        <f aca="false">SUMPRODUCT((Ingresos!$C$6:$C$13="Otro")*Ingresos!$F$6:$F$13*Ingresos!H$6:H$13)</f>
        <v>0</v>
      </c>
      <c r="G10" s="58" t="n">
        <f aca="false">SUMPRODUCT((Ingresos!$C$6:$C$13="Otro")*Ingresos!$F$6:$F$13*Ingresos!I$6:I$13)</f>
        <v>0</v>
      </c>
      <c r="H10" s="58" t="n">
        <f aca="false">SUMPRODUCT((Ingresos!$C$6:$C$13="Otro")*Ingresos!$F$6:$F$13*Ingresos!J$6:J$13)</f>
        <v>0</v>
      </c>
      <c r="I10" s="58" t="n">
        <f aca="false">SUMPRODUCT((Ingresos!$C$6:$C$13="Otro")*Ingresos!$F$6:$F$13*Ingresos!K$6:K$13)</f>
        <v>0</v>
      </c>
      <c r="J10" s="58" t="n">
        <f aca="false">SUMPRODUCT((Ingresos!$C$6:$C$13="Otro")*Ingresos!$F$6:$F$13*Ingresos!L$6:L$13)</f>
        <v>0</v>
      </c>
      <c r="K10" s="58" t="n">
        <f aca="false">SUMPRODUCT((Ingresos!$C$6:$C$13="Otro")*Ingresos!$F$6:$F$13*Ingresos!M$6:M$13)</f>
        <v>0</v>
      </c>
      <c r="L10" s="58" t="n">
        <f aca="false">SUMPRODUCT((Ingresos!$C$6:$C$13="Otro")*Ingresos!$F$6:$F$13*Ingresos!N$6:N$13)</f>
        <v>0</v>
      </c>
      <c r="M10" s="58" t="n">
        <f aca="false">SUMPRODUCT((Ingresos!$C$6:$C$13="Otro")*Ingresos!$F$6:$F$13*Ingresos!O$6:O$13)</f>
        <v>0</v>
      </c>
      <c r="N10" s="58" t="n">
        <f aca="false">SUMPRODUCT((Ingresos!$C$6:$C$13="Otro")*Ingresos!$F$6:$F$13*Ingresos!P$6:P$13)</f>
        <v>0</v>
      </c>
      <c r="O10" s="58" t="n">
        <f aca="false">SUMPRODUCT((Ingresos!$C$6:$C$13="Otro")*Ingresos!$F$6:$F$13*Ingresos!Q$6:Q$13)</f>
        <v>0</v>
      </c>
      <c r="P10" s="58" t="n">
        <f aca="false">SUMPRODUCT((Ingresos!$C$6:$C$13="Otro")*Ingresos!$F$6:$F$13*Ingresos!R$6:R$13)</f>
        <v>0</v>
      </c>
      <c r="Q10" s="89" t="n">
        <f aca="false">SUM(E10:P10)</f>
        <v>0</v>
      </c>
    </row>
    <row r="11" customFormat="false" ht="15" hidden="false" customHeight="false" outlineLevel="0" collapsed="false">
      <c r="B11" s="68" t="s">
        <v>396</v>
      </c>
      <c r="C11" s="68"/>
      <c r="D11" s="68"/>
      <c r="E11" s="69" t="n">
        <f aca="false">SUM(E7:E10)</f>
        <v>0</v>
      </c>
      <c r="F11" s="69" t="n">
        <f aca="false">SUM(F7:F10)</f>
        <v>0</v>
      </c>
      <c r="G11" s="69" t="n">
        <f aca="false">SUM(G7:G10)</f>
        <v>0</v>
      </c>
      <c r="H11" s="69" t="n">
        <f aca="false">SUM(H7:H10)</f>
        <v>0</v>
      </c>
      <c r="I11" s="69" t="n">
        <f aca="false">SUM(I7:I10)</f>
        <v>0</v>
      </c>
      <c r="J11" s="69" t="n">
        <f aca="false">SUM(J7:J10)</f>
        <v>0</v>
      </c>
      <c r="K11" s="69" t="n">
        <f aca="false">SUM(K7:K10)</f>
        <v>0</v>
      </c>
      <c r="L11" s="69" t="n">
        <f aca="false">SUM(L7:L10)</f>
        <v>0</v>
      </c>
      <c r="M11" s="69" t="n">
        <f aca="false">SUM(M7:M10)</f>
        <v>0</v>
      </c>
      <c r="N11" s="69" t="n">
        <f aca="false">SUM(N7:N10)</f>
        <v>0</v>
      </c>
      <c r="O11" s="69" t="n">
        <f aca="false">SUM(O7:O10)</f>
        <v>0</v>
      </c>
      <c r="P11" s="69" t="n">
        <f aca="false">SUM(P7:P10)</f>
        <v>0</v>
      </c>
      <c r="Q11" s="69" t="n">
        <f aca="false">SUM(E11:P11)</f>
        <v>0</v>
      </c>
    </row>
    <row r="12" customFormat="false" ht="15" hidden="false" customHeight="false" outlineLevel="0" collapsed="false">
      <c r="B12" s="9" t="s">
        <v>397</v>
      </c>
      <c r="C12" s="10"/>
      <c r="D12" s="10"/>
      <c r="E12" s="10"/>
      <c r="F12" s="10"/>
      <c r="G12" s="10"/>
      <c r="H12" s="10"/>
      <c r="I12" s="10"/>
      <c r="J12" s="10"/>
      <c r="K12" s="10"/>
      <c r="L12" s="10"/>
      <c r="M12" s="10"/>
      <c r="N12" s="10"/>
      <c r="O12" s="10"/>
      <c r="P12" s="10"/>
      <c r="Q12" s="10"/>
    </row>
    <row r="13" customFormat="false" ht="15" hidden="false" customHeight="false" outlineLevel="0" collapsed="false">
      <c r="B13" s="17" t="s">
        <v>222</v>
      </c>
      <c r="E13" s="58" t="n">
        <f aca="false">Presupuesto!$I$96*Ingresos!G$17</f>
        <v>0</v>
      </c>
      <c r="F13" s="58" t="n">
        <f aca="false">Presupuesto!$I$96*Ingresos!H$17</f>
        <v>0</v>
      </c>
      <c r="G13" s="58" t="n">
        <f aca="false">Presupuesto!$I$96*Ingresos!I$17</f>
        <v>0</v>
      </c>
      <c r="H13" s="58" t="n">
        <f aca="false">Presupuesto!$I$96*Ingresos!J$17</f>
        <v>0</v>
      </c>
      <c r="I13" s="58" t="n">
        <f aca="false">Presupuesto!$I$96*Ingresos!K$17</f>
        <v>0</v>
      </c>
      <c r="J13" s="58" t="n">
        <f aca="false">Presupuesto!$I$96*Ingresos!L$17</f>
        <v>0</v>
      </c>
      <c r="K13" s="58" t="n">
        <f aca="false">Presupuesto!$I$96*Ingresos!M$17</f>
        <v>0</v>
      </c>
      <c r="L13" s="58" t="n">
        <f aca="false">Presupuesto!$I$96*Ingresos!N$17</f>
        <v>0</v>
      </c>
      <c r="M13" s="58" t="n">
        <f aca="false">Presupuesto!$I$96*Ingresos!O$17</f>
        <v>0</v>
      </c>
      <c r="N13" s="58" t="n">
        <f aca="false">Presupuesto!$I$96*Ingresos!P$17</f>
        <v>0</v>
      </c>
      <c r="O13" s="58" t="n">
        <f aca="false">Presupuesto!$I$96*Ingresos!Q$17</f>
        <v>0</v>
      </c>
      <c r="P13" s="58" t="n">
        <f aca="false">Presupuesto!$I$96*Ingresos!R$17</f>
        <v>0</v>
      </c>
      <c r="Q13" s="89" t="n">
        <f aca="false">SUM(E13:P13)</f>
        <v>0</v>
      </c>
    </row>
    <row r="14" customFormat="false" ht="15" hidden="false" customHeight="false" outlineLevel="0" collapsed="false">
      <c r="B14" s="17" t="s">
        <v>340</v>
      </c>
      <c r="E14" s="58" t="n">
        <f aca="false">Presupuesto!$I$90</f>
        <v>0</v>
      </c>
      <c r="F14" s="58" t="n">
        <f aca="false">Presupuesto!$I$90</f>
        <v>0</v>
      </c>
      <c r="G14" s="58" t="n">
        <f aca="false">Presupuesto!$I$90</f>
        <v>0</v>
      </c>
      <c r="H14" s="58" t="n">
        <f aca="false">Presupuesto!$I$90</f>
        <v>0</v>
      </c>
      <c r="I14" s="58" t="n">
        <f aca="false">Presupuesto!$I$90</f>
        <v>0</v>
      </c>
      <c r="J14" s="58" t="n">
        <f aca="false">Presupuesto!$I$90</f>
        <v>0</v>
      </c>
      <c r="K14" s="58" t="n">
        <f aca="false">Presupuesto!$I$90</f>
        <v>0</v>
      </c>
      <c r="L14" s="58" t="n">
        <f aca="false">Presupuesto!$I$90</f>
        <v>0</v>
      </c>
      <c r="M14" s="58" t="n">
        <f aca="false">Presupuesto!$I$90</f>
        <v>0</v>
      </c>
      <c r="N14" s="58" t="n">
        <f aca="false">Presupuesto!$I$90</f>
        <v>0</v>
      </c>
      <c r="O14" s="58" t="n">
        <f aca="false">Presupuesto!$I$90</f>
        <v>0</v>
      </c>
      <c r="P14" s="58" t="n">
        <f aca="false">Presupuesto!$I$90</f>
        <v>0</v>
      </c>
      <c r="Q14" s="89" t="n">
        <f aca="false">SUM(E14:P14)</f>
        <v>0</v>
      </c>
    </row>
    <row r="15" customFormat="false" ht="15" hidden="false" customHeight="false" outlineLevel="0" collapsed="false">
      <c r="B15" s="17" t="s">
        <v>341</v>
      </c>
      <c r="E15" s="58" t="n">
        <f aca="false">Presupuesto!$I$91</f>
        <v>0</v>
      </c>
      <c r="F15" s="58" t="n">
        <f aca="false">Presupuesto!$I$91</f>
        <v>0</v>
      </c>
      <c r="G15" s="58" t="n">
        <f aca="false">Presupuesto!$I$91</f>
        <v>0</v>
      </c>
      <c r="H15" s="58" t="n">
        <f aca="false">Presupuesto!$I$91</f>
        <v>0</v>
      </c>
      <c r="I15" s="58" t="n">
        <f aca="false">Presupuesto!$I$91</f>
        <v>0</v>
      </c>
      <c r="J15" s="58" t="n">
        <f aca="false">Presupuesto!$I$91</f>
        <v>0</v>
      </c>
      <c r="K15" s="58" t="n">
        <f aca="false">Presupuesto!$I$91</f>
        <v>0</v>
      </c>
      <c r="L15" s="58" t="n">
        <f aca="false">Presupuesto!$I$91</f>
        <v>0</v>
      </c>
      <c r="M15" s="58" t="n">
        <f aca="false">Presupuesto!$I$91</f>
        <v>0</v>
      </c>
      <c r="N15" s="58" t="n">
        <f aca="false">Presupuesto!$I$91</f>
        <v>0</v>
      </c>
      <c r="O15" s="58" t="n">
        <f aca="false">Presupuesto!$I$91</f>
        <v>0</v>
      </c>
      <c r="P15" s="58" t="n">
        <f aca="false">Presupuesto!$I$91</f>
        <v>0</v>
      </c>
      <c r="Q15" s="89" t="n">
        <f aca="false">SUM(E15:P15)</f>
        <v>0</v>
      </c>
    </row>
    <row r="16" customFormat="false" ht="15" hidden="false" customHeight="false" outlineLevel="0" collapsed="false">
      <c r="B16" s="17" t="s">
        <v>342</v>
      </c>
      <c r="E16" s="58" t="n">
        <f aca="false">Presupuesto!$I$93</f>
        <v>0</v>
      </c>
      <c r="F16" s="58" t="n">
        <f aca="false">Presupuesto!$I$93</f>
        <v>0</v>
      </c>
      <c r="G16" s="58" t="n">
        <f aca="false">Presupuesto!$I$93</f>
        <v>0</v>
      </c>
      <c r="H16" s="58" t="n">
        <f aca="false">Presupuesto!$I$93</f>
        <v>0</v>
      </c>
      <c r="I16" s="58" t="n">
        <f aca="false">Presupuesto!$I$93</f>
        <v>0</v>
      </c>
      <c r="J16" s="58" t="n">
        <f aca="false">Presupuesto!$I$93</f>
        <v>0</v>
      </c>
      <c r="K16" s="58" t="n">
        <f aca="false">Presupuesto!$I$93</f>
        <v>0</v>
      </c>
      <c r="L16" s="58" t="n">
        <f aca="false">Presupuesto!$I$93</f>
        <v>0</v>
      </c>
      <c r="M16" s="58" t="n">
        <f aca="false">Presupuesto!$I$93</f>
        <v>0</v>
      </c>
      <c r="N16" s="58" t="n">
        <f aca="false">Presupuesto!$I$93</f>
        <v>0</v>
      </c>
      <c r="O16" s="58" t="n">
        <f aca="false">Presupuesto!$I$93</f>
        <v>0</v>
      </c>
      <c r="P16" s="58" t="n">
        <f aca="false">Presupuesto!$I$93</f>
        <v>0</v>
      </c>
      <c r="Q16" s="89" t="n">
        <f aca="false">SUM(E16:P16)</f>
        <v>0</v>
      </c>
    </row>
    <row r="17" customFormat="false" ht="15" hidden="false" customHeight="false" outlineLevel="0" collapsed="false">
      <c r="B17" s="17" t="s">
        <v>343</v>
      </c>
      <c r="E17" s="58" t="n">
        <f aca="false">Presupuesto!$I$94</f>
        <v>0</v>
      </c>
      <c r="F17" s="58" t="n">
        <f aca="false">Presupuesto!$I$94</f>
        <v>0</v>
      </c>
      <c r="G17" s="58" t="n">
        <f aca="false">Presupuesto!$I$94</f>
        <v>0</v>
      </c>
      <c r="H17" s="58" t="n">
        <f aca="false">Presupuesto!$I$94</f>
        <v>0</v>
      </c>
      <c r="I17" s="58" t="n">
        <f aca="false">Presupuesto!$I$94</f>
        <v>0</v>
      </c>
      <c r="J17" s="58" t="n">
        <f aca="false">Presupuesto!$I$94</f>
        <v>0</v>
      </c>
      <c r="K17" s="58" t="n">
        <f aca="false">Presupuesto!$I$94</f>
        <v>0</v>
      </c>
      <c r="L17" s="58" t="n">
        <f aca="false">Presupuesto!$I$94</f>
        <v>0</v>
      </c>
      <c r="M17" s="58" t="n">
        <f aca="false">Presupuesto!$I$94</f>
        <v>0</v>
      </c>
      <c r="N17" s="58" t="n">
        <f aca="false">Presupuesto!$I$94</f>
        <v>0</v>
      </c>
      <c r="O17" s="58" t="n">
        <f aca="false">Presupuesto!$I$94</f>
        <v>0</v>
      </c>
      <c r="P17" s="58" t="n">
        <f aca="false">Presupuesto!$I$94</f>
        <v>0</v>
      </c>
      <c r="Q17" s="89" t="n">
        <f aca="false">SUM(E17:P17)</f>
        <v>0</v>
      </c>
    </row>
    <row r="18" customFormat="false" ht="15" hidden="false" customHeight="false" outlineLevel="0" collapsed="false">
      <c r="B18" s="68" t="s">
        <v>398</v>
      </c>
      <c r="C18" s="68"/>
      <c r="D18" s="68"/>
      <c r="E18" s="69" t="n">
        <f aca="false">SUM(E13:E17)</f>
        <v>0</v>
      </c>
      <c r="F18" s="69" t="n">
        <f aca="false">SUM(F13:F17)</f>
        <v>0</v>
      </c>
      <c r="G18" s="69" t="n">
        <f aca="false">SUM(G13:G17)</f>
        <v>0</v>
      </c>
      <c r="H18" s="69" t="n">
        <f aca="false">SUM(H13:H17)</f>
        <v>0</v>
      </c>
      <c r="I18" s="69" t="n">
        <f aca="false">SUM(I13:I17)</f>
        <v>0</v>
      </c>
      <c r="J18" s="69" t="n">
        <f aca="false">SUM(J13:J17)</f>
        <v>0</v>
      </c>
      <c r="K18" s="69" t="n">
        <f aca="false">SUM(K13:K17)</f>
        <v>0</v>
      </c>
      <c r="L18" s="69" t="n">
        <f aca="false">SUM(L13:L17)</f>
        <v>0</v>
      </c>
      <c r="M18" s="69" t="n">
        <f aca="false">SUM(M13:M17)</f>
        <v>0</v>
      </c>
      <c r="N18" s="69" t="n">
        <f aca="false">SUM(N13:N17)</f>
        <v>0</v>
      </c>
      <c r="O18" s="69" t="n">
        <f aca="false">SUM(O13:O17)</f>
        <v>0</v>
      </c>
      <c r="P18" s="69" t="n">
        <f aca="false">SUM(P13:P17)</f>
        <v>0</v>
      </c>
      <c r="Q18" s="69" t="n">
        <f aca="false">SUM(E18:P18)</f>
        <v>0</v>
      </c>
    </row>
    <row r="19" customFormat="false" ht="15.75" hidden="false" customHeight="true" outlineLevel="0" collapsed="false">
      <c r="B19" s="24" t="s">
        <v>399</v>
      </c>
      <c r="E19" s="89" t="n">
        <f aca="false">E11-E18</f>
        <v>0</v>
      </c>
      <c r="F19" s="89" t="n">
        <f aca="false">F11-F18</f>
        <v>0</v>
      </c>
      <c r="G19" s="89" t="n">
        <f aca="false">G11-G18</f>
        <v>0</v>
      </c>
      <c r="H19" s="89" t="n">
        <f aca="false">H11-H18</f>
        <v>0</v>
      </c>
      <c r="I19" s="89" t="n">
        <f aca="false">I11-I18</f>
        <v>0</v>
      </c>
      <c r="J19" s="89" t="n">
        <f aca="false">J11-J18</f>
        <v>0</v>
      </c>
      <c r="K19" s="89" t="n">
        <f aca="false">K11-K18</f>
        <v>0</v>
      </c>
      <c r="L19" s="89" t="n">
        <f aca="false">L11-L18</f>
        <v>0</v>
      </c>
      <c r="M19" s="89" t="n">
        <f aca="false">M11-M18</f>
        <v>0</v>
      </c>
      <c r="N19" s="89" t="n">
        <f aca="false">N11-N18</f>
        <v>0</v>
      </c>
      <c r="O19" s="89" t="n">
        <f aca="false">O11-O18</f>
        <v>0</v>
      </c>
      <c r="P19" s="89" t="n">
        <f aca="false">P11-P18</f>
        <v>0</v>
      </c>
      <c r="Q19" s="89" t="n">
        <f aca="false">SUM(E19:P19)</f>
        <v>0</v>
      </c>
      <c r="S19" s="11" t="s">
        <v>400</v>
      </c>
      <c r="T19" s="12" t="s">
        <v>75</v>
      </c>
    </row>
    <row r="20" customFormat="false" ht="15" hidden="false" customHeight="false" outlineLevel="0" collapsed="false">
      <c r="B20" s="17" t="s">
        <v>401</v>
      </c>
      <c r="E20" s="58" t="n">
        <f aca="false">MAX(0,-E19)*$T$27</f>
        <v>-0</v>
      </c>
      <c r="F20" s="58" t="n">
        <f aca="false">MAX(0,-F19)*$T$27</f>
        <v>-0</v>
      </c>
      <c r="G20" s="58" t="n">
        <f aca="false">MAX(0,-G19)*$T$27</f>
        <v>-0</v>
      </c>
      <c r="H20" s="58" t="n">
        <f aca="false">MAX(0,-H19)*$T$27</f>
        <v>-0</v>
      </c>
      <c r="I20" s="58" t="n">
        <f aca="false">MAX(0,-I19)*$T$27</f>
        <v>-0</v>
      </c>
      <c r="J20" s="58" t="n">
        <f aca="false">MAX(0,-J19)*$T$27</f>
        <v>-0</v>
      </c>
      <c r="K20" s="58" t="n">
        <f aca="false">MAX(0,-K19)*$T$27</f>
        <v>-0</v>
      </c>
      <c r="L20" s="58" t="n">
        <f aca="false">MAX(0,-L19)*$T$27</f>
        <v>-0</v>
      </c>
      <c r="M20" s="58" t="n">
        <f aca="false">MAX(0,-M19)*$T$27</f>
        <v>-0</v>
      </c>
      <c r="N20" s="58" t="n">
        <f aca="false">MAX(0,-N19)*$T$27</f>
        <v>-0</v>
      </c>
      <c r="O20" s="58" t="n">
        <f aca="false">MAX(0,-O19)*$T$27</f>
        <v>-0</v>
      </c>
      <c r="P20" s="58" t="n">
        <f aca="false">MAX(0,-P19)*$T$27</f>
        <v>-0</v>
      </c>
      <c r="Q20" s="89" t="n">
        <f aca="false">SUM(E20:P20)</f>
        <v>0</v>
      </c>
      <c r="S20" s="17" t="s">
        <v>402</v>
      </c>
      <c r="T20" s="58" t="n">
        <f aca="false">-SUMIF(E19:P19,"&lt;0")</f>
        <v>-0</v>
      </c>
    </row>
    <row r="21" customFormat="false" ht="15" hidden="false" customHeight="false" outlineLevel="0" collapsed="false">
      <c r="B21" s="17" t="s">
        <v>403</v>
      </c>
      <c r="E21" s="58" t="n">
        <f aca="false">IF(E19&gt;0,IF($T$24&gt;=$T$23,$T$23,IF($T$21=0,0,$T$26*E19/$T$21)),0)</f>
        <v>0</v>
      </c>
      <c r="F21" s="58" t="n">
        <f aca="false">IF(F19&gt;0,IF($T$24&gt;=$T$23,$T$23,IF($T$21=0,0,$T$26*F19/$T$21)),0)</f>
        <v>0</v>
      </c>
      <c r="G21" s="58" t="n">
        <f aca="false">IF(G19&gt;0,IF($T$24&gt;=$T$23,$T$23,IF($T$21=0,0,$T$26*G19/$T$21)),0)</f>
        <v>0</v>
      </c>
      <c r="H21" s="58" t="n">
        <f aca="false">IF(H19&gt;0,IF($T$24&gt;=$T$23,$T$23,IF($T$21=0,0,$T$26*H19/$T$21)),0)</f>
        <v>0</v>
      </c>
      <c r="I21" s="58" t="n">
        <f aca="false">IF(I19&gt;0,IF($T$24&gt;=$T$23,$T$23,IF($T$21=0,0,$T$26*I19/$T$21)),0)</f>
        <v>0</v>
      </c>
      <c r="J21" s="58" t="n">
        <f aca="false">IF(J19&gt;0,IF($T$24&gt;=$T$23,$T$23,IF($T$21=0,0,$T$26*J19/$T$21)),0)</f>
        <v>0</v>
      </c>
      <c r="K21" s="58" t="n">
        <f aca="false">IF(K19&gt;0,IF($T$24&gt;=$T$23,$T$23,IF($T$21=0,0,$T$26*K19/$T$21)),0)</f>
        <v>0</v>
      </c>
      <c r="L21" s="58" t="n">
        <f aca="false">IF(L19&gt;0,IF($T$24&gt;=$T$23,$T$23,IF($T$21=0,0,$T$26*L19/$T$21)),0)</f>
        <v>0</v>
      </c>
      <c r="M21" s="58" t="n">
        <f aca="false">IF(M19&gt;0,IF($T$24&gt;=$T$23,$T$23,IF($T$21=0,0,$T$26*M19/$T$21)),0)</f>
        <v>0</v>
      </c>
      <c r="N21" s="58" t="n">
        <f aca="false">IF(N19&gt;0,IF($T$24&gt;=$T$23,$T$23,IF($T$21=0,0,$T$26*N19/$T$21)),0)</f>
        <v>0</v>
      </c>
      <c r="O21" s="58" t="n">
        <f aca="false">IF(O19&gt;0,IF($T$24&gt;=$T$23,$T$23,IF($T$21=0,0,$T$26*O19/$T$21)),0)</f>
        <v>0</v>
      </c>
      <c r="P21" s="58" t="n">
        <f aca="false">IF(P19&gt;0,IF($T$24&gt;=$T$23,$T$23,IF($T$21=0,0,$T$26*P19/$T$21)),0)</f>
        <v>0</v>
      </c>
      <c r="Q21" s="89" t="n">
        <f aca="false">SUM(E21:P21)</f>
        <v>0</v>
      </c>
      <c r="S21" s="17" t="s">
        <v>404</v>
      </c>
      <c r="T21" s="58" t="n">
        <f aca="false">SUMIF(E19:P19,"&gt;0")</f>
        <v>0</v>
      </c>
    </row>
    <row r="22" customFormat="false" ht="15" hidden="false" customHeight="false" outlineLevel="0" collapsed="false">
      <c r="B22" s="68" t="s">
        <v>405</v>
      </c>
      <c r="C22" s="68"/>
      <c r="D22" s="68"/>
      <c r="E22" s="69" t="n">
        <f aca="false">E19+E20-E21</f>
        <v>0</v>
      </c>
      <c r="F22" s="69" t="n">
        <f aca="false">F19+F20-F21</f>
        <v>0</v>
      </c>
      <c r="G22" s="69" t="n">
        <f aca="false">G19+G20-G21</f>
        <v>0</v>
      </c>
      <c r="H22" s="69" t="n">
        <f aca="false">H19+H20-H21</f>
        <v>0</v>
      </c>
      <c r="I22" s="69" t="n">
        <f aca="false">I19+I20-I21</f>
        <v>0</v>
      </c>
      <c r="J22" s="69" t="n">
        <f aca="false">J19+J20-J21</f>
        <v>0</v>
      </c>
      <c r="K22" s="69" t="n">
        <f aca="false">K19+K20-K21</f>
        <v>0</v>
      </c>
      <c r="L22" s="69" t="n">
        <f aca="false">L19+L20-L21</f>
        <v>0</v>
      </c>
      <c r="M22" s="69" t="n">
        <f aca="false">M19+M20-M21</f>
        <v>0</v>
      </c>
      <c r="N22" s="69" t="n">
        <f aca="false">N19+N20-N21</f>
        <v>0</v>
      </c>
      <c r="O22" s="69" t="n">
        <f aca="false">O19+O20-O21</f>
        <v>0</v>
      </c>
      <c r="P22" s="69" t="n">
        <f aca="false">P19+P20-P21</f>
        <v>0</v>
      </c>
      <c r="Q22" s="69" t="n">
        <f aca="false">SUM(E22:P22)</f>
        <v>0</v>
      </c>
      <c r="S22" s="17" t="s">
        <v>406</v>
      </c>
      <c r="T22" s="51" t="n">
        <f aca="false">COUNTIF(E19:P19,"&gt;0")</f>
        <v>0</v>
      </c>
    </row>
    <row r="23" customFormat="false" ht="15" hidden="false" customHeight="false" outlineLevel="0" collapsed="false">
      <c r="B23" s="9" t="s">
        <v>407</v>
      </c>
      <c r="C23" s="10"/>
      <c r="D23" s="10"/>
      <c r="E23" s="10"/>
      <c r="F23" s="10"/>
      <c r="G23" s="10"/>
      <c r="H23" s="10"/>
      <c r="I23" s="10"/>
      <c r="J23" s="10"/>
      <c r="K23" s="10"/>
      <c r="L23" s="10"/>
      <c r="M23" s="10"/>
      <c r="N23" s="10"/>
      <c r="O23" s="10"/>
      <c r="P23" s="10"/>
      <c r="Q23" s="10"/>
      <c r="S23" s="17" t="s">
        <v>408</v>
      </c>
      <c r="T23" s="58" t="n">
        <f aca="false">IF(T22=0,0,T26/T22)</f>
        <v>0</v>
      </c>
    </row>
    <row r="24" customFormat="false" ht="15" hidden="false" customHeight="false" outlineLevel="0" collapsed="false">
      <c r="B24" s="17" t="s">
        <v>409</v>
      </c>
      <c r="E24" s="58" t="n">
        <f aca="false">IF(Deudas!$C$23="Sí",MAX(0,E22)*Supuestos!$C$25,0)</f>
        <v>0</v>
      </c>
      <c r="F24" s="58" t="n">
        <f aca="false">IF(Deudas!$C$23="Sí",MAX(0,F22)*Supuestos!$C$25,0)</f>
        <v>0</v>
      </c>
      <c r="G24" s="58" t="n">
        <f aca="false">IF(Deudas!$C$23="Sí",MAX(0,G22)*Supuestos!$C$25,0)</f>
        <v>0</v>
      </c>
      <c r="H24" s="58" t="n">
        <f aca="false">IF(Deudas!$C$23="Sí",MAX(0,H22)*Supuestos!$C$25,0)</f>
        <v>0</v>
      </c>
      <c r="I24" s="58" t="n">
        <f aca="false">IF(Deudas!$C$23="Sí",MAX(0,I22)*Supuestos!$C$25,0)</f>
        <v>0</v>
      </c>
      <c r="J24" s="58" t="n">
        <f aca="false">IF(Deudas!$C$23="Sí",MAX(0,J22)*Supuestos!$C$25,0)</f>
        <v>0</v>
      </c>
      <c r="K24" s="58" t="n">
        <f aca="false">IF(Deudas!$C$23="Sí",MAX(0,K22)*Supuestos!$C$25,0)</f>
        <v>0</v>
      </c>
      <c r="L24" s="58" t="n">
        <f aca="false">IF(Deudas!$C$23="Sí",MAX(0,L22)*Supuestos!$C$25,0)</f>
        <v>0</v>
      </c>
      <c r="M24" s="58" t="n">
        <f aca="false">IF(Deudas!$C$23="Sí",MAX(0,M22)*Supuestos!$C$25,0)</f>
        <v>0</v>
      </c>
      <c r="N24" s="58" t="n">
        <f aca="false">IF(Deudas!$C$23="Sí",MAX(0,N22)*Supuestos!$C$25,0)</f>
        <v>0</v>
      </c>
      <c r="O24" s="58" t="n">
        <f aca="false">IF(Deudas!$C$23="Sí",MAX(0,O22)*Supuestos!$C$25,0)</f>
        <v>0</v>
      </c>
      <c r="P24" s="58" t="n">
        <f aca="false">IF(Deudas!$C$23="Sí",MAX(0,P22)*Supuestos!$C$25,0)</f>
        <v>0</v>
      </c>
      <c r="Q24" s="89" t="n">
        <f aca="false">SUM(E24:P24)</f>
        <v>0</v>
      </c>
      <c r="S24" s="17" t="s">
        <v>410</v>
      </c>
      <c r="T24" s="58" t="n">
        <f aca="false">IF(T22=0,0,_xlfn.MINIFS(E19:P19,E19:P19,"&gt;0"))</f>
        <v>0</v>
      </c>
    </row>
    <row r="25" customFormat="false" ht="15" hidden="false" customHeight="false" outlineLevel="0" collapsed="false">
      <c r="B25" s="17" t="s">
        <v>21</v>
      </c>
      <c r="E25" s="58" t="n">
        <f aca="false">IF(Deudas!$C$23="Sí",0,MAX(0,E22)*Supuestos!$C$42)</f>
        <v>0</v>
      </c>
      <c r="F25" s="58" t="n">
        <f aca="false">IF(Deudas!$C$23="Sí",0,MAX(0,F22)*Supuestos!$C$42)</f>
        <v>0</v>
      </c>
      <c r="G25" s="58" t="n">
        <f aca="false">IF(Deudas!$C$23="Sí",0,MAX(0,G22)*Supuestos!$C$42)</f>
        <v>0</v>
      </c>
      <c r="H25" s="58" t="n">
        <f aca="false">IF(Deudas!$C$23="Sí",0,MAX(0,H22)*Supuestos!$C$42)</f>
        <v>0</v>
      </c>
      <c r="I25" s="58" t="n">
        <f aca="false">IF(Deudas!$C$23="Sí",0,MAX(0,I22)*Supuestos!$C$42)</f>
        <v>0</v>
      </c>
      <c r="J25" s="58" t="n">
        <f aca="false">IF(Deudas!$C$23="Sí",0,MAX(0,J22)*Supuestos!$C$42)</f>
        <v>0</v>
      </c>
      <c r="K25" s="58" t="n">
        <f aca="false">IF(Deudas!$C$23="Sí",0,MAX(0,K22)*Supuestos!$C$42)</f>
        <v>0</v>
      </c>
      <c r="L25" s="58" t="n">
        <f aca="false">IF(Deudas!$C$23="Sí",0,MAX(0,L22)*Supuestos!$C$42)</f>
        <v>0</v>
      </c>
      <c r="M25" s="58" t="n">
        <f aca="false">IF(Deudas!$C$23="Sí",0,MAX(0,M22)*Supuestos!$C$42)</f>
        <v>0</v>
      </c>
      <c r="N25" s="58" t="n">
        <f aca="false">IF(Deudas!$C$23="Sí",0,MAX(0,N22)*Supuestos!$C$42)</f>
        <v>0</v>
      </c>
      <c r="O25" s="58" t="n">
        <f aca="false">IF(Deudas!$C$23="Sí",0,MAX(0,O22)*Supuestos!$C$42)</f>
        <v>0</v>
      </c>
      <c r="P25" s="58" t="n">
        <f aca="false">IF(Deudas!$C$23="Sí",0,MAX(0,P22)*Supuestos!$C$42)</f>
        <v>0</v>
      </c>
      <c r="Q25" s="89" t="n">
        <f aca="false">SUM(E25:P25)</f>
        <v>0</v>
      </c>
      <c r="S25" s="17" t="s">
        <v>411</v>
      </c>
      <c r="T25" s="17" t="str">
        <f aca="false">IF(T20=0,"No aplica",IF(T24&gt;=T23,"Aporte igual","Aporte proporcional"))</f>
        <v>No aplica</v>
      </c>
    </row>
    <row r="26" customFormat="false" ht="15" hidden="false" customHeight="false" outlineLevel="0" collapsed="false">
      <c r="B26" s="17" t="s">
        <v>412</v>
      </c>
      <c r="E26" s="58" t="n">
        <f aca="false">E22-E24-E25</f>
        <v>0</v>
      </c>
      <c r="F26" s="58" t="n">
        <f aca="false">F22-F24-F25</f>
        <v>0</v>
      </c>
      <c r="G26" s="58" t="n">
        <f aca="false">G22-G24-G25</f>
        <v>0</v>
      </c>
      <c r="H26" s="58" t="n">
        <f aca="false">H22-H24-H25</f>
        <v>0</v>
      </c>
      <c r="I26" s="58" t="n">
        <f aca="false">I22-I24-I25</f>
        <v>0</v>
      </c>
      <c r="J26" s="58" t="n">
        <f aca="false">J22-J24-J25</f>
        <v>0</v>
      </c>
      <c r="K26" s="58" t="n">
        <f aca="false">K22-K24-K25</f>
        <v>0</v>
      </c>
      <c r="L26" s="58" t="n">
        <f aca="false">L22-L24-L25</f>
        <v>0</v>
      </c>
      <c r="M26" s="58" t="n">
        <f aca="false">M22-M24-M25</f>
        <v>0</v>
      </c>
      <c r="N26" s="58" t="n">
        <f aca="false">N22-N24-N25</f>
        <v>0</v>
      </c>
      <c r="O26" s="58" t="n">
        <f aca="false">O22-O24-O25</f>
        <v>0</v>
      </c>
      <c r="P26" s="58" t="n">
        <f aca="false">P22-P24-P25</f>
        <v>0</v>
      </c>
      <c r="Q26" s="89" t="n">
        <f aca="false">SUM(E26:P26)</f>
        <v>0</v>
      </c>
      <c r="S26" s="17" t="s">
        <v>413</v>
      </c>
      <c r="T26" s="58" t="n">
        <f aca="false">MIN(T20,T21)</f>
        <v>0</v>
      </c>
    </row>
    <row r="27" customFormat="false" ht="15" hidden="false" customHeight="false" outlineLevel="0" collapsed="false">
      <c r="B27" s="9" t="s">
        <v>414</v>
      </c>
      <c r="C27" s="10"/>
      <c r="D27" s="10"/>
      <c r="E27" s="10"/>
      <c r="F27" s="10"/>
      <c r="G27" s="10"/>
      <c r="H27" s="10"/>
      <c r="I27" s="10"/>
      <c r="J27" s="10"/>
      <c r="K27" s="10"/>
      <c r="L27" s="10"/>
      <c r="M27" s="10"/>
      <c r="N27" s="10"/>
      <c r="O27" s="10"/>
      <c r="P27" s="10"/>
      <c r="Q27" s="10"/>
      <c r="S27" s="17" t="s">
        <v>415</v>
      </c>
      <c r="T27" s="59" t="n">
        <f aca="false">IF(T20=0,1,MIN(1,T21/T20))</f>
        <v>1</v>
      </c>
    </row>
    <row r="28" customFormat="false" ht="15" hidden="false" customHeight="false" outlineLevel="0" collapsed="false">
      <c r="B28" s="17" t="s">
        <v>416</v>
      </c>
      <c r="E28" s="58" t="n">
        <f aca="false">IF(AND(ISNUMBER(Supuestos!$J$46),(Supuestos!$C$14*12+1)&gt;=Supuestos!$J$46,(Supuestos!$C$14*12+1)&lt;=Supuestos!$K$46),N(Supuestos!$D$46),0)+IF(AND(ISNUMBER(Supuestos!$J$47),(Supuestos!$C$14*12+1)&gt;=Supuestos!$J$47,(Supuestos!$C$14*12+1)&lt;=Supuestos!$K$47),N(Supuestos!$D$47),0)+IF(AND(ISNUMBER(Supuestos!$J$48),(Supuestos!$C$14*12+1)&gt;=Supuestos!$J$48,(Supuestos!$C$14*12+1)&lt;=Supuestos!$K$48),N(Supuestos!$D$48),0)</f>
        <v>0</v>
      </c>
      <c r="F28" s="58" t="n">
        <f aca="false">IF(AND(ISNUMBER(Supuestos!$J$46),(Supuestos!$C$14*12+2)&gt;=Supuestos!$J$46,(Supuestos!$C$14*12+2)&lt;=Supuestos!$K$46),N(Supuestos!$D$46),0)+IF(AND(ISNUMBER(Supuestos!$J$47),(Supuestos!$C$14*12+2)&gt;=Supuestos!$J$47,(Supuestos!$C$14*12+2)&lt;=Supuestos!$K$47),N(Supuestos!$D$47),0)+IF(AND(ISNUMBER(Supuestos!$J$48),(Supuestos!$C$14*12+2)&gt;=Supuestos!$J$48,(Supuestos!$C$14*12+2)&lt;=Supuestos!$K$48),N(Supuestos!$D$48),0)</f>
        <v>0</v>
      </c>
      <c r="G28" s="58" t="n">
        <f aca="false">IF(AND(ISNUMBER(Supuestos!$J$46),(Supuestos!$C$14*12+3)&gt;=Supuestos!$J$46,(Supuestos!$C$14*12+3)&lt;=Supuestos!$K$46),N(Supuestos!$D$46),0)+IF(AND(ISNUMBER(Supuestos!$J$47),(Supuestos!$C$14*12+3)&gt;=Supuestos!$J$47,(Supuestos!$C$14*12+3)&lt;=Supuestos!$K$47),N(Supuestos!$D$47),0)+IF(AND(ISNUMBER(Supuestos!$J$48),(Supuestos!$C$14*12+3)&gt;=Supuestos!$J$48,(Supuestos!$C$14*12+3)&lt;=Supuestos!$K$48),N(Supuestos!$D$48),0)</f>
        <v>0</v>
      </c>
      <c r="H28" s="58" t="n">
        <f aca="false">IF(AND(ISNUMBER(Supuestos!$J$46),(Supuestos!$C$14*12+4)&gt;=Supuestos!$J$46,(Supuestos!$C$14*12+4)&lt;=Supuestos!$K$46),N(Supuestos!$D$46),0)+IF(AND(ISNUMBER(Supuestos!$J$47),(Supuestos!$C$14*12+4)&gt;=Supuestos!$J$47,(Supuestos!$C$14*12+4)&lt;=Supuestos!$K$47),N(Supuestos!$D$47),0)+IF(AND(ISNUMBER(Supuestos!$J$48),(Supuestos!$C$14*12+4)&gt;=Supuestos!$J$48,(Supuestos!$C$14*12+4)&lt;=Supuestos!$K$48),N(Supuestos!$D$48),0)</f>
        <v>0</v>
      </c>
      <c r="I28" s="58" t="n">
        <f aca="false">IF(AND(ISNUMBER(Supuestos!$J$46),(Supuestos!$C$14*12+5)&gt;=Supuestos!$J$46,(Supuestos!$C$14*12+5)&lt;=Supuestos!$K$46),N(Supuestos!$D$46),0)+IF(AND(ISNUMBER(Supuestos!$J$47),(Supuestos!$C$14*12+5)&gt;=Supuestos!$J$47,(Supuestos!$C$14*12+5)&lt;=Supuestos!$K$47),N(Supuestos!$D$47),0)+IF(AND(ISNUMBER(Supuestos!$J$48),(Supuestos!$C$14*12+5)&gt;=Supuestos!$J$48,(Supuestos!$C$14*12+5)&lt;=Supuestos!$K$48),N(Supuestos!$D$48),0)</f>
        <v>0</v>
      </c>
      <c r="J28" s="58" t="n">
        <f aca="false">IF(AND(ISNUMBER(Supuestos!$J$46),(Supuestos!$C$14*12+6)&gt;=Supuestos!$J$46,(Supuestos!$C$14*12+6)&lt;=Supuestos!$K$46),N(Supuestos!$D$46),0)+IF(AND(ISNUMBER(Supuestos!$J$47),(Supuestos!$C$14*12+6)&gt;=Supuestos!$J$47,(Supuestos!$C$14*12+6)&lt;=Supuestos!$K$47),N(Supuestos!$D$47),0)+IF(AND(ISNUMBER(Supuestos!$J$48),(Supuestos!$C$14*12+6)&gt;=Supuestos!$J$48,(Supuestos!$C$14*12+6)&lt;=Supuestos!$K$48),N(Supuestos!$D$48),0)</f>
        <v>0</v>
      </c>
      <c r="K28" s="58" t="n">
        <f aca="false">IF(AND(ISNUMBER(Supuestos!$J$46),(Supuestos!$C$14*12+7)&gt;=Supuestos!$J$46,(Supuestos!$C$14*12+7)&lt;=Supuestos!$K$46),N(Supuestos!$D$46),0)+IF(AND(ISNUMBER(Supuestos!$J$47),(Supuestos!$C$14*12+7)&gt;=Supuestos!$J$47,(Supuestos!$C$14*12+7)&lt;=Supuestos!$K$47),N(Supuestos!$D$47),0)+IF(AND(ISNUMBER(Supuestos!$J$48),(Supuestos!$C$14*12+7)&gt;=Supuestos!$J$48,(Supuestos!$C$14*12+7)&lt;=Supuestos!$K$48),N(Supuestos!$D$48),0)</f>
        <v>0</v>
      </c>
      <c r="L28" s="58" t="n">
        <f aca="false">IF(AND(ISNUMBER(Supuestos!$J$46),(Supuestos!$C$14*12+8)&gt;=Supuestos!$J$46,(Supuestos!$C$14*12+8)&lt;=Supuestos!$K$46),N(Supuestos!$D$46),0)+IF(AND(ISNUMBER(Supuestos!$J$47),(Supuestos!$C$14*12+8)&gt;=Supuestos!$J$47,(Supuestos!$C$14*12+8)&lt;=Supuestos!$K$47),N(Supuestos!$D$47),0)+IF(AND(ISNUMBER(Supuestos!$J$48),(Supuestos!$C$14*12+8)&gt;=Supuestos!$J$48,(Supuestos!$C$14*12+8)&lt;=Supuestos!$K$48),N(Supuestos!$D$48),0)</f>
        <v>0</v>
      </c>
      <c r="M28" s="58" t="n">
        <f aca="false">IF(AND(ISNUMBER(Supuestos!$J$46),(Supuestos!$C$14*12+9)&gt;=Supuestos!$J$46,(Supuestos!$C$14*12+9)&lt;=Supuestos!$K$46),N(Supuestos!$D$46),0)+IF(AND(ISNUMBER(Supuestos!$J$47),(Supuestos!$C$14*12+9)&gt;=Supuestos!$J$47,(Supuestos!$C$14*12+9)&lt;=Supuestos!$K$47),N(Supuestos!$D$47),0)+IF(AND(ISNUMBER(Supuestos!$J$48),(Supuestos!$C$14*12+9)&gt;=Supuestos!$J$48,(Supuestos!$C$14*12+9)&lt;=Supuestos!$K$48),N(Supuestos!$D$48),0)</f>
        <v>0</v>
      </c>
      <c r="N28" s="58" t="n">
        <f aca="false">IF(AND(ISNUMBER(Supuestos!$J$46),(Supuestos!$C$14*12+10)&gt;=Supuestos!$J$46,(Supuestos!$C$14*12+10)&lt;=Supuestos!$K$46),N(Supuestos!$D$46),0)+IF(AND(ISNUMBER(Supuestos!$J$47),(Supuestos!$C$14*12+10)&gt;=Supuestos!$J$47,(Supuestos!$C$14*12+10)&lt;=Supuestos!$K$47),N(Supuestos!$D$47),0)+IF(AND(ISNUMBER(Supuestos!$J$48),(Supuestos!$C$14*12+10)&gt;=Supuestos!$J$48,(Supuestos!$C$14*12+10)&lt;=Supuestos!$K$48),N(Supuestos!$D$48),0)</f>
        <v>0</v>
      </c>
      <c r="O28" s="58" t="n">
        <f aca="false">IF(AND(ISNUMBER(Supuestos!$J$46),(Supuestos!$C$14*12+11)&gt;=Supuestos!$J$46,(Supuestos!$C$14*12+11)&lt;=Supuestos!$K$46),N(Supuestos!$D$46),0)+IF(AND(ISNUMBER(Supuestos!$J$47),(Supuestos!$C$14*12+11)&gt;=Supuestos!$J$47,(Supuestos!$C$14*12+11)&lt;=Supuestos!$K$47),N(Supuestos!$D$47),0)+IF(AND(ISNUMBER(Supuestos!$J$48),(Supuestos!$C$14*12+11)&gt;=Supuestos!$J$48,(Supuestos!$C$14*12+11)&lt;=Supuestos!$K$48),N(Supuestos!$D$48),0)</f>
        <v>0</v>
      </c>
      <c r="P28" s="58" t="n">
        <f aca="false">IF(AND(ISNUMBER(Supuestos!$J$46),(Supuestos!$C$14*12+12)&gt;=Supuestos!$J$46,(Supuestos!$C$14*12+12)&lt;=Supuestos!$K$46),N(Supuestos!$D$46),0)+IF(AND(ISNUMBER(Supuestos!$J$47),(Supuestos!$C$14*12+12)&gt;=Supuestos!$J$47,(Supuestos!$C$14*12+12)&lt;=Supuestos!$K$47),N(Supuestos!$D$47),0)+IF(AND(ISNUMBER(Supuestos!$J$48),(Supuestos!$C$14*12+12)&gt;=Supuestos!$J$48,(Supuestos!$C$14*12+12)&lt;=Supuestos!$K$48),N(Supuestos!$D$48),0)</f>
        <v>0</v>
      </c>
      <c r="Q28" s="89" t="n">
        <f aca="false">SUM(E28:P28)</f>
        <v>0</v>
      </c>
    </row>
    <row r="29" customFormat="false" ht="15" hidden="false" customHeight="false" outlineLevel="0" collapsed="false">
      <c r="B29" s="17" t="s">
        <v>417</v>
      </c>
      <c r="E29" s="58" t="n">
        <f aca="false">IF(Deudas!$C$23="Sí",E28,0)</f>
        <v>0</v>
      </c>
      <c r="F29" s="58" t="n">
        <f aca="false">IF(Deudas!$C$23="Sí",F28,0)</f>
        <v>0</v>
      </c>
      <c r="G29" s="58" t="n">
        <f aca="false">IF(Deudas!$C$23="Sí",G28,0)</f>
        <v>0</v>
      </c>
      <c r="H29" s="58" t="n">
        <f aca="false">IF(Deudas!$C$23="Sí",H28,0)</f>
        <v>0</v>
      </c>
      <c r="I29" s="58" t="n">
        <f aca="false">IF(Deudas!$C$23="Sí",I28,0)</f>
        <v>0</v>
      </c>
      <c r="J29" s="58" t="n">
        <f aca="false">IF(Deudas!$C$23="Sí",J28,0)</f>
        <v>0</v>
      </c>
      <c r="K29" s="58" t="n">
        <f aca="false">IF(Deudas!$C$23="Sí",K28,0)</f>
        <v>0</v>
      </c>
      <c r="L29" s="58" t="n">
        <f aca="false">IF(Deudas!$C$23="Sí",L28,0)</f>
        <v>0</v>
      </c>
      <c r="M29" s="58" t="n">
        <f aca="false">IF(Deudas!$C$23="Sí",M28,0)</f>
        <v>0</v>
      </c>
      <c r="N29" s="58" t="n">
        <f aca="false">IF(Deudas!$C$23="Sí",N28,0)</f>
        <v>0</v>
      </c>
      <c r="O29" s="58" t="n">
        <f aca="false">IF(Deudas!$C$23="Sí",O28,0)</f>
        <v>0</v>
      </c>
      <c r="P29" s="58" t="n">
        <f aca="false">IF(Deudas!$C$23="Sí",P28,0)</f>
        <v>0</v>
      </c>
      <c r="Q29" s="89" t="n">
        <f aca="false">SUM(E29:P29)</f>
        <v>0</v>
      </c>
    </row>
    <row r="30" customFormat="false" ht="15" hidden="false" customHeight="false" outlineLevel="0" collapsed="false">
      <c r="B30" s="17" t="s">
        <v>418</v>
      </c>
      <c r="E30" s="58" t="n">
        <f aca="false">IF(Deudas!$C$23="Sí",0,IF(AND(ISNUMBER(Supuestos!$J$46),(Supuestos!$C$14*12+1)&gt;=Supuestos!$J$46,(Supuestos!$C$14*12+1)&lt;=Supuestos!$K$46),N(Supuestos!$D$46)*N(Supuestos!$H$46),0)+IF(AND(ISNUMBER(Supuestos!$J$47),(Supuestos!$C$14*12+1)&gt;=Supuestos!$J$47,(Supuestos!$C$14*12+1)&lt;=Supuestos!$K$47),N(Supuestos!$D$47)*N(Supuestos!$H$47),0)+IF(AND(ISNUMBER(Supuestos!$J$48),(Supuestos!$C$14*12+1)&gt;=Supuestos!$J$48,(Supuestos!$C$14*12+1)&lt;=Supuestos!$K$48),N(Supuestos!$D$48)*N(Supuestos!$H$48),0))</f>
        <v>0</v>
      </c>
      <c r="F30" s="58" t="n">
        <f aca="false">IF(Deudas!$C$23="Sí",0,IF(AND(ISNUMBER(Supuestos!$J$46),(Supuestos!$C$14*12+2)&gt;=Supuestos!$J$46,(Supuestos!$C$14*12+2)&lt;=Supuestos!$K$46),N(Supuestos!$D$46)*N(Supuestos!$H$46),0)+IF(AND(ISNUMBER(Supuestos!$J$47),(Supuestos!$C$14*12+2)&gt;=Supuestos!$J$47,(Supuestos!$C$14*12+2)&lt;=Supuestos!$K$47),N(Supuestos!$D$47)*N(Supuestos!$H$47),0)+IF(AND(ISNUMBER(Supuestos!$J$48),(Supuestos!$C$14*12+2)&gt;=Supuestos!$J$48,(Supuestos!$C$14*12+2)&lt;=Supuestos!$K$48),N(Supuestos!$D$48)*N(Supuestos!$H$48),0))</f>
        <v>0</v>
      </c>
      <c r="G30" s="58" t="n">
        <f aca="false">IF(Deudas!$C$23="Sí",0,IF(AND(ISNUMBER(Supuestos!$J$46),(Supuestos!$C$14*12+3)&gt;=Supuestos!$J$46,(Supuestos!$C$14*12+3)&lt;=Supuestos!$K$46),N(Supuestos!$D$46)*N(Supuestos!$H$46),0)+IF(AND(ISNUMBER(Supuestos!$J$47),(Supuestos!$C$14*12+3)&gt;=Supuestos!$J$47,(Supuestos!$C$14*12+3)&lt;=Supuestos!$K$47),N(Supuestos!$D$47)*N(Supuestos!$H$47),0)+IF(AND(ISNUMBER(Supuestos!$J$48),(Supuestos!$C$14*12+3)&gt;=Supuestos!$J$48,(Supuestos!$C$14*12+3)&lt;=Supuestos!$K$48),N(Supuestos!$D$48)*N(Supuestos!$H$48),0))</f>
        <v>0</v>
      </c>
      <c r="H30" s="58" t="n">
        <f aca="false">IF(Deudas!$C$23="Sí",0,IF(AND(ISNUMBER(Supuestos!$J$46),(Supuestos!$C$14*12+4)&gt;=Supuestos!$J$46,(Supuestos!$C$14*12+4)&lt;=Supuestos!$K$46),N(Supuestos!$D$46)*N(Supuestos!$H$46),0)+IF(AND(ISNUMBER(Supuestos!$J$47),(Supuestos!$C$14*12+4)&gt;=Supuestos!$J$47,(Supuestos!$C$14*12+4)&lt;=Supuestos!$K$47),N(Supuestos!$D$47)*N(Supuestos!$H$47),0)+IF(AND(ISNUMBER(Supuestos!$J$48),(Supuestos!$C$14*12+4)&gt;=Supuestos!$J$48,(Supuestos!$C$14*12+4)&lt;=Supuestos!$K$48),N(Supuestos!$D$48)*N(Supuestos!$H$48),0))</f>
        <v>0</v>
      </c>
      <c r="I30" s="58" t="n">
        <f aca="false">IF(Deudas!$C$23="Sí",0,IF(AND(ISNUMBER(Supuestos!$J$46),(Supuestos!$C$14*12+5)&gt;=Supuestos!$J$46,(Supuestos!$C$14*12+5)&lt;=Supuestos!$K$46),N(Supuestos!$D$46)*N(Supuestos!$H$46),0)+IF(AND(ISNUMBER(Supuestos!$J$47),(Supuestos!$C$14*12+5)&gt;=Supuestos!$J$47,(Supuestos!$C$14*12+5)&lt;=Supuestos!$K$47),N(Supuestos!$D$47)*N(Supuestos!$H$47),0)+IF(AND(ISNUMBER(Supuestos!$J$48),(Supuestos!$C$14*12+5)&gt;=Supuestos!$J$48,(Supuestos!$C$14*12+5)&lt;=Supuestos!$K$48),N(Supuestos!$D$48)*N(Supuestos!$H$48),0))</f>
        <v>0</v>
      </c>
      <c r="J30" s="58" t="n">
        <f aca="false">IF(Deudas!$C$23="Sí",0,IF(AND(ISNUMBER(Supuestos!$J$46),(Supuestos!$C$14*12+6)&gt;=Supuestos!$J$46,(Supuestos!$C$14*12+6)&lt;=Supuestos!$K$46),N(Supuestos!$D$46)*N(Supuestos!$H$46),0)+IF(AND(ISNUMBER(Supuestos!$J$47),(Supuestos!$C$14*12+6)&gt;=Supuestos!$J$47,(Supuestos!$C$14*12+6)&lt;=Supuestos!$K$47),N(Supuestos!$D$47)*N(Supuestos!$H$47),0)+IF(AND(ISNUMBER(Supuestos!$J$48),(Supuestos!$C$14*12+6)&gt;=Supuestos!$J$48,(Supuestos!$C$14*12+6)&lt;=Supuestos!$K$48),N(Supuestos!$D$48)*N(Supuestos!$H$48),0))</f>
        <v>0</v>
      </c>
      <c r="K30" s="58" t="n">
        <f aca="false">IF(Deudas!$C$23="Sí",0,IF(AND(ISNUMBER(Supuestos!$J$46),(Supuestos!$C$14*12+7)&gt;=Supuestos!$J$46,(Supuestos!$C$14*12+7)&lt;=Supuestos!$K$46),N(Supuestos!$D$46)*N(Supuestos!$H$46),0)+IF(AND(ISNUMBER(Supuestos!$J$47),(Supuestos!$C$14*12+7)&gt;=Supuestos!$J$47,(Supuestos!$C$14*12+7)&lt;=Supuestos!$K$47),N(Supuestos!$D$47)*N(Supuestos!$H$47),0)+IF(AND(ISNUMBER(Supuestos!$J$48),(Supuestos!$C$14*12+7)&gt;=Supuestos!$J$48,(Supuestos!$C$14*12+7)&lt;=Supuestos!$K$48),N(Supuestos!$D$48)*N(Supuestos!$H$48),0))</f>
        <v>0</v>
      </c>
      <c r="L30" s="58" t="n">
        <f aca="false">IF(Deudas!$C$23="Sí",0,IF(AND(ISNUMBER(Supuestos!$J$46),(Supuestos!$C$14*12+8)&gt;=Supuestos!$J$46,(Supuestos!$C$14*12+8)&lt;=Supuestos!$K$46),N(Supuestos!$D$46)*N(Supuestos!$H$46),0)+IF(AND(ISNUMBER(Supuestos!$J$47),(Supuestos!$C$14*12+8)&gt;=Supuestos!$J$47,(Supuestos!$C$14*12+8)&lt;=Supuestos!$K$47),N(Supuestos!$D$47)*N(Supuestos!$H$47),0)+IF(AND(ISNUMBER(Supuestos!$J$48),(Supuestos!$C$14*12+8)&gt;=Supuestos!$J$48,(Supuestos!$C$14*12+8)&lt;=Supuestos!$K$48),N(Supuestos!$D$48)*N(Supuestos!$H$48),0))</f>
        <v>0</v>
      </c>
      <c r="M30" s="58" t="n">
        <f aca="false">IF(Deudas!$C$23="Sí",0,IF(AND(ISNUMBER(Supuestos!$J$46),(Supuestos!$C$14*12+9)&gt;=Supuestos!$J$46,(Supuestos!$C$14*12+9)&lt;=Supuestos!$K$46),N(Supuestos!$D$46)*N(Supuestos!$H$46),0)+IF(AND(ISNUMBER(Supuestos!$J$47),(Supuestos!$C$14*12+9)&gt;=Supuestos!$J$47,(Supuestos!$C$14*12+9)&lt;=Supuestos!$K$47),N(Supuestos!$D$47)*N(Supuestos!$H$47),0)+IF(AND(ISNUMBER(Supuestos!$J$48),(Supuestos!$C$14*12+9)&gt;=Supuestos!$J$48,(Supuestos!$C$14*12+9)&lt;=Supuestos!$K$48),N(Supuestos!$D$48)*N(Supuestos!$H$48),0))</f>
        <v>0</v>
      </c>
      <c r="N30" s="58" t="n">
        <f aca="false">IF(Deudas!$C$23="Sí",0,IF(AND(ISNUMBER(Supuestos!$J$46),(Supuestos!$C$14*12+10)&gt;=Supuestos!$J$46,(Supuestos!$C$14*12+10)&lt;=Supuestos!$K$46),N(Supuestos!$D$46)*N(Supuestos!$H$46),0)+IF(AND(ISNUMBER(Supuestos!$J$47),(Supuestos!$C$14*12+10)&gt;=Supuestos!$J$47,(Supuestos!$C$14*12+10)&lt;=Supuestos!$K$47),N(Supuestos!$D$47)*N(Supuestos!$H$47),0)+IF(AND(ISNUMBER(Supuestos!$J$48),(Supuestos!$C$14*12+10)&gt;=Supuestos!$J$48,(Supuestos!$C$14*12+10)&lt;=Supuestos!$K$48),N(Supuestos!$D$48)*N(Supuestos!$H$48),0))</f>
        <v>0</v>
      </c>
      <c r="O30" s="58" t="n">
        <f aca="false">IF(Deudas!$C$23="Sí",0,IF(AND(ISNUMBER(Supuestos!$J$46),(Supuestos!$C$14*12+11)&gt;=Supuestos!$J$46,(Supuestos!$C$14*12+11)&lt;=Supuestos!$K$46),N(Supuestos!$D$46)*N(Supuestos!$H$46),0)+IF(AND(ISNUMBER(Supuestos!$J$47),(Supuestos!$C$14*12+11)&gt;=Supuestos!$J$47,(Supuestos!$C$14*12+11)&lt;=Supuestos!$K$47),N(Supuestos!$D$47)*N(Supuestos!$H$47),0)+IF(AND(ISNUMBER(Supuestos!$J$48),(Supuestos!$C$14*12+11)&gt;=Supuestos!$J$48,(Supuestos!$C$14*12+11)&lt;=Supuestos!$K$48),N(Supuestos!$D$48)*N(Supuestos!$H$48),0))</f>
        <v>0</v>
      </c>
      <c r="P30" s="58" t="n">
        <f aca="false">IF(Deudas!$C$23="Sí",0,IF(AND(ISNUMBER(Supuestos!$J$46),(Supuestos!$C$14*12+12)&gt;=Supuestos!$J$46,(Supuestos!$C$14*12+12)&lt;=Supuestos!$K$46),N(Supuestos!$D$46)*N(Supuestos!$H$46),0)+IF(AND(ISNUMBER(Supuestos!$J$47),(Supuestos!$C$14*12+12)&gt;=Supuestos!$J$47,(Supuestos!$C$14*12+12)&lt;=Supuestos!$K$47),N(Supuestos!$D$47)*N(Supuestos!$H$47),0)+IF(AND(ISNUMBER(Supuestos!$J$48),(Supuestos!$C$14*12+12)&gt;=Supuestos!$J$48,(Supuestos!$C$14*12+12)&lt;=Supuestos!$K$48),N(Supuestos!$D$48)*N(Supuestos!$H$48),0))</f>
        <v>0</v>
      </c>
      <c r="Q30" s="89" t="n">
        <f aca="false">SUM(E30:P30)</f>
        <v>0</v>
      </c>
    </row>
    <row r="31" customFormat="false" ht="15" hidden="false" customHeight="false" outlineLevel="0" collapsed="false">
      <c r="B31" s="17" t="s">
        <v>419</v>
      </c>
      <c r="E31" s="58" t="n">
        <f aca="false">E28-E29-E30</f>
        <v>0</v>
      </c>
      <c r="F31" s="58" t="n">
        <f aca="false">F28-F29-F30</f>
        <v>0</v>
      </c>
      <c r="G31" s="58" t="n">
        <f aca="false">G28-G29-G30</f>
        <v>0</v>
      </c>
      <c r="H31" s="58" t="n">
        <f aca="false">H28-H29-H30</f>
        <v>0</v>
      </c>
      <c r="I31" s="58" t="n">
        <f aca="false">I28-I29-I30</f>
        <v>0</v>
      </c>
      <c r="J31" s="58" t="n">
        <f aca="false">J28-J29-J30</f>
        <v>0</v>
      </c>
      <c r="K31" s="58" t="n">
        <f aca="false">K28-K29-K30</f>
        <v>0</v>
      </c>
      <c r="L31" s="58" t="n">
        <f aca="false">L28-L29-L30</f>
        <v>0</v>
      </c>
      <c r="M31" s="58" t="n">
        <f aca="false">M28-M29-M30</f>
        <v>0</v>
      </c>
      <c r="N31" s="58" t="n">
        <f aca="false">N28-N29-N30</f>
        <v>0</v>
      </c>
      <c r="O31" s="58" t="n">
        <f aca="false">O28-O29-O30</f>
        <v>0</v>
      </c>
      <c r="P31" s="58" t="n">
        <f aca="false">P28-P29-P30</f>
        <v>0</v>
      </c>
      <c r="Q31" s="89" t="n">
        <f aca="false">SUM(E31:P31)</f>
        <v>0</v>
      </c>
    </row>
    <row r="32" customFormat="false" ht="15" hidden="false" customHeight="false" outlineLevel="0" collapsed="false">
      <c r="B32" s="9" t="s">
        <v>420</v>
      </c>
      <c r="C32" s="10"/>
      <c r="D32" s="10"/>
      <c r="E32" s="10"/>
      <c r="F32" s="10"/>
      <c r="G32" s="10"/>
      <c r="H32" s="10"/>
      <c r="I32" s="10"/>
      <c r="J32" s="10"/>
      <c r="K32" s="10"/>
      <c r="L32" s="10"/>
      <c r="M32" s="10"/>
      <c r="N32" s="10"/>
      <c r="O32" s="10"/>
      <c r="P32" s="10"/>
      <c r="Q32" s="10"/>
    </row>
    <row r="33" customFormat="false" ht="15" hidden="false" customHeight="false" outlineLevel="0" collapsed="false">
      <c r="B33" s="68" t="s">
        <v>421</v>
      </c>
      <c r="C33" s="68"/>
      <c r="D33" s="68"/>
      <c r="E33" s="69" t="n">
        <f aca="false">E25+E30</f>
        <v>0</v>
      </c>
      <c r="F33" s="69" t="n">
        <f aca="false">F25+F30</f>
        <v>0</v>
      </c>
      <c r="G33" s="69" t="n">
        <f aca="false">G25+G30</f>
        <v>0</v>
      </c>
      <c r="H33" s="69" t="n">
        <f aca="false">H25+H30</f>
        <v>0</v>
      </c>
      <c r="I33" s="69" t="n">
        <f aca="false">I25+I30</f>
        <v>0</v>
      </c>
      <c r="J33" s="69" t="n">
        <f aca="false">J25+J30</f>
        <v>0</v>
      </c>
      <c r="K33" s="69" t="n">
        <f aca="false">K25+K30</f>
        <v>0</v>
      </c>
      <c r="L33" s="69" t="n">
        <f aca="false">L25+L30</f>
        <v>0</v>
      </c>
      <c r="M33" s="69" t="n">
        <f aca="false">M25+M30</f>
        <v>0</v>
      </c>
      <c r="N33" s="69" t="n">
        <f aca="false">N25+N30</f>
        <v>0</v>
      </c>
      <c r="O33" s="69" t="n">
        <f aca="false">O25+O30</f>
        <v>0</v>
      </c>
      <c r="P33" s="69" t="n">
        <f aca="false">P25+P30</f>
        <v>0</v>
      </c>
      <c r="Q33" s="69" t="n">
        <f aca="false">SUM(E33:P33)</f>
        <v>0</v>
      </c>
    </row>
    <row r="34" customFormat="false" ht="15" hidden="false" customHeight="false" outlineLevel="0" collapsed="false">
      <c r="B34" s="68" t="s">
        <v>422</v>
      </c>
      <c r="C34" s="68"/>
      <c r="D34" s="68"/>
      <c r="E34" s="69" t="n">
        <f aca="false">E24+E29</f>
        <v>0</v>
      </c>
      <c r="F34" s="69" t="n">
        <f aca="false">F24+F29</f>
        <v>0</v>
      </c>
      <c r="G34" s="69" t="n">
        <f aca="false">G24+G29</f>
        <v>0</v>
      </c>
      <c r="H34" s="69" t="n">
        <f aca="false">H24+H29</f>
        <v>0</v>
      </c>
      <c r="I34" s="69" t="n">
        <f aca="false">I24+I29</f>
        <v>0</v>
      </c>
      <c r="J34" s="69" t="n">
        <f aca="false">J24+J29</f>
        <v>0</v>
      </c>
      <c r="K34" s="69" t="n">
        <f aca="false">K24+K29</f>
        <v>0</v>
      </c>
      <c r="L34" s="69" t="n">
        <f aca="false">L24+L29</f>
        <v>0</v>
      </c>
      <c r="M34" s="69" t="n">
        <f aca="false">M24+M29</f>
        <v>0</v>
      </c>
      <c r="N34" s="69" t="n">
        <f aca="false">N24+N29</f>
        <v>0</v>
      </c>
      <c r="O34" s="69" t="n">
        <f aca="false">O24+O29</f>
        <v>0</v>
      </c>
      <c r="P34" s="69" t="n">
        <f aca="false">P24+P29</f>
        <v>0</v>
      </c>
      <c r="Q34" s="69" t="n">
        <f aca="false">SUM(E34:P34)</f>
        <v>0</v>
      </c>
    </row>
    <row r="36" customFormat="false" ht="15" hidden="false" customHeight="false" outlineLevel="0" collapsed="false">
      <c r="B36" s="102" t="str">
        <f aca="false">IF(T20&gt;T21+0.5,"Alerta: el año cierra en déficit. Los meses con sobrante no alcanzan a cubrir los meses en rojo.","")</f>
        <v/>
      </c>
    </row>
    <row r="37" customFormat="false" ht="15" hidden="false" customHeight="false" outlineLevel="0" collapsed="false">
      <c r="B37" s="23" t="s">
        <v>423</v>
      </c>
    </row>
    <row r="38" customFormat="false" ht="15" hidden="false" customHeight="false" outlineLevel="0" collapsed="false">
      <c r="B38" s="23" t="s">
        <v>424</v>
      </c>
    </row>
  </sheetData>
  <printOptions headings="false" gridLines="false" gridLinesSet="true" horizontalCentered="true" verticalCentered="false"/>
  <pageMargins left="0.4" right="0.4"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8A04A"/>
    <pageSetUpPr fitToPage="true"/>
  </sheetPr>
  <dimension ref="B1:H3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42"/>
    <col collapsed="false" customWidth="true" hidden="false" outlineLevel="0" max="3" min="3" style="1" width="38"/>
    <col collapsed="false" customWidth="true" hidden="false" outlineLevel="0" max="5" min="4" style="1" width="15"/>
    <col collapsed="false" customWidth="true" hidden="false" outlineLevel="0" max="6" min="6" style="1" width="24"/>
    <col collapsed="false" customWidth="true" hidden="false" outlineLevel="0" max="7" min="7" style="1" width="17"/>
    <col collapsed="false" customWidth="true" hidden="false" outlineLevel="0" max="8" min="8" style="1" width="40"/>
  </cols>
  <sheetData>
    <row r="1" customFormat="false" ht="24" hidden="false" customHeight="true" outlineLevel="0" collapsed="false">
      <c r="B1" s="27" t="s">
        <v>25</v>
      </c>
    </row>
    <row r="2" customFormat="false" ht="15" hidden="false" customHeight="false" outlineLevel="0" collapsed="false">
      <c r="B2" s="28" t="s">
        <v>425</v>
      </c>
      <c r="C2" s="29"/>
      <c r="D2" s="29"/>
      <c r="E2" s="29"/>
      <c r="F2" s="29"/>
      <c r="G2" s="29"/>
      <c r="H2" s="29"/>
    </row>
    <row r="5" customFormat="false" ht="30" hidden="false" customHeight="true" outlineLevel="0" collapsed="false">
      <c r="B5" s="11" t="s">
        <v>254</v>
      </c>
      <c r="C5" s="12" t="s">
        <v>426</v>
      </c>
      <c r="D5" s="12" t="s">
        <v>427</v>
      </c>
      <c r="E5" s="12" t="s">
        <v>428</v>
      </c>
      <c r="F5" s="12" t="s">
        <v>429</v>
      </c>
      <c r="G5" s="12" t="s">
        <v>430</v>
      </c>
      <c r="H5" s="12" t="s">
        <v>130</v>
      </c>
    </row>
    <row r="6" customFormat="false" ht="15" hidden="false" customHeight="false" outlineLevel="0" collapsed="false">
      <c r="B6" s="14" t="s">
        <v>431</v>
      </c>
      <c r="C6" s="15" t="s">
        <v>432</v>
      </c>
      <c r="D6" s="103" t="n">
        <f aca="false">'Fondo emergencia'!$C$21</f>
        <v>0</v>
      </c>
      <c r="E6" s="45" t="n">
        <f aca="false">MAX(0,D6-G6)/12</f>
        <v>0</v>
      </c>
      <c r="F6" s="15" t="s">
        <v>433</v>
      </c>
      <c r="G6" s="45" t="n">
        <f aca="false">MIN(D6,$C$23)</f>
        <v>0</v>
      </c>
      <c r="H6" s="34" t="s">
        <v>434</v>
      </c>
    </row>
    <row r="7" customFormat="false" ht="15" hidden="false" customHeight="false" outlineLevel="0" collapsed="false">
      <c r="B7" s="14" t="s">
        <v>435</v>
      </c>
      <c r="C7" s="15" t="s">
        <v>436</v>
      </c>
      <c r="D7" s="103" t="n">
        <f aca="false">'Flujo anual'!$T$20</f>
        <v>-0</v>
      </c>
      <c r="E7" s="103" t="n">
        <f aca="false">'Flujo anual'!$T$23</f>
        <v>0</v>
      </c>
      <c r="F7" s="15" t="s">
        <v>435</v>
      </c>
      <c r="G7" s="45" t="n">
        <f aca="false">MIN(D7,MAX(0,$C$23-G6))</f>
        <v>0</v>
      </c>
      <c r="H7" s="34" t="s">
        <v>437</v>
      </c>
    </row>
    <row r="8" customFormat="false" ht="15" hidden="false" customHeight="false" outlineLevel="0" collapsed="false">
      <c r="B8" s="14" t="str">
        <f aca="false">IF(Listas!$F$2="","",Listas!$F$2)</f>
        <v>Viajes</v>
      </c>
      <c r="C8" s="61"/>
      <c r="D8" s="45" t="n">
        <f aca="false">IF(B8="",0,SUMIFS(Presupuesto!$H$6:$H$87,Presupuesto!$K$6:$K$87,B8))</f>
        <v>0</v>
      </c>
      <c r="E8" s="45" t="n">
        <f aca="false">IF(B8="",0,SUMIFS(Presupuesto!$I$6:$I$87,Presupuesto!$K$6:$K$87,B8))</f>
        <v>0</v>
      </c>
      <c r="F8" s="61"/>
      <c r="G8" s="62" t="n">
        <v>0</v>
      </c>
      <c r="H8" s="104"/>
    </row>
    <row r="9" customFormat="false" ht="15" hidden="false" customHeight="false" outlineLevel="0" collapsed="false">
      <c r="B9" s="14" t="str">
        <f aca="false">IF(Listas!$F$3="","",Listas!$F$3)</f>
        <v>Temporada</v>
      </c>
      <c r="C9" s="61"/>
      <c r="D9" s="45" t="n">
        <f aca="false">IF(B9="",0,SUMIFS(Presupuesto!$H$6:$H$87,Presupuesto!$K$6:$K$87,B9))</f>
        <v>0</v>
      </c>
      <c r="E9" s="45" t="n">
        <f aca="false">IF(B9="",0,SUMIFS(Presupuesto!$I$6:$I$87,Presupuesto!$K$6:$K$87,B9))</f>
        <v>0</v>
      </c>
      <c r="F9" s="61"/>
      <c r="G9" s="62" t="n">
        <v>0</v>
      </c>
      <c r="H9" s="104"/>
    </row>
    <row r="10" customFormat="false" ht="15" hidden="false" customHeight="false" outlineLevel="0" collapsed="false">
      <c r="B10" s="14" t="str">
        <f aca="false">IF(Listas!$F$4="","",Listas!$F$4)</f>
        <v>Salud y cuidado</v>
      </c>
      <c r="C10" s="61"/>
      <c r="D10" s="45" t="n">
        <f aca="false">IF(B10="",0,SUMIFS(Presupuesto!$H$6:$H$87,Presupuesto!$K$6:$K$87,B10))</f>
        <v>0</v>
      </c>
      <c r="E10" s="45" t="n">
        <f aca="false">IF(B10="",0,SUMIFS(Presupuesto!$I$6:$I$87,Presupuesto!$K$6:$K$87,B10))</f>
        <v>0</v>
      </c>
      <c r="F10" s="61"/>
      <c r="G10" s="62" t="n">
        <v>0</v>
      </c>
      <c r="H10" s="104"/>
    </row>
    <row r="11" customFormat="false" ht="15" hidden="false" customHeight="false" outlineLevel="0" collapsed="false">
      <c r="B11" s="14" t="str">
        <f aca="false">IF(Listas!$F$5="","",Listas!$F$5)</f>
        <v>Ropa</v>
      </c>
      <c r="C11" s="61"/>
      <c r="D11" s="45" t="n">
        <f aca="false">IF(B11="",0,SUMIFS(Presupuesto!$H$6:$H$87,Presupuesto!$K$6:$K$87,B11))</f>
        <v>0</v>
      </c>
      <c r="E11" s="45" t="n">
        <f aca="false">IF(B11="",0,SUMIFS(Presupuesto!$I$6:$I$87,Presupuesto!$K$6:$K$87,B11))</f>
        <v>0</v>
      </c>
      <c r="F11" s="61"/>
      <c r="G11" s="62" t="n">
        <v>0</v>
      </c>
      <c r="H11" s="104"/>
    </row>
    <row r="12" customFormat="false" ht="15" hidden="false" customHeight="false" outlineLevel="0" collapsed="false">
      <c r="B12" s="14" t="str">
        <f aca="false">IF(Listas!$F$6="","",Listas!$F$6)</f>
        <v>Impuestos y trámites</v>
      </c>
      <c r="C12" s="61"/>
      <c r="D12" s="45" t="n">
        <f aca="false">IF(B12="",0,SUMIFS(Presupuesto!$H$6:$H$87,Presupuesto!$K$6:$K$87,B12))</f>
        <v>0</v>
      </c>
      <c r="E12" s="45" t="n">
        <f aca="false">IF(B12="",0,SUMIFS(Presupuesto!$I$6:$I$87,Presupuesto!$K$6:$K$87,B12))</f>
        <v>0</v>
      </c>
      <c r="F12" s="61"/>
      <c r="G12" s="62" t="n">
        <v>0</v>
      </c>
      <c r="H12" s="104"/>
    </row>
    <row r="13" customFormat="false" ht="15" hidden="false" customHeight="false" outlineLevel="0" collapsed="false">
      <c r="B13" s="14" t="str">
        <f aca="false">IF(Listas!$F$7="","",Listas!$F$7)</f>
        <v>Hogar y mascotas</v>
      </c>
      <c r="C13" s="61"/>
      <c r="D13" s="45" t="n">
        <f aca="false">IF(B13="",0,SUMIFS(Presupuesto!$H$6:$H$87,Presupuesto!$K$6:$K$87,B13))</f>
        <v>0</v>
      </c>
      <c r="E13" s="45" t="n">
        <f aca="false">IF(B13="",0,SUMIFS(Presupuesto!$I$6:$I$87,Presupuesto!$K$6:$K$87,B13))</f>
        <v>0</v>
      </c>
      <c r="F13" s="61"/>
      <c r="G13" s="62" t="n">
        <v>0</v>
      </c>
      <c r="H13" s="104"/>
    </row>
    <row r="14" customFormat="false" ht="15" hidden="false" customHeight="false" outlineLevel="0" collapsed="false">
      <c r="B14" s="14" t="str">
        <f aca="false">IF(Listas!$F$8="","",Listas!$F$8)</f>
        <v>Vehículo</v>
      </c>
      <c r="C14" s="61"/>
      <c r="D14" s="45" t="n">
        <f aca="false">IF(B14="",0,SUMIFS(Presupuesto!$H$6:$H$87,Presupuesto!$K$6:$K$87,B14))</f>
        <v>0</v>
      </c>
      <c r="E14" s="45" t="n">
        <f aca="false">IF(B14="",0,SUMIFS(Presupuesto!$I$6:$I$87,Presupuesto!$K$6:$K$87,B14))</f>
        <v>0</v>
      </c>
      <c r="F14" s="61"/>
      <c r="G14" s="62" t="n">
        <v>0</v>
      </c>
      <c r="H14" s="104"/>
    </row>
    <row r="15" customFormat="false" ht="15" hidden="false" customHeight="false" outlineLevel="0" collapsed="false">
      <c r="B15" s="14" t="str">
        <f aca="false">IF(Listas!$F$9="","",Listas!$F$9)</f>
        <v>Educación</v>
      </c>
      <c r="C15" s="61"/>
      <c r="D15" s="45" t="n">
        <f aca="false">IF(B15="",0,SUMIFS(Presupuesto!$H$6:$H$87,Presupuesto!$K$6:$K$87,B15))</f>
        <v>0</v>
      </c>
      <c r="E15" s="45" t="n">
        <f aca="false">IF(B15="",0,SUMIFS(Presupuesto!$I$6:$I$87,Presupuesto!$K$6:$K$87,B15))</f>
        <v>0</v>
      </c>
      <c r="F15" s="61"/>
      <c r="G15" s="62" t="n">
        <v>0</v>
      </c>
      <c r="H15" s="104"/>
    </row>
    <row r="16" customFormat="false" ht="15" hidden="false" customHeight="false" outlineLevel="0" collapsed="false">
      <c r="B16" s="14" t="str">
        <f aca="false">IF(Listas!$F$10="","",Listas!$F$10)</f>
        <v>Seguros</v>
      </c>
      <c r="C16" s="61"/>
      <c r="D16" s="45" t="n">
        <f aca="false">IF(B16="",0,SUMIFS(Presupuesto!$H$6:$H$87,Presupuesto!$K$6:$K$87,B16))</f>
        <v>0</v>
      </c>
      <c r="E16" s="45" t="n">
        <f aca="false">IF(B16="",0,SUMIFS(Presupuesto!$I$6:$I$87,Presupuesto!$K$6:$K$87,B16))</f>
        <v>0</v>
      </c>
      <c r="F16" s="61"/>
      <c r="G16" s="62" t="n">
        <v>0</v>
      </c>
      <c r="H16" s="104"/>
    </row>
    <row r="17" customFormat="false" ht="15" hidden="false" customHeight="false" outlineLevel="0" collapsed="false">
      <c r="B17" s="14" t="str">
        <f aca="false">IF(Listas!$F$11="","",Listas!$F$11)</f>
        <v>Metas</v>
      </c>
      <c r="C17" s="61"/>
      <c r="D17" s="45" t="n">
        <f aca="false">IF(B17="",0,SUMIFS(Presupuesto!$H$6:$H$87,Presupuesto!$K$6:$K$87,B17))</f>
        <v>0</v>
      </c>
      <c r="E17" s="45" t="n">
        <f aca="false">IF(B17="",0,SUMIFS(Presupuesto!$I$6:$I$87,Presupuesto!$K$6:$K$87,B17))</f>
        <v>0</v>
      </c>
      <c r="F17" s="61"/>
      <c r="G17" s="62" t="n">
        <v>0</v>
      </c>
      <c r="H17" s="104"/>
    </row>
    <row r="18" customFormat="false" ht="15" hidden="false" customHeight="false" outlineLevel="0" collapsed="false">
      <c r="B18" s="68" t="s">
        <v>229</v>
      </c>
      <c r="C18" s="68"/>
      <c r="D18" s="69" t="n">
        <f aca="false">SUM(D6:D17)</f>
        <v>0</v>
      </c>
      <c r="E18" s="69" t="n">
        <f aca="false">SUM(E6:E17)</f>
        <v>0</v>
      </c>
      <c r="F18" s="68"/>
      <c r="G18" s="69" t="n">
        <f aca="false">SUM(G6:G17)</f>
        <v>0</v>
      </c>
      <c r="H18" s="68"/>
    </row>
    <row r="20" customFormat="false" ht="15" hidden="false" customHeight="false" outlineLevel="0" collapsed="false">
      <c r="B20" s="9" t="s">
        <v>438</v>
      </c>
      <c r="C20" s="10"/>
    </row>
    <row r="21" customFormat="false" ht="15" hidden="false" customHeight="false" outlineLevel="0" collapsed="false">
      <c r="B21" s="17" t="s">
        <v>439</v>
      </c>
      <c r="C21" s="58" t="n">
        <f aca="false">Patrimonio!$C$33</f>
        <v>0</v>
      </c>
    </row>
    <row r="22" customFormat="false" ht="15" hidden="false" customHeight="false" outlineLevel="0" collapsed="false">
      <c r="B22" s="17" t="s">
        <v>440</v>
      </c>
      <c r="C22" s="58" t="n">
        <f aca="false">Supuestos!$C$32</f>
        <v>0</v>
      </c>
    </row>
    <row r="23" customFormat="false" ht="15" hidden="false" customHeight="false" outlineLevel="0" collapsed="false">
      <c r="B23" s="24" t="s">
        <v>441</v>
      </c>
      <c r="C23" s="89" t="n">
        <f aca="false">MAX(0,C21-C22)</f>
        <v>0</v>
      </c>
    </row>
    <row r="24" customFormat="false" ht="15" hidden="false" customHeight="false" outlineLevel="0" collapsed="false">
      <c r="B24" s="17" t="s">
        <v>442</v>
      </c>
      <c r="C24" s="58" t="n">
        <f aca="false">G18</f>
        <v>0</v>
      </c>
    </row>
    <row r="25" customFormat="false" ht="15" hidden="false" customHeight="false" outlineLevel="0" collapsed="false">
      <c r="B25" s="24" t="s">
        <v>443</v>
      </c>
      <c r="C25" s="89" t="n">
        <f aca="false">C23-C24</f>
        <v>0</v>
      </c>
    </row>
    <row r="26" customFormat="false" ht="15" hidden="false" customHeight="false" outlineLevel="0" collapsed="false">
      <c r="B26" s="17" t="s">
        <v>444</v>
      </c>
      <c r="C26" s="58" t="n">
        <f aca="false">IF(Deudas!$C$23="Sí",MAX(0,C25)*Supuestos!$C$25,0)</f>
        <v>0</v>
      </c>
    </row>
    <row r="27" customFormat="false" ht="15" hidden="false" customHeight="false" outlineLevel="0" collapsed="false">
      <c r="B27" s="17" t="s">
        <v>104</v>
      </c>
      <c r="C27" s="58" t="n">
        <f aca="false">IF(Deudas!$C$23="Sí",0,MAX(0,C25)*Supuestos!$C$26)</f>
        <v>0</v>
      </c>
    </row>
    <row r="28" customFormat="false" ht="15" hidden="false" customHeight="false" outlineLevel="0" collapsed="false">
      <c r="B28" s="17" t="s">
        <v>445</v>
      </c>
      <c r="C28" s="58" t="n">
        <f aca="false">C25-C26-C27</f>
        <v>0</v>
      </c>
    </row>
    <row r="29" customFormat="false" ht="15" hidden="false" customHeight="false" outlineLevel="0" collapsed="false">
      <c r="B29" s="17" t="s">
        <v>446</v>
      </c>
      <c r="C29" s="51" t="n">
        <f aca="false">COUNTIF(E6:E17,"&gt;0")</f>
        <v>0</v>
      </c>
    </row>
    <row r="30" customFormat="false" ht="15" hidden="false" customHeight="false" outlineLevel="0" collapsed="false">
      <c r="B30" s="102" t="str">
        <f aca="false">IF(C25&lt;-0.5,"Alerta: los saldos iniciales superan lo disponible. Ajusta la columna G.","")</f>
        <v/>
      </c>
    </row>
    <row r="31" customFormat="false" ht="15" hidden="false" customHeight="false" outlineLevel="0" collapsed="false">
      <c r="B31" s="23" t="s">
        <v>447</v>
      </c>
    </row>
  </sheetData>
  <printOptions headings="false" gridLines="false" gridLinesSet="true" horizontalCentered="true" verticalCentered="false"/>
  <pageMargins left="0.4" right="0.4"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D6A72"/>
    <pageSetUpPr fitToPage="true"/>
  </sheetPr>
  <dimension ref="B1:F27"/>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50"/>
    <col collapsed="false" customWidth="true" hidden="false" outlineLevel="0" max="3" min="3" style="1" width="20"/>
    <col collapsed="false" customWidth="true" hidden="false" outlineLevel="0" max="4" min="4" style="1" width="18"/>
    <col collapsed="false" customWidth="true" hidden="false" outlineLevel="0" max="5" min="5" style="1" width="22"/>
    <col collapsed="false" customWidth="true" hidden="false" outlineLevel="0" max="6" min="6" style="1" width="30"/>
  </cols>
  <sheetData>
    <row r="1" customFormat="false" ht="24" hidden="false" customHeight="true" outlineLevel="0" collapsed="false">
      <c r="B1" s="27" t="s">
        <v>431</v>
      </c>
    </row>
    <row r="2" customFormat="false" ht="15" hidden="false" customHeight="false" outlineLevel="0" collapsed="false">
      <c r="B2" s="28" t="s">
        <v>448</v>
      </c>
      <c r="C2" s="29"/>
      <c r="D2" s="29"/>
      <c r="E2" s="29"/>
      <c r="F2" s="29"/>
    </row>
    <row r="5" customFormat="false" ht="30" hidden="false" customHeight="true" outlineLevel="0" collapsed="false">
      <c r="B5" s="11" t="s">
        <v>449</v>
      </c>
      <c r="C5" s="12" t="s">
        <v>75</v>
      </c>
      <c r="D5" s="12" t="s">
        <v>130</v>
      </c>
    </row>
    <row r="6" customFormat="false" ht="15" hidden="false" customHeight="false" outlineLevel="0" collapsed="false">
      <c r="B6" s="17" t="s">
        <v>450</v>
      </c>
      <c r="C6" s="88" t="n">
        <f aca="false">Presupuesto!$I$89</f>
        <v>0</v>
      </c>
    </row>
    <row r="7" customFormat="false" ht="15" hidden="false" customHeight="false" outlineLevel="0" collapsed="false">
      <c r="B7" s="17" t="s">
        <v>451</v>
      </c>
      <c r="C7" s="88" t="n">
        <f aca="false">Presupuesto!$I$95</f>
        <v>0</v>
      </c>
      <c r="D7" s="23" t="s">
        <v>452</v>
      </c>
    </row>
    <row r="8" customFormat="false" ht="15" hidden="false" customHeight="false" outlineLevel="0" collapsed="false">
      <c r="B8" s="17" t="s">
        <v>453</v>
      </c>
      <c r="C8" s="88" t="n">
        <f aca="false">Ingresos!$U$20</f>
        <v>0</v>
      </c>
    </row>
    <row r="9" customFormat="false" ht="15" hidden="false" customHeight="false" outlineLevel="0" collapsed="false">
      <c r="B9" s="17" t="s">
        <v>454</v>
      </c>
      <c r="C9" s="88" t="n">
        <f aca="false">Ingresos!$U$21</f>
        <v>0</v>
      </c>
    </row>
    <row r="10" customFormat="false" ht="15" hidden="false" customHeight="false" outlineLevel="0" collapsed="false">
      <c r="B10" s="17" t="s">
        <v>455</v>
      </c>
      <c r="C10" s="88" t="n">
        <f aca="false">Ingresos!$U$22</f>
        <v>0</v>
      </c>
    </row>
    <row r="11" customFormat="false" ht="15" hidden="false" customHeight="false" outlineLevel="0" collapsed="false">
      <c r="B11" s="17" t="s">
        <v>456</v>
      </c>
      <c r="C11" s="88" t="n">
        <f aca="false">Ingresos!$U$23</f>
        <v>0</v>
      </c>
    </row>
    <row r="13" customFormat="false" ht="30" hidden="false" customHeight="true" outlineLevel="0" collapsed="false">
      <c r="B13" s="11" t="s">
        <v>457</v>
      </c>
      <c r="C13" s="12" t="s">
        <v>458</v>
      </c>
      <c r="D13" s="12" t="s">
        <v>459</v>
      </c>
      <c r="E13" s="12" t="s">
        <v>460</v>
      </c>
    </row>
    <row r="14" customFormat="false" ht="15" hidden="false" customHeight="false" outlineLevel="0" collapsed="false">
      <c r="B14" s="15" t="s">
        <v>461</v>
      </c>
      <c r="C14" s="45" t="n">
        <f aca="false">C9+C10+C11</f>
        <v>0</v>
      </c>
      <c r="D14" s="45" t="n">
        <f aca="false">MAX(0,$C$7-C14)</f>
        <v>0</v>
      </c>
      <c r="E14" s="105" t="str">
        <f aca="false">IF(D14=0,"Cubierto por el ingreso",IF($C$21=0,0,$C$21/D14))</f>
        <v>Cubierto por el ingreso</v>
      </c>
    </row>
    <row r="15" customFormat="false" ht="15" hidden="false" customHeight="false" outlineLevel="0" collapsed="false">
      <c r="B15" s="15" t="s">
        <v>462</v>
      </c>
      <c r="C15" s="45" t="n">
        <f aca="false">C8+C10+C11</f>
        <v>0</v>
      </c>
      <c r="D15" s="45" t="n">
        <f aca="false">MAX(0,$C$7-C15)</f>
        <v>0</v>
      </c>
      <c r="E15" s="105" t="str">
        <f aca="false">IF(D15=0,"Cubierto por el ingreso",IF($C$21=0,0,$C$21/D15))</f>
        <v>Cubierto por el ingreso</v>
      </c>
    </row>
    <row r="16" customFormat="false" ht="15" hidden="false" customHeight="false" outlineLevel="0" collapsed="false">
      <c r="B16" s="15" t="s">
        <v>463</v>
      </c>
      <c r="C16" s="45" t="n">
        <f aca="false">C10</f>
        <v>0</v>
      </c>
      <c r="D16" s="45" t="n">
        <f aca="false">MAX(0,$C$7-C16)</f>
        <v>0</v>
      </c>
      <c r="E16" s="105" t="str">
        <f aca="false">IF(D16=0,"Cubierto por el ingreso",IF($C$21=0,0,$C$21/D16))</f>
        <v>Cubierto por el ingreso</v>
      </c>
    </row>
    <row r="17" customFormat="false" ht="15" hidden="false" customHeight="false" outlineLevel="0" collapsed="false">
      <c r="B17" s="17" t="s">
        <v>464</v>
      </c>
      <c r="C17" s="106" t="n">
        <f aca="false">Supuestos!$C$21</f>
        <v>3</v>
      </c>
    </row>
    <row r="18" customFormat="false" ht="15" hidden="false" customHeight="false" outlineLevel="0" collapsed="false">
      <c r="B18" s="17" t="s">
        <v>465</v>
      </c>
      <c r="C18" s="58" t="n">
        <f aca="false">C17*D16</f>
        <v>0</v>
      </c>
    </row>
    <row r="19" customFormat="false" ht="15" hidden="false" customHeight="false" outlineLevel="0" collapsed="false">
      <c r="B19" s="17" t="s">
        <v>466</v>
      </c>
      <c r="C19" s="58" t="n">
        <f aca="false">C7</f>
        <v>0</v>
      </c>
    </row>
    <row r="20" customFormat="false" ht="15" hidden="false" customHeight="false" outlineLevel="0" collapsed="false">
      <c r="B20" s="68" t="s">
        <v>467</v>
      </c>
      <c r="C20" s="69" t="n">
        <f aca="false">MAX(C18,C19)</f>
        <v>0</v>
      </c>
      <c r="D20" s="68"/>
      <c r="E20" s="68"/>
    </row>
    <row r="21" customFormat="false" ht="15" hidden="false" customHeight="false" outlineLevel="0" collapsed="false">
      <c r="B21" s="68" t="s">
        <v>468</v>
      </c>
      <c r="C21" s="69" t="n">
        <f aca="false">IF(Deudas!$C$23="Sí",MIN(C20,C7),C20)</f>
        <v>0</v>
      </c>
      <c r="D21" s="107" t="s">
        <v>469</v>
      </c>
      <c r="E21" s="68"/>
    </row>
    <row r="22" customFormat="false" ht="15" hidden="false" customHeight="false" outlineLevel="0" collapsed="false">
      <c r="B22" s="17" t="s">
        <v>470</v>
      </c>
      <c r="C22" s="58" t="n">
        <f aca="false">6*C6</f>
        <v>0</v>
      </c>
    </row>
    <row r="23" customFormat="false" ht="15" hidden="false" customHeight="false" outlineLevel="0" collapsed="false">
      <c r="B23" s="17" t="s">
        <v>471</v>
      </c>
      <c r="C23" s="58" t="n">
        <f aca="false">C22-C20</f>
        <v>0</v>
      </c>
    </row>
    <row r="24" customFormat="false" ht="15" hidden="false" customHeight="false" outlineLevel="0" collapsed="false">
      <c r="B24" s="17" t="s">
        <v>472</v>
      </c>
      <c r="C24" s="88" t="n">
        <f aca="false">Bolsillos!$G$6</f>
        <v>0</v>
      </c>
    </row>
    <row r="25" customFormat="false" ht="15" hidden="false" customHeight="false" outlineLevel="0" collapsed="false">
      <c r="B25" s="17" t="s">
        <v>473</v>
      </c>
      <c r="C25" s="60" t="n">
        <f aca="false">IF(C20=0,1,C24/C20)</f>
        <v>1</v>
      </c>
    </row>
    <row r="27" customFormat="false" ht="15" hidden="false" customHeight="false" outlineLevel="0" collapsed="false">
      <c r="B27" s="23" t="s">
        <v>474</v>
      </c>
    </row>
  </sheetData>
  <printOptions headings="false" gridLines="false" gridLinesSet="true" horizontalCentered="false" verticalCentered="false"/>
  <pageMargins left="0.4" right="0.4"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8A04A"/>
    <pageSetUpPr fitToPage="true"/>
  </sheetPr>
  <dimension ref="B1:L30"/>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36"/>
    <col collapsed="false" customWidth="true" hidden="false" outlineLevel="0" max="3" min="3" style="1" width="18"/>
    <col collapsed="false" customWidth="true" hidden="false" outlineLevel="0" max="4" min="4" style="1" width="15"/>
    <col collapsed="false" customWidth="true" hidden="false" outlineLevel="0" max="5" min="5" style="1" width="13"/>
    <col collapsed="false" customWidth="true" hidden="false" outlineLevel="0" max="6" min="6" style="1" width="15"/>
    <col collapsed="false" customWidth="true" hidden="false" outlineLevel="0" max="7" min="7" style="1" width="14"/>
    <col collapsed="false" customWidth="true" hidden="false" outlineLevel="0" max="8" min="8" style="1" width="12"/>
    <col collapsed="false" customWidth="true" hidden="false" outlineLevel="0" max="9" min="9" style="1" width="13"/>
    <col collapsed="false" customWidth="true" hidden="false" outlineLevel="0" max="10" min="10" style="1" width="10"/>
    <col collapsed="false" customWidth="true" hidden="false" outlineLevel="0" max="11" min="11" style="1" width="14"/>
    <col collapsed="false" customWidth="true" hidden="false" outlineLevel="0" max="12" min="12" style="1" width="30"/>
  </cols>
  <sheetData>
    <row r="1" customFormat="false" ht="24" hidden="false" customHeight="true" outlineLevel="0" collapsed="false">
      <c r="B1" s="27" t="s">
        <v>15</v>
      </c>
    </row>
    <row r="2" customFormat="false" ht="15" hidden="false" customHeight="false" outlineLevel="0" collapsed="false">
      <c r="B2" s="28" t="s">
        <v>475</v>
      </c>
      <c r="C2" s="29"/>
      <c r="D2" s="29"/>
      <c r="E2" s="29"/>
      <c r="F2" s="29"/>
      <c r="G2" s="29"/>
      <c r="H2" s="29"/>
      <c r="I2" s="29"/>
      <c r="J2" s="29"/>
      <c r="K2" s="29"/>
      <c r="L2" s="29"/>
    </row>
    <row r="5" customFormat="false" ht="30" hidden="false" customHeight="true" outlineLevel="0" collapsed="false">
      <c r="B5" s="11" t="s">
        <v>476</v>
      </c>
      <c r="C5" s="12" t="s">
        <v>254</v>
      </c>
      <c r="D5" s="12" t="s">
        <v>477</v>
      </c>
      <c r="E5" s="12" t="s">
        <v>478</v>
      </c>
      <c r="F5" s="12" t="s">
        <v>479</v>
      </c>
      <c r="G5" s="12" t="s">
        <v>480</v>
      </c>
      <c r="H5" s="12" t="s">
        <v>481</v>
      </c>
      <c r="I5" s="12" t="s">
        <v>482</v>
      </c>
      <c r="J5" s="12" t="s">
        <v>483</v>
      </c>
      <c r="K5" s="12" t="s">
        <v>428</v>
      </c>
      <c r="L5" s="12" t="s">
        <v>130</v>
      </c>
    </row>
    <row r="6" customFormat="false" ht="15" hidden="false" customHeight="false" outlineLevel="0" collapsed="false">
      <c r="B6" s="61"/>
      <c r="C6" s="61"/>
      <c r="D6" s="62"/>
      <c r="E6" s="70" t="s">
        <v>263</v>
      </c>
      <c r="F6" s="45" t="n">
        <f aca="false">IF(E6="Sí",$E$30,N(D6))</f>
        <v>0</v>
      </c>
      <c r="G6" s="62"/>
      <c r="H6" s="108"/>
      <c r="I6" s="63"/>
      <c r="J6" s="73" t="str">
        <f aca="false">IF(I6="","",IFERROR(MAX(1,DATEDIF(Supuestos!$C$12,I6,"m")),1))</f>
        <v/>
      </c>
      <c r="K6" s="109" t="n">
        <f aca="false">IF(B6="",0,IF(N(H6)&gt;0,F6/(H6*12),IF(J6="",0,MAX(0,(F6-N(G6))/J6))))</f>
        <v>0</v>
      </c>
      <c r="L6" s="61"/>
    </row>
    <row r="7" customFormat="false" ht="15" hidden="false" customHeight="false" outlineLevel="0" collapsed="false">
      <c r="B7" s="61"/>
      <c r="C7" s="61"/>
      <c r="D7" s="62"/>
      <c r="E7" s="70" t="s">
        <v>263</v>
      </c>
      <c r="F7" s="45" t="n">
        <f aca="false">IF(E7="Sí",$E$30,N(D7))</f>
        <v>0</v>
      </c>
      <c r="G7" s="62"/>
      <c r="H7" s="108"/>
      <c r="I7" s="63"/>
      <c r="J7" s="73" t="str">
        <f aca="false">IF(I7="","",IFERROR(MAX(1,DATEDIF(Supuestos!$C$12,I7,"m")),1))</f>
        <v/>
      </c>
      <c r="K7" s="109" t="n">
        <f aca="false">IF(B7="",0,IF(N(H7)&gt;0,F7/(H7*12),IF(J7="",0,MAX(0,(F7-N(G7))/J7))))</f>
        <v>0</v>
      </c>
      <c r="L7" s="61"/>
    </row>
    <row r="8" customFormat="false" ht="15" hidden="false" customHeight="false" outlineLevel="0" collapsed="false">
      <c r="B8" s="61"/>
      <c r="C8" s="61"/>
      <c r="D8" s="62"/>
      <c r="E8" s="70" t="s">
        <v>263</v>
      </c>
      <c r="F8" s="45" t="n">
        <f aca="false">IF(E8="Sí",$E$30,N(D8))</f>
        <v>0</v>
      </c>
      <c r="G8" s="62"/>
      <c r="H8" s="108"/>
      <c r="I8" s="63"/>
      <c r="J8" s="73" t="str">
        <f aca="false">IF(I8="","",IFERROR(MAX(1,DATEDIF(Supuestos!$C$12,I8,"m")),1))</f>
        <v/>
      </c>
      <c r="K8" s="109" t="n">
        <f aca="false">IF(B8="",0,IF(N(H8)&gt;0,F8/(H8*12),IF(J8="",0,MAX(0,(F8-N(G8))/J8))))</f>
        <v>0</v>
      </c>
      <c r="L8" s="61"/>
    </row>
    <row r="9" customFormat="false" ht="15" hidden="false" customHeight="false" outlineLevel="0" collapsed="false">
      <c r="B9" s="61"/>
      <c r="C9" s="61"/>
      <c r="D9" s="62"/>
      <c r="E9" s="70" t="s">
        <v>263</v>
      </c>
      <c r="F9" s="45" t="n">
        <f aca="false">IF(E9="Sí",$E$30,N(D9))</f>
        <v>0</v>
      </c>
      <c r="G9" s="62"/>
      <c r="H9" s="108"/>
      <c r="I9" s="63"/>
      <c r="J9" s="73" t="str">
        <f aca="false">IF(I9="","",IFERROR(MAX(1,DATEDIF(Supuestos!$C$12,I9,"m")),1))</f>
        <v/>
      </c>
      <c r="K9" s="109" t="n">
        <f aca="false">IF(B9="",0,IF(N(H9)&gt;0,F9/(H9*12),IF(J9="",0,MAX(0,(F9-N(G9))/J9))))</f>
        <v>0</v>
      </c>
      <c r="L9" s="61"/>
    </row>
    <row r="10" customFormat="false" ht="15" hidden="false" customHeight="false" outlineLevel="0" collapsed="false">
      <c r="B10" s="61"/>
      <c r="C10" s="61"/>
      <c r="D10" s="62"/>
      <c r="E10" s="70" t="s">
        <v>263</v>
      </c>
      <c r="F10" s="45" t="n">
        <f aca="false">IF(E10="Sí",$E$30,N(D10))</f>
        <v>0</v>
      </c>
      <c r="G10" s="62"/>
      <c r="H10" s="108"/>
      <c r="I10" s="63"/>
      <c r="J10" s="73" t="str">
        <f aca="false">IF(I10="","",IFERROR(MAX(1,DATEDIF(Supuestos!$C$12,I10,"m")),1))</f>
        <v/>
      </c>
      <c r="K10" s="109" t="n">
        <f aca="false">IF(B10="",0,IF(N(H10)&gt;0,F10/(H10*12),IF(J10="",0,MAX(0,(F10-N(G10))/J10))))</f>
        <v>0</v>
      </c>
      <c r="L10" s="61"/>
    </row>
    <row r="11" customFormat="false" ht="15" hidden="false" customHeight="false" outlineLevel="0" collapsed="false">
      <c r="B11" s="68" t="s">
        <v>229</v>
      </c>
      <c r="C11" s="68"/>
      <c r="D11" s="68"/>
      <c r="E11" s="68"/>
      <c r="F11" s="68"/>
      <c r="G11" s="68"/>
      <c r="H11" s="68"/>
      <c r="I11" s="68"/>
      <c r="J11" s="68"/>
      <c r="K11" s="69" t="n">
        <f aca="false">SUM(K6:K10)</f>
        <v>0</v>
      </c>
      <c r="L11" s="68"/>
    </row>
    <row r="12" customFormat="false" ht="15" hidden="false" customHeight="false" outlineLevel="0" collapsed="false">
      <c r="B12" s="23" t="s">
        <v>484</v>
      </c>
    </row>
    <row r="13" customFormat="false" ht="15" hidden="false" customHeight="false" outlineLevel="0" collapsed="false">
      <c r="B13" s="9" t="s">
        <v>485</v>
      </c>
      <c r="C13" s="10"/>
      <c r="D13" s="10"/>
      <c r="E13" s="10"/>
      <c r="F13" s="10"/>
    </row>
    <row r="14" customFormat="false" ht="30" hidden="false" customHeight="true" outlineLevel="0" collapsed="false">
      <c r="B14" s="11" t="s">
        <v>44</v>
      </c>
      <c r="C14" s="12" t="s">
        <v>486</v>
      </c>
      <c r="D14" s="12" t="s">
        <v>487</v>
      </c>
      <c r="E14" s="12" t="s">
        <v>488</v>
      </c>
      <c r="F14" s="12" t="s">
        <v>130</v>
      </c>
    </row>
    <row r="15" customFormat="false" ht="15" hidden="false" customHeight="false" outlineLevel="0" collapsed="false">
      <c r="B15" s="17" t="s">
        <v>489</v>
      </c>
      <c r="C15" s="110"/>
      <c r="D15" s="76" t="n">
        <v>1</v>
      </c>
      <c r="E15" s="78" t="n">
        <f aca="false">N(C15)*N(D15)</f>
        <v>0</v>
      </c>
      <c r="F15" s="23" t="s">
        <v>490</v>
      </c>
    </row>
    <row r="16" customFormat="false" ht="15" hidden="false" customHeight="false" outlineLevel="0" collapsed="false">
      <c r="B16" s="17" t="s">
        <v>491</v>
      </c>
      <c r="C16" s="110"/>
      <c r="D16" s="76" t="n">
        <v>7</v>
      </c>
      <c r="E16" s="78" t="n">
        <f aca="false">N(C16)*N(D16)</f>
        <v>0</v>
      </c>
      <c r="F16" s="23" t="s">
        <v>492</v>
      </c>
    </row>
    <row r="17" customFormat="false" ht="15" hidden="false" customHeight="false" outlineLevel="0" collapsed="false">
      <c r="B17" s="17" t="s">
        <v>493</v>
      </c>
      <c r="C17" s="55" t="n">
        <v>0</v>
      </c>
      <c r="E17" s="78" t="n">
        <f aca="false">E16*C17</f>
        <v>0</v>
      </c>
    </row>
    <row r="18" customFormat="false" ht="15" hidden="false" customHeight="false" outlineLevel="0" collapsed="false">
      <c r="B18" s="17" t="s">
        <v>494</v>
      </c>
      <c r="C18" s="110"/>
      <c r="D18" s="76" t="n">
        <v>7</v>
      </c>
      <c r="E18" s="78" t="n">
        <f aca="false">N(C18)*N(D18)</f>
        <v>0</v>
      </c>
      <c r="F18" s="23" t="s">
        <v>495</v>
      </c>
    </row>
    <row r="19" customFormat="false" ht="15" hidden="false" customHeight="false" outlineLevel="0" collapsed="false">
      <c r="B19" s="17" t="s">
        <v>496</v>
      </c>
      <c r="C19" s="110"/>
      <c r="D19" s="76" t="n">
        <v>1</v>
      </c>
      <c r="E19" s="78" t="n">
        <f aca="false">N(C19)*N(D19)</f>
        <v>0</v>
      </c>
      <c r="F19" s="23" t="s">
        <v>497</v>
      </c>
    </row>
    <row r="20" customFormat="false" ht="15" hidden="false" customHeight="false" outlineLevel="0" collapsed="false">
      <c r="B20" s="17" t="s">
        <v>498</v>
      </c>
      <c r="C20" s="110"/>
      <c r="D20" s="76" t="n">
        <v>1</v>
      </c>
      <c r="E20" s="78" t="n">
        <f aca="false">N(C20)*N(D20)</f>
        <v>0</v>
      </c>
      <c r="F20" s="23"/>
    </row>
    <row r="21" customFormat="false" ht="15" hidden="false" customHeight="false" outlineLevel="0" collapsed="false">
      <c r="B21" s="17" t="s">
        <v>499</v>
      </c>
      <c r="C21" s="110"/>
      <c r="D21" s="76" t="n">
        <v>1</v>
      </c>
      <c r="E21" s="78" t="n">
        <f aca="false">N(C21)*N(D21)</f>
        <v>0</v>
      </c>
      <c r="F21" s="23"/>
    </row>
    <row r="22" customFormat="false" ht="15" hidden="false" customHeight="false" outlineLevel="0" collapsed="false">
      <c r="B22" s="17" t="s">
        <v>500</v>
      </c>
      <c r="C22" s="110"/>
      <c r="D22" s="76" t="n">
        <v>1</v>
      </c>
      <c r="E22" s="78" t="n">
        <f aca="false">N(C22)*N(D22)</f>
        <v>0</v>
      </c>
      <c r="F22" s="23"/>
    </row>
    <row r="23" customFormat="false" ht="15" hidden="false" customHeight="false" outlineLevel="0" collapsed="false">
      <c r="B23" s="68" t="s">
        <v>501</v>
      </c>
      <c r="C23" s="68"/>
      <c r="D23" s="68"/>
      <c r="E23" s="111" t="n">
        <f aca="false">SUM(E15:E22)</f>
        <v>0</v>
      </c>
      <c r="F23" s="68"/>
    </row>
    <row r="24" customFormat="false" ht="15" hidden="false" customHeight="false" outlineLevel="0" collapsed="false">
      <c r="B24" s="17" t="s">
        <v>502</v>
      </c>
      <c r="C24" s="55" t="n">
        <v>0.05</v>
      </c>
      <c r="E24" s="78" t="n">
        <f aca="false">E23*C24</f>
        <v>0</v>
      </c>
    </row>
    <row r="25" customFormat="false" ht="15" hidden="false" customHeight="false" outlineLevel="0" collapsed="false">
      <c r="B25" s="68" t="s">
        <v>503</v>
      </c>
      <c r="C25" s="68"/>
      <c r="D25" s="68"/>
      <c r="E25" s="111" t="n">
        <f aca="false">E23+E24</f>
        <v>0</v>
      </c>
      <c r="F25" s="68"/>
    </row>
    <row r="26" customFormat="false" ht="15" hidden="false" customHeight="false" outlineLevel="0" collapsed="false">
      <c r="B26" s="17" t="s">
        <v>504</v>
      </c>
      <c r="E26" s="112" t="n">
        <f aca="false">Supuestos!$C$17</f>
        <v>0</v>
      </c>
    </row>
    <row r="27" customFormat="false" ht="15" hidden="false" customHeight="false" outlineLevel="0" collapsed="false">
      <c r="B27" s="17" t="s">
        <v>505</v>
      </c>
      <c r="E27" s="58" t="n">
        <f aca="false">E25*N(E26)</f>
        <v>0</v>
      </c>
    </row>
    <row r="28" customFormat="false" ht="15" hidden="false" customHeight="false" outlineLevel="0" collapsed="false">
      <c r="B28" s="17" t="s">
        <v>506</v>
      </c>
      <c r="E28" s="53" t="n">
        <v>0</v>
      </c>
    </row>
    <row r="29" customFormat="false" ht="15" hidden="false" customHeight="false" outlineLevel="0" collapsed="false">
      <c r="B29" s="17" t="s">
        <v>507</v>
      </c>
      <c r="E29" s="53" t="n">
        <v>0</v>
      </c>
    </row>
    <row r="30" customFormat="false" ht="15" hidden="false" customHeight="false" outlineLevel="0" collapsed="false">
      <c r="B30" s="68" t="s">
        <v>508</v>
      </c>
      <c r="C30" s="68"/>
      <c r="D30" s="68"/>
      <c r="E30" s="69" t="n">
        <f aca="false">E27+E28+E29</f>
        <v>0</v>
      </c>
      <c r="F30" s="68"/>
    </row>
  </sheetData>
  <dataValidations count="2">
    <dataValidation allowBlank="true" error="Elige un valor de la lista." errorStyle="stop" errorTitle="Valor no válido" operator="between" showDropDown="false" showErrorMessage="true" showInputMessage="false" sqref="C6:C10" type="list">
      <formula1>Listas!$F$2:$F$11</formula1>
      <formula2>0</formula2>
    </dataValidation>
    <dataValidation allowBlank="true" error="Elige un valor de la lista." errorStyle="stop" errorTitle="Valor no válido" operator="between" showDropDown="false" showErrorMessage="true" showInputMessage="false" sqref="E6:E10" type="list">
      <formula1>Listas!$B$2:$B$3</formula1>
      <formula2>0</formula2>
    </dataValidation>
  </dataValidations>
  <printOptions headings="false" gridLines="false" gridLinesSet="true" horizontalCentered="true" verticalCentered="false"/>
  <pageMargins left="0.4" right="0.4"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8A04A"/>
    <pageSetUpPr fitToPage="true"/>
  </sheetPr>
  <dimension ref="B1:I24"/>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30"/>
    <col collapsed="false" customWidth="true" hidden="false" outlineLevel="0" max="4" min="3" style="1" width="40"/>
    <col collapsed="false" customWidth="true" hidden="false" outlineLevel="0" max="5" min="5" style="1" width="16"/>
    <col collapsed="false" customWidth="true" hidden="false" outlineLevel="0" max="6" min="6" style="1" width="12"/>
    <col collapsed="false" customWidth="true" hidden="false" outlineLevel="0" max="7" min="7" style="1" width="20"/>
    <col collapsed="false" customWidth="true" hidden="false" outlineLevel="0" max="8" min="8" style="1" width="15"/>
    <col collapsed="false" customWidth="true" hidden="false" outlineLevel="0" max="9" min="9" style="1" width="14"/>
  </cols>
  <sheetData>
    <row r="1" customFormat="false" ht="24" hidden="false" customHeight="true" outlineLevel="0" collapsed="false">
      <c r="B1" s="27" t="s">
        <v>509</v>
      </c>
    </row>
    <row r="2" customFormat="false" ht="15" hidden="false" customHeight="false" outlineLevel="0" collapsed="false">
      <c r="B2" s="28" t="s">
        <v>510</v>
      </c>
      <c r="C2" s="29"/>
      <c r="D2" s="29"/>
      <c r="E2" s="29"/>
      <c r="F2" s="29"/>
      <c r="G2" s="29"/>
      <c r="H2" s="29"/>
      <c r="I2" s="29"/>
    </row>
    <row r="5" customFormat="false" ht="30" hidden="false" customHeight="true" outlineLevel="0" collapsed="false">
      <c r="B5" s="11" t="s">
        <v>511</v>
      </c>
      <c r="C5" s="12" t="s">
        <v>512</v>
      </c>
      <c r="D5" s="12" t="s">
        <v>513</v>
      </c>
      <c r="E5" s="12" t="s">
        <v>514</v>
      </c>
      <c r="F5" s="12" t="s">
        <v>515</v>
      </c>
      <c r="G5" s="12" t="s">
        <v>516</v>
      </c>
      <c r="H5" s="12" t="s">
        <v>517</v>
      </c>
      <c r="I5" s="12" t="s">
        <v>518</v>
      </c>
    </row>
    <row r="6" customFormat="false" ht="30" hidden="false" customHeight="true" outlineLevel="0" collapsed="false">
      <c r="B6" s="14" t="s">
        <v>519</v>
      </c>
      <c r="C6" s="113" t="s">
        <v>520</v>
      </c>
      <c r="D6" s="113" t="s">
        <v>521</v>
      </c>
      <c r="E6" s="113" t="s">
        <v>522</v>
      </c>
      <c r="F6" s="70"/>
      <c r="G6" s="61"/>
      <c r="H6" s="62"/>
      <c r="I6" s="45" t="n">
        <f aca="false">IF(F6="Sí",0,N(H6)/12)</f>
        <v>0</v>
      </c>
    </row>
    <row r="7" customFormat="false" ht="30" hidden="false" customHeight="true" outlineLevel="0" collapsed="false">
      <c r="B7" s="14" t="s">
        <v>523</v>
      </c>
      <c r="C7" s="113" t="s">
        <v>524</v>
      </c>
      <c r="D7" s="113" t="s">
        <v>525</v>
      </c>
      <c r="E7" s="113" t="s">
        <v>526</v>
      </c>
      <c r="F7" s="70"/>
      <c r="G7" s="61"/>
      <c r="H7" s="62"/>
      <c r="I7" s="45" t="n">
        <f aca="false">IF(F7="Sí",0,N(H7)/12)</f>
        <v>0</v>
      </c>
    </row>
    <row r="8" customFormat="false" ht="30" hidden="false" customHeight="true" outlineLevel="0" collapsed="false">
      <c r="B8" s="14" t="s">
        <v>527</v>
      </c>
      <c r="C8" s="113" t="s">
        <v>528</v>
      </c>
      <c r="D8" s="113" t="s">
        <v>529</v>
      </c>
      <c r="E8" s="113" t="s">
        <v>530</v>
      </c>
      <c r="F8" s="70"/>
      <c r="G8" s="61"/>
      <c r="H8" s="62"/>
      <c r="I8" s="45" t="n">
        <f aca="false">IF(F8="Sí",0,N(H8)/12)</f>
        <v>0</v>
      </c>
    </row>
    <row r="9" customFormat="false" ht="30" hidden="false" customHeight="true" outlineLevel="0" collapsed="false">
      <c r="B9" s="14" t="s">
        <v>531</v>
      </c>
      <c r="C9" s="113" t="s">
        <v>532</v>
      </c>
      <c r="D9" s="113" t="s">
        <v>533</v>
      </c>
      <c r="E9" s="113" t="s">
        <v>534</v>
      </c>
      <c r="F9" s="70"/>
      <c r="G9" s="61"/>
      <c r="H9" s="62"/>
      <c r="I9" s="45" t="n">
        <f aca="false">IF(F9="Sí",0,N(H9)/12)</f>
        <v>0</v>
      </c>
    </row>
    <row r="10" customFormat="false" ht="30" hidden="false" customHeight="true" outlineLevel="0" collapsed="false">
      <c r="B10" s="14" t="s">
        <v>535</v>
      </c>
      <c r="C10" s="113" t="s">
        <v>536</v>
      </c>
      <c r="D10" s="113" t="s">
        <v>537</v>
      </c>
      <c r="E10" s="113" t="s">
        <v>538</v>
      </c>
      <c r="F10" s="70"/>
      <c r="G10" s="61"/>
      <c r="H10" s="62"/>
      <c r="I10" s="45" t="n">
        <f aca="false">IF(F10="Sí",0,N(H10)/12)</f>
        <v>0</v>
      </c>
    </row>
    <row r="11" customFormat="false" ht="30" hidden="false" customHeight="true" outlineLevel="0" collapsed="false">
      <c r="B11" s="14" t="s">
        <v>539</v>
      </c>
      <c r="C11" s="113" t="s">
        <v>540</v>
      </c>
      <c r="D11" s="113" t="s">
        <v>541</v>
      </c>
      <c r="E11" s="113" t="s">
        <v>542</v>
      </c>
      <c r="F11" s="70"/>
      <c r="G11" s="61"/>
      <c r="H11" s="62"/>
      <c r="I11" s="45" t="n">
        <f aca="false">IF(F11="Sí",0,N(H11)/12)</f>
        <v>0</v>
      </c>
    </row>
    <row r="12" customFormat="false" ht="30" hidden="false" customHeight="true" outlineLevel="0" collapsed="false">
      <c r="B12" s="14" t="s">
        <v>543</v>
      </c>
      <c r="C12" s="113" t="s">
        <v>544</v>
      </c>
      <c r="D12" s="113" t="s">
        <v>545</v>
      </c>
      <c r="E12" s="113" t="s">
        <v>546</v>
      </c>
      <c r="F12" s="70"/>
      <c r="G12" s="61"/>
      <c r="H12" s="62"/>
      <c r="I12" s="45" t="n">
        <f aca="false">IF(F12="Sí",0,N(H12)/12)</f>
        <v>0</v>
      </c>
    </row>
    <row r="13" customFormat="false" ht="30" hidden="false" customHeight="true" outlineLevel="0" collapsed="false">
      <c r="B13" s="14" t="s">
        <v>547</v>
      </c>
      <c r="C13" s="113" t="s">
        <v>548</v>
      </c>
      <c r="D13" s="113" t="s">
        <v>549</v>
      </c>
      <c r="E13" s="113" t="s">
        <v>550</v>
      </c>
      <c r="F13" s="70"/>
      <c r="G13" s="61"/>
      <c r="H13" s="62"/>
      <c r="I13" s="45" t="n">
        <f aca="false">IF(F13="Sí",0,N(H13)/12)</f>
        <v>0</v>
      </c>
    </row>
    <row r="14" customFormat="false" ht="30" hidden="false" customHeight="true" outlineLevel="0" collapsed="false">
      <c r="B14" s="61"/>
      <c r="C14" s="61"/>
      <c r="D14" s="61"/>
      <c r="E14" s="61"/>
      <c r="F14" s="70"/>
      <c r="G14" s="61"/>
      <c r="H14" s="62"/>
      <c r="I14" s="45" t="n">
        <f aca="false">IF(F14="Sí",0,N(H14)/12)</f>
        <v>0</v>
      </c>
    </row>
    <row r="15" customFormat="false" ht="30" hidden="false" customHeight="true" outlineLevel="0" collapsed="false">
      <c r="B15" s="61"/>
      <c r="C15" s="61"/>
      <c r="D15" s="61"/>
      <c r="E15" s="61"/>
      <c r="F15" s="70"/>
      <c r="G15" s="61"/>
      <c r="H15" s="62"/>
      <c r="I15" s="45" t="n">
        <f aca="false">IF(F15="Sí",0,N(H15)/12)</f>
        <v>0</v>
      </c>
    </row>
    <row r="16" customFormat="false" ht="15" hidden="false" customHeight="false" outlineLevel="0" collapsed="false">
      <c r="B16" s="68" t="s">
        <v>551</v>
      </c>
      <c r="C16" s="68"/>
      <c r="D16" s="68"/>
      <c r="E16" s="68"/>
      <c r="F16" s="68"/>
      <c r="G16" s="68"/>
      <c r="H16" s="69" t="n">
        <f aca="false">SUMIFS(H6:H15,F6:F15,"&lt;&gt;Sí")</f>
        <v>0</v>
      </c>
      <c r="I16" s="69" t="n">
        <f aca="false">H16/12</f>
        <v>0</v>
      </c>
    </row>
    <row r="17" customFormat="false" ht="15" hidden="false" customHeight="false" outlineLevel="0" collapsed="false">
      <c r="B17" s="23" t="s">
        <v>552</v>
      </c>
    </row>
    <row r="19" customFormat="false" ht="15" hidden="false" customHeight="false" outlineLevel="0" collapsed="false">
      <c r="B19" s="9" t="s">
        <v>553</v>
      </c>
      <c r="C19" s="10"/>
      <c r="D19" s="10"/>
    </row>
    <row r="20" customFormat="false" ht="15" hidden="false" customHeight="false" outlineLevel="0" collapsed="false">
      <c r="B20" s="17" t="s">
        <v>554</v>
      </c>
      <c r="C20" s="88" t="n">
        <f aca="false">Deudas!$D$21</f>
        <v>0</v>
      </c>
    </row>
    <row r="21" customFormat="false" ht="15" hidden="false" customHeight="false" outlineLevel="0" collapsed="false">
      <c r="B21" s="17" t="s">
        <v>555</v>
      </c>
      <c r="C21" s="53" t="n">
        <f aca="false">Presupuesto!$H$89</f>
        <v>0</v>
      </c>
    </row>
    <row r="22" customFormat="false" ht="15" hidden="false" customHeight="false" outlineLevel="0" collapsed="false">
      <c r="B22" s="17" t="s">
        <v>556</v>
      </c>
      <c r="C22" s="50" t="n">
        <f aca="false">IF(Supuestos!$C$11&gt;0,10,0)</f>
        <v>0</v>
      </c>
    </row>
    <row r="23" customFormat="false" ht="15" hidden="false" customHeight="false" outlineLevel="0" collapsed="false">
      <c r="B23" s="17" t="s">
        <v>557</v>
      </c>
      <c r="C23" s="88" t="n">
        <f aca="false">Patrimonio!$C$33+Patrimonio!$C$34</f>
        <v>0</v>
      </c>
    </row>
    <row r="24" customFormat="false" ht="15" hidden="false" customHeight="false" outlineLevel="0" collapsed="false">
      <c r="B24" s="68" t="s">
        <v>558</v>
      </c>
      <c r="C24" s="69" t="n">
        <f aca="false">MAX(0,C20+C21*C22-C23)</f>
        <v>0</v>
      </c>
      <c r="D24" s="114" t="s">
        <v>559</v>
      </c>
    </row>
  </sheetData>
  <dataValidations count="1">
    <dataValidation allowBlank="true" error="Elige un valor de la lista." errorStyle="stop" errorTitle="Valor no válido" operator="between" showDropDown="false" showErrorMessage="true" showInputMessage="false" sqref="F6:F15" type="list">
      <formula1>Listas!$Y$2:$Y$4</formula1>
      <formula2>0</formula2>
    </dataValidation>
  </dataValidations>
  <printOptions headings="false" gridLines="false" gridLinesSet="true" horizontalCentered="true" verticalCentered="false"/>
  <pageMargins left="0.4" right="0.4"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8A04A"/>
    <pageSetUpPr fitToPage="true"/>
  </sheetPr>
  <dimension ref="B1:J72"/>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50"/>
    <col collapsed="false" customWidth="true" hidden="false" outlineLevel="0" max="3" min="3" style="1" width="18"/>
    <col collapsed="false" customWidth="true" hidden="false" outlineLevel="0" max="5" min="4" style="1" width="15"/>
    <col collapsed="false" customWidth="true" hidden="false" outlineLevel="0" max="6" min="6" style="1" width="16"/>
    <col collapsed="false" customWidth="true" hidden="false" outlineLevel="0" max="9" min="7" style="1" width="14"/>
    <col collapsed="false" customWidth="true" hidden="false" outlineLevel="0" max="10" min="10" style="1" width="16"/>
  </cols>
  <sheetData>
    <row r="1" customFormat="false" ht="24" hidden="false" customHeight="true" outlineLevel="0" collapsed="false">
      <c r="B1" s="27" t="s">
        <v>560</v>
      </c>
    </row>
    <row r="2" customFormat="false" ht="15" hidden="false" customHeight="false" outlineLevel="0" collapsed="false">
      <c r="B2" s="28" t="s">
        <v>561</v>
      </c>
      <c r="C2" s="29"/>
      <c r="D2" s="29"/>
      <c r="E2" s="29"/>
      <c r="F2" s="29"/>
      <c r="G2" s="29"/>
      <c r="H2" s="29"/>
      <c r="I2" s="29"/>
      <c r="J2" s="29"/>
    </row>
    <row r="4" customFormat="false" ht="15" hidden="false" customHeight="false" outlineLevel="0" collapsed="false">
      <c r="B4" s="9" t="s">
        <v>562</v>
      </c>
      <c r="C4" s="10"/>
      <c r="D4" s="10"/>
      <c r="E4" s="10"/>
      <c r="F4" s="10"/>
      <c r="G4" s="10"/>
    </row>
    <row r="5" customFormat="false" ht="30" hidden="false" customHeight="true" outlineLevel="0" collapsed="false">
      <c r="B5" s="11" t="s">
        <v>563</v>
      </c>
      <c r="C5" s="12" t="s">
        <v>200</v>
      </c>
      <c r="D5" s="12" t="s">
        <v>201</v>
      </c>
      <c r="E5" s="12" t="s">
        <v>564</v>
      </c>
      <c r="F5" s="12" t="s">
        <v>565</v>
      </c>
      <c r="G5" s="12" t="s">
        <v>130</v>
      </c>
    </row>
    <row r="6" customFormat="false" ht="15" hidden="false" customHeight="false" outlineLevel="0" collapsed="false">
      <c r="B6" s="61"/>
      <c r="C6" s="61"/>
      <c r="D6" s="70" t="s">
        <v>219</v>
      </c>
      <c r="E6" s="71"/>
      <c r="F6" s="45" t="n">
        <f aca="false">IF(N(E6)=0,0,IF(D6="USD",E6*N(Supuestos!$C$17),E6))</f>
        <v>0</v>
      </c>
      <c r="G6" s="61"/>
    </row>
    <row r="7" customFormat="false" ht="15" hidden="false" customHeight="false" outlineLevel="0" collapsed="false">
      <c r="B7" s="61"/>
      <c r="C7" s="61"/>
      <c r="D7" s="70" t="s">
        <v>219</v>
      </c>
      <c r="E7" s="71"/>
      <c r="F7" s="45" t="n">
        <f aca="false">IF(N(E7)=0,0,IF(D7="USD",E7*N(Supuestos!$C$17),E7))</f>
        <v>0</v>
      </c>
      <c r="G7" s="61"/>
    </row>
    <row r="8" customFormat="false" ht="15" hidden="false" customHeight="false" outlineLevel="0" collapsed="false">
      <c r="B8" s="61"/>
      <c r="C8" s="61"/>
      <c r="D8" s="70" t="s">
        <v>219</v>
      </c>
      <c r="E8" s="71"/>
      <c r="F8" s="45" t="n">
        <f aca="false">IF(N(E8)=0,0,IF(D8="USD",E8*N(Supuestos!$C$17),E8))</f>
        <v>0</v>
      </c>
      <c r="G8" s="61"/>
    </row>
    <row r="9" customFormat="false" ht="15" hidden="false" customHeight="false" outlineLevel="0" collapsed="false">
      <c r="B9" s="61"/>
      <c r="C9" s="61"/>
      <c r="D9" s="70" t="s">
        <v>219</v>
      </c>
      <c r="E9" s="71"/>
      <c r="F9" s="45" t="n">
        <f aca="false">IF(N(E9)=0,0,IF(D9="USD",E9*N(Supuestos!$C$17),E9))</f>
        <v>0</v>
      </c>
      <c r="G9" s="61"/>
    </row>
    <row r="10" customFormat="false" ht="15" hidden="false" customHeight="false" outlineLevel="0" collapsed="false">
      <c r="B10" s="61"/>
      <c r="C10" s="61"/>
      <c r="D10" s="70" t="s">
        <v>219</v>
      </c>
      <c r="E10" s="71"/>
      <c r="F10" s="45" t="n">
        <f aca="false">IF(N(E10)=0,0,IF(D10="USD",E10*N(Supuestos!$C$17),E10))</f>
        <v>0</v>
      </c>
      <c r="G10" s="61"/>
    </row>
    <row r="11" customFormat="false" ht="15" hidden="false" customHeight="false" outlineLevel="0" collapsed="false">
      <c r="B11" s="61"/>
      <c r="C11" s="61"/>
      <c r="D11" s="70" t="s">
        <v>219</v>
      </c>
      <c r="E11" s="71"/>
      <c r="F11" s="45" t="n">
        <f aca="false">IF(N(E11)=0,0,IF(D11="USD",E11*N(Supuestos!$C$17),E11))</f>
        <v>0</v>
      </c>
      <c r="G11" s="61"/>
    </row>
    <row r="12" customFormat="false" ht="15" hidden="false" customHeight="false" outlineLevel="0" collapsed="false">
      <c r="B12" s="68" t="s">
        <v>566</v>
      </c>
      <c r="C12" s="68"/>
      <c r="D12" s="68"/>
      <c r="E12" s="68"/>
      <c r="F12" s="69" t="n">
        <f aca="false">SUM(F6:F11)</f>
        <v>0</v>
      </c>
      <c r="G12" s="68"/>
    </row>
    <row r="13" customFormat="false" ht="15" hidden="false" customHeight="false" outlineLevel="0" collapsed="false">
      <c r="B13" s="17" t="s">
        <v>567</v>
      </c>
      <c r="F13" s="58" t="n">
        <f aca="false">SUMIFS(F6:F11,C6:C11,"Crecimiento")</f>
        <v>0</v>
      </c>
    </row>
    <row r="14" customFormat="false" ht="15" hidden="false" customHeight="false" outlineLevel="0" collapsed="false">
      <c r="B14" s="17" t="s">
        <v>568</v>
      </c>
      <c r="F14" s="58" t="n">
        <f aca="false">SUMIFS(F6:F11,C6:C11,"Estabilidad")</f>
        <v>0</v>
      </c>
    </row>
    <row r="16" customFormat="false" ht="15" hidden="false" customHeight="false" outlineLevel="0" collapsed="false">
      <c r="B16" s="9" t="s">
        <v>569</v>
      </c>
      <c r="C16" s="10"/>
      <c r="D16" s="10"/>
      <c r="E16" s="10"/>
    </row>
    <row r="17" customFormat="false" ht="30" hidden="false" customHeight="true" outlineLevel="0" collapsed="false">
      <c r="B17" s="11" t="s">
        <v>570</v>
      </c>
      <c r="C17" s="12" t="s">
        <v>571</v>
      </c>
      <c r="D17" s="12" t="s">
        <v>572</v>
      </c>
      <c r="E17" s="12" t="s">
        <v>573</v>
      </c>
    </row>
    <row r="18" customFormat="false" ht="15" hidden="false" customHeight="false" outlineLevel="0" collapsed="false">
      <c r="B18" s="17" t="s">
        <v>574</v>
      </c>
      <c r="C18" s="16"/>
      <c r="D18" s="115" t="str">
        <f aca="false">IFERROR(VLOOKUP(C18,Listas!$N$2:$O$4,2,FALSE()),"")</f>
        <v/>
      </c>
    </row>
    <row r="19" customFormat="false" ht="15" hidden="false" customHeight="false" outlineLevel="0" collapsed="false">
      <c r="B19" s="17" t="s">
        <v>575</v>
      </c>
      <c r="C19" s="16"/>
      <c r="D19" s="115" t="str">
        <f aca="false">IFERROR(VLOOKUP(C19,Listas!$P$2:$Q$4,2,FALSE()),"")</f>
        <v/>
      </c>
    </row>
    <row r="20" customFormat="false" ht="15" hidden="false" customHeight="false" outlineLevel="0" collapsed="false">
      <c r="B20" s="24" t="s">
        <v>576</v>
      </c>
      <c r="D20" s="77" t="str">
        <f aca="false">IF(OR(D18="",D19=""),"",IF(D18+D19&lt;=3,1,IF(D18+D19&lt;=5,2,3)))</f>
        <v/>
      </c>
      <c r="E20" s="24" t="str">
        <f aca="false">IF(D20="","Falta responder",CHOOSE(D20,"Conservador","Moderado","Tolerante"))</f>
        <v>Falta responder</v>
      </c>
    </row>
    <row r="21" customFormat="false" ht="15" hidden="false" customHeight="false" outlineLevel="0" collapsed="false">
      <c r="B21" s="17" t="s">
        <v>577</v>
      </c>
      <c r="C21" s="16"/>
      <c r="E21" s="23" t="s">
        <v>578</v>
      </c>
    </row>
    <row r="23" customFormat="false" ht="15" hidden="false" customHeight="false" outlineLevel="0" collapsed="false">
      <c r="B23" s="9" t="s">
        <v>579</v>
      </c>
      <c r="C23" s="10"/>
      <c r="D23" s="10"/>
      <c r="E23" s="10"/>
    </row>
    <row r="24" customFormat="false" ht="30" hidden="false" customHeight="true" outlineLevel="0" collapsed="false">
      <c r="B24" s="11" t="s">
        <v>580</v>
      </c>
      <c r="C24" s="12" t="s">
        <v>581</v>
      </c>
      <c r="D24" s="12"/>
      <c r="E24" s="12" t="s">
        <v>582</v>
      </c>
    </row>
    <row r="25" customFormat="false" ht="15" hidden="false" customHeight="false" outlineLevel="0" collapsed="false">
      <c r="B25" s="15" t="s">
        <v>583</v>
      </c>
      <c r="C25" s="70" t="str">
        <f aca="false">IF(Supuestos!$C$10="Independiente variable","Sí","No")</f>
        <v>No</v>
      </c>
      <c r="D25" s="104"/>
      <c r="E25" s="34" t="s">
        <v>584</v>
      </c>
    </row>
    <row r="26" customFormat="false" ht="15" hidden="false" customHeight="false" outlineLevel="0" collapsed="false">
      <c r="B26" s="15" t="s">
        <v>585</v>
      </c>
      <c r="C26" s="70" t="str">
        <f aca="false">IF(AND(N(Supuestos!$C$11)&gt;0,Seguros!$F$10&lt;&gt;"Sí"),"Sí","No")</f>
        <v>No</v>
      </c>
      <c r="D26" s="104"/>
      <c r="E26" s="34" t="s">
        <v>586</v>
      </c>
    </row>
    <row r="27" customFormat="false" ht="15" hidden="false" customHeight="false" outlineLevel="0" collapsed="false">
      <c r="B27" s="15" t="s">
        <v>587</v>
      </c>
      <c r="C27" s="92" t="str">
        <f aca="false">IF(Pensión!$C$78="Sí","Sí","No")</f>
        <v>No</v>
      </c>
      <c r="D27" s="104"/>
      <c r="E27" s="34" t="s">
        <v>588</v>
      </c>
    </row>
    <row r="28" customFormat="false" ht="15" hidden="false" customHeight="false" outlineLevel="0" collapsed="false">
      <c r="B28" s="15" t="s">
        <v>589</v>
      </c>
      <c r="C28" s="92" t="str">
        <f aca="false">IF('Fondo emergencia'!$C$25&lt;0.999,"Sí","No")</f>
        <v>No</v>
      </c>
      <c r="D28" s="104"/>
      <c r="E28" s="34" t="s">
        <v>590</v>
      </c>
    </row>
    <row r="29" customFormat="false" ht="15" hidden="false" customHeight="false" outlineLevel="0" collapsed="false">
      <c r="B29" s="15" t="s">
        <v>591</v>
      </c>
      <c r="C29" s="92" t="str">
        <f aca="false">IF(AND(Supuestos!$C$13&lt;&gt;"",Supuestos!$C$29-N(Supuestos!$C$13)&lt;5,Pensión!$C$24&lt;&gt;"Sí"),"Sí","No")</f>
        <v>No</v>
      </c>
      <c r="D29" s="104"/>
      <c r="E29" s="34" t="s">
        <v>588</v>
      </c>
    </row>
    <row r="30" customFormat="false" ht="15" hidden="false" customHeight="false" outlineLevel="0" collapsed="false">
      <c r="B30" s="17" t="s">
        <v>592</v>
      </c>
      <c r="C30" s="115" t="n">
        <f aca="false">COUNTIF(C25:C29,"Sí")</f>
        <v>0</v>
      </c>
    </row>
    <row r="31" customFormat="false" ht="15" hidden="false" customHeight="false" outlineLevel="0" collapsed="false">
      <c r="B31" s="24" t="s">
        <v>593</v>
      </c>
      <c r="D31" s="77" t="n">
        <f aca="false">IF(Deudas!$C$23="Sí",0,IF(C30&gt;=4,0,MAX(1,3-C30)))</f>
        <v>3</v>
      </c>
      <c r="E31" s="24" t="str">
        <f aca="false">CHOOSE(D31+1,"No invertir todavía","Conservador","Moderado","Tolerante")</f>
        <v>Tolerante</v>
      </c>
    </row>
    <row r="32" customFormat="false" ht="15" hidden="false" customHeight="false" outlineLevel="0" collapsed="false">
      <c r="B32" s="24" t="s">
        <v>594</v>
      </c>
      <c r="D32" s="77" t="str">
        <f aca="false">IF(D20="","",MIN(D20,D31))</f>
        <v/>
      </c>
      <c r="E32" s="68" t="str">
        <f aca="false">IF(D32="","Falta responder",CHOOSE(D32+1,"No invertir todavía","Conservador","Moderado","Tolerante"))</f>
        <v>Falta responder</v>
      </c>
    </row>
    <row r="34" customFormat="false" ht="15" hidden="false" customHeight="false" outlineLevel="0" collapsed="false">
      <c r="B34" s="9" t="s">
        <v>595</v>
      </c>
      <c r="C34" s="10"/>
      <c r="D34" s="10"/>
      <c r="E34" s="10"/>
      <c r="F34" s="10"/>
      <c r="G34" s="10"/>
      <c r="H34" s="10"/>
      <c r="I34" s="10"/>
    </row>
    <row r="35" customFormat="false" ht="30" hidden="false" customHeight="true" outlineLevel="0" collapsed="false">
      <c r="B35" s="11" t="s">
        <v>596</v>
      </c>
      <c r="C35" s="12" t="s">
        <v>597</v>
      </c>
      <c r="D35" s="12" t="s">
        <v>598</v>
      </c>
      <c r="E35" s="12" t="s">
        <v>599</v>
      </c>
      <c r="F35" s="12" t="s">
        <v>600</v>
      </c>
      <c r="G35" s="12" t="s">
        <v>601</v>
      </c>
      <c r="H35" s="12" t="s">
        <v>602</v>
      </c>
      <c r="I35" s="12" t="s">
        <v>603</v>
      </c>
    </row>
    <row r="36" customFormat="false" ht="15" hidden="false" customHeight="false" outlineLevel="0" collapsed="false">
      <c r="B36" s="73" t="n">
        <v>0</v>
      </c>
      <c r="C36" s="15" t="s">
        <v>604</v>
      </c>
      <c r="D36" s="116" t="n">
        <v>0.4</v>
      </c>
      <c r="E36" s="116" t="n">
        <v>0.55</v>
      </c>
      <c r="F36" s="116" t="n">
        <v>0.6</v>
      </c>
      <c r="G36" s="116" t="n">
        <v>0.75</v>
      </c>
      <c r="H36" s="116" t="n">
        <v>0.8</v>
      </c>
      <c r="I36" s="116" t="n">
        <v>0.9</v>
      </c>
    </row>
    <row r="37" customFormat="false" ht="15" hidden="false" customHeight="false" outlineLevel="0" collapsed="false">
      <c r="B37" s="73" t="n">
        <v>35</v>
      </c>
      <c r="C37" s="15" t="s">
        <v>605</v>
      </c>
      <c r="D37" s="116" t="n">
        <v>0.3</v>
      </c>
      <c r="E37" s="116" t="n">
        <v>0.45</v>
      </c>
      <c r="F37" s="116" t="n">
        <v>0.5</v>
      </c>
      <c r="G37" s="116" t="n">
        <v>0.65</v>
      </c>
      <c r="H37" s="116" t="n">
        <v>0.7</v>
      </c>
      <c r="I37" s="116" t="n">
        <v>0.8</v>
      </c>
    </row>
    <row r="38" customFormat="false" ht="15" hidden="false" customHeight="false" outlineLevel="0" collapsed="false">
      <c r="B38" s="73" t="n">
        <v>50</v>
      </c>
      <c r="C38" s="15" t="s">
        <v>606</v>
      </c>
      <c r="D38" s="116" t="n">
        <v>0.2</v>
      </c>
      <c r="E38" s="116" t="n">
        <v>0.35</v>
      </c>
      <c r="F38" s="116" t="n">
        <v>0.4</v>
      </c>
      <c r="G38" s="116" t="n">
        <v>0.55</v>
      </c>
      <c r="H38" s="116" t="n">
        <v>0.55</v>
      </c>
      <c r="I38" s="116" t="n">
        <v>0.7</v>
      </c>
    </row>
    <row r="39" customFormat="false" ht="15" hidden="false" customHeight="false" outlineLevel="0" collapsed="false">
      <c r="B39" s="73" t="n">
        <v>60</v>
      </c>
      <c r="C39" s="15" t="s">
        <v>607</v>
      </c>
      <c r="D39" s="116" t="n">
        <v>0.1</v>
      </c>
      <c r="E39" s="116" t="n">
        <v>0.25</v>
      </c>
      <c r="F39" s="116" t="n">
        <v>0.25</v>
      </c>
      <c r="G39" s="116" t="n">
        <v>0.4</v>
      </c>
      <c r="H39" s="116" t="n">
        <v>0.4</v>
      </c>
      <c r="I39" s="116" t="n">
        <v>0.55</v>
      </c>
    </row>
    <row r="41" customFormat="false" ht="15" hidden="false" customHeight="false" outlineLevel="0" collapsed="false">
      <c r="B41" s="17" t="s">
        <v>608</v>
      </c>
      <c r="C41" s="51" t="str">
        <f aca="false">IF(Supuestos!$C$13="","",MATCH(Supuestos!$C$13,$B$36:$B$39,1))</f>
        <v/>
      </c>
      <c r="D41" s="17" t="str">
        <f aca="false">IF(C41="","",INDEX($C$36:$C$39,C41))</f>
        <v/>
      </c>
    </row>
    <row r="42" customFormat="false" ht="15" hidden="false" customHeight="false" outlineLevel="0" collapsed="false">
      <c r="B42" s="17" t="s">
        <v>609</v>
      </c>
      <c r="C42" s="59" t="n">
        <f aca="false">IF(OR(C41="",D32="",N(D32)=0),0,INDEX($D$36:$I$39,C41,2*D32-1))</f>
        <v>0</v>
      </c>
    </row>
    <row r="43" customFormat="false" ht="15" hidden="false" customHeight="false" outlineLevel="0" collapsed="false">
      <c r="B43" s="17" t="s">
        <v>610</v>
      </c>
      <c r="C43" s="59" t="n">
        <f aca="false">IF(OR(C41="",D32="",N(D32)=0),0,INDEX($D$36:$I$39,C41,2*D32))</f>
        <v>0</v>
      </c>
    </row>
    <row r="44" customFormat="false" ht="15" hidden="false" customHeight="false" outlineLevel="0" collapsed="false">
      <c r="B44" s="17" t="s">
        <v>611</v>
      </c>
      <c r="C44" s="55" t="n">
        <v>0.5</v>
      </c>
      <c r="D44" s="23" t="s">
        <v>612</v>
      </c>
    </row>
    <row r="45" customFormat="false" ht="15" hidden="false" customHeight="false" outlineLevel="0" collapsed="false">
      <c r="B45" s="24" t="s">
        <v>108</v>
      </c>
      <c r="C45" s="117" t="n">
        <f aca="false">IF(OR(D32="",N(D32)=0,C21="Menos de 3 años"),0,C42+C44*(C43-C42))</f>
        <v>0</v>
      </c>
    </row>
    <row r="46" customFormat="false" ht="15" hidden="false" customHeight="false" outlineLevel="0" collapsed="false">
      <c r="B46" s="24" t="s">
        <v>613</v>
      </c>
      <c r="C46" s="117" t="n">
        <f aca="false">1-C45</f>
        <v>1</v>
      </c>
    </row>
    <row r="47" customFormat="false" ht="15" hidden="false" customHeight="false" outlineLevel="0" collapsed="false">
      <c r="B47" s="118" t="str">
        <f aca="false">IF(C21="Menos de 3 años","El dinero se necesitaría en menos de 3 años: todo va a estabilidad.",IF(D32=0,"Primero estabilidad: pagar la deuda cara o fortalecer la capacidad antes de invertir en crecimiento.",IF(D32="","Responde las preguntas de disposición para calcular el perfil.","")))</f>
        <v>Responde las preguntas de disposición para calcular el perfil.</v>
      </c>
    </row>
    <row r="49" customFormat="false" ht="15" hidden="false" customHeight="false" outlineLevel="0" collapsed="false">
      <c r="B49" s="9" t="s">
        <v>614</v>
      </c>
      <c r="C49" s="10"/>
      <c r="D49" s="10"/>
      <c r="E49" s="10"/>
    </row>
    <row r="50" customFormat="false" ht="30" hidden="false" customHeight="true" outlineLevel="0" collapsed="false">
      <c r="B50" s="11" t="s">
        <v>44</v>
      </c>
      <c r="C50" s="12" t="s">
        <v>229</v>
      </c>
      <c r="D50" s="12" t="s">
        <v>615</v>
      </c>
      <c r="E50" s="12" t="s">
        <v>616</v>
      </c>
    </row>
    <row r="51" customFormat="false" ht="15" hidden="false" customHeight="false" outlineLevel="0" collapsed="false">
      <c r="B51" s="15" t="s">
        <v>617</v>
      </c>
      <c r="C51" s="45" t="n">
        <f aca="false">'Flujo anual'!$Q$33/12</f>
        <v>0</v>
      </c>
      <c r="D51" s="45" t="n">
        <f aca="false">C51*$C$45</f>
        <v>0</v>
      </c>
      <c r="E51" s="45" t="n">
        <f aca="false">C51*$C$46</f>
        <v>0</v>
      </c>
    </row>
    <row r="52" customFormat="false" ht="15" hidden="false" customHeight="false" outlineLevel="0" collapsed="false">
      <c r="B52" s="15" t="s">
        <v>102</v>
      </c>
      <c r="C52" s="45" t="n">
        <f aca="false">'Flujo anual'!$Q$33</f>
        <v>0</v>
      </c>
      <c r="D52" s="45" t="n">
        <f aca="false">C52*$C$45</f>
        <v>0</v>
      </c>
      <c r="E52" s="45" t="n">
        <f aca="false">C52*$C$46</f>
        <v>0</v>
      </c>
    </row>
    <row r="53" customFormat="false" ht="15" hidden="false" customHeight="false" outlineLevel="0" collapsed="false">
      <c r="B53" s="15" t="s">
        <v>618</v>
      </c>
      <c r="C53" s="45" t="n">
        <f aca="false">Bolsillos!$C$27</f>
        <v>0</v>
      </c>
      <c r="D53" s="45" t="n">
        <f aca="false">C53*$C$45</f>
        <v>0</v>
      </c>
      <c r="E53" s="45" t="n">
        <f aca="false">C53*$C$46</f>
        <v>0</v>
      </c>
    </row>
    <row r="54" customFormat="false" ht="15" hidden="false" customHeight="false" outlineLevel="0" collapsed="false">
      <c r="B54" s="15" t="s">
        <v>619</v>
      </c>
      <c r="C54" s="45" t="n">
        <f aca="false">F12</f>
        <v>0</v>
      </c>
      <c r="D54" s="45" t="n">
        <f aca="false">F13</f>
        <v>0</v>
      </c>
      <c r="E54" s="45" t="n">
        <f aca="false">F14</f>
        <v>0</v>
      </c>
    </row>
    <row r="55" customFormat="false" ht="15" hidden="false" customHeight="false" outlineLevel="0" collapsed="false">
      <c r="B55" s="15" t="s">
        <v>620</v>
      </c>
      <c r="C55" s="45" t="n">
        <f aca="false">C53+C54</f>
        <v>0</v>
      </c>
      <c r="D55" s="45" t="n">
        <f aca="false">C55*$C$45</f>
        <v>0</v>
      </c>
      <c r="E55" s="45" t="n">
        <f aca="false">C55*$C$46</f>
        <v>0</v>
      </c>
    </row>
    <row r="56" customFormat="false" ht="15" hidden="false" customHeight="false" outlineLevel="0" collapsed="false">
      <c r="B56" s="24" t="s">
        <v>621</v>
      </c>
      <c r="D56" s="89" t="n">
        <f aca="false">D55-D54</f>
        <v>0</v>
      </c>
      <c r="E56" s="89" t="n">
        <f aca="false">E55-E54</f>
        <v>0</v>
      </c>
    </row>
    <row r="57" customFormat="false" ht="15" hidden="false" customHeight="false" outlineLevel="0" collapsed="false">
      <c r="B57" s="23" t="s">
        <v>622</v>
      </c>
    </row>
    <row r="59" customFormat="false" ht="15" hidden="false" customHeight="false" outlineLevel="0" collapsed="false">
      <c r="B59" s="9" t="s">
        <v>623</v>
      </c>
      <c r="C59" s="10"/>
      <c r="D59" s="10"/>
      <c r="E59" s="10"/>
      <c r="F59" s="10"/>
      <c r="G59" s="10"/>
      <c r="H59" s="10"/>
      <c r="I59" s="10"/>
      <c r="J59" s="10"/>
    </row>
    <row r="60" customFormat="false" ht="30" hidden="false" customHeight="true" outlineLevel="0" collapsed="false">
      <c r="B60" s="11" t="s">
        <v>624</v>
      </c>
      <c r="C60" s="12" t="s">
        <v>625</v>
      </c>
      <c r="D60" s="12" t="s">
        <v>108</v>
      </c>
      <c r="E60" s="12" t="s">
        <v>626</v>
      </c>
      <c r="F60" s="12" t="s">
        <v>386</v>
      </c>
      <c r="G60" s="12" t="s">
        <v>627</v>
      </c>
      <c r="H60" s="12" t="s">
        <v>628</v>
      </c>
      <c r="I60" s="12" t="s">
        <v>629</v>
      </c>
      <c r="J60" s="12" t="s">
        <v>630</v>
      </c>
    </row>
    <row r="61" customFormat="false" ht="15" hidden="false" customHeight="false" outlineLevel="0" collapsed="false">
      <c r="B61" s="64" t="n">
        <f aca="false">Supuestos!$C$14+0</f>
        <v>2027</v>
      </c>
      <c r="C61" s="73" t="str">
        <f aca="false">IF(Supuestos!$C$8="","",B61-YEAR(Supuestos!$C$8))</f>
        <v/>
      </c>
      <c r="D61" s="119" t="n">
        <f aca="false">IF($C$45=0,0,MAX(MIN(Supuestos!$C$31,$C$45),$C$45-Supuestos!$C$30*MAX(0,MIN(0,$C$71)-MAX(0,$C$71-10))))</f>
        <v>0</v>
      </c>
      <c r="E61" s="119" t="n">
        <f aca="false">D61*Supuestos!$C$27+(1-D61)*Supuestos!$C$28</f>
        <v>0.015</v>
      </c>
      <c r="F61" s="45" t="n">
        <f aca="false">C55</f>
        <v>0</v>
      </c>
      <c r="G61" s="45" t="n">
        <f aca="false">'Flujo anual'!$Q$25</f>
        <v>0</v>
      </c>
      <c r="H61" s="45" t="n">
        <f aca="false">IF(Deudas!$C$23="Sí",0,IF(ISNUMBER(Supuestos!$J$46),MAX(0,MIN(B61*12+12,Supuestos!$K$46)-MAX(B61*12+1,Supuestos!$J$46)+1)*N(Supuestos!$D$46)*N(Supuestos!$H$46),0)+IF(ISNUMBER(Supuestos!$J$47),MAX(0,MIN(B61*12+12,Supuestos!$K$47)-MAX(B61*12+1,Supuestos!$J$47)+1)*N(Supuestos!$D$47)*N(Supuestos!$H$47),0)+IF(ISNUMBER(Supuestos!$J$48),MAX(0,MIN(B61*12+12,Supuestos!$K$48)-MAX(B61*12+1,Supuestos!$J$48)+1)*N(Supuestos!$D$48)*N(Supuestos!$H$48),0))</f>
        <v>0</v>
      </c>
      <c r="I61" s="45" t="n">
        <f aca="false">(F61+(G61+H61)/2)*E61</f>
        <v>0</v>
      </c>
      <c r="J61" s="109" t="n">
        <f aca="false">F61+G61+H61+I61</f>
        <v>0</v>
      </c>
    </row>
    <row r="62" customFormat="false" ht="15" hidden="false" customHeight="false" outlineLevel="0" collapsed="false">
      <c r="B62" s="64" t="n">
        <f aca="false">Supuestos!$C$14+1</f>
        <v>2028</v>
      </c>
      <c r="C62" s="73" t="str">
        <f aca="false">IF(Supuestos!$C$8="","",B62-YEAR(Supuestos!$C$8))</f>
        <v/>
      </c>
      <c r="D62" s="119" t="n">
        <f aca="false">IF($C$45=0,0,MAX(MIN(Supuestos!$C$31,$C$45),$C$45-Supuestos!$C$30*MAX(0,MIN(1,$C$71)-MAX(0,$C$71-10))))</f>
        <v>0</v>
      </c>
      <c r="E62" s="119" t="n">
        <f aca="false">D62*Supuestos!$C$27+(1-D62)*Supuestos!$C$28</f>
        <v>0.015</v>
      </c>
      <c r="F62" s="45" t="n">
        <f aca="false">J61</f>
        <v>0</v>
      </c>
      <c r="G62" s="45" t="n">
        <f aca="false">'Flujo anual'!$Q$25</f>
        <v>0</v>
      </c>
      <c r="H62" s="45" t="n">
        <f aca="false">IF(Deudas!$C$23="Sí",0,IF(ISNUMBER(Supuestos!$J$46),MAX(0,MIN(B62*12+12,Supuestos!$K$46)-MAX(B62*12+1,Supuestos!$J$46)+1)*N(Supuestos!$D$46)*N(Supuestos!$H$46),0)+IF(ISNUMBER(Supuestos!$J$47),MAX(0,MIN(B62*12+12,Supuestos!$K$47)-MAX(B62*12+1,Supuestos!$J$47)+1)*N(Supuestos!$D$47)*N(Supuestos!$H$47),0)+IF(ISNUMBER(Supuestos!$J$48),MAX(0,MIN(B62*12+12,Supuestos!$K$48)-MAX(B62*12+1,Supuestos!$J$48)+1)*N(Supuestos!$D$48)*N(Supuestos!$H$48),0))</f>
        <v>0</v>
      </c>
      <c r="I62" s="45" t="n">
        <f aca="false">(F62+(G62+H62)/2)*E62</f>
        <v>0</v>
      </c>
      <c r="J62" s="109" t="n">
        <f aca="false">F62+G62+H62+I62</f>
        <v>0</v>
      </c>
    </row>
    <row r="63" customFormat="false" ht="15" hidden="false" customHeight="false" outlineLevel="0" collapsed="false">
      <c r="B63" s="64" t="n">
        <f aca="false">Supuestos!$C$14+2</f>
        <v>2029</v>
      </c>
      <c r="C63" s="73" t="str">
        <f aca="false">IF(Supuestos!$C$8="","",B63-YEAR(Supuestos!$C$8))</f>
        <v/>
      </c>
      <c r="D63" s="119" t="n">
        <f aca="false">IF($C$45=0,0,MAX(MIN(Supuestos!$C$31,$C$45),$C$45-Supuestos!$C$30*MAX(0,MIN(2,$C$71)-MAX(0,$C$71-10))))</f>
        <v>0</v>
      </c>
      <c r="E63" s="119" t="n">
        <f aca="false">D63*Supuestos!$C$27+(1-D63)*Supuestos!$C$28</f>
        <v>0.015</v>
      </c>
      <c r="F63" s="45" t="n">
        <f aca="false">J62</f>
        <v>0</v>
      </c>
      <c r="G63" s="45" t="n">
        <f aca="false">'Flujo anual'!$Q$25</f>
        <v>0</v>
      </c>
      <c r="H63" s="45" t="n">
        <f aca="false">IF(Deudas!$C$23="Sí",0,IF(ISNUMBER(Supuestos!$J$46),MAX(0,MIN(B63*12+12,Supuestos!$K$46)-MAX(B63*12+1,Supuestos!$J$46)+1)*N(Supuestos!$D$46)*N(Supuestos!$H$46),0)+IF(ISNUMBER(Supuestos!$J$47),MAX(0,MIN(B63*12+12,Supuestos!$K$47)-MAX(B63*12+1,Supuestos!$J$47)+1)*N(Supuestos!$D$47)*N(Supuestos!$H$47),0)+IF(ISNUMBER(Supuestos!$J$48),MAX(0,MIN(B63*12+12,Supuestos!$K$48)-MAX(B63*12+1,Supuestos!$J$48)+1)*N(Supuestos!$D$48)*N(Supuestos!$H$48),0))</f>
        <v>0</v>
      </c>
      <c r="I63" s="45" t="n">
        <f aca="false">(F63+(G63+H63)/2)*E63</f>
        <v>0</v>
      </c>
      <c r="J63" s="109" t="n">
        <f aca="false">F63+G63+H63+I63</f>
        <v>0</v>
      </c>
    </row>
    <row r="64" customFormat="false" ht="15" hidden="false" customHeight="false" outlineLevel="0" collapsed="false">
      <c r="B64" s="64" t="n">
        <f aca="false">Supuestos!$C$14+3</f>
        <v>2030</v>
      </c>
      <c r="C64" s="73" t="str">
        <f aca="false">IF(Supuestos!$C$8="","",B64-YEAR(Supuestos!$C$8))</f>
        <v/>
      </c>
      <c r="D64" s="119" t="n">
        <f aca="false">IF($C$45=0,0,MAX(MIN(Supuestos!$C$31,$C$45),$C$45-Supuestos!$C$30*MAX(0,MIN(3,$C$71)-MAX(0,$C$71-10))))</f>
        <v>0</v>
      </c>
      <c r="E64" s="119" t="n">
        <f aca="false">D64*Supuestos!$C$27+(1-D64)*Supuestos!$C$28</f>
        <v>0.015</v>
      </c>
      <c r="F64" s="45" t="n">
        <f aca="false">J63</f>
        <v>0</v>
      </c>
      <c r="G64" s="45" t="n">
        <f aca="false">'Flujo anual'!$Q$25</f>
        <v>0</v>
      </c>
      <c r="H64" s="45" t="n">
        <f aca="false">IF(Deudas!$C$23="Sí",0,IF(ISNUMBER(Supuestos!$J$46),MAX(0,MIN(B64*12+12,Supuestos!$K$46)-MAX(B64*12+1,Supuestos!$J$46)+1)*N(Supuestos!$D$46)*N(Supuestos!$H$46),0)+IF(ISNUMBER(Supuestos!$J$47),MAX(0,MIN(B64*12+12,Supuestos!$K$47)-MAX(B64*12+1,Supuestos!$J$47)+1)*N(Supuestos!$D$47)*N(Supuestos!$H$47),0)+IF(ISNUMBER(Supuestos!$J$48),MAX(0,MIN(B64*12+12,Supuestos!$K$48)-MAX(B64*12+1,Supuestos!$J$48)+1)*N(Supuestos!$D$48)*N(Supuestos!$H$48),0))</f>
        <v>0</v>
      </c>
      <c r="I64" s="45" t="n">
        <f aca="false">(F64+(G64+H64)/2)*E64</f>
        <v>0</v>
      </c>
      <c r="J64" s="109" t="n">
        <f aca="false">F64+G64+H64+I64</f>
        <v>0</v>
      </c>
    </row>
    <row r="65" customFormat="false" ht="15" hidden="false" customHeight="false" outlineLevel="0" collapsed="false">
      <c r="B65" s="64" t="n">
        <f aca="false">Supuestos!$C$14+4</f>
        <v>2031</v>
      </c>
      <c r="C65" s="73" t="str">
        <f aca="false">IF(Supuestos!$C$8="","",B65-YEAR(Supuestos!$C$8))</f>
        <v/>
      </c>
      <c r="D65" s="119" t="n">
        <f aca="false">IF($C$45=0,0,MAX(MIN(Supuestos!$C$31,$C$45),$C$45-Supuestos!$C$30*MAX(0,MIN(4,$C$71)-MAX(0,$C$71-10))))</f>
        <v>0</v>
      </c>
      <c r="E65" s="119" t="n">
        <f aca="false">D65*Supuestos!$C$27+(1-D65)*Supuestos!$C$28</f>
        <v>0.015</v>
      </c>
      <c r="F65" s="45" t="n">
        <f aca="false">J64</f>
        <v>0</v>
      </c>
      <c r="G65" s="45" t="n">
        <f aca="false">'Flujo anual'!$Q$25</f>
        <v>0</v>
      </c>
      <c r="H65" s="45" t="n">
        <f aca="false">IF(Deudas!$C$23="Sí",0,IF(ISNUMBER(Supuestos!$J$46),MAX(0,MIN(B65*12+12,Supuestos!$K$46)-MAX(B65*12+1,Supuestos!$J$46)+1)*N(Supuestos!$D$46)*N(Supuestos!$H$46),0)+IF(ISNUMBER(Supuestos!$J$47),MAX(0,MIN(B65*12+12,Supuestos!$K$47)-MAX(B65*12+1,Supuestos!$J$47)+1)*N(Supuestos!$D$47)*N(Supuestos!$H$47),0)+IF(ISNUMBER(Supuestos!$J$48),MAX(0,MIN(B65*12+12,Supuestos!$K$48)-MAX(B65*12+1,Supuestos!$J$48)+1)*N(Supuestos!$D$48)*N(Supuestos!$H$48),0))</f>
        <v>0</v>
      </c>
      <c r="I65" s="45" t="n">
        <f aca="false">(F65+(G65+H65)/2)*E65</f>
        <v>0</v>
      </c>
      <c r="J65" s="109" t="n">
        <f aca="false">F65+G65+H65+I65</f>
        <v>0</v>
      </c>
    </row>
    <row r="66" customFormat="false" ht="15" hidden="false" customHeight="false" outlineLevel="0" collapsed="false">
      <c r="B66" s="64" t="n">
        <f aca="false">Supuestos!$C$14+5</f>
        <v>2032</v>
      </c>
      <c r="C66" s="73" t="str">
        <f aca="false">IF(Supuestos!$C$8="","",B66-YEAR(Supuestos!$C$8))</f>
        <v/>
      </c>
      <c r="D66" s="119" t="n">
        <f aca="false">IF($C$45=0,0,MAX(MIN(Supuestos!$C$31,$C$45),$C$45-Supuestos!$C$30*MAX(0,MIN(5,$C$71)-MAX(0,$C$71-10))))</f>
        <v>0</v>
      </c>
      <c r="E66" s="119" t="n">
        <f aca="false">D66*Supuestos!$C$27+(1-D66)*Supuestos!$C$28</f>
        <v>0.015</v>
      </c>
      <c r="F66" s="45" t="n">
        <f aca="false">J65</f>
        <v>0</v>
      </c>
      <c r="G66" s="45" t="n">
        <f aca="false">'Flujo anual'!$Q$25</f>
        <v>0</v>
      </c>
      <c r="H66" s="45" t="n">
        <f aca="false">IF(Deudas!$C$23="Sí",0,IF(ISNUMBER(Supuestos!$J$46),MAX(0,MIN(B66*12+12,Supuestos!$K$46)-MAX(B66*12+1,Supuestos!$J$46)+1)*N(Supuestos!$D$46)*N(Supuestos!$H$46),0)+IF(ISNUMBER(Supuestos!$J$47),MAX(0,MIN(B66*12+12,Supuestos!$K$47)-MAX(B66*12+1,Supuestos!$J$47)+1)*N(Supuestos!$D$47)*N(Supuestos!$H$47),0)+IF(ISNUMBER(Supuestos!$J$48),MAX(0,MIN(B66*12+12,Supuestos!$K$48)-MAX(B66*12+1,Supuestos!$J$48)+1)*N(Supuestos!$D$48)*N(Supuestos!$H$48),0))</f>
        <v>0</v>
      </c>
      <c r="I66" s="45" t="n">
        <f aca="false">(F66+(G66+H66)/2)*E66</f>
        <v>0</v>
      </c>
      <c r="J66" s="109" t="n">
        <f aca="false">F66+G66+H66+I66</f>
        <v>0</v>
      </c>
    </row>
    <row r="67" customFormat="false" ht="15" hidden="false" customHeight="false" outlineLevel="0" collapsed="false">
      <c r="B67" s="64" t="n">
        <f aca="false">Supuestos!$C$14+6</f>
        <v>2033</v>
      </c>
      <c r="C67" s="73" t="str">
        <f aca="false">IF(Supuestos!$C$8="","",B67-YEAR(Supuestos!$C$8))</f>
        <v/>
      </c>
      <c r="D67" s="119" t="n">
        <f aca="false">IF($C$45=0,0,MAX(MIN(Supuestos!$C$31,$C$45),$C$45-Supuestos!$C$30*MAX(0,MIN(6,$C$71)-MAX(0,$C$71-10))))</f>
        <v>0</v>
      </c>
      <c r="E67" s="119" t="n">
        <f aca="false">D67*Supuestos!$C$27+(1-D67)*Supuestos!$C$28</f>
        <v>0.015</v>
      </c>
      <c r="F67" s="45" t="n">
        <f aca="false">J66</f>
        <v>0</v>
      </c>
      <c r="G67" s="45" t="n">
        <f aca="false">'Flujo anual'!$Q$25</f>
        <v>0</v>
      </c>
      <c r="H67" s="45" t="n">
        <f aca="false">IF(Deudas!$C$23="Sí",0,IF(ISNUMBER(Supuestos!$J$46),MAX(0,MIN(B67*12+12,Supuestos!$K$46)-MAX(B67*12+1,Supuestos!$J$46)+1)*N(Supuestos!$D$46)*N(Supuestos!$H$46),0)+IF(ISNUMBER(Supuestos!$J$47),MAX(0,MIN(B67*12+12,Supuestos!$K$47)-MAX(B67*12+1,Supuestos!$J$47)+1)*N(Supuestos!$D$47)*N(Supuestos!$H$47),0)+IF(ISNUMBER(Supuestos!$J$48),MAX(0,MIN(B67*12+12,Supuestos!$K$48)-MAX(B67*12+1,Supuestos!$J$48)+1)*N(Supuestos!$D$48)*N(Supuestos!$H$48),0))</f>
        <v>0</v>
      </c>
      <c r="I67" s="45" t="n">
        <f aca="false">(F67+(G67+H67)/2)*E67</f>
        <v>0</v>
      </c>
      <c r="J67" s="109" t="n">
        <f aca="false">F67+G67+H67+I67</f>
        <v>0</v>
      </c>
    </row>
    <row r="68" customFormat="false" ht="15" hidden="false" customHeight="false" outlineLevel="0" collapsed="false">
      <c r="B68" s="64" t="n">
        <f aca="false">Supuestos!$C$14+7</f>
        <v>2034</v>
      </c>
      <c r="C68" s="73" t="str">
        <f aca="false">IF(Supuestos!$C$8="","",B68-YEAR(Supuestos!$C$8))</f>
        <v/>
      </c>
      <c r="D68" s="119" t="n">
        <f aca="false">IF($C$45=0,0,MAX(MIN(Supuestos!$C$31,$C$45),$C$45-Supuestos!$C$30*MAX(0,MIN(7,$C$71)-MAX(0,$C$71-10))))</f>
        <v>0</v>
      </c>
      <c r="E68" s="119" t="n">
        <f aca="false">D68*Supuestos!$C$27+(1-D68)*Supuestos!$C$28</f>
        <v>0.015</v>
      </c>
      <c r="F68" s="45" t="n">
        <f aca="false">J67</f>
        <v>0</v>
      </c>
      <c r="G68" s="45" t="n">
        <f aca="false">'Flujo anual'!$Q$25</f>
        <v>0</v>
      </c>
      <c r="H68" s="45" t="n">
        <f aca="false">IF(Deudas!$C$23="Sí",0,IF(ISNUMBER(Supuestos!$J$46),MAX(0,MIN(B68*12+12,Supuestos!$K$46)-MAX(B68*12+1,Supuestos!$J$46)+1)*N(Supuestos!$D$46)*N(Supuestos!$H$46),0)+IF(ISNUMBER(Supuestos!$J$47),MAX(0,MIN(B68*12+12,Supuestos!$K$47)-MAX(B68*12+1,Supuestos!$J$47)+1)*N(Supuestos!$D$47)*N(Supuestos!$H$47),0)+IF(ISNUMBER(Supuestos!$J$48),MAX(0,MIN(B68*12+12,Supuestos!$K$48)-MAX(B68*12+1,Supuestos!$J$48)+1)*N(Supuestos!$D$48)*N(Supuestos!$H$48),0))</f>
        <v>0</v>
      </c>
      <c r="I68" s="45" t="n">
        <f aca="false">(F68+(G68+H68)/2)*E68</f>
        <v>0</v>
      </c>
      <c r="J68" s="109" t="n">
        <f aca="false">F68+G68+H68+I68</f>
        <v>0</v>
      </c>
    </row>
    <row r="69" customFormat="false" ht="15" hidden="false" customHeight="false" outlineLevel="0" collapsed="false">
      <c r="B69" s="64" t="n">
        <f aca="false">Supuestos!$C$14+8</f>
        <v>2035</v>
      </c>
      <c r="C69" s="73" t="str">
        <f aca="false">IF(Supuestos!$C$8="","",B69-YEAR(Supuestos!$C$8))</f>
        <v/>
      </c>
      <c r="D69" s="119" t="n">
        <f aca="false">IF($C$45=0,0,MAX(MIN(Supuestos!$C$31,$C$45),$C$45-Supuestos!$C$30*MAX(0,MIN(8,$C$71)-MAX(0,$C$71-10))))</f>
        <v>0</v>
      </c>
      <c r="E69" s="119" t="n">
        <f aca="false">D69*Supuestos!$C$27+(1-D69)*Supuestos!$C$28</f>
        <v>0.015</v>
      </c>
      <c r="F69" s="45" t="n">
        <f aca="false">J68</f>
        <v>0</v>
      </c>
      <c r="G69" s="45" t="n">
        <f aca="false">'Flujo anual'!$Q$25</f>
        <v>0</v>
      </c>
      <c r="H69" s="45" t="n">
        <f aca="false">IF(Deudas!$C$23="Sí",0,IF(ISNUMBER(Supuestos!$J$46),MAX(0,MIN(B69*12+12,Supuestos!$K$46)-MAX(B69*12+1,Supuestos!$J$46)+1)*N(Supuestos!$D$46)*N(Supuestos!$H$46),0)+IF(ISNUMBER(Supuestos!$J$47),MAX(0,MIN(B69*12+12,Supuestos!$K$47)-MAX(B69*12+1,Supuestos!$J$47)+1)*N(Supuestos!$D$47)*N(Supuestos!$H$47),0)+IF(ISNUMBER(Supuestos!$J$48),MAX(0,MIN(B69*12+12,Supuestos!$K$48)-MAX(B69*12+1,Supuestos!$J$48)+1)*N(Supuestos!$D$48)*N(Supuestos!$H$48),0))</f>
        <v>0</v>
      </c>
      <c r="I69" s="45" t="n">
        <f aca="false">(F69+(G69+H69)/2)*E69</f>
        <v>0</v>
      </c>
      <c r="J69" s="109" t="n">
        <f aca="false">F69+G69+H69+I69</f>
        <v>0</v>
      </c>
    </row>
    <row r="70" customFormat="false" ht="15" hidden="false" customHeight="false" outlineLevel="0" collapsed="false">
      <c r="B70" s="64" t="n">
        <f aca="false">Supuestos!$C$14+9</f>
        <v>2036</v>
      </c>
      <c r="C70" s="73" t="str">
        <f aca="false">IF(Supuestos!$C$8="","",B70-YEAR(Supuestos!$C$8))</f>
        <v/>
      </c>
      <c r="D70" s="119" t="n">
        <f aca="false">IF($C$45=0,0,MAX(MIN(Supuestos!$C$31,$C$45),$C$45-Supuestos!$C$30*MAX(0,MIN(9,$C$71)-MAX(0,$C$71-10))))</f>
        <v>0</v>
      </c>
      <c r="E70" s="119" t="n">
        <f aca="false">D70*Supuestos!$C$27+(1-D70)*Supuestos!$C$28</f>
        <v>0.015</v>
      </c>
      <c r="F70" s="45" t="n">
        <f aca="false">J69</f>
        <v>0</v>
      </c>
      <c r="G70" s="45" t="n">
        <f aca="false">'Flujo anual'!$Q$25</f>
        <v>0</v>
      </c>
      <c r="H70" s="45" t="n">
        <f aca="false">IF(Deudas!$C$23="Sí",0,IF(ISNUMBER(Supuestos!$J$46),MAX(0,MIN(B70*12+12,Supuestos!$K$46)-MAX(B70*12+1,Supuestos!$J$46)+1)*N(Supuestos!$D$46)*N(Supuestos!$H$46),0)+IF(ISNUMBER(Supuestos!$J$47),MAX(0,MIN(B70*12+12,Supuestos!$K$47)-MAX(B70*12+1,Supuestos!$J$47)+1)*N(Supuestos!$D$47)*N(Supuestos!$H$47),0)+IF(ISNUMBER(Supuestos!$J$48),MAX(0,MIN(B70*12+12,Supuestos!$K$48)-MAX(B70*12+1,Supuestos!$J$48)+1)*N(Supuestos!$D$48)*N(Supuestos!$H$48),0))</f>
        <v>0</v>
      </c>
      <c r="I70" s="45" t="n">
        <f aca="false">(F70+(G70+H70)/2)*E70</f>
        <v>0</v>
      </c>
      <c r="J70" s="109" t="n">
        <f aca="false">F70+G70+H70+I70</f>
        <v>0</v>
      </c>
    </row>
    <row r="71" customFormat="false" ht="15" hidden="false" customHeight="false" outlineLevel="0" collapsed="false">
      <c r="B71" s="17" t="s">
        <v>631</v>
      </c>
      <c r="C71" s="51" t="n">
        <f aca="false">IF(Supuestos!$C$13="",0,MAX(0,Supuestos!$C$29-Supuestos!$C$13))</f>
        <v>0</v>
      </c>
    </row>
    <row r="72" customFormat="false" ht="15" hidden="false" customHeight="false" outlineLevel="0" collapsed="false">
      <c r="B72" s="23" t="s">
        <v>632</v>
      </c>
    </row>
  </sheetData>
  <dataValidations count="6">
    <dataValidation allowBlank="true" error="Elige un valor de la lista." errorStyle="stop" errorTitle="Valor no válido" operator="between" showDropDown="false" showErrorMessage="true" showInputMessage="false" sqref="C6:C11" type="list">
      <formula1>Listas!$X$2:$X$3</formula1>
      <formula2>0</formula2>
    </dataValidation>
    <dataValidation allowBlank="true" error="Elige un valor de la lista." errorStyle="stop" errorTitle="Valor no válido" operator="between" showDropDown="false" showErrorMessage="true" showInputMessage="false" sqref="D6:D11" type="list">
      <formula1>Listas!$M$2:$M$3</formula1>
      <formula2>0</formula2>
    </dataValidation>
    <dataValidation allowBlank="true" error="Elige un valor de la lista." errorStyle="stop" errorTitle="Valor no válido" operator="between" showDropDown="false" showErrorMessage="true" showInputMessage="false" sqref="C18" type="list">
      <formula1>Listas!$N$2:$N$4</formula1>
      <formula2>0</formula2>
    </dataValidation>
    <dataValidation allowBlank="true" error="Elige un valor de la lista." errorStyle="stop" errorTitle="Valor no válido" operator="between" showDropDown="false" showErrorMessage="true" showInputMessage="false" sqref="C19" type="list">
      <formula1>Listas!$P$2:$P$4</formula1>
      <formula2>0</formula2>
    </dataValidation>
    <dataValidation allowBlank="true" error="Elige un valor de la lista." errorStyle="stop" errorTitle="Valor no válido" operator="between" showDropDown="false" showErrorMessage="true" showInputMessage="false" sqref="C21" type="list">
      <formula1>Listas!$R$2:$R$4</formula1>
      <formula2>0</formula2>
    </dataValidation>
    <dataValidation allowBlank="true" error="Elige un valor de la lista." errorStyle="stop" errorTitle="Valor no válido" operator="between" showDropDown="false" showErrorMessage="true" showInputMessage="false" sqref="C25:C26" type="list">
      <formula1>Listas!$B$2:$B$3</formula1>
      <formula2>0</formula2>
    </dataValidation>
  </dataValidations>
  <printOptions headings="false" gridLines="false" gridLinesSet="true" horizontalCentered="true" verticalCentered="false"/>
  <pageMargins left="0.4" right="0.4"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8A04A"/>
    <pageSetUpPr fitToPage="true"/>
  </sheetPr>
  <dimension ref="B1:G8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54"/>
    <col collapsed="false" customWidth="true" hidden="false" outlineLevel="0" max="5" min="3" style="1" width="18"/>
    <col collapsed="false" customWidth="true" hidden="false" outlineLevel="0" max="6" min="6" style="1" width="14"/>
    <col collapsed="false" customWidth="true" hidden="false" outlineLevel="0" max="7" min="7" style="1" width="30"/>
  </cols>
  <sheetData>
    <row r="1" customFormat="false" ht="24" hidden="false" customHeight="true" outlineLevel="0" collapsed="false">
      <c r="B1" s="27" t="s">
        <v>633</v>
      </c>
    </row>
    <row r="2" customFormat="false" ht="15" hidden="false" customHeight="false" outlineLevel="0" collapsed="false">
      <c r="B2" s="28" t="s">
        <v>634</v>
      </c>
      <c r="C2" s="29"/>
      <c r="D2" s="29"/>
      <c r="E2" s="29"/>
      <c r="F2" s="29"/>
      <c r="G2" s="29"/>
    </row>
    <row r="5" customFormat="false" ht="30" hidden="false" customHeight="true" outlineLevel="0" collapsed="false">
      <c r="B5" s="11" t="s">
        <v>449</v>
      </c>
      <c r="C5" s="12" t="s">
        <v>75</v>
      </c>
      <c r="D5" s="12" t="s">
        <v>130</v>
      </c>
    </row>
    <row r="6" customFormat="false" ht="15" hidden="false" customHeight="false" outlineLevel="0" collapsed="false">
      <c r="B6" s="17" t="s">
        <v>635</v>
      </c>
      <c r="C6" s="16"/>
      <c r="D6" s="23"/>
    </row>
    <row r="7" customFormat="false" ht="15" hidden="false" customHeight="false" outlineLevel="0" collapsed="false">
      <c r="B7" s="17" t="s">
        <v>636</v>
      </c>
      <c r="C7" s="120"/>
      <c r="D7" s="23" t="s">
        <v>637</v>
      </c>
    </row>
    <row r="8" customFormat="false" ht="15" hidden="false" customHeight="false" outlineLevel="0" collapsed="false">
      <c r="B8" s="17" t="s">
        <v>638</v>
      </c>
      <c r="C8" s="49"/>
      <c r="D8" s="23"/>
    </row>
    <row r="9" customFormat="false" ht="15" hidden="false" customHeight="false" outlineLevel="0" collapsed="false">
      <c r="B9" s="17" t="s">
        <v>136</v>
      </c>
      <c r="C9" s="17" t="str">
        <f aca="false">IF(Supuestos!$C$9="","",Supuestos!$C$9)</f>
        <v/>
      </c>
      <c r="D9" s="23" t="s">
        <v>639</v>
      </c>
    </row>
    <row r="10" customFormat="false" ht="15" hidden="false" customHeight="false" outlineLevel="0" collapsed="false">
      <c r="B10" s="17" t="s">
        <v>640</v>
      </c>
      <c r="C10" s="51" t="n">
        <f aca="false">IF(C9="Hombre",62,57)</f>
        <v>57</v>
      </c>
      <c r="D10" s="23"/>
    </row>
    <row r="11" customFormat="false" ht="15" hidden="false" customHeight="false" outlineLevel="0" collapsed="false">
      <c r="B11" s="17" t="s">
        <v>641</v>
      </c>
      <c r="C11" s="121" t="str">
        <f aca="false">IF(Supuestos!$C$8="","",DATE(YEAR(Supuestos!$C$8)+C10,MONTH(Supuestos!$C$8),DAY(Supuestos!$C$8)))</f>
        <v/>
      </c>
      <c r="D11" s="23"/>
    </row>
    <row r="12" customFormat="false" ht="15" hidden="false" customHeight="false" outlineLevel="0" collapsed="false">
      <c r="B12" s="17" t="s">
        <v>642</v>
      </c>
      <c r="C12" s="51" t="n">
        <f aca="false">Ingresos!$S$17</f>
        <v>12</v>
      </c>
      <c r="D12" s="23" t="s">
        <v>643</v>
      </c>
    </row>
    <row r="13" customFormat="false" ht="15" hidden="false" customHeight="false" outlineLevel="0" collapsed="false">
      <c r="B13" s="17" t="s">
        <v>644</v>
      </c>
      <c r="C13" s="122"/>
      <c r="D13" s="23" t="s">
        <v>645</v>
      </c>
    </row>
    <row r="14" customFormat="false" ht="15" hidden="false" customHeight="false" outlineLevel="0" collapsed="false">
      <c r="B14" s="17" t="s">
        <v>646</v>
      </c>
      <c r="C14" s="58" t="n">
        <f aca="false">N(C13)*Supuestos!$C$18</f>
        <v>0</v>
      </c>
      <c r="D14" s="23"/>
    </row>
    <row r="15" customFormat="false" ht="15" hidden="false" customHeight="false" outlineLevel="0" collapsed="false">
      <c r="B15" s="17" t="s">
        <v>647</v>
      </c>
      <c r="C15" s="50" t="n">
        <v>0</v>
      </c>
      <c r="D15" s="23"/>
    </row>
    <row r="16" customFormat="false" ht="15" hidden="false" customHeight="false" outlineLevel="0" collapsed="false">
      <c r="B16" s="17" t="s">
        <v>648</v>
      </c>
      <c r="C16" s="16" t="s">
        <v>263</v>
      </c>
      <c r="D16" s="23" t="s">
        <v>649</v>
      </c>
    </row>
    <row r="17" customFormat="false" ht="15" hidden="false" customHeight="false" outlineLevel="0" collapsed="false">
      <c r="B17" s="17" t="s">
        <v>650</v>
      </c>
      <c r="C17" s="51" t="n">
        <f aca="false">IF(AND(C16="Sí",C9="Mujer"),MIN(3,N(C15))*50,0)</f>
        <v>0</v>
      </c>
      <c r="D17" s="23" t="s">
        <v>651</v>
      </c>
    </row>
    <row r="19" customFormat="false" ht="15" hidden="false" customHeight="false" outlineLevel="0" collapsed="false">
      <c r="B19" s="9" t="s">
        <v>652</v>
      </c>
      <c r="C19" s="10"/>
      <c r="D19" s="10"/>
    </row>
    <row r="20" customFormat="false" ht="15" hidden="false" customHeight="false" outlineLevel="0" collapsed="false">
      <c r="B20" s="24" t="s">
        <v>653</v>
      </c>
      <c r="C20" s="82" t="str">
        <f aca="false">IF(OR(C7="",C8="",C11=""),"",C7+IFERROR(DATEDIF(C8,C11,"m"),0)*C12/12*30/7)</f>
        <v/>
      </c>
    </row>
    <row r="21" customFormat="false" ht="15" hidden="false" customHeight="false" outlineLevel="0" collapsed="false">
      <c r="B21" s="17" t="s">
        <v>654</v>
      </c>
      <c r="C21" s="51" t="str">
        <f aca="false">IF(C11="","",YEAR(C11))</f>
        <v/>
      </c>
    </row>
    <row r="22" customFormat="false" ht="15" hidden="false" customHeight="false" outlineLevel="0" collapsed="false">
      <c r="B22" s="24" t="s">
        <v>655</v>
      </c>
      <c r="C22" s="82" t="str">
        <f aca="false">IF(OR(C21="",C6=""),"",IF($C$9="Hombre",IF($C$6="Fondo privado",1150,1300),IF($C$6="Fondo privado",IF(C21&lt;2026,1150,MAX(1000,1135-15*(C21-2026))),IF(C21&lt;2026,1300,MAX(1000,1250-25*(C21-2026)))))-$C$17)</f>
        <v/>
      </c>
      <c r="D22" s="23" t="s">
        <v>656</v>
      </c>
    </row>
    <row r="23" customFormat="false" ht="15" hidden="false" customHeight="false" outlineLevel="0" collapsed="false">
      <c r="B23" s="17" t="s">
        <v>657</v>
      </c>
      <c r="C23" s="123" t="str">
        <f aca="false">IF(OR(C20="",C22=""),"",C20-C22)</f>
        <v/>
      </c>
    </row>
    <row r="24" customFormat="false" ht="15" hidden="false" customHeight="false" outlineLevel="0" collapsed="false">
      <c r="B24" s="24" t="s">
        <v>658</v>
      </c>
      <c r="C24" s="68" t="str">
        <f aca="false">IF(C23="","",IF(C23&gt;=0,"Sí","No"))</f>
        <v/>
      </c>
    </row>
    <row r="25" customFormat="false" ht="15" hidden="false" customHeight="false" outlineLevel="0" collapsed="false">
      <c r="B25" s="17" t="s">
        <v>659</v>
      </c>
      <c r="C25" s="51" t="n">
        <f aca="false">IF(OR(C23="",N(C23)&gt;=0),0,ROUNDUP(-C23/(30/7)/MAX(C12,1)*12,0))</f>
        <v>0</v>
      </c>
    </row>
    <row r="27" customFormat="false" ht="15" hidden="false" customHeight="false" outlineLevel="0" collapsed="false">
      <c r="B27" s="9" t="s">
        <v>660</v>
      </c>
      <c r="C27" s="10"/>
      <c r="D27" s="10"/>
    </row>
    <row r="28" customFormat="false" ht="30" hidden="false" customHeight="true" outlineLevel="0" collapsed="false">
      <c r="B28" s="11" t="s">
        <v>624</v>
      </c>
      <c r="C28" s="12" t="s">
        <v>661</v>
      </c>
      <c r="D28" s="12" t="s">
        <v>662</v>
      </c>
    </row>
    <row r="29" customFormat="false" ht="15" hidden="false" customHeight="false" outlineLevel="0" collapsed="false">
      <c r="B29" s="51" t="n">
        <v>2026</v>
      </c>
      <c r="C29" s="81" t="n">
        <v>1250</v>
      </c>
      <c r="D29" s="81" t="n">
        <v>1135</v>
      </c>
    </row>
    <row r="30" customFormat="false" ht="15" hidden="false" customHeight="false" outlineLevel="0" collapsed="false">
      <c r="B30" s="51" t="n">
        <v>2027</v>
      </c>
      <c r="C30" s="81" t="n">
        <v>1225</v>
      </c>
      <c r="D30" s="81" t="n">
        <v>1120</v>
      </c>
    </row>
    <row r="31" customFormat="false" ht="15" hidden="false" customHeight="false" outlineLevel="0" collapsed="false">
      <c r="B31" s="51" t="n">
        <v>2028</v>
      </c>
      <c r="C31" s="81" t="n">
        <v>1200</v>
      </c>
      <c r="D31" s="81" t="n">
        <v>1105</v>
      </c>
    </row>
    <row r="32" customFormat="false" ht="15" hidden="false" customHeight="false" outlineLevel="0" collapsed="false">
      <c r="B32" s="51" t="n">
        <v>2029</v>
      </c>
      <c r="C32" s="81" t="n">
        <v>1175</v>
      </c>
      <c r="D32" s="81" t="n">
        <v>1090</v>
      </c>
    </row>
    <row r="33" customFormat="false" ht="15" hidden="false" customHeight="false" outlineLevel="0" collapsed="false">
      <c r="B33" s="51" t="n">
        <v>2030</v>
      </c>
      <c r="C33" s="81" t="n">
        <v>1150</v>
      </c>
      <c r="D33" s="81" t="n">
        <v>1075</v>
      </c>
    </row>
    <row r="34" customFormat="false" ht="15" hidden="false" customHeight="false" outlineLevel="0" collapsed="false">
      <c r="B34" s="51" t="n">
        <v>2031</v>
      </c>
      <c r="C34" s="81" t="n">
        <v>1125</v>
      </c>
      <c r="D34" s="81" t="n">
        <v>1060</v>
      </c>
    </row>
    <row r="35" customFormat="false" ht="15" hidden="false" customHeight="false" outlineLevel="0" collapsed="false">
      <c r="B35" s="51" t="n">
        <v>2032</v>
      </c>
      <c r="C35" s="81" t="n">
        <v>1100</v>
      </c>
      <c r="D35" s="81" t="n">
        <v>1045</v>
      </c>
    </row>
    <row r="36" customFormat="false" ht="15" hidden="false" customHeight="false" outlineLevel="0" collapsed="false">
      <c r="B36" s="51" t="n">
        <v>2033</v>
      </c>
      <c r="C36" s="81" t="n">
        <v>1075</v>
      </c>
      <c r="D36" s="81" t="n">
        <v>1030</v>
      </c>
    </row>
    <row r="37" customFormat="false" ht="15" hidden="false" customHeight="false" outlineLevel="0" collapsed="false">
      <c r="B37" s="51" t="n">
        <v>2034</v>
      </c>
      <c r="C37" s="81" t="n">
        <v>1050</v>
      </c>
      <c r="D37" s="81" t="n">
        <v>1015</v>
      </c>
    </row>
    <row r="38" customFormat="false" ht="15" hidden="false" customHeight="false" outlineLevel="0" collapsed="false">
      <c r="B38" s="51" t="n">
        <v>2035</v>
      </c>
      <c r="C38" s="81" t="n">
        <v>1025</v>
      </c>
      <c r="D38" s="81" t="n">
        <v>1000</v>
      </c>
    </row>
    <row r="39" customFormat="false" ht="15" hidden="false" customHeight="false" outlineLevel="0" collapsed="false">
      <c r="B39" s="51" t="n">
        <v>2036</v>
      </c>
      <c r="C39" s="81" t="n">
        <v>1000</v>
      </c>
      <c r="D39" s="81" t="n">
        <v>1000</v>
      </c>
    </row>
    <row r="41" customFormat="false" ht="15" hidden="false" customHeight="false" outlineLevel="0" collapsed="false">
      <c r="B41" s="9" t="s">
        <v>663</v>
      </c>
      <c r="C41" s="10"/>
      <c r="D41" s="10"/>
      <c r="E41" s="10"/>
      <c r="F41" s="10"/>
    </row>
    <row r="42" customFormat="false" ht="30" hidden="false" customHeight="true" outlineLevel="0" collapsed="false">
      <c r="B42" s="11" t="s">
        <v>624</v>
      </c>
      <c r="C42" s="12" t="s">
        <v>625</v>
      </c>
      <c r="D42" s="12" t="s">
        <v>664</v>
      </c>
      <c r="E42" s="12" t="s">
        <v>665</v>
      </c>
      <c r="F42" s="12" t="s">
        <v>666</v>
      </c>
    </row>
    <row r="43" customFormat="false" ht="15" hidden="false" customHeight="false" outlineLevel="0" collapsed="false">
      <c r="B43" s="64" t="n">
        <f aca="false">YEAR(Supuestos!$C$12)+0</f>
        <v>2026</v>
      </c>
      <c r="C43" s="64" t="str">
        <f aca="false">IF(Supuestos!$C$8="","",B43-YEAR(Supuestos!$C$8))</f>
        <v/>
      </c>
      <c r="D43" s="124" t="str">
        <f aca="false">IF(OR($C$7="",$C$8=""),"",$C$7+IFERROR(DATEDIF($C$8,DATE(B43,12,31),"m"),0)*$C$12/12*30/7)</f>
        <v/>
      </c>
      <c r="E43" s="124" t="str">
        <f aca="false">IF($C$6="","",IF($C$9="Hombre",IF($C$6="Fondo privado",1150,1300),IF($C$6="Fondo privado",IF(B43&lt;2026,1150,MAX(1000,1135-15*(B43-2026))),IF(B43&lt;2026,1300,MAX(1000,1250-25*(B43-2026)))))-$C$17)</f>
        <v/>
      </c>
      <c r="F43" s="92" t="str">
        <f aca="false">IF(OR(D43="",E43=""),"",IF(D43&gt;=E43,"Sí","No"))</f>
        <v/>
      </c>
    </row>
    <row r="44" customFormat="false" ht="15" hidden="false" customHeight="false" outlineLevel="0" collapsed="false">
      <c r="B44" s="64" t="n">
        <f aca="false">YEAR(Supuestos!$C$12)+1</f>
        <v>2027</v>
      </c>
      <c r="C44" s="64" t="str">
        <f aca="false">IF(Supuestos!$C$8="","",B44-YEAR(Supuestos!$C$8))</f>
        <v/>
      </c>
      <c r="D44" s="124" t="str">
        <f aca="false">IF(OR($C$7="",$C$8=""),"",$C$7+IFERROR(DATEDIF($C$8,DATE(B44,12,31),"m"),0)*$C$12/12*30/7)</f>
        <v/>
      </c>
      <c r="E44" s="124" t="str">
        <f aca="false">IF($C$6="","",IF($C$9="Hombre",IF($C$6="Fondo privado",1150,1300),IF($C$6="Fondo privado",IF(B44&lt;2026,1150,MAX(1000,1135-15*(B44-2026))),IF(B44&lt;2026,1300,MAX(1000,1250-25*(B44-2026)))))-$C$17)</f>
        <v/>
      </c>
      <c r="F44" s="92" t="str">
        <f aca="false">IF(OR(D44="",E44=""),"",IF(D44&gt;=E44,"Sí","No"))</f>
        <v/>
      </c>
    </row>
    <row r="45" customFormat="false" ht="15" hidden="false" customHeight="false" outlineLevel="0" collapsed="false">
      <c r="B45" s="64" t="n">
        <f aca="false">YEAR(Supuestos!$C$12)+2</f>
        <v>2028</v>
      </c>
      <c r="C45" s="64" t="str">
        <f aca="false">IF(Supuestos!$C$8="","",B45-YEAR(Supuestos!$C$8))</f>
        <v/>
      </c>
      <c r="D45" s="124" t="str">
        <f aca="false">IF(OR($C$7="",$C$8=""),"",$C$7+IFERROR(DATEDIF($C$8,DATE(B45,12,31),"m"),0)*$C$12/12*30/7)</f>
        <v/>
      </c>
      <c r="E45" s="124" t="str">
        <f aca="false">IF($C$6="","",IF($C$9="Hombre",IF($C$6="Fondo privado",1150,1300),IF($C$6="Fondo privado",IF(B45&lt;2026,1150,MAX(1000,1135-15*(B45-2026))),IF(B45&lt;2026,1300,MAX(1000,1250-25*(B45-2026)))))-$C$17)</f>
        <v/>
      </c>
      <c r="F45" s="92" t="str">
        <f aca="false">IF(OR(D45="",E45=""),"",IF(D45&gt;=E45,"Sí","No"))</f>
        <v/>
      </c>
    </row>
    <row r="46" customFormat="false" ht="15" hidden="false" customHeight="false" outlineLevel="0" collapsed="false">
      <c r="B46" s="64" t="n">
        <f aca="false">YEAR(Supuestos!$C$12)+3</f>
        <v>2029</v>
      </c>
      <c r="C46" s="64" t="str">
        <f aca="false">IF(Supuestos!$C$8="","",B46-YEAR(Supuestos!$C$8))</f>
        <v/>
      </c>
      <c r="D46" s="124" t="str">
        <f aca="false">IF(OR($C$7="",$C$8=""),"",$C$7+IFERROR(DATEDIF($C$8,DATE(B46,12,31),"m"),0)*$C$12/12*30/7)</f>
        <v/>
      </c>
      <c r="E46" s="124" t="str">
        <f aca="false">IF($C$6="","",IF($C$9="Hombre",IF($C$6="Fondo privado",1150,1300),IF($C$6="Fondo privado",IF(B46&lt;2026,1150,MAX(1000,1135-15*(B46-2026))),IF(B46&lt;2026,1300,MAX(1000,1250-25*(B46-2026)))))-$C$17)</f>
        <v/>
      </c>
      <c r="F46" s="92" t="str">
        <f aca="false">IF(OR(D46="",E46=""),"",IF(D46&gt;=E46,"Sí","No"))</f>
        <v/>
      </c>
    </row>
    <row r="47" customFormat="false" ht="15" hidden="false" customHeight="false" outlineLevel="0" collapsed="false">
      <c r="B47" s="64" t="n">
        <f aca="false">YEAR(Supuestos!$C$12)+4</f>
        <v>2030</v>
      </c>
      <c r="C47" s="64" t="str">
        <f aca="false">IF(Supuestos!$C$8="","",B47-YEAR(Supuestos!$C$8))</f>
        <v/>
      </c>
      <c r="D47" s="124" t="str">
        <f aca="false">IF(OR($C$7="",$C$8=""),"",$C$7+IFERROR(DATEDIF($C$8,DATE(B47,12,31),"m"),0)*$C$12/12*30/7)</f>
        <v/>
      </c>
      <c r="E47" s="124" t="str">
        <f aca="false">IF($C$6="","",IF($C$9="Hombre",IF($C$6="Fondo privado",1150,1300),IF($C$6="Fondo privado",IF(B47&lt;2026,1150,MAX(1000,1135-15*(B47-2026))),IF(B47&lt;2026,1300,MAX(1000,1250-25*(B47-2026)))))-$C$17)</f>
        <v/>
      </c>
      <c r="F47" s="92" t="str">
        <f aca="false">IF(OR(D47="",E47=""),"",IF(D47&gt;=E47,"Sí","No"))</f>
        <v/>
      </c>
    </row>
    <row r="48" customFormat="false" ht="15" hidden="false" customHeight="false" outlineLevel="0" collapsed="false">
      <c r="B48" s="64" t="n">
        <f aca="false">YEAR(Supuestos!$C$12)+5</f>
        <v>2031</v>
      </c>
      <c r="C48" s="64" t="str">
        <f aca="false">IF(Supuestos!$C$8="","",B48-YEAR(Supuestos!$C$8))</f>
        <v/>
      </c>
      <c r="D48" s="124" t="str">
        <f aca="false">IF(OR($C$7="",$C$8=""),"",$C$7+IFERROR(DATEDIF($C$8,DATE(B48,12,31),"m"),0)*$C$12/12*30/7)</f>
        <v/>
      </c>
      <c r="E48" s="124" t="str">
        <f aca="false">IF($C$6="","",IF($C$9="Hombre",IF($C$6="Fondo privado",1150,1300),IF($C$6="Fondo privado",IF(B48&lt;2026,1150,MAX(1000,1135-15*(B48-2026))),IF(B48&lt;2026,1300,MAX(1000,1250-25*(B48-2026)))))-$C$17)</f>
        <v/>
      </c>
      <c r="F48" s="92" t="str">
        <f aca="false">IF(OR(D48="",E48=""),"",IF(D48&gt;=E48,"Sí","No"))</f>
        <v/>
      </c>
    </row>
    <row r="49" customFormat="false" ht="15" hidden="false" customHeight="false" outlineLevel="0" collapsed="false">
      <c r="B49" s="64" t="n">
        <f aca="false">YEAR(Supuestos!$C$12)+6</f>
        <v>2032</v>
      </c>
      <c r="C49" s="64" t="str">
        <f aca="false">IF(Supuestos!$C$8="","",B49-YEAR(Supuestos!$C$8))</f>
        <v/>
      </c>
      <c r="D49" s="124" t="str">
        <f aca="false">IF(OR($C$7="",$C$8=""),"",$C$7+IFERROR(DATEDIF($C$8,DATE(B49,12,31),"m"),0)*$C$12/12*30/7)</f>
        <v/>
      </c>
      <c r="E49" s="124" t="str">
        <f aca="false">IF($C$6="","",IF($C$9="Hombre",IF($C$6="Fondo privado",1150,1300),IF($C$6="Fondo privado",IF(B49&lt;2026,1150,MAX(1000,1135-15*(B49-2026))),IF(B49&lt;2026,1300,MAX(1000,1250-25*(B49-2026)))))-$C$17)</f>
        <v/>
      </c>
      <c r="F49" s="92" t="str">
        <f aca="false">IF(OR(D49="",E49=""),"",IF(D49&gt;=E49,"Sí","No"))</f>
        <v/>
      </c>
    </row>
    <row r="50" customFormat="false" ht="15" hidden="false" customHeight="false" outlineLevel="0" collapsed="false">
      <c r="B50" s="64" t="n">
        <f aca="false">YEAR(Supuestos!$C$12)+7</f>
        <v>2033</v>
      </c>
      <c r="C50" s="64" t="str">
        <f aca="false">IF(Supuestos!$C$8="","",B50-YEAR(Supuestos!$C$8))</f>
        <v/>
      </c>
      <c r="D50" s="124" t="str">
        <f aca="false">IF(OR($C$7="",$C$8=""),"",$C$7+IFERROR(DATEDIF($C$8,DATE(B50,12,31),"m"),0)*$C$12/12*30/7)</f>
        <v/>
      </c>
      <c r="E50" s="124" t="str">
        <f aca="false">IF($C$6="","",IF($C$9="Hombre",IF($C$6="Fondo privado",1150,1300),IF($C$6="Fondo privado",IF(B50&lt;2026,1150,MAX(1000,1135-15*(B50-2026))),IF(B50&lt;2026,1300,MAX(1000,1250-25*(B50-2026)))))-$C$17)</f>
        <v/>
      </c>
      <c r="F50" s="92" t="str">
        <f aca="false">IF(OR(D50="",E50=""),"",IF(D50&gt;=E50,"Sí","No"))</f>
        <v/>
      </c>
    </row>
    <row r="51" customFormat="false" ht="15" hidden="false" customHeight="false" outlineLevel="0" collapsed="false">
      <c r="B51" s="64" t="n">
        <f aca="false">YEAR(Supuestos!$C$12)+8</f>
        <v>2034</v>
      </c>
      <c r="C51" s="64" t="str">
        <f aca="false">IF(Supuestos!$C$8="","",B51-YEAR(Supuestos!$C$8))</f>
        <v/>
      </c>
      <c r="D51" s="124" t="str">
        <f aca="false">IF(OR($C$7="",$C$8=""),"",$C$7+IFERROR(DATEDIF($C$8,DATE(B51,12,31),"m"),0)*$C$12/12*30/7)</f>
        <v/>
      </c>
      <c r="E51" s="124" t="str">
        <f aca="false">IF($C$6="","",IF($C$9="Hombre",IF($C$6="Fondo privado",1150,1300),IF($C$6="Fondo privado",IF(B51&lt;2026,1150,MAX(1000,1135-15*(B51-2026))),IF(B51&lt;2026,1300,MAX(1000,1250-25*(B51-2026)))))-$C$17)</f>
        <v/>
      </c>
      <c r="F51" s="92" t="str">
        <f aca="false">IF(OR(D51="",E51=""),"",IF(D51&gt;=E51,"Sí","No"))</f>
        <v/>
      </c>
    </row>
    <row r="52" customFormat="false" ht="15" hidden="false" customHeight="false" outlineLevel="0" collapsed="false">
      <c r="B52" s="64" t="n">
        <f aca="false">YEAR(Supuestos!$C$12)+9</f>
        <v>2035</v>
      </c>
      <c r="C52" s="64" t="str">
        <f aca="false">IF(Supuestos!$C$8="","",B52-YEAR(Supuestos!$C$8))</f>
        <v/>
      </c>
      <c r="D52" s="124" t="str">
        <f aca="false">IF(OR($C$7="",$C$8=""),"",$C$7+IFERROR(DATEDIF($C$8,DATE(B52,12,31),"m"),0)*$C$12/12*30/7)</f>
        <v/>
      </c>
      <c r="E52" s="124" t="str">
        <f aca="false">IF($C$6="","",IF($C$9="Hombre",IF($C$6="Fondo privado",1150,1300),IF($C$6="Fondo privado",IF(B52&lt;2026,1150,MAX(1000,1135-15*(B52-2026))),IF(B52&lt;2026,1300,MAX(1000,1250-25*(B52-2026)))))-$C$17)</f>
        <v/>
      </c>
      <c r="F52" s="92" t="str">
        <f aca="false">IF(OR(D52="",E52=""),"",IF(D52&gt;=E52,"Sí","No"))</f>
        <v/>
      </c>
    </row>
    <row r="53" customFormat="false" ht="15" hidden="false" customHeight="false" outlineLevel="0" collapsed="false">
      <c r="B53" s="64" t="n">
        <f aca="false">YEAR(Supuestos!$C$12)+10</f>
        <v>2036</v>
      </c>
      <c r="C53" s="64" t="str">
        <f aca="false">IF(Supuestos!$C$8="","",B53-YEAR(Supuestos!$C$8))</f>
        <v/>
      </c>
      <c r="D53" s="124" t="str">
        <f aca="false">IF(OR($C$7="",$C$8=""),"",$C$7+IFERROR(DATEDIF($C$8,DATE(B53,12,31),"m"),0)*$C$12/12*30/7)</f>
        <v/>
      </c>
      <c r="E53" s="124" t="str">
        <f aca="false">IF($C$6="","",IF($C$9="Hombre",IF($C$6="Fondo privado",1150,1300),IF($C$6="Fondo privado",IF(B53&lt;2026,1150,MAX(1000,1135-15*(B53-2026))),IF(B53&lt;2026,1300,MAX(1000,1250-25*(B53-2026)))))-$C$17)</f>
        <v/>
      </c>
      <c r="F53" s="92" t="str">
        <f aca="false">IF(OR(D53="",E53=""),"",IF(D53&gt;=E53,"Sí","No"))</f>
        <v/>
      </c>
    </row>
    <row r="54" customFormat="false" ht="15" hidden="false" customHeight="false" outlineLevel="0" collapsed="false">
      <c r="B54" s="64" t="n">
        <f aca="false">YEAR(Supuestos!$C$12)+11</f>
        <v>2037</v>
      </c>
      <c r="C54" s="64" t="str">
        <f aca="false">IF(Supuestos!$C$8="","",B54-YEAR(Supuestos!$C$8))</f>
        <v/>
      </c>
      <c r="D54" s="124" t="str">
        <f aca="false">IF(OR($C$7="",$C$8=""),"",$C$7+IFERROR(DATEDIF($C$8,DATE(B54,12,31),"m"),0)*$C$12/12*30/7)</f>
        <v/>
      </c>
      <c r="E54" s="124" t="str">
        <f aca="false">IF($C$6="","",IF($C$9="Hombre",IF($C$6="Fondo privado",1150,1300),IF($C$6="Fondo privado",IF(B54&lt;2026,1150,MAX(1000,1135-15*(B54-2026))),IF(B54&lt;2026,1300,MAX(1000,1250-25*(B54-2026)))))-$C$17)</f>
        <v/>
      </c>
      <c r="F54" s="92" t="str">
        <f aca="false">IF(OR(D54="",E54=""),"",IF(D54&gt;=E54,"Sí","No"))</f>
        <v/>
      </c>
    </row>
    <row r="56" customFormat="false" ht="15" hidden="false" customHeight="false" outlineLevel="0" collapsed="false">
      <c r="B56" s="9" t="s">
        <v>667</v>
      </c>
      <c r="C56" s="10"/>
      <c r="D56" s="10"/>
      <c r="E56" s="10"/>
    </row>
    <row r="57" customFormat="false" ht="30" hidden="false" customHeight="true" outlineLevel="0" collapsed="false">
      <c r="B57" s="11" t="s">
        <v>44</v>
      </c>
      <c r="C57" s="12" t="s">
        <v>668</v>
      </c>
      <c r="D57" s="12" t="s">
        <v>669</v>
      </c>
      <c r="E57" s="12" t="s">
        <v>670</v>
      </c>
    </row>
    <row r="58" customFormat="false" ht="15" hidden="false" customHeight="false" outlineLevel="0" collapsed="false">
      <c r="B58" s="17" t="s">
        <v>671</v>
      </c>
      <c r="C58" s="122" t="n">
        <f aca="false">MAX(1,N($C$13)-1)</f>
        <v>1</v>
      </c>
      <c r="D58" s="122" t="n">
        <f aca="false">MAX(1,N($C$13)-0.5)</f>
        <v>1</v>
      </c>
      <c r="E58" s="122" t="n">
        <f aca="false">MAX(1,N($C$13))</f>
        <v>1</v>
      </c>
    </row>
    <row r="59" customFormat="false" ht="15" hidden="false" customHeight="false" outlineLevel="0" collapsed="false">
      <c r="B59" s="17" t="s">
        <v>672</v>
      </c>
      <c r="C59" s="58" t="n">
        <f aca="false">C58*Supuestos!$C$18</f>
        <v>1750905</v>
      </c>
      <c r="D59" s="58" t="n">
        <f aca="false">D58*Supuestos!$C$18</f>
        <v>1750905</v>
      </c>
      <c r="E59" s="58" t="n">
        <f aca="false">E58*Supuestos!$C$18</f>
        <v>1750905</v>
      </c>
    </row>
    <row r="60" customFormat="false" ht="15" hidden="false" customHeight="false" outlineLevel="0" collapsed="false">
      <c r="B60" s="17" t="s">
        <v>673</v>
      </c>
      <c r="C60" s="59" t="n">
        <f aca="false">MAX(0.55,MIN(0.65,(65.5-0.5*C58)/100))</f>
        <v>0.65</v>
      </c>
      <c r="D60" s="59" t="n">
        <f aca="false">MAX(0.55,MIN(0.65,(65.5-0.5*D58)/100))</f>
        <v>0.65</v>
      </c>
      <c r="E60" s="59" t="n">
        <f aca="false">MAX(0.55,MIN(0.65,(65.5-0.5*E58)/100))</f>
        <v>0.65</v>
      </c>
    </row>
    <row r="61" customFormat="false" ht="15" hidden="false" customHeight="false" outlineLevel="0" collapsed="false">
      <c r="B61" s="17" t="s">
        <v>674</v>
      </c>
      <c r="C61" s="58" t="n">
        <f aca="false">MAX(Supuestos!$C$18,C59*C60)</f>
        <v>1750905</v>
      </c>
      <c r="D61" s="58" t="n">
        <f aca="false">MAX(Supuestos!$C$18,D59*D60)</f>
        <v>1750905</v>
      </c>
      <c r="E61" s="58" t="n">
        <f aca="false">MAX(Supuestos!$C$18,E59*E60)</f>
        <v>1750905</v>
      </c>
    </row>
    <row r="62" customFormat="false" ht="15" hidden="false" customHeight="false" outlineLevel="0" collapsed="false">
      <c r="B62" s="17" t="s">
        <v>675</v>
      </c>
      <c r="C62" s="58" t="n">
        <f aca="false">C61*$C$64</f>
        <v>210108.6</v>
      </c>
      <c r="D62" s="58" t="n">
        <f aca="false">D61*$C$64</f>
        <v>210108.6</v>
      </c>
      <c r="E62" s="58" t="n">
        <f aca="false">E61*$C$64</f>
        <v>210108.6</v>
      </c>
    </row>
    <row r="63" customFormat="false" ht="15" hidden="false" customHeight="false" outlineLevel="0" collapsed="false">
      <c r="B63" s="68" t="s">
        <v>676</v>
      </c>
      <c r="C63" s="69" t="n">
        <f aca="false">C61-C62</f>
        <v>1540796.4</v>
      </c>
      <c r="D63" s="69" t="n">
        <f aca="false">D61-D62</f>
        <v>1540796.4</v>
      </c>
      <c r="E63" s="69" t="n">
        <f aca="false">E61-E62</f>
        <v>1540796.4</v>
      </c>
    </row>
    <row r="64" customFormat="false" ht="15" hidden="false" customHeight="false" outlineLevel="0" collapsed="false">
      <c r="B64" s="17" t="s">
        <v>677</v>
      </c>
      <c r="C64" s="55" t="n">
        <v>0.12</v>
      </c>
      <c r="D64" s="23" t="s">
        <v>678</v>
      </c>
    </row>
    <row r="66" customFormat="false" ht="15" hidden="false" customHeight="false" outlineLevel="0" collapsed="false">
      <c r="B66" s="9" t="s">
        <v>679</v>
      </c>
      <c r="C66" s="10"/>
      <c r="D66" s="10"/>
      <c r="E66" s="10"/>
    </row>
    <row r="67" customFormat="false" ht="30" hidden="false" customHeight="true" outlineLevel="0" collapsed="false">
      <c r="B67" s="11" t="s">
        <v>44</v>
      </c>
      <c r="C67" s="12" t="s">
        <v>668</v>
      </c>
      <c r="D67" s="12" t="s">
        <v>669</v>
      </c>
      <c r="E67" s="12" t="s">
        <v>670</v>
      </c>
    </row>
    <row r="68" customFormat="false" ht="15" hidden="false" customHeight="false" outlineLevel="0" collapsed="false">
      <c r="B68" s="17" t="s">
        <v>676</v>
      </c>
      <c r="C68" s="58" t="n">
        <f aca="false">C63</f>
        <v>1540796.4</v>
      </c>
      <c r="D68" s="58" t="n">
        <f aca="false">D63</f>
        <v>1540796.4</v>
      </c>
      <c r="E68" s="58" t="n">
        <f aca="false">E63</f>
        <v>1540796.4</v>
      </c>
    </row>
    <row r="69" customFormat="false" ht="15" hidden="false" customHeight="false" outlineLevel="0" collapsed="false">
      <c r="B69" s="17" t="s">
        <v>680</v>
      </c>
      <c r="C69" s="58" t="n">
        <f aca="false">Ingresos!$U$21+Ingresos!$U$23</f>
        <v>0</v>
      </c>
      <c r="D69" s="58" t="n">
        <f aca="false">Ingresos!$U$21+Ingresos!$U$23</f>
        <v>0</v>
      </c>
      <c r="E69" s="58" t="n">
        <f aca="false">Ingresos!$U$21+Ingresos!$U$23</f>
        <v>0</v>
      </c>
    </row>
    <row r="70" customFormat="false" ht="15" hidden="false" customHeight="false" outlineLevel="0" collapsed="false">
      <c r="B70" s="17" t="s">
        <v>681</v>
      </c>
      <c r="C70" s="58" t="n">
        <f aca="false">Presupuesto!$I$89-Presupuesto!$I$92</f>
        <v>0</v>
      </c>
      <c r="D70" s="58" t="n">
        <f aca="false">Presupuesto!$I$89-Presupuesto!$I$92</f>
        <v>0</v>
      </c>
      <c r="E70" s="58" t="n">
        <f aca="false">Presupuesto!$I$89-Presupuesto!$I$92</f>
        <v>0</v>
      </c>
    </row>
    <row r="71" customFormat="false" ht="15" hidden="false" customHeight="false" outlineLevel="0" collapsed="false">
      <c r="B71" s="17" t="s">
        <v>343</v>
      </c>
      <c r="C71" s="58" t="n">
        <f aca="false">Presupuesto!$I$94</f>
        <v>0</v>
      </c>
      <c r="D71" s="58" t="n">
        <f aca="false">Presupuesto!$I$94</f>
        <v>0</v>
      </c>
      <c r="E71" s="58" t="n">
        <f aca="false">Presupuesto!$I$94</f>
        <v>0</v>
      </c>
    </row>
    <row r="72" customFormat="false" ht="15" hidden="false" customHeight="false" outlineLevel="0" collapsed="false">
      <c r="B72" s="68" t="s">
        <v>682</v>
      </c>
      <c r="C72" s="69" t="n">
        <f aca="false">C68+C69-C70-C71</f>
        <v>1540796.4</v>
      </c>
      <c r="D72" s="69" t="n">
        <f aca="false">D68+D69-D70-D71</f>
        <v>1540796.4</v>
      </c>
      <c r="E72" s="69" t="n">
        <f aca="false">E68+E69-E70-E71</f>
        <v>1540796.4</v>
      </c>
    </row>
    <row r="73" customFormat="false" ht="15" hidden="false" customHeight="false" outlineLevel="0" collapsed="false">
      <c r="B73" s="17" t="s">
        <v>683</v>
      </c>
      <c r="C73" s="58" t="n">
        <f aca="false">Ingresos!$U$20</f>
        <v>0</v>
      </c>
      <c r="D73" s="58" t="n">
        <f aca="false">Ingresos!$U$20</f>
        <v>0</v>
      </c>
      <c r="E73" s="58" t="n">
        <f aca="false">Ingresos!$U$20</f>
        <v>0</v>
      </c>
    </row>
    <row r="74" customFormat="false" ht="15" hidden="false" customHeight="false" outlineLevel="0" collapsed="false">
      <c r="B74" s="17" t="s">
        <v>684</v>
      </c>
      <c r="C74" s="58" t="n">
        <f aca="false">$C$14*$C$75*$C$12/12</f>
        <v>0</v>
      </c>
      <c r="D74" s="58" t="n">
        <f aca="false">$C$14*$C$75*$C$12/12</f>
        <v>0</v>
      </c>
      <c r="E74" s="58" t="n">
        <f aca="false">$C$14*$C$75*$C$12/12</f>
        <v>0</v>
      </c>
    </row>
    <row r="75" customFormat="false" ht="15" hidden="false" customHeight="false" outlineLevel="0" collapsed="false">
      <c r="B75" s="17" t="s">
        <v>685</v>
      </c>
      <c r="C75" s="125" t="n">
        <v>0.13022</v>
      </c>
      <c r="D75" s="23" t="s">
        <v>686</v>
      </c>
    </row>
    <row r="76" customFormat="false" ht="15" hidden="false" customHeight="false" outlineLevel="0" collapsed="false">
      <c r="B76" s="68" t="s">
        <v>687</v>
      </c>
      <c r="C76" s="69" t="n">
        <f aca="false">C68+C69+C73-C70-C71-C74</f>
        <v>1540796.4</v>
      </c>
      <c r="D76" s="69" t="n">
        <f aca="false">D68+D69+D73-D70-D71-D74</f>
        <v>1540796.4</v>
      </c>
      <c r="E76" s="69" t="n">
        <f aca="false">E68+E69+E73-E70-E71-E74</f>
        <v>1540796.4</v>
      </c>
    </row>
    <row r="77" customFormat="false" ht="15" hidden="false" customHeight="false" outlineLevel="0" collapsed="false">
      <c r="B77" s="17" t="s">
        <v>688</v>
      </c>
      <c r="C77" s="58" t="n">
        <f aca="false">'Flujo anual'!$Q$22/12</f>
        <v>0</v>
      </c>
      <c r="D77" s="58" t="n">
        <f aca="false">'Flujo anual'!$Q$22/12</f>
        <v>0</v>
      </c>
      <c r="E77" s="58" t="n">
        <f aca="false">'Flujo anual'!$Q$22/12</f>
        <v>0</v>
      </c>
    </row>
    <row r="78" customFormat="false" ht="15" hidden="false" customHeight="false" outlineLevel="0" collapsed="false">
      <c r="B78" s="24" t="s">
        <v>689</v>
      </c>
      <c r="C78" s="68" t="str">
        <f aca="false">IF(C6="","",IF(C6="Fondo privado","Revisar con el fondo",IF(D72&lt;0,"Sí","No")))</f>
        <v/>
      </c>
    </row>
    <row r="80" customFormat="false" ht="15" hidden="false" customHeight="false" outlineLevel="0" collapsed="false">
      <c r="B80" s="23" t="s">
        <v>690</v>
      </c>
    </row>
    <row r="81" customFormat="false" ht="15" hidden="false" customHeight="false" outlineLevel="0" collapsed="false">
      <c r="B81" s="23" t="s">
        <v>691</v>
      </c>
    </row>
  </sheetData>
  <dataValidations count="2">
    <dataValidation allowBlank="true" error="Elige un valor de la lista." errorStyle="stop" errorTitle="Valor no válido" operator="between" showDropDown="false" showErrorMessage="true" showInputMessage="false" sqref="C6" type="list">
      <formula1>Listas!$K$2:$K$3</formula1>
      <formula2>0</formula2>
    </dataValidation>
    <dataValidation allowBlank="true" error="Elige un valor de la lista." errorStyle="stop" errorTitle="Valor no válido" operator="between" showDropDown="false" showErrorMessage="true" showInputMessage="false" sqref="C16" type="list">
      <formula1>Listas!$B$2:$B$3</formula1>
      <formula2>0</formula2>
    </dataValidation>
  </dataValidations>
  <printOptions headings="false" gridLines="false" gridLinesSet="true" horizontalCentered="true" verticalCentered="false"/>
  <pageMargins left="0.4" right="0.4"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8A04A"/>
    <pageSetUpPr fitToPage="true"/>
  </sheetPr>
  <dimension ref="B1:H40"/>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40"/>
    <col collapsed="false" customWidth="true" hidden="false" outlineLevel="0" max="3" min="3" style="1" width="16"/>
    <col collapsed="false" customWidth="true" hidden="false" outlineLevel="0" max="4" min="4" style="1" width="10"/>
    <col collapsed="false" customWidth="true" hidden="false" outlineLevel="0" max="6" min="5" style="1" width="17"/>
    <col collapsed="false" customWidth="true" hidden="false" outlineLevel="0" max="7" min="7" style="1" width="12"/>
    <col collapsed="false" customWidth="true" hidden="false" outlineLevel="0" max="8" min="8" style="1" width="36"/>
  </cols>
  <sheetData>
    <row r="1" customFormat="false" ht="24" hidden="false" customHeight="true" outlineLevel="0" collapsed="false">
      <c r="B1" s="27" t="s">
        <v>19</v>
      </c>
    </row>
    <row r="2" customFormat="false" ht="15" hidden="false" customHeight="false" outlineLevel="0" collapsed="false">
      <c r="B2" s="28" t="s">
        <v>692</v>
      </c>
      <c r="C2" s="29"/>
      <c r="D2" s="29"/>
      <c r="E2" s="29"/>
      <c r="F2" s="29"/>
      <c r="G2" s="29"/>
      <c r="H2" s="29"/>
    </row>
    <row r="5" customFormat="false" ht="30" hidden="false" customHeight="true" outlineLevel="0" collapsed="false">
      <c r="B5" s="11" t="s">
        <v>693</v>
      </c>
      <c r="C5" s="12" t="s">
        <v>200</v>
      </c>
      <c r="D5" s="12" t="s">
        <v>201</v>
      </c>
      <c r="E5" s="12" t="s">
        <v>694</v>
      </c>
      <c r="F5" s="12" t="s">
        <v>565</v>
      </c>
      <c r="G5" s="12" t="s">
        <v>695</v>
      </c>
      <c r="H5" s="12" t="s">
        <v>130</v>
      </c>
    </row>
    <row r="6" customFormat="false" ht="15" hidden="false" customHeight="false" outlineLevel="0" collapsed="false">
      <c r="B6" s="19" t="s">
        <v>696</v>
      </c>
      <c r="C6" s="19" t="s">
        <v>21</v>
      </c>
      <c r="D6" s="19" t="s">
        <v>219</v>
      </c>
      <c r="E6" s="19"/>
      <c r="F6" s="88" t="n">
        <f aca="false">Inversión!$F$12</f>
        <v>0</v>
      </c>
      <c r="G6" s="19"/>
      <c r="H6" s="23" t="s">
        <v>697</v>
      </c>
    </row>
    <row r="7" customFormat="false" ht="15" hidden="false" customHeight="false" outlineLevel="0" collapsed="false">
      <c r="B7" s="19" t="s">
        <v>698</v>
      </c>
      <c r="C7" s="19" t="s">
        <v>699</v>
      </c>
      <c r="D7" s="19" t="s">
        <v>219</v>
      </c>
      <c r="E7" s="19"/>
      <c r="F7" s="88" t="n">
        <f aca="false">Supuestos!$I$49</f>
        <v>0</v>
      </c>
      <c r="G7" s="19"/>
      <c r="H7" s="23" t="s">
        <v>697</v>
      </c>
    </row>
    <row r="8" customFormat="false" ht="15" hidden="false" customHeight="false" outlineLevel="0" collapsed="false">
      <c r="B8" s="61"/>
      <c r="C8" s="61"/>
      <c r="D8" s="70" t="s">
        <v>219</v>
      </c>
      <c r="E8" s="71"/>
      <c r="F8" s="45" t="n">
        <f aca="false">IF(N(E8)=0,0,IF(D8="USD",E8*N(Supuestos!$C$17),E8))</f>
        <v>0</v>
      </c>
      <c r="G8" s="70"/>
      <c r="H8" s="61"/>
    </row>
    <row r="9" customFormat="false" ht="15" hidden="false" customHeight="false" outlineLevel="0" collapsed="false">
      <c r="B9" s="61"/>
      <c r="C9" s="61"/>
      <c r="D9" s="70" t="s">
        <v>219</v>
      </c>
      <c r="E9" s="71"/>
      <c r="F9" s="45" t="n">
        <f aca="false">IF(N(E9)=0,0,IF(D9="USD",E9*N(Supuestos!$C$17),E9))</f>
        <v>0</v>
      </c>
      <c r="G9" s="70"/>
      <c r="H9" s="61"/>
    </row>
    <row r="10" customFormat="false" ht="15" hidden="false" customHeight="false" outlineLevel="0" collapsed="false">
      <c r="B10" s="61"/>
      <c r="C10" s="61"/>
      <c r="D10" s="70" t="s">
        <v>219</v>
      </c>
      <c r="E10" s="71"/>
      <c r="F10" s="45" t="n">
        <f aca="false">IF(N(E10)=0,0,IF(D10="USD",E10*N(Supuestos!$C$17),E10))</f>
        <v>0</v>
      </c>
      <c r="G10" s="70"/>
      <c r="H10" s="61"/>
    </row>
    <row r="11" customFormat="false" ht="15" hidden="false" customHeight="false" outlineLevel="0" collapsed="false">
      <c r="B11" s="61"/>
      <c r="C11" s="61"/>
      <c r="D11" s="70" t="s">
        <v>219</v>
      </c>
      <c r="E11" s="71"/>
      <c r="F11" s="45" t="n">
        <f aca="false">IF(N(E11)=0,0,IF(D11="USD",E11*N(Supuestos!$C$17),E11))</f>
        <v>0</v>
      </c>
      <c r="G11" s="70"/>
      <c r="H11" s="61"/>
    </row>
    <row r="12" customFormat="false" ht="15" hidden="false" customHeight="false" outlineLevel="0" collapsed="false">
      <c r="B12" s="61"/>
      <c r="C12" s="61"/>
      <c r="D12" s="70" t="s">
        <v>219</v>
      </c>
      <c r="E12" s="71"/>
      <c r="F12" s="45" t="n">
        <f aca="false">IF(N(E12)=0,0,IF(D12="USD",E12*N(Supuestos!$C$17),E12))</f>
        <v>0</v>
      </c>
      <c r="G12" s="70"/>
      <c r="H12" s="61"/>
    </row>
    <row r="13" customFormat="false" ht="15" hidden="false" customHeight="false" outlineLevel="0" collapsed="false">
      <c r="B13" s="61"/>
      <c r="C13" s="61"/>
      <c r="D13" s="70" t="s">
        <v>219</v>
      </c>
      <c r="E13" s="71"/>
      <c r="F13" s="45" t="n">
        <f aca="false">IF(N(E13)=0,0,IF(D13="USD",E13*N(Supuestos!$C$17),E13))</f>
        <v>0</v>
      </c>
      <c r="G13" s="70"/>
      <c r="H13" s="61"/>
    </row>
    <row r="14" customFormat="false" ht="15" hidden="false" customHeight="false" outlineLevel="0" collapsed="false">
      <c r="B14" s="61"/>
      <c r="C14" s="61"/>
      <c r="D14" s="70" t="s">
        <v>219</v>
      </c>
      <c r="E14" s="71"/>
      <c r="F14" s="45" t="n">
        <f aca="false">IF(N(E14)=0,0,IF(D14="USD",E14*N(Supuestos!$C$17),E14))</f>
        <v>0</v>
      </c>
      <c r="G14" s="70"/>
      <c r="H14" s="61"/>
    </row>
    <row r="15" customFormat="false" ht="15" hidden="false" customHeight="false" outlineLevel="0" collapsed="false">
      <c r="B15" s="61"/>
      <c r="C15" s="61"/>
      <c r="D15" s="70" t="s">
        <v>219</v>
      </c>
      <c r="E15" s="71"/>
      <c r="F15" s="45" t="n">
        <f aca="false">IF(N(E15)=0,0,IF(D15="USD",E15*N(Supuestos!$C$17),E15))</f>
        <v>0</v>
      </c>
      <c r="G15" s="70"/>
      <c r="H15" s="61"/>
    </row>
    <row r="16" customFormat="false" ht="15" hidden="false" customHeight="false" outlineLevel="0" collapsed="false">
      <c r="B16" s="61"/>
      <c r="C16" s="61"/>
      <c r="D16" s="70" t="s">
        <v>219</v>
      </c>
      <c r="E16" s="71"/>
      <c r="F16" s="45" t="n">
        <f aca="false">IF(N(E16)=0,0,IF(D16="USD",E16*N(Supuestos!$C$17),E16))</f>
        <v>0</v>
      </c>
      <c r="G16" s="70"/>
      <c r="H16" s="61"/>
    </row>
    <row r="17" customFormat="false" ht="15" hidden="false" customHeight="false" outlineLevel="0" collapsed="false">
      <c r="B17" s="61"/>
      <c r="C17" s="61"/>
      <c r="D17" s="70" t="s">
        <v>219</v>
      </c>
      <c r="E17" s="71"/>
      <c r="F17" s="45" t="n">
        <f aca="false">IF(N(E17)=0,0,IF(D17="USD",E17*N(Supuestos!$C$17),E17))</f>
        <v>0</v>
      </c>
      <c r="G17" s="70"/>
      <c r="H17" s="61"/>
    </row>
    <row r="18" customFormat="false" ht="15" hidden="false" customHeight="false" outlineLevel="0" collapsed="false">
      <c r="B18" s="61"/>
      <c r="C18" s="61"/>
      <c r="D18" s="70" t="s">
        <v>219</v>
      </c>
      <c r="E18" s="71"/>
      <c r="F18" s="45" t="n">
        <f aca="false">IF(N(E18)=0,0,IF(D18="USD",E18*N(Supuestos!$C$17),E18))</f>
        <v>0</v>
      </c>
      <c r="G18" s="70"/>
      <c r="H18" s="61"/>
    </row>
    <row r="19" customFormat="false" ht="15" hidden="false" customHeight="false" outlineLevel="0" collapsed="false">
      <c r="B19" s="61"/>
      <c r="C19" s="61"/>
      <c r="D19" s="70" t="s">
        <v>219</v>
      </c>
      <c r="E19" s="71"/>
      <c r="F19" s="45" t="n">
        <f aca="false">IF(N(E19)=0,0,IF(D19="USD",E19*N(Supuestos!$C$17),E19))</f>
        <v>0</v>
      </c>
      <c r="G19" s="70"/>
      <c r="H19" s="61"/>
    </row>
    <row r="20" customFormat="false" ht="15" hidden="false" customHeight="false" outlineLevel="0" collapsed="false">
      <c r="B20" s="61"/>
      <c r="C20" s="61"/>
      <c r="D20" s="70" t="s">
        <v>219</v>
      </c>
      <c r="E20" s="71"/>
      <c r="F20" s="45" t="n">
        <f aca="false">IF(N(E20)=0,0,IF(D20="USD",E20*N(Supuestos!$C$17),E20))</f>
        <v>0</v>
      </c>
      <c r="G20" s="70"/>
      <c r="H20" s="61"/>
    </row>
    <row r="21" customFormat="false" ht="15" hidden="false" customHeight="false" outlineLevel="0" collapsed="false">
      <c r="B21" s="61"/>
      <c r="C21" s="61"/>
      <c r="D21" s="70" t="s">
        <v>219</v>
      </c>
      <c r="E21" s="71"/>
      <c r="F21" s="45" t="n">
        <f aca="false">IF(N(E21)=0,0,IF(D21="USD",E21*N(Supuestos!$C$17),E21))</f>
        <v>0</v>
      </c>
      <c r="G21" s="70"/>
      <c r="H21" s="61"/>
    </row>
    <row r="22" customFormat="false" ht="15" hidden="false" customHeight="false" outlineLevel="0" collapsed="false">
      <c r="B22" s="61"/>
      <c r="C22" s="61"/>
      <c r="D22" s="70" t="s">
        <v>219</v>
      </c>
      <c r="E22" s="71"/>
      <c r="F22" s="45" t="n">
        <f aca="false">IF(N(E22)=0,0,IF(D22="USD",E22*N(Supuestos!$C$17),E22))</f>
        <v>0</v>
      </c>
      <c r="G22" s="70"/>
      <c r="H22" s="61"/>
    </row>
    <row r="23" customFormat="false" ht="15" hidden="false" customHeight="false" outlineLevel="0" collapsed="false">
      <c r="B23" s="61"/>
      <c r="C23" s="61"/>
      <c r="D23" s="70" t="s">
        <v>219</v>
      </c>
      <c r="E23" s="71"/>
      <c r="F23" s="45" t="n">
        <f aca="false">IF(N(E23)=0,0,IF(D23="USD",E23*N(Supuestos!$C$17),E23))</f>
        <v>0</v>
      </c>
      <c r="G23" s="70"/>
      <c r="H23" s="61"/>
    </row>
    <row r="24" customFormat="false" ht="15" hidden="false" customHeight="false" outlineLevel="0" collapsed="false">
      <c r="B24" s="61"/>
      <c r="C24" s="61"/>
      <c r="D24" s="70" t="s">
        <v>219</v>
      </c>
      <c r="E24" s="71"/>
      <c r="F24" s="45" t="n">
        <f aca="false">IF(N(E24)=0,0,IF(D24="USD",E24*N(Supuestos!$C$17),E24))</f>
        <v>0</v>
      </c>
      <c r="G24" s="70"/>
      <c r="H24" s="61"/>
    </row>
    <row r="25" customFormat="false" ht="15" hidden="false" customHeight="false" outlineLevel="0" collapsed="false">
      <c r="B25" s="61"/>
      <c r="C25" s="61"/>
      <c r="D25" s="70" t="s">
        <v>219</v>
      </c>
      <c r="E25" s="71"/>
      <c r="F25" s="45" t="n">
        <f aca="false">IF(N(E25)=0,0,IF(D25="USD",E25*N(Supuestos!$C$17),E25))</f>
        <v>0</v>
      </c>
      <c r="G25" s="70"/>
      <c r="H25" s="61"/>
    </row>
    <row r="26" customFormat="false" ht="15" hidden="false" customHeight="false" outlineLevel="0" collapsed="false">
      <c r="B26" s="61"/>
      <c r="C26" s="61"/>
      <c r="D26" s="70" t="s">
        <v>219</v>
      </c>
      <c r="E26" s="71"/>
      <c r="F26" s="45" t="n">
        <f aca="false">IF(N(E26)=0,0,IF(D26="USD",E26*N(Supuestos!$C$17),E26))</f>
        <v>0</v>
      </c>
      <c r="G26" s="70"/>
      <c r="H26" s="61"/>
    </row>
    <row r="27" customFormat="false" ht="15" hidden="false" customHeight="false" outlineLevel="0" collapsed="false">
      <c r="B27" s="61"/>
      <c r="C27" s="61"/>
      <c r="D27" s="70" t="s">
        <v>219</v>
      </c>
      <c r="E27" s="71"/>
      <c r="F27" s="45" t="n">
        <f aca="false">IF(N(E27)=0,0,IF(D27="USD",E27*N(Supuestos!$C$17),E27))</f>
        <v>0</v>
      </c>
      <c r="G27" s="70"/>
      <c r="H27" s="61"/>
    </row>
    <row r="28" customFormat="false" ht="15" hidden="false" customHeight="false" outlineLevel="0" collapsed="false">
      <c r="B28" s="68" t="s">
        <v>700</v>
      </c>
      <c r="C28" s="68"/>
      <c r="D28" s="68"/>
      <c r="E28" s="68"/>
      <c r="F28" s="69" t="n">
        <f aca="false">SUM(F6:F27)</f>
        <v>0</v>
      </c>
      <c r="G28" s="68"/>
      <c r="H28" s="68"/>
    </row>
    <row r="29" customFormat="false" ht="15" hidden="false" customHeight="false" outlineLevel="0" collapsed="false">
      <c r="B29" s="17" t="s">
        <v>701</v>
      </c>
      <c r="F29" s="88" t="n">
        <f aca="false">Deudas!$D$21</f>
        <v>0</v>
      </c>
    </row>
    <row r="30" customFormat="false" ht="15" hidden="false" customHeight="false" outlineLevel="0" collapsed="false">
      <c r="B30" s="68" t="s">
        <v>116</v>
      </c>
      <c r="C30" s="68"/>
      <c r="D30" s="68"/>
      <c r="E30" s="68"/>
      <c r="F30" s="69" t="n">
        <f aca="false">F28-F29</f>
        <v>0</v>
      </c>
      <c r="G30" s="68"/>
      <c r="H30" s="68"/>
    </row>
    <row r="32" customFormat="false" ht="30" hidden="false" customHeight="true" outlineLevel="0" collapsed="false">
      <c r="B32" s="11" t="s">
        <v>702</v>
      </c>
      <c r="C32" s="12" t="s">
        <v>75</v>
      </c>
      <c r="D32" s="12" t="s">
        <v>703</v>
      </c>
    </row>
    <row r="33" customFormat="false" ht="15" hidden="false" customHeight="false" outlineLevel="0" collapsed="false">
      <c r="B33" s="15" t="s">
        <v>704</v>
      </c>
      <c r="C33" s="45" t="n">
        <f aca="false">SUMIFS($F$6:$F$27,$C$6:$C$27,B33)</f>
        <v>0</v>
      </c>
      <c r="D33" s="119" t="n">
        <f aca="false">IF($F$28=0,0,C33/$F$28)</f>
        <v>0</v>
      </c>
    </row>
    <row r="34" customFormat="false" ht="15" hidden="false" customHeight="false" outlineLevel="0" collapsed="false">
      <c r="B34" s="15" t="s">
        <v>21</v>
      </c>
      <c r="C34" s="45" t="n">
        <f aca="false">SUMIFS($F$6:$F$27,$C$6:$C$27,B34)</f>
        <v>0</v>
      </c>
      <c r="D34" s="119" t="n">
        <f aca="false">IF($F$28=0,0,C34/$F$28)</f>
        <v>0</v>
      </c>
    </row>
    <row r="35" customFormat="false" ht="15" hidden="false" customHeight="false" outlineLevel="0" collapsed="false">
      <c r="B35" s="15" t="s">
        <v>705</v>
      </c>
      <c r="C35" s="45" t="n">
        <f aca="false">SUMIFS($F$6:$F$27,$C$6:$C$27,B35)</f>
        <v>0</v>
      </c>
      <c r="D35" s="119" t="n">
        <f aca="false">IF($F$28=0,0,C35/$F$28)</f>
        <v>0</v>
      </c>
    </row>
    <row r="36" customFormat="false" ht="15" hidden="false" customHeight="false" outlineLevel="0" collapsed="false">
      <c r="B36" s="15" t="s">
        <v>285</v>
      </c>
      <c r="C36" s="45" t="n">
        <f aca="false">SUMIFS($F$6:$F$27,$C$6:$C$27,B36)</f>
        <v>0</v>
      </c>
      <c r="D36" s="119" t="n">
        <f aca="false">IF($F$28=0,0,C36/$F$28)</f>
        <v>0</v>
      </c>
    </row>
    <row r="37" customFormat="false" ht="15" hidden="false" customHeight="false" outlineLevel="0" collapsed="false">
      <c r="B37" s="15" t="s">
        <v>699</v>
      </c>
      <c r="C37" s="45" t="n">
        <f aca="false">SUMIFS($F$6:$F$27,$C$6:$C$27,B37)</f>
        <v>0</v>
      </c>
      <c r="D37" s="119" t="n">
        <f aca="false">IF($F$28=0,0,C37/$F$28)</f>
        <v>0</v>
      </c>
    </row>
    <row r="38" customFormat="false" ht="15" hidden="false" customHeight="false" outlineLevel="0" collapsed="false">
      <c r="B38" s="15" t="s">
        <v>228</v>
      </c>
      <c r="C38" s="45" t="n">
        <f aca="false">SUMIFS($F$6:$F$27,$C$6:$C$27,B38)</f>
        <v>0</v>
      </c>
      <c r="D38" s="119" t="n">
        <f aca="false">IF($F$28=0,0,C38/$F$28)</f>
        <v>0</v>
      </c>
    </row>
    <row r="39" customFormat="false" ht="15" hidden="false" customHeight="false" outlineLevel="0" collapsed="false">
      <c r="B39" s="68" t="s">
        <v>117</v>
      </c>
      <c r="C39" s="117" t="n">
        <f aca="false">IF(F28=0,0,(C35+C36)/F28)</f>
        <v>0</v>
      </c>
      <c r="D39" s="68"/>
    </row>
    <row r="40" customFormat="false" ht="15" hidden="false" customHeight="false" outlineLevel="0" collapsed="false">
      <c r="B40" s="23" t="s">
        <v>706</v>
      </c>
    </row>
  </sheetData>
  <dataValidations count="3">
    <dataValidation allowBlank="true" error="Elige un valor de la lista." errorStyle="stop" errorTitle="Valor no válido" operator="between" showDropDown="false" showErrorMessage="true" showInputMessage="false" sqref="C8:C27" type="list">
      <formula1>Listas!$L$2:$L$7</formula1>
      <formula2>0</formula2>
    </dataValidation>
    <dataValidation allowBlank="true" error="Elige un valor de la lista." errorStyle="stop" errorTitle="Valor no válido" operator="between" showDropDown="false" showErrorMessage="true" showInputMessage="false" sqref="D8:D27" type="list">
      <formula1>Listas!$M$2:$M$3</formula1>
      <formula2>0</formula2>
    </dataValidation>
    <dataValidation allowBlank="true" error="Elige un valor de la lista." errorStyle="stop" errorTitle="Valor no válido" operator="between" showDropDown="false" showErrorMessage="true" showInputMessage="false" sqref="G8:G27" type="list">
      <formula1>Listas!$B$2:$B$3</formula1>
      <formula2>0</formula2>
    </dataValidation>
  </dataValidations>
  <printOptions headings="false" gridLines="false" gridLinesSet="true" horizontalCentered="true" verticalCentered="false"/>
  <pageMargins left="0.4" right="0.4"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8A04A"/>
    <pageSetUpPr fitToPage="true"/>
  </sheetPr>
  <dimension ref="B1:S26"/>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4"/>
    <col collapsed="false" customWidth="true" hidden="false" outlineLevel="0" max="3" min="3" style="1" width="15"/>
    <col collapsed="false" customWidth="true" hidden="false" outlineLevel="0" max="15" min="4" style="1" width="11"/>
    <col collapsed="false" customWidth="true" hidden="false" outlineLevel="0" max="17" min="16" style="1" width="14"/>
    <col collapsed="false" customWidth="true" hidden="false" outlineLevel="0" max="18" min="18" style="1" width="11"/>
    <col collapsed="false" customWidth="true" hidden="false" outlineLevel="0" max="19" min="19" style="1" width="10"/>
  </cols>
  <sheetData>
    <row r="1" customFormat="false" ht="24" hidden="false" customHeight="true" outlineLevel="0" collapsed="false">
      <c r="B1" s="27" t="s">
        <v>707</v>
      </c>
    </row>
    <row r="2" customFormat="false" ht="15" hidden="false" customHeight="false" outlineLevel="0" collapsed="false">
      <c r="B2" s="28" t="s">
        <v>708</v>
      </c>
      <c r="C2" s="29"/>
      <c r="D2" s="29"/>
      <c r="E2" s="29"/>
      <c r="F2" s="29"/>
      <c r="G2" s="29"/>
      <c r="H2" s="29"/>
      <c r="I2" s="29"/>
      <c r="J2" s="29"/>
      <c r="K2" s="29"/>
      <c r="L2" s="29"/>
      <c r="M2" s="29"/>
      <c r="N2" s="29"/>
      <c r="O2" s="29"/>
      <c r="P2" s="29"/>
      <c r="Q2" s="29"/>
      <c r="R2" s="29"/>
      <c r="S2" s="29"/>
    </row>
    <row r="5" customFormat="false" ht="30" hidden="false" customHeight="true" outlineLevel="0" collapsed="false">
      <c r="B5" s="11" t="s">
        <v>43</v>
      </c>
      <c r="C5" s="12" t="s">
        <v>709</v>
      </c>
      <c r="D5" s="12" t="s">
        <v>204</v>
      </c>
      <c r="E5" s="12" t="s">
        <v>205</v>
      </c>
      <c r="F5" s="12" t="s">
        <v>206</v>
      </c>
      <c r="G5" s="12" t="s">
        <v>207</v>
      </c>
      <c r="H5" s="12" t="s">
        <v>208</v>
      </c>
      <c r="I5" s="12" t="s">
        <v>209</v>
      </c>
      <c r="J5" s="12" t="s">
        <v>210</v>
      </c>
      <c r="K5" s="12" t="s">
        <v>211</v>
      </c>
      <c r="L5" s="12" t="s">
        <v>212</v>
      </c>
      <c r="M5" s="12" t="s">
        <v>213</v>
      </c>
      <c r="N5" s="12" t="s">
        <v>214</v>
      </c>
      <c r="O5" s="12" t="s">
        <v>215</v>
      </c>
      <c r="P5" s="12" t="s">
        <v>710</v>
      </c>
      <c r="Q5" s="12" t="s">
        <v>181</v>
      </c>
      <c r="R5" s="12" t="s">
        <v>711</v>
      </c>
      <c r="S5" s="12" t="s">
        <v>712</v>
      </c>
    </row>
    <row r="6" customFormat="false" ht="15" hidden="false" customHeight="false" outlineLevel="0" collapsed="false">
      <c r="B6" s="14" t="str">
        <f aca="false">Listas!$E$2</f>
        <v>Vivienda</v>
      </c>
      <c r="C6" s="45" t="n">
        <f aca="false">SUMIFS(Presupuesto!$I$6:$I$87,Presupuesto!$B$6:$B$87,B6)</f>
        <v>0</v>
      </c>
      <c r="D6" s="71"/>
      <c r="E6" s="71"/>
      <c r="F6" s="71"/>
      <c r="G6" s="71"/>
      <c r="H6" s="71"/>
      <c r="I6" s="71"/>
      <c r="J6" s="71"/>
      <c r="K6" s="71"/>
      <c r="L6" s="71"/>
      <c r="M6" s="71"/>
      <c r="N6" s="71"/>
      <c r="O6" s="71"/>
      <c r="P6" s="45" t="str">
        <f aca="false">IF(COUNT(D6:O6)=0,"",AVERAGE(D6:O6))</f>
        <v/>
      </c>
      <c r="Q6" s="45" t="str">
        <f aca="false">IF(P6="","",P6-C6)</f>
        <v/>
      </c>
      <c r="R6" s="119" t="str">
        <f aca="false">IF(OR(P6="",C6=0),"",Q6/C6)</f>
        <v/>
      </c>
      <c r="S6" s="73" t="n">
        <f aca="false">COUNT(D6:O6)</f>
        <v>0</v>
      </c>
    </row>
    <row r="7" customFormat="false" ht="15" hidden="false" customHeight="false" outlineLevel="0" collapsed="false">
      <c r="B7" s="14" t="str">
        <f aca="false">Listas!$E$3</f>
        <v>Alimentación</v>
      </c>
      <c r="C7" s="45" t="n">
        <f aca="false">SUMIFS(Presupuesto!$I$6:$I$87,Presupuesto!$B$6:$B$87,B7)</f>
        <v>0</v>
      </c>
      <c r="D7" s="71"/>
      <c r="E7" s="71"/>
      <c r="F7" s="71"/>
      <c r="G7" s="71"/>
      <c r="H7" s="71"/>
      <c r="I7" s="71"/>
      <c r="J7" s="71"/>
      <c r="K7" s="71"/>
      <c r="L7" s="71"/>
      <c r="M7" s="71"/>
      <c r="N7" s="71"/>
      <c r="O7" s="71"/>
      <c r="P7" s="45" t="str">
        <f aca="false">IF(COUNT(D7:O7)=0,"",AVERAGE(D7:O7))</f>
        <v/>
      </c>
      <c r="Q7" s="45" t="str">
        <f aca="false">IF(P7="","",P7-C7)</f>
        <v/>
      </c>
      <c r="R7" s="119" t="str">
        <f aca="false">IF(OR(P7="",C7=0),"",Q7/C7)</f>
        <v/>
      </c>
      <c r="S7" s="73" t="n">
        <f aca="false">COUNT(D7:O7)</f>
        <v>0</v>
      </c>
    </row>
    <row r="8" customFormat="false" ht="15" hidden="false" customHeight="false" outlineLevel="0" collapsed="false">
      <c r="B8" s="14" t="str">
        <f aca="false">Listas!$E$4</f>
        <v>Transporte</v>
      </c>
      <c r="C8" s="45" t="n">
        <f aca="false">SUMIFS(Presupuesto!$I$6:$I$87,Presupuesto!$B$6:$B$87,B8)</f>
        <v>0</v>
      </c>
      <c r="D8" s="71"/>
      <c r="E8" s="71"/>
      <c r="F8" s="71"/>
      <c r="G8" s="71"/>
      <c r="H8" s="71"/>
      <c r="I8" s="71"/>
      <c r="J8" s="71"/>
      <c r="K8" s="71"/>
      <c r="L8" s="71"/>
      <c r="M8" s="71"/>
      <c r="N8" s="71"/>
      <c r="O8" s="71"/>
      <c r="P8" s="45" t="str">
        <f aca="false">IF(COUNT(D8:O8)=0,"",AVERAGE(D8:O8))</f>
        <v/>
      </c>
      <c r="Q8" s="45" t="str">
        <f aca="false">IF(P8="","",P8-C8)</f>
        <v/>
      </c>
      <c r="R8" s="119" t="str">
        <f aca="false">IF(OR(P8="",C8=0),"",Q8/C8)</f>
        <v/>
      </c>
      <c r="S8" s="73" t="n">
        <f aca="false">COUNT(D8:O8)</f>
        <v>0</v>
      </c>
    </row>
    <row r="9" customFormat="false" ht="15" hidden="false" customHeight="false" outlineLevel="0" collapsed="false">
      <c r="B9" s="14" t="str">
        <f aca="false">Listas!$E$5</f>
        <v>Salud y bienestar</v>
      </c>
      <c r="C9" s="45" t="n">
        <f aca="false">SUMIFS(Presupuesto!$I$6:$I$87,Presupuesto!$B$6:$B$87,B9)</f>
        <v>0</v>
      </c>
      <c r="D9" s="71"/>
      <c r="E9" s="71"/>
      <c r="F9" s="71"/>
      <c r="G9" s="71"/>
      <c r="H9" s="71"/>
      <c r="I9" s="71"/>
      <c r="J9" s="71"/>
      <c r="K9" s="71"/>
      <c r="L9" s="71"/>
      <c r="M9" s="71"/>
      <c r="N9" s="71"/>
      <c r="O9" s="71"/>
      <c r="P9" s="45" t="str">
        <f aca="false">IF(COUNT(D9:O9)=0,"",AVERAGE(D9:O9))</f>
        <v/>
      </c>
      <c r="Q9" s="45" t="str">
        <f aca="false">IF(P9="","",P9-C9)</f>
        <v/>
      </c>
      <c r="R9" s="119" t="str">
        <f aca="false">IF(OR(P9="",C9=0),"",Q9/C9)</f>
        <v/>
      </c>
      <c r="S9" s="73" t="n">
        <f aca="false">COUNT(D9:O9)</f>
        <v>0</v>
      </c>
    </row>
    <row r="10" customFormat="false" ht="15" hidden="false" customHeight="false" outlineLevel="0" collapsed="false">
      <c r="B10" s="14" t="str">
        <f aca="false">Listas!$E$6</f>
        <v>Cuidado personal</v>
      </c>
      <c r="C10" s="45" t="n">
        <f aca="false">SUMIFS(Presupuesto!$I$6:$I$87,Presupuesto!$B$6:$B$87,B10)</f>
        <v>0</v>
      </c>
      <c r="D10" s="71"/>
      <c r="E10" s="71"/>
      <c r="F10" s="71"/>
      <c r="G10" s="71"/>
      <c r="H10" s="71"/>
      <c r="I10" s="71"/>
      <c r="J10" s="71"/>
      <c r="K10" s="71"/>
      <c r="L10" s="71"/>
      <c r="M10" s="71"/>
      <c r="N10" s="71"/>
      <c r="O10" s="71"/>
      <c r="P10" s="45" t="str">
        <f aca="false">IF(COUNT(D10:O10)=0,"",AVERAGE(D10:O10))</f>
        <v/>
      </c>
      <c r="Q10" s="45" t="str">
        <f aca="false">IF(P10="","",P10-C10)</f>
        <v/>
      </c>
      <c r="R10" s="119" t="str">
        <f aca="false">IF(OR(P10="",C10=0),"",Q10/C10)</f>
        <v/>
      </c>
      <c r="S10" s="73" t="n">
        <f aca="false">COUNT(D10:O10)</f>
        <v>0</v>
      </c>
    </row>
    <row r="11" customFormat="false" ht="15" hidden="false" customHeight="false" outlineLevel="0" collapsed="false">
      <c r="B11" s="14" t="str">
        <f aca="false">Listas!$E$7</f>
        <v>Hijos y familia</v>
      </c>
      <c r="C11" s="45" t="n">
        <f aca="false">SUMIFS(Presupuesto!$I$6:$I$87,Presupuesto!$B$6:$B$87,B11)</f>
        <v>0</v>
      </c>
      <c r="D11" s="71"/>
      <c r="E11" s="71"/>
      <c r="F11" s="71"/>
      <c r="G11" s="71"/>
      <c r="H11" s="71"/>
      <c r="I11" s="71"/>
      <c r="J11" s="71"/>
      <c r="K11" s="71"/>
      <c r="L11" s="71"/>
      <c r="M11" s="71"/>
      <c r="N11" s="71"/>
      <c r="O11" s="71"/>
      <c r="P11" s="45" t="str">
        <f aca="false">IF(COUNT(D11:O11)=0,"",AVERAGE(D11:O11))</f>
        <v/>
      </c>
      <c r="Q11" s="45" t="str">
        <f aca="false">IF(P11="","",P11-C11)</f>
        <v/>
      </c>
      <c r="R11" s="119" t="str">
        <f aca="false">IF(OR(P11="",C11=0),"",Q11/C11)</f>
        <v/>
      </c>
      <c r="S11" s="73" t="n">
        <f aca="false">COUNT(D11:O11)</f>
        <v>0</v>
      </c>
    </row>
    <row r="12" customFormat="false" ht="15" hidden="false" customHeight="false" outlineLevel="0" collapsed="false">
      <c r="B12" s="14" t="str">
        <f aca="false">Listas!$E$8</f>
        <v>Mascotas</v>
      </c>
      <c r="C12" s="45" t="n">
        <f aca="false">SUMIFS(Presupuesto!$I$6:$I$87,Presupuesto!$B$6:$B$87,B12)</f>
        <v>0</v>
      </c>
      <c r="D12" s="71"/>
      <c r="E12" s="71"/>
      <c r="F12" s="71"/>
      <c r="G12" s="71"/>
      <c r="H12" s="71"/>
      <c r="I12" s="71"/>
      <c r="J12" s="71"/>
      <c r="K12" s="71"/>
      <c r="L12" s="71"/>
      <c r="M12" s="71"/>
      <c r="N12" s="71"/>
      <c r="O12" s="71"/>
      <c r="P12" s="45" t="str">
        <f aca="false">IF(COUNT(D12:O12)=0,"",AVERAGE(D12:O12))</f>
        <v/>
      </c>
      <c r="Q12" s="45" t="str">
        <f aca="false">IF(P12="","",P12-C12)</f>
        <v/>
      </c>
      <c r="R12" s="119" t="str">
        <f aca="false">IF(OR(P12="",C12=0),"",Q12/C12)</f>
        <v/>
      </c>
      <c r="S12" s="73" t="n">
        <f aca="false">COUNT(D12:O12)</f>
        <v>0</v>
      </c>
    </row>
    <row r="13" customFormat="false" ht="15" hidden="false" customHeight="false" outlineLevel="0" collapsed="false">
      <c r="B13" s="14" t="str">
        <f aca="false">Listas!$E$9</f>
        <v>Servicios</v>
      </c>
      <c r="C13" s="45" t="n">
        <f aca="false">SUMIFS(Presupuesto!$I$6:$I$87,Presupuesto!$B$6:$B$87,B13)</f>
        <v>0</v>
      </c>
      <c r="D13" s="71"/>
      <c r="E13" s="71"/>
      <c r="F13" s="71"/>
      <c r="G13" s="71"/>
      <c r="H13" s="71"/>
      <c r="I13" s="71"/>
      <c r="J13" s="71"/>
      <c r="K13" s="71"/>
      <c r="L13" s="71"/>
      <c r="M13" s="71"/>
      <c r="N13" s="71"/>
      <c r="O13" s="71"/>
      <c r="P13" s="45" t="str">
        <f aca="false">IF(COUNT(D13:O13)=0,"",AVERAGE(D13:O13))</f>
        <v/>
      </c>
      <c r="Q13" s="45" t="str">
        <f aca="false">IF(P13="","",P13-C13)</f>
        <v/>
      </c>
      <c r="R13" s="119" t="str">
        <f aca="false">IF(OR(P13="",C13=0),"",Q13/C13)</f>
        <v/>
      </c>
      <c r="S13" s="73" t="n">
        <f aca="false">COUNT(D13:O13)</f>
        <v>0</v>
      </c>
    </row>
    <row r="14" customFormat="false" ht="15" hidden="false" customHeight="false" outlineLevel="0" collapsed="false">
      <c r="B14" s="14" t="str">
        <f aca="false">Listas!$E$10</f>
        <v>Viajes y ocio</v>
      </c>
      <c r="C14" s="45" t="n">
        <f aca="false">SUMIFS(Presupuesto!$I$6:$I$87,Presupuesto!$B$6:$B$87,B14)</f>
        <v>0</v>
      </c>
      <c r="D14" s="71"/>
      <c r="E14" s="71"/>
      <c r="F14" s="71"/>
      <c r="G14" s="71"/>
      <c r="H14" s="71"/>
      <c r="I14" s="71"/>
      <c r="J14" s="71"/>
      <c r="K14" s="71"/>
      <c r="L14" s="71"/>
      <c r="M14" s="71"/>
      <c r="N14" s="71"/>
      <c r="O14" s="71"/>
      <c r="P14" s="45" t="str">
        <f aca="false">IF(COUNT(D14:O14)=0,"",AVERAGE(D14:O14))</f>
        <v/>
      </c>
      <c r="Q14" s="45" t="str">
        <f aca="false">IF(P14="","",P14-C14)</f>
        <v/>
      </c>
      <c r="R14" s="119" t="str">
        <f aca="false">IF(OR(P14="",C14=0),"",Q14/C14)</f>
        <v/>
      </c>
      <c r="S14" s="73" t="n">
        <f aca="false">COUNT(D14:O14)</f>
        <v>0</v>
      </c>
    </row>
    <row r="15" customFormat="false" ht="15" hidden="false" customHeight="false" outlineLevel="0" collapsed="false">
      <c r="B15" s="14" t="str">
        <f aca="false">Listas!$E$11</f>
        <v>Temporada</v>
      </c>
      <c r="C15" s="45" t="n">
        <f aca="false">SUMIFS(Presupuesto!$I$6:$I$87,Presupuesto!$B$6:$B$87,B15)</f>
        <v>0</v>
      </c>
      <c r="D15" s="71"/>
      <c r="E15" s="71"/>
      <c r="F15" s="71"/>
      <c r="G15" s="71"/>
      <c r="H15" s="71"/>
      <c r="I15" s="71"/>
      <c r="J15" s="71"/>
      <c r="K15" s="71"/>
      <c r="L15" s="71"/>
      <c r="M15" s="71"/>
      <c r="N15" s="71"/>
      <c r="O15" s="71"/>
      <c r="P15" s="45" t="str">
        <f aca="false">IF(COUNT(D15:O15)=0,"",AVERAGE(D15:O15))</f>
        <v/>
      </c>
      <c r="Q15" s="45" t="str">
        <f aca="false">IF(P15="","",P15-C15)</f>
        <v/>
      </c>
      <c r="R15" s="119" t="str">
        <f aca="false">IF(OR(P15="",C15=0),"",Q15/C15)</f>
        <v/>
      </c>
      <c r="S15" s="73" t="n">
        <f aca="false">COUNT(D15:O15)</f>
        <v>0</v>
      </c>
    </row>
    <row r="16" customFormat="false" ht="15" hidden="false" customHeight="false" outlineLevel="0" collapsed="false">
      <c r="B16" s="14" t="str">
        <f aca="false">Listas!$E$12</f>
        <v>Impuestos y trámites</v>
      </c>
      <c r="C16" s="45" t="n">
        <f aca="false">SUMIFS(Presupuesto!$I$6:$I$87,Presupuesto!$B$6:$B$87,B16)</f>
        <v>0</v>
      </c>
      <c r="D16" s="71"/>
      <c r="E16" s="71"/>
      <c r="F16" s="71"/>
      <c r="G16" s="71"/>
      <c r="H16" s="71"/>
      <c r="I16" s="71"/>
      <c r="J16" s="71"/>
      <c r="K16" s="71"/>
      <c r="L16" s="71"/>
      <c r="M16" s="71"/>
      <c r="N16" s="71"/>
      <c r="O16" s="71"/>
      <c r="P16" s="45" t="str">
        <f aca="false">IF(COUNT(D16:O16)=0,"",AVERAGE(D16:O16))</f>
        <v/>
      </c>
      <c r="Q16" s="45" t="str">
        <f aca="false">IF(P16="","",P16-C16)</f>
        <v/>
      </c>
      <c r="R16" s="119" t="str">
        <f aca="false">IF(OR(P16="",C16=0),"",Q16/C16)</f>
        <v/>
      </c>
      <c r="S16" s="73" t="n">
        <f aca="false">COUNT(D16:O16)</f>
        <v>0</v>
      </c>
    </row>
    <row r="17" customFormat="false" ht="15" hidden="false" customHeight="false" outlineLevel="0" collapsed="false">
      <c r="B17" s="14" t="str">
        <f aca="false">Listas!$E$13</f>
        <v>Compras puntuales</v>
      </c>
      <c r="C17" s="45" t="n">
        <f aca="false">SUMIFS(Presupuesto!$I$6:$I$87,Presupuesto!$B$6:$B$87,B17)</f>
        <v>0</v>
      </c>
      <c r="D17" s="71"/>
      <c r="E17" s="71"/>
      <c r="F17" s="71"/>
      <c r="G17" s="71"/>
      <c r="H17" s="71"/>
      <c r="I17" s="71"/>
      <c r="J17" s="71"/>
      <c r="K17" s="71"/>
      <c r="L17" s="71"/>
      <c r="M17" s="71"/>
      <c r="N17" s="71"/>
      <c r="O17" s="71"/>
      <c r="P17" s="45" t="str">
        <f aca="false">IF(COUNT(D17:O17)=0,"",AVERAGE(D17:O17))</f>
        <v/>
      </c>
      <c r="Q17" s="45" t="str">
        <f aca="false">IF(P17="","",P17-C17)</f>
        <v/>
      </c>
      <c r="R17" s="119" t="str">
        <f aca="false">IF(OR(P17="",C17=0),"",Q17/C17)</f>
        <v/>
      </c>
      <c r="S17" s="73" t="n">
        <f aca="false">COUNT(D17:O17)</f>
        <v>0</v>
      </c>
    </row>
    <row r="18" customFormat="false" ht="15" hidden="false" customHeight="false" outlineLevel="0" collapsed="false">
      <c r="B18" s="14" t="str">
        <f aca="false">Listas!$E$14</f>
        <v>Seguros</v>
      </c>
      <c r="C18" s="45" t="n">
        <f aca="false">SUMIFS(Presupuesto!$I$6:$I$87,Presupuesto!$B$6:$B$87,B18)</f>
        <v>0</v>
      </c>
      <c r="D18" s="71"/>
      <c r="E18" s="71"/>
      <c r="F18" s="71"/>
      <c r="G18" s="71"/>
      <c r="H18" s="71"/>
      <c r="I18" s="71"/>
      <c r="J18" s="71"/>
      <c r="K18" s="71"/>
      <c r="L18" s="71"/>
      <c r="M18" s="71"/>
      <c r="N18" s="71"/>
      <c r="O18" s="71"/>
      <c r="P18" s="45" t="str">
        <f aca="false">IF(COUNT(D18:O18)=0,"",AVERAGE(D18:O18))</f>
        <v/>
      </c>
      <c r="Q18" s="45" t="str">
        <f aca="false">IF(P18="","",P18-C18)</f>
        <v/>
      </c>
      <c r="R18" s="119" t="str">
        <f aca="false">IF(OR(P18="",C18=0),"",Q18/C18)</f>
        <v/>
      </c>
      <c r="S18" s="73" t="n">
        <f aca="false">COUNT(D18:O18)</f>
        <v>0</v>
      </c>
    </row>
    <row r="19" customFormat="false" ht="15" hidden="false" customHeight="false" outlineLevel="0" collapsed="false">
      <c r="B19" s="14" t="str">
        <f aca="false">Listas!$E$15</f>
        <v>Seguridad social</v>
      </c>
      <c r="C19" s="45" t="n">
        <f aca="false">SUMIFS(Presupuesto!$I$6:$I$87,Presupuesto!$B$6:$B$87,B19)</f>
        <v>0</v>
      </c>
      <c r="D19" s="71"/>
      <c r="E19" s="71"/>
      <c r="F19" s="71"/>
      <c r="G19" s="71"/>
      <c r="H19" s="71"/>
      <c r="I19" s="71"/>
      <c r="J19" s="71"/>
      <c r="K19" s="71"/>
      <c r="L19" s="71"/>
      <c r="M19" s="71"/>
      <c r="N19" s="71"/>
      <c r="O19" s="71"/>
      <c r="P19" s="45" t="str">
        <f aca="false">IF(COUNT(D19:O19)=0,"",AVERAGE(D19:O19))</f>
        <v/>
      </c>
      <c r="Q19" s="45" t="str">
        <f aca="false">IF(P19="","",P19-C19)</f>
        <v/>
      </c>
      <c r="R19" s="119" t="str">
        <f aca="false">IF(OR(P19="",C19=0),"",Q19/C19)</f>
        <v/>
      </c>
      <c r="S19" s="73" t="n">
        <f aca="false">COUNT(D19:O19)</f>
        <v>0</v>
      </c>
    </row>
    <row r="20" customFormat="false" ht="15" hidden="false" customHeight="false" outlineLevel="0" collapsed="false">
      <c r="B20" s="14" t="str">
        <f aca="false">Listas!$E$16</f>
        <v>Deudas</v>
      </c>
      <c r="C20" s="45" t="n">
        <f aca="false">SUMIFS(Presupuesto!$I$6:$I$87,Presupuesto!$B$6:$B$87,B20)</f>
        <v>0</v>
      </c>
      <c r="D20" s="71"/>
      <c r="E20" s="71"/>
      <c r="F20" s="71"/>
      <c r="G20" s="71"/>
      <c r="H20" s="71"/>
      <c r="I20" s="71"/>
      <c r="J20" s="71"/>
      <c r="K20" s="71"/>
      <c r="L20" s="71"/>
      <c r="M20" s="71"/>
      <c r="N20" s="71"/>
      <c r="O20" s="71"/>
      <c r="P20" s="45" t="str">
        <f aca="false">IF(COUNT(D20:O20)=0,"",AVERAGE(D20:O20))</f>
        <v/>
      </c>
      <c r="Q20" s="45" t="str">
        <f aca="false">IF(P20="","",P20-C20)</f>
        <v/>
      </c>
      <c r="R20" s="119" t="str">
        <f aca="false">IF(OR(P20="",C20=0),"",Q20/C20)</f>
        <v/>
      </c>
      <c r="S20" s="73" t="n">
        <f aca="false">COUNT(D20:O20)</f>
        <v>0</v>
      </c>
    </row>
    <row r="21" customFormat="false" ht="15" hidden="false" customHeight="false" outlineLevel="0" collapsed="false">
      <c r="B21" s="14" t="str">
        <f aca="false">Listas!$E$17</f>
        <v>Ahorro</v>
      </c>
      <c r="C21" s="45" t="n">
        <f aca="false">SUMIFS(Presupuesto!$I$6:$I$87,Presupuesto!$B$6:$B$87,B21)</f>
        <v>0</v>
      </c>
      <c r="D21" s="71"/>
      <c r="E21" s="71"/>
      <c r="F21" s="71"/>
      <c r="G21" s="71"/>
      <c r="H21" s="71"/>
      <c r="I21" s="71"/>
      <c r="J21" s="71"/>
      <c r="K21" s="71"/>
      <c r="L21" s="71"/>
      <c r="M21" s="71"/>
      <c r="N21" s="71"/>
      <c r="O21" s="71"/>
      <c r="P21" s="45" t="str">
        <f aca="false">IF(COUNT(D21:O21)=0,"",AVERAGE(D21:O21))</f>
        <v/>
      </c>
      <c r="Q21" s="45" t="str">
        <f aca="false">IF(P21="","",P21-C21)</f>
        <v/>
      </c>
      <c r="R21" s="119" t="str">
        <f aca="false">IF(OR(P21="",C21=0),"",Q21/C21)</f>
        <v/>
      </c>
      <c r="S21" s="73" t="n">
        <f aca="false">COUNT(D21:O21)</f>
        <v>0</v>
      </c>
    </row>
    <row r="22" customFormat="false" ht="15" hidden="false" customHeight="false" outlineLevel="0" collapsed="false">
      <c r="B22" s="14" t="str">
        <f aca="false">Listas!$E$18</f>
        <v>Metas</v>
      </c>
      <c r="C22" s="45" t="n">
        <f aca="false">SUMIFS(Presupuesto!$I$6:$I$87,Presupuesto!$B$6:$B$87,B22)</f>
        <v>0</v>
      </c>
      <c r="D22" s="71"/>
      <c r="E22" s="71"/>
      <c r="F22" s="71"/>
      <c r="G22" s="71"/>
      <c r="H22" s="71"/>
      <c r="I22" s="71"/>
      <c r="J22" s="71"/>
      <c r="K22" s="71"/>
      <c r="L22" s="71"/>
      <c r="M22" s="71"/>
      <c r="N22" s="71"/>
      <c r="O22" s="71"/>
      <c r="P22" s="45" t="str">
        <f aca="false">IF(COUNT(D22:O22)=0,"",AVERAGE(D22:O22))</f>
        <v/>
      </c>
      <c r="Q22" s="45" t="str">
        <f aca="false">IF(P22="","",P22-C22)</f>
        <v/>
      </c>
      <c r="R22" s="119" t="str">
        <f aca="false">IF(OR(P22="",C22=0),"",Q22/C22)</f>
        <v/>
      </c>
      <c r="S22" s="73" t="n">
        <f aca="false">COUNT(D22:O22)</f>
        <v>0</v>
      </c>
    </row>
    <row r="23" customFormat="false" ht="15" hidden="false" customHeight="false" outlineLevel="0" collapsed="false">
      <c r="B23" s="14" t="str">
        <f aca="false">Listas!$E$19</f>
        <v>Otros</v>
      </c>
      <c r="C23" s="45" t="n">
        <f aca="false">SUMIFS(Presupuesto!$I$6:$I$87,Presupuesto!$B$6:$B$87,B23)</f>
        <v>0</v>
      </c>
      <c r="D23" s="71"/>
      <c r="E23" s="71"/>
      <c r="F23" s="71"/>
      <c r="G23" s="71"/>
      <c r="H23" s="71"/>
      <c r="I23" s="71"/>
      <c r="J23" s="71"/>
      <c r="K23" s="71"/>
      <c r="L23" s="71"/>
      <c r="M23" s="71"/>
      <c r="N23" s="71"/>
      <c r="O23" s="71"/>
      <c r="P23" s="45" t="str">
        <f aca="false">IF(COUNT(D23:O23)=0,"",AVERAGE(D23:O23))</f>
        <v/>
      </c>
      <c r="Q23" s="45" t="str">
        <f aca="false">IF(P23="","",P23-C23)</f>
        <v/>
      </c>
      <c r="R23" s="119" t="str">
        <f aca="false">IF(OR(P23="",C23=0),"",Q23/C23)</f>
        <v/>
      </c>
      <c r="S23" s="73" t="n">
        <f aca="false">COUNT(D23:O23)</f>
        <v>0</v>
      </c>
    </row>
    <row r="24" customFormat="false" ht="15" hidden="false" customHeight="false" outlineLevel="0" collapsed="false">
      <c r="B24" s="68" t="s">
        <v>229</v>
      </c>
      <c r="C24" s="69" t="n">
        <f aca="false">SUM(C6:C23)</f>
        <v>0</v>
      </c>
      <c r="D24" s="126" t="str">
        <f aca="false">IF(COUNT(D6:D23)=0,"",SUM(D6:D23))</f>
        <v/>
      </c>
      <c r="E24" s="126" t="str">
        <f aca="false">IF(COUNT(E6:E23)=0,"",SUM(E6:E23))</f>
        <v/>
      </c>
      <c r="F24" s="126" t="str">
        <f aca="false">IF(COUNT(F6:F23)=0,"",SUM(F6:F23))</f>
        <v/>
      </c>
      <c r="G24" s="126" t="str">
        <f aca="false">IF(COUNT(G6:G23)=0,"",SUM(G6:G23))</f>
        <v/>
      </c>
      <c r="H24" s="126" t="str">
        <f aca="false">IF(COUNT(H6:H23)=0,"",SUM(H6:H23))</f>
        <v/>
      </c>
      <c r="I24" s="126" t="str">
        <f aca="false">IF(COUNT(I6:I23)=0,"",SUM(I6:I23))</f>
        <v/>
      </c>
      <c r="J24" s="126" t="str">
        <f aca="false">IF(COUNT(J6:J23)=0,"",SUM(J6:J23))</f>
        <v/>
      </c>
      <c r="K24" s="126" t="str">
        <f aca="false">IF(COUNT(K6:K23)=0,"",SUM(K6:K23))</f>
        <v/>
      </c>
      <c r="L24" s="126" t="str">
        <f aca="false">IF(COUNT(L6:L23)=0,"",SUM(L6:L23))</f>
        <v/>
      </c>
      <c r="M24" s="126" t="str">
        <f aca="false">IF(COUNT(M6:M23)=0,"",SUM(M6:M23))</f>
        <v/>
      </c>
      <c r="N24" s="126" t="str">
        <f aca="false">IF(COUNT(N6:N23)=0,"",SUM(N6:N23))</f>
        <v/>
      </c>
      <c r="O24" s="126" t="str">
        <f aca="false">IF(COUNT(O6:O23)=0,"",SUM(O6:O23))</f>
        <v/>
      </c>
      <c r="P24" s="69" t="str">
        <f aca="false">IF(COUNT(D24:O24)=0,"",AVERAGE(D24:O24))</f>
        <v/>
      </c>
      <c r="Q24" s="69" t="str">
        <f aca="false">IF(P24="","",P24-C24)</f>
        <v/>
      </c>
      <c r="R24" s="117" t="str">
        <f aca="false">IF(OR(P24="",C24=0),"",Q24/C24)</f>
        <v/>
      </c>
      <c r="S24" s="68"/>
    </row>
    <row r="26" customFormat="false" ht="15" hidden="false" customHeight="false" outlineLevel="0" collapsed="false">
      <c r="B26" s="23" t="s">
        <v>713</v>
      </c>
    </row>
  </sheetData>
  <conditionalFormatting sqref="R6:R24">
    <cfRule type="expression" priority="2" aboveAverage="0" equalAverage="0" bottom="0" percent="0" rank="0" text="" dxfId="2">
      <formula>AND(ISNUMBER(R6),R6&gt;0.1)</formula>
    </cfRule>
    <cfRule type="expression" priority="3" aboveAverage="0" equalAverage="0" bottom="0" percent="0" rank="0" text="" dxfId="0">
      <formula>AND(ISNUMBER(R6),R6&lt;-0.1)</formula>
    </cfRule>
  </conditionalFormatting>
  <printOptions headings="false" gridLines="false" gridLinesSet="true" horizontalCentered="true" verticalCentered="false"/>
  <pageMargins left="0.4" right="0.4"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8A04A"/>
    <pageSetUpPr fitToPage="true"/>
  </sheetPr>
  <dimension ref="B1:H27"/>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5"/>
    <col collapsed="false" customWidth="true" hidden="false" outlineLevel="0" max="3" min="3" style="1" width="58"/>
    <col collapsed="false" customWidth="true" hidden="false" outlineLevel="0" max="4" min="4" style="1" width="11"/>
    <col collapsed="false" customWidth="true" hidden="false" outlineLevel="0" max="5" min="5" style="1" width="26"/>
    <col collapsed="false" customWidth="true" hidden="false" outlineLevel="0" max="6" min="6" style="1" width="14"/>
    <col collapsed="false" customWidth="true" hidden="false" outlineLevel="0" max="7" min="7" style="1" width="12"/>
    <col collapsed="false" customWidth="true" hidden="false" outlineLevel="0" max="8" min="8" style="1" width="40"/>
  </cols>
  <sheetData>
    <row r="1" customFormat="false" ht="24" hidden="false" customHeight="true" outlineLevel="0" collapsed="false">
      <c r="B1" s="27" t="s">
        <v>714</v>
      </c>
    </row>
    <row r="2" customFormat="false" ht="15" hidden="false" customHeight="false" outlineLevel="0" collapsed="false">
      <c r="B2" s="28" t="s">
        <v>715</v>
      </c>
      <c r="C2" s="29"/>
      <c r="D2" s="29"/>
      <c r="E2" s="29"/>
      <c r="F2" s="29"/>
      <c r="G2" s="29"/>
      <c r="H2" s="29"/>
    </row>
    <row r="5" customFormat="false" ht="30" hidden="false" customHeight="true" outlineLevel="0" collapsed="false">
      <c r="B5" s="11" t="s">
        <v>716</v>
      </c>
      <c r="C5" s="12" t="s">
        <v>717</v>
      </c>
      <c r="D5" s="12" t="s">
        <v>718</v>
      </c>
      <c r="E5" s="12" t="s">
        <v>719</v>
      </c>
      <c r="F5" s="12" t="s">
        <v>720</v>
      </c>
      <c r="G5" s="12" t="s">
        <v>76</v>
      </c>
      <c r="H5" s="12" t="s">
        <v>130</v>
      </c>
    </row>
    <row r="6" customFormat="false" ht="15" hidden="false" customHeight="false" outlineLevel="0" collapsed="false">
      <c r="B6" s="73" t="n">
        <v>1</v>
      </c>
      <c r="C6" s="61" t="s">
        <v>721</v>
      </c>
      <c r="D6" s="70" t="s">
        <v>722</v>
      </c>
      <c r="E6" s="61" t="s">
        <v>1</v>
      </c>
      <c r="F6" s="63" t="n">
        <f aca="false">Supuestos!$C$12+7</f>
        <v>46297</v>
      </c>
      <c r="G6" s="70" t="s">
        <v>723</v>
      </c>
      <c r="H6" s="61"/>
    </row>
    <row r="7" customFormat="false" ht="15" hidden="false" customHeight="false" outlineLevel="0" collapsed="false">
      <c r="B7" s="73" t="n">
        <v>2</v>
      </c>
      <c r="C7" s="61" t="s">
        <v>724</v>
      </c>
      <c r="D7" s="70" t="s">
        <v>722</v>
      </c>
      <c r="E7" s="61" t="s">
        <v>1</v>
      </c>
      <c r="F7" s="63" t="n">
        <f aca="false">Supuestos!$C$12+7</f>
        <v>46297</v>
      </c>
      <c r="G7" s="70" t="s">
        <v>723</v>
      </c>
      <c r="H7" s="61"/>
    </row>
    <row r="8" customFormat="false" ht="15" hidden="false" customHeight="false" outlineLevel="0" collapsed="false">
      <c r="B8" s="73" t="n">
        <v>3</v>
      </c>
      <c r="C8" s="61" t="s">
        <v>725</v>
      </c>
      <c r="D8" s="70" t="s">
        <v>722</v>
      </c>
      <c r="E8" s="61" t="s">
        <v>1</v>
      </c>
      <c r="F8" s="63" t="n">
        <f aca="false">Supuestos!$C$12+30</f>
        <v>46320</v>
      </c>
      <c r="G8" s="70" t="s">
        <v>723</v>
      </c>
      <c r="H8" s="61"/>
    </row>
    <row r="9" customFormat="false" ht="15" hidden="false" customHeight="false" outlineLevel="0" collapsed="false">
      <c r="B9" s="73" t="n">
        <v>4</v>
      </c>
      <c r="C9" s="61" t="s">
        <v>726</v>
      </c>
      <c r="D9" s="70" t="s">
        <v>722</v>
      </c>
      <c r="E9" s="61" t="s">
        <v>73</v>
      </c>
      <c r="F9" s="63" t="n">
        <f aca="false">Supuestos!$C$12+90</f>
        <v>46380</v>
      </c>
      <c r="G9" s="70" t="s">
        <v>723</v>
      </c>
      <c r="H9" s="61"/>
    </row>
    <row r="10" customFormat="false" ht="15" hidden="false" customHeight="false" outlineLevel="0" collapsed="false">
      <c r="B10" s="73" t="n">
        <v>5</v>
      </c>
      <c r="C10" s="61" t="s">
        <v>727</v>
      </c>
      <c r="D10" s="70" t="s">
        <v>722</v>
      </c>
      <c r="E10" s="61" t="s">
        <v>1</v>
      </c>
      <c r="F10" s="63" t="n">
        <f aca="false">Supuestos!$C$12+30</f>
        <v>46320</v>
      </c>
      <c r="G10" s="70" t="s">
        <v>723</v>
      </c>
      <c r="H10" s="61"/>
    </row>
    <row r="11" customFormat="false" ht="15" hidden="false" customHeight="false" outlineLevel="0" collapsed="false">
      <c r="B11" s="73" t="n">
        <v>6</v>
      </c>
      <c r="C11" s="61" t="s">
        <v>728</v>
      </c>
      <c r="D11" s="70" t="s">
        <v>722</v>
      </c>
      <c r="E11" s="61" t="s">
        <v>1</v>
      </c>
      <c r="F11" s="63" t="n">
        <f aca="false">Supuestos!$C$12+60</f>
        <v>46350</v>
      </c>
      <c r="G11" s="70" t="s">
        <v>723</v>
      </c>
      <c r="H11" s="61"/>
    </row>
    <row r="12" customFormat="false" ht="15" hidden="false" customHeight="false" outlineLevel="0" collapsed="false">
      <c r="B12" s="73" t="n">
        <v>7</v>
      </c>
      <c r="C12" s="61" t="s">
        <v>729</v>
      </c>
      <c r="D12" s="70" t="s">
        <v>534</v>
      </c>
      <c r="E12" s="61" t="s">
        <v>1</v>
      </c>
      <c r="F12" s="63" t="n">
        <f aca="false">Supuestos!$C$12+60</f>
        <v>46350</v>
      </c>
      <c r="G12" s="70" t="s">
        <v>723</v>
      </c>
      <c r="H12" s="61"/>
    </row>
    <row r="13" customFormat="false" ht="15" hidden="false" customHeight="false" outlineLevel="0" collapsed="false">
      <c r="B13" s="73" t="n">
        <v>8</v>
      </c>
      <c r="C13" s="61" t="s">
        <v>730</v>
      </c>
      <c r="D13" s="70" t="s">
        <v>534</v>
      </c>
      <c r="E13" s="61" t="s">
        <v>330</v>
      </c>
      <c r="F13" s="63" t="n">
        <f aca="false">Supuestos!$C$12+60</f>
        <v>46350</v>
      </c>
      <c r="G13" s="70" t="s">
        <v>723</v>
      </c>
      <c r="H13" s="61"/>
    </row>
    <row r="14" customFormat="false" ht="15" hidden="false" customHeight="false" outlineLevel="0" collapsed="false">
      <c r="B14" s="73" t="n">
        <v>9</v>
      </c>
      <c r="C14" s="61" t="s">
        <v>731</v>
      </c>
      <c r="D14" s="70" t="s">
        <v>534</v>
      </c>
      <c r="E14" s="61" t="s">
        <v>732</v>
      </c>
      <c r="F14" s="63" t="n">
        <f aca="false">Supuestos!$C$12+60</f>
        <v>46350</v>
      </c>
      <c r="G14" s="70" t="s">
        <v>723</v>
      </c>
      <c r="H14" s="61"/>
    </row>
    <row r="15" customFormat="false" ht="15" hidden="false" customHeight="false" outlineLevel="0" collapsed="false">
      <c r="B15" s="73" t="n">
        <v>10</v>
      </c>
      <c r="C15" s="61" t="s">
        <v>733</v>
      </c>
      <c r="D15" s="70" t="s">
        <v>534</v>
      </c>
      <c r="E15" s="61" t="s">
        <v>734</v>
      </c>
      <c r="F15" s="63" t="n">
        <f aca="false">Supuestos!$C$12+120</f>
        <v>46410</v>
      </c>
      <c r="G15" s="70" t="s">
        <v>723</v>
      </c>
      <c r="H15" s="61"/>
    </row>
    <row r="16" customFormat="false" ht="15" hidden="false" customHeight="false" outlineLevel="0" collapsed="false">
      <c r="B16" s="73" t="n">
        <v>11</v>
      </c>
      <c r="C16" s="61" t="s">
        <v>735</v>
      </c>
      <c r="D16" s="70" t="s">
        <v>534</v>
      </c>
      <c r="E16" s="61" t="s">
        <v>73</v>
      </c>
      <c r="F16" s="63" t="n">
        <f aca="false">Supuestos!$C$12+30</f>
        <v>46320</v>
      </c>
      <c r="G16" s="70" t="s">
        <v>723</v>
      </c>
      <c r="H16" s="61"/>
    </row>
    <row r="17" customFormat="false" ht="15" hidden="false" customHeight="false" outlineLevel="0" collapsed="false">
      <c r="B17" s="73" t="n">
        <v>12</v>
      </c>
      <c r="C17" s="61" t="s">
        <v>736</v>
      </c>
      <c r="D17" s="70" t="s">
        <v>722</v>
      </c>
      <c r="E17" s="61" t="s">
        <v>73</v>
      </c>
      <c r="F17" s="63" t="n">
        <f aca="false">Supuestos!$C$12+30</f>
        <v>46320</v>
      </c>
      <c r="G17" s="70" t="s">
        <v>723</v>
      </c>
      <c r="H17" s="61"/>
    </row>
    <row r="18" customFormat="false" ht="15" hidden="false" customHeight="false" outlineLevel="0" collapsed="false">
      <c r="B18" s="73" t="n">
        <v>13</v>
      </c>
      <c r="C18" s="61" t="s">
        <v>737</v>
      </c>
      <c r="D18" s="70" t="s">
        <v>722</v>
      </c>
      <c r="E18" s="61" t="s">
        <v>73</v>
      </c>
      <c r="F18" s="63" t="n">
        <f aca="false">Supuestos!$C$12+90</f>
        <v>46380</v>
      </c>
      <c r="G18" s="70" t="s">
        <v>723</v>
      </c>
      <c r="H18" s="61"/>
    </row>
    <row r="19" customFormat="false" ht="15" hidden="false" customHeight="false" outlineLevel="0" collapsed="false">
      <c r="B19" s="73" t="n">
        <v>14</v>
      </c>
      <c r="C19" s="61" t="s">
        <v>738</v>
      </c>
      <c r="D19" s="70" t="s">
        <v>534</v>
      </c>
      <c r="E19" s="61" t="s">
        <v>73</v>
      </c>
      <c r="F19" s="63" t="n">
        <f aca="false">Supuestos!$C$12+365</f>
        <v>46655</v>
      </c>
      <c r="G19" s="70" t="s">
        <v>723</v>
      </c>
      <c r="H19" s="61"/>
    </row>
    <row r="20" customFormat="false" ht="15" hidden="false" customHeight="false" outlineLevel="0" collapsed="false">
      <c r="B20" s="73" t="n">
        <v>15</v>
      </c>
      <c r="C20" s="61"/>
      <c r="D20" s="70"/>
      <c r="E20" s="61"/>
      <c r="F20" s="63"/>
      <c r="G20" s="70"/>
      <c r="H20" s="61"/>
    </row>
    <row r="21" customFormat="false" ht="15" hidden="false" customHeight="false" outlineLevel="0" collapsed="false">
      <c r="B21" s="73" t="n">
        <v>16</v>
      </c>
      <c r="C21" s="61"/>
      <c r="D21" s="70"/>
      <c r="E21" s="61"/>
      <c r="F21" s="63"/>
      <c r="G21" s="70"/>
      <c r="H21" s="61"/>
    </row>
    <row r="22" customFormat="false" ht="15" hidden="false" customHeight="false" outlineLevel="0" collapsed="false">
      <c r="B22" s="73" t="n">
        <v>17</v>
      </c>
      <c r="C22" s="61"/>
      <c r="D22" s="70"/>
      <c r="E22" s="61"/>
      <c r="F22" s="63"/>
      <c r="G22" s="70"/>
      <c r="H22" s="61"/>
    </row>
    <row r="23" customFormat="false" ht="15" hidden="false" customHeight="false" outlineLevel="0" collapsed="false">
      <c r="B23" s="73" t="n">
        <v>18</v>
      </c>
      <c r="C23" s="61"/>
      <c r="D23" s="70"/>
      <c r="E23" s="61"/>
      <c r="F23" s="63"/>
      <c r="G23" s="70"/>
      <c r="H23" s="61"/>
    </row>
    <row r="24" customFormat="false" ht="15" hidden="false" customHeight="false" outlineLevel="0" collapsed="false">
      <c r="B24" s="73" t="n">
        <v>19</v>
      </c>
      <c r="C24" s="61"/>
      <c r="D24" s="70"/>
      <c r="E24" s="61"/>
      <c r="F24" s="63"/>
      <c r="G24" s="70"/>
      <c r="H24" s="61"/>
    </row>
    <row r="25" customFormat="false" ht="15" hidden="false" customHeight="false" outlineLevel="0" collapsed="false">
      <c r="B25" s="73" t="n">
        <v>20</v>
      </c>
      <c r="C25" s="61"/>
      <c r="D25" s="70"/>
      <c r="E25" s="61"/>
      <c r="F25" s="63"/>
      <c r="G25" s="70"/>
      <c r="H25" s="61"/>
    </row>
    <row r="26" customFormat="false" ht="15" hidden="false" customHeight="false" outlineLevel="0" collapsed="false">
      <c r="B26" s="73" t="n">
        <v>21</v>
      </c>
      <c r="C26" s="61"/>
      <c r="D26" s="70"/>
      <c r="E26" s="61"/>
      <c r="F26" s="63"/>
      <c r="G26" s="70"/>
      <c r="H26" s="61"/>
    </row>
    <row r="27" customFormat="false" ht="15" hidden="false" customHeight="false" outlineLevel="0" collapsed="false">
      <c r="B27" s="73" t="n">
        <v>22</v>
      </c>
      <c r="C27" s="61"/>
      <c r="D27" s="70"/>
      <c r="E27" s="61"/>
      <c r="F27" s="63"/>
      <c r="G27" s="70"/>
      <c r="H27" s="61"/>
    </row>
  </sheetData>
  <conditionalFormatting sqref="B6:H27">
    <cfRule type="expression" priority="2" aboveAverage="0" equalAverage="0" bottom="0" percent="0" rank="0" text="" dxfId="3">
      <formula>$G6="Hecho"</formula>
    </cfRule>
    <cfRule type="expression" priority="3" aboveAverage="0" equalAverage="0" bottom="0" percent="0" rank="0" text="" dxfId="4">
      <formula>AND($C6&lt;&gt;"",ISNUMBER($F6),$F6&lt;TODAY(),$G6&lt;&gt;"Hecho")</formula>
    </cfRule>
  </conditionalFormatting>
  <dataValidations count="3">
    <dataValidation allowBlank="true" error="Elige un valor de la lista." errorStyle="stop" errorTitle="Valor no válido" operator="between" showDropDown="false" showErrorMessage="true" showInputMessage="false" sqref="D6:D27" type="list">
      <formula1>Listas!$U$2:$U$4</formula1>
      <formula2>0</formula2>
    </dataValidation>
    <dataValidation allowBlank="true" error="Elige un valor de la lista." errorStyle="stop" errorTitle="Valor no válido" operator="between" showDropDown="false" showErrorMessage="true" showInputMessage="false" sqref="E6:E27" type="list">
      <formula1>Listas!$V$2:$V$7</formula1>
      <formula2>0</formula2>
    </dataValidation>
    <dataValidation allowBlank="true" error="Elige un valor de la lista." errorStyle="stop" errorTitle="Valor no válido" operator="between" showDropDown="false" showErrorMessage="true" showInputMessage="false" sqref="G6:G27" type="list">
      <formula1>Listas!$W$2:$W$4</formula1>
      <formula2>0</formula2>
    </dataValidation>
  </dataValidations>
  <printOptions headings="false" gridLines="false" gridLinesSet="true" horizontalCentered="true" verticalCentered="false"/>
  <pageMargins left="0.4" right="0.4"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AA5A7"/>
    <pageSetUpPr fitToPage="true"/>
  </sheetPr>
  <dimension ref="A1:Y20"/>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6" min="2" style="1" width="18"/>
  </cols>
  <sheetData>
    <row r="1" customFormat="false" ht="124.6" hidden="false" customHeight="false" outlineLevel="0" collapsed="false">
      <c r="A1" s="127" t="s">
        <v>739</v>
      </c>
      <c r="B1" s="127" t="s">
        <v>740</v>
      </c>
      <c r="C1" s="127" t="s">
        <v>46</v>
      </c>
      <c r="D1" s="128" t="s">
        <v>253</v>
      </c>
      <c r="E1" s="127" t="s">
        <v>43</v>
      </c>
      <c r="F1" s="127" t="s">
        <v>741</v>
      </c>
      <c r="G1" s="127" t="s">
        <v>742</v>
      </c>
      <c r="H1" s="127" t="s">
        <v>72</v>
      </c>
      <c r="I1" s="128" t="s">
        <v>743</v>
      </c>
      <c r="J1" s="127" t="s">
        <v>136</v>
      </c>
      <c r="K1" s="127" t="s">
        <v>744</v>
      </c>
      <c r="L1" s="127" t="s">
        <v>745</v>
      </c>
      <c r="M1" s="127" t="s">
        <v>201</v>
      </c>
      <c r="N1" s="127" t="s">
        <v>746</v>
      </c>
      <c r="O1" s="128" t="s">
        <v>572</v>
      </c>
      <c r="P1" s="127" t="s">
        <v>747</v>
      </c>
      <c r="Q1" s="128" t="s">
        <v>572</v>
      </c>
      <c r="R1" s="127" t="s">
        <v>748</v>
      </c>
      <c r="S1" s="127" t="s">
        <v>749</v>
      </c>
      <c r="T1" s="127" t="s">
        <v>750</v>
      </c>
      <c r="U1" s="127" t="s">
        <v>718</v>
      </c>
      <c r="V1" s="127" t="s">
        <v>719</v>
      </c>
      <c r="W1" s="127" t="s">
        <v>76</v>
      </c>
      <c r="X1" s="127" t="s">
        <v>751</v>
      </c>
      <c r="Y1" s="127" t="s">
        <v>752</v>
      </c>
    </row>
    <row r="2" customFormat="false" ht="15" hidden="false" customHeight="false" outlineLevel="0" collapsed="false">
      <c r="A2" s="20" t="s">
        <v>270</v>
      </c>
      <c r="B2" s="20" t="s">
        <v>259</v>
      </c>
      <c r="C2" s="20" t="s">
        <v>50</v>
      </c>
      <c r="D2" s="20" t="n">
        <v>52</v>
      </c>
      <c r="E2" s="20" t="s">
        <v>268</v>
      </c>
      <c r="F2" s="16" t="s">
        <v>323</v>
      </c>
      <c r="G2" s="20" t="s">
        <v>226</v>
      </c>
      <c r="H2" s="20" t="s">
        <v>753</v>
      </c>
      <c r="I2" s="1" t="n">
        <v>3</v>
      </c>
      <c r="J2" s="20" t="s">
        <v>754</v>
      </c>
      <c r="K2" s="20" t="s">
        <v>661</v>
      </c>
      <c r="L2" s="20" t="s">
        <v>704</v>
      </c>
      <c r="M2" s="20" t="s">
        <v>219</v>
      </c>
      <c r="N2" s="20" t="s">
        <v>755</v>
      </c>
      <c r="O2" s="1" t="n">
        <v>1</v>
      </c>
      <c r="P2" s="20" t="s">
        <v>756</v>
      </c>
      <c r="Q2" s="1" t="n">
        <v>1</v>
      </c>
      <c r="R2" s="20" t="s">
        <v>757</v>
      </c>
      <c r="S2" s="20" t="s">
        <v>350</v>
      </c>
      <c r="T2" s="20" t="s">
        <v>758</v>
      </c>
      <c r="U2" s="20" t="s">
        <v>722</v>
      </c>
      <c r="V2" s="20" t="s">
        <v>1</v>
      </c>
      <c r="W2" s="20" t="s">
        <v>723</v>
      </c>
      <c r="X2" s="20" t="s">
        <v>615</v>
      </c>
      <c r="Y2" s="20" t="s">
        <v>259</v>
      </c>
    </row>
    <row r="3" customFormat="false" ht="15" hidden="false" customHeight="false" outlineLevel="0" collapsed="false">
      <c r="A3" s="20" t="s">
        <v>254</v>
      </c>
      <c r="B3" s="20" t="s">
        <v>263</v>
      </c>
      <c r="C3" s="20" t="s">
        <v>759</v>
      </c>
      <c r="D3" s="20" t="n">
        <v>24</v>
      </c>
      <c r="E3" s="20" t="s">
        <v>48</v>
      </c>
      <c r="F3" s="16" t="s">
        <v>326</v>
      </c>
      <c r="G3" s="20" t="s">
        <v>227</v>
      </c>
      <c r="H3" s="20" t="s">
        <v>760</v>
      </c>
      <c r="I3" s="1" t="n">
        <v>4</v>
      </c>
      <c r="J3" s="20" t="s">
        <v>761</v>
      </c>
      <c r="K3" s="20" t="s">
        <v>762</v>
      </c>
      <c r="L3" s="20" t="s">
        <v>21</v>
      </c>
      <c r="M3" s="20" t="s">
        <v>763</v>
      </c>
      <c r="N3" s="20" t="s">
        <v>764</v>
      </c>
      <c r="O3" s="1" t="n">
        <v>2</v>
      </c>
      <c r="P3" s="20" t="s">
        <v>765</v>
      </c>
      <c r="Q3" s="1" t="n">
        <v>2</v>
      </c>
      <c r="R3" s="20" t="s">
        <v>766</v>
      </c>
      <c r="S3" s="20" t="s">
        <v>767</v>
      </c>
      <c r="T3" s="20" t="s">
        <v>768</v>
      </c>
      <c r="U3" s="20" t="s">
        <v>534</v>
      </c>
      <c r="V3" s="20" t="s">
        <v>73</v>
      </c>
      <c r="W3" s="20" t="s">
        <v>769</v>
      </c>
      <c r="X3" s="20" t="s">
        <v>616</v>
      </c>
      <c r="Y3" s="20" t="s">
        <v>263</v>
      </c>
    </row>
    <row r="4" customFormat="false" ht="15" hidden="false" customHeight="false" outlineLevel="0" collapsed="false">
      <c r="A4" s="20" t="s">
        <v>266</v>
      </c>
      <c r="C4" s="20" t="s">
        <v>257</v>
      </c>
      <c r="D4" s="20" t="n">
        <v>12</v>
      </c>
      <c r="E4" s="20" t="s">
        <v>280</v>
      </c>
      <c r="F4" s="16" t="s">
        <v>299</v>
      </c>
      <c r="G4" s="20" t="s">
        <v>23</v>
      </c>
      <c r="H4" s="20" t="s">
        <v>770</v>
      </c>
      <c r="I4" s="1" t="n">
        <v>6</v>
      </c>
      <c r="L4" s="20" t="s">
        <v>705</v>
      </c>
      <c r="N4" s="20" t="s">
        <v>771</v>
      </c>
      <c r="O4" s="1" t="n">
        <v>3</v>
      </c>
      <c r="P4" s="20" t="s">
        <v>772</v>
      </c>
      <c r="Q4" s="1" t="n">
        <v>3</v>
      </c>
      <c r="R4" s="20" t="s">
        <v>773</v>
      </c>
      <c r="T4" s="20" t="s">
        <v>285</v>
      </c>
      <c r="U4" s="20" t="s">
        <v>546</v>
      </c>
      <c r="V4" s="20" t="s">
        <v>330</v>
      </c>
      <c r="W4" s="20" t="s">
        <v>774</v>
      </c>
      <c r="Y4" s="20" t="s">
        <v>775</v>
      </c>
    </row>
    <row r="5" customFormat="false" ht="15" hidden="false" customHeight="false" outlineLevel="0" collapsed="false">
      <c r="A5" s="20" t="s">
        <v>258</v>
      </c>
      <c r="C5" s="20" t="s">
        <v>776</v>
      </c>
      <c r="D5" s="20" t="n">
        <v>6</v>
      </c>
      <c r="E5" s="20" t="s">
        <v>291</v>
      </c>
      <c r="F5" s="16" t="s">
        <v>306</v>
      </c>
      <c r="G5" s="20" t="s">
        <v>228</v>
      </c>
      <c r="H5" s="20" t="s">
        <v>777</v>
      </c>
      <c r="I5" s="1" t="n">
        <v>3</v>
      </c>
      <c r="L5" s="20" t="s">
        <v>285</v>
      </c>
      <c r="T5" s="20" t="s">
        <v>778</v>
      </c>
      <c r="V5" s="20" t="s">
        <v>734</v>
      </c>
    </row>
    <row r="6" customFormat="false" ht="15" hidden="false" customHeight="false" outlineLevel="0" collapsed="false">
      <c r="A6" s="20" t="s">
        <v>334</v>
      </c>
      <c r="C6" s="20" t="s">
        <v>779</v>
      </c>
      <c r="D6" s="20" t="n">
        <v>4</v>
      </c>
      <c r="E6" s="20" t="s">
        <v>301</v>
      </c>
      <c r="F6" s="16" t="s">
        <v>276</v>
      </c>
      <c r="H6" s="20" t="s">
        <v>780</v>
      </c>
      <c r="I6" s="1" t="n">
        <v>4</v>
      </c>
      <c r="L6" s="20" t="s">
        <v>699</v>
      </c>
      <c r="T6" s="20" t="s">
        <v>781</v>
      </c>
      <c r="V6" s="20" t="s">
        <v>782</v>
      </c>
    </row>
    <row r="7" customFormat="false" ht="15" hidden="false" customHeight="false" outlineLevel="0" collapsed="false">
      <c r="C7" s="20" t="s">
        <v>304</v>
      </c>
      <c r="D7" s="20" t="n">
        <v>3</v>
      </c>
      <c r="E7" s="20" t="s">
        <v>307</v>
      </c>
      <c r="F7" s="16" t="s">
        <v>317</v>
      </c>
      <c r="H7" s="20" t="s">
        <v>783</v>
      </c>
      <c r="I7" s="1" t="n">
        <v>4</v>
      </c>
      <c r="L7" s="20" t="s">
        <v>228</v>
      </c>
      <c r="T7" s="20" t="s">
        <v>784</v>
      </c>
      <c r="V7" s="20" t="s">
        <v>732</v>
      </c>
    </row>
    <row r="8" customFormat="false" ht="15" hidden="false" customHeight="false" outlineLevel="0" collapsed="false">
      <c r="C8" s="20" t="s">
        <v>289</v>
      </c>
      <c r="D8" s="20" t="n">
        <v>2</v>
      </c>
      <c r="E8" s="20" t="s">
        <v>313</v>
      </c>
      <c r="F8" s="16" t="s">
        <v>285</v>
      </c>
      <c r="T8" s="20" t="s">
        <v>228</v>
      </c>
    </row>
    <row r="9" customFormat="false" ht="15" hidden="false" customHeight="false" outlineLevel="0" collapsed="false">
      <c r="C9" s="20" t="s">
        <v>262</v>
      </c>
      <c r="D9" s="20" t="n">
        <v>1</v>
      </c>
      <c r="E9" s="20" t="s">
        <v>318</v>
      </c>
      <c r="F9" s="16" t="s">
        <v>310</v>
      </c>
    </row>
    <row r="10" customFormat="false" ht="15" hidden="false" customHeight="false" outlineLevel="0" collapsed="false">
      <c r="C10" s="20" t="s">
        <v>785</v>
      </c>
      <c r="D10" s="20" t="n">
        <v>0.5</v>
      </c>
      <c r="E10" s="20" t="s">
        <v>321</v>
      </c>
      <c r="F10" s="16" t="s">
        <v>17</v>
      </c>
    </row>
    <row r="11" customFormat="false" ht="15" hidden="false" customHeight="false" outlineLevel="0" collapsed="false">
      <c r="C11" s="20" t="s">
        <v>298</v>
      </c>
      <c r="D11" s="20" t="s">
        <v>786</v>
      </c>
      <c r="E11" s="20" t="s">
        <v>326</v>
      </c>
      <c r="F11" s="16" t="s">
        <v>15</v>
      </c>
    </row>
    <row r="12" customFormat="false" ht="15" hidden="false" customHeight="false" outlineLevel="0" collapsed="false">
      <c r="C12" s="20" t="s">
        <v>265</v>
      </c>
      <c r="D12" s="20" t="s">
        <v>786</v>
      </c>
      <c r="E12" s="20" t="s">
        <v>276</v>
      </c>
    </row>
    <row r="13" customFormat="false" ht="15" hidden="false" customHeight="false" outlineLevel="0" collapsed="false">
      <c r="E13" s="20" t="s">
        <v>331</v>
      </c>
    </row>
    <row r="14" customFormat="false" ht="15" hidden="false" customHeight="false" outlineLevel="0" collapsed="false">
      <c r="E14" s="20" t="s">
        <v>17</v>
      </c>
    </row>
    <row r="15" customFormat="false" ht="15" hidden="false" customHeight="false" outlineLevel="0" collapsed="false">
      <c r="E15" s="20" t="s">
        <v>222</v>
      </c>
    </row>
    <row r="16" customFormat="false" ht="15" hidden="false" customHeight="false" outlineLevel="0" collapsed="false">
      <c r="E16" s="20" t="s">
        <v>13</v>
      </c>
    </row>
    <row r="17" customFormat="false" ht="15" hidden="false" customHeight="false" outlineLevel="0" collapsed="false">
      <c r="E17" s="20" t="s">
        <v>334</v>
      </c>
    </row>
    <row r="18" customFormat="false" ht="15" hidden="false" customHeight="false" outlineLevel="0" collapsed="false">
      <c r="E18" s="20" t="s">
        <v>15</v>
      </c>
    </row>
    <row r="19" customFormat="false" ht="15" hidden="false" customHeight="false" outlineLevel="0" collapsed="false">
      <c r="E19" s="20" t="s">
        <v>787</v>
      </c>
    </row>
    <row r="20" customFormat="false" ht="15" hidden="false" customHeight="false" outlineLevel="0" collapsed="false">
      <c r="B20" s="129" t="s">
        <v>788</v>
      </c>
    </row>
  </sheetData>
  <printOptions headings="false" gridLines="false" gridLinesSet="true" horizontalCentered="false" verticalCentered="false"/>
  <pageMargins left="0.4" right="0.4"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2026-09-25T13:07:21Z</dcterms:created>
  <dc:creator>openpyxl</dc:creator>
  <dc:description/>
  <dc:language>en-US</dc:language>
  <cp:lastModifiedBy/>
  <dcterms:modified xsi:type="dcterms:W3CDTF">2026-09-25T13:07:21Z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