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Panel" sheetId="2" state="visible" r:id="rId4"/>
    <sheet name="Datos" sheetId="3" state="visible" r:id="rId5"/>
    <sheet name="Plan de pago" sheetId="4" state="visible" r:id="rId6"/>
    <sheet name="Crédito 1" sheetId="5" state="visible" r:id="rId7"/>
    <sheet name="Crédito 2" sheetId="6" state="visible" r:id="rId8"/>
    <sheet name="Crédito 3" sheetId="7" state="visible" r:id="rId9"/>
    <sheet name="Crédito 4" sheetId="8" state="visible" r:id="rId10"/>
    <sheet name="Crédito 5" sheetId="9" state="visible" r:id="rId11"/>
    <sheet name="Crédito 6" sheetId="10" state="visible" r:id="rId12"/>
    <sheet name="Crédito 7" sheetId="11" state="visible" r:id="rId13"/>
    <sheet name="Crédito 8" sheetId="12" state="visible" r:id="rId14"/>
    <sheet name="Listas" sheetId="13" state="visible" r:id="rId15"/>
  </sheets>
  <definedNames>
    <definedName function="false" hidden="false" localSheetId="4" name="_xlnm.Print_Titles" vbProcedure="false">'Crédito 1'!$26:$26</definedName>
    <definedName function="false" hidden="false" localSheetId="5" name="_xlnm.Print_Titles" vbProcedure="false">'Crédito 2'!$26:$26</definedName>
    <definedName function="false" hidden="false" localSheetId="6" name="_xlnm.Print_Titles" vbProcedure="false">'Crédito 3'!$26:$26</definedName>
    <definedName function="false" hidden="false" localSheetId="7" name="_xlnm.Print_Titles" vbProcedure="false">'Crédito 4'!$26:$26</definedName>
    <definedName function="false" hidden="false" localSheetId="8" name="_xlnm.Print_Titles" vbProcedure="false">'Crédito 5'!$26:$26</definedName>
    <definedName function="false" hidden="false" localSheetId="9" name="_xlnm.Print_Titles" vbProcedure="false">'Crédito 6'!$26:$26</definedName>
    <definedName function="false" hidden="false" localSheetId="10" name="_xlnm.Print_Titles" vbProcedure="false">'Crédito 7'!$26:$26</definedName>
    <definedName function="false" hidden="false" localSheetId="11" name="_xlnm.Print_Titles" vbProcedure="false">'Crédito 8'!$26:$26</definedName>
    <definedName function="false" hidden="false" localSheetId="3" name="_xlnm.Print_Area" vbProcedure="false">'Plan de pago'!$B$1:$P$21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<sst xmlns="http://schemas.openxmlformats.org/spreadsheetml/2006/main" count="771" uniqueCount="228">
  <si>
    <t xml:space="preserve">Control de Créditos</t>
  </si>
  <si>
    <t xml:space="preserve">Cliente</t>
  </si>
  <si>
    <t xml:space="preserve">Cómo se usa</t>
  </si>
  <si>
    <t xml:space="preserve">#</t>
  </si>
  <si>
    <t xml:space="preserve">Cuándo</t>
  </si>
  <si>
    <t xml:space="preserve">Qué hacer</t>
  </si>
  <si>
    <t xml:space="preserve">Una sola vez</t>
  </si>
  <si>
    <t xml:space="preserve">Hoja Datos: ingresos y tasa de cambio. Cada hoja Crédito: nombre, saldo, fecha de la primera cuota, tasa y cuota (o plazo).</t>
  </si>
  <si>
    <t xml:space="preserve">Cada mes</t>
  </si>
  <si>
    <t xml:space="preserve">En cada crédito, escribe "Sí" en Pagado y la fecha real de pago de la cuota del mes.</t>
  </si>
  <si>
    <t xml:space="preserve">Si abonas extra</t>
  </si>
  <si>
    <t xml:space="preserve">Escribe el valor en la columna Abono extra del mes en que lo hiciste. El saldo y la fecha fin se recalculan.</t>
  </si>
  <si>
    <t xml:space="preserve">Si cambia la cuota</t>
  </si>
  <si>
    <t xml:space="preserve">Escribe la nueva cuota en "Cuota distinta este mes" (por ejemplo, un mes con cuota especial).</t>
  </si>
  <si>
    <t xml:space="preserve">Para revisar</t>
  </si>
  <si>
    <t xml:space="preserve">Panel: deuda total, pagos del mes, calendario, cuotas vencidas y el plan de pago.</t>
  </si>
  <si>
    <t xml:space="preserve">Plan de pago</t>
  </si>
  <si>
    <t xml:space="preserve">Elige el método. El Panel muestra a qué crédito va el abono extra del próximo mes.</t>
  </si>
  <si>
    <t xml:space="preserve">Casos especiales</t>
  </si>
  <si>
    <t xml:space="preserve">Préstamo familiar sin interés</t>
  </si>
  <si>
    <t xml:space="preserve">Tasa 0% y "¿Acepta abonos extra?" = No si se acordó pagar a un ritmo fijo.</t>
  </si>
  <si>
    <t xml:space="preserve">Hipotecario con FRECH</t>
  </si>
  <si>
    <t xml:space="preserve">Escribe los puntos de tasa cubiertos y hasta qué cuota. Si no se debe abonar antes de cierta cuota, escríbela en "Abonos extra desde".</t>
  </si>
  <si>
    <t xml:space="preserve">Crédito que ya va avanzado</t>
  </si>
  <si>
    <t xml:space="preserve">Usa el saldo actual del extracto, la fecha de la próxima cuota y su número.</t>
  </si>
  <si>
    <t xml:space="preserve">Ingresos en dólares</t>
  </si>
  <si>
    <t xml:space="preserve">Hoja Datos: moneda USD y la tasa de cambio que te pagan. Mira la tabla de sensibilidad.</t>
  </si>
  <si>
    <t xml:space="preserve">Leyenda</t>
  </si>
  <si>
    <t xml:space="preserve">Dato que llenas</t>
  </si>
  <si>
    <t xml:space="preserve">Celda para llenar o actualizar.</t>
  </si>
  <si>
    <t xml:space="preserve">Por confirmar</t>
  </si>
  <si>
    <t xml:space="preserve">Dato pendiente de confirmar.</t>
  </si>
  <si>
    <t xml:space="preserve">Cálculo automático</t>
  </si>
  <si>
    <t xml:space="preserve">Fórmula: no se edita.</t>
  </si>
  <si>
    <t xml:space="preserve">Cifras en pesos. Los cálculos son una guía: confirma saldos y cuotas con los extractos de cada entidad.</t>
  </si>
  <si>
    <t xml:space="preserve">Panel de créditos</t>
  </si>
  <si>
    <t xml:space="preserve">Se actualiza solo: marca "Sí" en Pagado en cada crédito y aquí cambian saldos, calendario y proyección.</t>
  </si>
  <si>
    <t xml:space="preserve">Deuda total hoy</t>
  </si>
  <si>
    <t xml:space="preserve">Pago del próximo mes</t>
  </si>
  <si>
    <t xml:space="preserve">Intereses por pagar</t>
  </si>
  <si>
    <t xml:space="preserve">Capital ya pagado</t>
  </si>
  <si>
    <t xml:space="preserve">Libre de deudas (con el plan)</t>
  </si>
  <si>
    <t xml:space="preserve">Cuotas vencidas sin marcar</t>
  </si>
  <si>
    <t xml:space="preserve">Carga financiera (deudas / ingreso):</t>
  </si>
  <si>
    <t xml:space="preserve">1. Resumen de créditos</t>
  </si>
  <si>
    <t xml:space="preserve">Crédito</t>
  </si>
  <si>
    <t xml:space="preserve">Saldo actual</t>
  </si>
  <si>
    <t xml:space="preserve">Tasa EA</t>
  </si>
  <si>
    <t xml:space="preserve">Próximo pago</t>
  </si>
  <si>
    <t xml:space="preserve">Cuotas restantes</t>
  </si>
  <si>
    <t xml:space="preserve">Fecha fin</t>
  </si>
  <si>
    <t xml:space="preserve">Intereses pendientes</t>
  </si>
  <si>
    <t xml:space="preserve">Total pendiente</t>
  </si>
  <si>
    <t xml:space="preserve">% capital pagado</t>
  </si>
  <si>
    <t xml:space="preserve">Estado</t>
  </si>
  <si>
    <t xml:space="preserve">Entidad</t>
  </si>
  <si>
    <t xml:space="preserve">Base %</t>
  </si>
  <si>
    <t xml:space="preserve">Total</t>
  </si>
  <si>
    <t xml:space="preserve">2. Calendario: próxima cuota de cada crédito (ordenado por fecha)</t>
  </si>
  <si>
    <t xml:space="preserve">3. Pagos según el día del mes</t>
  </si>
  <si>
    <t xml:space="preserve">Próxima fecha</t>
  </si>
  <si>
    <t xml:space="preserve">Monto a pagar</t>
  </si>
  <si>
    <t xml:space="preserve">Día</t>
  </si>
  <si>
    <t xml:space="preserve">Días 1 a 10</t>
  </si>
  <si>
    <t xml:space="preserve">Días 11 a 20</t>
  </si>
  <si>
    <t xml:space="preserve">Días 21 a 31</t>
  </si>
  <si>
    <t xml:space="preserve">Ten ese dinero en la cuenta antes de cada tramo.</t>
  </si>
  <si>
    <t xml:space="preserve">Total del mes</t>
  </si>
  <si>
    <t xml:space="preserve">4. Plan de pago (hoja Plan de pago)</t>
  </si>
  <si>
    <t xml:space="preserve">Abono extra sugerido el próximo mes</t>
  </si>
  <si>
    <t xml:space="preserve">Valor</t>
  </si>
  <si>
    <t xml:space="preserve">Método</t>
  </si>
  <si>
    <t xml:space="preserve">Pago mensual total del plan</t>
  </si>
  <si>
    <t xml:space="preserve">Intereses y seguros solo con cuotas</t>
  </si>
  <si>
    <t xml:space="preserve">Intereses y seguros con el plan</t>
  </si>
  <si>
    <t xml:space="preserve">Ahorro con el plan</t>
  </si>
  <si>
    <t xml:space="preserve">Si el valor es 0, este mes solo se pagan las cuotas normales.</t>
  </si>
  <si>
    <t xml:space="preserve">5. Hitos: cuándo termina cada crédito y cuánto se libera (con las cuotas actuales)</t>
  </si>
  <si>
    <t xml:space="preserve">Termina</t>
  </si>
  <si>
    <t xml:space="preserve">Cuota que se libera</t>
  </si>
  <si>
    <t xml:space="preserve">Pago mensual después (cuotas completas)</t>
  </si>
  <si>
    <t xml:space="preserve">Años desde hoy</t>
  </si>
  <si>
    <t xml:space="preserve">Carga después</t>
  </si>
  <si>
    <t xml:space="preserve">6. Deuda año por año</t>
  </si>
  <si>
    <t xml:space="preserve">Año</t>
  </si>
  <si>
    <t xml:space="preserve">Deuda al cierre con el plan</t>
  </si>
  <si>
    <t xml:space="preserve">Deuda al cierre solo con cuotas</t>
  </si>
  <si>
    <t xml:space="preserve">Pagos del año con el plan</t>
  </si>
  <si>
    <t xml:space="preserve">Carga promedio</t>
  </si>
  <si>
    <t xml:space="preserve">7. Para la plantilla de asesoría (copiar y pegar como valores en la hoja Deudas, desde la columna B)</t>
  </si>
  <si>
    <t xml:space="preserve">Deuda</t>
  </si>
  <si>
    <t xml:space="preserve">Tipo</t>
  </si>
  <si>
    <t xml:space="preserve">Saldo</t>
  </si>
  <si>
    <t xml:space="preserve">Cuota mínima mensual</t>
  </si>
  <si>
    <t xml:space="preserve">¿Acepta abonos extra?</t>
  </si>
  <si>
    <t xml:space="preserve">Abonos extra desde</t>
  </si>
  <si>
    <t xml:space="preserve">Cuota mínima = lo que paga el cliente cada mes (sin abonos extra y descontando el subsidio FRECH vigente).</t>
  </si>
  <si>
    <t xml:space="preserve">Datos generales, ingresos y carga financiera</t>
  </si>
  <si>
    <t xml:space="preserve">Celdas crema: datos que llenas. La fecha de corte por defecto es hoy.</t>
  </si>
  <si>
    <t xml:space="preserve">Asesor o marca</t>
  </si>
  <si>
    <t xml:space="preserve">Fecha de corte</t>
  </si>
  <si>
    <t xml:space="preserve">Define qué cuotas están vencidas.</t>
  </si>
  <si>
    <t xml:space="preserve">Tasa de cambio (pesos por dólar)</t>
  </si>
  <si>
    <t xml:space="preserve">La tasa que realmente te pagan.</t>
  </si>
  <si>
    <t xml:space="preserve">Ingreso</t>
  </si>
  <si>
    <t xml:space="preserve">Moneda</t>
  </si>
  <si>
    <t xml:space="preserve">Valor mensual en su moneda</t>
  </si>
  <si>
    <t xml:space="preserve">Meses al año que llega</t>
  </si>
  <si>
    <t xml:space="preserve">Promedio mensual en pesos</t>
  </si>
  <si>
    <t xml:space="preserve">Nota</t>
  </si>
  <si>
    <t xml:space="preserve">COP</t>
  </si>
  <si>
    <t xml:space="preserve">Ingreso mensual promedio</t>
  </si>
  <si>
    <t xml:space="preserve">De ese ingreso, dólares al mes (promedio)</t>
  </si>
  <si>
    <t xml:space="preserve">Gastos de vida al mes (sin deudas)</t>
  </si>
  <si>
    <t xml:space="preserve">Opcional. Mercado, servicios, transporte, etc.</t>
  </si>
  <si>
    <t xml:space="preserve">Pagos de deudas del próximo mes</t>
  </si>
  <si>
    <t xml:space="preserve">Carga financiera (deudas / ingreso)</t>
  </si>
  <si>
    <t xml:space="preserve">Disponible después de deudas y gastos</t>
  </si>
  <si>
    <t xml:space="preserve">Si la tasa de cambio fuera... (solo si hay ingresos en dólares)</t>
  </si>
  <si>
    <t xml:space="preserve">Tasa de cambio</t>
  </si>
  <si>
    <t xml:space="preserve">Ingreso mensual</t>
  </si>
  <si>
    <t xml:space="preserve">Carga financiera</t>
  </si>
  <si>
    <t xml:space="preserve">Disponible</t>
  </si>
  <si>
    <t xml:space="preserve">Plan de pago: con plan frente a solo cuotas</t>
  </si>
  <si>
    <t xml:space="preserve">Con el plan, el pago total se mantiene: cuando un crédito termina, su cuota pasa como abono al siguiente de la lista.</t>
  </si>
  <si>
    <t xml:space="preserve">Avalancha</t>
  </si>
  <si>
    <t xml:space="preserve">Avalancha: mayor tasa primero. Bola de nieve: menor saldo primero. Orden manual: escribe el orden en la columna J.</t>
  </si>
  <si>
    <t xml:space="preserve">Dinero extra adicional al mes</t>
  </si>
  <si>
    <t xml:space="preserve">0 = el plan solo usa las cuotas que se liberan.</t>
  </si>
  <si>
    <t xml:space="preserve">Primer mes del plan</t>
  </si>
  <si>
    <t xml:space="preserve">Tasa mensual</t>
  </si>
  <si>
    <t xml:space="preserve">Cuota</t>
  </si>
  <si>
    <t xml:space="preserve">Seguros</t>
  </si>
  <si>
    <t xml:space="preserve">¿Acepta abonos?</t>
  </si>
  <si>
    <t xml:space="preserve">Abonos desde</t>
  </si>
  <si>
    <t xml:space="preserve">Orden manual</t>
  </si>
  <si>
    <t xml:space="preserve">Orden</t>
  </si>
  <si>
    <t xml:space="preserve">Termina solo con cuotas</t>
  </si>
  <si>
    <t xml:space="preserve">Termina con el plan</t>
  </si>
  <si>
    <t xml:space="preserve">Meses antes</t>
  </si>
  <si>
    <t xml:space="preserve">clave</t>
  </si>
  <si>
    <t xml:space="preserve">fila</t>
  </si>
  <si>
    <t xml:space="preserve">Ahorro en intereses con el plan</t>
  </si>
  <si>
    <t xml:space="preserve">El FRECH no cambia el plan: el gobierno paga parte de la cuota y el saldo baja igual.</t>
  </si>
  <si>
    <t xml:space="preserve">Motor del plan (mes a mes)</t>
  </si>
  <si>
    <t xml:space="preserve">Mes</t>
  </si>
  <si>
    <t xml:space="preserve">Fecha</t>
  </si>
  <si>
    <t xml:space="preserve">Disponible para extra</t>
  </si>
  <si>
    <t xml:space="preserve">Debe</t>
  </si>
  <si>
    <t xml:space="preserve">Extra</t>
  </si>
  <si>
    <t xml:space="preserve">Solo cuotas 1</t>
  </si>
  <si>
    <t xml:space="preserve">Solo cuotas 2</t>
  </si>
  <si>
    <t xml:space="preserve">Solo cuotas 3</t>
  </si>
  <si>
    <t xml:space="preserve">Solo cuotas 4</t>
  </si>
  <si>
    <t xml:space="preserve">Solo cuotas 5</t>
  </si>
  <si>
    <t xml:space="preserve">Solo cuotas 6</t>
  </si>
  <si>
    <t xml:space="preserve">Solo cuotas 7</t>
  </si>
  <si>
    <t xml:space="preserve">Solo cuotas 8</t>
  </si>
  <si>
    <t xml:space="preserve">Deuda con el plan</t>
  </si>
  <si>
    <t xml:space="preserve">Deuda solo con cuotas</t>
  </si>
  <si>
    <t xml:space="preserve">Pago del mes con el plan</t>
  </si>
  <si>
    <t xml:space="preserve">Llena los datos una vez. Cada mes marca "Sí" en Pagado y la fecha real. Si haces un abono extra, escríbelo en su mes.</t>
  </si>
  <si>
    <t xml:space="preserve">Datos del crédito</t>
  </si>
  <si>
    <t xml:space="preserve">Cálculos</t>
  </si>
  <si>
    <t xml:space="preserve">Estado actual</t>
  </si>
  <si>
    <t xml:space="preserve">Nombre del crédito</t>
  </si>
  <si>
    <t xml:space="preserve">Crédito activo</t>
  </si>
  <si>
    <t xml:space="preserve">Entidad o acreedor</t>
  </si>
  <si>
    <t xml:space="preserve">Cuotas marcadas como pagadas</t>
  </si>
  <si>
    <t xml:space="preserve">Tasa mensual cubierta por FRECH</t>
  </si>
  <si>
    <t xml:space="preserve">Próxima cuota N.º</t>
  </si>
  <si>
    <t xml:space="preserve">Saldo al inicio de la tabla</t>
  </si>
  <si>
    <t xml:space="preserve">Cuota usada</t>
  </si>
  <si>
    <t xml:space="preserve">Próxima fecha de pago</t>
  </si>
  <si>
    <t xml:space="preserve">Fecha de la primera cuota de la tabla</t>
  </si>
  <si>
    <t xml:space="preserve">Día de pago</t>
  </si>
  <si>
    <t xml:space="preserve">Próximo pago (lo que pagas)</t>
  </si>
  <si>
    <t xml:space="preserve">Número de esa cuota (1 si es nuevo)</t>
  </si>
  <si>
    <t xml:space="preserve">Abonos extra desde (fecha)</t>
  </si>
  <si>
    <t xml:space="preserve">Plazo total en cuotas (opcional)</t>
  </si>
  <si>
    <t xml:space="preserve">Tasa efectiva anual</t>
  </si>
  <si>
    <t xml:space="preserve">Fila de la próxima cuota</t>
  </si>
  <si>
    <t xml:space="preserve">Cuota mensual del banco (con seguros)</t>
  </si>
  <si>
    <t xml:space="preserve">Si no sabes la cuota, deja la celda vacía y escribe el plazo: se calcula sola.</t>
  </si>
  <si>
    <t xml:space="preserve">Total pendiente por pagar</t>
  </si>
  <si>
    <t xml:space="preserve">Seguros y cargos incluidos en la cuota</t>
  </si>
  <si>
    <t xml:space="preserve">% del capital pagado</t>
  </si>
  <si>
    <t xml:space="preserve">Monto original (opcional)</t>
  </si>
  <si>
    <t xml:space="preserve">% de cuotas pagadas</t>
  </si>
  <si>
    <t xml:space="preserve">Sí</t>
  </si>
  <si>
    <t xml:space="preserve">Abonos extra desde la cuota N.º (opcional)</t>
  </si>
  <si>
    <t xml:space="preserve">Cuota que se libera al terminar</t>
  </si>
  <si>
    <t xml:space="preserve">FRECH: puntos de tasa EA que cubre el gobierno</t>
  </si>
  <si>
    <t xml:space="preserve">FRECH: cobertura hasta la cuota N.º</t>
  </si>
  <si>
    <t xml:space="preserve">Simuladores (no cambian la tabla)</t>
  </si>
  <si>
    <t xml:space="preserve">Si pagara este extra fijo cada mes</t>
  </si>
  <si>
    <t xml:space="preserve">Terminaría en (meses)</t>
  </si>
  <si>
    <t xml:space="preserve">Para terminar en este número de meses</t>
  </si>
  <si>
    <t xml:space="preserve">Cuota necesaria (con seguros)</t>
  </si>
  <si>
    <t xml:space="preserve">Intereses aprox.</t>
  </si>
  <si>
    <t xml:space="preserve">Verde: pagada. Azul: próxima. Rojo: vencida sin marcar. Columnas crema: se llenan a mano.</t>
  </si>
  <si>
    <t xml:space="preserve">N.º cuota</t>
  </si>
  <si>
    <t xml:space="preserve">Saldo inicial</t>
  </si>
  <si>
    <t xml:space="preserve">Interés</t>
  </si>
  <si>
    <t xml:space="preserve">Seguros y cargos</t>
  </si>
  <si>
    <t xml:space="preserve">Subsidio FRECH</t>
  </si>
  <si>
    <t xml:space="preserve">Cuota del mes</t>
  </si>
  <si>
    <t xml:space="preserve">Cuota distinta este mes</t>
  </si>
  <si>
    <t xml:space="preserve">Abono extra</t>
  </si>
  <si>
    <t xml:space="preserve">Pago total</t>
  </si>
  <si>
    <t xml:space="preserve">Abono a capital</t>
  </si>
  <si>
    <t xml:space="preserve">Saldo final</t>
  </si>
  <si>
    <t xml:space="preserve">Lo que pagas</t>
  </si>
  <si>
    <t xml:space="preserve">Pagado</t>
  </si>
  <si>
    <t xml:space="preserve">Fecha real de pago</t>
  </si>
  <si>
    <t xml:space="preserve">aux</t>
  </si>
  <si>
    <t xml:space="preserve">Tipo de crédito</t>
  </si>
  <si>
    <t xml:space="preserve">Sí / No</t>
  </si>
  <si>
    <t xml:space="preserve">Tarjeta de crédito</t>
  </si>
  <si>
    <t xml:space="preserve">Libre inversión</t>
  </si>
  <si>
    <t xml:space="preserve">No</t>
  </si>
  <si>
    <t xml:space="preserve">Bola de nieve</t>
  </si>
  <si>
    <t xml:space="preserve">USD</t>
  </si>
  <si>
    <t xml:space="preserve">Vehículo</t>
  </si>
  <si>
    <t xml:space="preserve">Hipotecario</t>
  </si>
  <si>
    <t xml:space="preserve">Libranza</t>
  </si>
  <si>
    <t xml:space="preserve">Informal</t>
  </si>
  <si>
    <t xml:space="preserve">Otro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</si>
</sst>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\$#,##0;[RED]&quot;($&quot;#,##0\);\-"/>
    <numFmt numFmtId="167" formatCode="0.0%"/>
    <numFmt numFmtId="168" formatCode="mmm\ yyyy"/>
    <numFmt numFmtId="169" formatCode="0.00%"/>
    <numFmt numFmtId="170" formatCode="dd/mm/yyyy"/>
    <numFmt numFmtId="171" formatCode="0.0"/>
    <numFmt numFmtId="172" formatCode="#,##0.00"/>
    <numFmt numFmtId="173" formatCode="#,##0"/>
    <numFmt numFmtId="174" formatCode="&quot;US$&quot;#,##0;[RED]&quot;(US$&quot;#,##0\);\-"/>
    <numFmt numFmtId="175" formatCode="0.000%"/>
    <numFmt numFmtId="176" formatCode="0.00"/>
    <numFmt numFmtId="177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2"/>
      <color rgb="FFC8A04A"/>
      <name val="Arial"/>
      <family val="0"/>
      <charset val="1"/>
    </font>
    <font>
      <b val="true"/>
      <sz val="10"/>
      <color rgb="FF0E3B43"/>
      <name val="Arial"/>
      <family val="0"/>
      <charset val="1"/>
    </font>
    <font>
      <b val="true"/>
      <sz val="10"/>
      <color rgb="FF1D6A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2A2C"/>
      <name val="Arial"/>
      <family val="0"/>
      <charset val="1"/>
    </font>
    <font>
      <sz val="10"/>
      <color rgb="FF1E2A2C"/>
      <name val="Arial"/>
      <family val="0"/>
      <charset val="1"/>
    </font>
    <font>
      <sz val="10"/>
      <color rgb="FF1F4E9E"/>
      <name val="Arial"/>
      <family val="0"/>
      <charset val="1"/>
    </font>
    <font>
      <i val="true"/>
      <sz val="9"/>
      <color rgb="FF5F6B6D"/>
      <name val="Arial"/>
      <family val="0"/>
      <charset val="1"/>
    </font>
    <font>
      <b val="true"/>
      <sz val="16"/>
      <color rgb="FF0E3B43"/>
      <name val="Arial"/>
      <family val="0"/>
      <charset val="1"/>
    </font>
    <font>
      <i val="true"/>
      <sz val="9"/>
      <color rgb="FF1D6A7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0E3B43"/>
      <name val="Arial"/>
      <family val="0"/>
      <charset val="1"/>
    </font>
    <font>
      <sz val="10"/>
      <color rgb="FFBBBBB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1D6A72"/>
      <name val="Arial"/>
      <family val="0"/>
      <charset val="1"/>
    </font>
    <font>
      <i val="true"/>
      <sz val="10"/>
      <color rgb="FF5F6B6D"/>
      <name val="Arial"/>
      <family val="0"/>
      <charset val="1"/>
    </font>
    <font>
      <sz val="10"/>
      <color rgb="FF5F6B6D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E3B43"/>
        <bgColor rgb="FF1E2A2C"/>
      </patternFill>
    </fill>
    <fill>
      <patternFill patternType="solid">
        <fgColor rgb="FFC8A04A"/>
        <bgColor rgb="FFB7791F"/>
      </patternFill>
    </fill>
    <fill>
      <patternFill patternType="solid">
        <fgColor rgb="FF1D6A72"/>
        <bgColor rgb="FF008080"/>
      </patternFill>
    </fill>
    <fill>
      <patternFill patternType="solid">
        <fgColor rgb="FFFFF8E6"/>
        <bgColor rgb="FFFFFFFF"/>
      </patternFill>
    </fill>
    <fill>
      <patternFill patternType="solid">
        <fgColor rgb="FFFDE9B8"/>
        <bgColor rgb="FFFCEBC5"/>
      </patternFill>
    </fill>
    <fill>
      <patternFill patternType="solid">
        <fgColor rgb="FFE6EFEF"/>
        <bgColor rgb="FFE3F1E0"/>
      </patternFill>
    </fill>
    <fill>
      <patternFill patternType="solid">
        <fgColor rgb="FF5F6B6D"/>
        <bgColor rgb="FF878787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6D7"/>
      </bottom>
      <diagonal/>
    </border>
    <border diagonalUp="false" diagonalDown="false">
      <left style="thin">
        <color rgb="FFE3D3A8"/>
      </left>
      <right style="thin">
        <color rgb="FFE3D3A8"/>
      </right>
      <top style="thin">
        <color rgb="FFE3D3A8"/>
      </top>
      <bottom style="thin">
        <color rgb="FFE3D3A8"/>
      </bottom>
      <diagonal/>
    </border>
    <border diagonalUp="false" diagonalDown="false">
      <left/>
      <right/>
      <top/>
      <bottom style="medium">
        <color rgb="FFC8A0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b val="1"/>
        <color rgb="FFB3261E"/>
        <sz val="14"/>
      </font>
    </dxf>
    <dxf>
      <font>
        <b val="1"/>
        <color rgb="FFB3261E"/>
      </font>
    </dxf>
    <dxf>
      <font>
        <b val="1"/>
        <color rgb="FF2E7D32"/>
      </font>
    </dxf>
    <dxf>
      <font>
        <b val="1"/>
        <color rgb="FFB3261E"/>
      </font>
      <fill>
        <patternFill>
          <bgColor rgb="FFF6D5D3"/>
        </patternFill>
      </fill>
    </dxf>
    <dxf>
      <font>
        <b val="1"/>
        <color rgb="FFB7791F"/>
      </font>
      <fill>
        <patternFill>
          <bgColor rgb="FFFCEBC5"/>
        </patternFill>
      </fill>
    </dxf>
    <dxf>
      <fill>
        <patternFill>
          <bgColor rgb="FFE3F1E0"/>
        </patternFill>
      </fill>
    </dxf>
    <dxf>
      <font>
        <b val="1"/>
        <color rgb="FF0E3B43"/>
      </font>
      <fill>
        <patternFill>
          <bgColor rgb="FFD6E8E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CEBC5"/>
      <rgbColor rgb="FFFF00FF"/>
      <rgbColor rgb="FF00FFFF"/>
      <rgbColor rgb="FF800000"/>
      <rgbColor rgb="FF008000"/>
      <rgbColor rgb="FF000080"/>
      <rgbColor rgb="FFB7791F"/>
      <rgbColor rgb="FF800080"/>
      <rgbColor rgb="FF1D6A72"/>
      <rgbColor rgb="FFBBBBBB"/>
      <rgbColor rgb="FF878787"/>
      <rgbColor rgb="FF9999FF"/>
      <rgbColor rgb="FF993366"/>
      <rgbColor rgb="FFFFF8E6"/>
      <rgbColor rgb="FFE6EFEF"/>
      <rgbColor rgb="FF660066"/>
      <rgbColor rgb="FFFF8080"/>
      <rgbColor rgb="FF0066CC"/>
      <rgbColor rgb="FFC9D6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8EA"/>
      <rgbColor rgb="FFE3F1E0"/>
      <rgbColor rgb="FFFDE9B8"/>
      <rgbColor rgb="FFD9D9D9"/>
      <rgbColor rgb="FFF6D5D3"/>
      <rgbColor rgb="FFCC99FF"/>
      <rgbColor rgb="FFE3D3A8"/>
      <rgbColor rgb="FF3366FF"/>
      <rgbColor rgb="FF33CCCC"/>
      <rgbColor rgb="FF99CC00"/>
      <rgbColor rgb="FFFFCC00"/>
      <rgbColor rgb="FFC8A04A"/>
      <rgbColor rgb="FFFF6600"/>
      <rgbColor rgb="FF5F6B6D"/>
      <rgbColor rgb="FF9AA5A7"/>
      <rgbColor rgb="FF0E3B43"/>
      <rgbColor rgb="FF2E7D32"/>
      <rgbColor rgb="FF003300"/>
      <rgbColor rgb="FF333300"/>
      <rgbColor rgb="FFB3261E"/>
      <rgbColor rgb="FF993366"/>
      <rgbColor rgb="FF1F4E9E"/>
      <rgbColor rgb="FF1E2A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Deuda al cierre de cada año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Panel!C59</c:f>
              <c:strCache>
                <c:ptCount val="1"/>
                <c:pt idx="0">
                  <c:v>Deuda al cierre con el plan</c:v>
                </c:pt>
              </c:strCache>
            </c:strRef>
          </c:tx>
          <c:spPr>
            <a:solidFill>
              <a:srgbClr val="0e3b43"/>
            </a:solidFill>
            <a:ln w="28440">
              <a:solidFill>
                <a:srgbClr val="0e3b4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Panel!$B$60:$B$90</c:f>
              <c:strCache>
                <c:ptCount val="3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</c:strCache>
            </c:strRef>
          </c:cat>
          <c:val>
            <c:numRef>
              <c:f>Panel!$C$60:$C$90</c:f>
              <c:numCache>
                <c:formatCode>\$#,##0;[RED]"($"#,##0\);\-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Panel!D59</c:f>
              <c:strCache>
                <c:ptCount val="1"/>
                <c:pt idx="0">
                  <c:v>Deuda al cierre solo con cuotas</c:v>
                </c:pt>
              </c:strCache>
            </c:strRef>
          </c:tx>
          <c:spPr>
            <a:solidFill>
              <a:srgbClr val="c8a04a"/>
            </a:solidFill>
            <a:ln w="28440">
              <a:solidFill>
                <a:srgbClr val="c8a04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Panel!$B$60:$B$90</c:f>
              <c:strCache>
                <c:ptCount val="3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</c:strCache>
            </c:strRef>
          </c:cat>
          <c:val>
            <c:numRef>
              <c:f>Panel!$D$60:$D$90</c:f>
              <c:numCache>
                <c:formatCode>\$#,##0;[RED]"($"#,##0\);\-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0180788"/>
        <c:axId val="17648823"/>
      </c:lineChart>
      <c:catAx>
        <c:axId val="5018078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648823"/>
        <c:crosses val="autoZero"/>
        <c:auto val="1"/>
        <c:lblAlgn val="ctr"/>
        <c:lblOffset val="100"/>
        <c:noMultiLvlLbl val="0"/>
      </c:catAx>
      <c:valAx>
        <c:axId val="176488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[RED]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1807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58</xdr:row>
      <xdr:rowOff>0</xdr:rowOff>
    </xdr:from>
    <xdr:to>
      <xdr:col>15</xdr:col>
      <xdr:colOff>206640</xdr:colOff>
      <xdr:row>72</xdr:row>
      <xdr:rowOff>21960</xdr:rowOff>
    </xdr:to>
    <xdr:graphicFrame>
      <xdr:nvGraphicFramePr>
        <xdr:cNvPr id="0" name="Chart 1"/>
        <xdr:cNvGraphicFramePr/>
      </xdr:nvGraphicFramePr>
      <xdr:xfrm>
        <a:off x="7189560" y="123728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3B43"/>
    <pageSetUpPr fitToPage="false"/>
  </sheetPr>
  <dimension ref="B1:D29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80"/>
  </cols>
  <sheetData>
    <row r="1" customFormat="false" ht="15" hidden="false" customHeight="false" outlineLevel="0" collapsed="false">
      <c r="B1" s="1"/>
      <c r="C1" s="1"/>
      <c r="D1" s="1"/>
    </row>
    <row r="2" customFormat="false" ht="33.75" hidden="false" customHeight="true" outlineLevel="0" collapsed="false">
      <c r="B2" s="1"/>
      <c r="C2" s="2" t="s">
        <v>0</v>
      </c>
      <c r="D2" s="1"/>
    </row>
    <row r="3" customFormat="false" ht="15" hidden="false" customHeight="false" outlineLevel="0" collapsed="false">
      <c r="B3" s="1"/>
      <c r="C3" s="3" t="str">
        <f aca="false">IF(Datos!$C$6="","Tu marca aquí (hoja Datos)",Datos!$C$6)</f>
        <v>Tu marca aquí (hoja Datos)</v>
      </c>
      <c r="D3" s="1"/>
    </row>
    <row r="4" customFormat="false" ht="15" hidden="false" customHeight="false" outlineLevel="0" collapsed="false">
      <c r="B4" s="1"/>
      <c r="C4" s="1"/>
      <c r="D4" s="1"/>
    </row>
    <row r="5" customFormat="false" ht="4.5" hidden="false" customHeight="true" outlineLevel="0" collapsed="false">
      <c r="B5" s="4"/>
      <c r="C5" s="4"/>
      <c r="D5" s="4"/>
    </row>
    <row r="7" customFormat="false" ht="15" hidden="false" customHeight="false" outlineLevel="0" collapsed="false">
      <c r="C7" s="5" t="s">
        <v>1</v>
      </c>
      <c r="D7" s="6" t="str">
        <f aca="false">IF(Datos!$C$5="","",Datos!$C$5)</f>
        <v/>
      </c>
    </row>
    <row r="9" customFormat="false" ht="15" hidden="false" customHeight="false" outlineLevel="0" collapsed="false">
      <c r="B9" s="7" t="s">
        <v>2</v>
      </c>
      <c r="C9" s="8"/>
      <c r="D9" s="8"/>
    </row>
    <row r="10" customFormat="false" ht="30" hidden="false" customHeight="true" outlineLevel="0" collapsed="false">
      <c r="B10" s="9" t="s">
        <v>3</v>
      </c>
      <c r="C10" s="10" t="s">
        <v>4</v>
      </c>
      <c r="D10" s="10" t="s">
        <v>5</v>
      </c>
    </row>
    <row r="11" customFormat="false" ht="15" hidden="false" customHeight="false" outlineLevel="0" collapsed="false">
      <c r="B11" s="11" t="n">
        <v>1</v>
      </c>
      <c r="C11" s="12" t="s">
        <v>6</v>
      </c>
      <c r="D11" s="13" t="s">
        <v>7</v>
      </c>
    </row>
    <row r="12" customFormat="false" ht="15" hidden="false" customHeight="false" outlineLevel="0" collapsed="false">
      <c r="B12" s="11" t="n">
        <v>2</v>
      </c>
      <c r="C12" s="12" t="s">
        <v>8</v>
      </c>
      <c r="D12" s="13" t="s">
        <v>9</v>
      </c>
    </row>
    <row r="13" customFormat="false" ht="15" hidden="false" customHeight="false" outlineLevel="0" collapsed="false">
      <c r="B13" s="11" t="n">
        <v>3</v>
      </c>
      <c r="C13" s="12" t="s">
        <v>10</v>
      </c>
      <c r="D13" s="13" t="s">
        <v>11</v>
      </c>
    </row>
    <row r="14" customFormat="false" ht="15" hidden="false" customHeight="false" outlineLevel="0" collapsed="false">
      <c r="B14" s="11" t="n">
        <v>4</v>
      </c>
      <c r="C14" s="12" t="s">
        <v>12</v>
      </c>
      <c r="D14" s="13" t="s">
        <v>13</v>
      </c>
    </row>
    <row r="15" customFormat="false" ht="15" hidden="false" customHeight="false" outlineLevel="0" collapsed="false">
      <c r="B15" s="11" t="n">
        <v>5</v>
      </c>
      <c r="C15" s="12" t="s">
        <v>14</v>
      </c>
      <c r="D15" s="13" t="s">
        <v>15</v>
      </c>
    </row>
    <row r="16" customFormat="false" ht="15" hidden="false" customHeight="false" outlineLevel="0" collapsed="false">
      <c r="B16" s="11" t="n">
        <v>6</v>
      </c>
      <c r="C16" s="12" t="s">
        <v>16</v>
      </c>
      <c r="D16" s="13" t="s">
        <v>17</v>
      </c>
    </row>
    <row r="18" customFormat="false" ht="15" hidden="false" customHeight="false" outlineLevel="0" collapsed="false">
      <c r="B18" s="7" t="s">
        <v>18</v>
      </c>
      <c r="C18" s="8"/>
      <c r="D18" s="8"/>
    </row>
    <row r="19" customFormat="false" ht="15" hidden="false" customHeight="false" outlineLevel="0" collapsed="false">
      <c r="B19" s="14"/>
      <c r="C19" s="12" t="s">
        <v>19</v>
      </c>
      <c r="D19" s="13" t="s">
        <v>20</v>
      </c>
    </row>
    <row r="20" customFormat="false" ht="15" hidden="false" customHeight="false" outlineLevel="0" collapsed="false">
      <c r="B20" s="14"/>
      <c r="C20" s="12" t="s">
        <v>21</v>
      </c>
      <c r="D20" s="13" t="s">
        <v>22</v>
      </c>
    </row>
    <row r="21" customFormat="false" ht="15" hidden="false" customHeight="false" outlineLevel="0" collapsed="false">
      <c r="B21" s="14"/>
      <c r="C21" s="12" t="s">
        <v>23</v>
      </c>
      <c r="D21" s="13" t="s">
        <v>24</v>
      </c>
    </row>
    <row r="22" customFormat="false" ht="15" hidden="false" customHeight="false" outlineLevel="0" collapsed="false">
      <c r="B22" s="14"/>
      <c r="C22" s="12" t="s">
        <v>25</v>
      </c>
      <c r="D22" s="13" t="s">
        <v>26</v>
      </c>
    </row>
    <row r="24" customFormat="false" ht="15" hidden="false" customHeight="false" outlineLevel="0" collapsed="false">
      <c r="B24" s="7" t="s">
        <v>27</v>
      </c>
      <c r="C24" s="8"/>
      <c r="D24" s="8"/>
    </row>
    <row r="25" customFormat="false" ht="15" hidden="false" customHeight="false" outlineLevel="0" collapsed="false">
      <c r="C25" s="15" t="s">
        <v>28</v>
      </c>
      <c r="D25" s="16" t="s">
        <v>29</v>
      </c>
    </row>
    <row r="26" customFormat="false" ht="15" hidden="false" customHeight="false" outlineLevel="0" collapsed="false">
      <c r="C26" s="17" t="s">
        <v>30</v>
      </c>
      <c r="D26" s="16" t="s">
        <v>31</v>
      </c>
    </row>
    <row r="27" customFormat="false" ht="15" hidden="false" customHeight="false" outlineLevel="0" collapsed="false">
      <c r="C27" s="16" t="s">
        <v>32</v>
      </c>
      <c r="D27" s="16" t="s">
        <v>33</v>
      </c>
    </row>
    <row r="29" customFormat="false" ht="15" hidden="false" customHeight="false" outlineLevel="0" collapsed="false">
      <c r="C29" s="18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3B43"/>
    <pageSetUpPr fitToPage="true"/>
  </sheetPr>
  <dimension ref="B1:O10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5" min="3" style="0" width="16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9" min="8" style="0" width="14"/>
    <col collapsed="false" customWidth="true" hidden="false" outlineLevel="0" max="10" min="10" style="0" width="16"/>
    <col collapsed="false" customWidth="true" hidden="false" outlineLevel="0" max="11" min="11" style="0" width="19"/>
    <col collapsed="false" customWidth="true" hidden="false" outlineLevel="0" max="12" min="12" style="0" width="22"/>
    <col collapsed="false" customWidth="true" hidden="false" outlineLevel="0" max="13" min="13" style="0" width="4"/>
    <col collapsed="false" customWidth="true" hidden="true" outlineLevel="0" max="15" min="14" style="0" width="12"/>
  </cols>
  <sheetData>
    <row r="1" customFormat="false" ht="24" hidden="false" customHeight="true" outlineLevel="0" collapsed="false">
      <c r="B1" s="19" t="s">
        <v>35</v>
      </c>
    </row>
    <row r="2" customFormat="false" ht="15" hidden="false" customHeight="false" outlineLevel="0" collapsed="false">
      <c r="B2" s="20" t="s">
        <v>36</v>
      </c>
      <c r="C2" s="21"/>
      <c r="D2" s="21"/>
      <c r="E2" s="21"/>
      <c r="F2" s="21"/>
      <c r="G2" s="21"/>
      <c r="H2" s="21"/>
      <c r="I2" s="21"/>
      <c r="J2" s="21"/>
      <c r="K2" s="21"/>
      <c r="L2" s="21"/>
    </row>
    <row r="4" customFormat="false" ht="27.75" hidden="false" customHeight="true" outlineLevel="0" collapsed="false">
      <c r="B4" s="22" t="s">
        <v>37</v>
      </c>
      <c r="C4" s="22"/>
      <c r="D4" s="22" t="s">
        <v>38</v>
      </c>
      <c r="E4" s="22"/>
      <c r="F4" s="22" t="s">
        <v>39</v>
      </c>
      <c r="G4" s="22"/>
      <c r="H4" s="22" t="s">
        <v>40</v>
      </c>
      <c r="I4" s="22"/>
      <c r="J4" s="22" t="s">
        <v>41</v>
      </c>
      <c r="K4" s="22"/>
      <c r="L4" s="23" t="s">
        <v>42</v>
      </c>
    </row>
    <row r="5" customFormat="false" ht="25.5" hidden="false" customHeight="true" outlineLevel="0" collapsed="false">
      <c r="B5" s="24" t="n">
        <f aca="false">'Crédito 1'!$I$6+'Crédito 2'!$I$6+'Crédito 3'!$I$6+'Crédito 4'!$I$6+'Crédito 5'!$I$6+'Crédito 6'!$I$6+'Crédito 7'!$I$6+'Crédito 8'!$I$6</f>
        <v>0</v>
      </c>
      <c r="C5" s="24"/>
      <c r="D5" s="24" t="n">
        <f aca="false">'Crédito 1'!$I$10+'Crédito 2'!$I$10+'Crédito 3'!$I$10+'Crédito 4'!$I$10+'Crédito 5'!$I$10+'Crédito 6'!$I$10+'Crédito 7'!$I$10+'Crédito 8'!$I$10</f>
        <v>0</v>
      </c>
      <c r="E5" s="24"/>
      <c r="F5" s="24" t="n">
        <f aca="false">'Crédito 1'!$I$13+'Crédito 2'!$I$13+'Crédito 3'!$I$13+'Crédito 4'!$I$13+'Crédito 5'!$I$13+'Crédito 6'!$I$13+'Crédito 7'!$I$13+'Crédito 8'!$I$13</f>
        <v>0</v>
      </c>
      <c r="G5" s="24"/>
      <c r="H5" s="25" t="n">
        <f aca="false">IF(SUM(N13:N20)=0,0,1-B5/SUM(N13:N20))</f>
        <v>0</v>
      </c>
      <c r="I5" s="25"/>
      <c r="J5" s="26" t="str">
        <f aca="false">IF(COUNT('Plan de pago'!$M$12:$M$19)=0,"",IF(COUNTIF('Plan de pago'!$M$12:$M$19,"Más de 360")&gt;0,"Más de 30 años",MAX('Plan de pago'!$M$12:$M$19)))</f>
        <v/>
      </c>
      <c r="K5" s="26"/>
      <c r="L5" s="27" t="n">
        <f aca="false">'Crédito 1'!$I$17+'Crédito 2'!$I$17+'Crédito 3'!$I$17+'Crédito 4'!$I$17+'Crédito 5'!$I$17+'Crédito 6'!$I$17+'Crédito 7'!$I$17+'Crédito 8'!$I$17</f>
        <v>0</v>
      </c>
    </row>
    <row r="7" customFormat="false" ht="15" hidden="false" customHeight="false" outlineLevel="0" collapsed="false">
      <c r="B7" s="28" t="s">
        <v>43</v>
      </c>
      <c r="D7" s="29" t="str">
        <f aca="false">Datos!$C$21</f>
        <v/>
      </c>
      <c r="E7" s="28" t="str">
        <f aca="false">Datos!$D$21</f>
        <v/>
      </c>
    </row>
    <row r="10" customFormat="false" ht="15" hidden="false" customHeight="false" outlineLevel="0" collapsed="false">
      <c r="B10" s="7" t="s">
        <v>44</v>
      </c>
      <c r="C10" s="8"/>
      <c r="D10" s="8"/>
      <c r="E10" s="8"/>
      <c r="F10" s="8"/>
      <c r="G10" s="8"/>
      <c r="H10" s="8"/>
      <c r="I10" s="8"/>
      <c r="J10" s="8"/>
      <c r="K10" s="8"/>
      <c r="L10" s="8"/>
    </row>
    <row r="12" customFormat="false" ht="30" hidden="false" customHeight="true" outlineLevel="0" collapsed="false">
      <c r="B12" s="9" t="s">
        <v>45</v>
      </c>
      <c r="C12" s="10" t="s">
        <v>46</v>
      </c>
      <c r="D12" s="10" t="s">
        <v>47</v>
      </c>
      <c r="E12" s="10" t="s">
        <v>48</v>
      </c>
      <c r="F12" s="10" t="s">
        <v>49</v>
      </c>
      <c r="G12" s="10" t="s">
        <v>50</v>
      </c>
      <c r="H12" s="10" t="s">
        <v>51</v>
      </c>
      <c r="I12" s="10" t="s">
        <v>52</v>
      </c>
      <c r="J12" s="10" t="s">
        <v>53</v>
      </c>
      <c r="K12" s="10" t="s">
        <v>54</v>
      </c>
      <c r="L12" s="10" t="s">
        <v>55</v>
      </c>
      <c r="M12" s="10"/>
      <c r="N12" s="10" t="s">
        <v>56</v>
      </c>
    </row>
    <row r="13" customFormat="false" ht="15" hidden="false" customHeight="false" outlineLevel="0" collapsed="false">
      <c r="B13" s="12" t="str">
        <f aca="false">IF('Crédito 1'!$F$6="Sí",'Crédito 1'!$C$6,"")</f>
        <v/>
      </c>
      <c r="C13" s="30" t="str">
        <f aca="false">IF($B13="","",'Crédito 1'!$I$6)</f>
        <v/>
      </c>
      <c r="D13" s="31" t="str">
        <f aca="false">IF($B13="","",'Crédito 1'!$C$13)</f>
        <v/>
      </c>
      <c r="E13" s="30" t="str">
        <f aca="false">IF($B13="","",'Crédito 1'!$I$10)</f>
        <v/>
      </c>
      <c r="F13" s="32" t="str">
        <f aca="false">IF($B13="","",'Crédito 1'!$I$11)</f>
        <v/>
      </c>
      <c r="G13" s="33" t="str">
        <f aca="false">IF($B13="","",'Crédito 1'!$I$12)</f>
        <v/>
      </c>
      <c r="H13" s="30" t="str">
        <f aca="false">IF($B13="","",'Crédito 1'!$I$13)</f>
        <v/>
      </c>
      <c r="I13" s="30" t="str">
        <f aca="false">IF($B13="","",'Crédito 1'!$I$14)</f>
        <v/>
      </c>
      <c r="J13" s="34" t="str">
        <f aca="false">IF($B13="","",'Crédito 1'!$I$15)</f>
        <v/>
      </c>
      <c r="K13" s="35" t="str">
        <f aca="false">IF($B13="","",'Crédito 1'!$I$19)</f>
        <v/>
      </c>
      <c r="L13" s="13" t="str">
        <f aca="false">IF($B13="","",'Crédito 1'!$C$7)</f>
        <v/>
      </c>
      <c r="N13" s="36" t="n">
        <f aca="false">IF($B13="",0,IF(N('Crédito 1'!$C$16)&gt;0,'Crédito 1'!$C$16,N('Crédito 1'!$C$9)))</f>
        <v>0</v>
      </c>
      <c r="O13" s="37" t="str">
        <f aca="false">IF(ISNUMBER('Crédito 1'!$I$9),'Crédito 1'!$I$9+1/100,"")</f>
        <v/>
      </c>
    </row>
    <row r="14" customFormat="false" ht="15" hidden="false" customHeight="false" outlineLevel="0" collapsed="false">
      <c r="B14" s="12" t="str">
        <f aca="false">IF('Crédito 2'!$F$6="Sí",'Crédito 2'!$C$6,"")</f>
        <v/>
      </c>
      <c r="C14" s="30" t="str">
        <f aca="false">IF($B14="","",'Crédito 2'!$I$6)</f>
        <v/>
      </c>
      <c r="D14" s="31" t="str">
        <f aca="false">IF($B14="","",'Crédito 2'!$C$13)</f>
        <v/>
      </c>
      <c r="E14" s="30" t="str">
        <f aca="false">IF($B14="","",'Crédito 2'!$I$10)</f>
        <v/>
      </c>
      <c r="F14" s="32" t="str">
        <f aca="false">IF($B14="","",'Crédito 2'!$I$11)</f>
        <v/>
      </c>
      <c r="G14" s="33" t="str">
        <f aca="false">IF($B14="","",'Crédito 2'!$I$12)</f>
        <v/>
      </c>
      <c r="H14" s="30" t="str">
        <f aca="false">IF($B14="","",'Crédito 2'!$I$13)</f>
        <v/>
      </c>
      <c r="I14" s="30" t="str">
        <f aca="false">IF($B14="","",'Crédito 2'!$I$14)</f>
        <v/>
      </c>
      <c r="J14" s="34" t="str">
        <f aca="false">IF($B14="","",'Crédito 2'!$I$15)</f>
        <v/>
      </c>
      <c r="K14" s="35" t="str">
        <f aca="false">IF($B14="","",'Crédito 2'!$I$19)</f>
        <v/>
      </c>
      <c r="L14" s="13" t="str">
        <f aca="false">IF($B14="","",'Crédito 2'!$C$7)</f>
        <v/>
      </c>
      <c r="N14" s="36" t="n">
        <f aca="false">IF($B14="",0,IF(N('Crédito 2'!$C$16)&gt;0,'Crédito 2'!$C$16,N('Crédito 2'!$C$9)))</f>
        <v>0</v>
      </c>
      <c r="O14" s="37" t="str">
        <f aca="false">IF(ISNUMBER('Crédito 2'!$I$9),'Crédito 2'!$I$9+2/100,"")</f>
        <v/>
      </c>
    </row>
    <row r="15" customFormat="false" ht="15" hidden="false" customHeight="false" outlineLevel="0" collapsed="false">
      <c r="B15" s="12" t="str">
        <f aca="false">IF('Crédito 3'!$F$6="Sí",'Crédito 3'!$C$6,"")</f>
        <v/>
      </c>
      <c r="C15" s="30" t="str">
        <f aca="false">IF($B15="","",'Crédito 3'!$I$6)</f>
        <v/>
      </c>
      <c r="D15" s="31" t="str">
        <f aca="false">IF($B15="","",'Crédito 3'!$C$13)</f>
        <v/>
      </c>
      <c r="E15" s="30" t="str">
        <f aca="false">IF($B15="","",'Crédito 3'!$I$10)</f>
        <v/>
      </c>
      <c r="F15" s="32" t="str">
        <f aca="false">IF($B15="","",'Crédito 3'!$I$11)</f>
        <v/>
      </c>
      <c r="G15" s="33" t="str">
        <f aca="false">IF($B15="","",'Crédito 3'!$I$12)</f>
        <v/>
      </c>
      <c r="H15" s="30" t="str">
        <f aca="false">IF($B15="","",'Crédito 3'!$I$13)</f>
        <v/>
      </c>
      <c r="I15" s="30" t="str">
        <f aca="false">IF($B15="","",'Crédito 3'!$I$14)</f>
        <v/>
      </c>
      <c r="J15" s="34" t="str">
        <f aca="false">IF($B15="","",'Crédito 3'!$I$15)</f>
        <v/>
      </c>
      <c r="K15" s="35" t="str">
        <f aca="false">IF($B15="","",'Crédito 3'!$I$19)</f>
        <v/>
      </c>
      <c r="L15" s="13" t="str">
        <f aca="false">IF($B15="","",'Crédito 3'!$C$7)</f>
        <v/>
      </c>
      <c r="N15" s="36" t="n">
        <f aca="false">IF($B15="",0,IF(N('Crédito 3'!$C$16)&gt;0,'Crédito 3'!$C$16,N('Crédito 3'!$C$9)))</f>
        <v>0</v>
      </c>
      <c r="O15" s="37" t="str">
        <f aca="false">IF(ISNUMBER('Crédito 3'!$I$9),'Crédito 3'!$I$9+3/100,"")</f>
        <v/>
      </c>
    </row>
    <row r="16" customFormat="false" ht="15" hidden="false" customHeight="false" outlineLevel="0" collapsed="false">
      <c r="B16" s="12" t="str">
        <f aca="false">IF('Crédito 4'!$F$6="Sí",'Crédito 4'!$C$6,"")</f>
        <v/>
      </c>
      <c r="C16" s="30" t="str">
        <f aca="false">IF($B16="","",'Crédito 4'!$I$6)</f>
        <v/>
      </c>
      <c r="D16" s="31" t="str">
        <f aca="false">IF($B16="","",'Crédito 4'!$C$13)</f>
        <v/>
      </c>
      <c r="E16" s="30" t="str">
        <f aca="false">IF($B16="","",'Crédito 4'!$I$10)</f>
        <v/>
      </c>
      <c r="F16" s="32" t="str">
        <f aca="false">IF($B16="","",'Crédito 4'!$I$11)</f>
        <v/>
      </c>
      <c r="G16" s="33" t="str">
        <f aca="false">IF($B16="","",'Crédito 4'!$I$12)</f>
        <v/>
      </c>
      <c r="H16" s="30" t="str">
        <f aca="false">IF($B16="","",'Crédito 4'!$I$13)</f>
        <v/>
      </c>
      <c r="I16" s="30" t="str">
        <f aca="false">IF($B16="","",'Crédito 4'!$I$14)</f>
        <v/>
      </c>
      <c r="J16" s="34" t="str">
        <f aca="false">IF($B16="","",'Crédito 4'!$I$15)</f>
        <v/>
      </c>
      <c r="K16" s="35" t="str">
        <f aca="false">IF($B16="","",'Crédito 4'!$I$19)</f>
        <v/>
      </c>
      <c r="L16" s="13" t="str">
        <f aca="false">IF($B16="","",'Crédito 4'!$C$7)</f>
        <v/>
      </c>
      <c r="N16" s="36" t="n">
        <f aca="false">IF($B16="",0,IF(N('Crédito 4'!$C$16)&gt;0,'Crédito 4'!$C$16,N('Crédito 4'!$C$9)))</f>
        <v>0</v>
      </c>
      <c r="O16" s="37" t="str">
        <f aca="false">IF(ISNUMBER('Crédito 4'!$I$9),'Crédito 4'!$I$9+4/100,"")</f>
        <v/>
      </c>
    </row>
    <row r="17" customFormat="false" ht="15" hidden="false" customHeight="false" outlineLevel="0" collapsed="false">
      <c r="B17" s="12" t="str">
        <f aca="false">IF('Crédito 5'!$F$6="Sí",'Crédito 5'!$C$6,"")</f>
        <v/>
      </c>
      <c r="C17" s="30" t="str">
        <f aca="false">IF($B17="","",'Crédito 5'!$I$6)</f>
        <v/>
      </c>
      <c r="D17" s="31" t="str">
        <f aca="false">IF($B17="","",'Crédito 5'!$C$13)</f>
        <v/>
      </c>
      <c r="E17" s="30" t="str">
        <f aca="false">IF($B17="","",'Crédito 5'!$I$10)</f>
        <v/>
      </c>
      <c r="F17" s="32" t="str">
        <f aca="false">IF($B17="","",'Crédito 5'!$I$11)</f>
        <v/>
      </c>
      <c r="G17" s="33" t="str">
        <f aca="false">IF($B17="","",'Crédito 5'!$I$12)</f>
        <v/>
      </c>
      <c r="H17" s="30" t="str">
        <f aca="false">IF($B17="","",'Crédito 5'!$I$13)</f>
        <v/>
      </c>
      <c r="I17" s="30" t="str">
        <f aca="false">IF($B17="","",'Crédito 5'!$I$14)</f>
        <v/>
      </c>
      <c r="J17" s="34" t="str">
        <f aca="false">IF($B17="","",'Crédito 5'!$I$15)</f>
        <v/>
      </c>
      <c r="K17" s="35" t="str">
        <f aca="false">IF($B17="","",'Crédito 5'!$I$19)</f>
        <v/>
      </c>
      <c r="L17" s="13" t="str">
        <f aca="false">IF($B17="","",'Crédito 5'!$C$7)</f>
        <v/>
      </c>
      <c r="N17" s="36" t="n">
        <f aca="false">IF($B17="",0,IF(N('Crédito 5'!$C$16)&gt;0,'Crédito 5'!$C$16,N('Crédito 5'!$C$9)))</f>
        <v>0</v>
      </c>
      <c r="O17" s="37" t="str">
        <f aca="false">IF(ISNUMBER('Crédito 5'!$I$9),'Crédito 5'!$I$9+5/100,"")</f>
        <v/>
      </c>
    </row>
    <row r="18" customFormat="false" ht="15" hidden="false" customHeight="false" outlineLevel="0" collapsed="false">
      <c r="B18" s="12" t="str">
        <f aca="false">IF('Crédito 6'!$F$6="Sí",'Crédito 6'!$C$6,"")</f>
        <v/>
      </c>
      <c r="C18" s="30" t="str">
        <f aca="false">IF($B18="","",'Crédito 6'!$I$6)</f>
        <v/>
      </c>
      <c r="D18" s="31" t="str">
        <f aca="false">IF($B18="","",'Crédito 6'!$C$13)</f>
        <v/>
      </c>
      <c r="E18" s="30" t="str">
        <f aca="false">IF($B18="","",'Crédito 6'!$I$10)</f>
        <v/>
      </c>
      <c r="F18" s="32" t="str">
        <f aca="false">IF($B18="","",'Crédito 6'!$I$11)</f>
        <v/>
      </c>
      <c r="G18" s="33" t="str">
        <f aca="false">IF($B18="","",'Crédito 6'!$I$12)</f>
        <v/>
      </c>
      <c r="H18" s="30" t="str">
        <f aca="false">IF($B18="","",'Crédito 6'!$I$13)</f>
        <v/>
      </c>
      <c r="I18" s="30" t="str">
        <f aca="false">IF($B18="","",'Crédito 6'!$I$14)</f>
        <v/>
      </c>
      <c r="J18" s="34" t="str">
        <f aca="false">IF($B18="","",'Crédito 6'!$I$15)</f>
        <v/>
      </c>
      <c r="K18" s="35" t="str">
        <f aca="false">IF($B18="","",'Crédito 6'!$I$19)</f>
        <v/>
      </c>
      <c r="L18" s="13" t="str">
        <f aca="false">IF($B18="","",'Crédito 6'!$C$7)</f>
        <v/>
      </c>
      <c r="N18" s="36" t="n">
        <f aca="false">IF($B18="",0,IF(N('Crédito 6'!$C$16)&gt;0,'Crédito 6'!$C$16,N('Crédito 6'!$C$9)))</f>
        <v>0</v>
      </c>
      <c r="O18" s="37" t="str">
        <f aca="false">IF(ISNUMBER('Crédito 6'!$I$9),'Crédito 6'!$I$9+6/100,"")</f>
        <v/>
      </c>
    </row>
    <row r="19" customFormat="false" ht="15" hidden="false" customHeight="false" outlineLevel="0" collapsed="false">
      <c r="B19" s="12" t="str">
        <f aca="false">IF('Crédito 7'!$F$6="Sí",'Crédito 7'!$C$6,"")</f>
        <v/>
      </c>
      <c r="C19" s="30" t="str">
        <f aca="false">IF($B19="","",'Crédito 7'!$I$6)</f>
        <v/>
      </c>
      <c r="D19" s="31" t="str">
        <f aca="false">IF($B19="","",'Crédito 7'!$C$13)</f>
        <v/>
      </c>
      <c r="E19" s="30" t="str">
        <f aca="false">IF($B19="","",'Crédito 7'!$I$10)</f>
        <v/>
      </c>
      <c r="F19" s="32" t="str">
        <f aca="false">IF($B19="","",'Crédito 7'!$I$11)</f>
        <v/>
      </c>
      <c r="G19" s="33" t="str">
        <f aca="false">IF($B19="","",'Crédito 7'!$I$12)</f>
        <v/>
      </c>
      <c r="H19" s="30" t="str">
        <f aca="false">IF($B19="","",'Crédito 7'!$I$13)</f>
        <v/>
      </c>
      <c r="I19" s="30" t="str">
        <f aca="false">IF($B19="","",'Crédito 7'!$I$14)</f>
        <v/>
      </c>
      <c r="J19" s="34" t="str">
        <f aca="false">IF($B19="","",'Crédito 7'!$I$15)</f>
        <v/>
      </c>
      <c r="K19" s="35" t="str">
        <f aca="false">IF($B19="","",'Crédito 7'!$I$19)</f>
        <v/>
      </c>
      <c r="L19" s="13" t="str">
        <f aca="false">IF($B19="","",'Crédito 7'!$C$7)</f>
        <v/>
      </c>
      <c r="N19" s="36" t="n">
        <f aca="false">IF($B19="",0,IF(N('Crédito 7'!$C$16)&gt;0,'Crédito 7'!$C$16,N('Crédito 7'!$C$9)))</f>
        <v>0</v>
      </c>
      <c r="O19" s="37" t="str">
        <f aca="false">IF(ISNUMBER('Crédito 7'!$I$9),'Crédito 7'!$I$9+7/100,"")</f>
        <v/>
      </c>
    </row>
    <row r="20" customFormat="false" ht="15" hidden="false" customHeight="false" outlineLevel="0" collapsed="false">
      <c r="B20" s="12" t="str">
        <f aca="false">IF('Crédito 8'!$F$6="Sí",'Crédito 8'!$C$6,"")</f>
        <v/>
      </c>
      <c r="C20" s="30" t="str">
        <f aca="false">IF($B20="","",'Crédito 8'!$I$6)</f>
        <v/>
      </c>
      <c r="D20" s="31" t="str">
        <f aca="false">IF($B20="","",'Crédito 8'!$C$13)</f>
        <v/>
      </c>
      <c r="E20" s="30" t="str">
        <f aca="false">IF($B20="","",'Crédito 8'!$I$10)</f>
        <v/>
      </c>
      <c r="F20" s="32" t="str">
        <f aca="false">IF($B20="","",'Crédito 8'!$I$11)</f>
        <v/>
      </c>
      <c r="G20" s="33" t="str">
        <f aca="false">IF($B20="","",'Crédito 8'!$I$12)</f>
        <v/>
      </c>
      <c r="H20" s="30" t="str">
        <f aca="false">IF($B20="","",'Crédito 8'!$I$13)</f>
        <v/>
      </c>
      <c r="I20" s="30" t="str">
        <f aca="false">IF($B20="","",'Crédito 8'!$I$14)</f>
        <v/>
      </c>
      <c r="J20" s="34" t="str">
        <f aca="false">IF($B20="","",'Crédito 8'!$I$15)</f>
        <v/>
      </c>
      <c r="K20" s="35" t="str">
        <f aca="false">IF($B20="","",'Crédito 8'!$I$19)</f>
        <v/>
      </c>
      <c r="L20" s="13" t="str">
        <f aca="false">IF($B20="","",'Crédito 8'!$C$7)</f>
        <v/>
      </c>
      <c r="N20" s="36" t="n">
        <f aca="false">IF($B20="",0,IF(N('Crédito 8'!$C$16)&gt;0,'Crédito 8'!$C$16,N('Crédito 8'!$C$9)))</f>
        <v>0</v>
      </c>
      <c r="O20" s="37" t="str">
        <f aca="false">IF(ISNUMBER('Crédito 8'!$I$9),'Crédito 8'!$I$9+8/100,"")</f>
        <v/>
      </c>
    </row>
    <row r="21" customFormat="false" ht="15" hidden="false" customHeight="false" outlineLevel="0" collapsed="false">
      <c r="B21" s="38" t="s">
        <v>57</v>
      </c>
      <c r="C21" s="39" t="n">
        <f aca="false">SUM(C13:C20)</f>
        <v>0</v>
      </c>
      <c r="D21" s="38"/>
      <c r="E21" s="39" t="n">
        <f aca="false">SUM(E13:E20)</f>
        <v>0</v>
      </c>
      <c r="F21" s="38"/>
      <c r="G21" s="38"/>
      <c r="H21" s="39" t="n">
        <f aca="false">SUM(H13:H20)</f>
        <v>0</v>
      </c>
      <c r="I21" s="39" t="n">
        <f aca="false">SUM(I13:I20)</f>
        <v>0</v>
      </c>
      <c r="J21" s="38"/>
      <c r="K21" s="38"/>
      <c r="L21" s="38"/>
    </row>
    <row r="23" customFormat="false" ht="15" hidden="false" customHeight="false" outlineLevel="0" collapsed="false">
      <c r="B23" s="7" t="s">
        <v>58</v>
      </c>
      <c r="C23" s="8"/>
      <c r="D23" s="8"/>
      <c r="E23" s="8"/>
      <c r="F23" s="8"/>
      <c r="G23" s="8"/>
      <c r="I23" s="7" t="s">
        <v>59</v>
      </c>
      <c r="J23" s="8"/>
      <c r="K23" s="8"/>
    </row>
    <row r="24" customFormat="false" ht="30" hidden="false" customHeight="true" outlineLevel="0" collapsed="false">
      <c r="B24" s="9" t="s">
        <v>45</v>
      </c>
      <c r="C24" s="10" t="s">
        <v>60</v>
      </c>
      <c r="D24" s="10" t="s">
        <v>61</v>
      </c>
      <c r="E24" s="10" t="s">
        <v>62</v>
      </c>
      <c r="F24" s="10" t="s">
        <v>54</v>
      </c>
    </row>
    <row r="25" customFormat="false" ht="15" hidden="false" customHeight="false" outlineLevel="0" collapsed="false">
      <c r="B25" s="12" t="str">
        <f aca="false">IF(IFERROR(MATCH(SMALL($O$13:$O$20,1),$O$13:$O$20,0),0)=0,"",INDEX($B$13:$B$20,IFERROR(MATCH(SMALL($O$13:$O$20,1),$O$13:$O$20,0),0)))</f>
        <v/>
      </c>
      <c r="C25" s="40" t="str">
        <f aca="false">IF(B25="","",CHOOSE(IFERROR(MATCH(SMALL($O$13:$O$20,1),$O$13:$O$20,0),0),'Crédito 1'!$I$9,'Crédito 2'!$I$9,'Crédito 3'!$I$9,'Crédito 4'!$I$9,'Crédito 5'!$I$9,'Crédito 6'!$I$9,'Crédito 7'!$I$9,'Crédito 8'!$I$9))</f>
        <v/>
      </c>
      <c r="D25" s="30" t="str">
        <f aca="false">IF(B25="","",CHOOSE(IFERROR(MATCH(SMALL($O$13:$O$20,1),$O$13:$O$20,0),0),'Crédito 1'!$I$10,'Crédito 2'!$I$10,'Crédito 3'!$I$10,'Crédito 4'!$I$10,'Crédito 5'!$I$10,'Crédito 6'!$I$10,'Crédito 7'!$I$10,'Crédito 8'!$I$10))</f>
        <v/>
      </c>
      <c r="E25" s="32" t="str">
        <f aca="false">IF(B25="","",DAY(C25))</f>
        <v/>
      </c>
      <c r="F25" s="35" t="str">
        <f aca="false">IF(B25="","",IF(C25&lt;Datos!$C$7,"Vencida",IF(C25-Datos!$C$7&lt;=7,"Paga esta semana","Al día")))</f>
        <v/>
      </c>
      <c r="I25" s="16" t="s">
        <v>63</v>
      </c>
      <c r="K25" s="41" t="n">
        <f aca="false">SUMIFS($D$25:$D$32,$E$25:$E$32,"&gt;=1",$E$25:$E$32,"&lt;=10")</f>
        <v>0</v>
      </c>
    </row>
    <row r="26" customFormat="false" ht="15" hidden="false" customHeight="false" outlineLevel="0" collapsed="false">
      <c r="B26" s="12" t="str">
        <f aca="false">IF(IFERROR(MATCH(SMALL($O$13:$O$20,2),$O$13:$O$20,0),0)=0,"",INDEX($B$13:$B$20,IFERROR(MATCH(SMALL($O$13:$O$20,2),$O$13:$O$20,0),0)))</f>
        <v/>
      </c>
      <c r="C26" s="40" t="str">
        <f aca="false">IF(B26="","",CHOOSE(IFERROR(MATCH(SMALL($O$13:$O$20,2),$O$13:$O$20,0),0),'Crédito 1'!$I$9,'Crédito 2'!$I$9,'Crédito 3'!$I$9,'Crédito 4'!$I$9,'Crédito 5'!$I$9,'Crédito 6'!$I$9,'Crédito 7'!$I$9,'Crédito 8'!$I$9))</f>
        <v/>
      </c>
      <c r="D26" s="30" t="str">
        <f aca="false">IF(B26="","",CHOOSE(IFERROR(MATCH(SMALL($O$13:$O$20,2),$O$13:$O$20,0),0),'Crédito 1'!$I$10,'Crédito 2'!$I$10,'Crédito 3'!$I$10,'Crédito 4'!$I$10,'Crédito 5'!$I$10,'Crédito 6'!$I$10,'Crédito 7'!$I$10,'Crédito 8'!$I$10))</f>
        <v/>
      </c>
      <c r="E26" s="32" t="str">
        <f aca="false">IF(B26="","",DAY(C26))</f>
        <v/>
      </c>
      <c r="F26" s="35" t="str">
        <f aca="false">IF(B26="","",IF(C26&lt;Datos!$C$7,"Vencida",IF(C26-Datos!$C$7&lt;=7,"Paga esta semana","Al día")))</f>
        <v/>
      </c>
      <c r="I26" s="16" t="s">
        <v>64</v>
      </c>
      <c r="K26" s="41" t="n">
        <f aca="false">SUMIFS($D$25:$D$32,$E$25:$E$32,"&gt;=11",$E$25:$E$32,"&lt;=20")</f>
        <v>0</v>
      </c>
    </row>
    <row r="27" customFormat="false" ht="15" hidden="false" customHeight="false" outlineLevel="0" collapsed="false">
      <c r="B27" s="12" t="str">
        <f aca="false">IF(IFERROR(MATCH(SMALL($O$13:$O$20,3),$O$13:$O$20,0),0)=0,"",INDEX($B$13:$B$20,IFERROR(MATCH(SMALL($O$13:$O$20,3),$O$13:$O$20,0),0)))</f>
        <v/>
      </c>
      <c r="C27" s="40" t="str">
        <f aca="false">IF(B27="","",CHOOSE(IFERROR(MATCH(SMALL($O$13:$O$20,3),$O$13:$O$20,0),0),'Crédito 1'!$I$9,'Crédito 2'!$I$9,'Crédito 3'!$I$9,'Crédito 4'!$I$9,'Crédito 5'!$I$9,'Crédito 6'!$I$9,'Crédito 7'!$I$9,'Crédito 8'!$I$9))</f>
        <v/>
      </c>
      <c r="D27" s="30" t="str">
        <f aca="false">IF(B27="","",CHOOSE(IFERROR(MATCH(SMALL($O$13:$O$20,3),$O$13:$O$20,0),0),'Crédito 1'!$I$10,'Crédito 2'!$I$10,'Crédito 3'!$I$10,'Crédito 4'!$I$10,'Crédito 5'!$I$10,'Crédito 6'!$I$10,'Crédito 7'!$I$10,'Crédito 8'!$I$10))</f>
        <v/>
      </c>
      <c r="E27" s="32" t="str">
        <f aca="false">IF(B27="","",DAY(C27))</f>
        <v/>
      </c>
      <c r="F27" s="35" t="str">
        <f aca="false">IF(B27="","",IF(C27&lt;Datos!$C$7,"Vencida",IF(C27-Datos!$C$7&lt;=7,"Paga esta semana","Al día")))</f>
        <v/>
      </c>
      <c r="I27" s="16" t="s">
        <v>65</v>
      </c>
      <c r="K27" s="41" t="n">
        <f aca="false">SUMIFS($D$25:$D$32,$E$25:$E$32,"&gt;=21",$E$25:$E$32,"&lt;=31")</f>
        <v>0</v>
      </c>
    </row>
    <row r="28" customFormat="false" ht="15" hidden="false" customHeight="false" outlineLevel="0" collapsed="false">
      <c r="B28" s="12" t="str">
        <f aca="false">IF(IFERROR(MATCH(SMALL($O$13:$O$20,4),$O$13:$O$20,0),0)=0,"",INDEX($B$13:$B$20,IFERROR(MATCH(SMALL($O$13:$O$20,4),$O$13:$O$20,0),0)))</f>
        <v/>
      </c>
      <c r="C28" s="40" t="str">
        <f aca="false">IF(B28="","",CHOOSE(IFERROR(MATCH(SMALL($O$13:$O$20,4),$O$13:$O$20,0),0),'Crédito 1'!$I$9,'Crédito 2'!$I$9,'Crédito 3'!$I$9,'Crédito 4'!$I$9,'Crédito 5'!$I$9,'Crédito 6'!$I$9,'Crédito 7'!$I$9,'Crédito 8'!$I$9))</f>
        <v/>
      </c>
      <c r="D28" s="30" t="str">
        <f aca="false">IF(B28="","",CHOOSE(IFERROR(MATCH(SMALL($O$13:$O$20,4),$O$13:$O$20,0),0),'Crédito 1'!$I$10,'Crédito 2'!$I$10,'Crédito 3'!$I$10,'Crédito 4'!$I$10,'Crédito 5'!$I$10,'Crédito 6'!$I$10,'Crédito 7'!$I$10,'Crédito 8'!$I$10))</f>
        <v/>
      </c>
      <c r="E28" s="32" t="str">
        <f aca="false">IF(B28="","",DAY(C28))</f>
        <v/>
      </c>
      <c r="F28" s="35" t="str">
        <f aca="false">IF(B28="","",IF(C28&lt;Datos!$C$7,"Vencida",IF(C28-Datos!$C$7&lt;=7,"Paga esta semana","Al día")))</f>
        <v/>
      </c>
      <c r="I28" s="28" t="s">
        <v>57</v>
      </c>
      <c r="K28" s="42" t="n">
        <f aca="false">SUM(K25:K27)</f>
        <v>0</v>
      </c>
    </row>
    <row r="29" customFormat="false" ht="15" hidden="false" customHeight="false" outlineLevel="0" collapsed="false">
      <c r="B29" s="12" t="str">
        <f aca="false">IF(IFERROR(MATCH(SMALL($O$13:$O$20,5),$O$13:$O$20,0),0)=0,"",INDEX($B$13:$B$20,IFERROR(MATCH(SMALL($O$13:$O$20,5),$O$13:$O$20,0),0)))</f>
        <v/>
      </c>
      <c r="C29" s="40" t="str">
        <f aca="false">IF(B29="","",CHOOSE(IFERROR(MATCH(SMALL($O$13:$O$20,5),$O$13:$O$20,0),0),'Crédito 1'!$I$9,'Crédito 2'!$I$9,'Crédito 3'!$I$9,'Crédito 4'!$I$9,'Crédito 5'!$I$9,'Crédito 6'!$I$9,'Crédito 7'!$I$9,'Crédito 8'!$I$9))</f>
        <v/>
      </c>
      <c r="D29" s="30" t="str">
        <f aca="false">IF(B29="","",CHOOSE(IFERROR(MATCH(SMALL($O$13:$O$20,5),$O$13:$O$20,0),0),'Crédito 1'!$I$10,'Crédito 2'!$I$10,'Crédito 3'!$I$10,'Crédito 4'!$I$10,'Crédito 5'!$I$10,'Crédito 6'!$I$10,'Crédito 7'!$I$10,'Crédito 8'!$I$10))</f>
        <v/>
      </c>
      <c r="E29" s="32" t="str">
        <f aca="false">IF(B29="","",DAY(C29))</f>
        <v/>
      </c>
      <c r="F29" s="35" t="str">
        <f aca="false">IF(B29="","",IF(C29&lt;Datos!$C$7,"Vencida",IF(C29-Datos!$C$7&lt;=7,"Paga esta semana","Al día")))</f>
        <v/>
      </c>
      <c r="I29" s="18" t="s">
        <v>66</v>
      </c>
    </row>
    <row r="30" customFormat="false" ht="15" hidden="false" customHeight="false" outlineLevel="0" collapsed="false">
      <c r="B30" s="12" t="str">
        <f aca="false">IF(IFERROR(MATCH(SMALL($O$13:$O$20,6),$O$13:$O$20,0),0)=0,"",INDEX($B$13:$B$20,IFERROR(MATCH(SMALL($O$13:$O$20,6),$O$13:$O$20,0),0)))</f>
        <v/>
      </c>
      <c r="C30" s="40" t="str">
        <f aca="false">IF(B30="","",CHOOSE(IFERROR(MATCH(SMALL($O$13:$O$20,6),$O$13:$O$20,0),0),'Crédito 1'!$I$9,'Crédito 2'!$I$9,'Crédito 3'!$I$9,'Crédito 4'!$I$9,'Crédito 5'!$I$9,'Crédito 6'!$I$9,'Crédito 7'!$I$9,'Crédito 8'!$I$9))</f>
        <v/>
      </c>
      <c r="D30" s="30" t="str">
        <f aca="false">IF(B30="","",CHOOSE(IFERROR(MATCH(SMALL($O$13:$O$20,6),$O$13:$O$20,0),0),'Crédito 1'!$I$10,'Crédito 2'!$I$10,'Crédito 3'!$I$10,'Crédito 4'!$I$10,'Crédito 5'!$I$10,'Crédito 6'!$I$10,'Crédito 7'!$I$10,'Crédito 8'!$I$10))</f>
        <v/>
      </c>
      <c r="E30" s="32" t="str">
        <f aca="false">IF(B30="","",DAY(C30))</f>
        <v/>
      </c>
      <c r="F30" s="35" t="str">
        <f aca="false">IF(B30="","",IF(C30&lt;Datos!$C$7,"Vencida",IF(C30-Datos!$C$7&lt;=7,"Paga esta semana","Al día")))</f>
        <v/>
      </c>
    </row>
    <row r="31" customFormat="false" ht="15" hidden="false" customHeight="false" outlineLevel="0" collapsed="false">
      <c r="B31" s="12" t="str">
        <f aca="false">IF(IFERROR(MATCH(SMALL($O$13:$O$20,7),$O$13:$O$20,0),0)=0,"",INDEX($B$13:$B$20,IFERROR(MATCH(SMALL($O$13:$O$20,7),$O$13:$O$20,0),0)))</f>
        <v/>
      </c>
      <c r="C31" s="40" t="str">
        <f aca="false">IF(B31="","",CHOOSE(IFERROR(MATCH(SMALL($O$13:$O$20,7),$O$13:$O$20,0),0),'Crédito 1'!$I$9,'Crédito 2'!$I$9,'Crédito 3'!$I$9,'Crédito 4'!$I$9,'Crédito 5'!$I$9,'Crédito 6'!$I$9,'Crédito 7'!$I$9,'Crédito 8'!$I$9))</f>
        <v/>
      </c>
      <c r="D31" s="30" t="str">
        <f aca="false">IF(B31="","",CHOOSE(IFERROR(MATCH(SMALL($O$13:$O$20,7),$O$13:$O$20,0),0),'Crédito 1'!$I$10,'Crédito 2'!$I$10,'Crédito 3'!$I$10,'Crédito 4'!$I$10,'Crédito 5'!$I$10,'Crédito 6'!$I$10,'Crédito 7'!$I$10,'Crédito 8'!$I$10))</f>
        <v/>
      </c>
      <c r="E31" s="32" t="str">
        <f aca="false">IF(B31="","",DAY(C31))</f>
        <v/>
      </c>
      <c r="F31" s="35" t="str">
        <f aca="false">IF(B31="","",IF(C31&lt;Datos!$C$7,"Vencida",IF(C31-Datos!$C$7&lt;=7,"Paga esta semana","Al día")))</f>
        <v/>
      </c>
    </row>
    <row r="32" customFormat="false" ht="15" hidden="false" customHeight="false" outlineLevel="0" collapsed="false">
      <c r="B32" s="12" t="str">
        <f aca="false">IF(IFERROR(MATCH(SMALL($O$13:$O$20,8),$O$13:$O$20,0),0)=0,"",INDEX($B$13:$B$20,IFERROR(MATCH(SMALL($O$13:$O$20,8),$O$13:$O$20,0),0)))</f>
        <v/>
      </c>
      <c r="C32" s="40" t="str">
        <f aca="false">IF(B32="","",CHOOSE(IFERROR(MATCH(SMALL($O$13:$O$20,8),$O$13:$O$20,0),0),'Crédito 1'!$I$9,'Crédito 2'!$I$9,'Crédito 3'!$I$9,'Crédito 4'!$I$9,'Crédito 5'!$I$9,'Crédito 6'!$I$9,'Crédito 7'!$I$9,'Crédito 8'!$I$9))</f>
        <v/>
      </c>
      <c r="D32" s="30" t="str">
        <f aca="false">IF(B32="","",CHOOSE(IFERROR(MATCH(SMALL($O$13:$O$20,8),$O$13:$O$20,0),0),'Crédito 1'!$I$10,'Crédito 2'!$I$10,'Crédito 3'!$I$10,'Crédito 4'!$I$10,'Crédito 5'!$I$10,'Crédito 6'!$I$10,'Crédito 7'!$I$10,'Crédito 8'!$I$10))</f>
        <v/>
      </c>
      <c r="E32" s="32" t="str">
        <f aca="false">IF(B32="","",DAY(C32))</f>
        <v/>
      </c>
      <c r="F32" s="35" t="str">
        <f aca="false">IF(B32="","",IF(C32&lt;Datos!$C$7,"Vencida",IF(C32-Datos!$C$7&lt;=7,"Paga esta semana","Al día")))</f>
        <v/>
      </c>
    </row>
    <row r="33" customFormat="false" ht="15" hidden="false" customHeight="false" outlineLevel="0" collapsed="false">
      <c r="B33" s="38" t="s">
        <v>67</v>
      </c>
      <c r="C33" s="38"/>
      <c r="D33" s="39" t="n">
        <f aca="false">SUM(D25:D32)</f>
        <v>0</v>
      </c>
      <c r="E33" s="38"/>
      <c r="F33" s="38"/>
    </row>
    <row r="35" customFormat="false" ht="30" hidden="false" customHeight="true" outlineLevel="0" collapsed="false">
      <c r="B35" s="7" t="s">
        <v>68</v>
      </c>
      <c r="C35" s="8"/>
      <c r="D35" s="8"/>
      <c r="E35" s="8"/>
      <c r="F35" s="8"/>
      <c r="G35" s="9" t="s">
        <v>69</v>
      </c>
      <c r="H35" s="10"/>
      <c r="I35" s="10" t="s">
        <v>70</v>
      </c>
      <c r="J35" s="8"/>
      <c r="K35" s="8"/>
      <c r="L35" s="8"/>
    </row>
    <row r="36" customFormat="false" ht="15" hidden="false" customHeight="false" outlineLevel="0" collapsed="false">
      <c r="B36" s="16" t="s">
        <v>71</v>
      </c>
      <c r="D36" s="16" t="str">
        <f aca="false">'Plan de pago'!$C$5</f>
        <v>Avalancha</v>
      </c>
      <c r="G36" s="16" t="str">
        <f aca="false">IF('Plan de pago'!$E$22=0,"",INDEX('Plan de pago'!$B$12:$B$19,'Plan de pago'!$E$22))</f>
        <v/>
      </c>
      <c r="I36" s="41" t="str">
        <f aca="false">IF(G36="","",'Plan de pago'!$G$28)</f>
        <v/>
      </c>
    </row>
    <row r="37" customFormat="false" ht="15" hidden="false" customHeight="false" outlineLevel="0" collapsed="false">
      <c r="B37" s="16" t="s">
        <v>72</v>
      </c>
      <c r="D37" s="41" t="n">
        <f aca="false">'Plan de pago'!$C$8</f>
        <v>0</v>
      </c>
      <c r="G37" s="16" t="str">
        <f aca="false">IF('Plan de pago'!$I$22=0,"",INDEX('Plan de pago'!$B$12:$B$19,'Plan de pago'!$I$22))</f>
        <v/>
      </c>
      <c r="I37" s="41" t="str">
        <f aca="false">IF(G37="","",'Plan de pago'!$K$28)</f>
        <v/>
      </c>
    </row>
    <row r="38" customFormat="false" ht="15" hidden="false" customHeight="false" outlineLevel="0" collapsed="false">
      <c r="B38" s="16" t="s">
        <v>73</v>
      </c>
      <c r="D38" s="41" t="n">
        <f aca="false">'Plan de pago'!$O$20</f>
        <v>0</v>
      </c>
      <c r="G38" s="16" t="str">
        <f aca="false">IF('Plan de pago'!$M$22=0,"",INDEX('Plan de pago'!$B$12:$B$19,'Plan de pago'!$M$22))</f>
        <v/>
      </c>
      <c r="I38" s="41" t="str">
        <f aca="false">IF(G38="","",'Plan de pago'!$O$28)</f>
        <v/>
      </c>
    </row>
    <row r="39" customFormat="false" ht="15" hidden="false" customHeight="false" outlineLevel="0" collapsed="false">
      <c r="B39" s="16" t="s">
        <v>74</v>
      </c>
      <c r="D39" s="41" t="n">
        <f aca="false">'Plan de pago'!$P$20</f>
        <v>0</v>
      </c>
      <c r="G39" s="16" t="str">
        <f aca="false">IF('Plan de pago'!$Q$22=0,"",INDEX('Plan de pago'!$B$12:$B$19,'Plan de pago'!$Q$22))</f>
        <v/>
      </c>
      <c r="I39" s="41" t="str">
        <f aca="false">IF(G39="","",'Plan de pago'!$S$28)</f>
        <v/>
      </c>
    </row>
    <row r="40" customFormat="false" ht="15" hidden="false" customHeight="false" outlineLevel="0" collapsed="false">
      <c r="B40" s="28" t="s">
        <v>75</v>
      </c>
      <c r="D40" s="42" t="n">
        <f aca="false">'Plan de pago'!$C$21</f>
        <v>0</v>
      </c>
      <c r="G40" s="16" t="str">
        <f aca="false">IF('Plan de pago'!$U$22=0,"",INDEX('Plan de pago'!$B$12:$B$19,'Plan de pago'!$U$22))</f>
        <v/>
      </c>
      <c r="I40" s="41" t="str">
        <f aca="false">IF(G40="","",'Plan de pago'!$W$28)</f>
        <v/>
      </c>
    </row>
    <row r="41" customFormat="false" ht="15" hidden="false" customHeight="false" outlineLevel="0" collapsed="false">
      <c r="G41" s="16" t="str">
        <f aca="false">IF('Plan de pago'!$Y$22=0,"",INDEX('Plan de pago'!$B$12:$B$19,'Plan de pago'!$Y$22))</f>
        <v/>
      </c>
      <c r="I41" s="41" t="str">
        <f aca="false">IF(G41="","",'Plan de pago'!$AA$28)</f>
        <v/>
      </c>
    </row>
    <row r="42" customFormat="false" ht="15" hidden="false" customHeight="false" outlineLevel="0" collapsed="false">
      <c r="G42" s="16" t="str">
        <f aca="false">IF('Plan de pago'!$AC$22=0,"",INDEX('Plan de pago'!$B$12:$B$19,'Plan de pago'!$AC$22))</f>
        <v/>
      </c>
      <c r="I42" s="41" t="str">
        <f aca="false">IF(G42="","",'Plan de pago'!$AE$28)</f>
        <v/>
      </c>
    </row>
    <row r="43" customFormat="false" ht="15" hidden="false" customHeight="false" outlineLevel="0" collapsed="false">
      <c r="G43" s="16" t="str">
        <f aca="false">IF('Plan de pago'!$AG$22=0,"",INDEX('Plan de pago'!$B$12:$B$19,'Plan de pago'!$AG$22))</f>
        <v/>
      </c>
      <c r="I43" s="41" t="str">
        <f aca="false">IF(G43="","",'Plan de pago'!$AI$28)</f>
        <v/>
      </c>
    </row>
    <row r="44" customFormat="false" ht="15" hidden="false" customHeight="false" outlineLevel="0" collapsed="false">
      <c r="G44" s="18" t="s">
        <v>76</v>
      </c>
    </row>
    <row r="46" customFormat="false" ht="15" hidden="false" customHeight="false" outlineLevel="0" collapsed="false">
      <c r="B46" s="7" t="s">
        <v>77</v>
      </c>
      <c r="C46" s="8"/>
      <c r="D46" s="8"/>
      <c r="E46" s="8"/>
      <c r="F46" s="8"/>
      <c r="G46" s="8"/>
      <c r="H46" s="8"/>
      <c r="I46" s="8"/>
      <c r="J46" s="8"/>
      <c r="K46" s="8"/>
      <c r="L46" s="8"/>
    </row>
    <row r="47" customFormat="false" ht="42" hidden="false" customHeight="true" outlineLevel="0" collapsed="false">
      <c r="B47" s="9" t="s">
        <v>45</v>
      </c>
      <c r="C47" s="10" t="s">
        <v>78</v>
      </c>
      <c r="D47" s="10" t="s">
        <v>79</v>
      </c>
      <c r="E47" s="10" t="s">
        <v>80</v>
      </c>
      <c r="F47" s="10" t="s">
        <v>81</v>
      </c>
      <c r="G47" s="10" t="s">
        <v>82</v>
      </c>
    </row>
    <row r="48" customFormat="false" ht="15" hidden="false" customHeight="false" outlineLevel="0" collapsed="false">
      <c r="B48" s="12" t="str">
        <f aca="false">IF(IFERROR(MATCH(SMALL($N$60:$N$67,1),$N$60:$N$67,0),0)=0,"",INDEX($B$13:$B$20,IFERROR(MATCH(SMALL($N$60:$N$67,1),$N$60:$N$67,0),0)))</f>
        <v/>
      </c>
      <c r="C48" s="33" t="str">
        <f aca="false">IF(B48="","",CHOOSE(IFERROR(MATCH(SMALL($N$60:$N$67,1),$N$60:$N$67,0),0),'Crédito 1'!$I$12,'Crédito 2'!$I$12,'Crédito 3'!$I$12,'Crédito 4'!$I$12,'Crédito 5'!$I$12,'Crédito 6'!$I$12,'Crédito 7'!$I$12,'Crédito 8'!$I$12))</f>
        <v/>
      </c>
      <c r="D48" s="30" t="str">
        <f aca="false">IF(B48="","",CHOOSE(IFERROR(MATCH(SMALL($N$60:$N$67,1),$N$60:$N$67,0),0),'Crédito 1'!$I$18,'Crédito 2'!$I$18,'Crédito 3'!$I$18,'Crédito 4'!$I$18,'Crédito 5'!$I$18,'Crédito 6'!$I$18,'Crédito 7'!$I$18,'Crédito 8'!$I$18))</f>
        <v/>
      </c>
      <c r="E48" s="30" t="str">
        <f aca="false">IF(B48="","",MAX(0,SUMIFS('Plan de pago'!$F$12:$F$19,'Plan de pago'!$C$12:$C$19,"&gt;0.5")-(D48)))</f>
        <v/>
      </c>
      <c r="F48" s="43" t="str">
        <f aca="false">IF(B48="","",ROUND((C48-Datos!$C$7)/365.25,1))</f>
        <v/>
      </c>
      <c r="G48" s="44" t="str">
        <f aca="false">IF(OR(B48="",N(Datos!$F$16)=0),"",E48/Datos!$F$16)</f>
        <v/>
      </c>
    </row>
    <row r="49" customFormat="false" ht="15" hidden="false" customHeight="false" outlineLevel="0" collapsed="false">
      <c r="B49" s="12" t="str">
        <f aca="false">IF(IFERROR(MATCH(SMALL($N$60:$N$67,2),$N$60:$N$67,0),0)=0,"",INDEX($B$13:$B$20,IFERROR(MATCH(SMALL($N$60:$N$67,2),$N$60:$N$67,0),0)))</f>
        <v/>
      </c>
      <c r="C49" s="33" t="str">
        <f aca="false">IF(B49="","",CHOOSE(IFERROR(MATCH(SMALL($N$60:$N$67,2),$N$60:$N$67,0),0),'Crédito 1'!$I$12,'Crédito 2'!$I$12,'Crédito 3'!$I$12,'Crédito 4'!$I$12,'Crédito 5'!$I$12,'Crédito 6'!$I$12,'Crédito 7'!$I$12,'Crédito 8'!$I$12))</f>
        <v/>
      </c>
      <c r="D49" s="30" t="str">
        <f aca="false">IF(B49="","",CHOOSE(IFERROR(MATCH(SMALL($N$60:$N$67,2),$N$60:$N$67,0),0),'Crédito 1'!$I$18,'Crédito 2'!$I$18,'Crédito 3'!$I$18,'Crédito 4'!$I$18,'Crédito 5'!$I$18,'Crédito 6'!$I$18,'Crédito 7'!$I$18,'Crédito 8'!$I$18))</f>
        <v/>
      </c>
      <c r="E49" s="30" t="str">
        <f aca="false">IF(B49="","",MAX(0,SUMIFS('Plan de pago'!$F$12:$F$19,'Plan de pago'!$C$12:$C$19,"&gt;0.5")-(D48+D49)))</f>
        <v/>
      </c>
      <c r="F49" s="43" t="str">
        <f aca="false">IF(B49="","",ROUND((C49-Datos!$C$7)/365.25,1))</f>
        <v/>
      </c>
      <c r="G49" s="44" t="str">
        <f aca="false">IF(OR(B49="",N(Datos!$F$16)=0),"",E49/Datos!$F$16)</f>
        <v/>
      </c>
    </row>
    <row r="50" customFormat="false" ht="15" hidden="false" customHeight="false" outlineLevel="0" collapsed="false">
      <c r="B50" s="12" t="str">
        <f aca="false">IF(IFERROR(MATCH(SMALL($N$60:$N$67,3),$N$60:$N$67,0),0)=0,"",INDEX($B$13:$B$20,IFERROR(MATCH(SMALL($N$60:$N$67,3),$N$60:$N$67,0),0)))</f>
        <v/>
      </c>
      <c r="C50" s="33" t="str">
        <f aca="false">IF(B50="","",CHOOSE(IFERROR(MATCH(SMALL($N$60:$N$67,3),$N$60:$N$67,0),0),'Crédito 1'!$I$12,'Crédito 2'!$I$12,'Crédito 3'!$I$12,'Crédito 4'!$I$12,'Crédito 5'!$I$12,'Crédito 6'!$I$12,'Crédito 7'!$I$12,'Crédito 8'!$I$12))</f>
        <v/>
      </c>
      <c r="D50" s="30" t="str">
        <f aca="false">IF(B50="","",CHOOSE(IFERROR(MATCH(SMALL($N$60:$N$67,3),$N$60:$N$67,0),0),'Crédito 1'!$I$18,'Crédito 2'!$I$18,'Crédito 3'!$I$18,'Crédito 4'!$I$18,'Crédito 5'!$I$18,'Crédito 6'!$I$18,'Crédito 7'!$I$18,'Crédito 8'!$I$18))</f>
        <v/>
      </c>
      <c r="E50" s="30" t="str">
        <f aca="false">IF(B50="","",MAX(0,SUMIFS('Plan de pago'!$F$12:$F$19,'Plan de pago'!$C$12:$C$19,"&gt;0.5")-(D48+D49+D50)))</f>
        <v/>
      </c>
      <c r="F50" s="43" t="str">
        <f aca="false">IF(B50="","",ROUND((C50-Datos!$C$7)/365.25,1))</f>
        <v/>
      </c>
      <c r="G50" s="44" t="str">
        <f aca="false">IF(OR(B50="",N(Datos!$F$16)=0),"",E50/Datos!$F$16)</f>
        <v/>
      </c>
    </row>
    <row r="51" customFormat="false" ht="15" hidden="false" customHeight="false" outlineLevel="0" collapsed="false">
      <c r="B51" s="12" t="str">
        <f aca="false">IF(IFERROR(MATCH(SMALL($N$60:$N$67,4),$N$60:$N$67,0),0)=0,"",INDEX($B$13:$B$20,IFERROR(MATCH(SMALL($N$60:$N$67,4),$N$60:$N$67,0),0)))</f>
        <v/>
      </c>
      <c r="C51" s="33" t="str">
        <f aca="false">IF(B51="","",CHOOSE(IFERROR(MATCH(SMALL($N$60:$N$67,4),$N$60:$N$67,0),0),'Crédito 1'!$I$12,'Crédito 2'!$I$12,'Crédito 3'!$I$12,'Crédito 4'!$I$12,'Crédito 5'!$I$12,'Crédito 6'!$I$12,'Crédito 7'!$I$12,'Crédito 8'!$I$12))</f>
        <v/>
      </c>
      <c r="D51" s="30" t="str">
        <f aca="false">IF(B51="","",CHOOSE(IFERROR(MATCH(SMALL($N$60:$N$67,4),$N$60:$N$67,0),0),'Crédito 1'!$I$18,'Crédito 2'!$I$18,'Crédito 3'!$I$18,'Crédito 4'!$I$18,'Crédito 5'!$I$18,'Crédito 6'!$I$18,'Crédito 7'!$I$18,'Crédito 8'!$I$18))</f>
        <v/>
      </c>
      <c r="E51" s="30" t="str">
        <f aca="false">IF(B51="","",MAX(0,SUMIFS('Plan de pago'!$F$12:$F$19,'Plan de pago'!$C$12:$C$19,"&gt;0.5")-(D48+D49+D50+D51)))</f>
        <v/>
      </c>
      <c r="F51" s="43" t="str">
        <f aca="false">IF(B51="","",ROUND((C51-Datos!$C$7)/365.25,1))</f>
        <v/>
      </c>
      <c r="G51" s="44" t="str">
        <f aca="false">IF(OR(B51="",N(Datos!$F$16)=0),"",E51/Datos!$F$16)</f>
        <v/>
      </c>
    </row>
    <row r="52" customFormat="false" ht="15" hidden="false" customHeight="false" outlineLevel="0" collapsed="false">
      <c r="B52" s="12" t="str">
        <f aca="false">IF(IFERROR(MATCH(SMALL($N$60:$N$67,5),$N$60:$N$67,0),0)=0,"",INDEX($B$13:$B$20,IFERROR(MATCH(SMALL($N$60:$N$67,5),$N$60:$N$67,0),0)))</f>
        <v/>
      </c>
      <c r="C52" s="33" t="str">
        <f aca="false">IF(B52="","",CHOOSE(IFERROR(MATCH(SMALL($N$60:$N$67,5),$N$60:$N$67,0),0),'Crédito 1'!$I$12,'Crédito 2'!$I$12,'Crédito 3'!$I$12,'Crédito 4'!$I$12,'Crédito 5'!$I$12,'Crédito 6'!$I$12,'Crédito 7'!$I$12,'Crédito 8'!$I$12))</f>
        <v/>
      </c>
      <c r="D52" s="30" t="str">
        <f aca="false">IF(B52="","",CHOOSE(IFERROR(MATCH(SMALL($N$60:$N$67,5),$N$60:$N$67,0),0),'Crédito 1'!$I$18,'Crédito 2'!$I$18,'Crédito 3'!$I$18,'Crédito 4'!$I$18,'Crédito 5'!$I$18,'Crédito 6'!$I$18,'Crédito 7'!$I$18,'Crédito 8'!$I$18))</f>
        <v/>
      </c>
      <c r="E52" s="30" t="str">
        <f aca="false">IF(B52="","",MAX(0,SUMIFS('Plan de pago'!$F$12:$F$19,'Plan de pago'!$C$12:$C$19,"&gt;0.5")-(D48+D49+D50+D51+D52)))</f>
        <v/>
      </c>
      <c r="F52" s="43" t="str">
        <f aca="false">IF(B52="","",ROUND((C52-Datos!$C$7)/365.25,1))</f>
        <v/>
      </c>
      <c r="G52" s="44" t="str">
        <f aca="false">IF(OR(B52="",N(Datos!$F$16)=0),"",E52/Datos!$F$16)</f>
        <v/>
      </c>
    </row>
    <row r="53" customFormat="false" ht="15" hidden="false" customHeight="false" outlineLevel="0" collapsed="false">
      <c r="B53" s="12" t="str">
        <f aca="false">IF(IFERROR(MATCH(SMALL($N$60:$N$67,6),$N$60:$N$67,0),0)=0,"",INDEX($B$13:$B$20,IFERROR(MATCH(SMALL($N$60:$N$67,6),$N$60:$N$67,0),0)))</f>
        <v/>
      </c>
      <c r="C53" s="33" t="str">
        <f aca="false">IF(B53="","",CHOOSE(IFERROR(MATCH(SMALL($N$60:$N$67,6),$N$60:$N$67,0),0),'Crédito 1'!$I$12,'Crédito 2'!$I$12,'Crédito 3'!$I$12,'Crédito 4'!$I$12,'Crédito 5'!$I$12,'Crédito 6'!$I$12,'Crédito 7'!$I$12,'Crédito 8'!$I$12))</f>
        <v/>
      </c>
      <c r="D53" s="30" t="str">
        <f aca="false">IF(B53="","",CHOOSE(IFERROR(MATCH(SMALL($N$60:$N$67,6),$N$60:$N$67,0),0),'Crédito 1'!$I$18,'Crédito 2'!$I$18,'Crédito 3'!$I$18,'Crédito 4'!$I$18,'Crédito 5'!$I$18,'Crédito 6'!$I$18,'Crédito 7'!$I$18,'Crédito 8'!$I$18))</f>
        <v/>
      </c>
      <c r="E53" s="30" t="str">
        <f aca="false">IF(B53="","",MAX(0,SUMIFS('Plan de pago'!$F$12:$F$19,'Plan de pago'!$C$12:$C$19,"&gt;0.5")-(D48+D49+D50+D51+D52+D53)))</f>
        <v/>
      </c>
      <c r="F53" s="43" t="str">
        <f aca="false">IF(B53="","",ROUND((C53-Datos!$C$7)/365.25,1))</f>
        <v/>
      </c>
      <c r="G53" s="44" t="str">
        <f aca="false">IF(OR(B53="",N(Datos!$F$16)=0),"",E53/Datos!$F$16)</f>
        <v/>
      </c>
    </row>
    <row r="54" customFormat="false" ht="15" hidden="false" customHeight="false" outlineLevel="0" collapsed="false">
      <c r="B54" s="12" t="str">
        <f aca="false">IF(IFERROR(MATCH(SMALL($N$60:$N$67,7),$N$60:$N$67,0),0)=0,"",INDEX($B$13:$B$20,IFERROR(MATCH(SMALL($N$60:$N$67,7),$N$60:$N$67,0),0)))</f>
        <v/>
      </c>
      <c r="C54" s="33" t="str">
        <f aca="false">IF(B54="","",CHOOSE(IFERROR(MATCH(SMALL($N$60:$N$67,7),$N$60:$N$67,0),0),'Crédito 1'!$I$12,'Crédito 2'!$I$12,'Crédito 3'!$I$12,'Crédito 4'!$I$12,'Crédito 5'!$I$12,'Crédito 6'!$I$12,'Crédito 7'!$I$12,'Crédito 8'!$I$12))</f>
        <v/>
      </c>
      <c r="D54" s="30" t="str">
        <f aca="false">IF(B54="","",CHOOSE(IFERROR(MATCH(SMALL($N$60:$N$67,7),$N$60:$N$67,0),0),'Crédito 1'!$I$18,'Crédito 2'!$I$18,'Crédito 3'!$I$18,'Crédito 4'!$I$18,'Crédito 5'!$I$18,'Crédito 6'!$I$18,'Crédito 7'!$I$18,'Crédito 8'!$I$18))</f>
        <v/>
      </c>
      <c r="E54" s="30" t="str">
        <f aca="false">IF(B54="","",MAX(0,SUMIFS('Plan de pago'!$F$12:$F$19,'Plan de pago'!$C$12:$C$19,"&gt;0.5")-(D48+D49+D50+D51+D52+D53+D54)))</f>
        <v/>
      </c>
      <c r="F54" s="43" t="str">
        <f aca="false">IF(B54="","",ROUND((C54-Datos!$C$7)/365.25,1))</f>
        <v/>
      </c>
      <c r="G54" s="44" t="str">
        <f aca="false">IF(OR(B54="",N(Datos!$F$16)=0),"",E54/Datos!$F$16)</f>
        <v/>
      </c>
    </row>
    <row r="55" customFormat="false" ht="15" hidden="false" customHeight="false" outlineLevel="0" collapsed="false">
      <c r="B55" s="12" t="str">
        <f aca="false">IF(IFERROR(MATCH(SMALL($N$60:$N$67,8),$N$60:$N$67,0),0)=0,"",INDEX($B$13:$B$20,IFERROR(MATCH(SMALL($N$60:$N$67,8),$N$60:$N$67,0),0)))</f>
        <v/>
      </c>
      <c r="C55" s="33" t="str">
        <f aca="false">IF(B55="","",CHOOSE(IFERROR(MATCH(SMALL($N$60:$N$67,8),$N$60:$N$67,0),0),'Crédito 1'!$I$12,'Crédito 2'!$I$12,'Crédito 3'!$I$12,'Crédito 4'!$I$12,'Crédito 5'!$I$12,'Crédito 6'!$I$12,'Crédito 7'!$I$12,'Crédito 8'!$I$12))</f>
        <v/>
      </c>
      <c r="D55" s="30" t="str">
        <f aca="false">IF(B55="","",CHOOSE(IFERROR(MATCH(SMALL($N$60:$N$67,8),$N$60:$N$67,0),0),'Crédito 1'!$I$18,'Crédito 2'!$I$18,'Crédito 3'!$I$18,'Crédito 4'!$I$18,'Crédito 5'!$I$18,'Crédito 6'!$I$18,'Crédito 7'!$I$18,'Crédito 8'!$I$18))</f>
        <v/>
      </c>
      <c r="E55" s="30" t="str">
        <f aca="false">IF(B55="","",MAX(0,SUMIFS('Plan de pago'!$F$12:$F$19,'Plan de pago'!$C$12:$C$19,"&gt;0.5")-(D48+D49+D50+D51+D52+D53+D54+D55)))</f>
        <v/>
      </c>
      <c r="F55" s="43" t="str">
        <f aca="false">IF(B55="","",ROUND((C55-Datos!$C$7)/365.25,1))</f>
        <v/>
      </c>
      <c r="G55" s="44" t="str">
        <f aca="false">IF(OR(B55="",N(Datos!$F$16)=0),"",E55/Datos!$F$16)</f>
        <v/>
      </c>
    </row>
    <row r="58" customFormat="false" ht="15" hidden="false" customHeight="false" outlineLevel="0" collapsed="false">
      <c r="B58" s="7" t="s">
        <v>83</v>
      </c>
      <c r="C58" s="8"/>
      <c r="D58" s="8"/>
      <c r="E58" s="8"/>
      <c r="F58" s="8"/>
      <c r="G58" s="8"/>
      <c r="H58" s="8"/>
      <c r="I58" s="8"/>
      <c r="J58" s="8"/>
      <c r="K58" s="8"/>
      <c r="L58" s="8"/>
    </row>
    <row r="59" customFormat="false" ht="30" hidden="false" customHeight="true" outlineLevel="0" collapsed="false">
      <c r="B59" s="9" t="s">
        <v>84</v>
      </c>
      <c r="C59" s="10" t="s">
        <v>85</v>
      </c>
      <c r="D59" s="10" t="s">
        <v>86</v>
      </c>
      <c r="E59" s="10" t="s">
        <v>87</v>
      </c>
      <c r="F59" s="10" t="s">
        <v>88</v>
      </c>
    </row>
    <row r="60" customFormat="false" ht="15" hidden="false" customHeight="false" outlineLevel="0" collapsed="false">
      <c r="B60" s="45" t="n">
        <f aca="false">YEAR('Plan de pago'!$C$7)+0</f>
        <v>2026</v>
      </c>
      <c r="C60" s="30" t="n">
        <f aca="false">IFERROR(INDEX('Plan de pago'!$AS$28:$AS$387,MATCH(DATE(B60,12,1),'Plan de pago'!$C$28:$C$387,0)),0)</f>
        <v>0</v>
      </c>
      <c r="D60" s="30" t="n">
        <f aca="false">IFERROR(INDEX('Plan de pago'!$AT$28:$AT$387,MATCH(DATE(B60,12,1),'Plan de pago'!$C$28:$C$387,0)),0)</f>
        <v>0</v>
      </c>
      <c r="E60" s="30" t="n">
        <f aca="false">SUMIFS('Plan de pago'!$AU$28:$AU$387,'Plan de pago'!$C$28:$C$387,"&gt;="&amp;DATE(B60,1,1),'Plan de pago'!$C$28:$C$387,"&lt;="&amp;DATE(B60,12,1))</f>
        <v>0</v>
      </c>
      <c r="F60" s="34" t="str">
        <f aca="false">IF(OR(N(Datos!$F$16)=0,E60=0),"",E60/COUNTIFS('Plan de pago'!$C$28:$C$387,"&gt;="&amp;DATE(B60,1,1),'Plan de pago'!$C$28:$C$387,"&lt;="&amp;DATE(B60,12,1))/Datos!$F$16)</f>
        <v/>
      </c>
      <c r="N60" s="37" t="str">
        <f aca="false">IF(ISNUMBER('Crédito 1'!$I$12),'Crédito 1'!$I$12+1/100,"")</f>
        <v/>
      </c>
    </row>
    <row r="61" customFormat="false" ht="15" hidden="false" customHeight="false" outlineLevel="0" collapsed="false">
      <c r="B61" s="45" t="n">
        <f aca="false">YEAR('Plan de pago'!$C$7)+1</f>
        <v>2027</v>
      </c>
      <c r="C61" s="30" t="n">
        <f aca="false">IFERROR(INDEX('Plan de pago'!$AS$28:$AS$387,MATCH(DATE(B61,12,1),'Plan de pago'!$C$28:$C$387,0)),0)</f>
        <v>0</v>
      </c>
      <c r="D61" s="30" t="n">
        <f aca="false">IFERROR(INDEX('Plan de pago'!$AT$28:$AT$387,MATCH(DATE(B61,12,1),'Plan de pago'!$C$28:$C$387,0)),0)</f>
        <v>0</v>
      </c>
      <c r="E61" s="30" t="n">
        <f aca="false">SUMIFS('Plan de pago'!$AU$28:$AU$387,'Plan de pago'!$C$28:$C$387,"&gt;="&amp;DATE(B61,1,1),'Plan de pago'!$C$28:$C$387,"&lt;="&amp;DATE(B61,12,1))</f>
        <v>0</v>
      </c>
      <c r="F61" s="34" t="str">
        <f aca="false">IF(OR(N(Datos!$F$16)=0,E61=0),"",E61/COUNTIFS('Plan de pago'!$C$28:$C$387,"&gt;="&amp;DATE(B61,1,1),'Plan de pago'!$C$28:$C$387,"&lt;="&amp;DATE(B61,12,1))/Datos!$F$16)</f>
        <v/>
      </c>
      <c r="N61" s="37" t="str">
        <f aca="false">IF(ISNUMBER('Crédito 2'!$I$12),'Crédito 2'!$I$12+2/100,"")</f>
        <v/>
      </c>
    </row>
    <row r="62" customFormat="false" ht="15" hidden="false" customHeight="false" outlineLevel="0" collapsed="false">
      <c r="B62" s="45" t="n">
        <f aca="false">YEAR('Plan de pago'!$C$7)+2</f>
        <v>2028</v>
      </c>
      <c r="C62" s="30" t="n">
        <f aca="false">IFERROR(INDEX('Plan de pago'!$AS$28:$AS$387,MATCH(DATE(B62,12,1),'Plan de pago'!$C$28:$C$387,0)),0)</f>
        <v>0</v>
      </c>
      <c r="D62" s="30" t="n">
        <f aca="false">IFERROR(INDEX('Plan de pago'!$AT$28:$AT$387,MATCH(DATE(B62,12,1),'Plan de pago'!$C$28:$C$387,0)),0)</f>
        <v>0</v>
      </c>
      <c r="E62" s="30" t="n">
        <f aca="false">SUMIFS('Plan de pago'!$AU$28:$AU$387,'Plan de pago'!$C$28:$C$387,"&gt;="&amp;DATE(B62,1,1),'Plan de pago'!$C$28:$C$387,"&lt;="&amp;DATE(B62,12,1))</f>
        <v>0</v>
      </c>
      <c r="F62" s="34" t="str">
        <f aca="false">IF(OR(N(Datos!$F$16)=0,E62=0),"",E62/COUNTIFS('Plan de pago'!$C$28:$C$387,"&gt;="&amp;DATE(B62,1,1),'Plan de pago'!$C$28:$C$387,"&lt;="&amp;DATE(B62,12,1))/Datos!$F$16)</f>
        <v/>
      </c>
      <c r="N62" s="37" t="str">
        <f aca="false">IF(ISNUMBER('Crédito 3'!$I$12),'Crédito 3'!$I$12+3/100,"")</f>
        <v/>
      </c>
    </row>
    <row r="63" customFormat="false" ht="15" hidden="false" customHeight="false" outlineLevel="0" collapsed="false">
      <c r="B63" s="45" t="n">
        <f aca="false">YEAR('Plan de pago'!$C$7)+3</f>
        <v>2029</v>
      </c>
      <c r="C63" s="30" t="n">
        <f aca="false">IFERROR(INDEX('Plan de pago'!$AS$28:$AS$387,MATCH(DATE(B63,12,1),'Plan de pago'!$C$28:$C$387,0)),0)</f>
        <v>0</v>
      </c>
      <c r="D63" s="30" t="n">
        <f aca="false">IFERROR(INDEX('Plan de pago'!$AT$28:$AT$387,MATCH(DATE(B63,12,1),'Plan de pago'!$C$28:$C$387,0)),0)</f>
        <v>0</v>
      </c>
      <c r="E63" s="30" t="n">
        <f aca="false">SUMIFS('Plan de pago'!$AU$28:$AU$387,'Plan de pago'!$C$28:$C$387,"&gt;="&amp;DATE(B63,1,1),'Plan de pago'!$C$28:$C$387,"&lt;="&amp;DATE(B63,12,1))</f>
        <v>0</v>
      </c>
      <c r="F63" s="34" t="str">
        <f aca="false">IF(OR(N(Datos!$F$16)=0,E63=0),"",E63/COUNTIFS('Plan de pago'!$C$28:$C$387,"&gt;="&amp;DATE(B63,1,1),'Plan de pago'!$C$28:$C$387,"&lt;="&amp;DATE(B63,12,1))/Datos!$F$16)</f>
        <v/>
      </c>
      <c r="N63" s="37" t="str">
        <f aca="false">IF(ISNUMBER('Crédito 4'!$I$12),'Crédito 4'!$I$12+4/100,"")</f>
        <v/>
      </c>
    </row>
    <row r="64" customFormat="false" ht="15" hidden="false" customHeight="false" outlineLevel="0" collapsed="false">
      <c r="B64" s="45" t="n">
        <f aca="false">YEAR('Plan de pago'!$C$7)+4</f>
        <v>2030</v>
      </c>
      <c r="C64" s="30" t="n">
        <f aca="false">IFERROR(INDEX('Plan de pago'!$AS$28:$AS$387,MATCH(DATE(B64,12,1),'Plan de pago'!$C$28:$C$387,0)),0)</f>
        <v>0</v>
      </c>
      <c r="D64" s="30" t="n">
        <f aca="false">IFERROR(INDEX('Plan de pago'!$AT$28:$AT$387,MATCH(DATE(B64,12,1),'Plan de pago'!$C$28:$C$387,0)),0)</f>
        <v>0</v>
      </c>
      <c r="E64" s="30" t="n">
        <f aca="false">SUMIFS('Plan de pago'!$AU$28:$AU$387,'Plan de pago'!$C$28:$C$387,"&gt;="&amp;DATE(B64,1,1),'Plan de pago'!$C$28:$C$387,"&lt;="&amp;DATE(B64,12,1))</f>
        <v>0</v>
      </c>
      <c r="F64" s="34" t="str">
        <f aca="false">IF(OR(N(Datos!$F$16)=0,E64=0),"",E64/COUNTIFS('Plan de pago'!$C$28:$C$387,"&gt;="&amp;DATE(B64,1,1),'Plan de pago'!$C$28:$C$387,"&lt;="&amp;DATE(B64,12,1))/Datos!$F$16)</f>
        <v/>
      </c>
      <c r="N64" s="37" t="str">
        <f aca="false">IF(ISNUMBER('Crédito 5'!$I$12),'Crédito 5'!$I$12+5/100,"")</f>
        <v/>
      </c>
    </row>
    <row r="65" customFormat="false" ht="15" hidden="false" customHeight="false" outlineLevel="0" collapsed="false">
      <c r="B65" s="45" t="n">
        <f aca="false">YEAR('Plan de pago'!$C$7)+5</f>
        <v>2031</v>
      </c>
      <c r="C65" s="30" t="n">
        <f aca="false">IFERROR(INDEX('Plan de pago'!$AS$28:$AS$387,MATCH(DATE(B65,12,1),'Plan de pago'!$C$28:$C$387,0)),0)</f>
        <v>0</v>
      </c>
      <c r="D65" s="30" t="n">
        <f aca="false">IFERROR(INDEX('Plan de pago'!$AT$28:$AT$387,MATCH(DATE(B65,12,1),'Plan de pago'!$C$28:$C$387,0)),0)</f>
        <v>0</v>
      </c>
      <c r="E65" s="30" t="n">
        <f aca="false">SUMIFS('Plan de pago'!$AU$28:$AU$387,'Plan de pago'!$C$28:$C$387,"&gt;="&amp;DATE(B65,1,1),'Plan de pago'!$C$28:$C$387,"&lt;="&amp;DATE(B65,12,1))</f>
        <v>0</v>
      </c>
      <c r="F65" s="34" t="str">
        <f aca="false">IF(OR(N(Datos!$F$16)=0,E65=0),"",E65/COUNTIFS('Plan de pago'!$C$28:$C$387,"&gt;="&amp;DATE(B65,1,1),'Plan de pago'!$C$28:$C$387,"&lt;="&amp;DATE(B65,12,1))/Datos!$F$16)</f>
        <v/>
      </c>
      <c r="N65" s="37" t="str">
        <f aca="false">IF(ISNUMBER('Crédito 6'!$I$12),'Crédito 6'!$I$12+6/100,"")</f>
        <v/>
      </c>
    </row>
    <row r="66" customFormat="false" ht="15" hidden="false" customHeight="false" outlineLevel="0" collapsed="false">
      <c r="B66" s="45" t="n">
        <f aca="false">YEAR('Plan de pago'!$C$7)+6</f>
        <v>2032</v>
      </c>
      <c r="C66" s="30" t="n">
        <f aca="false">IFERROR(INDEX('Plan de pago'!$AS$28:$AS$387,MATCH(DATE(B66,12,1),'Plan de pago'!$C$28:$C$387,0)),0)</f>
        <v>0</v>
      </c>
      <c r="D66" s="30" t="n">
        <f aca="false">IFERROR(INDEX('Plan de pago'!$AT$28:$AT$387,MATCH(DATE(B66,12,1),'Plan de pago'!$C$28:$C$387,0)),0)</f>
        <v>0</v>
      </c>
      <c r="E66" s="30" t="n">
        <f aca="false">SUMIFS('Plan de pago'!$AU$28:$AU$387,'Plan de pago'!$C$28:$C$387,"&gt;="&amp;DATE(B66,1,1),'Plan de pago'!$C$28:$C$387,"&lt;="&amp;DATE(B66,12,1))</f>
        <v>0</v>
      </c>
      <c r="F66" s="34" t="str">
        <f aca="false">IF(OR(N(Datos!$F$16)=0,E66=0),"",E66/COUNTIFS('Plan de pago'!$C$28:$C$387,"&gt;="&amp;DATE(B66,1,1),'Plan de pago'!$C$28:$C$387,"&lt;="&amp;DATE(B66,12,1))/Datos!$F$16)</f>
        <v/>
      </c>
      <c r="N66" s="37" t="str">
        <f aca="false">IF(ISNUMBER('Crédito 7'!$I$12),'Crédito 7'!$I$12+7/100,"")</f>
        <v/>
      </c>
    </row>
    <row r="67" customFormat="false" ht="15" hidden="false" customHeight="false" outlineLevel="0" collapsed="false">
      <c r="B67" s="45" t="n">
        <f aca="false">YEAR('Plan de pago'!$C$7)+7</f>
        <v>2033</v>
      </c>
      <c r="C67" s="30" t="n">
        <f aca="false">IFERROR(INDEX('Plan de pago'!$AS$28:$AS$387,MATCH(DATE(B67,12,1),'Plan de pago'!$C$28:$C$387,0)),0)</f>
        <v>0</v>
      </c>
      <c r="D67" s="30" t="n">
        <f aca="false">IFERROR(INDEX('Plan de pago'!$AT$28:$AT$387,MATCH(DATE(B67,12,1),'Plan de pago'!$C$28:$C$387,0)),0)</f>
        <v>0</v>
      </c>
      <c r="E67" s="30" t="n">
        <f aca="false">SUMIFS('Plan de pago'!$AU$28:$AU$387,'Plan de pago'!$C$28:$C$387,"&gt;="&amp;DATE(B67,1,1),'Plan de pago'!$C$28:$C$387,"&lt;="&amp;DATE(B67,12,1))</f>
        <v>0</v>
      </c>
      <c r="F67" s="34" t="str">
        <f aca="false">IF(OR(N(Datos!$F$16)=0,E67=0),"",E67/COUNTIFS('Plan de pago'!$C$28:$C$387,"&gt;="&amp;DATE(B67,1,1),'Plan de pago'!$C$28:$C$387,"&lt;="&amp;DATE(B67,12,1))/Datos!$F$16)</f>
        <v/>
      </c>
      <c r="N67" s="37" t="str">
        <f aca="false">IF(ISNUMBER('Crédito 8'!$I$12),'Crédito 8'!$I$12+8/100,"")</f>
        <v/>
      </c>
    </row>
    <row r="68" customFormat="false" ht="15" hidden="false" customHeight="false" outlineLevel="0" collapsed="false">
      <c r="B68" s="45" t="n">
        <f aca="false">YEAR('Plan de pago'!$C$7)+8</f>
        <v>2034</v>
      </c>
      <c r="C68" s="30" t="n">
        <f aca="false">IFERROR(INDEX('Plan de pago'!$AS$28:$AS$387,MATCH(DATE(B68,12,1),'Plan de pago'!$C$28:$C$387,0)),0)</f>
        <v>0</v>
      </c>
      <c r="D68" s="30" t="n">
        <f aca="false">IFERROR(INDEX('Plan de pago'!$AT$28:$AT$387,MATCH(DATE(B68,12,1),'Plan de pago'!$C$28:$C$387,0)),0)</f>
        <v>0</v>
      </c>
      <c r="E68" s="30" t="n">
        <f aca="false">SUMIFS('Plan de pago'!$AU$28:$AU$387,'Plan de pago'!$C$28:$C$387,"&gt;="&amp;DATE(B68,1,1),'Plan de pago'!$C$28:$C$387,"&lt;="&amp;DATE(B68,12,1))</f>
        <v>0</v>
      </c>
      <c r="F68" s="34" t="str">
        <f aca="false">IF(OR(N(Datos!$F$16)=0,E68=0),"",E68/COUNTIFS('Plan de pago'!$C$28:$C$387,"&gt;="&amp;DATE(B68,1,1),'Plan de pago'!$C$28:$C$387,"&lt;="&amp;DATE(B68,12,1))/Datos!$F$16)</f>
        <v/>
      </c>
    </row>
    <row r="69" customFormat="false" ht="15" hidden="false" customHeight="false" outlineLevel="0" collapsed="false">
      <c r="B69" s="45" t="n">
        <f aca="false">YEAR('Plan de pago'!$C$7)+9</f>
        <v>2035</v>
      </c>
      <c r="C69" s="30" t="n">
        <f aca="false">IFERROR(INDEX('Plan de pago'!$AS$28:$AS$387,MATCH(DATE(B69,12,1),'Plan de pago'!$C$28:$C$387,0)),0)</f>
        <v>0</v>
      </c>
      <c r="D69" s="30" t="n">
        <f aca="false">IFERROR(INDEX('Plan de pago'!$AT$28:$AT$387,MATCH(DATE(B69,12,1),'Plan de pago'!$C$28:$C$387,0)),0)</f>
        <v>0</v>
      </c>
      <c r="E69" s="30" t="n">
        <f aca="false">SUMIFS('Plan de pago'!$AU$28:$AU$387,'Plan de pago'!$C$28:$C$387,"&gt;="&amp;DATE(B69,1,1),'Plan de pago'!$C$28:$C$387,"&lt;="&amp;DATE(B69,12,1))</f>
        <v>0</v>
      </c>
      <c r="F69" s="34" t="str">
        <f aca="false">IF(OR(N(Datos!$F$16)=0,E69=0),"",E69/COUNTIFS('Plan de pago'!$C$28:$C$387,"&gt;="&amp;DATE(B69,1,1),'Plan de pago'!$C$28:$C$387,"&lt;="&amp;DATE(B69,12,1))/Datos!$F$16)</f>
        <v/>
      </c>
    </row>
    <row r="70" customFormat="false" ht="15" hidden="false" customHeight="false" outlineLevel="0" collapsed="false">
      <c r="B70" s="45" t="n">
        <f aca="false">YEAR('Plan de pago'!$C$7)+10</f>
        <v>2036</v>
      </c>
      <c r="C70" s="30" t="n">
        <f aca="false">IFERROR(INDEX('Plan de pago'!$AS$28:$AS$387,MATCH(DATE(B70,12,1),'Plan de pago'!$C$28:$C$387,0)),0)</f>
        <v>0</v>
      </c>
      <c r="D70" s="30" t="n">
        <f aca="false">IFERROR(INDEX('Plan de pago'!$AT$28:$AT$387,MATCH(DATE(B70,12,1),'Plan de pago'!$C$28:$C$387,0)),0)</f>
        <v>0</v>
      </c>
      <c r="E70" s="30" t="n">
        <f aca="false">SUMIFS('Plan de pago'!$AU$28:$AU$387,'Plan de pago'!$C$28:$C$387,"&gt;="&amp;DATE(B70,1,1),'Plan de pago'!$C$28:$C$387,"&lt;="&amp;DATE(B70,12,1))</f>
        <v>0</v>
      </c>
      <c r="F70" s="34" t="str">
        <f aca="false">IF(OR(N(Datos!$F$16)=0,E70=0),"",E70/COUNTIFS('Plan de pago'!$C$28:$C$387,"&gt;="&amp;DATE(B70,1,1),'Plan de pago'!$C$28:$C$387,"&lt;="&amp;DATE(B70,12,1))/Datos!$F$16)</f>
        <v/>
      </c>
    </row>
    <row r="71" customFormat="false" ht="15" hidden="false" customHeight="false" outlineLevel="0" collapsed="false">
      <c r="B71" s="45" t="n">
        <f aca="false">YEAR('Plan de pago'!$C$7)+11</f>
        <v>2037</v>
      </c>
      <c r="C71" s="30" t="n">
        <f aca="false">IFERROR(INDEX('Plan de pago'!$AS$28:$AS$387,MATCH(DATE(B71,12,1),'Plan de pago'!$C$28:$C$387,0)),0)</f>
        <v>0</v>
      </c>
      <c r="D71" s="30" t="n">
        <f aca="false">IFERROR(INDEX('Plan de pago'!$AT$28:$AT$387,MATCH(DATE(B71,12,1),'Plan de pago'!$C$28:$C$387,0)),0)</f>
        <v>0</v>
      </c>
      <c r="E71" s="30" t="n">
        <f aca="false">SUMIFS('Plan de pago'!$AU$28:$AU$387,'Plan de pago'!$C$28:$C$387,"&gt;="&amp;DATE(B71,1,1),'Plan de pago'!$C$28:$C$387,"&lt;="&amp;DATE(B71,12,1))</f>
        <v>0</v>
      </c>
      <c r="F71" s="34" t="str">
        <f aca="false">IF(OR(N(Datos!$F$16)=0,E71=0),"",E71/COUNTIFS('Plan de pago'!$C$28:$C$387,"&gt;="&amp;DATE(B71,1,1),'Plan de pago'!$C$28:$C$387,"&lt;="&amp;DATE(B71,12,1))/Datos!$F$16)</f>
        <v/>
      </c>
    </row>
    <row r="72" customFormat="false" ht="15" hidden="false" customHeight="false" outlineLevel="0" collapsed="false">
      <c r="B72" s="45" t="n">
        <f aca="false">YEAR('Plan de pago'!$C$7)+12</f>
        <v>2038</v>
      </c>
      <c r="C72" s="30" t="n">
        <f aca="false">IFERROR(INDEX('Plan de pago'!$AS$28:$AS$387,MATCH(DATE(B72,12,1),'Plan de pago'!$C$28:$C$387,0)),0)</f>
        <v>0</v>
      </c>
      <c r="D72" s="30" t="n">
        <f aca="false">IFERROR(INDEX('Plan de pago'!$AT$28:$AT$387,MATCH(DATE(B72,12,1),'Plan de pago'!$C$28:$C$387,0)),0)</f>
        <v>0</v>
      </c>
      <c r="E72" s="30" t="n">
        <f aca="false">SUMIFS('Plan de pago'!$AU$28:$AU$387,'Plan de pago'!$C$28:$C$387,"&gt;="&amp;DATE(B72,1,1),'Plan de pago'!$C$28:$C$387,"&lt;="&amp;DATE(B72,12,1))</f>
        <v>0</v>
      </c>
      <c r="F72" s="34" t="str">
        <f aca="false">IF(OR(N(Datos!$F$16)=0,E72=0),"",E72/COUNTIFS('Plan de pago'!$C$28:$C$387,"&gt;="&amp;DATE(B72,1,1),'Plan de pago'!$C$28:$C$387,"&lt;="&amp;DATE(B72,12,1))/Datos!$F$16)</f>
        <v/>
      </c>
    </row>
    <row r="73" customFormat="false" ht="15" hidden="false" customHeight="false" outlineLevel="0" collapsed="false">
      <c r="B73" s="45" t="n">
        <f aca="false">YEAR('Plan de pago'!$C$7)+13</f>
        <v>2039</v>
      </c>
      <c r="C73" s="30" t="n">
        <f aca="false">IFERROR(INDEX('Plan de pago'!$AS$28:$AS$387,MATCH(DATE(B73,12,1),'Plan de pago'!$C$28:$C$387,0)),0)</f>
        <v>0</v>
      </c>
      <c r="D73" s="30" t="n">
        <f aca="false">IFERROR(INDEX('Plan de pago'!$AT$28:$AT$387,MATCH(DATE(B73,12,1),'Plan de pago'!$C$28:$C$387,0)),0)</f>
        <v>0</v>
      </c>
      <c r="E73" s="30" t="n">
        <f aca="false">SUMIFS('Plan de pago'!$AU$28:$AU$387,'Plan de pago'!$C$28:$C$387,"&gt;="&amp;DATE(B73,1,1),'Plan de pago'!$C$28:$C$387,"&lt;="&amp;DATE(B73,12,1))</f>
        <v>0</v>
      </c>
      <c r="F73" s="34" t="str">
        <f aca="false">IF(OR(N(Datos!$F$16)=0,E73=0),"",E73/COUNTIFS('Plan de pago'!$C$28:$C$387,"&gt;="&amp;DATE(B73,1,1),'Plan de pago'!$C$28:$C$387,"&lt;="&amp;DATE(B73,12,1))/Datos!$F$16)</f>
        <v/>
      </c>
    </row>
    <row r="74" customFormat="false" ht="15" hidden="false" customHeight="false" outlineLevel="0" collapsed="false">
      <c r="B74" s="45" t="n">
        <f aca="false">YEAR('Plan de pago'!$C$7)+14</f>
        <v>2040</v>
      </c>
      <c r="C74" s="30" t="n">
        <f aca="false">IFERROR(INDEX('Plan de pago'!$AS$28:$AS$387,MATCH(DATE(B74,12,1),'Plan de pago'!$C$28:$C$387,0)),0)</f>
        <v>0</v>
      </c>
      <c r="D74" s="30" t="n">
        <f aca="false">IFERROR(INDEX('Plan de pago'!$AT$28:$AT$387,MATCH(DATE(B74,12,1),'Plan de pago'!$C$28:$C$387,0)),0)</f>
        <v>0</v>
      </c>
      <c r="E74" s="30" t="n">
        <f aca="false">SUMIFS('Plan de pago'!$AU$28:$AU$387,'Plan de pago'!$C$28:$C$387,"&gt;="&amp;DATE(B74,1,1),'Plan de pago'!$C$28:$C$387,"&lt;="&amp;DATE(B74,12,1))</f>
        <v>0</v>
      </c>
      <c r="F74" s="34" t="str">
        <f aca="false">IF(OR(N(Datos!$F$16)=0,E74=0),"",E74/COUNTIFS('Plan de pago'!$C$28:$C$387,"&gt;="&amp;DATE(B74,1,1),'Plan de pago'!$C$28:$C$387,"&lt;="&amp;DATE(B74,12,1))/Datos!$F$16)</f>
        <v/>
      </c>
    </row>
    <row r="75" customFormat="false" ht="15" hidden="false" customHeight="false" outlineLevel="0" collapsed="false">
      <c r="B75" s="45" t="n">
        <f aca="false">YEAR('Plan de pago'!$C$7)+15</f>
        <v>2041</v>
      </c>
      <c r="C75" s="30" t="n">
        <f aca="false">IFERROR(INDEX('Plan de pago'!$AS$28:$AS$387,MATCH(DATE(B75,12,1),'Plan de pago'!$C$28:$C$387,0)),0)</f>
        <v>0</v>
      </c>
      <c r="D75" s="30" t="n">
        <f aca="false">IFERROR(INDEX('Plan de pago'!$AT$28:$AT$387,MATCH(DATE(B75,12,1),'Plan de pago'!$C$28:$C$387,0)),0)</f>
        <v>0</v>
      </c>
      <c r="E75" s="30" t="n">
        <f aca="false">SUMIFS('Plan de pago'!$AU$28:$AU$387,'Plan de pago'!$C$28:$C$387,"&gt;="&amp;DATE(B75,1,1),'Plan de pago'!$C$28:$C$387,"&lt;="&amp;DATE(B75,12,1))</f>
        <v>0</v>
      </c>
      <c r="F75" s="34" t="str">
        <f aca="false">IF(OR(N(Datos!$F$16)=0,E75=0),"",E75/COUNTIFS('Plan de pago'!$C$28:$C$387,"&gt;="&amp;DATE(B75,1,1),'Plan de pago'!$C$28:$C$387,"&lt;="&amp;DATE(B75,12,1))/Datos!$F$16)</f>
        <v/>
      </c>
    </row>
    <row r="76" customFormat="false" ht="15" hidden="false" customHeight="false" outlineLevel="0" collapsed="false">
      <c r="B76" s="45" t="n">
        <f aca="false">YEAR('Plan de pago'!$C$7)+16</f>
        <v>2042</v>
      </c>
      <c r="C76" s="30" t="n">
        <f aca="false">IFERROR(INDEX('Plan de pago'!$AS$28:$AS$387,MATCH(DATE(B76,12,1),'Plan de pago'!$C$28:$C$387,0)),0)</f>
        <v>0</v>
      </c>
      <c r="D76" s="30" t="n">
        <f aca="false">IFERROR(INDEX('Plan de pago'!$AT$28:$AT$387,MATCH(DATE(B76,12,1),'Plan de pago'!$C$28:$C$387,0)),0)</f>
        <v>0</v>
      </c>
      <c r="E76" s="30" t="n">
        <f aca="false">SUMIFS('Plan de pago'!$AU$28:$AU$387,'Plan de pago'!$C$28:$C$387,"&gt;="&amp;DATE(B76,1,1),'Plan de pago'!$C$28:$C$387,"&lt;="&amp;DATE(B76,12,1))</f>
        <v>0</v>
      </c>
      <c r="F76" s="34" t="str">
        <f aca="false">IF(OR(N(Datos!$F$16)=0,E76=0),"",E76/COUNTIFS('Plan de pago'!$C$28:$C$387,"&gt;="&amp;DATE(B76,1,1),'Plan de pago'!$C$28:$C$387,"&lt;="&amp;DATE(B76,12,1))/Datos!$F$16)</f>
        <v/>
      </c>
    </row>
    <row r="77" customFormat="false" ht="15" hidden="false" customHeight="false" outlineLevel="0" collapsed="false">
      <c r="B77" s="45" t="n">
        <f aca="false">YEAR('Plan de pago'!$C$7)+17</f>
        <v>2043</v>
      </c>
      <c r="C77" s="30" t="n">
        <f aca="false">IFERROR(INDEX('Plan de pago'!$AS$28:$AS$387,MATCH(DATE(B77,12,1),'Plan de pago'!$C$28:$C$387,0)),0)</f>
        <v>0</v>
      </c>
      <c r="D77" s="30" t="n">
        <f aca="false">IFERROR(INDEX('Plan de pago'!$AT$28:$AT$387,MATCH(DATE(B77,12,1),'Plan de pago'!$C$28:$C$387,0)),0)</f>
        <v>0</v>
      </c>
      <c r="E77" s="30" t="n">
        <f aca="false">SUMIFS('Plan de pago'!$AU$28:$AU$387,'Plan de pago'!$C$28:$C$387,"&gt;="&amp;DATE(B77,1,1),'Plan de pago'!$C$28:$C$387,"&lt;="&amp;DATE(B77,12,1))</f>
        <v>0</v>
      </c>
      <c r="F77" s="34" t="str">
        <f aca="false">IF(OR(N(Datos!$F$16)=0,E77=0),"",E77/COUNTIFS('Plan de pago'!$C$28:$C$387,"&gt;="&amp;DATE(B77,1,1),'Plan de pago'!$C$28:$C$387,"&lt;="&amp;DATE(B77,12,1))/Datos!$F$16)</f>
        <v/>
      </c>
    </row>
    <row r="78" customFormat="false" ht="15" hidden="false" customHeight="false" outlineLevel="0" collapsed="false">
      <c r="B78" s="45" t="n">
        <f aca="false">YEAR('Plan de pago'!$C$7)+18</f>
        <v>2044</v>
      </c>
      <c r="C78" s="30" t="n">
        <f aca="false">IFERROR(INDEX('Plan de pago'!$AS$28:$AS$387,MATCH(DATE(B78,12,1),'Plan de pago'!$C$28:$C$387,0)),0)</f>
        <v>0</v>
      </c>
      <c r="D78" s="30" t="n">
        <f aca="false">IFERROR(INDEX('Plan de pago'!$AT$28:$AT$387,MATCH(DATE(B78,12,1),'Plan de pago'!$C$28:$C$387,0)),0)</f>
        <v>0</v>
      </c>
      <c r="E78" s="30" t="n">
        <f aca="false">SUMIFS('Plan de pago'!$AU$28:$AU$387,'Plan de pago'!$C$28:$C$387,"&gt;="&amp;DATE(B78,1,1),'Plan de pago'!$C$28:$C$387,"&lt;="&amp;DATE(B78,12,1))</f>
        <v>0</v>
      </c>
      <c r="F78" s="34" t="str">
        <f aca="false">IF(OR(N(Datos!$F$16)=0,E78=0),"",E78/COUNTIFS('Plan de pago'!$C$28:$C$387,"&gt;="&amp;DATE(B78,1,1),'Plan de pago'!$C$28:$C$387,"&lt;="&amp;DATE(B78,12,1))/Datos!$F$16)</f>
        <v/>
      </c>
    </row>
    <row r="79" customFormat="false" ht="15" hidden="false" customHeight="false" outlineLevel="0" collapsed="false">
      <c r="B79" s="45" t="n">
        <f aca="false">YEAR('Plan de pago'!$C$7)+19</f>
        <v>2045</v>
      </c>
      <c r="C79" s="30" t="n">
        <f aca="false">IFERROR(INDEX('Plan de pago'!$AS$28:$AS$387,MATCH(DATE(B79,12,1),'Plan de pago'!$C$28:$C$387,0)),0)</f>
        <v>0</v>
      </c>
      <c r="D79" s="30" t="n">
        <f aca="false">IFERROR(INDEX('Plan de pago'!$AT$28:$AT$387,MATCH(DATE(B79,12,1),'Plan de pago'!$C$28:$C$387,0)),0)</f>
        <v>0</v>
      </c>
      <c r="E79" s="30" t="n">
        <f aca="false">SUMIFS('Plan de pago'!$AU$28:$AU$387,'Plan de pago'!$C$28:$C$387,"&gt;="&amp;DATE(B79,1,1),'Plan de pago'!$C$28:$C$387,"&lt;="&amp;DATE(B79,12,1))</f>
        <v>0</v>
      </c>
      <c r="F79" s="34" t="str">
        <f aca="false">IF(OR(N(Datos!$F$16)=0,E79=0),"",E79/COUNTIFS('Plan de pago'!$C$28:$C$387,"&gt;="&amp;DATE(B79,1,1),'Plan de pago'!$C$28:$C$387,"&lt;="&amp;DATE(B79,12,1))/Datos!$F$16)</f>
        <v/>
      </c>
    </row>
    <row r="80" customFormat="false" ht="15" hidden="false" customHeight="false" outlineLevel="0" collapsed="false">
      <c r="B80" s="45" t="n">
        <f aca="false">YEAR('Plan de pago'!$C$7)+20</f>
        <v>2046</v>
      </c>
      <c r="C80" s="30" t="n">
        <f aca="false">IFERROR(INDEX('Plan de pago'!$AS$28:$AS$387,MATCH(DATE(B80,12,1),'Plan de pago'!$C$28:$C$387,0)),0)</f>
        <v>0</v>
      </c>
      <c r="D80" s="30" t="n">
        <f aca="false">IFERROR(INDEX('Plan de pago'!$AT$28:$AT$387,MATCH(DATE(B80,12,1),'Plan de pago'!$C$28:$C$387,0)),0)</f>
        <v>0</v>
      </c>
      <c r="E80" s="30" t="n">
        <f aca="false">SUMIFS('Plan de pago'!$AU$28:$AU$387,'Plan de pago'!$C$28:$C$387,"&gt;="&amp;DATE(B80,1,1),'Plan de pago'!$C$28:$C$387,"&lt;="&amp;DATE(B80,12,1))</f>
        <v>0</v>
      </c>
      <c r="F80" s="34" t="str">
        <f aca="false">IF(OR(N(Datos!$F$16)=0,E80=0),"",E80/COUNTIFS('Plan de pago'!$C$28:$C$387,"&gt;="&amp;DATE(B80,1,1),'Plan de pago'!$C$28:$C$387,"&lt;="&amp;DATE(B80,12,1))/Datos!$F$16)</f>
        <v/>
      </c>
    </row>
    <row r="81" customFormat="false" ht="15" hidden="false" customHeight="false" outlineLevel="0" collapsed="false">
      <c r="B81" s="45" t="n">
        <f aca="false">YEAR('Plan de pago'!$C$7)+21</f>
        <v>2047</v>
      </c>
      <c r="C81" s="30" t="n">
        <f aca="false">IFERROR(INDEX('Plan de pago'!$AS$28:$AS$387,MATCH(DATE(B81,12,1),'Plan de pago'!$C$28:$C$387,0)),0)</f>
        <v>0</v>
      </c>
      <c r="D81" s="30" t="n">
        <f aca="false">IFERROR(INDEX('Plan de pago'!$AT$28:$AT$387,MATCH(DATE(B81,12,1),'Plan de pago'!$C$28:$C$387,0)),0)</f>
        <v>0</v>
      </c>
      <c r="E81" s="30" t="n">
        <f aca="false">SUMIFS('Plan de pago'!$AU$28:$AU$387,'Plan de pago'!$C$28:$C$387,"&gt;="&amp;DATE(B81,1,1),'Plan de pago'!$C$28:$C$387,"&lt;="&amp;DATE(B81,12,1))</f>
        <v>0</v>
      </c>
      <c r="F81" s="34" t="str">
        <f aca="false">IF(OR(N(Datos!$F$16)=0,E81=0),"",E81/COUNTIFS('Plan de pago'!$C$28:$C$387,"&gt;="&amp;DATE(B81,1,1),'Plan de pago'!$C$28:$C$387,"&lt;="&amp;DATE(B81,12,1))/Datos!$F$16)</f>
        <v/>
      </c>
    </row>
    <row r="82" customFormat="false" ht="15" hidden="false" customHeight="false" outlineLevel="0" collapsed="false">
      <c r="B82" s="45" t="n">
        <f aca="false">YEAR('Plan de pago'!$C$7)+22</f>
        <v>2048</v>
      </c>
      <c r="C82" s="30" t="n">
        <f aca="false">IFERROR(INDEX('Plan de pago'!$AS$28:$AS$387,MATCH(DATE(B82,12,1),'Plan de pago'!$C$28:$C$387,0)),0)</f>
        <v>0</v>
      </c>
      <c r="D82" s="30" t="n">
        <f aca="false">IFERROR(INDEX('Plan de pago'!$AT$28:$AT$387,MATCH(DATE(B82,12,1),'Plan de pago'!$C$28:$C$387,0)),0)</f>
        <v>0</v>
      </c>
      <c r="E82" s="30" t="n">
        <f aca="false">SUMIFS('Plan de pago'!$AU$28:$AU$387,'Plan de pago'!$C$28:$C$387,"&gt;="&amp;DATE(B82,1,1),'Plan de pago'!$C$28:$C$387,"&lt;="&amp;DATE(B82,12,1))</f>
        <v>0</v>
      </c>
      <c r="F82" s="34" t="str">
        <f aca="false">IF(OR(N(Datos!$F$16)=0,E82=0),"",E82/COUNTIFS('Plan de pago'!$C$28:$C$387,"&gt;="&amp;DATE(B82,1,1),'Plan de pago'!$C$28:$C$387,"&lt;="&amp;DATE(B82,12,1))/Datos!$F$16)</f>
        <v/>
      </c>
    </row>
    <row r="83" customFormat="false" ht="15" hidden="false" customHeight="false" outlineLevel="0" collapsed="false">
      <c r="B83" s="45" t="n">
        <f aca="false">YEAR('Plan de pago'!$C$7)+23</f>
        <v>2049</v>
      </c>
      <c r="C83" s="30" t="n">
        <f aca="false">IFERROR(INDEX('Plan de pago'!$AS$28:$AS$387,MATCH(DATE(B83,12,1),'Plan de pago'!$C$28:$C$387,0)),0)</f>
        <v>0</v>
      </c>
      <c r="D83" s="30" t="n">
        <f aca="false">IFERROR(INDEX('Plan de pago'!$AT$28:$AT$387,MATCH(DATE(B83,12,1),'Plan de pago'!$C$28:$C$387,0)),0)</f>
        <v>0</v>
      </c>
      <c r="E83" s="30" t="n">
        <f aca="false">SUMIFS('Plan de pago'!$AU$28:$AU$387,'Plan de pago'!$C$28:$C$387,"&gt;="&amp;DATE(B83,1,1),'Plan de pago'!$C$28:$C$387,"&lt;="&amp;DATE(B83,12,1))</f>
        <v>0</v>
      </c>
      <c r="F83" s="34" t="str">
        <f aca="false">IF(OR(N(Datos!$F$16)=0,E83=0),"",E83/COUNTIFS('Plan de pago'!$C$28:$C$387,"&gt;="&amp;DATE(B83,1,1),'Plan de pago'!$C$28:$C$387,"&lt;="&amp;DATE(B83,12,1))/Datos!$F$16)</f>
        <v/>
      </c>
    </row>
    <row r="84" customFormat="false" ht="15" hidden="false" customHeight="false" outlineLevel="0" collapsed="false">
      <c r="B84" s="45" t="n">
        <f aca="false">YEAR('Plan de pago'!$C$7)+24</f>
        <v>2050</v>
      </c>
      <c r="C84" s="30" t="n">
        <f aca="false">IFERROR(INDEX('Plan de pago'!$AS$28:$AS$387,MATCH(DATE(B84,12,1),'Plan de pago'!$C$28:$C$387,0)),0)</f>
        <v>0</v>
      </c>
      <c r="D84" s="30" t="n">
        <f aca="false">IFERROR(INDEX('Plan de pago'!$AT$28:$AT$387,MATCH(DATE(B84,12,1),'Plan de pago'!$C$28:$C$387,0)),0)</f>
        <v>0</v>
      </c>
      <c r="E84" s="30" t="n">
        <f aca="false">SUMIFS('Plan de pago'!$AU$28:$AU$387,'Plan de pago'!$C$28:$C$387,"&gt;="&amp;DATE(B84,1,1),'Plan de pago'!$C$28:$C$387,"&lt;="&amp;DATE(B84,12,1))</f>
        <v>0</v>
      </c>
      <c r="F84" s="34" t="str">
        <f aca="false">IF(OR(N(Datos!$F$16)=0,E84=0),"",E84/COUNTIFS('Plan de pago'!$C$28:$C$387,"&gt;="&amp;DATE(B84,1,1),'Plan de pago'!$C$28:$C$387,"&lt;="&amp;DATE(B84,12,1))/Datos!$F$16)</f>
        <v/>
      </c>
    </row>
    <row r="85" customFormat="false" ht="15" hidden="false" customHeight="false" outlineLevel="0" collapsed="false">
      <c r="B85" s="45" t="n">
        <f aca="false">YEAR('Plan de pago'!$C$7)+25</f>
        <v>2051</v>
      </c>
      <c r="C85" s="30" t="n">
        <f aca="false">IFERROR(INDEX('Plan de pago'!$AS$28:$AS$387,MATCH(DATE(B85,12,1),'Plan de pago'!$C$28:$C$387,0)),0)</f>
        <v>0</v>
      </c>
      <c r="D85" s="30" t="n">
        <f aca="false">IFERROR(INDEX('Plan de pago'!$AT$28:$AT$387,MATCH(DATE(B85,12,1),'Plan de pago'!$C$28:$C$387,0)),0)</f>
        <v>0</v>
      </c>
      <c r="E85" s="30" t="n">
        <f aca="false">SUMIFS('Plan de pago'!$AU$28:$AU$387,'Plan de pago'!$C$28:$C$387,"&gt;="&amp;DATE(B85,1,1),'Plan de pago'!$C$28:$C$387,"&lt;="&amp;DATE(B85,12,1))</f>
        <v>0</v>
      </c>
      <c r="F85" s="34" t="str">
        <f aca="false">IF(OR(N(Datos!$F$16)=0,E85=0),"",E85/COUNTIFS('Plan de pago'!$C$28:$C$387,"&gt;="&amp;DATE(B85,1,1),'Plan de pago'!$C$28:$C$387,"&lt;="&amp;DATE(B85,12,1))/Datos!$F$16)</f>
        <v/>
      </c>
    </row>
    <row r="86" customFormat="false" ht="15" hidden="false" customHeight="false" outlineLevel="0" collapsed="false">
      <c r="B86" s="45" t="n">
        <f aca="false">YEAR('Plan de pago'!$C$7)+26</f>
        <v>2052</v>
      </c>
      <c r="C86" s="30" t="n">
        <f aca="false">IFERROR(INDEX('Plan de pago'!$AS$28:$AS$387,MATCH(DATE(B86,12,1),'Plan de pago'!$C$28:$C$387,0)),0)</f>
        <v>0</v>
      </c>
      <c r="D86" s="30" t="n">
        <f aca="false">IFERROR(INDEX('Plan de pago'!$AT$28:$AT$387,MATCH(DATE(B86,12,1),'Plan de pago'!$C$28:$C$387,0)),0)</f>
        <v>0</v>
      </c>
      <c r="E86" s="30" t="n">
        <f aca="false">SUMIFS('Plan de pago'!$AU$28:$AU$387,'Plan de pago'!$C$28:$C$387,"&gt;="&amp;DATE(B86,1,1),'Plan de pago'!$C$28:$C$387,"&lt;="&amp;DATE(B86,12,1))</f>
        <v>0</v>
      </c>
      <c r="F86" s="34" t="str">
        <f aca="false">IF(OR(N(Datos!$F$16)=0,E86=0),"",E86/COUNTIFS('Plan de pago'!$C$28:$C$387,"&gt;="&amp;DATE(B86,1,1),'Plan de pago'!$C$28:$C$387,"&lt;="&amp;DATE(B86,12,1))/Datos!$F$16)</f>
        <v/>
      </c>
    </row>
    <row r="87" customFormat="false" ht="15" hidden="false" customHeight="false" outlineLevel="0" collapsed="false">
      <c r="B87" s="45" t="n">
        <f aca="false">YEAR('Plan de pago'!$C$7)+27</f>
        <v>2053</v>
      </c>
      <c r="C87" s="30" t="n">
        <f aca="false">IFERROR(INDEX('Plan de pago'!$AS$28:$AS$387,MATCH(DATE(B87,12,1),'Plan de pago'!$C$28:$C$387,0)),0)</f>
        <v>0</v>
      </c>
      <c r="D87" s="30" t="n">
        <f aca="false">IFERROR(INDEX('Plan de pago'!$AT$28:$AT$387,MATCH(DATE(B87,12,1),'Plan de pago'!$C$28:$C$387,0)),0)</f>
        <v>0</v>
      </c>
      <c r="E87" s="30" t="n">
        <f aca="false">SUMIFS('Plan de pago'!$AU$28:$AU$387,'Plan de pago'!$C$28:$C$387,"&gt;="&amp;DATE(B87,1,1),'Plan de pago'!$C$28:$C$387,"&lt;="&amp;DATE(B87,12,1))</f>
        <v>0</v>
      </c>
      <c r="F87" s="34" t="str">
        <f aca="false">IF(OR(N(Datos!$F$16)=0,E87=0),"",E87/COUNTIFS('Plan de pago'!$C$28:$C$387,"&gt;="&amp;DATE(B87,1,1),'Plan de pago'!$C$28:$C$387,"&lt;="&amp;DATE(B87,12,1))/Datos!$F$16)</f>
        <v/>
      </c>
    </row>
    <row r="88" customFormat="false" ht="15" hidden="false" customHeight="false" outlineLevel="0" collapsed="false">
      <c r="B88" s="45" t="n">
        <f aca="false">YEAR('Plan de pago'!$C$7)+28</f>
        <v>2054</v>
      </c>
      <c r="C88" s="30" t="n">
        <f aca="false">IFERROR(INDEX('Plan de pago'!$AS$28:$AS$387,MATCH(DATE(B88,12,1),'Plan de pago'!$C$28:$C$387,0)),0)</f>
        <v>0</v>
      </c>
      <c r="D88" s="30" t="n">
        <f aca="false">IFERROR(INDEX('Plan de pago'!$AT$28:$AT$387,MATCH(DATE(B88,12,1),'Plan de pago'!$C$28:$C$387,0)),0)</f>
        <v>0</v>
      </c>
      <c r="E88" s="30" t="n">
        <f aca="false">SUMIFS('Plan de pago'!$AU$28:$AU$387,'Plan de pago'!$C$28:$C$387,"&gt;="&amp;DATE(B88,1,1),'Plan de pago'!$C$28:$C$387,"&lt;="&amp;DATE(B88,12,1))</f>
        <v>0</v>
      </c>
      <c r="F88" s="34" t="str">
        <f aca="false">IF(OR(N(Datos!$F$16)=0,E88=0),"",E88/COUNTIFS('Plan de pago'!$C$28:$C$387,"&gt;="&amp;DATE(B88,1,1),'Plan de pago'!$C$28:$C$387,"&lt;="&amp;DATE(B88,12,1))/Datos!$F$16)</f>
        <v/>
      </c>
    </row>
    <row r="89" customFormat="false" ht="15" hidden="false" customHeight="false" outlineLevel="0" collapsed="false">
      <c r="B89" s="45" t="n">
        <f aca="false">YEAR('Plan de pago'!$C$7)+29</f>
        <v>2055</v>
      </c>
      <c r="C89" s="30" t="n">
        <f aca="false">IFERROR(INDEX('Plan de pago'!$AS$28:$AS$387,MATCH(DATE(B89,12,1),'Plan de pago'!$C$28:$C$387,0)),0)</f>
        <v>0</v>
      </c>
      <c r="D89" s="30" t="n">
        <f aca="false">IFERROR(INDEX('Plan de pago'!$AT$28:$AT$387,MATCH(DATE(B89,12,1),'Plan de pago'!$C$28:$C$387,0)),0)</f>
        <v>0</v>
      </c>
      <c r="E89" s="30" t="n">
        <f aca="false">SUMIFS('Plan de pago'!$AU$28:$AU$387,'Plan de pago'!$C$28:$C$387,"&gt;="&amp;DATE(B89,1,1),'Plan de pago'!$C$28:$C$387,"&lt;="&amp;DATE(B89,12,1))</f>
        <v>0</v>
      </c>
      <c r="F89" s="34" t="str">
        <f aca="false">IF(OR(N(Datos!$F$16)=0,E89=0),"",E89/COUNTIFS('Plan de pago'!$C$28:$C$387,"&gt;="&amp;DATE(B89,1,1),'Plan de pago'!$C$28:$C$387,"&lt;="&amp;DATE(B89,12,1))/Datos!$F$16)</f>
        <v/>
      </c>
    </row>
    <row r="90" customFormat="false" ht="15" hidden="false" customHeight="false" outlineLevel="0" collapsed="false">
      <c r="B90" s="45" t="n">
        <f aca="false">YEAR('Plan de pago'!$C$7)+30</f>
        <v>2056</v>
      </c>
      <c r="C90" s="30" t="n">
        <f aca="false">IFERROR(INDEX('Plan de pago'!$AS$28:$AS$387,MATCH(DATE(B90,12,1),'Plan de pago'!$C$28:$C$387,0)),0)</f>
        <v>0</v>
      </c>
      <c r="D90" s="30" t="n">
        <f aca="false">IFERROR(INDEX('Plan de pago'!$AT$28:$AT$387,MATCH(DATE(B90,12,1),'Plan de pago'!$C$28:$C$387,0)),0)</f>
        <v>0</v>
      </c>
      <c r="E90" s="30" t="n">
        <f aca="false">SUMIFS('Plan de pago'!$AU$28:$AU$387,'Plan de pago'!$C$28:$C$387,"&gt;="&amp;DATE(B90,1,1),'Plan de pago'!$C$28:$C$387,"&lt;="&amp;DATE(B90,12,1))</f>
        <v>0</v>
      </c>
      <c r="F90" s="34" t="str">
        <f aca="false">IF(OR(N(Datos!$F$16)=0,E90=0),"",E90/COUNTIFS('Plan de pago'!$C$28:$C$387,"&gt;="&amp;DATE(B90,1,1),'Plan de pago'!$C$28:$C$387,"&lt;="&amp;DATE(B90,12,1))/Datos!$F$16)</f>
        <v/>
      </c>
    </row>
    <row r="93" customFormat="false" ht="15" hidden="false" customHeight="false" outlineLevel="0" collapsed="false">
      <c r="B93" s="7" t="s">
        <v>89</v>
      </c>
      <c r="C93" s="8"/>
      <c r="D93" s="8"/>
      <c r="E93" s="8"/>
      <c r="F93" s="8"/>
      <c r="G93" s="8"/>
      <c r="H93" s="8"/>
      <c r="I93" s="8"/>
      <c r="J93" s="8"/>
      <c r="K93" s="8"/>
      <c r="L93" s="8"/>
    </row>
    <row r="94" customFormat="false" ht="30" hidden="false" customHeight="true" outlineLevel="0" collapsed="false">
      <c r="B94" s="9" t="s">
        <v>90</v>
      </c>
      <c r="C94" s="10" t="s">
        <v>91</v>
      </c>
      <c r="D94" s="10" t="s">
        <v>92</v>
      </c>
      <c r="E94" s="10" t="s">
        <v>47</v>
      </c>
      <c r="F94" s="10" t="s">
        <v>93</v>
      </c>
      <c r="G94" s="10" t="s">
        <v>94</v>
      </c>
      <c r="H94" s="10" t="s">
        <v>95</v>
      </c>
    </row>
    <row r="95" customFormat="false" ht="15" hidden="false" customHeight="false" outlineLevel="0" collapsed="false">
      <c r="B95" s="13" t="str">
        <f aca="false">IF('Crédito 1'!$F$6="Sí",'Crédito 1'!$C$6,"")</f>
        <v/>
      </c>
      <c r="C95" s="13" t="str">
        <f aca="false">IF(B95="","",'Crédito 1'!$C$8)</f>
        <v/>
      </c>
      <c r="D95" s="30" t="str">
        <f aca="false">IF(B95="","",'Crédito 1'!$I$6)</f>
        <v/>
      </c>
      <c r="E95" s="31" t="str">
        <f aca="false">IF(B95="","",'Crédito 1'!$C$13)</f>
        <v/>
      </c>
      <c r="F95" s="30" t="str">
        <f aca="false">IF(OR(B95="",'Crédito 1'!$F$13=0),"",INDEX('Crédito 1'!$H$27:$H$386,'Crédito 1'!$F$13)-INDEX('Crédito 1'!$G$27:$G$386,'Crédito 1'!$F$13))</f>
        <v/>
      </c>
      <c r="G95" s="35" t="str">
        <f aca="false">IF(B95="","",IF('Crédito 1'!$C$17="No","No","Sí"))</f>
        <v/>
      </c>
      <c r="H95" s="40" t="str">
        <f aca="false">IF(B95="","",'Crédito 1'!$F$11)</f>
        <v/>
      </c>
    </row>
    <row r="96" customFormat="false" ht="15" hidden="false" customHeight="false" outlineLevel="0" collapsed="false">
      <c r="B96" s="13" t="str">
        <f aca="false">IF('Crédito 2'!$F$6="Sí",'Crédito 2'!$C$6,"")</f>
        <v/>
      </c>
      <c r="C96" s="13" t="str">
        <f aca="false">IF(B96="","",'Crédito 2'!$C$8)</f>
        <v/>
      </c>
      <c r="D96" s="30" t="str">
        <f aca="false">IF(B96="","",'Crédito 2'!$I$6)</f>
        <v/>
      </c>
      <c r="E96" s="31" t="str">
        <f aca="false">IF(B96="","",'Crédito 2'!$C$13)</f>
        <v/>
      </c>
      <c r="F96" s="30" t="str">
        <f aca="false">IF(OR(B96="",'Crédito 2'!$F$13=0),"",INDEX('Crédito 2'!$H$27:$H$386,'Crédito 2'!$F$13)-INDEX('Crédito 2'!$G$27:$G$386,'Crédito 2'!$F$13))</f>
        <v/>
      </c>
      <c r="G96" s="35" t="str">
        <f aca="false">IF(B96="","",IF('Crédito 2'!$C$17="No","No","Sí"))</f>
        <v/>
      </c>
      <c r="H96" s="40" t="str">
        <f aca="false">IF(B96="","",'Crédito 2'!$F$11)</f>
        <v/>
      </c>
    </row>
    <row r="97" customFormat="false" ht="15" hidden="false" customHeight="false" outlineLevel="0" collapsed="false">
      <c r="B97" s="13" t="str">
        <f aca="false">IF('Crédito 3'!$F$6="Sí",'Crédito 3'!$C$6,"")</f>
        <v/>
      </c>
      <c r="C97" s="13" t="str">
        <f aca="false">IF(B97="","",'Crédito 3'!$C$8)</f>
        <v/>
      </c>
      <c r="D97" s="30" t="str">
        <f aca="false">IF(B97="","",'Crédito 3'!$I$6)</f>
        <v/>
      </c>
      <c r="E97" s="31" t="str">
        <f aca="false">IF(B97="","",'Crédito 3'!$C$13)</f>
        <v/>
      </c>
      <c r="F97" s="30" t="str">
        <f aca="false">IF(OR(B97="",'Crédito 3'!$F$13=0),"",INDEX('Crédito 3'!$H$27:$H$386,'Crédito 3'!$F$13)-INDEX('Crédito 3'!$G$27:$G$386,'Crédito 3'!$F$13))</f>
        <v/>
      </c>
      <c r="G97" s="35" t="str">
        <f aca="false">IF(B97="","",IF('Crédito 3'!$C$17="No","No","Sí"))</f>
        <v/>
      </c>
      <c r="H97" s="40" t="str">
        <f aca="false">IF(B97="","",'Crédito 3'!$F$11)</f>
        <v/>
      </c>
    </row>
    <row r="98" customFormat="false" ht="15" hidden="false" customHeight="false" outlineLevel="0" collapsed="false">
      <c r="B98" s="13" t="str">
        <f aca="false">IF('Crédito 4'!$F$6="Sí",'Crédito 4'!$C$6,"")</f>
        <v/>
      </c>
      <c r="C98" s="13" t="str">
        <f aca="false">IF(B98="","",'Crédito 4'!$C$8)</f>
        <v/>
      </c>
      <c r="D98" s="30" t="str">
        <f aca="false">IF(B98="","",'Crédito 4'!$I$6)</f>
        <v/>
      </c>
      <c r="E98" s="31" t="str">
        <f aca="false">IF(B98="","",'Crédito 4'!$C$13)</f>
        <v/>
      </c>
      <c r="F98" s="30" t="str">
        <f aca="false">IF(OR(B98="",'Crédito 4'!$F$13=0),"",INDEX('Crédito 4'!$H$27:$H$386,'Crédito 4'!$F$13)-INDEX('Crédito 4'!$G$27:$G$386,'Crédito 4'!$F$13))</f>
        <v/>
      </c>
      <c r="G98" s="35" t="str">
        <f aca="false">IF(B98="","",IF('Crédito 4'!$C$17="No","No","Sí"))</f>
        <v/>
      </c>
      <c r="H98" s="40" t="str">
        <f aca="false">IF(B98="","",'Crédito 4'!$F$11)</f>
        <v/>
      </c>
    </row>
    <row r="99" customFormat="false" ht="15" hidden="false" customHeight="false" outlineLevel="0" collapsed="false">
      <c r="B99" s="13" t="str">
        <f aca="false">IF('Crédito 5'!$F$6="Sí",'Crédito 5'!$C$6,"")</f>
        <v/>
      </c>
      <c r="C99" s="13" t="str">
        <f aca="false">IF(B99="","",'Crédito 5'!$C$8)</f>
        <v/>
      </c>
      <c r="D99" s="30" t="str">
        <f aca="false">IF(B99="","",'Crédito 5'!$I$6)</f>
        <v/>
      </c>
      <c r="E99" s="31" t="str">
        <f aca="false">IF(B99="","",'Crédito 5'!$C$13)</f>
        <v/>
      </c>
      <c r="F99" s="30" t="str">
        <f aca="false">IF(OR(B99="",'Crédito 5'!$F$13=0),"",INDEX('Crédito 5'!$H$27:$H$386,'Crédito 5'!$F$13)-INDEX('Crédito 5'!$G$27:$G$386,'Crédito 5'!$F$13))</f>
        <v/>
      </c>
      <c r="G99" s="35" t="str">
        <f aca="false">IF(B99="","",IF('Crédito 5'!$C$17="No","No","Sí"))</f>
        <v/>
      </c>
      <c r="H99" s="40" t="str">
        <f aca="false">IF(B99="","",'Crédito 5'!$F$11)</f>
        <v/>
      </c>
    </row>
    <row r="100" customFormat="false" ht="15" hidden="false" customHeight="false" outlineLevel="0" collapsed="false">
      <c r="B100" s="13" t="str">
        <f aca="false">IF('Crédito 6'!$F$6="Sí",'Crédito 6'!$C$6,"")</f>
        <v/>
      </c>
      <c r="C100" s="13" t="str">
        <f aca="false">IF(B100="","",'Crédito 6'!$C$8)</f>
        <v/>
      </c>
      <c r="D100" s="30" t="str">
        <f aca="false">IF(B100="","",'Crédito 6'!$I$6)</f>
        <v/>
      </c>
      <c r="E100" s="31" t="str">
        <f aca="false">IF(B100="","",'Crédito 6'!$C$13)</f>
        <v/>
      </c>
      <c r="F100" s="30" t="str">
        <f aca="false">IF(OR(B100="",'Crédito 6'!$F$13=0),"",INDEX('Crédito 6'!$H$27:$H$386,'Crédito 6'!$F$13)-INDEX('Crédito 6'!$G$27:$G$386,'Crédito 6'!$F$13))</f>
        <v/>
      </c>
      <c r="G100" s="35" t="str">
        <f aca="false">IF(B100="","",IF('Crédito 6'!$C$17="No","No","Sí"))</f>
        <v/>
      </c>
      <c r="H100" s="40" t="str">
        <f aca="false">IF(B100="","",'Crédito 6'!$F$11)</f>
        <v/>
      </c>
    </row>
    <row r="101" customFormat="false" ht="15" hidden="false" customHeight="false" outlineLevel="0" collapsed="false">
      <c r="B101" s="13" t="str">
        <f aca="false">IF('Crédito 7'!$F$6="Sí",'Crédito 7'!$C$6,"")</f>
        <v/>
      </c>
      <c r="C101" s="13" t="str">
        <f aca="false">IF(B101="","",'Crédito 7'!$C$8)</f>
        <v/>
      </c>
      <c r="D101" s="30" t="str">
        <f aca="false">IF(B101="","",'Crédito 7'!$I$6)</f>
        <v/>
      </c>
      <c r="E101" s="31" t="str">
        <f aca="false">IF(B101="","",'Crédito 7'!$C$13)</f>
        <v/>
      </c>
      <c r="F101" s="30" t="str">
        <f aca="false">IF(OR(B101="",'Crédito 7'!$F$13=0),"",INDEX('Crédito 7'!$H$27:$H$386,'Crédito 7'!$F$13)-INDEX('Crédito 7'!$G$27:$G$386,'Crédito 7'!$F$13))</f>
        <v/>
      </c>
      <c r="G101" s="35" t="str">
        <f aca="false">IF(B101="","",IF('Crédito 7'!$C$17="No","No","Sí"))</f>
        <v/>
      </c>
      <c r="H101" s="40" t="str">
        <f aca="false">IF(B101="","",'Crédito 7'!$F$11)</f>
        <v/>
      </c>
    </row>
    <row r="102" customFormat="false" ht="15" hidden="false" customHeight="false" outlineLevel="0" collapsed="false">
      <c r="B102" s="13" t="str">
        <f aca="false">IF('Crédito 8'!$F$6="Sí",'Crédito 8'!$C$6,"")</f>
        <v/>
      </c>
      <c r="C102" s="13" t="str">
        <f aca="false">IF(B102="","",'Crédito 8'!$C$8)</f>
        <v/>
      </c>
      <c r="D102" s="30" t="str">
        <f aca="false">IF(B102="","",'Crédito 8'!$I$6)</f>
        <v/>
      </c>
      <c r="E102" s="31" t="str">
        <f aca="false">IF(B102="","",'Crédito 8'!$C$13)</f>
        <v/>
      </c>
      <c r="F102" s="30" t="str">
        <f aca="false">IF(OR(B102="",'Crédito 8'!$F$13=0),"",INDEX('Crédito 8'!$H$27:$H$386,'Crédito 8'!$F$13)-INDEX('Crédito 8'!$G$27:$G$386,'Crédito 8'!$F$13))</f>
        <v/>
      </c>
      <c r="G102" s="35" t="str">
        <f aca="false">IF(B102="","",IF('Crédito 8'!$C$17="No","No","Sí"))</f>
        <v/>
      </c>
      <c r="H102" s="40" t="str">
        <f aca="false">IF(B102="","",'Crédito 8'!$F$11)</f>
        <v/>
      </c>
    </row>
    <row r="103" customFormat="false" ht="15" hidden="false" customHeight="false" outlineLevel="0" collapsed="false">
      <c r="B103" s="18" t="s">
        <v>96</v>
      </c>
    </row>
  </sheetData>
  <mergeCells count="10"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</mergeCells>
  <conditionalFormatting sqref="L5">
    <cfRule type="cellIs" priority="2" operator="greaterThan" aboveAverage="0" equalAverage="0" bottom="0" percent="0" rank="0" text="" dxfId="0">
      <formula>0</formula>
    </cfRule>
  </conditionalFormatting>
  <conditionalFormatting sqref="K13:K20">
    <cfRule type="cellIs" priority="3" operator="equal" aboveAverage="0" equalAverage="0" bottom="0" percent="0" rank="0" text="" dxfId="1">
      <formula>"Vencidas sin marcar"</formula>
    </cfRule>
    <cfRule type="cellIs" priority="4" operator="equal" aboveAverage="0" equalAverage="0" bottom="0" percent="0" rank="0" text="" dxfId="2">
      <formula>"Al día"</formula>
    </cfRule>
  </conditionalFormatting>
  <conditionalFormatting sqref="F25:F32">
    <cfRule type="cellIs" priority="5" operator="equal" aboveAverage="0" equalAverage="0" bottom="0" percent="0" rank="0" text="" dxfId="3">
      <formula>"Vencida"</formula>
    </cfRule>
    <cfRule type="cellIs" priority="6" operator="equal" aboveAverage="0" equalAverage="0" bottom="0" percent="0" rank="0" text="" dxfId="4">
      <formula>"Paga esta semana"</formula>
    </cfRule>
  </conditionalFormatting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04A"/>
    <pageSetUpPr fitToPage="false"/>
  </sheetPr>
  <dimension ref="B1:G3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36"/>
  </cols>
  <sheetData>
    <row r="1" customFormat="false" ht="24" hidden="false" customHeight="true" outlineLevel="0" collapsed="false">
      <c r="B1" s="19" t="s">
        <v>97</v>
      </c>
    </row>
    <row r="2" customFormat="false" ht="15" hidden="false" customHeight="false" outlineLevel="0" collapsed="false">
      <c r="B2" s="20" t="s">
        <v>98</v>
      </c>
      <c r="C2" s="21"/>
      <c r="D2" s="21"/>
      <c r="E2" s="21"/>
      <c r="F2" s="21"/>
      <c r="G2" s="21"/>
    </row>
    <row r="5" customFormat="false" ht="15" hidden="false" customHeight="false" outlineLevel="0" collapsed="false">
      <c r="B5" s="16" t="s">
        <v>1</v>
      </c>
      <c r="C5" s="15"/>
    </row>
    <row r="6" customFormat="false" ht="15" hidden="false" customHeight="false" outlineLevel="0" collapsed="false">
      <c r="B6" s="16" t="s">
        <v>99</v>
      </c>
      <c r="C6" s="15"/>
    </row>
    <row r="7" customFormat="false" ht="15" hidden="false" customHeight="false" outlineLevel="0" collapsed="false">
      <c r="B7" s="16" t="s">
        <v>100</v>
      </c>
      <c r="C7" s="46" t="n">
        <f aca="true">TODAY()</f>
        <v>46290</v>
      </c>
      <c r="D7" s="18" t="s">
        <v>101</v>
      </c>
    </row>
    <row r="8" customFormat="false" ht="15" hidden="false" customHeight="false" outlineLevel="0" collapsed="false">
      <c r="B8" s="16" t="s">
        <v>102</v>
      </c>
      <c r="C8" s="47"/>
      <c r="D8" s="18" t="s">
        <v>103</v>
      </c>
    </row>
    <row r="10" customFormat="false" ht="30" hidden="false" customHeight="true" outlineLevel="0" collapsed="false">
      <c r="B10" s="9" t="s">
        <v>104</v>
      </c>
      <c r="C10" s="10" t="s">
        <v>105</v>
      </c>
      <c r="D10" s="10" t="s">
        <v>106</v>
      </c>
      <c r="E10" s="10" t="s">
        <v>107</v>
      </c>
      <c r="F10" s="10" t="s">
        <v>108</v>
      </c>
      <c r="G10" s="10" t="s">
        <v>109</v>
      </c>
    </row>
    <row r="11" customFormat="false" ht="15" hidden="false" customHeight="false" outlineLevel="0" collapsed="false">
      <c r="B11" s="48"/>
      <c r="C11" s="49" t="s">
        <v>110</v>
      </c>
      <c r="D11" s="50"/>
      <c r="E11" s="51" t="n">
        <v>12</v>
      </c>
      <c r="F11" s="30" t="n">
        <f aca="false">IF(N(D11)=0,0,IF(C11="USD",D11*N($C$8),D11)*N(E11)/12)</f>
        <v>0</v>
      </c>
      <c r="G11" s="48"/>
    </row>
    <row r="12" customFormat="false" ht="15" hidden="false" customHeight="false" outlineLevel="0" collapsed="false">
      <c r="B12" s="48"/>
      <c r="C12" s="49" t="s">
        <v>110</v>
      </c>
      <c r="D12" s="50"/>
      <c r="E12" s="51" t="n">
        <v>12</v>
      </c>
      <c r="F12" s="30" t="n">
        <f aca="false">IF(N(D12)=0,0,IF(C12="USD",D12*N($C$8),D12)*N(E12)/12)</f>
        <v>0</v>
      </c>
      <c r="G12" s="48"/>
    </row>
    <row r="13" customFormat="false" ht="15" hidden="false" customHeight="false" outlineLevel="0" collapsed="false">
      <c r="B13" s="48"/>
      <c r="C13" s="49" t="s">
        <v>110</v>
      </c>
      <c r="D13" s="50"/>
      <c r="E13" s="51" t="n">
        <v>12</v>
      </c>
      <c r="F13" s="30" t="n">
        <f aca="false">IF(N(D13)=0,0,IF(C13="USD",D13*N($C$8),D13)*N(E13)/12)</f>
        <v>0</v>
      </c>
      <c r="G13" s="48"/>
    </row>
    <row r="14" customFormat="false" ht="15" hidden="false" customHeight="false" outlineLevel="0" collapsed="false">
      <c r="B14" s="48"/>
      <c r="C14" s="49" t="s">
        <v>110</v>
      </c>
      <c r="D14" s="50"/>
      <c r="E14" s="51" t="n">
        <v>12</v>
      </c>
      <c r="F14" s="30" t="n">
        <f aca="false">IF(N(D14)=0,0,IF(C14="USD",D14*N($C$8),D14)*N(E14)/12)</f>
        <v>0</v>
      </c>
      <c r="G14" s="48"/>
    </row>
    <row r="15" customFormat="false" ht="15" hidden="false" customHeight="false" outlineLevel="0" collapsed="false">
      <c r="B15" s="48"/>
      <c r="C15" s="49" t="s">
        <v>110</v>
      </c>
      <c r="D15" s="50"/>
      <c r="E15" s="51" t="n">
        <v>12</v>
      </c>
      <c r="F15" s="30" t="n">
        <f aca="false">IF(N(D15)=0,0,IF(C15="USD",D15*N($C$8),D15)*N(E15)/12)</f>
        <v>0</v>
      </c>
      <c r="G15" s="48"/>
    </row>
    <row r="16" customFormat="false" ht="15" hidden="false" customHeight="false" outlineLevel="0" collapsed="false">
      <c r="B16" s="38" t="s">
        <v>111</v>
      </c>
      <c r="C16" s="38"/>
      <c r="D16" s="38"/>
      <c r="E16" s="38"/>
      <c r="F16" s="39" t="n">
        <f aca="false">SUM(F11:F15)</f>
        <v>0</v>
      </c>
      <c r="G16" s="38"/>
    </row>
    <row r="17" customFormat="false" ht="15" hidden="false" customHeight="false" outlineLevel="0" collapsed="false">
      <c r="B17" s="16" t="s">
        <v>112</v>
      </c>
      <c r="F17" s="52" t="n">
        <f aca="false">SUMPRODUCT((C11:C15="USD")*D11:D15*E11:E15)/12</f>
        <v>0</v>
      </c>
    </row>
    <row r="19" customFormat="false" ht="15" hidden="false" customHeight="false" outlineLevel="0" collapsed="false">
      <c r="B19" s="16" t="s">
        <v>113</v>
      </c>
      <c r="C19" s="53"/>
      <c r="D19" s="18" t="s">
        <v>114</v>
      </c>
    </row>
    <row r="20" customFormat="false" ht="15" hidden="false" customHeight="false" outlineLevel="0" collapsed="false">
      <c r="B20" s="16" t="s">
        <v>115</v>
      </c>
      <c r="C20" s="54" t="n">
        <f aca="false">Panel!$D$5</f>
        <v>0</v>
      </c>
    </row>
    <row r="21" customFormat="false" ht="15" hidden="false" customHeight="false" outlineLevel="0" collapsed="false">
      <c r="B21" s="28" t="s">
        <v>116</v>
      </c>
      <c r="C21" s="29" t="str">
        <f aca="false">IF(F16=0,"",C20/F16)</f>
        <v/>
      </c>
      <c r="D21" s="28" t="str">
        <f aca="false">IF(C21="","",IF(C21&lt;=0.3,"Sana (hasta 30%)",IF(C21&lt;=0.4,"Alta (30% a 40%)",IF(C21&lt;=0.5,"Muy alta (40% a 50%)","Crítica (más de 50%)"))))</f>
        <v/>
      </c>
    </row>
    <row r="22" customFormat="false" ht="15" hidden="false" customHeight="false" outlineLevel="0" collapsed="false">
      <c r="B22" s="28" t="s">
        <v>117</v>
      </c>
      <c r="C22" s="42" t="n">
        <f aca="false">F16-C20-N(C19)</f>
        <v>0</v>
      </c>
    </row>
    <row r="24" customFormat="false" ht="15" hidden="false" customHeight="false" outlineLevel="0" collapsed="false">
      <c r="B24" s="7" t="s">
        <v>118</v>
      </c>
      <c r="C24" s="8"/>
      <c r="D24" s="8"/>
      <c r="E24" s="8"/>
      <c r="F24" s="8"/>
    </row>
    <row r="25" customFormat="false" ht="30" hidden="false" customHeight="true" outlineLevel="0" collapsed="false">
      <c r="B25" s="9" t="s">
        <v>119</v>
      </c>
      <c r="C25" s="10" t="s">
        <v>120</v>
      </c>
      <c r="D25" s="10" t="s">
        <v>121</v>
      </c>
      <c r="E25" s="10" t="s">
        <v>122</v>
      </c>
    </row>
    <row r="26" customFormat="false" ht="15" hidden="false" customHeight="false" outlineLevel="0" collapsed="false">
      <c r="B26" s="55" t="str">
        <f aca="false">IF(N($C$8)=0,"",$C$8*0.85)</f>
        <v/>
      </c>
      <c r="C26" s="30" t="str">
        <f aca="false">IF(B26="","",$F$16+$F$17*(B26-$C$8))</f>
        <v/>
      </c>
      <c r="D26" s="44" t="str">
        <f aca="false">IF(OR(B26="",N(C26)=0),"",$C$20/C26)</f>
        <v/>
      </c>
      <c r="E26" s="30" t="str">
        <f aca="false">IF(B26="","",C26-$C$20-N($C$19))</f>
        <v/>
      </c>
    </row>
    <row r="27" customFormat="false" ht="15" hidden="false" customHeight="false" outlineLevel="0" collapsed="false">
      <c r="B27" s="55" t="str">
        <f aca="false">IF(N($C$8)=0,"",$C$8*0.9)</f>
        <v/>
      </c>
      <c r="C27" s="30" t="str">
        <f aca="false">IF(B27="","",$F$16+$F$17*(B27-$C$8))</f>
        <v/>
      </c>
      <c r="D27" s="44" t="str">
        <f aca="false">IF(OR(B27="",N(C27)=0),"",$C$20/C27)</f>
        <v/>
      </c>
      <c r="E27" s="30" t="str">
        <f aca="false">IF(B27="","",C27-$C$20-N($C$19))</f>
        <v/>
      </c>
    </row>
    <row r="28" customFormat="false" ht="15" hidden="false" customHeight="false" outlineLevel="0" collapsed="false">
      <c r="B28" s="55" t="str">
        <f aca="false">IF(N($C$8)=0,"",$C$8*0.95)</f>
        <v/>
      </c>
      <c r="C28" s="30" t="str">
        <f aca="false">IF(B28="","",$F$16+$F$17*(B28-$C$8))</f>
        <v/>
      </c>
      <c r="D28" s="44" t="str">
        <f aca="false">IF(OR(B28="",N(C28)=0),"",$C$20/C28)</f>
        <v/>
      </c>
      <c r="E28" s="30" t="str">
        <f aca="false">IF(B28="","",C28-$C$20-N($C$19))</f>
        <v/>
      </c>
    </row>
    <row r="29" customFormat="false" ht="15" hidden="false" customHeight="false" outlineLevel="0" collapsed="false">
      <c r="B29" s="56" t="str">
        <f aca="false">IF(N($C$8)=0,"",$C$8*1)</f>
        <v/>
      </c>
      <c r="C29" s="30" t="str">
        <f aca="false">IF(B29="","",$F$16+$F$17*(B29-$C$8))</f>
        <v/>
      </c>
      <c r="D29" s="44" t="str">
        <f aca="false">IF(OR(B29="",N(C29)=0),"",$C$20/C29)</f>
        <v/>
      </c>
      <c r="E29" s="30" t="str">
        <f aca="false">IF(B29="","",C29-$C$20-N($C$19))</f>
        <v/>
      </c>
    </row>
    <row r="30" customFormat="false" ht="15" hidden="false" customHeight="false" outlineLevel="0" collapsed="false">
      <c r="B30" s="55" t="str">
        <f aca="false">IF(N($C$8)=0,"",$C$8*1.05)</f>
        <v/>
      </c>
      <c r="C30" s="30" t="str">
        <f aca="false">IF(B30="","",$F$16+$F$17*(B30-$C$8))</f>
        <v/>
      </c>
      <c r="D30" s="44" t="str">
        <f aca="false">IF(OR(B30="",N(C30)=0),"",$C$20/C30)</f>
        <v/>
      </c>
      <c r="E30" s="30" t="str">
        <f aca="false">IF(B30="","",C30-$C$20-N($C$19))</f>
        <v/>
      </c>
    </row>
    <row r="31" customFormat="false" ht="15" hidden="false" customHeight="false" outlineLevel="0" collapsed="false">
      <c r="B31" s="55" t="str">
        <f aca="false">IF(N($C$8)=0,"",$C$8*1.1)</f>
        <v/>
      </c>
      <c r="C31" s="30" t="str">
        <f aca="false">IF(B31="","",$F$16+$F$17*(B31-$C$8))</f>
        <v/>
      </c>
      <c r="D31" s="44" t="str">
        <f aca="false">IF(OR(B31="",N(C31)=0),"",$C$20/C31)</f>
        <v/>
      </c>
      <c r="E31" s="30" t="str">
        <f aca="false">IF(B31="","",C31-$C$20-N($C$19))</f>
        <v/>
      </c>
    </row>
    <row r="32" customFormat="false" ht="15" hidden="false" customHeight="false" outlineLevel="0" collapsed="false">
      <c r="B32" s="57" t="str">
        <f aca="false">IF(F17=0,"Sin ingresos en dólares: la tabla no aplica.","Cada 100 pesos que baje la tasa de cambio son "&amp;ROUND(F17*100,0)&amp;" pesos menos al mes.")</f>
        <v>Sin ingresos en dólares: la tabla no aplica.</v>
      </c>
    </row>
  </sheetData>
  <dataValidations count="1">
    <dataValidation allowBlank="true" error="Elige un valor de la lista." errorStyle="stop" errorTitle="Valor no válido" operator="between" showDropDown="false" showErrorMessage="true" showInputMessage="false" sqref="C11:C15" type="list">
      <formula1>Listas!$D$2:$D$3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6A72"/>
    <pageSetUpPr fitToPage="true"/>
  </sheetPr>
  <dimension ref="B1:AU38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27" topLeftCell="E28" activePane="bottomRight" state="frozen"/>
      <selection pane="topLeft" activeCell="A1" activeCellId="0" sqref="A1"/>
      <selection pane="topRight" activeCell="E1" activeCellId="0" sqref="E1"/>
      <selection pane="bottomLeft" activeCell="A28" activeCellId="0" sqref="A2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4" min="3" style="0" width="15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3" min="12" style="0" width="13"/>
    <col collapsed="false" customWidth="true" hidden="false" outlineLevel="0" max="14" min="14" style="0" width="10"/>
    <col collapsed="false" customWidth="true" hidden="false" outlineLevel="0" max="16" min="15" style="0" width="16"/>
    <col collapsed="false" customWidth="true" hidden="false" outlineLevel="0" max="17" min="17" style="0" width="8"/>
    <col collapsed="false" customWidth="true" hidden="false" outlineLevel="0" max="18" min="18" style="0" width="6"/>
  </cols>
  <sheetData>
    <row r="1" customFormat="false" ht="24" hidden="false" customHeight="true" outlineLevel="0" collapsed="false">
      <c r="B1" s="19" t="s">
        <v>123</v>
      </c>
    </row>
    <row r="2" customFormat="false" ht="15" hidden="false" customHeight="false" outlineLevel="0" collapsed="false">
      <c r="B2" s="20" t="s">
        <v>124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5" customFormat="false" ht="15" hidden="false" customHeight="false" outlineLevel="0" collapsed="false">
      <c r="B5" s="16" t="s">
        <v>71</v>
      </c>
      <c r="C5" s="15" t="s">
        <v>125</v>
      </c>
      <c r="D5" s="18" t="s">
        <v>126</v>
      </c>
    </row>
    <row r="6" customFormat="false" ht="15" hidden="false" customHeight="false" outlineLevel="0" collapsed="false">
      <c r="B6" s="16" t="s">
        <v>127</v>
      </c>
      <c r="C6" s="53" t="n">
        <v>0</v>
      </c>
      <c r="D6" s="18" t="s">
        <v>128</v>
      </c>
    </row>
    <row r="7" customFormat="false" ht="15" hidden="false" customHeight="false" outlineLevel="0" collapsed="false">
      <c r="B7" s="16" t="s">
        <v>129</v>
      </c>
      <c r="C7" s="58" t="n">
        <f aca="false">DATE(YEAR(Datos!$C$7),MONTH(Datos!$C$7)+1,1)</f>
        <v>46296</v>
      </c>
    </row>
    <row r="8" customFormat="false" ht="15" hidden="false" customHeight="false" outlineLevel="0" collapsed="false">
      <c r="B8" s="28" t="s">
        <v>72</v>
      </c>
      <c r="C8" s="42" t="n">
        <f aca="false">SUMIFS(F12:F19,C12:C19,"&gt;0.5")+N(C6)</f>
        <v>0</v>
      </c>
    </row>
    <row r="11" customFormat="false" ht="30" hidden="false" customHeight="true" outlineLevel="0" collapsed="false">
      <c r="B11" s="9" t="s">
        <v>45</v>
      </c>
      <c r="C11" s="10" t="s">
        <v>46</v>
      </c>
      <c r="D11" s="10" t="s">
        <v>47</v>
      </c>
      <c r="E11" s="10" t="s">
        <v>130</v>
      </c>
      <c r="F11" s="10" t="s">
        <v>131</v>
      </c>
      <c r="G11" s="10" t="s">
        <v>132</v>
      </c>
      <c r="H11" s="10" t="s">
        <v>133</v>
      </c>
      <c r="I11" s="10" t="s">
        <v>134</v>
      </c>
      <c r="J11" s="10" t="s">
        <v>135</v>
      </c>
      <c r="K11" s="10" t="s">
        <v>136</v>
      </c>
      <c r="L11" s="10" t="s">
        <v>137</v>
      </c>
      <c r="M11" s="10" t="s">
        <v>138</v>
      </c>
      <c r="N11" s="10" t="s">
        <v>139</v>
      </c>
      <c r="O11" s="10" t="s">
        <v>73</v>
      </c>
      <c r="P11" s="10" t="s">
        <v>74</v>
      </c>
      <c r="Q11" s="10" t="s">
        <v>140</v>
      </c>
      <c r="R11" s="10" t="s">
        <v>141</v>
      </c>
    </row>
    <row r="12" customFormat="false" ht="15" hidden="false" customHeight="false" outlineLevel="0" collapsed="false">
      <c r="B12" s="12" t="str">
        <f aca="false">IF('Crédito 1'!$F$6="Sí",'Crédito 1'!$C$6,"")</f>
        <v/>
      </c>
      <c r="C12" s="30" t="n">
        <f aca="false">IF(B12="",0,'Crédito 1'!$I$6)</f>
        <v>0</v>
      </c>
      <c r="D12" s="31" t="str">
        <f aca="false">IF(B12="","",'Crédito 1'!$C$13)</f>
        <v/>
      </c>
      <c r="E12" s="59" t="n">
        <f aca="false">IF(B12="",0,'Crédito 1'!$F$7)</f>
        <v>0</v>
      </c>
      <c r="F12" s="30" t="n">
        <f aca="false">IF(B12="",0,'Crédito 1'!$F$9)</f>
        <v>0</v>
      </c>
      <c r="G12" s="30" t="n">
        <f aca="false">IF(B12="",0,N('Crédito 1'!$C$15))</f>
        <v>0</v>
      </c>
      <c r="H12" s="35" t="str">
        <f aca="false">IF(B12="","",IF('Crédito 1'!$C$17="No","No","Sí"))</f>
        <v/>
      </c>
      <c r="I12" s="40" t="str">
        <f aca="false">IF(B12="","",'Crédito 1'!$F$11)</f>
        <v/>
      </c>
      <c r="J12" s="51"/>
      <c r="K12" s="60" t="str">
        <f aca="false">IF(C12&lt;=0.5,"",1+COUNTIFS($C$12:$C$19,"&gt;0.5",$Q$12:$Q$19,"&lt;"&amp;Q12)+COUNTIFS($C$12:$C$19,"&gt;0.5",$Q$12:$Q$19,Q12,$R$12:$R$19,"&lt;"&amp;R12))</f>
        <v/>
      </c>
      <c r="L12" s="33" t="str">
        <f aca="false">IF(C12&lt;=0.5,"",IF(ISNUMBER(AK22),EDATE($C$7,AK22-1),AK22))</f>
        <v/>
      </c>
      <c r="M12" s="33" t="str">
        <f aca="false">IF(K12="","",IF(ISNUMBER(INDEX($E$22:$AJ$22,1,4*(K12-1)+3)),EDATE($C$7,INDEX($E$22:$AJ$22,1,4*(K12-1)+3)-1),INDEX($E$22:$AJ$22,1,4*(K12-1)+3)))</f>
        <v/>
      </c>
      <c r="N12" s="32" t="str">
        <f aca="false">IF(OR(K12="",NOT(ISNUMBER(L12)),NOT(ISNUMBER(M12))),"",(YEAR(L12)-YEAR(M12))*12+MONTH(L12)-MONTH(M12))</f>
        <v/>
      </c>
      <c r="O12" s="30" t="n">
        <f aca="false">IF(C12&lt;=0.5,0,AK23)</f>
        <v>0</v>
      </c>
      <c r="P12" s="30" t="n">
        <f aca="false">IF(K12="",0,INDEX($E$22:$AJ$22,1,4*(K12-1)+4))</f>
        <v>0</v>
      </c>
      <c r="Q12" s="61" t="n">
        <f aca="false">IF($C$5="Avalancha",-N(D12),IF($C$5="Bola de nieve",C12,IF(N(J12)=0,1000+R12,J12)))</f>
        <v>-0</v>
      </c>
      <c r="R12" s="62" t="n">
        <f aca="false">ROW()</f>
        <v>12</v>
      </c>
    </row>
    <row r="13" customFormat="false" ht="15" hidden="false" customHeight="false" outlineLevel="0" collapsed="false">
      <c r="B13" s="12" t="str">
        <f aca="false">IF('Crédito 2'!$F$6="Sí",'Crédito 2'!$C$6,"")</f>
        <v/>
      </c>
      <c r="C13" s="30" t="n">
        <f aca="false">IF(B13="",0,'Crédito 2'!$I$6)</f>
        <v>0</v>
      </c>
      <c r="D13" s="31" t="str">
        <f aca="false">IF(B13="","",'Crédito 2'!$C$13)</f>
        <v/>
      </c>
      <c r="E13" s="59" t="n">
        <f aca="false">IF(B13="",0,'Crédito 2'!$F$7)</f>
        <v>0</v>
      </c>
      <c r="F13" s="30" t="n">
        <f aca="false">IF(B13="",0,'Crédito 2'!$F$9)</f>
        <v>0</v>
      </c>
      <c r="G13" s="30" t="n">
        <f aca="false">IF(B13="",0,N('Crédito 2'!$C$15))</f>
        <v>0</v>
      </c>
      <c r="H13" s="35" t="str">
        <f aca="false">IF(B13="","",IF('Crédito 2'!$C$17="No","No","Sí"))</f>
        <v/>
      </c>
      <c r="I13" s="40" t="str">
        <f aca="false">IF(B13="","",'Crédito 2'!$F$11)</f>
        <v/>
      </c>
      <c r="J13" s="51"/>
      <c r="K13" s="60" t="str">
        <f aca="false">IF(C13&lt;=0.5,"",1+COUNTIFS($C$12:$C$19,"&gt;0.5",$Q$12:$Q$19,"&lt;"&amp;Q13)+COUNTIFS($C$12:$C$19,"&gt;0.5",$Q$12:$Q$19,Q13,$R$12:$R$19,"&lt;"&amp;R13))</f>
        <v/>
      </c>
      <c r="L13" s="33" t="str">
        <f aca="false">IF(C13&lt;=0.5,"",IF(ISNUMBER(AL22),EDATE($C$7,AL22-1),AL22))</f>
        <v/>
      </c>
      <c r="M13" s="33" t="str">
        <f aca="false">IF(K13="","",IF(ISNUMBER(INDEX($E$22:$AJ$22,1,4*(K13-1)+3)),EDATE($C$7,INDEX($E$22:$AJ$22,1,4*(K13-1)+3)-1),INDEX($E$22:$AJ$22,1,4*(K13-1)+3)))</f>
        <v/>
      </c>
      <c r="N13" s="32" t="str">
        <f aca="false">IF(OR(K13="",NOT(ISNUMBER(L13)),NOT(ISNUMBER(M13))),"",(YEAR(L13)-YEAR(M13))*12+MONTH(L13)-MONTH(M13))</f>
        <v/>
      </c>
      <c r="O13" s="30" t="n">
        <f aca="false">IF(C13&lt;=0.5,0,AL23)</f>
        <v>0</v>
      </c>
      <c r="P13" s="30" t="n">
        <f aca="false">IF(K13="",0,INDEX($E$22:$AJ$22,1,4*(K13-1)+4))</f>
        <v>0</v>
      </c>
      <c r="Q13" s="61" t="n">
        <f aca="false">IF($C$5="Avalancha",-N(D13),IF($C$5="Bola de nieve",C13,IF(N(J13)=0,1000+R13,J13)))</f>
        <v>-0</v>
      </c>
      <c r="R13" s="62" t="n">
        <f aca="false">ROW()</f>
        <v>13</v>
      </c>
    </row>
    <row r="14" customFormat="false" ht="15" hidden="false" customHeight="false" outlineLevel="0" collapsed="false">
      <c r="B14" s="12" t="str">
        <f aca="false">IF('Crédito 3'!$F$6="Sí",'Crédito 3'!$C$6,"")</f>
        <v/>
      </c>
      <c r="C14" s="30" t="n">
        <f aca="false">IF(B14="",0,'Crédito 3'!$I$6)</f>
        <v>0</v>
      </c>
      <c r="D14" s="31" t="str">
        <f aca="false">IF(B14="","",'Crédito 3'!$C$13)</f>
        <v/>
      </c>
      <c r="E14" s="59" t="n">
        <f aca="false">IF(B14="",0,'Crédito 3'!$F$7)</f>
        <v>0</v>
      </c>
      <c r="F14" s="30" t="n">
        <f aca="false">IF(B14="",0,'Crédito 3'!$F$9)</f>
        <v>0</v>
      </c>
      <c r="G14" s="30" t="n">
        <f aca="false">IF(B14="",0,N('Crédito 3'!$C$15))</f>
        <v>0</v>
      </c>
      <c r="H14" s="35" t="str">
        <f aca="false">IF(B14="","",IF('Crédito 3'!$C$17="No","No","Sí"))</f>
        <v/>
      </c>
      <c r="I14" s="40" t="str">
        <f aca="false">IF(B14="","",'Crédito 3'!$F$11)</f>
        <v/>
      </c>
      <c r="J14" s="51"/>
      <c r="K14" s="60" t="str">
        <f aca="false">IF(C14&lt;=0.5,"",1+COUNTIFS($C$12:$C$19,"&gt;0.5",$Q$12:$Q$19,"&lt;"&amp;Q14)+COUNTIFS($C$12:$C$19,"&gt;0.5",$Q$12:$Q$19,Q14,$R$12:$R$19,"&lt;"&amp;R14))</f>
        <v/>
      </c>
      <c r="L14" s="33" t="str">
        <f aca="false">IF(C14&lt;=0.5,"",IF(ISNUMBER(AM22),EDATE($C$7,AM22-1),AM22))</f>
        <v/>
      </c>
      <c r="M14" s="33" t="str">
        <f aca="false">IF(K14="","",IF(ISNUMBER(INDEX($E$22:$AJ$22,1,4*(K14-1)+3)),EDATE($C$7,INDEX($E$22:$AJ$22,1,4*(K14-1)+3)-1),INDEX($E$22:$AJ$22,1,4*(K14-1)+3)))</f>
        <v/>
      </c>
      <c r="N14" s="32" t="str">
        <f aca="false">IF(OR(K14="",NOT(ISNUMBER(L14)),NOT(ISNUMBER(M14))),"",(YEAR(L14)-YEAR(M14))*12+MONTH(L14)-MONTH(M14))</f>
        <v/>
      </c>
      <c r="O14" s="30" t="n">
        <f aca="false">IF(C14&lt;=0.5,0,AM23)</f>
        <v>0</v>
      </c>
      <c r="P14" s="30" t="n">
        <f aca="false">IF(K14="",0,INDEX($E$22:$AJ$22,1,4*(K14-1)+4))</f>
        <v>0</v>
      </c>
      <c r="Q14" s="61" t="n">
        <f aca="false">IF($C$5="Avalancha",-N(D14),IF($C$5="Bola de nieve",C14,IF(N(J14)=0,1000+R14,J14)))</f>
        <v>-0</v>
      </c>
      <c r="R14" s="62" t="n">
        <f aca="false">ROW()</f>
        <v>14</v>
      </c>
    </row>
    <row r="15" customFormat="false" ht="15" hidden="false" customHeight="false" outlineLevel="0" collapsed="false">
      <c r="B15" s="12" t="str">
        <f aca="false">IF('Crédito 4'!$F$6="Sí",'Crédito 4'!$C$6,"")</f>
        <v/>
      </c>
      <c r="C15" s="30" t="n">
        <f aca="false">IF(B15="",0,'Crédito 4'!$I$6)</f>
        <v>0</v>
      </c>
      <c r="D15" s="31" t="str">
        <f aca="false">IF(B15="","",'Crédito 4'!$C$13)</f>
        <v/>
      </c>
      <c r="E15" s="59" t="n">
        <f aca="false">IF(B15="",0,'Crédito 4'!$F$7)</f>
        <v>0</v>
      </c>
      <c r="F15" s="30" t="n">
        <f aca="false">IF(B15="",0,'Crédito 4'!$F$9)</f>
        <v>0</v>
      </c>
      <c r="G15" s="30" t="n">
        <f aca="false">IF(B15="",0,N('Crédito 4'!$C$15))</f>
        <v>0</v>
      </c>
      <c r="H15" s="35" t="str">
        <f aca="false">IF(B15="","",IF('Crédito 4'!$C$17="No","No","Sí"))</f>
        <v/>
      </c>
      <c r="I15" s="40" t="str">
        <f aca="false">IF(B15="","",'Crédito 4'!$F$11)</f>
        <v/>
      </c>
      <c r="J15" s="51"/>
      <c r="K15" s="60" t="str">
        <f aca="false">IF(C15&lt;=0.5,"",1+COUNTIFS($C$12:$C$19,"&gt;0.5",$Q$12:$Q$19,"&lt;"&amp;Q15)+COUNTIFS($C$12:$C$19,"&gt;0.5",$Q$12:$Q$19,Q15,$R$12:$R$19,"&lt;"&amp;R15))</f>
        <v/>
      </c>
      <c r="L15" s="33" t="str">
        <f aca="false">IF(C15&lt;=0.5,"",IF(ISNUMBER(AN22),EDATE($C$7,AN22-1),AN22))</f>
        <v/>
      </c>
      <c r="M15" s="33" t="str">
        <f aca="false">IF(K15="","",IF(ISNUMBER(INDEX($E$22:$AJ$22,1,4*(K15-1)+3)),EDATE($C$7,INDEX($E$22:$AJ$22,1,4*(K15-1)+3)-1),INDEX($E$22:$AJ$22,1,4*(K15-1)+3)))</f>
        <v/>
      </c>
      <c r="N15" s="32" t="str">
        <f aca="false">IF(OR(K15="",NOT(ISNUMBER(L15)),NOT(ISNUMBER(M15))),"",(YEAR(L15)-YEAR(M15))*12+MONTH(L15)-MONTH(M15))</f>
        <v/>
      </c>
      <c r="O15" s="30" t="n">
        <f aca="false">IF(C15&lt;=0.5,0,AN23)</f>
        <v>0</v>
      </c>
      <c r="P15" s="30" t="n">
        <f aca="false">IF(K15="",0,INDEX($E$22:$AJ$22,1,4*(K15-1)+4))</f>
        <v>0</v>
      </c>
      <c r="Q15" s="61" t="n">
        <f aca="false">IF($C$5="Avalancha",-N(D15),IF($C$5="Bola de nieve",C15,IF(N(J15)=0,1000+R15,J15)))</f>
        <v>-0</v>
      </c>
      <c r="R15" s="62" t="n">
        <f aca="false">ROW()</f>
        <v>15</v>
      </c>
    </row>
    <row r="16" customFormat="false" ht="15" hidden="false" customHeight="false" outlineLevel="0" collapsed="false">
      <c r="B16" s="12" t="str">
        <f aca="false">IF('Crédito 5'!$F$6="Sí",'Crédito 5'!$C$6,"")</f>
        <v/>
      </c>
      <c r="C16" s="30" t="n">
        <f aca="false">IF(B16="",0,'Crédito 5'!$I$6)</f>
        <v>0</v>
      </c>
      <c r="D16" s="31" t="str">
        <f aca="false">IF(B16="","",'Crédito 5'!$C$13)</f>
        <v/>
      </c>
      <c r="E16" s="59" t="n">
        <f aca="false">IF(B16="",0,'Crédito 5'!$F$7)</f>
        <v>0</v>
      </c>
      <c r="F16" s="30" t="n">
        <f aca="false">IF(B16="",0,'Crédito 5'!$F$9)</f>
        <v>0</v>
      </c>
      <c r="G16" s="30" t="n">
        <f aca="false">IF(B16="",0,N('Crédito 5'!$C$15))</f>
        <v>0</v>
      </c>
      <c r="H16" s="35" t="str">
        <f aca="false">IF(B16="","",IF('Crédito 5'!$C$17="No","No","Sí"))</f>
        <v/>
      </c>
      <c r="I16" s="40" t="str">
        <f aca="false">IF(B16="","",'Crédito 5'!$F$11)</f>
        <v/>
      </c>
      <c r="J16" s="51"/>
      <c r="K16" s="60" t="str">
        <f aca="false">IF(C16&lt;=0.5,"",1+COUNTIFS($C$12:$C$19,"&gt;0.5",$Q$12:$Q$19,"&lt;"&amp;Q16)+COUNTIFS($C$12:$C$19,"&gt;0.5",$Q$12:$Q$19,Q16,$R$12:$R$19,"&lt;"&amp;R16))</f>
        <v/>
      </c>
      <c r="L16" s="33" t="str">
        <f aca="false">IF(C16&lt;=0.5,"",IF(ISNUMBER(AO22),EDATE($C$7,AO22-1),AO22))</f>
        <v/>
      </c>
      <c r="M16" s="33" t="str">
        <f aca="false">IF(K16="","",IF(ISNUMBER(INDEX($E$22:$AJ$22,1,4*(K16-1)+3)),EDATE($C$7,INDEX($E$22:$AJ$22,1,4*(K16-1)+3)-1),INDEX($E$22:$AJ$22,1,4*(K16-1)+3)))</f>
        <v/>
      </c>
      <c r="N16" s="32" t="str">
        <f aca="false">IF(OR(K16="",NOT(ISNUMBER(L16)),NOT(ISNUMBER(M16))),"",(YEAR(L16)-YEAR(M16))*12+MONTH(L16)-MONTH(M16))</f>
        <v/>
      </c>
      <c r="O16" s="30" t="n">
        <f aca="false">IF(C16&lt;=0.5,0,AO23)</f>
        <v>0</v>
      </c>
      <c r="P16" s="30" t="n">
        <f aca="false">IF(K16="",0,INDEX($E$22:$AJ$22,1,4*(K16-1)+4))</f>
        <v>0</v>
      </c>
      <c r="Q16" s="61" t="n">
        <f aca="false">IF($C$5="Avalancha",-N(D16),IF($C$5="Bola de nieve",C16,IF(N(J16)=0,1000+R16,J16)))</f>
        <v>-0</v>
      </c>
      <c r="R16" s="62" t="n">
        <f aca="false">ROW()</f>
        <v>16</v>
      </c>
    </row>
    <row r="17" customFormat="false" ht="15" hidden="false" customHeight="false" outlineLevel="0" collapsed="false">
      <c r="B17" s="12" t="str">
        <f aca="false">IF('Crédito 6'!$F$6="Sí",'Crédito 6'!$C$6,"")</f>
        <v/>
      </c>
      <c r="C17" s="30" t="n">
        <f aca="false">IF(B17="",0,'Crédito 6'!$I$6)</f>
        <v>0</v>
      </c>
      <c r="D17" s="31" t="str">
        <f aca="false">IF(B17="","",'Crédito 6'!$C$13)</f>
        <v/>
      </c>
      <c r="E17" s="59" t="n">
        <f aca="false">IF(B17="",0,'Crédito 6'!$F$7)</f>
        <v>0</v>
      </c>
      <c r="F17" s="30" t="n">
        <f aca="false">IF(B17="",0,'Crédito 6'!$F$9)</f>
        <v>0</v>
      </c>
      <c r="G17" s="30" t="n">
        <f aca="false">IF(B17="",0,N('Crédito 6'!$C$15))</f>
        <v>0</v>
      </c>
      <c r="H17" s="35" t="str">
        <f aca="false">IF(B17="","",IF('Crédito 6'!$C$17="No","No","Sí"))</f>
        <v/>
      </c>
      <c r="I17" s="40" t="str">
        <f aca="false">IF(B17="","",'Crédito 6'!$F$11)</f>
        <v/>
      </c>
      <c r="J17" s="51"/>
      <c r="K17" s="60" t="str">
        <f aca="false">IF(C17&lt;=0.5,"",1+COUNTIFS($C$12:$C$19,"&gt;0.5",$Q$12:$Q$19,"&lt;"&amp;Q17)+COUNTIFS($C$12:$C$19,"&gt;0.5",$Q$12:$Q$19,Q17,$R$12:$R$19,"&lt;"&amp;R17))</f>
        <v/>
      </c>
      <c r="L17" s="33" t="str">
        <f aca="false">IF(C17&lt;=0.5,"",IF(ISNUMBER(AP22),EDATE($C$7,AP22-1),AP22))</f>
        <v/>
      </c>
      <c r="M17" s="33" t="str">
        <f aca="false">IF(K17="","",IF(ISNUMBER(INDEX($E$22:$AJ$22,1,4*(K17-1)+3)),EDATE($C$7,INDEX($E$22:$AJ$22,1,4*(K17-1)+3)-1),INDEX($E$22:$AJ$22,1,4*(K17-1)+3)))</f>
        <v/>
      </c>
      <c r="N17" s="32" t="str">
        <f aca="false">IF(OR(K17="",NOT(ISNUMBER(L17)),NOT(ISNUMBER(M17))),"",(YEAR(L17)-YEAR(M17))*12+MONTH(L17)-MONTH(M17))</f>
        <v/>
      </c>
      <c r="O17" s="30" t="n">
        <f aca="false">IF(C17&lt;=0.5,0,AP23)</f>
        <v>0</v>
      </c>
      <c r="P17" s="30" t="n">
        <f aca="false">IF(K17="",0,INDEX($E$22:$AJ$22,1,4*(K17-1)+4))</f>
        <v>0</v>
      </c>
      <c r="Q17" s="61" t="n">
        <f aca="false">IF($C$5="Avalancha",-N(D17),IF($C$5="Bola de nieve",C17,IF(N(J17)=0,1000+R17,J17)))</f>
        <v>-0</v>
      </c>
      <c r="R17" s="62" t="n">
        <f aca="false">ROW()</f>
        <v>17</v>
      </c>
    </row>
    <row r="18" customFormat="false" ht="15" hidden="false" customHeight="false" outlineLevel="0" collapsed="false">
      <c r="B18" s="12" t="str">
        <f aca="false">IF('Crédito 7'!$F$6="Sí",'Crédito 7'!$C$6,"")</f>
        <v/>
      </c>
      <c r="C18" s="30" t="n">
        <f aca="false">IF(B18="",0,'Crédito 7'!$I$6)</f>
        <v>0</v>
      </c>
      <c r="D18" s="31" t="str">
        <f aca="false">IF(B18="","",'Crédito 7'!$C$13)</f>
        <v/>
      </c>
      <c r="E18" s="59" t="n">
        <f aca="false">IF(B18="",0,'Crédito 7'!$F$7)</f>
        <v>0</v>
      </c>
      <c r="F18" s="30" t="n">
        <f aca="false">IF(B18="",0,'Crédito 7'!$F$9)</f>
        <v>0</v>
      </c>
      <c r="G18" s="30" t="n">
        <f aca="false">IF(B18="",0,N('Crédito 7'!$C$15))</f>
        <v>0</v>
      </c>
      <c r="H18" s="35" t="str">
        <f aca="false">IF(B18="","",IF('Crédito 7'!$C$17="No","No","Sí"))</f>
        <v/>
      </c>
      <c r="I18" s="40" t="str">
        <f aca="false">IF(B18="","",'Crédito 7'!$F$11)</f>
        <v/>
      </c>
      <c r="J18" s="51"/>
      <c r="K18" s="60" t="str">
        <f aca="false">IF(C18&lt;=0.5,"",1+COUNTIFS($C$12:$C$19,"&gt;0.5",$Q$12:$Q$19,"&lt;"&amp;Q18)+COUNTIFS($C$12:$C$19,"&gt;0.5",$Q$12:$Q$19,Q18,$R$12:$R$19,"&lt;"&amp;R18))</f>
        <v/>
      </c>
      <c r="L18" s="33" t="str">
        <f aca="false">IF(C18&lt;=0.5,"",IF(ISNUMBER(AQ22),EDATE($C$7,AQ22-1),AQ22))</f>
        <v/>
      </c>
      <c r="M18" s="33" t="str">
        <f aca="false">IF(K18="","",IF(ISNUMBER(INDEX($E$22:$AJ$22,1,4*(K18-1)+3)),EDATE($C$7,INDEX($E$22:$AJ$22,1,4*(K18-1)+3)-1),INDEX($E$22:$AJ$22,1,4*(K18-1)+3)))</f>
        <v/>
      </c>
      <c r="N18" s="32" t="str">
        <f aca="false">IF(OR(K18="",NOT(ISNUMBER(L18)),NOT(ISNUMBER(M18))),"",(YEAR(L18)-YEAR(M18))*12+MONTH(L18)-MONTH(M18))</f>
        <v/>
      </c>
      <c r="O18" s="30" t="n">
        <f aca="false">IF(C18&lt;=0.5,0,AQ23)</f>
        <v>0</v>
      </c>
      <c r="P18" s="30" t="n">
        <f aca="false">IF(K18="",0,INDEX($E$22:$AJ$22,1,4*(K18-1)+4))</f>
        <v>0</v>
      </c>
      <c r="Q18" s="61" t="n">
        <f aca="false">IF($C$5="Avalancha",-N(D18),IF($C$5="Bola de nieve",C18,IF(N(J18)=0,1000+R18,J18)))</f>
        <v>-0</v>
      </c>
      <c r="R18" s="62" t="n">
        <f aca="false">ROW()</f>
        <v>18</v>
      </c>
    </row>
    <row r="19" customFormat="false" ht="15" hidden="false" customHeight="false" outlineLevel="0" collapsed="false">
      <c r="B19" s="12" t="str">
        <f aca="false">IF('Crédito 8'!$F$6="Sí",'Crédito 8'!$C$6,"")</f>
        <v/>
      </c>
      <c r="C19" s="30" t="n">
        <f aca="false">IF(B19="",0,'Crédito 8'!$I$6)</f>
        <v>0</v>
      </c>
      <c r="D19" s="31" t="str">
        <f aca="false">IF(B19="","",'Crédito 8'!$C$13)</f>
        <v/>
      </c>
      <c r="E19" s="59" t="n">
        <f aca="false">IF(B19="",0,'Crédito 8'!$F$7)</f>
        <v>0</v>
      </c>
      <c r="F19" s="30" t="n">
        <f aca="false">IF(B19="",0,'Crédito 8'!$F$9)</f>
        <v>0</v>
      </c>
      <c r="G19" s="30" t="n">
        <f aca="false">IF(B19="",0,N('Crédito 8'!$C$15))</f>
        <v>0</v>
      </c>
      <c r="H19" s="35" t="str">
        <f aca="false">IF(B19="","",IF('Crédito 8'!$C$17="No","No","Sí"))</f>
        <v/>
      </c>
      <c r="I19" s="40" t="str">
        <f aca="false">IF(B19="","",'Crédito 8'!$F$11)</f>
        <v/>
      </c>
      <c r="J19" s="51"/>
      <c r="K19" s="60" t="str">
        <f aca="false">IF(C19&lt;=0.5,"",1+COUNTIFS($C$12:$C$19,"&gt;0.5",$Q$12:$Q$19,"&lt;"&amp;Q19)+COUNTIFS($C$12:$C$19,"&gt;0.5",$Q$12:$Q$19,Q19,$R$12:$R$19,"&lt;"&amp;R19))</f>
        <v/>
      </c>
      <c r="L19" s="33" t="str">
        <f aca="false">IF(C19&lt;=0.5,"",IF(ISNUMBER(AR22),EDATE($C$7,AR22-1),AR22))</f>
        <v/>
      </c>
      <c r="M19" s="33" t="str">
        <f aca="false">IF(K19="","",IF(ISNUMBER(INDEX($E$22:$AJ$22,1,4*(K19-1)+3)),EDATE($C$7,INDEX($E$22:$AJ$22,1,4*(K19-1)+3)-1),INDEX($E$22:$AJ$22,1,4*(K19-1)+3)))</f>
        <v/>
      </c>
      <c r="N19" s="32" t="str">
        <f aca="false">IF(OR(K19="",NOT(ISNUMBER(L19)),NOT(ISNUMBER(M19))),"",(YEAR(L19)-YEAR(M19))*12+MONTH(L19)-MONTH(M19))</f>
        <v/>
      </c>
      <c r="O19" s="30" t="n">
        <f aca="false">IF(C19&lt;=0.5,0,AR23)</f>
        <v>0</v>
      </c>
      <c r="P19" s="30" t="n">
        <f aca="false">IF(K19="",0,INDEX($E$22:$AJ$22,1,4*(K19-1)+4))</f>
        <v>0</v>
      </c>
      <c r="Q19" s="61" t="n">
        <f aca="false">IF($C$5="Avalancha",-N(D19),IF($C$5="Bola de nieve",C19,IF(N(J19)=0,1000+R19,J19)))</f>
        <v>-0</v>
      </c>
      <c r="R19" s="62" t="n">
        <f aca="false">ROW()</f>
        <v>19</v>
      </c>
    </row>
    <row r="20" customFormat="false" ht="15" hidden="false" customHeight="false" outlineLevel="0" collapsed="false">
      <c r="B20" s="38" t="s">
        <v>57</v>
      </c>
      <c r="C20" s="39" t="n">
        <f aca="false">SUM(C12:C19)</f>
        <v>0</v>
      </c>
      <c r="D20" s="38"/>
      <c r="E20" s="38"/>
      <c r="F20" s="39" t="n">
        <f aca="false">SUM(F12:F19)</f>
        <v>0</v>
      </c>
      <c r="G20" s="38"/>
      <c r="H20" s="38"/>
      <c r="I20" s="38"/>
      <c r="J20" s="38"/>
      <c r="K20" s="38"/>
      <c r="L20" s="38"/>
      <c r="M20" s="38"/>
      <c r="N20" s="38"/>
      <c r="O20" s="39" t="n">
        <f aca="false">SUM(O12:O19)</f>
        <v>0</v>
      </c>
      <c r="P20" s="39" t="n">
        <f aca="false">SUM(P12:P19)</f>
        <v>0</v>
      </c>
    </row>
    <row r="21" customFormat="false" ht="15" hidden="false" customHeight="false" outlineLevel="0" collapsed="false">
      <c r="B21" s="28" t="s">
        <v>142</v>
      </c>
      <c r="C21" s="42" t="n">
        <f aca="false">O20-P20</f>
        <v>0</v>
      </c>
      <c r="E21" s="18" t="s">
        <v>143</v>
      </c>
    </row>
    <row r="22" customFormat="false" ht="15" hidden="false" customHeight="false" outlineLevel="0" collapsed="false">
      <c r="E22" s="63" t="n">
        <f aca="false">IFERROR(MATCH(1,$K$12:$K$19,0),0)</f>
        <v>0</v>
      </c>
      <c r="F22" s="5" t="str">
        <f aca="false">IF(E22=0,"(vacío)","Orden 1: "&amp;INDEX($B$12:$B$19,E22))</f>
        <v>(vacío)</v>
      </c>
      <c r="G22" s="64" t="n">
        <f aca="false">IF(F25&lt;=0.5,0,IF(H387&gt;0.5,"Más de 360",COUNTIF(H28:H387,"&gt;0.5")+1))</f>
        <v>0</v>
      </c>
      <c r="H22" s="64" t="n">
        <f aca="false">IF(F25&lt;=0.5,0,SUM(F28:F387)+SUM(G28:G387)+H387-F25)</f>
        <v>0</v>
      </c>
      <c r="I22" s="63" t="n">
        <f aca="false">IFERROR(MATCH(2,$K$12:$K$19,0),0)</f>
        <v>0</v>
      </c>
      <c r="J22" s="5" t="str">
        <f aca="false">IF(I22=0,"(vacío)","Orden 2: "&amp;INDEX($B$12:$B$19,I22))</f>
        <v>(vacío)</v>
      </c>
      <c r="K22" s="64" t="n">
        <f aca="false">IF(J25&lt;=0.5,0,IF(L387&gt;0.5,"Más de 360",COUNTIF(L28:L387,"&gt;0.5")+1))</f>
        <v>0</v>
      </c>
      <c r="L22" s="64" t="n">
        <f aca="false">IF(J25&lt;=0.5,0,SUM(J28:J387)+SUM(K28:K387)+L387-J25)</f>
        <v>0</v>
      </c>
      <c r="M22" s="63" t="n">
        <f aca="false">IFERROR(MATCH(3,$K$12:$K$19,0),0)</f>
        <v>0</v>
      </c>
      <c r="N22" s="5" t="str">
        <f aca="false">IF(M22=0,"(vacío)","Orden 3: "&amp;INDEX($B$12:$B$19,M22))</f>
        <v>(vacío)</v>
      </c>
      <c r="O22" s="64" t="n">
        <f aca="false">IF(N25&lt;=0.5,0,IF(P387&gt;0.5,"Más de 360",COUNTIF(P28:P387,"&gt;0.5")+1))</f>
        <v>0</v>
      </c>
      <c r="P22" s="64" t="n">
        <f aca="false">IF(N25&lt;=0.5,0,SUM(N28:N387)+SUM(O28:O387)+P387-N25)</f>
        <v>0</v>
      </c>
      <c r="Q22" s="63" t="n">
        <f aca="false">IFERROR(MATCH(4,$K$12:$K$19,0),0)</f>
        <v>0</v>
      </c>
      <c r="R22" s="5" t="str">
        <f aca="false">IF(Q22=0,"(vacío)","Orden 4: "&amp;INDEX($B$12:$B$19,Q22))</f>
        <v>(vacío)</v>
      </c>
      <c r="S22" s="64" t="n">
        <f aca="false">IF(R25&lt;=0.5,0,IF(T387&gt;0.5,"Más de 360",COUNTIF(T28:T387,"&gt;0.5")+1))</f>
        <v>0</v>
      </c>
      <c r="T22" s="64" t="n">
        <f aca="false">IF(R25&lt;=0.5,0,SUM(R28:R387)+SUM(S28:S387)+T387-R25)</f>
        <v>0</v>
      </c>
      <c r="U22" s="63" t="n">
        <f aca="false">IFERROR(MATCH(5,$K$12:$K$19,0),0)</f>
        <v>0</v>
      </c>
      <c r="V22" s="5" t="str">
        <f aca="false">IF(U22=0,"(vacío)","Orden 5: "&amp;INDEX($B$12:$B$19,U22))</f>
        <v>(vacío)</v>
      </c>
      <c r="W22" s="64" t="n">
        <f aca="false">IF(V25&lt;=0.5,0,IF(X387&gt;0.5,"Más de 360",COUNTIF(X28:X387,"&gt;0.5")+1))</f>
        <v>0</v>
      </c>
      <c r="X22" s="64" t="n">
        <f aca="false">IF(V25&lt;=0.5,0,SUM(V28:V387)+SUM(W28:W387)+X387-V25)</f>
        <v>0</v>
      </c>
      <c r="Y22" s="63" t="n">
        <f aca="false">IFERROR(MATCH(6,$K$12:$K$19,0),0)</f>
        <v>0</v>
      </c>
      <c r="Z22" s="5" t="str">
        <f aca="false">IF(Y22=0,"(vacío)","Orden 6: "&amp;INDEX($B$12:$B$19,Y22))</f>
        <v>(vacío)</v>
      </c>
      <c r="AA22" s="64" t="n">
        <f aca="false">IF(Z25&lt;=0.5,0,IF(AB387&gt;0.5,"Más de 360",COUNTIF(AB28:AB387,"&gt;0.5")+1))</f>
        <v>0</v>
      </c>
      <c r="AB22" s="64" t="n">
        <f aca="false">IF(Z25&lt;=0.5,0,SUM(Z28:Z387)+SUM(AA28:AA387)+AB387-Z25)</f>
        <v>0</v>
      </c>
      <c r="AC22" s="63" t="n">
        <f aca="false">IFERROR(MATCH(7,$K$12:$K$19,0),0)</f>
        <v>0</v>
      </c>
      <c r="AD22" s="5" t="str">
        <f aca="false">IF(AC22=0,"(vacío)","Orden 7: "&amp;INDEX($B$12:$B$19,AC22))</f>
        <v>(vacío)</v>
      </c>
      <c r="AE22" s="64" t="n">
        <f aca="false">IF(AD25&lt;=0.5,0,IF(AF387&gt;0.5,"Más de 360",COUNTIF(AF28:AF387,"&gt;0.5")+1))</f>
        <v>0</v>
      </c>
      <c r="AF22" s="64" t="n">
        <f aca="false">IF(AD25&lt;=0.5,0,SUM(AD28:AD387)+SUM(AE28:AE387)+AF387-AD25)</f>
        <v>0</v>
      </c>
      <c r="AG22" s="63" t="n">
        <f aca="false">IFERROR(MATCH(8,$K$12:$K$19,0),0)</f>
        <v>0</v>
      </c>
      <c r="AH22" s="5" t="str">
        <f aca="false">IF(AG22=0,"(vacío)","Orden 8: "&amp;INDEX($B$12:$B$19,AG22))</f>
        <v>(vacío)</v>
      </c>
      <c r="AI22" s="64" t="n">
        <f aca="false">IF(AH25&lt;=0.5,0,IF(AJ387&gt;0.5,"Más de 360",COUNTIF(AJ28:AJ387,"&gt;0.5")+1))</f>
        <v>0</v>
      </c>
      <c r="AJ22" s="64" t="n">
        <f aca="false">IF(AH25&lt;=0.5,0,SUM(AH28:AH387)+SUM(AI28:AI387)+AJ387-AH25)</f>
        <v>0</v>
      </c>
      <c r="AK22" s="64" t="n">
        <f aca="false">IF($C$12&lt;=0.5,0,IF(AK387&gt;0.5,"Más de 360",COUNTIF(AK28:AK387,"&gt;0.5")+1))</f>
        <v>0</v>
      </c>
      <c r="AL22" s="64" t="n">
        <f aca="false">IF($C$13&lt;=0.5,0,IF(AL387&gt;0.5,"Más de 360",COUNTIF(AL28:AL387,"&gt;0.5")+1))</f>
        <v>0</v>
      </c>
      <c r="AM22" s="64" t="n">
        <f aca="false">IF($C$14&lt;=0.5,0,IF(AM387&gt;0.5,"Más de 360",COUNTIF(AM28:AM387,"&gt;0.5")+1))</f>
        <v>0</v>
      </c>
      <c r="AN22" s="64" t="n">
        <f aca="false">IF($C$15&lt;=0.5,0,IF(AN387&gt;0.5,"Más de 360",COUNTIF(AN28:AN387,"&gt;0.5")+1))</f>
        <v>0</v>
      </c>
      <c r="AO22" s="64" t="n">
        <f aca="false">IF($C$16&lt;=0.5,0,IF(AO387&gt;0.5,"Más de 360",COUNTIF(AO28:AO387,"&gt;0.5")+1))</f>
        <v>0</v>
      </c>
      <c r="AP22" s="64" t="n">
        <f aca="false">IF($C$17&lt;=0.5,0,IF(AP387&gt;0.5,"Más de 360",COUNTIF(AP28:AP387,"&gt;0.5")+1))</f>
        <v>0</v>
      </c>
      <c r="AQ22" s="64" t="n">
        <f aca="false">IF($C$18&lt;=0.5,0,IF(AQ387&gt;0.5,"Más de 360",COUNTIF(AQ28:AQ387,"&gt;0.5")+1))</f>
        <v>0</v>
      </c>
      <c r="AR22" s="64" t="n">
        <f aca="false">IF($C$19&lt;=0.5,0,IF(AR387&gt;0.5,"Más de 360",COUNTIF(AR28:AR387,"&gt;0.5")+1))</f>
        <v>0</v>
      </c>
    </row>
    <row r="23" customFormat="false" ht="15" hidden="false" customHeight="false" outlineLevel="0" collapsed="false">
      <c r="B23" s="7" t="s">
        <v>144</v>
      </c>
      <c r="C23" s="8"/>
      <c r="D23" s="8"/>
      <c r="E23" s="8" t="n">
        <f aca="false">IF(E22=0,0,INDEX($E$12:$E$19,E22))</f>
        <v>0</v>
      </c>
      <c r="F23" s="8" t="n">
        <f aca="false">IF(E22=0,0,INDEX($F$12:$F$19,E22))</f>
        <v>0</v>
      </c>
      <c r="G23" s="8"/>
      <c r="H23" s="8"/>
      <c r="I23" s="8" t="n">
        <f aca="false">IF(I22=0,0,INDEX($E$12:$E$19,I22))</f>
        <v>0</v>
      </c>
      <c r="J23" s="8" t="n">
        <f aca="false">IF(I22=0,0,INDEX($F$12:$F$19,I22))</f>
        <v>0</v>
      </c>
      <c r="K23" s="8"/>
      <c r="L23" s="8"/>
      <c r="M23" s="8" t="n">
        <f aca="false">IF(M22=0,0,INDEX($E$12:$E$19,M22))</f>
        <v>0</v>
      </c>
      <c r="N23" s="8" t="n">
        <f aca="false">IF(M22=0,0,INDEX($F$12:$F$19,M22))</f>
        <v>0</v>
      </c>
      <c r="O23" s="8"/>
      <c r="P23" s="8"/>
      <c r="Q23" s="8" t="n">
        <f aca="false">IF(Q22=0,0,INDEX($E$12:$E$19,Q22))</f>
        <v>0</v>
      </c>
      <c r="R23" s="8" t="n">
        <f aca="false">IF(Q22=0,0,INDEX($F$12:$F$19,Q22))</f>
        <v>0</v>
      </c>
      <c r="S23" s="8"/>
      <c r="T23" s="8"/>
      <c r="U23" s="8" t="n">
        <f aca="false">IF(U22=0,0,INDEX($E$12:$E$19,U22))</f>
        <v>0</v>
      </c>
      <c r="V23" s="8" t="n">
        <f aca="false">IF(U22=0,0,INDEX($F$12:$F$19,U22))</f>
        <v>0</v>
      </c>
      <c r="W23" s="8"/>
      <c r="X23" s="8"/>
      <c r="Y23" s="8" t="n">
        <f aca="false">IF(Y22=0,0,INDEX($E$12:$E$19,Y22))</f>
        <v>0</v>
      </c>
      <c r="Z23" s="8" t="n">
        <f aca="false">IF(Y22=0,0,INDEX($F$12:$F$19,Y22))</f>
        <v>0</v>
      </c>
      <c r="AA23" s="8"/>
      <c r="AB23" s="8"/>
      <c r="AC23" s="8" t="n">
        <f aca="false">IF(AC22=0,0,INDEX($E$12:$E$19,AC22))</f>
        <v>0</v>
      </c>
      <c r="AD23" s="8" t="n">
        <f aca="false">IF(AC22=0,0,INDEX($F$12:$F$19,AC22))</f>
        <v>0</v>
      </c>
      <c r="AE23" s="8"/>
      <c r="AF23" s="8"/>
      <c r="AG23" s="8" t="n">
        <f aca="false">IF(AG22=0,0,INDEX($E$12:$E$19,AG22))</f>
        <v>0</v>
      </c>
      <c r="AH23" s="8" t="n">
        <f aca="false">IF(AG22=0,0,INDEX($F$12:$F$19,AG22))</f>
        <v>0</v>
      </c>
      <c r="AI23" s="8"/>
      <c r="AJ23" s="8"/>
      <c r="AK23" s="8" t="n">
        <f aca="false">IF($C$12&lt;=0.5,0,$E$12*($C$12+SUM(AK28:AK386))+$G$12*(1+COUNTIF(AK28:AK386,"&gt;0.5")))</f>
        <v>0</v>
      </c>
      <c r="AL23" s="8" t="n">
        <f aca="false">IF($C$13&lt;=0.5,0,$E$13*($C$13+SUM(AL28:AL386))+$G$13*(1+COUNTIF(AL28:AL386,"&gt;0.5")))</f>
        <v>0</v>
      </c>
      <c r="AM23" s="8" t="n">
        <f aca="false">IF($C$14&lt;=0.5,0,$E$14*($C$14+SUM(AM28:AM386))+$G$14*(1+COUNTIF(AM28:AM386,"&gt;0.5")))</f>
        <v>0</v>
      </c>
      <c r="AN23" s="8" t="n">
        <f aca="false">IF($C$15&lt;=0.5,0,$E$15*($C$15+SUM(AN28:AN386))+$G$15*(1+COUNTIF(AN28:AN386,"&gt;0.5")))</f>
        <v>0</v>
      </c>
      <c r="AO23" s="8" t="n">
        <f aca="false">IF($C$16&lt;=0.5,0,$E$16*($C$16+SUM(AO28:AO386))+$G$16*(1+COUNTIF(AO28:AO386,"&gt;0.5")))</f>
        <v>0</v>
      </c>
      <c r="AP23" s="8" t="n">
        <f aca="false">IF($C$17&lt;=0.5,0,$E$17*($C$17+SUM(AP28:AP386))+$G$17*(1+COUNTIF(AP28:AP386,"&gt;0.5")))</f>
        <v>0</v>
      </c>
      <c r="AQ23" s="8" t="n">
        <f aca="false">IF($C$18&lt;=0.5,0,$E$18*($C$18+SUM(AQ28:AQ386))+$G$18*(1+COUNTIF(AQ28:AQ386,"&gt;0.5")))</f>
        <v>0</v>
      </c>
      <c r="AR23" s="8" t="n">
        <f aca="false">IF($C$19&lt;=0.5,0,$E$19*($C$19+SUM(AR28:AR386))+$G$19*(1+COUNTIF(AR28:AR386,"&gt;0.5")))</f>
        <v>0</v>
      </c>
      <c r="AS23" s="8"/>
      <c r="AT23" s="8"/>
      <c r="AU23" s="8"/>
    </row>
    <row r="24" customFormat="false" ht="15" hidden="false" customHeight="false" outlineLevel="0" collapsed="false">
      <c r="E24" s="0" t="n">
        <f aca="false">IF(E22=0,0,INDEX($G$12:$G$19,E22))</f>
        <v>0</v>
      </c>
      <c r="F24" s="0" t="n">
        <f aca="false">IF(E22=0,0,IF(INDEX($H$12:$H$19,E22)="No",0,1))</f>
        <v>0</v>
      </c>
      <c r="I24" s="0" t="n">
        <f aca="false">IF(I22=0,0,INDEX($G$12:$G$19,I22))</f>
        <v>0</v>
      </c>
      <c r="J24" s="0" t="n">
        <f aca="false">IF(I22=0,0,IF(INDEX($H$12:$H$19,I22)="No",0,1))</f>
        <v>0</v>
      </c>
      <c r="M24" s="0" t="n">
        <f aca="false">IF(M22=0,0,INDEX($G$12:$G$19,M22))</f>
        <v>0</v>
      </c>
      <c r="N24" s="0" t="n">
        <f aca="false">IF(M22=0,0,IF(INDEX($H$12:$H$19,M22)="No",0,1))</f>
        <v>0</v>
      </c>
      <c r="Q24" s="0" t="n">
        <f aca="false">IF(Q22=0,0,INDEX($G$12:$G$19,Q22))</f>
        <v>0</v>
      </c>
      <c r="R24" s="0" t="n">
        <f aca="false">IF(Q22=0,0,IF(INDEX($H$12:$H$19,Q22)="No",0,1))</f>
        <v>0</v>
      </c>
      <c r="U24" s="0" t="n">
        <f aca="false">IF(U22=0,0,INDEX($G$12:$G$19,U22))</f>
        <v>0</v>
      </c>
      <c r="V24" s="0" t="n">
        <f aca="false">IF(U22=0,0,IF(INDEX($H$12:$H$19,U22)="No",0,1))</f>
        <v>0</v>
      </c>
      <c r="Y24" s="0" t="n">
        <f aca="false">IF(Y22=0,0,INDEX($G$12:$G$19,Y22))</f>
        <v>0</v>
      </c>
      <c r="Z24" s="0" t="n">
        <f aca="false">IF(Y22=0,0,IF(INDEX($H$12:$H$19,Y22)="No",0,1))</f>
        <v>0</v>
      </c>
      <c r="AC24" s="0" t="n">
        <f aca="false">IF(AC22=0,0,INDEX($G$12:$G$19,AC22))</f>
        <v>0</v>
      </c>
      <c r="AD24" s="0" t="n">
        <f aca="false">IF(AC22=0,0,IF(INDEX($H$12:$H$19,AC22)="No",0,1))</f>
        <v>0</v>
      </c>
      <c r="AG24" s="0" t="n">
        <f aca="false">IF(AG22=0,0,INDEX($G$12:$G$19,AG22))</f>
        <v>0</v>
      </c>
      <c r="AH24" s="0" t="n">
        <f aca="false">IF(AG22=0,0,IF(INDEX($H$12:$H$19,AG22)="No",0,1))</f>
        <v>0</v>
      </c>
    </row>
    <row r="25" customFormat="false" ht="15" hidden="false" customHeight="false" outlineLevel="0" collapsed="false">
      <c r="E25" s="0" t="str">
        <f aca="false">IF(E22=0,"",IF(N(INDEX($I$12:$I$19,E22))=0,"",INDEX($I$12:$I$19,E22)))</f>
        <v/>
      </c>
      <c r="F25" s="0" t="n">
        <f aca="false">IF(E22=0,0,INDEX($C$12:$C$19,E22))</f>
        <v>0</v>
      </c>
      <c r="I25" s="0" t="str">
        <f aca="false">IF(I22=0,"",IF(N(INDEX($I$12:$I$19,I22))=0,"",INDEX($I$12:$I$19,I22)))</f>
        <v/>
      </c>
      <c r="J25" s="0" t="n">
        <f aca="false">IF(I22=0,0,INDEX($C$12:$C$19,I22))</f>
        <v>0</v>
      </c>
      <c r="M25" s="0" t="str">
        <f aca="false">IF(M22=0,"",IF(N(INDEX($I$12:$I$19,M22))=0,"",INDEX($I$12:$I$19,M22)))</f>
        <v/>
      </c>
      <c r="N25" s="0" t="n">
        <f aca="false">IF(M22=0,0,INDEX($C$12:$C$19,M22))</f>
        <v>0</v>
      </c>
      <c r="Q25" s="0" t="str">
        <f aca="false">IF(Q22=0,"",IF(N(INDEX($I$12:$I$19,Q22))=0,"",INDEX($I$12:$I$19,Q22)))</f>
        <v/>
      </c>
      <c r="R25" s="0" t="n">
        <f aca="false">IF(Q22=0,0,INDEX($C$12:$C$19,Q22))</f>
        <v>0</v>
      </c>
      <c r="U25" s="0" t="str">
        <f aca="false">IF(U22=0,"",IF(N(INDEX($I$12:$I$19,U22))=0,"",INDEX($I$12:$I$19,U22)))</f>
        <v/>
      </c>
      <c r="V25" s="0" t="n">
        <f aca="false">IF(U22=0,0,INDEX($C$12:$C$19,U22))</f>
        <v>0</v>
      </c>
      <c r="Y25" s="0" t="str">
        <f aca="false">IF(Y22=0,"",IF(N(INDEX($I$12:$I$19,Y22))=0,"",INDEX($I$12:$I$19,Y22)))</f>
        <v/>
      </c>
      <c r="Z25" s="0" t="n">
        <f aca="false">IF(Y22=0,0,INDEX($C$12:$C$19,Y22))</f>
        <v>0</v>
      </c>
      <c r="AC25" s="0" t="str">
        <f aca="false">IF(AC22=0,"",IF(N(INDEX($I$12:$I$19,AC22))=0,"",INDEX($I$12:$I$19,AC22)))</f>
        <v/>
      </c>
      <c r="AD25" s="0" t="n">
        <f aca="false">IF(AC22=0,0,INDEX($C$12:$C$19,AC22))</f>
        <v>0</v>
      </c>
      <c r="AG25" s="0" t="str">
        <f aca="false">IF(AG22=0,"",IF(N(INDEX($I$12:$I$19,AG22))=0,"",INDEX($I$12:$I$19,AG22)))</f>
        <v/>
      </c>
      <c r="AH25" s="0" t="n">
        <f aca="false">IF(AG22=0,0,INDEX($C$12:$C$19,AG22))</f>
        <v>0</v>
      </c>
    </row>
    <row r="26" customFormat="false" ht="15" hidden="false" customHeight="false" outlineLevel="0" collapsed="false">
      <c r="B26" s="28" t="s">
        <v>145</v>
      </c>
      <c r="C26" s="28" t="s">
        <v>146</v>
      </c>
      <c r="D26" s="28" t="s">
        <v>147</v>
      </c>
      <c r="E26" s="7" t="s">
        <v>148</v>
      </c>
      <c r="F26" s="7" t="s">
        <v>131</v>
      </c>
      <c r="G26" s="7" t="s">
        <v>149</v>
      </c>
      <c r="H26" s="7" t="s">
        <v>92</v>
      </c>
      <c r="I26" s="65" t="s">
        <v>148</v>
      </c>
      <c r="J26" s="65" t="s">
        <v>131</v>
      </c>
      <c r="K26" s="65" t="s">
        <v>149</v>
      </c>
      <c r="L26" s="65" t="s">
        <v>92</v>
      </c>
      <c r="M26" s="7" t="s">
        <v>148</v>
      </c>
      <c r="N26" s="7" t="s">
        <v>131</v>
      </c>
      <c r="O26" s="7" t="s">
        <v>149</v>
      </c>
      <c r="P26" s="7" t="s">
        <v>92</v>
      </c>
      <c r="Q26" s="65" t="s">
        <v>148</v>
      </c>
      <c r="R26" s="65" t="s">
        <v>131</v>
      </c>
      <c r="S26" s="65" t="s">
        <v>149</v>
      </c>
      <c r="T26" s="65" t="s">
        <v>92</v>
      </c>
      <c r="U26" s="7" t="s">
        <v>148</v>
      </c>
      <c r="V26" s="7" t="s">
        <v>131</v>
      </c>
      <c r="W26" s="7" t="s">
        <v>149</v>
      </c>
      <c r="X26" s="7" t="s">
        <v>92</v>
      </c>
      <c r="Y26" s="65" t="s">
        <v>148</v>
      </c>
      <c r="Z26" s="65" t="s">
        <v>131</v>
      </c>
      <c r="AA26" s="65" t="s">
        <v>149</v>
      </c>
      <c r="AB26" s="65" t="s">
        <v>92</v>
      </c>
      <c r="AC26" s="7" t="s">
        <v>148</v>
      </c>
      <c r="AD26" s="7" t="s">
        <v>131</v>
      </c>
      <c r="AE26" s="7" t="s">
        <v>149</v>
      </c>
      <c r="AF26" s="7" t="s">
        <v>92</v>
      </c>
      <c r="AG26" s="65" t="s">
        <v>148</v>
      </c>
      <c r="AH26" s="65" t="s">
        <v>131</v>
      </c>
      <c r="AI26" s="65" t="s">
        <v>149</v>
      </c>
      <c r="AJ26" s="65" t="s">
        <v>92</v>
      </c>
      <c r="AK26" s="66" t="s">
        <v>150</v>
      </c>
      <c r="AL26" s="66" t="s">
        <v>151</v>
      </c>
      <c r="AM26" s="66" t="s">
        <v>152</v>
      </c>
      <c r="AN26" s="66" t="s">
        <v>153</v>
      </c>
      <c r="AO26" s="66" t="s">
        <v>154</v>
      </c>
      <c r="AP26" s="66" t="s">
        <v>155</v>
      </c>
      <c r="AQ26" s="66" t="s">
        <v>156</v>
      </c>
      <c r="AR26" s="66" t="s">
        <v>157</v>
      </c>
      <c r="AS26" s="67" t="s">
        <v>158</v>
      </c>
      <c r="AT26" s="67" t="s">
        <v>159</v>
      </c>
      <c r="AU26" s="67" t="s">
        <v>160</v>
      </c>
    </row>
    <row r="28" customFormat="false" ht="15" hidden="false" customHeight="false" outlineLevel="0" collapsed="false">
      <c r="B28" s="0" t="n">
        <v>1</v>
      </c>
      <c r="C28" s="68" t="n">
        <f aca="false">EDATE($C$7,0)</f>
        <v>46296</v>
      </c>
      <c r="D28" s="69" t="n">
        <f aca="false">$C$8-(F28+J28+N28+R28+V28+Z28+AD28+AH28)</f>
        <v>0</v>
      </c>
      <c r="E28" s="69" t="n">
        <f aca="false">IF(F$25&gt;0.5,F$25*(1+E$23)+E$24,0)</f>
        <v>0</v>
      </c>
      <c r="F28" s="69" t="n">
        <f aca="false">MIN(F$23,E28)</f>
        <v>0</v>
      </c>
      <c r="G28" s="69" t="n">
        <f aca="false">IF(AND(F$24=1,OR(E$25="",$C28&gt;=E$25)),MAX(0,MIN(E28-F28,$D28-(0))),0)</f>
        <v>0</v>
      </c>
      <c r="H28" s="69" t="n">
        <f aca="false">E28-F28-G28</f>
        <v>0</v>
      </c>
      <c r="I28" s="69" t="n">
        <f aca="false">IF(J$25&gt;0.5,J$25*(1+I$23)+I$24,0)</f>
        <v>0</v>
      </c>
      <c r="J28" s="69" t="n">
        <f aca="false">MIN(J$23,I28)</f>
        <v>0</v>
      </c>
      <c r="K28" s="69" t="n">
        <f aca="false">IF(AND(J$24=1,OR(I$25="",$C28&gt;=I$25)),MAX(0,MIN(I28-J28,$D28-(G28))),0)</f>
        <v>0</v>
      </c>
      <c r="L28" s="69" t="n">
        <f aca="false">I28-J28-K28</f>
        <v>0</v>
      </c>
      <c r="M28" s="69" t="n">
        <f aca="false">IF(N$25&gt;0.5,N$25*(1+M$23)+M$24,0)</f>
        <v>0</v>
      </c>
      <c r="N28" s="69" t="n">
        <f aca="false">MIN(N$23,M28)</f>
        <v>0</v>
      </c>
      <c r="O28" s="69" t="n">
        <f aca="false">IF(AND(N$24=1,OR(M$25="",$C28&gt;=M$25)),MAX(0,MIN(M28-N28,$D28-(G28+K28))),0)</f>
        <v>0</v>
      </c>
      <c r="P28" s="69" t="n">
        <f aca="false">M28-N28-O28</f>
        <v>0</v>
      </c>
      <c r="Q28" s="69" t="n">
        <f aca="false">IF(R$25&gt;0.5,R$25*(1+Q$23)+Q$24,0)</f>
        <v>0</v>
      </c>
      <c r="R28" s="69" t="n">
        <f aca="false">MIN(R$23,Q28)</f>
        <v>0</v>
      </c>
      <c r="S28" s="69" t="n">
        <f aca="false">IF(AND(R$24=1,OR(Q$25="",$C28&gt;=Q$25)),MAX(0,MIN(Q28-R28,$D28-(G28+K28+O28))),0)</f>
        <v>0</v>
      </c>
      <c r="T28" s="69" t="n">
        <f aca="false">Q28-R28-S28</f>
        <v>0</v>
      </c>
      <c r="U28" s="69" t="n">
        <f aca="false">IF(V$25&gt;0.5,V$25*(1+U$23)+U$24,0)</f>
        <v>0</v>
      </c>
      <c r="V28" s="69" t="n">
        <f aca="false">MIN(V$23,U28)</f>
        <v>0</v>
      </c>
      <c r="W28" s="69" t="n">
        <f aca="false">IF(AND(V$24=1,OR(U$25="",$C28&gt;=U$25)),MAX(0,MIN(U28-V28,$D28-(G28+K28+O28+S28))),0)</f>
        <v>0</v>
      </c>
      <c r="X28" s="69" t="n">
        <f aca="false">U28-V28-W28</f>
        <v>0</v>
      </c>
      <c r="Y28" s="69" t="n">
        <f aca="false">IF(Z$25&gt;0.5,Z$25*(1+Y$23)+Y$24,0)</f>
        <v>0</v>
      </c>
      <c r="Z28" s="69" t="n">
        <f aca="false">MIN(Z$23,Y28)</f>
        <v>0</v>
      </c>
      <c r="AA28" s="69" t="n">
        <f aca="false">IF(AND(Z$24=1,OR(Y$25="",$C28&gt;=Y$25)),MAX(0,MIN(Y28-Z28,$D28-(G28+K28+O28+S28+W28))),0)</f>
        <v>0</v>
      </c>
      <c r="AB28" s="69" t="n">
        <f aca="false">Y28-Z28-AA28</f>
        <v>0</v>
      </c>
      <c r="AC28" s="69" t="n">
        <f aca="false">IF(AD$25&gt;0.5,AD$25*(1+AC$23)+AC$24,0)</f>
        <v>0</v>
      </c>
      <c r="AD28" s="69" t="n">
        <f aca="false">MIN(AD$23,AC28)</f>
        <v>0</v>
      </c>
      <c r="AE28" s="69" t="n">
        <f aca="false">IF(AND(AD$24=1,OR(AC$25="",$C28&gt;=AC$25)),MAX(0,MIN(AC28-AD28,$D28-(G28+K28+O28+S28+W28+AA28))),0)</f>
        <v>0</v>
      </c>
      <c r="AF28" s="69" t="n">
        <f aca="false">AC28-AD28-AE28</f>
        <v>0</v>
      </c>
      <c r="AG28" s="69" t="n">
        <f aca="false">IF(AH$25&gt;0.5,AH$25*(1+AG$23)+AG$24,0)</f>
        <v>0</v>
      </c>
      <c r="AH28" s="69" t="n">
        <f aca="false">MIN(AH$23,AG28)</f>
        <v>0</v>
      </c>
      <c r="AI28" s="69" t="n">
        <f aca="false">IF(AND(AH$24=1,OR(AG$25="",$C28&gt;=AG$25)),MAX(0,MIN(AG28-AH28,$D28-(G28+K28+O28+S28+W28+AA28+AE28))),0)</f>
        <v>0</v>
      </c>
      <c r="AJ28" s="69" t="n">
        <f aca="false">AG28-AH28-AI28</f>
        <v>0</v>
      </c>
      <c r="AK28" s="69" t="n">
        <f aca="false">IF($C$12&gt;0.5,$C$12*(1+$E$12)+$G$12-MIN($F$12,$C$12*(1+$E$12)+$G$12),0)</f>
        <v>0</v>
      </c>
      <c r="AL28" s="69" t="n">
        <f aca="false">IF($C$13&gt;0.5,$C$13*(1+$E$13)+$G$13-MIN($F$13,$C$13*(1+$E$13)+$G$13),0)</f>
        <v>0</v>
      </c>
      <c r="AM28" s="69" t="n">
        <f aca="false">IF($C$14&gt;0.5,$C$14*(1+$E$14)+$G$14-MIN($F$14,$C$14*(1+$E$14)+$G$14),0)</f>
        <v>0</v>
      </c>
      <c r="AN28" s="69" t="n">
        <f aca="false">IF($C$15&gt;0.5,$C$15*(1+$E$15)+$G$15-MIN($F$15,$C$15*(1+$E$15)+$G$15),0)</f>
        <v>0</v>
      </c>
      <c r="AO28" s="69" t="n">
        <f aca="false">IF($C$16&gt;0.5,$C$16*(1+$E$16)+$G$16-MIN($F$16,$C$16*(1+$E$16)+$G$16),0)</f>
        <v>0</v>
      </c>
      <c r="AP28" s="69" t="n">
        <f aca="false">IF($C$17&gt;0.5,$C$17*(1+$E$17)+$G$17-MIN($F$17,$C$17*(1+$E$17)+$G$17),0)</f>
        <v>0</v>
      </c>
      <c r="AQ28" s="69" t="n">
        <f aca="false">IF($C$18&gt;0.5,$C$18*(1+$E$18)+$G$18-MIN($F$18,$C$18*(1+$E$18)+$G$18),0)</f>
        <v>0</v>
      </c>
      <c r="AR28" s="69" t="n">
        <f aca="false">IF($C$19&gt;0.5,$C$19*(1+$E$19)+$G$19-MIN($F$19,$C$19*(1+$E$19)+$G$19),0)</f>
        <v>0</v>
      </c>
      <c r="AS28" s="69" t="n">
        <f aca="false">H28+L28+P28+T28+X28+AB28+AF28+AJ28</f>
        <v>0</v>
      </c>
      <c r="AT28" s="69" t="n">
        <f aca="false">SUM(AK28:AR28)</f>
        <v>0</v>
      </c>
      <c r="AU28" s="69" t="n">
        <f aca="false">F28+G28+J28+K28+N28+O28+R28+S28+V28+W28+Z28+AA28+AD28+AE28+AH28+AI28</f>
        <v>0</v>
      </c>
    </row>
    <row r="29" customFormat="false" ht="15" hidden="false" customHeight="false" outlineLevel="0" collapsed="false">
      <c r="B29" s="0" t="n">
        <v>2</v>
      </c>
      <c r="C29" s="68" t="n">
        <f aca="false">EDATE($C$7,1)</f>
        <v>46327</v>
      </c>
      <c r="D29" s="69" t="n">
        <f aca="false">$C$8-(F29+J29+N29+R29+V29+Z29+AD29+AH29)</f>
        <v>0</v>
      </c>
      <c r="E29" s="69" t="n">
        <f aca="false">IF(H28&gt;0.5,H28*(1+E$23)+E$24,0)</f>
        <v>0</v>
      </c>
      <c r="F29" s="69" t="n">
        <f aca="false">MIN(F$23,E29)</f>
        <v>0</v>
      </c>
      <c r="G29" s="69" t="n">
        <f aca="false">IF(AND(F$24=1,OR(E$25="",$C29&gt;=E$25)),MAX(0,MIN(E29-F29,$D29-(0))),0)</f>
        <v>0</v>
      </c>
      <c r="H29" s="69" t="n">
        <f aca="false">E29-F29-G29</f>
        <v>0</v>
      </c>
      <c r="I29" s="69" t="n">
        <f aca="false">IF(L28&gt;0.5,L28*(1+I$23)+I$24,0)</f>
        <v>0</v>
      </c>
      <c r="J29" s="69" t="n">
        <f aca="false">MIN(J$23,I29)</f>
        <v>0</v>
      </c>
      <c r="K29" s="69" t="n">
        <f aca="false">IF(AND(J$24=1,OR(I$25="",$C29&gt;=I$25)),MAX(0,MIN(I29-J29,$D29-(G29))),0)</f>
        <v>0</v>
      </c>
      <c r="L29" s="69" t="n">
        <f aca="false">I29-J29-K29</f>
        <v>0</v>
      </c>
      <c r="M29" s="69" t="n">
        <f aca="false">IF(P28&gt;0.5,P28*(1+M$23)+M$24,0)</f>
        <v>0</v>
      </c>
      <c r="N29" s="69" t="n">
        <f aca="false">MIN(N$23,M29)</f>
        <v>0</v>
      </c>
      <c r="O29" s="69" t="n">
        <f aca="false">IF(AND(N$24=1,OR(M$25="",$C29&gt;=M$25)),MAX(0,MIN(M29-N29,$D29-(G29+K29))),0)</f>
        <v>0</v>
      </c>
      <c r="P29" s="69" t="n">
        <f aca="false">M29-N29-O29</f>
        <v>0</v>
      </c>
      <c r="Q29" s="69" t="n">
        <f aca="false">IF(T28&gt;0.5,T28*(1+Q$23)+Q$24,0)</f>
        <v>0</v>
      </c>
      <c r="R29" s="69" t="n">
        <f aca="false">MIN(R$23,Q29)</f>
        <v>0</v>
      </c>
      <c r="S29" s="69" t="n">
        <f aca="false">IF(AND(R$24=1,OR(Q$25="",$C29&gt;=Q$25)),MAX(0,MIN(Q29-R29,$D29-(G29+K29+O29))),0)</f>
        <v>0</v>
      </c>
      <c r="T29" s="69" t="n">
        <f aca="false">Q29-R29-S29</f>
        <v>0</v>
      </c>
      <c r="U29" s="69" t="n">
        <f aca="false">IF(X28&gt;0.5,X28*(1+U$23)+U$24,0)</f>
        <v>0</v>
      </c>
      <c r="V29" s="69" t="n">
        <f aca="false">MIN(V$23,U29)</f>
        <v>0</v>
      </c>
      <c r="W29" s="69" t="n">
        <f aca="false">IF(AND(V$24=1,OR(U$25="",$C29&gt;=U$25)),MAX(0,MIN(U29-V29,$D29-(G29+K29+O29+S29))),0)</f>
        <v>0</v>
      </c>
      <c r="X29" s="69" t="n">
        <f aca="false">U29-V29-W29</f>
        <v>0</v>
      </c>
      <c r="Y29" s="69" t="n">
        <f aca="false">IF(AB28&gt;0.5,AB28*(1+Y$23)+Y$24,0)</f>
        <v>0</v>
      </c>
      <c r="Z29" s="69" t="n">
        <f aca="false">MIN(Z$23,Y29)</f>
        <v>0</v>
      </c>
      <c r="AA29" s="69" t="n">
        <f aca="false">IF(AND(Z$24=1,OR(Y$25="",$C29&gt;=Y$25)),MAX(0,MIN(Y29-Z29,$D29-(G29+K29+O29+S29+W29))),0)</f>
        <v>0</v>
      </c>
      <c r="AB29" s="69" t="n">
        <f aca="false">Y29-Z29-AA29</f>
        <v>0</v>
      </c>
      <c r="AC29" s="69" t="n">
        <f aca="false">IF(AF28&gt;0.5,AF28*(1+AC$23)+AC$24,0)</f>
        <v>0</v>
      </c>
      <c r="AD29" s="69" t="n">
        <f aca="false">MIN(AD$23,AC29)</f>
        <v>0</v>
      </c>
      <c r="AE29" s="69" t="n">
        <f aca="false">IF(AND(AD$24=1,OR(AC$25="",$C29&gt;=AC$25)),MAX(0,MIN(AC29-AD29,$D29-(G29+K29+O29+S29+W29+AA29))),0)</f>
        <v>0</v>
      </c>
      <c r="AF29" s="69" t="n">
        <f aca="false">AC29-AD29-AE29</f>
        <v>0</v>
      </c>
      <c r="AG29" s="69" t="n">
        <f aca="false">IF(AJ28&gt;0.5,AJ28*(1+AG$23)+AG$24,0)</f>
        <v>0</v>
      </c>
      <c r="AH29" s="69" t="n">
        <f aca="false">MIN(AH$23,AG29)</f>
        <v>0</v>
      </c>
      <c r="AI29" s="69" t="n">
        <f aca="false">IF(AND(AH$24=1,OR(AG$25="",$C29&gt;=AG$25)),MAX(0,MIN(AG29-AH29,$D29-(G29+K29+O29+S29+W29+AA29+AE29))),0)</f>
        <v>0</v>
      </c>
      <c r="AJ29" s="69" t="n">
        <f aca="false">AG29-AH29-AI29</f>
        <v>0</v>
      </c>
      <c r="AK29" s="69" t="n">
        <f aca="false">IF(AK28&gt;0.5,AK28*(1+$E$12)+$G$12-MIN($F$12,AK28*(1+$E$12)+$G$12),0)</f>
        <v>0</v>
      </c>
      <c r="AL29" s="69" t="n">
        <f aca="false">IF(AL28&gt;0.5,AL28*(1+$E$13)+$G$13-MIN($F$13,AL28*(1+$E$13)+$G$13),0)</f>
        <v>0</v>
      </c>
      <c r="AM29" s="69" t="n">
        <f aca="false">IF(AM28&gt;0.5,AM28*(1+$E$14)+$G$14-MIN($F$14,AM28*(1+$E$14)+$G$14),0)</f>
        <v>0</v>
      </c>
      <c r="AN29" s="69" t="n">
        <f aca="false">IF(AN28&gt;0.5,AN28*(1+$E$15)+$G$15-MIN($F$15,AN28*(1+$E$15)+$G$15),0)</f>
        <v>0</v>
      </c>
      <c r="AO29" s="69" t="n">
        <f aca="false">IF(AO28&gt;0.5,AO28*(1+$E$16)+$G$16-MIN($F$16,AO28*(1+$E$16)+$G$16),0)</f>
        <v>0</v>
      </c>
      <c r="AP29" s="69" t="n">
        <f aca="false">IF(AP28&gt;0.5,AP28*(1+$E$17)+$G$17-MIN($F$17,AP28*(1+$E$17)+$G$17),0)</f>
        <v>0</v>
      </c>
      <c r="AQ29" s="69" t="n">
        <f aca="false">IF(AQ28&gt;0.5,AQ28*(1+$E$18)+$G$18-MIN($F$18,AQ28*(1+$E$18)+$G$18),0)</f>
        <v>0</v>
      </c>
      <c r="AR29" s="69" t="n">
        <f aca="false">IF(AR28&gt;0.5,AR28*(1+$E$19)+$G$19-MIN($F$19,AR28*(1+$E$19)+$G$19),0)</f>
        <v>0</v>
      </c>
      <c r="AS29" s="69" t="n">
        <f aca="false">H29+L29+P29+T29+X29+AB29+AF29+AJ29</f>
        <v>0</v>
      </c>
      <c r="AT29" s="69" t="n">
        <f aca="false">SUM(AK29:AR29)</f>
        <v>0</v>
      </c>
      <c r="AU29" s="69" t="n">
        <f aca="false">F29+G29+J29+K29+N29+O29+R29+S29+V29+W29+Z29+AA29+AD29+AE29+AH29+AI29</f>
        <v>0</v>
      </c>
    </row>
    <row r="30" customFormat="false" ht="15" hidden="false" customHeight="false" outlineLevel="0" collapsed="false">
      <c r="B30" s="0" t="n">
        <v>3</v>
      </c>
      <c r="C30" s="68" t="n">
        <f aca="false">EDATE($C$7,2)</f>
        <v>46357</v>
      </c>
      <c r="D30" s="69" t="n">
        <f aca="false">$C$8-(F30+J30+N30+R30+V30+Z30+AD30+AH30)</f>
        <v>0</v>
      </c>
      <c r="E30" s="69" t="n">
        <f aca="false">IF(H29&gt;0.5,H29*(1+E$23)+E$24,0)</f>
        <v>0</v>
      </c>
      <c r="F30" s="69" t="n">
        <f aca="false">MIN(F$23,E30)</f>
        <v>0</v>
      </c>
      <c r="G30" s="69" t="n">
        <f aca="false">IF(AND(F$24=1,OR(E$25="",$C30&gt;=E$25)),MAX(0,MIN(E30-F30,$D30-(0))),0)</f>
        <v>0</v>
      </c>
      <c r="H30" s="69" t="n">
        <f aca="false">E30-F30-G30</f>
        <v>0</v>
      </c>
      <c r="I30" s="69" t="n">
        <f aca="false">IF(L29&gt;0.5,L29*(1+I$23)+I$24,0)</f>
        <v>0</v>
      </c>
      <c r="J30" s="69" t="n">
        <f aca="false">MIN(J$23,I30)</f>
        <v>0</v>
      </c>
      <c r="K30" s="69" t="n">
        <f aca="false">IF(AND(J$24=1,OR(I$25="",$C30&gt;=I$25)),MAX(0,MIN(I30-J30,$D30-(G30))),0)</f>
        <v>0</v>
      </c>
      <c r="L30" s="69" t="n">
        <f aca="false">I30-J30-K30</f>
        <v>0</v>
      </c>
      <c r="M30" s="69" t="n">
        <f aca="false">IF(P29&gt;0.5,P29*(1+M$23)+M$24,0)</f>
        <v>0</v>
      </c>
      <c r="N30" s="69" t="n">
        <f aca="false">MIN(N$23,M30)</f>
        <v>0</v>
      </c>
      <c r="O30" s="69" t="n">
        <f aca="false">IF(AND(N$24=1,OR(M$25="",$C30&gt;=M$25)),MAX(0,MIN(M30-N30,$D30-(G30+K30))),0)</f>
        <v>0</v>
      </c>
      <c r="P30" s="69" t="n">
        <f aca="false">M30-N30-O30</f>
        <v>0</v>
      </c>
      <c r="Q30" s="69" t="n">
        <f aca="false">IF(T29&gt;0.5,T29*(1+Q$23)+Q$24,0)</f>
        <v>0</v>
      </c>
      <c r="R30" s="69" t="n">
        <f aca="false">MIN(R$23,Q30)</f>
        <v>0</v>
      </c>
      <c r="S30" s="69" t="n">
        <f aca="false">IF(AND(R$24=1,OR(Q$25="",$C30&gt;=Q$25)),MAX(0,MIN(Q30-R30,$D30-(G30+K30+O30))),0)</f>
        <v>0</v>
      </c>
      <c r="T30" s="69" t="n">
        <f aca="false">Q30-R30-S30</f>
        <v>0</v>
      </c>
      <c r="U30" s="69" t="n">
        <f aca="false">IF(X29&gt;0.5,X29*(1+U$23)+U$24,0)</f>
        <v>0</v>
      </c>
      <c r="V30" s="69" t="n">
        <f aca="false">MIN(V$23,U30)</f>
        <v>0</v>
      </c>
      <c r="W30" s="69" t="n">
        <f aca="false">IF(AND(V$24=1,OR(U$25="",$C30&gt;=U$25)),MAX(0,MIN(U30-V30,$D30-(G30+K30+O30+S30))),0)</f>
        <v>0</v>
      </c>
      <c r="X30" s="69" t="n">
        <f aca="false">U30-V30-W30</f>
        <v>0</v>
      </c>
      <c r="Y30" s="69" t="n">
        <f aca="false">IF(AB29&gt;0.5,AB29*(1+Y$23)+Y$24,0)</f>
        <v>0</v>
      </c>
      <c r="Z30" s="69" t="n">
        <f aca="false">MIN(Z$23,Y30)</f>
        <v>0</v>
      </c>
      <c r="AA30" s="69" t="n">
        <f aca="false">IF(AND(Z$24=1,OR(Y$25="",$C30&gt;=Y$25)),MAX(0,MIN(Y30-Z30,$D30-(G30+K30+O30+S30+W30))),0)</f>
        <v>0</v>
      </c>
      <c r="AB30" s="69" t="n">
        <f aca="false">Y30-Z30-AA30</f>
        <v>0</v>
      </c>
      <c r="AC30" s="69" t="n">
        <f aca="false">IF(AF29&gt;0.5,AF29*(1+AC$23)+AC$24,0)</f>
        <v>0</v>
      </c>
      <c r="AD30" s="69" t="n">
        <f aca="false">MIN(AD$23,AC30)</f>
        <v>0</v>
      </c>
      <c r="AE30" s="69" t="n">
        <f aca="false">IF(AND(AD$24=1,OR(AC$25="",$C30&gt;=AC$25)),MAX(0,MIN(AC30-AD30,$D30-(G30+K30+O30+S30+W30+AA30))),0)</f>
        <v>0</v>
      </c>
      <c r="AF30" s="69" t="n">
        <f aca="false">AC30-AD30-AE30</f>
        <v>0</v>
      </c>
      <c r="AG30" s="69" t="n">
        <f aca="false">IF(AJ29&gt;0.5,AJ29*(1+AG$23)+AG$24,0)</f>
        <v>0</v>
      </c>
      <c r="AH30" s="69" t="n">
        <f aca="false">MIN(AH$23,AG30)</f>
        <v>0</v>
      </c>
      <c r="AI30" s="69" t="n">
        <f aca="false">IF(AND(AH$24=1,OR(AG$25="",$C30&gt;=AG$25)),MAX(0,MIN(AG30-AH30,$D30-(G30+K30+O30+S30+W30+AA30+AE30))),0)</f>
        <v>0</v>
      </c>
      <c r="AJ30" s="69" t="n">
        <f aca="false">AG30-AH30-AI30</f>
        <v>0</v>
      </c>
      <c r="AK30" s="69" t="n">
        <f aca="false">IF(AK29&gt;0.5,AK29*(1+$E$12)+$G$12-MIN($F$12,AK29*(1+$E$12)+$G$12),0)</f>
        <v>0</v>
      </c>
      <c r="AL30" s="69" t="n">
        <f aca="false">IF(AL29&gt;0.5,AL29*(1+$E$13)+$G$13-MIN($F$13,AL29*(1+$E$13)+$G$13),0)</f>
        <v>0</v>
      </c>
      <c r="AM30" s="69" t="n">
        <f aca="false">IF(AM29&gt;0.5,AM29*(1+$E$14)+$G$14-MIN($F$14,AM29*(1+$E$14)+$G$14),0)</f>
        <v>0</v>
      </c>
      <c r="AN30" s="69" t="n">
        <f aca="false">IF(AN29&gt;0.5,AN29*(1+$E$15)+$G$15-MIN($F$15,AN29*(1+$E$15)+$G$15),0)</f>
        <v>0</v>
      </c>
      <c r="AO30" s="69" t="n">
        <f aca="false">IF(AO29&gt;0.5,AO29*(1+$E$16)+$G$16-MIN($F$16,AO29*(1+$E$16)+$G$16),0)</f>
        <v>0</v>
      </c>
      <c r="AP30" s="69" t="n">
        <f aca="false">IF(AP29&gt;0.5,AP29*(1+$E$17)+$G$17-MIN($F$17,AP29*(1+$E$17)+$G$17),0)</f>
        <v>0</v>
      </c>
      <c r="AQ30" s="69" t="n">
        <f aca="false">IF(AQ29&gt;0.5,AQ29*(1+$E$18)+$G$18-MIN($F$18,AQ29*(1+$E$18)+$G$18),0)</f>
        <v>0</v>
      </c>
      <c r="AR30" s="69" t="n">
        <f aca="false">IF(AR29&gt;0.5,AR29*(1+$E$19)+$G$19-MIN($F$19,AR29*(1+$E$19)+$G$19),0)</f>
        <v>0</v>
      </c>
      <c r="AS30" s="69" t="n">
        <f aca="false">H30+L30+P30+T30+X30+AB30+AF30+AJ30</f>
        <v>0</v>
      </c>
      <c r="AT30" s="69" t="n">
        <f aca="false">SUM(AK30:AR30)</f>
        <v>0</v>
      </c>
      <c r="AU30" s="69" t="n">
        <f aca="false">F30+G30+J30+K30+N30+O30+R30+S30+V30+W30+Z30+AA30+AD30+AE30+AH30+AI30</f>
        <v>0</v>
      </c>
    </row>
    <row r="31" customFormat="false" ht="15" hidden="false" customHeight="false" outlineLevel="0" collapsed="false">
      <c r="B31" s="0" t="n">
        <v>4</v>
      </c>
      <c r="C31" s="68" t="n">
        <f aca="false">EDATE($C$7,3)</f>
        <v>46388</v>
      </c>
      <c r="D31" s="69" t="n">
        <f aca="false">$C$8-(F31+J31+N31+R31+V31+Z31+AD31+AH31)</f>
        <v>0</v>
      </c>
      <c r="E31" s="69" t="n">
        <f aca="false">IF(H30&gt;0.5,H30*(1+E$23)+E$24,0)</f>
        <v>0</v>
      </c>
      <c r="F31" s="69" t="n">
        <f aca="false">MIN(F$23,E31)</f>
        <v>0</v>
      </c>
      <c r="G31" s="69" t="n">
        <f aca="false">IF(AND(F$24=1,OR(E$25="",$C31&gt;=E$25)),MAX(0,MIN(E31-F31,$D31-(0))),0)</f>
        <v>0</v>
      </c>
      <c r="H31" s="69" t="n">
        <f aca="false">E31-F31-G31</f>
        <v>0</v>
      </c>
      <c r="I31" s="69" t="n">
        <f aca="false">IF(L30&gt;0.5,L30*(1+I$23)+I$24,0)</f>
        <v>0</v>
      </c>
      <c r="J31" s="69" t="n">
        <f aca="false">MIN(J$23,I31)</f>
        <v>0</v>
      </c>
      <c r="K31" s="69" t="n">
        <f aca="false">IF(AND(J$24=1,OR(I$25="",$C31&gt;=I$25)),MAX(0,MIN(I31-J31,$D31-(G31))),0)</f>
        <v>0</v>
      </c>
      <c r="L31" s="69" t="n">
        <f aca="false">I31-J31-K31</f>
        <v>0</v>
      </c>
      <c r="M31" s="69" t="n">
        <f aca="false">IF(P30&gt;0.5,P30*(1+M$23)+M$24,0)</f>
        <v>0</v>
      </c>
      <c r="N31" s="69" t="n">
        <f aca="false">MIN(N$23,M31)</f>
        <v>0</v>
      </c>
      <c r="O31" s="69" t="n">
        <f aca="false">IF(AND(N$24=1,OR(M$25="",$C31&gt;=M$25)),MAX(0,MIN(M31-N31,$D31-(G31+K31))),0)</f>
        <v>0</v>
      </c>
      <c r="P31" s="69" t="n">
        <f aca="false">M31-N31-O31</f>
        <v>0</v>
      </c>
      <c r="Q31" s="69" t="n">
        <f aca="false">IF(T30&gt;0.5,T30*(1+Q$23)+Q$24,0)</f>
        <v>0</v>
      </c>
      <c r="R31" s="69" t="n">
        <f aca="false">MIN(R$23,Q31)</f>
        <v>0</v>
      </c>
      <c r="S31" s="69" t="n">
        <f aca="false">IF(AND(R$24=1,OR(Q$25="",$C31&gt;=Q$25)),MAX(0,MIN(Q31-R31,$D31-(G31+K31+O31))),0)</f>
        <v>0</v>
      </c>
      <c r="T31" s="69" t="n">
        <f aca="false">Q31-R31-S31</f>
        <v>0</v>
      </c>
      <c r="U31" s="69" t="n">
        <f aca="false">IF(X30&gt;0.5,X30*(1+U$23)+U$24,0)</f>
        <v>0</v>
      </c>
      <c r="V31" s="69" t="n">
        <f aca="false">MIN(V$23,U31)</f>
        <v>0</v>
      </c>
      <c r="W31" s="69" t="n">
        <f aca="false">IF(AND(V$24=1,OR(U$25="",$C31&gt;=U$25)),MAX(0,MIN(U31-V31,$D31-(G31+K31+O31+S31))),0)</f>
        <v>0</v>
      </c>
      <c r="X31" s="69" t="n">
        <f aca="false">U31-V31-W31</f>
        <v>0</v>
      </c>
      <c r="Y31" s="69" t="n">
        <f aca="false">IF(AB30&gt;0.5,AB30*(1+Y$23)+Y$24,0)</f>
        <v>0</v>
      </c>
      <c r="Z31" s="69" t="n">
        <f aca="false">MIN(Z$23,Y31)</f>
        <v>0</v>
      </c>
      <c r="AA31" s="69" t="n">
        <f aca="false">IF(AND(Z$24=1,OR(Y$25="",$C31&gt;=Y$25)),MAX(0,MIN(Y31-Z31,$D31-(G31+K31+O31+S31+W31))),0)</f>
        <v>0</v>
      </c>
      <c r="AB31" s="69" t="n">
        <f aca="false">Y31-Z31-AA31</f>
        <v>0</v>
      </c>
      <c r="AC31" s="69" t="n">
        <f aca="false">IF(AF30&gt;0.5,AF30*(1+AC$23)+AC$24,0)</f>
        <v>0</v>
      </c>
      <c r="AD31" s="69" t="n">
        <f aca="false">MIN(AD$23,AC31)</f>
        <v>0</v>
      </c>
      <c r="AE31" s="69" t="n">
        <f aca="false">IF(AND(AD$24=1,OR(AC$25="",$C31&gt;=AC$25)),MAX(0,MIN(AC31-AD31,$D31-(G31+K31+O31+S31+W31+AA31))),0)</f>
        <v>0</v>
      </c>
      <c r="AF31" s="69" t="n">
        <f aca="false">AC31-AD31-AE31</f>
        <v>0</v>
      </c>
      <c r="AG31" s="69" t="n">
        <f aca="false">IF(AJ30&gt;0.5,AJ30*(1+AG$23)+AG$24,0)</f>
        <v>0</v>
      </c>
      <c r="AH31" s="69" t="n">
        <f aca="false">MIN(AH$23,AG31)</f>
        <v>0</v>
      </c>
      <c r="AI31" s="69" t="n">
        <f aca="false">IF(AND(AH$24=1,OR(AG$25="",$C31&gt;=AG$25)),MAX(0,MIN(AG31-AH31,$D31-(G31+K31+O31+S31+W31+AA31+AE31))),0)</f>
        <v>0</v>
      </c>
      <c r="AJ31" s="69" t="n">
        <f aca="false">AG31-AH31-AI31</f>
        <v>0</v>
      </c>
      <c r="AK31" s="69" t="n">
        <f aca="false">IF(AK30&gt;0.5,AK30*(1+$E$12)+$G$12-MIN($F$12,AK30*(1+$E$12)+$G$12),0)</f>
        <v>0</v>
      </c>
      <c r="AL31" s="69" t="n">
        <f aca="false">IF(AL30&gt;0.5,AL30*(1+$E$13)+$G$13-MIN($F$13,AL30*(1+$E$13)+$G$13),0)</f>
        <v>0</v>
      </c>
      <c r="AM31" s="69" t="n">
        <f aca="false">IF(AM30&gt;0.5,AM30*(1+$E$14)+$G$14-MIN($F$14,AM30*(1+$E$14)+$G$14),0)</f>
        <v>0</v>
      </c>
      <c r="AN31" s="69" t="n">
        <f aca="false">IF(AN30&gt;0.5,AN30*(1+$E$15)+$G$15-MIN($F$15,AN30*(1+$E$15)+$G$15),0)</f>
        <v>0</v>
      </c>
      <c r="AO31" s="69" t="n">
        <f aca="false">IF(AO30&gt;0.5,AO30*(1+$E$16)+$G$16-MIN($F$16,AO30*(1+$E$16)+$G$16),0)</f>
        <v>0</v>
      </c>
      <c r="AP31" s="69" t="n">
        <f aca="false">IF(AP30&gt;0.5,AP30*(1+$E$17)+$G$17-MIN($F$17,AP30*(1+$E$17)+$G$17),0)</f>
        <v>0</v>
      </c>
      <c r="AQ31" s="69" t="n">
        <f aca="false">IF(AQ30&gt;0.5,AQ30*(1+$E$18)+$G$18-MIN($F$18,AQ30*(1+$E$18)+$G$18),0)</f>
        <v>0</v>
      </c>
      <c r="AR31" s="69" t="n">
        <f aca="false">IF(AR30&gt;0.5,AR30*(1+$E$19)+$G$19-MIN($F$19,AR30*(1+$E$19)+$G$19),0)</f>
        <v>0</v>
      </c>
      <c r="AS31" s="69" t="n">
        <f aca="false">H31+L31+P31+T31+X31+AB31+AF31+AJ31</f>
        <v>0</v>
      </c>
      <c r="AT31" s="69" t="n">
        <f aca="false">SUM(AK31:AR31)</f>
        <v>0</v>
      </c>
      <c r="AU31" s="69" t="n">
        <f aca="false">F31+G31+J31+K31+N31+O31+R31+S31+V31+W31+Z31+AA31+AD31+AE31+AH31+AI31</f>
        <v>0</v>
      </c>
    </row>
    <row r="32" customFormat="false" ht="15" hidden="false" customHeight="false" outlineLevel="0" collapsed="false">
      <c r="B32" s="0" t="n">
        <v>5</v>
      </c>
      <c r="C32" s="68" t="n">
        <f aca="false">EDATE($C$7,4)</f>
        <v>46419</v>
      </c>
      <c r="D32" s="69" t="n">
        <f aca="false">$C$8-(F32+J32+N32+R32+V32+Z32+AD32+AH32)</f>
        <v>0</v>
      </c>
      <c r="E32" s="69" t="n">
        <f aca="false">IF(H31&gt;0.5,H31*(1+E$23)+E$24,0)</f>
        <v>0</v>
      </c>
      <c r="F32" s="69" t="n">
        <f aca="false">MIN(F$23,E32)</f>
        <v>0</v>
      </c>
      <c r="G32" s="69" t="n">
        <f aca="false">IF(AND(F$24=1,OR(E$25="",$C32&gt;=E$25)),MAX(0,MIN(E32-F32,$D32-(0))),0)</f>
        <v>0</v>
      </c>
      <c r="H32" s="69" t="n">
        <f aca="false">E32-F32-G32</f>
        <v>0</v>
      </c>
      <c r="I32" s="69" t="n">
        <f aca="false">IF(L31&gt;0.5,L31*(1+I$23)+I$24,0)</f>
        <v>0</v>
      </c>
      <c r="J32" s="69" t="n">
        <f aca="false">MIN(J$23,I32)</f>
        <v>0</v>
      </c>
      <c r="K32" s="69" t="n">
        <f aca="false">IF(AND(J$24=1,OR(I$25="",$C32&gt;=I$25)),MAX(0,MIN(I32-J32,$D32-(G32))),0)</f>
        <v>0</v>
      </c>
      <c r="L32" s="69" t="n">
        <f aca="false">I32-J32-K32</f>
        <v>0</v>
      </c>
      <c r="M32" s="69" t="n">
        <f aca="false">IF(P31&gt;0.5,P31*(1+M$23)+M$24,0)</f>
        <v>0</v>
      </c>
      <c r="N32" s="69" t="n">
        <f aca="false">MIN(N$23,M32)</f>
        <v>0</v>
      </c>
      <c r="O32" s="69" t="n">
        <f aca="false">IF(AND(N$24=1,OR(M$25="",$C32&gt;=M$25)),MAX(0,MIN(M32-N32,$D32-(G32+K32))),0)</f>
        <v>0</v>
      </c>
      <c r="P32" s="69" t="n">
        <f aca="false">M32-N32-O32</f>
        <v>0</v>
      </c>
      <c r="Q32" s="69" t="n">
        <f aca="false">IF(T31&gt;0.5,T31*(1+Q$23)+Q$24,0)</f>
        <v>0</v>
      </c>
      <c r="R32" s="69" t="n">
        <f aca="false">MIN(R$23,Q32)</f>
        <v>0</v>
      </c>
      <c r="S32" s="69" t="n">
        <f aca="false">IF(AND(R$24=1,OR(Q$25="",$C32&gt;=Q$25)),MAX(0,MIN(Q32-R32,$D32-(G32+K32+O32))),0)</f>
        <v>0</v>
      </c>
      <c r="T32" s="69" t="n">
        <f aca="false">Q32-R32-S32</f>
        <v>0</v>
      </c>
      <c r="U32" s="69" t="n">
        <f aca="false">IF(X31&gt;0.5,X31*(1+U$23)+U$24,0)</f>
        <v>0</v>
      </c>
      <c r="V32" s="69" t="n">
        <f aca="false">MIN(V$23,U32)</f>
        <v>0</v>
      </c>
      <c r="W32" s="69" t="n">
        <f aca="false">IF(AND(V$24=1,OR(U$25="",$C32&gt;=U$25)),MAX(0,MIN(U32-V32,$D32-(G32+K32+O32+S32))),0)</f>
        <v>0</v>
      </c>
      <c r="X32" s="69" t="n">
        <f aca="false">U32-V32-W32</f>
        <v>0</v>
      </c>
      <c r="Y32" s="69" t="n">
        <f aca="false">IF(AB31&gt;0.5,AB31*(1+Y$23)+Y$24,0)</f>
        <v>0</v>
      </c>
      <c r="Z32" s="69" t="n">
        <f aca="false">MIN(Z$23,Y32)</f>
        <v>0</v>
      </c>
      <c r="AA32" s="69" t="n">
        <f aca="false">IF(AND(Z$24=1,OR(Y$25="",$C32&gt;=Y$25)),MAX(0,MIN(Y32-Z32,$D32-(G32+K32+O32+S32+W32))),0)</f>
        <v>0</v>
      </c>
      <c r="AB32" s="69" t="n">
        <f aca="false">Y32-Z32-AA32</f>
        <v>0</v>
      </c>
      <c r="AC32" s="69" t="n">
        <f aca="false">IF(AF31&gt;0.5,AF31*(1+AC$23)+AC$24,0)</f>
        <v>0</v>
      </c>
      <c r="AD32" s="69" t="n">
        <f aca="false">MIN(AD$23,AC32)</f>
        <v>0</v>
      </c>
      <c r="AE32" s="69" t="n">
        <f aca="false">IF(AND(AD$24=1,OR(AC$25="",$C32&gt;=AC$25)),MAX(0,MIN(AC32-AD32,$D32-(G32+K32+O32+S32+W32+AA32))),0)</f>
        <v>0</v>
      </c>
      <c r="AF32" s="69" t="n">
        <f aca="false">AC32-AD32-AE32</f>
        <v>0</v>
      </c>
      <c r="AG32" s="69" t="n">
        <f aca="false">IF(AJ31&gt;0.5,AJ31*(1+AG$23)+AG$24,0)</f>
        <v>0</v>
      </c>
      <c r="AH32" s="69" t="n">
        <f aca="false">MIN(AH$23,AG32)</f>
        <v>0</v>
      </c>
      <c r="AI32" s="69" t="n">
        <f aca="false">IF(AND(AH$24=1,OR(AG$25="",$C32&gt;=AG$25)),MAX(0,MIN(AG32-AH32,$D32-(G32+K32+O32+S32+W32+AA32+AE32))),0)</f>
        <v>0</v>
      </c>
      <c r="AJ32" s="69" t="n">
        <f aca="false">AG32-AH32-AI32</f>
        <v>0</v>
      </c>
      <c r="AK32" s="69" t="n">
        <f aca="false">IF(AK31&gt;0.5,AK31*(1+$E$12)+$G$12-MIN($F$12,AK31*(1+$E$12)+$G$12),0)</f>
        <v>0</v>
      </c>
      <c r="AL32" s="69" t="n">
        <f aca="false">IF(AL31&gt;0.5,AL31*(1+$E$13)+$G$13-MIN($F$13,AL31*(1+$E$13)+$G$13),0)</f>
        <v>0</v>
      </c>
      <c r="AM32" s="69" t="n">
        <f aca="false">IF(AM31&gt;0.5,AM31*(1+$E$14)+$G$14-MIN($F$14,AM31*(1+$E$14)+$G$14),0)</f>
        <v>0</v>
      </c>
      <c r="AN32" s="69" t="n">
        <f aca="false">IF(AN31&gt;0.5,AN31*(1+$E$15)+$G$15-MIN($F$15,AN31*(1+$E$15)+$G$15),0)</f>
        <v>0</v>
      </c>
      <c r="AO32" s="69" t="n">
        <f aca="false">IF(AO31&gt;0.5,AO31*(1+$E$16)+$G$16-MIN($F$16,AO31*(1+$E$16)+$G$16),0)</f>
        <v>0</v>
      </c>
      <c r="AP32" s="69" t="n">
        <f aca="false">IF(AP31&gt;0.5,AP31*(1+$E$17)+$G$17-MIN($F$17,AP31*(1+$E$17)+$G$17),0)</f>
        <v>0</v>
      </c>
      <c r="AQ32" s="69" t="n">
        <f aca="false">IF(AQ31&gt;0.5,AQ31*(1+$E$18)+$G$18-MIN($F$18,AQ31*(1+$E$18)+$G$18),0)</f>
        <v>0</v>
      </c>
      <c r="AR32" s="69" t="n">
        <f aca="false">IF(AR31&gt;0.5,AR31*(1+$E$19)+$G$19-MIN($F$19,AR31*(1+$E$19)+$G$19),0)</f>
        <v>0</v>
      </c>
      <c r="AS32" s="69" t="n">
        <f aca="false">H32+L32+P32+T32+X32+AB32+AF32+AJ32</f>
        <v>0</v>
      </c>
      <c r="AT32" s="69" t="n">
        <f aca="false">SUM(AK32:AR32)</f>
        <v>0</v>
      </c>
      <c r="AU32" s="69" t="n">
        <f aca="false">F32+G32+J32+K32+N32+O32+R32+S32+V32+W32+Z32+AA32+AD32+AE32+AH32+AI32</f>
        <v>0</v>
      </c>
    </row>
    <row r="33" customFormat="false" ht="15" hidden="false" customHeight="false" outlineLevel="0" collapsed="false">
      <c r="B33" s="0" t="n">
        <v>6</v>
      </c>
      <c r="C33" s="68" t="n">
        <f aca="false">EDATE($C$7,5)</f>
        <v>46447</v>
      </c>
      <c r="D33" s="69" t="n">
        <f aca="false">$C$8-(F33+J33+N33+R33+V33+Z33+AD33+AH33)</f>
        <v>0</v>
      </c>
      <c r="E33" s="69" t="n">
        <f aca="false">IF(H32&gt;0.5,H32*(1+E$23)+E$24,0)</f>
        <v>0</v>
      </c>
      <c r="F33" s="69" t="n">
        <f aca="false">MIN(F$23,E33)</f>
        <v>0</v>
      </c>
      <c r="G33" s="69" t="n">
        <f aca="false">IF(AND(F$24=1,OR(E$25="",$C33&gt;=E$25)),MAX(0,MIN(E33-F33,$D33-(0))),0)</f>
        <v>0</v>
      </c>
      <c r="H33" s="69" t="n">
        <f aca="false">E33-F33-G33</f>
        <v>0</v>
      </c>
      <c r="I33" s="69" t="n">
        <f aca="false">IF(L32&gt;0.5,L32*(1+I$23)+I$24,0)</f>
        <v>0</v>
      </c>
      <c r="J33" s="69" t="n">
        <f aca="false">MIN(J$23,I33)</f>
        <v>0</v>
      </c>
      <c r="K33" s="69" t="n">
        <f aca="false">IF(AND(J$24=1,OR(I$25="",$C33&gt;=I$25)),MAX(0,MIN(I33-J33,$D33-(G33))),0)</f>
        <v>0</v>
      </c>
      <c r="L33" s="69" t="n">
        <f aca="false">I33-J33-K33</f>
        <v>0</v>
      </c>
      <c r="M33" s="69" t="n">
        <f aca="false">IF(P32&gt;0.5,P32*(1+M$23)+M$24,0)</f>
        <v>0</v>
      </c>
      <c r="N33" s="69" t="n">
        <f aca="false">MIN(N$23,M33)</f>
        <v>0</v>
      </c>
      <c r="O33" s="69" t="n">
        <f aca="false">IF(AND(N$24=1,OR(M$25="",$C33&gt;=M$25)),MAX(0,MIN(M33-N33,$D33-(G33+K33))),0)</f>
        <v>0</v>
      </c>
      <c r="P33" s="69" t="n">
        <f aca="false">M33-N33-O33</f>
        <v>0</v>
      </c>
      <c r="Q33" s="69" t="n">
        <f aca="false">IF(T32&gt;0.5,T32*(1+Q$23)+Q$24,0)</f>
        <v>0</v>
      </c>
      <c r="R33" s="69" t="n">
        <f aca="false">MIN(R$23,Q33)</f>
        <v>0</v>
      </c>
      <c r="S33" s="69" t="n">
        <f aca="false">IF(AND(R$24=1,OR(Q$25="",$C33&gt;=Q$25)),MAX(0,MIN(Q33-R33,$D33-(G33+K33+O33))),0)</f>
        <v>0</v>
      </c>
      <c r="T33" s="69" t="n">
        <f aca="false">Q33-R33-S33</f>
        <v>0</v>
      </c>
      <c r="U33" s="69" t="n">
        <f aca="false">IF(X32&gt;0.5,X32*(1+U$23)+U$24,0)</f>
        <v>0</v>
      </c>
      <c r="V33" s="69" t="n">
        <f aca="false">MIN(V$23,U33)</f>
        <v>0</v>
      </c>
      <c r="W33" s="69" t="n">
        <f aca="false">IF(AND(V$24=1,OR(U$25="",$C33&gt;=U$25)),MAX(0,MIN(U33-V33,$D33-(G33+K33+O33+S33))),0)</f>
        <v>0</v>
      </c>
      <c r="X33" s="69" t="n">
        <f aca="false">U33-V33-W33</f>
        <v>0</v>
      </c>
      <c r="Y33" s="69" t="n">
        <f aca="false">IF(AB32&gt;0.5,AB32*(1+Y$23)+Y$24,0)</f>
        <v>0</v>
      </c>
      <c r="Z33" s="69" t="n">
        <f aca="false">MIN(Z$23,Y33)</f>
        <v>0</v>
      </c>
      <c r="AA33" s="69" t="n">
        <f aca="false">IF(AND(Z$24=1,OR(Y$25="",$C33&gt;=Y$25)),MAX(0,MIN(Y33-Z33,$D33-(G33+K33+O33+S33+W33))),0)</f>
        <v>0</v>
      </c>
      <c r="AB33" s="69" t="n">
        <f aca="false">Y33-Z33-AA33</f>
        <v>0</v>
      </c>
      <c r="AC33" s="69" t="n">
        <f aca="false">IF(AF32&gt;0.5,AF32*(1+AC$23)+AC$24,0)</f>
        <v>0</v>
      </c>
      <c r="AD33" s="69" t="n">
        <f aca="false">MIN(AD$23,AC33)</f>
        <v>0</v>
      </c>
      <c r="AE33" s="69" t="n">
        <f aca="false">IF(AND(AD$24=1,OR(AC$25="",$C33&gt;=AC$25)),MAX(0,MIN(AC33-AD33,$D33-(G33+K33+O33+S33+W33+AA33))),0)</f>
        <v>0</v>
      </c>
      <c r="AF33" s="69" t="n">
        <f aca="false">AC33-AD33-AE33</f>
        <v>0</v>
      </c>
      <c r="AG33" s="69" t="n">
        <f aca="false">IF(AJ32&gt;0.5,AJ32*(1+AG$23)+AG$24,0)</f>
        <v>0</v>
      </c>
      <c r="AH33" s="69" t="n">
        <f aca="false">MIN(AH$23,AG33)</f>
        <v>0</v>
      </c>
      <c r="AI33" s="69" t="n">
        <f aca="false">IF(AND(AH$24=1,OR(AG$25="",$C33&gt;=AG$25)),MAX(0,MIN(AG33-AH33,$D33-(G33+K33+O33+S33+W33+AA33+AE33))),0)</f>
        <v>0</v>
      </c>
      <c r="AJ33" s="69" t="n">
        <f aca="false">AG33-AH33-AI33</f>
        <v>0</v>
      </c>
      <c r="AK33" s="69" t="n">
        <f aca="false">IF(AK32&gt;0.5,AK32*(1+$E$12)+$G$12-MIN($F$12,AK32*(1+$E$12)+$G$12),0)</f>
        <v>0</v>
      </c>
      <c r="AL33" s="69" t="n">
        <f aca="false">IF(AL32&gt;0.5,AL32*(1+$E$13)+$G$13-MIN($F$13,AL32*(1+$E$13)+$G$13),0)</f>
        <v>0</v>
      </c>
      <c r="AM33" s="69" t="n">
        <f aca="false">IF(AM32&gt;0.5,AM32*(1+$E$14)+$G$14-MIN($F$14,AM32*(1+$E$14)+$G$14),0)</f>
        <v>0</v>
      </c>
      <c r="AN33" s="69" t="n">
        <f aca="false">IF(AN32&gt;0.5,AN32*(1+$E$15)+$G$15-MIN($F$15,AN32*(1+$E$15)+$G$15),0)</f>
        <v>0</v>
      </c>
      <c r="AO33" s="69" t="n">
        <f aca="false">IF(AO32&gt;0.5,AO32*(1+$E$16)+$G$16-MIN($F$16,AO32*(1+$E$16)+$G$16),0)</f>
        <v>0</v>
      </c>
      <c r="AP33" s="69" t="n">
        <f aca="false">IF(AP32&gt;0.5,AP32*(1+$E$17)+$G$17-MIN($F$17,AP32*(1+$E$17)+$G$17),0)</f>
        <v>0</v>
      </c>
      <c r="AQ33" s="69" t="n">
        <f aca="false">IF(AQ32&gt;0.5,AQ32*(1+$E$18)+$G$18-MIN($F$18,AQ32*(1+$E$18)+$G$18),0)</f>
        <v>0</v>
      </c>
      <c r="AR33" s="69" t="n">
        <f aca="false">IF(AR32&gt;0.5,AR32*(1+$E$19)+$G$19-MIN($F$19,AR32*(1+$E$19)+$G$19),0)</f>
        <v>0</v>
      </c>
      <c r="AS33" s="69" t="n">
        <f aca="false">H33+L33+P33+T33+X33+AB33+AF33+AJ33</f>
        <v>0</v>
      </c>
      <c r="AT33" s="69" t="n">
        <f aca="false">SUM(AK33:AR33)</f>
        <v>0</v>
      </c>
      <c r="AU33" s="69" t="n">
        <f aca="false">F33+G33+J33+K33+N33+O33+R33+S33+V33+W33+Z33+AA33+AD33+AE33+AH33+AI33</f>
        <v>0</v>
      </c>
    </row>
    <row r="34" customFormat="false" ht="15" hidden="false" customHeight="false" outlineLevel="0" collapsed="false">
      <c r="B34" s="0" t="n">
        <v>7</v>
      </c>
      <c r="C34" s="68" t="n">
        <f aca="false">EDATE($C$7,6)</f>
        <v>46478</v>
      </c>
      <c r="D34" s="69" t="n">
        <f aca="false">$C$8-(F34+J34+N34+R34+V34+Z34+AD34+AH34)</f>
        <v>0</v>
      </c>
      <c r="E34" s="69" t="n">
        <f aca="false">IF(H33&gt;0.5,H33*(1+E$23)+E$24,0)</f>
        <v>0</v>
      </c>
      <c r="F34" s="69" t="n">
        <f aca="false">MIN(F$23,E34)</f>
        <v>0</v>
      </c>
      <c r="G34" s="69" t="n">
        <f aca="false">IF(AND(F$24=1,OR(E$25="",$C34&gt;=E$25)),MAX(0,MIN(E34-F34,$D34-(0))),0)</f>
        <v>0</v>
      </c>
      <c r="H34" s="69" t="n">
        <f aca="false">E34-F34-G34</f>
        <v>0</v>
      </c>
      <c r="I34" s="69" t="n">
        <f aca="false">IF(L33&gt;0.5,L33*(1+I$23)+I$24,0)</f>
        <v>0</v>
      </c>
      <c r="J34" s="69" t="n">
        <f aca="false">MIN(J$23,I34)</f>
        <v>0</v>
      </c>
      <c r="K34" s="69" t="n">
        <f aca="false">IF(AND(J$24=1,OR(I$25="",$C34&gt;=I$25)),MAX(0,MIN(I34-J34,$D34-(G34))),0)</f>
        <v>0</v>
      </c>
      <c r="L34" s="69" t="n">
        <f aca="false">I34-J34-K34</f>
        <v>0</v>
      </c>
      <c r="M34" s="69" t="n">
        <f aca="false">IF(P33&gt;0.5,P33*(1+M$23)+M$24,0)</f>
        <v>0</v>
      </c>
      <c r="N34" s="69" t="n">
        <f aca="false">MIN(N$23,M34)</f>
        <v>0</v>
      </c>
      <c r="O34" s="69" t="n">
        <f aca="false">IF(AND(N$24=1,OR(M$25="",$C34&gt;=M$25)),MAX(0,MIN(M34-N34,$D34-(G34+K34))),0)</f>
        <v>0</v>
      </c>
      <c r="P34" s="69" t="n">
        <f aca="false">M34-N34-O34</f>
        <v>0</v>
      </c>
      <c r="Q34" s="69" t="n">
        <f aca="false">IF(T33&gt;0.5,T33*(1+Q$23)+Q$24,0)</f>
        <v>0</v>
      </c>
      <c r="R34" s="69" t="n">
        <f aca="false">MIN(R$23,Q34)</f>
        <v>0</v>
      </c>
      <c r="S34" s="69" t="n">
        <f aca="false">IF(AND(R$24=1,OR(Q$25="",$C34&gt;=Q$25)),MAX(0,MIN(Q34-R34,$D34-(G34+K34+O34))),0)</f>
        <v>0</v>
      </c>
      <c r="T34" s="69" t="n">
        <f aca="false">Q34-R34-S34</f>
        <v>0</v>
      </c>
      <c r="U34" s="69" t="n">
        <f aca="false">IF(X33&gt;0.5,X33*(1+U$23)+U$24,0)</f>
        <v>0</v>
      </c>
      <c r="V34" s="69" t="n">
        <f aca="false">MIN(V$23,U34)</f>
        <v>0</v>
      </c>
      <c r="W34" s="69" t="n">
        <f aca="false">IF(AND(V$24=1,OR(U$25="",$C34&gt;=U$25)),MAX(0,MIN(U34-V34,$D34-(G34+K34+O34+S34))),0)</f>
        <v>0</v>
      </c>
      <c r="X34" s="69" t="n">
        <f aca="false">U34-V34-W34</f>
        <v>0</v>
      </c>
      <c r="Y34" s="69" t="n">
        <f aca="false">IF(AB33&gt;0.5,AB33*(1+Y$23)+Y$24,0)</f>
        <v>0</v>
      </c>
      <c r="Z34" s="69" t="n">
        <f aca="false">MIN(Z$23,Y34)</f>
        <v>0</v>
      </c>
      <c r="AA34" s="69" t="n">
        <f aca="false">IF(AND(Z$24=1,OR(Y$25="",$C34&gt;=Y$25)),MAX(0,MIN(Y34-Z34,$D34-(G34+K34+O34+S34+W34))),0)</f>
        <v>0</v>
      </c>
      <c r="AB34" s="69" t="n">
        <f aca="false">Y34-Z34-AA34</f>
        <v>0</v>
      </c>
      <c r="AC34" s="69" t="n">
        <f aca="false">IF(AF33&gt;0.5,AF33*(1+AC$23)+AC$24,0)</f>
        <v>0</v>
      </c>
      <c r="AD34" s="69" t="n">
        <f aca="false">MIN(AD$23,AC34)</f>
        <v>0</v>
      </c>
      <c r="AE34" s="69" t="n">
        <f aca="false">IF(AND(AD$24=1,OR(AC$25="",$C34&gt;=AC$25)),MAX(0,MIN(AC34-AD34,$D34-(G34+K34+O34+S34+W34+AA34))),0)</f>
        <v>0</v>
      </c>
      <c r="AF34" s="69" t="n">
        <f aca="false">AC34-AD34-AE34</f>
        <v>0</v>
      </c>
      <c r="AG34" s="69" t="n">
        <f aca="false">IF(AJ33&gt;0.5,AJ33*(1+AG$23)+AG$24,0)</f>
        <v>0</v>
      </c>
      <c r="AH34" s="69" t="n">
        <f aca="false">MIN(AH$23,AG34)</f>
        <v>0</v>
      </c>
      <c r="AI34" s="69" t="n">
        <f aca="false">IF(AND(AH$24=1,OR(AG$25="",$C34&gt;=AG$25)),MAX(0,MIN(AG34-AH34,$D34-(G34+K34+O34+S34+W34+AA34+AE34))),0)</f>
        <v>0</v>
      </c>
      <c r="AJ34" s="69" t="n">
        <f aca="false">AG34-AH34-AI34</f>
        <v>0</v>
      </c>
      <c r="AK34" s="69" t="n">
        <f aca="false">IF(AK33&gt;0.5,AK33*(1+$E$12)+$G$12-MIN($F$12,AK33*(1+$E$12)+$G$12),0)</f>
        <v>0</v>
      </c>
      <c r="AL34" s="69" t="n">
        <f aca="false">IF(AL33&gt;0.5,AL33*(1+$E$13)+$G$13-MIN($F$13,AL33*(1+$E$13)+$G$13),0)</f>
        <v>0</v>
      </c>
      <c r="AM34" s="69" t="n">
        <f aca="false">IF(AM33&gt;0.5,AM33*(1+$E$14)+$G$14-MIN($F$14,AM33*(1+$E$14)+$G$14),0)</f>
        <v>0</v>
      </c>
      <c r="AN34" s="69" t="n">
        <f aca="false">IF(AN33&gt;0.5,AN33*(1+$E$15)+$G$15-MIN($F$15,AN33*(1+$E$15)+$G$15),0)</f>
        <v>0</v>
      </c>
      <c r="AO34" s="69" t="n">
        <f aca="false">IF(AO33&gt;0.5,AO33*(1+$E$16)+$G$16-MIN($F$16,AO33*(1+$E$16)+$G$16),0)</f>
        <v>0</v>
      </c>
      <c r="AP34" s="69" t="n">
        <f aca="false">IF(AP33&gt;0.5,AP33*(1+$E$17)+$G$17-MIN($F$17,AP33*(1+$E$17)+$G$17),0)</f>
        <v>0</v>
      </c>
      <c r="AQ34" s="69" t="n">
        <f aca="false">IF(AQ33&gt;0.5,AQ33*(1+$E$18)+$G$18-MIN($F$18,AQ33*(1+$E$18)+$G$18),0)</f>
        <v>0</v>
      </c>
      <c r="AR34" s="69" t="n">
        <f aca="false">IF(AR33&gt;0.5,AR33*(1+$E$19)+$G$19-MIN($F$19,AR33*(1+$E$19)+$G$19),0)</f>
        <v>0</v>
      </c>
      <c r="AS34" s="69" t="n">
        <f aca="false">H34+L34+P34+T34+X34+AB34+AF34+AJ34</f>
        <v>0</v>
      </c>
      <c r="AT34" s="69" t="n">
        <f aca="false">SUM(AK34:AR34)</f>
        <v>0</v>
      </c>
      <c r="AU34" s="69" t="n">
        <f aca="false">F34+G34+J34+K34+N34+O34+R34+S34+V34+W34+Z34+AA34+AD34+AE34+AH34+AI34</f>
        <v>0</v>
      </c>
    </row>
    <row r="35" customFormat="false" ht="15" hidden="false" customHeight="false" outlineLevel="0" collapsed="false">
      <c r="B35" s="0" t="n">
        <v>8</v>
      </c>
      <c r="C35" s="68" t="n">
        <f aca="false">EDATE($C$7,7)</f>
        <v>46508</v>
      </c>
      <c r="D35" s="69" t="n">
        <f aca="false">$C$8-(F35+J35+N35+R35+V35+Z35+AD35+AH35)</f>
        <v>0</v>
      </c>
      <c r="E35" s="69" t="n">
        <f aca="false">IF(H34&gt;0.5,H34*(1+E$23)+E$24,0)</f>
        <v>0</v>
      </c>
      <c r="F35" s="69" t="n">
        <f aca="false">MIN(F$23,E35)</f>
        <v>0</v>
      </c>
      <c r="G35" s="69" t="n">
        <f aca="false">IF(AND(F$24=1,OR(E$25="",$C35&gt;=E$25)),MAX(0,MIN(E35-F35,$D35-(0))),0)</f>
        <v>0</v>
      </c>
      <c r="H35" s="69" t="n">
        <f aca="false">E35-F35-G35</f>
        <v>0</v>
      </c>
      <c r="I35" s="69" t="n">
        <f aca="false">IF(L34&gt;0.5,L34*(1+I$23)+I$24,0)</f>
        <v>0</v>
      </c>
      <c r="J35" s="69" t="n">
        <f aca="false">MIN(J$23,I35)</f>
        <v>0</v>
      </c>
      <c r="K35" s="69" t="n">
        <f aca="false">IF(AND(J$24=1,OR(I$25="",$C35&gt;=I$25)),MAX(0,MIN(I35-J35,$D35-(G35))),0)</f>
        <v>0</v>
      </c>
      <c r="L35" s="69" t="n">
        <f aca="false">I35-J35-K35</f>
        <v>0</v>
      </c>
      <c r="M35" s="69" t="n">
        <f aca="false">IF(P34&gt;0.5,P34*(1+M$23)+M$24,0)</f>
        <v>0</v>
      </c>
      <c r="N35" s="69" t="n">
        <f aca="false">MIN(N$23,M35)</f>
        <v>0</v>
      </c>
      <c r="O35" s="69" t="n">
        <f aca="false">IF(AND(N$24=1,OR(M$25="",$C35&gt;=M$25)),MAX(0,MIN(M35-N35,$D35-(G35+K35))),0)</f>
        <v>0</v>
      </c>
      <c r="P35" s="69" t="n">
        <f aca="false">M35-N35-O35</f>
        <v>0</v>
      </c>
      <c r="Q35" s="69" t="n">
        <f aca="false">IF(T34&gt;0.5,T34*(1+Q$23)+Q$24,0)</f>
        <v>0</v>
      </c>
      <c r="R35" s="69" t="n">
        <f aca="false">MIN(R$23,Q35)</f>
        <v>0</v>
      </c>
      <c r="S35" s="69" t="n">
        <f aca="false">IF(AND(R$24=1,OR(Q$25="",$C35&gt;=Q$25)),MAX(0,MIN(Q35-R35,$D35-(G35+K35+O35))),0)</f>
        <v>0</v>
      </c>
      <c r="T35" s="69" t="n">
        <f aca="false">Q35-R35-S35</f>
        <v>0</v>
      </c>
      <c r="U35" s="69" t="n">
        <f aca="false">IF(X34&gt;0.5,X34*(1+U$23)+U$24,0)</f>
        <v>0</v>
      </c>
      <c r="V35" s="69" t="n">
        <f aca="false">MIN(V$23,U35)</f>
        <v>0</v>
      </c>
      <c r="W35" s="69" t="n">
        <f aca="false">IF(AND(V$24=1,OR(U$25="",$C35&gt;=U$25)),MAX(0,MIN(U35-V35,$D35-(G35+K35+O35+S35))),0)</f>
        <v>0</v>
      </c>
      <c r="X35" s="69" t="n">
        <f aca="false">U35-V35-W35</f>
        <v>0</v>
      </c>
      <c r="Y35" s="69" t="n">
        <f aca="false">IF(AB34&gt;0.5,AB34*(1+Y$23)+Y$24,0)</f>
        <v>0</v>
      </c>
      <c r="Z35" s="69" t="n">
        <f aca="false">MIN(Z$23,Y35)</f>
        <v>0</v>
      </c>
      <c r="AA35" s="69" t="n">
        <f aca="false">IF(AND(Z$24=1,OR(Y$25="",$C35&gt;=Y$25)),MAX(0,MIN(Y35-Z35,$D35-(G35+K35+O35+S35+W35))),0)</f>
        <v>0</v>
      </c>
      <c r="AB35" s="69" t="n">
        <f aca="false">Y35-Z35-AA35</f>
        <v>0</v>
      </c>
      <c r="AC35" s="69" t="n">
        <f aca="false">IF(AF34&gt;0.5,AF34*(1+AC$23)+AC$24,0)</f>
        <v>0</v>
      </c>
      <c r="AD35" s="69" t="n">
        <f aca="false">MIN(AD$23,AC35)</f>
        <v>0</v>
      </c>
      <c r="AE35" s="69" t="n">
        <f aca="false">IF(AND(AD$24=1,OR(AC$25="",$C35&gt;=AC$25)),MAX(0,MIN(AC35-AD35,$D35-(G35+K35+O35+S35+W35+AA35))),0)</f>
        <v>0</v>
      </c>
      <c r="AF35" s="69" t="n">
        <f aca="false">AC35-AD35-AE35</f>
        <v>0</v>
      </c>
      <c r="AG35" s="69" t="n">
        <f aca="false">IF(AJ34&gt;0.5,AJ34*(1+AG$23)+AG$24,0)</f>
        <v>0</v>
      </c>
      <c r="AH35" s="69" t="n">
        <f aca="false">MIN(AH$23,AG35)</f>
        <v>0</v>
      </c>
      <c r="AI35" s="69" t="n">
        <f aca="false">IF(AND(AH$24=1,OR(AG$25="",$C35&gt;=AG$25)),MAX(0,MIN(AG35-AH35,$D35-(G35+K35+O35+S35+W35+AA35+AE35))),0)</f>
        <v>0</v>
      </c>
      <c r="AJ35" s="69" t="n">
        <f aca="false">AG35-AH35-AI35</f>
        <v>0</v>
      </c>
      <c r="AK35" s="69" t="n">
        <f aca="false">IF(AK34&gt;0.5,AK34*(1+$E$12)+$G$12-MIN($F$12,AK34*(1+$E$12)+$G$12),0)</f>
        <v>0</v>
      </c>
      <c r="AL35" s="69" t="n">
        <f aca="false">IF(AL34&gt;0.5,AL34*(1+$E$13)+$G$13-MIN($F$13,AL34*(1+$E$13)+$G$13),0)</f>
        <v>0</v>
      </c>
      <c r="AM35" s="69" t="n">
        <f aca="false">IF(AM34&gt;0.5,AM34*(1+$E$14)+$G$14-MIN($F$14,AM34*(1+$E$14)+$G$14),0)</f>
        <v>0</v>
      </c>
      <c r="AN35" s="69" t="n">
        <f aca="false">IF(AN34&gt;0.5,AN34*(1+$E$15)+$G$15-MIN($F$15,AN34*(1+$E$15)+$G$15),0)</f>
        <v>0</v>
      </c>
      <c r="AO35" s="69" t="n">
        <f aca="false">IF(AO34&gt;0.5,AO34*(1+$E$16)+$G$16-MIN($F$16,AO34*(1+$E$16)+$G$16),0)</f>
        <v>0</v>
      </c>
      <c r="AP35" s="69" t="n">
        <f aca="false">IF(AP34&gt;0.5,AP34*(1+$E$17)+$G$17-MIN($F$17,AP34*(1+$E$17)+$G$17),0)</f>
        <v>0</v>
      </c>
      <c r="AQ35" s="69" t="n">
        <f aca="false">IF(AQ34&gt;0.5,AQ34*(1+$E$18)+$G$18-MIN($F$18,AQ34*(1+$E$18)+$G$18),0)</f>
        <v>0</v>
      </c>
      <c r="AR35" s="69" t="n">
        <f aca="false">IF(AR34&gt;0.5,AR34*(1+$E$19)+$G$19-MIN($F$19,AR34*(1+$E$19)+$G$19),0)</f>
        <v>0</v>
      </c>
      <c r="AS35" s="69" t="n">
        <f aca="false">H35+L35+P35+T35+X35+AB35+AF35+AJ35</f>
        <v>0</v>
      </c>
      <c r="AT35" s="69" t="n">
        <f aca="false">SUM(AK35:AR35)</f>
        <v>0</v>
      </c>
      <c r="AU35" s="69" t="n">
        <f aca="false">F35+G35+J35+K35+N35+O35+R35+S35+V35+W35+Z35+AA35+AD35+AE35+AH35+AI35</f>
        <v>0</v>
      </c>
    </row>
    <row r="36" customFormat="false" ht="15" hidden="false" customHeight="false" outlineLevel="0" collapsed="false">
      <c r="B36" s="0" t="n">
        <v>9</v>
      </c>
      <c r="C36" s="68" t="n">
        <f aca="false">EDATE($C$7,8)</f>
        <v>46539</v>
      </c>
      <c r="D36" s="69" t="n">
        <f aca="false">$C$8-(F36+J36+N36+R36+V36+Z36+AD36+AH36)</f>
        <v>0</v>
      </c>
      <c r="E36" s="69" t="n">
        <f aca="false">IF(H35&gt;0.5,H35*(1+E$23)+E$24,0)</f>
        <v>0</v>
      </c>
      <c r="F36" s="69" t="n">
        <f aca="false">MIN(F$23,E36)</f>
        <v>0</v>
      </c>
      <c r="G36" s="69" t="n">
        <f aca="false">IF(AND(F$24=1,OR(E$25="",$C36&gt;=E$25)),MAX(0,MIN(E36-F36,$D36-(0))),0)</f>
        <v>0</v>
      </c>
      <c r="H36" s="69" t="n">
        <f aca="false">E36-F36-G36</f>
        <v>0</v>
      </c>
      <c r="I36" s="69" t="n">
        <f aca="false">IF(L35&gt;0.5,L35*(1+I$23)+I$24,0)</f>
        <v>0</v>
      </c>
      <c r="J36" s="69" t="n">
        <f aca="false">MIN(J$23,I36)</f>
        <v>0</v>
      </c>
      <c r="K36" s="69" t="n">
        <f aca="false">IF(AND(J$24=1,OR(I$25="",$C36&gt;=I$25)),MAX(0,MIN(I36-J36,$D36-(G36))),0)</f>
        <v>0</v>
      </c>
      <c r="L36" s="69" t="n">
        <f aca="false">I36-J36-K36</f>
        <v>0</v>
      </c>
      <c r="M36" s="69" t="n">
        <f aca="false">IF(P35&gt;0.5,P35*(1+M$23)+M$24,0)</f>
        <v>0</v>
      </c>
      <c r="N36" s="69" t="n">
        <f aca="false">MIN(N$23,M36)</f>
        <v>0</v>
      </c>
      <c r="O36" s="69" t="n">
        <f aca="false">IF(AND(N$24=1,OR(M$25="",$C36&gt;=M$25)),MAX(0,MIN(M36-N36,$D36-(G36+K36))),0)</f>
        <v>0</v>
      </c>
      <c r="P36" s="69" t="n">
        <f aca="false">M36-N36-O36</f>
        <v>0</v>
      </c>
      <c r="Q36" s="69" t="n">
        <f aca="false">IF(T35&gt;0.5,T35*(1+Q$23)+Q$24,0)</f>
        <v>0</v>
      </c>
      <c r="R36" s="69" t="n">
        <f aca="false">MIN(R$23,Q36)</f>
        <v>0</v>
      </c>
      <c r="S36" s="69" t="n">
        <f aca="false">IF(AND(R$24=1,OR(Q$25="",$C36&gt;=Q$25)),MAX(0,MIN(Q36-R36,$D36-(G36+K36+O36))),0)</f>
        <v>0</v>
      </c>
      <c r="T36" s="69" t="n">
        <f aca="false">Q36-R36-S36</f>
        <v>0</v>
      </c>
      <c r="U36" s="69" t="n">
        <f aca="false">IF(X35&gt;0.5,X35*(1+U$23)+U$24,0)</f>
        <v>0</v>
      </c>
      <c r="V36" s="69" t="n">
        <f aca="false">MIN(V$23,U36)</f>
        <v>0</v>
      </c>
      <c r="W36" s="69" t="n">
        <f aca="false">IF(AND(V$24=1,OR(U$25="",$C36&gt;=U$25)),MAX(0,MIN(U36-V36,$D36-(G36+K36+O36+S36))),0)</f>
        <v>0</v>
      </c>
      <c r="X36" s="69" t="n">
        <f aca="false">U36-V36-W36</f>
        <v>0</v>
      </c>
      <c r="Y36" s="69" t="n">
        <f aca="false">IF(AB35&gt;0.5,AB35*(1+Y$23)+Y$24,0)</f>
        <v>0</v>
      </c>
      <c r="Z36" s="69" t="n">
        <f aca="false">MIN(Z$23,Y36)</f>
        <v>0</v>
      </c>
      <c r="AA36" s="69" t="n">
        <f aca="false">IF(AND(Z$24=1,OR(Y$25="",$C36&gt;=Y$25)),MAX(0,MIN(Y36-Z36,$D36-(G36+K36+O36+S36+W36))),0)</f>
        <v>0</v>
      </c>
      <c r="AB36" s="69" t="n">
        <f aca="false">Y36-Z36-AA36</f>
        <v>0</v>
      </c>
      <c r="AC36" s="69" t="n">
        <f aca="false">IF(AF35&gt;0.5,AF35*(1+AC$23)+AC$24,0)</f>
        <v>0</v>
      </c>
      <c r="AD36" s="69" t="n">
        <f aca="false">MIN(AD$23,AC36)</f>
        <v>0</v>
      </c>
      <c r="AE36" s="69" t="n">
        <f aca="false">IF(AND(AD$24=1,OR(AC$25="",$C36&gt;=AC$25)),MAX(0,MIN(AC36-AD36,$D36-(G36+K36+O36+S36+W36+AA36))),0)</f>
        <v>0</v>
      </c>
      <c r="AF36" s="69" t="n">
        <f aca="false">AC36-AD36-AE36</f>
        <v>0</v>
      </c>
      <c r="AG36" s="69" t="n">
        <f aca="false">IF(AJ35&gt;0.5,AJ35*(1+AG$23)+AG$24,0)</f>
        <v>0</v>
      </c>
      <c r="AH36" s="69" t="n">
        <f aca="false">MIN(AH$23,AG36)</f>
        <v>0</v>
      </c>
      <c r="AI36" s="69" t="n">
        <f aca="false">IF(AND(AH$24=1,OR(AG$25="",$C36&gt;=AG$25)),MAX(0,MIN(AG36-AH36,$D36-(G36+K36+O36+S36+W36+AA36+AE36))),0)</f>
        <v>0</v>
      </c>
      <c r="AJ36" s="69" t="n">
        <f aca="false">AG36-AH36-AI36</f>
        <v>0</v>
      </c>
      <c r="AK36" s="69" t="n">
        <f aca="false">IF(AK35&gt;0.5,AK35*(1+$E$12)+$G$12-MIN($F$12,AK35*(1+$E$12)+$G$12),0)</f>
        <v>0</v>
      </c>
      <c r="AL36" s="69" t="n">
        <f aca="false">IF(AL35&gt;0.5,AL35*(1+$E$13)+$G$13-MIN($F$13,AL35*(1+$E$13)+$G$13),0)</f>
        <v>0</v>
      </c>
      <c r="AM36" s="69" t="n">
        <f aca="false">IF(AM35&gt;0.5,AM35*(1+$E$14)+$G$14-MIN($F$14,AM35*(1+$E$14)+$G$14),0)</f>
        <v>0</v>
      </c>
      <c r="AN36" s="69" t="n">
        <f aca="false">IF(AN35&gt;0.5,AN35*(1+$E$15)+$G$15-MIN($F$15,AN35*(1+$E$15)+$G$15),0)</f>
        <v>0</v>
      </c>
      <c r="AO36" s="69" t="n">
        <f aca="false">IF(AO35&gt;0.5,AO35*(1+$E$16)+$G$16-MIN($F$16,AO35*(1+$E$16)+$G$16),0)</f>
        <v>0</v>
      </c>
      <c r="AP36" s="69" t="n">
        <f aca="false">IF(AP35&gt;0.5,AP35*(1+$E$17)+$G$17-MIN($F$17,AP35*(1+$E$17)+$G$17),0)</f>
        <v>0</v>
      </c>
      <c r="AQ36" s="69" t="n">
        <f aca="false">IF(AQ35&gt;0.5,AQ35*(1+$E$18)+$G$18-MIN($F$18,AQ35*(1+$E$18)+$G$18),0)</f>
        <v>0</v>
      </c>
      <c r="AR36" s="69" t="n">
        <f aca="false">IF(AR35&gt;0.5,AR35*(1+$E$19)+$G$19-MIN($F$19,AR35*(1+$E$19)+$G$19),0)</f>
        <v>0</v>
      </c>
      <c r="AS36" s="69" t="n">
        <f aca="false">H36+L36+P36+T36+X36+AB36+AF36+AJ36</f>
        <v>0</v>
      </c>
      <c r="AT36" s="69" t="n">
        <f aca="false">SUM(AK36:AR36)</f>
        <v>0</v>
      </c>
      <c r="AU36" s="69" t="n">
        <f aca="false">F36+G36+J36+K36+N36+O36+R36+S36+V36+W36+Z36+AA36+AD36+AE36+AH36+AI36</f>
        <v>0</v>
      </c>
    </row>
    <row r="37" customFormat="false" ht="15" hidden="false" customHeight="false" outlineLevel="0" collapsed="false">
      <c r="B37" s="0" t="n">
        <v>10</v>
      </c>
      <c r="C37" s="68" t="n">
        <f aca="false">EDATE($C$7,9)</f>
        <v>46569</v>
      </c>
      <c r="D37" s="69" t="n">
        <f aca="false">$C$8-(F37+J37+N37+R37+V37+Z37+AD37+AH37)</f>
        <v>0</v>
      </c>
      <c r="E37" s="69" t="n">
        <f aca="false">IF(H36&gt;0.5,H36*(1+E$23)+E$24,0)</f>
        <v>0</v>
      </c>
      <c r="F37" s="69" t="n">
        <f aca="false">MIN(F$23,E37)</f>
        <v>0</v>
      </c>
      <c r="G37" s="69" t="n">
        <f aca="false">IF(AND(F$24=1,OR(E$25="",$C37&gt;=E$25)),MAX(0,MIN(E37-F37,$D37-(0))),0)</f>
        <v>0</v>
      </c>
      <c r="H37" s="69" t="n">
        <f aca="false">E37-F37-G37</f>
        <v>0</v>
      </c>
      <c r="I37" s="69" t="n">
        <f aca="false">IF(L36&gt;0.5,L36*(1+I$23)+I$24,0)</f>
        <v>0</v>
      </c>
      <c r="J37" s="69" t="n">
        <f aca="false">MIN(J$23,I37)</f>
        <v>0</v>
      </c>
      <c r="K37" s="69" t="n">
        <f aca="false">IF(AND(J$24=1,OR(I$25="",$C37&gt;=I$25)),MAX(0,MIN(I37-J37,$D37-(G37))),0)</f>
        <v>0</v>
      </c>
      <c r="L37" s="69" t="n">
        <f aca="false">I37-J37-K37</f>
        <v>0</v>
      </c>
      <c r="M37" s="69" t="n">
        <f aca="false">IF(P36&gt;0.5,P36*(1+M$23)+M$24,0)</f>
        <v>0</v>
      </c>
      <c r="N37" s="69" t="n">
        <f aca="false">MIN(N$23,M37)</f>
        <v>0</v>
      </c>
      <c r="O37" s="69" t="n">
        <f aca="false">IF(AND(N$24=1,OR(M$25="",$C37&gt;=M$25)),MAX(0,MIN(M37-N37,$D37-(G37+K37))),0)</f>
        <v>0</v>
      </c>
      <c r="P37" s="69" t="n">
        <f aca="false">M37-N37-O37</f>
        <v>0</v>
      </c>
      <c r="Q37" s="69" t="n">
        <f aca="false">IF(T36&gt;0.5,T36*(1+Q$23)+Q$24,0)</f>
        <v>0</v>
      </c>
      <c r="R37" s="69" t="n">
        <f aca="false">MIN(R$23,Q37)</f>
        <v>0</v>
      </c>
      <c r="S37" s="69" t="n">
        <f aca="false">IF(AND(R$24=1,OR(Q$25="",$C37&gt;=Q$25)),MAX(0,MIN(Q37-R37,$D37-(G37+K37+O37))),0)</f>
        <v>0</v>
      </c>
      <c r="T37" s="69" t="n">
        <f aca="false">Q37-R37-S37</f>
        <v>0</v>
      </c>
      <c r="U37" s="69" t="n">
        <f aca="false">IF(X36&gt;0.5,X36*(1+U$23)+U$24,0)</f>
        <v>0</v>
      </c>
      <c r="V37" s="69" t="n">
        <f aca="false">MIN(V$23,U37)</f>
        <v>0</v>
      </c>
      <c r="W37" s="69" t="n">
        <f aca="false">IF(AND(V$24=1,OR(U$25="",$C37&gt;=U$25)),MAX(0,MIN(U37-V37,$D37-(G37+K37+O37+S37))),0)</f>
        <v>0</v>
      </c>
      <c r="X37" s="69" t="n">
        <f aca="false">U37-V37-W37</f>
        <v>0</v>
      </c>
      <c r="Y37" s="69" t="n">
        <f aca="false">IF(AB36&gt;0.5,AB36*(1+Y$23)+Y$24,0)</f>
        <v>0</v>
      </c>
      <c r="Z37" s="69" t="n">
        <f aca="false">MIN(Z$23,Y37)</f>
        <v>0</v>
      </c>
      <c r="AA37" s="69" t="n">
        <f aca="false">IF(AND(Z$24=1,OR(Y$25="",$C37&gt;=Y$25)),MAX(0,MIN(Y37-Z37,$D37-(G37+K37+O37+S37+W37))),0)</f>
        <v>0</v>
      </c>
      <c r="AB37" s="69" t="n">
        <f aca="false">Y37-Z37-AA37</f>
        <v>0</v>
      </c>
      <c r="AC37" s="69" t="n">
        <f aca="false">IF(AF36&gt;0.5,AF36*(1+AC$23)+AC$24,0)</f>
        <v>0</v>
      </c>
      <c r="AD37" s="69" t="n">
        <f aca="false">MIN(AD$23,AC37)</f>
        <v>0</v>
      </c>
      <c r="AE37" s="69" t="n">
        <f aca="false">IF(AND(AD$24=1,OR(AC$25="",$C37&gt;=AC$25)),MAX(0,MIN(AC37-AD37,$D37-(G37+K37+O37+S37+W37+AA37))),0)</f>
        <v>0</v>
      </c>
      <c r="AF37" s="69" t="n">
        <f aca="false">AC37-AD37-AE37</f>
        <v>0</v>
      </c>
      <c r="AG37" s="69" t="n">
        <f aca="false">IF(AJ36&gt;0.5,AJ36*(1+AG$23)+AG$24,0)</f>
        <v>0</v>
      </c>
      <c r="AH37" s="69" t="n">
        <f aca="false">MIN(AH$23,AG37)</f>
        <v>0</v>
      </c>
      <c r="AI37" s="69" t="n">
        <f aca="false">IF(AND(AH$24=1,OR(AG$25="",$C37&gt;=AG$25)),MAX(0,MIN(AG37-AH37,$D37-(G37+K37+O37+S37+W37+AA37+AE37))),0)</f>
        <v>0</v>
      </c>
      <c r="AJ37" s="69" t="n">
        <f aca="false">AG37-AH37-AI37</f>
        <v>0</v>
      </c>
      <c r="AK37" s="69" t="n">
        <f aca="false">IF(AK36&gt;0.5,AK36*(1+$E$12)+$G$12-MIN($F$12,AK36*(1+$E$12)+$G$12),0)</f>
        <v>0</v>
      </c>
      <c r="AL37" s="69" t="n">
        <f aca="false">IF(AL36&gt;0.5,AL36*(1+$E$13)+$G$13-MIN($F$13,AL36*(1+$E$13)+$G$13),0)</f>
        <v>0</v>
      </c>
      <c r="AM37" s="69" t="n">
        <f aca="false">IF(AM36&gt;0.5,AM36*(1+$E$14)+$G$14-MIN($F$14,AM36*(1+$E$14)+$G$14),0)</f>
        <v>0</v>
      </c>
      <c r="AN37" s="69" t="n">
        <f aca="false">IF(AN36&gt;0.5,AN36*(1+$E$15)+$G$15-MIN($F$15,AN36*(1+$E$15)+$G$15),0)</f>
        <v>0</v>
      </c>
      <c r="AO37" s="69" t="n">
        <f aca="false">IF(AO36&gt;0.5,AO36*(1+$E$16)+$G$16-MIN($F$16,AO36*(1+$E$16)+$G$16),0)</f>
        <v>0</v>
      </c>
      <c r="AP37" s="69" t="n">
        <f aca="false">IF(AP36&gt;0.5,AP36*(1+$E$17)+$G$17-MIN($F$17,AP36*(1+$E$17)+$G$17),0)</f>
        <v>0</v>
      </c>
      <c r="AQ37" s="69" t="n">
        <f aca="false">IF(AQ36&gt;0.5,AQ36*(1+$E$18)+$G$18-MIN($F$18,AQ36*(1+$E$18)+$G$18),0)</f>
        <v>0</v>
      </c>
      <c r="AR37" s="69" t="n">
        <f aca="false">IF(AR36&gt;0.5,AR36*(1+$E$19)+$G$19-MIN($F$19,AR36*(1+$E$19)+$G$19),0)</f>
        <v>0</v>
      </c>
      <c r="AS37" s="69" t="n">
        <f aca="false">H37+L37+P37+T37+X37+AB37+AF37+AJ37</f>
        <v>0</v>
      </c>
      <c r="AT37" s="69" t="n">
        <f aca="false">SUM(AK37:AR37)</f>
        <v>0</v>
      </c>
      <c r="AU37" s="69" t="n">
        <f aca="false">F37+G37+J37+K37+N37+O37+R37+S37+V37+W37+Z37+AA37+AD37+AE37+AH37+AI37</f>
        <v>0</v>
      </c>
    </row>
    <row r="38" customFormat="false" ht="15" hidden="false" customHeight="false" outlineLevel="0" collapsed="false">
      <c r="B38" s="0" t="n">
        <v>11</v>
      </c>
      <c r="C38" s="68" t="n">
        <f aca="false">EDATE($C$7,10)</f>
        <v>46600</v>
      </c>
      <c r="D38" s="69" t="n">
        <f aca="false">$C$8-(F38+J38+N38+R38+V38+Z38+AD38+AH38)</f>
        <v>0</v>
      </c>
      <c r="E38" s="69" t="n">
        <f aca="false">IF(H37&gt;0.5,H37*(1+E$23)+E$24,0)</f>
        <v>0</v>
      </c>
      <c r="F38" s="69" t="n">
        <f aca="false">MIN(F$23,E38)</f>
        <v>0</v>
      </c>
      <c r="G38" s="69" t="n">
        <f aca="false">IF(AND(F$24=1,OR(E$25="",$C38&gt;=E$25)),MAX(0,MIN(E38-F38,$D38-(0))),0)</f>
        <v>0</v>
      </c>
      <c r="H38" s="69" t="n">
        <f aca="false">E38-F38-G38</f>
        <v>0</v>
      </c>
      <c r="I38" s="69" t="n">
        <f aca="false">IF(L37&gt;0.5,L37*(1+I$23)+I$24,0)</f>
        <v>0</v>
      </c>
      <c r="J38" s="69" t="n">
        <f aca="false">MIN(J$23,I38)</f>
        <v>0</v>
      </c>
      <c r="K38" s="69" t="n">
        <f aca="false">IF(AND(J$24=1,OR(I$25="",$C38&gt;=I$25)),MAX(0,MIN(I38-J38,$D38-(G38))),0)</f>
        <v>0</v>
      </c>
      <c r="L38" s="69" t="n">
        <f aca="false">I38-J38-K38</f>
        <v>0</v>
      </c>
      <c r="M38" s="69" t="n">
        <f aca="false">IF(P37&gt;0.5,P37*(1+M$23)+M$24,0)</f>
        <v>0</v>
      </c>
      <c r="N38" s="69" t="n">
        <f aca="false">MIN(N$23,M38)</f>
        <v>0</v>
      </c>
      <c r="O38" s="69" t="n">
        <f aca="false">IF(AND(N$24=1,OR(M$25="",$C38&gt;=M$25)),MAX(0,MIN(M38-N38,$D38-(G38+K38))),0)</f>
        <v>0</v>
      </c>
      <c r="P38" s="69" t="n">
        <f aca="false">M38-N38-O38</f>
        <v>0</v>
      </c>
      <c r="Q38" s="69" t="n">
        <f aca="false">IF(T37&gt;0.5,T37*(1+Q$23)+Q$24,0)</f>
        <v>0</v>
      </c>
      <c r="R38" s="69" t="n">
        <f aca="false">MIN(R$23,Q38)</f>
        <v>0</v>
      </c>
      <c r="S38" s="69" t="n">
        <f aca="false">IF(AND(R$24=1,OR(Q$25="",$C38&gt;=Q$25)),MAX(0,MIN(Q38-R38,$D38-(G38+K38+O38))),0)</f>
        <v>0</v>
      </c>
      <c r="T38" s="69" t="n">
        <f aca="false">Q38-R38-S38</f>
        <v>0</v>
      </c>
      <c r="U38" s="69" t="n">
        <f aca="false">IF(X37&gt;0.5,X37*(1+U$23)+U$24,0)</f>
        <v>0</v>
      </c>
      <c r="V38" s="69" t="n">
        <f aca="false">MIN(V$23,U38)</f>
        <v>0</v>
      </c>
      <c r="W38" s="69" t="n">
        <f aca="false">IF(AND(V$24=1,OR(U$25="",$C38&gt;=U$25)),MAX(0,MIN(U38-V38,$D38-(G38+K38+O38+S38))),0)</f>
        <v>0</v>
      </c>
      <c r="X38" s="69" t="n">
        <f aca="false">U38-V38-W38</f>
        <v>0</v>
      </c>
      <c r="Y38" s="69" t="n">
        <f aca="false">IF(AB37&gt;0.5,AB37*(1+Y$23)+Y$24,0)</f>
        <v>0</v>
      </c>
      <c r="Z38" s="69" t="n">
        <f aca="false">MIN(Z$23,Y38)</f>
        <v>0</v>
      </c>
      <c r="AA38" s="69" t="n">
        <f aca="false">IF(AND(Z$24=1,OR(Y$25="",$C38&gt;=Y$25)),MAX(0,MIN(Y38-Z38,$D38-(G38+K38+O38+S38+W38))),0)</f>
        <v>0</v>
      </c>
      <c r="AB38" s="69" t="n">
        <f aca="false">Y38-Z38-AA38</f>
        <v>0</v>
      </c>
      <c r="AC38" s="69" t="n">
        <f aca="false">IF(AF37&gt;0.5,AF37*(1+AC$23)+AC$24,0)</f>
        <v>0</v>
      </c>
      <c r="AD38" s="69" t="n">
        <f aca="false">MIN(AD$23,AC38)</f>
        <v>0</v>
      </c>
      <c r="AE38" s="69" t="n">
        <f aca="false">IF(AND(AD$24=1,OR(AC$25="",$C38&gt;=AC$25)),MAX(0,MIN(AC38-AD38,$D38-(G38+K38+O38+S38+W38+AA38))),0)</f>
        <v>0</v>
      </c>
      <c r="AF38" s="69" t="n">
        <f aca="false">AC38-AD38-AE38</f>
        <v>0</v>
      </c>
      <c r="AG38" s="69" t="n">
        <f aca="false">IF(AJ37&gt;0.5,AJ37*(1+AG$23)+AG$24,0)</f>
        <v>0</v>
      </c>
      <c r="AH38" s="69" t="n">
        <f aca="false">MIN(AH$23,AG38)</f>
        <v>0</v>
      </c>
      <c r="AI38" s="69" t="n">
        <f aca="false">IF(AND(AH$24=1,OR(AG$25="",$C38&gt;=AG$25)),MAX(0,MIN(AG38-AH38,$D38-(G38+K38+O38+S38+W38+AA38+AE38))),0)</f>
        <v>0</v>
      </c>
      <c r="AJ38" s="69" t="n">
        <f aca="false">AG38-AH38-AI38</f>
        <v>0</v>
      </c>
      <c r="AK38" s="69" t="n">
        <f aca="false">IF(AK37&gt;0.5,AK37*(1+$E$12)+$G$12-MIN($F$12,AK37*(1+$E$12)+$G$12),0)</f>
        <v>0</v>
      </c>
      <c r="AL38" s="69" t="n">
        <f aca="false">IF(AL37&gt;0.5,AL37*(1+$E$13)+$G$13-MIN($F$13,AL37*(1+$E$13)+$G$13),0)</f>
        <v>0</v>
      </c>
      <c r="AM38" s="69" t="n">
        <f aca="false">IF(AM37&gt;0.5,AM37*(1+$E$14)+$G$14-MIN($F$14,AM37*(1+$E$14)+$G$14),0)</f>
        <v>0</v>
      </c>
      <c r="AN38" s="69" t="n">
        <f aca="false">IF(AN37&gt;0.5,AN37*(1+$E$15)+$G$15-MIN($F$15,AN37*(1+$E$15)+$G$15),0)</f>
        <v>0</v>
      </c>
      <c r="AO38" s="69" t="n">
        <f aca="false">IF(AO37&gt;0.5,AO37*(1+$E$16)+$G$16-MIN($F$16,AO37*(1+$E$16)+$G$16),0)</f>
        <v>0</v>
      </c>
      <c r="AP38" s="69" t="n">
        <f aca="false">IF(AP37&gt;0.5,AP37*(1+$E$17)+$G$17-MIN($F$17,AP37*(1+$E$17)+$G$17),0)</f>
        <v>0</v>
      </c>
      <c r="AQ38" s="69" t="n">
        <f aca="false">IF(AQ37&gt;0.5,AQ37*(1+$E$18)+$G$18-MIN($F$18,AQ37*(1+$E$18)+$G$18),0)</f>
        <v>0</v>
      </c>
      <c r="AR38" s="69" t="n">
        <f aca="false">IF(AR37&gt;0.5,AR37*(1+$E$19)+$G$19-MIN($F$19,AR37*(1+$E$19)+$G$19),0)</f>
        <v>0</v>
      </c>
      <c r="AS38" s="69" t="n">
        <f aca="false">H38+L38+P38+T38+X38+AB38+AF38+AJ38</f>
        <v>0</v>
      </c>
      <c r="AT38" s="69" t="n">
        <f aca="false">SUM(AK38:AR38)</f>
        <v>0</v>
      </c>
      <c r="AU38" s="69" t="n">
        <f aca="false">F38+G38+J38+K38+N38+O38+R38+S38+V38+W38+Z38+AA38+AD38+AE38+AH38+AI38</f>
        <v>0</v>
      </c>
    </row>
    <row r="39" customFormat="false" ht="15" hidden="false" customHeight="false" outlineLevel="0" collapsed="false">
      <c r="B39" s="0" t="n">
        <v>12</v>
      </c>
      <c r="C39" s="68" t="n">
        <f aca="false">EDATE($C$7,11)</f>
        <v>46631</v>
      </c>
      <c r="D39" s="69" t="n">
        <f aca="false">$C$8-(F39+J39+N39+R39+V39+Z39+AD39+AH39)</f>
        <v>0</v>
      </c>
      <c r="E39" s="69" t="n">
        <f aca="false">IF(H38&gt;0.5,H38*(1+E$23)+E$24,0)</f>
        <v>0</v>
      </c>
      <c r="F39" s="69" t="n">
        <f aca="false">MIN(F$23,E39)</f>
        <v>0</v>
      </c>
      <c r="G39" s="69" t="n">
        <f aca="false">IF(AND(F$24=1,OR(E$25="",$C39&gt;=E$25)),MAX(0,MIN(E39-F39,$D39-(0))),0)</f>
        <v>0</v>
      </c>
      <c r="H39" s="69" t="n">
        <f aca="false">E39-F39-G39</f>
        <v>0</v>
      </c>
      <c r="I39" s="69" t="n">
        <f aca="false">IF(L38&gt;0.5,L38*(1+I$23)+I$24,0)</f>
        <v>0</v>
      </c>
      <c r="J39" s="69" t="n">
        <f aca="false">MIN(J$23,I39)</f>
        <v>0</v>
      </c>
      <c r="K39" s="69" t="n">
        <f aca="false">IF(AND(J$24=1,OR(I$25="",$C39&gt;=I$25)),MAX(0,MIN(I39-J39,$D39-(G39))),0)</f>
        <v>0</v>
      </c>
      <c r="L39" s="69" t="n">
        <f aca="false">I39-J39-K39</f>
        <v>0</v>
      </c>
      <c r="M39" s="69" t="n">
        <f aca="false">IF(P38&gt;0.5,P38*(1+M$23)+M$24,0)</f>
        <v>0</v>
      </c>
      <c r="N39" s="69" t="n">
        <f aca="false">MIN(N$23,M39)</f>
        <v>0</v>
      </c>
      <c r="O39" s="69" t="n">
        <f aca="false">IF(AND(N$24=1,OR(M$25="",$C39&gt;=M$25)),MAX(0,MIN(M39-N39,$D39-(G39+K39))),0)</f>
        <v>0</v>
      </c>
      <c r="P39" s="69" t="n">
        <f aca="false">M39-N39-O39</f>
        <v>0</v>
      </c>
      <c r="Q39" s="69" t="n">
        <f aca="false">IF(T38&gt;0.5,T38*(1+Q$23)+Q$24,0)</f>
        <v>0</v>
      </c>
      <c r="R39" s="69" t="n">
        <f aca="false">MIN(R$23,Q39)</f>
        <v>0</v>
      </c>
      <c r="S39" s="69" t="n">
        <f aca="false">IF(AND(R$24=1,OR(Q$25="",$C39&gt;=Q$25)),MAX(0,MIN(Q39-R39,$D39-(G39+K39+O39))),0)</f>
        <v>0</v>
      </c>
      <c r="T39" s="69" t="n">
        <f aca="false">Q39-R39-S39</f>
        <v>0</v>
      </c>
      <c r="U39" s="69" t="n">
        <f aca="false">IF(X38&gt;0.5,X38*(1+U$23)+U$24,0)</f>
        <v>0</v>
      </c>
      <c r="V39" s="69" t="n">
        <f aca="false">MIN(V$23,U39)</f>
        <v>0</v>
      </c>
      <c r="W39" s="69" t="n">
        <f aca="false">IF(AND(V$24=1,OR(U$25="",$C39&gt;=U$25)),MAX(0,MIN(U39-V39,$D39-(G39+K39+O39+S39))),0)</f>
        <v>0</v>
      </c>
      <c r="X39" s="69" t="n">
        <f aca="false">U39-V39-W39</f>
        <v>0</v>
      </c>
      <c r="Y39" s="69" t="n">
        <f aca="false">IF(AB38&gt;0.5,AB38*(1+Y$23)+Y$24,0)</f>
        <v>0</v>
      </c>
      <c r="Z39" s="69" t="n">
        <f aca="false">MIN(Z$23,Y39)</f>
        <v>0</v>
      </c>
      <c r="AA39" s="69" t="n">
        <f aca="false">IF(AND(Z$24=1,OR(Y$25="",$C39&gt;=Y$25)),MAX(0,MIN(Y39-Z39,$D39-(G39+K39+O39+S39+W39))),0)</f>
        <v>0</v>
      </c>
      <c r="AB39" s="69" t="n">
        <f aca="false">Y39-Z39-AA39</f>
        <v>0</v>
      </c>
      <c r="AC39" s="69" t="n">
        <f aca="false">IF(AF38&gt;0.5,AF38*(1+AC$23)+AC$24,0)</f>
        <v>0</v>
      </c>
      <c r="AD39" s="69" t="n">
        <f aca="false">MIN(AD$23,AC39)</f>
        <v>0</v>
      </c>
      <c r="AE39" s="69" t="n">
        <f aca="false">IF(AND(AD$24=1,OR(AC$25="",$C39&gt;=AC$25)),MAX(0,MIN(AC39-AD39,$D39-(G39+K39+O39+S39+W39+AA39))),0)</f>
        <v>0</v>
      </c>
      <c r="AF39" s="69" t="n">
        <f aca="false">AC39-AD39-AE39</f>
        <v>0</v>
      </c>
      <c r="AG39" s="69" t="n">
        <f aca="false">IF(AJ38&gt;0.5,AJ38*(1+AG$23)+AG$24,0)</f>
        <v>0</v>
      </c>
      <c r="AH39" s="69" t="n">
        <f aca="false">MIN(AH$23,AG39)</f>
        <v>0</v>
      </c>
      <c r="AI39" s="69" t="n">
        <f aca="false">IF(AND(AH$24=1,OR(AG$25="",$C39&gt;=AG$25)),MAX(0,MIN(AG39-AH39,$D39-(G39+K39+O39+S39+W39+AA39+AE39))),0)</f>
        <v>0</v>
      </c>
      <c r="AJ39" s="69" t="n">
        <f aca="false">AG39-AH39-AI39</f>
        <v>0</v>
      </c>
      <c r="AK39" s="69" t="n">
        <f aca="false">IF(AK38&gt;0.5,AK38*(1+$E$12)+$G$12-MIN($F$12,AK38*(1+$E$12)+$G$12),0)</f>
        <v>0</v>
      </c>
      <c r="AL39" s="69" t="n">
        <f aca="false">IF(AL38&gt;0.5,AL38*(1+$E$13)+$G$13-MIN($F$13,AL38*(1+$E$13)+$G$13),0)</f>
        <v>0</v>
      </c>
      <c r="AM39" s="69" t="n">
        <f aca="false">IF(AM38&gt;0.5,AM38*(1+$E$14)+$G$14-MIN($F$14,AM38*(1+$E$14)+$G$14),0)</f>
        <v>0</v>
      </c>
      <c r="AN39" s="69" t="n">
        <f aca="false">IF(AN38&gt;0.5,AN38*(1+$E$15)+$G$15-MIN($F$15,AN38*(1+$E$15)+$G$15),0)</f>
        <v>0</v>
      </c>
      <c r="AO39" s="69" t="n">
        <f aca="false">IF(AO38&gt;0.5,AO38*(1+$E$16)+$G$16-MIN($F$16,AO38*(1+$E$16)+$G$16),0)</f>
        <v>0</v>
      </c>
      <c r="AP39" s="69" t="n">
        <f aca="false">IF(AP38&gt;0.5,AP38*(1+$E$17)+$G$17-MIN($F$17,AP38*(1+$E$17)+$G$17),0)</f>
        <v>0</v>
      </c>
      <c r="AQ39" s="69" t="n">
        <f aca="false">IF(AQ38&gt;0.5,AQ38*(1+$E$18)+$G$18-MIN($F$18,AQ38*(1+$E$18)+$G$18),0)</f>
        <v>0</v>
      </c>
      <c r="AR39" s="69" t="n">
        <f aca="false">IF(AR38&gt;0.5,AR38*(1+$E$19)+$G$19-MIN($F$19,AR38*(1+$E$19)+$G$19),0)</f>
        <v>0</v>
      </c>
      <c r="AS39" s="69" t="n">
        <f aca="false">H39+L39+P39+T39+X39+AB39+AF39+AJ39</f>
        <v>0</v>
      </c>
      <c r="AT39" s="69" t="n">
        <f aca="false">SUM(AK39:AR39)</f>
        <v>0</v>
      </c>
      <c r="AU39" s="69" t="n">
        <f aca="false">F39+G39+J39+K39+N39+O39+R39+S39+V39+W39+Z39+AA39+AD39+AE39+AH39+AI39</f>
        <v>0</v>
      </c>
    </row>
    <row r="40" customFormat="false" ht="15" hidden="false" customHeight="false" outlineLevel="0" collapsed="false">
      <c r="B40" s="0" t="n">
        <v>13</v>
      </c>
      <c r="C40" s="68" t="n">
        <f aca="false">EDATE($C$7,12)</f>
        <v>46661</v>
      </c>
      <c r="D40" s="69" t="n">
        <f aca="false">$C$8-(F40+J40+N40+R40+V40+Z40+AD40+AH40)</f>
        <v>0</v>
      </c>
      <c r="E40" s="69" t="n">
        <f aca="false">IF(H39&gt;0.5,H39*(1+E$23)+E$24,0)</f>
        <v>0</v>
      </c>
      <c r="F40" s="69" t="n">
        <f aca="false">MIN(F$23,E40)</f>
        <v>0</v>
      </c>
      <c r="G40" s="69" t="n">
        <f aca="false">IF(AND(F$24=1,OR(E$25="",$C40&gt;=E$25)),MAX(0,MIN(E40-F40,$D40-(0))),0)</f>
        <v>0</v>
      </c>
      <c r="H40" s="69" t="n">
        <f aca="false">E40-F40-G40</f>
        <v>0</v>
      </c>
      <c r="I40" s="69" t="n">
        <f aca="false">IF(L39&gt;0.5,L39*(1+I$23)+I$24,0)</f>
        <v>0</v>
      </c>
      <c r="J40" s="69" t="n">
        <f aca="false">MIN(J$23,I40)</f>
        <v>0</v>
      </c>
      <c r="K40" s="69" t="n">
        <f aca="false">IF(AND(J$24=1,OR(I$25="",$C40&gt;=I$25)),MAX(0,MIN(I40-J40,$D40-(G40))),0)</f>
        <v>0</v>
      </c>
      <c r="L40" s="69" t="n">
        <f aca="false">I40-J40-K40</f>
        <v>0</v>
      </c>
      <c r="M40" s="69" t="n">
        <f aca="false">IF(P39&gt;0.5,P39*(1+M$23)+M$24,0)</f>
        <v>0</v>
      </c>
      <c r="N40" s="69" t="n">
        <f aca="false">MIN(N$23,M40)</f>
        <v>0</v>
      </c>
      <c r="O40" s="69" t="n">
        <f aca="false">IF(AND(N$24=1,OR(M$25="",$C40&gt;=M$25)),MAX(0,MIN(M40-N40,$D40-(G40+K40))),0)</f>
        <v>0</v>
      </c>
      <c r="P40" s="69" t="n">
        <f aca="false">M40-N40-O40</f>
        <v>0</v>
      </c>
      <c r="Q40" s="69" t="n">
        <f aca="false">IF(T39&gt;0.5,T39*(1+Q$23)+Q$24,0)</f>
        <v>0</v>
      </c>
      <c r="R40" s="69" t="n">
        <f aca="false">MIN(R$23,Q40)</f>
        <v>0</v>
      </c>
      <c r="S40" s="69" t="n">
        <f aca="false">IF(AND(R$24=1,OR(Q$25="",$C40&gt;=Q$25)),MAX(0,MIN(Q40-R40,$D40-(G40+K40+O40))),0)</f>
        <v>0</v>
      </c>
      <c r="T40" s="69" t="n">
        <f aca="false">Q40-R40-S40</f>
        <v>0</v>
      </c>
      <c r="U40" s="69" t="n">
        <f aca="false">IF(X39&gt;0.5,X39*(1+U$23)+U$24,0)</f>
        <v>0</v>
      </c>
      <c r="V40" s="69" t="n">
        <f aca="false">MIN(V$23,U40)</f>
        <v>0</v>
      </c>
      <c r="W40" s="69" t="n">
        <f aca="false">IF(AND(V$24=1,OR(U$25="",$C40&gt;=U$25)),MAX(0,MIN(U40-V40,$D40-(G40+K40+O40+S40))),0)</f>
        <v>0</v>
      </c>
      <c r="X40" s="69" t="n">
        <f aca="false">U40-V40-W40</f>
        <v>0</v>
      </c>
      <c r="Y40" s="69" t="n">
        <f aca="false">IF(AB39&gt;0.5,AB39*(1+Y$23)+Y$24,0)</f>
        <v>0</v>
      </c>
      <c r="Z40" s="69" t="n">
        <f aca="false">MIN(Z$23,Y40)</f>
        <v>0</v>
      </c>
      <c r="AA40" s="69" t="n">
        <f aca="false">IF(AND(Z$24=1,OR(Y$25="",$C40&gt;=Y$25)),MAX(0,MIN(Y40-Z40,$D40-(G40+K40+O40+S40+W40))),0)</f>
        <v>0</v>
      </c>
      <c r="AB40" s="69" t="n">
        <f aca="false">Y40-Z40-AA40</f>
        <v>0</v>
      </c>
      <c r="AC40" s="69" t="n">
        <f aca="false">IF(AF39&gt;0.5,AF39*(1+AC$23)+AC$24,0)</f>
        <v>0</v>
      </c>
      <c r="AD40" s="69" t="n">
        <f aca="false">MIN(AD$23,AC40)</f>
        <v>0</v>
      </c>
      <c r="AE40" s="69" t="n">
        <f aca="false">IF(AND(AD$24=1,OR(AC$25="",$C40&gt;=AC$25)),MAX(0,MIN(AC40-AD40,$D40-(G40+K40+O40+S40+W40+AA40))),0)</f>
        <v>0</v>
      </c>
      <c r="AF40" s="69" t="n">
        <f aca="false">AC40-AD40-AE40</f>
        <v>0</v>
      </c>
      <c r="AG40" s="69" t="n">
        <f aca="false">IF(AJ39&gt;0.5,AJ39*(1+AG$23)+AG$24,0)</f>
        <v>0</v>
      </c>
      <c r="AH40" s="69" t="n">
        <f aca="false">MIN(AH$23,AG40)</f>
        <v>0</v>
      </c>
      <c r="AI40" s="69" t="n">
        <f aca="false">IF(AND(AH$24=1,OR(AG$25="",$C40&gt;=AG$25)),MAX(0,MIN(AG40-AH40,$D40-(G40+K40+O40+S40+W40+AA40+AE40))),0)</f>
        <v>0</v>
      </c>
      <c r="AJ40" s="69" t="n">
        <f aca="false">AG40-AH40-AI40</f>
        <v>0</v>
      </c>
      <c r="AK40" s="69" t="n">
        <f aca="false">IF(AK39&gt;0.5,AK39*(1+$E$12)+$G$12-MIN($F$12,AK39*(1+$E$12)+$G$12),0)</f>
        <v>0</v>
      </c>
      <c r="AL40" s="69" t="n">
        <f aca="false">IF(AL39&gt;0.5,AL39*(1+$E$13)+$G$13-MIN($F$13,AL39*(1+$E$13)+$G$13),0)</f>
        <v>0</v>
      </c>
      <c r="AM40" s="69" t="n">
        <f aca="false">IF(AM39&gt;0.5,AM39*(1+$E$14)+$G$14-MIN($F$14,AM39*(1+$E$14)+$G$14),0)</f>
        <v>0</v>
      </c>
      <c r="AN40" s="69" t="n">
        <f aca="false">IF(AN39&gt;0.5,AN39*(1+$E$15)+$G$15-MIN($F$15,AN39*(1+$E$15)+$G$15),0)</f>
        <v>0</v>
      </c>
      <c r="AO40" s="69" t="n">
        <f aca="false">IF(AO39&gt;0.5,AO39*(1+$E$16)+$G$16-MIN($F$16,AO39*(1+$E$16)+$G$16),0)</f>
        <v>0</v>
      </c>
      <c r="AP40" s="69" t="n">
        <f aca="false">IF(AP39&gt;0.5,AP39*(1+$E$17)+$G$17-MIN($F$17,AP39*(1+$E$17)+$G$17),0)</f>
        <v>0</v>
      </c>
      <c r="AQ40" s="69" t="n">
        <f aca="false">IF(AQ39&gt;0.5,AQ39*(1+$E$18)+$G$18-MIN($F$18,AQ39*(1+$E$18)+$G$18),0)</f>
        <v>0</v>
      </c>
      <c r="AR40" s="69" t="n">
        <f aca="false">IF(AR39&gt;0.5,AR39*(1+$E$19)+$G$19-MIN($F$19,AR39*(1+$E$19)+$G$19),0)</f>
        <v>0</v>
      </c>
      <c r="AS40" s="69" t="n">
        <f aca="false">H40+L40+P40+T40+X40+AB40+AF40+AJ40</f>
        <v>0</v>
      </c>
      <c r="AT40" s="69" t="n">
        <f aca="false">SUM(AK40:AR40)</f>
        <v>0</v>
      </c>
      <c r="AU40" s="69" t="n">
        <f aca="false">F40+G40+J40+K40+N40+O40+R40+S40+V40+W40+Z40+AA40+AD40+AE40+AH40+AI40</f>
        <v>0</v>
      </c>
    </row>
    <row r="41" customFormat="false" ht="15" hidden="false" customHeight="false" outlineLevel="0" collapsed="false">
      <c r="B41" s="0" t="n">
        <v>14</v>
      </c>
      <c r="C41" s="68" t="n">
        <f aca="false">EDATE($C$7,13)</f>
        <v>46692</v>
      </c>
      <c r="D41" s="69" t="n">
        <f aca="false">$C$8-(F41+J41+N41+R41+V41+Z41+AD41+AH41)</f>
        <v>0</v>
      </c>
      <c r="E41" s="69" t="n">
        <f aca="false">IF(H40&gt;0.5,H40*(1+E$23)+E$24,0)</f>
        <v>0</v>
      </c>
      <c r="F41" s="69" t="n">
        <f aca="false">MIN(F$23,E41)</f>
        <v>0</v>
      </c>
      <c r="G41" s="69" t="n">
        <f aca="false">IF(AND(F$24=1,OR(E$25="",$C41&gt;=E$25)),MAX(0,MIN(E41-F41,$D41-(0))),0)</f>
        <v>0</v>
      </c>
      <c r="H41" s="69" t="n">
        <f aca="false">E41-F41-G41</f>
        <v>0</v>
      </c>
      <c r="I41" s="69" t="n">
        <f aca="false">IF(L40&gt;0.5,L40*(1+I$23)+I$24,0)</f>
        <v>0</v>
      </c>
      <c r="J41" s="69" t="n">
        <f aca="false">MIN(J$23,I41)</f>
        <v>0</v>
      </c>
      <c r="K41" s="69" t="n">
        <f aca="false">IF(AND(J$24=1,OR(I$25="",$C41&gt;=I$25)),MAX(0,MIN(I41-J41,$D41-(G41))),0)</f>
        <v>0</v>
      </c>
      <c r="L41" s="69" t="n">
        <f aca="false">I41-J41-K41</f>
        <v>0</v>
      </c>
      <c r="M41" s="69" t="n">
        <f aca="false">IF(P40&gt;0.5,P40*(1+M$23)+M$24,0)</f>
        <v>0</v>
      </c>
      <c r="N41" s="69" t="n">
        <f aca="false">MIN(N$23,M41)</f>
        <v>0</v>
      </c>
      <c r="O41" s="69" t="n">
        <f aca="false">IF(AND(N$24=1,OR(M$25="",$C41&gt;=M$25)),MAX(0,MIN(M41-N41,$D41-(G41+K41))),0)</f>
        <v>0</v>
      </c>
      <c r="P41" s="69" t="n">
        <f aca="false">M41-N41-O41</f>
        <v>0</v>
      </c>
      <c r="Q41" s="69" t="n">
        <f aca="false">IF(T40&gt;0.5,T40*(1+Q$23)+Q$24,0)</f>
        <v>0</v>
      </c>
      <c r="R41" s="69" t="n">
        <f aca="false">MIN(R$23,Q41)</f>
        <v>0</v>
      </c>
      <c r="S41" s="69" t="n">
        <f aca="false">IF(AND(R$24=1,OR(Q$25="",$C41&gt;=Q$25)),MAX(0,MIN(Q41-R41,$D41-(G41+K41+O41))),0)</f>
        <v>0</v>
      </c>
      <c r="T41" s="69" t="n">
        <f aca="false">Q41-R41-S41</f>
        <v>0</v>
      </c>
      <c r="U41" s="69" t="n">
        <f aca="false">IF(X40&gt;0.5,X40*(1+U$23)+U$24,0)</f>
        <v>0</v>
      </c>
      <c r="V41" s="69" t="n">
        <f aca="false">MIN(V$23,U41)</f>
        <v>0</v>
      </c>
      <c r="W41" s="69" t="n">
        <f aca="false">IF(AND(V$24=1,OR(U$25="",$C41&gt;=U$25)),MAX(0,MIN(U41-V41,$D41-(G41+K41+O41+S41))),0)</f>
        <v>0</v>
      </c>
      <c r="X41" s="69" t="n">
        <f aca="false">U41-V41-W41</f>
        <v>0</v>
      </c>
      <c r="Y41" s="69" t="n">
        <f aca="false">IF(AB40&gt;0.5,AB40*(1+Y$23)+Y$24,0)</f>
        <v>0</v>
      </c>
      <c r="Z41" s="69" t="n">
        <f aca="false">MIN(Z$23,Y41)</f>
        <v>0</v>
      </c>
      <c r="AA41" s="69" t="n">
        <f aca="false">IF(AND(Z$24=1,OR(Y$25="",$C41&gt;=Y$25)),MAX(0,MIN(Y41-Z41,$D41-(G41+K41+O41+S41+W41))),0)</f>
        <v>0</v>
      </c>
      <c r="AB41" s="69" t="n">
        <f aca="false">Y41-Z41-AA41</f>
        <v>0</v>
      </c>
      <c r="AC41" s="69" t="n">
        <f aca="false">IF(AF40&gt;0.5,AF40*(1+AC$23)+AC$24,0)</f>
        <v>0</v>
      </c>
      <c r="AD41" s="69" t="n">
        <f aca="false">MIN(AD$23,AC41)</f>
        <v>0</v>
      </c>
      <c r="AE41" s="69" t="n">
        <f aca="false">IF(AND(AD$24=1,OR(AC$25="",$C41&gt;=AC$25)),MAX(0,MIN(AC41-AD41,$D41-(G41+K41+O41+S41+W41+AA41))),0)</f>
        <v>0</v>
      </c>
      <c r="AF41" s="69" t="n">
        <f aca="false">AC41-AD41-AE41</f>
        <v>0</v>
      </c>
      <c r="AG41" s="69" t="n">
        <f aca="false">IF(AJ40&gt;0.5,AJ40*(1+AG$23)+AG$24,0)</f>
        <v>0</v>
      </c>
      <c r="AH41" s="69" t="n">
        <f aca="false">MIN(AH$23,AG41)</f>
        <v>0</v>
      </c>
      <c r="AI41" s="69" t="n">
        <f aca="false">IF(AND(AH$24=1,OR(AG$25="",$C41&gt;=AG$25)),MAX(0,MIN(AG41-AH41,$D41-(G41+K41+O41+S41+W41+AA41+AE41))),0)</f>
        <v>0</v>
      </c>
      <c r="AJ41" s="69" t="n">
        <f aca="false">AG41-AH41-AI41</f>
        <v>0</v>
      </c>
      <c r="AK41" s="69" t="n">
        <f aca="false">IF(AK40&gt;0.5,AK40*(1+$E$12)+$G$12-MIN($F$12,AK40*(1+$E$12)+$G$12),0)</f>
        <v>0</v>
      </c>
      <c r="AL41" s="69" t="n">
        <f aca="false">IF(AL40&gt;0.5,AL40*(1+$E$13)+$G$13-MIN($F$13,AL40*(1+$E$13)+$G$13),0)</f>
        <v>0</v>
      </c>
      <c r="AM41" s="69" t="n">
        <f aca="false">IF(AM40&gt;0.5,AM40*(1+$E$14)+$G$14-MIN($F$14,AM40*(1+$E$14)+$G$14),0)</f>
        <v>0</v>
      </c>
      <c r="AN41" s="69" t="n">
        <f aca="false">IF(AN40&gt;0.5,AN40*(1+$E$15)+$G$15-MIN($F$15,AN40*(1+$E$15)+$G$15),0)</f>
        <v>0</v>
      </c>
      <c r="AO41" s="69" t="n">
        <f aca="false">IF(AO40&gt;0.5,AO40*(1+$E$16)+$G$16-MIN($F$16,AO40*(1+$E$16)+$G$16),0)</f>
        <v>0</v>
      </c>
      <c r="AP41" s="69" t="n">
        <f aca="false">IF(AP40&gt;0.5,AP40*(1+$E$17)+$G$17-MIN($F$17,AP40*(1+$E$17)+$G$17),0)</f>
        <v>0</v>
      </c>
      <c r="AQ41" s="69" t="n">
        <f aca="false">IF(AQ40&gt;0.5,AQ40*(1+$E$18)+$G$18-MIN($F$18,AQ40*(1+$E$18)+$G$18),0)</f>
        <v>0</v>
      </c>
      <c r="AR41" s="69" t="n">
        <f aca="false">IF(AR40&gt;0.5,AR40*(1+$E$19)+$G$19-MIN($F$19,AR40*(1+$E$19)+$G$19),0)</f>
        <v>0</v>
      </c>
      <c r="AS41" s="69" t="n">
        <f aca="false">H41+L41+P41+T41+X41+AB41+AF41+AJ41</f>
        <v>0</v>
      </c>
      <c r="AT41" s="69" t="n">
        <f aca="false">SUM(AK41:AR41)</f>
        <v>0</v>
      </c>
      <c r="AU41" s="69" t="n">
        <f aca="false">F41+G41+J41+K41+N41+O41+R41+S41+V41+W41+Z41+AA41+AD41+AE41+AH41+AI41</f>
        <v>0</v>
      </c>
    </row>
    <row r="42" customFormat="false" ht="15" hidden="false" customHeight="false" outlineLevel="0" collapsed="false">
      <c r="B42" s="0" t="n">
        <v>15</v>
      </c>
      <c r="C42" s="68" t="n">
        <f aca="false">EDATE($C$7,14)</f>
        <v>46722</v>
      </c>
      <c r="D42" s="69" t="n">
        <f aca="false">$C$8-(F42+J42+N42+R42+V42+Z42+AD42+AH42)</f>
        <v>0</v>
      </c>
      <c r="E42" s="69" t="n">
        <f aca="false">IF(H41&gt;0.5,H41*(1+E$23)+E$24,0)</f>
        <v>0</v>
      </c>
      <c r="F42" s="69" t="n">
        <f aca="false">MIN(F$23,E42)</f>
        <v>0</v>
      </c>
      <c r="G42" s="69" t="n">
        <f aca="false">IF(AND(F$24=1,OR(E$25="",$C42&gt;=E$25)),MAX(0,MIN(E42-F42,$D42-(0))),0)</f>
        <v>0</v>
      </c>
      <c r="H42" s="69" t="n">
        <f aca="false">E42-F42-G42</f>
        <v>0</v>
      </c>
      <c r="I42" s="69" t="n">
        <f aca="false">IF(L41&gt;0.5,L41*(1+I$23)+I$24,0)</f>
        <v>0</v>
      </c>
      <c r="J42" s="69" t="n">
        <f aca="false">MIN(J$23,I42)</f>
        <v>0</v>
      </c>
      <c r="K42" s="69" t="n">
        <f aca="false">IF(AND(J$24=1,OR(I$25="",$C42&gt;=I$25)),MAX(0,MIN(I42-J42,$D42-(G42))),0)</f>
        <v>0</v>
      </c>
      <c r="L42" s="69" t="n">
        <f aca="false">I42-J42-K42</f>
        <v>0</v>
      </c>
      <c r="M42" s="69" t="n">
        <f aca="false">IF(P41&gt;0.5,P41*(1+M$23)+M$24,0)</f>
        <v>0</v>
      </c>
      <c r="N42" s="69" t="n">
        <f aca="false">MIN(N$23,M42)</f>
        <v>0</v>
      </c>
      <c r="O42" s="69" t="n">
        <f aca="false">IF(AND(N$24=1,OR(M$25="",$C42&gt;=M$25)),MAX(0,MIN(M42-N42,$D42-(G42+K42))),0)</f>
        <v>0</v>
      </c>
      <c r="P42" s="69" t="n">
        <f aca="false">M42-N42-O42</f>
        <v>0</v>
      </c>
      <c r="Q42" s="69" t="n">
        <f aca="false">IF(T41&gt;0.5,T41*(1+Q$23)+Q$24,0)</f>
        <v>0</v>
      </c>
      <c r="R42" s="69" t="n">
        <f aca="false">MIN(R$23,Q42)</f>
        <v>0</v>
      </c>
      <c r="S42" s="69" t="n">
        <f aca="false">IF(AND(R$24=1,OR(Q$25="",$C42&gt;=Q$25)),MAX(0,MIN(Q42-R42,$D42-(G42+K42+O42))),0)</f>
        <v>0</v>
      </c>
      <c r="T42" s="69" t="n">
        <f aca="false">Q42-R42-S42</f>
        <v>0</v>
      </c>
      <c r="U42" s="69" t="n">
        <f aca="false">IF(X41&gt;0.5,X41*(1+U$23)+U$24,0)</f>
        <v>0</v>
      </c>
      <c r="V42" s="69" t="n">
        <f aca="false">MIN(V$23,U42)</f>
        <v>0</v>
      </c>
      <c r="W42" s="69" t="n">
        <f aca="false">IF(AND(V$24=1,OR(U$25="",$C42&gt;=U$25)),MAX(0,MIN(U42-V42,$D42-(G42+K42+O42+S42))),0)</f>
        <v>0</v>
      </c>
      <c r="X42" s="69" t="n">
        <f aca="false">U42-V42-W42</f>
        <v>0</v>
      </c>
      <c r="Y42" s="69" t="n">
        <f aca="false">IF(AB41&gt;0.5,AB41*(1+Y$23)+Y$24,0)</f>
        <v>0</v>
      </c>
      <c r="Z42" s="69" t="n">
        <f aca="false">MIN(Z$23,Y42)</f>
        <v>0</v>
      </c>
      <c r="AA42" s="69" t="n">
        <f aca="false">IF(AND(Z$24=1,OR(Y$25="",$C42&gt;=Y$25)),MAX(0,MIN(Y42-Z42,$D42-(G42+K42+O42+S42+W42))),0)</f>
        <v>0</v>
      </c>
      <c r="AB42" s="69" t="n">
        <f aca="false">Y42-Z42-AA42</f>
        <v>0</v>
      </c>
      <c r="AC42" s="69" t="n">
        <f aca="false">IF(AF41&gt;0.5,AF41*(1+AC$23)+AC$24,0)</f>
        <v>0</v>
      </c>
      <c r="AD42" s="69" t="n">
        <f aca="false">MIN(AD$23,AC42)</f>
        <v>0</v>
      </c>
      <c r="AE42" s="69" t="n">
        <f aca="false">IF(AND(AD$24=1,OR(AC$25="",$C42&gt;=AC$25)),MAX(0,MIN(AC42-AD42,$D42-(G42+K42+O42+S42+W42+AA42))),0)</f>
        <v>0</v>
      </c>
      <c r="AF42" s="69" t="n">
        <f aca="false">AC42-AD42-AE42</f>
        <v>0</v>
      </c>
      <c r="AG42" s="69" t="n">
        <f aca="false">IF(AJ41&gt;0.5,AJ41*(1+AG$23)+AG$24,0)</f>
        <v>0</v>
      </c>
      <c r="AH42" s="69" t="n">
        <f aca="false">MIN(AH$23,AG42)</f>
        <v>0</v>
      </c>
      <c r="AI42" s="69" t="n">
        <f aca="false">IF(AND(AH$24=1,OR(AG$25="",$C42&gt;=AG$25)),MAX(0,MIN(AG42-AH42,$D42-(G42+K42+O42+S42+W42+AA42+AE42))),0)</f>
        <v>0</v>
      </c>
      <c r="AJ42" s="69" t="n">
        <f aca="false">AG42-AH42-AI42</f>
        <v>0</v>
      </c>
      <c r="AK42" s="69" t="n">
        <f aca="false">IF(AK41&gt;0.5,AK41*(1+$E$12)+$G$12-MIN($F$12,AK41*(1+$E$12)+$G$12),0)</f>
        <v>0</v>
      </c>
      <c r="AL42" s="69" t="n">
        <f aca="false">IF(AL41&gt;0.5,AL41*(1+$E$13)+$G$13-MIN($F$13,AL41*(1+$E$13)+$G$13),0)</f>
        <v>0</v>
      </c>
      <c r="AM42" s="69" t="n">
        <f aca="false">IF(AM41&gt;0.5,AM41*(1+$E$14)+$G$14-MIN($F$14,AM41*(1+$E$14)+$G$14),0)</f>
        <v>0</v>
      </c>
      <c r="AN42" s="69" t="n">
        <f aca="false">IF(AN41&gt;0.5,AN41*(1+$E$15)+$G$15-MIN($F$15,AN41*(1+$E$15)+$G$15),0)</f>
        <v>0</v>
      </c>
      <c r="AO42" s="69" t="n">
        <f aca="false">IF(AO41&gt;0.5,AO41*(1+$E$16)+$G$16-MIN($F$16,AO41*(1+$E$16)+$G$16),0)</f>
        <v>0</v>
      </c>
      <c r="AP42" s="69" t="n">
        <f aca="false">IF(AP41&gt;0.5,AP41*(1+$E$17)+$G$17-MIN($F$17,AP41*(1+$E$17)+$G$17),0)</f>
        <v>0</v>
      </c>
      <c r="AQ42" s="69" t="n">
        <f aca="false">IF(AQ41&gt;0.5,AQ41*(1+$E$18)+$G$18-MIN($F$18,AQ41*(1+$E$18)+$G$18),0)</f>
        <v>0</v>
      </c>
      <c r="AR42" s="69" t="n">
        <f aca="false">IF(AR41&gt;0.5,AR41*(1+$E$19)+$G$19-MIN($F$19,AR41*(1+$E$19)+$G$19),0)</f>
        <v>0</v>
      </c>
      <c r="AS42" s="69" t="n">
        <f aca="false">H42+L42+P42+T42+X42+AB42+AF42+AJ42</f>
        <v>0</v>
      </c>
      <c r="AT42" s="69" t="n">
        <f aca="false">SUM(AK42:AR42)</f>
        <v>0</v>
      </c>
      <c r="AU42" s="69" t="n">
        <f aca="false">F42+G42+J42+K42+N42+O42+R42+S42+V42+W42+Z42+AA42+AD42+AE42+AH42+AI42</f>
        <v>0</v>
      </c>
    </row>
    <row r="43" customFormat="false" ht="15" hidden="false" customHeight="false" outlineLevel="0" collapsed="false">
      <c r="B43" s="0" t="n">
        <v>16</v>
      </c>
      <c r="C43" s="68" t="n">
        <f aca="false">EDATE($C$7,15)</f>
        <v>46753</v>
      </c>
      <c r="D43" s="69" t="n">
        <f aca="false">$C$8-(F43+J43+N43+R43+V43+Z43+AD43+AH43)</f>
        <v>0</v>
      </c>
      <c r="E43" s="69" t="n">
        <f aca="false">IF(H42&gt;0.5,H42*(1+E$23)+E$24,0)</f>
        <v>0</v>
      </c>
      <c r="F43" s="69" t="n">
        <f aca="false">MIN(F$23,E43)</f>
        <v>0</v>
      </c>
      <c r="G43" s="69" t="n">
        <f aca="false">IF(AND(F$24=1,OR(E$25="",$C43&gt;=E$25)),MAX(0,MIN(E43-F43,$D43-(0))),0)</f>
        <v>0</v>
      </c>
      <c r="H43" s="69" t="n">
        <f aca="false">E43-F43-G43</f>
        <v>0</v>
      </c>
      <c r="I43" s="69" t="n">
        <f aca="false">IF(L42&gt;0.5,L42*(1+I$23)+I$24,0)</f>
        <v>0</v>
      </c>
      <c r="J43" s="69" t="n">
        <f aca="false">MIN(J$23,I43)</f>
        <v>0</v>
      </c>
      <c r="K43" s="69" t="n">
        <f aca="false">IF(AND(J$24=1,OR(I$25="",$C43&gt;=I$25)),MAX(0,MIN(I43-J43,$D43-(G43))),0)</f>
        <v>0</v>
      </c>
      <c r="L43" s="69" t="n">
        <f aca="false">I43-J43-K43</f>
        <v>0</v>
      </c>
      <c r="M43" s="69" t="n">
        <f aca="false">IF(P42&gt;0.5,P42*(1+M$23)+M$24,0)</f>
        <v>0</v>
      </c>
      <c r="N43" s="69" t="n">
        <f aca="false">MIN(N$23,M43)</f>
        <v>0</v>
      </c>
      <c r="O43" s="69" t="n">
        <f aca="false">IF(AND(N$24=1,OR(M$25="",$C43&gt;=M$25)),MAX(0,MIN(M43-N43,$D43-(G43+K43))),0)</f>
        <v>0</v>
      </c>
      <c r="P43" s="69" t="n">
        <f aca="false">M43-N43-O43</f>
        <v>0</v>
      </c>
      <c r="Q43" s="69" t="n">
        <f aca="false">IF(T42&gt;0.5,T42*(1+Q$23)+Q$24,0)</f>
        <v>0</v>
      </c>
      <c r="R43" s="69" t="n">
        <f aca="false">MIN(R$23,Q43)</f>
        <v>0</v>
      </c>
      <c r="S43" s="69" t="n">
        <f aca="false">IF(AND(R$24=1,OR(Q$25="",$C43&gt;=Q$25)),MAX(0,MIN(Q43-R43,$D43-(G43+K43+O43))),0)</f>
        <v>0</v>
      </c>
      <c r="T43" s="69" t="n">
        <f aca="false">Q43-R43-S43</f>
        <v>0</v>
      </c>
      <c r="U43" s="69" t="n">
        <f aca="false">IF(X42&gt;0.5,X42*(1+U$23)+U$24,0)</f>
        <v>0</v>
      </c>
      <c r="V43" s="69" t="n">
        <f aca="false">MIN(V$23,U43)</f>
        <v>0</v>
      </c>
      <c r="W43" s="69" t="n">
        <f aca="false">IF(AND(V$24=1,OR(U$25="",$C43&gt;=U$25)),MAX(0,MIN(U43-V43,$D43-(G43+K43+O43+S43))),0)</f>
        <v>0</v>
      </c>
      <c r="X43" s="69" t="n">
        <f aca="false">U43-V43-W43</f>
        <v>0</v>
      </c>
      <c r="Y43" s="69" t="n">
        <f aca="false">IF(AB42&gt;0.5,AB42*(1+Y$23)+Y$24,0)</f>
        <v>0</v>
      </c>
      <c r="Z43" s="69" t="n">
        <f aca="false">MIN(Z$23,Y43)</f>
        <v>0</v>
      </c>
      <c r="AA43" s="69" t="n">
        <f aca="false">IF(AND(Z$24=1,OR(Y$25="",$C43&gt;=Y$25)),MAX(0,MIN(Y43-Z43,$D43-(G43+K43+O43+S43+W43))),0)</f>
        <v>0</v>
      </c>
      <c r="AB43" s="69" t="n">
        <f aca="false">Y43-Z43-AA43</f>
        <v>0</v>
      </c>
      <c r="AC43" s="69" t="n">
        <f aca="false">IF(AF42&gt;0.5,AF42*(1+AC$23)+AC$24,0)</f>
        <v>0</v>
      </c>
      <c r="AD43" s="69" t="n">
        <f aca="false">MIN(AD$23,AC43)</f>
        <v>0</v>
      </c>
      <c r="AE43" s="69" t="n">
        <f aca="false">IF(AND(AD$24=1,OR(AC$25="",$C43&gt;=AC$25)),MAX(0,MIN(AC43-AD43,$D43-(G43+K43+O43+S43+W43+AA43))),0)</f>
        <v>0</v>
      </c>
      <c r="AF43" s="69" t="n">
        <f aca="false">AC43-AD43-AE43</f>
        <v>0</v>
      </c>
      <c r="AG43" s="69" t="n">
        <f aca="false">IF(AJ42&gt;0.5,AJ42*(1+AG$23)+AG$24,0)</f>
        <v>0</v>
      </c>
      <c r="AH43" s="69" t="n">
        <f aca="false">MIN(AH$23,AG43)</f>
        <v>0</v>
      </c>
      <c r="AI43" s="69" t="n">
        <f aca="false">IF(AND(AH$24=1,OR(AG$25="",$C43&gt;=AG$25)),MAX(0,MIN(AG43-AH43,$D43-(G43+K43+O43+S43+W43+AA43+AE43))),0)</f>
        <v>0</v>
      </c>
      <c r="AJ43" s="69" t="n">
        <f aca="false">AG43-AH43-AI43</f>
        <v>0</v>
      </c>
      <c r="AK43" s="69" t="n">
        <f aca="false">IF(AK42&gt;0.5,AK42*(1+$E$12)+$G$12-MIN($F$12,AK42*(1+$E$12)+$G$12),0)</f>
        <v>0</v>
      </c>
      <c r="AL43" s="69" t="n">
        <f aca="false">IF(AL42&gt;0.5,AL42*(1+$E$13)+$G$13-MIN($F$13,AL42*(1+$E$13)+$G$13),0)</f>
        <v>0</v>
      </c>
      <c r="AM43" s="69" t="n">
        <f aca="false">IF(AM42&gt;0.5,AM42*(1+$E$14)+$G$14-MIN($F$14,AM42*(1+$E$14)+$G$14),0)</f>
        <v>0</v>
      </c>
      <c r="AN43" s="69" t="n">
        <f aca="false">IF(AN42&gt;0.5,AN42*(1+$E$15)+$G$15-MIN($F$15,AN42*(1+$E$15)+$G$15),0)</f>
        <v>0</v>
      </c>
      <c r="AO43" s="69" t="n">
        <f aca="false">IF(AO42&gt;0.5,AO42*(1+$E$16)+$G$16-MIN($F$16,AO42*(1+$E$16)+$G$16),0)</f>
        <v>0</v>
      </c>
      <c r="AP43" s="69" t="n">
        <f aca="false">IF(AP42&gt;0.5,AP42*(1+$E$17)+$G$17-MIN($F$17,AP42*(1+$E$17)+$G$17),0)</f>
        <v>0</v>
      </c>
      <c r="AQ43" s="69" t="n">
        <f aca="false">IF(AQ42&gt;0.5,AQ42*(1+$E$18)+$G$18-MIN($F$18,AQ42*(1+$E$18)+$G$18),0)</f>
        <v>0</v>
      </c>
      <c r="AR43" s="69" t="n">
        <f aca="false">IF(AR42&gt;0.5,AR42*(1+$E$19)+$G$19-MIN($F$19,AR42*(1+$E$19)+$G$19),0)</f>
        <v>0</v>
      </c>
      <c r="AS43" s="69" t="n">
        <f aca="false">H43+L43+P43+T43+X43+AB43+AF43+AJ43</f>
        <v>0</v>
      </c>
      <c r="AT43" s="69" t="n">
        <f aca="false">SUM(AK43:AR43)</f>
        <v>0</v>
      </c>
      <c r="AU43" s="69" t="n">
        <f aca="false">F43+G43+J43+K43+N43+O43+R43+S43+V43+W43+Z43+AA43+AD43+AE43+AH43+AI43</f>
        <v>0</v>
      </c>
    </row>
    <row r="44" customFormat="false" ht="15" hidden="false" customHeight="false" outlineLevel="0" collapsed="false">
      <c r="B44" s="0" t="n">
        <v>17</v>
      </c>
      <c r="C44" s="68" t="n">
        <f aca="false">EDATE($C$7,16)</f>
        <v>46784</v>
      </c>
      <c r="D44" s="69" t="n">
        <f aca="false">$C$8-(F44+J44+N44+R44+V44+Z44+AD44+AH44)</f>
        <v>0</v>
      </c>
      <c r="E44" s="69" t="n">
        <f aca="false">IF(H43&gt;0.5,H43*(1+E$23)+E$24,0)</f>
        <v>0</v>
      </c>
      <c r="F44" s="69" t="n">
        <f aca="false">MIN(F$23,E44)</f>
        <v>0</v>
      </c>
      <c r="G44" s="69" t="n">
        <f aca="false">IF(AND(F$24=1,OR(E$25="",$C44&gt;=E$25)),MAX(0,MIN(E44-F44,$D44-(0))),0)</f>
        <v>0</v>
      </c>
      <c r="H44" s="69" t="n">
        <f aca="false">E44-F44-G44</f>
        <v>0</v>
      </c>
      <c r="I44" s="69" t="n">
        <f aca="false">IF(L43&gt;0.5,L43*(1+I$23)+I$24,0)</f>
        <v>0</v>
      </c>
      <c r="J44" s="69" t="n">
        <f aca="false">MIN(J$23,I44)</f>
        <v>0</v>
      </c>
      <c r="K44" s="69" t="n">
        <f aca="false">IF(AND(J$24=1,OR(I$25="",$C44&gt;=I$25)),MAX(0,MIN(I44-J44,$D44-(G44))),0)</f>
        <v>0</v>
      </c>
      <c r="L44" s="69" t="n">
        <f aca="false">I44-J44-K44</f>
        <v>0</v>
      </c>
      <c r="M44" s="69" t="n">
        <f aca="false">IF(P43&gt;0.5,P43*(1+M$23)+M$24,0)</f>
        <v>0</v>
      </c>
      <c r="N44" s="69" t="n">
        <f aca="false">MIN(N$23,M44)</f>
        <v>0</v>
      </c>
      <c r="O44" s="69" t="n">
        <f aca="false">IF(AND(N$24=1,OR(M$25="",$C44&gt;=M$25)),MAX(0,MIN(M44-N44,$D44-(G44+K44))),0)</f>
        <v>0</v>
      </c>
      <c r="P44" s="69" t="n">
        <f aca="false">M44-N44-O44</f>
        <v>0</v>
      </c>
      <c r="Q44" s="69" t="n">
        <f aca="false">IF(T43&gt;0.5,T43*(1+Q$23)+Q$24,0)</f>
        <v>0</v>
      </c>
      <c r="R44" s="69" t="n">
        <f aca="false">MIN(R$23,Q44)</f>
        <v>0</v>
      </c>
      <c r="S44" s="69" t="n">
        <f aca="false">IF(AND(R$24=1,OR(Q$25="",$C44&gt;=Q$25)),MAX(0,MIN(Q44-R44,$D44-(G44+K44+O44))),0)</f>
        <v>0</v>
      </c>
      <c r="T44" s="69" t="n">
        <f aca="false">Q44-R44-S44</f>
        <v>0</v>
      </c>
      <c r="U44" s="69" t="n">
        <f aca="false">IF(X43&gt;0.5,X43*(1+U$23)+U$24,0)</f>
        <v>0</v>
      </c>
      <c r="V44" s="69" t="n">
        <f aca="false">MIN(V$23,U44)</f>
        <v>0</v>
      </c>
      <c r="W44" s="69" t="n">
        <f aca="false">IF(AND(V$24=1,OR(U$25="",$C44&gt;=U$25)),MAX(0,MIN(U44-V44,$D44-(G44+K44+O44+S44))),0)</f>
        <v>0</v>
      </c>
      <c r="X44" s="69" t="n">
        <f aca="false">U44-V44-W44</f>
        <v>0</v>
      </c>
      <c r="Y44" s="69" t="n">
        <f aca="false">IF(AB43&gt;0.5,AB43*(1+Y$23)+Y$24,0)</f>
        <v>0</v>
      </c>
      <c r="Z44" s="69" t="n">
        <f aca="false">MIN(Z$23,Y44)</f>
        <v>0</v>
      </c>
      <c r="AA44" s="69" t="n">
        <f aca="false">IF(AND(Z$24=1,OR(Y$25="",$C44&gt;=Y$25)),MAX(0,MIN(Y44-Z44,$D44-(G44+K44+O44+S44+W44))),0)</f>
        <v>0</v>
      </c>
      <c r="AB44" s="69" t="n">
        <f aca="false">Y44-Z44-AA44</f>
        <v>0</v>
      </c>
      <c r="AC44" s="69" t="n">
        <f aca="false">IF(AF43&gt;0.5,AF43*(1+AC$23)+AC$24,0)</f>
        <v>0</v>
      </c>
      <c r="AD44" s="69" t="n">
        <f aca="false">MIN(AD$23,AC44)</f>
        <v>0</v>
      </c>
      <c r="AE44" s="69" t="n">
        <f aca="false">IF(AND(AD$24=1,OR(AC$25="",$C44&gt;=AC$25)),MAX(0,MIN(AC44-AD44,$D44-(G44+K44+O44+S44+W44+AA44))),0)</f>
        <v>0</v>
      </c>
      <c r="AF44" s="69" t="n">
        <f aca="false">AC44-AD44-AE44</f>
        <v>0</v>
      </c>
      <c r="AG44" s="69" t="n">
        <f aca="false">IF(AJ43&gt;0.5,AJ43*(1+AG$23)+AG$24,0)</f>
        <v>0</v>
      </c>
      <c r="AH44" s="69" t="n">
        <f aca="false">MIN(AH$23,AG44)</f>
        <v>0</v>
      </c>
      <c r="AI44" s="69" t="n">
        <f aca="false">IF(AND(AH$24=1,OR(AG$25="",$C44&gt;=AG$25)),MAX(0,MIN(AG44-AH44,$D44-(G44+K44+O44+S44+W44+AA44+AE44))),0)</f>
        <v>0</v>
      </c>
      <c r="AJ44" s="69" t="n">
        <f aca="false">AG44-AH44-AI44</f>
        <v>0</v>
      </c>
      <c r="AK44" s="69" t="n">
        <f aca="false">IF(AK43&gt;0.5,AK43*(1+$E$12)+$G$12-MIN($F$12,AK43*(1+$E$12)+$G$12),0)</f>
        <v>0</v>
      </c>
      <c r="AL44" s="69" t="n">
        <f aca="false">IF(AL43&gt;0.5,AL43*(1+$E$13)+$G$13-MIN($F$13,AL43*(1+$E$13)+$G$13),0)</f>
        <v>0</v>
      </c>
      <c r="AM44" s="69" t="n">
        <f aca="false">IF(AM43&gt;0.5,AM43*(1+$E$14)+$G$14-MIN($F$14,AM43*(1+$E$14)+$G$14),0)</f>
        <v>0</v>
      </c>
      <c r="AN44" s="69" t="n">
        <f aca="false">IF(AN43&gt;0.5,AN43*(1+$E$15)+$G$15-MIN($F$15,AN43*(1+$E$15)+$G$15),0)</f>
        <v>0</v>
      </c>
      <c r="AO44" s="69" t="n">
        <f aca="false">IF(AO43&gt;0.5,AO43*(1+$E$16)+$G$16-MIN($F$16,AO43*(1+$E$16)+$G$16),0)</f>
        <v>0</v>
      </c>
      <c r="AP44" s="69" t="n">
        <f aca="false">IF(AP43&gt;0.5,AP43*(1+$E$17)+$G$17-MIN($F$17,AP43*(1+$E$17)+$G$17),0)</f>
        <v>0</v>
      </c>
      <c r="AQ44" s="69" t="n">
        <f aca="false">IF(AQ43&gt;0.5,AQ43*(1+$E$18)+$G$18-MIN($F$18,AQ43*(1+$E$18)+$G$18),0)</f>
        <v>0</v>
      </c>
      <c r="AR44" s="69" t="n">
        <f aca="false">IF(AR43&gt;0.5,AR43*(1+$E$19)+$G$19-MIN($F$19,AR43*(1+$E$19)+$G$19),0)</f>
        <v>0</v>
      </c>
      <c r="AS44" s="69" t="n">
        <f aca="false">H44+L44+P44+T44+X44+AB44+AF44+AJ44</f>
        <v>0</v>
      </c>
      <c r="AT44" s="69" t="n">
        <f aca="false">SUM(AK44:AR44)</f>
        <v>0</v>
      </c>
      <c r="AU44" s="69" t="n">
        <f aca="false">F44+G44+J44+K44+N44+O44+R44+S44+V44+W44+Z44+AA44+AD44+AE44+AH44+AI44</f>
        <v>0</v>
      </c>
    </row>
    <row r="45" customFormat="false" ht="15" hidden="false" customHeight="false" outlineLevel="0" collapsed="false">
      <c r="B45" s="0" t="n">
        <v>18</v>
      </c>
      <c r="C45" s="68" t="n">
        <f aca="false">EDATE($C$7,17)</f>
        <v>46813</v>
      </c>
      <c r="D45" s="69" t="n">
        <f aca="false">$C$8-(F45+J45+N45+R45+V45+Z45+AD45+AH45)</f>
        <v>0</v>
      </c>
      <c r="E45" s="69" t="n">
        <f aca="false">IF(H44&gt;0.5,H44*(1+E$23)+E$24,0)</f>
        <v>0</v>
      </c>
      <c r="F45" s="69" t="n">
        <f aca="false">MIN(F$23,E45)</f>
        <v>0</v>
      </c>
      <c r="G45" s="69" t="n">
        <f aca="false">IF(AND(F$24=1,OR(E$25="",$C45&gt;=E$25)),MAX(0,MIN(E45-F45,$D45-(0))),0)</f>
        <v>0</v>
      </c>
      <c r="H45" s="69" t="n">
        <f aca="false">E45-F45-G45</f>
        <v>0</v>
      </c>
      <c r="I45" s="69" t="n">
        <f aca="false">IF(L44&gt;0.5,L44*(1+I$23)+I$24,0)</f>
        <v>0</v>
      </c>
      <c r="J45" s="69" t="n">
        <f aca="false">MIN(J$23,I45)</f>
        <v>0</v>
      </c>
      <c r="K45" s="69" t="n">
        <f aca="false">IF(AND(J$24=1,OR(I$25="",$C45&gt;=I$25)),MAX(0,MIN(I45-J45,$D45-(G45))),0)</f>
        <v>0</v>
      </c>
      <c r="L45" s="69" t="n">
        <f aca="false">I45-J45-K45</f>
        <v>0</v>
      </c>
      <c r="M45" s="69" t="n">
        <f aca="false">IF(P44&gt;0.5,P44*(1+M$23)+M$24,0)</f>
        <v>0</v>
      </c>
      <c r="N45" s="69" t="n">
        <f aca="false">MIN(N$23,M45)</f>
        <v>0</v>
      </c>
      <c r="O45" s="69" t="n">
        <f aca="false">IF(AND(N$24=1,OR(M$25="",$C45&gt;=M$25)),MAX(0,MIN(M45-N45,$D45-(G45+K45))),0)</f>
        <v>0</v>
      </c>
      <c r="P45" s="69" t="n">
        <f aca="false">M45-N45-O45</f>
        <v>0</v>
      </c>
      <c r="Q45" s="69" t="n">
        <f aca="false">IF(T44&gt;0.5,T44*(1+Q$23)+Q$24,0)</f>
        <v>0</v>
      </c>
      <c r="R45" s="69" t="n">
        <f aca="false">MIN(R$23,Q45)</f>
        <v>0</v>
      </c>
      <c r="S45" s="69" t="n">
        <f aca="false">IF(AND(R$24=1,OR(Q$25="",$C45&gt;=Q$25)),MAX(0,MIN(Q45-R45,$D45-(G45+K45+O45))),0)</f>
        <v>0</v>
      </c>
      <c r="T45" s="69" t="n">
        <f aca="false">Q45-R45-S45</f>
        <v>0</v>
      </c>
      <c r="U45" s="69" t="n">
        <f aca="false">IF(X44&gt;0.5,X44*(1+U$23)+U$24,0)</f>
        <v>0</v>
      </c>
      <c r="V45" s="69" t="n">
        <f aca="false">MIN(V$23,U45)</f>
        <v>0</v>
      </c>
      <c r="W45" s="69" t="n">
        <f aca="false">IF(AND(V$24=1,OR(U$25="",$C45&gt;=U$25)),MAX(0,MIN(U45-V45,$D45-(G45+K45+O45+S45))),0)</f>
        <v>0</v>
      </c>
      <c r="X45" s="69" t="n">
        <f aca="false">U45-V45-W45</f>
        <v>0</v>
      </c>
      <c r="Y45" s="69" t="n">
        <f aca="false">IF(AB44&gt;0.5,AB44*(1+Y$23)+Y$24,0)</f>
        <v>0</v>
      </c>
      <c r="Z45" s="69" t="n">
        <f aca="false">MIN(Z$23,Y45)</f>
        <v>0</v>
      </c>
      <c r="AA45" s="69" t="n">
        <f aca="false">IF(AND(Z$24=1,OR(Y$25="",$C45&gt;=Y$25)),MAX(0,MIN(Y45-Z45,$D45-(G45+K45+O45+S45+W45))),0)</f>
        <v>0</v>
      </c>
      <c r="AB45" s="69" t="n">
        <f aca="false">Y45-Z45-AA45</f>
        <v>0</v>
      </c>
      <c r="AC45" s="69" t="n">
        <f aca="false">IF(AF44&gt;0.5,AF44*(1+AC$23)+AC$24,0)</f>
        <v>0</v>
      </c>
      <c r="AD45" s="69" t="n">
        <f aca="false">MIN(AD$23,AC45)</f>
        <v>0</v>
      </c>
      <c r="AE45" s="69" t="n">
        <f aca="false">IF(AND(AD$24=1,OR(AC$25="",$C45&gt;=AC$25)),MAX(0,MIN(AC45-AD45,$D45-(G45+K45+O45+S45+W45+AA45))),0)</f>
        <v>0</v>
      </c>
      <c r="AF45" s="69" t="n">
        <f aca="false">AC45-AD45-AE45</f>
        <v>0</v>
      </c>
      <c r="AG45" s="69" t="n">
        <f aca="false">IF(AJ44&gt;0.5,AJ44*(1+AG$23)+AG$24,0)</f>
        <v>0</v>
      </c>
      <c r="AH45" s="69" t="n">
        <f aca="false">MIN(AH$23,AG45)</f>
        <v>0</v>
      </c>
      <c r="AI45" s="69" t="n">
        <f aca="false">IF(AND(AH$24=1,OR(AG$25="",$C45&gt;=AG$25)),MAX(0,MIN(AG45-AH45,$D45-(G45+K45+O45+S45+W45+AA45+AE45))),0)</f>
        <v>0</v>
      </c>
      <c r="AJ45" s="69" t="n">
        <f aca="false">AG45-AH45-AI45</f>
        <v>0</v>
      </c>
      <c r="AK45" s="69" t="n">
        <f aca="false">IF(AK44&gt;0.5,AK44*(1+$E$12)+$G$12-MIN($F$12,AK44*(1+$E$12)+$G$12),0)</f>
        <v>0</v>
      </c>
      <c r="AL45" s="69" t="n">
        <f aca="false">IF(AL44&gt;0.5,AL44*(1+$E$13)+$G$13-MIN($F$13,AL44*(1+$E$13)+$G$13),0)</f>
        <v>0</v>
      </c>
      <c r="AM45" s="69" t="n">
        <f aca="false">IF(AM44&gt;0.5,AM44*(1+$E$14)+$G$14-MIN($F$14,AM44*(1+$E$14)+$G$14),0)</f>
        <v>0</v>
      </c>
      <c r="AN45" s="69" t="n">
        <f aca="false">IF(AN44&gt;0.5,AN44*(1+$E$15)+$G$15-MIN($F$15,AN44*(1+$E$15)+$G$15),0)</f>
        <v>0</v>
      </c>
      <c r="AO45" s="69" t="n">
        <f aca="false">IF(AO44&gt;0.5,AO44*(1+$E$16)+$G$16-MIN($F$16,AO44*(1+$E$16)+$G$16),0)</f>
        <v>0</v>
      </c>
      <c r="AP45" s="69" t="n">
        <f aca="false">IF(AP44&gt;0.5,AP44*(1+$E$17)+$G$17-MIN($F$17,AP44*(1+$E$17)+$G$17),0)</f>
        <v>0</v>
      </c>
      <c r="AQ45" s="69" t="n">
        <f aca="false">IF(AQ44&gt;0.5,AQ44*(1+$E$18)+$G$18-MIN($F$18,AQ44*(1+$E$18)+$G$18),0)</f>
        <v>0</v>
      </c>
      <c r="AR45" s="69" t="n">
        <f aca="false">IF(AR44&gt;0.5,AR44*(1+$E$19)+$G$19-MIN($F$19,AR44*(1+$E$19)+$G$19),0)</f>
        <v>0</v>
      </c>
      <c r="AS45" s="69" t="n">
        <f aca="false">H45+L45+P45+T45+X45+AB45+AF45+AJ45</f>
        <v>0</v>
      </c>
      <c r="AT45" s="69" t="n">
        <f aca="false">SUM(AK45:AR45)</f>
        <v>0</v>
      </c>
      <c r="AU45" s="69" t="n">
        <f aca="false">F45+G45+J45+K45+N45+O45+R45+S45+V45+W45+Z45+AA45+AD45+AE45+AH45+AI45</f>
        <v>0</v>
      </c>
    </row>
    <row r="46" customFormat="false" ht="15" hidden="false" customHeight="false" outlineLevel="0" collapsed="false">
      <c r="B46" s="0" t="n">
        <v>19</v>
      </c>
      <c r="C46" s="68" t="n">
        <f aca="false">EDATE($C$7,18)</f>
        <v>46844</v>
      </c>
      <c r="D46" s="69" t="n">
        <f aca="false">$C$8-(F46+J46+N46+R46+V46+Z46+AD46+AH46)</f>
        <v>0</v>
      </c>
      <c r="E46" s="69" t="n">
        <f aca="false">IF(H45&gt;0.5,H45*(1+E$23)+E$24,0)</f>
        <v>0</v>
      </c>
      <c r="F46" s="69" t="n">
        <f aca="false">MIN(F$23,E46)</f>
        <v>0</v>
      </c>
      <c r="G46" s="69" t="n">
        <f aca="false">IF(AND(F$24=1,OR(E$25="",$C46&gt;=E$25)),MAX(0,MIN(E46-F46,$D46-(0))),0)</f>
        <v>0</v>
      </c>
      <c r="H46" s="69" t="n">
        <f aca="false">E46-F46-G46</f>
        <v>0</v>
      </c>
      <c r="I46" s="69" t="n">
        <f aca="false">IF(L45&gt;0.5,L45*(1+I$23)+I$24,0)</f>
        <v>0</v>
      </c>
      <c r="J46" s="69" t="n">
        <f aca="false">MIN(J$23,I46)</f>
        <v>0</v>
      </c>
      <c r="K46" s="69" t="n">
        <f aca="false">IF(AND(J$24=1,OR(I$25="",$C46&gt;=I$25)),MAX(0,MIN(I46-J46,$D46-(G46))),0)</f>
        <v>0</v>
      </c>
      <c r="L46" s="69" t="n">
        <f aca="false">I46-J46-K46</f>
        <v>0</v>
      </c>
      <c r="M46" s="69" t="n">
        <f aca="false">IF(P45&gt;0.5,P45*(1+M$23)+M$24,0)</f>
        <v>0</v>
      </c>
      <c r="N46" s="69" t="n">
        <f aca="false">MIN(N$23,M46)</f>
        <v>0</v>
      </c>
      <c r="O46" s="69" t="n">
        <f aca="false">IF(AND(N$24=1,OR(M$25="",$C46&gt;=M$25)),MAX(0,MIN(M46-N46,$D46-(G46+K46))),0)</f>
        <v>0</v>
      </c>
      <c r="P46" s="69" t="n">
        <f aca="false">M46-N46-O46</f>
        <v>0</v>
      </c>
      <c r="Q46" s="69" t="n">
        <f aca="false">IF(T45&gt;0.5,T45*(1+Q$23)+Q$24,0)</f>
        <v>0</v>
      </c>
      <c r="R46" s="69" t="n">
        <f aca="false">MIN(R$23,Q46)</f>
        <v>0</v>
      </c>
      <c r="S46" s="69" t="n">
        <f aca="false">IF(AND(R$24=1,OR(Q$25="",$C46&gt;=Q$25)),MAX(0,MIN(Q46-R46,$D46-(G46+K46+O46))),0)</f>
        <v>0</v>
      </c>
      <c r="T46" s="69" t="n">
        <f aca="false">Q46-R46-S46</f>
        <v>0</v>
      </c>
      <c r="U46" s="69" t="n">
        <f aca="false">IF(X45&gt;0.5,X45*(1+U$23)+U$24,0)</f>
        <v>0</v>
      </c>
      <c r="V46" s="69" t="n">
        <f aca="false">MIN(V$23,U46)</f>
        <v>0</v>
      </c>
      <c r="W46" s="69" t="n">
        <f aca="false">IF(AND(V$24=1,OR(U$25="",$C46&gt;=U$25)),MAX(0,MIN(U46-V46,$D46-(G46+K46+O46+S46))),0)</f>
        <v>0</v>
      </c>
      <c r="X46" s="69" t="n">
        <f aca="false">U46-V46-W46</f>
        <v>0</v>
      </c>
      <c r="Y46" s="69" t="n">
        <f aca="false">IF(AB45&gt;0.5,AB45*(1+Y$23)+Y$24,0)</f>
        <v>0</v>
      </c>
      <c r="Z46" s="69" t="n">
        <f aca="false">MIN(Z$23,Y46)</f>
        <v>0</v>
      </c>
      <c r="AA46" s="69" t="n">
        <f aca="false">IF(AND(Z$24=1,OR(Y$25="",$C46&gt;=Y$25)),MAX(0,MIN(Y46-Z46,$D46-(G46+K46+O46+S46+W46))),0)</f>
        <v>0</v>
      </c>
      <c r="AB46" s="69" t="n">
        <f aca="false">Y46-Z46-AA46</f>
        <v>0</v>
      </c>
      <c r="AC46" s="69" t="n">
        <f aca="false">IF(AF45&gt;0.5,AF45*(1+AC$23)+AC$24,0)</f>
        <v>0</v>
      </c>
      <c r="AD46" s="69" t="n">
        <f aca="false">MIN(AD$23,AC46)</f>
        <v>0</v>
      </c>
      <c r="AE46" s="69" t="n">
        <f aca="false">IF(AND(AD$24=1,OR(AC$25="",$C46&gt;=AC$25)),MAX(0,MIN(AC46-AD46,$D46-(G46+K46+O46+S46+W46+AA46))),0)</f>
        <v>0</v>
      </c>
      <c r="AF46" s="69" t="n">
        <f aca="false">AC46-AD46-AE46</f>
        <v>0</v>
      </c>
      <c r="AG46" s="69" t="n">
        <f aca="false">IF(AJ45&gt;0.5,AJ45*(1+AG$23)+AG$24,0)</f>
        <v>0</v>
      </c>
      <c r="AH46" s="69" t="n">
        <f aca="false">MIN(AH$23,AG46)</f>
        <v>0</v>
      </c>
      <c r="AI46" s="69" t="n">
        <f aca="false">IF(AND(AH$24=1,OR(AG$25="",$C46&gt;=AG$25)),MAX(0,MIN(AG46-AH46,$D46-(G46+K46+O46+S46+W46+AA46+AE46))),0)</f>
        <v>0</v>
      </c>
      <c r="AJ46" s="69" t="n">
        <f aca="false">AG46-AH46-AI46</f>
        <v>0</v>
      </c>
      <c r="AK46" s="69" t="n">
        <f aca="false">IF(AK45&gt;0.5,AK45*(1+$E$12)+$G$12-MIN($F$12,AK45*(1+$E$12)+$G$12),0)</f>
        <v>0</v>
      </c>
      <c r="AL46" s="69" t="n">
        <f aca="false">IF(AL45&gt;0.5,AL45*(1+$E$13)+$G$13-MIN($F$13,AL45*(1+$E$13)+$G$13),0)</f>
        <v>0</v>
      </c>
      <c r="AM46" s="69" t="n">
        <f aca="false">IF(AM45&gt;0.5,AM45*(1+$E$14)+$G$14-MIN($F$14,AM45*(1+$E$14)+$G$14),0)</f>
        <v>0</v>
      </c>
      <c r="AN46" s="69" t="n">
        <f aca="false">IF(AN45&gt;0.5,AN45*(1+$E$15)+$G$15-MIN($F$15,AN45*(1+$E$15)+$G$15),0)</f>
        <v>0</v>
      </c>
      <c r="AO46" s="69" t="n">
        <f aca="false">IF(AO45&gt;0.5,AO45*(1+$E$16)+$G$16-MIN($F$16,AO45*(1+$E$16)+$G$16),0)</f>
        <v>0</v>
      </c>
      <c r="AP46" s="69" t="n">
        <f aca="false">IF(AP45&gt;0.5,AP45*(1+$E$17)+$G$17-MIN($F$17,AP45*(1+$E$17)+$G$17),0)</f>
        <v>0</v>
      </c>
      <c r="AQ46" s="69" t="n">
        <f aca="false">IF(AQ45&gt;0.5,AQ45*(1+$E$18)+$G$18-MIN($F$18,AQ45*(1+$E$18)+$G$18),0)</f>
        <v>0</v>
      </c>
      <c r="AR46" s="69" t="n">
        <f aca="false">IF(AR45&gt;0.5,AR45*(1+$E$19)+$G$19-MIN($F$19,AR45*(1+$E$19)+$G$19),0)</f>
        <v>0</v>
      </c>
      <c r="AS46" s="69" t="n">
        <f aca="false">H46+L46+P46+T46+X46+AB46+AF46+AJ46</f>
        <v>0</v>
      </c>
      <c r="AT46" s="69" t="n">
        <f aca="false">SUM(AK46:AR46)</f>
        <v>0</v>
      </c>
      <c r="AU46" s="69" t="n">
        <f aca="false">F46+G46+J46+K46+N46+O46+R46+S46+V46+W46+Z46+AA46+AD46+AE46+AH46+AI46</f>
        <v>0</v>
      </c>
    </row>
    <row r="47" customFormat="false" ht="15" hidden="false" customHeight="false" outlineLevel="0" collapsed="false">
      <c r="B47" s="0" t="n">
        <v>20</v>
      </c>
      <c r="C47" s="68" t="n">
        <f aca="false">EDATE($C$7,19)</f>
        <v>46874</v>
      </c>
      <c r="D47" s="69" t="n">
        <f aca="false">$C$8-(F47+J47+N47+R47+V47+Z47+AD47+AH47)</f>
        <v>0</v>
      </c>
      <c r="E47" s="69" t="n">
        <f aca="false">IF(H46&gt;0.5,H46*(1+E$23)+E$24,0)</f>
        <v>0</v>
      </c>
      <c r="F47" s="69" t="n">
        <f aca="false">MIN(F$23,E47)</f>
        <v>0</v>
      </c>
      <c r="G47" s="69" t="n">
        <f aca="false">IF(AND(F$24=1,OR(E$25="",$C47&gt;=E$25)),MAX(0,MIN(E47-F47,$D47-(0))),0)</f>
        <v>0</v>
      </c>
      <c r="H47" s="69" t="n">
        <f aca="false">E47-F47-G47</f>
        <v>0</v>
      </c>
      <c r="I47" s="69" t="n">
        <f aca="false">IF(L46&gt;0.5,L46*(1+I$23)+I$24,0)</f>
        <v>0</v>
      </c>
      <c r="J47" s="69" t="n">
        <f aca="false">MIN(J$23,I47)</f>
        <v>0</v>
      </c>
      <c r="K47" s="69" t="n">
        <f aca="false">IF(AND(J$24=1,OR(I$25="",$C47&gt;=I$25)),MAX(0,MIN(I47-J47,$D47-(G47))),0)</f>
        <v>0</v>
      </c>
      <c r="L47" s="69" t="n">
        <f aca="false">I47-J47-K47</f>
        <v>0</v>
      </c>
      <c r="M47" s="69" t="n">
        <f aca="false">IF(P46&gt;0.5,P46*(1+M$23)+M$24,0)</f>
        <v>0</v>
      </c>
      <c r="N47" s="69" t="n">
        <f aca="false">MIN(N$23,M47)</f>
        <v>0</v>
      </c>
      <c r="O47" s="69" t="n">
        <f aca="false">IF(AND(N$24=1,OR(M$25="",$C47&gt;=M$25)),MAX(0,MIN(M47-N47,$D47-(G47+K47))),0)</f>
        <v>0</v>
      </c>
      <c r="P47" s="69" t="n">
        <f aca="false">M47-N47-O47</f>
        <v>0</v>
      </c>
      <c r="Q47" s="69" t="n">
        <f aca="false">IF(T46&gt;0.5,T46*(1+Q$23)+Q$24,0)</f>
        <v>0</v>
      </c>
      <c r="R47" s="69" t="n">
        <f aca="false">MIN(R$23,Q47)</f>
        <v>0</v>
      </c>
      <c r="S47" s="69" t="n">
        <f aca="false">IF(AND(R$24=1,OR(Q$25="",$C47&gt;=Q$25)),MAX(0,MIN(Q47-R47,$D47-(G47+K47+O47))),0)</f>
        <v>0</v>
      </c>
      <c r="T47" s="69" t="n">
        <f aca="false">Q47-R47-S47</f>
        <v>0</v>
      </c>
      <c r="U47" s="69" t="n">
        <f aca="false">IF(X46&gt;0.5,X46*(1+U$23)+U$24,0)</f>
        <v>0</v>
      </c>
      <c r="V47" s="69" t="n">
        <f aca="false">MIN(V$23,U47)</f>
        <v>0</v>
      </c>
      <c r="W47" s="69" t="n">
        <f aca="false">IF(AND(V$24=1,OR(U$25="",$C47&gt;=U$25)),MAX(0,MIN(U47-V47,$D47-(G47+K47+O47+S47))),0)</f>
        <v>0</v>
      </c>
      <c r="X47" s="69" t="n">
        <f aca="false">U47-V47-W47</f>
        <v>0</v>
      </c>
      <c r="Y47" s="69" t="n">
        <f aca="false">IF(AB46&gt;0.5,AB46*(1+Y$23)+Y$24,0)</f>
        <v>0</v>
      </c>
      <c r="Z47" s="69" t="n">
        <f aca="false">MIN(Z$23,Y47)</f>
        <v>0</v>
      </c>
      <c r="AA47" s="69" t="n">
        <f aca="false">IF(AND(Z$24=1,OR(Y$25="",$C47&gt;=Y$25)),MAX(0,MIN(Y47-Z47,$D47-(G47+K47+O47+S47+W47))),0)</f>
        <v>0</v>
      </c>
      <c r="AB47" s="69" t="n">
        <f aca="false">Y47-Z47-AA47</f>
        <v>0</v>
      </c>
      <c r="AC47" s="69" t="n">
        <f aca="false">IF(AF46&gt;0.5,AF46*(1+AC$23)+AC$24,0)</f>
        <v>0</v>
      </c>
      <c r="AD47" s="69" t="n">
        <f aca="false">MIN(AD$23,AC47)</f>
        <v>0</v>
      </c>
      <c r="AE47" s="69" t="n">
        <f aca="false">IF(AND(AD$24=1,OR(AC$25="",$C47&gt;=AC$25)),MAX(0,MIN(AC47-AD47,$D47-(G47+K47+O47+S47+W47+AA47))),0)</f>
        <v>0</v>
      </c>
      <c r="AF47" s="69" t="n">
        <f aca="false">AC47-AD47-AE47</f>
        <v>0</v>
      </c>
      <c r="AG47" s="69" t="n">
        <f aca="false">IF(AJ46&gt;0.5,AJ46*(1+AG$23)+AG$24,0)</f>
        <v>0</v>
      </c>
      <c r="AH47" s="69" t="n">
        <f aca="false">MIN(AH$23,AG47)</f>
        <v>0</v>
      </c>
      <c r="AI47" s="69" t="n">
        <f aca="false">IF(AND(AH$24=1,OR(AG$25="",$C47&gt;=AG$25)),MAX(0,MIN(AG47-AH47,$D47-(G47+K47+O47+S47+W47+AA47+AE47))),0)</f>
        <v>0</v>
      </c>
      <c r="AJ47" s="69" t="n">
        <f aca="false">AG47-AH47-AI47</f>
        <v>0</v>
      </c>
      <c r="AK47" s="69" t="n">
        <f aca="false">IF(AK46&gt;0.5,AK46*(1+$E$12)+$G$12-MIN($F$12,AK46*(1+$E$12)+$G$12),0)</f>
        <v>0</v>
      </c>
      <c r="AL47" s="69" t="n">
        <f aca="false">IF(AL46&gt;0.5,AL46*(1+$E$13)+$G$13-MIN($F$13,AL46*(1+$E$13)+$G$13),0)</f>
        <v>0</v>
      </c>
      <c r="AM47" s="69" t="n">
        <f aca="false">IF(AM46&gt;0.5,AM46*(1+$E$14)+$G$14-MIN($F$14,AM46*(1+$E$14)+$G$14),0)</f>
        <v>0</v>
      </c>
      <c r="AN47" s="69" t="n">
        <f aca="false">IF(AN46&gt;0.5,AN46*(1+$E$15)+$G$15-MIN($F$15,AN46*(1+$E$15)+$G$15),0)</f>
        <v>0</v>
      </c>
      <c r="AO47" s="69" t="n">
        <f aca="false">IF(AO46&gt;0.5,AO46*(1+$E$16)+$G$16-MIN($F$16,AO46*(1+$E$16)+$G$16),0)</f>
        <v>0</v>
      </c>
      <c r="AP47" s="69" t="n">
        <f aca="false">IF(AP46&gt;0.5,AP46*(1+$E$17)+$G$17-MIN($F$17,AP46*(1+$E$17)+$G$17),0)</f>
        <v>0</v>
      </c>
      <c r="AQ47" s="69" t="n">
        <f aca="false">IF(AQ46&gt;0.5,AQ46*(1+$E$18)+$G$18-MIN($F$18,AQ46*(1+$E$18)+$G$18),0)</f>
        <v>0</v>
      </c>
      <c r="AR47" s="69" t="n">
        <f aca="false">IF(AR46&gt;0.5,AR46*(1+$E$19)+$G$19-MIN($F$19,AR46*(1+$E$19)+$G$19),0)</f>
        <v>0</v>
      </c>
      <c r="AS47" s="69" t="n">
        <f aca="false">H47+L47+P47+T47+X47+AB47+AF47+AJ47</f>
        <v>0</v>
      </c>
      <c r="AT47" s="69" t="n">
        <f aca="false">SUM(AK47:AR47)</f>
        <v>0</v>
      </c>
      <c r="AU47" s="69" t="n">
        <f aca="false">F47+G47+J47+K47+N47+O47+R47+S47+V47+W47+Z47+AA47+AD47+AE47+AH47+AI47</f>
        <v>0</v>
      </c>
    </row>
    <row r="48" customFormat="false" ht="15" hidden="false" customHeight="false" outlineLevel="0" collapsed="false">
      <c r="B48" s="0" t="n">
        <v>21</v>
      </c>
      <c r="C48" s="68" t="n">
        <f aca="false">EDATE($C$7,20)</f>
        <v>46905</v>
      </c>
      <c r="D48" s="69" t="n">
        <f aca="false">$C$8-(F48+J48+N48+R48+V48+Z48+AD48+AH48)</f>
        <v>0</v>
      </c>
      <c r="E48" s="69" t="n">
        <f aca="false">IF(H47&gt;0.5,H47*(1+E$23)+E$24,0)</f>
        <v>0</v>
      </c>
      <c r="F48" s="69" t="n">
        <f aca="false">MIN(F$23,E48)</f>
        <v>0</v>
      </c>
      <c r="G48" s="69" t="n">
        <f aca="false">IF(AND(F$24=1,OR(E$25="",$C48&gt;=E$25)),MAX(0,MIN(E48-F48,$D48-(0))),0)</f>
        <v>0</v>
      </c>
      <c r="H48" s="69" t="n">
        <f aca="false">E48-F48-G48</f>
        <v>0</v>
      </c>
      <c r="I48" s="69" t="n">
        <f aca="false">IF(L47&gt;0.5,L47*(1+I$23)+I$24,0)</f>
        <v>0</v>
      </c>
      <c r="J48" s="69" t="n">
        <f aca="false">MIN(J$23,I48)</f>
        <v>0</v>
      </c>
      <c r="K48" s="69" t="n">
        <f aca="false">IF(AND(J$24=1,OR(I$25="",$C48&gt;=I$25)),MAX(0,MIN(I48-J48,$D48-(G48))),0)</f>
        <v>0</v>
      </c>
      <c r="L48" s="69" t="n">
        <f aca="false">I48-J48-K48</f>
        <v>0</v>
      </c>
      <c r="M48" s="69" t="n">
        <f aca="false">IF(P47&gt;0.5,P47*(1+M$23)+M$24,0)</f>
        <v>0</v>
      </c>
      <c r="N48" s="69" t="n">
        <f aca="false">MIN(N$23,M48)</f>
        <v>0</v>
      </c>
      <c r="O48" s="69" t="n">
        <f aca="false">IF(AND(N$24=1,OR(M$25="",$C48&gt;=M$25)),MAX(0,MIN(M48-N48,$D48-(G48+K48))),0)</f>
        <v>0</v>
      </c>
      <c r="P48" s="69" t="n">
        <f aca="false">M48-N48-O48</f>
        <v>0</v>
      </c>
      <c r="Q48" s="69" t="n">
        <f aca="false">IF(T47&gt;0.5,T47*(1+Q$23)+Q$24,0)</f>
        <v>0</v>
      </c>
      <c r="R48" s="69" t="n">
        <f aca="false">MIN(R$23,Q48)</f>
        <v>0</v>
      </c>
      <c r="S48" s="69" t="n">
        <f aca="false">IF(AND(R$24=1,OR(Q$25="",$C48&gt;=Q$25)),MAX(0,MIN(Q48-R48,$D48-(G48+K48+O48))),0)</f>
        <v>0</v>
      </c>
      <c r="T48" s="69" t="n">
        <f aca="false">Q48-R48-S48</f>
        <v>0</v>
      </c>
      <c r="U48" s="69" t="n">
        <f aca="false">IF(X47&gt;0.5,X47*(1+U$23)+U$24,0)</f>
        <v>0</v>
      </c>
      <c r="V48" s="69" t="n">
        <f aca="false">MIN(V$23,U48)</f>
        <v>0</v>
      </c>
      <c r="W48" s="69" t="n">
        <f aca="false">IF(AND(V$24=1,OR(U$25="",$C48&gt;=U$25)),MAX(0,MIN(U48-V48,$D48-(G48+K48+O48+S48))),0)</f>
        <v>0</v>
      </c>
      <c r="X48" s="69" t="n">
        <f aca="false">U48-V48-W48</f>
        <v>0</v>
      </c>
      <c r="Y48" s="69" t="n">
        <f aca="false">IF(AB47&gt;0.5,AB47*(1+Y$23)+Y$24,0)</f>
        <v>0</v>
      </c>
      <c r="Z48" s="69" t="n">
        <f aca="false">MIN(Z$23,Y48)</f>
        <v>0</v>
      </c>
      <c r="AA48" s="69" t="n">
        <f aca="false">IF(AND(Z$24=1,OR(Y$25="",$C48&gt;=Y$25)),MAX(0,MIN(Y48-Z48,$D48-(G48+K48+O48+S48+W48))),0)</f>
        <v>0</v>
      </c>
      <c r="AB48" s="69" t="n">
        <f aca="false">Y48-Z48-AA48</f>
        <v>0</v>
      </c>
      <c r="AC48" s="69" t="n">
        <f aca="false">IF(AF47&gt;0.5,AF47*(1+AC$23)+AC$24,0)</f>
        <v>0</v>
      </c>
      <c r="AD48" s="69" t="n">
        <f aca="false">MIN(AD$23,AC48)</f>
        <v>0</v>
      </c>
      <c r="AE48" s="69" t="n">
        <f aca="false">IF(AND(AD$24=1,OR(AC$25="",$C48&gt;=AC$25)),MAX(0,MIN(AC48-AD48,$D48-(G48+K48+O48+S48+W48+AA48))),0)</f>
        <v>0</v>
      </c>
      <c r="AF48" s="69" t="n">
        <f aca="false">AC48-AD48-AE48</f>
        <v>0</v>
      </c>
      <c r="AG48" s="69" t="n">
        <f aca="false">IF(AJ47&gt;0.5,AJ47*(1+AG$23)+AG$24,0)</f>
        <v>0</v>
      </c>
      <c r="AH48" s="69" t="n">
        <f aca="false">MIN(AH$23,AG48)</f>
        <v>0</v>
      </c>
      <c r="AI48" s="69" t="n">
        <f aca="false">IF(AND(AH$24=1,OR(AG$25="",$C48&gt;=AG$25)),MAX(0,MIN(AG48-AH48,$D48-(G48+K48+O48+S48+W48+AA48+AE48))),0)</f>
        <v>0</v>
      </c>
      <c r="AJ48" s="69" t="n">
        <f aca="false">AG48-AH48-AI48</f>
        <v>0</v>
      </c>
      <c r="AK48" s="69" t="n">
        <f aca="false">IF(AK47&gt;0.5,AK47*(1+$E$12)+$G$12-MIN($F$12,AK47*(1+$E$12)+$G$12),0)</f>
        <v>0</v>
      </c>
      <c r="AL48" s="69" t="n">
        <f aca="false">IF(AL47&gt;0.5,AL47*(1+$E$13)+$G$13-MIN($F$13,AL47*(1+$E$13)+$G$13),0)</f>
        <v>0</v>
      </c>
      <c r="AM48" s="69" t="n">
        <f aca="false">IF(AM47&gt;0.5,AM47*(1+$E$14)+$G$14-MIN($F$14,AM47*(1+$E$14)+$G$14),0)</f>
        <v>0</v>
      </c>
      <c r="AN48" s="69" t="n">
        <f aca="false">IF(AN47&gt;0.5,AN47*(1+$E$15)+$G$15-MIN($F$15,AN47*(1+$E$15)+$G$15),0)</f>
        <v>0</v>
      </c>
      <c r="AO48" s="69" t="n">
        <f aca="false">IF(AO47&gt;0.5,AO47*(1+$E$16)+$G$16-MIN($F$16,AO47*(1+$E$16)+$G$16),0)</f>
        <v>0</v>
      </c>
      <c r="AP48" s="69" t="n">
        <f aca="false">IF(AP47&gt;0.5,AP47*(1+$E$17)+$G$17-MIN($F$17,AP47*(1+$E$17)+$G$17),0)</f>
        <v>0</v>
      </c>
      <c r="AQ48" s="69" t="n">
        <f aca="false">IF(AQ47&gt;0.5,AQ47*(1+$E$18)+$G$18-MIN($F$18,AQ47*(1+$E$18)+$G$18),0)</f>
        <v>0</v>
      </c>
      <c r="AR48" s="69" t="n">
        <f aca="false">IF(AR47&gt;0.5,AR47*(1+$E$19)+$G$19-MIN($F$19,AR47*(1+$E$19)+$G$19),0)</f>
        <v>0</v>
      </c>
      <c r="AS48" s="69" t="n">
        <f aca="false">H48+L48+P48+T48+X48+AB48+AF48+AJ48</f>
        <v>0</v>
      </c>
      <c r="AT48" s="69" t="n">
        <f aca="false">SUM(AK48:AR48)</f>
        <v>0</v>
      </c>
      <c r="AU48" s="69" t="n">
        <f aca="false">F48+G48+J48+K48+N48+O48+R48+S48+V48+W48+Z48+AA48+AD48+AE48+AH48+AI48</f>
        <v>0</v>
      </c>
    </row>
    <row r="49" customFormat="false" ht="15" hidden="false" customHeight="false" outlineLevel="0" collapsed="false">
      <c r="B49" s="0" t="n">
        <v>22</v>
      </c>
      <c r="C49" s="68" t="n">
        <f aca="false">EDATE($C$7,21)</f>
        <v>46935</v>
      </c>
      <c r="D49" s="69" t="n">
        <f aca="false">$C$8-(F49+J49+N49+R49+V49+Z49+AD49+AH49)</f>
        <v>0</v>
      </c>
      <c r="E49" s="69" t="n">
        <f aca="false">IF(H48&gt;0.5,H48*(1+E$23)+E$24,0)</f>
        <v>0</v>
      </c>
      <c r="F49" s="69" t="n">
        <f aca="false">MIN(F$23,E49)</f>
        <v>0</v>
      </c>
      <c r="G49" s="69" t="n">
        <f aca="false">IF(AND(F$24=1,OR(E$25="",$C49&gt;=E$25)),MAX(0,MIN(E49-F49,$D49-(0))),0)</f>
        <v>0</v>
      </c>
      <c r="H49" s="69" t="n">
        <f aca="false">E49-F49-G49</f>
        <v>0</v>
      </c>
      <c r="I49" s="69" t="n">
        <f aca="false">IF(L48&gt;0.5,L48*(1+I$23)+I$24,0)</f>
        <v>0</v>
      </c>
      <c r="J49" s="69" t="n">
        <f aca="false">MIN(J$23,I49)</f>
        <v>0</v>
      </c>
      <c r="K49" s="69" t="n">
        <f aca="false">IF(AND(J$24=1,OR(I$25="",$C49&gt;=I$25)),MAX(0,MIN(I49-J49,$D49-(G49))),0)</f>
        <v>0</v>
      </c>
      <c r="L49" s="69" t="n">
        <f aca="false">I49-J49-K49</f>
        <v>0</v>
      </c>
      <c r="M49" s="69" t="n">
        <f aca="false">IF(P48&gt;0.5,P48*(1+M$23)+M$24,0)</f>
        <v>0</v>
      </c>
      <c r="N49" s="69" t="n">
        <f aca="false">MIN(N$23,M49)</f>
        <v>0</v>
      </c>
      <c r="O49" s="69" t="n">
        <f aca="false">IF(AND(N$24=1,OR(M$25="",$C49&gt;=M$25)),MAX(0,MIN(M49-N49,$D49-(G49+K49))),0)</f>
        <v>0</v>
      </c>
      <c r="P49" s="69" t="n">
        <f aca="false">M49-N49-O49</f>
        <v>0</v>
      </c>
      <c r="Q49" s="69" t="n">
        <f aca="false">IF(T48&gt;0.5,T48*(1+Q$23)+Q$24,0)</f>
        <v>0</v>
      </c>
      <c r="R49" s="69" t="n">
        <f aca="false">MIN(R$23,Q49)</f>
        <v>0</v>
      </c>
      <c r="S49" s="69" t="n">
        <f aca="false">IF(AND(R$24=1,OR(Q$25="",$C49&gt;=Q$25)),MAX(0,MIN(Q49-R49,$D49-(G49+K49+O49))),0)</f>
        <v>0</v>
      </c>
      <c r="T49" s="69" t="n">
        <f aca="false">Q49-R49-S49</f>
        <v>0</v>
      </c>
      <c r="U49" s="69" t="n">
        <f aca="false">IF(X48&gt;0.5,X48*(1+U$23)+U$24,0)</f>
        <v>0</v>
      </c>
      <c r="V49" s="69" t="n">
        <f aca="false">MIN(V$23,U49)</f>
        <v>0</v>
      </c>
      <c r="W49" s="69" t="n">
        <f aca="false">IF(AND(V$24=1,OR(U$25="",$C49&gt;=U$25)),MAX(0,MIN(U49-V49,$D49-(G49+K49+O49+S49))),0)</f>
        <v>0</v>
      </c>
      <c r="X49" s="69" t="n">
        <f aca="false">U49-V49-W49</f>
        <v>0</v>
      </c>
      <c r="Y49" s="69" t="n">
        <f aca="false">IF(AB48&gt;0.5,AB48*(1+Y$23)+Y$24,0)</f>
        <v>0</v>
      </c>
      <c r="Z49" s="69" t="n">
        <f aca="false">MIN(Z$23,Y49)</f>
        <v>0</v>
      </c>
      <c r="AA49" s="69" t="n">
        <f aca="false">IF(AND(Z$24=1,OR(Y$25="",$C49&gt;=Y$25)),MAX(0,MIN(Y49-Z49,$D49-(G49+K49+O49+S49+W49))),0)</f>
        <v>0</v>
      </c>
      <c r="AB49" s="69" t="n">
        <f aca="false">Y49-Z49-AA49</f>
        <v>0</v>
      </c>
      <c r="AC49" s="69" t="n">
        <f aca="false">IF(AF48&gt;0.5,AF48*(1+AC$23)+AC$24,0)</f>
        <v>0</v>
      </c>
      <c r="AD49" s="69" t="n">
        <f aca="false">MIN(AD$23,AC49)</f>
        <v>0</v>
      </c>
      <c r="AE49" s="69" t="n">
        <f aca="false">IF(AND(AD$24=1,OR(AC$25="",$C49&gt;=AC$25)),MAX(0,MIN(AC49-AD49,$D49-(G49+K49+O49+S49+W49+AA49))),0)</f>
        <v>0</v>
      </c>
      <c r="AF49" s="69" t="n">
        <f aca="false">AC49-AD49-AE49</f>
        <v>0</v>
      </c>
      <c r="AG49" s="69" t="n">
        <f aca="false">IF(AJ48&gt;0.5,AJ48*(1+AG$23)+AG$24,0)</f>
        <v>0</v>
      </c>
      <c r="AH49" s="69" t="n">
        <f aca="false">MIN(AH$23,AG49)</f>
        <v>0</v>
      </c>
      <c r="AI49" s="69" t="n">
        <f aca="false">IF(AND(AH$24=1,OR(AG$25="",$C49&gt;=AG$25)),MAX(0,MIN(AG49-AH49,$D49-(G49+K49+O49+S49+W49+AA49+AE49))),0)</f>
        <v>0</v>
      </c>
      <c r="AJ49" s="69" t="n">
        <f aca="false">AG49-AH49-AI49</f>
        <v>0</v>
      </c>
      <c r="AK49" s="69" t="n">
        <f aca="false">IF(AK48&gt;0.5,AK48*(1+$E$12)+$G$12-MIN($F$12,AK48*(1+$E$12)+$G$12),0)</f>
        <v>0</v>
      </c>
      <c r="AL49" s="69" t="n">
        <f aca="false">IF(AL48&gt;0.5,AL48*(1+$E$13)+$G$13-MIN($F$13,AL48*(1+$E$13)+$G$13),0)</f>
        <v>0</v>
      </c>
      <c r="AM49" s="69" t="n">
        <f aca="false">IF(AM48&gt;0.5,AM48*(1+$E$14)+$G$14-MIN($F$14,AM48*(1+$E$14)+$G$14),0)</f>
        <v>0</v>
      </c>
      <c r="AN49" s="69" t="n">
        <f aca="false">IF(AN48&gt;0.5,AN48*(1+$E$15)+$G$15-MIN($F$15,AN48*(1+$E$15)+$G$15),0)</f>
        <v>0</v>
      </c>
      <c r="AO49" s="69" t="n">
        <f aca="false">IF(AO48&gt;0.5,AO48*(1+$E$16)+$G$16-MIN($F$16,AO48*(1+$E$16)+$G$16),0)</f>
        <v>0</v>
      </c>
      <c r="AP49" s="69" t="n">
        <f aca="false">IF(AP48&gt;0.5,AP48*(1+$E$17)+$G$17-MIN($F$17,AP48*(1+$E$17)+$G$17),0)</f>
        <v>0</v>
      </c>
      <c r="AQ49" s="69" t="n">
        <f aca="false">IF(AQ48&gt;0.5,AQ48*(1+$E$18)+$G$18-MIN($F$18,AQ48*(1+$E$18)+$G$18),0)</f>
        <v>0</v>
      </c>
      <c r="AR49" s="69" t="n">
        <f aca="false">IF(AR48&gt;0.5,AR48*(1+$E$19)+$G$19-MIN($F$19,AR48*(1+$E$19)+$G$19),0)</f>
        <v>0</v>
      </c>
      <c r="AS49" s="69" t="n">
        <f aca="false">H49+L49+P49+T49+X49+AB49+AF49+AJ49</f>
        <v>0</v>
      </c>
      <c r="AT49" s="69" t="n">
        <f aca="false">SUM(AK49:AR49)</f>
        <v>0</v>
      </c>
      <c r="AU49" s="69" t="n">
        <f aca="false">F49+G49+J49+K49+N49+O49+R49+S49+V49+W49+Z49+AA49+AD49+AE49+AH49+AI49</f>
        <v>0</v>
      </c>
    </row>
    <row r="50" customFormat="false" ht="15" hidden="false" customHeight="false" outlineLevel="0" collapsed="false">
      <c r="B50" s="0" t="n">
        <v>23</v>
      </c>
      <c r="C50" s="68" t="n">
        <f aca="false">EDATE($C$7,22)</f>
        <v>46966</v>
      </c>
      <c r="D50" s="69" t="n">
        <f aca="false">$C$8-(F50+J50+N50+R50+V50+Z50+AD50+AH50)</f>
        <v>0</v>
      </c>
      <c r="E50" s="69" t="n">
        <f aca="false">IF(H49&gt;0.5,H49*(1+E$23)+E$24,0)</f>
        <v>0</v>
      </c>
      <c r="F50" s="69" t="n">
        <f aca="false">MIN(F$23,E50)</f>
        <v>0</v>
      </c>
      <c r="G50" s="69" t="n">
        <f aca="false">IF(AND(F$24=1,OR(E$25="",$C50&gt;=E$25)),MAX(0,MIN(E50-F50,$D50-(0))),0)</f>
        <v>0</v>
      </c>
      <c r="H50" s="69" t="n">
        <f aca="false">E50-F50-G50</f>
        <v>0</v>
      </c>
      <c r="I50" s="69" t="n">
        <f aca="false">IF(L49&gt;0.5,L49*(1+I$23)+I$24,0)</f>
        <v>0</v>
      </c>
      <c r="J50" s="69" t="n">
        <f aca="false">MIN(J$23,I50)</f>
        <v>0</v>
      </c>
      <c r="K50" s="69" t="n">
        <f aca="false">IF(AND(J$24=1,OR(I$25="",$C50&gt;=I$25)),MAX(0,MIN(I50-J50,$D50-(G50))),0)</f>
        <v>0</v>
      </c>
      <c r="L50" s="69" t="n">
        <f aca="false">I50-J50-K50</f>
        <v>0</v>
      </c>
      <c r="M50" s="69" t="n">
        <f aca="false">IF(P49&gt;0.5,P49*(1+M$23)+M$24,0)</f>
        <v>0</v>
      </c>
      <c r="N50" s="69" t="n">
        <f aca="false">MIN(N$23,M50)</f>
        <v>0</v>
      </c>
      <c r="O50" s="69" t="n">
        <f aca="false">IF(AND(N$24=1,OR(M$25="",$C50&gt;=M$25)),MAX(0,MIN(M50-N50,$D50-(G50+K50))),0)</f>
        <v>0</v>
      </c>
      <c r="P50" s="69" t="n">
        <f aca="false">M50-N50-O50</f>
        <v>0</v>
      </c>
      <c r="Q50" s="69" t="n">
        <f aca="false">IF(T49&gt;0.5,T49*(1+Q$23)+Q$24,0)</f>
        <v>0</v>
      </c>
      <c r="R50" s="69" t="n">
        <f aca="false">MIN(R$23,Q50)</f>
        <v>0</v>
      </c>
      <c r="S50" s="69" t="n">
        <f aca="false">IF(AND(R$24=1,OR(Q$25="",$C50&gt;=Q$25)),MAX(0,MIN(Q50-R50,$D50-(G50+K50+O50))),0)</f>
        <v>0</v>
      </c>
      <c r="T50" s="69" t="n">
        <f aca="false">Q50-R50-S50</f>
        <v>0</v>
      </c>
      <c r="U50" s="69" t="n">
        <f aca="false">IF(X49&gt;0.5,X49*(1+U$23)+U$24,0)</f>
        <v>0</v>
      </c>
      <c r="V50" s="69" t="n">
        <f aca="false">MIN(V$23,U50)</f>
        <v>0</v>
      </c>
      <c r="W50" s="69" t="n">
        <f aca="false">IF(AND(V$24=1,OR(U$25="",$C50&gt;=U$25)),MAX(0,MIN(U50-V50,$D50-(G50+K50+O50+S50))),0)</f>
        <v>0</v>
      </c>
      <c r="X50" s="69" t="n">
        <f aca="false">U50-V50-W50</f>
        <v>0</v>
      </c>
      <c r="Y50" s="69" t="n">
        <f aca="false">IF(AB49&gt;0.5,AB49*(1+Y$23)+Y$24,0)</f>
        <v>0</v>
      </c>
      <c r="Z50" s="69" t="n">
        <f aca="false">MIN(Z$23,Y50)</f>
        <v>0</v>
      </c>
      <c r="AA50" s="69" t="n">
        <f aca="false">IF(AND(Z$24=1,OR(Y$25="",$C50&gt;=Y$25)),MAX(0,MIN(Y50-Z50,$D50-(G50+K50+O50+S50+W50))),0)</f>
        <v>0</v>
      </c>
      <c r="AB50" s="69" t="n">
        <f aca="false">Y50-Z50-AA50</f>
        <v>0</v>
      </c>
      <c r="AC50" s="69" t="n">
        <f aca="false">IF(AF49&gt;0.5,AF49*(1+AC$23)+AC$24,0)</f>
        <v>0</v>
      </c>
      <c r="AD50" s="69" t="n">
        <f aca="false">MIN(AD$23,AC50)</f>
        <v>0</v>
      </c>
      <c r="AE50" s="69" t="n">
        <f aca="false">IF(AND(AD$24=1,OR(AC$25="",$C50&gt;=AC$25)),MAX(0,MIN(AC50-AD50,$D50-(G50+K50+O50+S50+W50+AA50))),0)</f>
        <v>0</v>
      </c>
      <c r="AF50" s="69" t="n">
        <f aca="false">AC50-AD50-AE50</f>
        <v>0</v>
      </c>
      <c r="AG50" s="69" t="n">
        <f aca="false">IF(AJ49&gt;0.5,AJ49*(1+AG$23)+AG$24,0)</f>
        <v>0</v>
      </c>
      <c r="AH50" s="69" t="n">
        <f aca="false">MIN(AH$23,AG50)</f>
        <v>0</v>
      </c>
      <c r="AI50" s="69" t="n">
        <f aca="false">IF(AND(AH$24=1,OR(AG$25="",$C50&gt;=AG$25)),MAX(0,MIN(AG50-AH50,$D50-(G50+K50+O50+S50+W50+AA50+AE50))),0)</f>
        <v>0</v>
      </c>
      <c r="AJ50" s="69" t="n">
        <f aca="false">AG50-AH50-AI50</f>
        <v>0</v>
      </c>
      <c r="AK50" s="69" t="n">
        <f aca="false">IF(AK49&gt;0.5,AK49*(1+$E$12)+$G$12-MIN($F$12,AK49*(1+$E$12)+$G$12),0)</f>
        <v>0</v>
      </c>
      <c r="AL50" s="69" t="n">
        <f aca="false">IF(AL49&gt;0.5,AL49*(1+$E$13)+$G$13-MIN($F$13,AL49*(1+$E$13)+$G$13),0)</f>
        <v>0</v>
      </c>
      <c r="AM50" s="69" t="n">
        <f aca="false">IF(AM49&gt;0.5,AM49*(1+$E$14)+$G$14-MIN($F$14,AM49*(1+$E$14)+$G$14),0)</f>
        <v>0</v>
      </c>
      <c r="AN50" s="69" t="n">
        <f aca="false">IF(AN49&gt;0.5,AN49*(1+$E$15)+$G$15-MIN($F$15,AN49*(1+$E$15)+$G$15),0)</f>
        <v>0</v>
      </c>
      <c r="AO50" s="69" t="n">
        <f aca="false">IF(AO49&gt;0.5,AO49*(1+$E$16)+$G$16-MIN($F$16,AO49*(1+$E$16)+$G$16),0)</f>
        <v>0</v>
      </c>
      <c r="AP50" s="69" t="n">
        <f aca="false">IF(AP49&gt;0.5,AP49*(1+$E$17)+$G$17-MIN($F$17,AP49*(1+$E$17)+$G$17),0)</f>
        <v>0</v>
      </c>
      <c r="AQ50" s="69" t="n">
        <f aca="false">IF(AQ49&gt;0.5,AQ49*(1+$E$18)+$G$18-MIN($F$18,AQ49*(1+$E$18)+$G$18),0)</f>
        <v>0</v>
      </c>
      <c r="AR50" s="69" t="n">
        <f aca="false">IF(AR49&gt;0.5,AR49*(1+$E$19)+$G$19-MIN($F$19,AR49*(1+$E$19)+$G$19),0)</f>
        <v>0</v>
      </c>
      <c r="AS50" s="69" t="n">
        <f aca="false">H50+L50+P50+T50+X50+AB50+AF50+AJ50</f>
        <v>0</v>
      </c>
      <c r="AT50" s="69" t="n">
        <f aca="false">SUM(AK50:AR50)</f>
        <v>0</v>
      </c>
      <c r="AU50" s="69" t="n">
        <f aca="false">F50+G50+J50+K50+N50+O50+R50+S50+V50+W50+Z50+AA50+AD50+AE50+AH50+AI50</f>
        <v>0</v>
      </c>
    </row>
    <row r="51" customFormat="false" ht="15" hidden="false" customHeight="false" outlineLevel="0" collapsed="false">
      <c r="B51" s="0" t="n">
        <v>24</v>
      </c>
      <c r="C51" s="68" t="n">
        <f aca="false">EDATE($C$7,23)</f>
        <v>46997</v>
      </c>
      <c r="D51" s="69" t="n">
        <f aca="false">$C$8-(F51+J51+N51+R51+V51+Z51+AD51+AH51)</f>
        <v>0</v>
      </c>
      <c r="E51" s="69" t="n">
        <f aca="false">IF(H50&gt;0.5,H50*(1+E$23)+E$24,0)</f>
        <v>0</v>
      </c>
      <c r="F51" s="69" t="n">
        <f aca="false">MIN(F$23,E51)</f>
        <v>0</v>
      </c>
      <c r="G51" s="69" t="n">
        <f aca="false">IF(AND(F$24=1,OR(E$25="",$C51&gt;=E$25)),MAX(0,MIN(E51-F51,$D51-(0))),0)</f>
        <v>0</v>
      </c>
      <c r="H51" s="69" t="n">
        <f aca="false">E51-F51-G51</f>
        <v>0</v>
      </c>
      <c r="I51" s="69" t="n">
        <f aca="false">IF(L50&gt;0.5,L50*(1+I$23)+I$24,0)</f>
        <v>0</v>
      </c>
      <c r="J51" s="69" t="n">
        <f aca="false">MIN(J$23,I51)</f>
        <v>0</v>
      </c>
      <c r="K51" s="69" t="n">
        <f aca="false">IF(AND(J$24=1,OR(I$25="",$C51&gt;=I$25)),MAX(0,MIN(I51-J51,$D51-(G51))),0)</f>
        <v>0</v>
      </c>
      <c r="L51" s="69" t="n">
        <f aca="false">I51-J51-K51</f>
        <v>0</v>
      </c>
      <c r="M51" s="69" t="n">
        <f aca="false">IF(P50&gt;0.5,P50*(1+M$23)+M$24,0)</f>
        <v>0</v>
      </c>
      <c r="N51" s="69" t="n">
        <f aca="false">MIN(N$23,M51)</f>
        <v>0</v>
      </c>
      <c r="O51" s="69" t="n">
        <f aca="false">IF(AND(N$24=1,OR(M$25="",$C51&gt;=M$25)),MAX(0,MIN(M51-N51,$D51-(G51+K51))),0)</f>
        <v>0</v>
      </c>
      <c r="P51" s="69" t="n">
        <f aca="false">M51-N51-O51</f>
        <v>0</v>
      </c>
      <c r="Q51" s="69" t="n">
        <f aca="false">IF(T50&gt;0.5,T50*(1+Q$23)+Q$24,0)</f>
        <v>0</v>
      </c>
      <c r="R51" s="69" t="n">
        <f aca="false">MIN(R$23,Q51)</f>
        <v>0</v>
      </c>
      <c r="S51" s="69" t="n">
        <f aca="false">IF(AND(R$24=1,OR(Q$25="",$C51&gt;=Q$25)),MAX(0,MIN(Q51-R51,$D51-(G51+K51+O51))),0)</f>
        <v>0</v>
      </c>
      <c r="T51" s="69" t="n">
        <f aca="false">Q51-R51-S51</f>
        <v>0</v>
      </c>
      <c r="U51" s="69" t="n">
        <f aca="false">IF(X50&gt;0.5,X50*(1+U$23)+U$24,0)</f>
        <v>0</v>
      </c>
      <c r="V51" s="69" t="n">
        <f aca="false">MIN(V$23,U51)</f>
        <v>0</v>
      </c>
      <c r="W51" s="69" t="n">
        <f aca="false">IF(AND(V$24=1,OR(U$25="",$C51&gt;=U$25)),MAX(0,MIN(U51-V51,$D51-(G51+K51+O51+S51))),0)</f>
        <v>0</v>
      </c>
      <c r="X51" s="69" t="n">
        <f aca="false">U51-V51-W51</f>
        <v>0</v>
      </c>
      <c r="Y51" s="69" t="n">
        <f aca="false">IF(AB50&gt;0.5,AB50*(1+Y$23)+Y$24,0)</f>
        <v>0</v>
      </c>
      <c r="Z51" s="69" t="n">
        <f aca="false">MIN(Z$23,Y51)</f>
        <v>0</v>
      </c>
      <c r="AA51" s="69" t="n">
        <f aca="false">IF(AND(Z$24=1,OR(Y$25="",$C51&gt;=Y$25)),MAX(0,MIN(Y51-Z51,$D51-(G51+K51+O51+S51+W51))),0)</f>
        <v>0</v>
      </c>
      <c r="AB51" s="69" t="n">
        <f aca="false">Y51-Z51-AA51</f>
        <v>0</v>
      </c>
      <c r="AC51" s="69" t="n">
        <f aca="false">IF(AF50&gt;0.5,AF50*(1+AC$23)+AC$24,0)</f>
        <v>0</v>
      </c>
      <c r="AD51" s="69" t="n">
        <f aca="false">MIN(AD$23,AC51)</f>
        <v>0</v>
      </c>
      <c r="AE51" s="69" t="n">
        <f aca="false">IF(AND(AD$24=1,OR(AC$25="",$C51&gt;=AC$25)),MAX(0,MIN(AC51-AD51,$D51-(G51+K51+O51+S51+W51+AA51))),0)</f>
        <v>0</v>
      </c>
      <c r="AF51" s="69" t="n">
        <f aca="false">AC51-AD51-AE51</f>
        <v>0</v>
      </c>
      <c r="AG51" s="69" t="n">
        <f aca="false">IF(AJ50&gt;0.5,AJ50*(1+AG$23)+AG$24,0)</f>
        <v>0</v>
      </c>
      <c r="AH51" s="69" t="n">
        <f aca="false">MIN(AH$23,AG51)</f>
        <v>0</v>
      </c>
      <c r="AI51" s="69" t="n">
        <f aca="false">IF(AND(AH$24=1,OR(AG$25="",$C51&gt;=AG$25)),MAX(0,MIN(AG51-AH51,$D51-(G51+K51+O51+S51+W51+AA51+AE51))),0)</f>
        <v>0</v>
      </c>
      <c r="AJ51" s="69" t="n">
        <f aca="false">AG51-AH51-AI51</f>
        <v>0</v>
      </c>
      <c r="AK51" s="69" t="n">
        <f aca="false">IF(AK50&gt;0.5,AK50*(1+$E$12)+$G$12-MIN($F$12,AK50*(1+$E$12)+$G$12),0)</f>
        <v>0</v>
      </c>
      <c r="AL51" s="69" t="n">
        <f aca="false">IF(AL50&gt;0.5,AL50*(1+$E$13)+$G$13-MIN($F$13,AL50*(1+$E$13)+$G$13),0)</f>
        <v>0</v>
      </c>
      <c r="AM51" s="69" t="n">
        <f aca="false">IF(AM50&gt;0.5,AM50*(1+$E$14)+$G$14-MIN($F$14,AM50*(1+$E$14)+$G$14),0)</f>
        <v>0</v>
      </c>
      <c r="AN51" s="69" t="n">
        <f aca="false">IF(AN50&gt;0.5,AN50*(1+$E$15)+$G$15-MIN($F$15,AN50*(1+$E$15)+$G$15),0)</f>
        <v>0</v>
      </c>
      <c r="AO51" s="69" t="n">
        <f aca="false">IF(AO50&gt;0.5,AO50*(1+$E$16)+$G$16-MIN($F$16,AO50*(1+$E$16)+$G$16),0)</f>
        <v>0</v>
      </c>
      <c r="AP51" s="69" t="n">
        <f aca="false">IF(AP50&gt;0.5,AP50*(1+$E$17)+$G$17-MIN($F$17,AP50*(1+$E$17)+$G$17),0)</f>
        <v>0</v>
      </c>
      <c r="AQ51" s="69" t="n">
        <f aca="false">IF(AQ50&gt;0.5,AQ50*(1+$E$18)+$G$18-MIN($F$18,AQ50*(1+$E$18)+$G$18),0)</f>
        <v>0</v>
      </c>
      <c r="AR51" s="69" t="n">
        <f aca="false">IF(AR50&gt;0.5,AR50*(1+$E$19)+$G$19-MIN($F$19,AR50*(1+$E$19)+$G$19),0)</f>
        <v>0</v>
      </c>
      <c r="AS51" s="69" t="n">
        <f aca="false">H51+L51+P51+T51+X51+AB51+AF51+AJ51</f>
        <v>0</v>
      </c>
      <c r="AT51" s="69" t="n">
        <f aca="false">SUM(AK51:AR51)</f>
        <v>0</v>
      </c>
      <c r="AU51" s="69" t="n">
        <f aca="false">F51+G51+J51+K51+N51+O51+R51+S51+V51+W51+Z51+AA51+AD51+AE51+AH51+AI51</f>
        <v>0</v>
      </c>
    </row>
    <row r="52" customFormat="false" ht="15" hidden="false" customHeight="false" outlineLevel="0" collapsed="false">
      <c r="B52" s="0" t="n">
        <v>25</v>
      </c>
      <c r="C52" s="68" t="n">
        <f aca="false">EDATE($C$7,24)</f>
        <v>47027</v>
      </c>
      <c r="D52" s="69" t="n">
        <f aca="false">$C$8-(F52+J52+N52+R52+V52+Z52+AD52+AH52)</f>
        <v>0</v>
      </c>
      <c r="E52" s="69" t="n">
        <f aca="false">IF(H51&gt;0.5,H51*(1+E$23)+E$24,0)</f>
        <v>0</v>
      </c>
      <c r="F52" s="69" t="n">
        <f aca="false">MIN(F$23,E52)</f>
        <v>0</v>
      </c>
      <c r="G52" s="69" t="n">
        <f aca="false">IF(AND(F$24=1,OR(E$25="",$C52&gt;=E$25)),MAX(0,MIN(E52-F52,$D52-(0))),0)</f>
        <v>0</v>
      </c>
      <c r="H52" s="69" t="n">
        <f aca="false">E52-F52-G52</f>
        <v>0</v>
      </c>
      <c r="I52" s="69" t="n">
        <f aca="false">IF(L51&gt;0.5,L51*(1+I$23)+I$24,0)</f>
        <v>0</v>
      </c>
      <c r="J52" s="69" t="n">
        <f aca="false">MIN(J$23,I52)</f>
        <v>0</v>
      </c>
      <c r="K52" s="69" t="n">
        <f aca="false">IF(AND(J$24=1,OR(I$25="",$C52&gt;=I$25)),MAX(0,MIN(I52-J52,$D52-(G52))),0)</f>
        <v>0</v>
      </c>
      <c r="L52" s="69" t="n">
        <f aca="false">I52-J52-K52</f>
        <v>0</v>
      </c>
      <c r="M52" s="69" t="n">
        <f aca="false">IF(P51&gt;0.5,P51*(1+M$23)+M$24,0)</f>
        <v>0</v>
      </c>
      <c r="N52" s="69" t="n">
        <f aca="false">MIN(N$23,M52)</f>
        <v>0</v>
      </c>
      <c r="O52" s="69" t="n">
        <f aca="false">IF(AND(N$24=1,OR(M$25="",$C52&gt;=M$25)),MAX(0,MIN(M52-N52,$D52-(G52+K52))),0)</f>
        <v>0</v>
      </c>
      <c r="P52" s="69" t="n">
        <f aca="false">M52-N52-O52</f>
        <v>0</v>
      </c>
      <c r="Q52" s="69" t="n">
        <f aca="false">IF(T51&gt;0.5,T51*(1+Q$23)+Q$24,0)</f>
        <v>0</v>
      </c>
      <c r="R52" s="69" t="n">
        <f aca="false">MIN(R$23,Q52)</f>
        <v>0</v>
      </c>
      <c r="S52" s="69" t="n">
        <f aca="false">IF(AND(R$24=1,OR(Q$25="",$C52&gt;=Q$25)),MAX(0,MIN(Q52-R52,$D52-(G52+K52+O52))),0)</f>
        <v>0</v>
      </c>
      <c r="T52" s="69" t="n">
        <f aca="false">Q52-R52-S52</f>
        <v>0</v>
      </c>
      <c r="U52" s="69" t="n">
        <f aca="false">IF(X51&gt;0.5,X51*(1+U$23)+U$24,0)</f>
        <v>0</v>
      </c>
      <c r="V52" s="69" t="n">
        <f aca="false">MIN(V$23,U52)</f>
        <v>0</v>
      </c>
      <c r="W52" s="69" t="n">
        <f aca="false">IF(AND(V$24=1,OR(U$25="",$C52&gt;=U$25)),MAX(0,MIN(U52-V52,$D52-(G52+K52+O52+S52))),0)</f>
        <v>0</v>
      </c>
      <c r="X52" s="69" t="n">
        <f aca="false">U52-V52-W52</f>
        <v>0</v>
      </c>
      <c r="Y52" s="69" t="n">
        <f aca="false">IF(AB51&gt;0.5,AB51*(1+Y$23)+Y$24,0)</f>
        <v>0</v>
      </c>
      <c r="Z52" s="69" t="n">
        <f aca="false">MIN(Z$23,Y52)</f>
        <v>0</v>
      </c>
      <c r="AA52" s="69" t="n">
        <f aca="false">IF(AND(Z$24=1,OR(Y$25="",$C52&gt;=Y$25)),MAX(0,MIN(Y52-Z52,$D52-(G52+K52+O52+S52+W52))),0)</f>
        <v>0</v>
      </c>
      <c r="AB52" s="69" t="n">
        <f aca="false">Y52-Z52-AA52</f>
        <v>0</v>
      </c>
      <c r="AC52" s="69" t="n">
        <f aca="false">IF(AF51&gt;0.5,AF51*(1+AC$23)+AC$24,0)</f>
        <v>0</v>
      </c>
      <c r="AD52" s="69" t="n">
        <f aca="false">MIN(AD$23,AC52)</f>
        <v>0</v>
      </c>
      <c r="AE52" s="69" t="n">
        <f aca="false">IF(AND(AD$24=1,OR(AC$25="",$C52&gt;=AC$25)),MAX(0,MIN(AC52-AD52,$D52-(G52+K52+O52+S52+W52+AA52))),0)</f>
        <v>0</v>
      </c>
      <c r="AF52" s="69" t="n">
        <f aca="false">AC52-AD52-AE52</f>
        <v>0</v>
      </c>
      <c r="AG52" s="69" t="n">
        <f aca="false">IF(AJ51&gt;0.5,AJ51*(1+AG$23)+AG$24,0)</f>
        <v>0</v>
      </c>
      <c r="AH52" s="69" t="n">
        <f aca="false">MIN(AH$23,AG52)</f>
        <v>0</v>
      </c>
      <c r="AI52" s="69" t="n">
        <f aca="false">IF(AND(AH$24=1,OR(AG$25="",$C52&gt;=AG$25)),MAX(0,MIN(AG52-AH52,$D52-(G52+K52+O52+S52+W52+AA52+AE52))),0)</f>
        <v>0</v>
      </c>
      <c r="AJ52" s="69" t="n">
        <f aca="false">AG52-AH52-AI52</f>
        <v>0</v>
      </c>
      <c r="AK52" s="69" t="n">
        <f aca="false">IF(AK51&gt;0.5,AK51*(1+$E$12)+$G$12-MIN($F$12,AK51*(1+$E$12)+$G$12),0)</f>
        <v>0</v>
      </c>
      <c r="AL52" s="69" t="n">
        <f aca="false">IF(AL51&gt;0.5,AL51*(1+$E$13)+$G$13-MIN($F$13,AL51*(1+$E$13)+$G$13),0)</f>
        <v>0</v>
      </c>
      <c r="AM52" s="69" t="n">
        <f aca="false">IF(AM51&gt;0.5,AM51*(1+$E$14)+$G$14-MIN($F$14,AM51*(1+$E$14)+$G$14),0)</f>
        <v>0</v>
      </c>
      <c r="AN52" s="69" t="n">
        <f aca="false">IF(AN51&gt;0.5,AN51*(1+$E$15)+$G$15-MIN($F$15,AN51*(1+$E$15)+$G$15),0)</f>
        <v>0</v>
      </c>
      <c r="AO52" s="69" t="n">
        <f aca="false">IF(AO51&gt;0.5,AO51*(1+$E$16)+$G$16-MIN($F$16,AO51*(1+$E$16)+$G$16),0)</f>
        <v>0</v>
      </c>
      <c r="AP52" s="69" t="n">
        <f aca="false">IF(AP51&gt;0.5,AP51*(1+$E$17)+$G$17-MIN($F$17,AP51*(1+$E$17)+$G$17),0)</f>
        <v>0</v>
      </c>
      <c r="AQ52" s="69" t="n">
        <f aca="false">IF(AQ51&gt;0.5,AQ51*(1+$E$18)+$G$18-MIN($F$18,AQ51*(1+$E$18)+$G$18),0)</f>
        <v>0</v>
      </c>
      <c r="AR52" s="69" t="n">
        <f aca="false">IF(AR51&gt;0.5,AR51*(1+$E$19)+$G$19-MIN($F$19,AR51*(1+$E$19)+$G$19),0)</f>
        <v>0</v>
      </c>
      <c r="AS52" s="69" t="n">
        <f aca="false">H52+L52+P52+T52+X52+AB52+AF52+AJ52</f>
        <v>0</v>
      </c>
      <c r="AT52" s="69" t="n">
        <f aca="false">SUM(AK52:AR52)</f>
        <v>0</v>
      </c>
      <c r="AU52" s="69" t="n">
        <f aca="false">F52+G52+J52+K52+N52+O52+R52+S52+V52+W52+Z52+AA52+AD52+AE52+AH52+AI52</f>
        <v>0</v>
      </c>
    </row>
    <row r="53" customFormat="false" ht="15" hidden="false" customHeight="false" outlineLevel="0" collapsed="false">
      <c r="B53" s="0" t="n">
        <v>26</v>
      </c>
      <c r="C53" s="68" t="n">
        <f aca="false">EDATE($C$7,25)</f>
        <v>47058</v>
      </c>
      <c r="D53" s="69" t="n">
        <f aca="false">$C$8-(F53+J53+N53+R53+V53+Z53+AD53+AH53)</f>
        <v>0</v>
      </c>
      <c r="E53" s="69" t="n">
        <f aca="false">IF(H52&gt;0.5,H52*(1+E$23)+E$24,0)</f>
        <v>0</v>
      </c>
      <c r="F53" s="69" t="n">
        <f aca="false">MIN(F$23,E53)</f>
        <v>0</v>
      </c>
      <c r="G53" s="69" t="n">
        <f aca="false">IF(AND(F$24=1,OR(E$25="",$C53&gt;=E$25)),MAX(0,MIN(E53-F53,$D53-(0))),0)</f>
        <v>0</v>
      </c>
      <c r="H53" s="69" t="n">
        <f aca="false">E53-F53-G53</f>
        <v>0</v>
      </c>
      <c r="I53" s="69" t="n">
        <f aca="false">IF(L52&gt;0.5,L52*(1+I$23)+I$24,0)</f>
        <v>0</v>
      </c>
      <c r="J53" s="69" t="n">
        <f aca="false">MIN(J$23,I53)</f>
        <v>0</v>
      </c>
      <c r="K53" s="69" t="n">
        <f aca="false">IF(AND(J$24=1,OR(I$25="",$C53&gt;=I$25)),MAX(0,MIN(I53-J53,$D53-(G53))),0)</f>
        <v>0</v>
      </c>
      <c r="L53" s="69" t="n">
        <f aca="false">I53-J53-K53</f>
        <v>0</v>
      </c>
      <c r="M53" s="69" t="n">
        <f aca="false">IF(P52&gt;0.5,P52*(1+M$23)+M$24,0)</f>
        <v>0</v>
      </c>
      <c r="N53" s="69" t="n">
        <f aca="false">MIN(N$23,M53)</f>
        <v>0</v>
      </c>
      <c r="O53" s="69" t="n">
        <f aca="false">IF(AND(N$24=1,OR(M$25="",$C53&gt;=M$25)),MAX(0,MIN(M53-N53,$D53-(G53+K53))),0)</f>
        <v>0</v>
      </c>
      <c r="P53" s="69" t="n">
        <f aca="false">M53-N53-O53</f>
        <v>0</v>
      </c>
      <c r="Q53" s="69" t="n">
        <f aca="false">IF(T52&gt;0.5,T52*(1+Q$23)+Q$24,0)</f>
        <v>0</v>
      </c>
      <c r="R53" s="69" t="n">
        <f aca="false">MIN(R$23,Q53)</f>
        <v>0</v>
      </c>
      <c r="S53" s="69" t="n">
        <f aca="false">IF(AND(R$24=1,OR(Q$25="",$C53&gt;=Q$25)),MAX(0,MIN(Q53-R53,$D53-(G53+K53+O53))),0)</f>
        <v>0</v>
      </c>
      <c r="T53" s="69" t="n">
        <f aca="false">Q53-R53-S53</f>
        <v>0</v>
      </c>
      <c r="U53" s="69" t="n">
        <f aca="false">IF(X52&gt;0.5,X52*(1+U$23)+U$24,0)</f>
        <v>0</v>
      </c>
      <c r="V53" s="69" t="n">
        <f aca="false">MIN(V$23,U53)</f>
        <v>0</v>
      </c>
      <c r="W53" s="69" t="n">
        <f aca="false">IF(AND(V$24=1,OR(U$25="",$C53&gt;=U$25)),MAX(0,MIN(U53-V53,$D53-(G53+K53+O53+S53))),0)</f>
        <v>0</v>
      </c>
      <c r="X53" s="69" t="n">
        <f aca="false">U53-V53-W53</f>
        <v>0</v>
      </c>
      <c r="Y53" s="69" t="n">
        <f aca="false">IF(AB52&gt;0.5,AB52*(1+Y$23)+Y$24,0)</f>
        <v>0</v>
      </c>
      <c r="Z53" s="69" t="n">
        <f aca="false">MIN(Z$23,Y53)</f>
        <v>0</v>
      </c>
      <c r="AA53" s="69" t="n">
        <f aca="false">IF(AND(Z$24=1,OR(Y$25="",$C53&gt;=Y$25)),MAX(0,MIN(Y53-Z53,$D53-(G53+K53+O53+S53+W53))),0)</f>
        <v>0</v>
      </c>
      <c r="AB53" s="69" t="n">
        <f aca="false">Y53-Z53-AA53</f>
        <v>0</v>
      </c>
      <c r="AC53" s="69" t="n">
        <f aca="false">IF(AF52&gt;0.5,AF52*(1+AC$23)+AC$24,0)</f>
        <v>0</v>
      </c>
      <c r="AD53" s="69" t="n">
        <f aca="false">MIN(AD$23,AC53)</f>
        <v>0</v>
      </c>
      <c r="AE53" s="69" t="n">
        <f aca="false">IF(AND(AD$24=1,OR(AC$25="",$C53&gt;=AC$25)),MAX(0,MIN(AC53-AD53,$D53-(G53+K53+O53+S53+W53+AA53))),0)</f>
        <v>0</v>
      </c>
      <c r="AF53" s="69" t="n">
        <f aca="false">AC53-AD53-AE53</f>
        <v>0</v>
      </c>
      <c r="AG53" s="69" t="n">
        <f aca="false">IF(AJ52&gt;0.5,AJ52*(1+AG$23)+AG$24,0)</f>
        <v>0</v>
      </c>
      <c r="AH53" s="69" t="n">
        <f aca="false">MIN(AH$23,AG53)</f>
        <v>0</v>
      </c>
      <c r="AI53" s="69" t="n">
        <f aca="false">IF(AND(AH$24=1,OR(AG$25="",$C53&gt;=AG$25)),MAX(0,MIN(AG53-AH53,$D53-(G53+K53+O53+S53+W53+AA53+AE53))),0)</f>
        <v>0</v>
      </c>
      <c r="AJ53" s="69" t="n">
        <f aca="false">AG53-AH53-AI53</f>
        <v>0</v>
      </c>
      <c r="AK53" s="69" t="n">
        <f aca="false">IF(AK52&gt;0.5,AK52*(1+$E$12)+$G$12-MIN($F$12,AK52*(1+$E$12)+$G$12),0)</f>
        <v>0</v>
      </c>
      <c r="AL53" s="69" t="n">
        <f aca="false">IF(AL52&gt;0.5,AL52*(1+$E$13)+$G$13-MIN($F$13,AL52*(1+$E$13)+$G$13),0)</f>
        <v>0</v>
      </c>
      <c r="AM53" s="69" t="n">
        <f aca="false">IF(AM52&gt;0.5,AM52*(1+$E$14)+$G$14-MIN($F$14,AM52*(1+$E$14)+$G$14),0)</f>
        <v>0</v>
      </c>
      <c r="AN53" s="69" t="n">
        <f aca="false">IF(AN52&gt;0.5,AN52*(1+$E$15)+$G$15-MIN($F$15,AN52*(1+$E$15)+$G$15),0)</f>
        <v>0</v>
      </c>
      <c r="AO53" s="69" t="n">
        <f aca="false">IF(AO52&gt;0.5,AO52*(1+$E$16)+$G$16-MIN($F$16,AO52*(1+$E$16)+$G$16),0)</f>
        <v>0</v>
      </c>
      <c r="AP53" s="69" t="n">
        <f aca="false">IF(AP52&gt;0.5,AP52*(1+$E$17)+$G$17-MIN($F$17,AP52*(1+$E$17)+$G$17),0)</f>
        <v>0</v>
      </c>
      <c r="AQ53" s="69" t="n">
        <f aca="false">IF(AQ52&gt;0.5,AQ52*(1+$E$18)+$G$18-MIN($F$18,AQ52*(1+$E$18)+$G$18),0)</f>
        <v>0</v>
      </c>
      <c r="AR53" s="69" t="n">
        <f aca="false">IF(AR52&gt;0.5,AR52*(1+$E$19)+$G$19-MIN($F$19,AR52*(1+$E$19)+$G$19),0)</f>
        <v>0</v>
      </c>
      <c r="AS53" s="69" t="n">
        <f aca="false">H53+L53+P53+T53+X53+AB53+AF53+AJ53</f>
        <v>0</v>
      </c>
      <c r="AT53" s="69" t="n">
        <f aca="false">SUM(AK53:AR53)</f>
        <v>0</v>
      </c>
      <c r="AU53" s="69" t="n">
        <f aca="false">F53+G53+J53+K53+N53+O53+R53+S53+V53+W53+Z53+AA53+AD53+AE53+AH53+AI53</f>
        <v>0</v>
      </c>
    </row>
    <row r="54" customFormat="false" ht="15" hidden="false" customHeight="false" outlineLevel="0" collapsed="false">
      <c r="B54" s="0" t="n">
        <v>27</v>
      </c>
      <c r="C54" s="68" t="n">
        <f aca="false">EDATE($C$7,26)</f>
        <v>47088</v>
      </c>
      <c r="D54" s="69" t="n">
        <f aca="false">$C$8-(F54+J54+N54+R54+V54+Z54+AD54+AH54)</f>
        <v>0</v>
      </c>
      <c r="E54" s="69" t="n">
        <f aca="false">IF(H53&gt;0.5,H53*(1+E$23)+E$24,0)</f>
        <v>0</v>
      </c>
      <c r="F54" s="69" t="n">
        <f aca="false">MIN(F$23,E54)</f>
        <v>0</v>
      </c>
      <c r="G54" s="69" t="n">
        <f aca="false">IF(AND(F$24=1,OR(E$25="",$C54&gt;=E$25)),MAX(0,MIN(E54-F54,$D54-(0))),0)</f>
        <v>0</v>
      </c>
      <c r="H54" s="69" t="n">
        <f aca="false">E54-F54-G54</f>
        <v>0</v>
      </c>
      <c r="I54" s="69" t="n">
        <f aca="false">IF(L53&gt;0.5,L53*(1+I$23)+I$24,0)</f>
        <v>0</v>
      </c>
      <c r="J54" s="69" t="n">
        <f aca="false">MIN(J$23,I54)</f>
        <v>0</v>
      </c>
      <c r="K54" s="69" t="n">
        <f aca="false">IF(AND(J$24=1,OR(I$25="",$C54&gt;=I$25)),MAX(0,MIN(I54-J54,$D54-(G54))),0)</f>
        <v>0</v>
      </c>
      <c r="L54" s="69" t="n">
        <f aca="false">I54-J54-K54</f>
        <v>0</v>
      </c>
      <c r="M54" s="69" t="n">
        <f aca="false">IF(P53&gt;0.5,P53*(1+M$23)+M$24,0)</f>
        <v>0</v>
      </c>
      <c r="N54" s="69" t="n">
        <f aca="false">MIN(N$23,M54)</f>
        <v>0</v>
      </c>
      <c r="O54" s="69" t="n">
        <f aca="false">IF(AND(N$24=1,OR(M$25="",$C54&gt;=M$25)),MAX(0,MIN(M54-N54,$D54-(G54+K54))),0)</f>
        <v>0</v>
      </c>
      <c r="P54" s="69" t="n">
        <f aca="false">M54-N54-O54</f>
        <v>0</v>
      </c>
      <c r="Q54" s="69" t="n">
        <f aca="false">IF(T53&gt;0.5,T53*(1+Q$23)+Q$24,0)</f>
        <v>0</v>
      </c>
      <c r="R54" s="69" t="n">
        <f aca="false">MIN(R$23,Q54)</f>
        <v>0</v>
      </c>
      <c r="S54" s="69" t="n">
        <f aca="false">IF(AND(R$24=1,OR(Q$25="",$C54&gt;=Q$25)),MAX(0,MIN(Q54-R54,$D54-(G54+K54+O54))),0)</f>
        <v>0</v>
      </c>
      <c r="T54" s="69" t="n">
        <f aca="false">Q54-R54-S54</f>
        <v>0</v>
      </c>
      <c r="U54" s="69" t="n">
        <f aca="false">IF(X53&gt;0.5,X53*(1+U$23)+U$24,0)</f>
        <v>0</v>
      </c>
      <c r="V54" s="69" t="n">
        <f aca="false">MIN(V$23,U54)</f>
        <v>0</v>
      </c>
      <c r="W54" s="69" t="n">
        <f aca="false">IF(AND(V$24=1,OR(U$25="",$C54&gt;=U$25)),MAX(0,MIN(U54-V54,$D54-(G54+K54+O54+S54))),0)</f>
        <v>0</v>
      </c>
      <c r="X54" s="69" t="n">
        <f aca="false">U54-V54-W54</f>
        <v>0</v>
      </c>
      <c r="Y54" s="69" t="n">
        <f aca="false">IF(AB53&gt;0.5,AB53*(1+Y$23)+Y$24,0)</f>
        <v>0</v>
      </c>
      <c r="Z54" s="69" t="n">
        <f aca="false">MIN(Z$23,Y54)</f>
        <v>0</v>
      </c>
      <c r="AA54" s="69" t="n">
        <f aca="false">IF(AND(Z$24=1,OR(Y$25="",$C54&gt;=Y$25)),MAX(0,MIN(Y54-Z54,$D54-(G54+K54+O54+S54+W54))),0)</f>
        <v>0</v>
      </c>
      <c r="AB54" s="69" t="n">
        <f aca="false">Y54-Z54-AA54</f>
        <v>0</v>
      </c>
      <c r="AC54" s="69" t="n">
        <f aca="false">IF(AF53&gt;0.5,AF53*(1+AC$23)+AC$24,0)</f>
        <v>0</v>
      </c>
      <c r="AD54" s="69" t="n">
        <f aca="false">MIN(AD$23,AC54)</f>
        <v>0</v>
      </c>
      <c r="AE54" s="69" t="n">
        <f aca="false">IF(AND(AD$24=1,OR(AC$25="",$C54&gt;=AC$25)),MAX(0,MIN(AC54-AD54,$D54-(G54+K54+O54+S54+W54+AA54))),0)</f>
        <v>0</v>
      </c>
      <c r="AF54" s="69" t="n">
        <f aca="false">AC54-AD54-AE54</f>
        <v>0</v>
      </c>
      <c r="AG54" s="69" t="n">
        <f aca="false">IF(AJ53&gt;0.5,AJ53*(1+AG$23)+AG$24,0)</f>
        <v>0</v>
      </c>
      <c r="AH54" s="69" t="n">
        <f aca="false">MIN(AH$23,AG54)</f>
        <v>0</v>
      </c>
      <c r="AI54" s="69" t="n">
        <f aca="false">IF(AND(AH$24=1,OR(AG$25="",$C54&gt;=AG$25)),MAX(0,MIN(AG54-AH54,$D54-(G54+K54+O54+S54+W54+AA54+AE54))),0)</f>
        <v>0</v>
      </c>
      <c r="AJ54" s="69" t="n">
        <f aca="false">AG54-AH54-AI54</f>
        <v>0</v>
      </c>
      <c r="AK54" s="69" t="n">
        <f aca="false">IF(AK53&gt;0.5,AK53*(1+$E$12)+$G$12-MIN($F$12,AK53*(1+$E$12)+$G$12),0)</f>
        <v>0</v>
      </c>
      <c r="AL54" s="69" t="n">
        <f aca="false">IF(AL53&gt;0.5,AL53*(1+$E$13)+$G$13-MIN($F$13,AL53*(1+$E$13)+$G$13),0)</f>
        <v>0</v>
      </c>
      <c r="AM54" s="69" t="n">
        <f aca="false">IF(AM53&gt;0.5,AM53*(1+$E$14)+$G$14-MIN($F$14,AM53*(1+$E$14)+$G$14),0)</f>
        <v>0</v>
      </c>
      <c r="AN54" s="69" t="n">
        <f aca="false">IF(AN53&gt;0.5,AN53*(1+$E$15)+$G$15-MIN($F$15,AN53*(1+$E$15)+$G$15),0)</f>
        <v>0</v>
      </c>
      <c r="AO54" s="69" t="n">
        <f aca="false">IF(AO53&gt;0.5,AO53*(1+$E$16)+$G$16-MIN($F$16,AO53*(1+$E$16)+$G$16),0)</f>
        <v>0</v>
      </c>
      <c r="AP54" s="69" t="n">
        <f aca="false">IF(AP53&gt;0.5,AP53*(1+$E$17)+$G$17-MIN($F$17,AP53*(1+$E$17)+$G$17),0)</f>
        <v>0</v>
      </c>
      <c r="AQ54" s="69" t="n">
        <f aca="false">IF(AQ53&gt;0.5,AQ53*(1+$E$18)+$G$18-MIN($F$18,AQ53*(1+$E$18)+$G$18),0)</f>
        <v>0</v>
      </c>
      <c r="AR54" s="69" t="n">
        <f aca="false">IF(AR53&gt;0.5,AR53*(1+$E$19)+$G$19-MIN($F$19,AR53*(1+$E$19)+$G$19),0)</f>
        <v>0</v>
      </c>
      <c r="AS54" s="69" t="n">
        <f aca="false">H54+L54+P54+T54+X54+AB54+AF54+AJ54</f>
        <v>0</v>
      </c>
      <c r="AT54" s="69" t="n">
        <f aca="false">SUM(AK54:AR54)</f>
        <v>0</v>
      </c>
      <c r="AU54" s="69" t="n">
        <f aca="false">F54+G54+J54+K54+N54+O54+R54+S54+V54+W54+Z54+AA54+AD54+AE54+AH54+AI54</f>
        <v>0</v>
      </c>
    </row>
    <row r="55" customFormat="false" ht="15" hidden="false" customHeight="false" outlineLevel="0" collapsed="false">
      <c r="B55" s="0" t="n">
        <v>28</v>
      </c>
      <c r="C55" s="68" t="n">
        <f aca="false">EDATE($C$7,27)</f>
        <v>47119</v>
      </c>
      <c r="D55" s="69" t="n">
        <f aca="false">$C$8-(F55+J55+N55+R55+V55+Z55+AD55+AH55)</f>
        <v>0</v>
      </c>
      <c r="E55" s="69" t="n">
        <f aca="false">IF(H54&gt;0.5,H54*(1+E$23)+E$24,0)</f>
        <v>0</v>
      </c>
      <c r="F55" s="69" t="n">
        <f aca="false">MIN(F$23,E55)</f>
        <v>0</v>
      </c>
      <c r="G55" s="69" t="n">
        <f aca="false">IF(AND(F$24=1,OR(E$25="",$C55&gt;=E$25)),MAX(0,MIN(E55-F55,$D55-(0))),0)</f>
        <v>0</v>
      </c>
      <c r="H55" s="69" t="n">
        <f aca="false">E55-F55-G55</f>
        <v>0</v>
      </c>
      <c r="I55" s="69" t="n">
        <f aca="false">IF(L54&gt;0.5,L54*(1+I$23)+I$24,0)</f>
        <v>0</v>
      </c>
      <c r="J55" s="69" t="n">
        <f aca="false">MIN(J$23,I55)</f>
        <v>0</v>
      </c>
      <c r="K55" s="69" t="n">
        <f aca="false">IF(AND(J$24=1,OR(I$25="",$C55&gt;=I$25)),MAX(0,MIN(I55-J55,$D55-(G55))),0)</f>
        <v>0</v>
      </c>
      <c r="L55" s="69" t="n">
        <f aca="false">I55-J55-K55</f>
        <v>0</v>
      </c>
      <c r="M55" s="69" t="n">
        <f aca="false">IF(P54&gt;0.5,P54*(1+M$23)+M$24,0)</f>
        <v>0</v>
      </c>
      <c r="N55" s="69" t="n">
        <f aca="false">MIN(N$23,M55)</f>
        <v>0</v>
      </c>
      <c r="O55" s="69" t="n">
        <f aca="false">IF(AND(N$24=1,OR(M$25="",$C55&gt;=M$25)),MAX(0,MIN(M55-N55,$D55-(G55+K55))),0)</f>
        <v>0</v>
      </c>
      <c r="P55" s="69" t="n">
        <f aca="false">M55-N55-O55</f>
        <v>0</v>
      </c>
      <c r="Q55" s="69" t="n">
        <f aca="false">IF(T54&gt;0.5,T54*(1+Q$23)+Q$24,0)</f>
        <v>0</v>
      </c>
      <c r="R55" s="69" t="n">
        <f aca="false">MIN(R$23,Q55)</f>
        <v>0</v>
      </c>
      <c r="S55" s="69" t="n">
        <f aca="false">IF(AND(R$24=1,OR(Q$25="",$C55&gt;=Q$25)),MAX(0,MIN(Q55-R55,$D55-(G55+K55+O55))),0)</f>
        <v>0</v>
      </c>
      <c r="T55" s="69" t="n">
        <f aca="false">Q55-R55-S55</f>
        <v>0</v>
      </c>
      <c r="U55" s="69" t="n">
        <f aca="false">IF(X54&gt;0.5,X54*(1+U$23)+U$24,0)</f>
        <v>0</v>
      </c>
      <c r="V55" s="69" t="n">
        <f aca="false">MIN(V$23,U55)</f>
        <v>0</v>
      </c>
      <c r="W55" s="69" t="n">
        <f aca="false">IF(AND(V$24=1,OR(U$25="",$C55&gt;=U$25)),MAX(0,MIN(U55-V55,$D55-(G55+K55+O55+S55))),0)</f>
        <v>0</v>
      </c>
      <c r="X55" s="69" t="n">
        <f aca="false">U55-V55-W55</f>
        <v>0</v>
      </c>
      <c r="Y55" s="69" t="n">
        <f aca="false">IF(AB54&gt;0.5,AB54*(1+Y$23)+Y$24,0)</f>
        <v>0</v>
      </c>
      <c r="Z55" s="69" t="n">
        <f aca="false">MIN(Z$23,Y55)</f>
        <v>0</v>
      </c>
      <c r="AA55" s="69" t="n">
        <f aca="false">IF(AND(Z$24=1,OR(Y$25="",$C55&gt;=Y$25)),MAX(0,MIN(Y55-Z55,$D55-(G55+K55+O55+S55+W55))),0)</f>
        <v>0</v>
      </c>
      <c r="AB55" s="69" t="n">
        <f aca="false">Y55-Z55-AA55</f>
        <v>0</v>
      </c>
      <c r="AC55" s="69" t="n">
        <f aca="false">IF(AF54&gt;0.5,AF54*(1+AC$23)+AC$24,0)</f>
        <v>0</v>
      </c>
      <c r="AD55" s="69" t="n">
        <f aca="false">MIN(AD$23,AC55)</f>
        <v>0</v>
      </c>
      <c r="AE55" s="69" t="n">
        <f aca="false">IF(AND(AD$24=1,OR(AC$25="",$C55&gt;=AC$25)),MAX(0,MIN(AC55-AD55,$D55-(G55+K55+O55+S55+W55+AA55))),0)</f>
        <v>0</v>
      </c>
      <c r="AF55" s="69" t="n">
        <f aca="false">AC55-AD55-AE55</f>
        <v>0</v>
      </c>
      <c r="AG55" s="69" t="n">
        <f aca="false">IF(AJ54&gt;0.5,AJ54*(1+AG$23)+AG$24,0)</f>
        <v>0</v>
      </c>
      <c r="AH55" s="69" t="n">
        <f aca="false">MIN(AH$23,AG55)</f>
        <v>0</v>
      </c>
      <c r="AI55" s="69" t="n">
        <f aca="false">IF(AND(AH$24=1,OR(AG$25="",$C55&gt;=AG$25)),MAX(0,MIN(AG55-AH55,$D55-(G55+K55+O55+S55+W55+AA55+AE55))),0)</f>
        <v>0</v>
      </c>
      <c r="AJ55" s="69" t="n">
        <f aca="false">AG55-AH55-AI55</f>
        <v>0</v>
      </c>
      <c r="AK55" s="69" t="n">
        <f aca="false">IF(AK54&gt;0.5,AK54*(1+$E$12)+$G$12-MIN($F$12,AK54*(1+$E$12)+$G$12),0)</f>
        <v>0</v>
      </c>
      <c r="AL55" s="69" t="n">
        <f aca="false">IF(AL54&gt;0.5,AL54*(1+$E$13)+$G$13-MIN($F$13,AL54*(1+$E$13)+$G$13),0)</f>
        <v>0</v>
      </c>
      <c r="AM55" s="69" t="n">
        <f aca="false">IF(AM54&gt;0.5,AM54*(1+$E$14)+$G$14-MIN($F$14,AM54*(1+$E$14)+$G$14),0)</f>
        <v>0</v>
      </c>
      <c r="AN55" s="69" t="n">
        <f aca="false">IF(AN54&gt;0.5,AN54*(1+$E$15)+$G$15-MIN($F$15,AN54*(1+$E$15)+$G$15),0)</f>
        <v>0</v>
      </c>
      <c r="AO55" s="69" t="n">
        <f aca="false">IF(AO54&gt;0.5,AO54*(1+$E$16)+$G$16-MIN($F$16,AO54*(1+$E$16)+$G$16),0)</f>
        <v>0</v>
      </c>
      <c r="AP55" s="69" t="n">
        <f aca="false">IF(AP54&gt;0.5,AP54*(1+$E$17)+$G$17-MIN($F$17,AP54*(1+$E$17)+$G$17),0)</f>
        <v>0</v>
      </c>
      <c r="AQ55" s="69" t="n">
        <f aca="false">IF(AQ54&gt;0.5,AQ54*(1+$E$18)+$G$18-MIN($F$18,AQ54*(1+$E$18)+$G$18),0)</f>
        <v>0</v>
      </c>
      <c r="AR55" s="69" t="n">
        <f aca="false">IF(AR54&gt;0.5,AR54*(1+$E$19)+$G$19-MIN($F$19,AR54*(1+$E$19)+$G$19),0)</f>
        <v>0</v>
      </c>
      <c r="AS55" s="69" t="n">
        <f aca="false">H55+L55+P55+T55+X55+AB55+AF55+AJ55</f>
        <v>0</v>
      </c>
      <c r="AT55" s="69" t="n">
        <f aca="false">SUM(AK55:AR55)</f>
        <v>0</v>
      </c>
      <c r="AU55" s="69" t="n">
        <f aca="false">F55+G55+J55+K55+N55+O55+R55+S55+V55+W55+Z55+AA55+AD55+AE55+AH55+AI55</f>
        <v>0</v>
      </c>
    </row>
    <row r="56" customFormat="false" ht="15" hidden="false" customHeight="false" outlineLevel="0" collapsed="false">
      <c r="B56" s="0" t="n">
        <v>29</v>
      </c>
      <c r="C56" s="68" t="n">
        <f aca="false">EDATE($C$7,28)</f>
        <v>47150</v>
      </c>
      <c r="D56" s="69" t="n">
        <f aca="false">$C$8-(F56+J56+N56+R56+V56+Z56+AD56+AH56)</f>
        <v>0</v>
      </c>
      <c r="E56" s="69" t="n">
        <f aca="false">IF(H55&gt;0.5,H55*(1+E$23)+E$24,0)</f>
        <v>0</v>
      </c>
      <c r="F56" s="69" t="n">
        <f aca="false">MIN(F$23,E56)</f>
        <v>0</v>
      </c>
      <c r="G56" s="69" t="n">
        <f aca="false">IF(AND(F$24=1,OR(E$25="",$C56&gt;=E$25)),MAX(0,MIN(E56-F56,$D56-(0))),0)</f>
        <v>0</v>
      </c>
      <c r="H56" s="69" t="n">
        <f aca="false">E56-F56-G56</f>
        <v>0</v>
      </c>
      <c r="I56" s="69" t="n">
        <f aca="false">IF(L55&gt;0.5,L55*(1+I$23)+I$24,0)</f>
        <v>0</v>
      </c>
      <c r="J56" s="69" t="n">
        <f aca="false">MIN(J$23,I56)</f>
        <v>0</v>
      </c>
      <c r="K56" s="69" t="n">
        <f aca="false">IF(AND(J$24=1,OR(I$25="",$C56&gt;=I$25)),MAX(0,MIN(I56-J56,$D56-(G56))),0)</f>
        <v>0</v>
      </c>
      <c r="L56" s="69" t="n">
        <f aca="false">I56-J56-K56</f>
        <v>0</v>
      </c>
      <c r="M56" s="69" t="n">
        <f aca="false">IF(P55&gt;0.5,P55*(1+M$23)+M$24,0)</f>
        <v>0</v>
      </c>
      <c r="N56" s="69" t="n">
        <f aca="false">MIN(N$23,M56)</f>
        <v>0</v>
      </c>
      <c r="O56" s="69" t="n">
        <f aca="false">IF(AND(N$24=1,OR(M$25="",$C56&gt;=M$25)),MAX(0,MIN(M56-N56,$D56-(G56+K56))),0)</f>
        <v>0</v>
      </c>
      <c r="P56" s="69" t="n">
        <f aca="false">M56-N56-O56</f>
        <v>0</v>
      </c>
      <c r="Q56" s="69" t="n">
        <f aca="false">IF(T55&gt;0.5,T55*(1+Q$23)+Q$24,0)</f>
        <v>0</v>
      </c>
      <c r="R56" s="69" t="n">
        <f aca="false">MIN(R$23,Q56)</f>
        <v>0</v>
      </c>
      <c r="S56" s="69" t="n">
        <f aca="false">IF(AND(R$24=1,OR(Q$25="",$C56&gt;=Q$25)),MAX(0,MIN(Q56-R56,$D56-(G56+K56+O56))),0)</f>
        <v>0</v>
      </c>
      <c r="T56" s="69" t="n">
        <f aca="false">Q56-R56-S56</f>
        <v>0</v>
      </c>
      <c r="U56" s="69" t="n">
        <f aca="false">IF(X55&gt;0.5,X55*(1+U$23)+U$24,0)</f>
        <v>0</v>
      </c>
      <c r="V56" s="69" t="n">
        <f aca="false">MIN(V$23,U56)</f>
        <v>0</v>
      </c>
      <c r="W56" s="69" t="n">
        <f aca="false">IF(AND(V$24=1,OR(U$25="",$C56&gt;=U$25)),MAX(0,MIN(U56-V56,$D56-(G56+K56+O56+S56))),0)</f>
        <v>0</v>
      </c>
      <c r="X56" s="69" t="n">
        <f aca="false">U56-V56-W56</f>
        <v>0</v>
      </c>
      <c r="Y56" s="69" t="n">
        <f aca="false">IF(AB55&gt;0.5,AB55*(1+Y$23)+Y$24,0)</f>
        <v>0</v>
      </c>
      <c r="Z56" s="69" t="n">
        <f aca="false">MIN(Z$23,Y56)</f>
        <v>0</v>
      </c>
      <c r="AA56" s="69" t="n">
        <f aca="false">IF(AND(Z$24=1,OR(Y$25="",$C56&gt;=Y$25)),MAX(0,MIN(Y56-Z56,$D56-(G56+K56+O56+S56+W56))),0)</f>
        <v>0</v>
      </c>
      <c r="AB56" s="69" t="n">
        <f aca="false">Y56-Z56-AA56</f>
        <v>0</v>
      </c>
      <c r="AC56" s="69" t="n">
        <f aca="false">IF(AF55&gt;0.5,AF55*(1+AC$23)+AC$24,0)</f>
        <v>0</v>
      </c>
      <c r="AD56" s="69" t="n">
        <f aca="false">MIN(AD$23,AC56)</f>
        <v>0</v>
      </c>
      <c r="AE56" s="69" t="n">
        <f aca="false">IF(AND(AD$24=1,OR(AC$25="",$C56&gt;=AC$25)),MAX(0,MIN(AC56-AD56,$D56-(G56+K56+O56+S56+W56+AA56))),0)</f>
        <v>0</v>
      </c>
      <c r="AF56" s="69" t="n">
        <f aca="false">AC56-AD56-AE56</f>
        <v>0</v>
      </c>
      <c r="AG56" s="69" t="n">
        <f aca="false">IF(AJ55&gt;0.5,AJ55*(1+AG$23)+AG$24,0)</f>
        <v>0</v>
      </c>
      <c r="AH56" s="69" t="n">
        <f aca="false">MIN(AH$23,AG56)</f>
        <v>0</v>
      </c>
      <c r="AI56" s="69" t="n">
        <f aca="false">IF(AND(AH$24=1,OR(AG$25="",$C56&gt;=AG$25)),MAX(0,MIN(AG56-AH56,$D56-(G56+K56+O56+S56+W56+AA56+AE56))),0)</f>
        <v>0</v>
      </c>
      <c r="AJ56" s="69" t="n">
        <f aca="false">AG56-AH56-AI56</f>
        <v>0</v>
      </c>
      <c r="AK56" s="69" t="n">
        <f aca="false">IF(AK55&gt;0.5,AK55*(1+$E$12)+$G$12-MIN($F$12,AK55*(1+$E$12)+$G$12),0)</f>
        <v>0</v>
      </c>
      <c r="AL56" s="69" t="n">
        <f aca="false">IF(AL55&gt;0.5,AL55*(1+$E$13)+$G$13-MIN($F$13,AL55*(1+$E$13)+$G$13),0)</f>
        <v>0</v>
      </c>
      <c r="AM56" s="69" t="n">
        <f aca="false">IF(AM55&gt;0.5,AM55*(1+$E$14)+$G$14-MIN($F$14,AM55*(1+$E$14)+$G$14),0)</f>
        <v>0</v>
      </c>
      <c r="AN56" s="69" t="n">
        <f aca="false">IF(AN55&gt;0.5,AN55*(1+$E$15)+$G$15-MIN($F$15,AN55*(1+$E$15)+$G$15),0)</f>
        <v>0</v>
      </c>
      <c r="AO56" s="69" t="n">
        <f aca="false">IF(AO55&gt;0.5,AO55*(1+$E$16)+$G$16-MIN($F$16,AO55*(1+$E$16)+$G$16),0)</f>
        <v>0</v>
      </c>
      <c r="AP56" s="69" t="n">
        <f aca="false">IF(AP55&gt;0.5,AP55*(1+$E$17)+$G$17-MIN($F$17,AP55*(1+$E$17)+$G$17),0)</f>
        <v>0</v>
      </c>
      <c r="AQ56" s="69" t="n">
        <f aca="false">IF(AQ55&gt;0.5,AQ55*(1+$E$18)+$G$18-MIN($F$18,AQ55*(1+$E$18)+$G$18),0)</f>
        <v>0</v>
      </c>
      <c r="AR56" s="69" t="n">
        <f aca="false">IF(AR55&gt;0.5,AR55*(1+$E$19)+$G$19-MIN($F$19,AR55*(1+$E$19)+$G$19),0)</f>
        <v>0</v>
      </c>
      <c r="AS56" s="69" t="n">
        <f aca="false">H56+L56+P56+T56+X56+AB56+AF56+AJ56</f>
        <v>0</v>
      </c>
      <c r="AT56" s="69" t="n">
        <f aca="false">SUM(AK56:AR56)</f>
        <v>0</v>
      </c>
      <c r="AU56" s="69" t="n">
        <f aca="false">F56+G56+J56+K56+N56+O56+R56+S56+V56+W56+Z56+AA56+AD56+AE56+AH56+AI56</f>
        <v>0</v>
      </c>
    </row>
    <row r="57" customFormat="false" ht="15" hidden="false" customHeight="false" outlineLevel="0" collapsed="false">
      <c r="B57" s="0" t="n">
        <v>30</v>
      </c>
      <c r="C57" s="68" t="n">
        <f aca="false">EDATE($C$7,29)</f>
        <v>47178</v>
      </c>
      <c r="D57" s="69" t="n">
        <f aca="false">$C$8-(F57+J57+N57+R57+V57+Z57+AD57+AH57)</f>
        <v>0</v>
      </c>
      <c r="E57" s="69" t="n">
        <f aca="false">IF(H56&gt;0.5,H56*(1+E$23)+E$24,0)</f>
        <v>0</v>
      </c>
      <c r="F57" s="69" t="n">
        <f aca="false">MIN(F$23,E57)</f>
        <v>0</v>
      </c>
      <c r="G57" s="69" t="n">
        <f aca="false">IF(AND(F$24=1,OR(E$25="",$C57&gt;=E$25)),MAX(0,MIN(E57-F57,$D57-(0))),0)</f>
        <v>0</v>
      </c>
      <c r="H57" s="69" t="n">
        <f aca="false">E57-F57-G57</f>
        <v>0</v>
      </c>
      <c r="I57" s="69" t="n">
        <f aca="false">IF(L56&gt;0.5,L56*(1+I$23)+I$24,0)</f>
        <v>0</v>
      </c>
      <c r="J57" s="69" t="n">
        <f aca="false">MIN(J$23,I57)</f>
        <v>0</v>
      </c>
      <c r="K57" s="69" t="n">
        <f aca="false">IF(AND(J$24=1,OR(I$25="",$C57&gt;=I$25)),MAX(0,MIN(I57-J57,$D57-(G57))),0)</f>
        <v>0</v>
      </c>
      <c r="L57" s="69" t="n">
        <f aca="false">I57-J57-K57</f>
        <v>0</v>
      </c>
      <c r="M57" s="69" t="n">
        <f aca="false">IF(P56&gt;0.5,P56*(1+M$23)+M$24,0)</f>
        <v>0</v>
      </c>
      <c r="N57" s="69" t="n">
        <f aca="false">MIN(N$23,M57)</f>
        <v>0</v>
      </c>
      <c r="O57" s="69" t="n">
        <f aca="false">IF(AND(N$24=1,OR(M$25="",$C57&gt;=M$25)),MAX(0,MIN(M57-N57,$D57-(G57+K57))),0)</f>
        <v>0</v>
      </c>
      <c r="P57" s="69" t="n">
        <f aca="false">M57-N57-O57</f>
        <v>0</v>
      </c>
      <c r="Q57" s="69" t="n">
        <f aca="false">IF(T56&gt;0.5,T56*(1+Q$23)+Q$24,0)</f>
        <v>0</v>
      </c>
      <c r="R57" s="69" t="n">
        <f aca="false">MIN(R$23,Q57)</f>
        <v>0</v>
      </c>
      <c r="S57" s="69" t="n">
        <f aca="false">IF(AND(R$24=1,OR(Q$25="",$C57&gt;=Q$25)),MAX(0,MIN(Q57-R57,$D57-(G57+K57+O57))),0)</f>
        <v>0</v>
      </c>
      <c r="T57" s="69" t="n">
        <f aca="false">Q57-R57-S57</f>
        <v>0</v>
      </c>
      <c r="U57" s="69" t="n">
        <f aca="false">IF(X56&gt;0.5,X56*(1+U$23)+U$24,0)</f>
        <v>0</v>
      </c>
      <c r="V57" s="69" t="n">
        <f aca="false">MIN(V$23,U57)</f>
        <v>0</v>
      </c>
      <c r="W57" s="69" t="n">
        <f aca="false">IF(AND(V$24=1,OR(U$25="",$C57&gt;=U$25)),MAX(0,MIN(U57-V57,$D57-(G57+K57+O57+S57))),0)</f>
        <v>0</v>
      </c>
      <c r="X57" s="69" t="n">
        <f aca="false">U57-V57-W57</f>
        <v>0</v>
      </c>
      <c r="Y57" s="69" t="n">
        <f aca="false">IF(AB56&gt;0.5,AB56*(1+Y$23)+Y$24,0)</f>
        <v>0</v>
      </c>
      <c r="Z57" s="69" t="n">
        <f aca="false">MIN(Z$23,Y57)</f>
        <v>0</v>
      </c>
      <c r="AA57" s="69" t="n">
        <f aca="false">IF(AND(Z$24=1,OR(Y$25="",$C57&gt;=Y$25)),MAX(0,MIN(Y57-Z57,$D57-(G57+K57+O57+S57+W57))),0)</f>
        <v>0</v>
      </c>
      <c r="AB57" s="69" t="n">
        <f aca="false">Y57-Z57-AA57</f>
        <v>0</v>
      </c>
      <c r="AC57" s="69" t="n">
        <f aca="false">IF(AF56&gt;0.5,AF56*(1+AC$23)+AC$24,0)</f>
        <v>0</v>
      </c>
      <c r="AD57" s="69" t="n">
        <f aca="false">MIN(AD$23,AC57)</f>
        <v>0</v>
      </c>
      <c r="AE57" s="69" t="n">
        <f aca="false">IF(AND(AD$24=1,OR(AC$25="",$C57&gt;=AC$25)),MAX(0,MIN(AC57-AD57,$D57-(G57+K57+O57+S57+W57+AA57))),0)</f>
        <v>0</v>
      </c>
      <c r="AF57" s="69" t="n">
        <f aca="false">AC57-AD57-AE57</f>
        <v>0</v>
      </c>
      <c r="AG57" s="69" t="n">
        <f aca="false">IF(AJ56&gt;0.5,AJ56*(1+AG$23)+AG$24,0)</f>
        <v>0</v>
      </c>
      <c r="AH57" s="69" t="n">
        <f aca="false">MIN(AH$23,AG57)</f>
        <v>0</v>
      </c>
      <c r="AI57" s="69" t="n">
        <f aca="false">IF(AND(AH$24=1,OR(AG$25="",$C57&gt;=AG$25)),MAX(0,MIN(AG57-AH57,$D57-(G57+K57+O57+S57+W57+AA57+AE57))),0)</f>
        <v>0</v>
      </c>
      <c r="AJ57" s="69" t="n">
        <f aca="false">AG57-AH57-AI57</f>
        <v>0</v>
      </c>
      <c r="AK57" s="69" t="n">
        <f aca="false">IF(AK56&gt;0.5,AK56*(1+$E$12)+$G$12-MIN($F$12,AK56*(1+$E$12)+$G$12),0)</f>
        <v>0</v>
      </c>
      <c r="AL57" s="69" t="n">
        <f aca="false">IF(AL56&gt;0.5,AL56*(1+$E$13)+$G$13-MIN($F$13,AL56*(1+$E$13)+$G$13),0)</f>
        <v>0</v>
      </c>
      <c r="AM57" s="69" t="n">
        <f aca="false">IF(AM56&gt;0.5,AM56*(1+$E$14)+$G$14-MIN($F$14,AM56*(1+$E$14)+$G$14),0)</f>
        <v>0</v>
      </c>
      <c r="AN57" s="69" t="n">
        <f aca="false">IF(AN56&gt;0.5,AN56*(1+$E$15)+$G$15-MIN($F$15,AN56*(1+$E$15)+$G$15),0)</f>
        <v>0</v>
      </c>
      <c r="AO57" s="69" t="n">
        <f aca="false">IF(AO56&gt;0.5,AO56*(1+$E$16)+$G$16-MIN($F$16,AO56*(1+$E$16)+$G$16),0)</f>
        <v>0</v>
      </c>
      <c r="AP57" s="69" t="n">
        <f aca="false">IF(AP56&gt;0.5,AP56*(1+$E$17)+$G$17-MIN($F$17,AP56*(1+$E$17)+$G$17),0)</f>
        <v>0</v>
      </c>
      <c r="AQ57" s="69" t="n">
        <f aca="false">IF(AQ56&gt;0.5,AQ56*(1+$E$18)+$G$18-MIN($F$18,AQ56*(1+$E$18)+$G$18),0)</f>
        <v>0</v>
      </c>
      <c r="AR57" s="69" t="n">
        <f aca="false">IF(AR56&gt;0.5,AR56*(1+$E$19)+$G$19-MIN($F$19,AR56*(1+$E$19)+$G$19),0)</f>
        <v>0</v>
      </c>
      <c r="AS57" s="69" t="n">
        <f aca="false">H57+L57+P57+T57+X57+AB57+AF57+AJ57</f>
        <v>0</v>
      </c>
      <c r="AT57" s="69" t="n">
        <f aca="false">SUM(AK57:AR57)</f>
        <v>0</v>
      </c>
      <c r="AU57" s="69" t="n">
        <f aca="false">F57+G57+J57+K57+N57+O57+R57+S57+V57+W57+Z57+AA57+AD57+AE57+AH57+AI57</f>
        <v>0</v>
      </c>
    </row>
    <row r="58" customFormat="false" ht="15" hidden="false" customHeight="false" outlineLevel="0" collapsed="false">
      <c r="B58" s="0" t="n">
        <v>31</v>
      </c>
      <c r="C58" s="68" t="n">
        <f aca="false">EDATE($C$7,30)</f>
        <v>47209</v>
      </c>
      <c r="D58" s="69" t="n">
        <f aca="false">$C$8-(F58+J58+N58+R58+V58+Z58+AD58+AH58)</f>
        <v>0</v>
      </c>
      <c r="E58" s="69" t="n">
        <f aca="false">IF(H57&gt;0.5,H57*(1+E$23)+E$24,0)</f>
        <v>0</v>
      </c>
      <c r="F58" s="69" t="n">
        <f aca="false">MIN(F$23,E58)</f>
        <v>0</v>
      </c>
      <c r="G58" s="69" t="n">
        <f aca="false">IF(AND(F$24=1,OR(E$25="",$C58&gt;=E$25)),MAX(0,MIN(E58-F58,$D58-(0))),0)</f>
        <v>0</v>
      </c>
      <c r="H58" s="69" t="n">
        <f aca="false">E58-F58-G58</f>
        <v>0</v>
      </c>
      <c r="I58" s="69" t="n">
        <f aca="false">IF(L57&gt;0.5,L57*(1+I$23)+I$24,0)</f>
        <v>0</v>
      </c>
      <c r="J58" s="69" t="n">
        <f aca="false">MIN(J$23,I58)</f>
        <v>0</v>
      </c>
      <c r="K58" s="69" t="n">
        <f aca="false">IF(AND(J$24=1,OR(I$25="",$C58&gt;=I$25)),MAX(0,MIN(I58-J58,$D58-(G58))),0)</f>
        <v>0</v>
      </c>
      <c r="L58" s="69" t="n">
        <f aca="false">I58-J58-K58</f>
        <v>0</v>
      </c>
      <c r="M58" s="69" t="n">
        <f aca="false">IF(P57&gt;0.5,P57*(1+M$23)+M$24,0)</f>
        <v>0</v>
      </c>
      <c r="N58" s="69" t="n">
        <f aca="false">MIN(N$23,M58)</f>
        <v>0</v>
      </c>
      <c r="O58" s="69" t="n">
        <f aca="false">IF(AND(N$24=1,OR(M$25="",$C58&gt;=M$25)),MAX(0,MIN(M58-N58,$D58-(G58+K58))),0)</f>
        <v>0</v>
      </c>
      <c r="P58" s="69" t="n">
        <f aca="false">M58-N58-O58</f>
        <v>0</v>
      </c>
      <c r="Q58" s="69" t="n">
        <f aca="false">IF(T57&gt;0.5,T57*(1+Q$23)+Q$24,0)</f>
        <v>0</v>
      </c>
      <c r="R58" s="69" t="n">
        <f aca="false">MIN(R$23,Q58)</f>
        <v>0</v>
      </c>
      <c r="S58" s="69" t="n">
        <f aca="false">IF(AND(R$24=1,OR(Q$25="",$C58&gt;=Q$25)),MAX(0,MIN(Q58-R58,$D58-(G58+K58+O58))),0)</f>
        <v>0</v>
      </c>
      <c r="T58" s="69" t="n">
        <f aca="false">Q58-R58-S58</f>
        <v>0</v>
      </c>
      <c r="U58" s="69" t="n">
        <f aca="false">IF(X57&gt;0.5,X57*(1+U$23)+U$24,0)</f>
        <v>0</v>
      </c>
      <c r="V58" s="69" t="n">
        <f aca="false">MIN(V$23,U58)</f>
        <v>0</v>
      </c>
      <c r="W58" s="69" t="n">
        <f aca="false">IF(AND(V$24=1,OR(U$25="",$C58&gt;=U$25)),MAX(0,MIN(U58-V58,$D58-(G58+K58+O58+S58))),0)</f>
        <v>0</v>
      </c>
      <c r="X58" s="69" t="n">
        <f aca="false">U58-V58-W58</f>
        <v>0</v>
      </c>
      <c r="Y58" s="69" t="n">
        <f aca="false">IF(AB57&gt;0.5,AB57*(1+Y$23)+Y$24,0)</f>
        <v>0</v>
      </c>
      <c r="Z58" s="69" t="n">
        <f aca="false">MIN(Z$23,Y58)</f>
        <v>0</v>
      </c>
      <c r="AA58" s="69" t="n">
        <f aca="false">IF(AND(Z$24=1,OR(Y$25="",$C58&gt;=Y$25)),MAX(0,MIN(Y58-Z58,$D58-(G58+K58+O58+S58+W58))),0)</f>
        <v>0</v>
      </c>
      <c r="AB58" s="69" t="n">
        <f aca="false">Y58-Z58-AA58</f>
        <v>0</v>
      </c>
      <c r="AC58" s="69" t="n">
        <f aca="false">IF(AF57&gt;0.5,AF57*(1+AC$23)+AC$24,0)</f>
        <v>0</v>
      </c>
      <c r="AD58" s="69" t="n">
        <f aca="false">MIN(AD$23,AC58)</f>
        <v>0</v>
      </c>
      <c r="AE58" s="69" t="n">
        <f aca="false">IF(AND(AD$24=1,OR(AC$25="",$C58&gt;=AC$25)),MAX(0,MIN(AC58-AD58,$D58-(G58+K58+O58+S58+W58+AA58))),0)</f>
        <v>0</v>
      </c>
      <c r="AF58" s="69" t="n">
        <f aca="false">AC58-AD58-AE58</f>
        <v>0</v>
      </c>
      <c r="AG58" s="69" t="n">
        <f aca="false">IF(AJ57&gt;0.5,AJ57*(1+AG$23)+AG$24,0)</f>
        <v>0</v>
      </c>
      <c r="AH58" s="69" t="n">
        <f aca="false">MIN(AH$23,AG58)</f>
        <v>0</v>
      </c>
      <c r="AI58" s="69" t="n">
        <f aca="false">IF(AND(AH$24=1,OR(AG$25="",$C58&gt;=AG$25)),MAX(0,MIN(AG58-AH58,$D58-(G58+K58+O58+S58+W58+AA58+AE58))),0)</f>
        <v>0</v>
      </c>
      <c r="AJ58" s="69" t="n">
        <f aca="false">AG58-AH58-AI58</f>
        <v>0</v>
      </c>
      <c r="AK58" s="69" t="n">
        <f aca="false">IF(AK57&gt;0.5,AK57*(1+$E$12)+$G$12-MIN($F$12,AK57*(1+$E$12)+$G$12),0)</f>
        <v>0</v>
      </c>
      <c r="AL58" s="69" t="n">
        <f aca="false">IF(AL57&gt;0.5,AL57*(1+$E$13)+$G$13-MIN($F$13,AL57*(1+$E$13)+$G$13),0)</f>
        <v>0</v>
      </c>
      <c r="AM58" s="69" t="n">
        <f aca="false">IF(AM57&gt;0.5,AM57*(1+$E$14)+$G$14-MIN($F$14,AM57*(1+$E$14)+$G$14),0)</f>
        <v>0</v>
      </c>
      <c r="AN58" s="69" t="n">
        <f aca="false">IF(AN57&gt;0.5,AN57*(1+$E$15)+$G$15-MIN($F$15,AN57*(1+$E$15)+$G$15),0)</f>
        <v>0</v>
      </c>
      <c r="AO58" s="69" t="n">
        <f aca="false">IF(AO57&gt;0.5,AO57*(1+$E$16)+$G$16-MIN($F$16,AO57*(1+$E$16)+$G$16),0)</f>
        <v>0</v>
      </c>
      <c r="AP58" s="69" t="n">
        <f aca="false">IF(AP57&gt;0.5,AP57*(1+$E$17)+$G$17-MIN($F$17,AP57*(1+$E$17)+$G$17),0)</f>
        <v>0</v>
      </c>
      <c r="AQ58" s="69" t="n">
        <f aca="false">IF(AQ57&gt;0.5,AQ57*(1+$E$18)+$G$18-MIN($F$18,AQ57*(1+$E$18)+$G$18),0)</f>
        <v>0</v>
      </c>
      <c r="AR58" s="69" t="n">
        <f aca="false">IF(AR57&gt;0.5,AR57*(1+$E$19)+$G$19-MIN($F$19,AR57*(1+$E$19)+$G$19),0)</f>
        <v>0</v>
      </c>
      <c r="AS58" s="69" t="n">
        <f aca="false">H58+L58+P58+T58+X58+AB58+AF58+AJ58</f>
        <v>0</v>
      </c>
      <c r="AT58" s="69" t="n">
        <f aca="false">SUM(AK58:AR58)</f>
        <v>0</v>
      </c>
      <c r="AU58" s="69" t="n">
        <f aca="false">F58+G58+J58+K58+N58+O58+R58+S58+V58+W58+Z58+AA58+AD58+AE58+AH58+AI58</f>
        <v>0</v>
      </c>
    </row>
    <row r="59" customFormat="false" ht="15" hidden="false" customHeight="false" outlineLevel="0" collapsed="false">
      <c r="B59" s="0" t="n">
        <v>32</v>
      </c>
      <c r="C59" s="68" t="n">
        <f aca="false">EDATE($C$7,31)</f>
        <v>47239</v>
      </c>
      <c r="D59" s="69" t="n">
        <f aca="false">$C$8-(F59+J59+N59+R59+V59+Z59+AD59+AH59)</f>
        <v>0</v>
      </c>
      <c r="E59" s="69" t="n">
        <f aca="false">IF(H58&gt;0.5,H58*(1+E$23)+E$24,0)</f>
        <v>0</v>
      </c>
      <c r="F59" s="69" t="n">
        <f aca="false">MIN(F$23,E59)</f>
        <v>0</v>
      </c>
      <c r="G59" s="69" t="n">
        <f aca="false">IF(AND(F$24=1,OR(E$25="",$C59&gt;=E$25)),MAX(0,MIN(E59-F59,$D59-(0))),0)</f>
        <v>0</v>
      </c>
      <c r="H59" s="69" t="n">
        <f aca="false">E59-F59-G59</f>
        <v>0</v>
      </c>
      <c r="I59" s="69" t="n">
        <f aca="false">IF(L58&gt;0.5,L58*(1+I$23)+I$24,0)</f>
        <v>0</v>
      </c>
      <c r="J59" s="69" t="n">
        <f aca="false">MIN(J$23,I59)</f>
        <v>0</v>
      </c>
      <c r="K59" s="69" t="n">
        <f aca="false">IF(AND(J$24=1,OR(I$25="",$C59&gt;=I$25)),MAX(0,MIN(I59-J59,$D59-(G59))),0)</f>
        <v>0</v>
      </c>
      <c r="L59" s="69" t="n">
        <f aca="false">I59-J59-K59</f>
        <v>0</v>
      </c>
      <c r="M59" s="69" t="n">
        <f aca="false">IF(P58&gt;0.5,P58*(1+M$23)+M$24,0)</f>
        <v>0</v>
      </c>
      <c r="N59" s="69" t="n">
        <f aca="false">MIN(N$23,M59)</f>
        <v>0</v>
      </c>
      <c r="O59" s="69" t="n">
        <f aca="false">IF(AND(N$24=1,OR(M$25="",$C59&gt;=M$25)),MAX(0,MIN(M59-N59,$D59-(G59+K59))),0)</f>
        <v>0</v>
      </c>
      <c r="P59" s="69" t="n">
        <f aca="false">M59-N59-O59</f>
        <v>0</v>
      </c>
      <c r="Q59" s="69" t="n">
        <f aca="false">IF(T58&gt;0.5,T58*(1+Q$23)+Q$24,0)</f>
        <v>0</v>
      </c>
      <c r="R59" s="69" t="n">
        <f aca="false">MIN(R$23,Q59)</f>
        <v>0</v>
      </c>
      <c r="S59" s="69" t="n">
        <f aca="false">IF(AND(R$24=1,OR(Q$25="",$C59&gt;=Q$25)),MAX(0,MIN(Q59-R59,$D59-(G59+K59+O59))),0)</f>
        <v>0</v>
      </c>
      <c r="T59" s="69" t="n">
        <f aca="false">Q59-R59-S59</f>
        <v>0</v>
      </c>
      <c r="U59" s="69" t="n">
        <f aca="false">IF(X58&gt;0.5,X58*(1+U$23)+U$24,0)</f>
        <v>0</v>
      </c>
      <c r="V59" s="69" t="n">
        <f aca="false">MIN(V$23,U59)</f>
        <v>0</v>
      </c>
      <c r="W59" s="69" t="n">
        <f aca="false">IF(AND(V$24=1,OR(U$25="",$C59&gt;=U$25)),MAX(0,MIN(U59-V59,$D59-(G59+K59+O59+S59))),0)</f>
        <v>0</v>
      </c>
      <c r="X59" s="69" t="n">
        <f aca="false">U59-V59-W59</f>
        <v>0</v>
      </c>
      <c r="Y59" s="69" t="n">
        <f aca="false">IF(AB58&gt;0.5,AB58*(1+Y$23)+Y$24,0)</f>
        <v>0</v>
      </c>
      <c r="Z59" s="69" t="n">
        <f aca="false">MIN(Z$23,Y59)</f>
        <v>0</v>
      </c>
      <c r="AA59" s="69" t="n">
        <f aca="false">IF(AND(Z$24=1,OR(Y$25="",$C59&gt;=Y$25)),MAX(0,MIN(Y59-Z59,$D59-(G59+K59+O59+S59+W59))),0)</f>
        <v>0</v>
      </c>
      <c r="AB59" s="69" t="n">
        <f aca="false">Y59-Z59-AA59</f>
        <v>0</v>
      </c>
      <c r="AC59" s="69" t="n">
        <f aca="false">IF(AF58&gt;0.5,AF58*(1+AC$23)+AC$24,0)</f>
        <v>0</v>
      </c>
      <c r="AD59" s="69" t="n">
        <f aca="false">MIN(AD$23,AC59)</f>
        <v>0</v>
      </c>
      <c r="AE59" s="69" t="n">
        <f aca="false">IF(AND(AD$24=1,OR(AC$25="",$C59&gt;=AC$25)),MAX(0,MIN(AC59-AD59,$D59-(G59+K59+O59+S59+W59+AA59))),0)</f>
        <v>0</v>
      </c>
      <c r="AF59" s="69" t="n">
        <f aca="false">AC59-AD59-AE59</f>
        <v>0</v>
      </c>
      <c r="AG59" s="69" t="n">
        <f aca="false">IF(AJ58&gt;0.5,AJ58*(1+AG$23)+AG$24,0)</f>
        <v>0</v>
      </c>
      <c r="AH59" s="69" t="n">
        <f aca="false">MIN(AH$23,AG59)</f>
        <v>0</v>
      </c>
      <c r="AI59" s="69" t="n">
        <f aca="false">IF(AND(AH$24=1,OR(AG$25="",$C59&gt;=AG$25)),MAX(0,MIN(AG59-AH59,$D59-(G59+K59+O59+S59+W59+AA59+AE59))),0)</f>
        <v>0</v>
      </c>
      <c r="AJ59" s="69" t="n">
        <f aca="false">AG59-AH59-AI59</f>
        <v>0</v>
      </c>
      <c r="AK59" s="69" t="n">
        <f aca="false">IF(AK58&gt;0.5,AK58*(1+$E$12)+$G$12-MIN($F$12,AK58*(1+$E$12)+$G$12),0)</f>
        <v>0</v>
      </c>
      <c r="AL59" s="69" t="n">
        <f aca="false">IF(AL58&gt;0.5,AL58*(1+$E$13)+$G$13-MIN($F$13,AL58*(1+$E$13)+$G$13),0)</f>
        <v>0</v>
      </c>
      <c r="AM59" s="69" t="n">
        <f aca="false">IF(AM58&gt;0.5,AM58*(1+$E$14)+$G$14-MIN($F$14,AM58*(1+$E$14)+$G$14),0)</f>
        <v>0</v>
      </c>
      <c r="AN59" s="69" t="n">
        <f aca="false">IF(AN58&gt;0.5,AN58*(1+$E$15)+$G$15-MIN($F$15,AN58*(1+$E$15)+$G$15),0)</f>
        <v>0</v>
      </c>
      <c r="AO59" s="69" t="n">
        <f aca="false">IF(AO58&gt;0.5,AO58*(1+$E$16)+$G$16-MIN($F$16,AO58*(1+$E$16)+$G$16),0)</f>
        <v>0</v>
      </c>
      <c r="AP59" s="69" t="n">
        <f aca="false">IF(AP58&gt;0.5,AP58*(1+$E$17)+$G$17-MIN($F$17,AP58*(1+$E$17)+$G$17),0)</f>
        <v>0</v>
      </c>
      <c r="AQ59" s="69" t="n">
        <f aca="false">IF(AQ58&gt;0.5,AQ58*(1+$E$18)+$G$18-MIN($F$18,AQ58*(1+$E$18)+$G$18),0)</f>
        <v>0</v>
      </c>
      <c r="AR59" s="69" t="n">
        <f aca="false">IF(AR58&gt;0.5,AR58*(1+$E$19)+$G$19-MIN($F$19,AR58*(1+$E$19)+$G$19),0)</f>
        <v>0</v>
      </c>
      <c r="AS59" s="69" t="n">
        <f aca="false">H59+L59+P59+T59+X59+AB59+AF59+AJ59</f>
        <v>0</v>
      </c>
      <c r="AT59" s="69" t="n">
        <f aca="false">SUM(AK59:AR59)</f>
        <v>0</v>
      </c>
      <c r="AU59" s="69" t="n">
        <f aca="false">F59+G59+J59+K59+N59+O59+R59+S59+V59+W59+Z59+AA59+AD59+AE59+AH59+AI59</f>
        <v>0</v>
      </c>
    </row>
    <row r="60" customFormat="false" ht="15" hidden="false" customHeight="false" outlineLevel="0" collapsed="false">
      <c r="B60" s="0" t="n">
        <v>33</v>
      </c>
      <c r="C60" s="68" t="n">
        <f aca="false">EDATE($C$7,32)</f>
        <v>47270</v>
      </c>
      <c r="D60" s="69" t="n">
        <f aca="false">$C$8-(F60+J60+N60+R60+V60+Z60+AD60+AH60)</f>
        <v>0</v>
      </c>
      <c r="E60" s="69" t="n">
        <f aca="false">IF(H59&gt;0.5,H59*(1+E$23)+E$24,0)</f>
        <v>0</v>
      </c>
      <c r="F60" s="69" t="n">
        <f aca="false">MIN(F$23,E60)</f>
        <v>0</v>
      </c>
      <c r="G60" s="69" t="n">
        <f aca="false">IF(AND(F$24=1,OR(E$25="",$C60&gt;=E$25)),MAX(0,MIN(E60-F60,$D60-(0))),0)</f>
        <v>0</v>
      </c>
      <c r="H60" s="69" t="n">
        <f aca="false">E60-F60-G60</f>
        <v>0</v>
      </c>
      <c r="I60" s="69" t="n">
        <f aca="false">IF(L59&gt;0.5,L59*(1+I$23)+I$24,0)</f>
        <v>0</v>
      </c>
      <c r="J60" s="69" t="n">
        <f aca="false">MIN(J$23,I60)</f>
        <v>0</v>
      </c>
      <c r="K60" s="69" t="n">
        <f aca="false">IF(AND(J$24=1,OR(I$25="",$C60&gt;=I$25)),MAX(0,MIN(I60-J60,$D60-(G60))),0)</f>
        <v>0</v>
      </c>
      <c r="L60" s="69" t="n">
        <f aca="false">I60-J60-K60</f>
        <v>0</v>
      </c>
      <c r="M60" s="69" t="n">
        <f aca="false">IF(P59&gt;0.5,P59*(1+M$23)+M$24,0)</f>
        <v>0</v>
      </c>
      <c r="N60" s="69" t="n">
        <f aca="false">MIN(N$23,M60)</f>
        <v>0</v>
      </c>
      <c r="O60" s="69" t="n">
        <f aca="false">IF(AND(N$24=1,OR(M$25="",$C60&gt;=M$25)),MAX(0,MIN(M60-N60,$D60-(G60+K60))),0)</f>
        <v>0</v>
      </c>
      <c r="P60" s="69" t="n">
        <f aca="false">M60-N60-O60</f>
        <v>0</v>
      </c>
      <c r="Q60" s="69" t="n">
        <f aca="false">IF(T59&gt;0.5,T59*(1+Q$23)+Q$24,0)</f>
        <v>0</v>
      </c>
      <c r="R60" s="69" t="n">
        <f aca="false">MIN(R$23,Q60)</f>
        <v>0</v>
      </c>
      <c r="S60" s="69" t="n">
        <f aca="false">IF(AND(R$24=1,OR(Q$25="",$C60&gt;=Q$25)),MAX(0,MIN(Q60-R60,$D60-(G60+K60+O60))),0)</f>
        <v>0</v>
      </c>
      <c r="T60" s="69" t="n">
        <f aca="false">Q60-R60-S60</f>
        <v>0</v>
      </c>
      <c r="U60" s="69" t="n">
        <f aca="false">IF(X59&gt;0.5,X59*(1+U$23)+U$24,0)</f>
        <v>0</v>
      </c>
      <c r="V60" s="69" t="n">
        <f aca="false">MIN(V$23,U60)</f>
        <v>0</v>
      </c>
      <c r="W60" s="69" t="n">
        <f aca="false">IF(AND(V$24=1,OR(U$25="",$C60&gt;=U$25)),MAX(0,MIN(U60-V60,$D60-(G60+K60+O60+S60))),0)</f>
        <v>0</v>
      </c>
      <c r="X60" s="69" t="n">
        <f aca="false">U60-V60-W60</f>
        <v>0</v>
      </c>
      <c r="Y60" s="69" t="n">
        <f aca="false">IF(AB59&gt;0.5,AB59*(1+Y$23)+Y$24,0)</f>
        <v>0</v>
      </c>
      <c r="Z60" s="69" t="n">
        <f aca="false">MIN(Z$23,Y60)</f>
        <v>0</v>
      </c>
      <c r="AA60" s="69" t="n">
        <f aca="false">IF(AND(Z$24=1,OR(Y$25="",$C60&gt;=Y$25)),MAX(0,MIN(Y60-Z60,$D60-(G60+K60+O60+S60+W60))),0)</f>
        <v>0</v>
      </c>
      <c r="AB60" s="69" t="n">
        <f aca="false">Y60-Z60-AA60</f>
        <v>0</v>
      </c>
      <c r="AC60" s="69" t="n">
        <f aca="false">IF(AF59&gt;0.5,AF59*(1+AC$23)+AC$24,0)</f>
        <v>0</v>
      </c>
      <c r="AD60" s="69" t="n">
        <f aca="false">MIN(AD$23,AC60)</f>
        <v>0</v>
      </c>
      <c r="AE60" s="69" t="n">
        <f aca="false">IF(AND(AD$24=1,OR(AC$25="",$C60&gt;=AC$25)),MAX(0,MIN(AC60-AD60,$D60-(G60+K60+O60+S60+W60+AA60))),0)</f>
        <v>0</v>
      </c>
      <c r="AF60" s="69" t="n">
        <f aca="false">AC60-AD60-AE60</f>
        <v>0</v>
      </c>
      <c r="AG60" s="69" t="n">
        <f aca="false">IF(AJ59&gt;0.5,AJ59*(1+AG$23)+AG$24,0)</f>
        <v>0</v>
      </c>
      <c r="AH60" s="69" t="n">
        <f aca="false">MIN(AH$23,AG60)</f>
        <v>0</v>
      </c>
      <c r="AI60" s="69" t="n">
        <f aca="false">IF(AND(AH$24=1,OR(AG$25="",$C60&gt;=AG$25)),MAX(0,MIN(AG60-AH60,$D60-(G60+K60+O60+S60+W60+AA60+AE60))),0)</f>
        <v>0</v>
      </c>
      <c r="AJ60" s="69" t="n">
        <f aca="false">AG60-AH60-AI60</f>
        <v>0</v>
      </c>
      <c r="AK60" s="69" t="n">
        <f aca="false">IF(AK59&gt;0.5,AK59*(1+$E$12)+$G$12-MIN($F$12,AK59*(1+$E$12)+$G$12),0)</f>
        <v>0</v>
      </c>
      <c r="AL60" s="69" t="n">
        <f aca="false">IF(AL59&gt;0.5,AL59*(1+$E$13)+$G$13-MIN($F$13,AL59*(1+$E$13)+$G$13),0)</f>
        <v>0</v>
      </c>
      <c r="AM60" s="69" t="n">
        <f aca="false">IF(AM59&gt;0.5,AM59*(1+$E$14)+$G$14-MIN($F$14,AM59*(1+$E$14)+$G$14),0)</f>
        <v>0</v>
      </c>
      <c r="AN60" s="69" t="n">
        <f aca="false">IF(AN59&gt;0.5,AN59*(1+$E$15)+$G$15-MIN($F$15,AN59*(1+$E$15)+$G$15),0)</f>
        <v>0</v>
      </c>
      <c r="AO60" s="69" t="n">
        <f aca="false">IF(AO59&gt;0.5,AO59*(1+$E$16)+$G$16-MIN($F$16,AO59*(1+$E$16)+$G$16),0)</f>
        <v>0</v>
      </c>
      <c r="AP60" s="69" t="n">
        <f aca="false">IF(AP59&gt;0.5,AP59*(1+$E$17)+$G$17-MIN($F$17,AP59*(1+$E$17)+$G$17),0)</f>
        <v>0</v>
      </c>
      <c r="AQ60" s="69" t="n">
        <f aca="false">IF(AQ59&gt;0.5,AQ59*(1+$E$18)+$G$18-MIN($F$18,AQ59*(1+$E$18)+$G$18),0)</f>
        <v>0</v>
      </c>
      <c r="AR60" s="69" t="n">
        <f aca="false">IF(AR59&gt;0.5,AR59*(1+$E$19)+$G$19-MIN($F$19,AR59*(1+$E$19)+$G$19),0)</f>
        <v>0</v>
      </c>
      <c r="AS60" s="69" t="n">
        <f aca="false">H60+L60+P60+T60+X60+AB60+AF60+AJ60</f>
        <v>0</v>
      </c>
      <c r="AT60" s="69" t="n">
        <f aca="false">SUM(AK60:AR60)</f>
        <v>0</v>
      </c>
      <c r="AU60" s="69" t="n">
        <f aca="false">F60+G60+J60+K60+N60+O60+R60+S60+V60+W60+Z60+AA60+AD60+AE60+AH60+AI60</f>
        <v>0</v>
      </c>
    </row>
    <row r="61" customFormat="false" ht="15" hidden="false" customHeight="false" outlineLevel="0" collapsed="false">
      <c r="B61" s="0" t="n">
        <v>34</v>
      </c>
      <c r="C61" s="68" t="n">
        <f aca="false">EDATE($C$7,33)</f>
        <v>47300</v>
      </c>
      <c r="D61" s="69" t="n">
        <f aca="false">$C$8-(F61+J61+N61+R61+V61+Z61+AD61+AH61)</f>
        <v>0</v>
      </c>
      <c r="E61" s="69" t="n">
        <f aca="false">IF(H60&gt;0.5,H60*(1+E$23)+E$24,0)</f>
        <v>0</v>
      </c>
      <c r="F61" s="69" t="n">
        <f aca="false">MIN(F$23,E61)</f>
        <v>0</v>
      </c>
      <c r="G61" s="69" t="n">
        <f aca="false">IF(AND(F$24=1,OR(E$25="",$C61&gt;=E$25)),MAX(0,MIN(E61-F61,$D61-(0))),0)</f>
        <v>0</v>
      </c>
      <c r="H61" s="69" t="n">
        <f aca="false">E61-F61-G61</f>
        <v>0</v>
      </c>
      <c r="I61" s="69" t="n">
        <f aca="false">IF(L60&gt;0.5,L60*(1+I$23)+I$24,0)</f>
        <v>0</v>
      </c>
      <c r="J61" s="69" t="n">
        <f aca="false">MIN(J$23,I61)</f>
        <v>0</v>
      </c>
      <c r="K61" s="69" t="n">
        <f aca="false">IF(AND(J$24=1,OR(I$25="",$C61&gt;=I$25)),MAX(0,MIN(I61-J61,$D61-(G61))),0)</f>
        <v>0</v>
      </c>
      <c r="L61" s="69" t="n">
        <f aca="false">I61-J61-K61</f>
        <v>0</v>
      </c>
      <c r="M61" s="69" t="n">
        <f aca="false">IF(P60&gt;0.5,P60*(1+M$23)+M$24,0)</f>
        <v>0</v>
      </c>
      <c r="N61" s="69" t="n">
        <f aca="false">MIN(N$23,M61)</f>
        <v>0</v>
      </c>
      <c r="O61" s="69" t="n">
        <f aca="false">IF(AND(N$24=1,OR(M$25="",$C61&gt;=M$25)),MAX(0,MIN(M61-N61,$D61-(G61+K61))),0)</f>
        <v>0</v>
      </c>
      <c r="P61" s="69" t="n">
        <f aca="false">M61-N61-O61</f>
        <v>0</v>
      </c>
      <c r="Q61" s="69" t="n">
        <f aca="false">IF(T60&gt;0.5,T60*(1+Q$23)+Q$24,0)</f>
        <v>0</v>
      </c>
      <c r="R61" s="69" t="n">
        <f aca="false">MIN(R$23,Q61)</f>
        <v>0</v>
      </c>
      <c r="S61" s="69" t="n">
        <f aca="false">IF(AND(R$24=1,OR(Q$25="",$C61&gt;=Q$25)),MAX(0,MIN(Q61-R61,$D61-(G61+K61+O61))),0)</f>
        <v>0</v>
      </c>
      <c r="T61" s="69" t="n">
        <f aca="false">Q61-R61-S61</f>
        <v>0</v>
      </c>
      <c r="U61" s="69" t="n">
        <f aca="false">IF(X60&gt;0.5,X60*(1+U$23)+U$24,0)</f>
        <v>0</v>
      </c>
      <c r="V61" s="69" t="n">
        <f aca="false">MIN(V$23,U61)</f>
        <v>0</v>
      </c>
      <c r="W61" s="69" t="n">
        <f aca="false">IF(AND(V$24=1,OR(U$25="",$C61&gt;=U$25)),MAX(0,MIN(U61-V61,$D61-(G61+K61+O61+S61))),0)</f>
        <v>0</v>
      </c>
      <c r="X61" s="69" t="n">
        <f aca="false">U61-V61-W61</f>
        <v>0</v>
      </c>
      <c r="Y61" s="69" t="n">
        <f aca="false">IF(AB60&gt;0.5,AB60*(1+Y$23)+Y$24,0)</f>
        <v>0</v>
      </c>
      <c r="Z61" s="69" t="n">
        <f aca="false">MIN(Z$23,Y61)</f>
        <v>0</v>
      </c>
      <c r="AA61" s="69" t="n">
        <f aca="false">IF(AND(Z$24=1,OR(Y$25="",$C61&gt;=Y$25)),MAX(0,MIN(Y61-Z61,$D61-(G61+K61+O61+S61+W61))),0)</f>
        <v>0</v>
      </c>
      <c r="AB61" s="69" t="n">
        <f aca="false">Y61-Z61-AA61</f>
        <v>0</v>
      </c>
      <c r="AC61" s="69" t="n">
        <f aca="false">IF(AF60&gt;0.5,AF60*(1+AC$23)+AC$24,0)</f>
        <v>0</v>
      </c>
      <c r="AD61" s="69" t="n">
        <f aca="false">MIN(AD$23,AC61)</f>
        <v>0</v>
      </c>
      <c r="AE61" s="69" t="n">
        <f aca="false">IF(AND(AD$24=1,OR(AC$25="",$C61&gt;=AC$25)),MAX(0,MIN(AC61-AD61,$D61-(G61+K61+O61+S61+W61+AA61))),0)</f>
        <v>0</v>
      </c>
      <c r="AF61" s="69" t="n">
        <f aca="false">AC61-AD61-AE61</f>
        <v>0</v>
      </c>
      <c r="AG61" s="69" t="n">
        <f aca="false">IF(AJ60&gt;0.5,AJ60*(1+AG$23)+AG$24,0)</f>
        <v>0</v>
      </c>
      <c r="AH61" s="69" t="n">
        <f aca="false">MIN(AH$23,AG61)</f>
        <v>0</v>
      </c>
      <c r="AI61" s="69" t="n">
        <f aca="false">IF(AND(AH$24=1,OR(AG$25="",$C61&gt;=AG$25)),MAX(0,MIN(AG61-AH61,$D61-(G61+K61+O61+S61+W61+AA61+AE61))),0)</f>
        <v>0</v>
      </c>
      <c r="AJ61" s="69" t="n">
        <f aca="false">AG61-AH61-AI61</f>
        <v>0</v>
      </c>
      <c r="AK61" s="69" t="n">
        <f aca="false">IF(AK60&gt;0.5,AK60*(1+$E$12)+$G$12-MIN($F$12,AK60*(1+$E$12)+$G$12),0)</f>
        <v>0</v>
      </c>
      <c r="AL61" s="69" t="n">
        <f aca="false">IF(AL60&gt;0.5,AL60*(1+$E$13)+$G$13-MIN($F$13,AL60*(1+$E$13)+$G$13),0)</f>
        <v>0</v>
      </c>
      <c r="AM61" s="69" t="n">
        <f aca="false">IF(AM60&gt;0.5,AM60*(1+$E$14)+$G$14-MIN($F$14,AM60*(1+$E$14)+$G$14),0)</f>
        <v>0</v>
      </c>
      <c r="AN61" s="69" t="n">
        <f aca="false">IF(AN60&gt;0.5,AN60*(1+$E$15)+$G$15-MIN($F$15,AN60*(1+$E$15)+$G$15),0)</f>
        <v>0</v>
      </c>
      <c r="AO61" s="69" t="n">
        <f aca="false">IF(AO60&gt;0.5,AO60*(1+$E$16)+$G$16-MIN($F$16,AO60*(1+$E$16)+$G$16),0)</f>
        <v>0</v>
      </c>
      <c r="AP61" s="69" t="n">
        <f aca="false">IF(AP60&gt;0.5,AP60*(1+$E$17)+$G$17-MIN($F$17,AP60*(1+$E$17)+$G$17),0)</f>
        <v>0</v>
      </c>
      <c r="AQ61" s="69" t="n">
        <f aca="false">IF(AQ60&gt;0.5,AQ60*(1+$E$18)+$G$18-MIN($F$18,AQ60*(1+$E$18)+$G$18),0)</f>
        <v>0</v>
      </c>
      <c r="AR61" s="69" t="n">
        <f aca="false">IF(AR60&gt;0.5,AR60*(1+$E$19)+$G$19-MIN($F$19,AR60*(1+$E$19)+$G$19),0)</f>
        <v>0</v>
      </c>
      <c r="AS61" s="69" t="n">
        <f aca="false">H61+L61+P61+T61+X61+AB61+AF61+AJ61</f>
        <v>0</v>
      </c>
      <c r="AT61" s="69" t="n">
        <f aca="false">SUM(AK61:AR61)</f>
        <v>0</v>
      </c>
      <c r="AU61" s="69" t="n">
        <f aca="false">F61+G61+J61+K61+N61+O61+R61+S61+V61+W61+Z61+AA61+AD61+AE61+AH61+AI61</f>
        <v>0</v>
      </c>
    </row>
    <row r="62" customFormat="false" ht="15" hidden="false" customHeight="false" outlineLevel="0" collapsed="false">
      <c r="B62" s="0" t="n">
        <v>35</v>
      </c>
      <c r="C62" s="68" t="n">
        <f aca="false">EDATE($C$7,34)</f>
        <v>47331</v>
      </c>
      <c r="D62" s="69" t="n">
        <f aca="false">$C$8-(F62+J62+N62+R62+V62+Z62+AD62+AH62)</f>
        <v>0</v>
      </c>
      <c r="E62" s="69" t="n">
        <f aca="false">IF(H61&gt;0.5,H61*(1+E$23)+E$24,0)</f>
        <v>0</v>
      </c>
      <c r="F62" s="69" t="n">
        <f aca="false">MIN(F$23,E62)</f>
        <v>0</v>
      </c>
      <c r="G62" s="69" t="n">
        <f aca="false">IF(AND(F$24=1,OR(E$25="",$C62&gt;=E$25)),MAX(0,MIN(E62-F62,$D62-(0))),0)</f>
        <v>0</v>
      </c>
      <c r="H62" s="69" t="n">
        <f aca="false">E62-F62-G62</f>
        <v>0</v>
      </c>
      <c r="I62" s="69" t="n">
        <f aca="false">IF(L61&gt;0.5,L61*(1+I$23)+I$24,0)</f>
        <v>0</v>
      </c>
      <c r="J62" s="69" t="n">
        <f aca="false">MIN(J$23,I62)</f>
        <v>0</v>
      </c>
      <c r="K62" s="69" t="n">
        <f aca="false">IF(AND(J$24=1,OR(I$25="",$C62&gt;=I$25)),MAX(0,MIN(I62-J62,$D62-(G62))),0)</f>
        <v>0</v>
      </c>
      <c r="L62" s="69" t="n">
        <f aca="false">I62-J62-K62</f>
        <v>0</v>
      </c>
      <c r="M62" s="69" t="n">
        <f aca="false">IF(P61&gt;0.5,P61*(1+M$23)+M$24,0)</f>
        <v>0</v>
      </c>
      <c r="N62" s="69" t="n">
        <f aca="false">MIN(N$23,M62)</f>
        <v>0</v>
      </c>
      <c r="O62" s="69" t="n">
        <f aca="false">IF(AND(N$24=1,OR(M$25="",$C62&gt;=M$25)),MAX(0,MIN(M62-N62,$D62-(G62+K62))),0)</f>
        <v>0</v>
      </c>
      <c r="P62" s="69" t="n">
        <f aca="false">M62-N62-O62</f>
        <v>0</v>
      </c>
      <c r="Q62" s="69" t="n">
        <f aca="false">IF(T61&gt;0.5,T61*(1+Q$23)+Q$24,0)</f>
        <v>0</v>
      </c>
      <c r="R62" s="69" t="n">
        <f aca="false">MIN(R$23,Q62)</f>
        <v>0</v>
      </c>
      <c r="S62" s="69" t="n">
        <f aca="false">IF(AND(R$24=1,OR(Q$25="",$C62&gt;=Q$25)),MAX(0,MIN(Q62-R62,$D62-(G62+K62+O62))),0)</f>
        <v>0</v>
      </c>
      <c r="T62" s="69" t="n">
        <f aca="false">Q62-R62-S62</f>
        <v>0</v>
      </c>
      <c r="U62" s="69" t="n">
        <f aca="false">IF(X61&gt;0.5,X61*(1+U$23)+U$24,0)</f>
        <v>0</v>
      </c>
      <c r="V62" s="69" t="n">
        <f aca="false">MIN(V$23,U62)</f>
        <v>0</v>
      </c>
      <c r="W62" s="69" t="n">
        <f aca="false">IF(AND(V$24=1,OR(U$25="",$C62&gt;=U$25)),MAX(0,MIN(U62-V62,$D62-(G62+K62+O62+S62))),0)</f>
        <v>0</v>
      </c>
      <c r="X62" s="69" t="n">
        <f aca="false">U62-V62-W62</f>
        <v>0</v>
      </c>
      <c r="Y62" s="69" t="n">
        <f aca="false">IF(AB61&gt;0.5,AB61*(1+Y$23)+Y$24,0)</f>
        <v>0</v>
      </c>
      <c r="Z62" s="69" t="n">
        <f aca="false">MIN(Z$23,Y62)</f>
        <v>0</v>
      </c>
      <c r="AA62" s="69" t="n">
        <f aca="false">IF(AND(Z$24=1,OR(Y$25="",$C62&gt;=Y$25)),MAX(0,MIN(Y62-Z62,$D62-(G62+K62+O62+S62+W62))),0)</f>
        <v>0</v>
      </c>
      <c r="AB62" s="69" t="n">
        <f aca="false">Y62-Z62-AA62</f>
        <v>0</v>
      </c>
      <c r="AC62" s="69" t="n">
        <f aca="false">IF(AF61&gt;0.5,AF61*(1+AC$23)+AC$24,0)</f>
        <v>0</v>
      </c>
      <c r="AD62" s="69" t="n">
        <f aca="false">MIN(AD$23,AC62)</f>
        <v>0</v>
      </c>
      <c r="AE62" s="69" t="n">
        <f aca="false">IF(AND(AD$24=1,OR(AC$25="",$C62&gt;=AC$25)),MAX(0,MIN(AC62-AD62,$D62-(G62+K62+O62+S62+W62+AA62))),0)</f>
        <v>0</v>
      </c>
      <c r="AF62" s="69" t="n">
        <f aca="false">AC62-AD62-AE62</f>
        <v>0</v>
      </c>
      <c r="AG62" s="69" t="n">
        <f aca="false">IF(AJ61&gt;0.5,AJ61*(1+AG$23)+AG$24,0)</f>
        <v>0</v>
      </c>
      <c r="AH62" s="69" t="n">
        <f aca="false">MIN(AH$23,AG62)</f>
        <v>0</v>
      </c>
      <c r="AI62" s="69" t="n">
        <f aca="false">IF(AND(AH$24=1,OR(AG$25="",$C62&gt;=AG$25)),MAX(0,MIN(AG62-AH62,$D62-(G62+K62+O62+S62+W62+AA62+AE62))),0)</f>
        <v>0</v>
      </c>
      <c r="AJ62" s="69" t="n">
        <f aca="false">AG62-AH62-AI62</f>
        <v>0</v>
      </c>
      <c r="AK62" s="69" t="n">
        <f aca="false">IF(AK61&gt;0.5,AK61*(1+$E$12)+$G$12-MIN($F$12,AK61*(1+$E$12)+$G$12),0)</f>
        <v>0</v>
      </c>
      <c r="AL62" s="69" t="n">
        <f aca="false">IF(AL61&gt;0.5,AL61*(1+$E$13)+$G$13-MIN($F$13,AL61*(1+$E$13)+$G$13),0)</f>
        <v>0</v>
      </c>
      <c r="AM62" s="69" t="n">
        <f aca="false">IF(AM61&gt;0.5,AM61*(1+$E$14)+$G$14-MIN($F$14,AM61*(1+$E$14)+$G$14),0)</f>
        <v>0</v>
      </c>
      <c r="AN62" s="69" t="n">
        <f aca="false">IF(AN61&gt;0.5,AN61*(1+$E$15)+$G$15-MIN($F$15,AN61*(1+$E$15)+$G$15),0)</f>
        <v>0</v>
      </c>
      <c r="AO62" s="69" t="n">
        <f aca="false">IF(AO61&gt;0.5,AO61*(1+$E$16)+$G$16-MIN($F$16,AO61*(1+$E$16)+$G$16),0)</f>
        <v>0</v>
      </c>
      <c r="AP62" s="69" t="n">
        <f aca="false">IF(AP61&gt;0.5,AP61*(1+$E$17)+$G$17-MIN($F$17,AP61*(1+$E$17)+$G$17),0)</f>
        <v>0</v>
      </c>
      <c r="AQ62" s="69" t="n">
        <f aca="false">IF(AQ61&gt;0.5,AQ61*(1+$E$18)+$G$18-MIN($F$18,AQ61*(1+$E$18)+$G$18),0)</f>
        <v>0</v>
      </c>
      <c r="AR62" s="69" t="n">
        <f aca="false">IF(AR61&gt;0.5,AR61*(1+$E$19)+$G$19-MIN($F$19,AR61*(1+$E$19)+$G$19),0)</f>
        <v>0</v>
      </c>
      <c r="AS62" s="69" t="n">
        <f aca="false">H62+L62+P62+T62+X62+AB62+AF62+AJ62</f>
        <v>0</v>
      </c>
      <c r="AT62" s="69" t="n">
        <f aca="false">SUM(AK62:AR62)</f>
        <v>0</v>
      </c>
      <c r="AU62" s="69" t="n">
        <f aca="false">F62+G62+J62+K62+N62+O62+R62+S62+V62+W62+Z62+AA62+AD62+AE62+AH62+AI62</f>
        <v>0</v>
      </c>
    </row>
    <row r="63" customFormat="false" ht="15" hidden="false" customHeight="false" outlineLevel="0" collapsed="false">
      <c r="B63" s="0" t="n">
        <v>36</v>
      </c>
      <c r="C63" s="68" t="n">
        <f aca="false">EDATE($C$7,35)</f>
        <v>47362</v>
      </c>
      <c r="D63" s="69" t="n">
        <f aca="false">$C$8-(F63+J63+N63+R63+V63+Z63+AD63+AH63)</f>
        <v>0</v>
      </c>
      <c r="E63" s="69" t="n">
        <f aca="false">IF(H62&gt;0.5,H62*(1+E$23)+E$24,0)</f>
        <v>0</v>
      </c>
      <c r="F63" s="69" t="n">
        <f aca="false">MIN(F$23,E63)</f>
        <v>0</v>
      </c>
      <c r="G63" s="69" t="n">
        <f aca="false">IF(AND(F$24=1,OR(E$25="",$C63&gt;=E$25)),MAX(0,MIN(E63-F63,$D63-(0))),0)</f>
        <v>0</v>
      </c>
      <c r="H63" s="69" t="n">
        <f aca="false">E63-F63-G63</f>
        <v>0</v>
      </c>
      <c r="I63" s="69" t="n">
        <f aca="false">IF(L62&gt;0.5,L62*(1+I$23)+I$24,0)</f>
        <v>0</v>
      </c>
      <c r="J63" s="69" t="n">
        <f aca="false">MIN(J$23,I63)</f>
        <v>0</v>
      </c>
      <c r="K63" s="69" t="n">
        <f aca="false">IF(AND(J$24=1,OR(I$25="",$C63&gt;=I$25)),MAX(0,MIN(I63-J63,$D63-(G63))),0)</f>
        <v>0</v>
      </c>
      <c r="L63" s="69" t="n">
        <f aca="false">I63-J63-K63</f>
        <v>0</v>
      </c>
      <c r="M63" s="69" t="n">
        <f aca="false">IF(P62&gt;0.5,P62*(1+M$23)+M$24,0)</f>
        <v>0</v>
      </c>
      <c r="N63" s="69" t="n">
        <f aca="false">MIN(N$23,M63)</f>
        <v>0</v>
      </c>
      <c r="O63" s="69" t="n">
        <f aca="false">IF(AND(N$24=1,OR(M$25="",$C63&gt;=M$25)),MAX(0,MIN(M63-N63,$D63-(G63+K63))),0)</f>
        <v>0</v>
      </c>
      <c r="P63" s="69" t="n">
        <f aca="false">M63-N63-O63</f>
        <v>0</v>
      </c>
      <c r="Q63" s="69" t="n">
        <f aca="false">IF(T62&gt;0.5,T62*(1+Q$23)+Q$24,0)</f>
        <v>0</v>
      </c>
      <c r="R63" s="69" t="n">
        <f aca="false">MIN(R$23,Q63)</f>
        <v>0</v>
      </c>
      <c r="S63" s="69" t="n">
        <f aca="false">IF(AND(R$24=1,OR(Q$25="",$C63&gt;=Q$25)),MAX(0,MIN(Q63-R63,$D63-(G63+K63+O63))),0)</f>
        <v>0</v>
      </c>
      <c r="T63" s="69" t="n">
        <f aca="false">Q63-R63-S63</f>
        <v>0</v>
      </c>
      <c r="U63" s="69" t="n">
        <f aca="false">IF(X62&gt;0.5,X62*(1+U$23)+U$24,0)</f>
        <v>0</v>
      </c>
      <c r="V63" s="69" t="n">
        <f aca="false">MIN(V$23,U63)</f>
        <v>0</v>
      </c>
      <c r="W63" s="69" t="n">
        <f aca="false">IF(AND(V$24=1,OR(U$25="",$C63&gt;=U$25)),MAX(0,MIN(U63-V63,$D63-(G63+K63+O63+S63))),0)</f>
        <v>0</v>
      </c>
      <c r="X63" s="69" t="n">
        <f aca="false">U63-V63-W63</f>
        <v>0</v>
      </c>
      <c r="Y63" s="69" t="n">
        <f aca="false">IF(AB62&gt;0.5,AB62*(1+Y$23)+Y$24,0)</f>
        <v>0</v>
      </c>
      <c r="Z63" s="69" t="n">
        <f aca="false">MIN(Z$23,Y63)</f>
        <v>0</v>
      </c>
      <c r="AA63" s="69" t="n">
        <f aca="false">IF(AND(Z$24=1,OR(Y$25="",$C63&gt;=Y$25)),MAX(0,MIN(Y63-Z63,$D63-(G63+K63+O63+S63+W63))),0)</f>
        <v>0</v>
      </c>
      <c r="AB63" s="69" t="n">
        <f aca="false">Y63-Z63-AA63</f>
        <v>0</v>
      </c>
      <c r="AC63" s="69" t="n">
        <f aca="false">IF(AF62&gt;0.5,AF62*(1+AC$23)+AC$24,0)</f>
        <v>0</v>
      </c>
      <c r="AD63" s="69" t="n">
        <f aca="false">MIN(AD$23,AC63)</f>
        <v>0</v>
      </c>
      <c r="AE63" s="69" t="n">
        <f aca="false">IF(AND(AD$24=1,OR(AC$25="",$C63&gt;=AC$25)),MAX(0,MIN(AC63-AD63,$D63-(G63+K63+O63+S63+W63+AA63))),0)</f>
        <v>0</v>
      </c>
      <c r="AF63" s="69" t="n">
        <f aca="false">AC63-AD63-AE63</f>
        <v>0</v>
      </c>
      <c r="AG63" s="69" t="n">
        <f aca="false">IF(AJ62&gt;0.5,AJ62*(1+AG$23)+AG$24,0)</f>
        <v>0</v>
      </c>
      <c r="AH63" s="69" t="n">
        <f aca="false">MIN(AH$23,AG63)</f>
        <v>0</v>
      </c>
      <c r="AI63" s="69" t="n">
        <f aca="false">IF(AND(AH$24=1,OR(AG$25="",$C63&gt;=AG$25)),MAX(0,MIN(AG63-AH63,$D63-(G63+K63+O63+S63+W63+AA63+AE63))),0)</f>
        <v>0</v>
      </c>
      <c r="AJ63" s="69" t="n">
        <f aca="false">AG63-AH63-AI63</f>
        <v>0</v>
      </c>
      <c r="AK63" s="69" t="n">
        <f aca="false">IF(AK62&gt;0.5,AK62*(1+$E$12)+$G$12-MIN($F$12,AK62*(1+$E$12)+$G$12),0)</f>
        <v>0</v>
      </c>
      <c r="AL63" s="69" t="n">
        <f aca="false">IF(AL62&gt;0.5,AL62*(1+$E$13)+$G$13-MIN($F$13,AL62*(1+$E$13)+$G$13),0)</f>
        <v>0</v>
      </c>
      <c r="AM63" s="69" t="n">
        <f aca="false">IF(AM62&gt;0.5,AM62*(1+$E$14)+$G$14-MIN($F$14,AM62*(1+$E$14)+$G$14),0)</f>
        <v>0</v>
      </c>
      <c r="AN63" s="69" t="n">
        <f aca="false">IF(AN62&gt;0.5,AN62*(1+$E$15)+$G$15-MIN($F$15,AN62*(1+$E$15)+$G$15),0)</f>
        <v>0</v>
      </c>
      <c r="AO63" s="69" t="n">
        <f aca="false">IF(AO62&gt;0.5,AO62*(1+$E$16)+$G$16-MIN($F$16,AO62*(1+$E$16)+$G$16),0)</f>
        <v>0</v>
      </c>
      <c r="AP63" s="69" t="n">
        <f aca="false">IF(AP62&gt;0.5,AP62*(1+$E$17)+$G$17-MIN($F$17,AP62*(1+$E$17)+$G$17),0)</f>
        <v>0</v>
      </c>
      <c r="AQ63" s="69" t="n">
        <f aca="false">IF(AQ62&gt;0.5,AQ62*(1+$E$18)+$G$18-MIN($F$18,AQ62*(1+$E$18)+$G$18),0)</f>
        <v>0</v>
      </c>
      <c r="AR63" s="69" t="n">
        <f aca="false">IF(AR62&gt;0.5,AR62*(1+$E$19)+$G$19-MIN($F$19,AR62*(1+$E$19)+$G$19),0)</f>
        <v>0</v>
      </c>
      <c r="AS63" s="69" t="n">
        <f aca="false">H63+L63+P63+T63+X63+AB63+AF63+AJ63</f>
        <v>0</v>
      </c>
      <c r="AT63" s="69" t="n">
        <f aca="false">SUM(AK63:AR63)</f>
        <v>0</v>
      </c>
      <c r="AU63" s="69" t="n">
        <f aca="false">F63+G63+J63+K63+N63+O63+R63+S63+V63+W63+Z63+AA63+AD63+AE63+AH63+AI63</f>
        <v>0</v>
      </c>
    </row>
    <row r="64" customFormat="false" ht="15" hidden="false" customHeight="false" outlineLevel="0" collapsed="false">
      <c r="B64" s="0" t="n">
        <v>37</v>
      </c>
      <c r="C64" s="68" t="n">
        <f aca="false">EDATE($C$7,36)</f>
        <v>47392</v>
      </c>
      <c r="D64" s="69" t="n">
        <f aca="false">$C$8-(F64+J64+N64+R64+V64+Z64+AD64+AH64)</f>
        <v>0</v>
      </c>
      <c r="E64" s="69" t="n">
        <f aca="false">IF(H63&gt;0.5,H63*(1+E$23)+E$24,0)</f>
        <v>0</v>
      </c>
      <c r="F64" s="69" t="n">
        <f aca="false">MIN(F$23,E64)</f>
        <v>0</v>
      </c>
      <c r="G64" s="69" t="n">
        <f aca="false">IF(AND(F$24=1,OR(E$25="",$C64&gt;=E$25)),MAX(0,MIN(E64-F64,$D64-(0))),0)</f>
        <v>0</v>
      </c>
      <c r="H64" s="69" t="n">
        <f aca="false">E64-F64-G64</f>
        <v>0</v>
      </c>
      <c r="I64" s="69" t="n">
        <f aca="false">IF(L63&gt;0.5,L63*(1+I$23)+I$24,0)</f>
        <v>0</v>
      </c>
      <c r="J64" s="69" t="n">
        <f aca="false">MIN(J$23,I64)</f>
        <v>0</v>
      </c>
      <c r="K64" s="69" t="n">
        <f aca="false">IF(AND(J$24=1,OR(I$25="",$C64&gt;=I$25)),MAX(0,MIN(I64-J64,$D64-(G64))),0)</f>
        <v>0</v>
      </c>
      <c r="L64" s="69" t="n">
        <f aca="false">I64-J64-K64</f>
        <v>0</v>
      </c>
      <c r="M64" s="69" t="n">
        <f aca="false">IF(P63&gt;0.5,P63*(1+M$23)+M$24,0)</f>
        <v>0</v>
      </c>
      <c r="N64" s="69" t="n">
        <f aca="false">MIN(N$23,M64)</f>
        <v>0</v>
      </c>
      <c r="O64" s="69" t="n">
        <f aca="false">IF(AND(N$24=1,OR(M$25="",$C64&gt;=M$25)),MAX(0,MIN(M64-N64,$D64-(G64+K64))),0)</f>
        <v>0</v>
      </c>
      <c r="P64" s="69" t="n">
        <f aca="false">M64-N64-O64</f>
        <v>0</v>
      </c>
      <c r="Q64" s="69" t="n">
        <f aca="false">IF(T63&gt;0.5,T63*(1+Q$23)+Q$24,0)</f>
        <v>0</v>
      </c>
      <c r="R64" s="69" t="n">
        <f aca="false">MIN(R$23,Q64)</f>
        <v>0</v>
      </c>
      <c r="S64" s="69" t="n">
        <f aca="false">IF(AND(R$24=1,OR(Q$25="",$C64&gt;=Q$25)),MAX(0,MIN(Q64-R64,$D64-(G64+K64+O64))),0)</f>
        <v>0</v>
      </c>
      <c r="T64" s="69" t="n">
        <f aca="false">Q64-R64-S64</f>
        <v>0</v>
      </c>
      <c r="U64" s="69" t="n">
        <f aca="false">IF(X63&gt;0.5,X63*(1+U$23)+U$24,0)</f>
        <v>0</v>
      </c>
      <c r="V64" s="69" t="n">
        <f aca="false">MIN(V$23,U64)</f>
        <v>0</v>
      </c>
      <c r="W64" s="69" t="n">
        <f aca="false">IF(AND(V$24=1,OR(U$25="",$C64&gt;=U$25)),MAX(0,MIN(U64-V64,$D64-(G64+K64+O64+S64))),0)</f>
        <v>0</v>
      </c>
      <c r="X64" s="69" t="n">
        <f aca="false">U64-V64-W64</f>
        <v>0</v>
      </c>
      <c r="Y64" s="69" t="n">
        <f aca="false">IF(AB63&gt;0.5,AB63*(1+Y$23)+Y$24,0)</f>
        <v>0</v>
      </c>
      <c r="Z64" s="69" t="n">
        <f aca="false">MIN(Z$23,Y64)</f>
        <v>0</v>
      </c>
      <c r="AA64" s="69" t="n">
        <f aca="false">IF(AND(Z$24=1,OR(Y$25="",$C64&gt;=Y$25)),MAX(0,MIN(Y64-Z64,$D64-(G64+K64+O64+S64+W64))),0)</f>
        <v>0</v>
      </c>
      <c r="AB64" s="69" t="n">
        <f aca="false">Y64-Z64-AA64</f>
        <v>0</v>
      </c>
      <c r="AC64" s="69" t="n">
        <f aca="false">IF(AF63&gt;0.5,AF63*(1+AC$23)+AC$24,0)</f>
        <v>0</v>
      </c>
      <c r="AD64" s="69" t="n">
        <f aca="false">MIN(AD$23,AC64)</f>
        <v>0</v>
      </c>
      <c r="AE64" s="69" t="n">
        <f aca="false">IF(AND(AD$24=1,OR(AC$25="",$C64&gt;=AC$25)),MAX(0,MIN(AC64-AD64,$D64-(G64+K64+O64+S64+W64+AA64))),0)</f>
        <v>0</v>
      </c>
      <c r="AF64" s="69" t="n">
        <f aca="false">AC64-AD64-AE64</f>
        <v>0</v>
      </c>
      <c r="AG64" s="69" t="n">
        <f aca="false">IF(AJ63&gt;0.5,AJ63*(1+AG$23)+AG$24,0)</f>
        <v>0</v>
      </c>
      <c r="AH64" s="69" t="n">
        <f aca="false">MIN(AH$23,AG64)</f>
        <v>0</v>
      </c>
      <c r="AI64" s="69" t="n">
        <f aca="false">IF(AND(AH$24=1,OR(AG$25="",$C64&gt;=AG$25)),MAX(0,MIN(AG64-AH64,$D64-(G64+K64+O64+S64+W64+AA64+AE64))),0)</f>
        <v>0</v>
      </c>
      <c r="AJ64" s="69" t="n">
        <f aca="false">AG64-AH64-AI64</f>
        <v>0</v>
      </c>
      <c r="AK64" s="69" t="n">
        <f aca="false">IF(AK63&gt;0.5,AK63*(1+$E$12)+$G$12-MIN($F$12,AK63*(1+$E$12)+$G$12),0)</f>
        <v>0</v>
      </c>
      <c r="AL64" s="69" t="n">
        <f aca="false">IF(AL63&gt;0.5,AL63*(1+$E$13)+$G$13-MIN($F$13,AL63*(1+$E$13)+$G$13),0)</f>
        <v>0</v>
      </c>
      <c r="AM64" s="69" t="n">
        <f aca="false">IF(AM63&gt;0.5,AM63*(1+$E$14)+$G$14-MIN($F$14,AM63*(1+$E$14)+$G$14),0)</f>
        <v>0</v>
      </c>
      <c r="AN64" s="69" t="n">
        <f aca="false">IF(AN63&gt;0.5,AN63*(1+$E$15)+$G$15-MIN($F$15,AN63*(1+$E$15)+$G$15),0)</f>
        <v>0</v>
      </c>
      <c r="AO64" s="69" t="n">
        <f aca="false">IF(AO63&gt;0.5,AO63*(1+$E$16)+$G$16-MIN($F$16,AO63*(1+$E$16)+$G$16),0)</f>
        <v>0</v>
      </c>
      <c r="AP64" s="69" t="n">
        <f aca="false">IF(AP63&gt;0.5,AP63*(1+$E$17)+$G$17-MIN($F$17,AP63*(1+$E$17)+$G$17),0)</f>
        <v>0</v>
      </c>
      <c r="AQ64" s="69" t="n">
        <f aca="false">IF(AQ63&gt;0.5,AQ63*(1+$E$18)+$G$18-MIN($F$18,AQ63*(1+$E$18)+$G$18),0)</f>
        <v>0</v>
      </c>
      <c r="AR64" s="69" t="n">
        <f aca="false">IF(AR63&gt;0.5,AR63*(1+$E$19)+$G$19-MIN($F$19,AR63*(1+$E$19)+$G$19),0)</f>
        <v>0</v>
      </c>
      <c r="AS64" s="69" t="n">
        <f aca="false">H64+L64+P64+T64+X64+AB64+AF64+AJ64</f>
        <v>0</v>
      </c>
      <c r="AT64" s="69" t="n">
        <f aca="false">SUM(AK64:AR64)</f>
        <v>0</v>
      </c>
      <c r="AU64" s="69" t="n">
        <f aca="false">F64+G64+J64+K64+N64+O64+R64+S64+V64+W64+Z64+AA64+AD64+AE64+AH64+AI64</f>
        <v>0</v>
      </c>
    </row>
    <row r="65" customFormat="false" ht="15" hidden="false" customHeight="false" outlineLevel="0" collapsed="false">
      <c r="B65" s="0" t="n">
        <v>38</v>
      </c>
      <c r="C65" s="68" t="n">
        <f aca="false">EDATE($C$7,37)</f>
        <v>47423</v>
      </c>
      <c r="D65" s="69" t="n">
        <f aca="false">$C$8-(F65+J65+N65+R65+V65+Z65+AD65+AH65)</f>
        <v>0</v>
      </c>
      <c r="E65" s="69" t="n">
        <f aca="false">IF(H64&gt;0.5,H64*(1+E$23)+E$24,0)</f>
        <v>0</v>
      </c>
      <c r="F65" s="69" t="n">
        <f aca="false">MIN(F$23,E65)</f>
        <v>0</v>
      </c>
      <c r="G65" s="69" t="n">
        <f aca="false">IF(AND(F$24=1,OR(E$25="",$C65&gt;=E$25)),MAX(0,MIN(E65-F65,$D65-(0))),0)</f>
        <v>0</v>
      </c>
      <c r="H65" s="69" t="n">
        <f aca="false">E65-F65-G65</f>
        <v>0</v>
      </c>
      <c r="I65" s="69" t="n">
        <f aca="false">IF(L64&gt;0.5,L64*(1+I$23)+I$24,0)</f>
        <v>0</v>
      </c>
      <c r="J65" s="69" t="n">
        <f aca="false">MIN(J$23,I65)</f>
        <v>0</v>
      </c>
      <c r="K65" s="69" t="n">
        <f aca="false">IF(AND(J$24=1,OR(I$25="",$C65&gt;=I$25)),MAX(0,MIN(I65-J65,$D65-(G65))),0)</f>
        <v>0</v>
      </c>
      <c r="L65" s="69" t="n">
        <f aca="false">I65-J65-K65</f>
        <v>0</v>
      </c>
      <c r="M65" s="69" t="n">
        <f aca="false">IF(P64&gt;0.5,P64*(1+M$23)+M$24,0)</f>
        <v>0</v>
      </c>
      <c r="N65" s="69" t="n">
        <f aca="false">MIN(N$23,M65)</f>
        <v>0</v>
      </c>
      <c r="O65" s="69" t="n">
        <f aca="false">IF(AND(N$24=1,OR(M$25="",$C65&gt;=M$25)),MAX(0,MIN(M65-N65,$D65-(G65+K65))),0)</f>
        <v>0</v>
      </c>
      <c r="P65" s="69" t="n">
        <f aca="false">M65-N65-O65</f>
        <v>0</v>
      </c>
      <c r="Q65" s="69" t="n">
        <f aca="false">IF(T64&gt;0.5,T64*(1+Q$23)+Q$24,0)</f>
        <v>0</v>
      </c>
      <c r="R65" s="69" t="n">
        <f aca="false">MIN(R$23,Q65)</f>
        <v>0</v>
      </c>
      <c r="S65" s="69" t="n">
        <f aca="false">IF(AND(R$24=1,OR(Q$25="",$C65&gt;=Q$25)),MAX(0,MIN(Q65-R65,$D65-(G65+K65+O65))),0)</f>
        <v>0</v>
      </c>
      <c r="T65" s="69" t="n">
        <f aca="false">Q65-R65-S65</f>
        <v>0</v>
      </c>
      <c r="U65" s="69" t="n">
        <f aca="false">IF(X64&gt;0.5,X64*(1+U$23)+U$24,0)</f>
        <v>0</v>
      </c>
      <c r="V65" s="69" t="n">
        <f aca="false">MIN(V$23,U65)</f>
        <v>0</v>
      </c>
      <c r="W65" s="69" t="n">
        <f aca="false">IF(AND(V$24=1,OR(U$25="",$C65&gt;=U$25)),MAX(0,MIN(U65-V65,$D65-(G65+K65+O65+S65))),0)</f>
        <v>0</v>
      </c>
      <c r="X65" s="69" t="n">
        <f aca="false">U65-V65-W65</f>
        <v>0</v>
      </c>
      <c r="Y65" s="69" t="n">
        <f aca="false">IF(AB64&gt;0.5,AB64*(1+Y$23)+Y$24,0)</f>
        <v>0</v>
      </c>
      <c r="Z65" s="69" t="n">
        <f aca="false">MIN(Z$23,Y65)</f>
        <v>0</v>
      </c>
      <c r="AA65" s="69" t="n">
        <f aca="false">IF(AND(Z$24=1,OR(Y$25="",$C65&gt;=Y$25)),MAX(0,MIN(Y65-Z65,$D65-(G65+K65+O65+S65+W65))),0)</f>
        <v>0</v>
      </c>
      <c r="AB65" s="69" t="n">
        <f aca="false">Y65-Z65-AA65</f>
        <v>0</v>
      </c>
      <c r="AC65" s="69" t="n">
        <f aca="false">IF(AF64&gt;0.5,AF64*(1+AC$23)+AC$24,0)</f>
        <v>0</v>
      </c>
      <c r="AD65" s="69" t="n">
        <f aca="false">MIN(AD$23,AC65)</f>
        <v>0</v>
      </c>
      <c r="AE65" s="69" t="n">
        <f aca="false">IF(AND(AD$24=1,OR(AC$25="",$C65&gt;=AC$25)),MAX(0,MIN(AC65-AD65,$D65-(G65+K65+O65+S65+W65+AA65))),0)</f>
        <v>0</v>
      </c>
      <c r="AF65" s="69" t="n">
        <f aca="false">AC65-AD65-AE65</f>
        <v>0</v>
      </c>
      <c r="AG65" s="69" t="n">
        <f aca="false">IF(AJ64&gt;0.5,AJ64*(1+AG$23)+AG$24,0)</f>
        <v>0</v>
      </c>
      <c r="AH65" s="69" t="n">
        <f aca="false">MIN(AH$23,AG65)</f>
        <v>0</v>
      </c>
      <c r="AI65" s="69" t="n">
        <f aca="false">IF(AND(AH$24=1,OR(AG$25="",$C65&gt;=AG$25)),MAX(0,MIN(AG65-AH65,$D65-(G65+K65+O65+S65+W65+AA65+AE65))),0)</f>
        <v>0</v>
      </c>
      <c r="AJ65" s="69" t="n">
        <f aca="false">AG65-AH65-AI65</f>
        <v>0</v>
      </c>
      <c r="AK65" s="69" t="n">
        <f aca="false">IF(AK64&gt;0.5,AK64*(1+$E$12)+$G$12-MIN($F$12,AK64*(1+$E$12)+$G$12),0)</f>
        <v>0</v>
      </c>
      <c r="AL65" s="69" t="n">
        <f aca="false">IF(AL64&gt;0.5,AL64*(1+$E$13)+$G$13-MIN($F$13,AL64*(1+$E$13)+$G$13),0)</f>
        <v>0</v>
      </c>
      <c r="AM65" s="69" t="n">
        <f aca="false">IF(AM64&gt;0.5,AM64*(1+$E$14)+$G$14-MIN($F$14,AM64*(1+$E$14)+$G$14),0)</f>
        <v>0</v>
      </c>
      <c r="AN65" s="69" t="n">
        <f aca="false">IF(AN64&gt;0.5,AN64*(1+$E$15)+$G$15-MIN($F$15,AN64*(1+$E$15)+$G$15),0)</f>
        <v>0</v>
      </c>
      <c r="AO65" s="69" t="n">
        <f aca="false">IF(AO64&gt;0.5,AO64*(1+$E$16)+$G$16-MIN($F$16,AO64*(1+$E$16)+$G$16),0)</f>
        <v>0</v>
      </c>
      <c r="AP65" s="69" t="n">
        <f aca="false">IF(AP64&gt;0.5,AP64*(1+$E$17)+$G$17-MIN($F$17,AP64*(1+$E$17)+$G$17),0)</f>
        <v>0</v>
      </c>
      <c r="AQ65" s="69" t="n">
        <f aca="false">IF(AQ64&gt;0.5,AQ64*(1+$E$18)+$G$18-MIN($F$18,AQ64*(1+$E$18)+$G$18),0)</f>
        <v>0</v>
      </c>
      <c r="AR65" s="69" t="n">
        <f aca="false">IF(AR64&gt;0.5,AR64*(1+$E$19)+$G$19-MIN($F$19,AR64*(1+$E$19)+$G$19),0)</f>
        <v>0</v>
      </c>
      <c r="AS65" s="69" t="n">
        <f aca="false">H65+L65+P65+T65+X65+AB65+AF65+AJ65</f>
        <v>0</v>
      </c>
      <c r="AT65" s="69" t="n">
        <f aca="false">SUM(AK65:AR65)</f>
        <v>0</v>
      </c>
      <c r="AU65" s="69" t="n">
        <f aca="false">F65+G65+J65+K65+N65+O65+R65+S65+V65+W65+Z65+AA65+AD65+AE65+AH65+AI65</f>
        <v>0</v>
      </c>
    </row>
    <row r="66" customFormat="false" ht="15" hidden="false" customHeight="false" outlineLevel="0" collapsed="false">
      <c r="B66" s="0" t="n">
        <v>39</v>
      </c>
      <c r="C66" s="68" t="n">
        <f aca="false">EDATE($C$7,38)</f>
        <v>47453</v>
      </c>
      <c r="D66" s="69" t="n">
        <f aca="false">$C$8-(F66+J66+N66+R66+V66+Z66+AD66+AH66)</f>
        <v>0</v>
      </c>
      <c r="E66" s="69" t="n">
        <f aca="false">IF(H65&gt;0.5,H65*(1+E$23)+E$24,0)</f>
        <v>0</v>
      </c>
      <c r="F66" s="69" t="n">
        <f aca="false">MIN(F$23,E66)</f>
        <v>0</v>
      </c>
      <c r="G66" s="69" t="n">
        <f aca="false">IF(AND(F$24=1,OR(E$25="",$C66&gt;=E$25)),MAX(0,MIN(E66-F66,$D66-(0))),0)</f>
        <v>0</v>
      </c>
      <c r="H66" s="69" t="n">
        <f aca="false">E66-F66-G66</f>
        <v>0</v>
      </c>
      <c r="I66" s="69" t="n">
        <f aca="false">IF(L65&gt;0.5,L65*(1+I$23)+I$24,0)</f>
        <v>0</v>
      </c>
      <c r="J66" s="69" t="n">
        <f aca="false">MIN(J$23,I66)</f>
        <v>0</v>
      </c>
      <c r="K66" s="69" t="n">
        <f aca="false">IF(AND(J$24=1,OR(I$25="",$C66&gt;=I$25)),MAX(0,MIN(I66-J66,$D66-(G66))),0)</f>
        <v>0</v>
      </c>
      <c r="L66" s="69" t="n">
        <f aca="false">I66-J66-K66</f>
        <v>0</v>
      </c>
      <c r="M66" s="69" t="n">
        <f aca="false">IF(P65&gt;0.5,P65*(1+M$23)+M$24,0)</f>
        <v>0</v>
      </c>
      <c r="N66" s="69" t="n">
        <f aca="false">MIN(N$23,M66)</f>
        <v>0</v>
      </c>
      <c r="O66" s="69" t="n">
        <f aca="false">IF(AND(N$24=1,OR(M$25="",$C66&gt;=M$25)),MAX(0,MIN(M66-N66,$D66-(G66+K66))),0)</f>
        <v>0</v>
      </c>
      <c r="P66" s="69" t="n">
        <f aca="false">M66-N66-O66</f>
        <v>0</v>
      </c>
      <c r="Q66" s="69" t="n">
        <f aca="false">IF(T65&gt;0.5,T65*(1+Q$23)+Q$24,0)</f>
        <v>0</v>
      </c>
      <c r="R66" s="69" t="n">
        <f aca="false">MIN(R$23,Q66)</f>
        <v>0</v>
      </c>
      <c r="S66" s="69" t="n">
        <f aca="false">IF(AND(R$24=1,OR(Q$25="",$C66&gt;=Q$25)),MAX(0,MIN(Q66-R66,$D66-(G66+K66+O66))),0)</f>
        <v>0</v>
      </c>
      <c r="T66" s="69" t="n">
        <f aca="false">Q66-R66-S66</f>
        <v>0</v>
      </c>
      <c r="U66" s="69" t="n">
        <f aca="false">IF(X65&gt;0.5,X65*(1+U$23)+U$24,0)</f>
        <v>0</v>
      </c>
      <c r="V66" s="69" t="n">
        <f aca="false">MIN(V$23,U66)</f>
        <v>0</v>
      </c>
      <c r="W66" s="69" t="n">
        <f aca="false">IF(AND(V$24=1,OR(U$25="",$C66&gt;=U$25)),MAX(0,MIN(U66-V66,$D66-(G66+K66+O66+S66))),0)</f>
        <v>0</v>
      </c>
      <c r="X66" s="69" t="n">
        <f aca="false">U66-V66-W66</f>
        <v>0</v>
      </c>
      <c r="Y66" s="69" t="n">
        <f aca="false">IF(AB65&gt;0.5,AB65*(1+Y$23)+Y$24,0)</f>
        <v>0</v>
      </c>
      <c r="Z66" s="69" t="n">
        <f aca="false">MIN(Z$23,Y66)</f>
        <v>0</v>
      </c>
      <c r="AA66" s="69" t="n">
        <f aca="false">IF(AND(Z$24=1,OR(Y$25="",$C66&gt;=Y$25)),MAX(0,MIN(Y66-Z66,$D66-(G66+K66+O66+S66+W66))),0)</f>
        <v>0</v>
      </c>
      <c r="AB66" s="69" t="n">
        <f aca="false">Y66-Z66-AA66</f>
        <v>0</v>
      </c>
      <c r="AC66" s="69" t="n">
        <f aca="false">IF(AF65&gt;0.5,AF65*(1+AC$23)+AC$24,0)</f>
        <v>0</v>
      </c>
      <c r="AD66" s="69" t="n">
        <f aca="false">MIN(AD$23,AC66)</f>
        <v>0</v>
      </c>
      <c r="AE66" s="69" t="n">
        <f aca="false">IF(AND(AD$24=1,OR(AC$25="",$C66&gt;=AC$25)),MAX(0,MIN(AC66-AD66,$D66-(G66+K66+O66+S66+W66+AA66))),0)</f>
        <v>0</v>
      </c>
      <c r="AF66" s="69" t="n">
        <f aca="false">AC66-AD66-AE66</f>
        <v>0</v>
      </c>
      <c r="AG66" s="69" t="n">
        <f aca="false">IF(AJ65&gt;0.5,AJ65*(1+AG$23)+AG$24,0)</f>
        <v>0</v>
      </c>
      <c r="AH66" s="69" t="n">
        <f aca="false">MIN(AH$23,AG66)</f>
        <v>0</v>
      </c>
      <c r="AI66" s="69" t="n">
        <f aca="false">IF(AND(AH$24=1,OR(AG$25="",$C66&gt;=AG$25)),MAX(0,MIN(AG66-AH66,$D66-(G66+K66+O66+S66+W66+AA66+AE66))),0)</f>
        <v>0</v>
      </c>
      <c r="AJ66" s="69" t="n">
        <f aca="false">AG66-AH66-AI66</f>
        <v>0</v>
      </c>
      <c r="AK66" s="69" t="n">
        <f aca="false">IF(AK65&gt;0.5,AK65*(1+$E$12)+$G$12-MIN($F$12,AK65*(1+$E$12)+$G$12),0)</f>
        <v>0</v>
      </c>
      <c r="AL66" s="69" t="n">
        <f aca="false">IF(AL65&gt;0.5,AL65*(1+$E$13)+$G$13-MIN($F$13,AL65*(1+$E$13)+$G$13),0)</f>
        <v>0</v>
      </c>
      <c r="AM66" s="69" t="n">
        <f aca="false">IF(AM65&gt;0.5,AM65*(1+$E$14)+$G$14-MIN($F$14,AM65*(1+$E$14)+$G$14),0)</f>
        <v>0</v>
      </c>
      <c r="AN66" s="69" t="n">
        <f aca="false">IF(AN65&gt;0.5,AN65*(1+$E$15)+$G$15-MIN($F$15,AN65*(1+$E$15)+$G$15),0)</f>
        <v>0</v>
      </c>
      <c r="AO66" s="69" t="n">
        <f aca="false">IF(AO65&gt;0.5,AO65*(1+$E$16)+$G$16-MIN($F$16,AO65*(1+$E$16)+$G$16),0)</f>
        <v>0</v>
      </c>
      <c r="AP66" s="69" t="n">
        <f aca="false">IF(AP65&gt;0.5,AP65*(1+$E$17)+$G$17-MIN($F$17,AP65*(1+$E$17)+$G$17),0)</f>
        <v>0</v>
      </c>
      <c r="AQ66" s="69" t="n">
        <f aca="false">IF(AQ65&gt;0.5,AQ65*(1+$E$18)+$G$18-MIN($F$18,AQ65*(1+$E$18)+$G$18),0)</f>
        <v>0</v>
      </c>
      <c r="AR66" s="69" t="n">
        <f aca="false">IF(AR65&gt;0.5,AR65*(1+$E$19)+$G$19-MIN($F$19,AR65*(1+$E$19)+$G$19),0)</f>
        <v>0</v>
      </c>
      <c r="AS66" s="69" t="n">
        <f aca="false">H66+L66+P66+T66+X66+AB66+AF66+AJ66</f>
        <v>0</v>
      </c>
      <c r="AT66" s="69" t="n">
        <f aca="false">SUM(AK66:AR66)</f>
        <v>0</v>
      </c>
      <c r="AU66" s="69" t="n">
        <f aca="false">F66+G66+J66+K66+N66+O66+R66+S66+V66+W66+Z66+AA66+AD66+AE66+AH66+AI66</f>
        <v>0</v>
      </c>
    </row>
    <row r="67" customFormat="false" ht="15" hidden="false" customHeight="false" outlineLevel="0" collapsed="false">
      <c r="B67" s="0" t="n">
        <v>40</v>
      </c>
      <c r="C67" s="68" t="n">
        <f aca="false">EDATE($C$7,39)</f>
        <v>47484</v>
      </c>
      <c r="D67" s="69" t="n">
        <f aca="false">$C$8-(F67+J67+N67+R67+V67+Z67+AD67+AH67)</f>
        <v>0</v>
      </c>
      <c r="E67" s="69" t="n">
        <f aca="false">IF(H66&gt;0.5,H66*(1+E$23)+E$24,0)</f>
        <v>0</v>
      </c>
      <c r="F67" s="69" t="n">
        <f aca="false">MIN(F$23,E67)</f>
        <v>0</v>
      </c>
      <c r="G67" s="69" t="n">
        <f aca="false">IF(AND(F$24=1,OR(E$25="",$C67&gt;=E$25)),MAX(0,MIN(E67-F67,$D67-(0))),0)</f>
        <v>0</v>
      </c>
      <c r="H67" s="69" t="n">
        <f aca="false">E67-F67-G67</f>
        <v>0</v>
      </c>
      <c r="I67" s="69" t="n">
        <f aca="false">IF(L66&gt;0.5,L66*(1+I$23)+I$24,0)</f>
        <v>0</v>
      </c>
      <c r="J67" s="69" t="n">
        <f aca="false">MIN(J$23,I67)</f>
        <v>0</v>
      </c>
      <c r="K67" s="69" t="n">
        <f aca="false">IF(AND(J$24=1,OR(I$25="",$C67&gt;=I$25)),MAX(0,MIN(I67-J67,$D67-(G67))),0)</f>
        <v>0</v>
      </c>
      <c r="L67" s="69" t="n">
        <f aca="false">I67-J67-K67</f>
        <v>0</v>
      </c>
      <c r="M67" s="69" t="n">
        <f aca="false">IF(P66&gt;0.5,P66*(1+M$23)+M$24,0)</f>
        <v>0</v>
      </c>
      <c r="N67" s="69" t="n">
        <f aca="false">MIN(N$23,M67)</f>
        <v>0</v>
      </c>
      <c r="O67" s="69" t="n">
        <f aca="false">IF(AND(N$24=1,OR(M$25="",$C67&gt;=M$25)),MAX(0,MIN(M67-N67,$D67-(G67+K67))),0)</f>
        <v>0</v>
      </c>
      <c r="P67" s="69" t="n">
        <f aca="false">M67-N67-O67</f>
        <v>0</v>
      </c>
      <c r="Q67" s="69" t="n">
        <f aca="false">IF(T66&gt;0.5,T66*(1+Q$23)+Q$24,0)</f>
        <v>0</v>
      </c>
      <c r="R67" s="69" t="n">
        <f aca="false">MIN(R$23,Q67)</f>
        <v>0</v>
      </c>
      <c r="S67" s="69" t="n">
        <f aca="false">IF(AND(R$24=1,OR(Q$25="",$C67&gt;=Q$25)),MAX(0,MIN(Q67-R67,$D67-(G67+K67+O67))),0)</f>
        <v>0</v>
      </c>
      <c r="T67" s="69" t="n">
        <f aca="false">Q67-R67-S67</f>
        <v>0</v>
      </c>
      <c r="U67" s="69" t="n">
        <f aca="false">IF(X66&gt;0.5,X66*(1+U$23)+U$24,0)</f>
        <v>0</v>
      </c>
      <c r="V67" s="69" t="n">
        <f aca="false">MIN(V$23,U67)</f>
        <v>0</v>
      </c>
      <c r="W67" s="69" t="n">
        <f aca="false">IF(AND(V$24=1,OR(U$25="",$C67&gt;=U$25)),MAX(0,MIN(U67-V67,$D67-(G67+K67+O67+S67))),0)</f>
        <v>0</v>
      </c>
      <c r="X67" s="69" t="n">
        <f aca="false">U67-V67-W67</f>
        <v>0</v>
      </c>
      <c r="Y67" s="69" t="n">
        <f aca="false">IF(AB66&gt;0.5,AB66*(1+Y$23)+Y$24,0)</f>
        <v>0</v>
      </c>
      <c r="Z67" s="69" t="n">
        <f aca="false">MIN(Z$23,Y67)</f>
        <v>0</v>
      </c>
      <c r="AA67" s="69" t="n">
        <f aca="false">IF(AND(Z$24=1,OR(Y$25="",$C67&gt;=Y$25)),MAX(0,MIN(Y67-Z67,$D67-(G67+K67+O67+S67+W67))),0)</f>
        <v>0</v>
      </c>
      <c r="AB67" s="69" t="n">
        <f aca="false">Y67-Z67-AA67</f>
        <v>0</v>
      </c>
      <c r="AC67" s="69" t="n">
        <f aca="false">IF(AF66&gt;0.5,AF66*(1+AC$23)+AC$24,0)</f>
        <v>0</v>
      </c>
      <c r="AD67" s="69" t="n">
        <f aca="false">MIN(AD$23,AC67)</f>
        <v>0</v>
      </c>
      <c r="AE67" s="69" t="n">
        <f aca="false">IF(AND(AD$24=1,OR(AC$25="",$C67&gt;=AC$25)),MAX(0,MIN(AC67-AD67,$D67-(G67+K67+O67+S67+W67+AA67))),0)</f>
        <v>0</v>
      </c>
      <c r="AF67" s="69" t="n">
        <f aca="false">AC67-AD67-AE67</f>
        <v>0</v>
      </c>
      <c r="AG67" s="69" t="n">
        <f aca="false">IF(AJ66&gt;0.5,AJ66*(1+AG$23)+AG$24,0)</f>
        <v>0</v>
      </c>
      <c r="AH67" s="69" t="n">
        <f aca="false">MIN(AH$23,AG67)</f>
        <v>0</v>
      </c>
      <c r="AI67" s="69" t="n">
        <f aca="false">IF(AND(AH$24=1,OR(AG$25="",$C67&gt;=AG$25)),MAX(0,MIN(AG67-AH67,$D67-(G67+K67+O67+S67+W67+AA67+AE67))),0)</f>
        <v>0</v>
      </c>
      <c r="AJ67" s="69" t="n">
        <f aca="false">AG67-AH67-AI67</f>
        <v>0</v>
      </c>
      <c r="AK67" s="69" t="n">
        <f aca="false">IF(AK66&gt;0.5,AK66*(1+$E$12)+$G$12-MIN($F$12,AK66*(1+$E$12)+$G$12),0)</f>
        <v>0</v>
      </c>
      <c r="AL67" s="69" t="n">
        <f aca="false">IF(AL66&gt;0.5,AL66*(1+$E$13)+$G$13-MIN($F$13,AL66*(1+$E$13)+$G$13),0)</f>
        <v>0</v>
      </c>
      <c r="AM67" s="69" t="n">
        <f aca="false">IF(AM66&gt;0.5,AM66*(1+$E$14)+$G$14-MIN($F$14,AM66*(1+$E$14)+$G$14),0)</f>
        <v>0</v>
      </c>
      <c r="AN67" s="69" t="n">
        <f aca="false">IF(AN66&gt;0.5,AN66*(1+$E$15)+$G$15-MIN($F$15,AN66*(1+$E$15)+$G$15),0)</f>
        <v>0</v>
      </c>
      <c r="AO67" s="69" t="n">
        <f aca="false">IF(AO66&gt;0.5,AO66*(1+$E$16)+$G$16-MIN($F$16,AO66*(1+$E$16)+$G$16),0)</f>
        <v>0</v>
      </c>
      <c r="AP67" s="69" t="n">
        <f aca="false">IF(AP66&gt;0.5,AP66*(1+$E$17)+$G$17-MIN($F$17,AP66*(1+$E$17)+$G$17),0)</f>
        <v>0</v>
      </c>
      <c r="AQ67" s="69" t="n">
        <f aca="false">IF(AQ66&gt;0.5,AQ66*(1+$E$18)+$G$18-MIN($F$18,AQ66*(1+$E$18)+$G$18),0)</f>
        <v>0</v>
      </c>
      <c r="AR67" s="69" t="n">
        <f aca="false">IF(AR66&gt;0.5,AR66*(1+$E$19)+$G$19-MIN($F$19,AR66*(1+$E$19)+$G$19),0)</f>
        <v>0</v>
      </c>
      <c r="AS67" s="69" t="n">
        <f aca="false">H67+L67+P67+T67+X67+AB67+AF67+AJ67</f>
        <v>0</v>
      </c>
      <c r="AT67" s="69" t="n">
        <f aca="false">SUM(AK67:AR67)</f>
        <v>0</v>
      </c>
      <c r="AU67" s="69" t="n">
        <f aca="false">F67+G67+J67+K67+N67+O67+R67+S67+V67+W67+Z67+AA67+AD67+AE67+AH67+AI67</f>
        <v>0</v>
      </c>
    </row>
    <row r="68" customFormat="false" ht="15" hidden="false" customHeight="false" outlineLevel="0" collapsed="false">
      <c r="B68" s="0" t="n">
        <v>41</v>
      </c>
      <c r="C68" s="68" t="n">
        <f aca="false">EDATE($C$7,40)</f>
        <v>47515</v>
      </c>
      <c r="D68" s="69" t="n">
        <f aca="false">$C$8-(F68+J68+N68+R68+V68+Z68+AD68+AH68)</f>
        <v>0</v>
      </c>
      <c r="E68" s="69" t="n">
        <f aca="false">IF(H67&gt;0.5,H67*(1+E$23)+E$24,0)</f>
        <v>0</v>
      </c>
      <c r="F68" s="69" t="n">
        <f aca="false">MIN(F$23,E68)</f>
        <v>0</v>
      </c>
      <c r="G68" s="69" t="n">
        <f aca="false">IF(AND(F$24=1,OR(E$25="",$C68&gt;=E$25)),MAX(0,MIN(E68-F68,$D68-(0))),0)</f>
        <v>0</v>
      </c>
      <c r="H68" s="69" t="n">
        <f aca="false">E68-F68-G68</f>
        <v>0</v>
      </c>
      <c r="I68" s="69" t="n">
        <f aca="false">IF(L67&gt;0.5,L67*(1+I$23)+I$24,0)</f>
        <v>0</v>
      </c>
      <c r="J68" s="69" t="n">
        <f aca="false">MIN(J$23,I68)</f>
        <v>0</v>
      </c>
      <c r="K68" s="69" t="n">
        <f aca="false">IF(AND(J$24=1,OR(I$25="",$C68&gt;=I$25)),MAX(0,MIN(I68-J68,$D68-(G68))),0)</f>
        <v>0</v>
      </c>
      <c r="L68" s="69" t="n">
        <f aca="false">I68-J68-K68</f>
        <v>0</v>
      </c>
      <c r="M68" s="69" t="n">
        <f aca="false">IF(P67&gt;0.5,P67*(1+M$23)+M$24,0)</f>
        <v>0</v>
      </c>
      <c r="N68" s="69" t="n">
        <f aca="false">MIN(N$23,M68)</f>
        <v>0</v>
      </c>
      <c r="O68" s="69" t="n">
        <f aca="false">IF(AND(N$24=1,OR(M$25="",$C68&gt;=M$25)),MAX(0,MIN(M68-N68,$D68-(G68+K68))),0)</f>
        <v>0</v>
      </c>
      <c r="P68" s="69" t="n">
        <f aca="false">M68-N68-O68</f>
        <v>0</v>
      </c>
      <c r="Q68" s="69" t="n">
        <f aca="false">IF(T67&gt;0.5,T67*(1+Q$23)+Q$24,0)</f>
        <v>0</v>
      </c>
      <c r="R68" s="69" t="n">
        <f aca="false">MIN(R$23,Q68)</f>
        <v>0</v>
      </c>
      <c r="S68" s="69" t="n">
        <f aca="false">IF(AND(R$24=1,OR(Q$25="",$C68&gt;=Q$25)),MAX(0,MIN(Q68-R68,$D68-(G68+K68+O68))),0)</f>
        <v>0</v>
      </c>
      <c r="T68" s="69" t="n">
        <f aca="false">Q68-R68-S68</f>
        <v>0</v>
      </c>
      <c r="U68" s="69" t="n">
        <f aca="false">IF(X67&gt;0.5,X67*(1+U$23)+U$24,0)</f>
        <v>0</v>
      </c>
      <c r="V68" s="69" t="n">
        <f aca="false">MIN(V$23,U68)</f>
        <v>0</v>
      </c>
      <c r="W68" s="69" t="n">
        <f aca="false">IF(AND(V$24=1,OR(U$25="",$C68&gt;=U$25)),MAX(0,MIN(U68-V68,$D68-(G68+K68+O68+S68))),0)</f>
        <v>0</v>
      </c>
      <c r="X68" s="69" t="n">
        <f aca="false">U68-V68-W68</f>
        <v>0</v>
      </c>
      <c r="Y68" s="69" t="n">
        <f aca="false">IF(AB67&gt;0.5,AB67*(1+Y$23)+Y$24,0)</f>
        <v>0</v>
      </c>
      <c r="Z68" s="69" t="n">
        <f aca="false">MIN(Z$23,Y68)</f>
        <v>0</v>
      </c>
      <c r="AA68" s="69" t="n">
        <f aca="false">IF(AND(Z$24=1,OR(Y$25="",$C68&gt;=Y$25)),MAX(0,MIN(Y68-Z68,$D68-(G68+K68+O68+S68+W68))),0)</f>
        <v>0</v>
      </c>
      <c r="AB68" s="69" t="n">
        <f aca="false">Y68-Z68-AA68</f>
        <v>0</v>
      </c>
      <c r="AC68" s="69" t="n">
        <f aca="false">IF(AF67&gt;0.5,AF67*(1+AC$23)+AC$24,0)</f>
        <v>0</v>
      </c>
      <c r="AD68" s="69" t="n">
        <f aca="false">MIN(AD$23,AC68)</f>
        <v>0</v>
      </c>
      <c r="AE68" s="69" t="n">
        <f aca="false">IF(AND(AD$24=1,OR(AC$25="",$C68&gt;=AC$25)),MAX(0,MIN(AC68-AD68,$D68-(G68+K68+O68+S68+W68+AA68))),0)</f>
        <v>0</v>
      </c>
      <c r="AF68" s="69" t="n">
        <f aca="false">AC68-AD68-AE68</f>
        <v>0</v>
      </c>
      <c r="AG68" s="69" t="n">
        <f aca="false">IF(AJ67&gt;0.5,AJ67*(1+AG$23)+AG$24,0)</f>
        <v>0</v>
      </c>
      <c r="AH68" s="69" t="n">
        <f aca="false">MIN(AH$23,AG68)</f>
        <v>0</v>
      </c>
      <c r="AI68" s="69" t="n">
        <f aca="false">IF(AND(AH$24=1,OR(AG$25="",$C68&gt;=AG$25)),MAX(0,MIN(AG68-AH68,$D68-(G68+K68+O68+S68+W68+AA68+AE68))),0)</f>
        <v>0</v>
      </c>
      <c r="AJ68" s="69" t="n">
        <f aca="false">AG68-AH68-AI68</f>
        <v>0</v>
      </c>
      <c r="AK68" s="69" t="n">
        <f aca="false">IF(AK67&gt;0.5,AK67*(1+$E$12)+$G$12-MIN($F$12,AK67*(1+$E$12)+$G$12),0)</f>
        <v>0</v>
      </c>
      <c r="AL68" s="69" t="n">
        <f aca="false">IF(AL67&gt;0.5,AL67*(1+$E$13)+$G$13-MIN($F$13,AL67*(1+$E$13)+$G$13),0)</f>
        <v>0</v>
      </c>
      <c r="AM68" s="69" t="n">
        <f aca="false">IF(AM67&gt;0.5,AM67*(1+$E$14)+$G$14-MIN($F$14,AM67*(1+$E$14)+$G$14),0)</f>
        <v>0</v>
      </c>
      <c r="AN68" s="69" t="n">
        <f aca="false">IF(AN67&gt;0.5,AN67*(1+$E$15)+$G$15-MIN($F$15,AN67*(1+$E$15)+$G$15),0)</f>
        <v>0</v>
      </c>
      <c r="AO68" s="69" t="n">
        <f aca="false">IF(AO67&gt;0.5,AO67*(1+$E$16)+$G$16-MIN($F$16,AO67*(1+$E$16)+$G$16),0)</f>
        <v>0</v>
      </c>
      <c r="AP68" s="69" t="n">
        <f aca="false">IF(AP67&gt;0.5,AP67*(1+$E$17)+$G$17-MIN($F$17,AP67*(1+$E$17)+$G$17),0)</f>
        <v>0</v>
      </c>
      <c r="AQ68" s="69" t="n">
        <f aca="false">IF(AQ67&gt;0.5,AQ67*(1+$E$18)+$G$18-MIN($F$18,AQ67*(1+$E$18)+$G$18),0)</f>
        <v>0</v>
      </c>
      <c r="AR68" s="69" t="n">
        <f aca="false">IF(AR67&gt;0.5,AR67*(1+$E$19)+$G$19-MIN($F$19,AR67*(1+$E$19)+$G$19),0)</f>
        <v>0</v>
      </c>
      <c r="AS68" s="69" t="n">
        <f aca="false">H68+L68+P68+T68+X68+AB68+AF68+AJ68</f>
        <v>0</v>
      </c>
      <c r="AT68" s="69" t="n">
        <f aca="false">SUM(AK68:AR68)</f>
        <v>0</v>
      </c>
      <c r="AU68" s="69" t="n">
        <f aca="false">F68+G68+J68+K68+N68+O68+R68+S68+V68+W68+Z68+AA68+AD68+AE68+AH68+AI68</f>
        <v>0</v>
      </c>
    </row>
    <row r="69" customFormat="false" ht="15" hidden="false" customHeight="false" outlineLevel="0" collapsed="false">
      <c r="B69" s="0" t="n">
        <v>42</v>
      </c>
      <c r="C69" s="68" t="n">
        <f aca="false">EDATE($C$7,41)</f>
        <v>47543</v>
      </c>
      <c r="D69" s="69" t="n">
        <f aca="false">$C$8-(F69+J69+N69+R69+V69+Z69+AD69+AH69)</f>
        <v>0</v>
      </c>
      <c r="E69" s="69" t="n">
        <f aca="false">IF(H68&gt;0.5,H68*(1+E$23)+E$24,0)</f>
        <v>0</v>
      </c>
      <c r="F69" s="69" t="n">
        <f aca="false">MIN(F$23,E69)</f>
        <v>0</v>
      </c>
      <c r="G69" s="69" t="n">
        <f aca="false">IF(AND(F$24=1,OR(E$25="",$C69&gt;=E$25)),MAX(0,MIN(E69-F69,$D69-(0))),0)</f>
        <v>0</v>
      </c>
      <c r="H69" s="69" t="n">
        <f aca="false">E69-F69-G69</f>
        <v>0</v>
      </c>
      <c r="I69" s="69" t="n">
        <f aca="false">IF(L68&gt;0.5,L68*(1+I$23)+I$24,0)</f>
        <v>0</v>
      </c>
      <c r="J69" s="69" t="n">
        <f aca="false">MIN(J$23,I69)</f>
        <v>0</v>
      </c>
      <c r="K69" s="69" t="n">
        <f aca="false">IF(AND(J$24=1,OR(I$25="",$C69&gt;=I$25)),MAX(0,MIN(I69-J69,$D69-(G69))),0)</f>
        <v>0</v>
      </c>
      <c r="L69" s="69" t="n">
        <f aca="false">I69-J69-K69</f>
        <v>0</v>
      </c>
      <c r="M69" s="69" t="n">
        <f aca="false">IF(P68&gt;0.5,P68*(1+M$23)+M$24,0)</f>
        <v>0</v>
      </c>
      <c r="N69" s="69" t="n">
        <f aca="false">MIN(N$23,M69)</f>
        <v>0</v>
      </c>
      <c r="O69" s="69" t="n">
        <f aca="false">IF(AND(N$24=1,OR(M$25="",$C69&gt;=M$25)),MAX(0,MIN(M69-N69,$D69-(G69+K69))),0)</f>
        <v>0</v>
      </c>
      <c r="P69" s="69" t="n">
        <f aca="false">M69-N69-O69</f>
        <v>0</v>
      </c>
      <c r="Q69" s="69" t="n">
        <f aca="false">IF(T68&gt;0.5,T68*(1+Q$23)+Q$24,0)</f>
        <v>0</v>
      </c>
      <c r="R69" s="69" t="n">
        <f aca="false">MIN(R$23,Q69)</f>
        <v>0</v>
      </c>
      <c r="S69" s="69" t="n">
        <f aca="false">IF(AND(R$24=1,OR(Q$25="",$C69&gt;=Q$25)),MAX(0,MIN(Q69-R69,$D69-(G69+K69+O69))),0)</f>
        <v>0</v>
      </c>
      <c r="T69" s="69" t="n">
        <f aca="false">Q69-R69-S69</f>
        <v>0</v>
      </c>
      <c r="U69" s="69" t="n">
        <f aca="false">IF(X68&gt;0.5,X68*(1+U$23)+U$24,0)</f>
        <v>0</v>
      </c>
      <c r="V69" s="69" t="n">
        <f aca="false">MIN(V$23,U69)</f>
        <v>0</v>
      </c>
      <c r="W69" s="69" t="n">
        <f aca="false">IF(AND(V$24=1,OR(U$25="",$C69&gt;=U$25)),MAX(0,MIN(U69-V69,$D69-(G69+K69+O69+S69))),0)</f>
        <v>0</v>
      </c>
      <c r="X69" s="69" t="n">
        <f aca="false">U69-V69-W69</f>
        <v>0</v>
      </c>
      <c r="Y69" s="69" t="n">
        <f aca="false">IF(AB68&gt;0.5,AB68*(1+Y$23)+Y$24,0)</f>
        <v>0</v>
      </c>
      <c r="Z69" s="69" t="n">
        <f aca="false">MIN(Z$23,Y69)</f>
        <v>0</v>
      </c>
      <c r="AA69" s="69" t="n">
        <f aca="false">IF(AND(Z$24=1,OR(Y$25="",$C69&gt;=Y$25)),MAX(0,MIN(Y69-Z69,$D69-(G69+K69+O69+S69+W69))),0)</f>
        <v>0</v>
      </c>
      <c r="AB69" s="69" t="n">
        <f aca="false">Y69-Z69-AA69</f>
        <v>0</v>
      </c>
      <c r="AC69" s="69" t="n">
        <f aca="false">IF(AF68&gt;0.5,AF68*(1+AC$23)+AC$24,0)</f>
        <v>0</v>
      </c>
      <c r="AD69" s="69" t="n">
        <f aca="false">MIN(AD$23,AC69)</f>
        <v>0</v>
      </c>
      <c r="AE69" s="69" t="n">
        <f aca="false">IF(AND(AD$24=1,OR(AC$25="",$C69&gt;=AC$25)),MAX(0,MIN(AC69-AD69,$D69-(G69+K69+O69+S69+W69+AA69))),0)</f>
        <v>0</v>
      </c>
      <c r="AF69" s="69" t="n">
        <f aca="false">AC69-AD69-AE69</f>
        <v>0</v>
      </c>
      <c r="AG69" s="69" t="n">
        <f aca="false">IF(AJ68&gt;0.5,AJ68*(1+AG$23)+AG$24,0)</f>
        <v>0</v>
      </c>
      <c r="AH69" s="69" t="n">
        <f aca="false">MIN(AH$23,AG69)</f>
        <v>0</v>
      </c>
      <c r="AI69" s="69" t="n">
        <f aca="false">IF(AND(AH$24=1,OR(AG$25="",$C69&gt;=AG$25)),MAX(0,MIN(AG69-AH69,$D69-(G69+K69+O69+S69+W69+AA69+AE69))),0)</f>
        <v>0</v>
      </c>
      <c r="AJ69" s="69" t="n">
        <f aca="false">AG69-AH69-AI69</f>
        <v>0</v>
      </c>
      <c r="AK69" s="69" t="n">
        <f aca="false">IF(AK68&gt;0.5,AK68*(1+$E$12)+$G$12-MIN($F$12,AK68*(1+$E$12)+$G$12),0)</f>
        <v>0</v>
      </c>
      <c r="AL69" s="69" t="n">
        <f aca="false">IF(AL68&gt;0.5,AL68*(1+$E$13)+$G$13-MIN($F$13,AL68*(1+$E$13)+$G$13),0)</f>
        <v>0</v>
      </c>
      <c r="AM69" s="69" t="n">
        <f aca="false">IF(AM68&gt;0.5,AM68*(1+$E$14)+$G$14-MIN($F$14,AM68*(1+$E$14)+$G$14),0)</f>
        <v>0</v>
      </c>
      <c r="AN69" s="69" t="n">
        <f aca="false">IF(AN68&gt;0.5,AN68*(1+$E$15)+$G$15-MIN($F$15,AN68*(1+$E$15)+$G$15),0)</f>
        <v>0</v>
      </c>
      <c r="AO69" s="69" t="n">
        <f aca="false">IF(AO68&gt;0.5,AO68*(1+$E$16)+$G$16-MIN($F$16,AO68*(1+$E$16)+$G$16),0)</f>
        <v>0</v>
      </c>
      <c r="AP69" s="69" t="n">
        <f aca="false">IF(AP68&gt;0.5,AP68*(1+$E$17)+$G$17-MIN($F$17,AP68*(1+$E$17)+$G$17),0)</f>
        <v>0</v>
      </c>
      <c r="AQ69" s="69" t="n">
        <f aca="false">IF(AQ68&gt;0.5,AQ68*(1+$E$18)+$G$18-MIN($F$18,AQ68*(1+$E$18)+$G$18),0)</f>
        <v>0</v>
      </c>
      <c r="AR69" s="69" t="n">
        <f aca="false">IF(AR68&gt;0.5,AR68*(1+$E$19)+$G$19-MIN($F$19,AR68*(1+$E$19)+$G$19),0)</f>
        <v>0</v>
      </c>
      <c r="AS69" s="69" t="n">
        <f aca="false">H69+L69+P69+T69+X69+AB69+AF69+AJ69</f>
        <v>0</v>
      </c>
      <c r="AT69" s="69" t="n">
        <f aca="false">SUM(AK69:AR69)</f>
        <v>0</v>
      </c>
      <c r="AU69" s="69" t="n">
        <f aca="false">F69+G69+J69+K69+N69+O69+R69+S69+V69+W69+Z69+AA69+AD69+AE69+AH69+AI69</f>
        <v>0</v>
      </c>
    </row>
    <row r="70" customFormat="false" ht="15" hidden="false" customHeight="false" outlineLevel="0" collapsed="false">
      <c r="B70" s="0" t="n">
        <v>43</v>
      </c>
      <c r="C70" s="68" t="n">
        <f aca="false">EDATE($C$7,42)</f>
        <v>47574</v>
      </c>
      <c r="D70" s="69" t="n">
        <f aca="false">$C$8-(F70+J70+N70+R70+V70+Z70+AD70+AH70)</f>
        <v>0</v>
      </c>
      <c r="E70" s="69" t="n">
        <f aca="false">IF(H69&gt;0.5,H69*(1+E$23)+E$24,0)</f>
        <v>0</v>
      </c>
      <c r="F70" s="69" t="n">
        <f aca="false">MIN(F$23,E70)</f>
        <v>0</v>
      </c>
      <c r="G70" s="69" t="n">
        <f aca="false">IF(AND(F$24=1,OR(E$25="",$C70&gt;=E$25)),MAX(0,MIN(E70-F70,$D70-(0))),0)</f>
        <v>0</v>
      </c>
      <c r="H70" s="69" t="n">
        <f aca="false">E70-F70-G70</f>
        <v>0</v>
      </c>
      <c r="I70" s="69" t="n">
        <f aca="false">IF(L69&gt;0.5,L69*(1+I$23)+I$24,0)</f>
        <v>0</v>
      </c>
      <c r="J70" s="69" t="n">
        <f aca="false">MIN(J$23,I70)</f>
        <v>0</v>
      </c>
      <c r="K70" s="69" t="n">
        <f aca="false">IF(AND(J$24=1,OR(I$25="",$C70&gt;=I$25)),MAX(0,MIN(I70-J70,$D70-(G70))),0)</f>
        <v>0</v>
      </c>
      <c r="L70" s="69" t="n">
        <f aca="false">I70-J70-K70</f>
        <v>0</v>
      </c>
      <c r="M70" s="69" t="n">
        <f aca="false">IF(P69&gt;0.5,P69*(1+M$23)+M$24,0)</f>
        <v>0</v>
      </c>
      <c r="N70" s="69" t="n">
        <f aca="false">MIN(N$23,M70)</f>
        <v>0</v>
      </c>
      <c r="O70" s="69" t="n">
        <f aca="false">IF(AND(N$24=1,OR(M$25="",$C70&gt;=M$25)),MAX(0,MIN(M70-N70,$D70-(G70+K70))),0)</f>
        <v>0</v>
      </c>
      <c r="P70" s="69" t="n">
        <f aca="false">M70-N70-O70</f>
        <v>0</v>
      </c>
      <c r="Q70" s="69" t="n">
        <f aca="false">IF(T69&gt;0.5,T69*(1+Q$23)+Q$24,0)</f>
        <v>0</v>
      </c>
      <c r="R70" s="69" t="n">
        <f aca="false">MIN(R$23,Q70)</f>
        <v>0</v>
      </c>
      <c r="S70" s="69" t="n">
        <f aca="false">IF(AND(R$24=1,OR(Q$25="",$C70&gt;=Q$25)),MAX(0,MIN(Q70-R70,$D70-(G70+K70+O70))),0)</f>
        <v>0</v>
      </c>
      <c r="T70" s="69" t="n">
        <f aca="false">Q70-R70-S70</f>
        <v>0</v>
      </c>
      <c r="U70" s="69" t="n">
        <f aca="false">IF(X69&gt;0.5,X69*(1+U$23)+U$24,0)</f>
        <v>0</v>
      </c>
      <c r="V70" s="69" t="n">
        <f aca="false">MIN(V$23,U70)</f>
        <v>0</v>
      </c>
      <c r="W70" s="69" t="n">
        <f aca="false">IF(AND(V$24=1,OR(U$25="",$C70&gt;=U$25)),MAX(0,MIN(U70-V70,$D70-(G70+K70+O70+S70))),0)</f>
        <v>0</v>
      </c>
      <c r="X70" s="69" t="n">
        <f aca="false">U70-V70-W70</f>
        <v>0</v>
      </c>
      <c r="Y70" s="69" t="n">
        <f aca="false">IF(AB69&gt;0.5,AB69*(1+Y$23)+Y$24,0)</f>
        <v>0</v>
      </c>
      <c r="Z70" s="69" t="n">
        <f aca="false">MIN(Z$23,Y70)</f>
        <v>0</v>
      </c>
      <c r="AA70" s="69" t="n">
        <f aca="false">IF(AND(Z$24=1,OR(Y$25="",$C70&gt;=Y$25)),MAX(0,MIN(Y70-Z70,$D70-(G70+K70+O70+S70+W70))),0)</f>
        <v>0</v>
      </c>
      <c r="AB70" s="69" t="n">
        <f aca="false">Y70-Z70-AA70</f>
        <v>0</v>
      </c>
      <c r="AC70" s="69" t="n">
        <f aca="false">IF(AF69&gt;0.5,AF69*(1+AC$23)+AC$24,0)</f>
        <v>0</v>
      </c>
      <c r="AD70" s="69" t="n">
        <f aca="false">MIN(AD$23,AC70)</f>
        <v>0</v>
      </c>
      <c r="AE70" s="69" t="n">
        <f aca="false">IF(AND(AD$24=1,OR(AC$25="",$C70&gt;=AC$25)),MAX(0,MIN(AC70-AD70,$D70-(G70+K70+O70+S70+W70+AA70))),0)</f>
        <v>0</v>
      </c>
      <c r="AF70" s="69" t="n">
        <f aca="false">AC70-AD70-AE70</f>
        <v>0</v>
      </c>
      <c r="AG70" s="69" t="n">
        <f aca="false">IF(AJ69&gt;0.5,AJ69*(1+AG$23)+AG$24,0)</f>
        <v>0</v>
      </c>
      <c r="AH70" s="69" t="n">
        <f aca="false">MIN(AH$23,AG70)</f>
        <v>0</v>
      </c>
      <c r="AI70" s="69" t="n">
        <f aca="false">IF(AND(AH$24=1,OR(AG$25="",$C70&gt;=AG$25)),MAX(0,MIN(AG70-AH70,$D70-(G70+K70+O70+S70+W70+AA70+AE70))),0)</f>
        <v>0</v>
      </c>
      <c r="AJ70" s="69" t="n">
        <f aca="false">AG70-AH70-AI70</f>
        <v>0</v>
      </c>
      <c r="AK70" s="69" t="n">
        <f aca="false">IF(AK69&gt;0.5,AK69*(1+$E$12)+$G$12-MIN($F$12,AK69*(1+$E$12)+$G$12),0)</f>
        <v>0</v>
      </c>
      <c r="AL70" s="69" t="n">
        <f aca="false">IF(AL69&gt;0.5,AL69*(1+$E$13)+$G$13-MIN($F$13,AL69*(1+$E$13)+$G$13),0)</f>
        <v>0</v>
      </c>
      <c r="AM70" s="69" t="n">
        <f aca="false">IF(AM69&gt;0.5,AM69*(1+$E$14)+$G$14-MIN($F$14,AM69*(1+$E$14)+$G$14),0)</f>
        <v>0</v>
      </c>
      <c r="AN70" s="69" t="n">
        <f aca="false">IF(AN69&gt;0.5,AN69*(1+$E$15)+$G$15-MIN($F$15,AN69*(1+$E$15)+$G$15),0)</f>
        <v>0</v>
      </c>
      <c r="AO70" s="69" t="n">
        <f aca="false">IF(AO69&gt;0.5,AO69*(1+$E$16)+$G$16-MIN($F$16,AO69*(1+$E$16)+$G$16),0)</f>
        <v>0</v>
      </c>
      <c r="AP70" s="69" t="n">
        <f aca="false">IF(AP69&gt;0.5,AP69*(1+$E$17)+$G$17-MIN($F$17,AP69*(1+$E$17)+$G$17),0)</f>
        <v>0</v>
      </c>
      <c r="AQ70" s="69" t="n">
        <f aca="false">IF(AQ69&gt;0.5,AQ69*(1+$E$18)+$G$18-MIN($F$18,AQ69*(1+$E$18)+$G$18),0)</f>
        <v>0</v>
      </c>
      <c r="AR70" s="69" t="n">
        <f aca="false">IF(AR69&gt;0.5,AR69*(1+$E$19)+$G$19-MIN($F$19,AR69*(1+$E$19)+$G$19),0)</f>
        <v>0</v>
      </c>
      <c r="AS70" s="69" t="n">
        <f aca="false">H70+L70+P70+T70+X70+AB70+AF70+AJ70</f>
        <v>0</v>
      </c>
      <c r="AT70" s="69" t="n">
        <f aca="false">SUM(AK70:AR70)</f>
        <v>0</v>
      </c>
      <c r="AU70" s="69" t="n">
        <f aca="false">F70+G70+J70+K70+N70+O70+R70+S70+V70+W70+Z70+AA70+AD70+AE70+AH70+AI70</f>
        <v>0</v>
      </c>
    </row>
    <row r="71" customFormat="false" ht="15" hidden="false" customHeight="false" outlineLevel="0" collapsed="false">
      <c r="B71" s="0" t="n">
        <v>44</v>
      </c>
      <c r="C71" s="68" t="n">
        <f aca="false">EDATE($C$7,43)</f>
        <v>47604</v>
      </c>
      <c r="D71" s="69" t="n">
        <f aca="false">$C$8-(F71+J71+N71+R71+V71+Z71+AD71+AH71)</f>
        <v>0</v>
      </c>
      <c r="E71" s="69" t="n">
        <f aca="false">IF(H70&gt;0.5,H70*(1+E$23)+E$24,0)</f>
        <v>0</v>
      </c>
      <c r="F71" s="69" t="n">
        <f aca="false">MIN(F$23,E71)</f>
        <v>0</v>
      </c>
      <c r="G71" s="69" t="n">
        <f aca="false">IF(AND(F$24=1,OR(E$25="",$C71&gt;=E$25)),MAX(0,MIN(E71-F71,$D71-(0))),0)</f>
        <v>0</v>
      </c>
      <c r="H71" s="69" t="n">
        <f aca="false">E71-F71-G71</f>
        <v>0</v>
      </c>
      <c r="I71" s="69" t="n">
        <f aca="false">IF(L70&gt;0.5,L70*(1+I$23)+I$24,0)</f>
        <v>0</v>
      </c>
      <c r="J71" s="69" t="n">
        <f aca="false">MIN(J$23,I71)</f>
        <v>0</v>
      </c>
      <c r="K71" s="69" t="n">
        <f aca="false">IF(AND(J$24=1,OR(I$25="",$C71&gt;=I$25)),MAX(0,MIN(I71-J71,$D71-(G71))),0)</f>
        <v>0</v>
      </c>
      <c r="L71" s="69" t="n">
        <f aca="false">I71-J71-K71</f>
        <v>0</v>
      </c>
      <c r="M71" s="69" t="n">
        <f aca="false">IF(P70&gt;0.5,P70*(1+M$23)+M$24,0)</f>
        <v>0</v>
      </c>
      <c r="N71" s="69" t="n">
        <f aca="false">MIN(N$23,M71)</f>
        <v>0</v>
      </c>
      <c r="O71" s="69" t="n">
        <f aca="false">IF(AND(N$24=1,OR(M$25="",$C71&gt;=M$25)),MAX(0,MIN(M71-N71,$D71-(G71+K71))),0)</f>
        <v>0</v>
      </c>
      <c r="P71" s="69" t="n">
        <f aca="false">M71-N71-O71</f>
        <v>0</v>
      </c>
      <c r="Q71" s="69" t="n">
        <f aca="false">IF(T70&gt;0.5,T70*(1+Q$23)+Q$24,0)</f>
        <v>0</v>
      </c>
      <c r="R71" s="69" t="n">
        <f aca="false">MIN(R$23,Q71)</f>
        <v>0</v>
      </c>
      <c r="S71" s="69" t="n">
        <f aca="false">IF(AND(R$24=1,OR(Q$25="",$C71&gt;=Q$25)),MAX(0,MIN(Q71-R71,$D71-(G71+K71+O71))),0)</f>
        <v>0</v>
      </c>
      <c r="T71" s="69" t="n">
        <f aca="false">Q71-R71-S71</f>
        <v>0</v>
      </c>
      <c r="U71" s="69" t="n">
        <f aca="false">IF(X70&gt;0.5,X70*(1+U$23)+U$24,0)</f>
        <v>0</v>
      </c>
      <c r="V71" s="69" t="n">
        <f aca="false">MIN(V$23,U71)</f>
        <v>0</v>
      </c>
      <c r="W71" s="69" t="n">
        <f aca="false">IF(AND(V$24=1,OR(U$25="",$C71&gt;=U$25)),MAX(0,MIN(U71-V71,$D71-(G71+K71+O71+S71))),0)</f>
        <v>0</v>
      </c>
      <c r="X71" s="69" t="n">
        <f aca="false">U71-V71-W71</f>
        <v>0</v>
      </c>
      <c r="Y71" s="69" t="n">
        <f aca="false">IF(AB70&gt;0.5,AB70*(1+Y$23)+Y$24,0)</f>
        <v>0</v>
      </c>
      <c r="Z71" s="69" t="n">
        <f aca="false">MIN(Z$23,Y71)</f>
        <v>0</v>
      </c>
      <c r="AA71" s="69" t="n">
        <f aca="false">IF(AND(Z$24=1,OR(Y$25="",$C71&gt;=Y$25)),MAX(0,MIN(Y71-Z71,$D71-(G71+K71+O71+S71+W71))),0)</f>
        <v>0</v>
      </c>
      <c r="AB71" s="69" t="n">
        <f aca="false">Y71-Z71-AA71</f>
        <v>0</v>
      </c>
      <c r="AC71" s="69" t="n">
        <f aca="false">IF(AF70&gt;0.5,AF70*(1+AC$23)+AC$24,0)</f>
        <v>0</v>
      </c>
      <c r="AD71" s="69" t="n">
        <f aca="false">MIN(AD$23,AC71)</f>
        <v>0</v>
      </c>
      <c r="AE71" s="69" t="n">
        <f aca="false">IF(AND(AD$24=1,OR(AC$25="",$C71&gt;=AC$25)),MAX(0,MIN(AC71-AD71,$D71-(G71+K71+O71+S71+W71+AA71))),0)</f>
        <v>0</v>
      </c>
      <c r="AF71" s="69" t="n">
        <f aca="false">AC71-AD71-AE71</f>
        <v>0</v>
      </c>
      <c r="AG71" s="69" t="n">
        <f aca="false">IF(AJ70&gt;0.5,AJ70*(1+AG$23)+AG$24,0)</f>
        <v>0</v>
      </c>
      <c r="AH71" s="69" t="n">
        <f aca="false">MIN(AH$23,AG71)</f>
        <v>0</v>
      </c>
      <c r="AI71" s="69" t="n">
        <f aca="false">IF(AND(AH$24=1,OR(AG$25="",$C71&gt;=AG$25)),MAX(0,MIN(AG71-AH71,$D71-(G71+K71+O71+S71+W71+AA71+AE71))),0)</f>
        <v>0</v>
      </c>
      <c r="AJ71" s="69" t="n">
        <f aca="false">AG71-AH71-AI71</f>
        <v>0</v>
      </c>
      <c r="AK71" s="69" t="n">
        <f aca="false">IF(AK70&gt;0.5,AK70*(1+$E$12)+$G$12-MIN($F$12,AK70*(1+$E$12)+$G$12),0)</f>
        <v>0</v>
      </c>
      <c r="AL71" s="69" t="n">
        <f aca="false">IF(AL70&gt;0.5,AL70*(1+$E$13)+$G$13-MIN($F$13,AL70*(1+$E$13)+$G$13),0)</f>
        <v>0</v>
      </c>
      <c r="AM71" s="69" t="n">
        <f aca="false">IF(AM70&gt;0.5,AM70*(1+$E$14)+$G$14-MIN($F$14,AM70*(1+$E$14)+$G$14),0)</f>
        <v>0</v>
      </c>
      <c r="AN71" s="69" t="n">
        <f aca="false">IF(AN70&gt;0.5,AN70*(1+$E$15)+$G$15-MIN($F$15,AN70*(1+$E$15)+$G$15),0)</f>
        <v>0</v>
      </c>
      <c r="AO71" s="69" t="n">
        <f aca="false">IF(AO70&gt;0.5,AO70*(1+$E$16)+$G$16-MIN($F$16,AO70*(1+$E$16)+$G$16),0)</f>
        <v>0</v>
      </c>
      <c r="AP71" s="69" t="n">
        <f aca="false">IF(AP70&gt;0.5,AP70*(1+$E$17)+$G$17-MIN($F$17,AP70*(1+$E$17)+$G$17),0)</f>
        <v>0</v>
      </c>
      <c r="AQ71" s="69" t="n">
        <f aca="false">IF(AQ70&gt;0.5,AQ70*(1+$E$18)+$G$18-MIN($F$18,AQ70*(1+$E$18)+$G$18),0)</f>
        <v>0</v>
      </c>
      <c r="AR71" s="69" t="n">
        <f aca="false">IF(AR70&gt;0.5,AR70*(1+$E$19)+$G$19-MIN($F$19,AR70*(1+$E$19)+$G$19),0)</f>
        <v>0</v>
      </c>
      <c r="AS71" s="69" t="n">
        <f aca="false">H71+L71+P71+T71+X71+AB71+AF71+AJ71</f>
        <v>0</v>
      </c>
      <c r="AT71" s="69" t="n">
        <f aca="false">SUM(AK71:AR71)</f>
        <v>0</v>
      </c>
      <c r="AU71" s="69" t="n">
        <f aca="false">F71+G71+J71+K71+N71+O71+R71+S71+V71+W71+Z71+AA71+AD71+AE71+AH71+AI71</f>
        <v>0</v>
      </c>
    </row>
    <row r="72" customFormat="false" ht="15" hidden="false" customHeight="false" outlineLevel="0" collapsed="false">
      <c r="B72" s="0" t="n">
        <v>45</v>
      </c>
      <c r="C72" s="68" t="n">
        <f aca="false">EDATE($C$7,44)</f>
        <v>47635</v>
      </c>
      <c r="D72" s="69" t="n">
        <f aca="false">$C$8-(F72+J72+N72+R72+V72+Z72+AD72+AH72)</f>
        <v>0</v>
      </c>
      <c r="E72" s="69" t="n">
        <f aca="false">IF(H71&gt;0.5,H71*(1+E$23)+E$24,0)</f>
        <v>0</v>
      </c>
      <c r="F72" s="69" t="n">
        <f aca="false">MIN(F$23,E72)</f>
        <v>0</v>
      </c>
      <c r="G72" s="69" t="n">
        <f aca="false">IF(AND(F$24=1,OR(E$25="",$C72&gt;=E$25)),MAX(0,MIN(E72-F72,$D72-(0))),0)</f>
        <v>0</v>
      </c>
      <c r="H72" s="69" t="n">
        <f aca="false">E72-F72-G72</f>
        <v>0</v>
      </c>
      <c r="I72" s="69" t="n">
        <f aca="false">IF(L71&gt;0.5,L71*(1+I$23)+I$24,0)</f>
        <v>0</v>
      </c>
      <c r="J72" s="69" t="n">
        <f aca="false">MIN(J$23,I72)</f>
        <v>0</v>
      </c>
      <c r="K72" s="69" t="n">
        <f aca="false">IF(AND(J$24=1,OR(I$25="",$C72&gt;=I$25)),MAX(0,MIN(I72-J72,$D72-(G72))),0)</f>
        <v>0</v>
      </c>
      <c r="L72" s="69" t="n">
        <f aca="false">I72-J72-K72</f>
        <v>0</v>
      </c>
      <c r="M72" s="69" t="n">
        <f aca="false">IF(P71&gt;0.5,P71*(1+M$23)+M$24,0)</f>
        <v>0</v>
      </c>
      <c r="N72" s="69" t="n">
        <f aca="false">MIN(N$23,M72)</f>
        <v>0</v>
      </c>
      <c r="O72" s="69" t="n">
        <f aca="false">IF(AND(N$24=1,OR(M$25="",$C72&gt;=M$25)),MAX(0,MIN(M72-N72,$D72-(G72+K72))),0)</f>
        <v>0</v>
      </c>
      <c r="P72" s="69" t="n">
        <f aca="false">M72-N72-O72</f>
        <v>0</v>
      </c>
      <c r="Q72" s="69" t="n">
        <f aca="false">IF(T71&gt;0.5,T71*(1+Q$23)+Q$24,0)</f>
        <v>0</v>
      </c>
      <c r="R72" s="69" t="n">
        <f aca="false">MIN(R$23,Q72)</f>
        <v>0</v>
      </c>
      <c r="S72" s="69" t="n">
        <f aca="false">IF(AND(R$24=1,OR(Q$25="",$C72&gt;=Q$25)),MAX(0,MIN(Q72-R72,$D72-(G72+K72+O72))),0)</f>
        <v>0</v>
      </c>
      <c r="T72" s="69" t="n">
        <f aca="false">Q72-R72-S72</f>
        <v>0</v>
      </c>
      <c r="U72" s="69" t="n">
        <f aca="false">IF(X71&gt;0.5,X71*(1+U$23)+U$24,0)</f>
        <v>0</v>
      </c>
      <c r="V72" s="69" t="n">
        <f aca="false">MIN(V$23,U72)</f>
        <v>0</v>
      </c>
      <c r="W72" s="69" t="n">
        <f aca="false">IF(AND(V$24=1,OR(U$25="",$C72&gt;=U$25)),MAX(0,MIN(U72-V72,$D72-(G72+K72+O72+S72))),0)</f>
        <v>0</v>
      </c>
      <c r="X72" s="69" t="n">
        <f aca="false">U72-V72-W72</f>
        <v>0</v>
      </c>
      <c r="Y72" s="69" t="n">
        <f aca="false">IF(AB71&gt;0.5,AB71*(1+Y$23)+Y$24,0)</f>
        <v>0</v>
      </c>
      <c r="Z72" s="69" t="n">
        <f aca="false">MIN(Z$23,Y72)</f>
        <v>0</v>
      </c>
      <c r="AA72" s="69" t="n">
        <f aca="false">IF(AND(Z$24=1,OR(Y$25="",$C72&gt;=Y$25)),MAX(0,MIN(Y72-Z72,$D72-(G72+K72+O72+S72+W72))),0)</f>
        <v>0</v>
      </c>
      <c r="AB72" s="69" t="n">
        <f aca="false">Y72-Z72-AA72</f>
        <v>0</v>
      </c>
      <c r="AC72" s="69" t="n">
        <f aca="false">IF(AF71&gt;0.5,AF71*(1+AC$23)+AC$24,0)</f>
        <v>0</v>
      </c>
      <c r="AD72" s="69" t="n">
        <f aca="false">MIN(AD$23,AC72)</f>
        <v>0</v>
      </c>
      <c r="AE72" s="69" t="n">
        <f aca="false">IF(AND(AD$24=1,OR(AC$25="",$C72&gt;=AC$25)),MAX(0,MIN(AC72-AD72,$D72-(G72+K72+O72+S72+W72+AA72))),0)</f>
        <v>0</v>
      </c>
      <c r="AF72" s="69" t="n">
        <f aca="false">AC72-AD72-AE72</f>
        <v>0</v>
      </c>
      <c r="AG72" s="69" t="n">
        <f aca="false">IF(AJ71&gt;0.5,AJ71*(1+AG$23)+AG$24,0)</f>
        <v>0</v>
      </c>
      <c r="AH72" s="69" t="n">
        <f aca="false">MIN(AH$23,AG72)</f>
        <v>0</v>
      </c>
      <c r="AI72" s="69" t="n">
        <f aca="false">IF(AND(AH$24=1,OR(AG$25="",$C72&gt;=AG$25)),MAX(0,MIN(AG72-AH72,$D72-(G72+K72+O72+S72+W72+AA72+AE72))),0)</f>
        <v>0</v>
      </c>
      <c r="AJ72" s="69" t="n">
        <f aca="false">AG72-AH72-AI72</f>
        <v>0</v>
      </c>
      <c r="AK72" s="69" t="n">
        <f aca="false">IF(AK71&gt;0.5,AK71*(1+$E$12)+$G$12-MIN($F$12,AK71*(1+$E$12)+$G$12),0)</f>
        <v>0</v>
      </c>
      <c r="AL72" s="69" t="n">
        <f aca="false">IF(AL71&gt;0.5,AL71*(1+$E$13)+$G$13-MIN($F$13,AL71*(1+$E$13)+$G$13),0)</f>
        <v>0</v>
      </c>
      <c r="AM72" s="69" t="n">
        <f aca="false">IF(AM71&gt;0.5,AM71*(1+$E$14)+$G$14-MIN($F$14,AM71*(1+$E$14)+$G$14),0)</f>
        <v>0</v>
      </c>
      <c r="AN72" s="69" t="n">
        <f aca="false">IF(AN71&gt;0.5,AN71*(1+$E$15)+$G$15-MIN($F$15,AN71*(1+$E$15)+$G$15),0)</f>
        <v>0</v>
      </c>
      <c r="AO72" s="69" t="n">
        <f aca="false">IF(AO71&gt;0.5,AO71*(1+$E$16)+$G$16-MIN($F$16,AO71*(1+$E$16)+$G$16),0)</f>
        <v>0</v>
      </c>
      <c r="AP72" s="69" t="n">
        <f aca="false">IF(AP71&gt;0.5,AP71*(1+$E$17)+$G$17-MIN($F$17,AP71*(1+$E$17)+$G$17),0)</f>
        <v>0</v>
      </c>
      <c r="AQ72" s="69" t="n">
        <f aca="false">IF(AQ71&gt;0.5,AQ71*(1+$E$18)+$G$18-MIN($F$18,AQ71*(1+$E$18)+$G$18),0)</f>
        <v>0</v>
      </c>
      <c r="AR72" s="69" t="n">
        <f aca="false">IF(AR71&gt;0.5,AR71*(1+$E$19)+$G$19-MIN($F$19,AR71*(1+$E$19)+$G$19),0)</f>
        <v>0</v>
      </c>
      <c r="AS72" s="69" t="n">
        <f aca="false">H72+L72+P72+T72+X72+AB72+AF72+AJ72</f>
        <v>0</v>
      </c>
      <c r="AT72" s="69" t="n">
        <f aca="false">SUM(AK72:AR72)</f>
        <v>0</v>
      </c>
      <c r="AU72" s="69" t="n">
        <f aca="false">F72+G72+J72+K72+N72+O72+R72+S72+V72+W72+Z72+AA72+AD72+AE72+AH72+AI72</f>
        <v>0</v>
      </c>
    </row>
    <row r="73" customFormat="false" ht="15" hidden="false" customHeight="false" outlineLevel="0" collapsed="false">
      <c r="B73" s="0" t="n">
        <v>46</v>
      </c>
      <c r="C73" s="68" t="n">
        <f aca="false">EDATE($C$7,45)</f>
        <v>47665</v>
      </c>
      <c r="D73" s="69" t="n">
        <f aca="false">$C$8-(F73+J73+N73+R73+V73+Z73+AD73+AH73)</f>
        <v>0</v>
      </c>
      <c r="E73" s="69" t="n">
        <f aca="false">IF(H72&gt;0.5,H72*(1+E$23)+E$24,0)</f>
        <v>0</v>
      </c>
      <c r="F73" s="69" t="n">
        <f aca="false">MIN(F$23,E73)</f>
        <v>0</v>
      </c>
      <c r="G73" s="69" t="n">
        <f aca="false">IF(AND(F$24=1,OR(E$25="",$C73&gt;=E$25)),MAX(0,MIN(E73-F73,$D73-(0))),0)</f>
        <v>0</v>
      </c>
      <c r="H73" s="69" t="n">
        <f aca="false">E73-F73-G73</f>
        <v>0</v>
      </c>
      <c r="I73" s="69" t="n">
        <f aca="false">IF(L72&gt;0.5,L72*(1+I$23)+I$24,0)</f>
        <v>0</v>
      </c>
      <c r="J73" s="69" t="n">
        <f aca="false">MIN(J$23,I73)</f>
        <v>0</v>
      </c>
      <c r="K73" s="69" t="n">
        <f aca="false">IF(AND(J$24=1,OR(I$25="",$C73&gt;=I$25)),MAX(0,MIN(I73-J73,$D73-(G73))),0)</f>
        <v>0</v>
      </c>
      <c r="L73" s="69" t="n">
        <f aca="false">I73-J73-K73</f>
        <v>0</v>
      </c>
      <c r="M73" s="69" t="n">
        <f aca="false">IF(P72&gt;0.5,P72*(1+M$23)+M$24,0)</f>
        <v>0</v>
      </c>
      <c r="N73" s="69" t="n">
        <f aca="false">MIN(N$23,M73)</f>
        <v>0</v>
      </c>
      <c r="O73" s="69" t="n">
        <f aca="false">IF(AND(N$24=1,OR(M$25="",$C73&gt;=M$25)),MAX(0,MIN(M73-N73,$D73-(G73+K73))),0)</f>
        <v>0</v>
      </c>
      <c r="P73" s="69" t="n">
        <f aca="false">M73-N73-O73</f>
        <v>0</v>
      </c>
      <c r="Q73" s="69" t="n">
        <f aca="false">IF(T72&gt;0.5,T72*(1+Q$23)+Q$24,0)</f>
        <v>0</v>
      </c>
      <c r="R73" s="69" t="n">
        <f aca="false">MIN(R$23,Q73)</f>
        <v>0</v>
      </c>
      <c r="S73" s="69" t="n">
        <f aca="false">IF(AND(R$24=1,OR(Q$25="",$C73&gt;=Q$25)),MAX(0,MIN(Q73-R73,$D73-(G73+K73+O73))),0)</f>
        <v>0</v>
      </c>
      <c r="T73" s="69" t="n">
        <f aca="false">Q73-R73-S73</f>
        <v>0</v>
      </c>
      <c r="U73" s="69" t="n">
        <f aca="false">IF(X72&gt;0.5,X72*(1+U$23)+U$24,0)</f>
        <v>0</v>
      </c>
      <c r="V73" s="69" t="n">
        <f aca="false">MIN(V$23,U73)</f>
        <v>0</v>
      </c>
      <c r="W73" s="69" t="n">
        <f aca="false">IF(AND(V$24=1,OR(U$25="",$C73&gt;=U$25)),MAX(0,MIN(U73-V73,$D73-(G73+K73+O73+S73))),0)</f>
        <v>0</v>
      </c>
      <c r="X73" s="69" t="n">
        <f aca="false">U73-V73-W73</f>
        <v>0</v>
      </c>
      <c r="Y73" s="69" t="n">
        <f aca="false">IF(AB72&gt;0.5,AB72*(1+Y$23)+Y$24,0)</f>
        <v>0</v>
      </c>
      <c r="Z73" s="69" t="n">
        <f aca="false">MIN(Z$23,Y73)</f>
        <v>0</v>
      </c>
      <c r="AA73" s="69" t="n">
        <f aca="false">IF(AND(Z$24=1,OR(Y$25="",$C73&gt;=Y$25)),MAX(0,MIN(Y73-Z73,$D73-(G73+K73+O73+S73+W73))),0)</f>
        <v>0</v>
      </c>
      <c r="AB73" s="69" t="n">
        <f aca="false">Y73-Z73-AA73</f>
        <v>0</v>
      </c>
      <c r="AC73" s="69" t="n">
        <f aca="false">IF(AF72&gt;0.5,AF72*(1+AC$23)+AC$24,0)</f>
        <v>0</v>
      </c>
      <c r="AD73" s="69" t="n">
        <f aca="false">MIN(AD$23,AC73)</f>
        <v>0</v>
      </c>
      <c r="AE73" s="69" t="n">
        <f aca="false">IF(AND(AD$24=1,OR(AC$25="",$C73&gt;=AC$25)),MAX(0,MIN(AC73-AD73,$D73-(G73+K73+O73+S73+W73+AA73))),0)</f>
        <v>0</v>
      </c>
      <c r="AF73" s="69" t="n">
        <f aca="false">AC73-AD73-AE73</f>
        <v>0</v>
      </c>
      <c r="AG73" s="69" t="n">
        <f aca="false">IF(AJ72&gt;0.5,AJ72*(1+AG$23)+AG$24,0)</f>
        <v>0</v>
      </c>
      <c r="AH73" s="69" t="n">
        <f aca="false">MIN(AH$23,AG73)</f>
        <v>0</v>
      </c>
      <c r="AI73" s="69" t="n">
        <f aca="false">IF(AND(AH$24=1,OR(AG$25="",$C73&gt;=AG$25)),MAX(0,MIN(AG73-AH73,$D73-(G73+K73+O73+S73+W73+AA73+AE73))),0)</f>
        <v>0</v>
      </c>
      <c r="AJ73" s="69" t="n">
        <f aca="false">AG73-AH73-AI73</f>
        <v>0</v>
      </c>
      <c r="AK73" s="69" t="n">
        <f aca="false">IF(AK72&gt;0.5,AK72*(1+$E$12)+$G$12-MIN($F$12,AK72*(1+$E$12)+$G$12),0)</f>
        <v>0</v>
      </c>
      <c r="AL73" s="69" t="n">
        <f aca="false">IF(AL72&gt;0.5,AL72*(1+$E$13)+$G$13-MIN($F$13,AL72*(1+$E$13)+$G$13),0)</f>
        <v>0</v>
      </c>
      <c r="AM73" s="69" t="n">
        <f aca="false">IF(AM72&gt;0.5,AM72*(1+$E$14)+$G$14-MIN($F$14,AM72*(1+$E$14)+$G$14),0)</f>
        <v>0</v>
      </c>
      <c r="AN73" s="69" t="n">
        <f aca="false">IF(AN72&gt;0.5,AN72*(1+$E$15)+$G$15-MIN($F$15,AN72*(1+$E$15)+$G$15),0)</f>
        <v>0</v>
      </c>
      <c r="AO73" s="69" t="n">
        <f aca="false">IF(AO72&gt;0.5,AO72*(1+$E$16)+$G$16-MIN($F$16,AO72*(1+$E$16)+$G$16),0)</f>
        <v>0</v>
      </c>
      <c r="AP73" s="69" t="n">
        <f aca="false">IF(AP72&gt;0.5,AP72*(1+$E$17)+$G$17-MIN($F$17,AP72*(1+$E$17)+$G$17),0)</f>
        <v>0</v>
      </c>
      <c r="AQ73" s="69" t="n">
        <f aca="false">IF(AQ72&gt;0.5,AQ72*(1+$E$18)+$G$18-MIN($F$18,AQ72*(1+$E$18)+$G$18),0)</f>
        <v>0</v>
      </c>
      <c r="AR73" s="69" t="n">
        <f aca="false">IF(AR72&gt;0.5,AR72*(1+$E$19)+$G$19-MIN($F$19,AR72*(1+$E$19)+$G$19),0)</f>
        <v>0</v>
      </c>
      <c r="AS73" s="69" t="n">
        <f aca="false">H73+L73+P73+T73+X73+AB73+AF73+AJ73</f>
        <v>0</v>
      </c>
      <c r="AT73" s="69" t="n">
        <f aca="false">SUM(AK73:AR73)</f>
        <v>0</v>
      </c>
      <c r="AU73" s="69" t="n">
        <f aca="false">F73+G73+J73+K73+N73+O73+R73+S73+V73+W73+Z73+AA73+AD73+AE73+AH73+AI73</f>
        <v>0</v>
      </c>
    </row>
    <row r="74" customFormat="false" ht="15" hidden="false" customHeight="false" outlineLevel="0" collapsed="false">
      <c r="B74" s="0" t="n">
        <v>47</v>
      </c>
      <c r="C74" s="68" t="n">
        <f aca="false">EDATE($C$7,46)</f>
        <v>47696</v>
      </c>
      <c r="D74" s="69" t="n">
        <f aca="false">$C$8-(F74+J74+N74+R74+V74+Z74+AD74+AH74)</f>
        <v>0</v>
      </c>
      <c r="E74" s="69" t="n">
        <f aca="false">IF(H73&gt;0.5,H73*(1+E$23)+E$24,0)</f>
        <v>0</v>
      </c>
      <c r="F74" s="69" t="n">
        <f aca="false">MIN(F$23,E74)</f>
        <v>0</v>
      </c>
      <c r="G74" s="69" t="n">
        <f aca="false">IF(AND(F$24=1,OR(E$25="",$C74&gt;=E$25)),MAX(0,MIN(E74-F74,$D74-(0))),0)</f>
        <v>0</v>
      </c>
      <c r="H74" s="69" t="n">
        <f aca="false">E74-F74-G74</f>
        <v>0</v>
      </c>
      <c r="I74" s="69" t="n">
        <f aca="false">IF(L73&gt;0.5,L73*(1+I$23)+I$24,0)</f>
        <v>0</v>
      </c>
      <c r="J74" s="69" t="n">
        <f aca="false">MIN(J$23,I74)</f>
        <v>0</v>
      </c>
      <c r="K74" s="69" t="n">
        <f aca="false">IF(AND(J$24=1,OR(I$25="",$C74&gt;=I$25)),MAX(0,MIN(I74-J74,$D74-(G74))),0)</f>
        <v>0</v>
      </c>
      <c r="L74" s="69" t="n">
        <f aca="false">I74-J74-K74</f>
        <v>0</v>
      </c>
      <c r="M74" s="69" t="n">
        <f aca="false">IF(P73&gt;0.5,P73*(1+M$23)+M$24,0)</f>
        <v>0</v>
      </c>
      <c r="N74" s="69" t="n">
        <f aca="false">MIN(N$23,M74)</f>
        <v>0</v>
      </c>
      <c r="O74" s="69" t="n">
        <f aca="false">IF(AND(N$24=1,OR(M$25="",$C74&gt;=M$25)),MAX(0,MIN(M74-N74,$D74-(G74+K74))),0)</f>
        <v>0</v>
      </c>
      <c r="P74" s="69" t="n">
        <f aca="false">M74-N74-O74</f>
        <v>0</v>
      </c>
      <c r="Q74" s="69" t="n">
        <f aca="false">IF(T73&gt;0.5,T73*(1+Q$23)+Q$24,0)</f>
        <v>0</v>
      </c>
      <c r="R74" s="69" t="n">
        <f aca="false">MIN(R$23,Q74)</f>
        <v>0</v>
      </c>
      <c r="S74" s="69" t="n">
        <f aca="false">IF(AND(R$24=1,OR(Q$25="",$C74&gt;=Q$25)),MAX(0,MIN(Q74-R74,$D74-(G74+K74+O74))),0)</f>
        <v>0</v>
      </c>
      <c r="T74" s="69" t="n">
        <f aca="false">Q74-R74-S74</f>
        <v>0</v>
      </c>
      <c r="U74" s="69" t="n">
        <f aca="false">IF(X73&gt;0.5,X73*(1+U$23)+U$24,0)</f>
        <v>0</v>
      </c>
      <c r="V74" s="69" t="n">
        <f aca="false">MIN(V$23,U74)</f>
        <v>0</v>
      </c>
      <c r="W74" s="69" t="n">
        <f aca="false">IF(AND(V$24=1,OR(U$25="",$C74&gt;=U$25)),MAX(0,MIN(U74-V74,$D74-(G74+K74+O74+S74))),0)</f>
        <v>0</v>
      </c>
      <c r="X74" s="69" t="n">
        <f aca="false">U74-V74-W74</f>
        <v>0</v>
      </c>
      <c r="Y74" s="69" t="n">
        <f aca="false">IF(AB73&gt;0.5,AB73*(1+Y$23)+Y$24,0)</f>
        <v>0</v>
      </c>
      <c r="Z74" s="69" t="n">
        <f aca="false">MIN(Z$23,Y74)</f>
        <v>0</v>
      </c>
      <c r="AA74" s="69" t="n">
        <f aca="false">IF(AND(Z$24=1,OR(Y$25="",$C74&gt;=Y$25)),MAX(0,MIN(Y74-Z74,$D74-(G74+K74+O74+S74+W74))),0)</f>
        <v>0</v>
      </c>
      <c r="AB74" s="69" t="n">
        <f aca="false">Y74-Z74-AA74</f>
        <v>0</v>
      </c>
      <c r="AC74" s="69" t="n">
        <f aca="false">IF(AF73&gt;0.5,AF73*(1+AC$23)+AC$24,0)</f>
        <v>0</v>
      </c>
      <c r="AD74" s="69" t="n">
        <f aca="false">MIN(AD$23,AC74)</f>
        <v>0</v>
      </c>
      <c r="AE74" s="69" t="n">
        <f aca="false">IF(AND(AD$24=1,OR(AC$25="",$C74&gt;=AC$25)),MAX(0,MIN(AC74-AD74,$D74-(G74+K74+O74+S74+W74+AA74))),0)</f>
        <v>0</v>
      </c>
      <c r="AF74" s="69" t="n">
        <f aca="false">AC74-AD74-AE74</f>
        <v>0</v>
      </c>
      <c r="AG74" s="69" t="n">
        <f aca="false">IF(AJ73&gt;0.5,AJ73*(1+AG$23)+AG$24,0)</f>
        <v>0</v>
      </c>
      <c r="AH74" s="69" t="n">
        <f aca="false">MIN(AH$23,AG74)</f>
        <v>0</v>
      </c>
      <c r="AI74" s="69" t="n">
        <f aca="false">IF(AND(AH$24=1,OR(AG$25="",$C74&gt;=AG$25)),MAX(0,MIN(AG74-AH74,$D74-(G74+K74+O74+S74+W74+AA74+AE74))),0)</f>
        <v>0</v>
      </c>
      <c r="AJ74" s="69" t="n">
        <f aca="false">AG74-AH74-AI74</f>
        <v>0</v>
      </c>
      <c r="AK74" s="69" t="n">
        <f aca="false">IF(AK73&gt;0.5,AK73*(1+$E$12)+$G$12-MIN($F$12,AK73*(1+$E$12)+$G$12),0)</f>
        <v>0</v>
      </c>
      <c r="AL74" s="69" t="n">
        <f aca="false">IF(AL73&gt;0.5,AL73*(1+$E$13)+$G$13-MIN($F$13,AL73*(1+$E$13)+$G$13),0)</f>
        <v>0</v>
      </c>
      <c r="AM74" s="69" t="n">
        <f aca="false">IF(AM73&gt;0.5,AM73*(1+$E$14)+$G$14-MIN($F$14,AM73*(1+$E$14)+$G$14),0)</f>
        <v>0</v>
      </c>
      <c r="AN74" s="69" t="n">
        <f aca="false">IF(AN73&gt;0.5,AN73*(1+$E$15)+$G$15-MIN($F$15,AN73*(1+$E$15)+$G$15),0)</f>
        <v>0</v>
      </c>
      <c r="AO74" s="69" t="n">
        <f aca="false">IF(AO73&gt;0.5,AO73*(1+$E$16)+$G$16-MIN($F$16,AO73*(1+$E$16)+$G$16),0)</f>
        <v>0</v>
      </c>
      <c r="AP74" s="69" t="n">
        <f aca="false">IF(AP73&gt;0.5,AP73*(1+$E$17)+$G$17-MIN($F$17,AP73*(1+$E$17)+$G$17),0)</f>
        <v>0</v>
      </c>
      <c r="AQ74" s="69" t="n">
        <f aca="false">IF(AQ73&gt;0.5,AQ73*(1+$E$18)+$G$18-MIN($F$18,AQ73*(1+$E$18)+$G$18),0)</f>
        <v>0</v>
      </c>
      <c r="AR74" s="69" t="n">
        <f aca="false">IF(AR73&gt;0.5,AR73*(1+$E$19)+$G$19-MIN($F$19,AR73*(1+$E$19)+$G$19),0)</f>
        <v>0</v>
      </c>
      <c r="AS74" s="69" t="n">
        <f aca="false">H74+L74+P74+T74+X74+AB74+AF74+AJ74</f>
        <v>0</v>
      </c>
      <c r="AT74" s="69" t="n">
        <f aca="false">SUM(AK74:AR74)</f>
        <v>0</v>
      </c>
      <c r="AU74" s="69" t="n">
        <f aca="false">F74+G74+J74+K74+N74+O74+R74+S74+V74+W74+Z74+AA74+AD74+AE74+AH74+AI74</f>
        <v>0</v>
      </c>
    </row>
    <row r="75" customFormat="false" ht="15" hidden="false" customHeight="false" outlineLevel="0" collapsed="false">
      <c r="B75" s="0" t="n">
        <v>48</v>
      </c>
      <c r="C75" s="68" t="n">
        <f aca="false">EDATE($C$7,47)</f>
        <v>47727</v>
      </c>
      <c r="D75" s="69" t="n">
        <f aca="false">$C$8-(F75+J75+N75+R75+V75+Z75+AD75+AH75)</f>
        <v>0</v>
      </c>
      <c r="E75" s="69" t="n">
        <f aca="false">IF(H74&gt;0.5,H74*(1+E$23)+E$24,0)</f>
        <v>0</v>
      </c>
      <c r="F75" s="69" t="n">
        <f aca="false">MIN(F$23,E75)</f>
        <v>0</v>
      </c>
      <c r="G75" s="69" t="n">
        <f aca="false">IF(AND(F$24=1,OR(E$25="",$C75&gt;=E$25)),MAX(0,MIN(E75-F75,$D75-(0))),0)</f>
        <v>0</v>
      </c>
      <c r="H75" s="69" t="n">
        <f aca="false">E75-F75-G75</f>
        <v>0</v>
      </c>
      <c r="I75" s="69" t="n">
        <f aca="false">IF(L74&gt;0.5,L74*(1+I$23)+I$24,0)</f>
        <v>0</v>
      </c>
      <c r="J75" s="69" t="n">
        <f aca="false">MIN(J$23,I75)</f>
        <v>0</v>
      </c>
      <c r="K75" s="69" t="n">
        <f aca="false">IF(AND(J$24=1,OR(I$25="",$C75&gt;=I$25)),MAX(0,MIN(I75-J75,$D75-(G75))),0)</f>
        <v>0</v>
      </c>
      <c r="L75" s="69" t="n">
        <f aca="false">I75-J75-K75</f>
        <v>0</v>
      </c>
      <c r="M75" s="69" t="n">
        <f aca="false">IF(P74&gt;0.5,P74*(1+M$23)+M$24,0)</f>
        <v>0</v>
      </c>
      <c r="N75" s="69" t="n">
        <f aca="false">MIN(N$23,M75)</f>
        <v>0</v>
      </c>
      <c r="O75" s="69" t="n">
        <f aca="false">IF(AND(N$24=1,OR(M$25="",$C75&gt;=M$25)),MAX(0,MIN(M75-N75,$D75-(G75+K75))),0)</f>
        <v>0</v>
      </c>
      <c r="P75" s="69" t="n">
        <f aca="false">M75-N75-O75</f>
        <v>0</v>
      </c>
      <c r="Q75" s="69" t="n">
        <f aca="false">IF(T74&gt;0.5,T74*(1+Q$23)+Q$24,0)</f>
        <v>0</v>
      </c>
      <c r="R75" s="69" t="n">
        <f aca="false">MIN(R$23,Q75)</f>
        <v>0</v>
      </c>
      <c r="S75" s="69" t="n">
        <f aca="false">IF(AND(R$24=1,OR(Q$25="",$C75&gt;=Q$25)),MAX(0,MIN(Q75-R75,$D75-(G75+K75+O75))),0)</f>
        <v>0</v>
      </c>
      <c r="T75" s="69" t="n">
        <f aca="false">Q75-R75-S75</f>
        <v>0</v>
      </c>
      <c r="U75" s="69" t="n">
        <f aca="false">IF(X74&gt;0.5,X74*(1+U$23)+U$24,0)</f>
        <v>0</v>
      </c>
      <c r="V75" s="69" t="n">
        <f aca="false">MIN(V$23,U75)</f>
        <v>0</v>
      </c>
      <c r="W75" s="69" t="n">
        <f aca="false">IF(AND(V$24=1,OR(U$25="",$C75&gt;=U$25)),MAX(0,MIN(U75-V75,$D75-(G75+K75+O75+S75))),0)</f>
        <v>0</v>
      </c>
      <c r="X75" s="69" t="n">
        <f aca="false">U75-V75-W75</f>
        <v>0</v>
      </c>
      <c r="Y75" s="69" t="n">
        <f aca="false">IF(AB74&gt;0.5,AB74*(1+Y$23)+Y$24,0)</f>
        <v>0</v>
      </c>
      <c r="Z75" s="69" t="n">
        <f aca="false">MIN(Z$23,Y75)</f>
        <v>0</v>
      </c>
      <c r="AA75" s="69" t="n">
        <f aca="false">IF(AND(Z$24=1,OR(Y$25="",$C75&gt;=Y$25)),MAX(0,MIN(Y75-Z75,$D75-(G75+K75+O75+S75+W75))),0)</f>
        <v>0</v>
      </c>
      <c r="AB75" s="69" t="n">
        <f aca="false">Y75-Z75-AA75</f>
        <v>0</v>
      </c>
      <c r="AC75" s="69" t="n">
        <f aca="false">IF(AF74&gt;0.5,AF74*(1+AC$23)+AC$24,0)</f>
        <v>0</v>
      </c>
      <c r="AD75" s="69" t="n">
        <f aca="false">MIN(AD$23,AC75)</f>
        <v>0</v>
      </c>
      <c r="AE75" s="69" t="n">
        <f aca="false">IF(AND(AD$24=1,OR(AC$25="",$C75&gt;=AC$25)),MAX(0,MIN(AC75-AD75,$D75-(G75+K75+O75+S75+W75+AA75))),0)</f>
        <v>0</v>
      </c>
      <c r="AF75" s="69" t="n">
        <f aca="false">AC75-AD75-AE75</f>
        <v>0</v>
      </c>
      <c r="AG75" s="69" t="n">
        <f aca="false">IF(AJ74&gt;0.5,AJ74*(1+AG$23)+AG$24,0)</f>
        <v>0</v>
      </c>
      <c r="AH75" s="69" t="n">
        <f aca="false">MIN(AH$23,AG75)</f>
        <v>0</v>
      </c>
      <c r="AI75" s="69" t="n">
        <f aca="false">IF(AND(AH$24=1,OR(AG$25="",$C75&gt;=AG$25)),MAX(0,MIN(AG75-AH75,$D75-(G75+K75+O75+S75+W75+AA75+AE75))),0)</f>
        <v>0</v>
      </c>
      <c r="AJ75" s="69" t="n">
        <f aca="false">AG75-AH75-AI75</f>
        <v>0</v>
      </c>
      <c r="AK75" s="69" t="n">
        <f aca="false">IF(AK74&gt;0.5,AK74*(1+$E$12)+$G$12-MIN($F$12,AK74*(1+$E$12)+$G$12),0)</f>
        <v>0</v>
      </c>
      <c r="AL75" s="69" t="n">
        <f aca="false">IF(AL74&gt;0.5,AL74*(1+$E$13)+$G$13-MIN($F$13,AL74*(1+$E$13)+$G$13),0)</f>
        <v>0</v>
      </c>
      <c r="AM75" s="69" t="n">
        <f aca="false">IF(AM74&gt;0.5,AM74*(1+$E$14)+$G$14-MIN($F$14,AM74*(1+$E$14)+$G$14),0)</f>
        <v>0</v>
      </c>
      <c r="AN75" s="69" t="n">
        <f aca="false">IF(AN74&gt;0.5,AN74*(1+$E$15)+$G$15-MIN($F$15,AN74*(1+$E$15)+$G$15),0)</f>
        <v>0</v>
      </c>
      <c r="AO75" s="69" t="n">
        <f aca="false">IF(AO74&gt;0.5,AO74*(1+$E$16)+$G$16-MIN($F$16,AO74*(1+$E$16)+$G$16),0)</f>
        <v>0</v>
      </c>
      <c r="AP75" s="69" t="n">
        <f aca="false">IF(AP74&gt;0.5,AP74*(1+$E$17)+$G$17-MIN($F$17,AP74*(1+$E$17)+$G$17),0)</f>
        <v>0</v>
      </c>
      <c r="AQ75" s="69" t="n">
        <f aca="false">IF(AQ74&gt;0.5,AQ74*(1+$E$18)+$G$18-MIN($F$18,AQ74*(1+$E$18)+$G$18),0)</f>
        <v>0</v>
      </c>
      <c r="AR75" s="69" t="n">
        <f aca="false">IF(AR74&gt;0.5,AR74*(1+$E$19)+$G$19-MIN($F$19,AR74*(1+$E$19)+$G$19),0)</f>
        <v>0</v>
      </c>
      <c r="AS75" s="69" t="n">
        <f aca="false">H75+L75+P75+T75+X75+AB75+AF75+AJ75</f>
        <v>0</v>
      </c>
      <c r="AT75" s="69" t="n">
        <f aca="false">SUM(AK75:AR75)</f>
        <v>0</v>
      </c>
      <c r="AU75" s="69" t="n">
        <f aca="false">F75+G75+J75+K75+N75+O75+R75+S75+V75+W75+Z75+AA75+AD75+AE75+AH75+AI75</f>
        <v>0</v>
      </c>
    </row>
    <row r="76" customFormat="false" ht="15" hidden="false" customHeight="false" outlineLevel="0" collapsed="false">
      <c r="B76" s="0" t="n">
        <v>49</v>
      </c>
      <c r="C76" s="68" t="n">
        <f aca="false">EDATE($C$7,48)</f>
        <v>47757</v>
      </c>
      <c r="D76" s="69" t="n">
        <f aca="false">$C$8-(F76+J76+N76+R76+V76+Z76+AD76+AH76)</f>
        <v>0</v>
      </c>
      <c r="E76" s="69" t="n">
        <f aca="false">IF(H75&gt;0.5,H75*(1+E$23)+E$24,0)</f>
        <v>0</v>
      </c>
      <c r="F76" s="69" t="n">
        <f aca="false">MIN(F$23,E76)</f>
        <v>0</v>
      </c>
      <c r="G76" s="69" t="n">
        <f aca="false">IF(AND(F$24=1,OR(E$25="",$C76&gt;=E$25)),MAX(0,MIN(E76-F76,$D76-(0))),0)</f>
        <v>0</v>
      </c>
      <c r="H76" s="69" t="n">
        <f aca="false">E76-F76-G76</f>
        <v>0</v>
      </c>
      <c r="I76" s="69" t="n">
        <f aca="false">IF(L75&gt;0.5,L75*(1+I$23)+I$24,0)</f>
        <v>0</v>
      </c>
      <c r="J76" s="69" t="n">
        <f aca="false">MIN(J$23,I76)</f>
        <v>0</v>
      </c>
      <c r="K76" s="69" t="n">
        <f aca="false">IF(AND(J$24=1,OR(I$25="",$C76&gt;=I$25)),MAX(0,MIN(I76-J76,$D76-(G76))),0)</f>
        <v>0</v>
      </c>
      <c r="L76" s="69" t="n">
        <f aca="false">I76-J76-K76</f>
        <v>0</v>
      </c>
      <c r="M76" s="69" t="n">
        <f aca="false">IF(P75&gt;0.5,P75*(1+M$23)+M$24,0)</f>
        <v>0</v>
      </c>
      <c r="N76" s="69" t="n">
        <f aca="false">MIN(N$23,M76)</f>
        <v>0</v>
      </c>
      <c r="O76" s="69" t="n">
        <f aca="false">IF(AND(N$24=1,OR(M$25="",$C76&gt;=M$25)),MAX(0,MIN(M76-N76,$D76-(G76+K76))),0)</f>
        <v>0</v>
      </c>
      <c r="P76" s="69" t="n">
        <f aca="false">M76-N76-O76</f>
        <v>0</v>
      </c>
      <c r="Q76" s="69" t="n">
        <f aca="false">IF(T75&gt;0.5,T75*(1+Q$23)+Q$24,0)</f>
        <v>0</v>
      </c>
      <c r="R76" s="69" t="n">
        <f aca="false">MIN(R$23,Q76)</f>
        <v>0</v>
      </c>
      <c r="S76" s="69" t="n">
        <f aca="false">IF(AND(R$24=1,OR(Q$25="",$C76&gt;=Q$25)),MAX(0,MIN(Q76-R76,$D76-(G76+K76+O76))),0)</f>
        <v>0</v>
      </c>
      <c r="T76" s="69" t="n">
        <f aca="false">Q76-R76-S76</f>
        <v>0</v>
      </c>
      <c r="U76" s="69" t="n">
        <f aca="false">IF(X75&gt;0.5,X75*(1+U$23)+U$24,0)</f>
        <v>0</v>
      </c>
      <c r="V76" s="69" t="n">
        <f aca="false">MIN(V$23,U76)</f>
        <v>0</v>
      </c>
      <c r="W76" s="69" t="n">
        <f aca="false">IF(AND(V$24=1,OR(U$25="",$C76&gt;=U$25)),MAX(0,MIN(U76-V76,$D76-(G76+K76+O76+S76))),0)</f>
        <v>0</v>
      </c>
      <c r="X76" s="69" t="n">
        <f aca="false">U76-V76-W76</f>
        <v>0</v>
      </c>
      <c r="Y76" s="69" t="n">
        <f aca="false">IF(AB75&gt;0.5,AB75*(1+Y$23)+Y$24,0)</f>
        <v>0</v>
      </c>
      <c r="Z76" s="69" t="n">
        <f aca="false">MIN(Z$23,Y76)</f>
        <v>0</v>
      </c>
      <c r="AA76" s="69" t="n">
        <f aca="false">IF(AND(Z$24=1,OR(Y$25="",$C76&gt;=Y$25)),MAX(0,MIN(Y76-Z76,$D76-(G76+K76+O76+S76+W76))),0)</f>
        <v>0</v>
      </c>
      <c r="AB76" s="69" t="n">
        <f aca="false">Y76-Z76-AA76</f>
        <v>0</v>
      </c>
      <c r="AC76" s="69" t="n">
        <f aca="false">IF(AF75&gt;0.5,AF75*(1+AC$23)+AC$24,0)</f>
        <v>0</v>
      </c>
      <c r="AD76" s="69" t="n">
        <f aca="false">MIN(AD$23,AC76)</f>
        <v>0</v>
      </c>
      <c r="AE76" s="69" t="n">
        <f aca="false">IF(AND(AD$24=1,OR(AC$25="",$C76&gt;=AC$25)),MAX(0,MIN(AC76-AD76,$D76-(G76+K76+O76+S76+W76+AA76))),0)</f>
        <v>0</v>
      </c>
      <c r="AF76" s="69" t="n">
        <f aca="false">AC76-AD76-AE76</f>
        <v>0</v>
      </c>
      <c r="AG76" s="69" t="n">
        <f aca="false">IF(AJ75&gt;0.5,AJ75*(1+AG$23)+AG$24,0)</f>
        <v>0</v>
      </c>
      <c r="AH76" s="69" t="n">
        <f aca="false">MIN(AH$23,AG76)</f>
        <v>0</v>
      </c>
      <c r="AI76" s="69" t="n">
        <f aca="false">IF(AND(AH$24=1,OR(AG$25="",$C76&gt;=AG$25)),MAX(0,MIN(AG76-AH76,$D76-(G76+K76+O76+S76+W76+AA76+AE76))),0)</f>
        <v>0</v>
      </c>
      <c r="AJ76" s="69" t="n">
        <f aca="false">AG76-AH76-AI76</f>
        <v>0</v>
      </c>
      <c r="AK76" s="69" t="n">
        <f aca="false">IF(AK75&gt;0.5,AK75*(1+$E$12)+$G$12-MIN($F$12,AK75*(1+$E$12)+$G$12),0)</f>
        <v>0</v>
      </c>
      <c r="AL76" s="69" t="n">
        <f aca="false">IF(AL75&gt;0.5,AL75*(1+$E$13)+$G$13-MIN($F$13,AL75*(1+$E$13)+$G$13),0)</f>
        <v>0</v>
      </c>
      <c r="AM76" s="69" t="n">
        <f aca="false">IF(AM75&gt;0.5,AM75*(1+$E$14)+$G$14-MIN($F$14,AM75*(1+$E$14)+$G$14),0)</f>
        <v>0</v>
      </c>
      <c r="AN76" s="69" t="n">
        <f aca="false">IF(AN75&gt;0.5,AN75*(1+$E$15)+$G$15-MIN($F$15,AN75*(1+$E$15)+$G$15),0)</f>
        <v>0</v>
      </c>
      <c r="AO76" s="69" t="n">
        <f aca="false">IF(AO75&gt;0.5,AO75*(1+$E$16)+$G$16-MIN($F$16,AO75*(1+$E$16)+$G$16),0)</f>
        <v>0</v>
      </c>
      <c r="AP76" s="69" t="n">
        <f aca="false">IF(AP75&gt;0.5,AP75*(1+$E$17)+$G$17-MIN($F$17,AP75*(1+$E$17)+$G$17),0)</f>
        <v>0</v>
      </c>
      <c r="AQ76" s="69" t="n">
        <f aca="false">IF(AQ75&gt;0.5,AQ75*(1+$E$18)+$G$18-MIN($F$18,AQ75*(1+$E$18)+$G$18),0)</f>
        <v>0</v>
      </c>
      <c r="AR76" s="69" t="n">
        <f aca="false">IF(AR75&gt;0.5,AR75*(1+$E$19)+$G$19-MIN($F$19,AR75*(1+$E$19)+$G$19),0)</f>
        <v>0</v>
      </c>
      <c r="AS76" s="69" t="n">
        <f aca="false">H76+L76+P76+T76+X76+AB76+AF76+AJ76</f>
        <v>0</v>
      </c>
      <c r="AT76" s="69" t="n">
        <f aca="false">SUM(AK76:AR76)</f>
        <v>0</v>
      </c>
      <c r="AU76" s="69" t="n">
        <f aca="false">F76+G76+J76+K76+N76+O76+R76+S76+V76+W76+Z76+AA76+AD76+AE76+AH76+AI76</f>
        <v>0</v>
      </c>
    </row>
    <row r="77" customFormat="false" ht="15" hidden="false" customHeight="false" outlineLevel="0" collapsed="false">
      <c r="B77" s="0" t="n">
        <v>50</v>
      </c>
      <c r="C77" s="68" t="n">
        <f aca="false">EDATE($C$7,49)</f>
        <v>47788</v>
      </c>
      <c r="D77" s="69" t="n">
        <f aca="false">$C$8-(F77+J77+N77+R77+V77+Z77+AD77+AH77)</f>
        <v>0</v>
      </c>
      <c r="E77" s="69" t="n">
        <f aca="false">IF(H76&gt;0.5,H76*(1+E$23)+E$24,0)</f>
        <v>0</v>
      </c>
      <c r="F77" s="69" t="n">
        <f aca="false">MIN(F$23,E77)</f>
        <v>0</v>
      </c>
      <c r="G77" s="69" t="n">
        <f aca="false">IF(AND(F$24=1,OR(E$25="",$C77&gt;=E$25)),MAX(0,MIN(E77-F77,$D77-(0))),0)</f>
        <v>0</v>
      </c>
      <c r="H77" s="69" t="n">
        <f aca="false">E77-F77-G77</f>
        <v>0</v>
      </c>
      <c r="I77" s="69" t="n">
        <f aca="false">IF(L76&gt;0.5,L76*(1+I$23)+I$24,0)</f>
        <v>0</v>
      </c>
      <c r="J77" s="69" t="n">
        <f aca="false">MIN(J$23,I77)</f>
        <v>0</v>
      </c>
      <c r="K77" s="69" t="n">
        <f aca="false">IF(AND(J$24=1,OR(I$25="",$C77&gt;=I$25)),MAX(0,MIN(I77-J77,$D77-(G77))),0)</f>
        <v>0</v>
      </c>
      <c r="L77" s="69" t="n">
        <f aca="false">I77-J77-K77</f>
        <v>0</v>
      </c>
      <c r="M77" s="69" t="n">
        <f aca="false">IF(P76&gt;0.5,P76*(1+M$23)+M$24,0)</f>
        <v>0</v>
      </c>
      <c r="N77" s="69" t="n">
        <f aca="false">MIN(N$23,M77)</f>
        <v>0</v>
      </c>
      <c r="O77" s="69" t="n">
        <f aca="false">IF(AND(N$24=1,OR(M$25="",$C77&gt;=M$25)),MAX(0,MIN(M77-N77,$D77-(G77+K77))),0)</f>
        <v>0</v>
      </c>
      <c r="P77" s="69" t="n">
        <f aca="false">M77-N77-O77</f>
        <v>0</v>
      </c>
      <c r="Q77" s="69" t="n">
        <f aca="false">IF(T76&gt;0.5,T76*(1+Q$23)+Q$24,0)</f>
        <v>0</v>
      </c>
      <c r="R77" s="69" t="n">
        <f aca="false">MIN(R$23,Q77)</f>
        <v>0</v>
      </c>
      <c r="S77" s="69" t="n">
        <f aca="false">IF(AND(R$24=1,OR(Q$25="",$C77&gt;=Q$25)),MAX(0,MIN(Q77-R77,$D77-(G77+K77+O77))),0)</f>
        <v>0</v>
      </c>
      <c r="T77" s="69" t="n">
        <f aca="false">Q77-R77-S77</f>
        <v>0</v>
      </c>
      <c r="U77" s="69" t="n">
        <f aca="false">IF(X76&gt;0.5,X76*(1+U$23)+U$24,0)</f>
        <v>0</v>
      </c>
      <c r="V77" s="69" t="n">
        <f aca="false">MIN(V$23,U77)</f>
        <v>0</v>
      </c>
      <c r="W77" s="69" t="n">
        <f aca="false">IF(AND(V$24=1,OR(U$25="",$C77&gt;=U$25)),MAX(0,MIN(U77-V77,$D77-(G77+K77+O77+S77))),0)</f>
        <v>0</v>
      </c>
      <c r="X77" s="69" t="n">
        <f aca="false">U77-V77-W77</f>
        <v>0</v>
      </c>
      <c r="Y77" s="69" t="n">
        <f aca="false">IF(AB76&gt;0.5,AB76*(1+Y$23)+Y$24,0)</f>
        <v>0</v>
      </c>
      <c r="Z77" s="69" t="n">
        <f aca="false">MIN(Z$23,Y77)</f>
        <v>0</v>
      </c>
      <c r="AA77" s="69" t="n">
        <f aca="false">IF(AND(Z$24=1,OR(Y$25="",$C77&gt;=Y$25)),MAX(0,MIN(Y77-Z77,$D77-(G77+K77+O77+S77+W77))),0)</f>
        <v>0</v>
      </c>
      <c r="AB77" s="69" t="n">
        <f aca="false">Y77-Z77-AA77</f>
        <v>0</v>
      </c>
      <c r="AC77" s="69" t="n">
        <f aca="false">IF(AF76&gt;0.5,AF76*(1+AC$23)+AC$24,0)</f>
        <v>0</v>
      </c>
      <c r="AD77" s="69" t="n">
        <f aca="false">MIN(AD$23,AC77)</f>
        <v>0</v>
      </c>
      <c r="AE77" s="69" t="n">
        <f aca="false">IF(AND(AD$24=1,OR(AC$25="",$C77&gt;=AC$25)),MAX(0,MIN(AC77-AD77,$D77-(G77+K77+O77+S77+W77+AA77))),0)</f>
        <v>0</v>
      </c>
      <c r="AF77" s="69" t="n">
        <f aca="false">AC77-AD77-AE77</f>
        <v>0</v>
      </c>
      <c r="AG77" s="69" t="n">
        <f aca="false">IF(AJ76&gt;0.5,AJ76*(1+AG$23)+AG$24,0)</f>
        <v>0</v>
      </c>
      <c r="AH77" s="69" t="n">
        <f aca="false">MIN(AH$23,AG77)</f>
        <v>0</v>
      </c>
      <c r="AI77" s="69" t="n">
        <f aca="false">IF(AND(AH$24=1,OR(AG$25="",$C77&gt;=AG$25)),MAX(0,MIN(AG77-AH77,$D77-(G77+K77+O77+S77+W77+AA77+AE77))),0)</f>
        <v>0</v>
      </c>
      <c r="AJ77" s="69" t="n">
        <f aca="false">AG77-AH77-AI77</f>
        <v>0</v>
      </c>
      <c r="AK77" s="69" t="n">
        <f aca="false">IF(AK76&gt;0.5,AK76*(1+$E$12)+$G$12-MIN($F$12,AK76*(1+$E$12)+$G$12),0)</f>
        <v>0</v>
      </c>
      <c r="AL77" s="69" t="n">
        <f aca="false">IF(AL76&gt;0.5,AL76*(1+$E$13)+$G$13-MIN($F$13,AL76*(1+$E$13)+$G$13),0)</f>
        <v>0</v>
      </c>
      <c r="AM77" s="69" t="n">
        <f aca="false">IF(AM76&gt;0.5,AM76*(1+$E$14)+$G$14-MIN($F$14,AM76*(1+$E$14)+$G$14),0)</f>
        <v>0</v>
      </c>
      <c r="AN77" s="69" t="n">
        <f aca="false">IF(AN76&gt;0.5,AN76*(1+$E$15)+$G$15-MIN($F$15,AN76*(1+$E$15)+$G$15),0)</f>
        <v>0</v>
      </c>
      <c r="AO77" s="69" t="n">
        <f aca="false">IF(AO76&gt;0.5,AO76*(1+$E$16)+$G$16-MIN($F$16,AO76*(1+$E$16)+$G$16),0)</f>
        <v>0</v>
      </c>
      <c r="AP77" s="69" t="n">
        <f aca="false">IF(AP76&gt;0.5,AP76*(1+$E$17)+$G$17-MIN($F$17,AP76*(1+$E$17)+$G$17),0)</f>
        <v>0</v>
      </c>
      <c r="AQ77" s="69" t="n">
        <f aca="false">IF(AQ76&gt;0.5,AQ76*(1+$E$18)+$G$18-MIN($F$18,AQ76*(1+$E$18)+$G$18),0)</f>
        <v>0</v>
      </c>
      <c r="AR77" s="69" t="n">
        <f aca="false">IF(AR76&gt;0.5,AR76*(1+$E$19)+$G$19-MIN($F$19,AR76*(1+$E$19)+$G$19),0)</f>
        <v>0</v>
      </c>
      <c r="AS77" s="69" t="n">
        <f aca="false">H77+L77+P77+T77+X77+AB77+AF77+AJ77</f>
        <v>0</v>
      </c>
      <c r="AT77" s="69" t="n">
        <f aca="false">SUM(AK77:AR77)</f>
        <v>0</v>
      </c>
      <c r="AU77" s="69" t="n">
        <f aca="false">F77+G77+J77+K77+N77+O77+R77+S77+V77+W77+Z77+AA77+AD77+AE77+AH77+AI77</f>
        <v>0</v>
      </c>
    </row>
    <row r="78" customFormat="false" ht="15" hidden="false" customHeight="false" outlineLevel="0" collapsed="false">
      <c r="B78" s="0" t="n">
        <v>51</v>
      </c>
      <c r="C78" s="68" t="n">
        <f aca="false">EDATE($C$7,50)</f>
        <v>47818</v>
      </c>
      <c r="D78" s="69" t="n">
        <f aca="false">$C$8-(F78+J78+N78+R78+V78+Z78+AD78+AH78)</f>
        <v>0</v>
      </c>
      <c r="E78" s="69" t="n">
        <f aca="false">IF(H77&gt;0.5,H77*(1+E$23)+E$24,0)</f>
        <v>0</v>
      </c>
      <c r="F78" s="69" t="n">
        <f aca="false">MIN(F$23,E78)</f>
        <v>0</v>
      </c>
      <c r="G78" s="69" t="n">
        <f aca="false">IF(AND(F$24=1,OR(E$25="",$C78&gt;=E$25)),MAX(0,MIN(E78-F78,$D78-(0))),0)</f>
        <v>0</v>
      </c>
      <c r="H78" s="69" t="n">
        <f aca="false">E78-F78-G78</f>
        <v>0</v>
      </c>
      <c r="I78" s="69" t="n">
        <f aca="false">IF(L77&gt;0.5,L77*(1+I$23)+I$24,0)</f>
        <v>0</v>
      </c>
      <c r="J78" s="69" t="n">
        <f aca="false">MIN(J$23,I78)</f>
        <v>0</v>
      </c>
      <c r="K78" s="69" t="n">
        <f aca="false">IF(AND(J$24=1,OR(I$25="",$C78&gt;=I$25)),MAX(0,MIN(I78-J78,$D78-(G78))),0)</f>
        <v>0</v>
      </c>
      <c r="L78" s="69" t="n">
        <f aca="false">I78-J78-K78</f>
        <v>0</v>
      </c>
      <c r="M78" s="69" t="n">
        <f aca="false">IF(P77&gt;0.5,P77*(1+M$23)+M$24,0)</f>
        <v>0</v>
      </c>
      <c r="N78" s="69" t="n">
        <f aca="false">MIN(N$23,M78)</f>
        <v>0</v>
      </c>
      <c r="O78" s="69" t="n">
        <f aca="false">IF(AND(N$24=1,OR(M$25="",$C78&gt;=M$25)),MAX(0,MIN(M78-N78,$D78-(G78+K78))),0)</f>
        <v>0</v>
      </c>
      <c r="P78" s="69" t="n">
        <f aca="false">M78-N78-O78</f>
        <v>0</v>
      </c>
      <c r="Q78" s="69" t="n">
        <f aca="false">IF(T77&gt;0.5,T77*(1+Q$23)+Q$24,0)</f>
        <v>0</v>
      </c>
      <c r="R78" s="69" t="n">
        <f aca="false">MIN(R$23,Q78)</f>
        <v>0</v>
      </c>
      <c r="S78" s="69" t="n">
        <f aca="false">IF(AND(R$24=1,OR(Q$25="",$C78&gt;=Q$25)),MAX(0,MIN(Q78-R78,$D78-(G78+K78+O78))),0)</f>
        <v>0</v>
      </c>
      <c r="T78" s="69" t="n">
        <f aca="false">Q78-R78-S78</f>
        <v>0</v>
      </c>
      <c r="U78" s="69" t="n">
        <f aca="false">IF(X77&gt;0.5,X77*(1+U$23)+U$24,0)</f>
        <v>0</v>
      </c>
      <c r="V78" s="69" t="n">
        <f aca="false">MIN(V$23,U78)</f>
        <v>0</v>
      </c>
      <c r="W78" s="69" t="n">
        <f aca="false">IF(AND(V$24=1,OR(U$25="",$C78&gt;=U$25)),MAX(0,MIN(U78-V78,$D78-(G78+K78+O78+S78))),0)</f>
        <v>0</v>
      </c>
      <c r="X78" s="69" t="n">
        <f aca="false">U78-V78-W78</f>
        <v>0</v>
      </c>
      <c r="Y78" s="69" t="n">
        <f aca="false">IF(AB77&gt;0.5,AB77*(1+Y$23)+Y$24,0)</f>
        <v>0</v>
      </c>
      <c r="Z78" s="69" t="n">
        <f aca="false">MIN(Z$23,Y78)</f>
        <v>0</v>
      </c>
      <c r="AA78" s="69" t="n">
        <f aca="false">IF(AND(Z$24=1,OR(Y$25="",$C78&gt;=Y$25)),MAX(0,MIN(Y78-Z78,$D78-(G78+K78+O78+S78+W78))),0)</f>
        <v>0</v>
      </c>
      <c r="AB78" s="69" t="n">
        <f aca="false">Y78-Z78-AA78</f>
        <v>0</v>
      </c>
      <c r="AC78" s="69" t="n">
        <f aca="false">IF(AF77&gt;0.5,AF77*(1+AC$23)+AC$24,0)</f>
        <v>0</v>
      </c>
      <c r="AD78" s="69" t="n">
        <f aca="false">MIN(AD$23,AC78)</f>
        <v>0</v>
      </c>
      <c r="AE78" s="69" t="n">
        <f aca="false">IF(AND(AD$24=1,OR(AC$25="",$C78&gt;=AC$25)),MAX(0,MIN(AC78-AD78,$D78-(G78+K78+O78+S78+W78+AA78))),0)</f>
        <v>0</v>
      </c>
      <c r="AF78" s="69" t="n">
        <f aca="false">AC78-AD78-AE78</f>
        <v>0</v>
      </c>
      <c r="AG78" s="69" t="n">
        <f aca="false">IF(AJ77&gt;0.5,AJ77*(1+AG$23)+AG$24,0)</f>
        <v>0</v>
      </c>
      <c r="AH78" s="69" t="n">
        <f aca="false">MIN(AH$23,AG78)</f>
        <v>0</v>
      </c>
      <c r="AI78" s="69" t="n">
        <f aca="false">IF(AND(AH$24=1,OR(AG$25="",$C78&gt;=AG$25)),MAX(0,MIN(AG78-AH78,$D78-(G78+K78+O78+S78+W78+AA78+AE78))),0)</f>
        <v>0</v>
      </c>
      <c r="AJ78" s="69" t="n">
        <f aca="false">AG78-AH78-AI78</f>
        <v>0</v>
      </c>
      <c r="AK78" s="69" t="n">
        <f aca="false">IF(AK77&gt;0.5,AK77*(1+$E$12)+$G$12-MIN($F$12,AK77*(1+$E$12)+$G$12),0)</f>
        <v>0</v>
      </c>
      <c r="AL78" s="69" t="n">
        <f aca="false">IF(AL77&gt;0.5,AL77*(1+$E$13)+$G$13-MIN($F$13,AL77*(1+$E$13)+$G$13),0)</f>
        <v>0</v>
      </c>
      <c r="AM78" s="69" t="n">
        <f aca="false">IF(AM77&gt;0.5,AM77*(1+$E$14)+$G$14-MIN($F$14,AM77*(1+$E$14)+$G$14),0)</f>
        <v>0</v>
      </c>
      <c r="AN78" s="69" t="n">
        <f aca="false">IF(AN77&gt;0.5,AN77*(1+$E$15)+$G$15-MIN($F$15,AN77*(1+$E$15)+$G$15),0)</f>
        <v>0</v>
      </c>
      <c r="AO78" s="69" t="n">
        <f aca="false">IF(AO77&gt;0.5,AO77*(1+$E$16)+$G$16-MIN($F$16,AO77*(1+$E$16)+$G$16),0)</f>
        <v>0</v>
      </c>
      <c r="AP78" s="69" t="n">
        <f aca="false">IF(AP77&gt;0.5,AP77*(1+$E$17)+$G$17-MIN($F$17,AP77*(1+$E$17)+$G$17),0)</f>
        <v>0</v>
      </c>
      <c r="AQ78" s="69" t="n">
        <f aca="false">IF(AQ77&gt;0.5,AQ77*(1+$E$18)+$G$18-MIN($F$18,AQ77*(1+$E$18)+$G$18),0)</f>
        <v>0</v>
      </c>
      <c r="AR78" s="69" t="n">
        <f aca="false">IF(AR77&gt;0.5,AR77*(1+$E$19)+$G$19-MIN($F$19,AR77*(1+$E$19)+$G$19),0)</f>
        <v>0</v>
      </c>
      <c r="AS78" s="69" t="n">
        <f aca="false">H78+L78+P78+T78+X78+AB78+AF78+AJ78</f>
        <v>0</v>
      </c>
      <c r="AT78" s="69" t="n">
        <f aca="false">SUM(AK78:AR78)</f>
        <v>0</v>
      </c>
      <c r="AU78" s="69" t="n">
        <f aca="false">F78+G78+J78+K78+N78+O78+R78+S78+V78+W78+Z78+AA78+AD78+AE78+AH78+AI78</f>
        <v>0</v>
      </c>
    </row>
    <row r="79" customFormat="false" ht="15" hidden="false" customHeight="false" outlineLevel="0" collapsed="false">
      <c r="B79" s="0" t="n">
        <v>52</v>
      </c>
      <c r="C79" s="68" t="n">
        <f aca="false">EDATE($C$7,51)</f>
        <v>47849</v>
      </c>
      <c r="D79" s="69" t="n">
        <f aca="false">$C$8-(F79+J79+N79+R79+V79+Z79+AD79+AH79)</f>
        <v>0</v>
      </c>
      <c r="E79" s="69" t="n">
        <f aca="false">IF(H78&gt;0.5,H78*(1+E$23)+E$24,0)</f>
        <v>0</v>
      </c>
      <c r="F79" s="69" t="n">
        <f aca="false">MIN(F$23,E79)</f>
        <v>0</v>
      </c>
      <c r="G79" s="69" t="n">
        <f aca="false">IF(AND(F$24=1,OR(E$25="",$C79&gt;=E$25)),MAX(0,MIN(E79-F79,$D79-(0))),0)</f>
        <v>0</v>
      </c>
      <c r="H79" s="69" t="n">
        <f aca="false">E79-F79-G79</f>
        <v>0</v>
      </c>
      <c r="I79" s="69" t="n">
        <f aca="false">IF(L78&gt;0.5,L78*(1+I$23)+I$24,0)</f>
        <v>0</v>
      </c>
      <c r="J79" s="69" t="n">
        <f aca="false">MIN(J$23,I79)</f>
        <v>0</v>
      </c>
      <c r="K79" s="69" t="n">
        <f aca="false">IF(AND(J$24=1,OR(I$25="",$C79&gt;=I$25)),MAX(0,MIN(I79-J79,$D79-(G79))),0)</f>
        <v>0</v>
      </c>
      <c r="L79" s="69" t="n">
        <f aca="false">I79-J79-K79</f>
        <v>0</v>
      </c>
      <c r="M79" s="69" t="n">
        <f aca="false">IF(P78&gt;0.5,P78*(1+M$23)+M$24,0)</f>
        <v>0</v>
      </c>
      <c r="N79" s="69" t="n">
        <f aca="false">MIN(N$23,M79)</f>
        <v>0</v>
      </c>
      <c r="O79" s="69" t="n">
        <f aca="false">IF(AND(N$24=1,OR(M$25="",$C79&gt;=M$25)),MAX(0,MIN(M79-N79,$D79-(G79+K79))),0)</f>
        <v>0</v>
      </c>
      <c r="P79" s="69" t="n">
        <f aca="false">M79-N79-O79</f>
        <v>0</v>
      </c>
      <c r="Q79" s="69" t="n">
        <f aca="false">IF(T78&gt;0.5,T78*(1+Q$23)+Q$24,0)</f>
        <v>0</v>
      </c>
      <c r="R79" s="69" t="n">
        <f aca="false">MIN(R$23,Q79)</f>
        <v>0</v>
      </c>
      <c r="S79" s="69" t="n">
        <f aca="false">IF(AND(R$24=1,OR(Q$25="",$C79&gt;=Q$25)),MAX(0,MIN(Q79-R79,$D79-(G79+K79+O79))),0)</f>
        <v>0</v>
      </c>
      <c r="T79" s="69" t="n">
        <f aca="false">Q79-R79-S79</f>
        <v>0</v>
      </c>
      <c r="U79" s="69" t="n">
        <f aca="false">IF(X78&gt;0.5,X78*(1+U$23)+U$24,0)</f>
        <v>0</v>
      </c>
      <c r="V79" s="69" t="n">
        <f aca="false">MIN(V$23,U79)</f>
        <v>0</v>
      </c>
      <c r="W79" s="69" t="n">
        <f aca="false">IF(AND(V$24=1,OR(U$25="",$C79&gt;=U$25)),MAX(0,MIN(U79-V79,$D79-(G79+K79+O79+S79))),0)</f>
        <v>0</v>
      </c>
      <c r="X79" s="69" t="n">
        <f aca="false">U79-V79-W79</f>
        <v>0</v>
      </c>
      <c r="Y79" s="69" t="n">
        <f aca="false">IF(AB78&gt;0.5,AB78*(1+Y$23)+Y$24,0)</f>
        <v>0</v>
      </c>
      <c r="Z79" s="69" t="n">
        <f aca="false">MIN(Z$23,Y79)</f>
        <v>0</v>
      </c>
      <c r="AA79" s="69" t="n">
        <f aca="false">IF(AND(Z$24=1,OR(Y$25="",$C79&gt;=Y$25)),MAX(0,MIN(Y79-Z79,$D79-(G79+K79+O79+S79+W79))),0)</f>
        <v>0</v>
      </c>
      <c r="AB79" s="69" t="n">
        <f aca="false">Y79-Z79-AA79</f>
        <v>0</v>
      </c>
      <c r="AC79" s="69" t="n">
        <f aca="false">IF(AF78&gt;0.5,AF78*(1+AC$23)+AC$24,0)</f>
        <v>0</v>
      </c>
      <c r="AD79" s="69" t="n">
        <f aca="false">MIN(AD$23,AC79)</f>
        <v>0</v>
      </c>
      <c r="AE79" s="69" t="n">
        <f aca="false">IF(AND(AD$24=1,OR(AC$25="",$C79&gt;=AC$25)),MAX(0,MIN(AC79-AD79,$D79-(G79+K79+O79+S79+W79+AA79))),0)</f>
        <v>0</v>
      </c>
      <c r="AF79" s="69" t="n">
        <f aca="false">AC79-AD79-AE79</f>
        <v>0</v>
      </c>
      <c r="AG79" s="69" t="n">
        <f aca="false">IF(AJ78&gt;0.5,AJ78*(1+AG$23)+AG$24,0)</f>
        <v>0</v>
      </c>
      <c r="AH79" s="69" t="n">
        <f aca="false">MIN(AH$23,AG79)</f>
        <v>0</v>
      </c>
      <c r="AI79" s="69" t="n">
        <f aca="false">IF(AND(AH$24=1,OR(AG$25="",$C79&gt;=AG$25)),MAX(0,MIN(AG79-AH79,$D79-(G79+K79+O79+S79+W79+AA79+AE79))),0)</f>
        <v>0</v>
      </c>
      <c r="AJ79" s="69" t="n">
        <f aca="false">AG79-AH79-AI79</f>
        <v>0</v>
      </c>
      <c r="AK79" s="69" t="n">
        <f aca="false">IF(AK78&gt;0.5,AK78*(1+$E$12)+$G$12-MIN($F$12,AK78*(1+$E$12)+$G$12),0)</f>
        <v>0</v>
      </c>
      <c r="AL79" s="69" t="n">
        <f aca="false">IF(AL78&gt;0.5,AL78*(1+$E$13)+$G$13-MIN($F$13,AL78*(1+$E$13)+$G$13),0)</f>
        <v>0</v>
      </c>
      <c r="AM79" s="69" t="n">
        <f aca="false">IF(AM78&gt;0.5,AM78*(1+$E$14)+$G$14-MIN($F$14,AM78*(1+$E$14)+$G$14),0)</f>
        <v>0</v>
      </c>
      <c r="AN79" s="69" t="n">
        <f aca="false">IF(AN78&gt;0.5,AN78*(1+$E$15)+$G$15-MIN($F$15,AN78*(1+$E$15)+$G$15),0)</f>
        <v>0</v>
      </c>
      <c r="AO79" s="69" t="n">
        <f aca="false">IF(AO78&gt;0.5,AO78*(1+$E$16)+$G$16-MIN($F$16,AO78*(1+$E$16)+$G$16),0)</f>
        <v>0</v>
      </c>
      <c r="AP79" s="69" t="n">
        <f aca="false">IF(AP78&gt;0.5,AP78*(1+$E$17)+$G$17-MIN($F$17,AP78*(1+$E$17)+$G$17),0)</f>
        <v>0</v>
      </c>
      <c r="AQ79" s="69" t="n">
        <f aca="false">IF(AQ78&gt;0.5,AQ78*(1+$E$18)+$G$18-MIN($F$18,AQ78*(1+$E$18)+$G$18),0)</f>
        <v>0</v>
      </c>
      <c r="AR79" s="69" t="n">
        <f aca="false">IF(AR78&gt;0.5,AR78*(1+$E$19)+$G$19-MIN($F$19,AR78*(1+$E$19)+$G$19),0)</f>
        <v>0</v>
      </c>
      <c r="AS79" s="69" t="n">
        <f aca="false">H79+L79+P79+T79+X79+AB79+AF79+AJ79</f>
        <v>0</v>
      </c>
      <c r="AT79" s="69" t="n">
        <f aca="false">SUM(AK79:AR79)</f>
        <v>0</v>
      </c>
      <c r="AU79" s="69" t="n">
        <f aca="false">F79+G79+J79+K79+N79+O79+R79+S79+V79+W79+Z79+AA79+AD79+AE79+AH79+AI79</f>
        <v>0</v>
      </c>
    </row>
    <row r="80" customFormat="false" ht="15" hidden="false" customHeight="false" outlineLevel="0" collapsed="false">
      <c r="B80" s="0" t="n">
        <v>53</v>
      </c>
      <c r="C80" s="68" t="n">
        <f aca="false">EDATE($C$7,52)</f>
        <v>47880</v>
      </c>
      <c r="D80" s="69" t="n">
        <f aca="false">$C$8-(F80+J80+N80+R80+V80+Z80+AD80+AH80)</f>
        <v>0</v>
      </c>
      <c r="E80" s="69" t="n">
        <f aca="false">IF(H79&gt;0.5,H79*(1+E$23)+E$24,0)</f>
        <v>0</v>
      </c>
      <c r="F80" s="69" t="n">
        <f aca="false">MIN(F$23,E80)</f>
        <v>0</v>
      </c>
      <c r="G80" s="69" t="n">
        <f aca="false">IF(AND(F$24=1,OR(E$25="",$C80&gt;=E$25)),MAX(0,MIN(E80-F80,$D80-(0))),0)</f>
        <v>0</v>
      </c>
      <c r="H80" s="69" t="n">
        <f aca="false">E80-F80-G80</f>
        <v>0</v>
      </c>
      <c r="I80" s="69" t="n">
        <f aca="false">IF(L79&gt;0.5,L79*(1+I$23)+I$24,0)</f>
        <v>0</v>
      </c>
      <c r="J80" s="69" t="n">
        <f aca="false">MIN(J$23,I80)</f>
        <v>0</v>
      </c>
      <c r="K80" s="69" t="n">
        <f aca="false">IF(AND(J$24=1,OR(I$25="",$C80&gt;=I$25)),MAX(0,MIN(I80-J80,$D80-(G80))),0)</f>
        <v>0</v>
      </c>
      <c r="L80" s="69" t="n">
        <f aca="false">I80-J80-K80</f>
        <v>0</v>
      </c>
      <c r="M80" s="69" t="n">
        <f aca="false">IF(P79&gt;0.5,P79*(1+M$23)+M$24,0)</f>
        <v>0</v>
      </c>
      <c r="N80" s="69" t="n">
        <f aca="false">MIN(N$23,M80)</f>
        <v>0</v>
      </c>
      <c r="O80" s="69" t="n">
        <f aca="false">IF(AND(N$24=1,OR(M$25="",$C80&gt;=M$25)),MAX(0,MIN(M80-N80,$D80-(G80+K80))),0)</f>
        <v>0</v>
      </c>
      <c r="P80" s="69" t="n">
        <f aca="false">M80-N80-O80</f>
        <v>0</v>
      </c>
      <c r="Q80" s="69" t="n">
        <f aca="false">IF(T79&gt;0.5,T79*(1+Q$23)+Q$24,0)</f>
        <v>0</v>
      </c>
      <c r="R80" s="69" t="n">
        <f aca="false">MIN(R$23,Q80)</f>
        <v>0</v>
      </c>
      <c r="S80" s="69" t="n">
        <f aca="false">IF(AND(R$24=1,OR(Q$25="",$C80&gt;=Q$25)),MAX(0,MIN(Q80-R80,$D80-(G80+K80+O80))),0)</f>
        <v>0</v>
      </c>
      <c r="T80" s="69" t="n">
        <f aca="false">Q80-R80-S80</f>
        <v>0</v>
      </c>
      <c r="U80" s="69" t="n">
        <f aca="false">IF(X79&gt;0.5,X79*(1+U$23)+U$24,0)</f>
        <v>0</v>
      </c>
      <c r="V80" s="69" t="n">
        <f aca="false">MIN(V$23,U80)</f>
        <v>0</v>
      </c>
      <c r="W80" s="69" t="n">
        <f aca="false">IF(AND(V$24=1,OR(U$25="",$C80&gt;=U$25)),MAX(0,MIN(U80-V80,$D80-(G80+K80+O80+S80))),0)</f>
        <v>0</v>
      </c>
      <c r="X80" s="69" t="n">
        <f aca="false">U80-V80-W80</f>
        <v>0</v>
      </c>
      <c r="Y80" s="69" t="n">
        <f aca="false">IF(AB79&gt;0.5,AB79*(1+Y$23)+Y$24,0)</f>
        <v>0</v>
      </c>
      <c r="Z80" s="69" t="n">
        <f aca="false">MIN(Z$23,Y80)</f>
        <v>0</v>
      </c>
      <c r="AA80" s="69" t="n">
        <f aca="false">IF(AND(Z$24=1,OR(Y$25="",$C80&gt;=Y$25)),MAX(0,MIN(Y80-Z80,$D80-(G80+K80+O80+S80+W80))),0)</f>
        <v>0</v>
      </c>
      <c r="AB80" s="69" t="n">
        <f aca="false">Y80-Z80-AA80</f>
        <v>0</v>
      </c>
      <c r="AC80" s="69" t="n">
        <f aca="false">IF(AF79&gt;0.5,AF79*(1+AC$23)+AC$24,0)</f>
        <v>0</v>
      </c>
      <c r="AD80" s="69" t="n">
        <f aca="false">MIN(AD$23,AC80)</f>
        <v>0</v>
      </c>
      <c r="AE80" s="69" t="n">
        <f aca="false">IF(AND(AD$24=1,OR(AC$25="",$C80&gt;=AC$25)),MAX(0,MIN(AC80-AD80,$D80-(G80+K80+O80+S80+W80+AA80))),0)</f>
        <v>0</v>
      </c>
      <c r="AF80" s="69" t="n">
        <f aca="false">AC80-AD80-AE80</f>
        <v>0</v>
      </c>
      <c r="AG80" s="69" t="n">
        <f aca="false">IF(AJ79&gt;0.5,AJ79*(1+AG$23)+AG$24,0)</f>
        <v>0</v>
      </c>
      <c r="AH80" s="69" t="n">
        <f aca="false">MIN(AH$23,AG80)</f>
        <v>0</v>
      </c>
      <c r="AI80" s="69" t="n">
        <f aca="false">IF(AND(AH$24=1,OR(AG$25="",$C80&gt;=AG$25)),MAX(0,MIN(AG80-AH80,$D80-(G80+K80+O80+S80+W80+AA80+AE80))),0)</f>
        <v>0</v>
      </c>
      <c r="AJ80" s="69" t="n">
        <f aca="false">AG80-AH80-AI80</f>
        <v>0</v>
      </c>
      <c r="AK80" s="69" t="n">
        <f aca="false">IF(AK79&gt;0.5,AK79*(1+$E$12)+$G$12-MIN($F$12,AK79*(1+$E$12)+$G$12),0)</f>
        <v>0</v>
      </c>
      <c r="AL80" s="69" t="n">
        <f aca="false">IF(AL79&gt;0.5,AL79*(1+$E$13)+$G$13-MIN($F$13,AL79*(1+$E$13)+$G$13),0)</f>
        <v>0</v>
      </c>
      <c r="AM80" s="69" t="n">
        <f aca="false">IF(AM79&gt;0.5,AM79*(1+$E$14)+$G$14-MIN($F$14,AM79*(1+$E$14)+$G$14),0)</f>
        <v>0</v>
      </c>
      <c r="AN80" s="69" t="n">
        <f aca="false">IF(AN79&gt;0.5,AN79*(1+$E$15)+$G$15-MIN($F$15,AN79*(1+$E$15)+$G$15),0)</f>
        <v>0</v>
      </c>
      <c r="AO80" s="69" t="n">
        <f aca="false">IF(AO79&gt;0.5,AO79*(1+$E$16)+$G$16-MIN($F$16,AO79*(1+$E$16)+$G$16),0)</f>
        <v>0</v>
      </c>
      <c r="AP80" s="69" t="n">
        <f aca="false">IF(AP79&gt;0.5,AP79*(1+$E$17)+$G$17-MIN($F$17,AP79*(1+$E$17)+$G$17),0)</f>
        <v>0</v>
      </c>
      <c r="AQ80" s="69" t="n">
        <f aca="false">IF(AQ79&gt;0.5,AQ79*(1+$E$18)+$G$18-MIN($F$18,AQ79*(1+$E$18)+$G$18),0)</f>
        <v>0</v>
      </c>
      <c r="AR80" s="69" t="n">
        <f aca="false">IF(AR79&gt;0.5,AR79*(1+$E$19)+$G$19-MIN($F$19,AR79*(1+$E$19)+$G$19),0)</f>
        <v>0</v>
      </c>
      <c r="AS80" s="69" t="n">
        <f aca="false">H80+L80+P80+T80+X80+AB80+AF80+AJ80</f>
        <v>0</v>
      </c>
      <c r="AT80" s="69" t="n">
        <f aca="false">SUM(AK80:AR80)</f>
        <v>0</v>
      </c>
      <c r="AU80" s="69" t="n">
        <f aca="false">F80+G80+J80+K80+N80+O80+R80+S80+V80+W80+Z80+AA80+AD80+AE80+AH80+AI80</f>
        <v>0</v>
      </c>
    </row>
    <row r="81" customFormat="false" ht="15" hidden="false" customHeight="false" outlineLevel="0" collapsed="false">
      <c r="B81" s="0" t="n">
        <v>54</v>
      </c>
      <c r="C81" s="68" t="n">
        <f aca="false">EDATE($C$7,53)</f>
        <v>47908</v>
      </c>
      <c r="D81" s="69" t="n">
        <f aca="false">$C$8-(F81+J81+N81+R81+V81+Z81+AD81+AH81)</f>
        <v>0</v>
      </c>
      <c r="E81" s="69" t="n">
        <f aca="false">IF(H80&gt;0.5,H80*(1+E$23)+E$24,0)</f>
        <v>0</v>
      </c>
      <c r="F81" s="69" t="n">
        <f aca="false">MIN(F$23,E81)</f>
        <v>0</v>
      </c>
      <c r="G81" s="69" t="n">
        <f aca="false">IF(AND(F$24=1,OR(E$25="",$C81&gt;=E$25)),MAX(0,MIN(E81-F81,$D81-(0))),0)</f>
        <v>0</v>
      </c>
      <c r="H81" s="69" t="n">
        <f aca="false">E81-F81-G81</f>
        <v>0</v>
      </c>
      <c r="I81" s="69" t="n">
        <f aca="false">IF(L80&gt;0.5,L80*(1+I$23)+I$24,0)</f>
        <v>0</v>
      </c>
      <c r="J81" s="69" t="n">
        <f aca="false">MIN(J$23,I81)</f>
        <v>0</v>
      </c>
      <c r="K81" s="69" t="n">
        <f aca="false">IF(AND(J$24=1,OR(I$25="",$C81&gt;=I$25)),MAX(0,MIN(I81-J81,$D81-(G81))),0)</f>
        <v>0</v>
      </c>
      <c r="L81" s="69" t="n">
        <f aca="false">I81-J81-K81</f>
        <v>0</v>
      </c>
      <c r="M81" s="69" t="n">
        <f aca="false">IF(P80&gt;0.5,P80*(1+M$23)+M$24,0)</f>
        <v>0</v>
      </c>
      <c r="N81" s="69" t="n">
        <f aca="false">MIN(N$23,M81)</f>
        <v>0</v>
      </c>
      <c r="O81" s="69" t="n">
        <f aca="false">IF(AND(N$24=1,OR(M$25="",$C81&gt;=M$25)),MAX(0,MIN(M81-N81,$D81-(G81+K81))),0)</f>
        <v>0</v>
      </c>
      <c r="P81" s="69" t="n">
        <f aca="false">M81-N81-O81</f>
        <v>0</v>
      </c>
      <c r="Q81" s="69" t="n">
        <f aca="false">IF(T80&gt;0.5,T80*(1+Q$23)+Q$24,0)</f>
        <v>0</v>
      </c>
      <c r="R81" s="69" t="n">
        <f aca="false">MIN(R$23,Q81)</f>
        <v>0</v>
      </c>
      <c r="S81" s="69" t="n">
        <f aca="false">IF(AND(R$24=1,OR(Q$25="",$C81&gt;=Q$25)),MAX(0,MIN(Q81-R81,$D81-(G81+K81+O81))),0)</f>
        <v>0</v>
      </c>
      <c r="T81" s="69" t="n">
        <f aca="false">Q81-R81-S81</f>
        <v>0</v>
      </c>
      <c r="U81" s="69" t="n">
        <f aca="false">IF(X80&gt;0.5,X80*(1+U$23)+U$24,0)</f>
        <v>0</v>
      </c>
      <c r="V81" s="69" t="n">
        <f aca="false">MIN(V$23,U81)</f>
        <v>0</v>
      </c>
      <c r="W81" s="69" t="n">
        <f aca="false">IF(AND(V$24=1,OR(U$25="",$C81&gt;=U$25)),MAX(0,MIN(U81-V81,$D81-(G81+K81+O81+S81))),0)</f>
        <v>0</v>
      </c>
      <c r="X81" s="69" t="n">
        <f aca="false">U81-V81-W81</f>
        <v>0</v>
      </c>
      <c r="Y81" s="69" t="n">
        <f aca="false">IF(AB80&gt;0.5,AB80*(1+Y$23)+Y$24,0)</f>
        <v>0</v>
      </c>
      <c r="Z81" s="69" t="n">
        <f aca="false">MIN(Z$23,Y81)</f>
        <v>0</v>
      </c>
      <c r="AA81" s="69" t="n">
        <f aca="false">IF(AND(Z$24=1,OR(Y$25="",$C81&gt;=Y$25)),MAX(0,MIN(Y81-Z81,$D81-(G81+K81+O81+S81+W81))),0)</f>
        <v>0</v>
      </c>
      <c r="AB81" s="69" t="n">
        <f aca="false">Y81-Z81-AA81</f>
        <v>0</v>
      </c>
      <c r="AC81" s="69" t="n">
        <f aca="false">IF(AF80&gt;0.5,AF80*(1+AC$23)+AC$24,0)</f>
        <v>0</v>
      </c>
      <c r="AD81" s="69" t="n">
        <f aca="false">MIN(AD$23,AC81)</f>
        <v>0</v>
      </c>
      <c r="AE81" s="69" t="n">
        <f aca="false">IF(AND(AD$24=1,OR(AC$25="",$C81&gt;=AC$25)),MAX(0,MIN(AC81-AD81,$D81-(G81+K81+O81+S81+W81+AA81))),0)</f>
        <v>0</v>
      </c>
      <c r="AF81" s="69" t="n">
        <f aca="false">AC81-AD81-AE81</f>
        <v>0</v>
      </c>
      <c r="AG81" s="69" t="n">
        <f aca="false">IF(AJ80&gt;0.5,AJ80*(1+AG$23)+AG$24,0)</f>
        <v>0</v>
      </c>
      <c r="AH81" s="69" t="n">
        <f aca="false">MIN(AH$23,AG81)</f>
        <v>0</v>
      </c>
      <c r="AI81" s="69" t="n">
        <f aca="false">IF(AND(AH$24=1,OR(AG$25="",$C81&gt;=AG$25)),MAX(0,MIN(AG81-AH81,$D81-(G81+K81+O81+S81+W81+AA81+AE81))),0)</f>
        <v>0</v>
      </c>
      <c r="AJ81" s="69" t="n">
        <f aca="false">AG81-AH81-AI81</f>
        <v>0</v>
      </c>
      <c r="AK81" s="69" t="n">
        <f aca="false">IF(AK80&gt;0.5,AK80*(1+$E$12)+$G$12-MIN($F$12,AK80*(1+$E$12)+$G$12),0)</f>
        <v>0</v>
      </c>
      <c r="AL81" s="69" t="n">
        <f aca="false">IF(AL80&gt;0.5,AL80*(1+$E$13)+$G$13-MIN($F$13,AL80*(1+$E$13)+$G$13),0)</f>
        <v>0</v>
      </c>
      <c r="AM81" s="69" t="n">
        <f aca="false">IF(AM80&gt;0.5,AM80*(1+$E$14)+$G$14-MIN($F$14,AM80*(1+$E$14)+$G$14),0)</f>
        <v>0</v>
      </c>
      <c r="AN81" s="69" t="n">
        <f aca="false">IF(AN80&gt;0.5,AN80*(1+$E$15)+$G$15-MIN($F$15,AN80*(1+$E$15)+$G$15),0)</f>
        <v>0</v>
      </c>
      <c r="AO81" s="69" t="n">
        <f aca="false">IF(AO80&gt;0.5,AO80*(1+$E$16)+$G$16-MIN($F$16,AO80*(1+$E$16)+$G$16),0)</f>
        <v>0</v>
      </c>
      <c r="AP81" s="69" t="n">
        <f aca="false">IF(AP80&gt;0.5,AP80*(1+$E$17)+$G$17-MIN($F$17,AP80*(1+$E$17)+$G$17),0)</f>
        <v>0</v>
      </c>
      <c r="AQ81" s="69" t="n">
        <f aca="false">IF(AQ80&gt;0.5,AQ80*(1+$E$18)+$G$18-MIN($F$18,AQ80*(1+$E$18)+$G$18),0)</f>
        <v>0</v>
      </c>
      <c r="AR81" s="69" t="n">
        <f aca="false">IF(AR80&gt;0.5,AR80*(1+$E$19)+$G$19-MIN($F$19,AR80*(1+$E$19)+$G$19),0)</f>
        <v>0</v>
      </c>
      <c r="AS81" s="69" t="n">
        <f aca="false">H81+L81+P81+T81+X81+AB81+AF81+AJ81</f>
        <v>0</v>
      </c>
      <c r="AT81" s="69" t="n">
        <f aca="false">SUM(AK81:AR81)</f>
        <v>0</v>
      </c>
      <c r="AU81" s="69" t="n">
        <f aca="false">F81+G81+J81+K81+N81+O81+R81+S81+V81+W81+Z81+AA81+AD81+AE81+AH81+AI81</f>
        <v>0</v>
      </c>
    </row>
    <row r="82" customFormat="false" ht="15" hidden="false" customHeight="false" outlineLevel="0" collapsed="false">
      <c r="B82" s="0" t="n">
        <v>55</v>
      </c>
      <c r="C82" s="68" t="n">
        <f aca="false">EDATE($C$7,54)</f>
        <v>47939</v>
      </c>
      <c r="D82" s="69" t="n">
        <f aca="false">$C$8-(F82+J82+N82+R82+V82+Z82+AD82+AH82)</f>
        <v>0</v>
      </c>
      <c r="E82" s="69" t="n">
        <f aca="false">IF(H81&gt;0.5,H81*(1+E$23)+E$24,0)</f>
        <v>0</v>
      </c>
      <c r="F82" s="69" t="n">
        <f aca="false">MIN(F$23,E82)</f>
        <v>0</v>
      </c>
      <c r="G82" s="69" t="n">
        <f aca="false">IF(AND(F$24=1,OR(E$25="",$C82&gt;=E$25)),MAX(0,MIN(E82-F82,$D82-(0))),0)</f>
        <v>0</v>
      </c>
      <c r="H82" s="69" t="n">
        <f aca="false">E82-F82-G82</f>
        <v>0</v>
      </c>
      <c r="I82" s="69" t="n">
        <f aca="false">IF(L81&gt;0.5,L81*(1+I$23)+I$24,0)</f>
        <v>0</v>
      </c>
      <c r="J82" s="69" t="n">
        <f aca="false">MIN(J$23,I82)</f>
        <v>0</v>
      </c>
      <c r="K82" s="69" t="n">
        <f aca="false">IF(AND(J$24=1,OR(I$25="",$C82&gt;=I$25)),MAX(0,MIN(I82-J82,$D82-(G82))),0)</f>
        <v>0</v>
      </c>
      <c r="L82" s="69" t="n">
        <f aca="false">I82-J82-K82</f>
        <v>0</v>
      </c>
      <c r="M82" s="69" t="n">
        <f aca="false">IF(P81&gt;0.5,P81*(1+M$23)+M$24,0)</f>
        <v>0</v>
      </c>
      <c r="N82" s="69" t="n">
        <f aca="false">MIN(N$23,M82)</f>
        <v>0</v>
      </c>
      <c r="O82" s="69" t="n">
        <f aca="false">IF(AND(N$24=1,OR(M$25="",$C82&gt;=M$25)),MAX(0,MIN(M82-N82,$D82-(G82+K82))),0)</f>
        <v>0</v>
      </c>
      <c r="P82" s="69" t="n">
        <f aca="false">M82-N82-O82</f>
        <v>0</v>
      </c>
      <c r="Q82" s="69" t="n">
        <f aca="false">IF(T81&gt;0.5,T81*(1+Q$23)+Q$24,0)</f>
        <v>0</v>
      </c>
      <c r="R82" s="69" t="n">
        <f aca="false">MIN(R$23,Q82)</f>
        <v>0</v>
      </c>
      <c r="S82" s="69" t="n">
        <f aca="false">IF(AND(R$24=1,OR(Q$25="",$C82&gt;=Q$25)),MAX(0,MIN(Q82-R82,$D82-(G82+K82+O82))),0)</f>
        <v>0</v>
      </c>
      <c r="T82" s="69" t="n">
        <f aca="false">Q82-R82-S82</f>
        <v>0</v>
      </c>
      <c r="U82" s="69" t="n">
        <f aca="false">IF(X81&gt;0.5,X81*(1+U$23)+U$24,0)</f>
        <v>0</v>
      </c>
      <c r="V82" s="69" t="n">
        <f aca="false">MIN(V$23,U82)</f>
        <v>0</v>
      </c>
      <c r="W82" s="69" t="n">
        <f aca="false">IF(AND(V$24=1,OR(U$25="",$C82&gt;=U$25)),MAX(0,MIN(U82-V82,$D82-(G82+K82+O82+S82))),0)</f>
        <v>0</v>
      </c>
      <c r="X82" s="69" t="n">
        <f aca="false">U82-V82-W82</f>
        <v>0</v>
      </c>
      <c r="Y82" s="69" t="n">
        <f aca="false">IF(AB81&gt;0.5,AB81*(1+Y$23)+Y$24,0)</f>
        <v>0</v>
      </c>
      <c r="Z82" s="69" t="n">
        <f aca="false">MIN(Z$23,Y82)</f>
        <v>0</v>
      </c>
      <c r="AA82" s="69" t="n">
        <f aca="false">IF(AND(Z$24=1,OR(Y$25="",$C82&gt;=Y$25)),MAX(0,MIN(Y82-Z82,$D82-(G82+K82+O82+S82+W82))),0)</f>
        <v>0</v>
      </c>
      <c r="AB82" s="69" t="n">
        <f aca="false">Y82-Z82-AA82</f>
        <v>0</v>
      </c>
      <c r="AC82" s="69" t="n">
        <f aca="false">IF(AF81&gt;0.5,AF81*(1+AC$23)+AC$24,0)</f>
        <v>0</v>
      </c>
      <c r="AD82" s="69" t="n">
        <f aca="false">MIN(AD$23,AC82)</f>
        <v>0</v>
      </c>
      <c r="AE82" s="69" t="n">
        <f aca="false">IF(AND(AD$24=1,OR(AC$25="",$C82&gt;=AC$25)),MAX(0,MIN(AC82-AD82,$D82-(G82+K82+O82+S82+W82+AA82))),0)</f>
        <v>0</v>
      </c>
      <c r="AF82" s="69" t="n">
        <f aca="false">AC82-AD82-AE82</f>
        <v>0</v>
      </c>
      <c r="AG82" s="69" t="n">
        <f aca="false">IF(AJ81&gt;0.5,AJ81*(1+AG$23)+AG$24,0)</f>
        <v>0</v>
      </c>
      <c r="AH82" s="69" t="n">
        <f aca="false">MIN(AH$23,AG82)</f>
        <v>0</v>
      </c>
      <c r="AI82" s="69" t="n">
        <f aca="false">IF(AND(AH$24=1,OR(AG$25="",$C82&gt;=AG$25)),MAX(0,MIN(AG82-AH82,$D82-(G82+K82+O82+S82+W82+AA82+AE82))),0)</f>
        <v>0</v>
      </c>
      <c r="AJ82" s="69" t="n">
        <f aca="false">AG82-AH82-AI82</f>
        <v>0</v>
      </c>
      <c r="AK82" s="69" t="n">
        <f aca="false">IF(AK81&gt;0.5,AK81*(1+$E$12)+$G$12-MIN($F$12,AK81*(1+$E$12)+$G$12),0)</f>
        <v>0</v>
      </c>
      <c r="AL82" s="69" t="n">
        <f aca="false">IF(AL81&gt;0.5,AL81*(1+$E$13)+$G$13-MIN($F$13,AL81*(1+$E$13)+$G$13),0)</f>
        <v>0</v>
      </c>
      <c r="AM82" s="69" t="n">
        <f aca="false">IF(AM81&gt;0.5,AM81*(1+$E$14)+$G$14-MIN($F$14,AM81*(1+$E$14)+$G$14),0)</f>
        <v>0</v>
      </c>
      <c r="AN82" s="69" t="n">
        <f aca="false">IF(AN81&gt;0.5,AN81*(1+$E$15)+$G$15-MIN($F$15,AN81*(1+$E$15)+$G$15),0)</f>
        <v>0</v>
      </c>
      <c r="AO82" s="69" t="n">
        <f aca="false">IF(AO81&gt;0.5,AO81*(1+$E$16)+$G$16-MIN($F$16,AO81*(1+$E$16)+$G$16),0)</f>
        <v>0</v>
      </c>
      <c r="AP82" s="69" t="n">
        <f aca="false">IF(AP81&gt;0.5,AP81*(1+$E$17)+$G$17-MIN($F$17,AP81*(1+$E$17)+$G$17),0)</f>
        <v>0</v>
      </c>
      <c r="AQ82" s="69" t="n">
        <f aca="false">IF(AQ81&gt;0.5,AQ81*(1+$E$18)+$G$18-MIN($F$18,AQ81*(1+$E$18)+$G$18),0)</f>
        <v>0</v>
      </c>
      <c r="AR82" s="69" t="n">
        <f aca="false">IF(AR81&gt;0.5,AR81*(1+$E$19)+$G$19-MIN($F$19,AR81*(1+$E$19)+$G$19),0)</f>
        <v>0</v>
      </c>
      <c r="AS82" s="69" t="n">
        <f aca="false">H82+L82+P82+T82+X82+AB82+AF82+AJ82</f>
        <v>0</v>
      </c>
      <c r="AT82" s="69" t="n">
        <f aca="false">SUM(AK82:AR82)</f>
        <v>0</v>
      </c>
      <c r="AU82" s="69" t="n">
        <f aca="false">F82+G82+J82+K82+N82+O82+R82+S82+V82+W82+Z82+AA82+AD82+AE82+AH82+AI82</f>
        <v>0</v>
      </c>
    </row>
    <row r="83" customFormat="false" ht="15" hidden="false" customHeight="false" outlineLevel="0" collapsed="false">
      <c r="B83" s="0" t="n">
        <v>56</v>
      </c>
      <c r="C83" s="68" t="n">
        <f aca="false">EDATE($C$7,55)</f>
        <v>47969</v>
      </c>
      <c r="D83" s="69" t="n">
        <f aca="false">$C$8-(F83+J83+N83+R83+V83+Z83+AD83+AH83)</f>
        <v>0</v>
      </c>
      <c r="E83" s="69" t="n">
        <f aca="false">IF(H82&gt;0.5,H82*(1+E$23)+E$24,0)</f>
        <v>0</v>
      </c>
      <c r="F83" s="69" t="n">
        <f aca="false">MIN(F$23,E83)</f>
        <v>0</v>
      </c>
      <c r="G83" s="69" t="n">
        <f aca="false">IF(AND(F$24=1,OR(E$25="",$C83&gt;=E$25)),MAX(0,MIN(E83-F83,$D83-(0))),0)</f>
        <v>0</v>
      </c>
      <c r="H83" s="69" t="n">
        <f aca="false">E83-F83-G83</f>
        <v>0</v>
      </c>
      <c r="I83" s="69" t="n">
        <f aca="false">IF(L82&gt;0.5,L82*(1+I$23)+I$24,0)</f>
        <v>0</v>
      </c>
      <c r="J83" s="69" t="n">
        <f aca="false">MIN(J$23,I83)</f>
        <v>0</v>
      </c>
      <c r="K83" s="69" t="n">
        <f aca="false">IF(AND(J$24=1,OR(I$25="",$C83&gt;=I$25)),MAX(0,MIN(I83-J83,$D83-(G83))),0)</f>
        <v>0</v>
      </c>
      <c r="L83" s="69" t="n">
        <f aca="false">I83-J83-K83</f>
        <v>0</v>
      </c>
      <c r="M83" s="69" t="n">
        <f aca="false">IF(P82&gt;0.5,P82*(1+M$23)+M$24,0)</f>
        <v>0</v>
      </c>
      <c r="N83" s="69" t="n">
        <f aca="false">MIN(N$23,M83)</f>
        <v>0</v>
      </c>
      <c r="O83" s="69" t="n">
        <f aca="false">IF(AND(N$24=1,OR(M$25="",$C83&gt;=M$25)),MAX(0,MIN(M83-N83,$D83-(G83+K83))),0)</f>
        <v>0</v>
      </c>
      <c r="P83" s="69" t="n">
        <f aca="false">M83-N83-O83</f>
        <v>0</v>
      </c>
      <c r="Q83" s="69" t="n">
        <f aca="false">IF(T82&gt;0.5,T82*(1+Q$23)+Q$24,0)</f>
        <v>0</v>
      </c>
      <c r="R83" s="69" t="n">
        <f aca="false">MIN(R$23,Q83)</f>
        <v>0</v>
      </c>
      <c r="S83" s="69" t="n">
        <f aca="false">IF(AND(R$24=1,OR(Q$25="",$C83&gt;=Q$25)),MAX(0,MIN(Q83-R83,$D83-(G83+K83+O83))),0)</f>
        <v>0</v>
      </c>
      <c r="T83" s="69" t="n">
        <f aca="false">Q83-R83-S83</f>
        <v>0</v>
      </c>
      <c r="U83" s="69" t="n">
        <f aca="false">IF(X82&gt;0.5,X82*(1+U$23)+U$24,0)</f>
        <v>0</v>
      </c>
      <c r="V83" s="69" t="n">
        <f aca="false">MIN(V$23,U83)</f>
        <v>0</v>
      </c>
      <c r="W83" s="69" t="n">
        <f aca="false">IF(AND(V$24=1,OR(U$25="",$C83&gt;=U$25)),MAX(0,MIN(U83-V83,$D83-(G83+K83+O83+S83))),0)</f>
        <v>0</v>
      </c>
      <c r="X83" s="69" t="n">
        <f aca="false">U83-V83-W83</f>
        <v>0</v>
      </c>
      <c r="Y83" s="69" t="n">
        <f aca="false">IF(AB82&gt;0.5,AB82*(1+Y$23)+Y$24,0)</f>
        <v>0</v>
      </c>
      <c r="Z83" s="69" t="n">
        <f aca="false">MIN(Z$23,Y83)</f>
        <v>0</v>
      </c>
      <c r="AA83" s="69" t="n">
        <f aca="false">IF(AND(Z$24=1,OR(Y$25="",$C83&gt;=Y$25)),MAX(0,MIN(Y83-Z83,$D83-(G83+K83+O83+S83+W83))),0)</f>
        <v>0</v>
      </c>
      <c r="AB83" s="69" t="n">
        <f aca="false">Y83-Z83-AA83</f>
        <v>0</v>
      </c>
      <c r="AC83" s="69" t="n">
        <f aca="false">IF(AF82&gt;0.5,AF82*(1+AC$23)+AC$24,0)</f>
        <v>0</v>
      </c>
      <c r="AD83" s="69" t="n">
        <f aca="false">MIN(AD$23,AC83)</f>
        <v>0</v>
      </c>
      <c r="AE83" s="69" t="n">
        <f aca="false">IF(AND(AD$24=1,OR(AC$25="",$C83&gt;=AC$25)),MAX(0,MIN(AC83-AD83,$D83-(G83+K83+O83+S83+W83+AA83))),0)</f>
        <v>0</v>
      </c>
      <c r="AF83" s="69" t="n">
        <f aca="false">AC83-AD83-AE83</f>
        <v>0</v>
      </c>
      <c r="AG83" s="69" t="n">
        <f aca="false">IF(AJ82&gt;0.5,AJ82*(1+AG$23)+AG$24,0)</f>
        <v>0</v>
      </c>
      <c r="AH83" s="69" t="n">
        <f aca="false">MIN(AH$23,AG83)</f>
        <v>0</v>
      </c>
      <c r="AI83" s="69" t="n">
        <f aca="false">IF(AND(AH$24=1,OR(AG$25="",$C83&gt;=AG$25)),MAX(0,MIN(AG83-AH83,$D83-(G83+K83+O83+S83+W83+AA83+AE83))),0)</f>
        <v>0</v>
      </c>
      <c r="AJ83" s="69" t="n">
        <f aca="false">AG83-AH83-AI83</f>
        <v>0</v>
      </c>
      <c r="AK83" s="69" t="n">
        <f aca="false">IF(AK82&gt;0.5,AK82*(1+$E$12)+$G$12-MIN($F$12,AK82*(1+$E$12)+$G$12),0)</f>
        <v>0</v>
      </c>
      <c r="AL83" s="69" t="n">
        <f aca="false">IF(AL82&gt;0.5,AL82*(1+$E$13)+$G$13-MIN($F$13,AL82*(1+$E$13)+$G$13),0)</f>
        <v>0</v>
      </c>
      <c r="AM83" s="69" t="n">
        <f aca="false">IF(AM82&gt;0.5,AM82*(1+$E$14)+$G$14-MIN($F$14,AM82*(1+$E$14)+$G$14),0)</f>
        <v>0</v>
      </c>
      <c r="AN83" s="69" t="n">
        <f aca="false">IF(AN82&gt;0.5,AN82*(1+$E$15)+$G$15-MIN($F$15,AN82*(1+$E$15)+$G$15),0)</f>
        <v>0</v>
      </c>
      <c r="AO83" s="69" t="n">
        <f aca="false">IF(AO82&gt;0.5,AO82*(1+$E$16)+$G$16-MIN($F$16,AO82*(1+$E$16)+$G$16),0)</f>
        <v>0</v>
      </c>
      <c r="AP83" s="69" t="n">
        <f aca="false">IF(AP82&gt;0.5,AP82*(1+$E$17)+$G$17-MIN($F$17,AP82*(1+$E$17)+$G$17),0)</f>
        <v>0</v>
      </c>
      <c r="AQ83" s="69" t="n">
        <f aca="false">IF(AQ82&gt;0.5,AQ82*(1+$E$18)+$G$18-MIN($F$18,AQ82*(1+$E$18)+$G$18),0)</f>
        <v>0</v>
      </c>
      <c r="AR83" s="69" t="n">
        <f aca="false">IF(AR82&gt;0.5,AR82*(1+$E$19)+$G$19-MIN($F$19,AR82*(1+$E$19)+$G$19),0)</f>
        <v>0</v>
      </c>
      <c r="AS83" s="69" t="n">
        <f aca="false">H83+L83+P83+T83+X83+AB83+AF83+AJ83</f>
        <v>0</v>
      </c>
      <c r="AT83" s="69" t="n">
        <f aca="false">SUM(AK83:AR83)</f>
        <v>0</v>
      </c>
      <c r="AU83" s="69" t="n">
        <f aca="false">F83+G83+J83+K83+N83+O83+R83+S83+V83+W83+Z83+AA83+AD83+AE83+AH83+AI83</f>
        <v>0</v>
      </c>
    </row>
    <row r="84" customFormat="false" ht="15" hidden="false" customHeight="false" outlineLevel="0" collapsed="false">
      <c r="B84" s="0" t="n">
        <v>57</v>
      </c>
      <c r="C84" s="68" t="n">
        <f aca="false">EDATE($C$7,56)</f>
        <v>48000</v>
      </c>
      <c r="D84" s="69" t="n">
        <f aca="false">$C$8-(F84+J84+N84+R84+V84+Z84+AD84+AH84)</f>
        <v>0</v>
      </c>
      <c r="E84" s="69" t="n">
        <f aca="false">IF(H83&gt;0.5,H83*(1+E$23)+E$24,0)</f>
        <v>0</v>
      </c>
      <c r="F84" s="69" t="n">
        <f aca="false">MIN(F$23,E84)</f>
        <v>0</v>
      </c>
      <c r="G84" s="69" t="n">
        <f aca="false">IF(AND(F$24=1,OR(E$25="",$C84&gt;=E$25)),MAX(0,MIN(E84-F84,$D84-(0))),0)</f>
        <v>0</v>
      </c>
      <c r="H84" s="69" t="n">
        <f aca="false">E84-F84-G84</f>
        <v>0</v>
      </c>
      <c r="I84" s="69" t="n">
        <f aca="false">IF(L83&gt;0.5,L83*(1+I$23)+I$24,0)</f>
        <v>0</v>
      </c>
      <c r="J84" s="69" t="n">
        <f aca="false">MIN(J$23,I84)</f>
        <v>0</v>
      </c>
      <c r="K84" s="69" t="n">
        <f aca="false">IF(AND(J$24=1,OR(I$25="",$C84&gt;=I$25)),MAX(0,MIN(I84-J84,$D84-(G84))),0)</f>
        <v>0</v>
      </c>
      <c r="L84" s="69" t="n">
        <f aca="false">I84-J84-K84</f>
        <v>0</v>
      </c>
      <c r="M84" s="69" t="n">
        <f aca="false">IF(P83&gt;0.5,P83*(1+M$23)+M$24,0)</f>
        <v>0</v>
      </c>
      <c r="N84" s="69" t="n">
        <f aca="false">MIN(N$23,M84)</f>
        <v>0</v>
      </c>
      <c r="O84" s="69" t="n">
        <f aca="false">IF(AND(N$24=1,OR(M$25="",$C84&gt;=M$25)),MAX(0,MIN(M84-N84,$D84-(G84+K84))),0)</f>
        <v>0</v>
      </c>
      <c r="P84" s="69" t="n">
        <f aca="false">M84-N84-O84</f>
        <v>0</v>
      </c>
      <c r="Q84" s="69" t="n">
        <f aca="false">IF(T83&gt;0.5,T83*(1+Q$23)+Q$24,0)</f>
        <v>0</v>
      </c>
      <c r="R84" s="69" t="n">
        <f aca="false">MIN(R$23,Q84)</f>
        <v>0</v>
      </c>
      <c r="S84" s="69" t="n">
        <f aca="false">IF(AND(R$24=1,OR(Q$25="",$C84&gt;=Q$25)),MAX(0,MIN(Q84-R84,$D84-(G84+K84+O84))),0)</f>
        <v>0</v>
      </c>
      <c r="T84" s="69" t="n">
        <f aca="false">Q84-R84-S84</f>
        <v>0</v>
      </c>
      <c r="U84" s="69" t="n">
        <f aca="false">IF(X83&gt;0.5,X83*(1+U$23)+U$24,0)</f>
        <v>0</v>
      </c>
      <c r="V84" s="69" t="n">
        <f aca="false">MIN(V$23,U84)</f>
        <v>0</v>
      </c>
      <c r="W84" s="69" t="n">
        <f aca="false">IF(AND(V$24=1,OR(U$25="",$C84&gt;=U$25)),MAX(0,MIN(U84-V84,$D84-(G84+K84+O84+S84))),0)</f>
        <v>0</v>
      </c>
      <c r="X84" s="69" t="n">
        <f aca="false">U84-V84-W84</f>
        <v>0</v>
      </c>
      <c r="Y84" s="69" t="n">
        <f aca="false">IF(AB83&gt;0.5,AB83*(1+Y$23)+Y$24,0)</f>
        <v>0</v>
      </c>
      <c r="Z84" s="69" t="n">
        <f aca="false">MIN(Z$23,Y84)</f>
        <v>0</v>
      </c>
      <c r="AA84" s="69" t="n">
        <f aca="false">IF(AND(Z$24=1,OR(Y$25="",$C84&gt;=Y$25)),MAX(0,MIN(Y84-Z84,$D84-(G84+K84+O84+S84+W84))),0)</f>
        <v>0</v>
      </c>
      <c r="AB84" s="69" t="n">
        <f aca="false">Y84-Z84-AA84</f>
        <v>0</v>
      </c>
      <c r="AC84" s="69" t="n">
        <f aca="false">IF(AF83&gt;0.5,AF83*(1+AC$23)+AC$24,0)</f>
        <v>0</v>
      </c>
      <c r="AD84" s="69" t="n">
        <f aca="false">MIN(AD$23,AC84)</f>
        <v>0</v>
      </c>
      <c r="AE84" s="69" t="n">
        <f aca="false">IF(AND(AD$24=1,OR(AC$25="",$C84&gt;=AC$25)),MAX(0,MIN(AC84-AD84,$D84-(G84+K84+O84+S84+W84+AA84))),0)</f>
        <v>0</v>
      </c>
      <c r="AF84" s="69" t="n">
        <f aca="false">AC84-AD84-AE84</f>
        <v>0</v>
      </c>
      <c r="AG84" s="69" t="n">
        <f aca="false">IF(AJ83&gt;0.5,AJ83*(1+AG$23)+AG$24,0)</f>
        <v>0</v>
      </c>
      <c r="AH84" s="69" t="n">
        <f aca="false">MIN(AH$23,AG84)</f>
        <v>0</v>
      </c>
      <c r="AI84" s="69" t="n">
        <f aca="false">IF(AND(AH$24=1,OR(AG$25="",$C84&gt;=AG$25)),MAX(0,MIN(AG84-AH84,$D84-(G84+K84+O84+S84+W84+AA84+AE84))),0)</f>
        <v>0</v>
      </c>
      <c r="AJ84" s="69" t="n">
        <f aca="false">AG84-AH84-AI84</f>
        <v>0</v>
      </c>
      <c r="AK84" s="69" t="n">
        <f aca="false">IF(AK83&gt;0.5,AK83*(1+$E$12)+$G$12-MIN($F$12,AK83*(1+$E$12)+$G$12),0)</f>
        <v>0</v>
      </c>
      <c r="AL84" s="69" t="n">
        <f aca="false">IF(AL83&gt;0.5,AL83*(1+$E$13)+$G$13-MIN($F$13,AL83*(1+$E$13)+$G$13),0)</f>
        <v>0</v>
      </c>
      <c r="AM84" s="69" t="n">
        <f aca="false">IF(AM83&gt;0.5,AM83*(1+$E$14)+$G$14-MIN($F$14,AM83*(1+$E$14)+$G$14),0)</f>
        <v>0</v>
      </c>
      <c r="AN84" s="69" t="n">
        <f aca="false">IF(AN83&gt;0.5,AN83*(1+$E$15)+$G$15-MIN($F$15,AN83*(1+$E$15)+$G$15),0)</f>
        <v>0</v>
      </c>
      <c r="AO84" s="69" t="n">
        <f aca="false">IF(AO83&gt;0.5,AO83*(1+$E$16)+$G$16-MIN($F$16,AO83*(1+$E$16)+$G$16),0)</f>
        <v>0</v>
      </c>
      <c r="AP84" s="69" t="n">
        <f aca="false">IF(AP83&gt;0.5,AP83*(1+$E$17)+$G$17-MIN($F$17,AP83*(1+$E$17)+$G$17),0)</f>
        <v>0</v>
      </c>
      <c r="AQ84" s="69" t="n">
        <f aca="false">IF(AQ83&gt;0.5,AQ83*(1+$E$18)+$G$18-MIN($F$18,AQ83*(1+$E$18)+$G$18),0)</f>
        <v>0</v>
      </c>
      <c r="AR84" s="69" t="n">
        <f aca="false">IF(AR83&gt;0.5,AR83*(1+$E$19)+$G$19-MIN($F$19,AR83*(1+$E$19)+$G$19),0)</f>
        <v>0</v>
      </c>
      <c r="AS84" s="69" t="n">
        <f aca="false">H84+L84+P84+T84+X84+AB84+AF84+AJ84</f>
        <v>0</v>
      </c>
      <c r="AT84" s="69" t="n">
        <f aca="false">SUM(AK84:AR84)</f>
        <v>0</v>
      </c>
      <c r="AU84" s="69" t="n">
        <f aca="false">F84+G84+J84+K84+N84+O84+R84+S84+V84+W84+Z84+AA84+AD84+AE84+AH84+AI84</f>
        <v>0</v>
      </c>
    </row>
    <row r="85" customFormat="false" ht="15" hidden="false" customHeight="false" outlineLevel="0" collapsed="false">
      <c r="B85" s="0" t="n">
        <v>58</v>
      </c>
      <c r="C85" s="68" t="n">
        <f aca="false">EDATE($C$7,57)</f>
        <v>48030</v>
      </c>
      <c r="D85" s="69" t="n">
        <f aca="false">$C$8-(F85+J85+N85+R85+V85+Z85+AD85+AH85)</f>
        <v>0</v>
      </c>
      <c r="E85" s="69" t="n">
        <f aca="false">IF(H84&gt;0.5,H84*(1+E$23)+E$24,0)</f>
        <v>0</v>
      </c>
      <c r="F85" s="69" t="n">
        <f aca="false">MIN(F$23,E85)</f>
        <v>0</v>
      </c>
      <c r="G85" s="69" t="n">
        <f aca="false">IF(AND(F$24=1,OR(E$25="",$C85&gt;=E$25)),MAX(0,MIN(E85-F85,$D85-(0))),0)</f>
        <v>0</v>
      </c>
      <c r="H85" s="69" t="n">
        <f aca="false">E85-F85-G85</f>
        <v>0</v>
      </c>
      <c r="I85" s="69" t="n">
        <f aca="false">IF(L84&gt;0.5,L84*(1+I$23)+I$24,0)</f>
        <v>0</v>
      </c>
      <c r="J85" s="69" t="n">
        <f aca="false">MIN(J$23,I85)</f>
        <v>0</v>
      </c>
      <c r="K85" s="69" t="n">
        <f aca="false">IF(AND(J$24=1,OR(I$25="",$C85&gt;=I$25)),MAX(0,MIN(I85-J85,$D85-(G85))),0)</f>
        <v>0</v>
      </c>
      <c r="L85" s="69" t="n">
        <f aca="false">I85-J85-K85</f>
        <v>0</v>
      </c>
      <c r="M85" s="69" t="n">
        <f aca="false">IF(P84&gt;0.5,P84*(1+M$23)+M$24,0)</f>
        <v>0</v>
      </c>
      <c r="N85" s="69" t="n">
        <f aca="false">MIN(N$23,M85)</f>
        <v>0</v>
      </c>
      <c r="O85" s="69" t="n">
        <f aca="false">IF(AND(N$24=1,OR(M$25="",$C85&gt;=M$25)),MAX(0,MIN(M85-N85,$D85-(G85+K85))),0)</f>
        <v>0</v>
      </c>
      <c r="P85" s="69" t="n">
        <f aca="false">M85-N85-O85</f>
        <v>0</v>
      </c>
      <c r="Q85" s="69" t="n">
        <f aca="false">IF(T84&gt;0.5,T84*(1+Q$23)+Q$24,0)</f>
        <v>0</v>
      </c>
      <c r="R85" s="69" t="n">
        <f aca="false">MIN(R$23,Q85)</f>
        <v>0</v>
      </c>
      <c r="S85" s="69" t="n">
        <f aca="false">IF(AND(R$24=1,OR(Q$25="",$C85&gt;=Q$25)),MAX(0,MIN(Q85-R85,$D85-(G85+K85+O85))),0)</f>
        <v>0</v>
      </c>
      <c r="T85" s="69" t="n">
        <f aca="false">Q85-R85-S85</f>
        <v>0</v>
      </c>
      <c r="U85" s="69" t="n">
        <f aca="false">IF(X84&gt;0.5,X84*(1+U$23)+U$24,0)</f>
        <v>0</v>
      </c>
      <c r="V85" s="69" t="n">
        <f aca="false">MIN(V$23,U85)</f>
        <v>0</v>
      </c>
      <c r="W85" s="69" t="n">
        <f aca="false">IF(AND(V$24=1,OR(U$25="",$C85&gt;=U$25)),MAX(0,MIN(U85-V85,$D85-(G85+K85+O85+S85))),0)</f>
        <v>0</v>
      </c>
      <c r="X85" s="69" t="n">
        <f aca="false">U85-V85-W85</f>
        <v>0</v>
      </c>
      <c r="Y85" s="69" t="n">
        <f aca="false">IF(AB84&gt;0.5,AB84*(1+Y$23)+Y$24,0)</f>
        <v>0</v>
      </c>
      <c r="Z85" s="69" t="n">
        <f aca="false">MIN(Z$23,Y85)</f>
        <v>0</v>
      </c>
      <c r="AA85" s="69" t="n">
        <f aca="false">IF(AND(Z$24=1,OR(Y$25="",$C85&gt;=Y$25)),MAX(0,MIN(Y85-Z85,$D85-(G85+K85+O85+S85+W85))),0)</f>
        <v>0</v>
      </c>
      <c r="AB85" s="69" t="n">
        <f aca="false">Y85-Z85-AA85</f>
        <v>0</v>
      </c>
      <c r="AC85" s="69" t="n">
        <f aca="false">IF(AF84&gt;0.5,AF84*(1+AC$23)+AC$24,0)</f>
        <v>0</v>
      </c>
      <c r="AD85" s="69" t="n">
        <f aca="false">MIN(AD$23,AC85)</f>
        <v>0</v>
      </c>
      <c r="AE85" s="69" t="n">
        <f aca="false">IF(AND(AD$24=1,OR(AC$25="",$C85&gt;=AC$25)),MAX(0,MIN(AC85-AD85,$D85-(G85+K85+O85+S85+W85+AA85))),0)</f>
        <v>0</v>
      </c>
      <c r="AF85" s="69" t="n">
        <f aca="false">AC85-AD85-AE85</f>
        <v>0</v>
      </c>
      <c r="AG85" s="69" t="n">
        <f aca="false">IF(AJ84&gt;0.5,AJ84*(1+AG$23)+AG$24,0)</f>
        <v>0</v>
      </c>
      <c r="AH85" s="69" t="n">
        <f aca="false">MIN(AH$23,AG85)</f>
        <v>0</v>
      </c>
      <c r="AI85" s="69" t="n">
        <f aca="false">IF(AND(AH$24=1,OR(AG$25="",$C85&gt;=AG$25)),MAX(0,MIN(AG85-AH85,$D85-(G85+K85+O85+S85+W85+AA85+AE85))),0)</f>
        <v>0</v>
      </c>
      <c r="AJ85" s="69" t="n">
        <f aca="false">AG85-AH85-AI85</f>
        <v>0</v>
      </c>
      <c r="AK85" s="69" t="n">
        <f aca="false">IF(AK84&gt;0.5,AK84*(1+$E$12)+$G$12-MIN($F$12,AK84*(1+$E$12)+$G$12),0)</f>
        <v>0</v>
      </c>
      <c r="AL85" s="69" t="n">
        <f aca="false">IF(AL84&gt;0.5,AL84*(1+$E$13)+$G$13-MIN($F$13,AL84*(1+$E$13)+$G$13),0)</f>
        <v>0</v>
      </c>
      <c r="AM85" s="69" t="n">
        <f aca="false">IF(AM84&gt;0.5,AM84*(1+$E$14)+$G$14-MIN($F$14,AM84*(1+$E$14)+$G$14),0)</f>
        <v>0</v>
      </c>
      <c r="AN85" s="69" t="n">
        <f aca="false">IF(AN84&gt;0.5,AN84*(1+$E$15)+$G$15-MIN($F$15,AN84*(1+$E$15)+$G$15),0)</f>
        <v>0</v>
      </c>
      <c r="AO85" s="69" t="n">
        <f aca="false">IF(AO84&gt;0.5,AO84*(1+$E$16)+$G$16-MIN($F$16,AO84*(1+$E$16)+$G$16),0)</f>
        <v>0</v>
      </c>
      <c r="AP85" s="69" t="n">
        <f aca="false">IF(AP84&gt;0.5,AP84*(1+$E$17)+$G$17-MIN($F$17,AP84*(1+$E$17)+$G$17),0)</f>
        <v>0</v>
      </c>
      <c r="AQ85" s="69" t="n">
        <f aca="false">IF(AQ84&gt;0.5,AQ84*(1+$E$18)+$G$18-MIN($F$18,AQ84*(1+$E$18)+$G$18),0)</f>
        <v>0</v>
      </c>
      <c r="AR85" s="69" t="n">
        <f aca="false">IF(AR84&gt;0.5,AR84*(1+$E$19)+$G$19-MIN($F$19,AR84*(1+$E$19)+$G$19),0)</f>
        <v>0</v>
      </c>
      <c r="AS85" s="69" t="n">
        <f aca="false">H85+L85+P85+T85+X85+AB85+AF85+AJ85</f>
        <v>0</v>
      </c>
      <c r="AT85" s="69" t="n">
        <f aca="false">SUM(AK85:AR85)</f>
        <v>0</v>
      </c>
      <c r="AU85" s="69" t="n">
        <f aca="false">F85+G85+J85+K85+N85+O85+R85+S85+V85+W85+Z85+AA85+AD85+AE85+AH85+AI85</f>
        <v>0</v>
      </c>
    </row>
    <row r="86" customFormat="false" ht="15" hidden="false" customHeight="false" outlineLevel="0" collapsed="false">
      <c r="B86" s="0" t="n">
        <v>59</v>
      </c>
      <c r="C86" s="68" t="n">
        <f aca="false">EDATE($C$7,58)</f>
        <v>48061</v>
      </c>
      <c r="D86" s="69" t="n">
        <f aca="false">$C$8-(F86+J86+N86+R86+V86+Z86+AD86+AH86)</f>
        <v>0</v>
      </c>
      <c r="E86" s="69" t="n">
        <f aca="false">IF(H85&gt;0.5,H85*(1+E$23)+E$24,0)</f>
        <v>0</v>
      </c>
      <c r="F86" s="69" t="n">
        <f aca="false">MIN(F$23,E86)</f>
        <v>0</v>
      </c>
      <c r="G86" s="69" t="n">
        <f aca="false">IF(AND(F$24=1,OR(E$25="",$C86&gt;=E$25)),MAX(0,MIN(E86-F86,$D86-(0))),0)</f>
        <v>0</v>
      </c>
      <c r="H86" s="69" t="n">
        <f aca="false">E86-F86-G86</f>
        <v>0</v>
      </c>
      <c r="I86" s="69" t="n">
        <f aca="false">IF(L85&gt;0.5,L85*(1+I$23)+I$24,0)</f>
        <v>0</v>
      </c>
      <c r="J86" s="69" t="n">
        <f aca="false">MIN(J$23,I86)</f>
        <v>0</v>
      </c>
      <c r="K86" s="69" t="n">
        <f aca="false">IF(AND(J$24=1,OR(I$25="",$C86&gt;=I$25)),MAX(0,MIN(I86-J86,$D86-(G86))),0)</f>
        <v>0</v>
      </c>
      <c r="L86" s="69" t="n">
        <f aca="false">I86-J86-K86</f>
        <v>0</v>
      </c>
      <c r="M86" s="69" t="n">
        <f aca="false">IF(P85&gt;0.5,P85*(1+M$23)+M$24,0)</f>
        <v>0</v>
      </c>
      <c r="N86" s="69" t="n">
        <f aca="false">MIN(N$23,M86)</f>
        <v>0</v>
      </c>
      <c r="O86" s="69" t="n">
        <f aca="false">IF(AND(N$24=1,OR(M$25="",$C86&gt;=M$25)),MAX(0,MIN(M86-N86,$D86-(G86+K86))),0)</f>
        <v>0</v>
      </c>
      <c r="P86" s="69" t="n">
        <f aca="false">M86-N86-O86</f>
        <v>0</v>
      </c>
      <c r="Q86" s="69" t="n">
        <f aca="false">IF(T85&gt;0.5,T85*(1+Q$23)+Q$24,0)</f>
        <v>0</v>
      </c>
      <c r="R86" s="69" t="n">
        <f aca="false">MIN(R$23,Q86)</f>
        <v>0</v>
      </c>
      <c r="S86" s="69" t="n">
        <f aca="false">IF(AND(R$24=1,OR(Q$25="",$C86&gt;=Q$25)),MAX(0,MIN(Q86-R86,$D86-(G86+K86+O86))),0)</f>
        <v>0</v>
      </c>
      <c r="T86" s="69" t="n">
        <f aca="false">Q86-R86-S86</f>
        <v>0</v>
      </c>
      <c r="U86" s="69" t="n">
        <f aca="false">IF(X85&gt;0.5,X85*(1+U$23)+U$24,0)</f>
        <v>0</v>
      </c>
      <c r="V86" s="69" t="n">
        <f aca="false">MIN(V$23,U86)</f>
        <v>0</v>
      </c>
      <c r="W86" s="69" t="n">
        <f aca="false">IF(AND(V$24=1,OR(U$25="",$C86&gt;=U$25)),MAX(0,MIN(U86-V86,$D86-(G86+K86+O86+S86))),0)</f>
        <v>0</v>
      </c>
      <c r="X86" s="69" t="n">
        <f aca="false">U86-V86-W86</f>
        <v>0</v>
      </c>
      <c r="Y86" s="69" t="n">
        <f aca="false">IF(AB85&gt;0.5,AB85*(1+Y$23)+Y$24,0)</f>
        <v>0</v>
      </c>
      <c r="Z86" s="69" t="n">
        <f aca="false">MIN(Z$23,Y86)</f>
        <v>0</v>
      </c>
      <c r="AA86" s="69" t="n">
        <f aca="false">IF(AND(Z$24=1,OR(Y$25="",$C86&gt;=Y$25)),MAX(0,MIN(Y86-Z86,$D86-(G86+K86+O86+S86+W86))),0)</f>
        <v>0</v>
      </c>
      <c r="AB86" s="69" t="n">
        <f aca="false">Y86-Z86-AA86</f>
        <v>0</v>
      </c>
      <c r="AC86" s="69" t="n">
        <f aca="false">IF(AF85&gt;0.5,AF85*(1+AC$23)+AC$24,0)</f>
        <v>0</v>
      </c>
      <c r="AD86" s="69" t="n">
        <f aca="false">MIN(AD$23,AC86)</f>
        <v>0</v>
      </c>
      <c r="AE86" s="69" t="n">
        <f aca="false">IF(AND(AD$24=1,OR(AC$25="",$C86&gt;=AC$25)),MAX(0,MIN(AC86-AD86,$D86-(G86+K86+O86+S86+W86+AA86))),0)</f>
        <v>0</v>
      </c>
      <c r="AF86" s="69" t="n">
        <f aca="false">AC86-AD86-AE86</f>
        <v>0</v>
      </c>
      <c r="AG86" s="69" t="n">
        <f aca="false">IF(AJ85&gt;0.5,AJ85*(1+AG$23)+AG$24,0)</f>
        <v>0</v>
      </c>
      <c r="AH86" s="69" t="n">
        <f aca="false">MIN(AH$23,AG86)</f>
        <v>0</v>
      </c>
      <c r="AI86" s="69" t="n">
        <f aca="false">IF(AND(AH$24=1,OR(AG$25="",$C86&gt;=AG$25)),MAX(0,MIN(AG86-AH86,$D86-(G86+K86+O86+S86+W86+AA86+AE86))),0)</f>
        <v>0</v>
      </c>
      <c r="AJ86" s="69" t="n">
        <f aca="false">AG86-AH86-AI86</f>
        <v>0</v>
      </c>
      <c r="AK86" s="69" t="n">
        <f aca="false">IF(AK85&gt;0.5,AK85*(1+$E$12)+$G$12-MIN($F$12,AK85*(1+$E$12)+$G$12),0)</f>
        <v>0</v>
      </c>
      <c r="AL86" s="69" t="n">
        <f aca="false">IF(AL85&gt;0.5,AL85*(1+$E$13)+$G$13-MIN($F$13,AL85*(1+$E$13)+$G$13),0)</f>
        <v>0</v>
      </c>
      <c r="AM86" s="69" t="n">
        <f aca="false">IF(AM85&gt;0.5,AM85*(1+$E$14)+$G$14-MIN($F$14,AM85*(1+$E$14)+$G$14),0)</f>
        <v>0</v>
      </c>
      <c r="AN86" s="69" t="n">
        <f aca="false">IF(AN85&gt;0.5,AN85*(1+$E$15)+$G$15-MIN($F$15,AN85*(1+$E$15)+$G$15),0)</f>
        <v>0</v>
      </c>
      <c r="AO86" s="69" t="n">
        <f aca="false">IF(AO85&gt;0.5,AO85*(1+$E$16)+$G$16-MIN($F$16,AO85*(1+$E$16)+$G$16),0)</f>
        <v>0</v>
      </c>
      <c r="AP86" s="69" t="n">
        <f aca="false">IF(AP85&gt;0.5,AP85*(1+$E$17)+$G$17-MIN($F$17,AP85*(1+$E$17)+$G$17),0)</f>
        <v>0</v>
      </c>
      <c r="AQ86" s="69" t="n">
        <f aca="false">IF(AQ85&gt;0.5,AQ85*(1+$E$18)+$G$18-MIN($F$18,AQ85*(1+$E$18)+$G$18),0)</f>
        <v>0</v>
      </c>
      <c r="AR86" s="69" t="n">
        <f aca="false">IF(AR85&gt;0.5,AR85*(1+$E$19)+$G$19-MIN($F$19,AR85*(1+$E$19)+$G$19),0)</f>
        <v>0</v>
      </c>
      <c r="AS86" s="69" t="n">
        <f aca="false">H86+L86+P86+T86+X86+AB86+AF86+AJ86</f>
        <v>0</v>
      </c>
      <c r="AT86" s="69" t="n">
        <f aca="false">SUM(AK86:AR86)</f>
        <v>0</v>
      </c>
      <c r="AU86" s="69" t="n">
        <f aca="false">F86+G86+J86+K86+N86+O86+R86+S86+V86+W86+Z86+AA86+AD86+AE86+AH86+AI86</f>
        <v>0</v>
      </c>
    </row>
    <row r="87" customFormat="false" ht="15" hidden="false" customHeight="false" outlineLevel="0" collapsed="false">
      <c r="B87" s="0" t="n">
        <v>60</v>
      </c>
      <c r="C87" s="68" t="n">
        <f aca="false">EDATE($C$7,59)</f>
        <v>48092</v>
      </c>
      <c r="D87" s="69" t="n">
        <f aca="false">$C$8-(F87+J87+N87+R87+V87+Z87+AD87+AH87)</f>
        <v>0</v>
      </c>
      <c r="E87" s="69" t="n">
        <f aca="false">IF(H86&gt;0.5,H86*(1+E$23)+E$24,0)</f>
        <v>0</v>
      </c>
      <c r="F87" s="69" t="n">
        <f aca="false">MIN(F$23,E87)</f>
        <v>0</v>
      </c>
      <c r="G87" s="69" t="n">
        <f aca="false">IF(AND(F$24=1,OR(E$25="",$C87&gt;=E$25)),MAX(0,MIN(E87-F87,$D87-(0))),0)</f>
        <v>0</v>
      </c>
      <c r="H87" s="69" t="n">
        <f aca="false">E87-F87-G87</f>
        <v>0</v>
      </c>
      <c r="I87" s="69" t="n">
        <f aca="false">IF(L86&gt;0.5,L86*(1+I$23)+I$24,0)</f>
        <v>0</v>
      </c>
      <c r="J87" s="69" t="n">
        <f aca="false">MIN(J$23,I87)</f>
        <v>0</v>
      </c>
      <c r="K87" s="69" t="n">
        <f aca="false">IF(AND(J$24=1,OR(I$25="",$C87&gt;=I$25)),MAX(0,MIN(I87-J87,$D87-(G87))),0)</f>
        <v>0</v>
      </c>
      <c r="L87" s="69" t="n">
        <f aca="false">I87-J87-K87</f>
        <v>0</v>
      </c>
      <c r="M87" s="69" t="n">
        <f aca="false">IF(P86&gt;0.5,P86*(1+M$23)+M$24,0)</f>
        <v>0</v>
      </c>
      <c r="N87" s="69" t="n">
        <f aca="false">MIN(N$23,M87)</f>
        <v>0</v>
      </c>
      <c r="O87" s="69" t="n">
        <f aca="false">IF(AND(N$24=1,OR(M$25="",$C87&gt;=M$25)),MAX(0,MIN(M87-N87,$D87-(G87+K87))),0)</f>
        <v>0</v>
      </c>
      <c r="P87" s="69" t="n">
        <f aca="false">M87-N87-O87</f>
        <v>0</v>
      </c>
      <c r="Q87" s="69" t="n">
        <f aca="false">IF(T86&gt;0.5,T86*(1+Q$23)+Q$24,0)</f>
        <v>0</v>
      </c>
      <c r="R87" s="69" t="n">
        <f aca="false">MIN(R$23,Q87)</f>
        <v>0</v>
      </c>
      <c r="S87" s="69" t="n">
        <f aca="false">IF(AND(R$24=1,OR(Q$25="",$C87&gt;=Q$25)),MAX(0,MIN(Q87-R87,$D87-(G87+K87+O87))),0)</f>
        <v>0</v>
      </c>
      <c r="T87" s="69" t="n">
        <f aca="false">Q87-R87-S87</f>
        <v>0</v>
      </c>
      <c r="U87" s="69" t="n">
        <f aca="false">IF(X86&gt;0.5,X86*(1+U$23)+U$24,0)</f>
        <v>0</v>
      </c>
      <c r="V87" s="69" t="n">
        <f aca="false">MIN(V$23,U87)</f>
        <v>0</v>
      </c>
      <c r="W87" s="69" t="n">
        <f aca="false">IF(AND(V$24=1,OR(U$25="",$C87&gt;=U$25)),MAX(0,MIN(U87-V87,$D87-(G87+K87+O87+S87))),0)</f>
        <v>0</v>
      </c>
      <c r="X87" s="69" t="n">
        <f aca="false">U87-V87-W87</f>
        <v>0</v>
      </c>
      <c r="Y87" s="69" t="n">
        <f aca="false">IF(AB86&gt;0.5,AB86*(1+Y$23)+Y$24,0)</f>
        <v>0</v>
      </c>
      <c r="Z87" s="69" t="n">
        <f aca="false">MIN(Z$23,Y87)</f>
        <v>0</v>
      </c>
      <c r="AA87" s="69" t="n">
        <f aca="false">IF(AND(Z$24=1,OR(Y$25="",$C87&gt;=Y$25)),MAX(0,MIN(Y87-Z87,$D87-(G87+K87+O87+S87+W87))),0)</f>
        <v>0</v>
      </c>
      <c r="AB87" s="69" t="n">
        <f aca="false">Y87-Z87-AA87</f>
        <v>0</v>
      </c>
      <c r="AC87" s="69" t="n">
        <f aca="false">IF(AF86&gt;0.5,AF86*(1+AC$23)+AC$24,0)</f>
        <v>0</v>
      </c>
      <c r="AD87" s="69" t="n">
        <f aca="false">MIN(AD$23,AC87)</f>
        <v>0</v>
      </c>
      <c r="AE87" s="69" t="n">
        <f aca="false">IF(AND(AD$24=1,OR(AC$25="",$C87&gt;=AC$25)),MAX(0,MIN(AC87-AD87,$D87-(G87+K87+O87+S87+W87+AA87))),0)</f>
        <v>0</v>
      </c>
      <c r="AF87" s="69" t="n">
        <f aca="false">AC87-AD87-AE87</f>
        <v>0</v>
      </c>
      <c r="AG87" s="69" t="n">
        <f aca="false">IF(AJ86&gt;0.5,AJ86*(1+AG$23)+AG$24,0)</f>
        <v>0</v>
      </c>
      <c r="AH87" s="69" t="n">
        <f aca="false">MIN(AH$23,AG87)</f>
        <v>0</v>
      </c>
      <c r="AI87" s="69" t="n">
        <f aca="false">IF(AND(AH$24=1,OR(AG$25="",$C87&gt;=AG$25)),MAX(0,MIN(AG87-AH87,$D87-(G87+K87+O87+S87+W87+AA87+AE87))),0)</f>
        <v>0</v>
      </c>
      <c r="AJ87" s="69" t="n">
        <f aca="false">AG87-AH87-AI87</f>
        <v>0</v>
      </c>
      <c r="AK87" s="69" t="n">
        <f aca="false">IF(AK86&gt;0.5,AK86*(1+$E$12)+$G$12-MIN($F$12,AK86*(1+$E$12)+$G$12),0)</f>
        <v>0</v>
      </c>
      <c r="AL87" s="69" t="n">
        <f aca="false">IF(AL86&gt;0.5,AL86*(1+$E$13)+$G$13-MIN($F$13,AL86*(1+$E$13)+$G$13),0)</f>
        <v>0</v>
      </c>
      <c r="AM87" s="69" t="n">
        <f aca="false">IF(AM86&gt;0.5,AM86*(1+$E$14)+$G$14-MIN($F$14,AM86*(1+$E$14)+$G$14),0)</f>
        <v>0</v>
      </c>
      <c r="AN87" s="69" t="n">
        <f aca="false">IF(AN86&gt;0.5,AN86*(1+$E$15)+$G$15-MIN($F$15,AN86*(1+$E$15)+$G$15),0)</f>
        <v>0</v>
      </c>
      <c r="AO87" s="69" t="n">
        <f aca="false">IF(AO86&gt;0.5,AO86*(1+$E$16)+$G$16-MIN($F$16,AO86*(1+$E$16)+$G$16),0)</f>
        <v>0</v>
      </c>
      <c r="AP87" s="69" t="n">
        <f aca="false">IF(AP86&gt;0.5,AP86*(1+$E$17)+$G$17-MIN($F$17,AP86*(1+$E$17)+$G$17),0)</f>
        <v>0</v>
      </c>
      <c r="AQ87" s="69" t="n">
        <f aca="false">IF(AQ86&gt;0.5,AQ86*(1+$E$18)+$G$18-MIN($F$18,AQ86*(1+$E$18)+$G$18),0)</f>
        <v>0</v>
      </c>
      <c r="AR87" s="69" t="n">
        <f aca="false">IF(AR86&gt;0.5,AR86*(1+$E$19)+$G$19-MIN($F$19,AR86*(1+$E$19)+$G$19),0)</f>
        <v>0</v>
      </c>
      <c r="AS87" s="69" t="n">
        <f aca="false">H87+L87+P87+T87+X87+AB87+AF87+AJ87</f>
        <v>0</v>
      </c>
      <c r="AT87" s="69" t="n">
        <f aca="false">SUM(AK87:AR87)</f>
        <v>0</v>
      </c>
      <c r="AU87" s="69" t="n">
        <f aca="false">F87+G87+J87+K87+N87+O87+R87+S87+V87+W87+Z87+AA87+AD87+AE87+AH87+AI87</f>
        <v>0</v>
      </c>
    </row>
    <row r="88" customFormat="false" ht="15" hidden="false" customHeight="false" outlineLevel="0" collapsed="false">
      <c r="B88" s="0" t="n">
        <v>61</v>
      </c>
      <c r="C88" s="68" t="n">
        <f aca="false">EDATE($C$7,60)</f>
        <v>48122</v>
      </c>
      <c r="D88" s="69" t="n">
        <f aca="false">$C$8-(F88+J88+N88+R88+V88+Z88+AD88+AH88)</f>
        <v>0</v>
      </c>
      <c r="E88" s="69" t="n">
        <f aca="false">IF(H87&gt;0.5,H87*(1+E$23)+E$24,0)</f>
        <v>0</v>
      </c>
      <c r="F88" s="69" t="n">
        <f aca="false">MIN(F$23,E88)</f>
        <v>0</v>
      </c>
      <c r="G88" s="69" t="n">
        <f aca="false">IF(AND(F$24=1,OR(E$25="",$C88&gt;=E$25)),MAX(0,MIN(E88-F88,$D88-(0))),0)</f>
        <v>0</v>
      </c>
      <c r="H88" s="69" t="n">
        <f aca="false">E88-F88-G88</f>
        <v>0</v>
      </c>
      <c r="I88" s="69" t="n">
        <f aca="false">IF(L87&gt;0.5,L87*(1+I$23)+I$24,0)</f>
        <v>0</v>
      </c>
      <c r="J88" s="69" t="n">
        <f aca="false">MIN(J$23,I88)</f>
        <v>0</v>
      </c>
      <c r="K88" s="69" t="n">
        <f aca="false">IF(AND(J$24=1,OR(I$25="",$C88&gt;=I$25)),MAX(0,MIN(I88-J88,$D88-(G88))),0)</f>
        <v>0</v>
      </c>
      <c r="L88" s="69" t="n">
        <f aca="false">I88-J88-K88</f>
        <v>0</v>
      </c>
      <c r="M88" s="69" t="n">
        <f aca="false">IF(P87&gt;0.5,P87*(1+M$23)+M$24,0)</f>
        <v>0</v>
      </c>
      <c r="N88" s="69" t="n">
        <f aca="false">MIN(N$23,M88)</f>
        <v>0</v>
      </c>
      <c r="O88" s="69" t="n">
        <f aca="false">IF(AND(N$24=1,OR(M$25="",$C88&gt;=M$25)),MAX(0,MIN(M88-N88,$D88-(G88+K88))),0)</f>
        <v>0</v>
      </c>
      <c r="P88" s="69" t="n">
        <f aca="false">M88-N88-O88</f>
        <v>0</v>
      </c>
      <c r="Q88" s="69" t="n">
        <f aca="false">IF(T87&gt;0.5,T87*(1+Q$23)+Q$24,0)</f>
        <v>0</v>
      </c>
      <c r="R88" s="69" t="n">
        <f aca="false">MIN(R$23,Q88)</f>
        <v>0</v>
      </c>
      <c r="S88" s="69" t="n">
        <f aca="false">IF(AND(R$24=1,OR(Q$25="",$C88&gt;=Q$25)),MAX(0,MIN(Q88-R88,$D88-(G88+K88+O88))),0)</f>
        <v>0</v>
      </c>
      <c r="T88" s="69" t="n">
        <f aca="false">Q88-R88-S88</f>
        <v>0</v>
      </c>
      <c r="U88" s="69" t="n">
        <f aca="false">IF(X87&gt;0.5,X87*(1+U$23)+U$24,0)</f>
        <v>0</v>
      </c>
      <c r="V88" s="69" t="n">
        <f aca="false">MIN(V$23,U88)</f>
        <v>0</v>
      </c>
      <c r="W88" s="69" t="n">
        <f aca="false">IF(AND(V$24=1,OR(U$25="",$C88&gt;=U$25)),MAX(0,MIN(U88-V88,$D88-(G88+K88+O88+S88))),0)</f>
        <v>0</v>
      </c>
      <c r="X88" s="69" t="n">
        <f aca="false">U88-V88-W88</f>
        <v>0</v>
      </c>
      <c r="Y88" s="69" t="n">
        <f aca="false">IF(AB87&gt;0.5,AB87*(1+Y$23)+Y$24,0)</f>
        <v>0</v>
      </c>
      <c r="Z88" s="69" t="n">
        <f aca="false">MIN(Z$23,Y88)</f>
        <v>0</v>
      </c>
      <c r="AA88" s="69" t="n">
        <f aca="false">IF(AND(Z$24=1,OR(Y$25="",$C88&gt;=Y$25)),MAX(0,MIN(Y88-Z88,$D88-(G88+K88+O88+S88+W88))),0)</f>
        <v>0</v>
      </c>
      <c r="AB88" s="69" t="n">
        <f aca="false">Y88-Z88-AA88</f>
        <v>0</v>
      </c>
      <c r="AC88" s="69" t="n">
        <f aca="false">IF(AF87&gt;0.5,AF87*(1+AC$23)+AC$24,0)</f>
        <v>0</v>
      </c>
      <c r="AD88" s="69" t="n">
        <f aca="false">MIN(AD$23,AC88)</f>
        <v>0</v>
      </c>
      <c r="AE88" s="69" t="n">
        <f aca="false">IF(AND(AD$24=1,OR(AC$25="",$C88&gt;=AC$25)),MAX(0,MIN(AC88-AD88,$D88-(G88+K88+O88+S88+W88+AA88))),0)</f>
        <v>0</v>
      </c>
      <c r="AF88" s="69" t="n">
        <f aca="false">AC88-AD88-AE88</f>
        <v>0</v>
      </c>
      <c r="AG88" s="69" t="n">
        <f aca="false">IF(AJ87&gt;0.5,AJ87*(1+AG$23)+AG$24,0)</f>
        <v>0</v>
      </c>
      <c r="AH88" s="69" t="n">
        <f aca="false">MIN(AH$23,AG88)</f>
        <v>0</v>
      </c>
      <c r="AI88" s="69" t="n">
        <f aca="false">IF(AND(AH$24=1,OR(AG$25="",$C88&gt;=AG$25)),MAX(0,MIN(AG88-AH88,$D88-(G88+K88+O88+S88+W88+AA88+AE88))),0)</f>
        <v>0</v>
      </c>
      <c r="AJ88" s="69" t="n">
        <f aca="false">AG88-AH88-AI88</f>
        <v>0</v>
      </c>
      <c r="AK88" s="69" t="n">
        <f aca="false">IF(AK87&gt;0.5,AK87*(1+$E$12)+$G$12-MIN($F$12,AK87*(1+$E$12)+$G$12),0)</f>
        <v>0</v>
      </c>
      <c r="AL88" s="69" t="n">
        <f aca="false">IF(AL87&gt;0.5,AL87*(1+$E$13)+$G$13-MIN($F$13,AL87*(1+$E$13)+$G$13),0)</f>
        <v>0</v>
      </c>
      <c r="AM88" s="69" t="n">
        <f aca="false">IF(AM87&gt;0.5,AM87*(1+$E$14)+$G$14-MIN($F$14,AM87*(1+$E$14)+$G$14),0)</f>
        <v>0</v>
      </c>
      <c r="AN88" s="69" t="n">
        <f aca="false">IF(AN87&gt;0.5,AN87*(1+$E$15)+$G$15-MIN($F$15,AN87*(1+$E$15)+$G$15),0)</f>
        <v>0</v>
      </c>
      <c r="AO88" s="69" t="n">
        <f aca="false">IF(AO87&gt;0.5,AO87*(1+$E$16)+$G$16-MIN($F$16,AO87*(1+$E$16)+$G$16),0)</f>
        <v>0</v>
      </c>
      <c r="AP88" s="69" t="n">
        <f aca="false">IF(AP87&gt;0.5,AP87*(1+$E$17)+$G$17-MIN($F$17,AP87*(1+$E$17)+$G$17),0)</f>
        <v>0</v>
      </c>
      <c r="AQ88" s="69" t="n">
        <f aca="false">IF(AQ87&gt;0.5,AQ87*(1+$E$18)+$G$18-MIN($F$18,AQ87*(1+$E$18)+$G$18),0)</f>
        <v>0</v>
      </c>
      <c r="AR88" s="69" t="n">
        <f aca="false">IF(AR87&gt;0.5,AR87*(1+$E$19)+$G$19-MIN($F$19,AR87*(1+$E$19)+$G$19),0)</f>
        <v>0</v>
      </c>
      <c r="AS88" s="69" t="n">
        <f aca="false">H88+L88+P88+T88+X88+AB88+AF88+AJ88</f>
        <v>0</v>
      </c>
      <c r="AT88" s="69" t="n">
        <f aca="false">SUM(AK88:AR88)</f>
        <v>0</v>
      </c>
      <c r="AU88" s="69" t="n">
        <f aca="false">F88+G88+J88+K88+N88+O88+R88+S88+V88+W88+Z88+AA88+AD88+AE88+AH88+AI88</f>
        <v>0</v>
      </c>
    </row>
    <row r="89" customFormat="false" ht="15" hidden="false" customHeight="false" outlineLevel="0" collapsed="false">
      <c r="B89" s="0" t="n">
        <v>62</v>
      </c>
      <c r="C89" s="68" t="n">
        <f aca="false">EDATE($C$7,61)</f>
        <v>48153</v>
      </c>
      <c r="D89" s="69" t="n">
        <f aca="false">$C$8-(F89+J89+N89+R89+V89+Z89+AD89+AH89)</f>
        <v>0</v>
      </c>
      <c r="E89" s="69" t="n">
        <f aca="false">IF(H88&gt;0.5,H88*(1+E$23)+E$24,0)</f>
        <v>0</v>
      </c>
      <c r="F89" s="69" t="n">
        <f aca="false">MIN(F$23,E89)</f>
        <v>0</v>
      </c>
      <c r="G89" s="69" t="n">
        <f aca="false">IF(AND(F$24=1,OR(E$25="",$C89&gt;=E$25)),MAX(0,MIN(E89-F89,$D89-(0))),0)</f>
        <v>0</v>
      </c>
      <c r="H89" s="69" t="n">
        <f aca="false">E89-F89-G89</f>
        <v>0</v>
      </c>
      <c r="I89" s="69" t="n">
        <f aca="false">IF(L88&gt;0.5,L88*(1+I$23)+I$24,0)</f>
        <v>0</v>
      </c>
      <c r="J89" s="69" t="n">
        <f aca="false">MIN(J$23,I89)</f>
        <v>0</v>
      </c>
      <c r="K89" s="69" t="n">
        <f aca="false">IF(AND(J$24=1,OR(I$25="",$C89&gt;=I$25)),MAX(0,MIN(I89-J89,$D89-(G89))),0)</f>
        <v>0</v>
      </c>
      <c r="L89" s="69" t="n">
        <f aca="false">I89-J89-K89</f>
        <v>0</v>
      </c>
      <c r="M89" s="69" t="n">
        <f aca="false">IF(P88&gt;0.5,P88*(1+M$23)+M$24,0)</f>
        <v>0</v>
      </c>
      <c r="N89" s="69" t="n">
        <f aca="false">MIN(N$23,M89)</f>
        <v>0</v>
      </c>
      <c r="O89" s="69" t="n">
        <f aca="false">IF(AND(N$24=1,OR(M$25="",$C89&gt;=M$25)),MAX(0,MIN(M89-N89,$D89-(G89+K89))),0)</f>
        <v>0</v>
      </c>
      <c r="P89" s="69" t="n">
        <f aca="false">M89-N89-O89</f>
        <v>0</v>
      </c>
      <c r="Q89" s="69" t="n">
        <f aca="false">IF(T88&gt;0.5,T88*(1+Q$23)+Q$24,0)</f>
        <v>0</v>
      </c>
      <c r="R89" s="69" t="n">
        <f aca="false">MIN(R$23,Q89)</f>
        <v>0</v>
      </c>
      <c r="S89" s="69" t="n">
        <f aca="false">IF(AND(R$24=1,OR(Q$25="",$C89&gt;=Q$25)),MAX(0,MIN(Q89-R89,$D89-(G89+K89+O89))),0)</f>
        <v>0</v>
      </c>
      <c r="T89" s="69" t="n">
        <f aca="false">Q89-R89-S89</f>
        <v>0</v>
      </c>
      <c r="U89" s="69" t="n">
        <f aca="false">IF(X88&gt;0.5,X88*(1+U$23)+U$24,0)</f>
        <v>0</v>
      </c>
      <c r="V89" s="69" t="n">
        <f aca="false">MIN(V$23,U89)</f>
        <v>0</v>
      </c>
      <c r="W89" s="69" t="n">
        <f aca="false">IF(AND(V$24=1,OR(U$25="",$C89&gt;=U$25)),MAX(0,MIN(U89-V89,$D89-(G89+K89+O89+S89))),0)</f>
        <v>0</v>
      </c>
      <c r="X89" s="69" t="n">
        <f aca="false">U89-V89-W89</f>
        <v>0</v>
      </c>
      <c r="Y89" s="69" t="n">
        <f aca="false">IF(AB88&gt;0.5,AB88*(1+Y$23)+Y$24,0)</f>
        <v>0</v>
      </c>
      <c r="Z89" s="69" t="n">
        <f aca="false">MIN(Z$23,Y89)</f>
        <v>0</v>
      </c>
      <c r="AA89" s="69" t="n">
        <f aca="false">IF(AND(Z$24=1,OR(Y$25="",$C89&gt;=Y$25)),MAX(0,MIN(Y89-Z89,$D89-(G89+K89+O89+S89+W89))),0)</f>
        <v>0</v>
      </c>
      <c r="AB89" s="69" t="n">
        <f aca="false">Y89-Z89-AA89</f>
        <v>0</v>
      </c>
      <c r="AC89" s="69" t="n">
        <f aca="false">IF(AF88&gt;0.5,AF88*(1+AC$23)+AC$24,0)</f>
        <v>0</v>
      </c>
      <c r="AD89" s="69" t="n">
        <f aca="false">MIN(AD$23,AC89)</f>
        <v>0</v>
      </c>
      <c r="AE89" s="69" t="n">
        <f aca="false">IF(AND(AD$24=1,OR(AC$25="",$C89&gt;=AC$25)),MAX(0,MIN(AC89-AD89,$D89-(G89+K89+O89+S89+W89+AA89))),0)</f>
        <v>0</v>
      </c>
      <c r="AF89" s="69" t="n">
        <f aca="false">AC89-AD89-AE89</f>
        <v>0</v>
      </c>
      <c r="AG89" s="69" t="n">
        <f aca="false">IF(AJ88&gt;0.5,AJ88*(1+AG$23)+AG$24,0)</f>
        <v>0</v>
      </c>
      <c r="AH89" s="69" t="n">
        <f aca="false">MIN(AH$23,AG89)</f>
        <v>0</v>
      </c>
      <c r="AI89" s="69" t="n">
        <f aca="false">IF(AND(AH$24=1,OR(AG$25="",$C89&gt;=AG$25)),MAX(0,MIN(AG89-AH89,$D89-(G89+K89+O89+S89+W89+AA89+AE89))),0)</f>
        <v>0</v>
      </c>
      <c r="AJ89" s="69" t="n">
        <f aca="false">AG89-AH89-AI89</f>
        <v>0</v>
      </c>
      <c r="AK89" s="69" t="n">
        <f aca="false">IF(AK88&gt;0.5,AK88*(1+$E$12)+$G$12-MIN($F$12,AK88*(1+$E$12)+$G$12),0)</f>
        <v>0</v>
      </c>
      <c r="AL89" s="69" t="n">
        <f aca="false">IF(AL88&gt;0.5,AL88*(1+$E$13)+$G$13-MIN($F$13,AL88*(1+$E$13)+$G$13),0)</f>
        <v>0</v>
      </c>
      <c r="AM89" s="69" t="n">
        <f aca="false">IF(AM88&gt;0.5,AM88*(1+$E$14)+$G$14-MIN($F$14,AM88*(1+$E$14)+$G$14),0)</f>
        <v>0</v>
      </c>
      <c r="AN89" s="69" t="n">
        <f aca="false">IF(AN88&gt;0.5,AN88*(1+$E$15)+$G$15-MIN($F$15,AN88*(1+$E$15)+$G$15),0)</f>
        <v>0</v>
      </c>
      <c r="AO89" s="69" t="n">
        <f aca="false">IF(AO88&gt;0.5,AO88*(1+$E$16)+$G$16-MIN($F$16,AO88*(1+$E$16)+$G$16),0)</f>
        <v>0</v>
      </c>
      <c r="AP89" s="69" t="n">
        <f aca="false">IF(AP88&gt;0.5,AP88*(1+$E$17)+$G$17-MIN($F$17,AP88*(1+$E$17)+$G$17),0)</f>
        <v>0</v>
      </c>
      <c r="AQ89" s="69" t="n">
        <f aca="false">IF(AQ88&gt;0.5,AQ88*(1+$E$18)+$G$18-MIN($F$18,AQ88*(1+$E$18)+$G$18),0)</f>
        <v>0</v>
      </c>
      <c r="AR89" s="69" t="n">
        <f aca="false">IF(AR88&gt;0.5,AR88*(1+$E$19)+$G$19-MIN($F$19,AR88*(1+$E$19)+$G$19),0)</f>
        <v>0</v>
      </c>
      <c r="AS89" s="69" t="n">
        <f aca="false">H89+L89+P89+T89+X89+AB89+AF89+AJ89</f>
        <v>0</v>
      </c>
      <c r="AT89" s="69" t="n">
        <f aca="false">SUM(AK89:AR89)</f>
        <v>0</v>
      </c>
      <c r="AU89" s="69" t="n">
        <f aca="false">F89+G89+J89+K89+N89+O89+R89+S89+V89+W89+Z89+AA89+AD89+AE89+AH89+AI89</f>
        <v>0</v>
      </c>
    </row>
    <row r="90" customFormat="false" ht="15" hidden="false" customHeight="false" outlineLevel="0" collapsed="false">
      <c r="B90" s="0" t="n">
        <v>63</v>
      </c>
      <c r="C90" s="68" t="n">
        <f aca="false">EDATE($C$7,62)</f>
        <v>48183</v>
      </c>
      <c r="D90" s="69" t="n">
        <f aca="false">$C$8-(F90+J90+N90+R90+V90+Z90+AD90+AH90)</f>
        <v>0</v>
      </c>
      <c r="E90" s="69" t="n">
        <f aca="false">IF(H89&gt;0.5,H89*(1+E$23)+E$24,0)</f>
        <v>0</v>
      </c>
      <c r="F90" s="69" t="n">
        <f aca="false">MIN(F$23,E90)</f>
        <v>0</v>
      </c>
      <c r="G90" s="69" t="n">
        <f aca="false">IF(AND(F$24=1,OR(E$25="",$C90&gt;=E$25)),MAX(0,MIN(E90-F90,$D90-(0))),0)</f>
        <v>0</v>
      </c>
      <c r="H90" s="69" t="n">
        <f aca="false">E90-F90-G90</f>
        <v>0</v>
      </c>
      <c r="I90" s="69" t="n">
        <f aca="false">IF(L89&gt;0.5,L89*(1+I$23)+I$24,0)</f>
        <v>0</v>
      </c>
      <c r="J90" s="69" t="n">
        <f aca="false">MIN(J$23,I90)</f>
        <v>0</v>
      </c>
      <c r="K90" s="69" t="n">
        <f aca="false">IF(AND(J$24=1,OR(I$25="",$C90&gt;=I$25)),MAX(0,MIN(I90-J90,$D90-(G90))),0)</f>
        <v>0</v>
      </c>
      <c r="L90" s="69" t="n">
        <f aca="false">I90-J90-K90</f>
        <v>0</v>
      </c>
      <c r="M90" s="69" t="n">
        <f aca="false">IF(P89&gt;0.5,P89*(1+M$23)+M$24,0)</f>
        <v>0</v>
      </c>
      <c r="N90" s="69" t="n">
        <f aca="false">MIN(N$23,M90)</f>
        <v>0</v>
      </c>
      <c r="O90" s="69" t="n">
        <f aca="false">IF(AND(N$24=1,OR(M$25="",$C90&gt;=M$25)),MAX(0,MIN(M90-N90,$D90-(G90+K90))),0)</f>
        <v>0</v>
      </c>
      <c r="P90" s="69" t="n">
        <f aca="false">M90-N90-O90</f>
        <v>0</v>
      </c>
      <c r="Q90" s="69" t="n">
        <f aca="false">IF(T89&gt;0.5,T89*(1+Q$23)+Q$24,0)</f>
        <v>0</v>
      </c>
      <c r="R90" s="69" t="n">
        <f aca="false">MIN(R$23,Q90)</f>
        <v>0</v>
      </c>
      <c r="S90" s="69" t="n">
        <f aca="false">IF(AND(R$24=1,OR(Q$25="",$C90&gt;=Q$25)),MAX(0,MIN(Q90-R90,$D90-(G90+K90+O90))),0)</f>
        <v>0</v>
      </c>
      <c r="T90" s="69" t="n">
        <f aca="false">Q90-R90-S90</f>
        <v>0</v>
      </c>
      <c r="U90" s="69" t="n">
        <f aca="false">IF(X89&gt;0.5,X89*(1+U$23)+U$24,0)</f>
        <v>0</v>
      </c>
      <c r="V90" s="69" t="n">
        <f aca="false">MIN(V$23,U90)</f>
        <v>0</v>
      </c>
      <c r="W90" s="69" t="n">
        <f aca="false">IF(AND(V$24=1,OR(U$25="",$C90&gt;=U$25)),MAX(0,MIN(U90-V90,$D90-(G90+K90+O90+S90))),0)</f>
        <v>0</v>
      </c>
      <c r="X90" s="69" t="n">
        <f aca="false">U90-V90-W90</f>
        <v>0</v>
      </c>
      <c r="Y90" s="69" t="n">
        <f aca="false">IF(AB89&gt;0.5,AB89*(1+Y$23)+Y$24,0)</f>
        <v>0</v>
      </c>
      <c r="Z90" s="69" t="n">
        <f aca="false">MIN(Z$23,Y90)</f>
        <v>0</v>
      </c>
      <c r="AA90" s="69" t="n">
        <f aca="false">IF(AND(Z$24=1,OR(Y$25="",$C90&gt;=Y$25)),MAX(0,MIN(Y90-Z90,$D90-(G90+K90+O90+S90+W90))),0)</f>
        <v>0</v>
      </c>
      <c r="AB90" s="69" t="n">
        <f aca="false">Y90-Z90-AA90</f>
        <v>0</v>
      </c>
      <c r="AC90" s="69" t="n">
        <f aca="false">IF(AF89&gt;0.5,AF89*(1+AC$23)+AC$24,0)</f>
        <v>0</v>
      </c>
      <c r="AD90" s="69" t="n">
        <f aca="false">MIN(AD$23,AC90)</f>
        <v>0</v>
      </c>
      <c r="AE90" s="69" t="n">
        <f aca="false">IF(AND(AD$24=1,OR(AC$25="",$C90&gt;=AC$25)),MAX(0,MIN(AC90-AD90,$D90-(G90+K90+O90+S90+W90+AA90))),0)</f>
        <v>0</v>
      </c>
      <c r="AF90" s="69" t="n">
        <f aca="false">AC90-AD90-AE90</f>
        <v>0</v>
      </c>
      <c r="AG90" s="69" t="n">
        <f aca="false">IF(AJ89&gt;0.5,AJ89*(1+AG$23)+AG$24,0)</f>
        <v>0</v>
      </c>
      <c r="AH90" s="69" t="n">
        <f aca="false">MIN(AH$23,AG90)</f>
        <v>0</v>
      </c>
      <c r="AI90" s="69" t="n">
        <f aca="false">IF(AND(AH$24=1,OR(AG$25="",$C90&gt;=AG$25)),MAX(0,MIN(AG90-AH90,$D90-(G90+K90+O90+S90+W90+AA90+AE90))),0)</f>
        <v>0</v>
      </c>
      <c r="AJ90" s="69" t="n">
        <f aca="false">AG90-AH90-AI90</f>
        <v>0</v>
      </c>
      <c r="AK90" s="69" t="n">
        <f aca="false">IF(AK89&gt;0.5,AK89*(1+$E$12)+$G$12-MIN($F$12,AK89*(1+$E$12)+$G$12),0)</f>
        <v>0</v>
      </c>
      <c r="AL90" s="69" t="n">
        <f aca="false">IF(AL89&gt;0.5,AL89*(1+$E$13)+$G$13-MIN($F$13,AL89*(1+$E$13)+$G$13),0)</f>
        <v>0</v>
      </c>
      <c r="AM90" s="69" t="n">
        <f aca="false">IF(AM89&gt;0.5,AM89*(1+$E$14)+$G$14-MIN($F$14,AM89*(1+$E$14)+$G$14),0)</f>
        <v>0</v>
      </c>
      <c r="AN90" s="69" t="n">
        <f aca="false">IF(AN89&gt;0.5,AN89*(1+$E$15)+$G$15-MIN($F$15,AN89*(1+$E$15)+$G$15),0)</f>
        <v>0</v>
      </c>
      <c r="AO90" s="69" t="n">
        <f aca="false">IF(AO89&gt;0.5,AO89*(1+$E$16)+$G$16-MIN($F$16,AO89*(1+$E$16)+$G$16),0)</f>
        <v>0</v>
      </c>
      <c r="AP90" s="69" t="n">
        <f aca="false">IF(AP89&gt;0.5,AP89*(1+$E$17)+$G$17-MIN($F$17,AP89*(1+$E$17)+$G$17),0)</f>
        <v>0</v>
      </c>
      <c r="AQ90" s="69" t="n">
        <f aca="false">IF(AQ89&gt;0.5,AQ89*(1+$E$18)+$G$18-MIN($F$18,AQ89*(1+$E$18)+$G$18),0)</f>
        <v>0</v>
      </c>
      <c r="AR90" s="69" t="n">
        <f aca="false">IF(AR89&gt;0.5,AR89*(1+$E$19)+$G$19-MIN($F$19,AR89*(1+$E$19)+$G$19),0)</f>
        <v>0</v>
      </c>
      <c r="AS90" s="69" t="n">
        <f aca="false">H90+L90+P90+T90+X90+AB90+AF90+AJ90</f>
        <v>0</v>
      </c>
      <c r="AT90" s="69" t="n">
        <f aca="false">SUM(AK90:AR90)</f>
        <v>0</v>
      </c>
      <c r="AU90" s="69" t="n">
        <f aca="false">F90+G90+J90+K90+N90+O90+R90+S90+V90+W90+Z90+AA90+AD90+AE90+AH90+AI90</f>
        <v>0</v>
      </c>
    </row>
    <row r="91" customFormat="false" ht="15" hidden="false" customHeight="false" outlineLevel="0" collapsed="false">
      <c r="B91" s="0" t="n">
        <v>64</v>
      </c>
      <c r="C91" s="68" t="n">
        <f aca="false">EDATE($C$7,63)</f>
        <v>48214</v>
      </c>
      <c r="D91" s="69" t="n">
        <f aca="false">$C$8-(F91+J91+N91+R91+V91+Z91+AD91+AH91)</f>
        <v>0</v>
      </c>
      <c r="E91" s="69" t="n">
        <f aca="false">IF(H90&gt;0.5,H90*(1+E$23)+E$24,0)</f>
        <v>0</v>
      </c>
      <c r="F91" s="69" t="n">
        <f aca="false">MIN(F$23,E91)</f>
        <v>0</v>
      </c>
      <c r="G91" s="69" t="n">
        <f aca="false">IF(AND(F$24=1,OR(E$25="",$C91&gt;=E$25)),MAX(0,MIN(E91-F91,$D91-(0))),0)</f>
        <v>0</v>
      </c>
      <c r="H91" s="69" t="n">
        <f aca="false">E91-F91-G91</f>
        <v>0</v>
      </c>
      <c r="I91" s="69" t="n">
        <f aca="false">IF(L90&gt;0.5,L90*(1+I$23)+I$24,0)</f>
        <v>0</v>
      </c>
      <c r="J91" s="69" t="n">
        <f aca="false">MIN(J$23,I91)</f>
        <v>0</v>
      </c>
      <c r="K91" s="69" t="n">
        <f aca="false">IF(AND(J$24=1,OR(I$25="",$C91&gt;=I$25)),MAX(0,MIN(I91-J91,$D91-(G91))),0)</f>
        <v>0</v>
      </c>
      <c r="L91" s="69" t="n">
        <f aca="false">I91-J91-K91</f>
        <v>0</v>
      </c>
      <c r="M91" s="69" t="n">
        <f aca="false">IF(P90&gt;0.5,P90*(1+M$23)+M$24,0)</f>
        <v>0</v>
      </c>
      <c r="N91" s="69" t="n">
        <f aca="false">MIN(N$23,M91)</f>
        <v>0</v>
      </c>
      <c r="O91" s="69" t="n">
        <f aca="false">IF(AND(N$24=1,OR(M$25="",$C91&gt;=M$25)),MAX(0,MIN(M91-N91,$D91-(G91+K91))),0)</f>
        <v>0</v>
      </c>
      <c r="P91" s="69" t="n">
        <f aca="false">M91-N91-O91</f>
        <v>0</v>
      </c>
      <c r="Q91" s="69" t="n">
        <f aca="false">IF(T90&gt;0.5,T90*(1+Q$23)+Q$24,0)</f>
        <v>0</v>
      </c>
      <c r="R91" s="69" t="n">
        <f aca="false">MIN(R$23,Q91)</f>
        <v>0</v>
      </c>
      <c r="S91" s="69" t="n">
        <f aca="false">IF(AND(R$24=1,OR(Q$25="",$C91&gt;=Q$25)),MAX(0,MIN(Q91-R91,$D91-(G91+K91+O91))),0)</f>
        <v>0</v>
      </c>
      <c r="T91" s="69" t="n">
        <f aca="false">Q91-R91-S91</f>
        <v>0</v>
      </c>
      <c r="U91" s="69" t="n">
        <f aca="false">IF(X90&gt;0.5,X90*(1+U$23)+U$24,0)</f>
        <v>0</v>
      </c>
      <c r="V91" s="69" t="n">
        <f aca="false">MIN(V$23,U91)</f>
        <v>0</v>
      </c>
      <c r="W91" s="69" t="n">
        <f aca="false">IF(AND(V$24=1,OR(U$25="",$C91&gt;=U$25)),MAX(0,MIN(U91-V91,$D91-(G91+K91+O91+S91))),0)</f>
        <v>0</v>
      </c>
      <c r="X91" s="69" t="n">
        <f aca="false">U91-V91-W91</f>
        <v>0</v>
      </c>
      <c r="Y91" s="69" t="n">
        <f aca="false">IF(AB90&gt;0.5,AB90*(1+Y$23)+Y$24,0)</f>
        <v>0</v>
      </c>
      <c r="Z91" s="69" t="n">
        <f aca="false">MIN(Z$23,Y91)</f>
        <v>0</v>
      </c>
      <c r="AA91" s="69" t="n">
        <f aca="false">IF(AND(Z$24=1,OR(Y$25="",$C91&gt;=Y$25)),MAX(0,MIN(Y91-Z91,$D91-(G91+K91+O91+S91+W91))),0)</f>
        <v>0</v>
      </c>
      <c r="AB91" s="69" t="n">
        <f aca="false">Y91-Z91-AA91</f>
        <v>0</v>
      </c>
      <c r="AC91" s="69" t="n">
        <f aca="false">IF(AF90&gt;0.5,AF90*(1+AC$23)+AC$24,0)</f>
        <v>0</v>
      </c>
      <c r="AD91" s="69" t="n">
        <f aca="false">MIN(AD$23,AC91)</f>
        <v>0</v>
      </c>
      <c r="AE91" s="69" t="n">
        <f aca="false">IF(AND(AD$24=1,OR(AC$25="",$C91&gt;=AC$25)),MAX(0,MIN(AC91-AD91,$D91-(G91+K91+O91+S91+W91+AA91))),0)</f>
        <v>0</v>
      </c>
      <c r="AF91" s="69" t="n">
        <f aca="false">AC91-AD91-AE91</f>
        <v>0</v>
      </c>
      <c r="AG91" s="69" t="n">
        <f aca="false">IF(AJ90&gt;0.5,AJ90*(1+AG$23)+AG$24,0)</f>
        <v>0</v>
      </c>
      <c r="AH91" s="69" t="n">
        <f aca="false">MIN(AH$23,AG91)</f>
        <v>0</v>
      </c>
      <c r="AI91" s="69" t="n">
        <f aca="false">IF(AND(AH$24=1,OR(AG$25="",$C91&gt;=AG$25)),MAX(0,MIN(AG91-AH91,$D91-(G91+K91+O91+S91+W91+AA91+AE91))),0)</f>
        <v>0</v>
      </c>
      <c r="AJ91" s="69" t="n">
        <f aca="false">AG91-AH91-AI91</f>
        <v>0</v>
      </c>
      <c r="AK91" s="69" t="n">
        <f aca="false">IF(AK90&gt;0.5,AK90*(1+$E$12)+$G$12-MIN($F$12,AK90*(1+$E$12)+$G$12),0)</f>
        <v>0</v>
      </c>
      <c r="AL91" s="69" t="n">
        <f aca="false">IF(AL90&gt;0.5,AL90*(1+$E$13)+$G$13-MIN($F$13,AL90*(1+$E$13)+$G$13),0)</f>
        <v>0</v>
      </c>
      <c r="AM91" s="69" t="n">
        <f aca="false">IF(AM90&gt;0.5,AM90*(1+$E$14)+$G$14-MIN($F$14,AM90*(1+$E$14)+$G$14),0)</f>
        <v>0</v>
      </c>
      <c r="AN91" s="69" t="n">
        <f aca="false">IF(AN90&gt;0.5,AN90*(1+$E$15)+$G$15-MIN($F$15,AN90*(1+$E$15)+$G$15),0)</f>
        <v>0</v>
      </c>
      <c r="AO91" s="69" t="n">
        <f aca="false">IF(AO90&gt;0.5,AO90*(1+$E$16)+$G$16-MIN($F$16,AO90*(1+$E$16)+$G$16),0)</f>
        <v>0</v>
      </c>
      <c r="AP91" s="69" t="n">
        <f aca="false">IF(AP90&gt;0.5,AP90*(1+$E$17)+$G$17-MIN($F$17,AP90*(1+$E$17)+$G$17),0)</f>
        <v>0</v>
      </c>
      <c r="AQ91" s="69" t="n">
        <f aca="false">IF(AQ90&gt;0.5,AQ90*(1+$E$18)+$G$18-MIN($F$18,AQ90*(1+$E$18)+$G$18),0)</f>
        <v>0</v>
      </c>
      <c r="AR91" s="69" t="n">
        <f aca="false">IF(AR90&gt;0.5,AR90*(1+$E$19)+$G$19-MIN($F$19,AR90*(1+$E$19)+$G$19),0)</f>
        <v>0</v>
      </c>
      <c r="AS91" s="69" t="n">
        <f aca="false">H91+L91+P91+T91+X91+AB91+AF91+AJ91</f>
        <v>0</v>
      </c>
      <c r="AT91" s="69" t="n">
        <f aca="false">SUM(AK91:AR91)</f>
        <v>0</v>
      </c>
      <c r="AU91" s="69" t="n">
        <f aca="false">F91+G91+J91+K91+N91+O91+R91+S91+V91+W91+Z91+AA91+AD91+AE91+AH91+AI91</f>
        <v>0</v>
      </c>
    </row>
    <row r="92" customFormat="false" ht="15" hidden="false" customHeight="false" outlineLevel="0" collapsed="false">
      <c r="B92" s="0" t="n">
        <v>65</v>
      </c>
      <c r="C92" s="68" t="n">
        <f aca="false">EDATE($C$7,64)</f>
        <v>48245</v>
      </c>
      <c r="D92" s="69" t="n">
        <f aca="false">$C$8-(F92+J92+N92+R92+V92+Z92+AD92+AH92)</f>
        <v>0</v>
      </c>
      <c r="E92" s="69" t="n">
        <f aca="false">IF(H91&gt;0.5,H91*(1+E$23)+E$24,0)</f>
        <v>0</v>
      </c>
      <c r="F92" s="69" t="n">
        <f aca="false">MIN(F$23,E92)</f>
        <v>0</v>
      </c>
      <c r="G92" s="69" t="n">
        <f aca="false">IF(AND(F$24=1,OR(E$25="",$C92&gt;=E$25)),MAX(0,MIN(E92-F92,$D92-(0))),0)</f>
        <v>0</v>
      </c>
      <c r="H92" s="69" t="n">
        <f aca="false">E92-F92-G92</f>
        <v>0</v>
      </c>
      <c r="I92" s="69" t="n">
        <f aca="false">IF(L91&gt;0.5,L91*(1+I$23)+I$24,0)</f>
        <v>0</v>
      </c>
      <c r="J92" s="69" t="n">
        <f aca="false">MIN(J$23,I92)</f>
        <v>0</v>
      </c>
      <c r="K92" s="69" t="n">
        <f aca="false">IF(AND(J$24=1,OR(I$25="",$C92&gt;=I$25)),MAX(0,MIN(I92-J92,$D92-(G92))),0)</f>
        <v>0</v>
      </c>
      <c r="L92" s="69" t="n">
        <f aca="false">I92-J92-K92</f>
        <v>0</v>
      </c>
      <c r="M92" s="69" t="n">
        <f aca="false">IF(P91&gt;0.5,P91*(1+M$23)+M$24,0)</f>
        <v>0</v>
      </c>
      <c r="N92" s="69" t="n">
        <f aca="false">MIN(N$23,M92)</f>
        <v>0</v>
      </c>
      <c r="O92" s="69" t="n">
        <f aca="false">IF(AND(N$24=1,OR(M$25="",$C92&gt;=M$25)),MAX(0,MIN(M92-N92,$D92-(G92+K92))),0)</f>
        <v>0</v>
      </c>
      <c r="P92" s="69" t="n">
        <f aca="false">M92-N92-O92</f>
        <v>0</v>
      </c>
      <c r="Q92" s="69" t="n">
        <f aca="false">IF(T91&gt;0.5,T91*(1+Q$23)+Q$24,0)</f>
        <v>0</v>
      </c>
      <c r="R92" s="69" t="n">
        <f aca="false">MIN(R$23,Q92)</f>
        <v>0</v>
      </c>
      <c r="S92" s="69" t="n">
        <f aca="false">IF(AND(R$24=1,OR(Q$25="",$C92&gt;=Q$25)),MAX(0,MIN(Q92-R92,$D92-(G92+K92+O92))),0)</f>
        <v>0</v>
      </c>
      <c r="T92" s="69" t="n">
        <f aca="false">Q92-R92-S92</f>
        <v>0</v>
      </c>
      <c r="U92" s="69" t="n">
        <f aca="false">IF(X91&gt;0.5,X91*(1+U$23)+U$24,0)</f>
        <v>0</v>
      </c>
      <c r="V92" s="69" t="n">
        <f aca="false">MIN(V$23,U92)</f>
        <v>0</v>
      </c>
      <c r="W92" s="69" t="n">
        <f aca="false">IF(AND(V$24=1,OR(U$25="",$C92&gt;=U$25)),MAX(0,MIN(U92-V92,$D92-(G92+K92+O92+S92))),0)</f>
        <v>0</v>
      </c>
      <c r="X92" s="69" t="n">
        <f aca="false">U92-V92-W92</f>
        <v>0</v>
      </c>
      <c r="Y92" s="69" t="n">
        <f aca="false">IF(AB91&gt;0.5,AB91*(1+Y$23)+Y$24,0)</f>
        <v>0</v>
      </c>
      <c r="Z92" s="69" t="n">
        <f aca="false">MIN(Z$23,Y92)</f>
        <v>0</v>
      </c>
      <c r="AA92" s="69" t="n">
        <f aca="false">IF(AND(Z$24=1,OR(Y$25="",$C92&gt;=Y$25)),MAX(0,MIN(Y92-Z92,$D92-(G92+K92+O92+S92+W92))),0)</f>
        <v>0</v>
      </c>
      <c r="AB92" s="69" t="n">
        <f aca="false">Y92-Z92-AA92</f>
        <v>0</v>
      </c>
      <c r="AC92" s="69" t="n">
        <f aca="false">IF(AF91&gt;0.5,AF91*(1+AC$23)+AC$24,0)</f>
        <v>0</v>
      </c>
      <c r="AD92" s="69" t="n">
        <f aca="false">MIN(AD$23,AC92)</f>
        <v>0</v>
      </c>
      <c r="AE92" s="69" t="n">
        <f aca="false">IF(AND(AD$24=1,OR(AC$25="",$C92&gt;=AC$25)),MAX(0,MIN(AC92-AD92,$D92-(G92+K92+O92+S92+W92+AA92))),0)</f>
        <v>0</v>
      </c>
      <c r="AF92" s="69" t="n">
        <f aca="false">AC92-AD92-AE92</f>
        <v>0</v>
      </c>
      <c r="AG92" s="69" t="n">
        <f aca="false">IF(AJ91&gt;0.5,AJ91*(1+AG$23)+AG$24,0)</f>
        <v>0</v>
      </c>
      <c r="AH92" s="69" t="n">
        <f aca="false">MIN(AH$23,AG92)</f>
        <v>0</v>
      </c>
      <c r="AI92" s="69" t="n">
        <f aca="false">IF(AND(AH$24=1,OR(AG$25="",$C92&gt;=AG$25)),MAX(0,MIN(AG92-AH92,$D92-(G92+K92+O92+S92+W92+AA92+AE92))),0)</f>
        <v>0</v>
      </c>
      <c r="AJ92" s="69" t="n">
        <f aca="false">AG92-AH92-AI92</f>
        <v>0</v>
      </c>
      <c r="AK92" s="69" t="n">
        <f aca="false">IF(AK91&gt;0.5,AK91*(1+$E$12)+$G$12-MIN($F$12,AK91*(1+$E$12)+$G$12),0)</f>
        <v>0</v>
      </c>
      <c r="AL92" s="69" t="n">
        <f aca="false">IF(AL91&gt;0.5,AL91*(1+$E$13)+$G$13-MIN($F$13,AL91*(1+$E$13)+$G$13),0)</f>
        <v>0</v>
      </c>
      <c r="AM92" s="69" t="n">
        <f aca="false">IF(AM91&gt;0.5,AM91*(1+$E$14)+$G$14-MIN($F$14,AM91*(1+$E$14)+$G$14),0)</f>
        <v>0</v>
      </c>
      <c r="AN92" s="69" t="n">
        <f aca="false">IF(AN91&gt;0.5,AN91*(1+$E$15)+$G$15-MIN($F$15,AN91*(1+$E$15)+$G$15),0)</f>
        <v>0</v>
      </c>
      <c r="AO92" s="69" t="n">
        <f aca="false">IF(AO91&gt;0.5,AO91*(1+$E$16)+$G$16-MIN($F$16,AO91*(1+$E$16)+$G$16),0)</f>
        <v>0</v>
      </c>
      <c r="AP92" s="69" t="n">
        <f aca="false">IF(AP91&gt;0.5,AP91*(1+$E$17)+$G$17-MIN($F$17,AP91*(1+$E$17)+$G$17),0)</f>
        <v>0</v>
      </c>
      <c r="AQ92" s="69" t="n">
        <f aca="false">IF(AQ91&gt;0.5,AQ91*(1+$E$18)+$G$18-MIN($F$18,AQ91*(1+$E$18)+$G$18),0)</f>
        <v>0</v>
      </c>
      <c r="AR92" s="69" t="n">
        <f aca="false">IF(AR91&gt;0.5,AR91*(1+$E$19)+$G$19-MIN($F$19,AR91*(1+$E$19)+$G$19),0)</f>
        <v>0</v>
      </c>
      <c r="AS92" s="69" t="n">
        <f aca="false">H92+L92+P92+T92+X92+AB92+AF92+AJ92</f>
        <v>0</v>
      </c>
      <c r="AT92" s="69" t="n">
        <f aca="false">SUM(AK92:AR92)</f>
        <v>0</v>
      </c>
      <c r="AU92" s="69" t="n">
        <f aca="false">F92+G92+J92+K92+N92+O92+R92+S92+V92+W92+Z92+AA92+AD92+AE92+AH92+AI92</f>
        <v>0</v>
      </c>
    </row>
    <row r="93" customFormat="false" ht="15" hidden="false" customHeight="false" outlineLevel="0" collapsed="false">
      <c r="B93" s="0" t="n">
        <v>66</v>
      </c>
      <c r="C93" s="68" t="n">
        <f aca="false">EDATE($C$7,65)</f>
        <v>48274</v>
      </c>
      <c r="D93" s="69" t="n">
        <f aca="false">$C$8-(F93+J93+N93+R93+V93+Z93+AD93+AH93)</f>
        <v>0</v>
      </c>
      <c r="E93" s="69" t="n">
        <f aca="false">IF(H92&gt;0.5,H92*(1+E$23)+E$24,0)</f>
        <v>0</v>
      </c>
      <c r="F93" s="69" t="n">
        <f aca="false">MIN(F$23,E93)</f>
        <v>0</v>
      </c>
      <c r="G93" s="69" t="n">
        <f aca="false">IF(AND(F$24=1,OR(E$25="",$C93&gt;=E$25)),MAX(0,MIN(E93-F93,$D93-(0))),0)</f>
        <v>0</v>
      </c>
      <c r="H93" s="69" t="n">
        <f aca="false">E93-F93-G93</f>
        <v>0</v>
      </c>
      <c r="I93" s="69" t="n">
        <f aca="false">IF(L92&gt;0.5,L92*(1+I$23)+I$24,0)</f>
        <v>0</v>
      </c>
      <c r="J93" s="69" t="n">
        <f aca="false">MIN(J$23,I93)</f>
        <v>0</v>
      </c>
      <c r="K93" s="69" t="n">
        <f aca="false">IF(AND(J$24=1,OR(I$25="",$C93&gt;=I$25)),MAX(0,MIN(I93-J93,$D93-(G93))),0)</f>
        <v>0</v>
      </c>
      <c r="L93" s="69" t="n">
        <f aca="false">I93-J93-K93</f>
        <v>0</v>
      </c>
      <c r="M93" s="69" t="n">
        <f aca="false">IF(P92&gt;0.5,P92*(1+M$23)+M$24,0)</f>
        <v>0</v>
      </c>
      <c r="N93" s="69" t="n">
        <f aca="false">MIN(N$23,M93)</f>
        <v>0</v>
      </c>
      <c r="O93" s="69" t="n">
        <f aca="false">IF(AND(N$24=1,OR(M$25="",$C93&gt;=M$25)),MAX(0,MIN(M93-N93,$D93-(G93+K93))),0)</f>
        <v>0</v>
      </c>
      <c r="P93" s="69" t="n">
        <f aca="false">M93-N93-O93</f>
        <v>0</v>
      </c>
      <c r="Q93" s="69" t="n">
        <f aca="false">IF(T92&gt;0.5,T92*(1+Q$23)+Q$24,0)</f>
        <v>0</v>
      </c>
      <c r="R93" s="69" t="n">
        <f aca="false">MIN(R$23,Q93)</f>
        <v>0</v>
      </c>
      <c r="S93" s="69" t="n">
        <f aca="false">IF(AND(R$24=1,OR(Q$25="",$C93&gt;=Q$25)),MAX(0,MIN(Q93-R93,$D93-(G93+K93+O93))),0)</f>
        <v>0</v>
      </c>
      <c r="T93" s="69" t="n">
        <f aca="false">Q93-R93-S93</f>
        <v>0</v>
      </c>
      <c r="U93" s="69" t="n">
        <f aca="false">IF(X92&gt;0.5,X92*(1+U$23)+U$24,0)</f>
        <v>0</v>
      </c>
      <c r="V93" s="69" t="n">
        <f aca="false">MIN(V$23,U93)</f>
        <v>0</v>
      </c>
      <c r="W93" s="69" t="n">
        <f aca="false">IF(AND(V$24=1,OR(U$25="",$C93&gt;=U$25)),MAX(0,MIN(U93-V93,$D93-(G93+K93+O93+S93))),0)</f>
        <v>0</v>
      </c>
      <c r="X93" s="69" t="n">
        <f aca="false">U93-V93-W93</f>
        <v>0</v>
      </c>
      <c r="Y93" s="69" t="n">
        <f aca="false">IF(AB92&gt;0.5,AB92*(1+Y$23)+Y$24,0)</f>
        <v>0</v>
      </c>
      <c r="Z93" s="69" t="n">
        <f aca="false">MIN(Z$23,Y93)</f>
        <v>0</v>
      </c>
      <c r="AA93" s="69" t="n">
        <f aca="false">IF(AND(Z$24=1,OR(Y$25="",$C93&gt;=Y$25)),MAX(0,MIN(Y93-Z93,$D93-(G93+K93+O93+S93+W93))),0)</f>
        <v>0</v>
      </c>
      <c r="AB93" s="69" t="n">
        <f aca="false">Y93-Z93-AA93</f>
        <v>0</v>
      </c>
      <c r="AC93" s="69" t="n">
        <f aca="false">IF(AF92&gt;0.5,AF92*(1+AC$23)+AC$24,0)</f>
        <v>0</v>
      </c>
      <c r="AD93" s="69" t="n">
        <f aca="false">MIN(AD$23,AC93)</f>
        <v>0</v>
      </c>
      <c r="AE93" s="69" t="n">
        <f aca="false">IF(AND(AD$24=1,OR(AC$25="",$C93&gt;=AC$25)),MAX(0,MIN(AC93-AD93,$D93-(G93+K93+O93+S93+W93+AA93))),0)</f>
        <v>0</v>
      </c>
      <c r="AF93" s="69" t="n">
        <f aca="false">AC93-AD93-AE93</f>
        <v>0</v>
      </c>
      <c r="AG93" s="69" t="n">
        <f aca="false">IF(AJ92&gt;0.5,AJ92*(1+AG$23)+AG$24,0)</f>
        <v>0</v>
      </c>
      <c r="AH93" s="69" t="n">
        <f aca="false">MIN(AH$23,AG93)</f>
        <v>0</v>
      </c>
      <c r="AI93" s="69" t="n">
        <f aca="false">IF(AND(AH$24=1,OR(AG$25="",$C93&gt;=AG$25)),MAX(0,MIN(AG93-AH93,$D93-(G93+K93+O93+S93+W93+AA93+AE93))),0)</f>
        <v>0</v>
      </c>
      <c r="AJ93" s="69" t="n">
        <f aca="false">AG93-AH93-AI93</f>
        <v>0</v>
      </c>
      <c r="AK93" s="69" t="n">
        <f aca="false">IF(AK92&gt;0.5,AK92*(1+$E$12)+$G$12-MIN($F$12,AK92*(1+$E$12)+$G$12),0)</f>
        <v>0</v>
      </c>
      <c r="AL93" s="69" t="n">
        <f aca="false">IF(AL92&gt;0.5,AL92*(1+$E$13)+$G$13-MIN($F$13,AL92*(1+$E$13)+$G$13),0)</f>
        <v>0</v>
      </c>
      <c r="AM93" s="69" t="n">
        <f aca="false">IF(AM92&gt;0.5,AM92*(1+$E$14)+$G$14-MIN($F$14,AM92*(1+$E$14)+$G$14),0)</f>
        <v>0</v>
      </c>
      <c r="AN93" s="69" t="n">
        <f aca="false">IF(AN92&gt;0.5,AN92*(1+$E$15)+$G$15-MIN($F$15,AN92*(1+$E$15)+$G$15),0)</f>
        <v>0</v>
      </c>
      <c r="AO93" s="69" t="n">
        <f aca="false">IF(AO92&gt;0.5,AO92*(1+$E$16)+$G$16-MIN($F$16,AO92*(1+$E$16)+$G$16),0)</f>
        <v>0</v>
      </c>
      <c r="AP93" s="69" t="n">
        <f aca="false">IF(AP92&gt;0.5,AP92*(1+$E$17)+$G$17-MIN($F$17,AP92*(1+$E$17)+$G$17),0)</f>
        <v>0</v>
      </c>
      <c r="AQ93" s="69" t="n">
        <f aca="false">IF(AQ92&gt;0.5,AQ92*(1+$E$18)+$G$18-MIN($F$18,AQ92*(1+$E$18)+$G$18),0)</f>
        <v>0</v>
      </c>
      <c r="AR93" s="69" t="n">
        <f aca="false">IF(AR92&gt;0.5,AR92*(1+$E$19)+$G$19-MIN($F$19,AR92*(1+$E$19)+$G$19),0)</f>
        <v>0</v>
      </c>
      <c r="AS93" s="69" t="n">
        <f aca="false">H93+L93+P93+T93+X93+AB93+AF93+AJ93</f>
        <v>0</v>
      </c>
      <c r="AT93" s="69" t="n">
        <f aca="false">SUM(AK93:AR93)</f>
        <v>0</v>
      </c>
      <c r="AU93" s="69" t="n">
        <f aca="false">F93+G93+J93+K93+N93+O93+R93+S93+V93+W93+Z93+AA93+AD93+AE93+AH93+AI93</f>
        <v>0</v>
      </c>
    </row>
    <row r="94" customFormat="false" ht="15" hidden="false" customHeight="false" outlineLevel="0" collapsed="false">
      <c r="B94" s="0" t="n">
        <v>67</v>
      </c>
      <c r="C94" s="68" t="n">
        <f aca="false">EDATE($C$7,66)</f>
        <v>48305</v>
      </c>
      <c r="D94" s="69" t="n">
        <f aca="false">$C$8-(F94+J94+N94+R94+V94+Z94+AD94+AH94)</f>
        <v>0</v>
      </c>
      <c r="E94" s="69" t="n">
        <f aca="false">IF(H93&gt;0.5,H93*(1+E$23)+E$24,0)</f>
        <v>0</v>
      </c>
      <c r="F94" s="69" t="n">
        <f aca="false">MIN(F$23,E94)</f>
        <v>0</v>
      </c>
      <c r="G94" s="69" t="n">
        <f aca="false">IF(AND(F$24=1,OR(E$25="",$C94&gt;=E$25)),MAX(0,MIN(E94-F94,$D94-(0))),0)</f>
        <v>0</v>
      </c>
      <c r="H94" s="69" t="n">
        <f aca="false">E94-F94-G94</f>
        <v>0</v>
      </c>
      <c r="I94" s="69" t="n">
        <f aca="false">IF(L93&gt;0.5,L93*(1+I$23)+I$24,0)</f>
        <v>0</v>
      </c>
      <c r="J94" s="69" t="n">
        <f aca="false">MIN(J$23,I94)</f>
        <v>0</v>
      </c>
      <c r="K94" s="69" t="n">
        <f aca="false">IF(AND(J$24=1,OR(I$25="",$C94&gt;=I$25)),MAX(0,MIN(I94-J94,$D94-(G94))),0)</f>
        <v>0</v>
      </c>
      <c r="L94" s="69" t="n">
        <f aca="false">I94-J94-K94</f>
        <v>0</v>
      </c>
      <c r="M94" s="69" t="n">
        <f aca="false">IF(P93&gt;0.5,P93*(1+M$23)+M$24,0)</f>
        <v>0</v>
      </c>
      <c r="N94" s="69" t="n">
        <f aca="false">MIN(N$23,M94)</f>
        <v>0</v>
      </c>
      <c r="O94" s="69" t="n">
        <f aca="false">IF(AND(N$24=1,OR(M$25="",$C94&gt;=M$25)),MAX(0,MIN(M94-N94,$D94-(G94+K94))),0)</f>
        <v>0</v>
      </c>
      <c r="P94" s="69" t="n">
        <f aca="false">M94-N94-O94</f>
        <v>0</v>
      </c>
      <c r="Q94" s="69" t="n">
        <f aca="false">IF(T93&gt;0.5,T93*(1+Q$23)+Q$24,0)</f>
        <v>0</v>
      </c>
      <c r="R94" s="69" t="n">
        <f aca="false">MIN(R$23,Q94)</f>
        <v>0</v>
      </c>
      <c r="S94" s="69" t="n">
        <f aca="false">IF(AND(R$24=1,OR(Q$25="",$C94&gt;=Q$25)),MAX(0,MIN(Q94-R94,$D94-(G94+K94+O94))),0)</f>
        <v>0</v>
      </c>
      <c r="T94" s="69" t="n">
        <f aca="false">Q94-R94-S94</f>
        <v>0</v>
      </c>
      <c r="U94" s="69" t="n">
        <f aca="false">IF(X93&gt;0.5,X93*(1+U$23)+U$24,0)</f>
        <v>0</v>
      </c>
      <c r="V94" s="69" t="n">
        <f aca="false">MIN(V$23,U94)</f>
        <v>0</v>
      </c>
      <c r="W94" s="69" t="n">
        <f aca="false">IF(AND(V$24=1,OR(U$25="",$C94&gt;=U$25)),MAX(0,MIN(U94-V94,$D94-(G94+K94+O94+S94))),0)</f>
        <v>0</v>
      </c>
      <c r="X94" s="69" t="n">
        <f aca="false">U94-V94-W94</f>
        <v>0</v>
      </c>
      <c r="Y94" s="69" t="n">
        <f aca="false">IF(AB93&gt;0.5,AB93*(1+Y$23)+Y$24,0)</f>
        <v>0</v>
      </c>
      <c r="Z94" s="69" t="n">
        <f aca="false">MIN(Z$23,Y94)</f>
        <v>0</v>
      </c>
      <c r="AA94" s="69" t="n">
        <f aca="false">IF(AND(Z$24=1,OR(Y$25="",$C94&gt;=Y$25)),MAX(0,MIN(Y94-Z94,$D94-(G94+K94+O94+S94+W94))),0)</f>
        <v>0</v>
      </c>
      <c r="AB94" s="69" t="n">
        <f aca="false">Y94-Z94-AA94</f>
        <v>0</v>
      </c>
      <c r="AC94" s="69" t="n">
        <f aca="false">IF(AF93&gt;0.5,AF93*(1+AC$23)+AC$24,0)</f>
        <v>0</v>
      </c>
      <c r="AD94" s="69" t="n">
        <f aca="false">MIN(AD$23,AC94)</f>
        <v>0</v>
      </c>
      <c r="AE94" s="69" t="n">
        <f aca="false">IF(AND(AD$24=1,OR(AC$25="",$C94&gt;=AC$25)),MAX(0,MIN(AC94-AD94,$D94-(G94+K94+O94+S94+W94+AA94))),0)</f>
        <v>0</v>
      </c>
      <c r="AF94" s="69" t="n">
        <f aca="false">AC94-AD94-AE94</f>
        <v>0</v>
      </c>
      <c r="AG94" s="69" t="n">
        <f aca="false">IF(AJ93&gt;0.5,AJ93*(1+AG$23)+AG$24,0)</f>
        <v>0</v>
      </c>
      <c r="AH94" s="69" t="n">
        <f aca="false">MIN(AH$23,AG94)</f>
        <v>0</v>
      </c>
      <c r="AI94" s="69" t="n">
        <f aca="false">IF(AND(AH$24=1,OR(AG$25="",$C94&gt;=AG$25)),MAX(0,MIN(AG94-AH94,$D94-(G94+K94+O94+S94+W94+AA94+AE94))),0)</f>
        <v>0</v>
      </c>
      <c r="AJ94" s="69" t="n">
        <f aca="false">AG94-AH94-AI94</f>
        <v>0</v>
      </c>
      <c r="AK94" s="69" t="n">
        <f aca="false">IF(AK93&gt;0.5,AK93*(1+$E$12)+$G$12-MIN($F$12,AK93*(1+$E$12)+$G$12),0)</f>
        <v>0</v>
      </c>
      <c r="AL94" s="69" t="n">
        <f aca="false">IF(AL93&gt;0.5,AL93*(1+$E$13)+$G$13-MIN($F$13,AL93*(1+$E$13)+$G$13),0)</f>
        <v>0</v>
      </c>
      <c r="AM94" s="69" t="n">
        <f aca="false">IF(AM93&gt;0.5,AM93*(1+$E$14)+$G$14-MIN($F$14,AM93*(1+$E$14)+$G$14),0)</f>
        <v>0</v>
      </c>
      <c r="AN94" s="69" t="n">
        <f aca="false">IF(AN93&gt;0.5,AN93*(1+$E$15)+$G$15-MIN($F$15,AN93*(1+$E$15)+$G$15),0)</f>
        <v>0</v>
      </c>
      <c r="AO94" s="69" t="n">
        <f aca="false">IF(AO93&gt;0.5,AO93*(1+$E$16)+$G$16-MIN($F$16,AO93*(1+$E$16)+$G$16),0)</f>
        <v>0</v>
      </c>
      <c r="AP94" s="69" t="n">
        <f aca="false">IF(AP93&gt;0.5,AP93*(1+$E$17)+$G$17-MIN($F$17,AP93*(1+$E$17)+$G$17),0)</f>
        <v>0</v>
      </c>
      <c r="AQ94" s="69" t="n">
        <f aca="false">IF(AQ93&gt;0.5,AQ93*(1+$E$18)+$G$18-MIN($F$18,AQ93*(1+$E$18)+$G$18),0)</f>
        <v>0</v>
      </c>
      <c r="AR94" s="69" t="n">
        <f aca="false">IF(AR93&gt;0.5,AR93*(1+$E$19)+$G$19-MIN($F$19,AR93*(1+$E$19)+$G$19),0)</f>
        <v>0</v>
      </c>
      <c r="AS94" s="69" t="n">
        <f aca="false">H94+L94+P94+T94+X94+AB94+AF94+AJ94</f>
        <v>0</v>
      </c>
      <c r="AT94" s="69" t="n">
        <f aca="false">SUM(AK94:AR94)</f>
        <v>0</v>
      </c>
      <c r="AU94" s="69" t="n">
        <f aca="false">F94+G94+J94+K94+N94+O94+R94+S94+V94+W94+Z94+AA94+AD94+AE94+AH94+AI94</f>
        <v>0</v>
      </c>
    </row>
    <row r="95" customFormat="false" ht="15" hidden="false" customHeight="false" outlineLevel="0" collapsed="false">
      <c r="B95" s="0" t="n">
        <v>68</v>
      </c>
      <c r="C95" s="68" t="n">
        <f aca="false">EDATE($C$7,67)</f>
        <v>48335</v>
      </c>
      <c r="D95" s="69" t="n">
        <f aca="false">$C$8-(F95+J95+N95+R95+V95+Z95+AD95+AH95)</f>
        <v>0</v>
      </c>
      <c r="E95" s="69" t="n">
        <f aca="false">IF(H94&gt;0.5,H94*(1+E$23)+E$24,0)</f>
        <v>0</v>
      </c>
      <c r="F95" s="69" t="n">
        <f aca="false">MIN(F$23,E95)</f>
        <v>0</v>
      </c>
      <c r="G95" s="69" t="n">
        <f aca="false">IF(AND(F$24=1,OR(E$25="",$C95&gt;=E$25)),MAX(0,MIN(E95-F95,$D95-(0))),0)</f>
        <v>0</v>
      </c>
      <c r="H95" s="69" t="n">
        <f aca="false">E95-F95-G95</f>
        <v>0</v>
      </c>
      <c r="I95" s="69" t="n">
        <f aca="false">IF(L94&gt;0.5,L94*(1+I$23)+I$24,0)</f>
        <v>0</v>
      </c>
      <c r="J95" s="69" t="n">
        <f aca="false">MIN(J$23,I95)</f>
        <v>0</v>
      </c>
      <c r="K95" s="69" t="n">
        <f aca="false">IF(AND(J$24=1,OR(I$25="",$C95&gt;=I$25)),MAX(0,MIN(I95-J95,$D95-(G95))),0)</f>
        <v>0</v>
      </c>
      <c r="L95" s="69" t="n">
        <f aca="false">I95-J95-K95</f>
        <v>0</v>
      </c>
      <c r="M95" s="69" t="n">
        <f aca="false">IF(P94&gt;0.5,P94*(1+M$23)+M$24,0)</f>
        <v>0</v>
      </c>
      <c r="N95" s="69" t="n">
        <f aca="false">MIN(N$23,M95)</f>
        <v>0</v>
      </c>
      <c r="O95" s="69" t="n">
        <f aca="false">IF(AND(N$24=1,OR(M$25="",$C95&gt;=M$25)),MAX(0,MIN(M95-N95,$D95-(G95+K95))),0)</f>
        <v>0</v>
      </c>
      <c r="P95" s="69" t="n">
        <f aca="false">M95-N95-O95</f>
        <v>0</v>
      </c>
      <c r="Q95" s="69" t="n">
        <f aca="false">IF(T94&gt;0.5,T94*(1+Q$23)+Q$24,0)</f>
        <v>0</v>
      </c>
      <c r="R95" s="69" t="n">
        <f aca="false">MIN(R$23,Q95)</f>
        <v>0</v>
      </c>
      <c r="S95" s="69" t="n">
        <f aca="false">IF(AND(R$24=1,OR(Q$25="",$C95&gt;=Q$25)),MAX(0,MIN(Q95-R95,$D95-(G95+K95+O95))),0)</f>
        <v>0</v>
      </c>
      <c r="T95" s="69" t="n">
        <f aca="false">Q95-R95-S95</f>
        <v>0</v>
      </c>
      <c r="U95" s="69" t="n">
        <f aca="false">IF(X94&gt;0.5,X94*(1+U$23)+U$24,0)</f>
        <v>0</v>
      </c>
      <c r="V95" s="69" t="n">
        <f aca="false">MIN(V$23,U95)</f>
        <v>0</v>
      </c>
      <c r="W95" s="69" t="n">
        <f aca="false">IF(AND(V$24=1,OR(U$25="",$C95&gt;=U$25)),MAX(0,MIN(U95-V95,$D95-(G95+K95+O95+S95))),0)</f>
        <v>0</v>
      </c>
      <c r="X95" s="69" t="n">
        <f aca="false">U95-V95-W95</f>
        <v>0</v>
      </c>
      <c r="Y95" s="69" t="n">
        <f aca="false">IF(AB94&gt;0.5,AB94*(1+Y$23)+Y$24,0)</f>
        <v>0</v>
      </c>
      <c r="Z95" s="69" t="n">
        <f aca="false">MIN(Z$23,Y95)</f>
        <v>0</v>
      </c>
      <c r="AA95" s="69" t="n">
        <f aca="false">IF(AND(Z$24=1,OR(Y$25="",$C95&gt;=Y$25)),MAX(0,MIN(Y95-Z95,$D95-(G95+K95+O95+S95+W95))),0)</f>
        <v>0</v>
      </c>
      <c r="AB95" s="69" t="n">
        <f aca="false">Y95-Z95-AA95</f>
        <v>0</v>
      </c>
      <c r="AC95" s="69" t="n">
        <f aca="false">IF(AF94&gt;0.5,AF94*(1+AC$23)+AC$24,0)</f>
        <v>0</v>
      </c>
      <c r="AD95" s="69" t="n">
        <f aca="false">MIN(AD$23,AC95)</f>
        <v>0</v>
      </c>
      <c r="AE95" s="69" t="n">
        <f aca="false">IF(AND(AD$24=1,OR(AC$25="",$C95&gt;=AC$25)),MAX(0,MIN(AC95-AD95,$D95-(G95+K95+O95+S95+W95+AA95))),0)</f>
        <v>0</v>
      </c>
      <c r="AF95" s="69" t="n">
        <f aca="false">AC95-AD95-AE95</f>
        <v>0</v>
      </c>
      <c r="AG95" s="69" t="n">
        <f aca="false">IF(AJ94&gt;0.5,AJ94*(1+AG$23)+AG$24,0)</f>
        <v>0</v>
      </c>
      <c r="AH95" s="69" t="n">
        <f aca="false">MIN(AH$23,AG95)</f>
        <v>0</v>
      </c>
      <c r="AI95" s="69" t="n">
        <f aca="false">IF(AND(AH$24=1,OR(AG$25="",$C95&gt;=AG$25)),MAX(0,MIN(AG95-AH95,$D95-(G95+K95+O95+S95+W95+AA95+AE95))),0)</f>
        <v>0</v>
      </c>
      <c r="AJ95" s="69" t="n">
        <f aca="false">AG95-AH95-AI95</f>
        <v>0</v>
      </c>
      <c r="AK95" s="69" t="n">
        <f aca="false">IF(AK94&gt;0.5,AK94*(1+$E$12)+$G$12-MIN($F$12,AK94*(1+$E$12)+$G$12),0)</f>
        <v>0</v>
      </c>
      <c r="AL95" s="69" t="n">
        <f aca="false">IF(AL94&gt;0.5,AL94*(1+$E$13)+$G$13-MIN($F$13,AL94*(1+$E$13)+$G$13),0)</f>
        <v>0</v>
      </c>
      <c r="AM95" s="69" t="n">
        <f aca="false">IF(AM94&gt;0.5,AM94*(1+$E$14)+$G$14-MIN($F$14,AM94*(1+$E$14)+$G$14),0)</f>
        <v>0</v>
      </c>
      <c r="AN95" s="69" t="n">
        <f aca="false">IF(AN94&gt;0.5,AN94*(1+$E$15)+$G$15-MIN($F$15,AN94*(1+$E$15)+$G$15),0)</f>
        <v>0</v>
      </c>
      <c r="AO95" s="69" t="n">
        <f aca="false">IF(AO94&gt;0.5,AO94*(1+$E$16)+$G$16-MIN($F$16,AO94*(1+$E$16)+$G$16),0)</f>
        <v>0</v>
      </c>
      <c r="AP95" s="69" t="n">
        <f aca="false">IF(AP94&gt;0.5,AP94*(1+$E$17)+$G$17-MIN($F$17,AP94*(1+$E$17)+$G$17),0)</f>
        <v>0</v>
      </c>
      <c r="AQ95" s="69" t="n">
        <f aca="false">IF(AQ94&gt;0.5,AQ94*(1+$E$18)+$G$18-MIN($F$18,AQ94*(1+$E$18)+$G$18),0)</f>
        <v>0</v>
      </c>
      <c r="AR95" s="69" t="n">
        <f aca="false">IF(AR94&gt;0.5,AR94*(1+$E$19)+$G$19-MIN($F$19,AR94*(1+$E$19)+$G$19),0)</f>
        <v>0</v>
      </c>
      <c r="AS95" s="69" t="n">
        <f aca="false">H95+L95+P95+T95+X95+AB95+AF95+AJ95</f>
        <v>0</v>
      </c>
      <c r="AT95" s="69" t="n">
        <f aca="false">SUM(AK95:AR95)</f>
        <v>0</v>
      </c>
      <c r="AU95" s="69" t="n">
        <f aca="false">F95+G95+J95+K95+N95+O95+R95+S95+V95+W95+Z95+AA95+AD95+AE95+AH95+AI95</f>
        <v>0</v>
      </c>
    </row>
    <row r="96" customFormat="false" ht="15" hidden="false" customHeight="false" outlineLevel="0" collapsed="false">
      <c r="B96" s="0" t="n">
        <v>69</v>
      </c>
      <c r="C96" s="68" t="n">
        <f aca="false">EDATE($C$7,68)</f>
        <v>48366</v>
      </c>
      <c r="D96" s="69" t="n">
        <f aca="false">$C$8-(F96+J96+N96+R96+V96+Z96+AD96+AH96)</f>
        <v>0</v>
      </c>
      <c r="E96" s="69" t="n">
        <f aca="false">IF(H95&gt;0.5,H95*(1+E$23)+E$24,0)</f>
        <v>0</v>
      </c>
      <c r="F96" s="69" t="n">
        <f aca="false">MIN(F$23,E96)</f>
        <v>0</v>
      </c>
      <c r="G96" s="69" t="n">
        <f aca="false">IF(AND(F$24=1,OR(E$25="",$C96&gt;=E$25)),MAX(0,MIN(E96-F96,$D96-(0))),0)</f>
        <v>0</v>
      </c>
      <c r="H96" s="69" t="n">
        <f aca="false">E96-F96-G96</f>
        <v>0</v>
      </c>
      <c r="I96" s="69" t="n">
        <f aca="false">IF(L95&gt;0.5,L95*(1+I$23)+I$24,0)</f>
        <v>0</v>
      </c>
      <c r="J96" s="69" t="n">
        <f aca="false">MIN(J$23,I96)</f>
        <v>0</v>
      </c>
      <c r="K96" s="69" t="n">
        <f aca="false">IF(AND(J$24=1,OR(I$25="",$C96&gt;=I$25)),MAX(0,MIN(I96-J96,$D96-(G96))),0)</f>
        <v>0</v>
      </c>
      <c r="L96" s="69" t="n">
        <f aca="false">I96-J96-K96</f>
        <v>0</v>
      </c>
      <c r="M96" s="69" t="n">
        <f aca="false">IF(P95&gt;0.5,P95*(1+M$23)+M$24,0)</f>
        <v>0</v>
      </c>
      <c r="N96" s="69" t="n">
        <f aca="false">MIN(N$23,M96)</f>
        <v>0</v>
      </c>
      <c r="O96" s="69" t="n">
        <f aca="false">IF(AND(N$24=1,OR(M$25="",$C96&gt;=M$25)),MAX(0,MIN(M96-N96,$D96-(G96+K96))),0)</f>
        <v>0</v>
      </c>
      <c r="P96" s="69" t="n">
        <f aca="false">M96-N96-O96</f>
        <v>0</v>
      </c>
      <c r="Q96" s="69" t="n">
        <f aca="false">IF(T95&gt;0.5,T95*(1+Q$23)+Q$24,0)</f>
        <v>0</v>
      </c>
      <c r="R96" s="69" t="n">
        <f aca="false">MIN(R$23,Q96)</f>
        <v>0</v>
      </c>
      <c r="S96" s="69" t="n">
        <f aca="false">IF(AND(R$24=1,OR(Q$25="",$C96&gt;=Q$25)),MAX(0,MIN(Q96-R96,$D96-(G96+K96+O96))),0)</f>
        <v>0</v>
      </c>
      <c r="T96" s="69" t="n">
        <f aca="false">Q96-R96-S96</f>
        <v>0</v>
      </c>
      <c r="U96" s="69" t="n">
        <f aca="false">IF(X95&gt;0.5,X95*(1+U$23)+U$24,0)</f>
        <v>0</v>
      </c>
      <c r="V96" s="69" t="n">
        <f aca="false">MIN(V$23,U96)</f>
        <v>0</v>
      </c>
      <c r="W96" s="69" t="n">
        <f aca="false">IF(AND(V$24=1,OR(U$25="",$C96&gt;=U$25)),MAX(0,MIN(U96-V96,$D96-(G96+K96+O96+S96))),0)</f>
        <v>0</v>
      </c>
      <c r="X96" s="69" t="n">
        <f aca="false">U96-V96-W96</f>
        <v>0</v>
      </c>
      <c r="Y96" s="69" t="n">
        <f aca="false">IF(AB95&gt;0.5,AB95*(1+Y$23)+Y$24,0)</f>
        <v>0</v>
      </c>
      <c r="Z96" s="69" t="n">
        <f aca="false">MIN(Z$23,Y96)</f>
        <v>0</v>
      </c>
      <c r="AA96" s="69" t="n">
        <f aca="false">IF(AND(Z$24=1,OR(Y$25="",$C96&gt;=Y$25)),MAX(0,MIN(Y96-Z96,$D96-(G96+K96+O96+S96+W96))),0)</f>
        <v>0</v>
      </c>
      <c r="AB96" s="69" t="n">
        <f aca="false">Y96-Z96-AA96</f>
        <v>0</v>
      </c>
      <c r="AC96" s="69" t="n">
        <f aca="false">IF(AF95&gt;0.5,AF95*(1+AC$23)+AC$24,0)</f>
        <v>0</v>
      </c>
      <c r="AD96" s="69" t="n">
        <f aca="false">MIN(AD$23,AC96)</f>
        <v>0</v>
      </c>
      <c r="AE96" s="69" t="n">
        <f aca="false">IF(AND(AD$24=1,OR(AC$25="",$C96&gt;=AC$25)),MAX(0,MIN(AC96-AD96,$D96-(G96+K96+O96+S96+W96+AA96))),0)</f>
        <v>0</v>
      </c>
      <c r="AF96" s="69" t="n">
        <f aca="false">AC96-AD96-AE96</f>
        <v>0</v>
      </c>
      <c r="AG96" s="69" t="n">
        <f aca="false">IF(AJ95&gt;0.5,AJ95*(1+AG$23)+AG$24,0)</f>
        <v>0</v>
      </c>
      <c r="AH96" s="69" t="n">
        <f aca="false">MIN(AH$23,AG96)</f>
        <v>0</v>
      </c>
      <c r="AI96" s="69" t="n">
        <f aca="false">IF(AND(AH$24=1,OR(AG$25="",$C96&gt;=AG$25)),MAX(0,MIN(AG96-AH96,$D96-(G96+K96+O96+S96+W96+AA96+AE96))),0)</f>
        <v>0</v>
      </c>
      <c r="AJ96" s="69" t="n">
        <f aca="false">AG96-AH96-AI96</f>
        <v>0</v>
      </c>
      <c r="AK96" s="69" t="n">
        <f aca="false">IF(AK95&gt;0.5,AK95*(1+$E$12)+$G$12-MIN($F$12,AK95*(1+$E$12)+$G$12),0)</f>
        <v>0</v>
      </c>
      <c r="AL96" s="69" t="n">
        <f aca="false">IF(AL95&gt;0.5,AL95*(1+$E$13)+$G$13-MIN($F$13,AL95*(1+$E$13)+$G$13),0)</f>
        <v>0</v>
      </c>
      <c r="AM96" s="69" t="n">
        <f aca="false">IF(AM95&gt;0.5,AM95*(1+$E$14)+$G$14-MIN($F$14,AM95*(1+$E$14)+$G$14),0)</f>
        <v>0</v>
      </c>
      <c r="AN96" s="69" t="n">
        <f aca="false">IF(AN95&gt;0.5,AN95*(1+$E$15)+$G$15-MIN($F$15,AN95*(1+$E$15)+$G$15),0)</f>
        <v>0</v>
      </c>
      <c r="AO96" s="69" t="n">
        <f aca="false">IF(AO95&gt;0.5,AO95*(1+$E$16)+$G$16-MIN($F$16,AO95*(1+$E$16)+$G$16),0)</f>
        <v>0</v>
      </c>
      <c r="AP96" s="69" t="n">
        <f aca="false">IF(AP95&gt;0.5,AP95*(1+$E$17)+$G$17-MIN($F$17,AP95*(1+$E$17)+$G$17),0)</f>
        <v>0</v>
      </c>
      <c r="AQ96" s="69" t="n">
        <f aca="false">IF(AQ95&gt;0.5,AQ95*(1+$E$18)+$G$18-MIN($F$18,AQ95*(1+$E$18)+$G$18),0)</f>
        <v>0</v>
      </c>
      <c r="AR96" s="69" t="n">
        <f aca="false">IF(AR95&gt;0.5,AR95*(1+$E$19)+$G$19-MIN($F$19,AR95*(1+$E$19)+$G$19),0)</f>
        <v>0</v>
      </c>
      <c r="AS96" s="69" t="n">
        <f aca="false">H96+L96+P96+T96+X96+AB96+AF96+AJ96</f>
        <v>0</v>
      </c>
      <c r="AT96" s="69" t="n">
        <f aca="false">SUM(AK96:AR96)</f>
        <v>0</v>
      </c>
      <c r="AU96" s="69" t="n">
        <f aca="false">F96+G96+J96+K96+N96+O96+R96+S96+V96+W96+Z96+AA96+AD96+AE96+AH96+AI96</f>
        <v>0</v>
      </c>
    </row>
    <row r="97" customFormat="false" ht="15" hidden="false" customHeight="false" outlineLevel="0" collapsed="false">
      <c r="B97" s="0" t="n">
        <v>70</v>
      </c>
      <c r="C97" s="68" t="n">
        <f aca="false">EDATE($C$7,69)</f>
        <v>48396</v>
      </c>
      <c r="D97" s="69" t="n">
        <f aca="false">$C$8-(F97+J97+N97+R97+V97+Z97+AD97+AH97)</f>
        <v>0</v>
      </c>
      <c r="E97" s="69" t="n">
        <f aca="false">IF(H96&gt;0.5,H96*(1+E$23)+E$24,0)</f>
        <v>0</v>
      </c>
      <c r="F97" s="69" t="n">
        <f aca="false">MIN(F$23,E97)</f>
        <v>0</v>
      </c>
      <c r="G97" s="69" t="n">
        <f aca="false">IF(AND(F$24=1,OR(E$25="",$C97&gt;=E$25)),MAX(0,MIN(E97-F97,$D97-(0))),0)</f>
        <v>0</v>
      </c>
      <c r="H97" s="69" t="n">
        <f aca="false">E97-F97-G97</f>
        <v>0</v>
      </c>
      <c r="I97" s="69" t="n">
        <f aca="false">IF(L96&gt;0.5,L96*(1+I$23)+I$24,0)</f>
        <v>0</v>
      </c>
      <c r="J97" s="69" t="n">
        <f aca="false">MIN(J$23,I97)</f>
        <v>0</v>
      </c>
      <c r="K97" s="69" t="n">
        <f aca="false">IF(AND(J$24=1,OR(I$25="",$C97&gt;=I$25)),MAX(0,MIN(I97-J97,$D97-(G97))),0)</f>
        <v>0</v>
      </c>
      <c r="L97" s="69" t="n">
        <f aca="false">I97-J97-K97</f>
        <v>0</v>
      </c>
      <c r="M97" s="69" t="n">
        <f aca="false">IF(P96&gt;0.5,P96*(1+M$23)+M$24,0)</f>
        <v>0</v>
      </c>
      <c r="N97" s="69" t="n">
        <f aca="false">MIN(N$23,M97)</f>
        <v>0</v>
      </c>
      <c r="O97" s="69" t="n">
        <f aca="false">IF(AND(N$24=1,OR(M$25="",$C97&gt;=M$25)),MAX(0,MIN(M97-N97,$D97-(G97+K97))),0)</f>
        <v>0</v>
      </c>
      <c r="P97" s="69" t="n">
        <f aca="false">M97-N97-O97</f>
        <v>0</v>
      </c>
      <c r="Q97" s="69" t="n">
        <f aca="false">IF(T96&gt;0.5,T96*(1+Q$23)+Q$24,0)</f>
        <v>0</v>
      </c>
      <c r="R97" s="69" t="n">
        <f aca="false">MIN(R$23,Q97)</f>
        <v>0</v>
      </c>
      <c r="S97" s="69" t="n">
        <f aca="false">IF(AND(R$24=1,OR(Q$25="",$C97&gt;=Q$25)),MAX(0,MIN(Q97-R97,$D97-(G97+K97+O97))),0)</f>
        <v>0</v>
      </c>
      <c r="T97" s="69" t="n">
        <f aca="false">Q97-R97-S97</f>
        <v>0</v>
      </c>
      <c r="U97" s="69" t="n">
        <f aca="false">IF(X96&gt;0.5,X96*(1+U$23)+U$24,0)</f>
        <v>0</v>
      </c>
      <c r="V97" s="69" t="n">
        <f aca="false">MIN(V$23,U97)</f>
        <v>0</v>
      </c>
      <c r="W97" s="69" t="n">
        <f aca="false">IF(AND(V$24=1,OR(U$25="",$C97&gt;=U$25)),MAX(0,MIN(U97-V97,$D97-(G97+K97+O97+S97))),0)</f>
        <v>0</v>
      </c>
      <c r="X97" s="69" t="n">
        <f aca="false">U97-V97-W97</f>
        <v>0</v>
      </c>
      <c r="Y97" s="69" t="n">
        <f aca="false">IF(AB96&gt;0.5,AB96*(1+Y$23)+Y$24,0)</f>
        <v>0</v>
      </c>
      <c r="Z97" s="69" t="n">
        <f aca="false">MIN(Z$23,Y97)</f>
        <v>0</v>
      </c>
      <c r="AA97" s="69" t="n">
        <f aca="false">IF(AND(Z$24=1,OR(Y$25="",$C97&gt;=Y$25)),MAX(0,MIN(Y97-Z97,$D97-(G97+K97+O97+S97+W97))),0)</f>
        <v>0</v>
      </c>
      <c r="AB97" s="69" t="n">
        <f aca="false">Y97-Z97-AA97</f>
        <v>0</v>
      </c>
      <c r="AC97" s="69" t="n">
        <f aca="false">IF(AF96&gt;0.5,AF96*(1+AC$23)+AC$24,0)</f>
        <v>0</v>
      </c>
      <c r="AD97" s="69" t="n">
        <f aca="false">MIN(AD$23,AC97)</f>
        <v>0</v>
      </c>
      <c r="AE97" s="69" t="n">
        <f aca="false">IF(AND(AD$24=1,OR(AC$25="",$C97&gt;=AC$25)),MAX(0,MIN(AC97-AD97,$D97-(G97+K97+O97+S97+W97+AA97))),0)</f>
        <v>0</v>
      </c>
      <c r="AF97" s="69" t="n">
        <f aca="false">AC97-AD97-AE97</f>
        <v>0</v>
      </c>
      <c r="AG97" s="69" t="n">
        <f aca="false">IF(AJ96&gt;0.5,AJ96*(1+AG$23)+AG$24,0)</f>
        <v>0</v>
      </c>
      <c r="AH97" s="69" t="n">
        <f aca="false">MIN(AH$23,AG97)</f>
        <v>0</v>
      </c>
      <c r="AI97" s="69" t="n">
        <f aca="false">IF(AND(AH$24=1,OR(AG$25="",$C97&gt;=AG$25)),MAX(0,MIN(AG97-AH97,$D97-(G97+K97+O97+S97+W97+AA97+AE97))),0)</f>
        <v>0</v>
      </c>
      <c r="AJ97" s="69" t="n">
        <f aca="false">AG97-AH97-AI97</f>
        <v>0</v>
      </c>
      <c r="AK97" s="69" t="n">
        <f aca="false">IF(AK96&gt;0.5,AK96*(1+$E$12)+$G$12-MIN($F$12,AK96*(1+$E$12)+$G$12),0)</f>
        <v>0</v>
      </c>
      <c r="AL97" s="69" t="n">
        <f aca="false">IF(AL96&gt;0.5,AL96*(1+$E$13)+$G$13-MIN($F$13,AL96*(1+$E$13)+$G$13),0)</f>
        <v>0</v>
      </c>
      <c r="AM97" s="69" t="n">
        <f aca="false">IF(AM96&gt;0.5,AM96*(1+$E$14)+$G$14-MIN($F$14,AM96*(1+$E$14)+$G$14),0)</f>
        <v>0</v>
      </c>
      <c r="AN97" s="69" t="n">
        <f aca="false">IF(AN96&gt;0.5,AN96*(1+$E$15)+$G$15-MIN($F$15,AN96*(1+$E$15)+$G$15),0)</f>
        <v>0</v>
      </c>
      <c r="AO97" s="69" t="n">
        <f aca="false">IF(AO96&gt;0.5,AO96*(1+$E$16)+$G$16-MIN($F$16,AO96*(1+$E$16)+$G$16),0)</f>
        <v>0</v>
      </c>
      <c r="AP97" s="69" t="n">
        <f aca="false">IF(AP96&gt;0.5,AP96*(1+$E$17)+$G$17-MIN($F$17,AP96*(1+$E$17)+$G$17),0)</f>
        <v>0</v>
      </c>
      <c r="AQ97" s="69" t="n">
        <f aca="false">IF(AQ96&gt;0.5,AQ96*(1+$E$18)+$G$18-MIN($F$18,AQ96*(1+$E$18)+$G$18),0)</f>
        <v>0</v>
      </c>
      <c r="AR97" s="69" t="n">
        <f aca="false">IF(AR96&gt;0.5,AR96*(1+$E$19)+$G$19-MIN($F$19,AR96*(1+$E$19)+$G$19),0)</f>
        <v>0</v>
      </c>
      <c r="AS97" s="69" t="n">
        <f aca="false">H97+L97+P97+T97+X97+AB97+AF97+AJ97</f>
        <v>0</v>
      </c>
      <c r="AT97" s="69" t="n">
        <f aca="false">SUM(AK97:AR97)</f>
        <v>0</v>
      </c>
      <c r="AU97" s="69" t="n">
        <f aca="false">F97+G97+J97+K97+N97+O97+R97+S97+V97+W97+Z97+AA97+AD97+AE97+AH97+AI97</f>
        <v>0</v>
      </c>
    </row>
    <row r="98" customFormat="false" ht="15" hidden="false" customHeight="false" outlineLevel="0" collapsed="false">
      <c r="B98" s="0" t="n">
        <v>71</v>
      </c>
      <c r="C98" s="68" t="n">
        <f aca="false">EDATE($C$7,70)</f>
        <v>48427</v>
      </c>
      <c r="D98" s="69" t="n">
        <f aca="false">$C$8-(F98+J98+N98+R98+V98+Z98+AD98+AH98)</f>
        <v>0</v>
      </c>
      <c r="E98" s="69" t="n">
        <f aca="false">IF(H97&gt;0.5,H97*(1+E$23)+E$24,0)</f>
        <v>0</v>
      </c>
      <c r="F98" s="69" t="n">
        <f aca="false">MIN(F$23,E98)</f>
        <v>0</v>
      </c>
      <c r="G98" s="69" t="n">
        <f aca="false">IF(AND(F$24=1,OR(E$25="",$C98&gt;=E$25)),MAX(0,MIN(E98-F98,$D98-(0))),0)</f>
        <v>0</v>
      </c>
      <c r="H98" s="69" t="n">
        <f aca="false">E98-F98-G98</f>
        <v>0</v>
      </c>
      <c r="I98" s="69" t="n">
        <f aca="false">IF(L97&gt;0.5,L97*(1+I$23)+I$24,0)</f>
        <v>0</v>
      </c>
      <c r="J98" s="69" t="n">
        <f aca="false">MIN(J$23,I98)</f>
        <v>0</v>
      </c>
      <c r="K98" s="69" t="n">
        <f aca="false">IF(AND(J$24=1,OR(I$25="",$C98&gt;=I$25)),MAX(0,MIN(I98-J98,$D98-(G98))),0)</f>
        <v>0</v>
      </c>
      <c r="L98" s="69" t="n">
        <f aca="false">I98-J98-K98</f>
        <v>0</v>
      </c>
      <c r="M98" s="69" t="n">
        <f aca="false">IF(P97&gt;0.5,P97*(1+M$23)+M$24,0)</f>
        <v>0</v>
      </c>
      <c r="N98" s="69" t="n">
        <f aca="false">MIN(N$23,M98)</f>
        <v>0</v>
      </c>
      <c r="O98" s="69" t="n">
        <f aca="false">IF(AND(N$24=1,OR(M$25="",$C98&gt;=M$25)),MAX(0,MIN(M98-N98,$D98-(G98+K98))),0)</f>
        <v>0</v>
      </c>
      <c r="P98" s="69" t="n">
        <f aca="false">M98-N98-O98</f>
        <v>0</v>
      </c>
      <c r="Q98" s="69" t="n">
        <f aca="false">IF(T97&gt;0.5,T97*(1+Q$23)+Q$24,0)</f>
        <v>0</v>
      </c>
      <c r="R98" s="69" t="n">
        <f aca="false">MIN(R$23,Q98)</f>
        <v>0</v>
      </c>
      <c r="S98" s="69" t="n">
        <f aca="false">IF(AND(R$24=1,OR(Q$25="",$C98&gt;=Q$25)),MAX(0,MIN(Q98-R98,$D98-(G98+K98+O98))),0)</f>
        <v>0</v>
      </c>
      <c r="T98" s="69" t="n">
        <f aca="false">Q98-R98-S98</f>
        <v>0</v>
      </c>
      <c r="U98" s="69" t="n">
        <f aca="false">IF(X97&gt;0.5,X97*(1+U$23)+U$24,0)</f>
        <v>0</v>
      </c>
      <c r="V98" s="69" t="n">
        <f aca="false">MIN(V$23,U98)</f>
        <v>0</v>
      </c>
      <c r="W98" s="69" t="n">
        <f aca="false">IF(AND(V$24=1,OR(U$25="",$C98&gt;=U$25)),MAX(0,MIN(U98-V98,$D98-(G98+K98+O98+S98))),0)</f>
        <v>0</v>
      </c>
      <c r="X98" s="69" t="n">
        <f aca="false">U98-V98-W98</f>
        <v>0</v>
      </c>
      <c r="Y98" s="69" t="n">
        <f aca="false">IF(AB97&gt;0.5,AB97*(1+Y$23)+Y$24,0)</f>
        <v>0</v>
      </c>
      <c r="Z98" s="69" t="n">
        <f aca="false">MIN(Z$23,Y98)</f>
        <v>0</v>
      </c>
      <c r="AA98" s="69" t="n">
        <f aca="false">IF(AND(Z$24=1,OR(Y$25="",$C98&gt;=Y$25)),MAX(0,MIN(Y98-Z98,$D98-(G98+K98+O98+S98+W98))),0)</f>
        <v>0</v>
      </c>
      <c r="AB98" s="69" t="n">
        <f aca="false">Y98-Z98-AA98</f>
        <v>0</v>
      </c>
      <c r="AC98" s="69" t="n">
        <f aca="false">IF(AF97&gt;0.5,AF97*(1+AC$23)+AC$24,0)</f>
        <v>0</v>
      </c>
      <c r="AD98" s="69" t="n">
        <f aca="false">MIN(AD$23,AC98)</f>
        <v>0</v>
      </c>
      <c r="AE98" s="69" t="n">
        <f aca="false">IF(AND(AD$24=1,OR(AC$25="",$C98&gt;=AC$25)),MAX(0,MIN(AC98-AD98,$D98-(G98+K98+O98+S98+W98+AA98))),0)</f>
        <v>0</v>
      </c>
      <c r="AF98" s="69" t="n">
        <f aca="false">AC98-AD98-AE98</f>
        <v>0</v>
      </c>
      <c r="AG98" s="69" t="n">
        <f aca="false">IF(AJ97&gt;0.5,AJ97*(1+AG$23)+AG$24,0)</f>
        <v>0</v>
      </c>
      <c r="AH98" s="69" t="n">
        <f aca="false">MIN(AH$23,AG98)</f>
        <v>0</v>
      </c>
      <c r="AI98" s="69" t="n">
        <f aca="false">IF(AND(AH$24=1,OR(AG$25="",$C98&gt;=AG$25)),MAX(0,MIN(AG98-AH98,$D98-(G98+K98+O98+S98+W98+AA98+AE98))),0)</f>
        <v>0</v>
      </c>
      <c r="AJ98" s="69" t="n">
        <f aca="false">AG98-AH98-AI98</f>
        <v>0</v>
      </c>
      <c r="AK98" s="69" t="n">
        <f aca="false">IF(AK97&gt;0.5,AK97*(1+$E$12)+$G$12-MIN($F$12,AK97*(1+$E$12)+$G$12),0)</f>
        <v>0</v>
      </c>
      <c r="AL98" s="69" t="n">
        <f aca="false">IF(AL97&gt;0.5,AL97*(1+$E$13)+$G$13-MIN($F$13,AL97*(1+$E$13)+$G$13),0)</f>
        <v>0</v>
      </c>
      <c r="AM98" s="69" t="n">
        <f aca="false">IF(AM97&gt;0.5,AM97*(1+$E$14)+$G$14-MIN($F$14,AM97*(1+$E$14)+$G$14),0)</f>
        <v>0</v>
      </c>
      <c r="AN98" s="69" t="n">
        <f aca="false">IF(AN97&gt;0.5,AN97*(1+$E$15)+$G$15-MIN($F$15,AN97*(1+$E$15)+$G$15),0)</f>
        <v>0</v>
      </c>
      <c r="AO98" s="69" t="n">
        <f aca="false">IF(AO97&gt;0.5,AO97*(1+$E$16)+$G$16-MIN($F$16,AO97*(1+$E$16)+$G$16),0)</f>
        <v>0</v>
      </c>
      <c r="AP98" s="69" t="n">
        <f aca="false">IF(AP97&gt;0.5,AP97*(1+$E$17)+$G$17-MIN($F$17,AP97*(1+$E$17)+$G$17),0)</f>
        <v>0</v>
      </c>
      <c r="AQ98" s="69" t="n">
        <f aca="false">IF(AQ97&gt;0.5,AQ97*(1+$E$18)+$G$18-MIN($F$18,AQ97*(1+$E$18)+$G$18),0)</f>
        <v>0</v>
      </c>
      <c r="AR98" s="69" t="n">
        <f aca="false">IF(AR97&gt;0.5,AR97*(1+$E$19)+$G$19-MIN($F$19,AR97*(1+$E$19)+$G$19),0)</f>
        <v>0</v>
      </c>
      <c r="AS98" s="69" t="n">
        <f aca="false">H98+L98+P98+T98+X98+AB98+AF98+AJ98</f>
        <v>0</v>
      </c>
      <c r="AT98" s="69" t="n">
        <f aca="false">SUM(AK98:AR98)</f>
        <v>0</v>
      </c>
      <c r="AU98" s="69" t="n">
        <f aca="false">F98+G98+J98+K98+N98+O98+R98+S98+V98+W98+Z98+AA98+AD98+AE98+AH98+AI98</f>
        <v>0</v>
      </c>
    </row>
    <row r="99" customFormat="false" ht="15" hidden="false" customHeight="false" outlineLevel="0" collapsed="false">
      <c r="B99" s="0" t="n">
        <v>72</v>
      </c>
      <c r="C99" s="68" t="n">
        <f aca="false">EDATE($C$7,71)</f>
        <v>48458</v>
      </c>
      <c r="D99" s="69" t="n">
        <f aca="false">$C$8-(F99+J99+N99+R99+V99+Z99+AD99+AH99)</f>
        <v>0</v>
      </c>
      <c r="E99" s="69" t="n">
        <f aca="false">IF(H98&gt;0.5,H98*(1+E$23)+E$24,0)</f>
        <v>0</v>
      </c>
      <c r="F99" s="69" t="n">
        <f aca="false">MIN(F$23,E99)</f>
        <v>0</v>
      </c>
      <c r="G99" s="69" t="n">
        <f aca="false">IF(AND(F$24=1,OR(E$25="",$C99&gt;=E$25)),MAX(0,MIN(E99-F99,$D99-(0))),0)</f>
        <v>0</v>
      </c>
      <c r="H99" s="69" t="n">
        <f aca="false">E99-F99-G99</f>
        <v>0</v>
      </c>
      <c r="I99" s="69" t="n">
        <f aca="false">IF(L98&gt;0.5,L98*(1+I$23)+I$24,0)</f>
        <v>0</v>
      </c>
      <c r="J99" s="69" t="n">
        <f aca="false">MIN(J$23,I99)</f>
        <v>0</v>
      </c>
      <c r="K99" s="69" t="n">
        <f aca="false">IF(AND(J$24=1,OR(I$25="",$C99&gt;=I$25)),MAX(0,MIN(I99-J99,$D99-(G99))),0)</f>
        <v>0</v>
      </c>
      <c r="L99" s="69" t="n">
        <f aca="false">I99-J99-K99</f>
        <v>0</v>
      </c>
      <c r="M99" s="69" t="n">
        <f aca="false">IF(P98&gt;0.5,P98*(1+M$23)+M$24,0)</f>
        <v>0</v>
      </c>
      <c r="N99" s="69" t="n">
        <f aca="false">MIN(N$23,M99)</f>
        <v>0</v>
      </c>
      <c r="O99" s="69" t="n">
        <f aca="false">IF(AND(N$24=1,OR(M$25="",$C99&gt;=M$25)),MAX(0,MIN(M99-N99,$D99-(G99+K99))),0)</f>
        <v>0</v>
      </c>
      <c r="P99" s="69" t="n">
        <f aca="false">M99-N99-O99</f>
        <v>0</v>
      </c>
      <c r="Q99" s="69" t="n">
        <f aca="false">IF(T98&gt;0.5,T98*(1+Q$23)+Q$24,0)</f>
        <v>0</v>
      </c>
      <c r="R99" s="69" t="n">
        <f aca="false">MIN(R$23,Q99)</f>
        <v>0</v>
      </c>
      <c r="S99" s="69" t="n">
        <f aca="false">IF(AND(R$24=1,OR(Q$25="",$C99&gt;=Q$25)),MAX(0,MIN(Q99-R99,$D99-(G99+K99+O99))),0)</f>
        <v>0</v>
      </c>
      <c r="T99" s="69" t="n">
        <f aca="false">Q99-R99-S99</f>
        <v>0</v>
      </c>
      <c r="U99" s="69" t="n">
        <f aca="false">IF(X98&gt;0.5,X98*(1+U$23)+U$24,0)</f>
        <v>0</v>
      </c>
      <c r="V99" s="69" t="n">
        <f aca="false">MIN(V$23,U99)</f>
        <v>0</v>
      </c>
      <c r="W99" s="69" t="n">
        <f aca="false">IF(AND(V$24=1,OR(U$25="",$C99&gt;=U$25)),MAX(0,MIN(U99-V99,$D99-(G99+K99+O99+S99))),0)</f>
        <v>0</v>
      </c>
      <c r="X99" s="69" t="n">
        <f aca="false">U99-V99-W99</f>
        <v>0</v>
      </c>
      <c r="Y99" s="69" t="n">
        <f aca="false">IF(AB98&gt;0.5,AB98*(1+Y$23)+Y$24,0)</f>
        <v>0</v>
      </c>
      <c r="Z99" s="69" t="n">
        <f aca="false">MIN(Z$23,Y99)</f>
        <v>0</v>
      </c>
      <c r="AA99" s="69" t="n">
        <f aca="false">IF(AND(Z$24=1,OR(Y$25="",$C99&gt;=Y$25)),MAX(0,MIN(Y99-Z99,$D99-(G99+K99+O99+S99+W99))),0)</f>
        <v>0</v>
      </c>
      <c r="AB99" s="69" t="n">
        <f aca="false">Y99-Z99-AA99</f>
        <v>0</v>
      </c>
      <c r="AC99" s="69" t="n">
        <f aca="false">IF(AF98&gt;0.5,AF98*(1+AC$23)+AC$24,0)</f>
        <v>0</v>
      </c>
      <c r="AD99" s="69" t="n">
        <f aca="false">MIN(AD$23,AC99)</f>
        <v>0</v>
      </c>
      <c r="AE99" s="69" t="n">
        <f aca="false">IF(AND(AD$24=1,OR(AC$25="",$C99&gt;=AC$25)),MAX(0,MIN(AC99-AD99,$D99-(G99+K99+O99+S99+W99+AA99))),0)</f>
        <v>0</v>
      </c>
      <c r="AF99" s="69" t="n">
        <f aca="false">AC99-AD99-AE99</f>
        <v>0</v>
      </c>
      <c r="AG99" s="69" t="n">
        <f aca="false">IF(AJ98&gt;0.5,AJ98*(1+AG$23)+AG$24,0)</f>
        <v>0</v>
      </c>
      <c r="AH99" s="69" t="n">
        <f aca="false">MIN(AH$23,AG99)</f>
        <v>0</v>
      </c>
      <c r="AI99" s="69" t="n">
        <f aca="false">IF(AND(AH$24=1,OR(AG$25="",$C99&gt;=AG$25)),MAX(0,MIN(AG99-AH99,$D99-(G99+K99+O99+S99+W99+AA99+AE99))),0)</f>
        <v>0</v>
      </c>
      <c r="AJ99" s="69" t="n">
        <f aca="false">AG99-AH99-AI99</f>
        <v>0</v>
      </c>
      <c r="AK99" s="69" t="n">
        <f aca="false">IF(AK98&gt;0.5,AK98*(1+$E$12)+$G$12-MIN($F$12,AK98*(1+$E$12)+$G$12),0)</f>
        <v>0</v>
      </c>
      <c r="AL99" s="69" t="n">
        <f aca="false">IF(AL98&gt;0.5,AL98*(1+$E$13)+$G$13-MIN($F$13,AL98*(1+$E$13)+$G$13),0)</f>
        <v>0</v>
      </c>
      <c r="AM99" s="69" t="n">
        <f aca="false">IF(AM98&gt;0.5,AM98*(1+$E$14)+$G$14-MIN($F$14,AM98*(1+$E$14)+$G$14),0)</f>
        <v>0</v>
      </c>
      <c r="AN99" s="69" t="n">
        <f aca="false">IF(AN98&gt;0.5,AN98*(1+$E$15)+$G$15-MIN($F$15,AN98*(1+$E$15)+$G$15),0)</f>
        <v>0</v>
      </c>
      <c r="AO99" s="69" t="n">
        <f aca="false">IF(AO98&gt;0.5,AO98*(1+$E$16)+$G$16-MIN($F$16,AO98*(1+$E$16)+$G$16),0)</f>
        <v>0</v>
      </c>
      <c r="AP99" s="69" t="n">
        <f aca="false">IF(AP98&gt;0.5,AP98*(1+$E$17)+$G$17-MIN($F$17,AP98*(1+$E$17)+$G$17),0)</f>
        <v>0</v>
      </c>
      <c r="AQ99" s="69" t="n">
        <f aca="false">IF(AQ98&gt;0.5,AQ98*(1+$E$18)+$G$18-MIN($F$18,AQ98*(1+$E$18)+$G$18),0)</f>
        <v>0</v>
      </c>
      <c r="AR99" s="69" t="n">
        <f aca="false">IF(AR98&gt;0.5,AR98*(1+$E$19)+$G$19-MIN($F$19,AR98*(1+$E$19)+$G$19),0)</f>
        <v>0</v>
      </c>
      <c r="AS99" s="69" t="n">
        <f aca="false">H99+L99+P99+T99+X99+AB99+AF99+AJ99</f>
        <v>0</v>
      </c>
      <c r="AT99" s="69" t="n">
        <f aca="false">SUM(AK99:AR99)</f>
        <v>0</v>
      </c>
      <c r="AU99" s="69" t="n">
        <f aca="false">F99+G99+J99+K99+N99+O99+R99+S99+V99+W99+Z99+AA99+AD99+AE99+AH99+AI99</f>
        <v>0</v>
      </c>
    </row>
    <row r="100" customFormat="false" ht="15" hidden="false" customHeight="false" outlineLevel="0" collapsed="false">
      <c r="B100" s="0" t="n">
        <v>73</v>
      </c>
      <c r="C100" s="68" t="n">
        <f aca="false">EDATE($C$7,72)</f>
        <v>48488</v>
      </c>
      <c r="D100" s="69" t="n">
        <f aca="false">$C$8-(F100+J100+N100+R100+V100+Z100+AD100+AH100)</f>
        <v>0</v>
      </c>
      <c r="E100" s="69" t="n">
        <f aca="false">IF(H99&gt;0.5,H99*(1+E$23)+E$24,0)</f>
        <v>0</v>
      </c>
      <c r="F100" s="69" t="n">
        <f aca="false">MIN(F$23,E100)</f>
        <v>0</v>
      </c>
      <c r="G100" s="69" t="n">
        <f aca="false">IF(AND(F$24=1,OR(E$25="",$C100&gt;=E$25)),MAX(0,MIN(E100-F100,$D100-(0))),0)</f>
        <v>0</v>
      </c>
      <c r="H100" s="69" t="n">
        <f aca="false">E100-F100-G100</f>
        <v>0</v>
      </c>
      <c r="I100" s="69" t="n">
        <f aca="false">IF(L99&gt;0.5,L99*(1+I$23)+I$24,0)</f>
        <v>0</v>
      </c>
      <c r="J100" s="69" t="n">
        <f aca="false">MIN(J$23,I100)</f>
        <v>0</v>
      </c>
      <c r="K100" s="69" t="n">
        <f aca="false">IF(AND(J$24=1,OR(I$25="",$C100&gt;=I$25)),MAX(0,MIN(I100-J100,$D100-(G100))),0)</f>
        <v>0</v>
      </c>
      <c r="L100" s="69" t="n">
        <f aca="false">I100-J100-K100</f>
        <v>0</v>
      </c>
      <c r="M100" s="69" t="n">
        <f aca="false">IF(P99&gt;0.5,P99*(1+M$23)+M$24,0)</f>
        <v>0</v>
      </c>
      <c r="N100" s="69" t="n">
        <f aca="false">MIN(N$23,M100)</f>
        <v>0</v>
      </c>
      <c r="O100" s="69" t="n">
        <f aca="false">IF(AND(N$24=1,OR(M$25="",$C100&gt;=M$25)),MAX(0,MIN(M100-N100,$D100-(G100+K100))),0)</f>
        <v>0</v>
      </c>
      <c r="P100" s="69" t="n">
        <f aca="false">M100-N100-O100</f>
        <v>0</v>
      </c>
      <c r="Q100" s="69" t="n">
        <f aca="false">IF(T99&gt;0.5,T99*(1+Q$23)+Q$24,0)</f>
        <v>0</v>
      </c>
      <c r="R100" s="69" t="n">
        <f aca="false">MIN(R$23,Q100)</f>
        <v>0</v>
      </c>
      <c r="S100" s="69" t="n">
        <f aca="false">IF(AND(R$24=1,OR(Q$25="",$C100&gt;=Q$25)),MAX(0,MIN(Q100-R100,$D100-(G100+K100+O100))),0)</f>
        <v>0</v>
      </c>
      <c r="T100" s="69" t="n">
        <f aca="false">Q100-R100-S100</f>
        <v>0</v>
      </c>
      <c r="U100" s="69" t="n">
        <f aca="false">IF(X99&gt;0.5,X99*(1+U$23)+U$24,0)</f>
        <v>0</v>
      </c>
      <c r="V100" s="69" t="n">
        <f aca="false">MIN(V$23,U100)</f>
        <v>0</v>
      </c>
      <c r="W100" s="69" t="n">
        <f aca="false">IF(AND(V$24=1,OR(U$25="",$C100&gt;=U$25)),MAX(0,MIN(U100-V100,$D100-(G100+K100+O100+S100))),0)</f>
        <v>0</v>
      </c>
      <c r="X100" s="69" t="n">
        <f aca="false">U100-V100-W100</f>
        <v>0</v>
      </c>
      <c r="Y100" s="69" t="n">
        <f aca="false">IF(AB99&gt;0.5,AB99*(1+Y$23)+Y$24,0)</f>
        <v>0</v>
      </c>
      <c r="Z100" s="69" t="n">
        <f aca="false">MIN(Z$23,Y100)</f>
        <v>0</v>
      </c>
      <c r="AA100" s="69" t="n">
        <f aca="false">IF(AND(Z$24=1,OR(Y$25="",$C100&gt;=Y$25)),MAX(0,MIN(Y100-Z100,$D100-(G100+K100+O100+S100+W100))),0)</f>
        <v>0</v>
      </c>
      <c r="AB100" s="69" t="n">
        <f aca="false">Y100-Z100-AA100</f>
        <v>0</v>
      </c>
      <c r="AC100" s="69" t="n">
        <f aca="false">IF(AF99&gt;0.5,AF99*(1+AC$23)+AC$24,0)</f>
        <v>0</v>
      </c>
      <c r="AD100" s="69" t="n">
        <f aca="false">MIN(AD$23,AC100)</f>
        <v>0</v>
      </c>
      <c r="AE100" s="69" t="n">
        <f aca="false">IF(AND(AD$24=1,OR(AC$25="",$C100&gt;=AC$25)),MAX(0,MIN(AC100-AD100,$D100-(G100+K100+O100+S100+W100+AA100))),0)</f>
        <v>0</v>
      </c>
      <c r="AF100" s="69" t="n">
        <f aca="false">AC100-AD100-AE100</f>
        <v>0</v>
      </c>
      <c r="AG100" s="69" t="n">
        <f aca="false">IF(AJ99&gt;0.5,AJ99*(1+AG$23)+AG$24,0)</f>
        <v>0</v>
      </c>
      <c r="AH100" s="69" t="n">
        <f aca="false">MIN(AH$23,AG100)</f>
        <v>0</v>
      </c>
      <c r="AI100" s="69" t="n">
        <f aca="false">IF(AND(AH$24=1,OR(AG$25="",$C100&gt;=AG$25)),MAX(0,MIN(AG100-AH100,$D100-(G100+K100+O100+S100+W100+AA100+AE100))),0)</f>
        <v>0</v>
      </c>
      <c r="AJ100" s="69" t="n">
        <f aca="false">AG100-AH100-AI100</f>
        <v>0</v>
      </c>
      <c r="AK100" s="69" t="n">
        <f aca="false">IF(AK99&gt;0.5,AK99*(1+$E$12)+$G$12-MIN($F$12,AK99*(1+$E$12)+$G$12),0)</f>
        <v>0</v>
      </c>
      <c r="AL100" s="69" t="n">
        <f aca="false">IF(AL99&gt;0.5,AL99*(1+$E$13)+$G$13-MIN($F$13,AL99*(1+$E$13)+$G$13),0)</f>
        <v>0</v>
      </c>
      <c r="AM100" s="69" t="n">
        <f aca="false">IF(AM99&gt;0.5,AM99*(1+$E$14)+$G$14-MIN($F$14,AM99*(1+$E$14)+$G$14),0)</f>
        <v>0</v>
      </c>
      <c r="AN100" s="69" t="n">
        <f aca="false">IF(AN99&gt;0.5,AN99*(1+$E$15)+$G$15-MIN($F$15,AN99*(1+$E$15)+$G$15),0)</f>
        <v>0</v>
      </c>
      <c r="AO100" s="69" t="n">
        <f aca="false">IF(AO99&gt;0.5,AO99*(1+$E$16)+$G$16-MIN($F$16,AO99*(1+$E$16)+$G$16),0)</f>
        <v>0</v>
      </c>
      <c r="AP100" s="69" t="n">
        <f aca="false">IF(AP99&gt;0.5,AP99*(1+$E$17)+$G$17-MIN($F$17,AP99*(1+$E$17)+$G$17),0)</f>
        <v>0</v>
      </c>
      <c r="AQ100" s="69" t="n">
        <f aca="false">IF(AQ99&gt;0.5,AQ99*(1+$E$18)+$G$18-MIN($F$18,AQ99*(1+$E$18)+$G$18),0)</f>
        <v>0</v>
      </c>
      <c r="AR100" s="69" t="n">
        <f aca="false">IF(AR99&gt;0.5,AR99*(1+$E$19)+$G$19-MIN($F$19,AR99*(1+$E$19)+$G$19),0)</f>
        <v>0</v>
      </c>
      <c r="AS100" s="69" t="n">
        <f aca="false">H100+L100+P100+T100+X100+AB100+AF100+AJ100</f>
        <v>0</v>
      </c>
      <c r="AT100" s="69" t="n">
        <f aca="false">SUM(AK100:AR100)</f>
        <v>0</v>
      </c>
      <c r="AU100" s="69" t="n">
        <f aca="false">F100+G100+J100+K100+N100+O100+R100+S100+V100+W100+Z100+AA100+AD100+AE100+AH100+AI100</f>
        <v>0</v>
      </c>
    </row>
    <row r="101" customFormat="false" ht="15" hidden="false" customHeight="false" outlineLevel="0" collapsed="false">
      <c r="B101" s="0" t="n">
        <v>74</v>
      </c>
      <c r="C101" s="68" t="n">
        <f aca="false">EDATE($C$7,73)</f>
        <v>48519</v>
      </c>
      <c r="D101" s="69" t="n">
        <f aca="false">$C$8-(F101+J101+N101+R101+V101+Z101+AD101+AH101)</f>
        <v>0</v>
      </c>
      <c r="E101" s="69" t="n">
        <f aca="false">IF(H100&gt;0.5,H100*(1+E$23)+E$24,0)</f>
        <v>0</v>
      </c>
      <c r="F101" s="69" t="n">
        <f aca="false">MIN(F$23,E101)</f>
        <v>0</v>
      </c>
      <c r="G101" s="69" t="n">
        <f aca="false">IF(AND(F$24=1,OR(E$25="",$C101&gt;=E$25)),MAX(0,MIN(E101-F101,$D101-(0))),0)</f>
        <v>0</v>
      </c>
      <c r="H101" s="69" t="n">
        <f aca="false">E101-F101-G101</f>
        <v>0</v>
      </c>
      <c r="I101" s="69" t="n">
        <f aca="false">IF(L100&gt;0.5,L100*(1+I$23)+I$24,0)</f>
        <v>0</v>
      </c>
      <c r="J101" s="69" t="n">
        <f aca="false">MIN(J$23,I101)</f>
        <v>0</v>
      </c>
      <c r="K101" s="69" t="n">
        <f aca="false">IF(AND(J$24=1,OR(I$25="",$C101&gt;=I$25)),MAX(0,MIN(I101-J101,$D101-(G101))),0)</f>
        <v>0</v>
      </c>
      <c r="L101" s="69" t="n">
        <f aca="false">I101-J101-K101</f>
        <v>0</v>
      </c>
      <c r="M101" s="69" t="n">
        <f aca="false">IF(P100&gt;0.5,P100*(1+M$23)+M$24,0)</f>
        <v>0</v>
      </c>
      <c r="N101" s="69" t="n">
        <f aca="false">MIN(N$23,M101)</f>
        <v>0</v>
      </c>
      <c r="O101" s="69" t="n">
        <f aca="false">IF(AND(N$24=1,OR(M$25="",$C101&gt;=M$25)),MAX(0,MIN(M101-N101,$D101-(G101+K101))),0)</f>
        <v>0</v>
      </c>
      <c r="P101" s="69" t="n">
        <f aca="false">M101-N101-O101</f>
        <v>0</v>
      </c>
      <c r="Q101" s="69" t="n">
        <f aca="false">IF(T100&gt;0.5,T100*(1+Q$23)+Q$24,0)</f>
        <v>0</v>
      </c>
      <c r="R101" s="69" t="n">
        <f aca="false">MIN(R$23,Q101)</f>
        <v>0</v>
      </c>
      <c r="S101" s="69" t="n">
        <f aca="false">IF(AND(R$24=1,OR(Q$25="",$C101&gt;=Q$25)),MAX(0,MIN(Q101-R101,$D101-(G101+K101+O101))),0)</f>
        <v>0</v>
      </c>
      <c r="T101" s="69" t="n">
        <f aca="false">Q101-R101-S101</f>
        <v>0</v>
      </c>
      <c r="U101" s="69" t="n">
        <f aca="false">IF(X100&gt;0.5,X100*(1+U$23)+U$24,0)</f>
        <v>0</v>
      </c>
      <c r="V101" s="69" t="n">
        <f aca="false">MIN(V$23,U101)</f>
        <v>0</v>
      </c>
      <c r="W101" s="69" t="n">
        <f aca="false">IF(AND(V$24=1,OR(U$25="",$C101&gt;=U$25)),MAX(0,MIN(U101-V101,$D101-(G101+K101+O101+S101))),0)</f>
        <v>0</v>
      </c>
      <c r="X101" s="69" t="n">
        <f aca="false">U101-V101-W101</f>
        <v>0</v>
      </c>
      <c r="Y101" s="69" t="n">
        <f aca="false">IF(AB100&gt;0.5,AB100*(1+Y$23)+Y$24,0)</f>
        <v>0</v>
      </c>
      <c r="Z101" s="69" t="n">
        <f aca="false">MIN(Z$23,Y101)</f>
        <v>0</v>
      </c>
      <c r="AA101" s="69" t="n">
        <f aca="false">IF(AND(Z$24=1,OR(Y$25="",$C101&gt;=Y$25)),MAX(0,MIN(Y101-Z101,$D101-(G101+K101+O101+S101+W101))),0)</f>
        <v>0</v>
      </c>
      <c r="AB101" s="69" t="n">
        <f aca="false">Y101-Z101-AA101</f>
        <v>0</v>
      </c>
      <c r="AC101" s="69" t="n">
        <f aca="false">IF(AF100&gt;0.5,AF100*(1+AC$23)+AC$24,0)</f>
        <v>0</v>
      </c>
      <c r="AD101" s="69" t="n">
        <f aca="false">MIN(AD$23,AC101)</f>
        <v>0</v>
      </c>
      <c r="AE101" s="69" t="n">
        <f aca="false">IF(AND(AD$24=1,OR(AC$25="",$C101&gt;=AC$25)),MAX(0,MIN(AC101-AD101,$D101-(G101+K101+O101+S101+W101+AA101))),0)</f>
        <v>0</v>
      </c>
      <c r="AF101" s="69" t="n">
        <f aca="false">AC101-AD101-AE101</f>
        <v>0</v>
      </c>
      <c r="AG101" s="69" t="n">
        <f aca="false">IF(AJ100&gt;0.5,AJ100*(1+AG$23)+AG$24,0)</f>
        <v>0</v>
      </c>
      <c r="AH101" s="69" t="n">
        <f aca="false">MIN(AH$23,AG101)</f>
        <v>0</v>
      </c>
      <c r="AI101" s="69" t="n">
        <f aca="false">IF(AND(AH$24=1,OR(AG$25="",$C101&gt;=AG$25)),MAX(0,MIN(AG101-AH101,$D101-(G101+K101+O101+S101+W101+AA101+AE101))),0)</f>
        <v>0</v>
      </c>
      <c r="AJ101" s="69" t="n">
        <f aca="false">AG101-AH101-AI101</f>
        <v>0</v>
      </c>
      <c r="AK101" s="69" t="n">
        <f aca="false">IF(AK100&gt;0.5,AK100*(1+$E$12)+$G$12-MIN($F$12,AK100*(1+$E$12)+$G$12),0)</f>
        <v>0</v>
      </c>
      <c r="AL101" s="69" t="n">
        <f aca="false">IF(AL100&gt;0.5,AL100*(1+$E$13)+$G$13-MIN($F$13,AL100*(1+$E$13)+$G$13),0)</f>
        <v>0</v>
      </c>
      <c r="AM101" s="69" t="n">
        <f aca="false">IF(AM100&gt;0.5,AM100*(1+$E$14)+$G$14-MIN($F$14,AM100*(1+$E$14)+$G$14),0)</f>
        <v>0</v>
      </c>
      <c r="AN101" s="69" t="n">
        <f aca="false">IF(AN100&gt;0.5,AN100*(1+$E$15)+$G$15-MIN($F$15,AN100*(1+$E$15)+$G$15),0)</f>
        <v>0</v>
      </c>
      <c r="AO101" s="69" t="n">
        <f aca="false">IF(AO100&gt;0.5,AO100*(1+$E$16)+$G$16-MIN($F$16,AO100*(1+$E$16)+$G$16),0)</f>
        <v>0</v>
      </c>
      <c r="AP101" s="69" t="n">
        <f aca="false">IF(AP100&gt;0.5,AP100*(1+$E$17)+$G$17-MIN($F$17,AP100*(1+$E$17)+$G$17),0)</f>
        <v>0</v>
      </c>
      <c r="AQ101" s="69" t="n">
        <f aca="false">IF(AQ100&gt;0.5,AQ100*(1+$E$18)+$G$18-MIN($F$18,AQ100*(1+$E$18)+$G$18),0)</f>
        <v>0</v>
      </c>
      <c r="AR101" s="69" t="n">
        <f aca="false">IF(AR100&gt;0.5,AR100*(1+$E$19)+$G$19-MIN($F$19,AR100*(1+$E$19)+$G$19),0)</f>
        <v>0</v>
      </c>
      <c r="AS101" s="69" t="n">
        <f aca="false">H101+L101+P101+T101+X101+AB101+AF101+AJ101</f>
        <v>0</v>
      </c>
      <c r="AT101" s="69" t="n">
        <f aca="false">SUM(AK101:AR101)</f>
        <v>0</v>
      </c>
      <c r="AU101" s="69" t="n">
        <f aca="false">F101+G101+J101+K101+N101+O101+R101+S101+V101+W101+Z101+AA101+AD101+AE101+AH101+AI101</f>
        <v>0</v>
      </c>
    </row>
    <row r="102" customFormat="false" ht="15" hidden="false" customHeight="false" outlineLevel="0" collapsed="false">
      <c r="B102" s="0" t="n">
        <v>75</v>
      </c>
      <c r="C102" s="68" t="n">
        <f aca="false">EDATE($C$7,74)</f>
        <v>48549</v>
      </c>
      <c r="D102" s="69" t="n">
        <f aca="false">$C$8-(F102+J102+N102+R102+V102+Z102+AD102+AH102)</f>
        <v>0</v>
      </c>
      <c r="E102" s="69" t="n">
        <f aca="false">IF(H101&gt;0.5,H101*(1+E$23)+E$24,0)</f>
        <v>0</v>
      </c>
      <c r="F102" s="69" t="n">
        <f aca="false">MIN(F$23,E102)</f>
        <v>0</v>
      </c>
      <c r="G102" s="69" t="n">
        <f aca="false">IF(AND(F$24=1,OR(E$25="",$C102&gt;=E$25)),MAX(0,MIN(E102-F102,$D102-(0))),0)</f>
        <v>0</v>
      </c>
      <c r="H102" s="69" t="n">
        <f aca="false">E102-F102-G102</f>
        <v>0</v>
      </c>
      <c r="I102" s="69" t="n">
        <f aca="false">IF(L101&gt;0.5,L101*(1+I$23)+I$24,0)</f>
        <v>0</v>
      </c>
      <c r="J102" s="69" t="n">
        <f aca="false">MIN(J$23,I102)</f>
        <v>0</v>
      </c>
      <c r="K102" s="69" t="n">
        <f aca="false">IF(AND(J$24=1,OR(I$25="",$C102&gt;=I$25)),MAX(0,MIN(I102-J102,$D102-(G102))),0)</f>
        <v>0</v>
      </c>
      <c r="L102" s="69" t="n">
        <f aca="false">I102-J102-K102</f>
        <v>0</v>
      </c>
      <c r="M102" s="69" t="n">
        <f aca="false">IF(P101&gt;0.5,P101*(1+M$23)+M$24,0)</f>
        <v>0</v>
      </c>
      <c r="N102" s="69" t="n">
        <f aca="false">MIN(N$23,M102)</f>
        <v>0</v>
      </c>
      <c r="O102" s="69" t="n">
        <f aca="false">IF(AND(N$24=1,OR(M$25="",$C102&gt;=M$25)),MAX(0,MIN(M102-N102,$D102-(G102+K102))),0)</f>
        <v>0</v>
      </c>
      <c r="P102" s="69" t="n">
        <f aca="false">M102-N102-O102</f>
        <v>0</v>
      </c>
      <c r="Q102" s="69" t="n">
        <f aca="false">IF(T101&gt;0.5,T101*(1+Q$23)+Q$24,0)</f>
        <v>0</v>
      </c>
      <c r="R102" s="69" t="n">
        <f aca="false">MIN(R$23,Q102)</f>
        <v>0</v>
      </c>
      <c r="S102" s="69" t="n">
        <f aca="false">IF(AND(R$24=1,OR(Q$25="",$C102&gt;=Q$25)),MAX(0,MIN(Q102-R102,$D102-(G102+K102+O102))),0)</f>
        <v>0</v>
      </c>
      <c r="T102" s="69" t="n">
        <f aca="false">Q102-R102-S102</f>
        <v>0</v>
      </c>
      <c r="U102" s="69" t="n">
        <f aca="false">IF(X101&gt;0.5,X101*(1+U$23)+U$24,0)</f>
        <v>0</v>
      </c>
      <c r="V102" s="69" t="n">
        <f aca="false">MIN(V$23,U102)</f>
        <v>0</v>
      </c>
      <c r="W102" s="69" t="n">
        <f aca="false">IF(AND(V$24=1,OR(U$25="",$C102&gt;=U$25)),MAX(0,MIN(U102-V102,$D102-(G102+K102+O102+S102))),0)</f>
        <v>0</v>
      </c>
      <c r="X102" s="69" t="n">
        <f aca="false">U102-V102-W102</f>
        <v>0</v>
      </c>
      <c r="Y102" s="69" t="n">
        <f aca="false">IF(AB101&gt;0.5,AB101*(1+Y$23)+Y$24,0)</f>
        <v>0</v>
      </c>
      <c r="Z102" s="69" t="n">
        <f aca="false">MIN(Z$23,Y102)</f>
        <v>0</v>
      </c>
      <c r="AA102" s="69" t="n">
        <f aca="false">IF(AND(Z$24=1,OR(Y$25="",$C102&gt;=Y$25)),MAX(0,MIN(Y102-Z102,$D102-(G102+K102+O102+S102+W102))),0)</f>
        <v>0</v>
      </c>
      <c r="AB102" s="69" t="n">
        <f aca="false">Y102-Z102-AA102</f>
        <v>0</v>
      </c>
      <c r="AC102" s="69" t="n">
        <f aca="false">IF(AF101&gt;0.5,AF101*(1+AC$23)+AC$24,0)</f>
        <v>0</v>
      </c>
      <c r="AD102" s="69" t="n">
        <f aca="false">MIN(AD$23,AC102)</f>
        <v>0</v>
      </c>
      <c r="AE102" s="69" t="n">
        <f aca="false">IF(AND(AD$24=1,OR(AC$25="",$C102&gt;=AC$25)),MAX(0,MIN(AC102-AD102,$D102-(G102+K102+O102+S102+W102+AA102))),0)</f>
        <v>0</v>
      </c>
      <c r="AF102" s="69" t="n">
        <f aca="false">AC102-AD102-AE102</f>
        <v>0</v>
      </c>
      <c r="AG102" s="69" t="n">
        <f aca="false">IF(AJ101&gt;0.5,AJ101*(1+AG$23)+AG$24,0)</f>
        <v>0</v>
      </c>
      <c r="AH102" s="69" t="n">
        <f aca="false">MIN(AH$23,AG102)</f>
        <v>0</v>
      </c>
      <c r="AI102" s="69" t="n">
        <f aca="false">IF(AND(AH$24=1,OR(AG$25="",$C102&gt;=AG$25)),MAX(0,MIN(AG102-AH102,$D102-(G102+K102+O102+S102+W102+AA102+AE102))),0)</f>
        <v>0</v>
      </c>
      <c r="AJ102" s="69" t="n">
        <f aca="false">AG102-AH102-AI102</f>
        <v>0</v>
      </c>
      <c r="AK102" s="69" t="n">
        <f aca="false">IF(AK101&gt;0.5,AK101*(1+$E$12)+$G$12-MIN($F$12,AK101*(1+$E$12)+$G$12),0)</f>
        <v>0</v>
      </c>
      <c r="AL102" s="69" t="n">
        <f aca="false">IF(AL101&gt;0.5,AL101*(1+$E$13)+$G$13-MIN($F$13,AL101*(1+$E$13)+$G$13),0)</f>
        <v>0</v>
      </c>
      <c r="AM102" s="69" t="n">
        <f aca="false">IF(AM101&gt;0.5,AM101*(1+$E$14)+$G$14-MIN($F$14,AM101*(1+$E$14)+$G$14),0)</f>
        <v>0</v>
      </c>
      <c r="AN102" s="69" t="n">
        <f aca="false">IF(AN101&gt;0.5,AN101*(1+$E$15)+$G$15-MIN($F$15,AN101*(1+$E$15)+$G$15),0)</f>
        <v>0</v>
      </c>
      <c r="AO102" s="69" t="n">
        <f aca="false">IF(AO101&gt;0.5,AO101*(1+$E$16)+$G$16-MIN($F$16,AO101*(1+$E$16)+$G$16),0)</f>
        <v>0</v>
      </c>
      <c r="AP102" s="69" t="n">
        <f aca="false">IF(AP101&gt;0.5,AP101*(1+$E$17)+$G$17-MIN($F$17,AP101*(1+$E$17)+$G$17),0)</f>
        <v>0</v>
      </c>
      <c r="AQ102" s="69" t="n">
        <f aca="false">IF(AQ101&gt;0.5,AQ101*(1+$E$18)+$G$18-MIN($F$18,AQ101*(1+$E$18)+$G$18),0)</f>
        <v>0</v>
      </c>
      <c r="AR102" s="69" t="n">
        <f aca="false">IF(AR101&gt;0.5,AR101*(1+$E$19)+$G$19-MIN($F$19,AR101*(1+$E$19)+$G$19),0)</f>
        <v>0</v>
      </c>
      <c r="AS102" s="69" t="n">
        <f aca="false">H102+L102+P102+T102+X102+AB102+AF102+AJ102</f>
        <v>0</v>
      </c>
      <c r="AT102" s="69" t="n">
        <f aca="false">SUM(AK102:AR102)</f>
        <v>0</v>
      </c>
      <c r="AU102" s="69" t="n">
        <f aca="false">F102+G102+J102+K102+N102+O102+R102+S102+V102+W102+Z102+AA102+AD102+AE102+AH102+AI102</f>
        <v>0</v>
      </c>
    </row>
    <row r="103" customFormat="false" ht="15" hidden="false" customHeight="false" outlineLevel="0" collapsed="false">
      <c r="B103" s="0" t="n">
        <v>76</v>
      </c>
      <c r="C103" s="68" t="n">
        <f aca="false">EDATE($C$7,75)</f>
        <v>48580</v>
      </c>
      <c r="D103" s="69" t="n">
        <f aca="false">$C$8-(F103+J103+N103+R103+V103+Z103+AD103+AH103)</f>
        <v>0</v>
      </c>
      <c r="E103" s="69" t="n">
        <f aca="false">IF(H102&gt;0.5,H102*(1+E$23)+E$24,0)</f>
        <v>0</v>
      </c>
      <c r="F103" s="69" t="n">
        <f aca="false">MIN(F$23,E103)</f>
        <v>0</v>
      </c>
      <c r="G103" s="69" t="n">
        <f aca="false">IF(AND(F$24=1,OR(E$25="",$C103&gt;=E$25)),MAX(0,MIN(E103-F103,$D103-(0))),0)</f>
        <v>0</v>
      </c>
      <c r="H103" s="69" t="n">
        <f aca="false">E103-F103-G103</f>
        <v>0</v>
      </c>
      <c r="I103" s="69" t="n">
        <f aca="false">IF(L102&gt;0.5,L102*(1+I$23)+I$24,0)</f>
        <v>0</v>
      </c>
      <c r="J103" s="69" t="n">
        <f aca="false">MIN(J$23,I103)</f>
        <v>0</v>
      </c>
      <c r="K103" s="69" t="n">
        <f aca="false">IF(AND(J$24=1,OR(I$25="",$C103&gt;=I$25)),MAX(0,MIN(I103-J103,$D103-(G103))),0)</f>
        <v>0</v>
      </c>
      <c r="L103" s="69" t="n">
        <f aca="false">I103-J103-K103</f>
        <v>0</v>
      </c>
      <c r="M103" s="69" t="n">
        <f aca="false">IF(P102&gt;0.5,P102*(1+M$23)+M$24,0)</f>
        <v>0</v>
      </c>
      <c r="N103" s="69" t="n">
        <f aca="false">MIN(N$23,M103)</f>
        <v>0</v>
      </c>
      <c r="O103" s="69" t="n">
        <f aca="false">IF(AND(N$24=1,OR(M$25="",$C103&gt;=M$25)),MAX(0,MIN(M103-N103,$D103-(G103+K103))),0)</f>
        <v>0</v>
      </c>
      <c r="P103" s="69" t="n">
        <f aca="false">M103-N103-O103</f>
        <v>0</v>
      </c>
      <c r="Q103" s="69" t="n">
        <f aca="false">IF(T102&gt;0.5,T102*(1+Q$23)+Q$24,0)</f>
        <v>0</v>
      </c>
      <c r="R103" s="69" t="n">
        <f aca="false">MIN(R$23,Q103)</f>
        <v>0</v>
      </c>
      <c r="S103" s="69" t="n">
        <f aca="false">IF(AND(R$24=1,OR(Q$25="",$C103&gt;=Q$25)),MAX(0,MIN(Q103-R103,$D103-(G103+K103+O103))),0)</f>
        <v>0</v>
      </c>
      <c r="T103" s="69" t="n">
        <f aca="false">Q103-R103-S103</f>
        <v>0</v>
      </c>
      <c r="U103" s="69" t="n">
        <f aca="false">IF(X102&gt;0.5,X102*(1+U$23)+U$24,0)</f>
        <v>0</v>
      </c>
      <c r="V103" s="69" t="n">
        <f aca="false">MIN(V$23,U103)</f>
        <v>0</v>
      </c>
      <c r="W103" s="69" t="n">
        <f aca="false">IF(AND(V$24=1,OR(U$25="",$C103&gt;=U$25)),MAX(0,MIN(U103-V103,$D103-(G103+K103+O103+S103))),0)</f>
        <v>0</v>
      </c>
      <c r="X103" s="69" t="n">
        <f aca="false">U103-V103-W103</f>
        <v>0</v>
      </c>
      <c r="Y103" s="69" t="n">
        <f aca="false">IF(AB102&gt;0.5,AB102*(1+Y$23)+Y$24,0)</f>
        <v>0</v>
      </c>
      <c r="Z103" s="69" t="n">
        <f aca="false">MIN(Z$23,Y103)</f>
        <v>0</v>
      </c>
      <c r="AA103" s="69" t="n">
        <f aca="false">IF(AND(Z$24=1,OR(Y$25="",$C103&gt;=Y$25)),MAX(0,MIN(Y103-Z103,$D103-(G103+K103+O103+S103+W103))),0)</f>
        <v>0</v>
      </c>
      <c r="AB103" s="69" t="n">
        <f aca="false">Y103-Z103-AA103</f>
        <v>0</v>
      </c>
      <c r="AC103" s="69" t="n">
        <f aca="false">IF(AF102&gt;0.5,AF102*(1+AC$23)+AC$24,0)</f>
        <v>0</v>
      </c>
      <c r="AD103" s="69" t="n">
        <f aca="false">MIN(AD$23,AC103)</f>
        <v>0</v>
      </c>
      <c r="AE103" s="69" t="n">
        <f aca="false">IF(AND(AD$24=1,OR(AC$25="",$C103&gt;=AC$25)),MAX(0,MIN(AC103-AD103,$D103-(G103+K103+O103+S103+W103+AA103))),0)</f>
        <v>0</v>
      </c>
      <c r="AF103" s="69" t="n">
        <f aca="false">AC103-AD103-AE103</f>
        <v>0</v>
      </c>
      <c r="AG103" s="69" t="n">
        <f aca="false">IF(AJ102&gt;0.5,AJ102*(1+AG$23)+AG$24,0)</f>
        <v>0</v>
      </c>
      <c r="AH103" s="69" t="n">
        <f aca="false">MIN(AH$23,AG103)</f>
        <v>0</v>
      </c>
      <c r="AI103" s="69" t="n">
        <f aca="false">IF(AND(AH$24=1,OR(AG$25="",$C103&gt;=AG$25)),MAX(0,MIN(AG103-AH103,$D103-(G103+K103+O103+S103+W103+AA103+AE103))),0)</f>
        <v>0</v>
      </c>
      <c r="AJ103" s="69" t="n">
        <f aca="false">AG103-AH103-AI103</f>
        <v>0</v>
      </c>
      <c r="AK103" s="69" t="n">
        <f aca="false">IF(AK102&gt;0.5,AK102*(1+$E$12)+$G$12-MIN($F$12,AK102*(1+$E$12)+$G$12),0)</f>
        <v>0</v>
      </c>
      <c r="AL103" s="69" t="n">
        <f aca="false">IF(AL102&gt;0.5,AL102*(1+$E$13)+$G$13-MIN($F$13,AL102*(1+$E$13)+$G$13),0)</f>
        <v>0</v>
      </c>
      <c r="AM103" s="69" t="n">
        <f aca="false">IF(AM102&gt;0.5,AM102*(1+$E$14)+$G$14-MIN($F$14,AM102*(1+$E$14)+$G$14),0)</f>
        <v>0</v>
      </c>
      <c r="AN103" s="69" t="n">
        <f aca="false">IF(AN102&gt;0.5,AN102*(1+$E$15)+$G$15-MIN($F$15,AN102*(1+$E$15)+$G$15),0)</f>
        <v>0</v>
      </c>
      <c r="AO103" s="69" t="n">
        <f aca="false">IF(AO102&gt;0.5,AO102*(1+$E$16)+$G$16-MIN($F$16,AO102*(1+$E$16)+$G$16),0)</f>
        <v>0</v>
      </c>
      <c r="AP103" s="69" t="n">
        <f aca="false">IF(AP102&gt;0.5,AP102*(1+$E$17)+$G$17-MIN($F$17,AP102*(1+$E$17)+$G$17),0)</f>
        <v>0</v>
      </c>
      <c r="AQ103" s="69" t="n">
        <f aca="false">IF(AQ102&gt;0.5,AQ102*(1+$E$18)+$G$18-MIN($F$18,AQ102*(1+$E$18)+$G$18),0)</f>
        <v>0</v>
      </c>
      <c r="AR103" s="69" t="n">
        <f aca="false">IF(AR102&gt;0.5,AR102*(1+$E$19)+$G$19-MIN($F$19,AR102*(1+$E$19)+$G$19),0)</f>
        <v>0</v>
      </c>
      <c r="AS103" s="69" t="n">
        <f aca="false">H103+L103+P103+T103+X103+AB103+AF103+AJ103</f>
        <v>0</v>
      </c>
      <c r="AT103" s="69" t="n">
        <f aca="false">SUM(AK103:AR103)</f>
        <v>0</v>
      </c>
      <c r="AU103" s="69" t="n">
        <f aca="false">F103+G103+J103+K103+N103+O103+R103+S103+V103+W103+Z103+AA103+AD103+AE103+AH103+AI103</f>
        <v>0</v>
      </c>
    </row>
    <row r="104" customFormat="false" ht="15" hidden="false" customHeight="false" outlineLevel="0" collapsed="false">
      <c r="B104" s="0" t="n">
        <v>77</v>
      </c>
      <c r="C104" s="68" t="n">
        <f aca="false">EDATE($C$7,76)</f>
        <v>48611</v>
      </c>
      <c r="D104" s="69" t="n">
        <f aca="false">$C$8-(F104+J104+N104+R104+V104+Z104+AD104+AH104)</f>
        <v>0</v>
      </c>
      <c r="E104" s="69" t="n">
        <f aca="false">IF(H103&gt;0.5,H103*(1+E$23)+E$24,0)</f>
        <v>0</v>
      </c>
      <c r="F104" s="69" t="n">
        <f aca="false">MIN(F$23,E104)</f>
        <v>0</v>
      </c>
      <c r="G104" s="69" t="n">
        <f aca="false">IF(AND(F$24=1,OR(E$25="",$C104&gt;=E$25)),MAX(0,MIN(E104-F104,$D104-(0))),0)</f>
        <v>0</v>
      </c>
      <c r="H104" s="69" t="n">
        <f aca="false">E104-F104-G104</f>
        <v>0</v>
      </c>
      <c r="I104" s="69" t="n">
        <f aca="false">IF(L103&gt;0.5,L103*(1+I$23)+I$24,0)</f>
        <v>0</v>
      </c>
      <c r="J104" s="69" t="n">
        <f aca="false">MIN(J$23,I104)</f>
        <v>0</v>
      </c>
      <c r="K104" s="69" t="n">
        <f aca="false">IF(AND(J$24=1,OR(I$25="",$C104&gt;=I$25)),MAX(0,MIN(I104-J104,$D104-(G104))),0)</f>
        <v>0</v>
      </c>
      <c r="L104" s="69" t="n">
        <f aca="false">I104-J104-K104</f>
        <v>0</v>
      </c>
      <c r="M104" s="69" t="n">
        <f aca="false">IF(P103&gt;0.5,P103*(1+M$23)+M$24,0)</f>
        <v>0</v>
      </c>
      <c r="N104" s="69" t="n">
        <f aca="false">MIN(N$23,M104)</f>
        <v>0</v>
      </c>
      <c r="O104" s="69" t="n">
        <f aca="false">IF(AND(N$24=1,OR(M$25="",$C104&gt;=M$25)),MAX(0,MIN(M104-N104,$D104-(G104+K104))),0)</f>
        <v>0</v>
      </c>
      <c r="P104" s="69" t="n">
        <f aca="false">M104-N104-O104</f>
        <v>0</v>
      </c>
      <c r="Q104" s="69" t="n">
        <f aca="false">IF(T103&gt;0.5,T103*(1+Q$23)+Q$24,0)</f>
        <v>0</v>
      </c>
      <c r="R104" s="69" t="n">
        <f aca="false">MIN(R$23,Q104)</f>
        <v>0</v>
      </c>
      <c r="S104" s="69" t="n">
        <f aca="false">IF(AND(R$24=1,OR(Q$25="",$C104&gt;=Q$25)),MAX(0,MIN(Q104-R104,$D104-(G104+K104+O104))),0)</f>
        <v>0</v>
      </c>
      <c r="T104" s="69" t="n">
        <f aca="false">Q104-R104-S104</f>
        <v>0</v>
      </c>
      <c r="U104" s="69" t="n">
        <f aca="false">IF(X103&gt;0.5,X103*(1+U$23)+U$24,0)</f>
        <v>0</v>
      </c>
      <c r="V104" s="69" t="n">
        <f aca="false">MIN(V$23,U104)</f>
        <v>0</v>
      </c>
      <c r="W104" s="69" t="n">
        <f aca="false">IF(AND(V$24=1,OR(U$25="",$C104&gt;=U$25)),MAX(0,MIN(U104-V104,$D104-(G104+K104+O104+S104))),0)</f>
        <v>0</v>
      </c>
      <c r="X104" s="69" t="n">
        <f aca="false">U104-V104-W104</f>
        <v>0</v>
      </c>
      <c r="Y104" s="69" t="n">
        <f aca="false">IF(AB103&gt;0.5,AB103*(1+Y$23)+Y$24,0)</f>
        <v>0</v>
      </c>
      <c r="Z104" s="69" t="n">
        <f aca="false">MIN(Z$23,Y104)</f>
        <v>0</v>
      </c>
      <c r="AA104" s="69" t="n">
        <f aca="false">IF(AND(Z$24=1,OR(Y$25="",$C104&gt;=Y$25)),MAX(0,MIN(Y104-Z104,$D104-(G104+K104+O104+S104+W104))),0)</f>
        <v>0</v>
      </c>
      <c r="AB104" s="69" t="n">
        <f aca="false">Y104-Z104-AA104</f>
        <v>0</v>
      </c>
      <c r="AC104" s="69" t="n">
        <f aca="false">IF(AF103&gt;0.5,AF103*(1+AC$23)+AC$24,0)</f>
        <v>0</v>
      </c>
      <c r="AD104" s="69" t="n">
        <f aca="false">MIN(AD$23,AC104)</f>
        <v>0</v>
      </c>
      <c r="AE104" s="69" t="n">
        <f aca="false">IF(AND(AD$24=1,OR(AC$25="",$C104&gt;=AC$25)),MAX(0,MIN(AC104-AD104,$D104-(G104+K104+O104+S104+W104+AA104))),0)</f>
        <v>0</v>
      </c>
      <c r="AF104" s="69" t="n">
        <f aca="false">AC104-AD104-AE104</f>
        <v>0</v>
      </c>
      <c r="AG104" s="69" t="n">
        <f aca="false">IF(AJ103&gt;0.5,AJ103*(1+AG$23)+AG$24,0)</f>
        <v>0</v>
      </c>
      <c r="AH104" s="69" t="n">
        <f aca="false">MIN(AH$23,AG104)</f>
        <v>0</v>
      </c>
      <c r="AI104" s="69" t="n">
        <f aca="false">IF(AND(AH$24=1,OR(AG$25="",$C104&gt;=AG$25)),MAX(0,MIN(AG104-AH104,$D104-(G104+K104+O104+S104+W104+AA104+AE104))),0)</f>
        <v>0</v>
      </c>
      <c r="AJ104" s="69" t="n">
        <f aca="false">AG104-AH104-AI104</f>
        <v>0</v>
      </c>
      <c r="AK104" s="69" t="n">
        <f aca="false">IF(AK103&gt;0.5,AK103*(1+$E$12)+$G$12-MIN($F$12,AK103*(1+$E$12)+$G$12),0)</f>
        <v>0</v>
      </c>
      <c r="AL104" s="69" t="n">
        <f aca="false">IF(AL103&gt;0.5,AL103*(1+$E$13)+$G$13-MIN($F$13,AL103*(1+$E$13)+$G$13),0)</f>
        <v>0</v>
      </c>
      <c r="AM104" s="69" t="n">
        <f aca="false">IF(AM103&gt;0.5,AM103*(1+$E$14)+$G$14-MIN($F$14,AM103*(1+$E$14)+$G$14),0)</f>
        <v>0</v>
      </c>
      <c r="AN104" s="69" t="n">
        <f aca="false">IF(AN103&gt;0.5,AN103*(1+$E$15)+$G$15-MIN($F$15,AN103*(1+$E$15)+$G$15),0)</f>
        <v>0</v>
      </c>
      <c r="AO104" s="69" t="n">
        <f aca="false">IF(AO103&gt;0.5,AO103*(1+$E$16)+$G$16-MIN($F$16,AO103*(1+$E$16)+$G$16),0)</f>
        <v>0</v>
      </c>
      <c r="AP104" s="69" t="n">
        <f aca="false">IF(AP103&gt;0.5,AP103*(1+$E$17)+$G$17-MIN($F$17,AP103*(1+$E$17)+$G$17),0)</f>
        <v>0</v>
      </c>
      <c r="AQ104" s="69" t="n">
        <f aca="false">IF(AQ103&gt;0.5,AQ103*(1+$E$18)+$G$18-MIN($F$18,AQ103*(1+$E$18)+$G$18),0)</f>
        <v>0</v>
      </c>
      <c r="AR104" s="69" t="n">
        <f aca="false">IF(AR103&gt;0.5,AR103*(1+$E$19)+$G$19-MIN($F$19,AR103*(1+$E$19)+$G$19),0)</f>
        <v>0</v>
      </c>
      <c r="AS104" s="69" t="n">
        <f aca="false">H104+L104+P104+T104+X104+AB104+AF104+AJ104</f>
        <v>0</v>
      </c>
      <c r="AT104" s="69" t="n">
        <f aca="false">SUM(AK104:AR104)</f>
        <v>0</v>
      </c>
      <c r="AU104" s="69" t="n">
        <f aca="false">F104+G104+J104+K104+N104+O104+R104+S104+V104+W104+Z104+AA104+AD104+AE104+AH104+AI104</f>
        <v>0</v>
      </c>
    </row>
    <row r="105" customFormat="false" ht="15" hidden="false" customHeight="false" outlineLevel="0" collapsed="false">
      <c r="B105" s="0" t="n">
        <v>78</v>
      </c>
      <c r="C105" s="68" t="n">
        <f aca="false">EDATE($C$7,77)</f>
        <v>48639</v>
      </c>
      <c r="D105" s="69" t="n">
        <f aca="false">$C$8-(F105+J105+N105+R105+V105+Z105+AD105+AH105)</f>
        <v>0</v>
      </c>
      <c r="E105" s="69" t="n">
        <f aca="false">IF(H104&gt;0.5,H104*(1+E$23)+E$24,0)</f>
        <v>0</v>
      </c>
      <c r="F105" s="69" t="n">
        <f aca="false">MIN(F$23,E105)</f>
        <v>0</v>
      </c>
      <c r="G105" s="69" t="n">
        <f aca="false">IF(AND(F$24=1,OR(E$25="",$C105&gt;=E$25)),MAX(0,MIN(E105-F105,$D105-(0))),0)</f>
        <v>0</v>
      </c>
      <c r="H105" s="69" t="n">
        <f aca="false">E105-F105-G105</f>
        <v>0</v>
      </c>
      <c r="I105" s="69" t="n">
        <f aca="false">IF(L104&gt;0.5,L104*(1+I$23)+I$24,0)</f>
        <v>0</v>
      </c>
      <c r="J105" s="69" t="n">
        <f aca="false">MIN(J$23,I105)</f>
        <v>0</v>
      </c>
      <c r="K105" s="69" t="n">
        <f aca="false">IF(AND(J$24=1,OR(I$25="",$C105&gt;=I$25)),MAX(0,MIN(I105-J105,$D105-(G105))),0)</f>
        <v>0</v>
      </c>
      <c r="L105" s="69" t="n">
        <f aca="false">I105-J105-K105</f>
        <v>0</v>
      </c>
      <c r="M105" s="69" t="n">
        <f aca="false">IF(P104&gt;0.5,P104*(1+M$23)+M$24,0)</f>
        <v>0</v>
      </c>
      <c r="N105" s="69" t="n">
        <f aca="false">MIN(N$23,M105)</f>
        <v>0</v>
      </c>
      <c r="O105" s="69" t="n">
        <f aca="false">IF(AND(N$24=1,OR(M$25="",$C105&gt;=M$25)),MAX(0,MIN(M105-N105,$D105-(G105+K105))),0)</f>
        <v>0</v>
      </c>
      <c r="P105" s="69" t="n">
        <f aca="false">M105-N105-O105</f>
        <v>0</v>
      </c>
      <c r="Q105" s="69" t="n">
        <f aca="false">IF(T104&gt;0.5,T104*(1+Q$23)+Q$24,0)</f>
        <v>0</v>
      </c>
      <c r="R105" s="69" t="n">
        <f aca="false">MIN(R$23,Q105)</f>
        <v>0</v>
      </c>
      <c r="S105" s="69" t="n">
        <f aca="false">IF(AND(R$24=1,OR(Q$25="",$C105&gt;=Q$25)),MAX(0,MIN(Q105-R105,$D105-(G105+K105+O105))),0)</f>
        <v>0</v>
      </c>
      <c r="T105" s="69" t="n">
        <f aca="false">Q105-R105-S105</f>
        <v>0</v>
      </c>
      <c r="U105" s="69" t="n">
        <f aca="false">IF(X104&gt;0.5,X104*(1+U$23)+U$24,0)</f>
        <v>0</v>
      </c>
      <c r="V105" s="69" t="n">
        <f aca="false">MIN(V$23,U105)</f>
        <v>0</v>
      </c>
      <c r="W105" s="69" t="n">
        <f aca="false">IF(AND(V$24=1,OR(U$25="",$C105&gt;=U$25)),MAX(0,MIN(U105-V105,$D105-(G105+K105+O105+S105))),0)</f>
        <v>0</v>
      </c>
      <c r="X105" s="69" t="n">
        <f aca="false">U105-V105-W105</f>
        <v>0</v>
      </c>
      <c r="Y105" s="69" t="n">
        <f aca="false">IF(AB104&gt;0.5,AB104*(1+Y$23)+Y$24,0)</f>
        <v>0</v>
      </c>
      <c r="Z105" s="69" t="n">
        <f aca="false">MIN(Z$23,Y105)</f>
        <v>0</v>
      </c>
      <c r="AA105" s="69" t="n">
        <f aca="false">IF(AND(Z$24=1,OR(Y$25="",$C105&gt;=Y$25)),MAX(0,MIN(Y105-Z105,$D105-(G105+K105+O105+S105+W105))),0)</f>
        <v>0</v>
      </c>
      <c r="AB105" s="69" t="n">
        <f aca="false">Y105-Z105-AA105</f>
        <v>0</v>
      </c>
      <c r="AC105" s="69" t="n">
        <f aca="false">IF(AF104&gt;0.5,AF104*(1+AC$23)+AC$24,0)</f>
        <v>0</v>
      </c>
      <c r="AD105" s="69" t="n">
        <f aca="false">MIN(AD$23,AC105)</f>
        <v>0</v>
      </c>
      <c r="AE105" s="69" t="n">
        <f aca="false">IF(AND(AD$24=1,OR(AC$25="",$C105&gt;=AC$25)),MAX(0,MIN(AC105-AD105,$D105-(G105+K105+O105+S105+W105+AA105))),0)</f>
        <v>0</v>
      </c>
      <c r="AF105" s="69" t="n">
        <f aca="false">AC105-AD105-AE105</f>
        <v>0</v>
      </c>
      <c r="AG105" s="69" t="n">
        <f aca="false">IF(AJ104&gt;0.5,AJ104*(1+AG$23)+AG$24,0)</f>
        <v>0</v>
      </c>
      <c r="AH105" s="69" t="n">
        <f aca="false">MIN(AH$23,AG105)</f>
        <v>0</v>
      </c>
      <c r="AI105" s="69" t="n">
        <f aca="false">IF(AND(AH$24=1,OR(AG$25="",$C105&gt;=AG$25)),MAX(0,MIN(AG105-AH105,$D105-(G105+K105+O105+S105+W105+AA105+AE105))),0)</f>
        <v>0</v>
      </c>
      <c r="AJ105" s="69" t="n">
        <f aca="false">AG105-AH105-AI105</f>
        <v>0</v>
      </c>
      <c r="AK105" s="69" t="n">
        <f aca="false">IF(AK104&gt;0.5,AK104*(1+$E$12)+$G$12-MIN($F$12,AK104*(1+$E$12)+$G$12),0)</f>
        <v>0</v>
      </c>
      <c r="AL105" s="69" t="n">
        <f aca="false">IF(AL104&gt;0.5,AL104*(1+$E$13)+$G$13-MIN($F$13,AL104*(1+$E$13)+$G$13),0)</f>
        <v>0</v>
      </c>
      <c r="AM105" s="69" t="n">
        <f aca="false">IF(AM104&gt;0.5,AM104*(1+$E$14)+$G$14-MIN($F$14,AM104*(1+$E$14)+$G$14),0)</f>
        <v>0</v>
      </c>
      <c r="AN105" s="69" t="n">
        <f aca="false">IF(AN104&gt;0.5,AN104*(1+$E$15)+$G$15-MIN($F$15,AN104*(1+$E$15)+$G$15),0)</f>
        <v>0</v>
      </c>
      <c r="AO105" s="69" t="n">
        <f aca="false">IF(AO104&gt;0.5,AO104*(1+$E$16)+$G$16-MIN($F$16,AO104*(1+$E$16)+$G$16),0)</f>
        <v>0</v>
      </c>
      <c r="AP105" s="69" t="n">
        <f aca="false">IF(AP104&gt;0.5,AP104*(1+$E$17)+$G$17-MIN($F$17,AP104*(1+$E$17)+$G$17),0)</f>
        <v>0</v>
      </c>
      <c r="AQ105" s="69" t="n">
        <f aca="false">IF(AQ104&gt;0.5,AQ104*(1+$E$18)+$G$18-MIN($F$18,AQ104*(1+$E$18)+$G$18),0)</f>
        <v>0</v>
      </c>
      <c r="AR105" s="69" t="n">
        <f aca="false">IF(AR104&gt;0.5,AR104*(1+$E$19)+$G$19-MIN($F$19,AR104*(1+$E$19)+$G$19),0)</f>
        <v>0</v>
      </c>
      <c r="AS105" s="69" t="n">
        <f aca="false">H105+L105+P105+T105+X105+AB105+AF105+AJ105</f>
        <v>0</v>
      </c>
      <c r="AT105" s="69" t="n">
        <f aca="false">SUM(AK105:AR105)</f>
        <v>0</v>
      </c>
      <c r="AU105" s="69" t="n">
        <f aca="false">F105+G105+J105+K105+N105+O105+R105+S105+V105+W105+Z105+AA105+AD105+AE105+AH105+AI105</f>
        <v>0</v>
      </c>
    </row>
    <row r="106" customFormat="false" ht="15" hidden="false" customHeight="false" outlineLevel="0" collapsed="false">
      <c r="B106" s="0" t="n">
        <v>79</v>
      </c>
      <c r="C106" s="68" t="n">
        <f aca="false">EDATE($C$7,78)</f>
        <v>48670</v>
      </c>
      <c r="D106" s="69" t="n">
        <f aca="false">$C$8-(F106+J106+N106+R106+V106+Z106+AD106+AH106)</f>
        <v>0</v>
      </c>
      <c r="E106" s="69" t="n">
        <f aca="false">IF(H105&gt;0.5,H105*(1+E$23)+E$24,0)</f>
        <v>0</v>
      </c>
      <c r="F106" s="69" t="n">
        <f aca="false">MIN(F$23,E106)</f>
        <v>0</v>
      </c>
      <c r="G106" s="69" t="n">
        <f aca="false">IF(AND(F$24=1,OR(E$25="",$C106&gt;=E$25)),MAX(0,MIN(E106-F106,$D106-(0))),0)</f>
        <v>0</v>
      </c>
      <c r="H106" s="69" t="n">
        <f aca="false">E106-F106-G106</f>
        <v>0</v>
      </c>
      <c r="I106" s="69" t="n">
        <f aca="false">IF(L105&gt;0.5,L105*(1+I$23)+I$24,0)</f>
        <v>0</v>
      </c>
      <c r="J106" s="69" t="n">
        <f aca="false">MIN(J$23,I106)</f>
        <v>0</v>
      </c>
      <c r="K106" s="69" t="n">
        <f aca="false">IF(AND(J$24=1,OR(I$25="",$C106&gt;=I$25)),MAX(0,MIN(I106-J106,$D106-(G106))),0)</f>
        <v>0</v>
      </c>
      <c r="L106" s="69" t="n">
        <f aca="false">I106-J106-K106</f>
        <v>0</v>
      </c>
      <c r="M106" s="69" t="n">
        <f aca="false">IF(P105&gt;0.5,P105*(1+M$23)+M$24,0)</f>
        <v>0</v>
      </c>
      <c r="N106" s="69" t="n">
        <f aca="false">MIN(N$23,M106)</f>
        <v>0</v>
      </c>
      <c r="O106" s="69" t="n">
        <f aca="false">IF(AND(N$24=1,OR(M$25="",$C106&gt;=M$25)),MAX(0,MIN(M106-N106,$D106-(G106+K106))),0)</f>
        <v>0</v>
      </c>
      <c r="P106" s="69" t="n">
        <f aca="false">M106-N106-O106</f>
        <v>0</v>
      </c>
      <c r="Q106" s="69" t="n">
        <f aca="false">IF(T105&gt;0.5,T105*(1+Q$23)+Q$24,0)</f>
        <v>0</v>
      </c>
      <c r="R106" s="69" t="n">
        <f aca="false">MIN(R$23,Q106)</f>
        <v>0</v>
      </c>
      <c r="S106" s="69" t="n">
        <f aca="false">IF(AND(R$24=1,OR(Q$25="",$C106&gt;=Q$25)),MAX(0,MIN(Q106-R106,$D106-(G106+K106+O106))),0)</f>
        <v>0</v>
      </c>
      <c r="T106" s="69" t="n">
        <f aca="false">Q106-R106-S106</f>
        <v>0</v>
      </c>
      <c r="U106" s="69" t="n">
        <f aca="false">IF(X105&gt;0.5,X105*(1+U$23)+U$24,0)</f>
        <v>0</v>
      </c>
      <c r="V106" s="69" t="n">
        <f aca="false">MIN(V$23,U106)</f>
        <v>0</v>
      </c>
      <c r="W106" s="69" t="n">
        <f aca="false">IF(AND(V$24=1,OR(U$25="",$C106&gt;=U$25)),MAX(0,MIN(U106-V106,$D106-(G106+K106+O106+S106))),0)</f>
        <v>0</v>
      </c>
      <c r="X106" s="69" t="n">
        <f aca="false">U106-V106-W106</f>
        <v>0</v>
      </c>
      <c r="Y106" s="69" t="n">
        <f aca="false">IF(AB105&gt;0.5,AB105*(1+Y$23)+Y$24,0)</f>
        <v>0</v>
      </c>
      <c r="Z106" s="69" t="n">
        <f aca="false">MIN(Z$23,Y106)</f>
        <v>0</v>
      </c>
      <c r="AA106" s="69" t="n">
        <f aca="false">IF(AND(Z$24=1,OR(Y$25="",$C106&gt;=Y$25)),MAX(0,MIN(Y106-Z106,$D106-(G106+K106+O106+S106+W106))),0)</f>
        <v>0</v>
      </c>
      <c r="AB106" s="69" t="n">
        <f aca="false">Y106-Z106-AA106</f>
        <v>0</v>
      </c>
      <c r="AC106" s="69" t="n">
        <f aca="false">IF(AF105&gt;0.5,AF105*(1+AC$23)+AC$24,0)</f>
        <v>0</v>
      </c>
      <c r="AD106" s="69" t="n">
        <f aca="false">MIN(AD$23,AC106)</f>
        <v>0</v>
      </c>
      <c r="AE106" s="69" t="n">
        <f aca="false">IF(AND(AD$24=1,OR(AC$25="",$C106&gt;=AC$25)),MAX(0,MIN(AC106-AD106,$D106-(G106+K106+O106+S106+W106+AA106))),0)</f>
        <v>0</v>
      </c>
      <c r="AF106" s="69" t="n">
        <f aca="false">AC106-AD106-AE106</f>
        <v>0</v>
      </c>
      <c r="AG106" s="69" t="n">
        <f aca="false">IF(AJ105&gt;0.5,AJ105*(1+AG$23)+AG$24,0)</f>
        <v>0</v>
      </c>
      <c r="AH106" s="69" t="n">
        <f aca="false">MIN(AH$23,AG106)</f>
        <v>0</v>
      </c>
      <c r="AI106" s="69" t="n">
        <f aca="false">IF(AND(AH$24=1,OR(AG$25="",$C106&gt;=AG$25)),MAX(0,MIN(AG106-AH106,$D106-(G106+K106+O106+S106+W106+AA106+AE106))),0)</f>
        <v>0</v>
      </c>
      <c r="AJ106" s="69" t="n">
        <f aca="false">AG106-AH106-AI106</f>
        <v>0</v>
      </c>
      <c r="AK106" s="69" t="n">
        <f aca="false">IF(AK105&gt;0.5,AK105*(1+$E$12)+$G$12-MIN($F$12,AK105*(1+$E$12)+$G$12),0)</f>
        <v>0</v>
      </c>
      <c r="AL106" s="69" t="n">
        <f aca="false">IF(AL105&gt;0.5,AL105*(1+$E$13)+$G$13-MIN($F$13,AL105*(1+$E$13)+$G$13),0)</f>
        <v>0</v>
      </c>
      <c r="AM106" s="69" t="n">
        <f aca="false">IF(AM105&gt;0.5,AM105*(1+$E$14)+$G$14-MIN($F$14,AM105*(1+$E$14)+$G$14),0)</f>
        <v>0</v>
      </c>
      <c r="AN106" s="69" t="n">
        <f aca="false">IF(AN105&gt;0.5,AN105*(1+$E$15)+$G$15-MIN($F$15,AN105*(1+$E$15)+$G$15),0)</f>
        <v>0</v>
      </c>
      <c r="AO106" s="69" t="n">
        <f aca="false">IF(AO105&gt;0.5,AO105*(1+$E$16)+$G$16-MIN($F$16,AO105*(1+$E$16)+$G$16),0)</f>
        <v>0</v>
      </c>
      <c r="AP106" s="69" t="n">
        <f aca="false">IF(AP105&gt;0.5,AP105*(1+$E$17)+$G$17-MIN($F$17,AP105*(1+$E$17)+$G$17),0)</f>
        <v>0</v>
      </c>
      <c r="AQ106" s="69" t="n">
        <f aca="false">IF(AQ105&gt;0.5,AQ105*(1+$E$18)+$G$18-MIN($F$18,AQ105*(1+$E$18)+$G$18),0)</f>
        <v>0</v>
      </c>
      <c r="AR106" s="69" t="n">
        <f aca="false">IF(AR105&gt;0.5,AR105*(1+$E$19)+$G$19-MIN($F$19,AR105*(1+$E$19)+$G$19),0)</f>
        <v>0</v>
      </c>
      <c r="AS106" s="69" t="n">
        <f aca="false">H106+L106+P106+T106+X106+AB106+AF106+AJ106</f>
        <v>0</v>
      </c>
      <c r="AT106" s="69" t="n">
        <f aca="false">SUM(AK106:AR106)</f>
        <v>0</v>
      </c>
      <c r="AU106" s="69" t="n">
        <f aca="false">F106+G106+J106+K106+N106+O106+R106+S106+V106+W106+Z106+AA106+AD106+AE106+AH106+AI106</f>
        <v>0</v>
      </c>
    </row>
    <row r="107" customFormat="false" ht="15" hidden="false" customHeight="false" outlineLevel="0" collapsed="false">
      <c r="B107" s="0" t="n">
        <v>80</v>
      </c>
      <c r="C107" s="68" t="n">
        <f aca="false">EDATE($C$7,79)</f>
        <v>48700</v>
      </c>
      <c r="D107" s="69" t="n">
        <f aca="false">$C$8-(F107+J107+N107+R107+V107+Z107+AD107+AH107)</f>
        <v>0</v>
      </c>
      <c r="E107" s="69" t="n">
        <f aca="false">IF(H106&gt;0.5,H106*(1+E$23)+E$24,0)</f>
        <v>0</v>
      </c>
      <c r="F107" s="69" t="n">
        <f aca="false">MIN(F$23,E107)</f>
        <v>0</v>
      </c>
      <c r="G107" s="69" t="n">
        <f aca="false">IF(AND(F$24=1,OR(E$25="",$C107&gt;=E$25)),MAX(0,MIN(E107-F107,$D107-(0))),0)</f>
        <v>0</v>
      </c>
      <c r="H107" s="69" t="n">
        <f aca="false">E107-F107-G107</f>
        <v>0</v>
      </c>
      <c r="I107" s="69" t="n">
        <f aca="false">IF(L106&gt;0.5,L106*(1+I$23)+I$24,0)</f>
        <v>0</v>
      </c>
      <c r="J107" s="69" t="n">
        <f aca="false">MIN(J$23,I107)</f>
        <v>0</v>
      </c>
      <c r="K107" s="69" t="n">
        <f aca="false">IF(AND(J$24=1,OR(I$25="",$C107&gt;=I$25)),MAX(0,MIN(I107-J107,$D107-(G107))),0)</f>
        <v>0</v>
      </c>
      <c r="L107" s="69" t="n">
        <f aca="false">I107-J107-K107</f>
        <v>0</v>
      </c>
      <c r="M107" s="69" t="n">
        <f aca="false">IF(P106&gt;0.5,P106*(1+M$23)+M$24,0)</f>
        <v>0</v>
      </c>
      <c r="N107" s="69" t="n">
        <f aca="false">MIN(N$23,M107)</f>
        <v>0</v>
      </c>
      <c r="O107" s="69" t="n">
        <f aca="false">IF(AND(N$24=1,OR(M$25="",$C107&gt;=M$25)),MAX(0,MIN(M107-N107,$D107-(G107+K107))),0)</f>
        <v>0</v>
      </c>
      <c r="P107" s="69" t="n">
        <f aca="false">M107-N107-O107</f>
        <v>0</v>
      </c>
      <c r="Q107" s="69" t="n">
        <f aca="false">IF(T106&gt;0.5,T106*(1+Q$23)+Q$24,0)</f>
        <v>0</v>
      </c>
      <c r="R107" s="69" t="n">
        <f aca="false">MIN(R$23,Q107)</f>
        <v>0</v>
      </c>
      <c r="S107" s="69" t="n">
        <f aca="false">IF(AND(R$24=1,OR(Q$25="",$C107&gt;=Q$25)),MAX(0,MIN(Q107-R107,$D107-(G107+K107+O107))),0)</f>
        <v>0</v>
      </c>
      <c r="T107" s="69" t="n">
        <f aca="false">Q107-R107-S107</f>
        <v>0</v>
      </c>
      <c r="U107" s="69" t="n">
        <f aca="false">IF(X106&gt;0.5,X106*(1+U$23)+U$24,0)</f>
        <v>0</v>
      </c>
      <c r="V107" s="69" t="n">
        <f aca="false">MIN(V$23,U107)</f>
        <v>0</v>
      </c>
      <c r="W107" s="69" t="n">
        <f aca="false">IF(AND(V$24=1,OR(U$25="",$C107&gt;=U$25)),MAX(0,MIN(U107-V107,$D107-(G107+K107+O107+S107))),0)</f>
        <v>0</v>
      </c>
      <c r="X107" s="69" t="n">
        <f aca="false">U107-V107-W107</f>
        <v>0</v>
      </c>
      <c r="Y107" s="69" t="n">
        <f aca="false">IF(AB106&gt;0.5,AB106*(1+Y$23)+Y$24,0)</f>
        <v>0</v>
      </c>
      <c r="Z107" s="69" t="n">
        <f aca="false">MIN(Z$23,Y107)</f>
        <v>0</v>
      </c>
      <c r="AA107" s="69" t="n">
        <f aca="false">IF(AND(Z$24=1,OR(Y$25="",$C107&gt;=Y$25)),MAX(0,MIN(Y107-Z107,$D107-(G107+K107+O107+S107+W107))),0)</f>
        <v>0</v>
      </c>
      <c r="AB107" s="69" t="n">
        <f aca="false">Y107-Z107-AA107</f>
        <v>0</v>
      </c>
      <c r="AC107" s="69" t="n">
        <f aca="false">IF(AF106&gt;0.5,AF106*(1+AC$23)+AC$24,0)</f>
        <v>0</v>
      </c>
      <c r="AD107" s="69" t="n">
        <f aca="false">MIN(AD$23,AC107)</f>
        <v>0</v>
      </c>
      <c r="AE107" s="69" t="n">
        <f aca="false">IF(AND(AD$24=1,OR(AC$25="",$C107&gt;=AC$25)),MAX(0,MIN(AC107-AD107,$D107-(G107+K107+O107+S107+W107+AA107))),0)</f>
        <v>0</v>
      </c>
      <c r="AF107" s="69" t="n">
        <f aca="false">AC107-AD107-AE107</f>
        <v>0</v>
      </c>
      <c r="AG107" s="69" t="n">
        <f aca="false">IF(AJ106&gt;0.5,AJ106*(1+AG$23)+AG$24,0)</f>
        <v>0</v>
      </c>
      <c r="AH107" s="69" t="n">
        <f aca="false">MIN(AH$23,AG107)</f>
        <v>0</v>
      </c>
      <c r="AI107" s="69" t="n">
        <f aca="false">IF(AND(AH$24=1,OR(AG$25="",$C107&gt;=AG$25)),MAX(0,MIN(AG107-AH107,$D107-(G107+K107+O107+S107+W107+AA107+AE107))),0)</f>
        <v>0</v>
      </c>
      <c r="AJ107" s="69" t="n">
        <f aca="false">AG107-AH107-AI107</f>
        <v>0</v>
      </c>
      <c r="AK107" s="69" t="n">
        <f aca="false">IF(AK106&gt;0.5,AK106*(1+$E$12)+$G$12-MIN($F$12,AK106*(1+$E$12)+$G$12),0)</f>
        <v>0</v>
      </c>
      <c r="AL107" s="69" t="n">
        <f aca="false">IF(AL106&gt;0.5,AL106*(1+$E$13)+$G$13-MIN($F$13,AL106*(1+$E$13)+$G$13),0)</f>
        <v>0</v>
      </c>
      <c r="AM107" s="69" t="n">
        <f aca="false">IF(AM106&gt;0.5,AM106*(1+$E$14)+$G$14-MIN($F$14,AM106*(1+$E$14)+$G$14),0)</f>
        <v>0</v>
      </c>
      <c r="AN107" s="69" t="n">
        <f aca="false">IF(AN106&gt;0.5,AN106*(1+$E$15)+$G$15-MIN($F$15,AN106*(1+$E$15)+$G$15),0)</f>
        <v>0</v>
      </c>
      <c r="AO107" s="69" t="n">
        <f aca="false">IF(AO106&gt;0.5,AO106*(1+$E$16)+$G$16-MIN($F$16,AO106*(1+$E$16)+$G$16),0)</f>
        <v>0</v>
      </c>
      <c r="AP107" s="69" t="n">
        <f aca="false">IF(AP106&gt;0.5,AP106*(1+$E$17)+$G$17-MIN($F$17,AP106*(1+$E$17)+$G$17),0)</f>
        <v>0</v>
      </c>
      <c r="AQ107" s="69" t="n">
        <f aca="false">IF(AQ106&gt;0.5,AQ106*(1+$E$18)+$G$18-MIN($F$18,AQ106*(1+$E$18)+$G$18),0)</f>
        <v>0</v>
      </c>
      <c r="AR107" s="69" t="n">
        <f aca="false">IF(AR106&gt;0.5,AR106*(1+$E$19)+$G$19-MIN($F$19,AR106*(1+$E$19)+$G$19),0)</f>
        <v>0</v>
      </c>
      <c r="AS107" s="69" t="n">
        <f aca="false">H107+L107+P107+T107+X107+AB107+AF107+AJ107</f>
        <v>0</v>
      </c>
      <c r="AT107" s="69" t="n">
        <f aca="false">SUM(AK107:AR107)</f>
        <v>0</v>
      </c>
      <c r="AU107" s="69" t="n">
        <f aca="false">F107+G107+J107+K107+N107+O107+R107+S107+V107+W107+Z107+AA107+AD107+AE107+AH107+AI107</f>
        <v>0</v>
      </c>
    </row>
    <row r="108" customFormat="false" ht="15" hidden="false" customHeight="false" outlineLevel="0" collapsed="false">
      <c r="B108" s="0" t="n">
        <v>81</v>
      </c>
      <c r="C108" s="68" t="n">
        <f aca="false">EDATE($C$7,80)</f>
        <v>48731</v>
      </c>
      <c r="D108" s="69" t="n">
        <f aca="false">$C$8-(F108+J108+N108+R108+V108+Z108+AD108+AH108)</f>
        <v>0</v>
      </c>
      <c r="E108" s="69" t="n">
        <f aca="false">IF(H107&gt;0.5,H107*(1+E$23)+E$24,0)</f>
        <v>0</v>
      </c>
      <c r="F108" s="69" t="n">
        <f aca="false">MIN(F$23,E108)</f>
        <v>0</v>
      </c>
      <c r="G108" s="69" t="n">
        <f aca="false">IF(AND(F$24=1,OR(E$25="",$C108&gt;=E$25)),MAX(0,MIN(E108-F108,$D108-(0))),0)</f>
        <v>0</v>
      </c>
      <c r="H108" s="69" t="n">
        <f aca="false">E108-F108-G108</f>
        <v>0</v>
      </c>
      <c r="I108" s="69" t="n">
        <f aca="false">IF(L107&gt;0.5,L107*(1+I$23)+I$24,0)</f>
        <v>0</v>
      </c>
      <c r="J108" s="69" t="n">
        <f aca="false">MIN(J$23,I108)</f>
        <v>0</v>
      </c>
      <c r="K108" s="69" t="n">
        <f aca="false">IF(AND(J$24=1,OR(I$25="",$C108&gt;=I$25)),MAX(0,MIN(I108-J108,$D108-(G108))),0)</f>
        <v>0</v>
      </c>
      <c r="L108" s="69" t="n">
        <f aca="false">I108-J108-K108</f>
        <v>0</v>
      </c>
      <c r="M108" s="69" t="n">
        <f aca="false">IF(P107&gt;0.5,P107*(1+M$23)+M$24,0)</f>
        <v>0</v>
      </c>
      <c r="N108" s="69" t="n">
        <f aca="false">MIN(N$23,M108)</f>
        <v>0</v>
      </c>
      <c r="O108" s="69" t="n">
        <f aca="false">IF(AND(N$24=1,OR(M$25="",$C108&gt;=M$25)),MAX(0,MIN(M108-N108,$D108-(G108+K108))),0)</f>
        <v>0</v>
      </c>
      <c r="P108" s="69" t="n">
        <f aca="false">M108-N108-O108</f>
        <v>0</v>
      </c>
      <c r="Q108" s="69" t="n">
        <f aca="false">IF(T107&gt;0.5,T107*(1+Q$23)+Q$24,0)</f>
        <v>0</v>
      </c>
      <c r="R108" s="69" t="n">
        <f aca="false">MIN(R$23,Q108)</f>
        <v>0</v>
      </c>
      <c r="S108" s="69" t="n">
        <f aca="false">IF(AND(R$24=1,OR(Q$25="",$C108&gt;=Q$25)),MAX(0,MIN(Q108-R108,$D108-(G108+K108+O108))),0)</f>
        <v>0</v>
      </c>
      <c r="T108" s="69" t="n">
        <f aca="false">Q108-R108-S108</f>
        <v>0</v>
      </c>
      <c r="U108" s="69" t="n">
        <f aca="false">IF(X107&gt;0.5,X107*(1+U$23)+U$24,0)</f>
        <v>0</v>
      </c>
      <c r="V108" s="69" t="n">
        <f aca="false">MIN(V$23,U108)</f>
        <v>0</v>
      </c>
      <c r="W108" s="69" t="n">
        <f aca="false">IF(AND(V$24=1,OR(U$25="",$C108&gt;=U$25)),MAX(0,MIN(U108-V108,$D108-(G108+K108+O108+S108))),0)</f>
        <v>0</v>
      </c>
      <c r="X108" s="69" t="n">
        <f aca="false">U108-V108-W108</f>
        <v>0</v>
      </c>
      <c r="Y108" s="69" t="n">
        <f aca="false">IF(AB107&gt;0.5,AB107*(1+Y$23)+Y$24,0)</f>
        <v>0</v>
      </c>
      <c r="Z108" s="69" t="n">
        <f aca="false">MIN(Z$23,Y108)</f>
        <v>0</v>
      </c>
      <c r="AA108" s="69" t="n">
        <f aca="false">IF(AND(Z$24=1,OR(Y$25="",$C108&gt;=Y$25)),MAX(0,MIN(Y108-Z108,$D108-(G108+K108+O108+S108+W108))),0)</f>
        <v>0</v>
      </c>
      <c r="AB108" s="69" t="n">
        <f aca="false">Y108-Z108-AA108</f>
        <v>0</v>
      </c>
      <c r="AC108" s="69" t="n">
        <f aca="false">IF(AF107&gt;0.5,AF107*(1+AC$23)+AC$24,0)</f>
        <v>0</v>
      </c>
      <c r="AD108" s="69" t="n">
        <f aca="false">MIN(AD$23,AC108)</f>
        <v>0</v>
      </c>
      <c r="AE108" s="69" t="n">
        <f aca="false">IF(AND(AD$24=1,OR(AC$25="",$C108&gt;=AC$25)),MAX(0,MIN(AC108-AD108,$D108-(G108+K108+O108+S108+W108+AA108))),0)</f>
        <v>0</v>
      </c>
      <c r="AF108" s="69" t="n">
        <f aca="false">AC108-AD108-AE108</f>
        <v>0</v>
      </c>
      <c r="AG108" s="69" t="n">
        <f aca="false">IF(AJ107&gt;0.5,AJ107*(1+AG$23)+AG$24,0)</f>
        <v>0</v>
      </c>
      <c r="AH108" s="69" t="n">
        <f aca="false">MIN(AH$23,AG108)</f>
        <v>0</v>
      </c>
      <c r="AI108" s="69" t="n">
        <f aca="false">IF(AND(AH$24=1,OR(AG$25="",$C108&gt;=AG$25)),MAX(0,MIN(AG108-AH108,$D108-(G108+K108+O108+S108+W108+AA108+AE108))),0)</f>
        <v>0</v>
      </c>
      <c r="AJ108" s="69" t="n">
        <f aca="false">AG108-AH108-AI108</f>
        <v>0</v>
      </c>
      <c r="AK108" s="69" t="n">
        <f aca="false">IF(AK107&gt;0.5,AK107*(1+$E$12)+$G$12-MIN($F$12,AK107*(1+$E$12)+$G$12),0)</f>
        <v>0</v>
      </c>
      <c r="AL108" s="69" t="n">
        <f aca="false">IF(AL107&gt;0.5,AL107*(1+$E$13)+$G$13-MIN($F$13,AL107*(1+$E$13)+$G$13),0)</f>
        <v>0</v>
      </c>
      <c r="AM108" s="69" t="n">
        <f aca="false">IF(AM107&gt;0.5,AM107*(1+$E$14)+$G$14-MIN($F$14,AM107*(1+$E$14)+$G$14),0)</f>
        <v>0</v>
      </c>
      <c r="AN108" s="69" t="n">
        <f aca="false">IF(AN107&gt;0.5,AN107*(1+$E$15)+$G$15-MIN($F$15,AN107*(1+$E$15)+$G$15),0)</f>
        <v>0</v>
      </c>
      <c r="AO108" s="69" t="n">
        <f aca="false">IF(AO107&gt;0.5,AO107*(1+$E$16)+$G$16-MIN($F$16,AO107*(1+$E$16)+$G$16),0)</f>
        <v>0</v>
      </c>
      <c r="AP108" s="69" t="n">
        <f aca="false">IF(AP107&gt;0.5,AP107*(1+$E$17)+$G$17-MIN($F$17,AP107*(1+$E$17)+$G$17),0)</f>
        <v>0</v>
      </c>
      <c r="AQ108" s="69" t="n">
        <f aca="false">IF(AQ107&gt;0.5,AQ107*(1+$E$18)+$G$18-MIN($F$18,AQ107*(1+$E$18)+$G$18),0)</f>
        <v>0</v>
      </c>
      <c r="AR108" s="69" t="n">
        <f aca="false">IF(AR107&gt;0.5,AR107*(1+$E$19)+$G$19-MIN($F$19,AR107*(1+$E$19)+$G$19),0)</f>
        <v>0</v>
      </c>
      <c r="AS108" s="69" t="n">
        <f aca="false">H108+L108+P108+T108+X108+AB108+AF108+AJ108</f>
        <v>0</v>
      </c>
      <c r="AT108" s="69" t="n">
        <f aca="false">SUM(AK108:AR108)</f>
        <v>0</v>
      </c>
      <c r="AU108" s="69" t="n">
        <f aca="false">F108+G108+J108+K108+N108+O108+R108+S108+V108+W108+Z108+AA108+AD108+AE108+AH108+AI108</f>
        <v>0</v>
      </c>
    </row>
    <row r="109" customFormat="false" ht="15" hidden="false" customHeight="false" outlineLevel="0" collapsed="false">
      <c r="B109" s="0" t="n">
        <v>82</v>
      </c>
      <c r="C109" s="68" t="n">
        <f aca="false">EDATE($C$7,81)</f>
        <v>48761</v>
      </c>
      <c r="D109" s="69" t="n">
        <f aca="false">$C$8-(F109+J109+N109+R109+V109+Z109+AD109+AH109)</f>
        <v>0</v>
      </c>
      <c r="E109" s="69" t="n">
        <f aca="false">IF(H108&gt;0.5,H108*(1+E$23)+E$24,0)</f>
        <v>0</v>
      </c>
      <c r="F109" s="69" t="n">
        <f aca="false">MIN(F$23,E109)</f>
        <v>0</v>
      </c>
      <c r="G109" s="69" t="n">
        <f aca="false">IF(AND(F$24=1,OR(E$25="",$C109&gt;=E$25)),MAX(0,MIN(E109-F109,$D109-(0))),0)</f>
        <v>0</v>
      </c>
      <c r="H109" s="69" t="n">
        <f aca="false">E109-F109-G109</f>
        <v>0</v>
      </c>
      <c r="I109" s="69" t="n">
        <f aca="false">IF(L108&gt;0.5,L108*(1+I$23)+I$24,0)</f>
        <v>0</v>
      </c>
      <c r="J109" s="69" t="n">
        <f aca="false">MIN(J$23,I109)</f>
        <v>0</v>
      </c>
      <c r="K109" s="69" t="n">
        <f aca="false">IF(AND(J$24=1,OR(I$25="",$C109&gt;=I$25)),MAX(0,MIN(I109-J109,$D109-(G109))),0)</f>
        <v>0</v>
      </c>
      <c r="L109" s="69" t="n">
        <f aca="false">I109-J109-K109</f>
        <v>0</v>
      </c>
      <c r="M109" s="69" t="n">
        <f aca="false">IF(P108&gt;0.5,P108*(1+M$23)+M$24,0)</f>
        <v>0</v>
      </c>
      <c r="N109" s="69" t="n">
        <f aca="false">MIN(N$23,M109)</f>
        <v>0</v>
      </c>
      <c r="O109" s="69" t="n">
        <f aca="false">IF(AND(N$24=1,OR(M$25="",$C109&gt;=M$25)),MAX(0,MIN(M109-N109,$D109-(G109+K109))),0)</f>
        <v>0</v>
      </c>
      <c r="P109" s="69" t="n">
        <f aca="false">M109-N109-O109</f>
        <v>0</v>
      </c>
      <c r="Q109" s="69" t="n">
        <f aca="false">IF(T108&gt;0.5,T108*(1+Q$23)+Q$24,0)</f>
        <v>0</v>
      </c>
      <c r="R109" s="69" t="n">
        <f aca="false">MIN(R$23,Q109)</f>
        <v>0</v>
      </c>
      <c r="S109" s="69" t="n">
        <f aca="false">IF(AND(R$24=1,OR(Q$25="",$C109&gt;=Q$25)),MAX(0,MIN(Q109-R109,$D109-(G109+K109+O109))),0)</f>
        <v>0</v>
      </c>
      <c r="T109" s="69" t="n">
        <f aca="false">Q109-R109-S109</f>
        <v>0</v>
      </c>
      <c r="U109" s="69" t="n">
        <f aca="false">IF(X108&gt;0.5,X108*(1+U$23)+U$24,0)</f>
        <v>0</v>
      </c>
      <c r="V109" s="69" t="n">
        <f aca="false">MIN(V$23,U109)</f>
        <v>0</v>
      </c>
      <c r="W109" s="69" t="n">
        <f aca="false">IF(AND(V$24=1,OR(U$25="",$C109&gt;=U$25)),MAX(0,MIN(U109-V109,$D109-(G109+K109+O109+S109))),0)</f>
        <v>0</v>
      </c>
      <c r="X109" s="69" t="n">
        <f aca="false">U109-V109-W109</f>
        <v>0</v>
      </c>
      <c r="Y109" s="69" t="n">
        <f aca="false">IF(AB108&gt;0.5,AB108*(1+Y$23)+Y$24,0)</f>
        <v>0</v>
      </c>
      <c r="Z109" s="69" t="n">
        <f aca="false">MIN(Z$23,Y109)</f>
        <v>0</v>
      </c>
      <c r="AA109" s="69" t="n">
        <f aca="false">IF(AND(Z$24=1,OR(Y$25="",$C109&gt;=Y$25)),MAX(0,MIN(Y109-Z109,$D109-(G109+K109+O109+S109+W109))),0)</f>
        <v>0</v>
      </c>
      <c r="AB109" s="69" t="n">
        <f aca="false">Y109-Z109-AA109</f>
        <v>0</v>
      </c>
      <c r="AC109" s="69" t="n">
        <f aca="false">IF(AF108&gt;0.5,AF108*(1+AC$23)+AC$24,0)</f>
        <v>0</v>
      </c>
      <c r="AD109" s="69" t="n">
        <f aca="false">MIN(AD$23,AC109)</f>
        <v>0</v>
      </c>
      <c r="AE109" s="69" t="n">
        <f aca="false">IF(AND(AD$24=1,OR(AC$25="",$C109&gt;=AC$25)),MAX(0,MIN(AC109-AD109,$D109-(G109+K109+O109+S109+W109+AA109))),0)</f>
        <v>0</v>
      </c>
      <c r="AF109" s="69" t="n">
        <f aca="false">AC109-AD109-AE109</f>
        <v>0</v>
      </c>
      <c r="AG109" s="69" t="n">
        <f aca="false">IF(AJ108&gt;0.5,AJ108*(1+AG$23)+AG$24,0)</f>
        <v>0</v>
      </c>
      <c r="AH109" s="69" t="n">
        <f aca="false">MIN(AH$23,AG109)</f>
        <v>0</v>
      </c>
      <c r="AI109" s="69" t="n">
        <f aca="false">IF(AND(AH$24=1,OR(AG$25="",$C109&gt;=AG$25)),MAX(0,MIN(AG109-AH109,$D109-(G109+K109+O109+S109+W109+AA109+AE109))),0)</f>
        <v>0</v>
      </c>
      <c r="AJ109" s="69" t="n">
        <f aca="false">AG109-AH109-AI109</f>
        <v>0</v>
      </c>
      <c r="AK109" s="69" t="n">
        <f aca="false">IF(AK108&gt;0.5,AK108*(1+$E$12)+$G$12-MIN($F$12,AK108*(1+$E$12)+$G$12),0)</f>
        <v>0</v>
      </c>
      <c r="AL109" s="69" t="n">
        <f aca="false">IF(AL108&gt;0.5,AL108*(1+$E$13)+$G$13-MIN($F$13,AL108*(1+$E$13)+$G$13),0)</f>
        <v>0</v>
      </c>
      <c r="AM109" s="69" t="n">
        <f aca="false">IF(AM108&gt;0.5,AM108*(1+$E$14)+$G$14-MIN($F$14,AM108*(1+$E$14)+$G$14),0)</f>
        <v>0</v>
      </c>
      <c r="AN109" s="69" t="n">
        <f aca="false">IF(AN108&gt;0.5,AN108*(1+$E$15)+$G$15-MIN($F$15,AN108*(1+$E$15)+$G$15),0)</f>
        <v>0</v>
      </c>
      <c r="AO109" s="69" t="n">
        <f aca="false">IF(AO108&gt;0.5,AO108*(1+$E$16)+$G$16-MIN($F$16,AO108*(1+$E$16)+$G$16),0)</f>
        <v>0</v>
      </c>
      <c r="AP109" s="69" t="n">
        <f aca="false">IF(AP108&gt;0.5,AP108*(1+$E$17)+$G$17-MIN($F$17,AP108*(1+$E$17)+$G$17),0)</f>
        <v>0</v>
      </c>
      <c r="AQ109" s="69" t="n">
        <f aca="false">IF(AQ108&gt;0.5,AQ108*(1+$E$18)+$G$18-MIN($F$18,AQ108*(1+$E$18)+$G$18),0)</f>
        <v>0</v>
      </c>
      <c r="AR109" s="69" t="n">
        <f aca="false">IF(AR108&gt;0.5,AR108*(1+$E$19)+$G$19-MIN($F$19,AR108*(1+$E$19)+$G$19),0)</f>
        <v>0</v>
      </c>
      <c r="AS109" s="69" t="n">
        <f aca="false">H109+L109+P109+T109+X109+AB109+AF109+AJ109</f>
        <v>0</v>
      </c>
      <c r="AT109" s="69" t="n">
        <f aca="false">SUM(AK109:AR109)</f>
        <v>0</v>
      </c>
      <c r="AU109" s="69" t="n">
        <f aca="false">F109+G109+J109+K109+N109+O109+R109+S109+V109+W109+Z109+AA109+AD109+AE109+AH109+AI109</f>
        <v>0</v>
      </c>
    </row>
    <row r="110" customFormat="false" ht="15" hidden="false" customHeight="false" outlineLevel="0" collapsed="false">
      <c r="B110" s="0" t="n">
        <v>83</v>
      </c>
      <c r="C110" s="68" t="n">
        <f aca="false">EDATE($C$7,82)</f>
        <v>48792</v>
      </c>
      <c r="D110" s="69" t="n">
        <f aca="false">$C$8-(F110+J110+N110+R110+V110+Z110+AD110+AH110)</f>
        <v>0</v>
      </c>
      <c r="E110" s="69" t="n">
        <f aca="false">IF(H109&gt;0.5,H109*(1+E$23)+E$24,0)</f>
        <v>0</v>
      </c>
      <c r="F110" s="69" t="n">
        <f aca="false">MIN(F$23,E110)</f>
        <v>0</v>
      </c>
      <c r="G110" s="69" t="n">
        <f aca="false">IF(AND(F$24=1,OR(E$25="",$C110&gt;=E$25)),MAX(0,MIN(E110-F110,$D110-(0))),0)</f>
        <v>0</v>
      </c>
      <c r="H110" s="69" t="n">
        <f aca="false">E110-F110-G110</f>
        <v>0</v>
      </c>
      <c r="I110" s="69" t="n">
        <f aca="false">IF(L109&gt;0.5,L109*(1+I$23)+I$24,0)</f>
        <v>0</v>
      </c>
      <c r="J110" s="69" t="n">
        <f aca="false">MIN(J$23,I110)</f>
        <v>0</v>
      </c>
      <c r="K110" s="69" t="n">
        <f aca="false">IF(AND(J$24=1,OR(I$25="",$C110&gt;=I$25)),MAX(0,MIN(I110-J110,$D110-(G110))),0)</f>
        <v>0</v>
      </c>
      <c r="L110" s="69" t="n">
        <f aca="false">I110-J110-K110</f>
        <v>0</v>
      </c>
      <c r="M110" s="69" t="n">
        <f aca="false">IF(P109&gt;0.5,P109*(1+M$23)+M$24,0)</f>
        <v>0</v>
      </c>
      <c r="N110" s="69" t="n">
        <f aca="false">MIN(N$23,M110)</f>
        <v>0</v>
      </c>
      <c r="O110" s="69" t="n">
        <f aca="false">IF(AND(N$24=1,OR(M$25="",$C110&gt;=M$25)),MAX(0,MIN(M110-N110,$D110-(G110+K110))),0)</f>
        <v>0</v>
      </c>
      <c r="P110" s="69" t="n">
        <f aca="false">M110-N110-O110</f>
        <v>0</v>
      </c>
      <c r="Q110" s="69" t="n">
        <f aca="false">IF(T109&gt;0.5,T109*(1+Q$23)+Q$24,0)</f>
        <v>0</v>
      </c>
      <c r="R110" s="69" t="n">
        <f aca="false">MIN(R$23,Q110)</f>
        <v>0</v>
      </c>
      <c r="S110" s="69" t="n">
        <f aca="false">IF(AND(R$24=1,OR(Q$25="",$C110&gt;=Q$25)),MAX(0,MIN(Q110-R110,$D110-(G110+K110+O110))),0)</f>
        <v>0</v>
      </c>
      <c r="T110" s="69" t="n">
        <f aca="false">Q110-R110-S110</f>
        <v>0</v>
      </c>
      <c r="U110" s="69" t="n">
        <f aca="false">IF(X109&gt;0.5,X109*(1+U$23)+U$24,0)</f>
        <v>0</v>
      </c>
      <c r="V110" s="69" t="n">
        <f aca="false">MIN(V$23,U110)</f>
        <v>0</v>
      </c>
      <c r="W110" s="69" t="n">
        <f aca="false">IF(AND(V$24=1,OR(U$25="",$C110&gt;=U$25)),MAX(0,MIN(U110-V110,$D110-(G110+K110+O110+S110))),0)</f>
        <v>0</v>
      </c>
      <c r="X110" s="69" t="n">
        <f aca="false">U110-V110-W110</f>
        <v>0</v>
      </c>
      <c r="Y110" s="69" t="n">
        <f aca="false">IF(AB109&gt;0.5,AB109*(1+Y$23)+Y$24,0)</f>
        <v>0</v>
      </c>
      <c r="Z110" s="69" t="n">
        <f aca="false">MIN(Z$23,Y110)</f>
        <v>0</v>
      </c>
      <c r="AA110" s="69" t="n">
        <f aca="false">IF(AND(Z$24=1,OR(Y$25="",$C110&gt;=Y$25)),MAX(0,MIN(Y110-Z110,$D110-(G110+K110+O110+S110+W110))),0)</f>
        <v>0</v>
      </c>
      <c r="AB110" s="69" t="n">
        <f aca="false">Y110-Z110-AA110</f>
        <v>0</v>
      </c>
      <c r="AC110" s="69" t="n">
        <f aca="false">IF(AF109&gt;0.5,AF109*(1+AC$23)+AC$24,0)</f>
        <v>0</v>
      </c>
      <c r="AD110" s="69" t="n">
        <f aca="false">MIN(AD$23,AC110)</f>
        <v>0</v>
      </c>
      <c r="AE110" s="69" t="n">
        <f aca="false">IF(AND(AD$24=1,OR(AC$25="",$C110&gt;=AC$25)),MAX(0,MIN(AC110-AD110,$D110-(G110+K110+O110+S110+W110+AA110))),0)</f>
        <v>0</v>
      </c>
      <c r="AF110" s="69" t="n">
        <f aca="false">AC110-AD110-AE110</f>
        <v>0</v>
      </c>
      <c r="AG110" s="69" t="n">
        <f aca="false">IF(AJ109&gt;0.5,AJ109*(1+AG$23)+AG$24,0)</f>
        <v>0</v>
      </c>
      <c r="AH110" s="69" t="n">
        <f aca="false">MIN(AH$23,AG110)</f>
        <v>0</v>
      </c>
      <c r="AI110" s="69" t="n">
        <f aca="false">IF(AND(AH$24=1,OR(AG$25="",$C110&gt;=AG$25)),MAX(0,MIN(AG110-AH110,$D110-(G110+K110+O110+S110+W110+AA110+AE110))),0)</f>
        <v>0</v>
      </c>
      <c r="AJ110" s="69" t="n">
        <f aca="false">AG110-AH110-AI110</f>
        <v>0</v>
      </c>
      <c r="AK110" s="69" t="n">
        <f aca="false">IF(AK109&gt;0.5,AK109*(1+$E$12)+$G$12-MIN($F$12,AK109*(1+$E$12)+$G$12),0)</f>
        <v>0</v>
      </c>
      <c r="AL110" s="69" t="n">
        <f aca="false">IF(AL109&gt;0.5,AL109*(1+$E$13)+$G$13-MIN($F$13,AL109*(1+$E$13)+$G$13),0)</f>
        <v>0</v>
      </c>
      <c r="AM110" s="69" t="n">
        <f aca="false">IF(AM109&gt;0.5,AM109*(1+$E$14)+$G$14-MIN($F$14,AM109*(1+$E$14)+$G$14),0)</f>
        <v>0</v>
      </c>
      <c r="AN110" s="69" t="n">
        <f aca="false">IF(AN109&gt;0.5,AN109*(1+$E$15)+$G$15-MIN($F$15,AN109*(1+$E$15)+$G$15),0)</f>
        <v>0</v>
      </c>
      <c r="AO110" s="69" t="n">
        <f aca="false">IF(AO109&gt;0.5,AO109*(1+$E$16)+$G$16-MIN($F$16,AO109*(1+$E$16)+$G$16),0)</f>
        <v>0</v>
      </c>
      <c r="AP110" s="69" t="n">
        <f aca="false">IF(AP109&gt;0.5,AP109*(1+$E$17)+$G$17-MIN($F$17,AP109*(1+$E$17)+$G$17),0)</f>
        <v>0</v>
      </c>
      <c r="AQ110" s="69" t="n">
        <f aca="false">IF(AQ109&gt;0.5,AQ109*(1+$E$18)+$G$18-MIN($F$18,AQ109*(1+$E$18)+$G$18),0)</f>
        <v>0</v>
      </c>
      <c r="AR110" s="69" t="n">
        <f aca="false">IF(AR109&gt;0.5,AR109*(1+$E$19)+$G$19-MIN($F$19,AR109*(1+$E$19)+$G$19),0)</f>
        <v>0</v>
      </c>
      <c r="AS110" s="69" t="n">
        <f aca="false">H110+L110+P110+T110+X110+AB110+AF110+AJ110</f>
        <v>0</v>
      </c>
      <c r="AT110" s="69" t="n">
        <f aca="false">SUM(AK110:AR110)</f>
        <v>0</v>
      </c>
      <c r="AU110" s="69" t="n">
        <f aca="false">F110+G110+J110+K110+N110+O110+R110+S110+V110+W110+Z110+AA110+AD110+AE110+AH110+AI110</f>
        <v>0</v>
      </c>
    </row>
    <row r="111" customFormat="false" ht="15" hidden="false" customHeight="false" outlineLevel="0" collapsed="false">
      <c r="B111" s="0" t="n">
        <v>84</v>
      </c>
      <c r="C111" s="68" t="n">
        <f aca="false">EDATE($C$7,83)</f>
        <v>48823</v>
      </c>
      <c r="D111" s="69" t="n">
        <f aca="false">$C$8-(F111+J111+N111+R111+V111+Z111+AD111+AH111)</f>
        <v>0</v>
      </c>
      <c r="E111" s="69" t="n">
        <f aca="false">IF(H110&gt;0.5,H110*(1+E$23)+E$24,0)</f>
        <v>0</v>
      </c>
      <c r="F111" s="69" t="n">
        <f aca="false">MIN(F$23,E111)</f>
        <v>0</v>
      </c>
      <c r="G111" s="69" t="n">
        <f aca="false">IF(AND(F$24=1,OR(E$25="",$C111&gt;=E$25)),MAX(0,MIN(E111-F111,$D111-(0))),0)</f>
        <v>0</v>
      </c>
      <c r="H111" s="69" t="n">
        <f aca="false">E111-F111-G111</f>
        <v>0</v>
      </c>
      <c r="I111" s="69" t="n">
        <f aca="false">IF(L110&gt;0.5,L110*(1+I$23)+I$24,0)</f>
        <v>0</v>
      </c>
      <c r="J111" s="69" t="n">
        <f aca="false">MIN(J$23,I111)</f>
        <v>0</v>
      </c>
      <c r="K111" s="69" t="n">
        <f aca="false">IF(AND(J$24=1,OR(I$25="",$C111&gt;=I$25)),MAX(0,MIN(I111-J111,$D111-(G111))),0)</f>
        <v>0</v>
      </c>
      <c r="L111" s="69" t="n">
        <f aca="false">I111-J111-K111</f>
        <v>0</v>
      </c>
      <c r="M111" s="69" t="n">
        <f aca="false">IF(P110&gt;0.5,P110*(1+M$23)+M$24,0)</f>
        <v>0</v>
      </c>
      <c r="N111" s="69" t="n">
        <f aca="false">MIN(N$23,M111)</f>
        <v>0</v>
      </c>
      <c r="O111" s="69" t="n">
        <f aca="false">IF(AND(N$24=1,OR(M$25="",$C111&gt;=M$25)),MAX(0,MIN(M111-N111,$D111-(G111+K111))),0)</f>
        <v>0</v>
      </c>
      <c r="P111" s="69" t="n">
        <f aca="false">M111-N111-O111</f>
        <v>0</v>
      </c>
      <c r="Q111" s="69" t="n">
        <f aca="false">IF(T110&gt;0.5,T110*(1+Q$23)+Q$24,0)</f>
        <v>0</v>
      </c>
      <c r="R111" s="69" t="n">
        <f aca="false">MIN(R$23,Q111)</f>
        <v>0</v>
      </c>
      <c r="S111" s="69" t="n">
        <f aca="false">IF(AND(R$24=1,OR(Q$25="",$C111&gt;=Q$25)),MAX(0,MIN(Q111-R111,$D111-(G111+K111+O111))),0)</f>
        <v>0</v>
      </c>
      <c r="T111" s="69" t="n">
        <f aca="false">Q111-R111-S111</f>
        <v>0</v>
      </c>
      <c r="U111" s="69" t="n">
        <f aca="false">IF(X110&gt;0.5,X110*(1+U$23)+U$24,0)</f>
        <v>0</v>
      </c>
      <c r="V111" s="69" t="n">
        <f aca="false">MIN(V$23,U111)</f>
        <v>0</v>
      </c>
      <c r="W111" s="69" t="n">
        <f aca="false">IF(AND(V$24=1,OR(U$25="",$C111&gt;=U$25)),MAX(0,MIN(U111-V111,$D111-(G111+K111+O111+S111))),0)</f>
        <v>0</v>
      </c>
      <c r="X111" s="69" t="n">
        <f aca="false">U111-V111-W111</f>
        <v>0</v>
      </c>
      <c r="Y111" s="69" t="n">
        <f aca="false">IF(AB110&gt;0.5,AB110*(1+Y$23)+Y$24,0)</f>
        <v>0</v>
      </c>
      <c r="Z111" s="69" t="n">
        <f aca="false">MIN(Z$23,Y111)</f>
        <v>0</v>
      </c>
      <c r="AA111" s="69" t="n">
        <f aca="false">IF(AND(Z$24=1,OR(Y$25="",$C111&gt;=Y$25)),MAX(0,MIN(Y111-Z111,$D111-(G111+K111+O111+S111+W111))),0)</f>
        <v>0</v>
      </c>
      <c r="AB111" s="69" t="n">
        <f aca="false">Y111-Z111-AA111</f>
        <v>0</v>
      </c>
      <c r="AC111" s="69" t="n">
        <f aca="false">IF(AF110&gt;0.5,AF110*(1+AC$23)+AC$24,0)</f>
        <v>0</v>
      </c>
      <c r="AD111" s="69" t="n">
        <f aca="false">MIN(AD$23,AC111)</f>
        <v>0</v>
      </c>
      <c r="AE111" s="69" t="n">
        <f aca="false">IF(AND(AD$24=1,OR(AC$25="",$C111&gt;=AC$25)),MAX(0,MIN(AC111-AD111,$D111-(G111+K111+O111+S111+W111+AA111))),0)</f>
        <v>0</v>
      </c>
      <c r="AF111" s="69" t="n">
        <f aca="false">AC111-AD111-AE111</f>
        <v>0</v>
      </c>
      <c r="AG111" s="69" t="n">
        <f aca="false">IF(AJ110&gt;0.5,AJ110*(1+AG$23)+AG$24,0)</f>
        <v>0</v>
      </c>
      <c r="AH111" s="69" t="n">
        <f aca="false">MIN(AH$23,AG111)</f>
        <v>0</v>
      </c>
      <c r="AI111" s="69" t="n">
        <f aca="false">IF(AND(AH$24=1,OR(AG$25="",$C111&gt;=AG$25)),MAX(0,MIN(AG111-AH111,$D111-(G111+K111+O111+S111+W111+AA111+AE111))),0)</f>
        <v>0</v>
      </c>
      <c r="AJ111" s="69" t="n">
        <f aca="false">AG111-AH111-AI111</f>
        <v>0</v>
      </c>
      <c r="AK111" s="69" t="n">
        <f aca="false">IF(AK110&gt;0.5,AK110*(1+$E$12)+$G$12-MIN($F$12,AK110*(1+$E$12)+$G$12),0)</f>
        <v>0</v>
      </c>
      <c r="AL111" s="69" t="n">
        <f aca="false">IF(AL110&gt;0.5,AL110*(1+$E$13)+$G$13-MIN($F$13,AL110*(1+$E$13)+$G$13),0)</f>
        <v>0</v>
      </c>
      <c r="AM111" s="69" t="n">
        <f aca="false">IF(AM110&gt;0.5,AM110*(1+$E$14)+$G$14-MIN($F$14,AM110*(1+$E$14)+$G$14),0)</f>
        <v>0</v>
      </c>
      <c r="AN111" s="69" t="n">
        <f aca="false">IF(AN110&gt;0.5,AN110*(1+$E$15)+$G$15-MIN($F$15,AN110*(1+$E$15)+$G$15),0)</f>
        <v>0</v>
      </c>
      <c r="AO111" s="69" t="n">
        <f aca="false">IF(AO110&gt;0.5,AO110*(1+$E$16)+$G$16-MIN($F$16,AO110*(1+$E$16)+$G$16),0)</f>
        <v>0</v>
      </c>
      <c r="AP111" s="69" t="n">
        <f aca="false">IF(AP110&gt;0.5,AP110*(1+$E$17)+$G$17-MIN($F$17,AP110*(1+$E$17)+$G$17),0)</f>
        <v>0</v>
      </c>
      <c r="AQ111" s="69" t="n">
        <f aca="false">IF(AQ110&gt;0.5,AQ110*(1+$E$18)+$G$18-MIN($F$18,AQ110*(1+$E$18)+$G$18),0)</f>
        <v>0</v>
      </c>
      <c r="AR111" s="69" t="n">
        <f aca="false">IF(AR110&gt;0.5,AR110*(1+$E$19)+$G$19-MIN($F$19,AR110*(1+$E$19)+$G$19),0)</f>
        <v>0</v>
      </c>
      <c r="AS111" s="69" t="n">
        <f aca="false">H111+L111+P111+T111+X111+AB111+AF111+AJ111</f>
        <v>0</v>
      </c>
      <c r="AT111" s="69" t="n">
        <f aca="false">SUM(AK111:AR111)</f>
        <v>0</v>
      </c>
      <c r="AU111" s="69" t="n">
        <f aca="false">F111+G111+J111+K111+N111+O111+R111+S111+V111+W111+Z111+AA111+AD111+AE111+AH111+AI111</f>
        <v>0</v>
      </c>
    </row>
    <row r="112" customFormat="false" ht="15" hidden="false" customHeight="false" outlineLevel="0" collapsed="false">
      <c r="B112" s="0" t="n">
        <v>85</v>
      </c>
      <c r="C112" s="68" t="n">
        <f aca="false">EDATE($C$7,84)</f>
        <v>48853</v>
      </c>
      <c r="D112" s="69" t="n">
        <f aca="false">$C$8-(F112+J112+N112+R112+V112+Z112+AD112+AH112)</f>
        <v>0</v>
      </c>
      <c r="E112" s="69" t="n">
        <f aca="false">IF(H111&gt;0.5,H111*(1+E$23)+E$24,0)</f>
        <v>0</v>
      </c>
      <c r="F112" s="69" t="n">
        <f aca="false">MIN(F$23,E112)</f>
        <v>0</v>
      </c>
      <c r="G112" s="69" t="n">
        <f aca="false">IF(AND(F$24=1,OR(E$25="",$C112&gt;=E$25)),MAX(0,MIN(E112-F112,$D112-(0))),0)</f>
        <v>0</v>
      </c>
      <c r="H112" s="69" t="n">
        <f aca="false">E112-F112-G112</f>
        <v>0</v>
      </c>
      <c r="I112" s="69" t="n">
        <f aca="false">IF(L111&gt;0.5,L111*(1+I$23)+I$24,0)</f>
        <v>0</v>
      </c>
      <c r="J112" s="69" t="n">
        <f aca="false">MIN(J$23,I112)</f>
        <v>0</v>
      </c>
      <c r="K112" s="69" t="n">
        <f aca="false">IF(AND(J$24=1,OR(I$25="",$C112&gt;=I$25)),MAX(0,MIN(I112-J112,$D112-(G112))),0)</f>
        <v>0</v>
      </c>
      <c r="L112" s="69" t="n">
        <f aca="false">I112-J112-K112</f>
        <v>0</v>
      </c>
      <c r="M112" s="69" t="n">
        <f aca="false">IF(P111&gt;0.5,P111*(1+M$23)+M$24,0)</f>
        <v>0</v>
      </c>
      <c r="N112" s="69" t="n">
        <f aca="false">MIN(N$23,M112)</f>
        <v>0</v>
      </c>
      <c r="O112" s="69" t="n">
        <f aca="false">IF(AND(N$24=1,OR(M$25="",$C112&gt;=M$25)),MAX(0,MIN(M112-N112,$D112-(G112+K112))),0)</f>
        <v>0</v>
      </c>
      <c r="P112" s="69" t="n">
        <f aca="false">M112-N112-O112</f>
        <v>0</v>
      </c>
      <c r="Q112" s="69" t="n">
        <f aca="false">IF(T111&gt;0.5,T111*(1+Q$23)+Q$24,0)</f>
        <v>0</v>
      </c>
      <c r="R112" s="69" t="n">
        <f aca="false">MIN(R$23,Q112)</f>
        <v>0</v>
      </c>
      <c r="S112" s="69" t="n">
        <f aca="false">IF(AND(R$24=1,OR(Q$25="",$C112&gt;=Q$25)),MAX(0,MIN(Q112-R112,$D112-(G112+K112+O112))),0)</f>
        <v>0</v>
      </c>
      <c r="T112" s="69" t="n">
        <f aca="false">Q112-R112-S112</f>
        <v>0</v>
      </c>
      <c r="U112" s="69" t="n">
        <f aca="false">IF(X111&gt;0.5,X111*(1+U$23)+U$24,0)</f>
        <v>0</v>
      </c>
      <c r="V112" s="69" t="n">
        <f aca="false">MIN(V$23,U112)</f>
        <v>0</v>
      </c>
      <c r="W112" s="69" t="n">
        <f aca="false">IF(AND(V$24=1,OR(U$25="",$C112&gt;=U$25)),MAX(0,MIN(U112-V112,$D112-(G112+K112+O112+S112))),0)</f>
        <v>0</v>
      </c>
      <c r="X112" s="69" t="n">
        <f aca="false">U112-V112-W112</f>
        <v>0</v>
      </c>
      <c r="Y112" s="69" t="n">
        <f aca="false">IF(AB111&gt;0.5,AB111*(1+Y$23)+Y$24,0)</f>
        <v>0</v>
      </c>
      <c r="Z112" s="69" t="n">
        <f aca="false">MIN(Z$23,Y112)</f>
        <v>0</v>
      </c>
      <c r="AA112" s="69" t="n">
        <f aca="false">IF(AND(Z$24=1,OR(Y$25="",$C112&gt;=Y$25)),MAX(0,MIN(Y112-Z112,$D112-(G112+K112+O112+S112+W112))),0)</f>
        <v>0</v>
      </c>
      <c r="AB112" s="69" t="n">
        <f aca="false">Y112-Z112-AA112</f>
        <v>0</v>
      </c>
      <c r="AC112" s="69" t="n">
        <f aca="false">IF(AF111&gt;0.5,AF111*(1+AC$23)+AC$24,0)</f>
        <v>0</v>
      </c>
      <c r="AD112" s="69" t="n">
        <f aca="false">MIN(AD$23,AC112)</f>
        <v>0</v>
      </c>
      <c r="AE112" s="69" t="n">
        <f aca="false">IF(AND(AD$24=1,OR(AC$25="",$C112&gt;=AC$25)),MAX(0,MIN(AC112-AD112,$D112-(G112+K112+O112+S112+W112+AA112))),0)</f>
        <v>0</v>
      </c>
      <c r="AF112" s="69" t="n">
        <f aca="false">AC112-AD112-AE112</f>
        <v>0</v>
      </c>
      <c r="AG112" s="69" t="n">
        <f aca="false">IF(AJ111&gt;0.5,AJ111*(1+AG$23)+AG$24,0)</f>
        <v>0</v>
      </c>
      <c r="AH112" s="69" t="n">
        <f aca="false">MIN(AH$23,AG112)</f>
        <v>0</v>
      </c>
      <c r="AI112" s="69" t="n">
        <f aca="false">IF(AND(AH$24=1,OR(AG$25="",$C112&gt;=AG$25)),MAX(0,MIN(AG112-AH112,$D112-(G112+K112+O112+S112+W112+AA112+AE112))),0)</f>
        <v>0</v>
      </c>
      <c r="AJ112" s="69" t="n">
        <f aca="false">AG112-AH112-AI112</f>
        <v>0</v>
      </c>
      <c r="AK112" s="69" t="n">
        <f aca="false">IF(AK111&gt;0.5,AK111*(1+$E$12)+$G$12-MIN($F$12,AK111*(1+$E$12)+$G$12),0)</f>
        <v>0</v>
      </c>
      <c r="AL112" s="69" t="n">
        <f aca="false">IF(AL111&gt;0.5,AL111*(1+$E$13)+$G$13-MIN($F$13,AL111*(1+$E$13)+$G$13),0)</f>
        <v>0</v>
      </c>
      <c r="AM112" s="69" t="n">
        <f aca="false">IF(AM111&gt;0.5,AM111*(1+$E$14)+$G$14-MIN($F$14,AM111*(1+$E$14)+$G$14),0)</f>
        <v>0</v>
      </c>
      <c r="AN112" s="69" t="n">
        <f aca="false">IF(AN111&gt;0.5,AN111*(1+$E$15)+$G$15-MIN($F$15,AN111*(1+$E$15)+$G$15),0)</f>
        <v>0</v>
      </c>
      <c r="AO112" s="69" t="n">
        <f aca="false">IF(AO111&gt;0.5,AO111*(1+$E$16)+$G$16-MIN($F$16,AO111*(1+$E$16)+$G$16),0)</f>
        <v>0</v>
      </c>
      <c r="AP112" s="69" t="n">
        <f aca="false">IF(AP111&gt;0.5,AP111*(1+$E$17)+$G$17-MIN($F$17,AP111*(1+$E$17)+$G$17),0)</f>
        <v>0</v>
      </c>
      <c r="AQ112" s="69" t="n">
        <f aca="false">IF(AQ111&gt;0.5,AQ111*(1+$E$18)+$G$18-MIN($F$18,AQ111*(1+$E$18)+$G$18),0)</f>
        <v>0</v>
      </c>
      <c r="AR112" s="69" t="n">
        <f aca="false">IF(AR111&gt;0.5,AR111*(1+$E$19)+$G$19-MIN($F$19,AR111*(1+$E$19)+$G$19),0)</f>
        <v>0</v>
      </c>
      <c r="AS112" s="69" t="n">
        <f aca="false">H112+L112+P112+T112+X112+AB112+AF112+AJ112</f>
        <v>0</v>
      </c>
      <c r="AT112" s="69" t="n">
        <f aca="false">SUM(AK112:AR112)</f>
        <v>0</v>
      </c>
      <c r="AU112" s="69" t="n">
        <f aca="false">F112+G112+J112+K112+N112+O112+R112+S112+V112+W112+Z112+AA112+AD112+AE112+AH112+AI112</f>
        <v>0</v>
      </c>
    </row>
    <row r="113" customFormat="false" ht="15" hidden="false" customHeight="false" outlineLevel="0" collapsed="false">
      <c r="B113" s="0" t="n">
        <v>86</v>
      </c>
      <c r="C113" s="68" t="n">
        <f aca="false">EDATE($C$7,85)</f>
        <v>48884</v>
      </c>
      <c r="D113" s="69" t="n">
        <f aca="false">$C$8-(F113+J113+N113+R113+V113+Z113+AD113+AH113)</f>
        <v>0</v>
      </c>
      <c r="E113" s="69" t="n">
        <f aca="false">IF(H112&gt;0.5,H112*(1+E$23)+E$24,0)</f>
        <v>0</v>
      </c>
      <c r="F113" s="69" t="n">
        <f aca="false">MIN(F$23,E113)</f>
        <v>0</v>
      </c>
      <c r="G113" s="69" t="n">
        <f aca="false">IF(AND(F$24=1,OR(E$25="",$C113&gt;=E$25)),MAX(0,MIN(E113-F113,$D113-(0))),0)</f>
        <v>0</v>
      </c>
      <c r="H113" s="69" t="n">
        <f aca="false">E113-F113-G113</f>
        <v>0</v>
      </c>
      <c r="I113" s="69" t="n">
        <f aca="false">IF(L112&gt;0.5,L112*(1+I$23)+I$24,0)</f>
        <v>0</v>
      </c>
      <c r="J113" s="69" t="n">
        <f aca="false">MIN(J$23,I113)</f>
        <v>0</v>
      </c>
      <c r="K113" s="69" t="n">
        <f aca="false">IF(AND(J$24=1,OR(I$25="",$C113&gt;=I$25)),MAX(0,MIN(I113-J113,$D113-(G113))),0)</f>
        <v>0</v>
      </c>
      <c r="L113" s="69" t="n">
        <f aca="false">I113-J113-K113</f>
        <v>0</v>
      </c>
      <c r="M113" s="69" t="n">
        <f aca="false">IF(P112&gt;0.5,P112*(1+M$23)+M$24,0)</f>
        <v>0</v>
      </c>
      <c r="N113" s="69" t="n">
        <f aca="false">MIN(N$23,M113)</f>
        <v>0</v>
      </c>
      <c r="O113" s="69" t="n">
        <f aca="false">IF(AND(N$24=1,OR(M$25="",$C113&gt;=M$25)),MAX(0,MIN(M113-N113,$D113-(G113+K113))),0)</f>
        <v>0</v>
      </c>
      <c r="P113" s="69" t="n">
        <f aca="false">M113-N113-O113</f>
        <v>0</v>
      </c>
      <c r="Q113" s="69" t="n">
        <f aca="false">IF(T112&gt;0.5,T112*(1+Q$23)+Q$24,0)</f>
        <v>0</v>
      </c>
      <c r="R113" s="69" t="n">
        <f aca="false">MIN(R$23,Q113)</f>
        <v>0</v>
      </c>
      <c r="S113" s="69" t="n">
        <f aca="false">IF(AND(R$24=1,OR(Q$25="",$C113&gt;=Q$25)),MAX(0,MIN(Q113-R113,$D113-(G113+K113+O113))),0)</f>
        <v>0</v>
      </c>
      <c r="T113" s="69" t="n">
        <f aca="false">Q113-R113-S113</f>
        <v>0</v>
      </c>
      <c r="U113" s="69" t="n">
        <f aca="false">IF(X112&gt;0.5,X112*(1+U$23)+U$24,0)</f>
        <v>0</v>
      </c>
      <c r="V113" s="69" t="n">
        <f aca="false">MIN(V$23,U113)</f>
        <v>0</v>
      </c>
      <c r="W113" s="69" t="n">
        <f aca="false">IF(AND(V$24=1,OR(U$25="",$C113&gt;=U$25)),MAX(0,MIN(U113-V113,$D113-(G113+K113+O113+S113))),0)</f>
        <v>0</v>
      </c>
      <c r="X113" s="69" t="n">
        <f aca="false">U113-V113-W113</f>
        <v>0</v>
      </c>
      <c r="Y113" s="69" t="n">
        <f aca="false">IF(AB112&gt;0.5,AB112*(1+Y$23)+Y$24,0)</f>
        <v>0</v>
      </c>
      <c r="Z113" s="69" t="n">
        <f aca="false">MIN(Z$23,Y113)</f>
        <v>0</v>
      </c>
      <c r="AA113" s="69" t="n">
        <f aca="false">IF(AND(Z$24=1,OR(Y$25="",$C113&gt;=Y$25)),MAX(0,MIN(Y113-Z113,$D113-(G113+K113+O113+S113+W113))),0)</f>
        <v>0</v>
      </c>
      <c r="AB113" s="69" t="n">
        <f aca="false">Y113-Z113-AA113</f>
        <v>0</v>
      </c>
      <c r="AC113" s="69" t="n">
        <f aca="false">IF(AF112&gt;0.5,AF112*(1+AC$23)+AC$24,0)</f>
        <v>0</v>
      </c>
      <c r="AD113" s="69" t="n">
        <f aca="false">MIN(AD$23,AC113)</f>
        <v>0</v>
      </c>
      <c r="AE113" s="69" t="n">
        <f aca="false">IF(AND(AD$24=1,OR(AC$25="",$C113&gt;=AC$25)),MAX(0,MIN(AC113-AD113,$D113-(G113+K113+O113+S113+W113+AA113))),0)</f>
        <v>0</v>
      </c>
      <c r="AF113" s="69" t="n">
        <f aca="false">AC113-AD113-AE113</f>
        <v>0</v>
      </c>
      <c r="AG113" s="69" t="n">
        <f aca="false">IF(AJ112&gt;0.5,AJ112*(1+AG$23)+AG$24,0)</f>
        <v>0</v>
      </c>
      <c r="AH113" s="69" t="n">
        <f aca="false">MIN(AH$23,AG113)</f>
        <v>0</v>
      </c>
      <c r="AI113" s="69" t="n">
        <f aca="false">IF(AND(AH$24=1,OR(AG$25="",$C113&gt;=AG$25)),MAX(0,MIN(AG113-AH113,$D113-(G113+K113+O113+S113+W113+AA113+AE113))),0)</f>
        <v>0</v>
      </c>
      <c r="AJ113" s="69" t="n">
        <f aca="false">AG113-AH113-AI113</f>
        <v>0</v>
      </c>
      <c r="AK113" s="69" t="n">
        <f aca="false">IF(AK112&gt;0.5,AK112*(1+$E$12)+$G$12-MIN($F$12,AK112*(1+$E$12)+$G$12),0)</f>
        <v>0</v>
      </c>
      <c r="AL113" s="69" t="n">
        <f aca="false">IF(AL112&gt;0.5,AL112*(1+$E$13)+$G$13-MIN($F$13,AL112*(1+$E$13)+$G$13),0)</f>
        <v>0</v>
      </c>
      <c r="AM113" s="69" t="n">
        <f aca="false">IF(AM112&gt;0.5,AM112*(1+$E$14)+$G$14-MIN($F$14,AM112*(1+$E$14)+$G$14),0)</f>
        <v>0</v>
      </c>
      <c r="AN113" s="69" t="n">
        <f aca="false">IF(AN112&gt;0.5,AN112*(1+$E$15)+$G$15-MIN($F$15,AN112*(1+$E$15)+$G$15),0)</f>
        <v>0</v>
      </c>
      <c r="AO113" s="69" t="n">
        <f aca="false">IF(AO112&gt;0.5,AO112*(1+$E$16)+$G$16-MIN($F$16,AO112*(1+$E$16)+$G$16),0)</f>
        <v>0</v>
      </c>
      <c r="AP113" s="69" t="n">
        <f aca="false">IF(AP112&gt;0.5,AP112*(1+$E$17)+$G$17-MIN($F$17,AP112*(1+$E$17)+$G$17),0)</f>
        <v>0</v>
      </c>
      <c r="AQ113" s="69" t="n">
        <f aca="false">IF(AQ112&gt;0.5,AQ112*(1+$E$18)+$G$18-MIN($F$18,AQ112*(1+$E$18)+$G$18),0)</f>
        <v>0</v>
      </c>
      <c r="AR113" s="69" t="n">
        <f aca="false">IF(AR112&gt;0.5,AR112*(1+$E$19)+$G$19-MIN($F$19,AR112*(1+$E$19)+$G$19),0)</f>
        <v>0</v>
      </c>
      <c r="AS113" s="69" t="n">
        <f aca="false">H113+L113+P113+T113+X113+AB113+AF113+AJ113</f>
        <v>0</v>
      </c>
      <c r="AT113" s="69" t="n">
        <f aca="false">SUM(AK113:AR113)</f>
        <v>0</v>
      </c>
      <c r="AU113" s="69" t="n">
        <f aca="false">F113+G113+J113+K113+N113+O113+R113+S113+V113+W113+Z113+AA113+AD113+AE113+AH113+AI113</f>
        <v>0</v>
      </c>
    </row>
    <row r="114" customFormat="false" ht="15" hidden="false" customHeight="false" outlineLevel="0" collapsed="false">
      <c r="B114" s="0" t="n">
        <v>87</v>
      </c>
      <c r="C114" s="68" t="n">
        <f aca="false">EDATE($C$7,86)</f>
        <v>48914</v>
      </c>
      <c r="D114" s="69" t="n">
        <f aca="false">$C$8-(F114+J114+N114+R114+V114+Z114+AD114+AH114)</f>
        <v>0</v>
      </c>
      <c r="E114" s="69" t="n">
        <f aca="false">IF(H113&gt;0.5,H113*(1+E$23)+E$24,0)</f>
        <v>0</v>
      </c>
      <c r="F114" s="69" t="n">
        <f aca="false">MIN(F$23,E114)</f>
        <v>0</v>
      </c>
      <c r="G114" s="69" t="n">
        <f aca="false">IF(AND(F$24=1,OR(E$25="",$C114&gt;=E$25)),MAX(0,MIN(E114-F114,$D114-(0))),0)</f>
        <v>0</v>
      </c>
      <c r="H114" s="69" t="n">
        <f aca="false">E114-F114-G114</f>
        <v>0</v>
      </c>
      <c r="I114" s="69" t="n">
        <f aca="false">IF(L113&gt;0.5,L113*(1+I$23)+I$24,0)</f>
        <v>0</v>
      </c>
      <c r="J114" s="69" t="n">
        <f aca="false">MIN(J$23,I114)</f>
        <v>0</v>
      </c>
      <c r="K114" s="69" t="n">
        <f aca="false">IF(AND(J$24=1,OR(I$25="",$C114&gt;=I$25)),MAX(0,MIN(I114-J114,$D114-(G114))),0)</f>
        <v>0</v>
      </c>
      <c r="L114" s="69" t="n">
        <f aca="false">I114-J114-K114</f>
        <v>0</v>
      </c>
      <c r="M114" s="69" t="n">
        <f aca="false">IF(P113&gt;0.5,P113*(1+M$23)+M$24,0)</f>
        <v>0</v>
      </c>
      <c r="N114" s="69" t="n">
        <f aca="false">MIN(N$23,M114)</f>
        <v>0</v>
      </c>
      <c r="O114" s="69" t="n">
        <f aca="false">IF(AND(N$24=1,OR(M$25="",$C114&gt;=M$25)),MAX(0,MIN(M114-N114,$D114-(G114+K114))),0)</f>
        <v>0</v>
      </c>
      <c r="P114" s="69" t="n">
        <f aca="false">M114-N114-O114</f>
        <v>0</v>
      </c>
      <c r="Q114" s="69" t="n">
        <f aca="false">IF(T113&gt;0.5,T113*(1+Q$23)+Q$24,0)</f>
        <v>0</v>
      </c>
      <c r="R114" s="69" t="n">
        <f aca="false">MIN(R$23,Q114)</f>
        <v>0</v>
      </c>
      <c r="S114" s="69" t="n">
        <f aca="false">IF(AND(R$24=1,OR(Q$25="",$C114&gt;=Q$25)),MAX(0,MIN(Q114-R114,$D114-(G114+K114+O114))),0)</f>
        <v>0</v>
      </c>
      <c r="T114" s="69" t="n">
        <f aca="false">Q114-R114-S114</f>
        <v>0</v>
      </c>
      <c r="U114" s="69" t="n">
        <f aca="false">IF(X113&gt;0.5,X113*(1+U$23)+U$24,0)</f>
        <v>0</v>
      </c>
      <c r="V114" s="69" t="n">
        <f aca="false">MIN(V$23,U114)</f>
        <v>0</v>
      </c>
      <c r="W114" s="69" t="n">
        <f aca="false">IF(AND(V$24=1,OR(U$25="",$C114&gt;=U$25)),MAX(0,MIN(U114-V114,$D114-(G114+K114+O114+S114))),0)</f>
        <v>0</v>
      </c>
      <c r="X114" s="69" t="n">
        <f aca="false">U114-V114-W114</f>
        <v>0</v>
      </c>
      <c r="Y114" s="69" t="n">
        <f aca="false">IF(AB113&gt;0.5,AB113*(1+Y$23)+Y$24,0)</f>
        <v>0</v>
      </c>
      <c r="Z114" s="69" t="n">
        <f aca="false">MIN(Z$23,Y114)</f>
        <v>0</v>
      </c>
      <c r="AA114" s="69" t="n">
        <f aca="false">IF(AND(Z$24=1,OR(Y$25="",$C114&gt;=Y$25)),MAX(0,MIN(Y114-Z114,$D114-(G114+K114+O114+S114+W114))),0)</f>
        <v>0</v>
      </c>
      <c r="AB114" s="69" t="n">
        <f aca="false">Y114-Z114-AA114</f>
        <v>0</v>
      </c>
      <c r="AC114" s="69" t="n">
        <f aca="false">IF(AF113&gt;0.5,AF113*(1+AC$23)+AC$24,0)</f>
        <v>0</v>
      </c>
      <c r="AD114" s="69" t="n">
        <f aca="false">MIN(AD$23,AC114)</f>
        <v>0</v>
      </c>
      <c r="AE114" s="69" t="n">
        <f aca="false">IF(AND(AD$24=1,OR(AC$25="",$C114&gt;=AC$25)),MAX(0,MIN(AC114-AD114,$D114-(G114+K114+O114+S114+W114+AA114))),0)</f>
        <v>0</v>
      </c>
      <c r="AF114" s="69" t="n">
        <f aca="false">AC114-AD114-AE114</f>
        <v>0</v>
      </c>
      <c r="AG114" s="69" t="n">
        <f aca="false">IF(AJ113&gt;0.5,AJ113*(1+AG$23)+AG$24,0)</f>
        <v>0</v>
      </c>
      <c r="AH114" s="69" t="n">
        <f aca="false">MIN(AH$23,AG114)</f>
        <v>0</v>
      </c>
      <c r="AI114" s="69" t="n">
        <f aca="false">IF(AND(AH$24=1,OR(AG$25="",$C114&gt;=AG$25)),MAX(0,MIN(AG114-AH114,$D114-(G114+K114+O114+S114+W114+AA114+AE114))),0)</f>
        <v>0</v>
      </c>
      <c r="AJ114" s="69" t="n">
        <f aca="false">AG114-AH114-AI114</f>
        <v>0</v>
      </c>
      <c r="AK114" s="69" t="n">
        <f aca="false">IF(AK113&gt;0.5,AK113*(1+$E$12)+$G$12-MIN($F$12,AK113*(1+$E$12)+$G$12),0)</f>
        <v>0</v>
      </c>
      <c r="AL114" s="69" t="n">
        <f aca="false">IF(AL113&gt;0.5,AL113*(1+$E$13)+$G$13-MIN($F$13,AL113*(1+$E$13)+$G$13),0)</f>
        <v>0</v>
      </c>
      <c r="AM114" s="69" t="n">
        <f aca="false">IF(AM113&gt;0.5,AM113*(1+$E$14)+$G$14-MIN($F$14,AM113*(1+$E$14)+$G$14),0)</f>
        <v>0</v>
      </c>
      <c r="AN114" s="69" t="n">
        <f aca="false">IF(AN113&gt;0.5,AN113*(1+$E$15)+$G$15-MIN($F$15,AN113*(1+$E$15)+$G$15),0)</f>
        <v>0</v>
      </c>
      <c r="AO114" s="69" t="n">
        <f aca="false">IF(AO113&gt;0.5,AO113*(1+$E$16)+$G$16-MIN($F$16,AO113*(1+$E$16)+$G$16),0)</f>
        <v>0</v>
      </c>
      <c r="AP114" s="69" t="n">
        <f aca="false">IF(AP113&gt;0.5,AP113*(1+$E$17)+$G$17-MIN($F$17,AP113*(1+$E$17)+$G$17),0)</f>
        <v>0</v>
      </c>
      <c r="AQ114" s="69" t="n">
        <f aca="false">IF(AQ113&gt;0.5,AQ113*(1+$E$18)+$G$18-MIN($F$18,AQ113*(1+$E$18)+$G$18),0)</f>
        <v>0</v>
      </c>
      <c r="AR114" s="69" t="n">
        <f aca="false">IF(AR113&gt;0.5,AR113*(1+$E$19)+$G$19-MIN($F$19,AR113*(1+$E$19)+$G$19),0)</f>
        <v>0</v>
      </c>
      <c r="AS114" s="69" t="n">
        <f aca="false">H114+L114+P114+T114+X114+AB114+AF114+AJ114</f>
        <v>0</v>
      </c>
      <c r="AT114" s="69" t="n">
        <f aca="false">SUM(AK114:AR114)</f>
        <v>0</v>
      </c>
      <c r="AU114" s="69" t="n">
        <f aca="false">F114+G114+J114+K114+N114+O114+R114+S114+V114+W114+Z114+AA114+AD114+AE114+AH114+AI114</f>
        <v>0</v>
      </c>
    </row>
    <row r="115" customFormat="false" ht="15" hidden="false" customHeight="false" outlineLevel="0" collapsed="false">
      <c r="B115" s="0" t="n">
        <v>88</v>
      </c>
      <c r="C115" s="68" t="n">
        <f aca="false">EDATE($C$7,87)</f>
        <v>48945</v>
      </c>
      <c r="D115" s="69" t="n">
        <f aca="false">$C$8-(F115+J115+N115+R115+V115+Z115+AD115+AH115)</f>
        <v>0</v>
      </c>
      <c r="E115" s="69" t="n">
        <f aca="false">IF(H114&gt;0.5,H114*(1+E$23)+E$24,0)</f>
        <v>0</v>
      </c>
      <c r="F115" s="69" t="n">
        <f aca="false">MIN(F$23,E115)</f>
        <v>0</v>
      </c>
      <c r="G115" s="69" t="n">
        <f aca="false">IF(AND(F$24=1,OR(E$25="",$C115&gt;=E$25)),MAX(0,MIN(E115-F115,$D115-(0))),0)</f>
        <v>0</v>
      </c>
      <c r="H115" s="69" t="n">
        <f aca="false">E115-F115-G115</f>
        <v>0</v>
      </c>
      <c r="I115" s="69" t="n">
        <f aca="false">IF(L114&gt;0.5,L114*(1+I$23)+I$24,0)</f>
        <v>0</v>
      </c>
      <c r="J115" s="69" t="n">
        <f aca="false">MIN(J$23,I115)</f>
        <v>0</v>
      </c>
      <c r="K115" s="69" t="n">
        <f aca="false">IF(AND(J$24=1,OR(I$25="",$C115&gt;=I$25)),MAX(0,MIN(I115-J115,$D115-(G115))),0)</f>
        <v>0</v>
      </c>
      <c r="L115" s="69" t="n">
        <f aca="false">I115-J115-K115</f>
        <v>0</v>
      </c>
      <c r="M115" s="69" t="n">
        <f aca="false">IF(P114&gt;0.5,P114*(1+M$23)+M$24,0)</f>
        <v>0</v>
      </c>
      <c r="N115" s="69" t="n">
        <f aca="false">MIN(N$23,M115)</f>
        <v>0</v>
      </c>
      <c r="O115" s="69" t="n">
        <f aca="false">IF(AND(N$24=1,OR(M$25="",$C115&gt;=M$25)),MAX(0,MIN(M115-N115,$D115-(G115+K115))),0)</f>
        <v>0</v>
      </c>
      <c r="P115" s="69" t="n">
        <f aca="false">M115-N115-O115</f>
        <v>0</v>
      </c>
      <c r="Q115" s="69" t="n">
        <f aca="false">IF(T114&gt;0.5,T114*(1+Q$23)+Q$24,0)</f>
        <v>0</v>
      </c>
      <c r="R115" s="69" t="n">
        <f aca="false">MIN(R$23,Q115)</f>
        <v>0</v>
      </c>
      <c r="S115" s="69" t="n">
        <f aca="false">IF(AND(R$24=1,OR(Q$25="",$C115&gt;=Q$25)),MAX(0,MIN(Q115-R115,$D115-(G115+K115+O115))),0)</f>
        <v>0</v>
      </c>
      <c r="T115" s="69" t="n">
        <f aca="false">Q115-R115-S115</f>
        <v>0</v>
      </c>
      <c r="U115" s="69" t="n">
        <f aca="false">IF(X114&gt;0.5,X114*(1+U$23)+U$24,0)</f>
        <v>0</v>
      </c>
      <c r="V115" s="69" t="n">
        <f aca="false">MIN(V$23,U115)</f>
        <v>0</v>
      </c>
      <c r="W115" s="69" t="n">
        <f aca="false">IF(AND(V$24=1,OR(U$25="",$C115&gt;=U$25)),MAX(0,MIN(U115-V115,$D115-(G115+K115+O115+S115))),0)</f>
        <v>0</v>
      </c>
      <c r="X115" s="69" t="n">
        <f aca="false">U115-V115-W115</f>
        <v>0</v>
      </c>
      <c r="Y115" s="69" t="n">
        <f aca="false">IF(AB114&gt;0.5,AB114*(1+Y$23)+Y$24,0)</f>
        <v>0</v>
      </c>
      <c r="Z115" s="69" t="n">
        <f aca="false">MIN(Z$23,Y115)</f>
        <v>0</v>
      </c>
      <c r="AA115" s="69" t="n">
        <f aca="false">IF(AND(Z$24=1,OR(Y$25="",$C115&gt;=Y$25)),MAX(0,MIN(Y115-Z115,$D115-(G115+K115+O115+S115+W115))),0)</f>
        <v>0</v>
      </c>
      <c r="AB115" s="69" t="n">
        <f aca="false">Y115-Z115-AA115</f>
        <v>0</v>
      </c>
      <c r="AC115" s="69" t="n">
        <f aca="false">IF(AF114&gt;0.5,AF114*(1+AC$23)+AC$24,0)</f>
        <v>0</v>
      </c>
      <c r="AD115" s="69" t="n">
        <f aca="false">MIN(AD$23,AC115)</f>
        <v>0</v>
      </c>
      <c r="AE115" s="69" t="n">
        <f aca="false">IF(AND(AD$24=1,OR(AC$25="",$C115&gt;=AC$25)),MAX(0,MIN(AC115-AD115,$D115-(G115+K115+O115+S115+W115+AA115))),0)</f>
        <v>0</v>
      </c>
      <c r="AF115" s="69" t="n">
        <f aca="false">AC115-AD115-AE115</f>
        <v>0</v>
      </c>
      <c r="AG115" s="69" t="n">
        <f aca="false">IF(AJ114&gt;0.5,AJ114*(1+AG$23)+AG$24,0)</f>
        <v>0</v>
      </c>
      <c r="AH115" s="69" t="n">
        <f aca="false">MIN(AH$23,AG115)</f>
        <v>0</v>
      </c>
      <c r="AI115" s="69" t="n">
        <f aca="false">IF(AND(AH$24=1,OR(AG$25="",$C115&gt;=AG$25)),MAX(0,MIN(AG115-AH115,$D115-(G115+K115+O115+S115+W115+AA115+AE115))),0)</f>
        <v>0</v>
      </c>
      <c r="AJ115" s="69" t="n">
        <f aca="false">AG115-AH115-AI115</f>
        <v>0</v>
      </c>
      <c r="AK115" s="69" t="n">
        <f aca="false">IF(AK114&gt;0.5,AK114*(1+$E$12)+$G$12-MIN($F$12,AK114*(1+$E$12)+$G$12),0)</f>
        <v>0</v>
      </c>
      <c r="AL115" s="69" t="n">
        <f aca="false">IF(AL114&gt;0.5,AL114*(1+$E$13)+$G$13-MIN($F$13,AL114*(1+$E$13)+$G$13),0)</f>
        <v>0</v>
      </c>
      <c r="AM115" s="69" t="n">
        <f aca="false">IF(AM114&gt;0.5,AM114*(1+$E$14)+$G$14-MIN($F$14,AM114*(1+$E$14)+$G$14),0)</f>
        <v>0</v>
      </c>
      <c r="AN115" s="69" t="n">
        <f aca="false">IF(AN114&gt;0.5,AN114*(1+$E$15)+$G$15-MIN($F$15,AN114*(1+$E$15)+$G$15),0)</f>
        <v>0</v>
      </c>
      <c r="AO115" s="69" t="n">
        <f aca="false">IF(AO114&gt;0.5,AO114*(1+$E$16)+$G$16-MIN($F$16,AO114*(1+$E$16)+$G$16),0)</f>
        <v>0</v>
      </c>
      <c r="AP115" s="69" t="n">
        <f aca="false">IF(AP114&gt;0.5,AP114*(1+$E$17)+$G$17-MIN($F$17,AP114*(1+$E$17)+$G$17),0)</f>
        <v>0</v>
      </c>
      <c r="AQ115" s="69" t="n">
        <f aca="false">IF(AQ114&gt;0.5,AQ114*(1+$E$18)+$G$18-MIN($F$18,AQ114*(1+$E$18)+$G$18),0)</f>
        <v>0</v>
      </c>
      <c r="AR115" s="69" t="n">
        <f aca="false">IF(AR114&gt;0.5,AR114*(1+$E$19)+$G$19-MIN($F$19,AR114*(1+$E$19)+$G$19),0)</f>
        <v>0</v>
      </c>
      <c r="AS115" s="69" t="n">
        <f aca="false">H115+L115+P115+T115+X115+AB115+AF115+AJ115</f>
        <v>0</v>
      </c>
      <c r="AT115" s="69" t="n">
        <f aca="false">SUM(AK115:AR115)</f>
        <v>0</v>
      </c>
      <c r="AU115" s="69" t="n">
        <f aca="false">F115+G115+J115+K115+N115+O115+R115+S115+V115+W115+Z115+AA115+AD115+AE115+AH115+AI115</f>
        <v>0</v>
      </c>
    </row>
    <row r="116" customFormat="false" ht="15" hidden="false" customHeight="false" outlineLevel="0" collapsed="false">
      <c r="B116" s="0" t="n">
        <v>89</v>
      </c>
      <c r="C116" s="68" t="n">
        <f aca="false">EDATE($C$7,88)</f>
        <v>48976</v>
      </c>
      <c r="D116" s="69" t="n">
        <f aca="false">$C$8-(F116+J116+N116+R116+V116+Z116+AD116+AH116)</f>
        <v>0</v>
      </c>
      <c r="E116" s="69" t="n">
        <f aca="false">IF(H115&gt;0.5,H115*(1+E$23)+E$24,0)</f>
        <v>0</v>
      </c>
      <c r="F116" s="69" t="n">
        <f aca="false">MIN(F$23,E116)</f>
        <v>0</v>
      </c>
      <c r="G116" s="69" t="n">
        <f aca="false">IF(AND(F$24=1,OR(E$25="",$C116&gt;=E$25)),MAX(0,MIN(E116-F116,$D116-(0))),0)</f>
        <v>0</v>
      </c>
      <c r="H116" s="69" t="n">
        <f aca="false">E116-F116-G116</f>
        <v>0</v>
      </c>
      <c r="I116" s="69" t="n">
        <f aca="false">IF(L115&gt;0.5,L115*(1+I$23)+I$24,0)</f>
        <v>0</v>
      </c>
      <c r="J116" s="69" t="n">
        <f aca="false">MIN(J$23,I116)</f>
        <v>0</v>
      </c>
      <c r="K116" s="69" t="n">
        <f aca="false">IF(AND(J$24=1,OR(I$25="",$C116&gt;=I$25)),MAX(0,MIN(I116-J116,$D116-(G116))),0)</f>
        <v>0</v>
      </c>
      <c r="L116" s="69" t="n">
        <f aca="false">I116-J116-K116</f>
        <v>0</v>
      </c>
      <c r="M116" s="69" t="n">
        <f aca="false">IF(P115&gt;0.5,P115*(1+M$23)+M$24,0)</f>
        <v>0</v>
      </c>
      <c r="N116" s="69" t="n">
        <f aca="false">MIN(N$23,M116)</f>
        <v>0</v>
      </c>
      <c r="O116" s="69" t="n">
        <f aca="false">IF(AND(N$24=1,OR(M$25="",$C116&gt;=M$25)),MAX(0,MIN(M116-N116,$D116-(G116+K116))),0)</f>
        <v>0</v>
      </c>
      <c r="P116" s="69" t="n">
        <f aca="false">M116-N116-O116</f>
        <v>0</v>
      </c>
      <c r="Q116" s="69" t="n">
        <f aca="false">IF(T115&gt;0.5,T115*(1+Q$23)+Q$24,0)</f>
        <v>0</v>
      </c>
      <c r="R116" s="69" t="n">
        <f aca="false">MIN(R$23,Q116)</f>
        <v>0</v>
      </c>
      <c r="S116" s="69" t="n">
        <f aca="false">IF(AND(R$24=1,OR(Q$25="",$C116&gt;=Q$25)),MAX(0,MIN(Q116-R116,$D116-(G116+K116+O116))),0)</f>
        <v>0</v>
      </c>
      <c r="T116" s="69" t="n">
        <f aca="false">Q116-R116-S116</f>
        <v>0</v>
      </c>
      <c r="U116" s="69" t="n">
        <f aca="false">IF(X115&gt;0.5,X115*(1+U$23)+U$24,0)</f>
        <v>0</v>
      </c>
      <c r="V116" s="69" t="n">
        <f aca="false">MIN(V$23,U116)</f>
        <v>0</v>
      </c>
      <c r="W116" s="69" t="n">
        <f aca="false">IF(AND(V$24=1,OR(U$25="",$C116&gt;=U$25)),MAX(0,MIN(U116-V116,$D116-(G116+K116+O116+S116))),0)</f>
        <v>0</v>
      </c>
      <c r="X116" s="69" t="n">
        <f aca="false">U116-V116-W116</f>
        <v>0</v>
      </c>
      <c r="Y116" s="69" t="n">
        <f aca="false">IF(AB115&gt;0.5,AB115*(1+Y$23)+Y$24,0)</f>
        <v>0</v>
      </c>
      <c r="Z116" s="69" t="n">
        <f aca="false">MIN(Z$23,Y116)</f>
        <v>0</v>
      </c>
      <c r="AA116" s="69" t="n">
        <f aca="false">IF(AND(Z$24=1,OR(Y$25="",$C116&gt;=Y$25)),MAX(0,MIN(Y116-Z116,$D116-(G116+K116+O116+S116+W116))),0)</f>
        <v>0</v>
      </c>
      <c r="AB116" s="69" t="n">
        <f aca="false">Y116-Z116-AA116</f>
        <v>0</v>
      </c>
      <c r="AC116" s="69" t="n">
        <f aca="false">IF(AF115&gt;0.5,AF115*(1+AC$23)+AC$24,0)</f>
        <v>0</v>
      </c>
      <c r="AD116" s="69" t="n">
        <f aca="false">MIN(AD$23,AC116)</f>
        <v>0</v>
      </c>
      <c r="AE116" s="69" t="n">
        <f aca="false">IF(AND(AD$24=1,OR(AC$25="",$C116&gt;=AC$25)),MAX(0,MIN(AC116-AD116,$D116-(G116+K116+O116+S116+W116+AA116))),0)</f>
        <v>0</v>
      </c>
      <c r="AF116" s="69" t="n">
        <f aca="false">AC116-AD116-AE116</f>
        <v>0</v>
      </c>
      <c r="AG116" s="69" t="n">
        <f aca="false">IF(AJ115&gt;0.5,AJ115*(1+AG$23)+AG$24,0)</f>
        <v>0</v>
      </c>
      <c r="AH116" s="69" t="n">
        <f aca="false">MIN(AH$23,AG116)</f>
        <v>0</v>
      </c>
      <c r="AI116" s="69" t="n">
        <f aca="false">IF(AND(AH$24=1,OR(AG$25="",$C116&gt;=AG$25)),MAX(0,MIN(AG116-AH116,$D116-(G116+K116+O116+S116+W116+AA116+AE116))),0)</f>
        <v>0</v>
      </c>
      <c r="AJ116" s="69" t="n">
        <f aca="false">AG116-AH116-AI116</f>
        <v>0</v>
      </c>
      <c r="AK116" s="69" t="n">
        <f aca="false">IF(AK115&gt;0.5,AK115*(1+$E$12)+$G$12-MIN($F$12,AK115*(1+$E$12)+$G$12),0)</f>
        <v>0</v>
      </c>
      <c r="AL116" s="69" t="n">
        <f aca="false">IF(AL115&gt;0.5,AL115*(1+$E$13)+$G$13-MIN($F$13,AL115*(1+$E$13)+$G$13),0)</f>
        <v>0</v>
      </c>
      <c r="AM116" s="69" t="n">
        <f aca="false">IF(AM115&gt;0.5,AM115*(1+$E$14)+$G$14-MIN($F$14,AM115*(1+$E$14)+$G$14),0)</f>
        <v>0</v>
      </c>
      <c r="AN116" s="69" t="n">
        <f aca="false">IF(AN115&gt;0.5,AN115*(1+$E$15)+$G$15-MIN($F$15,AN115*(1+$E$15)+$G$15),0)</f>
        <v>0</v>
      </c>
      <c r="AO116" s="69" t="n">
        <f aca="false">IF(AO115&gt;0.5,AO115*(1+$E$16)+$G$16-MIN($F$16,AO115*(1+$E$16)+$G$16),0)</f>
        <v>0</v>
      </c>
      <c r="AP116" s="69" t="n">
        <f aca="false">IF(AP115&gt;0.5,AP115*(1+$E$17)+$G$17-MIN($F$17,AP115*(1+$E$17)+$G$17),0)</f>
        <v>0</v>
      </c>
      <c r="AQ116" s="69" t="n">
        <f aca="false">IF(AQ115&gt;0.5,AQ115*(1+$E$18)+$G$18-MIN($F$18,AQ115*(1+$E$18)+$G$18),0)</f>
        <v>0</v>
      </c>
      <c r="AR116" s="69" t="n">
        <f aca="false">IF(AR115&gt;0.5,AR115*(1+$E$19)+$G$19-MIN($F$19,AR115*(1+$E$19)+$G$19),0)</f>
        <v>0</v>
      </c>
      <c r="AS116" s="69" t="n">
        <f aca="false">H116+L116+P116+T116+X116+AB116+AF116+AJ116</f>
        <v>0</v>
      </c>
      <c r="AT116" s="69" t="n">
        <f aca="false">SUM(AK116:AR116)</f>
        <v>0</v>
      </c>
      <c r="AU116" s="69" t="n">
        <f aca="false">F116+G116+J116+K116+N116+O116+R116+S116+V116+W116+Z116+AA116+AD116+AE116+AH116+AI116</f>
        <v>0</v>
      </c>
    </row>
    <row r="117" customFormat="false" ht="15" hidden="false" customHeight="false" outlineLevel="0" collapsed="false">
      <c r="B117" s="0" t="n">
        <v>90</v>
      </c>
      <c r="C117" s="68" t="n">
        <f aca="false">EDATE($C$7,89)</f>
        <v>49004</v>
      </c>
      <c r="D117" s="69" t="n">
        <f aca="false">$C$8-(F117+J117+N117+R117+V117+Z117+AD117+AH117)</f>
        <v>0</v>
      </c>
      <c r="E117" s="69" t="n">
        <f aca="false">IF(H116&gt;0.5,H116*(1+E$23)+E$24,0)</f>
        <v>0</v>
      </c>
      <c r="F117" s="69" t="n">
        <f aca="false">MIN(F$23,E117)</f>
        <v>0</v>
      </c>
      <c r="G117" s="69" t="n">
        <f aca="false">IF(AND(F$24=1,OR(E$25="",$C117&gt;=E$25)),MAX(0,MIN(E117-F117,$D117-(0))),0)</f>
        <v>0</v>
      </c>
      <c r="H117" s="69" t="n">
        <f aca="false">E117-F117-G117</f>
        <v>0</v>
      </c>
      <c r="I117" s="69" t="n">
        <f aca="false">IF(L116&gt;0.5,L116*(1+I$23)+I$24,0)</f>
        <v>0</v>
      </c>
      <c r="J117" s="69" t="n">
        <f aca="false">MIN(J$23,I117)</f>
        <v>0</v>
      </c>
      <c r="K117" s="69" t="n">
        <f aca="false">IF(AND(J$24=1,OR(I$25="",$C117&gt;=I$25)),MAX(0,MIN(I117-J117,$D117-(G117))),0)</f>
        <v>0</v>
      </c>
      <c r="L117" s="69" t="n">
        <f aca="false">I117-J117-K117</f>
        <v>0</v>
      </c>
      <c r="M117" s="69" t="n">
        <f aca="false">IF(P116&gt;0.5,P116*(1+M$23)+M$24,0)</f>
        <v>0</v>
      </c>
      <c r="N117" s="69" t="n">
        <f aca="false">MIN(N$23,M117)</f>
        <v>0</v>
      </c>
      <c r="O117" s="69" t="n">
        <f aca="false">IF(AND(N$24=1,OR(M$25="",$C117&gt;=M$25)),MAX(0,MIN(M117-N117,$D117-(G117+K117))),0)</f>
        <v>0</v>
      </c>
      <c r="P117" s="69" t="n">
        <f aca="false">M117-N117-O117</f>
        <v>0</v>
      </c>
      <c r="Q117" s="69" t="n">
        <f aca="false">IF(T116&gt;0.5,T116*(1+Q$23)+Q$24,0)</f>
        <v>0</v>
      </c>
      <c r="R117" s="69" t="n">
        <f aca="false">MIN(R$23,Q117)</f>
        <v>0</v>
      </c>
      <c r="S117" s="69" t="n">
        <f aca="false">IF(AND(R$24=1,OR(Q$25="",$C117&gt;=Q$25)),MAX(0,MIN(Q117-R117,$D117-(G117+K117+O117))),0)</f>
        <v>0</v>
      </c>
      <c r="T117" s="69" t="n">
        <f aca="false">Q117-R117-S117</f>
        <v>0</v>
      </c>
      <c r="U117" s="69" t="n">
        <f aca="false">IF(X116&gt;0.5,X116*(1+U$23)+U$24,0)</f>
        <v>0</v>
      </c>
      <c r="V117" s="69" t="n">
        <f aca="false">MIN(V$23,U117)</f>
        <v>0</v>
      </c>
      <c r="W117" s="69" t="n">
        <f aca="false">IF(AND(V$24=1,OR(U$25="",$C117&gt;=U$25)),MAX(0,MIN(U117-V117,$D117-(G117+K117+O117+S117))),0)</f>
        <v>0</v>
      </c>
      <c r="X117" s="69" t="n">
        <f aca="false">U117-V117-W117</f>
        <v>0</v>
      </c>
      <c r="Y117" s="69" t="n">
        <f aca="false">IF(AB116&gt;0.5,AB116*(1+Y$23)+Y$24,0)</f>
        <v>0</v>
      </c>
      <c r="Z117" s="69" t="n">
        <f aca="false">MIN(Z$23,Y117)</f>
        <v>0</v>
      </c>
      <c r="AA117" s="69" t="n">
        <f aca="false">IF(AND(Z$24=1,OR(Y$25="",$C117&gt;=Y$25)),MAX(0,MIN(Y117-Z117,$D117-(G117+K117+O117+S117+W117))),0)</f>
        <v>0</v>
      </c>
      <c r="AB117" s="69" t="n">
        <f aca="false">Y117-Z117-AA117</f>
        <v>0</v>
      </c>
      <c r="AC117" s="69" t="n">
        <f aca="false">IF(AF116&gt;0.5,AF116*(1+AC$23)+AC$24,0)</f>
        <v>0</v>
      </c>
      <c r="AD117" s="69" t="n">
        <f aca="false">MIN(AD$23,AC117)</f>
        <v>0</v>
      </c>
      <c r="AE117" s="69" t="n">
        <f aca="false">IF(AND(AD$24=1,OR(AC$25="",$C117&gt;=AC$25)),MAX(0,MIN(AC117-AD117,$D117-(G117+K117+O117+S117+W117+AA117))),0)</f>
        <v>0</v>
      </c>
      <c r="AF117" s="69" t="n">
        <f aca="false">AC117-AD117-AE117</f>
        <v>0</v>
      </c>
      <c r="AG117" s="69" t="n">
        <f aca="false">IF(AJ116&gt;0.5,AJ116*(1+AG$23)+AG$24,0)</f>
        <v>0</v>
      </c>
      <c r="AH117" s="69" t="n">
        <f aca="false">MIN(AH$23,AG117)</f>
        <v>0</v>
      </c>
      <c r="AI117" s="69" t="n">
        <f aca="false">IF(AND(AH$24=1,OR(AG$25="",$C117&gt;=AG$25)),MAX(0,MIN(AG117-AH117,$D117-(G117+K117+O117+S117+W117+AA117+AE117))),0)</f>
        <v>0</v>
      </c>
      <c r="AJ117" s="69" t="n">
        <f aca="false">AG117-AH117-AI117</f>
        <v>0</v>
      </c>
      <c r="AK117" s="69" t="n">
        <f aca="false">IF(AK116&gt;0.5,AK116*(1+$E$12)+$G$12-MIN($F$12,AK116*(1+$E$12)+$G$12),0)</f>
        <v>0</v>
      </c>
      <c r="AL117" s="69" t="n">
        <f aca="false">IF(AL116&gt;0.5,AL116*(1+$E$13)+$G$13-MIN($F$13,AL116*(1+$E$13)+$G$13),0)</f>
        <v>0</v>
      </c>
      <c r="AM117" s="69" t="n">
        <f aca="false">IF(AM116&gt;0.5,AM116*(1+$E$14)+$G$14-MIN($F$14,AM116*(1+$E$14)+$G$14),0)</f>
        <v>0</v>
      </c>
      <c r="AN117" s="69" t="n">
        <f aca="false">IF(AN116&gt;0.5,AN116*(1+$E$15)+$G$15-MIN($F$15,AN116*(1+$E$15)+$G$15),0)</f>
        <v>0</v>
      </c>
      <c r="AO117" s="69" t="n">
        <f aca="false">IF(AO116&gt;0.5,AO116*(1+$E$16)+$G$16-MIN($F$16,AO116*(1+$E$16)+$G$16),0)</f>
        <v>0</v>
      </c>
      <c r="AP117" s="69" t="n">
        <f aca="false">IF(AP116&gt;0.5,AP116*(1+$E$17)+$G$17-MIN($F$17,AP116*(1+$E$17)+$G$17),0)</f>
        <v>0</v>
      </c>
      <c r="AQ117" s="69" t="n">
        <f aca="false">IF(AQ116&gt;0.5,AQ116*(1+$E$18)+$G$18-MIN($F$18,AQ116*(1+$E$18)+$G$18),0)</f>
        <v>0</v>
      </c>
      <c r="AR117" s="69" t="n">
        <f aca="false">IF(AR116&gt;0.5,AR116*(1+$E$19)+$G$19-MIN($F$19,AR116*(1+$E$19)+$G$19),0)</f>
        <v>0</v>
      </c>
      <c r="AS117" s="69" t="n">
        <f aca="false">H117+L117+P117+T117+X117+AB117+AF117+AJ117</f>
        <v>0</v>
      </c>
      <c r="AT117" s="69" t="n">
        <f aca="false">SUM(AK117:AR117)</f>
        <v>0</v>
      </c>
      <c r="AU117" s="69" t="n">
        <f aca="false">F117+G117+J117+K117+N117+O117+R117+S117+V117+W117+Z117+AA117+AD117+AE117+AH117+AI117</f>
        <v>0</v>
      </c>
    </row>
    <row r="118" customFormat="false" ht="15" hidden="false" customHeight="false" outlineLevel="0" collapsed="false">
      <c r="B118" s="0" t="n">
        <v>91</v>
      </c>
      <c r="C118" s="68" t="n">
        <f aca="false">EDATE($C$7,90)</f>
        <v>49035</v>
      </c>
      <c r="D118" s="69" t="n">
        <f aca="false">$C$8-(F118+J118+N118+R118+V118+Z118+AD118+AH118)</f>
        <v>0</v>
      </c>
      <c r="E118" s="69" t="n">
        <f aca="false">IF(H117&gt;0.5,H117*(1+E$23)+E$24,0)</f>
        <v>0</v>
      </c>
      <c r="F118" s="69" t="n">
        <f aca="false">MIN(F$23,E118)</f>
        <v>0</v>
      </c>
      <c r="G118" s="69" t="n">
        <f aca="false">IF(AND(F$24=1,OR(E$25="",$C118&gt;=E$25)),MAX(0,MIN(E118-F118,$D118-(0))),0)</f>
        <v>0</v>
      </c>
      <c r="H118" s="69" t="n">
        <f aca="false">E118-F118-G118</f>
        <v>0</v>
      </c>
      <c r="I118" s="69" t="n">
        <f aca="false">IF(L117&gt;0.5,L117*(1+I$23)+I$24,0)</f>
        <v>0</v>
      </c>
      <c r="J118" s="69" t="n">
        <f aca="false">MIN(J$23,I118)</f>
        <v>0</v>
      </c>
      <c r="K118" s="69" t="n">
        <f aca="false">IF(AND(J$24=1,OR(I$25="",$C118&gt;=I$25)),MAX(0,MIN(I118-J118,$D118-(G118))),0)</f>
        <v>0</v>
      </c>
      <c r="L118" s="69" t="n">
        <f aca="false">I118-J118-K118</f>
        <v>0</v>
      </c>
      <c r="M118" s="69" t="n">
        <f aca="false">IF(P117&gt;0.5,P117*(1+M$23)+M$24,0)</f>
        <v>0</v>
      </c>
      <c r="N118" s="69" t="n">
        <f aca="false">MIN(N$23,M118)</f>
        <v>0</v>
      </c>
      <c r="O118" s="69" t="n">
        <f aca="false">IF(AND(N$24=1,OR(M$25="",$C118&gt;=M$25)),MAX(0,MIN(M118-N118,$D118-(G118+K118))),0)</f>
        <v>0</v>
      </c>
      <c r="P118" s="69" t="n">
        <f aca="false">M118-N118-O118</f>
        <v>0</v>
      </c>
      <c r="Q118" s="69" t="n">
        <f aca="false">IF(T117&gt;0.5,T117*(1+Q$23)+Q$24,0)</f>
        <v>0</v>
      </c>
      <c r="R118" s="69" t="n">
        <f aca="false">MIN(R$23,Q118)</f>
        <v>0</v>
      </c>
      <c r="S118" s="69" t="n">
        <f aca="false">IF(AND(R$24=1,OR(Q$25="",$C118&gt;=Q$25)),MAX(0,MIN(Q118-R118,$D118-(G118+K118+O118))),0)</f>
        <v>0</v>
      </c>
      <c r="T118" s="69" t="n">
        <f aca="false">Q118-R118-S118</f>
        <v>0</v>
      </c>
      <c r="U118" s="69" t="n">
        <f aca="false">IF(X117&gt;0.5,X117*(1+U$23)+U$24,0)</f>
        <v>0</v>
      </c>
      <c r="V118" s="69" t="n">
        <f aca="false">MIN(V$23,U118)</f>
        <v>0</v>
      </c>
      <c r="W118" s="69" t="n">
        <f aca="false">IF(AND(V$24=1,OR(U$25="",$C118&gt;=U$25)),MAX(0,MIN(U118-V118,$D118-(G118+K118+O118+S118))),0)</f>
        <v>0</v>
      </c>
      <c r="X118" s="69" t="n">
        <f aca="false">U118-V118-W118</f>
        <v>0</v>
      </c>
      <c r="Y118" s="69" t="n">
        <f aca="false">IF(AB117&gt;0.5,AB117*(1+Y$23)+Y$24,0)</f>
        <v>0</v>
      </c>
      <c r="Z118" s="69" t="n">
        <f aca="false">MIN(Z$23,Y118)</f>
        <v>0</v>
      </c>
      <c r="AA118" s="69" t="n">
        <f aca="false">IF(AND(Z$24=1,OR(Y$25="",$C118&gt;=Y$25)),MAX(0,MIN(Y118-Z118,$D118-(G118+K118+O118+S118+W118))),0)</f>
        <v>0</v>
      </c>
      <c r="AB118" s="69" t="n">
        <f aca="false">Y118-Z118-AA118</f>
        <v>0</v>
      </c>
      <c r="AC118" s="69" t="n">
        <f aca="false">IF(AF117&gt;0.5,AF117*(1+AC$23)+AC$24,0)</f>
        <v>0</v>
      </c>
      <c r="AD118" s="69" t="n">
        <f aca="false">MIN(AD$23,AC118)</f>
        <v>0</v>
      </c>
      <c r="AE118" s="69" t="n">
        <f aca="false">IF(AND(AD$24=1,OR(AC$25="",$C118&gt;=AC$25)),MAX(0,MIN(AC118-AD118,$D118-(G118+K118+O118+S118+W118+AA118))),0)</f>
        <v>0</v>
      </c>
      <c r="AF118" s="69" t="n">
        <f aca="false">AC118-AD118-AE118</f>
        <v>0</v>
      </c>
      <c r="AG118" s="69" t="n">
        <f aca="false">IF(AJ117&gt;0.5,AJ117*(1+AG$23)+AG$24,0)</f>
        <v>0</v>
      </c>
      <c r="AH118" s="69" t="n">
        <f aca="false">MIN(AH$23,AG118)</f>
        <v>0</v>
      </c>
      <c r="AI118" s="69" t="n">
        <f aca="false">IF(AND(AH$24=1,OR(AG$25="",$C118&gt;=AG$25)),MAX(0,MIN(AG118-AH118,$D118-(G118+K118+O118+S118+W118+AA118+AE118))),0)</f>
        <v>0</v>
      </c>
      <c r="AJ118" s="69" t="n">
        <f aca="false">AG118-AH118-AI118</f>
        <v>0</v>
      </c>
      <c r="AK118" s="69" t="n">
        <f aca="false">IF(AK117&gt;0.5,AK117*(1+$E$12)+$G$12-MIN($F$12,AK117*(1+$E$12)+$G$12),0)</f>
        <v>0</v>
      </c>
      <c r="AL118" s="69" t="n">
        <f aca="false">IF(AL117&gt;0.5,AL117*(1+$E$13)+$G$13-MIN($F$13,AL117*(1+$E$13)+$G$13),0)</f>
        <v>0</v>
      </c>
      <c r="AM118" s="69" t="n">
        <f aca="false">IF(AM117&gt;0.5,AM117*(1+$E$14)+$G$14-MIN($F$14,AM117*(1+$E$14)+$G$14),0)</f>
        <v>0</v>
      </c>
      <c r="AN118" s="69" t="n">
        <f aca="false">IF(AN117&gt;0.5,AN117*(1+$E$15)+$G$15-MIN($F$15,AN117*(1+$E$15)+$G$15),0)</f>
        <v>0</v>
      </c>
      <c r="AO118" s="69" t="n">
        <f aca="false">IF(AO117&gt;0.5,AO117*(1+$E$16)+$G$16-MIN($F$16,AO117*(1+$E$16)+$G$16),0)</f>
        <v>0</v>
      </c>
      <c r="AP118" s="69" t="n">
        <f aca="false">IF(AP117&gt;0.5,AP117*(1+$E$17)+$G$17-MIN($F$17,AP117*(1+$E$17)+$G$17),0)</f>
        <v>0</v>
      </c>
      <c r="AQ118" s="69" t="n">
        <f aca="false">IF(AQ117&gt;0.5,AQ117*(1+$E$18)+$G$18-MIN($F$18,AQ117*(1+$E$18)+$G$18),0)</f>
        <v>0</v>
      </c>
      <c r="AR118" s="69" t="n">
        <f aca="false">IF(AR117&gt;0.5,AR117*(1+$E$19)+$G$19-MIN($F$19,AR117*(1+$E$19)+$G$19),0)</f>
        <v>0</v>
      </c>
      <c r="AS118" s="69" t="n">
        <f aca="false">H118+L118+P118+T118+X118+AB118+AF118+AJ118</f>
        <v>0</v>
      </c>
      <c r="AT118" s="69" t="n">
        <f aca="false">SUM(AK118:AR118)</f>
        <v>0</v>
      </c>
      <c r="AU118" s="69" t="n">
        <f aca="false">F118+G118+J118+K118+N118+O118+R118+S118+V118+W118+Z118+AA118+AD118+AE118+AH118+AI118</f>
        <v>0</v>
      </c>
    </row>
    <row r="119" customFormat="false" ht="15" hidden="false" customHeight="false" outlineLevel="0" collapsed="false">
      <c r="B119" s="0" t="n">
        <v>92</v>
      </c>
      <c r="C119" s="68" t="n">
        <f aca="false">EDATE($C$7,91)</f>
        <v>49065</v>
      </c>
      <c r="D119" s="69" t="n">
        <f aca="false">$C$8-(F119+J119+N119+R119+V119+Z119+AD119+AH119)</f>
        <v>0</v>
      </c>
      <c r="E119" s="69" t="n">
        <f aca="false">IF(H118&gt;0.5,H118*(1+E$23)+E$24,0)</f>
        <v>0</v>
      </c>
      <c r="F119" s="69" t="n">
        <f aca="false">MIN(F$23,E119)</f>
        <v>0</v>
      </c>
      <c r="G119" s="69" t="n">
        <f aca="false">IF(AND(F$24=1,OR(E$25="",$C119&gt;=E$25)),MAX(0,MIN(E119-F119,$D119-(0))),0)</f>
        <v>0</v>
      </c>
      <c r="H119" s="69" t="n">
        <f aca="false">E119-F119-G119</f>
        <v>0</v>
      </c>
      <c r="I119" s="69" t="n">
        <f aca="false">IF(L118&gt;0.5,L118*(1+I$23)+I$24,0)</f>
        <v>0</v>
      </c>
      <c r="J119" s="69" t="n">
        <f aca="false">MIN(J$23,I119)</f>
        <v>0</v>
      </c>
      <c r="K119" s="69" t="n">
        <f aca="false">IF(AND(J$24=1,OR(I$25="",$C119&gt;=I$25)),MAX(0,MIN(I119-J119,$D119-(G119))),0)</f>
        <v>0</v>
      </c>
      <c r="L119" s="69" t="n">
        <f aca="false">I119-J119-K119</f>
        <v>0</v>
      </c>
      <c r="M119" s="69" t="n">
        <f aca="false">IF(P118&gt;0.5,P118*(1+M$23)+M$24,0)</f>
        <v>0</v>
      </c>
      <c r="N119" s="69" t="n">
        <f aca="false">MIN(N$23,M119)</f>
        <v>0</v>
      </c>
      <c r="O119" s="69" t="n">
        <f aca="false">IF(AND(N$24=1,OR(M$25="",$C119&gt;=M$25)),MAX(0,MIN(M119-N119,$D119-(G119+K119))),0)</f>
        <v>0</v>
      </c>
      <c r="P119" s="69" t="n">
        <f aca="false">M119-N119-O119</f>
        <v>0</v>
      </c>
      <c r="Q119" s="69" t="n">
        <f aca="false">IF(T118&gt;0.5,T118*(1+Q$23)+Q$24,0)</f>
        <v>0</v>
      </c>
      <c r="R119" s="69" t="n">
        <f aca="false">MIN(R$23,Q119)</f>
        <v>0</v>
      </c>
      <c r="S119" s="69" t="n">
        <f aca="false">IF(AND(R$24=1,OR(Q$25="",$C119&gt;=Q$25)),MAX(0,MIN(Q119-R119,$D119-(G119+K119+O119))),0)</f>
        <v>0</v>
      </c>
      <c r="T119" s="69" t="n">
        <f aca="false">Q119-R119-S119</f>
        <v>0</v>
      </c>
      <c r="U119" s="69" t="n">
        <f aca="false">IF(X118&gt;0.5,X118*(1+U$23)+U$24,0)</f>
        <v>0</v>
      </c>
      <c r="V119" s="69" t="n">
        <f aca="false">MIN(V$23,U119)</f>
        <v>0</v>
      </c>
      <c r="W119" s="69" t="n">
        <f aca="false">IF(AND(V$24=1,OR(U$25="",$C119&gt;=U$25)),MAX(0,MIN(U119-V119,$D119-(G119+K119+O119+S119))),0)</f>
        <v>0</v>
      </c>
      <c r="X119" s="69" t="n">
        <f aca="false">U119-V119-W119</f>
        <v>0</v>
      </c>
      <c r="Y119" s="69" t="n">
        <f aca="false">IF(AB118&gt;0.5,AB118*(1+Y$23)+Y$24,0)</f>
        <v>0</v>
      </c>
      <c r="Z119" s="69" t="n">
        <f aca="false">MIN(Z$23,Y119)</f>
        <v>0</v>
      </c>
      <c r="AA119" s="69" t="n">
        <f aca="false">IF(AND(Z$24=1,OR(Y$25="",$C119&gt;=Y$25)),MAX(0,MIN(Y119-Z119,$D119-(G119+K119+O119+S119+W119))),0)</f>
        <v>0</v>
      </c>
      <c r="AB119" s="69" t="n">
        <f aca="false">Y119-Z119-AA119</f>
        <v>0</v>
      </c>
      <c r="AC119" s="69" t="n">
        <f aca="false">IF(AF118&gt;0.5,AF118*(1+AC$23)+AC$24,0)</f>
        <v>0</v>
      </c>
      <c r="AD119" s="69" t="n">
        <f aca="false">MIN(AD$23,AC119)</f>
        <v>0</v>
      </c>
      <c r="AE119" s="69" t="n">
        <f aca="false">IF(AND(AD$24=1,OR(AC$25="",$C119&gt;=AC$25)),MAX(0,MIN(AC119-AD119,$D119-(G119+K119+O119+S119+W119+AA119))),0)</f>
        <v>0</v>
      </c>
      <c r="AF119" s="69" t="n">
        <f aca="false">AC119-AD119-AE119</f>
        <v>0</v>
      </c>
      <c r="AG119" s="69" t="n">
        <f aca="false">IF(AJ118&gt;0.5,AJ118*(1+AG$23)+AG$24,0)</f>
        <v>0</v>
      </c>
      <c r="AH119" s="69" t="n">
        <f aca="false">MIN(AH$23,AG119)</f>
        <v>0</v>
      </c>
      <c r="AI119" s="69" t="n">
        <f aca="false">IF(AND(AH$24=1,OR(AG$25="",$C119&gt;=AG$25)),MAX(0,MIN(AG119-AH119,$D119-(G119+K119+O119+S119+W119+AA119+AE119))),0)</f>
        <v>0</v>
      </c>
      <c r="AJ119" s="69" t="n">
        <f aca="false">AG119-AH119-AI119</f>
        <v>0</v>
      </c>
      <c r="AK119" s="69" t="n">
        <f aca="false">IF(AK118&gt;0.5,AK118*(1+$E$12)+$G$12-MIN($F$12,AK118*(1+$E$12)+$G$12),0)</f>
        <v>0</v>
      </c>
      <c r="AL119" s="69" t="n">
        <f aca="false">IF(AL118&gt;0.5,AL118*(1+$E$13)+$G$13-MIN($F$13,AL118*(1+$E$13)+$G$13),0)</f>
        <v>0</v>
      </c>
      <c r="AM119" s="69" t="n">
        <f aca="false">IF(AM118&gt;0.5,AM118*(1+$E$14)+$G$14-MIN($F$14,AM118*(1+$E$14)+$G$14),0)</f>
        <v>0</v>
      </c>
      <c r="AN119" s="69" t="n">
        <f aca="false">IF(AN118&gt;0.5,AN118*(1+$E$15)+$G$15-MIN($F$15,AN118*(1+$E$15)+$G$15),0)</f>
        <v>0</v>
      </c>
      <c r="AO119" s="69" t="n">
        <f aca="false">IF(AO118&gt;0.5,AO118*(1+$E$16)+$G$16-MIN($F$16,AO118*(1+$E$16)+$G$16),0)</f>
        <v>0</v>
      </c>
      <c r="AP119" s="69" t="n">
        <f aca="false">IF(AP118&gt;0.5,AP118*(1+$E$17)+$G$17-MIN($F$17,AP118*(1+$E$17)+$G$17),0)</f>
        <v>0</v>
      </c>
      <c r="AQ119" s="69" t="n">
        <f aca="false">IF(AQ118&gt;0.5,AQ118*(1+$E$18)+$G$18-MIN($F$18,AQ118*(1+$E$18)+$G$18),0)</f>
        <v>0</v>
      </c>
      <c r="AR119" s="69" t="n">
        <f aca="false">IF(AR118&gt;0.5,AR118*(1+$E$19)+$G$19-MIN($F$19,AR118*(1+$E$19)+$G$19),0)</f>
        <v>0</v>
      </c>
      <c r="AS119" s="69" t="n">
        <f aca="false">H119+L119+P119+T119+X119+AB119+AF119+AJ119</f>
        <v>0</v>
      </c>
      <c r="AT119" s="69" t="n">
        <f aca="false">SUM(AK119:AR119)</f>
        <v>0</v>
      </c>
      <c r="AU119" s="69" t="n">
        <f aca="false">F119+G119+J119+K119+N119+O119+R119+S119+V119+W119+Z119+AA119+AD119+AE119+AH119+AI119</f>
        <v>0</v>
      </c>
    </row>
    <row r="120" customFormat="false" ht="15" hidden="false" customHeight="false" outlineLevel="0" collapsed="false">
      <c r="B120" s="0" t="n">
        <v>93</v>
      </c>
      <c r="C120" s="68" t="n">
        <f aca="false">EDATE($C$7,92)</f>
        <v>49096</v>
      </c>
      <c r="D120" s="69" t="n">
        <f aca="false">$C$8-(F120+J120+N120+R120+V120+Z120+AD120+AH120)</f>
        <v>0</v>
      </c>
      <c r="E120" s="69" t="n">
        <f aca="false">IF(H119&gt;0.5,H119*(1+E$23)+E$24,0)</f>
        <v>0</v>
      </c>
      <c r="F120" s="69" t="n">
        <f aca="false">MIN(F$23,E120)</f>
        <v>0</v>
      </c>
      <c r="G120" s="69" t="n">
        <f aca="false">IF(AND(F$24=1,OR(E$25="",$C120&gt;=E$25)),MAX(0,MIN(E120-F120,$D120-(0))),0)</f>
        <v>0</v>
      </c>
      <c r="H120" s="69" t="n">
        <f aca="false">E120-F120-G120</f>
        <v>0</v>
      </c>
      <c r="I120" s="69" t="n">
        <f aca="false">IF(L119&gt;0.5,L119*(1+I$23)+I$24,0)</f>
        <v>0</v>
      </c>
      <c r="J120" s="69" t="n">
        <f aca="false">MIN(J$23,I120)</f>
        <v>0</v>
      </c>
      <c r="K120" s="69" t="n">
        <f aca="false">IF(AND(J$24=1,OR(I$25="",$C120&gt;=I$25)),MAX(0,MIN(I120-J120,$D120-(G120))),0)</f>
        <v>0</v>
      </c>
      <c r="L120" s="69" t="n">
        <f aca="false">I120-J120-K120</f>
        <v>0</v>
      </c>
      <c r="M120" s="69" t="n">
        <f aca="false">IF(P119&gt;0.5,P119*(1+M$23)+M$24,0)</f>
        <v>0</v>
      </c>
      <c r="N120" s="69" t="n">
        <f aca="false">MIN(N$23,M120)</f>
        <v>0</v>
      </c>
      <c r="O120" s="69" t="n">
        <f aca="false">IF(AND(N$24=1,OR(M$25="",$C120&gt;=M$25)),MAX(0,MIN(M120-N120,$D120-(G120+K120))),0)</f>
        <v>0</v>
      </c>
      <c r="P120" s="69" t="n">
        <f aca="false">M120-N120-O120</f>
        <v>0</v>
      </c>
      <c r="Q120" s="69" t="n">
        <f aca="false">IF(T119&gt;0.5,T119*(1+Q$23)+Q$24,0)</f>
        <v>0</v>
      </c>
      <c r="R120" s="69" t="n">
        <f aca="false">MIN(R$23,Q120)</f>
        <v>0</v>
      </c>
      <c r="S120" s="69" t="n">
        <f aca="false">IF(AND(R$24=1,OR(Q$25="",$C120&gt;=Q$25)),MAX(0,MIN(Q120-R120,$D120-(G120+K120+O120))),0)</f>
        <v>0</v>
      </c>
      <c r="T120" s="69" t="n">
        <f aca="false">Q120-R120-S120</f>
        <v>0</v>
      </c>
      <c r="U120" s="69" t="n">
        <f aca="false">IF(X119&gt;0.5,X119*(1+U$23)+U$24,0)</f>
        <v>0</v>
      </c>
      <c r="V120" s="69" t="n">
        <f aca="false">MIN(V$23,U120)</f>
        <v>0</v>
      </c>
      <c r="W120" s="69" t="n">
        <f aca="false">IF(AND(V$24=1,OR(U$25="",$C120&gt;=U$25)),MAX(0,MIN(U120-V120,$D120-(G120+K120+O120+S120))),0)</f>
        <v>0</v>
      </c>
      <c r="X120" s="69" t="n">
        <f aca="false">U120-V120-W120</f>
        <v>0</v>
      </c>
      <c r="Y120" s="69" t="n">
        <f aca="false">IF(AB119&gt;0.5,AB119*(1+Y$23)+Y$24,0)</f>
        <v>0</v>
      </c>
      <c r="Z120" s="69" t="n">
        <f aca="false">MIN(Z$23,Y120)</f>
        <v>0</v>
      </c>
      <c r="AA120" s="69" t="n">
        <f aca="false">IF(AND(Z$24=1,OR(Y$25="",$C120&gt;=Y$25)),MAX(0,MIN(Y120-Z120,$D120-(G120+K120+O120+S120+W120))),0)</f>
        <v>0</v>
      </c>
      <c r="AB120" s="69" t="n">
        <f aca="false">Y120-Z120-AA120</f>
        <v>0</v>
      </c>
      <c r="AC120" s="69" t="n">
        <f aca="false">IF(AF119&gt;0.5,AF119*(1+AC$23)+AC$24,0)</f>
        <v>0</v>
      </c>
      <c r="AD120" s="69" t="n">
        <f aca="false">MIN(AD$23,AC120)</f>
        <v>0</v>
      </c>
      <c r="AE120" s="69" t="n">
        <f aca="false">IF(AND(AD$24=1,OR(AC$25="",$C120&gt;=AC$25)),MAX(0,MIN(AC120-AD120,$D120-(G120+K120+O120+S120+W120+AA120))),0)</f>
        <v>0</v>
      </c>
      <c r="AF120" s="69" t="n">
        <f aca="false">AC120-AD120-AE120</f>
        <v>0</v>
      </c>
      <c r="AG120" s="69" t="n">
        <f aca="false">IF(AJ119&gt;0.5,AJ119*(1+AG$23)+AG$24,0)</f>
        <v>0</v>
      </c>
      <c r="AH120" s="69" t="n">
        <f aca="false">MIN(AH$23,AG120)</f>
        <v>0</v>
      </c>
      <c r="AI120" s="69" t="n">
        <f aca="false">IF(AND(AH$24=1,OR(AG$25="",$C120&gt;=AG$25)),MAX(0,MIN(AG120-AH120,$D120-(G120+K120+O120+S120+W120+AA120+AE120))),0)</f>
        <v>0</v>
      </c>
      <c r="AJ120" s="69" t="n">
        <f aca="false">AG120-AH120-AI120</f>
        <v>0</v>
      </c>
      <c r="AK120" s="69" t="n">
        <f aca="false">IF(AK119&gt;0.5,AK119*(1+$E$12)+$G$12-MIN($F$12,AK119*(1+$E$12)+$G$12),0)</f>
        <v>0</v>
      </c>
      <c r="AL120" s="69" t="n">
        <f aca="false">IF(AL119&gt;0.5,AL119*(1+$E$13)+$G$13-MIN($F$13,AL119*(1+$E$13)+$G$13),0)</f>
        <v>0</v>
      </c>
      <c r="AM120" s="69" t="n">
        <f aca="false">IF(AM119&gt;0.5,AM119*(1+$E$14)+$G$14-MIN($F$14,AM119*(1+$E$14)+$G$14),0)</f>
        <v>0</v>
      </c>
      <c r="AN120" s="69" t="n">
        <f aca="false">IF(AN119&gt;0.5,AN119*(1+$E$15)+$G$15-MIN($F$15,AN119*(1+$E$15)+$G$15),0)</f>
        <v>0</v>
      </c>
      <c r="AO120" s="69" t="n">
        <f aca="false">IF(AO119&gt;0.5,AO119*(1+$E$16)+$G$16-MIN($F$16,AO119*(1+$E$16)+$G$16),0)</f>
        <v>0</v>
      </c>
      <c r="AP120" s="69" t="n">
        <f aca="false">IF(AP119&gt;0.5,AP119*(1+$E$17)+$G$17-MIN($F$17,AP119*(1+$E$17)+$G$17),0)</f>
        <v>0</v>
      </c>
      <c r="AQ120" s="69" t="n">
        <f aca="false">IF(AQ119&gt;0.5,AQ119*(1+$E$18)+$G$18-MIN($F$18,AQ119*(1+$E$18)+$G$18),0)</f>
        <v>0</v>
      </c>
      <c r="AR120" s="69" t="n">
        <f aca="false">IF(AR119&gt;0.5,AR119*(1+$E$19)+$G$19-MIN($F$19,AR119*(1+$E$19)+$G$19),0)</f>
        <v>0</v>
      </c>
      <c r="AS120" s="69" t="n">
        <f aca="false">H120+L120+P120+T120+X120+AB120+AF120+AJ120</f>
        <v>0</v>
      </c>
      <c r="AT120" s="69" t="n">
        <f aca="false">SUM(AK120:AR120)</f>
        <v>0</v>
      </c>
      <c r="AU120" s="69" t="n">
        <f aca="false">F120+G120+J120+K120+N120+O120+R120+S120+V120+W120+Z120+AA120+AD120+AE120+AH120+AI120</f>
        <v>0</v>
      </c>
    </row>
    <row r="121" customFormat="false" ht="15" hidden="false" customHeight="false" outlineLevel="0" collapsed="false">
      <c r="B121" s="0" t="n">
        <v>94</v>
      </c>
      <c r="C121" s="68" t="n">
        <f aca="false">EDATE($C$7,93)</f>
        <v>49126</v>
      </c>
      <c r="D121" s="69" t="n">
        <f aca="false">$C$8-(F121+J121+N121+R121+V121+Z121+AD121+AH121)</f>
        <v>0</v>
      </c>
      <c r="E121" s="69" t="n">
        <f aca="false">IF(H120&gt;0.5,H120*(1+E$23)+E$24,0)</f>
        <v>0</v>
      </c>
      <c r="F121" s="69" t="n">
        <f aca="false">MIN(F$23,E121)</f>
        <v>0</v>
      </c>
      <c r="G121" s="69" t="n">
        <f aca="false">IF(AND(F$24=1,OR(E$25="",$C121&gt;=E$25)),MAX(0,MIN(E121-F121,$D121-(0))),0)</f>
        <v>0</v>
      </c>
      <c r="H121" s="69" t="n">
        <f aca="false">E121-F121-G121</f>
        <v>0</v>
      </c>
      <c r="I121" s="69" t="n">
        <f aca="false">IF(L120&gt;0.5,L120*(1+I$23)+I$24,0)</f>
        <v>0</v>
      </c>
      <c r="J121" s="69" t="n">
        <f aca="false">MIN(J$23,I121)</f>
        <v>0</v>
      </c>
      <c r="K121" s="69" t="n">
        <f aca="false">IF(AND(J$24=1,OR(I$25="",$C121&gt;=I$25)),MAX(0,MIN(I121-J121,$D121-(G121))),0)</f>
        <v>0</v>
      </c>
      <c r="L121" s="69" t="n">
        <f aca="false">I121-J121-K121</f>
        <v>0</v>
      </c>
      <c r="M121" s="69" t="n">
        <f aca="false">IF(P120&gt;0.5,P120*(1+M$23)+M$24,0)</f>
        <v>0</v>
      </c>
      <c r="N121" s="69" t="n">
        <f aca="false">MIN(N$23,M121)</f>
        <v>0</v>
      </c>
      <c r="O121" s="69" t="n">
        <f aca="false">IF(AND(N$24=1,OR(M$25="",$C121&gt;=M$25)),MAX(0,MIN(M121-N121,$D121-(G121+K121))),0)</f>
        <v>0</v>
      </c>
      <c r="P121" s="69" t="n">
        <f aca="false">M121-N121-O121</f>
        <v>0</v>
      </c>
      <c r="Q121" s="69" t="n">
        <f aca="false">IF(T120&gt;0.5,T120*(1+Q$23)+Q$24,0)</f>
        <v>0</v>
      </c>
      <c r="R121" s="69" t="n">
        <f aca="false">MIN(R$23,Q121)</f>
        <v>0</v>
      </c>
      <c r="S121" s="69" t="n">
        <f aca="false">IF(AND(R$24=1,OR(Q$25="",$C121&gt;=Q$25)),MAX(0,MIN(Q121-R121,$D121-(G121+K121+O121))),0)</f>
        <v>0</v>
      </c>
      <c r="T121" s="69" t="n">
        <f aca="false">Q121-R121-S121</f>
        <v>0</v>
      </c>
      <c r="U121" s="69" t="n">
        <f aca="false">IF(X120&gt;0.5,X120*(1+U$23)+U$24,0)</f>
        <v>0</v>
      </c>
      <c r="V121" s="69" t="n">
        <f aca="false">MIN(V$23,U121)</f>
        <v>0</v>
      </c>
      <c r="W121" s="69" t="n">
        <f aca="false">IF(AND(V$24=1,OR(U$25="",$C121&gt;=U$25)),MAX(0,MIN(U121-V121,$D121-(G121+K121+O121+S121))),0)</f>
        <v>0</v>
      </c>
      <c r="X121" s="69" t="n">
        <f aca="false">U121-V121-W121</f>
        <v>0</v>
      </c>
      <c r="Y121" s="69" t="n">
        <f aca="false">IF(AB120&gt;0.5,AB120*(1+Y$23)+Y$24,0)</f>
        <v>0</v>
      </c>
      <c r="Z121" s="69" t="n">
        <f aca="false">MIN(Z$23,Y121)</f>
        <v>0</v>
      </c>
      <c r="AA121" s="69" t="n">
        <f aca="false">IF(AND(Z$24=1,OR(Y$25="",$C121&gt;=Y$25)),MAX(0,MIN(Y121-Z121,$D121-(G121+K121+O121+S121+W121))),0)</f>
        <v>0</v>
      </c>
      <c r="AB121" s="69" t="n">
        <f aca="false">Y121-Z121-AA121</f>
        <v>0</v>
      </c>
      <c r="AC121" s="69" t="n">
        <f aca="false">IF(AF120&gt;0.5,AF120*(1+AC$23)+AC$24,0)</f>
        <v>0</v>
      </c>
      <c r="AD121" s="69" t="n">
        <f aca="false">MIN(AD$23,AC121)</f>
        <v>0</v>
      </c>
      <c r="AE121" s="69" t="n">
        <f aca="false">IF(AND(AD$24=1,OR(AC$25="",$C121&gt;=AC$25)),MAX(0,MIN(AC121-AD121,$D121-(G121+K121+O121+S121+W121+AA121))),0)</f>
        <v>0</v>
      </c>
      <c r="AF121" s="69" t="n">
        <f aca="false">AC121-AD121-AE121</f>
        <v>0</v>
      </c>
      <c r="AG121" s="69" t="n">
        <f aca="false">IF(AJ120&gt;0.5,AJ120*(1+AG$23)+AG$24,0)</f>
        <v>0</v>
      </c>
      <c r="AH121" s="69" t="n">
        <f aca="false">MIN(AH$23,AG121)</f>
        <v>0</v>
      </c>
      <c r="AI121" s="69" t="n">
        <f aca="false">IF(AND(AH$24=1,OR(AG$25="",$C121&gt;=AG$25)),MAX(0,MIN(AG121-AH121,$D121-(G121+K121+O121+S121+W121+AA121+AE121))),0)</f>
        <v>0</v>
      </c>
      <c r="AJ121" s="69" t="n">
        <f aca="false">AG121-AH121-AI121</f>
        <v>0</v>
      </c>
      <c r="AK121" s="69" t="n">
        <f aca="false">IF(AK120&gt;0.5,AK120*(1+$E$12)+$G$12-MIN($F$12,AK120*(1+$E$12)+$G$12),0)</f>
        <v>0</v>
      </c>
      <c r="AL121" s="69" t="n">
        <f aca="false">IF(AL120&gt;0.5,AL120*(1+$E$13)+$G$13-MIN($F$13,AL120*(1+$E$13)+$G$13),0)</f>
        <v>0</v>
      </c>
      <c r="AM121" s="69" t="n">
        <f aca="false">IF(AM120&gt;0.5,AM120*(1+$E$14)+$G$14-MIN($F$14,AM120*(1+$E$14)+$G$14),0)</f>
        <v>0</v>
      </c>
      <c r="AN121" s="69" t="n">
        <f aca="false">IF(AN120&gt;0.5,AN120*(1+$E$15)+$G$15-MIN($F$15,AN120*(1+$E$15)+$G$15),0)</f>
        <v>0</v>
      </c>
      <c r="AO121" s="69" t="n">
        <f aca="false">IF(AO120&gt;0.5,AO120*(1+$E$16)+$G$16-MIN($F$16,AO120*(1+$E$16)+$G$16),0)</f>
        <v>0</v>
      </c>
      <c r="AP121" s="69" t="n">
        <f aca="false">IF(AP120&gt;0.5,AP120*(1+$E$17)+$G$17-MIN($F$17,AP120*(1+$E$17)+$G$17),0)</f>
        <v>0</v>
      </c>
      <c r="AQ121" s="69" t="n">
        <f aca="false">IF(AQ120&gt;0.5,AQ120*(1+$E$18)+$G$18-MIN($F$18,AQ120*(1+$E$18)+$G$18),0)</f>
        <v>0</v>
      </c>
      <c r="AR121" s="69" t="n">
        <f aca="false">IF(AR120&gt;0.5,AR120*(1+$E$19)+$G$19-MIN($F$19,AR120*(1+$E$19)+$G$19),0)</f>
        <v>0</v>
      </c>
      <c r="AS121" s="69" t="n">
        <f aca="false">H121+L121+P121+T121+X121+AB121+AF121+AJ121</f>
        <v>0</v>
      </c>
      <c r="AT121" s="69" t="n">
        <f aca="false">SUM(AK121:AR121)</f>
        <v>0</v>
      </c>
      <c r="AU121" s="69" t="n">
        <f aca="false">F121+G121+J121+K121+N121+O121+R121+S121+V121+W121+Z121+AA121+AD121+AE121+AH121+AI121</f>
        <v>0</v>
      </c>
    </row>
    <row r="122" customFormat="false" ht="15" hidden="false" customHeight="false" outlineLevel="0" collapsed="false">
      <c r="B122" s="0" t="n">
        <v>95</v>
      </c>
      <c r="C122" s="68" t="n">
        <f aca="false">EDATE($C$7,94)</f>
        <v>49157</v>
      </c>
      <c r="D122" s="69" t="n">
        <f aca="false">$C$8-(F122+J122+N122+R122+V122+Z122+AD122+AH122)</f>
        <v>0</v>
      </c>
      <c r="E122" s="69" t="n">
        <f aca="false">IF(H121&gt;0.5,H121*(1+E$23)+E$24,0)</f>
        <v>0</v>
      </c>
      <c r="F122" s="69" t="n">
        <f aca="false">MIN(F$23,E122)</f>
        <v>0</v>
      </c>
      <c r="G122" s="69" t="n">
        <f aca="false">IF(AND(F$24=1,OR(E$25="",$C122&gt;=E$25)),MAX(0,MIN(E122-F122,$D122-(0))),0)</f>
        <v>0</v>
      </c>
      <c r="H122" s="69" t="n">
        <f aca="false">E122-F122-G122</f>
        <v>0</v>
      </c>
      <c r="I122" s="69" t="n">
        <f aca="false">IF(L121&gt;0.5,L121*(1+I$23)+I$24,0)</f>
        <v>0</v>
      </c>
      <c r="J122" s="69" t="n">
        <f aca="false">MIN(J$23,I122)</f>
        <v>0</v>
      </c>
      <c r="K122" s="69" t="n">
        <f aca="false">IF(AND(J$24=1,OR(I$25="",$C122&gt;=I$25)),MAX(0,MIN(I122-J122,$D122-(G122))),0)</f>
        <v>0</v>
      </c>
      <c r="L122" s="69" t="n">
        <f aca="false">I122-J122-K122</f>
        <v>0</v>
      </c>
      <c r="M122" s="69" t="n">
        <f aca="false">IF(P121&gt;0.5,P121*(1+M$23)+M$24,0)</f>
        <v>0</v>
      </c>
      <c r="N122" s="69" t="n">
        <f aca="false">MIN(N$23,M122)</f>
        <v>0</v>
      </c>
      <c r="O122" s="69" t="n">
        <f aca="false">IF(AND(N$24=1,OR(M$25="",$C122&gt;=M$25)),MAX(0,MIN(M122-N122,$D122-(G122+K122))),0)</f>
        <v>0</v>
      </c>
      <c r="P122" s="69" t="n">
        <f aca="false">M122-N122-O122</f>
        <v>0</v>
      </c>
      <c r="Q122" s="69" t="n">
        <f aca="false">IF(T121&gt;0.5,T121*(1+Q$23)+Q$24,0)</f>
        <v>0</v>
      </c>
      <c r="R122" s="69" t="n">
        <f aca="false">MIN(R$23,Q122)</f>
        <v>0</v>
      </c>
      <c r="S122" s="69" t="n">
        <f aca="false">IF(AND(R$24=1,OR(Q$25="",$C122&gt;=Q$25)),MAX(0,MIN(Q122-R122,$D122-(G122+K122+O122))),0)</f>
        <v>0</v>
      </c>
      <c r="T122" s="69" t="n">
        <f aca="false">Q122-R122-S122</f>
        <v>0</v>
      </c>
      <c r="U122" s="69" t="n">
        <f aca="false">IF(X121&gt;0.5,X121*(1+U$23)+U$24,0)</f>
        <v>0</v>
      </c>
      <c r="V122" s="69" t="n">
        <f aca="false">MIN(V$23,U122)</f>
        <v>0</v>
      </c>
      <c r="W122" s="69" t="n">
        <f aca="false">IF(AND(V$24=1,OR(U$25="",$C122&gt;=U$25)),MAX(0,MIN(U122-V122,$D122-(G122+K122+O122+S122))),0)</f>
        <v>0</v>
      </c>
      <c r="X122" s="69" t="n">
        <f aca="false">U122-V122-W122</f>
        <v>0</v>
      </c>
      <c r="Y122" s="69" t="n">
        <f aca="false">IF(AB121&gt;0.5,AB121*(1+Y$23)+Y$24,0)</f>
        <v>0</v>
      </c>
      <c r="Z122" s="69" t="n">
        <f aca="false">MIN(Z$23,Y122)</f>
        <v>0</v>
      </c>
      <c r="AA122" s="69" t="n">
        <f aca="false">IF(AND(Z$24=1,OR(Y$25="",$C122&gt;=Y$25)),MAX(0,MIN(Y122-Z122,$D122-(G122+K122+O122+S122+W122))),0)</f>
        <v>0</v>
      </c>
      <c r="AB122" s="69" t="n">
        <f aca="false">Y122-Z122-AA122</f>
        <v>0</v>
      </c>
      <c r="AC122" s="69" t="n">
        <f aca="false">IF(AF121&gt;0.5,AF121*(1+AC$23)+AC$24,0)</f>
        <v>0</v>
      </c>
      <c r="AD122" s="69" t="n">
        <f aca="false">MIN(AD$23,AC122)</f>
        <v>0</v>
      </c>
      <c r="AE122" s="69" t="n">
        <f aca="false">IF(AND(AD$24=1,OR(AC$25="",$C122&gt;=AC$25)),MAX(0,MIN(AC122-AD122,$D122-(G122+K122+O122+S122+W122+AA122))),0)</f>
        <v>0</v>
      </c>
      <c r="AF122" s="69" t="n">
        <f aca="false">AC122-AD122-AE122</f>
        <v>0</v>
      </c>
      <c r="AG122" s="69" t="n">
        <f aca="false">IF(AJ121&gt;0.5,AJ121*(1+AG$23)+AG$24,0)</f>
        <v>0</v>
      </c>
      <c r="AH122" s="69" t="n">
        <f aca="false">MIN(AH$23,AG122)</f>
        <v>0</v>
      </c>
      <c r="AI122" s="69" t="n">
        <f aca="false">IF(AND(AH$24=1,OR(AG$25="",$C122&gt;=AG$25)),MAX(0,MIN(AG122-AH122,$D122-(G122+K122+O122+S122+W122+AA122+AE122))),0)</f>
        <v>0</v>
      </c>
      <c r="AJ122" s="69" t="n">
        <f aca="false">AG122-AH122-AI122</f>
        <v>0</v>
      </c>
      <c r="AK122" s="69" t="n">
        <f aca="false">IF(AK121&gt;0.5,AK121*(1+$E$12)+$G$12-MIN($F$12,AK121*(1+$E$12)+$G$12),0)</f>
        <v>0</v>
      </c>
      <c r="AL122" s="69" t="n">
        <f aca="false">IF(AL121&gt;0.5,AL121*(1+$E$13)+$G$13-MIN($F$13,AL121*(1+$E$13)+$G$13),0)</f>
        <v>0</v>
      </c>
      <c r="AM122" s="69" t="n">
        <f aca="false">IF(AM121&gt;0.5,AM121*(1+$E$14)+$G$14-MIN($F$14,AM121*(1+$E$14)+$G$14),0)</f>
        <v>0</v>
      </c>
      <c r="AN122" s="69" t="n">
        <f aca="false">IF(AN121&gt;0.5,AN121*(1+$E$15)+$G$15-MIN($F$15,AN121*(1+$E$15)+$G$15),0)</f>
        <v>0</v>
      </c>
      <c r="AO122" s="69" t="n">
        <f aca="false">IF(AO121&gt;0.5,AO121*(1+$E$16)+$G$16-MIN($F$16,AO121*(1+$E$16)+$G$16),0)</f>
        <v>0</v>
      </c>
      <c r="AP122" s="69" t="n">
        <f aca="false">IF(AP121&gt;0.5,AP121*(1+$E$17)+$G$17-MIN($F$17,AP121*(1+$E$17)+$G$17),0)</f>
        <v>0</v>
      </c>
      <c r="AQ122" s="69" t="n">
        <f aca="false">IF(AQ121&gt;0.5,AQ121*(1+$E$18)+$G$18-MIN($F$18,AQ121*(1+$E$18)+$G$18),0)</f>
        <v>0</v>
      </c>
      <c r="AR122" s="69" t="n">
        <f aca="false">IF(AR121&gt;0.5,AR121*(1+$E$19)+$G$19-MIN($F$19,AR121*(1+$E$19)+$G$19),0)</f>
        <v>0</v>
      </c>
      <c r="AS122" s="69" t="n">
        <f aca="false">H122+L122+P122+T122+X122+AB122+AF122+AJ122</f>
        <v>0</v>
      </c>
      <c r="AT122" s="69" t="n">
        <f aca="false">SUM(AK122:AR122)</f>
        <v>0</v>
      </c>
      <c r="AU122" s="69" t="n">
        <f aca="false">F122+G122+J122+K122+N122+O122+R122+S122+V122+W122+Z122+AA122+AD122+AE122+AH122+AI122</f>
        <v>0</v>
      </c>
    </row>
    <row r="123" customFormat="false" ht="15" hidden="false" customHeight="false" outlineLevel="0" collapsed="false">
      <c r="B123" s="0" t="n">
        <v>96</v>
      </c>
      <c r="C123" s="68" t="n">
        <f aca="false">EDATE($C$7,95)</f>
        <v>49188</v>
      </c>
      <c r="D123" s="69" t="n">
        <f aca="false">$C$8-(F123+J123+N123+R123+V123+Z123+AD123+AH123)</f>
        <v>0</v>
      </c>
      <c r="E123" s="69" t="n">
        <f aca="false">IF(H122&gt;0.5,H122*(1+E$23)+E$24,0)</f>
        <v>0</v>
      </c>
      <c r="F123" s="69" t="n">
        <f aca="false">MIN(F$23,E123)</f>
        <v>0</v>
      </c>
      <c r="G123" s="69" t="n">
        <f aca="false">IF(AND(F$24=1,OR(E$25="",$C123&gt;=E$25)),MAX(0,MIN(E123-F123,$D123-(0))),0)</f>
        <v>0</v>
      </c>
      <c r="H123" s="69" t="n">
        <f aca="false">E123-F123-G123</f>
        <v>0</v>
      </c>
      <c r="I123" s="69" t="n">
        <f aca="false">IF(L122&gt;0.5,L122*(1+I$23)+I$24,0)</f>
        <v>0</v>
      </c>
      <c r="J123" s="69" t="n">
        <f aca="false">MIN(J$23,I123)</f>
        <v>0</v>
      </c>
      <c r="K123" s="69" t="n">
        <f aca="false">IF(AND(J$24=1,OR(I$25="",$C123&gt;=I$25)),MAX(0,MIN(I123-J123,$D123-(G123))),0)</f>
        <v>0</v>
      </c>
      <c r="L123" s="69" t="n">
        <f aca="false">I123-J123-K123</f>
        <v>0</v>
      </c>
      <c r="M123" s="69" t="n">
        <f aca="false">IF(P122&gt;0.5,P122*(1+M$23)+M$24,0)</f>
        <v>0</v>
      </c>
      <c r="N123" s="69" t="n">
        <f aca="false">MIN(N$23,M123)</f>
        <v>0</v>
      </c>
      <c r="O123" s="69" t="n">
        <f aca="false">IF(AND(N$24=1,OR(M$25="",$C123&gt;=M$25)),MAX(0,MIN(M123-N123,$D123-(G123+K123))),0)</f>
        <v>0</v>
      </c>
      <c r="P123" s="69" t="n">
        <f aca="false">M123-N123-O123</f>
        <v>0</v>
      </c>
      <c r="Q123" s="69" t="n">
        <f aca="false">IF(T122&gt;0.5,T122*(1+Q$23)+Q$24,0)</f>
        <v>0</v>
      </c>
      <c r="R123" s="69" t="n">
        <f aca="false">MIN(R$23,Q123)</f>
        <v>0</v>
      </c>
      <c r="S123" s="69" t="n">
        <f aca="false">IF(AND(R$24=1,OR(Q$25="",$C123&gt;=Q$25)),MAX(0,MIN(Q123-R123,$D123-(G123+K123+O123))),0)</f>
        <v>0</v>
      </c>
      <c r="T123" s="69" t="n">
        <f aca="false">Q123-R123-S123</f>
        <v>0</v>
      </c>
      <c r="U123" s="69" t="n">
        <f aca="false">IF(X122&gt;0.5,X122*(1+U$23)+U$24,0)</f>
        <v>0</v>
      </c>
      <c r="V123" s="69" t="n">
        <f aca="false">MIN(V$23,U123)</f>
        <v>0</v>
      </c>
      <c r="W123" s="69" t="n">
        <f aca="false">IF(AND(V$24=1,OR(U$25="",$C123&gt;=U$25)),MAX(0,MIN(U123-V123,$D123-(G123+K123+O123+S123))),0)</f>
        <v>0</v>
      </c>
      <c r="X123" s="69" t="n">
        <f aca="false">U123-V123-W123</f>
        <v>0</v>
      </c>
      <c r="Y123" s="69" t="n">
        <f aca="false">IF(AB122&gt;0.5,AB122*(1+Y$23)+Y$24,0)</f>
        <v>0</v>
      </c>
      <c r="Z123" s="69" t="n">
        <f aca="false">MIN(Z$23,Y123)</f>
        <v>0</v>
      </c>
      <c r="AA123" s="69" t="n">
        <f aca="false">IF(AND(Z$24=1,OR(Y$25="",$C123&gt;=Y$25)),MAX(0,MIN(Y123-Z123,$D123-(G123+K123+O123+S123+W123))),0)</f>
        <v>0</v>
      </c>
      <c r="AB123" s="69" t="n">
        <f aca="false">Y123-Z123-AA123</f>
        <v>0</v>
      </c>
      <c r="AC123" s="69" t="n">
        <f aca="false">IF(AF122&gt;0.5,AF122*(1+AC$23)+AC$24,0)</f>
        <v>0</v>
      </c>
      <c r="AD123" s="69" t="n">
        <f aca="false">MIN(AD$23,AC123)</f>
        <v>0</v>
      </c>
      <c r="AE123" s="69" t="n">
        <f aca="false">IF(AND(AD$24=1,OR(AC$25="",$C123&gt;=AC$25)),MAX(0,MIN(AC123-AD123,$D123-(G123+K123+O123+S123+W123+AA123))),0)</f>
        <v>0</v>
      </c>
      <c r="AF123" s="69" t="n">
        <f aca="false">AC123-AD123-AE123</f>
        <v>0</v>
      </c>
      <c r="AG123" s="69" t="n">
        <f aca="false">IF(AJ122&gt;0.5,AJ122*(1+AG$23)+AG$24,0)</f>
        <v>0</v>
      </c>
      <c r="AH123" s="69" t="n">
        <f aca="false">MIN(AH$23,AG123)</f>
        <v>0</v>
      </c>
      <c r="AI123" s="69" t="n">
        <f aca="false">IF(AND(AH$24=1,OR(AG$25="",$C123&gt;=AG$25)),MAX(0,MIN(AG123-AH123,$D123-(G123+K123+O123+S123+W123+AA123+AE123))),0)</f>
        <v>0</v>
      </c>
      <c r="AJ123" s="69" t="n">
        <f aca="false">AG123-AH123-AI123</f>
        <v>0</v>
      </c>
      <c r="AK123" s="69" t="n">
        <f aca="false">IF(AK122&gt;0.5,AK122*(1+$E$12)+$G$12-MIN($F$12,AK122*(1+$E$12)+$G$12),0)</f>
        <v>0</v>
      </c>
      <c r="AL123" s="69" t="n">
        <f aca="false">IF(AL122&gt;0.5,AL122*(1+$E$13)+$G$13-MIN($F$13,AL122*(1+$E$13)+$G$13),0)</f>
        <v>0</v>
      </c>
      <c r="AM123" s="69" t="n">
        <f aca="false">IF(AM122&gt;0.5,AM122*(1+$E$14)+$G$14-MIN($F$14,AM122*(1+$E$14)+$G$14),0)</f>
        <v>0</v>
      </c>
      <c r="AN123" s="69" t="n">
        <f aca="false">IF(AN122&gt;0.5,AN122*(1+$E$15)+$G$15-MIN($F$15,AN122*(1+$E$15)+$G$15),0)</f>
        <v>0</v>
      </c>
      <c r="AO123" s="69" t="n">
        <f aca="false">IF(AO122&gt;0.5,AO122*(1+$E$16)+$G$16-MIN($F$16,AO122*(1+$E$16)+$G$16),0)</f>
        <v>0</v>
      </c>
      <c r="AP123" s="69" t="n">
        <f aca="false">IF(AP122&gt;0.5,AP122*(1+$E$17)+$G$17-MIN($F$17,AP122*(1+$E$17)+$G$17),0)</f>
        <v>0</v>
      </c>
      <c r="AQ123" s="69" t="n">
        <f aca="false">IF(AQ122&gt;0.5,AQ122*(1+$E$18)+$G$18-MIN($F$18,AQ122*(1+$E$18)+$G$18),0)</f>
        <v>0</v>
      </c>
      <c r="AR123" s="69" t="n">
        <f aca="false">IF(AR122&gt;0.5,AR122*(1+$E$19)+$G$19-MIN($F$19,AR122*(1+$E$19)+$G$19),0)</f>
        <v>0</v>
      </c>
      <c r="AS123" s="69" t="n">
        <f aca="false">H123+L123+P123+T123+X123+AB123+AF123+AJ123</f>
        <v>0</v>
      </c>
      <c r="AT123" s="69" t="n">
        <f aca="false">SUM(AK123:AR123)</f>
        <v>0</v>
      </c>
      <c r="AU123" s="69" t="n">
        <f aca="false">F123+G123+J123+K123+N123+O123+R123+S123+V123+W123+Z123+AA123+AD123+AE123+AH123+AI123</f>
        <v>0</v>
      </c>
    </row>
    <row r="124" customFormat="false" ht="15" hidden="false" customHeight="false" outlineLevel="0" collapsed="false">
      <c r="B124" s="0" t="n">
        <v>97</v>
      </c>
      <c r="C124" s="68" t="n">
        <f aca="false">EDATE($C$7,96)</f>
        <v>49218</v>
      </c>
      <c r="D124" s="69" t="n">
        <f aca="false">$C$8-(F124+J124+N124+R124+V124+Z124+AD124+AH124)</f>
        <v>0</v>
      </c>
      <c r="E124" s="69" t="n">
        <f aca="false">IF(H123&gt;0.5,H123*(1+E$23)+E$24,0)</f>
        <v>0</v>
      </c>
      <c r="F124" s="69" t="n">
        <f aca="false">MIN(F$23,E124)</f>
        <v>0</v>
      </c>
      <c r="G124" s="69" t="n">
        <f aca="false">IF(AND(F$24=1,OR(E$25="",$C124&gt;=E$25)),MAX(0,MIN(E124-F124,$D124-(0))),0)</f>
        <v>0</v>
      </c>
      <c r="H124" s="69" t="n">
        <f aca="false">E124-F124-G124</f>
        <v>0</v>
      </c>
      <c r="I124" s="69" t="n">
        <f aca="false">IF(L123&gt;0.5,L123*(1+I$23)+I$24,0)</f>
        <v>0</v>
      </c>
      <c r="J124" s="69" t="n">
        <f aca="false">MIN(J$23,I124)</f>
        <v>0</v>
      </c>
      <c r="K124" s="69" t="n">
        <f aca="false">IF(AND(J$24=1,OR(I$25="",$C124&gt;=I$25)),MAX(0,MIN(I124-J124,$D124-(G124))),0)</f>
        <v>0</v>
      </c>
      <c r="L124" s="69" t="n">
        <f aca="false">I124-J124-K124</f>
        <v>0</v>
      </c>
      <c r="M124" s="69" t="n">
        <f aca="false">IF(P123&gt;0.5,P123*(1+M$23)+M$24,0)</f>
        <v>0</v>
      </c>
      <c r="N124" s="69" t="n">
        <f aca="false">MIN(N$23,M124)</f>
        <v>0</v>
      </c>
      <c r="O124" s="69" t="n">
        <f aca="false">IF(AND(N$24=1,OR(M$25="",$C124&gt;=M$25)),MAX(0,MIN(M124-N124,$D124-(G124+K124))),0)</f>
        <v>0</v>
      </c>
      <c r="P124" s="69" t="n">
        <f aca="false">M124-N124-O124</f>
        <v>0</v>
      </c>
      <c r="Q124" s="69" t="n">
        <f aca="false">IF(T123&gt;0.5,T123*(1+Q$23)+Q$24,0)</f>
        <v>0</v>
      </c>
      <c r="R124" s="69" t="n">
        <f aca="false">MIN(R$23,Q124)</f>
        <v>0</v>
      </c>
      <c r="S124" s="69" t="n">
        <f aca="false">IF(AND(R$24=1,OR(Q$25="",$C124&gt;=Q$25)),MAX(0,MIN(Q124-R124,$D124-(G124+K124+O124))),0)</f>
        <v>0</v>
      </c>
      <c r="T124" s="69" t="n">
        <f aca="false">Q124-R124-S124</f>
        <v>0</v>
      </c>
      <c r="U124" s="69" t="n">
        <f aca="false">IF(X123&gt;0.5,X123*(1+U$23)+U$24,0)</f>
        <v>0</v>
      </c>
      <c r="V124" s="69" t="n">
        <f aca="false">MIN(V$23,U124)</f>
        <v>0</v>
      </c>
      <c r="W124" s="69" t="n">
        <f aca="false">IF(AND(V$24=1,OR(U$25="",$C124&gt;=U$25)),MAX(0,MIN(U124-V124,$D124-(G124+K124+O124+S124))),0)</f>
        <v>0</v>
      </c>
      <c r="X124" s="69" t="n">
        <f aca="false">U124-V124-W124</f>
        <v>0</v>
      </c>
      <c r="Y124" s="69" t="n">
        <f aca="false">IF(AB123&gt;0.5,AB123*(1+Y$23)+Y$24,0)</f>
        <v>0</v>
      </c>
      <c r="Z124" s="69" t="n">
        <f aca="false">MIN(Z$23,Y124)</f>
        <v>0</v>
      </c>
      <c r="AA124" s="69" t="n">
        <f aca="false">IF(AND(Z$24=1,OR(Y$25="",$C124&gt;=Y$25)),MAX(0,MIN(Y124-Z124,$D124-(G124+K124+O124+S124+W124))),0)</f>
        <v>0</v>
      </c>
      <c r="AB124" s="69" t="n">
        <f aca="false">Y124-Z124-AA124</f>
        <v>0</v>
      </c>
      <c r="AC124" s="69" t="n">
        <f aca="false">IF(AF123&gt;0.5,AF123*(1+AC$23)+AC$24,0)</f>
        <v>0</v>
      </c>
      <c r="AD124" s="69" t="n">
        <f aca="false">MIN(AD$23,AC124)</f>
        <v>0</v>
      </c>
      <c r="AE124" s="69" t="n">
        <f aca="false">IF(AND(AD$24=1,OR(AC$25="",$C124&gt;=AC$25)),MAX(0,MIN(AC124-AD124,$D124-(G124+K124+O124+S124+W124+AA124))),0)</f>
        <v>0</v>
      </c>
      <c r="AF124" s="69" t="n">
        <f aca="false">AC124-AD124-AE124</f>
        <v>0</v>
      </c>
      <c r="AG124" s="69" t="n">
        <f aca="false">IF(AJ123&gt;0.5,AJ123*(1+AG$23)+AG$24,0)</f>
        <v>0</v>
      </c>
      <c r="AH124" s="69" t="n">
        <f aca="false">MIN(AH$23,AG124)</f>
        <v>0</v>
      </c>
      <c r="AI124" s="69" t="n">
        <f aca="false">IF(AND(AH$24=1,OR(AG$25="",$C124&gt;=AG$25)),MAX(0,MIN(AG124-AH124,$D124-(G124+K124+O124+S124+W124+AA124+AE124))),0)</f>
        <v>0</v>
      </c>
      <c r="AJ124" s="69" t="n">
        <f aca="false">AG124-AH124-AI124</f>
        <v>0</v>
      </c>
      <c r="AK124" s="69" t="n">
        <f aca="false">IF(AK123&gt;0.5,AK123*(1+$E$12)+$G$12-MIN($F$12,AK123*(1+$E$12)+$G$12),0)</f>
        <v>0</v>
      </c>
      <c r="AL124" s="69" t="n">
        <f aca="false">IF(AL123&gt;0.5,AL123*(1+$E$13)+$G$13-MIN($F$13,AL123*(1+$E$13)+$G$13),0)</f>
        <v>0</v>
      </c>
      <c r="AM124" s="69" t="n">
        <f aca="false">IF(AM123&gt;0.5,AM123*(1+$E$14)+$G$14-MIN($F$14,AM123*(1+$E$14)+$G$14),0)</f>
        <v>0</v>
      </c>
      <c r="AN124" s="69" t="n">
        <f aca="false">IF(AN123&gt;0.5,AN123*(1+$E$15)+$G$15-MIN($F$15,AN123*(1+$E$15)+$G$15),0)</f>
        <v>0</v>
      </c>
      <c r="AO124" s="69" t="n">
        <f aca="false">IF(AO123&gt;0.5,AO123*(1+$E$16)+$G$16-MIN($F$16,AO123*(1+$E$16)+$G$16),0)</f>
        <v>0</v>
      </c>
      <c r="AP124" s="69" t="n">
        <f aca="false">IF(AP123&gt;0.5,AP123*(1+$E$17)+$G$17-MIN($F$17,AP123*(1+$E$17)+$G$17),0)</f>
        <v>0</v>
      </c>
      <c r="AQ124" s="69" t="n">
        <f aca="false">IF(AQ123&gt;0.5,AQ123*(1+$E$18)+$G$18-MIN($F$18,AQ123*(1+$E$18)+$G$18),0)</f>
        <v>0</v>
      </c>
      <c r="AR124" s="69" t="n">
        <f aca="false">IF(AR123&gt;0.5,AR123*(1+$E$19)+$G$19-MIN($F$19,AR123*(1+$E$19)+$G$19),0)</f>
        <v>0</v>
      </c>
      <c r="AS124" s="69" t="n">
        <f aca="false">H124+L124+P124+T124+X124+AB124+AF124+AJ124</f>
        <v>0</v>
      </c>
      <c r="AT124" s="69" t="n">
        <f aca="false">SUM(AK124:AR124)</f>
        <v>0</v>
      </c>
      <c r="AU124" s="69" t="n">
        <f aca="false">F124+G124+J124+K124+N124+O124+R124+S124+V124+W124+Z124+AA124+AD124+AE124+AH124+AI124</f>
        <v>0</v>
      </c>
    </row>
    <row r="125" customFormat="false" ht="15" hidden="false" customHeight="false" outlineLevel="0" collapsed="false">
      <c r="B125" s="0" t="n">
        <v>98</v>
      </c>
      <c r="C125" s="68" t="n">
        <f aca="false">EDATE($C$7,97)</f>
        <v>49249</v>
      </c>
      <c r="D125" s="69" t="n">
        <f aca="false">$C$8-(F125+J125+N125+R125+V125+Z125+AD125+AH125)</f>
        <v>0</v>
      </c>
      <c r="E125" s="69" t="n">
        <f aca="false">IF(H124&gt;0.5,H124*(1+E$23)+E$24,0)</f>
        <v>0</v>
      </c>
      <c r="F125" s="69" t="n">
        <f aca="false">MIN(F$23,E125)</f>
        <v>0</v>
      </c>
      <c r="G125" s="69" t="n">
        <f aca="false">IF(AND(F$24=1,OR(E$25="",$C125&gt;=E$25)),MAX(0,MIN(E125-F125,$D125-(0))),0)</f>
        <v>0</v>
      </c>
      <c r="H125" s="69" t="n">
        <f aca="false">E125-F125-G125</f>
        <v>0</v>
      </c>
      <c r="I125" s="69" t="n">
        <f aca="false">IF(L124&gt;0.5,L124*(1+I$23)+I$24,0)</f>
        <v>0</v>
      </c>
      <c r="J125" s="69" t="n">
        <f aca="false">MIN(J$23,I125)</f>
        <v>0</v>
      </c>
      <c r="K125" s="69" t="n">
        <f aca="false">IF(AND(J$24=1,OR(I$25="",$C125&gt;=I$25)),MAX(0,MIN(I125-J125,$D125-(G125))),0)</f>
        <v>0</v>
      </c>
      <c r="L125" s="69" t="n">
        <f aca="false">I125-J125-K125</f>
        <v>0</v>
      </c>
      <c r="M125" s="69" t="n">
        <f aca="false">IF(P124&gt;0.5,P124*(1+M$23)+M$24,0)</f>
        <v>0</v>
      </c>
      <c r="N125" s="69" t="n">
        <f aca="false">MIN(N$23,M125)</f>
        <v>0</v>
      </c>
      <c r="O125" s="69" t="n">
        <f aca="false">IF(AND(N$24=1,OR(M$25="",$C125&gt;=M$25)),MAX(0,MIN(M125-N125,$D125-(G125+K125))),0)</f>
        <v>0</v>
      </c>
      <c r="P125" s="69" t="n">
        <f aca="false">M125-N125-O125</f>
        <v>0</v>
      </c>
      <c r="Q125" s="69" t="n">
        <f aca="false">IF(T124&gt;0.5,T124*(1+Q$23)+Q$24,0)</f>
        <v>0</v>
      </c>
      <c r="R125" s="69" t="n">
        <f aca="false">MIN(R$23,Q125)</f>
        <v>0</v>
      </c>
      <c r="S125" s="69" t="n">
        <f aca="false">IF(AND(R$24=1,OR(Q$25="",$C125&gt;=Q$25)),MAX(0,MIN(Q125-R125,$D125-(G125+K125+O125))),0)</f>
        <v>0</v>
      </c>
      <c r="T125" s="69" t="n">
        <f aca="false">Q125-R125-S125</f>
        <v>0</v>
      </c>
      <c r="U125" s="69" t="n">
        <f aca="false">IF(X124&gt;0.5,X124*(1+U$23)+U$24,0)</f>
        <v>0</v>
      </c>
      <c r="V125" s="69" t="n">
        <f aca="false">MIN(V$23,U125)</f>
        <v>0</v>
      </c>
      <c r="W125" s="69" t="n">
        <f aca="false">IF(AND(V$24=1,OR(U$25="",$C125&gt;=U$25)),MAX(0,MIN(U125-V125,$D125-(G125+K125+O125+S125))),0)</f>
        <v>0</v>
      </c>
      <c r="X125" s="69" t="n">
        <f aca="false">U125-V125-W125</f>
        <v>0</v>
      </c>
      <c r="Y125" s="69" t="n">
        <f aca="false">IF(AB124&gt;0.5,AB124*(1+Y$23)+Y$24,0)</f>
        <v>0</v>
      </c>
      <c r="Z125" s="69" t="n">
        <f aca="false">MIN(Z$23,Y125)</f>
        <v>0</v>
      </c>
      <c r="AA125" s="69" t="n">
        <f aca="false">IF(AND(Z$24=1,OR(Y$25="",$C125&gt;=Y$25)),MAX(0,MIN(Y125-Z125,$D125-(G125+K125+O125+S125+W125))),0)</f>
        <v>0</v>
      </c>
      <c r="AB125" s="69" t="n">
        <f aca="false">Y125-Z125-AA125</f>
        <v>0</v>
      </c>
      <c r="AC125" s="69" t="n">
        <f aca="false">IF(AF124&gt;0.5,AF124*(1+AC$23)+AC$24,0)</f>
        <v>0</v>
      </c>
      <c r="AD125" s="69" t="n">
        <f aca="false">MIN(AD$23,AC125)</f>
        <v>0</v>
      </c>
      <c r="AE125" s="69" t="n">
        <f aca="false">IF(AND(AD$24=1,OR(AC$25="",$C125&gt;=AC$25)),MAX(0,MIN(AC125-AD125,$D125-(G125+K125+O125+S125+W125+AA125))),0)</f>
        <v>0</v>
      </c>
      <c r="AF125" s="69" t="n">
        <f aca="false">AC125-AD125-AE125</f>
        <v>0</v>
      </c>
      <c r="AG125" s="69" t="n">
        <f aca="false">IF(AJ124&gt;0.5,AJ124*(1+AG$23)+AG$24,0)</f>
        <v>0</v>
      </c>
      <c r="AH125" s="69" t="n">
        <f aca="false">MIN(AH$23,AG125)</f>
        <v>0</v>
      </c>
      <c r="AI125" s="69" t="n">
        <f aca="false">IF(AND(AH$24=1,OR(AG$25="",$C125&gt;=AG$25)),MAX(0,MIN(AG125-AH125,$D125-(G125+K125+O125+S125+W125+AA125+AE125))),0)</f>
        <v>0</v>
      </c>
      <c r="AJ125" s="69" t="n">
        <f aca="false">AG125-AH125-AI125</f>
        <v>0</v>
      </c>
      <c r="AK125" s="69" t="n">
        <f aca="false">IF(AK124&gt;0.5,AK124*(1+$E$12)+$G$12-MIN($F$12,AK124*(1+$E$12)+$G$12),0)</f>
        <v>0</v>
      </c>
      <c r="AL125" s="69" t="n">
        <f aca="false">IF(AL124&gt;0.5,AL124*(1+$E$13)+$G$13-MIN($F$13,AL124*(1+$E$13)+$G$13),0)</f>
        <v>0</v>
      </c>
      <c r="AM125" s="69" t="n">
        <f aca="false">IF(AM124&gt;0.5,AM124*(1+$E$14)+$G$14-MIN($F$14,AM124*(1+$E$14)+$G$14),0)</f>
        <v>0</v>
      </c>
      <c r="AN125" s="69" t="n">
        <f aca="false">IF(AN124&gt;0.5,AN124*(1+$E$15)+$G$15-MIN($F$15,AN124*(1+$E$15)+$G$15),0)</f>
        <v>0</v>
      </c>
      <c r="AO125" s="69" t="n">
        <f aca="false">IF(AO124&gt;0.5,AO124*(1+$E$16)+$G$16-MIN($F$16,AO124*(1+$E$16)+$G$16),0)</f>
        <v>0</v>
      </c>
      <c r="AP125" s="69" t="n">
        <f aca="false">IF(AP124&gt;0.5,AP124*(1+$E$17)+$G$17-MIN($F$17,AP124*(1+$E$17)+$G$17),0)</f>
        <v>0</v>
      </c>
      <c r="AQ125" s="69" t="n">
        <f aca="false">IF(AQ124&gt;0.5,AQ124*(1+$E$18)+$G$18-MIN($F$18,AQ124*(1+$E$18)+$G$18),0)</f>
        <v>0</v>
      </c>
      <c r="AR125" s="69" t="n">
        <f aca="false">IF(AR124&gt;0.5,AR124*(1+$E$19)+$G$19-MIN($F$19,AR124*(1+$E$19)+$G$19),0)</f>
        <v>0</v>
      </c>
      <c r="AS125" s="69" t="n">
        <f aca="false">H125+L125+P125+T125+X125+AB125+AF125+AJ125</f>
        <v>0</v>
      </c>
      <c r="AT125" s="69" t="n">
        <f aca="false">SUM(AK125:AR125)</f>
        <v>0</v>
      </c>
      <c r="AU125" s="69" t="n">
        <f aca="false">F125+G125+J125+K125+N125+O125+R125+S125+V125+W125+Z125+AA125+AD125+AE125+AH125+AI125</f>
        <v>0</v>
      </c>
    </row>
    <row r="126" customFormat="false" ht="15" hidden="false" customHeight="false" outlineLevel="0" collapsed="false">
      <c r="B126" s="0" t="n">
        <v>99</v>
      </c>
      <c r="C126" s="68" t="n">
        <f aca="false">EDATE($C$7,98)</f>
        <v>49279</v>
      </c>
      <c r="D126" s="69" t="n">
        <f aca="false">$C$8-(F126+J126+N126+R126+V126+Z126+AD126+AH126)</f>
        <v>0</v>
      </c>
      <c r="E126" s="69" t="n">
        <f aca="false">IF(H125&gt;0.5,H125*(1+E$23)+E$24,0)</f>
        <v>0</v>
      </c>
      <c r="F126" s="69" t="n">
        <f aca="false">MIN(F$23,E126)</f>
        <v>0</v>
      </c>
      <c r="G126" s="69" t="n">
        <f aca="false">IF(AND(F$24=1,OR(E$25="",$C126&gt;=E$25)),MAX(0,MIN(E126-F126,$D126-(0))),0)</f>
        <v>0</v>
      </c>
      <c r="H126" s="69" t="n">
        <f aca="false">E126-F126-G126</f>
        <v>0</v>
      </c>
      <c r="I126" s="69" t="n">
        <f aca="false">IF(L125&gt;0.5,L125*(1+I$23)+I$24,0)</f>
        <v>0</v>
      </c>
      <c r="J126" s="69" t="n">
        <f aca="false">MIN(J$23,I126)</f>
        <v>0</v>
      </c>
      <c r="K126" s="69" t="n">
        <f aca="false">IF(AND(J$24=1,OR(I$25="",$C126&gt;=I$25)),MAX(0,MIN(I126-J126,$D126-(G126))),0)</f>
        <v>0</v>
      </c>
      <c r="L126" s="69" t="n">
        <f aca="false">I126-J126-K126</f>
        <v>0</v>
      </c>
      <c r="M126" s="69" t="n">
        <f aca="false">IF(P125&gt;0.5,P125*(1+M$23)+M$24,0)</f>
        <v>0</v>
      </c>
      <c r="N126" s="69" t="n">
        <f aca="false">MIN(N$23,M126)</f>
        <v>0</v>
      </c>
      <c r="O126" s="69" t="n">
        <f aca="false">IF(AND(N$24=1,OR(M$25="",$C126&gt;=M$25)),MAX(0,MIN(M126-N126,$D126-(G126+K126))),0)</f>
        <v>0</v>
      </c>
      <c r="P126" s="69" t="n">
        <f aca="false">M126-N126-O126</f>
        <v>0</v>
      </c>
      <c r="Q126" s="69" t="n">
        <f aca="false">IF(T125&gt;0.5,T125*(1+Q$23)+Q$24,0)</f>
        <v>0</v>
      </c>
      <c r="R126" s="69" t="n">
        <f aca="false">MIN(R$23,Q126)</f>
        <v>0</v>
      </c>
      <c r="S126" s="69" t="n">
        <f aca="false">IF(AND(R$24=1,OR(Q$25="",$C126&gt;=Q$25)),MAX(0,MIN(Q126-R126,$D126-(G126+K126+O126))),0)</f>
        <v>0</v>
      </c>
      <c r="T126" s="69" t="n">
        <f aca="false">Q126-R126-S126</f>
        <v>0</v>
      </c>
      <c r="U126" s="69" t="n">
        <f aca="false">IF(X125&gt;0.5,X125*(1+U$23)+U$24,0)</f>
        <v>0</v>
      </c>
      <c r="V126" s="69" t="n">
        <f aca="false">MIN(V$23,U126)</f>
        <v>0</v>
      </c>
      <c r="W126" s="69" t="n">
        <f aca="false">IF(AND(V$24=1,OR(U$25="",$C126&gt;=U$25)),MAX(0,MIN(U126-V126,$D126-(G126+K126+O126+S126))),0)</f>
        <v>0</v>
      </c>
      <c r="X126" s="69" t="n">
        <f aca="false">U126-V126-W126</f>
        <v>0</v>
      </c>
      <c r="Y126" s="69" t="n">
        <f aca="false">IF(AB125&gt;0.5,AB125*(1+Y$23)+Y$24,0)</f>
        <v>0</v>
      </c>
      <c r="Z126" s="69" t="n">
        <f aca="false">MIN(Z$23,Y126)</f>
        <v>0</v>
      </c>
      <c r="AA126" s="69" t="n">
        <f aca="false">IF(AND(Z$24=1,OR(Y$25="",$C126&gt;=Y$25)),MAX(0,MIN(Y126-Z126,$D126-(G126+K126+O126+S126+W126))),0)</f>
        <v>0</v>
      </c>
      <c r="AB126" s="69" t="n">
        <f aca="false">Y126-Z126-AA126</f>
        <v>0</v>
      </c>
      <c r="AC126" s="69" t="n">
        <f aca="false">IF(AF125&gt;0.5,AF125*(1+AC$23)+AC$24,0)</f>
        <v>0</v>
      </c>
      <c r="AD126" s="69" t="n">
        <f aca="false">MIN(AD$23,AC126)</f>
        <v>0</v>
      </c>
      <c r="AE126" s="69" t="n">
        <f aca="false">IF(AND(AD$24=1,OR(AC$25="",$C126&gt;=AC$25)),MAX(0,MIN(AC126-AD126,$D126-(G126+K126+O126+S126+W126+AA126))),0)</f>
        <v>0</v>
      </c>
      <c r="AF126" s="69" t="n">
        <f aca="false">AC126-AD126-AE126</f>
        <v>0</v>
      </c>
      <c r="AG126" s="69" t="n">
        <f aca="false">IF(AJ125&gt;0.5,AJ125*(1+AG$23)+AG$24,0)</f>
        <v>0</v>
      </c>
      <c r="AH126" s="69" t="n">
        <f aca="false">MIN(AH$23,AG126)</f>
        <v>0</v>
      </c>
      <c r="AI126" s="69" t="n">
        <f aca="false">IF(AND(AH$24=1,OR(AG$25="",$C126&gt;=AG$25)),MAX(0,MIN(AG126-AH126,$D126-(G126+K126+O126+S126+W126+AA126+AE126))),0)</f>
        <v>0</v>
      </c>
      <c r="AJ126" s="69" t="n">
        <f aca="false">AG126-AH126-AI126</f>
        <v>0</v>
      </c>
      <c r="AK126" s="69" t="n">
        <f aca="false">IF(AK125&gt;0.5,AK125*(1+$E$12)+$G$12-MIN($F$12,AK125*(1+$E$12)+$G$12),0)</f>
        <v>0</v>
      </c>
      <c r="AL126" s="69" t="n">
        <f aca="false">IF(AL125&gt;0.5,AL125*(1+$E$13)+$G$13-MIN($F$13,AL125*(1+$E$13)+$G$13),0)</f>
        <v>0</v>
      </c>
      <c r="AM126" s="69" t="n">
        <f aca="false">IF(AM125&gt;0.5,AM125*(1+$E$14)+$G$14-MIN($F$14,AM125*(1+$E$14)+$G$14),0)</f>
        <v>0</v>
      </c>
      <c r="AN126" s="69" t="n">
        <f aca="false">IF(AN125&gt;0.5,AN125*(1+$E$15)+$G$15-MIN($F$15,AN125*(1+$E$15)+$G$15),0)</f>
        <v>0</v>
      </c>
      <c r="AO126" s="69" t="n">
        <f aca="false">IF(AO125&gt;0.5,AO125*(1+$E$16)+$G$16-MIN($F$16,AO125*(1+$E$16)+$G$16),0)</f>
        <v>0</v>
      </c>
      <c r="AP126" s="69" t="n">
        <f aca="false">IF(AP125&gt;0.5,AP125*(1+$E$17)+$G$17-MIN($F$17,AP125*(1+$E$17)+$G$17),0)</f>
        <v>0</v>
      </c>
      <c r="AQ126" s="69" t="n">
        <f aca="false">IF(AQ125&gt;0.5,AQ125*(1+$E$18)+$G$18-MIN($F$18,AQ125*(1+$E$18)+$G$18),0)</f>
        <v>0</v>
      </c>
      <c r="AR126" s="69" t="n">
        <f aca="false">IF(AR125&gt;0.5,AR125*(1+$E$19)+$G$19-MIN($F$19,AR125*(1+$E$19)+$G$19),0)</f>
        <v>0</v>
      </c>
      <c r="AS126" s="69" t="n">
        <f aca="false">H126+L126+P126+T126+X126+AB126+AF126+AJ126</f>
        <v>0</v>
      </c>
      <c r="AT126" s="69" t="n">
        <f aca="false">SUM(AK126:AR126)</f>
        <v>0</v>
      </c>
      <c r="AU126" s="69" t="n">
        <f aca="false">F126+G126+J126+K126+N126+O126+R126+S126+V126+W126+Z126+AA126+AD126+AE126+AH126+AI126</f>
        <v>0</v>
      </c>
    </row>
    <row r="127" customFormat="false" ht="15" hidden="false" customHeight="false" outlineLevel="0" collapsed="false">
      <c r="B127" s="0" t="n">
        <v>100</v>
      </c>
      <c r="C127" s="68" t="n">
        <f aca="false">EDATE($C$7,99)</f>
        <v>49310</v>
      </c>
      <c r="D127" s="69" t="n">
        <f aca="false">$C$8-(F127+J127+N127+R127+V127+Z127+AD127+AH127)</f>
        <v>0</v>
      </c>
      <c r="E127" s="69" t="n">
        <f aca="false">IF(H126&gt;0.5,H126*(1+E$23)+E$24,0)</f>
        <v>0</v>
      </c>
      <c r="F127" s="69" t="n">
        <f aca="false">MIN(F$23,E127)</f>
        <v>0</v>
      </c>
      <c r="G127" s="69" t="n">
        <f aca="false">IF(AND(F$24=1,OR(E$25="",$C127&gt;=E$25)),MAX(0,MIN(E127-F127,$D127-(0))),0)</f>
        <v>0</v>
      </c>
      <c r="H127" s="69" t="n">
        <f aca="false">E127-F127-G127</f>
        <v>0</v>
      </c>
      <c r="I127" s="69" t="n">
        <f aca="false">IF(L126&gt;0.5,L126*(1+I$23)+I$24,0)</f>
        <v>0</v>
      </c>
      <c r="J127" s="69" t="n">
        <f aca="false">MIN(J$23,I127)</f>
        <v>0</v>
      </c>
      <c r="K127" s="69" t="n">
        <f aca="false">IF(AND(J$24=1,OR(I$25="",$C127&gt;=I$25)),MAX(0,MIN(I127-J127,$D127-(G127))),0)</f>
        <v>0</v>
      </c>
      <c r="L127" s="69" t="n">
        <f aca="false">I127-J127-K127</f>
        <v>0</v>
      </c>
      <c r="M127" s="69" t="n">
        <f aca="false">IF(P126&gt;0.5,P126*(1+M$23)+M$24,0)</f>
        <v>0</v>
      </c>
      <c r="N127" s="69" t="n">
        <f aca="false">MIN(N$23,M127)</f>
        <v>0</v>
      </c>
      <c r="O127" s="69" t="n">
        <f aca="false">IF(AND(N$24=1,OR(M$25="",$C127&gt;=M$25)),MAX(0,MIN(M127-N127,$D127-(G127+K127))),0)</f>
        <v>0</v>
      </c>
      <c r="P127" s="69" t="n">
        <f aca="false">M127-N127-O127</f>
        <v>0</v>
      </c>
      <c r="Q127" s="69" t="n">
        <f aca="false">IF(T126&gt;0.5,T126*(1+Q$23)+Q$24,0)</f>
        <v>0</v>
      </c>
      <c r="R127" s="69" t="n">
        <f aca="false">MIN(R$23,Q127)</f>
        <v>0</v>
      </c>
      <c r="S127" s="69" t="n">
        <f aca="false">IF(AND(R$24=1,OR(Q$25="",$C127&gt;=Q$25)),MAX(0,MIN(Q127-R127,$D127-(G127+K127+O127))),0)</f>
        <v>0</v>
      </c>
      <c r="T127" s="69" t="n">
        <f aca="false">Q127-R127-S127</f>
        <v>0</v>
      </c>
      <c r="U127" s="69" t="n">
        <f aca="false">IF(X126&gt;0.5,X126*(1+U$23)+U$24,0)</f>
        <v>0</v>
      </c>
      <c r="V127" s="69" t="n">
        <f aca="false">MIN(V$23,U127)</f>
        <v>0</v>
      </c>
      <c r="W127" s="69" t="n">
        <f aca="false">IF(AND(V$24=1,OR(U$25="",$C127&gt;=U$25)),MAX(0,MIN(U127-V127,$D127-(G127+K127+O127+S127))),0)</f>
        <v>0</v>
      </c>
      <c r="X127" s="69" t="n">
        <f aca="false">U127-V127-W127</f>
        <v>0</v>
      </c>
      <c r="Y127" s="69" t="n">
        <f aca="false">IF(AB126&gt;0.5,AB126*(1+Y$23)+Y$24,0)</f>
        <v>0</v>
      </c>
      <c r="Z127" s="69" t="n">
        <f aca="false">MIN(Z$23,Y127)</f>
        <v>0</v>
      </c>
      <c r="AA127" s="69" t="n">
        <f aca="false">IF(AND(Z$24=1,OR(Y$25="",$C127&gt;=Y$25)),MAX(0,MIN(Y127-Z127,$D127-(G127+K127+O127+S127+W127))),0)</f>
        <v>0</v>
      </c>
      <c r="AB127" s="69" t="n">
        <f aca="false">Y127-Z127-AA127</f>
        <v>0</v>
      </c>
      <c r="AC127" s="69" t="n">
        <f aca="false">IF(AF126&gt;0.5,AF126*(1+AC$23)+AC$24,0)</f>
        <v>0</v>
      </c>
      <c r="AD127" s="69" t="n">
        <f aca="false">MIN(AD$23,AC127)</f>
        <v>0</v>
      </c>
      <c r="AE127" s="69" t="n">
        <f aca="false">IF(AND(AD$24=1,OR(AC$25="",$C127&gt;=AC$25)),MAX(0,MIN(AC127-AD127,$D127-(G127+K127+O127+S127+W127+AA127))),0)</f>
        <v>0</v>
      </c>
      <c r="AF127" s="69" t="n">
        <f aca="false">AC127-AD127-AE127</f>
        <v>0</v>
      </c>
      <c r="AG127" s="69" t="n">
        <f aca="false">IF(AJ126&gt;0.5,AJ126*(1+AG$23)+AG$24,0)</f>
        <v>0</v>
      </c>
      <c r="AH127" s="69" t="n">
        <f aca="false">MIN(AH$23,AG127)</f>
        <v>0</v>
      </c>
      <c r="AI127" s="69" t="n">
        <f aca="false">IF(AND(AH$24=1,OR(AG$25="",$C127&gt;=AG$25)),MAX(0,MIN(AG127-AH127,$D127-(G127+K127+O127+S127+W127+AA127+AE127))),0)</f>
        <v>0</v>
      </c>
      <c r="AJ127" s="69" t="n">
        <f aca="false">AG127-AH127-AI127</f>
        <v>0</v>
      </c>
      <c r="AK127" s="69" t="n">
        <f aca="false">IF(AK126&gt;0.5,AK126*(1+$E$12)+$G$12-MIN($F$12,AK126*(1+$E$12)+$G$12),0)</f>
        <v>0</v>
      </c>
      <c r="AL127" s="69" t="n">
        <f aca="false">IF(AL126&gt;0.5,AL126*(1+$E$13)+$G$13-MIN($F$13,AL126*(1+$E$13)+$G$13),0)</f>
        <v>0</v>
      </c>
      <c r="AM127" s="69" t="n">
        <f aca="false">IF(AM126&gt;0.5,AM126*(1+$E$14)+$G$14-MIN($F$14,AM126*(1+$E$14)+$G$14),0)</f>
        <v>0</v>
      </c>
      <c r="AN127" s="69" t="n">
        <f aca="false">IF(AN126&gt;0.5,AN126*(1+$E$15)+$G$15-MIN($F$15,AN126*(1+$E$15)+$G$15),0)</f>
        <v>0</v>
      </c>
      <c r="AO127" s="69" t="n">
        <f aca="false">IF(AO126&gt;0.5,AO126*(1+$E$16)+$G$16-MIN($F$16,AO126*(1+$E$16)+$G$16),0)</f>
        <v>0</v>
      </c>
      <c r="AP127" s="69" t="n">
        <f aca="false">IF(AP126&gt;0.5,AP126*(1+$E$17)+$G$17-MIN($F$17,AP126*(1+$E$17)+$G$17),0)</f>
        <v>0</v>
      </c>
      <c r="AQ127" s="69" t="n">
        <f aca="false">IF(AQ126&gt;0.5,AQ126*(1+$E$18)+$G$18-MIN($F$18,AQ126*(1+$E$18)+$G$18),0)</f>
        <v>0</v>
      </c>
      <c r="AR127" s="69" t="n">
        <f aca="false">IF(AR126&gt;0.5,AR126*(1+$E$19)+$G$19-MIN($F$19,AR126*(1+$E$19)+$G$19),0)</f>
        <v>0</v>
      </c>
      <c r="AS127" s="69" t="n">
        <f aca="false">H127+L127+P127+T127+X127+AB127+AF127+AJ127</f>
        <v>0</v>
      </c>
      <c r="AT127" s="69" t="n">
        <f aca="false">SUM(AK127:AR127)</f>
        <v>0</v>
      </c>
      <c r="AU127" s="69" t="n">
        <f aca="false">F127+G127+J127+K127+N127+O127+R127+S127+V127+W127+Z127+AA127+AD127+AE127+AH127+AI127</f>
        <v>0</v>
      </c>
    </row>
    <row r="128" customFormat="false" ht="15" hidden="false" customHeight="false" outlineLevel="0" collapsed="false">
      <c r="B128" s="0" t="n">
        <v>101</v>
      </c>
      <c r="C128" s="68" t="n">
        <f aca="false">EDATE($C$7,100)</f>
        <v>49341</v>
      </c>
      <c r="D128" s="69" t="n">
        <f aca="false">$C$8-(F128+J128+N128+R128+V128+Z128+AD128+AH128)</f>
        <v>0</v>
      </c>
      <c r="E128" s="69" t="n">
        <f aca="false">IF(H127&gt;0.5,H127*(1+E$23)+E$24,0)</f>
        <v>0</v>
      </c>
      <c r="F128" s="69" t="n">
        <f aca="false">MIN(F$23,E128)</f>
        <v>0</v>
      </c>
      <c r="G128" s="69" t="n">
        <f aca="false">IF(AND(F$24=1,OR(E$25="",$C128&gt;=E$25)),MAX(0,MIN(E128-F128,$D128-(0))),0)</f>
        <v>0</v>
      </c>
      <c r="H128" s="69" t="n">
        <f aca="false">E128-F128-G128</f>
        <v>0</v>
      </c>
      <c r="I128" s="69" t="n">
        <f aca="false">IF(L127&gt;0.5,L127*(1+I$23)+I$24,0)</f>
        <v>0</v>
      </c>
      <c r="J128" s="69" t="n">
        <f aca="false">MIN(J$23,I128)</f>
        <v>0</v>
      </c>
      <c r="K128" s="69" t="n">
        <f aca="false">IF(AND(J$24=1,OR(I$25="",$C128&gt;=I$25)),MAX(0,MIN(I128-J128,$D128-(G128))),0)</f>
        <v>0</v>
      </c>
      <c r="L128" s="69" t="n">
        <f aca="false">I128-J128-K128</f>
        <v>0</v>
      </c>
      <c r="M128" s="69" t="n">
        <f aca="false">IF(P127&gt;0.5,P127*(1+M$23)+M$24,0)</f>
        <v>0</v>
      </c>
      <c r="N128" s="69" t="n">
        <f aca="false">MIN(N$23,M128)</f>
        <v>0</v>
      </c>
      <c r="O128" s="69" t="n">
        <f aca="false">IF(AND(N$24=1,OR(M$25="",$C128&gt;=M$25)),MAX(0,MIN(M128-N128,$D128-(G128+K128))),0)</f>
        <v>0</v>
      </c>
      <c r="P128" s="69" t="n">
        <f aca="false">M128-N128-O128</f>
        <v>0</v>
      </c>
      <c r="Q128" s="69" t="n">
        <f aca="false">IF(T127&gt;0.5,T127*(1+Q$23)+Q$24,0)</f>
        <v>0</v>
      </c>
      <c r="R128" s="69" t="n">
        <f aca="false">MIN(R$23,Q128)</f>
        <v>0</v>
      </c>
      <c r="S128" s="69" t="n">
        <f aca="false">IF(AND(R$24=1,OR(Q$25="",$C128&gt;=Q$25)),MAX(0,MIN(Q128-R128,$D128-(G128+K128+O128))),0)</f>
        <v>0</v>
      </c>
      <c r="T128" s="69" t="n">
        <f aca="false">Q128-R128-S128</f>
        <v>0</v>
      </c>
      <c r="U128" s="69" t="n">
        <f aca="false">IF(X127&gt;0.5,X127*(1+U$23)+U$24,0)</f>
        <v>0</v>
      </c>
      <c r="V128" s="69" t="n">
        <f aca="false">MIN(V$23,U128)</f>
        <v>0</v>
      </c>
      <c r="W128" s="69" t="n">
        <f aca="false">IF(AND(V$24=1,OR(U$25="",$C128&gt;=U$25)),MAX(0,MIN(U128-V128,$D128-(G128+K128+O128+S128))),0)</f>
        <v>0</v>
      </c>
      <c r="X128" s="69" t="n">
        <f aca="false">U128-V128-W128</f>
        <v>0</v>
      </c>
      <c r="Y128" s="69" t="n">
        <f aca="false">IF(AB127&gt;0.5,AB127*(1+Y$23)+Y$24,0)</f>
        <v>0</v>
      </c>
      <c r="Z128" s="69" t="n">
        <f aca="false">MIN(Z$23,Y128)</f>
        <v>0</v>
      </c>
      <c r="AA128" s="69" t="n">
        <f aca="false">IF(AND(Z$24=1,OR(Y$25="",$C128&gt;=Y$25)),MAX(0,MIN(Y128-Z128,$D128-(G128+K128+O128+S128+W128))),0)</f>
        <v>0</v>
      </c>
      <c r="AB128" s="69" t="n">
        <f aca="false">Y128-Z128-AA128</f>
        <v>0</v>
      </c>
      <c r="AC128" s="69" t="n">
        <f aca="false">IF(AF127&gt;0.5,AF127*(1+AC$23)+AC$24,0)</f>
        <v>0</v>
      </c>
      <c r="AD128" s="69" t="n">
        <f aca="false">MIN(AD$23,AC128)</f>
        <v>0</v>
      </c>
      <c r="AE128" s="69" t="n">
        <f aca="false">IF(AND(AD$24=1,OR(AC$25="",$C128&gt;=AC$25)),MAX(0,MIN(AC128-AD128,$D128-(G128+K128+O128+S128+W128+AA128))),0)</f>
        <v>0</v>
      </c>
      <c r="AF128" s="69" t="n">
        <f aca="false">AC128-AD128-AE128</f>
        <v>0</v>
      </c>
      <c r="AG128" s="69" t="n">
        <f aca="false">IF(AJ127&gt;0.5,AJ127*(1+AG$23)+AG$24,0)</f>
        <v>0</v>
      </c>
      <c r="AH128" s="69" t="n">
        <f aca="false">MIN(AH$23,AG128)</f>
        <v>0</v>
      </c>
      <c r="AI128" s="69" t="n">
        <f aca="false">IF(AND(AH$24=1,OR(AG$25="",$C128&gt;=AG$25)),MAX(0,MIN(AG128-AH128,$D128-(G128+K128+O128+S128+W128+AA128+AE128))),0)</f>
        <v>0</v>
      </c>
      <c r="AJ128" s="69" t="n">
        <f aca="false">AG128-AH128-AI128</f>
        <v>0</v>
      </c>
      <c r="AK128" s="69" t="n">
        <f aca="false">IF(AK127&gt;0.5,AK127*(1+$E$12)+$G$12-MIN($F$12,AK127*(1+$E$12)+$G$12),0)</f>
        <v>0</v>
      </c>
      <c r="AL128" s="69" t="n">
        <f aca="false">IF(AL127&gt;0.5,AL127*(1+$E$13)+$G$13-MIN($F$13,AL127*(1+$E$13)+$G$13),0)</f>
        <v>0</v>
      </c>
      <c r="AM128" s="69" t="n">
        <f aca="false">IF(AM127&gt;0.5,AM127*(1+$E$14)+$G$14-MIN($F$14,AM127*(1+$E$14)+$G$14),0)</f>
        <v>0</v>
      </c>
      <c r="AN128" s="69" t="n">
        <f aca="false">IF(AN127&gt;0.5,AN127*(1+$E$15)+$G$15-MIN($F$15,AN127*(1+$E$15)+$G$15),0)</f>
        <v>0</v>
      </c>
      <c r="AO128" s="69" t="n">
        <f aca="false">IF(AO127&gt;0.5,AO127*(1+$E$16)+$G$16-MIN($F$16,AO127*(1+$E$16)+$G$16),0)</f>
        <v>0</v>
      </c>
      <c r="AP128" s="69" t="n">
        <f aca="false">IF(AP127&gt;0.5,AP127*(1+$E$17)+$G$17-MIN($F$17,AP127*(1+$E$17)+$G$17),0)</f>
        <v>0</v>
      </c>
      <c r="AQ128" s="69" t="n">
        <f aca="false">IF(AQ127&gt;0.5,AQ127*(1+$E$18)+$G$18-MIN($F$18,AQ127*(1+$E$18)+$G$18),0)</f>
        <v>0</v>
      </c>
      <c r="AR128" s="69" t="n">
        <f aca="false">IF(AR127&gt;0.5,AR127*(1+$E$19)+$G$19-MIN($F$19,AR127*(1+$E$19)+$G$19),0)</f>
        <v>0</v>
      </c>
      <c r="AS128" s="69" t="n">
        <f aca="false">H128+L128+P128+T128+X128+AB128+AF128+AJ128</f>
        <v>0</v>
      </c>
      <c r="AT128" s="69" t="n">
        <f aca="false">SUM(AK128:AR128)</f>
        <v>0</v>
      </c>
      <c r="AU128" s="69" t="n">
        <f aca="false">F128+G128+J128+K128+N128+O128+R128+S128+V128+W128+Z128+AA128+AD128+AE128+AH128+AI128</f>
        <v>0</v>
      </c>
    </row>
    <row r="129" customFormat="false" ht="15" hidden="false" customHeight="false" outlineLevel="0" collapsed="false">
      <c r="B129" s="0" t="n">
        <v>102</v>
      </c>
      <c r="C129" s="68" t="n">
        <f aca="false">EDATE($C$7,101)</f>
        <v>49369</v>
      </c>
      <c r="D129" s="69" t="n">
        <f aca="false">$C$8-(F129+J129+N129+R129+V129+Z129+AD129+AH129)</f>
        <v>0</v>
      </c>
      <c r="E129" s="69" t="n">
        <f aca="false">IF(H128&gt;0.5,H128*(1+E$23)+E$24,0)</f>
        <v>0</v>
      </c>
      <c r="F129" s="69" t="n">
        <f aca="false">MIN(F$23,E129)</f>
        <v>0</v>
      </c>
      <c r="G129" s="69" t="n">
        <f aca="false">IF(AND(F$24=1,OR(E$25="",$C129&gt;=E$25)),MAX(0,MIN(E129-F129,$D129-(0))),0)</f>
        <v>0</v>
      </c>
      <c r="H129" s="69" t="n">
        <f aca="false">E129-F129-G129</f>
        <v>0</v>
      </c>
      <c r="I129" s="69" t="n">
        <f aca="false">IF(L128&gt;0.5,L128*(1+I$23)+I$24,0)</f>
        <v>0</v>
      </c>
      <c r="J129" s="69" t="n">
        <f aca="false">MIN(J$23,I129)</f>
        <v>0</v>
      </c>
      <c r="K129" s="69" t="n">
        <f aca="false">IF(AND(J$24=1,OR(I$25="",$C129&gt;=I$25)),MAX(0,MIN(I129-J129,$D129-(G129))),0)</f>
        <v>0</v>
      </c>
      <c r="L129" s="69" t="n">
        <f aca="false">I129-J129-K129</f>
        <v>0</v>
      </c>
      <c r="M129" s="69" t="n">
        <f aca="false">IF(P128&gt;0.5,P128*(1+M$23)+M$24,0)</f>
        <v>0</v>
      </c>
      <c r="N129" s="69" t="n">
        <f aca="false">MIN(N$23,M129)</f>
        <v>0</v>
      </c>
      <c r="O129" s="69" t="n">
        <f aca="false">IF(AND(N$24=1,OR(M$25="",$C129&gt;=M$25)),MAX(0,MIN(M129-N129,$D129-(G129+K129))),0)</f>
        <v>0</v>
      </c>
      <c r="P129" s="69" t="n">
        <f aca="false">M129-N129-O129</f>
        <v>0</v>
      </c>
      <c r="Q129" s="69" t="n">
        <f aca="false">IF(T128&gt;0.5,T128*(1+Q$23)+Q$24,0)</f>
        <v>0</v>
      </c>
      <c r="R129" s="69" t="n">
        <f aca="false">MIN(R$23,Q129)</f>
        <v>0</v>
      </c>
      <c r="S129" s="69" t="n">
        <f aca="false">IF(AND(R$24=1,OR(Q$25="",$C129&gt;=Q$25)),MAX(0,MIN(Q129-R129,$D129-(G129+K129+O129))),0)</f>
        <v>0</v>
      </c>
      <c r="T129" s="69" t="n">
        <f aca="false">Q129-R129-S129</f>
        <v>0</v>
      </c>
      <c r="U129" s="69" t="n">
        <f aca="false">IF(X128&gt;0.5,X128*(1+U$23)+U$24,0)</f>
        <v>0</v>
      </c>
      <c r="V129" s="69" t="n">
        <f aca="false">MIN(V$23,U129)</f>
        <v>0</v>
      </c>
      <c r="W129" s="69" t="n">
        <f aca="false">IF(AND(V$24=1,OR(U$25="",$C129&gt;=U$25)),MAX(0,MIN(U129-V129,$D129-(G129+K129+O129+S129))),0)</f>
        <v>0</v>
      </c>
      <c r="X129" s="69" t="n">
        <f aca="false">U129-V129-W129</f>
        <v>0</v>
      </c>
      <c r="Y129" s="69" t="n">
        <f aca="false">IF(AB128&gt;0.5,AB128*(1+Y$23)+Y$24,0)</f>
        <v>0</v>
      </c>
      <c r="Z129" s="69" t="n">
        <f aca="false">MIN(Z$23,Y129)</f>
        <v>0</v>
      </c>
      <c r="AA129" s="69" t="n">
        <f aca="false">IF(AND(Z$24=1,OR(Y$25="",$C129&gt;=Y$25)),MAX(0,MIN(Y129-Z129,$D129-(G129+K129+O129+S129+W129))),0)</f>
        <v>0</v>
      </c>
      <c r="AB129" s="69" t="n">
        <f aca="false">Y129-Z129-AA129</f>
        <v>0</v>
      </c>
      <c r="AC129" s="69" t="n">
        <f aca="false">IF(AF128&gt;0.5,AF128*(1+AC$23)+AC$24,0)</f>
        <v>0</v>
      </c>
      <c r="AD129" s="69" t="n">
        <f aca="false">MIN(AD$23,AC129)</f>
        <v>0</v>
      </c>
      <c r="AE129" s="69" t="n">
        <f aca="false">IF(AND(AD$24=1,OR(AC$25="",$C129&gt;=AC$25)),MAX(0,MIN(AC129-AD129,$D129-(G129+K129+O129+S129+W129+AA129))),0)</f>
        <v>0</v>
      </c>
      <c r="AF129" s="69" t="n">
        <f aca="false">AC129-AD129-AE129</f>
        <v>0</v>
      </c>
      <c r="AG129" s="69" t="n">
        <f aca="false">IF(AJ128&gt;0.5,AJ128*(1+AG$23)+AG$24,0)</f>
        <v>0</v>
      </c>
      <c r="AH129" s="69" t="n">
        <f aca="false">MIN(AH$23,AG129)</f>
        <v>0</v>
      </c>
      <c r="AI129" s="69" t="n">
        <f aca="false">IF(AND(AH$24=1,OR(AG$25="",$C129&gt;=AG$25)),MAX(0,MIN(AG129-AH129,$D129-(G129+K129+O129+S129+W129+AA129+AE129))),0)</f>
        <v>0</v>
      </c>
      <c r="AJ129" s="69" t="n">
        <f aca="false">AG129-AH129-AI129</f>
        <v>0</v>
      </c>
      <c r="AK129" s="69" t="n">
        <f aca="false">IF(AK128&gt;0.5,AK128*(1+$E$12)+$G$12-MIN($F$12,AK128*(1+$E$12)+$G$12),0)</f>
        <v>0</v>
      </c>
      <c r="AL129" s="69" t="n">
        <f aca="false">IF(AL128&gt;0.5,AL128*(1+$E$13)+$G$13-MIN($F$13,AL128*(1+$E$13)+$G$13),0)</f>
        <v>0</v>
      </c>
      <c r="AM129" s="69" t="n">
        <f aca="false">IF(AM128&gt;0.5,AM128*(1+$E$14)+$G$14-MIN($F$14,AM128*(1+$E$14)+$G$14),0)</f>
        <v>0</v>
      </c>
      <c r="AN129" s="69" t="n">
        <f aca="false">IF(AN128&gt;0.5,AN128*(1+$E$15)+$G$15-MIN($F$15,AN128*(1+$E$15)+$G$15),0)</f>
        <v>0</v>
      </c>
      <c r="AO129" s="69" t="n">
        <f aca="false">IF(AO128&gt;0.5,AO128*(1+$E$16)+$G$16-MIN($F$16,AO128*(1+$E$16)+$G$16),0)</f>
        <v>0</v>
      </c>
      <c r="AP129" s="69" t="n">
        <f aca="false">IF(AP128&gt;0.5,AP128*(1+$E$17)+$G$17-MIN($F$17,AP128*(1+$E$17)+$G$17),0)</f>
        <v>0</v>
      </c>
      <c r="AQ129" s="69" t="n">
        <f aca="false">IF(AQ128&gt;0.5,AQ128*(1+$E$18)+$G$18-MIN($F$18,AQ128*(1+$E$18)+$G$18),0)</f>
        <v>0</v>
      </c>
      <c r="AR129" s="69" t="n">
        <f aca="false">IF(AR128&gt;0.5,AR128*(1+$E$19)+$G$19-MIN($F$19,AR128*(1+$E$19)+$G$19),0)</f>
        <v>0</v>
      </c>
      <c r="AS129" s="69" t="n">
        <f aca="false">H129+L129+P129+T129+X129+AB129+AF129+AJ129</f>
        <v>0</v>
      </c>
      <c r="AT129" s="69" t="n">
        <f aca="false">SUM(AK129:AR129)</f>
        <v>0</v>
      </c>
      <c r="AU129" s="69" t="n">
        <f aca="false">F129+G129+J129+K129+N129+O129+R129+S129+V129+W129+Z129+AA129+AD129+AE129+AH129+AI129</f>
        <v>0</v>
      </c>
    </row>
    <row r="130" customFormat="false" ht="15" hidden="false" customHeight="false" outlineLevel="0" collapsed="false">
      <c r="B130" s="0" t="n">
        <v>103</v>
      </c>
      <c r="C130" s="68" t="n">
        <f aca="false">EDATE($C$7,102)</f>
        <v>49400</v>
      </c>
      <c r="D130" s="69" t="n">
        <f aca="false">$C$8-(F130+J130+N130+R130+V130+Z130+AD130+AH130)</f>
        <v>0</v>
      </c>
      <c r="E130" s="69" t="n">
        <f aca="false">IF(H129&gt;0.5,H129*(1+E$23)+E$24,0)</f>
        <v>0</v>
      </c>
      <c r="F130" s="69" t="n">
        <f aca="false">MIN(F$23,E130)</f>
        <v>0</v>
      </c>
      <c r="G130" s="69" t="n">
        <f aca="false">IF(AND(F$24=1,OR(E$25="",$C130&gt;=E$25)),MAX(0,MIN(E130-F130,$D130-(0))),0)</f>
        <v>0</v>
      </c>
      <c r="H130" s="69" t="n">
        <f aca="false">E130-F130-G130</f>
        <v>0</v>
      </c>
      <c r="I130" s="69" t="n">
        <f aca="false">IF(L129&gt;0.5,L129*(1+I$23)+I$24,0)</f>
        <v>0</v>
      </c>
      <c r="J130" s="69" t="n">
        <f aca="false">MIN(J$23,I130)</f>
        <v>0</v>
      </c>
      <c r="K130" s="69" t="n">
        <f aca="false">IF(AND(J$24=1,OR(I$25="",$C130&gt;=I$25)),MAX(0,MIN(I130-J130,$D130-(G130))),0)</f>
        <v>0</v>
      </c>
      <c r="L130" s="69" t="n">
        <f aca="false">I130-J130-K130</f>
        <v>0</v>
      </c>
      <c r="M130" s="69" t="n">
        <f aca="false">IF(P129&gt;0.5,P129*(1+M$23)+M$24,0)</f>
        <v>0</v>
      </c>
      <c r="N130" s="69" t="n">
        <f aca="false">MIN(N$23,M130)</f>
        <v>0</v>
      </c>
      <c r="O130" s="69" t="n">
        <f aca="false">IF(AND(N$24=1,OR(M$25="",$C130&gt;=M$25)),MAX(0,MIN(M130-N130,$D130-(G130+K130))),0)</f>
        <v>0</v>
      </c>
      <c r="P130" s="69" t="n">
        <f aca="false">M130-N130-O130</f>
        <v>0</v>
      </c>
      <c r="Q130" s="69" t="n">
        <f aca="false">IF(T129&gt;0.5,T129*(1+Q$23)+Q$24,0)</f>
        <v>0</v>
      </c>
      <c r="R130" s="69" t="n">
        <f aca="false">MIN(R$23,Q130)</f>
        <v>0</v>
      </c>
      <c r="S130" s="69" t="n">
        <f aca="false">IF(AND(R$24=1,OR(Q$25="",$C130&gt;=Q$25)),MAX(0,MIN(Q130-R130,$D130-(G130+K130+O130))),0)</f>
        <v>0</v>
      </c>
      <c r="T130" s="69" t="n">
        <f aca="false">Q130-R130-S130</f>
        <v>0</v>
      </c>
      <c r="U130" s="69" t="n">
        <f aca="false">IF(X129&gt;0.5,X129*(1+U$23)+U$24,0)</f>
        <v>0</v>
      </c>
      <c r="V130" s="69" t="n">
        <f aca="false">MIN(V$23,U130)</f>
        <v>0</v>
      </c>
      <c r="W130" s="69" t="n">
        <f aca="false">IF(AND(V$24=1,OR(U$25="",$C130&gt;=U$25)),MAX(0,MIN(U130-V130,$D130-(G130+K130+O130+S130))),0)</f>
        <v>0</v>
      </c>
      <c r="X130" s="69" t="n">
        <f aca="false">U130-V130-W130</f>
        <v>0</v>
      </c>
      <c r="Y130" s="69" t="n">
        <f aca="false">IF(AB129&gt;0.5,AB129*(1+Y$23)+Y$24,0)</f>
        <v>0</v>
      </c>
      <c r="Z130" s="69" t="n">
        <f aca="false">MIN(Z$23,Y130)</f>
        <v>0</v>
      </c>
      <c r="AA130" s="69" t="n">
        <f aca="false">IF(AND(Z$24=1,OR(Y$25="",$C130&gt;=Y$25)),MAX(0,MIN(Y130-Z130,$D130-(G130+K130+O130+S130+W130))),0)</f>
        <v>0</v>
      </c>
      <c r="AB130" s="69" t="n">
        <f aca="false">Y130-Z130-AA130</f>
        <v>0</v>
      </c>
      <c r="AC130" s="69" t="n">
        <f aca="false">IF(AF129&gt;0.5,AF129*(1+AC$23)+AC$24,0)</f>
        <v>0</v>
      </c>
      <c r="AD130" s="69" t="n">
        <f aca="false">MIN(AD$23,AC130)</f>
        <v>0</v>
      </c>
      <c r="AE130" s="69" t="n">
        <f aca="false">IF(AND(AD$24=1,OR(AC$25="",$C130&gt;=AC$25)),MAX(0,MIN(AC130-AD130,$D130-(G130+K130+O130+S130+W130+AA130))),0)</f>
        <v>0</v>
      </c>
      <c r="AF130" s="69" t="n">
        <f aca="false">AC130-AD130-AE130</f>
        <v>0</v>
      </c>
      <c r="AG130" s="69" t="n">
        <f aca="false">IF(AJ129&gt;0.5,AJ129*(1+AG$23)+AG$24,0)</f>
        <v>0</v>
      </c>
      <c r="AH130" s="69" t="n">
        <f aca="false">MIN(AH$23,AG130)</f>
        <v>0</v>
      </c>
      <c r="AI130" s="69" t="n">
        <f aca="false">IF(AND(AH$24=1,OR(AG$25="",$C130&gt;=AG$25)),MAX(0,MIN(AG130-AH130,$D130-(G130+K130+O130+S130+W130+AA130+AE130))),0)</f>
        <v>0</v>
      </c>
      <c r="AJ130" s="69" t="n">
        <f aca="false">AG130-AH130-AI130</f>
        <v>0</v>
      </c>
      <c r="AK130" s="69" t="n">
        <f aca="false">IF(AK129&gt;0.5,AK129*(1+$E$12)+$G$12-MIN($F$12,AK129*(1+$E$12)+$G$12),0)</f>
        <v>0</v>
      </c>
      <c r="AL130" s="69" t="n">
        <f aca="false">IF(AL129&gt;0.5,AL129*(1+$E$13)+$G$13-MIN($F$13,AL129*(1+$E$13)+$G$13),0)</f>
        <v>0</v>
      </c>
      <c r="AM130" s="69" t="n">
        <f aca="false">IF(AM129&gt;0.5,AM129*(1+$E$14)+$G$14-MIN($F$14,AM129*(1+$E$14)+$G$14),0)</f>
        <v>0</v>
      </c>
      <c r="AN130" s="69" t="n">
        <f aca="false">IF(AN129&gt;0.5,AN129*(1+$E$15)+$G$15-MIN($F$15,AN129*(1+$E$15)+$G$15),0)</f>
        <v>0</v>
      </c>
      <c r="AO130" s="69" t="n">
        <f aca="false">IF(AO129&gt;0.5,AO129*(1+$E$16)+$G$16-MIN($F$16,AO129*(1+$E$16)+$G$16),0)</f>
        <v>0</v>
      </c>
      <c r="AP130" s="69" t="n">
        <f aca="false">IF(AP129&gt;0.5,AP129*(1+$E$17)+$G$17-MIN($F$17,AP129*(1+$E$17)+$G$17),0)</f>
        <v>0</v>
      </c>
      <c r="AQ130" s="69" t="n">
        <f aca="false">IF(AQ129&gt;0.5,AQ129*(1+$E$18)+$G$18-MIN($F$18,AQ129*(1+$E$18)+$G$18),0)</f>
        <v>0</v>
      </c>
      <c r="AR130" s="69" t="n">
        <f aca="false">IF(AR129&gt;0.5,AR129*(1+$E$19)+$G$19-MIN($F$19,AR129*(1+$E$19)+$G$19),0)</f>
        <v>0</v>
      </c>
      <c r="AS130" s="69" t="n">
        <f aca="false">H130+L130+P130+T130+X130+AB130+AF130+AJ130</f>
        <v>0</v>
      </c>
      <c r="AT130" s="69" t="n">
        <f aca="false">SUM(AK130:AR130)</f>
        <v>0</v>
      </c>
      <c r="AU130" s="69" t="n">
        <f aca="false">F130+G130+J130+K130+N130+O130+R130+S130+V130+W130+Z130+AA130+AD130+AE130+AH130+AI130</f>
        <v>0</v>
      </c>
    </row>
    <row r="131" customFormat="false" ht="15" hidden="false" customHeight="false" outlineLevel="0" collapsed="false">
      <c r="B131" s="0" t="n">
        <v>104</v>
      </c>
      <c r="C131" s="68" t="n">
        <f aca="false">EDATE($C$7,103)</f>
        <v>49430</v>
      </c>
      <c r="D131" s="69" t="n">
        <f aca="false">$C$8-(F131+J131+N131+R131+V131+Z131+AD131+AH131)</f>
        <v>0</v>
      </c>
      <c r="E131" s="69" t="n">
        <f aca="false">IF(H130&gt;0.5,H130*(1+E$23)+E$24,0)</f>
        <v>0</v>
      </c>
      <c r="F131" s="69" t="n">
        <f aca="false">MIN(F$23,E131)</f>
        <v>0</v>
      </c>
      <c r="G131" s="69" t="n">
        <f aca="false">IF(AND(F$24=1,OR(E$25="",$C131&gt;=E$25)),MAX(0,MIN(E131-F131,$D131-(0))),0)</f>
        <v>0</v>
      </c>
      <c r="H131" s="69" t="n">
        <f aca="false">E131-F131-G131</f>
        <v>0</v>
      </c>
      <c r="I131" s="69" t="n">
        <f aca="false">IF(L130&gt;0.5,L130*(1+I$23)+I$24,0)</f>
        <v>0</v>
      </c>
      <c r="J131" s="69" t="n">
        <f aca="false">MIN(J$23,I131)</f>
        <v>0</v>
      </c>
      <c r="K131" s="69" t="n">
        <f aca="false">IF(AND(J$24=1,OR(I$25="",$C131&gt;=I$25)),MAX(0,MIN(I131-J131,$D131-(G131))),0)</f>
        <v>0</v>
      </c>
      <c r="L131" s="69" t="n">
        <f aca="false">I131-J131-K131</f>
        <v>0</v>
      </c>
      <c r="M131" s="69" t="n">
        <f aca="false">IF(P130&gt;0.5,P130*(1+M$23)+M$24,0)</f>
        <v>0</v>
      </c>
      <c r="N131" s="69" t="n">
        <f aca="false">MIN(N$23,M131)</f>
        <v>0</v>
      </c>
      <c r="O131" s="69" t="n">
        <f aca="false">IF(AND(N$24=1,OR(M$25="",$C131&gt;=M$25)),MAX(0,MIN(M131-N131,$D131-(G131+K131))),0)</f>
        <v>0</v>
      </c>
      <c r="P131" s="69" t="n">
        <f aca="false">M131-N131-O131</f>
        <v>0</v>
      </c>
      <c r="Q131" s="69" t="n">
        <f aca="false">IF(T130&gt;0.5,T130*(1+Q$23)+Q$24,0)</f>
        <v>0</v>
      </c>
      <c r="R131" s="69" t="n">
        <f aca="false">MIN(R$23,Q131)</f>
        <v>0</v>
      </c>
      <c r="S131" s="69" t="n">
        <f aca="false">IF(AND(R$24=1,OR(Q$25="",$C131&gt;=Q$25)),MAX(0,MIN(Q131-R131,$D131-(G131+K131+O131))),0)</f>
        <v>0</v>
      </c>
      <c r="T131" s="69" t="n">
        <f aca="false">Q131-R131-S131</f>
        <v>0</v>
      </c>
      <c r="U131" s="69" t="n">
        <f aca="false">IF(X130&gt;0.5,X130*(1+U$23)+U$24,0)</f>
        <v>0</v>
      </c>
      <c r="V131" s="69" t="n">
        <f aca="false">MIN(V$23,U131)</f>
        <v>0</v>
      </c>
      <c r="W131" s="69" t="n">
        <f aca="false">IF(AND(V$24=1,OR(U$25="",$C131&gt;=U$25)),MAX(0,MIN(U131-V131,$D131-(G131+K131+O131+S131))),0)</f>
        <v>0</v>
      </c>
      <c r="X131" s="69" t="n">
        <f aca="false">U131-V131-W131</f>
        <v>0</v>
      </c>
      <c r="Y131" s="69" t="n">
        <f aca="false">IF(AB130&gt;0.5,AB130*(1+Y$23)+Y$24,0)</f>
        <v>0</v>
      </c>
      <c r="Z131" s="69" t="n">
        <f aca="false">MIN(Z$23,Y131)</f>
        <v>0</v>
      </c>
      <c r="AA131" s="69" t="n">
        <f aca="false">IF(AND(Z$24=1,OR(Y$25="",$C131&gt;=Y$25)),MAX(0,MIN(Y131-Z131,$D131-(G131+K131+O131+S131+W131))),0)</f>
        <v>0</v>
      </c>
      <c r="AB131" s="69" t="n">
        <f aca="false">Y131-Z131-AA131</f>
        <v>0</v>
      </c>
      <c r="AC131" s="69" t="n">
        <f aca="false">IF(AF130&gt;0.5,AF130*(1+AC$23)+AC$24,0)</f>
        <v>0</v>
      </c>
      <c r="AD131" s="69" t="n">
        <f aca="false">MIN(AD$23,AC131)</f>
        <v>0</v>
      </c>
      <c r="AE131" s="69" t="n">
        <f aca="false">IF(AND(AD$24=1,OR(AC$25="",$C131&gt;=AC$25)),MAX(0,MIN(AC131-AD131,$D131-(G131+K131+O131+S131+W131+AA131))),0)</f>
        <v>0</v>
      </c>
      <c r="AF131" s="69" t="n">
        <f aca="false">AC131-AD131-AE131</f>
        <v>0</v>
      </c>
      <c r="AG131" s="69" t="n">
        <f aca="false">IF(AJ130&gt;0.5,AJ130*(1+AG$23)+AG$24,0)</f>
        <v>0</v>
      </c>
      <c r="AH131" s="69" t="n">
        <f aca="false">MIN(AH$23,AG131)</f>
        <v>0</v>
      </c>
      <c r="AI131" s="69" t="n">
        <f aca="false">IF(AND(AH$24=1,OR(AG$25="",$C131&gt;=AG$25)),MAX(0,MIN(AG131-AH131,$D131-(G131+K131+O131+S131+W131+AA131+AE131))),0)</f>
        <v>0</v>
      </c>
      <c r="AJ131" s="69" t="n">
        <f aca="false">AG131-AH131-AI131</f>
        <v>0</v>
      </c>
      <c r="AK131" s="69" t="n">
        <f aca="false">IF(AK130&gt;0.5,AK130*(1+$E$12)+$G$12-MIN($F$12,AK130*(1+$E$12)+$G$12),0)</f>
        <v>0</v>
      </c>
      <c r="AL131" s="69" t="n">
        <f aca="false">IF(AL130&gt;0.5,AL130*(1+$E$13)+$G$13-MIN($F$13,AL130*(1+$E$13)+$G$13),0)</f>
        <v>0</v>
      </c>
      <c r="AM131" s="69" t="n">
        <f aca="false">IF(AM130&gt;0.5,AM130*(1+$E$14)+$G$14-MIN($F$14,AM130*(1+$E$14)+$G$14),0)</f>
        <v>0</v>
      </c>
      <c r="AN131" s="69" t="n">
        <f aca="false">IF(AN130&gt;0.5,AN130*(1+$E$15)+$G$15-MIN($F$15,AN130*(1+$E$15)+$G$15),0)</f>
        <v>0</v>
      </c>
      <c r="AO131" s="69" t="n">
        <f aca="false">IF(AO130&gt;0.5,AO130*(1+$E$16)+$G$16-MIN($F$16,AO130*(1+$E$16)+$G$16),0)</f>
        <v>0</v>
      </c>
      <c r="AP131" s="69" t="n">
        <f aca="false">IF(AP130&gt;0.5,AP130*(1+$E$17)+$G$17-MIN($F$17,AP130*(1+$E$17)+$G$17),0)</f>
        <v>0</v>
      </c>
      <c r="AQ131" s="69" t="n">
        <f aca="false">IF(AQ130&gt;0.5,AQ130*(1+$E$18)+$G$18-MIN($F$18,AQ130*(1+$E$18)+$G$18),0)</f>
        <v>0</v>
      </c>
      <c r="AR131" s="69" t="n">
        <f aca="false">IF(AR130&gt;0.5,AR130*(1+$E$19)+$G$19-MIN($F$19,AR130*(1+$E$19)+$G$19),0)</f>
        <v>0</v>
      </c>
      <c r="AS131" s="69" t="n">
        <f aca="false">H131+L131+P131+T131+X131+AB131+AF131+AJ131</f>
        <v>0</v>
      </c>
      <c r="AT131" s="69" t="n">
        <f aca="false">SUM(AK131:AR131)</f>
        <v>0</v>
      </c>
      <c r="AU131" s="69" t="n">
        <f aca="false">F131+G131+J131+K131+N131+O131+R131+S131+V131+W131+Z131+AA131+AD131+AE131+AH131+AI131</f>
        <v>0</v>
      </c>
    </row>
    <row r="132" customFormat="false" ht="15" hidden="false" customHeight="false" outlineLevel="0" collapsed="false">
      <c r="B132" s="0" t="n">
        <v>105</v>
      </c>
      <c r="C132" s="68" t="n">
        <f aca="false">EDATE($C$7,104)</f>
        <v>49461</v>
      </c>
      <c r="D132" s="69" t="n">
        <f aca="false">$C$8-(F132+J132+N132+R132+V132+Z132+AD132+AH132)</f>
        <v>0</v>
      </c>
      <c r="E132" s="69" t="n">
        <f aca="false">IF(H131&gt;0.5,H131*(1+E$23)+E$24,0)</f>
        <v>0</v>
      </c>
      <c r="F132" s="69" t="n">
        <f aca="false">MIN(F$23,E132)</f>
        <v>0</v>
      </c>
      <c r="G132" s="69" t="n">
        <f aca="false">IF(AND(F$24=1,OR(E$25="",$C132&gt;=E$25)),MAX(0,MIN(E132-F132,$D132-(0))),0)</f>
        <v>0</v>
      </c>
      <c r="H132" s="69" t="n">
        <f aca="false">E132-F132-G132</f>
        <v>0</v>
      </c>
      <c r="I132" s="69" t="n">
        <f aca="false">IF(L131&gt;0.5,L131*(1+I$23)+I$24,0)</f>
        <v>0</v>
      </c>
      <c r="J132" s="69" t="n">
        <f aca="false">MIN(J$23,I132)</f>
        <v>0</v>
      </c>
      <c r="K132" s="69" t="n">
        <f aca="false">IF(AND(J$24=1,OR(I$25="",$C132&gt;=I$25)),MAX(0,MIN(I132-J132,$D132-(G132))),0)</f>
        <v>0</v>
      </c>
      <c r="L132" s="69" t="n">
        <f aca="false">I132-J132-K132</f>
        <v>0</v>
      </c>
      <c r="M132" s="69" t="n">
        <f aca="false">IF(P131&gt;0.5,P131*(1+M$23)+M$24,0)</f>
        <v>0</v>
      </c>
      <c r="N132" s="69" t="n">
        <f aca="false">MIN(N$23,M132)</f>
        <v>0</v>
      </c>
      <c r="O132" s="69" t="n">
        <f aca="false">IF(AND(N$24=1,OR(M$25="",$C132&gt;=M$25)),MAX(0,MIN(M132-N132,$D132-(G132+K132))),0)</f>
        <v>0</v>
      </c>
      <c r="P132" s="69" t="n">
        <f aca="false">M132-N132-O132</f>
        <v>0</v>
      </c>
      <c r="Q132" s="69" t="n">
        <f aca="false">IF(T131&gt;0.5,T131*(1+Q$23)+Q$24,0)</f>
        <v>0</v>
      </c>
      <c r="R132" s="69" t="n">
        <f aca="false">MIN(R$23,Q132)</f>
        <v>0</v>
      </c>
      <c r="S132" s="69" t="n">
        <f aca="false">IF(AND(R$24=1,OR(Q$25="",$C132&gt;=Q$25)),MAX(0,MIN(Q132-R132,$D132-(G132+K132+O132))),0)</f>
        <v>0</v>
      </c>
      <c r="T132" s="69" t="n">
        <f aca="false">Q132-R132-S132</f>
        <v>0</v>
      </c>
      <c r="U132" s="69" t="n">
        <f aca="false">IF(X131&gt;0.5,X131*(1+U$23)+U$24,0)</f>
        <v>0</v>
      </c>
      <c r="V132" s="69" t="n">
        <f aca="false">MIN(V$23,U132)</f>
        <v>0</v>
      </c>
      <c r="W132" s="69" t="n">
        <f aca="false">IF(AND(V$24=1,OR(U$25="",$C132&gt;=U$25)),MAX(0,MIN(U132-V132,$D132-(G132+K132+O132+S132))),0)</f>
        <v>0</v>
      </c>
      <c r="X132" s="69" t="n">
        <f aca="false">U132-V132-W132</f>
        <v>0</v>
      </c>
      <c r="Y132" s="69" t="n">
        <f aca="false">IF(AB131&gt;0.5,AB131*(1+Y$23)+Y$24,0)</f>
        <v>0</v>
      </c>
      <c r="Z132" s="69" t="n">
        <f aca="false">MIN(Z$23,Y132)</f>
        <v>0</v>
      </c>
      <c r="AA132" s="69" t="n">
        <f aca="false">IF(AND(Z$24=1,OR(Y$25="",$C132&gt;=Y$25)),MAX(0,MIN(Y132-Z132,$D132-(G132+K132+O132+S132+W132))),0)</f>
        <v>0</v>
      </c>
      <c r="AB132" s="69" t="n">
        <f aca="false">Y132-Z132-AA132</f>
        <v>0</v>
      </c>
      <c r="AC132" s="69" t="n">
        <f aca="false">IF(AF131&gt;0.5,AF131*(1+AC$23)+AC$24,0)</f>
        <v>0</v>
      </c>
      <c r="AD132" s="69" t="n">
        <f aca="false">MIN(AD$23,AC132)</f>
        <v>0</v>
      </c>
      <c r="AE132" s="69" t="n">
        <f aca="false">IF(AND(AD$24=1,OR(AC$25="",$C132&gt;=AC$25)),MAX(0,MIN(AC132-AD132,$D132-(G132+K132+O132+S132+W132+AA132))),0)</f>
        <v>0</v>
      </c>
      <c r="AF132" s="69" t="n">
        <f aca="false">AC132-AD132-AE132</f>
        <v>0</v>
      </c>
      <c r="AG132" s="69" t="n">
        <f aca="false">IF(AJ131&gt;0.5,AJ131*(1+AG$23)+AG$24,0)</f>
        <v>0</v>
      </c>
      <c r="AH132" s="69" t="n">
        <f aca="false">MIN(AH$23,AG132)</f>
        <v>0</v>
      </c>
      <c r="AI132" s="69" t="n">
        <f aca="false">IF(AND(AH$24=1,OR(AG$25="",$C132&gt;=AG$25)),MAX(0,MIN(AG132-AH132,$D132-(G132+K132+O132+S132+W132+AA132+AE132))),0)</f>
        <v>0</v>
      </c>
      <c r="AJ132" s="69" t="n">
        <f aca="false">AG132-AH132-AI132</f>
        <v>0</v>
      </c>
      <c r="AK132" s="69" t="n">
        <f aca="false">IF(AK131&gt;0.5,AK131*(1+$E$12)+$G$12-MIN($F$12,AK131*(1+$E$12)+$G$12),0)</f>
        <v>0</v>
      </c>
      <c r="AL132" s="69" t="n">
        <f aca="false">IF(AL131&gt;0.5,AL131*(1+$E$13)+$G$13-MIN($F$13,AL131*(1+$E$13)+$G$13),0)</f>
        <v>0</v>
      </c>
      <c r="AM132" s="69" t="n">
        <f aca="false">IF(AM131&gt;0.5,AM131*(1+$E$14)+$G$14-MIN($F$14,AM131*(1+$E$14)+$G$14),0)</f>
        <v>0</v>
      </c>
      <c r="AN132" s="69" t="n">
        <f aca="false">IF(AN131&gt;0.5,AN131*(1+$E$15)+$G$15-MIN($F$15,AN131*(1+$E$15)+$G$15),0)</f>
        <v>0</v>
      </c>
      <c r="AO132" s="69" t="n">
        <f aca="false">IF(AO131&gt;0.5,AO131*(1+$E$16)+$G$16-MIN($F$16,AO131*(1+$E$16)+$G$16),0)</f>
        <v>0</v>
      </c>
      <c r="AP132" s="69" t="n">
        <f aca="false">IF(AP131&gt;0.5,AP131*(1+$E$17)+$G$17-MIN($F$17,AP131*(1+$E$17)+$G$17),0)</f>
        <v>0</v>
      </c>
      <c r="AQ132" s="69" t="n">
        <f aca="false">IF(AQ131&gt;0.5,AQ131*(1+$E$18)+$G$18-MIN($F$18,AQ131*(1+$E$18)+$G$18),0)</f>
        <v>0</v>
      </c>
      <c r="AR132" s="69" t="n">
        <f aca="false">IF(AR131&gt;0.5,AR131*(1+$E$19)+$G$19-MIN($F$19,AR131*(1+$E$19)+$G$19),0)</f>
        <v>0</v>
      </c>
      <c r="AS132" s="69" t="n">
        <f aca="false">H132+L132+P132+T132+X132+AB132+AF132+AJ132</f>
        <v>0</v>
      </c>
      <c r="AT132" s="69" t="n">
        <f aca="false">SUM(AK132:AR132)</f>
        <v>0</v>
      </c>
      <c r="AU132" s="69" t="n">
        <f aca="false">F132+G132+J132+K132+N132+O132+R132+S132+V132+W132+Z132+AA132+AD132+AE132+AH132+AI132</f>
        <v>0</v>
      </c>
    </row>
    <row r="133" customFormat="false" ht="15" hidden="false" customHeight="false" outlineLevel="0" collapsed="false">
      <c r="B133" s="0" t="n">
        <v>106</v>
      </c>
      <c r="C133" s="68" t="n">
        <f aca="false">EDATE($C$7,105)</f>
        <v>49491</v>
      </c>
      <c r="D133" s="69" t="n">
        <f aca="false">$C$8-(F133+J133+N133+R133+V133+Z133+AD133+AH133)</f>
        <v>0</v>
      </c>
      <c r="E133" s="69" t="n">
        <f aca="false">IF(H132&gt;0.5,H132*(1+E$23)+E$24,0)</f>
        <v>0</v>
      </c>
      <c r="F133" s="69" t="n">
        <f aca="false">MIN(F$23,E133)</f>
        <v>0</v>
      </c>
      <c r="G133" s="69" t="n">
        <f aca="false">IF(AND(F$24=1,OR(E$25="",$C133&gt;=E$25)),MAX(0,MIN(E133-F133,$D133-(0))),0)</f>
        <v>0</v>
      </c>
      <c r="H133" s="69" t="n">
        <f aca="false">E133-F133-G133</f>
        <v>0</v>
      </c>
      <c r="I133" s="69" t="n">
        <f aca="false">IF(L132&gt;0.5,L132*(1+I$23)+I$24,0)</f>
        <v>0</v>
      </c>
      <c r="J133" s="69" t="n">
        <f aca="false">MIN(J$23,I133)</f>
        <v>0</v>
      </c>
      <c r="K133" s="69" t="n">
        <f aca="false">IF(AND(J$24=1,OR(I$25="",$C133&gt;=I$25)),MAX(0,MIN(I133-J133,$D133-(G133))),0)</f>
        <v>0</v>
      </c>
      <c r="L133" s="69" t="n">
        <f aca="false">I133-J133-K133</f>
        <v>0</v>
      </c>
      <c r="M133" s="69" t="n">
        <f aca="false">IF(P132&gt;0.5,P132*(1+M$23)+M$24,0)</f>
        <v>0</v>
      </c>
      <c r="N133" s="69" t="n">
        <f aca="false">MIN(N$23,M133)</f>
        <v>0</v>
      </c>
      <c r="O133" s="69" t="n">
        <f aca="false">IF(AND(N$24=1,OR(M$25="",$C133&gt;=M$25)),MAX(0,MIN(M133-N133,$D133-(G133+K133))),0)</f>
        <v>0</v>
      </c>
      <c r="P133" s="69" t="n">
        <f aca="false">M133-N133-O133</f>
        <v>0</v>
      </c>
      <c r="Q133" s="69" t="n">
        <f aca="false">IF(T132&gt;0.5,T132*(1+Q$23)+Q$24,0)</f>
        <v>0</v>
      </c>
      <c r="R133" s="69" t="n">
        <f aca="false">MIN(R$23,Q133)</f>
        <v>0</v>
      </c>
      <c r="S133" s="69" t="n">
        <f aca="false">IF(AND(R$24=1,OR(Q$25="",$C133&gt;=Q$25)),MAX(0,MIN(Q133-R133,$D133-(G133+K133+O133))),0)</f>
        <v>0</v>
      </c>
      <c r="T133" s="69" t="n">
        <f aca="false">Q133-R133-S133</f>
        <v>0</v>
      </c>
      <c r="U133" s="69" t="n">
        <f aca="false">IF(X132&gt;0.5,X132*(1+U$23)+U$24,0)</f>
        <v>0</v>
      </c>
      <c r="V133" s="69" t="n">
        <f aca="false">MIN(V$23,U133)</f>
        <v>0</v>
      </c>
      <c r="W133" s="69" t="n">
        <f aca="false">IF(AND(V$24=1,OR(U$25="",$C133&gt;=U$25)),MAX(0,MIN(U133-V133,$D133-(G133+K133+O133+S133))),0)</f>
        <v>0</v>
      </c>
      <c r="X133" s="69" t="n">
        <f aca="false">U133-V133-W133</f>
        <v>0</v>
      </c>
      <c r="Y133" s="69" t="n">
        <f aca="false">IF(AB132&gt;0.5,AB132*(1+Y$23)+Y$24,0)</f>
        <v>0</v>
      </c>
      <c r="Z133" s="69" t="n">
        <f aca="false">MIN(Z$23,Y133)</f>
        <v>0</v>
      </c>
      <c r="AA133" s="69" t="n">
        <f aca="false">IF(AND(Z$24=1,OR(Y$25="",$C133&gt;=Y$25)),MAX(0,MIN(Y133-Z133,$D133-(G133+K133+O133+S133+W133))),0)</f>
        <v>0</v>
      </c>
      <c r="AB133" s="69" t="n">
        <f aca="false">Y133-Z133-AA133</f>
        <v>0</v>
      </c>
      <c r="AC133" s="69" t="n">
        <f aca="false">IF(AF132&gt;0.5,AF132*(1+AC$23)+AC$24,0)</f>
        <v>0</v>
      </c>
      <c r="AD133" s="69" t="n">
        <f aca="false">MIN(AD$23,AC133)</f>
        <v>0</v>
      </c>
      <c r="AE133" s="69" t="n">
        <f aca="false">IF(AND(AD$24=1,OR(AC$25="",$C133&gt;=AC$25)),MAX(0,MIN(AC133-AD133,$D133-(G133+K133+O133+S133+W133+AA133))),0)</f>
        <v>0</v>
      </c>
      <c r="AF133" s="69" t="n">
        <f aca="false">AC133-AD133-AE133</f>
        <v>0</v>
      </c>
      <c r="AG133" s="69" t="n">
        <f aca="false">IF(AJ132&gt;0.5,AJ132*(1+AG$23)+AG$24,0)</f>
        <v>0</v>
      </c>
      <c r="AH133" s="69" t="n">
        <f aca="false">MIN(AH$23,AG133)</f>
        <v>0</v>
      </c>
      <c r="AI133" s="69" t="n">
        <f aca="false">IF(AND(AH$24=1,OR(AG$25="",$C133&gt;=AG$25)),MAX(0,MIN(AG133-AH133,$D133-(G133+K133+O133+S133+W133+AA133+AE133))),0)</f>
        <v>0</v>
      </c>
      <c r="AJ133" s="69" t="n">
        <f aca="false">AG133-AH133-AI133</f>
        <v>0</v>
      </c>
      <c r="AK133" s="69" t="n">
        <f aca="false">IF(AK132&gt;0.5,AK132*(1+$E$12)+$G$12-MIN($F$12,AK132*(1+$E$12)+$G$12),0)</f>
        <v>0</v>
      </c>
      <c r="AL133" s="69" t="n">
        <f aca="false">IF(AL132&gt;0.5,AL132*(1+$E$13)+$G$13-MIN($F$13,AL132*(1+$E$13)+$G$13),0)</f>
        <v>0</v>
      </c>
      <c r="AM133" s="69" t="n">
        <f aca="false">IF(AM132&gt;0.5,AM132*(1+$E$14)+$G$14-MIN($F$14,AM132*(1+$E$14)+$G$14),0)</f>
        <v>0</v>
      </c>
      <c r="AN133" s="69" t="n">
        <f aca="false">IF(AN132&gt;0.5,AN132*(1+$E$15)+$G$15-MIN($F$15,AN132*(1+$E$15)+$G$15),0)</f>
        <v>0</v>
      </c>
      <c r="AO133" s="69" t="n">
        <f aca="false">IF(AO132&gt;0.5,AO132*(1+$E$16)+$G$16-MIN($F$16,AO132*(1+$E$16)+$G$16),0)</f>
        <v>0</v>
      </c>
      <c r="AP133" s="69" t="n">
        <f aca="false">IF(AP132&gt;0.5,AP132*(1+$E$17)+$G$17-MIN($F$17,AP132*(1+$E$17)+$G$17),0)</f>
        <v>0</v>
      </c>
      <c r="AQ133" s="69" t="n">
        <f aca="false">IF(AQ132&gt;0.5,AQ132*(1+$E$18)+$G$18-MIN($F$18,AQ132*(1+$E$18)+$G$18),0)</f>
        <v>0</v>
      </c>
      <c r="AR133" s="69" t="n">
        <f aca="false">IF(AR132&gt;0.5,AR132*(1+$E$19)+$G$19-MIN($F$19,AR132*(1+$E$19)+$G$19),0)</f>
        <v>0</v>
      </c>
      <c r="AS133" s="69" t="n">
        <f aca="false">H133+L133+P133+T133+X133+AB133+AF133+AJ133</f>
        <v>0</v>
      </c>
      <c r="AT133" s="69" t="n">
        <f aca="false">SUM(AK133:AR133)</f>
        <v>0</v>
      </c>
      <c r="AU133" s="69" t="n">
        <f aca="false">F133+G133+J133+K133+N133+O133+R133+S133+V133+W133+Z133+AA133+AD133+AE133+AH133+AI133</f>
        <v>0</v>
      </c>
    </row>
    <row r="134" customFormat="false" ht="15" hidden="false" customHeight="false" outlineLevel="0" collapsed="false">
      <c r="B134" s="0" t="n">
        <v>107</v>
      </c>
      <c r="C134" s="68" t="n">
        <f aca="false">EDATE($C$7,106)</f>
        <v>49522</v>
      </c>
      <c r="D134" s="69" t="n">
        <f aca="false">$C$8-(F134+J134+N134+R134+V134+Z134+AD134+AH134)</f>
        <v>0</v>
      </c>
      <c r="E134" s="69" t="n">
        <f aca="false">IF(H133&gt;0.5,H133*(1+E$23)+E$24,0)</f>
        <v>0</v>
      </c>
      <c r="F134" s="69" t="n">
        <f aca="false">MIN(F$23,E134)</f>
        <v>0</v>
      </c>
      <c r="G134" s="69" t="n">
        <f aca="false">IF(AND(F$24=1,OR(E$25="",$C134&gt;=E$25)),MAX(0,MIN(E134-F134,$D134-(0))),0)</f>
        <v>0</v>
      </c>
      <c r="H134" s="69" t="n">
        <f aca="false">E134-F134-G134</f>
        <v>0</v>
      </c>
      <c r="I134" s="69" t="n">
        <f aca="false">IF(L133&gt;0.5,L133*(1+I$23)+I$24,0)</f>
        <v>0</v>
      </c>
      <c r="J134" s="69" t="n">
        <f aca="false">MIN(J$23,I134)</f>
        <v>0</v>
      </c>
      <c r="K134" s="69" t="n">
        <f aca="false">IF(AND(J$24=1,OR(I$25="",$C134&gt;=I$25)),MAX(0,MIN(I134-J134,$D134-(G134))),0)</f>
        <v>0</v>
      </c>
      <c r="L134" s="69" t="n">
        <f aca="false">I134-J134-K134</f>
        <v>0</v>
      </c>
      <c r="M134" s="69" t="n">
        <f aca="false">IF(P133&gt;0.5,P133*(1+M$23)+M$24,0)</f>
        <v>0</v>
      </c>
      <c r="N134" s="69" t="n">
        <f aca="false">MIN(N$23,M134)</f>
        <v>0</v>
      </c>
      <c r="O134" s="69" t="n">
        <f aca="false">IF(AND(N$24=1,OR(M$25="",$C134&gt;=M$25)),MAX(0,MIN(M134-N134,$D134-(G134+K134))),0)</f>
        <v>0</v>
      </c>
      <c r="P134" s="69" t="n">
        <f aca="false">M134-N134-O134</f>
        <v>0</v>
      </c>
      <c r="Q134" s="69" t="n">
        <f aca="false">IF(T133&gt;0.5,T133*(1+Q$23)+Q$24,0)</f>
        <v>0</v>
      </c>
      <c r="R134" s="69" t="n">
        <f aca="false">MIN(R$23,Q134)</f>
        <v>0</v>
      </c>
      <c r="S134" s="69" t="n">
        <f aca="false">IF(AND(R$24=1,OR(Q$25="",$C134&gt;=Q$25)),MAX(0,MIN(Q134-R134,$D134-(G134+K134+O134))),0)</f>
        <v>0</v>
      </c>
      <c r="T134" s="69" t="n">
        <f aca="false">Q134-R134-S134</f>
        <v>0</v>
      </c>
      <c r="U134" s="69" t="n">
        <f aca="false">IF(X133&gt;0.5,X133*(1+U$23)+U$24,0)</f>
        <v>0</v>
      </c>
      <c r="V134" s="69" t="n">
        <f aca="false">MIN(V$23,U134)</f>
        <v>0</v>
      </c>
      <c r="W134" s="69" t="n">
        <f aca="false">IF(AND(V$24=1,OR(U$25="",$C134&gt;=U$25)),MAX(0,MIN(U134-V134,$D134-(G134+K134+O134+S134))),0)</f>
        <v>0</v>
      </c>
      <c r="X134" s="69" t="n">
        <f aca="false">U134-V134-W134</f>
        <v>0</v>
      </c>
      <c r="Y134" s="69" t="n">
        <f aca="false">IF(AB133&gt;0.5,AB133*(1+Y$23)+Y$24,0)</f>
        <v>0</v>
      </c>
      <c r="Z134" s="69" t="n">
        <f aca="false">MIN(Z$23,Y134)</f>
        <v>0</v>
      </c>
      <c r="AA134" s="69" t="n">
        <f aca="false">IF(AND(Z$24=1,OR(Y$25="",$C134&gt;=Y$25)),MAX(0,MIN(Y134-Z134,$D134-(G134+K134+O134+S134+W134))),0)</f>
        <v>0</v>
      </c>
      <c r="AB134" s="69" t="n">
        <f aca="false">Y134-Z134-AA134</f>
        <v>0</v>
      </c>
      <c r="AC134" s="69" t="n">
        <f aca="false">IF(AF133&gt;0.5,AF133*(1+AC$23)+AC$24,0)</f>
        <v>0</v>
      </c>
      <c r="AD134" s="69" t="n">
        <f aca="false">MIN(AD$23,AC134)</f>
        <v>0</v>
      </c>
      <c r="AE134" s="69" t="n">
        <f aca="false">IF(AND(AD$24=1,OR(AC$25="",$C134&gt;=AC$25)),MAX(0,MIN(AC134-AD134,$D134-(G134+K134+O134+S134+W134+AA134))),0)</f>
        <v>0</v>
      </c>
      <c r="AF134" s="69" t="n">
        <f aca="false">AC134-AD134-AE134</f>
        <v>0</v>
      </c>
      <c r="AG134" s="69" t="n">
        <f aca="false">IF(AJ133&gt;0.5,AJ133*(1+AG$23)+AG$24,0)</f>
        <v>0</v>
      </c>
      <c r="AH134" s="69" t="n">
        <f aca="false">MIN(AH$23,AG134)</f>
        <v>0</v>
      </c>
      <c r="AI134" s="69" t="n">
        <f aca="false">IF(AND(AH$24=1,OR(AG$25="",$C134&gt;=AG$25)),MAX(0,MIN(AG134-AH134,$D134-(G134+K134+O134+S134+W134+AA134+AE134))),0)</f>
        <v>0</v>
      </c>
      <c r="AJ134" s="69" t="n">
        <f aca="false">AG134-AH134-AI134</f>
        <v>0</v>
      </c>
      <c r="AK134" s="69" t="n">
        <f aca="false">IF(AK133&gt;0.5,AK133*(1+$E$12)+$G$12-MIN($F$12,AK133*(1+$E$12)+$G$12),0)</f>
        <v>0</v>
      </c>
      <c r="AL134" s="69" t="n">
        <f aca="false">IF(AL133&gt;0.5,AL133*(1+$E$13)+$G$13-MIN($F$13,AL133*(1+$E$13)+$G$13),0)</f>
        <v>0</v>
      </c>
      <c r="AM134" s="69" t="n">
        <f aca="false">IF(AM133&gt;0.5,AM133*(1+$E$14)+$G$14-MIN($F$14,AM133*(1+$E$14)+$G$14),0)</f>
        <v>0</v>
      </c>
      <c r="AN134" s="69" t="n">
        <f aca="false">IF(AN133&gt;0.5,AN133*(1+$E$15)+$G$15-MIN($F$15,AN133*(1+$E$15)+$G$15),0)</f>
        <v>0</v>
      </c>
      <c r="AO134" s="69" t="n">
        <f aca="false">IF(AO133&gt;0.5,AO133*(1+$E$16)+$G$16-MIN($F$16,AO133*(1+$E$16)+$G$16),0)</f>
        <v>0</v>
      </c>
      <c r="AP134" s="69" t="n">
        <f aca="false">IF(AP133&gt;0.5,AP133*(1+$E$17)+$G$17-MIN($F$17,AP133*(1+$E$17)+$G$17),0)</f>
        <v>0</v>
      </c>
      <c r="AQ134" s="69" t="n">
        <f aca="false">IF(AQ133&gt;0.5,AQ133*(1+$E$18)+$G$18-MIN($F$18,AQ133*(1+$E$18)+$G$18),0)</f>
        <v>0</v>
      </c>
      <c r="AR134" s="69" t="n">
        <f aca="false">IF(AR133&gt;0.5,AR133*(1+$E$19)+$G$19-MIN($F$19,AR133*(1+$E$19)+$G$19),0)</f>
        <v>0</v>
      </c>
      <c r="AS134" s="69" t="n">
        <f aca="false">H134+L134+P134+T134+X134+AB134+AF134+AJ134</f>
        <v>0</v>
      </c>
      <c r="AT134" s="69" t="n">
        <f aca="false">SUM(AK134:AR134)</f>
        <v>0</v>
      </c>
      <c r="AU134" s="69" t="n">
        <f aca="false">F134+G134+J134+K134+N134+O134+R134+S134+V134+W134+Z134+AA134+AD134+AE134+AH134+AI134</f>
        <v>0</v>
      </c>
    </row>
    <row r="135" customFormat="false" ht="15" hidden="false" customHeight="false" outlineLevel="0" collapsed="false">
      <c r="B135" s="0" t="n">
        <v>108</v>
      </c>
      <c r="C135" s="68" t="n">
        <f aca="false">EDATE($C$7,107)</f>
        <v>49553</v>
      </c>
      <c r="D135" s="69" t="n">
        <f aca="false">$C$8-(F135+J135+N135+R135+V135+Z135+AD135+AH135)</f>
        <v>0</v>
      </c>
      <c r="E135" s="69" t="n">
        <f aca="false">IF(H134&gt;0.5,H134*(1+E$23)+E$24,0)</f>
        <v>0</v>
      </c>
      <c r="F135" s="69" t="n">
        <f aca="false">MIN(F$23,E135)</f>
        <v>0</v>
      </c>
      <c r="G135" s="69" t="n">
        <f aca="false">IF(AND(F$24=1,OR(E$25="",$C135&gt;=E$25)),MAX(0,MIN(E135-F135,$D135-(0))),0)</f>
        <v>0</v>
      </c>
      <c r="H135" s="69" t="n">
        <f aca="false">E135-F135-G135</f>
        <v>0</v>
      </c>
      <c r="I135" s="69" t="n">
        <f aca="false">IF(L134&gt;0.5,L134*(1+I$23)+I$24,0)</f>
        <v>0</v>
      </c>
      <c r="J135" s="69" t="n">
        <f aca="false">MIN(J$23,I135)</f>
        <v>0</v>
      </c>
      <c r="K135" s="69" t="n">
        <f aca="false">IF(AND(J$24=1,OR(I$25="",$C135&gt;=I$25)),MAX(0,MIN(I135-J135,$D135-(G135))),0)</f>
        <v>0</v>
      </c>
      <c r="L135" s="69" t="n">
        <f aca="false">I135-J135-K135</f>
        <v>0</v>
      </c>
      <c r="M135" s="69" t="n">
        <f aca="false">IF(P134&gt;0.5,P134*(1+M$23)+M$24,0)</f>
        <v>0</v>
      </c>
      <c r="N135" s="69" t="n">
        <f aca="false">MIN(N$23,M135)</f>
        <v>0</v>
      </c>
      <c r="O135" s="69" t="n">
        <f aca="false">IF(AND(N$24=1,OR(M$25="",$C135&gt;=M$25)),MAX(0,MIN(M135-N135,$D135-(G135+K135))),0)</f>
        <v>0</v>
      </c>
      <c r="P135" s="69" t="n">
        <f aca="false">M135-N135-O135</f>
        <v>0</v>
      </c>
      <c r="Q135" s="69" t="n">
        <f aca="false">IF(T134&gt;0.5,T134*(1+Q$23)+Q$24,0)</f>
        <v>0</v>
      </c>
      <c r="R135" s="69" t="n">
        <f aca="false">MIN(R$23,Q135)</f>
        <v>0</v>
      </c>
      <c r="S135" s="69" t="n">
        <f aca="false">IF(AND(R$24=1,OR(Q$25="",$C135&gt;=Q$25)),MAX(0,MIN(Q135-R135,$D135-(G135+K135+O135))),0)</f>
        <v>0</v>
      </c>
      <c r="T135" s="69" t="n">
        <f aca="false">Q135-R135-S135</f>
        <v>0</v>
      </c>
      <c r="U135" s="69" t="n">
        <f aca="false">IF(X134&gt;0.5,X134*(1+U$23)+U$24,0)</f>
        <v>0</v>
      </c>
      <c r="V135" s="69" t="n">
        <f aca="false">MIN(V$23,U135)</f>
        <v>0</v>
      </c>
      <c r="W135" s="69" t="n">
        <f aca="false">IF(AND(V$24=1,OR(U$25="",$C135&gt;=U$25)),MAX(0,MIN(U135-V135,$D135-(G135+K135+O135+S135))),0)</f>
        <v>0</v>
      </c>
      <c r="X135" s="69" t="n">
        <f aca="false">U135-V135-W135</f>
        <v>0</v>
      </c>
      <c r="Y135" s="69" t="n">
        <f aca="false">IF(AB134&gt;0.5,AB134*(1+Y$23)+Y$24,0)</f>
        <v>0</v>
      </c>
      <c r="Z135" s="69" t="n">
        <f aca="false">MIN(Z$23,Y135)</f>
        <v>0</v>
      </c>
      <c r="AA135" s="69" t="n">
        <f aca="false">IF(AND(Z$24=1,OR(Y$25="",$C135&gt;=Y$25)),MAX(0,MIN(Y135-Z135,$D135-(G135+K135+O135+S135+W135))),0)</f>
        <v>0</v>
      </c>
      <c r="AB135" s="69" t="n">
        <f aca="false">Y135-Z135-AA135</f>
        <v>0</v>
      </c>
      <c r="AC135" s="69" t="n">
        <f aca="false">IF(AF134&gt;0.5,AF134*(1+AC$23)+AC$24,0)</f>
        <v>0</v>
      </c>
      <c r="AD135" s="69" t="n">
        <f aca="false">MIN(AD$23,AC135)</f>
        <v>0</v>
      </c>
      <c r="AE135" s="69" t="n">
        <f aca="false">IF(AND(AD$24=1,OR(AC$25="",$C135&gt;=AC$25)),MAX(0,MIN(AC135-AD135,$D135-(G135+K135+O135+S135+W135+AA135))),0)</f>
        <v>0</v>
      </c>
      <c r="AF135" s="69" t="n">
        <f aca="false">AC135-AD135-AE135</f>
        <v>0</v>
      </c>
      <c r="AG135" s="69" t="n">
        <f aca="false">IF(AJ134&gt;0.5,AJ134*(1+AG$23)+AG$24,0)</f>
        <v>0</v>
      </c>
      <c r="AH135" s="69" t="n">
        <f aca="false">MIN(AH$23,AG135)</f>
        <v>0</v>
      </c>
      <c r="AI135" s="69" t="n">
        <f aca="false">IF(AND(AH$24=1,OR(AG$25="",$C135&gt;=AG$25)),MAX(0,MIN(AG135-AH135,$D135-(G135+K135+O135+S135+W135+AA135+AE135))),0)</f>
        <v>0</v>
      </c>
      <c r="AJ135" s="69" t="n">
        <f aca="false">AG135-AH135-AI135</f>
        <v>0</v>
      </c>
      <c r="AK135" s="69" t="n">
        <f aca="false">IF(AK134&gt;0.5,AK134*(1+$E$12)+$G$12-MIN($F$12,AK134*(1+$E$12)+$G$12),0)</f>
        <v>0</v>
      </c>
      <c r="AL135" s="69" t="n">
        <f aca="false">IF(AL134&gt;0.5,AL134*(1+$E$13)+$G$13-MIN($F$13,AL134*(1+$E$13)+$G$13),0)</f>
        <v>0</v>
      </c>
      <c r="AM135" s="69" t="n">
        <f aca="false">IF(AM134&gt;0.5,AM134*(1+$E$14)+$G$14-MIN($F$14,AM134*(1+$E$14)+$G$14),0)</f>
        <v>0</v>
      </c>
      <c r="AN135" s="69" t="n">
        <f aca="false">IF(AN134&gt;0.5,AN134*(1+$E$15)+$G$15-MIN($F$15,AN134*(1+$E$15)+$G$15),0)</f>
        <v>0</v>
      </c>
      <c r="AO135" s="69" t="n">
        <f aca="false">IF(AO134&gt;0.5,AO134*(1+$E$16)+$G$16-MIN($F$16,AO134*(1+$E$16)+$G$16),0)</f>
        <v>0</v>
      </c>
      <c r="AP135" s="69" t="n">
        <f aca="false">IF(AP134&gt;0.5,AP134*(1+$E$17)+$G$17-MIN($F$17,AP134*(1+$E$17)+$G$17),0)</f>
        <v>0</v>
      </c>
      <c r="AQ135" s="69" t="n">
        <f aca="false">IF(AQ134&gt;0.5,AQ134*(1+$E$18)+$G$18-MIN($F$18,AQ134*(1+$E$18)+$G$18),0)</f>
        <v>0</v>
      </c>
      <c r="AR135" s="69" t="n">
        <f aca="false">IF(AR134&gt;0.5,AR134*(1+$E$19)+$G$19-MIN($F$19,AR134*(1+$E$19)+$G$19),0)</f>
        <v>0</v>
      </c>
      <c r="AS135" s="69" t="n">
        <f aca="false">H135+L135+P135+T135+X135+AB135+AF135+AJ135</f>
        <v>0</v>
      </c>
      <c r="AT135" s="69" t="n">
        <f aca="false">SUM(AK135:AR135)</f>
        <v>0</v>
      </c>
      <c r="AU135" s="69" t="n">
        <f aca="false">F135+G135+J135+K135+N135+O135+R135+S135+V135+W135+Z135+AA135+AD135+AE135+AH135+AI135</f>
        <v>0</v>
      </c>
    </row>
    <row r="136" customFormat="false" ht="15" hidden="false" customHeight="false" outlineLevel="0" collapsed="false">
      <c r="B136" s="0" t="n">
        <v>109</v>
      </c>
      <c r="C136" s="68" t="n">
        <f aca="false">EDATE($C$7,108)</f>
        <v>49583</v>
      </c>
      <c r="D136" s="69" t="n">
        <f aca="false">$C$8-(F136+J136+N136+R136+V136+Z136+AD136+AH136)</f>
        <v>0</v>
      </c>
      <c r="E136" s="69" t="n">
        <f aca="false">IF(H135&gt;0.5,H135*(1+E$23)+E$24,0)</f>
        <v>0</v>
      </c>
      <c r="F136" s="69" t="n">
        <f aca="false">MIN(F$23,E136)</f>
        <v>0</v>
      </c>
      <c r="G136" s="69" t="n">
        <f aca="false">IF(AND(F$24=1,OR(E$25="",$C136&gt;=E$25)),MAX(0,MIN(E136-F136,$D136-(0))),0)</f>
        <v>0</v>
      </c>
      <c r="H136" s="69" t="n">
        <f aca="false">E136-F136-G136</f>
        <v>0</v>
      </c>
      <c r="I136" s="69" t="n">
        <f aca="false">IF(L135&gt;0.5,L135*(1+I$23)+I$24,0)</f>
        <v>0</v>
      </c>
      <c r="J136" s="69" t="n">
        <f aca="false">MIN(J$23,I136)</f>
        <v>0</v>
      </c>
      <c r="K136" s="69" t="n">
        <f aca="false">IF(AND(J$24=1,OR(I$25="",$C136&gt;=I$25)),MAX(0,MIN(I136-J136,$D136-(G136))),0)</f>
        <v>0</v>
      </c>
      <c r="L136" s="69" t="n">
        <f aca="false">I136-J136-K136</f>
        <v>0</v>
      </c>
      <c r="M136" s="69" t="n">
        <f aca="false">IF(P135&gt;0.5,P135*(1+M$23)+M$24,0)</f>
        <v>0</v>
      </c>
      <c r="N136" s="69" t="n">
        <f aca="false">MIN(N$23,M136)</f>
        <v>0</v>
      </c>
      <c r="O136" s="69" t="n">
        <f aca="false">IF(AND(N$24=1,OR(M$25="",$C136&gt;=M$25)),MAX(0,MIN(M136-N136,$D136-(G136+K136))),0)</f>
        <v>0</v>
      </c>
      <c r="P136" s="69" t="n">
        <f aca="false">M136-N136-O136</f>
        <v>0</v>
      </c>
      <c r="Q136" s="69" t="n">
        <f aca="false">IF(T135&gt;0.5,T135*(1+Q$23)+Q$24,0)</f>
        <v>0</v>
      </c>
      <c r="R136" s="69" t="n">
        <f aca="false">MIN(R$23,Q136)</f>
        <v>0</v>
      </c>
      <c r="S136" s="69" t="n">
        <f aca="false">IF(AND(R$24=1,OR(Q$25="",$C136&gt;=Q$25)),MAX(0,MIN(Q136-R136,$D136-(G136+K136+O136))),0)</f>
        <v>0</v>
      </c>
      <c r="T136" s="69" t="n">
        <f aca="false">Q136-R136-S136</f>
        <v>0</v>
      </c>
      <c r="U136" s="69" t="n">
        <f aca="false">IF(X135&gt;0.5,X135*(1+U$23)+U$24,0)</f>
        <v>0</v>
      </c>
      <c r="V136" s="69" t="n">
        <f aca="false">MIN(V$23,U136)</f>
        <v>0</v>
      </c>
      <c r="W136" s="69" t="n">
        <f aca="false">IF(AND(V$24=1,OR(U$25="",$C136&gt;=U$25)),MAX(0,MIN(U136-V136,$D136-(G136+K136+O136+S136))),0)</f>
        <v>0</v>
      </c>
      <c r="X136" s="69" t="n">
        <f aca="false">U136-V136-W136</f>
        <v>0</v>
      </c>
      <c r="Y136" s="69" t="n">
        <f aca="false">IF(AB135&gt;0.5,AB135*(1+Y$23)+Y$24,0)</f>
        <v>0</v>
      </c>
      <c r="Z136" s="69" t="n">
        <f aca="false">MIN(Z$23,Y136)</f>
        <v>0</v>
      </c>
      <c r="AA136" s="69" t="n">
        <f aca="false">IF(AND(Z$24=1,OR(Y$25="",$C136&gt;=Y$25)),MAX(0,MIN(Y136-Z136,$D136-(G136+K136+O136+S136+W136))),0)</f>
        <v>0</v>
      </c>
      <c r="AB136" s="69" t="n">
        <f aca="false">Y136-Z136-AA136</f>
        <v>0</v>
      </c>
      <c r="AC136" s="69" t="n">
        <f aca="false">IF(AF135&gt;0.5,AF135*(1+AC$23)+AC$24,0)</f>
        <v>0</v>
      </c>
      <c r="AD136" s="69" t="n">
        <f aca="false">MIN(AD$23,AC136)</f>
        <v>0</v>
      </c>
      <c r="AE136" s="69" t="n">
        <f aca="false">IF(AND(AD$24=1,OR(AC$25="",$C136&gt;=AC$25)),MAX(0,MIN(AC136-AD136,$D136-(G136+K136+O136+S136+W136+AA136))),0)</f>
        <v>0</v>
      </c>
      <c r="AF136" s="69" t="n">
        <f aca="false">AC136-AD136-AE136</f>
        <v>0</v>
      </c>
      <c r="AG136" s="69" t="n">
        <f aca="false">IF(AJ135&gt;0.5,AJ135*(1+AG$23)+AG$24,0)</f>
        <v>0</v>
      </c>
      <c r="AH136" s="69" t="n">
        <f aca="false">MIN(AH$23,AG136)</f>
        <v>0</v>
      </c>
      <c r="AI136" s="69" t="n">
        <f aca="false">IF(AND(AH$24=1,OR(AG$25="",$C136&gt;=AG$25)),MAX(0,MIN(AG136-AH136,$D136-(G136+K136+O136+S136+W136+AA136+AE136))),0)</f>
        <v>0</v>
      </c>
      <c r="AJ136" s="69" t="n">
        <f aca="false">AG136-AH136-AI136</f>
        <v>0</v>
      </c>
      <c r="AK136" s="69" t="n">
        <f aca="false">IF(AK135&gt;0.5,AK135*(1+$E$12)+$G$12-MIN($F$12,AK135*(1+$E$12)+$G$12),0)</f>
        <v>0</v>
      </c>
      <c r="AL136" s="69" t="n">
        <f aca="false">IF(AL135&gt;0.5,AL135*(1+$E$13)+$G$13-MIN($F$13,AL135*(1+$E$13)+$G$13),0)</f>
        <v>0</v>
      </c>
      <c r="AM136" s="69" t="n">
        <f aca="false">IF(AM135&gt;0.5,AM135*(1+$E$14)+$G$14-MIN($F$14,AM135*(1+$E$14)+$G$14),0)</f>
        <v>0</v>
      </c>
      <c r="AN136" s="69" t="n">
        <f aca="false">IF(AN135&gt;0.5,AN135*(1+$E$15)+$G$15-MIN($F$15,AN135*(1+$E$15)+$G$15),0)</f>
        <v>0</v>
      </c>
      <c r="AO136" s="69" t="n">
        <f aca="false">IF(AO135&gt;0.5,AO135*(1+$E$16)+$G$16-MIN($F$16,AO135*(1+$E$16)+$G$16),0)</f>
        <v>0</v>
      </c>
      <c r="AP136" s="69" t="n">
        <f aca="false">IF(AP135&gt;0.5,AP135*(1+$E$17)+$G$17-MIN($F$17,AP135*(1+$E$17)+$G$17),0)</f>
        <v>0</v>
      </c>
      <c r="AQ136" s="69" t="n">
        <f aca="false">IF(AQ135&gt;0.5,AQ135*(1+$E$18)+$G$18-MIN($F$18,AQ135*(1+$E$18)+$G$18),0)</f>
        <v>0</v>
      </c>
      <c r="AR136" s="69" t="n">
        <f aca="false">IF(AR135&gt;0.5,AR135*(1+$E$19)+$G$19-MIN($F$19,AR135*(1+$E$19)+$G$19),0)</f>
        <v>0</v>
      </c>
      <c r="AS136" s="69" t="n">
        <f aca="false">H136+L136+P136+T136+X136+AB136+AF136+AJ136</f>
        <v>0</v>
      </c>
      <c r="AT136" s="69" t="n">
        <f aca="false">SUM(AK136:AR136)</f>
        <v>0</v>
      </c>
      <c r="AU136" s="69" t="n">
        <f aca="false">F136+G136+J136+K136+N136+O136+R136+S136+V136+W136+Z136+AA136+AD136+AE136+AH136+AI136</f>
        <v>0</v>
      </c>
    </row>
    <row r="137" customFormat="false" ht="15" hidden="false" customHeight="false" outlineLevel="0" collapsed="false">
      <c r="B137" s="0" t="n">
        <v>110</v>
      </c>
      <c r="C137" s="68" t="n">
        <f aca="false">EDATE($C$7,109)</f>
        <v>49614</v>
      </c>
      <c r="D137" s="69" t="n">
        <f aca="false">$C$8-(F137+J137+N137+R137+V137+Z137+AD137+AH137)</f>
        <v>0</v>
      </c>
      <c r="E137" s="69" t="n">
        <f aca="false">IF(H136&gt;0.5,H136*(1+E$23)+E$24,0)</f>
        <v>0</v>
      </c>
      <c r="F137" s="69" t="n">
        <f aca="false">MIN(F$23,E137)</f>
        <v>0</v>
      </c>
      <c r="G137" s="69" t="n">
        <f aca="false">IF(AND(F$24=1,OR(E$25="",$C137&gt;=E$25)),MAX(0,MIN(E137-F137,$D137-(0))),0)</f>
        <v>0</v>
      </c>
      <c r="H137" s="69" t="n">
        <f aca="false">E137-F137-G137</f>
        <v>0</v>
      </c>
      <c r="I137" s="69" t="n">
        <f aca="false">IF(L136&gt;0.5,L136*(1+I$23)+I$24,0)</f>
        <v>0</v>
      </c>
      <c r="J137" s="69" t="n">
        <f aca="false">MIN(J$23,I137)</f>
        <v>0</v>
      </c>
      <c r="K137" s="69" t="n">
        <f aca="false">IF(AND(J$24=1,OR(I$25="",$C137&gt;=I$25)),MAX(0,MIN(I137-J137,$D137-(G137))),0)</f>
        <v>0</v>
      </c>
      <c r="L137" s="69" t="n">
        <f aca="false">I137-J137-K137</f>
        <v>0</v>
      </c>
      <c r="M137" s="69" t="n">
        <f aca="false">IF(P136&gt;0.5,P136*(1+M$23)+M$24,0)</f>
        <v>0</v>
      </c>
      <c r="N137" s="69" t="n">
        <f aca="false">MIN(N$23,M137)</f>
        <v>0</v>
      </c>
      <c r="O137" s="69" t="n">
        <f aca="false">IF(AND(N$24=1,OR(M$25="",$C137&gt;=M$25)),MAX(0,MIN(M137-N137,$D137-(G137+K137))),0)</f>
        <v>0</v>
      </c>
      <c r="P137" s="69" t="n">
        <f aca="false">M137-N137-O137</f>
        <v>0</v>
      </c>
      <c r="Q137" s="69" t="n">
        <f aca="false">IF(T136&gt;0.5,T136*(1+Q$23)+Q$24,0)</f>
        <v>0</v>
      </c>
      <c r="R137" s="69" t="n">
        <f aca="false">MIN(R$23,Q137)</f>
        <v>0</v>
      </c>
      <c r="S137" s="69" t="n">
        <f aca="false">IF(AND(R$24=1,OR(Q$25="",$C137&gt;=Q$25)),MAX(0,MIN(Q137-R137,$D137-(G137+K137+O137))),0)</f>
        <v>0</v>
      </c>
      <c r="T137" s="69" t="n">
        <f aca="false">Q137-R137-S137</f>
        <v>0</v>
      </c>
      <c r="U137" s="69" t="n">
        <f aca="false">IF(X136&gt;0.5,X136*(1+U$23)+U$24,0)</f>
        <v>0</v>
      </c>
      <c r="V137" s="69" t="n">
        <f aca="false">MIN(V$23,U137)</f>
        <v>0</v>
      </c>
      <c r="W137" s="69" t="n">
        <f aca="false">IF(AND(V$24=1,OR(U$25="",$C137&gt;=U$25)),MAX(0,MIN(U137-V137,$D137-(G137+K137+O137+S137))),0)</f>
        <v>0</v>
      </c>
      <c r="X137" s="69" t="n">
        <f aca="false">U137-V137-W137</f>
        <v>0</v>
      </c>
      <c r="Y137" s="69" t="n">
        <f aca="false">IF(AB136&gt;0.5,AB136*(1+Y$23)+Y$24,0)</f>
        <v>0</v>
      </c>
      <c r="Z137" s="69" t="n">
        <f aca="false">MIN(Z$23,Y137)</f>
        <v>0</v>
      </c>
      <c r="AA137" s="69" t="n">
        <f aca="false">IF(AND(Z$24=1,OR(Y$25="",$C137&gt;=Y$25)),MAX(0,MIN(Y137-Z137,$D137-(G137+K137+O137+S137+W137))),0)</f>
        <v>0</v>
      </c>
      <c r="AB137" s="69" t="n">
        <f aca="false">Y137-Z137-AA137</f>
        <v>0</v>
      </c>
      <c r="AC137" s="69" t="n">
        <f aca="false">IF(AF136&gt;0.5,AF136*(1+AC$23)+AC$24,0)</f>
        <v>0</v>
      </c>
      <c r="AD137" s="69" t="n">
        <f aca="false">MIN(AD$23,AC137)</f>
        <v>0</v>
      </c>
      <c r="AE137" s="69" t="n">
        <f aca="false">IF(AND(AD$24=1,OR(AC$25="",$C137&gt;=AC$25)),MAX(0,MIN(AC137-AD137,$D137-(G137+K137+O137+S137+W137+AA137))),0)</f>
        <v>0</v>
      </c>
      <c r="AF137" s="69" t="n">
        <f aca="false">AC137-AD137-AE137</f>
        <v>0</v>
      </c>
      <c r="AG137" s="69" t="n">
        <f aca="false">IF(AJ136&gt;0.5,AJ136*(1+AG$23)+AG$24,0)</f>
        <v>0</v>
      </c>
      <c r="AH137" s="69" t="n">
        <f aca="false">MIN(AH$23,AG137)</f>
        <v>0</v>
      </c>
      <c r="AI137" s="69" t="n">
        <f aca="false">IF(AND(AH$24=1,OR(AG$25="",$C137&gt;=AG$25)),MAX(0,MIN(AG137-AH137,$D137-(G137+K137+O137+S137+W137+AA137+AE137))),0)</f>
        <v>0</v>
      </c>
      <c r="AJ137" s="69" t="n">
        <f aca="false">AG137-AH137-AI137</f>
        <v>0</v>
      </c>
      <c r="AK137" s="69" t="n">
        <f aca="false">IF(AK136&gt;0.5,AK136*(1+$E$12)+$G$12-MIN($F$12,AK136*(1+$E$12)+$G$12),0)</f>
        <v>0</v>
      </c>
      <c r="AL137" s="69" t="n">
        <f aca="false">IF(AL136&gt;0.5,AL136*(1+$E$13)+$G$13-MIN($F$13,AL136*(1+$E$13)+$G$13),0)</f>
        <v>0</v>
      </c>
      <c r="AM137" s="69" t="n">
        <f aca="false">IF(AM136&gt;0.5,AM136*(1+$E$14)+$G$14-MIN($F$14,AM136*(1+$E$14)+$G$14),0)</f>
        <v>0</v>
      </c>
      <c r="AN137" s="69" t="n">
        <f aca="false">IF(AN136&gt;0.5,AN136*(1+$E$15)+$G$15-MIN($F$15,AN136*(1+$E$15)+$G$15),0)</f>
        <v>0</v>
      </c>
      <c r="AO137" s="69" t="n">
        <f aca="false">IF(AO136&gt;0.5,AO136*(1+$E$16)+$G$16-MIN($F$16,AO136*(1+$E$16)+$G$16),0)</f>
        <v>0</v>
      </c>
      <c r="AP137" s="69" t="n">
        <f aca="false">IF(AP136&gt;0.5,AP136*(1+$E$17)+$G$17-MIN($F$17,AP136*(1+$E$17)+$G$17),0)</f>
        <v>0</v>
      </c>
      <c r="AQ137" s="69" t="n">
        <f aca="false">IF(AQ136&gt;0.5,AQ136*(1+$E$18)+$G$18-MIN($F$18,AQ136*(1+$E$18)+$G$18),0)</f>
        <v>0</v>
      </c>
      <c r="AR137" s="69" t="n">
        <f aca="false">IF(AR136&gt;0.5,AR136*(1+$E$19)+$G$19-MIN($F$19,AR136*(1+$E$19)+$G$19),0)</f>
        <v>0</v>
      </c>
      <c r="AS137" s="69" t="n">
        <f aca="false">H137+L137+P137+T137+X137+AB137+AF137+AJ137</f>
        <v>0</v>
      </c>
      <c r="AT137" s="69" t="n">
        <f aca="false">SUM(AK137:AR137)</f>
        <v>0</v>
      </c>
      <c r="AU137" s="69" t="n">
        <f aca="false">F137+G137+J137+K137+N137+O137+R137+S137+V137+W137+Z137+AA137+AD137+AE137+AH137+AI137</f>
        <v>0</v>
      </c>
    </row>
    <row r="138" customFormat="false" ht="15" hidden="false" customHeight="false" outlineLevel="0" collapsed="false">
      <c r="B138" s="0" t="n">
        <v>111</v>
      </c>
      <c r="C138" s="68" t="n">
        <f aca="false">EDATE($C$7,110)</f>
        <v>49644</v>
      </c>
      <c r="D138" s="69" t="n">
        <f aca="false">$C$8-(F138+J138+N138+R138+V138+Z138+AD138+AH138)</f>
        <v>0</v>
      </c>
      <c r="E138" s="69" t="n">
        <f aca="false">IF(H137&gt;0.5,H137*(1+E$23)+E$24,0)</f>
        <v>0</v>
      </c>
      <c r="F138" s="69" t="n">
        <f aca="false">MIN(F$23,E138)</f>
        <v>0</v>
      </c>
      <c r="G138" s="69" t="n">
        <f aca="false">IF(AND(F$24=1,OR(E$25="",$C138&gt;=E$25)),MAX(0,MIN(E138-F138,$D138-(0))),0)</f>
        <v>0</v>
      </c>
      <c r="H138" s="69" t="n">
        <f aca="false">E138-F138-G138</f>
        <v>0</v>
      </c>
      <c r="I138" s="69" t="n">
        <f aca="false">IF(L137&gt;0.5,L137*(1+I$23)+I$24,0)</f>
        <v>0</v>
      </c>
      <c r="J138" s="69" t="n">
        <f aca="false">MIN(J$23,I138)</f>
        <v>0</v>
      </c>
      <c r="K138" s="69" t="n">
        <f aca="false">IF(AND(J$24=1,OR(I$25="",$C138&gt;=I$25)),MAX(0,MIN(I138-J138,$D138-(G138))),0)</f>
        <v>0</v>
      </c>
      <c r="L138" s="69" t="n">
        <f aca="false">I138-J138-K138</f>
        <v>0</v>
      </c>
      <c r="M138" s="69" t="n">
        <f aca="false">IF(P137&gt;0.5,P137*(1+M$23)+M$24,0)</f>
        <v>0</v>
      </c>
      <c r="N138" s="69" t="n">
        <f aca="false">MIN(N$23,M138)</f>
        <v>0</v>
      </c>
      <c r="O138" s="69" t="n">
        <f aca="false">IF(AND(N$24=1,OR(M$25="",$C138&gt;=M$25)),MAX(0,MIN(M138-N138,$D138-(G138+K138))),0)</f>
        <v>0</v>
      </c>
      <c r="P138" s="69" t="n">
        <f aca="false">M138-N138-O138</f>
        <v>0</v>
      </c>
      <c r="Q138" s="69" t="n">
        <f aca="false">IF(T137&gt;0.5,T137*(1+Q$23)+Q$24,0)</f>
        <v>0</v>
      </c>
      <c r="R138" s="69" t="n">
        <f aca="false">MIN(R$23,Q138)</f>
        <v>0</v>
      </c>
      <c r="S138" s="69" t="n">
        <f aca="false">IF(AND(R$24=1,OR(Q$25="",$C138&gt;=Q$25)),MAX(0,MIN(Q138-R138,$D138-(G138+K138+O138))),0)</f>
        <v>0</v>
      </c>
      <c r="T138" s="69" t="n">
        <f aca="false">Q138-R138-S138</f>
        <v>0</v>
      </c>
      <c r="U138" s="69" t="n">
        <f aca="false">IF(X137&gt;0.5,X137*(1+U$23)+U$24,0)</f>
        <v>0</v>
      </c>
      <c r="V138" s="69" t="n">
        <f aca="false">MIN(V$23,U138)</f>
        <v>0</v>
      </c>
      <c r="W138" s="69" t="n">
        <f aca="false">IF(AND(V$24=1,OR(U$25="",$C138&gt;=U$25)),MAX(0,MIN(U138-V138,$D138-(G138+K138+O138+S138))),0)</f>
        <v>0</v>
      </c>
      <c r="X138" s="69" t="n">
        <f aca="false">U138-V138-W138</f>
        <v>0</v>
      </c>
      <c r="Y138" s="69" t="n">
        <f aca="false">IF(AB137&gt;0.5,AB137*(1+Y$23)+Y$24,0)</f>
        <v>0</v>
      </c>
      <c r="Z138" s="69" t="n">
        <f aca="false">MIN(Z$23,Y138)</f>
        <v>0</v>
      </c>
      <c r="AA138" s="69" t="n">
        <f aca="false">IF(AND(Z$24=1,OR(Y$25="",$C138&gt;=Y$25)),MAX(0,MIN(Y138-Z138,$D138-(G138+K138+O138+S138+W138))),0)</f>
        <v>0</v>
      </c>
      <c r="AB138" s="69" t="n">
        <f aca="false">Y138-Z138-AA138</f>
        <v>0</v>
      </c>
      <c r="AC138" s="69" t="n">
        <f aca="false">IF(AF137&gt;0.5,AF137*(1+AC$23)+AC$24,0)</f>
        <v>0</v>
      </c>
      <c r="AD138" s="69" t="n">
        <f aca="false">MIN(AD$23,AC138)</f>
        <v>0</v>
      </c>
      <c r="AE138" s="69" t="n">
        <f aca="false">IF(AND(AD$24=1,OR(AC$25="",$C138&gt;=AC$25)),MAX(0,MIN(AC138-AD138,$D138-(G138+K138+O138+S138+W138+AA138))),0)</f>
        <v>0</v>
      </c>
      <c r="AF138" s="69" t="n">
        <f aca="false">AC138-AD138-AE138</f>
        <v>0</v>
      </c>
      <c r="AG138" s="69" t="n">
        <f aca="false">IF(AJ137&gt;0.5,AJ137*(1+AG$23)+AG$24,0)</f>
        <v>0</v>
      </c>
      <c r="AH138" s="69" t="n">
        <f aca="false">MIN(AH$23,AG138)</f>
        <v>0</v>
      </c>
      <c r="AI138" s="69" t="n">
        <f aca="false">IF(AND(AH$24=1,OR(AG$25="",$C138&gt;=AG$25)),MAX(0,MIN(AG138-AH138,$D138-(G138+K138+O138+S138+W138+AA138+AE138))),0)</f>
        <v>0</v>
      </c>
      <c r="AJ138" s="69" t="n">
        <f aca="false">AG138-AH138-AI138</f>
        <v>0</v>
      </c>
      <c r="AK138" s="69" t="n">
        <f aca="false">IF(AK137&gt;0.5,AK137*(1+$E$12)+$G$12-MIN($F$12,AK137*(1+$E$12)+$G$12),0)</f>
        <v>0</v>
      </c>
      <c r="AL138" s="69" t="n">
        <f aca="false">IF(AL137&gt;0.5,AL137*(1+$E$13)+$G$13-MIN($F$13,AL137*(1+$E$13)+$G$13),0)</f>
        <v>0</v>
      </c>
      <c r="AM138" s="69" t="n">
        <f aca="false">IF(AM137&gt;0.5,AM137*(1+$E$14)+$G$14-MIN($F$14,AM137*(1+$E$14)+$G$14),0)</f>
        <v>0</v>
      </c>
      <c r="AN138" s="69" t="n">
        <f aca="false">IF(AN137&gt;0.5,AN137*(1+$E$15)+$G$15-MIN($F$15,AN137*(1+$E$15)+$G$15),0)</f>
        <v>0</v>
      </c>
      <c r="AO138" s="69" t="n">
        <f aca="false">IF(AO137&gt;0.5,AO137*(1+$E$16)+$G$16-MIN($F$16,AO137*(1+$E$16)+$G$16),0)</f>
        <v>0</v>
      </c>
      <c r="AP138" s="69" t="n">
        <f aca="false">IF(AP137&gt;0.5,AP137*(1+$E$17)+$G$17-MIN($F$17,AP137*(1+$E$17)+$G$17),0)</f>
        <v>0</v>
      </c>
      <c r="AQ138" s="69" t="n">
        <f aca="false">IF(AQ137&gt;0.5,AQ137*(1+$E$18)+$G$18-MIN($F$18,AQ137*(1+$E$18)+$G$18),0)</f>
        <v>0</v>
      </c>
      <c r="AR138" s="69" t="n">
        <f aca="false">IF(AR137&gt;0.5,AR137*(1+$E$19)+$G$19-MIN($F$19,AR137*(1+$E$19)+$G$19),0)</f>
        <v>0</v>
      </c>
      <c r="AS138" s="69" t="n">
        <f aca="false">H138+L138+P138+T138+X138+AB138+AF138+AJ138</f>
        <v>0</v>
      </c>
      <c r="AT138" s="69" t="n">
        <f aca="false">SUM(AK138:AR138)</f>
        <v>0</v>
      </c>
      <c r="AU138" s="69" t="n">
        <f aca="false">F138+G138+J138+K138+N138+O138+R138+S138+V138+W138+Z138+AA138+AD138+AE138+AH138+AI138</f>
        <v>0</v>
      </c>
    </row>
    <row r="139" customFormat="false" ht="15" hidden="false" customHeight="false" outlineLevel="0" collapsed="false">
      <c r="B139" s="0" t="n">
        <v>112</v>
      </c>
      <c r="C139" s="68" t="n">
        <f aca="false">EDATE($C$7,111)</f>
        <v>49675</v>
      </c>
      <c r="D139" s="69" t="n">
        <f aca="false">$C$8-(F139+J139+N139+R139+V139+Z139+AD139+AH139)</f>
        <v>0</v>
      </c>
      <c r="E139" s="69" t="n">
        <f aca="false">IF(H138&gt;0.5,H138*(1+E$23)+E$24,0)</f>
        <v>0</v>
      </c>
      <c r="F139" s="69" t="n">
        <f aca="false">MIN(F$23,E139)</f>
        <v>0</v>
      </c>
      <c r="G139" s="69" t="n">
        <f aca="false">IF(AND(F$24=1,OR(E$25="",$C139&gt;=E$25)),MAX(0,MIN(E139-F139,$D139-(0))),0)</f>
        <v>0</v>
      </c>
      <c r="H139" s="69" t="n">
        <f aca="false">E139-F139-G139</f>
        <v>0</v>
      </c>
      <c r="I139" s="69" t="n">
        <f aca="false">IF(L138&gt;0.5,L138*(1+I$23)+I$24,0)</f>
        <v>0</v>
      </c>
      <c r="J139" s="69" t="n">
        <f aca="false">MIN(J$23,I139)</f>
        <v>0</v>
      </c>
      <c r="K139" s="69" t="n">
        <f aca="false">IF(AND(J$24=1,OR(I$25="",$C139&gt;=I$25)),MAX(0,MIN(I139-J139,$D139-(G139))),0)</f>
        <v>0</v>
      </c>
      <c r="L139" s="69" t="n">
        <f aca="false">I139-J139-K139</f>
        <v>0</v>
      </c>
      <c r="M139" s="69" t="n">
        <f aca="false">IF(P138&gt;0.5,P138*(1+M$23)+M$24,0)</f>
        <v>0</v>
      </c>
      <c r="N139" s="69" t="n">
        <f aca="false">MIN(N$23,M139)</f>
        <v>0</v>
      </c>
      <c r="O139" s="69" t="n">
        <f aca="false">IF(AND(N$24=1,OR(M$25="",$C139&gt;=M$25)),MAX(0,MIN(M139-N139,$D139-(G139+K139))),0)</f>
        <v>0</v>
      </c>
      <c r="P139" s="69" t="n">
        <f aca="false">M139-N139-O139</f>
        <v>0</v>
      </c>
      <c r="Q139" s="69" t="n">
        <f aca="false">IF(T138&gt;0.5,T138*(1+Q$23)+Q$24,0)</f>
        <v>0</v>
      </c>
      <c r="R139" s="69" t="n">
        <f aca="false">MIN(R$23,Q139)</f>
        <v>0</v>
      </c>
      <c r="S139" s="69" t="n">
        <f aca="false">IF(AND(R$24=1,OR(Q$25="",$C139&gt;=Q$25)),MAX(0,MIN(Q139-R139,$D139-(G139+K139+O139))),0)</f>
        <v>0</v>
      </c>
      <c r="T139" s="69" t="n">
        <f aca="false">Q139-R139-S139</f>
        <v>0</v>
      </c>
      <c r="U139" s="69" t="n">
        <f aca="false">IF(X138&gt;0.5,X138*(1+U$23)+U$24,0)</f>
        <v>0</v>
      </c>
      <c r="V139" s="69" t="n">
        <f aca="false">MIN(V$23,U139)</f>
        <v>0</v>
      </c>
      <c r="W139" s="69" t="n">
        <f aca="false">IF(AND(V$24=1,OR(U$25="",$C139&gt;=U$25)),MAX(0,MIN(U139-V139,$D139-(G139+K139+O139+S139))),0)</f>
        <v>0</v>
      </c>
      <c r="X139" s="69" t="n">
        <f aca="false">U139-V139-W139</f>
        <v>0</v>
      </c>
      <c r="Y139" s="69" t="n">
        <f aca="false">IF(AB138&gt;0.5,AB138*(1+Y$23)+Y$24,0)</f>
        <v>0</v>
      </c>
      <c r="Z139" s="69" t="n">
        <f aca="false">MIN(Z$23,Y139)</f>
        <v>0</v>
      </c>
      <c r="AA139" s="69" t="n">
        <f aca="false">IF(AND(Z$24=1,OR(Y$25="",$C139&gt;=Y$25)),MAX(0,MIN(Y139-Z139,$D139-(G139+K139+O139+S139+W139))),0)</f>
        <v>0</v>
      </c>
      <c r="AB139" s="69" t="n">
        <f aca="false">Y139-Z139-AA139</f>
        <v>0</v>
      </c>
      <c r="AC139" s="69" t="n">
        <f aca="false">IF(AF138&gt;0.5,AF138*(1+AC$23)+AC$24,0)</f>
        <v>0</v>
      </c>
      <c r="AD139" s="69" t="n">
        <f aca="false">MIN(AD$23,AC139)</f>
        <v>0</v>
      </c>
      <c r="AE139" s="69" t="n">
        <f aca="false">IF(AND(AD$24=1,OR(AC$25="",$C139&gt;=AC$25)),MAX(0,MIN(AC139-AD139,$D139-(G139+K139+O139+S139+W139+AA139))),0)</f>
        <v>0</v>
      </c>
      <c r="AF139" s="69" t="n">
        <f aca="false">AC139-AD139-AE139</f>
        <v>0</v>
      </c>
      <c r="AG139" s="69" t="n">
        <f aca="false">IF(AJ138&gt;0.5,AJ138*(1+AG$23)+AG$24,0)</f>
        <v>0</v>
      </c>
      <c r="AH139" s="69" t="n">
        <f aca="false">MIN(AH$23,AG139)</f>
        <v>0</v>
      </c>
      <c r="AI139" s="69" t="n">
        <f aca="false">IF(AND(AH$24=1,OR(AG$25="",$C139&gt;=AG$25)),MAX(0,MIN(AG139-AH139,$D139-(G139+K139+O139+S139+W139+AA139+AE139))),0)</f>
        <v>0</v>
      </c>
      <c r="AJ139" s="69" t="n">
        <f aca="false">AG139-AH139-AI139</f>
        <v>0</v>
      </c>
      <c r="AK139" s="69" t="n">
        <f aca="false">IF(AK138&gt;0.5,AK138*(1+$E$12)+$G$12-MIN($F$12,AK138*(1+$E$12)+$G$12),0)</f>
        <v>0</v>
      </c>
      <c r="AL139" s="69" t="n">
        <f aca="false">IF(AL138&gt;0.5,AL138*(1+$E$13)+$G$13-MIN($F$13,AL138*(1+$E$13)+$G$13),0)</f>
        <v>0</v>
      </c>
      <c r="AM139" s="69" t="n">
        <f aca="false">IF(AM138&gt;0.5,AM138*(1+$E$14)+$G$14-MIN($F$14,AM138*(1+$E$14)+$G$14),0)</f>
        <v>0</v>
      </c>
      <c r="AN139" s="69" t="n">
        <f aca="false">IF(AN138&gt;0.5,AN138*(1+$E$15)+$G$15-MIN($F$15,AN138*(1+$E$15)+$G$15),0)</f>
        <v>0</v>
      </c>
      <c r="AO139" s="69" t="n">
        <f aca="false">IF(AO138&gt;0.5,AO138*(1+$E$16)+$G$16-MIN($F$16,AO138*(1+$E$16)+$G$16),0)</f>
        <v>0</v>
      </c>
      <c r="AP139" s="69" t="n">
        <f aca="false">IF(AP138&gt;0.5,AP138*(1+$E$17)+$G$17-MIN($F$17,AP138*(1+$E$17)+$G$17),0)</f>
        <v>0</v>
      </c>
      <c r="AQ139" s="69" t="n">
        <f aca="false">IF(AQ138&gt;0.5,AQ138*(1+$E$18)+$G$18-MIN($F$18,AQ138*(1+$E$18)+$G$18),0)</f>
        <v>0</v>
      </c>
      <c r="AR139" s="69" t="n">
        <f aca="false">IF(AR138&gt;0.5,AR138*(1+$E$19)+$G$19-MIN($F$19,AR138*(1+$E$19)+$G$19),0)</f>
        <v>0</v>
      </c>
      <c r="AS139" s="69" t="n">
        <f aca="false">H139+L139+P139+T139+X139+AB139+AF139+AJ139</f>
        <v>0</v>
      </c>
      <c r="AT139" s="69" t="n">
        <f aca="false">SUM(AK139:AR139)</f>
        <v>0</v>
      </c>
      <c r="AU139" s="69" t="n">
        <f aca="false">F139+G139+J139+K139+N139+O139+R139+S139+V139+W139+Z139+AA139+AD139+AE139+AH139+AI139</f>
        <v>0</v>
      </c>
    </row>
    <row r="140" customFormat="false" ht="15" hidden="false" customHeight="false" outlineLevel="0" collapsed="false">
      <c r="B140" s="0" t="n">
        <v>113</v>
      </c>
      <c r="C140" s="68" t="n">
        <f aca="false">EDATE($C$7,112)</f>
        <v>49706</v>
      </c>
      <c r="D140" s="69" t="n">
        <f aca="false">$C$8-(F140+J140+N140+R140+V140+Z140+AD140+AH140)</f>
        <v>0</v>
      </c>
      <c r="E140" s="69" t="n">
        <f aca="false">IF(H139&gt;0.5,H139*(1+E$23)+E$24,0)</f>
        <v>0</v>
      </c>
      <c r="F140" s="69" t="n">
        <f aca="false">MIN(F$23,E140)</f>
        <v>0</v>
      </c>
      <c r="G140" s="69" t="n">
        <f aca="false">IF(AND(F$24=1,OR(E$25="",$C140&gt;=E$25)),MAX(0,MIN(E140-F140,$D140-(0))),0)</f>
        <v>0</v>
      </c>
      <c r="H140" s="69" t="n">
        <f aca="false">E140-F140-G140</f>
        <v>0</v>
      </c>
      <c r="I140" s="69" t="n">
        <f aca="false">IF(L139&gt;0.5,L139*(1+I$23)+I$24,0)</f>
        <v>0</v>
      </c>
      <c r="J140" s="69" t="n">
        <f aca="false">MIN(J$23,I140)</f>
        <v>0</v>
      </c>
      <c r="K140" s="69" t="n">
        <f aca="false">IF(AND(J$24=1,OR(I$25="",$C140&gt;=I$25)),MAX(0,MIN(I140-J140,$D140-(G140))),0)</f>
        <v>0</v>
      </c>
      <c r="L140" s="69" t="n">
        <f aca="false">I140-J140-K140</f>
        <v>0</v>
      </c>
      <c r="M140" s="69" t="n">
        <f aca="false">IF(P139&gt;0.5,P139*(1+M$23)+M$24,0)</f>
        <v>0</v>
      </c>
      <c r="N140" s="69" t="n">
        <f aca="false">MIN(N$23,M140)</f>
        <v>0</v>
      </c>
      <c r="O140" s="69" t="n">
        <f aca="false">IF(AND(N$24=1,OR(M$25="",$C140&gt;=M$25)),MAX(0,MIN(M140-N140,$D140-(G140+K140))),0)</f>
        <v>0</v>
      </c>
      <c r="P140" s="69" t="n">
        <f aca="false">M140-N140-O140</f>
        <v>0</v>
      </c>
      <c r="Q140" s="69" t="n">
        <f aca="false">IF(T139&gt;0.5,T139*(1+Q$23)+Q$24,0)</f>
        <v>0</v>
      </c>
      <c r="R140" s="69" t="n">
        <f aca="false">MIN(R$23,Q140)</f>
        <v>0</v>
      </c>
      <c r="S140" s="69" t="n">
        <f aca="false">IF(AND(R$24=1,OR(Q$25="",$C140&gt;=Q$25)),MAX(0,MIN(Q140-R140,$D140-(G140+K140+O140))),0)</f>
        <v>0</v>
      </c>
      <c r="T140" s="69" t="n">
        <f aca="false">Q140-R140-S140</f>
        <v>0</v>
      </c>
      <c r="U140" s="69" t="n">
        <f aca="false">IF(X139&gt;0.5,X139*(1+U$23)+U$24,0)</f>
        <v>0</v>
      </c>
      <c r="V140" s="69" t="n">
        <f aca="false">MIN(V$23,U140)</f>
        <v>0</v>
      </c>
      <c r="W140" s="69" t="n">
        <f aca="false">IF(AND(V$24=1,OR(U$25="",$C140&gt;=U$25)),MAX(0,MIN(U140-V140,$D140-(G140+K140+O140+S140))),0)</f>
        <v>0</v>
      </c>
      <c r="X140" s="69" t="n">
        <f aca="false">U140-V140-W140</f>
        <v>0</v>
      </c>
      <c r="Y140" s="69" t="n">
        <f aca="false">IF(AB139&gt;0.5,AB139*(1+Y$23)+Y$24,0)</f>
        <v>0</v>
      </c>
      <c r="Z140" s="69" t="n">
        <f aca="false">MIN(Z$23,Y140)</f>
        <v>0</v>
      </c>
      <c r="AA140" s="69" t="n">
        <f aca="false">IF(AND(Z$24=1,OR(Y$25="",$C140&gt;=Y$25)),MAX(0,MIN(Y140-Z140,$D140-(G140+K140+O140+S140+W140))),0)</f>
        <v>0</v>
      </c>
      <c r="AB140" s="69" t="n">
        <f aca="false">Y140-Z140-AA140</f>
        <v>0</v>
      </c>
      <c r="AC140" s="69" t="n">
        <f aca="false">IF(AF139&gt;0.5,AF139*(1+AC$23)+AC$24,0)</f>
        <v>0</v>
      </c>
      <c r="AD140" s="69" t="n">
        <f aca="false">MIN(AD$23,AC140)</f>
        <v>0</v>
      </c>
      <c r="AE140" s="69" t="n">
        <f aca="false">IF(AND(AD$24=1,OR(AC$25="",$C140&gt;=AC$25)),MAX(0,MIN(AC140-AD140,$D140-(G140+K140+O140+S140+W140+AA140))),0)</f>
        <v>0</v>
      </c>
      <c r="AF140" s="69" t="n">
        <f aca="false">AC140-AD140-AE140</f>
        <v>0</v>
      </c>
      <c r="AG140" s="69" t="n">
        <f aca="false">IF(AJ139&gt;0.5,AJ139*(1+AG$23)+AG$24,0)</f>
        <v>0</v>
      </c>
      <c r="AH140" s="69" t="n">
        <f aca="false">MIN(AH$23,AG140)</f>
        <v>0</v>
      </c>
      <c r="AI140" s="69" t="n">
        <f aca="false">IF(AND(AH$24=1,OR(AG$25="",$C140&gt;=AG$25)),MAX(0,MIN(AG140-AH140,$D140-(G140+K140+O140+S140+W140+AA140+AE140))),0)</f>
        <v>0</v>
      </c>
      <c r="AJ140" s="69" t="n">
        <f aca="false">AG140-AH140-AI140</f>
        <v>0</v>
      </c>
      <c r="AK140" s="69" t="n">
        <f aca="false">IF(AK139&gt;0.5,AK139*(1+$E$12)+$G$12-MIN($F$12,AK139*(1+$E$12)+$G$12),0)</f>
        <v>0</v>
      </c>
      <c r="AL140" s="69" t="n">
        <f aca="false">IF(AL139&gt;0.5,AL139*(1+$E$13)+$G$13-MIN($F$13,AL139*(1+$E$13)+$G$13),0)</f>
        <v>0</v>
      </c>
      <c r="AM140" s="69" t="n">
        <f aca="false">IF(AM139&gt;0.5,AM139*(1+$E$14)+$G$14-MIN($F$14,AM139*(1+$E$14)+$G$14),0)</f>
        <v>0</v>
      </c>
      <c r="AN140" s="69" t="n">
        <f aca="false">IF(AN139&gt;0.5,AN139*(1+$E$15)+$G$15-MIN($F$15,AN139*(1+$E$15)+$G$15),0)</f>
        <v>0</v>
      </c>
      <c r="AO140" s="69" t="n">
        <f aca="false">IF(AO139&gt;0.5,AO139*(1+$E$16)+$G$16-MIN($F$16,AO139*(1+$E$16)+$G$16),0)</f>
        <v>0</v>
      </c>
      <c r="AP140" s="69" t="n">
        <f aca="false">IF(AP139&gt;0.5,AP139*(1+$E$17)+$G$17-MIN($F$17,AP139*(1+$E$17)+$G$17),0)</f>
        <v>0</v>
      </c>
      <c r="AQ140" s="69" t="n">
        <f aca="false">IF(AQ139&gt;0.5,AQ139*(1+$E$18)+$G$18-MIN($F$18,AQ139*(1+$E$18)+$G$18),0)</f>
        <v>0</v>
      </c>
      <c r="AR140" s="69" t="n">
        <f aca="false">IF(AR139&gt;0.5,AR139*(1+$E$19)+$G$19-MIN($F$19,AR139*(1+$E$19)+$G$19),0)</f>
        <v>0</v>
      </c>
      <c r="AS140" s="69" t="n">
        <f aca="false">H140+L140+P140+T140+X140+AB140+AF140+AJ140</f>
        <v>0</v>
      </c>
      <c r="AT140" s="69" t="n">
        <f aca="false">SUM(AK140:AR140)</f>
        <v>0</v>
      </c>
      <c r="AU140" s="69" t="n">
        <f aca="false">F140+G140+J140+K140+N140+O140+R140+S140+V140+W140+Z140+AA140+AD140+AE140+AH140+AI140</f>
        <v>0</v>
      </c>
    </row>
    <row r="141" customFormat="false" ht="15" hidden="false" customHeight="false" outlineLevel="0" collapsed="false">
      <c r="B141" s="0" t="n">
        <v>114</v>
      </c>
      <c r="C141" s="68" t="n">
        <f aca="false">EDATE($C$7,113)</f>
        <v>49735</v>
      </c>
      <c r="D141" s="69" t="n">
        <f aca="false">$C$8-(F141+J141+N141+R141+V141+Z141+AD141+AH141)</f>
        <v>0</v>
      </c>
      <c r="E141" s="69" t="n">
        <f aca="false">IF(H140&gt;0.5,H140*(1+E$23)+E$24,0)</f>
        <v>0</v>
      </c>
      <c r="F141" s="69" t="n">
        <f aca="false">MIN(F$23,E141)</f>
        <v>0</v>
      </c>
      <c r="G141" s="69" t="n">
        <f aca="false">IF(AND(F$24=1,OR(E$25="",$C141&gt;=E$25)),MAX(0,MIN(E141-F141,$D141-(0))),0)</f>
        <v>0</v>
      </c>
      <c r="H141" s="69" t="n">
        <f aca="false">E141-F141-G141</f>
        <v>0</v>
      </c>
      <c r="I141" s="69" t="n">
        <f aca="false">IF(L140&gt;0.5,L140*(1+I$23)+I$24,0)</f>
        <v>0</v>
      </c>
      <c r="J141" s="69" t="n">
        <f aca="false">MIN(J$23,I141)</f>
        <v>0</v>
      </c>
      <c r="K141" s="69" t="n">
        <f aca="false">IF(AND(J$24=1,OR(I$25="",$C141&gt;=I$25)),MAX(0,MIN(I141-J141,$D141-(G141))),0)</f>
        <v>0</v>
      </c>
      <c r="L141" s="69" t="n">
        <f aca="false">I141-J141-K141</f>
        <v>0</v>
      </c>
      <c r="M141" s="69" t="n">
        <f aca="false">IF(P140&gt;0.5,P140*(1+M$23)+M$24,0)</f>
        <v>0</v>
      </c>
      <c r="N141" s="69" t="n">
        <f aca="false">MIN(N$23,M141)</f>
        <v>0</v>
      </c>
      <c r="O141" s="69" t="n">
        <f aca="false">IF(AND(N$24=1,OR(M$25="",$C141&gt;=M$25)),MAX(0,MIN(M141-N141,$D141-(G141+K141))),0)</f>
        <v>0</v>
      </c>
      <c r="P141" s="69" t="n">
        <f aca="false">M141-N141-O141</f>
        <v>0</v>
      </c>
      <c r="Q141" s="69" t="n">
        <f aca="false">IF(T140&gt;0.5,T140*(1+Q$23)+Q$24,0)</f>
        <v>0</v>
      </c>
      <c r="R141" s="69" t="n">
        <f aca="false">MIN(R$23,Q141)</f>
        <v>0</v>
      </c>
      <c r="S141" s="69" t="n">
        <f aca="false">IF(AND(R$24=1,OR(Q$25="",$C141&gt;=Q$25)),MAX(0,MIN(Q141-R141,$D141-(G141+K141+O141))),0)</f>
        <v>0</v>
      </c>
      <c r="T141" s="69" t="n">
        <f aca="false">Q141-R141-S141</f>
        <v>0</v>
      </c>
      <c r="U141" s="69" t="n">
        <f aca="false">IF(X140&gt;0.5,X140*(1+U$23)+U$24,0)</f>
        <v>0</v>
      </c>
      <c r="V141" s="69" t="n">
        <f aca="false">MIN(V$23,U141)</f>
        <v>0</v>
      </c>
      <c r="W141" s="69" t="n">
        <f aca="false">IF(AND(V$24=1,OR(U$25="",$C141&gt;=U$25)),MAX(0,MIN(U141-V141,$D141-(G141+K141+O141+S141))),0)</f>
        <v>0</v>
      </c>
      <c r="X141" s="69" t="n">
        <f aca="false">U141-V141-W141</f>
        <v>0</v>
      </c>
      <c r="Y141" s="69" t="n">
        <f aca="false">IF(AB140&gt;0.5,AB140*(1+Y$23)+Y$24,0)</f>
        <v>0</v>
      </c>
      <c r="Z141" s="69" t="n">
        <f aca="false">MIN(Z$23,Y141)</f>
        <v>0</v>
      </c>
      <c r="AA141" s="69" t="n">
        <f aca="false">IF(AND(Z$24=1,OR(Y$25="",$C141&gt;=Y$25)),MAX(0,MIN(Y141-Z141,$D141-(G141+K141+O141+S141+W141))),0)</f>
        <v>0</v>
      </c>
      <c r="AB141" s="69" t="n">
        <f aca="false">Y141-Z141-AA141</f>
        <v>0</v>
      </c>
      <c r="AC141" s="69" t="n">
        <f aca="false">IF(AF140&gt;0.5,AF140*(1+AC$23)+AC$24,0)</f>
        <v>0</v>
      </c>
      <c r="AD141" s="69" t="n">
        <f aca="false">MIN(AD$23,AC141)</f>
        <v>0</v>
      </c>
      <c r="AE141" s="69" t="n">
        <f aca="false">IF(AND(AD$24=1,OR(AC$25="",$C141&gt;=AC$25)),MAX(0,MIN(AC141-AD141,$D141-(G141+K141+O141+S141+W141+AA141))),0)</f>
        <v>0</v>
      </c>
      <c r="AF141" s="69" t="n">
        <f aca="false">AC141-AD141-AE141</f>
        <v>0</v>
      </c>
      <c r="AG141" s="69" t="n">
        <f aca="false">IF(AJ140&gt;0.5,AJ140*(1+AG$23)+AG$24,0)</f>
        <v>0</v>
      </c>
      <c r="AH141" s="69" t="n">
        <f aca="false">MIN(AH$23,AG141)</f>
        <v>0</v>
      </c>
      <c r="AI141" s="69" t="n">
        <f aca="false">IF(AND(AH$24=1,OR(AG$25="",$C141&gt;=AG$25)),MAX(0,MIN(AG141-AH141,$D141-(G141+K141+O141+S141+W141+AA141+AE141))),0)</f>
        <v>0</v>
      </c>
      <c r="AJ141" s="69" t="n">
        <f aca="false">AG141-AH141-AI141</f>
        <v>0</v>
      </c>
      <c r="AK141" s="69" t="n">
        <f aca="false">IF(AK140&gt;0.5,AK140*(1+$E$12)+$G$12-MIN($F$12,AK140*(1+$E$12)+$G$12),0)</f>
        <v>0</v>
      </c>
      <c r="AL141" s="69" t="n">
        <f aca="false">IF(AL140&gt;0.5,AL140*(1+$E$13)+$G$13-MIN($F$13,AL140*(1+$E$13)+$G$13),0)</f>
        <v>0</v>
      </c>
      <c r="AM141" s="69" t="n">
        <f aca="false">IF(AM140&gt;0.5,AM140*(1+$E$14)+$G$14-MIN($F$14,AM140*(1+$E$14)+$G$14),0)</f>
        <v>0</v>
      </c>
      <c r="AN141" s="69" t="n">
        <f aca="false">IF(AN140&gt;0.5,AN140*(1+$E$15)+$G$15-MIN($F$15,AN140*(1+$E$15)+$G$15),0)</f>
        <v>0</v>
      </c>
      <c r="AO141" s="69" t="n">
        <f aca="false">IF(AO140&gt;0.5,AO140*(1+$E$16)+$G$16-MIN($F$16,AO140*(1+$E$16)+$G$16),0)</f>
        <v>0</v>
      </c>
      <c r="AP141" s="69" t="n">
        <f aca="false">IF(AP140&gt;0.5,AP140*(1+$E$17)+$G$17-MIN($F$17,AP140*(1+$E$17)+$G$17),0)</f>
        <v>0</v>
      </c>
      <c r="AQ141" s="69" t="n">
        <f aca="false">IF(AQ140&gt;0.5,AQ140*(1+$E$18)+$G$18-MIN($F$18,AQ140*(1+$E$18)+$G$18),0)</f>
        <v>0</v>
      </c>
      <c r="AR141" s="69" t="n">
        <f aca="false">IF(AR140&gt;0.5,AR140*(1+$E$19)+$G$19-MIN($F$19,AR140*(1+$E$19)+$G$19),0)</f>
        <v>0</v>
      </c>
      <c r="AS141" s="69" t="n">
        <f aca="false">H141+L141+P141+T141+X141+AB141+AF141+AJ141</f>
        <v>0</v>
      </c>
      <c r="AT141" s="69" t="n">
        <f aca="false">SUM(AK141:AR141)</f>
        <v>0</v>
      </c>
      <c r="AU141" s="69" t="n">
        <f aca="false">F141+G141+J141+K141+N141+O141+R141+S141+V141+W141+Z141+AA141+AD141+AE141+AH141+AI141</f>
        <v>0</v>
      </c>
    </row>
    <row r="142" customFormat="false" ht="15" hidden="false" customHeight="false" outlineLevel="0" collapsed="false">
      <c r="B142" s="0" t="n">
        <v>115</v>
      </c>
      <c r="C142" s="68" t="n">
        <f aca="false">EDATE($C$7,114)</f>
        <v>49766</v>
      </c>
      <c r="D142" s="69" t="n">
        <f aca="false">$C$8-(F142+J142+N142+R142+V142+Z142+AD142+AH142)</f>
        <v>0</v>
      </c>
      <c r="E142" s="69" t="n">
        <f aca="false">IF(H141&gt;0.5,H141*(1+E$23)+E$24,0)</f>
        <v>0</v>
      </c>
      <c r="F142" s="69" t="n">
        <f aca="false">MIN(F$23,E142)</f>
        <v>0</v>
      </c>
      <c r="G142" s="69" t="n">
        <f aca="false">IF(AND(F$24=1,OR(E$25="",$C142&gt;=E$25)),MAX(0,MIN(E142-F142,$D142-(0))),0)</f>
        <v>0</v>
      </c>
      <c r="H142" s="69" t="n">
        <f aca="false">E142-F142-G142</f>
        <v>0</v>
      </c>
      <c r="I142" s="69" t="n">
        <f aca="false">IF(L141&gt;0.5,L141*(1+I$23)+I$24,0)</f>
        <v>0</v>
      </c>
      <c r="J142" s="69" t="n">
        <f aca="false">MIN(J$23,I142)</f>
        <v>0</v>
      </c>
      <c r="K142" s="69" t="n">
        <f aca="false">IF(AND(J$24=1,OR(I$25="",$C142&gt;=I$25)),MAX(0,MIN(I142-J142,$D142-(G142))),0)</f>
        <v>0</v>
      </c>
      <c r="L142" s="69" t="n">
        <f aca="false">I142-J142-K142</f>
        <v>0</v>
      </c>
      <c r="M142" s="69" t="n">
        <f aca="false">IF(P141&gt;0.5,P141*(1+M$23)+M$24,0)</f>
        <v>0</v>
      </c>
      <c r="N142" s="69" t="n">
        <f aca="false">MIN(N$23,M142)</f>
        <v>0</v>
      </c>
      <c r="O142" s="69" t="n">
        <f aca="false">IF(AND(N$24=1,OR(M$25="",$C142&gt;=M$25)),MAX(0,MIN(M142-N142,$D142-(G142+K142))),0)</f>
        <v>0</v>
      </c>
      <c r="P142" s="69" t="n">
        <f aca="false">M142-N142-O142</f>
        <v>0</v>
      </c>
      <c r="Q142" s="69" t="n">
        <f aca="false">IF(T141&gt;0.5,T141*(1+Q$23)+Q$24,0)</f>
        <v>0</v>
      </c>
      <c r="R142" s="69" t="n">
        <f aca="false">MIN(R$23,Q142)</f>
        <v>0</v>
      </c>
      <c r="S142" s="69" t="n">
        <f aca="false">IF(AND(R$24=1,OR(Q$25="",$C142&gt;=Q$25)),MAX(0,MIN(Q142-R142,$D142-(G142+K142+O142))),0)</f>
        <v>0</v>
      </c>
      <c r="T142" s="69" t="n">
        <f aca="false">Q142-R142-S142</f>
        <v>0</v>
      </c>
      <c r="U142" s="69" t="n">
        <f aca="false">IF(X141&gt;0.5,X141*(1+U$23)+U$24,0)</f>
        <v>0</v>
      </c>
      <c r="V142" s="69" t="n">
        <f aca="false">MIN(V$23,U142)</f>
        <v>0</v>
      </c>
      <c r="W142" s="69" t="n">
        <f aca="false">IF(AND(V$24=1,OR(U$25="",$C142&gt;=U$25)),MAX(0,MIN(U142-V142,$D142-(G142+K142+O142+S142))),0)</f>
        <v>0</v>
      </c>
      <c r="X142" s="69" t="n">
        <f aca="false">U142-V142-W142</f>
        <v>0</v>
      </c>
      <c r="Y142" s="69" t="n">
        <f aca="false">IF(AB141&gt;0.5,AB141*(1+Y$23)+Y$24,0)</f>
        <v>0</v>
      </c>
      <c r="Z142" s="69" t="n">
        <f aca="false">MIN(Z$23,Y142)</f>
        <v>0</v>
      </c>
      <c r="AA142" s="69" t="n">
        <f aca="false">IF(AND(Z$24=1,OR(Y$25="",$C142&gt;=Y$25)),MAX(0,MIN(Y142-Z142,$D142-(G142+K142+O142+S142+W142))),0)</f>
        <v>0</v>
      </c>
      <c r="AB142" s="69" t="n">
        <f aca="false">Y142-Z142-AA142</f>
        <v>0</v>
      </c>
      <c r="AC142" s="69" t="n">
        <f aca="false">IF(AF141&gt;0.5,AF141*(1+AC$23)+AC$24,0)</f>
        <v>0</v>
      </c>
      <c r="AD142" s="69" t="n">
        <f aca="false">MIN(AD$23,AC142)</f>
        <v>0</v>
      </c>
      <c r="AE142" s="69" t="n">
        <f aca="false">IF(AND(AD$24=1,OR(AC$25="",$C142&gt;=AC$25)),MAX(0,MIN(AC142-AD142,$D142-(G142+K142+O142+S142+W142+AA142))),0)</f>
        <v>0</v>
      </c>
      <c r="AF142" s="69" t="n">
        <f aca="false">AC142-AD142-AE142</f>
        <v>0</v>
      </c>
      <c r="AG142" s="69" t="n">
        <f aca="false">IF(AJ141&gt;0.5,AJ141*(1+AG$23)+AG$24,0)</f>
        <v>0</v>
      </c>
      <c r="AH142" s="69" t="n">
        <f aca="false">MIN(AH$23,AG142)</f>
        <v>0</v>
      </c>
      <c r="AI142" s="69" t="n">
        <f aca="false">IF(AND(AH$24=1,OR(AG$25="",$C142&gt;=AG$25)),MAX(0,MIN(AG142-AH142,$D142-(G142+K142+O142+S142+W142+AA142+AE142))),0)</f>
        <v>0</v>
      </c>
      <c r="AJ142" s="69" t="n">
        <f aca="false">AG142-AH142-AI142</f>
        <v>0</v>
      </c>
      <c r="AK142" s="69" t="n">
        <f aca="false">IF(AK141&gt;0.5,AK141*(1+$E$12)+$G$12-MIN($F$12,AK141*(1+$E$12)+$G$12),0)</f>
        <v>0</v>
      </c>
      <c r="AL142" s="69" t="n">
        <f aca="false">IF(AL141&gt;0.5,AL141*(1+$E$13)+$G$13-MIN($F$13,AL141*(1+$E$13)+$G$13),0)</f>
        <v>0</v>
      </c>
      <c r="AM142" s="69" t="n">
        <f aca="false">IF(AM141&gt;0.5,AM141*(1+$E$14)+$G$14-MIN($F$14,AM141*(1+$E$14)+$G$14),0)</f>
        <v>0</v>
      </c>
      <c r="AN142" s="69" t="n">
        <f aca="false">IF(AN141&gt;0.5,AN141*(1+$E$15)+$G$15-MIN($F$15,AN141*(1+$E$15)+$G$15),0)</f>
        <v>0</v>
      </c>
      <c r="AO142" s="69" t="n">
        <f aca="false">IF(AO141&gt;0.5,AO141*(1+$E$16)+$G$16-MIN($F$16,AO141*(1+$E$16)+$G$16),0)</f>
        <v>0</v>
      </c>
      <c r="AP142" s="69" t="n">
        <f aca="false">IF(AP141&gt;0.5,AP141*(1+$E$17)+$G$17-MIN($F$17,AP141*(1+$E$17)+$G$17),0)</f>
        <v>0</v>
      </c>
      <c r="AQ142" s="69" t="n">
        <f aca="false">IF(AQ141&gt;0.5,AQ141*(1+$E$18)+$G$18-MIN($F$18,AQ141*(1+$E$18)+$G$18),0)</f>
        <v>0</v>
      </c>
      <c r="AR142" s="69" t="n">
        <f aca="false">IF(AR141&gt;0.5,AR141*(1+$E$19)+$G$19-MIN($F$19,AR141*(1+$E$19)+$G$19),0)</f>
        <v>0</v>
      </c>
      <c r="AS142" s="69" t="n">
        <f aca="false">H142+L142+P142+T142+X142+AB142+AF142+AJ142</f>
        <v>0</v>
      </c>
      <c r="AT142" s="69" t="n">
        <f aca="false">SUM(AK142:AR142)</f>
        <v>0</v>
      </c>
      <c r="AU142" s="69" t="n">
        <f aca="false">F142+G142+J142+K142+N142+O142+R142+S142+V142+W142+Z142+AA142+AD142+AE142+AH142+AI142</f>
        <v>0</v>
      </c>
    </row>
    <row r="143" customFormat="false" ht="15" hidden="false" customHeight="false" outlineLevel="0" collapsed="false">
      <c r="B143" s="0" t="n">
        <v>116</v>
      </c>
      <c r="C143" s="68" t="n">
        <f aca="false">EDATE($C$7,115)</f>
        <v>49796</v>
      </c>
      <c r="D143" s="69" t="n">
        <f aca="false">$C$8-(F143+J143+N143+R143+V143+Z143+AD143+AH143)</f>
        <v>0</v>
      </c>
      <c r="E143" s="69" t="n">
        <f aca="false">IF(H142&gt;0.5,H142*(1+E$23)+E$24,0)</f>
        <v>0</v>
      </c>
      <c r="F143" s="69" t="n">
        <f aca="false">MIN(F$23,E143)</f>
        <v>0</v>
      </c>
      <c r="G143" s="69" t="n">
        <f aca="false">IF(AND(F$24=1,OR(E$25="",$C143&gt;=E$25)),MAX(0,MIN(E143-F143,$D143-(0))),0)</f>
        <v>0</v>
      </c>
      <c r="H143" s="69" t="n">
        <f aca="false">E143-F143-G143</f>
        <v>0</v>
      </c>
      <c r="I143" s="69" t="n">
        <f aca="false">IF(L142&gt;0.5,L142*(1+I$23)+I$24,0)</f>
        <v>0</v>
      </c>
      <c r="J143" s="69" t="n">
        <f aca="false">MIN(J$23,I143)</f>
        <v>0</v>
      </c>
      <c r="K143" s="69" t="n">
        <f aca="false">IF(AND(J$24=1,OR(I$25="",$C143&gt;=I$25)),MAX(0,MIN(I143-J143,$D143-(G143))),0)</f>
        <v>0</v>
      </c>
      <c r="L143" s="69" t="n">
        <f aca="false">I143-J143-K143</f>
        <v>0</v>
      </c>
      <c r="M143" s="69" t="n">
        <f aca="false">IF(P142&gt;0.5,P142*(1+M$23)+M$24,0)</f>
        <v>0</v>
      </c>
      <c r="N143" s="69" t="n">
        <f aca="false">MIN(N$23,M143)</f>
        <v>0</v>
      </c>
      <c r="O143" s="69" t="n">
        <f aca="false">IF(AND(N$24=1,OR(M$25="",$C143&gt;=M$25)),MAX(0,MIN(M143-N143,$D143-(G143+K143))),0)</f>
        <v>0</v>
      </c>
      <c r="P143" s="69" t="n">
        <f aca="false">M143-N143-O143</f>
        <v>0</v>
      </c>
      <c r="Q143" s="69" t="n">
        <f aca="false">IF(T142&gt;0.5,T142*(1+Q$23)+Q$24,0)</f>
        <v>0</v>
      </c>
      <c r="R143" s="69" t="n">
        <f aca="false">MIN(R$23,Q143)</f>
        <v>0</v>
      </c>
      <c r="S143" s="69" t="n">
        <f aca="false">IF(AND(R$24=1,OR(Q$25="",$C143&gt;=Q$25)),MAX(0,MIN(Q143-R143,$D143-(G143+K143+O143))),0)</f>
        <v>0</v>
      </c>
      <c r="T143" s="69" t="n">
        <f aca="false">Q143-R143-S143</f>
        <v>0</v>
      </c>
      <c r="U143" s="69" t="n">
        <f aca="false">IF(X142&gt;0.5,X142*(1+U$23)+U$24,0)</f>
        <v>0</v>
      </c>
      <c r="V143" s="69" t="n">
        <f aca="false">MIN(V$23,U143)</f>
        <v>0</v>
      </c>
      <c r="W143" s="69" t="n">
        <f aca="false">IF(AND(V$24=1,OR(U$25="",$C143&gt;=U$25)),MAX(0,MIN(U143-V143,$D143-(G143+K143+O143+S143))),0)</f>
        <v>0</v>
      </c>
      <c r="X143" s="69" t="n">
        <f aca="false">U143-V143-W143</f>
        <v>0</v>
      </c>
      <c r="Y143" s="69" t="n">
        <f aca="false">IF(AB142&gt;0.5,AB142*(1+Y$23)+Y$24,0)</f>
        <v>0</v>
      </c>
      <c r="Z143" s="69" t="n">
        <f aca="false">MIN(Z$23,Y143)</f>
        <v>0</v>
      </c>
      <c r="AA143" s="69" t="n">
        <f aca="false">IF(AND(Z$24=1,OR(Y$25="",$C143&gt;=Y$25)),MAX(0,MIN(Y143-Z143,$D143-(G143+K143+O143+S143+W143))),0)</f>
        <v>0</v>
      </c>
      <c r="AB143" s="69" t="n">
        <f aca="false">Y143-Z143-AA143</f>
        <v>0</v>
      </c>
      <c r="AC143" s="69" t="n">
        <f aca="false">IF(AF142&gt;0.5,AF142*(1+AC$23)+AC$24,0)</f>
        <v>0</v>
      </c>
      <c r="AD143" s="69" t="n">
        <f aca="false">MIN(AD$23,AC143)</f>
        <v>0</v>
      </c>
      <c r="AE143" s="69" t="n">
        <f aca="false">IF(AND(AD$24=1,OR(AC$25="",$C143&gt;=AC$25)),MAX(0,MIN(AC143-AD143,$D143-(G143+K143+O143+S143+W143+AA143))),0)</f>
        <v>0</v>
      </c>
      <c r="AF143" s="69" t="n">
        <f aca="false">AC143-AD143-AE143</f>
        <v>0</v>
      </c>
      <c r="AG143" s="69" t="n">
        <f aca="false">IF(AJ142&gt;0.5,AJ142*(1+AG$23)+AG$24,0)</f>
        <v>0</v>
      </c>
      <c r="AH143" s="69" t="n">
        <f aca="false">MIN(AH$23,AG143)</f>
        <v>0</v>
      </c>
      <c r="AI143" s="69" t="n">
        <f aca="false">IF(AND(AH$24=1,OR(AG$25="",$C143&gt;=AG$25)),MAX(0,MIN(AG143-AH143,$D143-(G143+K143+O143+S143+W143+AA143+AE143))),0)</f>
        <v>0</v>
      </c>
      <c r="AJ143" s="69" t="n">
        <f aca="false">AG143-AH143-AI143</f>
        <v>0</v>
      </c>
      <c r="AK143" s="69" t="n">
        <f aca="false">IF(AK142&gt;0.5,AK142*(1+$E$12)+$G$12-MIN($F$12,AK142*(1+$E$12)+$G$12),0)</f>
        <v>0</v>
      </c>
      <c r="AL143" s="69" t="n">
        <f aca="false">IF(AL142&gt;0.5,AL142*(1+$E$13)+$G$13-MIN($F$13,AL142*(1+$E$13)+$G$13),0)</f>
        <v>0</v>
      </c>
      <c r="AM143" s="69" t="n">
        <f aca="false">IF(AM142&gt;0.5,AM142*(1+$E$14)+$G$14-MIN($F$14,AM142*(1+$E$14)+$G$14),0)</f>
        <v>0</v>
      </c>
      <c r="AN143" s="69" t="n">
        <f aca="false">IF(AN142&gt;0.5,AN142*(1+$E$15)+$G$15-MIN($F$15,AN142*(1+$E$15)+$G$15),0)</f>
        <v>0</v>
      </c>
      <c r="AO143" s="69" t="n">
        <f aca="false">IF(AO142&gt;0.5,AO142*(1+$E$16)+$G$16-MIN($F$16,AO142*(1+$E$16)+$G$16),0)</f>
        <v>0</v>
      </c>
      <c r="AP143" s="69" t="n">
        <f aca="false">IF(AP142&gt;0.5,AP142*(1+$E$17)+$G$17-MIN($F$17,AP142*(1+$E$17)+$G$17),0)</f>
        <v>0</v>
      </c>
      <c r="AQ143" s="69" t="n">
        <f aca="false">IF(AQ142&gt;0.5,AQ142*(1+$E$18)+$G$18-MIN($F$18,AQ142*(1+$E$18)+$G$18),0)</f>
        <v>0</v>
      </c>
      <c r="AR143" s="69" t="n">
        <f aca="false">IF(AR142&gt;0.5,AR142*(1+$E$19)+$G$19-MIN($F$19,AR142*(1+$E$19)+$G$19),0)</f>
        <v>0</v>
      </c>
      <c r="AS143" s="69" t="n">
        <f aca="false">H143+L143+P143+T143+X143+AB143+AF143+AJ143</f>
        <v>0</v>
      </c>
      <c r="AT143" s="69" t="n">
        <f aca="false">SUM(AK143:AR143)</f>
        <v>0</v>
      </c>
      <c r="AU143" s="69" t="n">
        <f aca="false">F143+G143+J143+K143+N143+O143+R143+S143+V143+W143+Z143+AA143+AD143+AE143+AH143+AI143</f>
        <v>0</v>
      </c>
    </row>
    <row r="144" customFormat="false" ht="15" hidden="false" customHeight="false" outlineLevel="0" collapsed="false">
      <c r="B144" s="0" t="n">
        <v>117</v>
      </c>
      <c r="C144" s="68" t="n">
        <f aca="false">EDATE($C$7,116)</f>
        <v>49827</v>
      </c>
      <c r="D144" s="69" t="n">
        <f aca="false">$C$8-(F144+J144+N144+R144+V144+Z144+AD144+AH144)</f>
        <v>0</v>
      </c>
      <c r="E144" s="69" t="n">
        <f aca="false">IF(H143&gt;0.5,H143*(1+E$23)+E$24,0)</f>
        <v>0</v>
      </c>
      <c r="F144" s="69" t="n">
        <f aca="false">MIN(F$23,E144)</f>
        <v>0</v>
      </c>
      <c r="G144" s="69" t="n">
        <f aca="false">IF(AND(F$24=1,OR(E$25="",$C144&gt;=E$25)),MAX(0,MIN(E144-F144,$D144-(0))),0)</f>
        <v>0</v>
      </c>
      <c r="H144" s="69" t="n">
        <f aca="false">E144-F144-G144</f>
        <v>0</v>
      </c>
      <c r="I144" s="69" t="n">
        <f aca="false">IF(L143&gt;0.5,L143*(1+I$23)+I$24,0)</f>
        <v>0</v>
      </c>
      <c r="J144" s="69" t="n">
        <f aca="false">MIN(J$23,I144)</f>
        <v>0</v>
      </c>
      <c r="K144" s="69" t="n">
        <f aca="false">IF(AND(J$24=1,OR(I$25="",$C144&gt;=I$25)),MAX(0,MIN(I144-J144,$D144-(G144))),0)</f>
        <v>0</v>
      </c>
      <c r="L144" s="69" t="n">
        <f aca="false">I144-J144-K144</f>
        <v>0</v>
      </c>
      <c r="M144" s="69" t="n">
        <f aca="false">IF(P143&gt;0.5,P143*(1+M$23)+M$24,0)</f>
        <v>0</v>
      </c>
      <c r="N144" s="69" t="n">
        <f aca="false">MIN(N$23,M144)</f>
        <v>0</v>
      </c>
      <c r="O144" s="69" t="n">
        <f aca="false">IF(AND(N$24=1,OR(M$25="",$C144&gt;=M$25)),MAX(0,MIN(M144-N144,$D144-(G144+K144))),0)</f>
        <v>0</v>
      </c>
      <c r="P144" s="69" t="n">
        <f aca="false">M144-N144-O144</f>
        <v>0</v>
      </c>
      <c r="Q144" s="69" t="n">
        <f aca="false">IF(T143&gt;0.5,T143*(1+Q$23)+Q$24,0)</f>
        <v>0</v>
      </c>
      <c r="R144" s="69" t="n">
        <f aca="false">MIN(R$23,Q144)</f>
        <v>0</v>
      </c>
      <c r="S144" s="69" t="n">
        <f aca="false">IF(AND(R$24=1,OR(Q$25="",$C144&gt;=Q$25)),MAX(0,MIN(Q144-R144,$D144-(G144+K144+O144))),0)</f>
        <v>0</v>
      </c>
      <c r="T144" s="69" t="n">
        <f aca="false">Q144-R144-S144</f>
        <v>0</v>
      </c>
      <c r="U144" s="69" t="n">
        <f aca="false">IF(X143&gt;0.5,X143*(1+U$23)+U$24,0)</f>
        <v>0</v>
      </c>
      <c r="V144" s="69" t="n">
        <f aca="false">MIN(V$23,U144)</f>
        <v>0</v>
      </c>
      <c r="W144" s="69" t="n">
        <f aca="false">IF(AND(V$24=1,OR(U$25="",$C144&gt;=U$25)),MAX(0,MIN(U144-V144,$D144-(G144+K144+O144+S144))),0)</f>
        <v>0</v>
      </c>
      <c r="X144" s="69" t="n">
        <f aca="false">U144-V144-W144</f>
        <v>0</v>
      </c>
      <c r="Y144" s="69" t="n">
        <f aca="false">IF(AB143&gt;0.5,AB143*(1+Y$23)+Y$24,0)</f>
        <v>0</v>
      </c>
      <c r="Z144" s="69" t="n">
        <f aca="false">MIN(Z$23,Y144)</f>
        <v>0</v>
      </c>
      <c r="AA144" s="69" t="n">
        <f aca="false">IF(AND(Z$24=1,OR(Y$25="",$C144&gt;=Y$25)),MAX(0,MIN(Y144-Z144,$D144-(G144+K144+O144+S144+W144))),0)</f>
        <v>0</v>
      </c>
      <c r="AB144" s="69" t="n">
        <f aca="false">Y144-Z144-AA144</f>
        <v>0</v>
      </c>
      <c r="AC144" s="69" t="n">
        <f aca="false">IF(AF143&gt;0.5,AF143*(1+AC$23)+AC$24,0)</f>
        <v>0</v>
      </c>
      <c r="AD144" s="69" t="n">
        <f aca="false">MIN(AD$23,AC144)</f>
        <v>0</v>
      </c>
      <c r="AE144" s="69" t="n">
        <f aca="false">IF(AND(AD$24=1,OR(AC$25="",$C144&gt;=AC$25)),MAX(0,MIN(AC144-AD144,$D144-(G144+K144+O144+S144+W144+AA144))),0)</f>
        <v>0</v>
      </c>
      <c r="AF144" s="69" t="n">
        <f aca="false">AC144-AD144-AE144</f>
        <v>0</v>
      </c>
      <c r="AG144" s="69" t="n">
        <f aca="false">IF(AJ143&gt;0.5,AJ143*(1+AG$23)+AG$24,0)</f>
        <v>0</v>
      </c>
      <c r="AH144" s="69" t="n">
        <f aca="false">MIN(AH$23,AG144)</f>
        <v>0</v>
      </c>
      <c r="AI144" s="69" t="n">
        <f aca="false">IF(AND(AH$24=1,OR(AG$25="",$C144&gt;=AG$25)),MAX(0,MIN(AG144-AH144,$D144-(G144+K144+O144+S144+W144+AA144+AE144))),0)</f>
        <v>0</v>
      </c>
      <c r="AJ144" s="69" t="n">
        <f aca="false">AG144-AH144-AI144</f>
        <v>0</v>
      </c>
      <c r="AK144" s="69" t="n">
        <f aca="false">IF(AK143&gt;0.5,AK143*(1+$E$12)+$G$12-MIN($F$12,AK143*(1+$E$12)+$G$12),0)</f>
        <v>0</v>
      </c>
      <c r="AL144" s="69" t="n">
        <f aca="false">IF(AL143&gt;0.5,AL143*(1+$E$13)+$G$13-MIN($F$13,AL143*(1+$E$13)+$G$13),0)</f>
        <v>0</v>
      </c>
      <c r="AM144" s="69" t="n">
        <f aca="false">IF(AM143&gt;0.5,AM143*(1+$E$14)+$G$14-MIN($F$14,AM143*(1+$E$14)+$G$14),0)</f>
        <v>0</v>
      </c>
      <c r="AN144" s="69" t="n">
        <f aca="false">IF(AN143&gt;0.5,AN143*(1+$E$15)+$G$15-MIN($F$15,AN143*(1+$E$15)+$G$15),0)</f>
        <v>0</v>
      </c>
      <c r="AO144" s="69" t="n">
        <f aca="false">IF(AO143&gt;0.5,AO143*(1+$E$16)+$G$16-MIN($F$16,AO143*(1+$E$16)+$G$16),0)</f>
        <v>0</v>
      </c>
      <c r="AP144" s="69" t="n">
        <f aca="false">IF(AP143&gt;0.5,AP143*(1+$E$17)+$G$17-MIN($F$17,AP143*(1+$E$17)+$G$17),0)</f>
        <v>0</v>
      </c>
      <c r="AQ144" s="69" t="n">
        <f aca="false">IF(AQ143&gt;0.5,AQ143*(1+$E$18)+$G$18-MIN($F$18,AQ143*(1+$E$18)+$G$18),0)</f>
        <v>0</v>
      </c>
      <c r="AR144" s="69" t="n">
        <f aca="false">IF(AR143&gt;0.5,AR143*(1+$E$19)+$G$19-MIN($F$19,AR143*(1+$E$19)+$G$19),0)</f>
        <v>0</v>
      </c>
      <c r="AS144" s="69" t="n">
        <f aca="false">H144+L144+P144+T144+X144+AB144+AF144+AJ144</f>
        <v>0</v>
      </c>
      <c r="AT144" s="69" t="n">
        <f aca="false">SUM(AK144:AR144)</f>
        <v>0</v>
      </c>
      <c r="AU144" s="69" t="n">
        <f aca="false">F144+G144+J144+K144+N144+O144+R144+S144+V144+W144+Z144+AA144+AD144+AE144+AH144+AI144</f>
        <v>0</v>
      </c>
    </row>
    <row r="145" customFormat="false" ht="15" hidden="false" customHeight="false" outlineLevel="0" collapsed="false">
      <c r="B145" s="0" t="n">
        <v>118</v>
      </c>
      <c r="C145" s="68" t="n">
        <f aca="false">EDATE($C$7,117)</f>
        <v>49857</v>
      </c>
      <c r="D145" s="69" t="n">
        <f aca="false">$C$8-(F145+J145+N145+R145+V145+Z145+AD145+AH145)</f>
        <v>0</v>
      </c>
      <c r="E145" s="69" t="n">
        <f aca="false">IF(H144&gt;0.5,H144*(1+E$23)+E$24,0)</f>
        <v>0</v>
      </c>
      <c r="F145" s="69" t="n">
        <f aca="false">MIN(F$23,E145)</f>
        <v>0</v>
      </c>
      <c r="G145" s="69" t="n">
        <f aca="false">IF(AND(F$24=1,OR(E$25="",$C145&gt;=E$25)),MAX(0,MIN(E145-F145,$D145-(0))),0)</f>
        <v>0</v>
      </c>
      <c r="H145" s="69" t="n">
        <f aca="false">E145-F145-G145</f>
        <v>0</v>
      </c>
      <c r="I145" s="69" t="n">
        <f aca="false">IF(L144&gt;0.5,L144*(1+I$23)+I$24,0)</f>
        <v>0</v>
      </c>
      <c r="J145" s="69" t="n">
        <f aca="false">MIN(J$23,I145)</f>
        <v>0</v>
      </c>
      <c r="K145" s="69" t="n">
        <f aca="false">IF(AND(J$24=1,OR(I$25="",$C145&gt;=I$25)),MAX(0,MIN(I145-J145,$D145-(G145))),0)</f>
        <v>0</v>
      </c>
      <c r="L145" s="69" t="n">
        <f aca="false">I145-J145-K145</f>
        <v>0</v>
      </c>
      <c r="M145" s="69" t="n">
        <f aca="false">IF(P144&gt;0.5,P144*(1+M$23)+M$24,0)</f>
        <v>0</v>
      </c>
      <c r="N145" s="69" t="n">
        <f aca="false">MIN(N$23,M145)</f>
        <v>0</v>
      </c>
      <c r="O145" s="69" t="n">
        <f aca="false">IF(AND(N$24=1,OR(M$25="",$C145&gt;=M$25)),MAX(0,MIN(M145-N145,$D145-(G145+K145))),0)</f>
        <v>0</v>
      </c>
      <c r="P145" s="69" t="n">
        <f aca="false">M145-N145-O145</f>
        <v>0</v>
      </c>
      <c r="Q145" s="69" t="n">
        <f aca="false">IF(T144&gt;0.5,T144*(1+Q$23)+Q$24,0)</f>
        <v>0</v>
      </c>
      <c r="R145" s="69" t="n">
        <f aca="false">MIN(R$23,Q145)</f>
        <v>0</v>
      </c>
      <c r="S145" s="69" t="n">
        <f aca="false">IF(AND(R$24=1,OR(Q$25="",$C145&gt;=Q$25)),MAX(0,MIN(Q145-R145,$D145-(G145+K145+O145))),0)</f>
        <v>0</v>
      </c>
      <c r="T145" s="69" t="n">
        <f aca="false">Q145-R145-S145</f>
        <v>0</v>
      </c>
      <c r="U145" s="69" t="n">
        <f aca="false">IF(X144&gt;0.5,X144*(1+U$23)+U$24,0)</f>
        <v>0</v>
      </c>
      <c r="V145" s="69" t="n">
        <f aca="false">MIN(V$23,U145)</f>
        <v>0</v>
      </c>
      <c r="W145" s="69" t="n">
        <f aca="false">IF(AND(V$24=1,OR(U$25="",$C145&gt;=U$25)),MAX(0,MIN(U145-V145,$D145-(G145+K145+O145+S145))),0)</f>
        <v>0</v>
      </c>
      <c r="X145" s="69" t="n">
        <f aca="false">U145-V145-W145</f>
        <v>0</v>
      </c>
      <c r="Y145" s="69" t="n">
        <f aca="false">IF(AB144&gt;0.5,AB144*(1+Y$23)+Y$24,0)</f>
        <v>0</v>
      </c>
      <c r="Z145" s="69" t="n">
        <f aca="false">MIN(Z$23,Y145)</f>
        <v>0</v>
      </c>
      <c r="AA145" s="69" t="n">
        <f aca="false">IF(AND(Z$24=1,OR(Y$25="",$C145&gt;=Y$25)),MAX(0,MIN(Y145-Z145,$D145-(G145+K145+O145+S145+W145))),0)</f>
        <v>0</v>
      </c>
      <c r="AB145" s="69" t="n">
        <f aca="false">Y145-Z145-AA145</f>
        <v>0</v>
      </c>
      <c r="AC145" s="69" t="n">
        <f aca="false">IF(AF144&gt;0.5,AF144*(1+AC$23)+AC$24,0)</f>
        <v>0</v>
      </c>
      <c r="AD145" s="69" t="n">
        <f aca="false">MIN(AD$23,AC145)</f>
        <v>0</v>
      </c>
      <c r="AE145" s="69" t="n">
        <f aca="false">IF(AND(AD$24=1,OR(AC$25="",$C145&gt;=AC$25)),MAX(0,MIN(AC145-AD145,$D145-(G145+K145+O145+S145+W145+AA145))),0)</f>
        <v>0</v>
      </c>
      <c r="AF145" s="69" t="n">
        <f aca="false">AC145-AD145-AE145</f>
        <v>0</v>
      </c>
      <c r="AG145" s="69" t="n">
        <f aca="false">IF(AJ144&gt;0.5,AJ144*(1+AG$23)+AG$24,0)</f>
        <v>0</v>
      </c>
      <c r="AH145" s="69" t="n">
        <f aca="false">MIN(AH$23,AG145)</f>
        <v>0</v>
      </c>
      <c r="AI145" s="69" t="n">
        <f aca="false">IF(AND(AH$24=1,OR(AG$25="",$C145&gt;=AG$25)),MAX(0,MIN(AG145-AH145,$D145-(G145+K145+O145+S145+W145+AA145+AE145))),0)</f>
        <v>0</v>
      </c>
      <c r="AJ145" s="69" t="n">
        <f aca="false">AG145-AH145-AI145</f>
        <v>0</v>
      </c>
      <c r="AK145" s="69" t="n">
        <f aca="false">IF(AK144&gt;0.5,AK144*(1+$E$12)+$G$12-MIN($F$12,AK144*(1+$E$12)+$G$12),0)</f>
        <v>0</v>
      </c>
      <c r="AL145" s="69" t="n">
        <f aca="false">IF(AL144&gt;0.5,AL144*(1+$E$13)+$G$13-MIN($F$13,AL144*(1+$E$13)+$G$13),0)</f>
        <v>0</v>
      </c>
      <c r="AM145" s="69" t="n">
        <f aca="false">IF(AM144&gt;0.5,AM144*(1+$E$14)+$G$14-MIN($F$14,AM144*(1+$E$14)+$G$14),0)</f>
        <v>0</v>
      </c>
      <c r="AN145" s="69" t="n">
        <f aca="false">IF(AN144&gt;0.5,AN144*(1+$E$15)+$G$15-MIN($F$15,AN144*(1+$E$15)+$G$15),0)</f>
        <v>0</v>
      </c>
      <c r="AO145" s="69" t="n">
        <f aca="false">IF(AO144&gt;0.5,AO144*(1+$E$16)+$G$16-MIN($F$16,AO144*(1+$E$16)+$G$16),0)</f>
        <v>0</v>
      </c>
      <c r="AP145" s="69" t="n">
        <f aca="false">IF(AP144&gt;0.5,AP144*(1+$E$17)+$G$17-MIN($F$17,AP144*(1+$E$17)+$G$17),0)</f>
        <v>0</v>
      </c>
      <c r="AQ145" s="69" t="n">
        <f aca="false">IF(AQ144&gt;0.5,AQ144*(1+$E$18)+$G$18-MIN($F$18,AQ144*(1+$E$18)+$G$18),0)</f>
        <v>0</v>
      </c>
      <c r="AR145" s="69" t="n">
        <f aca="false">IF(AR144&gt;0.5,AR144*(1+$E$19)+$G$19-MIN($F$19,AR144*(1+$E$19)+$G$19),0)</f>
        <v>0</v>
      </c>
      <c r="AS145" s="69" t="n">
        <f aca="false">H145+L145+P145+T145+X145+AB145+AF145+AJ145</f>
        <v>0</v>
      </c>
      <c r="AT145" s="69" t="n">
        <f aca="false">SUM(AK145:AR145)</f>
        <v>0</v>
      </c>
      <c r="AU145" s="69" t="n">
        <f aca="false">F145+G145+J145+K145+N145+O145+R145+S145+V145+W145+Z145+AA145+AD145+AE145+AH145+AI145</f>
        <v>0</v>
      </c>
    </row>
    <row r="146" customFormat="false" ht="15" hidden="false" customHeight="false" outlineLevel="0" collapsed="false">
      <c r="B146" s="0" t="n">
        <v>119</v>
      </c>
      <c r="C146" s="68" t="n">
        <f aca="false">EDATE($C$7,118)</f>
        <v>49888</v>
      </c>
      <c r="D146" s="69" t="n">
        <f aca="false">$C$8-(F146+J146+N146+R146+V146+Z146+AD146+AH146)</f>
        <v>0</v>
      </c>
      <c r="E146" s="69" t="n">
        <f aca="false">IF(H145&gt;0.5,H145*(1+E$23)+E$24,0)</f>
        <v>0</v>
      </c>
      <c r="F146" s="69" t="n">
        <f aca="false">MIN(F$23,E146)</f>
        <v>0</v>
      </c>
      <c r="G146" s="69" t="n">
        <f aca="false">IF(AND(F$24=1,OR(E$25="",$C146&gt;=E$25)),MAX(0,MIN(E146-F146,$D146-(0))),0)</f>
        <v>0</v>
      </c>
      <c r="H146" s="69" t="n">
        <f aca="false">E146-F146-G146</f>
        <v>0</v>
      </c>
      <c r="I146" s="69" t="n">
        <f aca="false">IF(L145&gt;0.5,L145*(1+I$23)+I$24,0)</f>
        <v>0</v>
      </c>
      <c r="J146" s="69" t="n">
        <f aca="false">MIN(J$23,I146)</f>
        <v>0</v>
      </c>
      <c r="K146" s="69" t="n">
        <f aca="false">IF(AND(J$24=1,OR(I$25="",$C146&gt;=I$25)),MAX(0,MIN(I146-J146,$D146-(G146))),0)</f>
        <v>0</v>
      </c>
      <c r="L146" s="69" t="n">
        <f aca="false">I146-J146-K146</f>
        <v>0</v>
      </c>
      <c r="M146" s="69" t="n">
        <f aca="false">IF(P145&gt;0.5,P145*(1+M$23)+M$24,0)</f>
        <v>0</v>
      </c>
      <c r="N146" s="69" t="n">
        <f aca="false">MIN(N$23,M146)</f>
        <v>0</v>
      </c>
      <c r="O146" s="69" t="n">
        <f aca="false">IF(AND(N$24=1,OR(M$25="",$C146&gt;=M$25)),MAX(0,MIN(M146-N146,$D146-(G146+K146))),0)</f>
        <v>0</v>
      </c>
      <c r="P146" s="69" t="n">
        <f aca="false">M146-N146-O146</f>
        <v>0</v>
      </c>
      <c r="Q146" s="69" t="n">
        <f aca="false">IF(T145&gt;0.5,T145*(1+Q$23)+Q$24,0)</f>
        <v>0</v>
      </c>
      <c r="R146" s="69" t="n">
        <f aca="false">MIN(R$23,Q146)</f>
        <v>0</v>
      </c>
      <c r="S146" s="69" t="n">
        <f aca="false">IF(AND(R$24=1,OR(Q$25="",$C146&gt;=Q$25)),MAX(0,MIN(Q146-R146,$D146-(G146+K146+O146))),0)</f>
        <v>0</v>
      </c>
      <c r="T146" s="69" t="n">
        <f aca="false">Q146-R146-S146</f>
        <v>0</v>
      </c>
      <c r="U146" s="69" t="n">
        <f aca="false">IF(X145&gt;0.5,X145*(1+U$23)+U$24,0)</f>
        <v>0</v>
      </c>
      <c r="V146" s="69" t="n">
        <f aca="false">MIN(V$23,U146)</f>
        <v>0</v>
      </c>
      <c r="W146" s="69" t="n">
        <f aca="false">IF(AND(V$24=1,OR(U$25="",$C146&gt;=U$25)),MAX(0,MIN(U146-V146,$D146-(G146+K146+O146+S146))),0)</f>
        <v>0</v>
      </c>
      <c r="X146" s="69" t="n">
        <f aca="false">U146-V146-W146</f>
        <v>0</v>
      </c>
      <c r="Y146" s="69" t="n">
        <f aca="false">IF(AB145&gt;0.5,AB145*(1+Y$23)+Y$24,0)</f>
        <v>0</v>
      </c>
      <c r="Z146" s="69" t="n">
        <f aca="false">MIN(Z$23,Y146)</f>
        <v>0</v>
      </c>
      <c r="AA146" s="69" t="n">
        <f aca="false">IF(AND(Z$24=1,OR(Y$25="",$C146&gt;=Y$25)),MAX(0,MIN(Y146-Z146,$D146-(G146+K146+O146+S146+W146))),0)</f>
        <v>0</v>
      </c>
      <c r="AB146" s="69" t="n">
        <f aca="false">Y146-Z146-AA146</f>
        <v>0</v>
      </c>
      <c r="AC146" s="69" t="n">
        <f aca="false">IF(AF145&gt;0.5,AF145*(1+AC$23)+AC$24,0)</f>
        <v>0</v>
      </c>
      <c r="AD146" s="69" t="n">
        <f aca="false">MIN(AD$23,AC146)</f>
        <v>0</v>
      </c>
      <c r="AE146" s="69" t="n">
        <f aca="false">IF(AND(AD$24=1,OR(AC$25="",$C146&gt;=AC$25)),MAX(0,MIN(AC146-AD146,$D146-(G146+K146+O146+S146+W146+AA146))),0)</f>
        <v>0</v>
      </c>
      <c r="AF146" s="69" t="n">
        <f aca="false">AC146-AD146-AE146</f>
        <v>0</v>
      </c>
      <c r="AG146" s="69" t="n">
        <f aca="false">IF(AJ145&gt;0.5,AJ145*(1+AG$23)+AG$24,0)</f>
        <v>0</v>
      </c>
      <c r="AH146" s="69" t="n">
        <f aca="false">MIN(AH$23,AG146)</f>
        <v>0</v>
      </c>
      <c r="AI146" s="69" t="n">
        <f aca="false">IF(AND(AH$24=1,OR(AG$25="",$C146&gt;=AG$25)),MAX(0,MIN(AG146-AH146,$D146-(G146+K146+O146+S146+W146+AA146+AE146))),0)</f>
        <v>0</v>
      </c>
      <c r="AJ146" s="69" t="n">
        <f aca="false">AG146-AH146-AI146</f>
        <v>0</v>
      </c>
      <c r="AK146" s="69" t="n">
        <f aca="false">IF(AK145&gt;0.5,AK145*(1+$E$12)+$G$12-MIN($F$12,AK145*(1+$E$12)+$G$12),0)</f>
        <v>0</v>
      </c>
      <c r="AL146" s="69" t="n">
        <f aca="false">IF(AL145&gt;0.5,AL145*(1+$E$13)+$G$13-MIN($F$13,AL145*(1+$E$13)+$G$13),0)</f>
        <v>0</v>
      </c>
      <c r="AM146" s="69" t="n">
        <f aca="false">IF(AM145&gt;0.5,AM145*(1+$E$14)+$G$14-MIN($F$14,AM145*(1+$E$14)+$G$14),0)</f>
        <v>0</v>
      </c>
      <c r="AN146" s="69" t="n">
        <f aca="false">IF(AN145&gt;0.5,AN145*(1+$E$15)+$G$15-MIN($F$15,AN145*(1+$E$15)+$G$15),0)</f>
        <v>0</v>
      </c>
      <c r="AO146" s="69" t="n">
        <f aca="false">IF(AO145&gt;0.5,AO145*(1+$E$16)+$G$16-MIN($F$16,AO145*(1+$E$16)+$G$16),0)</f>
        <v>0</v>
      </c>
      <c r="AP146" s="69" t="n">
        <f aca="false">IF(AP145&gt;0.5,AP145*(1+$E$17)+$G$17-MIN($F$17,AP145*(1+$E$17)+$G$17),0)</f>
        <v>0</v>
      </c>
      <c r="AQ146" s="69" t="n">
        <f aca="false">IF(AQ145&gt;0.5,AQ145*(1+$E$18)+$G$18-MIN($F$18,AQ145*(1+$E$18)+$G$18),0)</f>
        <v>0</v>
      </c>
      <c r="AR146" s="69" t="n">
        <f aca="false">IF(AR145&gt;0.5,AR145*(1+$E$19)+$G$19-MIN($F$19,AR145*(1+$E$19)+$G$19),0)</f>
        <v>0</v>
      </c>
      <c r="AS146" s="69" t="n">
        <f aca="false">H146+L146+P146+T146+X146+AB146+AF146+AJ146</f>
        <v>0</v>
      </c>
      <c r="AT146" s="69" t="n">
        <f aca="false">SUM(AK146:AR146)</f>
        <v>0</v>
      </c>
      <c r="AU146" s="69" t="n">
        <f aca="false">F146+G146+J146+K146+N146+O146+R146+S146+V146+W146+Z146+AA146+AD146+AE146+AH146+AI146</f>
        <v>0</v>
      </c>
    </row>
    <row r="147" customFormat="false" ht="15" hidden="false" customHeight="false" outlineLevel="0" collapsed="false">
      <c r="B147" s="0" t="n">
        <v>120</v>
      </c>
      <c r="C147" s="68" t="n">
        <f aca="false">EDATE($C$7,119)</f>
        <v>49919</v>
      </c>
      <c r="D147" s="69" t="n">
        <f aca="false">$C$8-(F147+J147+N147+R147+V147+Z147+AD147+AH147)</f>
        <v>0</v>
      </c>
      <c r="E147" s="69" t="n">
        <f aca="false">IF(H146&gt;0.5,H146*(1+E$23)+E$24,0)</f>
        <v>0</v>
      </c>
      <c r="F147" s="69" t="n">
        <f aca="false">MIN(F$23,E147)</f>
        <v>0</v>
      </c>
      <c r="G147" s="69" t="n">
        <f aca="false">IF(AND(F$24=1,OR(E$25="",$C147&gt;=E$25)),MAX(0,MIN(E147-F147,$D147-(0))),0)</f>
        <v>0</v>
      </c>
      <c r="H147" s="69" t="n">
        <f aca="false">E147-F147-G147</f>
        <v>0</v>
      </c>
      <c r="I147" s="69" t="n">
        <f aca="false">IF(L146&gt;0.5,L146*(1+I$23)+I$24,0)</f>
        <v>0</v>
      </c>
      <c r="J147" s="69" t="n">
        <f aca="false">MIN(J$23,I147)</f>
        <v>0</v>
      </c>
      <c r="K147" s="69" t="n">
        <f aca="false">IF(AND(J$24=1,OR(I$25="",$C147&gt;=I$25)),MAX(0,MIN(I147-J147,$D147-(G147))),0)</f>
        <v>0</v>
      </c>
      <c r="L147" s="69" t="n">
        <f aca="false">I147-J147-K147</f>
        <v>0</v>
      </c>
      <c r="M147" s="69" t="n">
        <f aca="false">IF(P146&gt;0.5,P146*(1+M$23)+M$24,0)</f>
        <v>0</v>
      </c>
      <c r="N147" s="69" t="n">
        <f aca="false">MIN(N$23,M147)</f>
        <v>0</v>
      </c>
      <c r="O147" s="69" t="n">
        <f aca="false">IF(AND(N$24=1,OR(M$25="",$C147&gt;=M$25)),MAX(0,MIN(M147-N147,$D147-(G147+K147))),0)</f>
        <v>0</v>
      </c>
      <c r="P147" s="69" t="n">
        <f aca="false">M147-N147-O147</f>
        <v>0</v>
      </c>
      <c r="Q147" s="69" t="n">
        <f aca="false">IF(T146&gt;0.5,T146*(1+Q$23)+Q$24,0)</f>
        <v>0</v>
      </c>
      <c r="R147" s="69" t="n">
        <f aca="false">MIN(R$23,Q147)</f>
        <v>0</v>
      </c>
      <c r="S147" s="69" t="n">
        <f aca="false">IF(AND(R$24=1,OR(Q$25="",$C147&gt;=Q$25)),MAX(0,MIN(Q147-R147,$D147-(G147+K147+O147))),0)</f>
        <v>0</v>
      </c>
      <c r="T147" s="69" t="n">
        <f aca="false">Q147-R147-S147</f>
        <v>0</v>
      </c>
      <c r="U147" s="69" t="n">
        <f aca="false">IF(X146&gt;0.5,X146*(1+U$23)+U$24,0)</f>
        <v>0</v>
      </c>
      <c r="V147" s="69" t="n">
        <f aca="false">MIN(V$23,U147)</f>
        <v>0</v>
      </c>
      <c r="W147" s="69" t="n">
        <f aca="false">IF(AND(V$24=1,OR(U$25="",$C147&gt;=U$25)),MAX(0,MIN(U147-V147,$D147-(G147+K147+O147+S147))),0)</f>
        <v>0</v>
      </c>
      <c r="X147" s="69" t="n">
        <f aca="false">U147-V147-W147</f>
        <v>0</v>
      </c>
      <c r="Y147" s="69" t="n">
        <f aca="false">IF(AB146&gt;0.5,AB146*(1+Y$23)+Y$24,0)</f>
        <v>0</v>
      </c>
      <c r="Z147" s="69" t="n">
        <f aca="false">MIN(Z$23,Y147)</f>
        <v>0</v>
      </c>
      <c r="AA147" s="69" t="n">
        <f aca="false">IF(AND(Z$24=1,OR(Y$25="",$C147&gt;=Y$25)),MAX(0,MIN(Y147-Z147,$D147-(G147+K147+O147+S147+W147))),0)</f>
        <v>0</v>
      </c>
      <c r="AB147" s="69" t="n">
        <f aca="false">Y147-Z147-AA147</f>
        <v>0</v>
      </c>
      <c r="AC147" s="69" t="n">
        <f aca="false">IF(AF146&gt;0.5,AF146*(1+AC$23)+AC$24,0)</f>
        <v>0</v>
      </c>
      <c r="AD147" s="69" t="n">
        <f aca="false">MIN(AD$23,AC147)</f>
        <v>0</v>
      </c>
      <c r="AE147" s="69" t="n">
        <f aca="false">IF(AND(AD$24=1,OR(AC$25="",$C147&gt;=AC$25)),MAX(0,MIN(AC147-AD147,$D147-(G147+K147+O147+S147+W147+AA147))),0)</f>
        <v>0</v>
      </c>
      <c r="AF147" s="69" t="n">
        <f aca="false">AC147-AD147-AE147</f>
        <v>0</v>
      </c>
      <c r="AG147" s="69" t="n">
        <f aca="false">IF(AJ146&gt;0.5,AJ146*(1+AG$23)+AG$24,0)</f>
        <v>0</v>
      </c>
      <c r="AH147" s="69" t="n">
        <f aca="false">MIN(AH$23,AG147)</f>
        <v>0</v>
      </c>
      <c r="AI147" s="69" t="n">
        <f aca="false">IF(AND(AH$24=1,OR(AG$25="",$C147&gt;=AG$25)),MAX(0,MIN(AG147-AH147,$D147-(G147+K147+O147+S147+W147+AA147+AE147))),0)</f>
        <v>0</v>
      </c>
      <c r="AJ147" s="69" t="n">
        <f aca="false">AG147-AH147-AI147</f>
        <v>0</v>
      </c>
      <c r="AK147" s="69" t="n">
        <f aca="false">IF(AK146&gt;0.5,AK146*(1+$E$12)+$G$12-MIN($F$12,AK146*(1+$E$12)+$G$12),0)</f>
        <v>0</v>
      </c>
      <c r="AL147" s="69" t="n">
        <f aca="false">IF(AL146&gt;0.5,AL146*(1+$E$13)+$G$13-MIN($F$13,AL146*(1+$E$13)+$G$13),0)</f>
        <v>0</v>
      </c>
      <c r="AM147" s="69" t="n">
        <f aca="false">IF(AM146&gt;0.5,AM146*(1+$E$14)+$G$14-MIN($F$14,AM146*(1+$E$14)+$G$14),0)</f>
        <v>0</v>
      </c>
      <c r="AN147" s="69" t="n">
        <f aca="false">IF(AN146&gt;0.5,AN146*(1+$E$15)+$G$15-MIN($F$15,AN146*(1+$E$15)+$G$15),0)</f>
        <v>0</v>
      </c>
      <c r="AO147" s="69" t="n">
        <f aca="false">IF(AO146&gt;0.5,AO146*(1+$E$16)+$G$16-MIN($F$16,AO146*(1+$E$16)+$G$16),0)</f>
        <v>0</v>
      </c>
      <c r="AP147" s="69" t="n">
        <f aca="false">IF(AP146&gt;0.5,AP146*(1+$E$17)+$G$17-MIN($F$17,AP146*(1+$E$17)+$G$17),0)</f>
        <v>0</v>
      </c>
      <c r="AQ147" s="69" t="n">
        <f aca="false">IF(AQ146&gt;0.5,AQ146*(1+$E$18)+$G$18-MIN($F$18,AQ146*(1+$E$18)+$G$18),0)</f>
        <v>0</v>
      </c>
      <c r="AR147" s="69" t="n">
        <f aca="false">IF(AR146&gt;0.5,AR146*(1+$E$19)+$G$19-MIN($F$19,AR146*(1+$E$19)+$G$19),0)</f>
        <v>0</v>
      </c>
      <c r="AS147" s="69" t="n">
        <f aca="false">H147+L147+P147+T147+X147+AB147+AF147+AJ147</f>
        <v>0</v>
      </c>
      <c r="AT147" s="69" t="n">
        <f aca="false">SUM(AK147:AR147)</f>
        <v>0</v>
      </c>
      <c r="AU147" s="69" t="n">
        <f aca="false">F147+G147+J147+K147+N147+O147+R147+S147+V147+W147+Z147+AA147+AD147+AE147+AH147+AI147</f>
        <v>0</v>
      </c>
    </row>
    <row r="148" customFormat="false" ht="15" hidden="false" customHeight="false" outlineLevel="0" collapsed="false">
      <c r="B148" s="0" t="n">
        <v>121</v>
      </c>
      <c r="C148" s="68" t="n">
        <f aca="false">EDATE($C$7,120)</f>
        <v>49949</v>
      </c>
      <c r="D148" s="69" t="n">
        <f aca="false">$C$8-(F148+J148+N148+R148+V148+Z148+AD148+AH148)</f>
        <v>0</v>
      </c>
      <c r="E148" s="69" t="n">
        <f aca="false">IF(H147&gt;0.5,H147*(1+E$23)+E$24,0)</f>
        <v>0</v>
      </c>
      <c r="F148" s="69" t="n">
        <f aca="false">MIN(F$23,E148)</f>
        <v>0</v>
      </c>
      <c r="G148" s="69" t="n">
        <f aca="false">IF(AND(F$24=1,OR(E$25="",$C148&gt;=E$25)),MAX(0,MIN(E148-F148,$D148-(0))),0)</f>
        <v>0</v>
      </c>
      <c r="H148" s="69" t="n">
        <f aca="false">E148-F148-G148</f>
        <v>0</v>
      </c>
      <c r="I148" s="69" t="n">
        <f aca="false">IF(L147&gt;0.5,L147*(1+I$23)+I$24,0)</f>
        <v>0</v>
      </c>
      <c r="J148" s="69" t="n">
        <f aca="false">MIN(J$23,I148)</f>
        <v>0</v>
      </c>
      <c r="K148" s="69" t="n">
        <f aca="false">IF(AND(J$24=1,OR(I$25="",$C148&gt;=I$25)),MAX(0,MIN(I148-J148,$D148-(G148))),0)</f>
        <v>0</v>
      </c>
      <c r="L148" s="69" t="n">
        <f aca="false">I148-J148-K148</f>
        <v>0</v>
      </c>
      <c r="M148" s="69" t="n">
        <f aca="false">IF(P147&gt;0.5,P147*(1+M$23)+M$24,0)</f>
        <v>0</v>
      </c>
      <c r="N148" s="69" t="n">
        <f aca="false">MIN(N$23,M148)</f>
        <v>0</v>
      </c>
      <c r="O148" s="69" t="n">
        <f aca="false">IF(AND(N$24=1,OR(M$25="",$C148&gt;=M$25)),MAX(0,MIN(M148-N148,$D148-(G148+K148))),0)</f>
        <v>0</v>
      </c>
      <c r="P148" s="69" t="n">
        <f aca="false">M148-N148-O148</f>
        <v>0</v>
      </c>
      <c r="Q148" s="69" t="n">
        <f aca="false">IF(T147&gt;0.5,T147*(1+Q$23)+Q$24,0)</f>
        <v>0</v>
      </c>
      <c r="R148" s="69" t="n">
        <f aca="false">MIN(R$23,Q148)</f>
        <v>0</v>
      </c>
      <c r="S148" s="69" t="n">
        <f aca="false">IF(AND(R$24=1,OR(Q$25="",$C148&gt;=Q$25)),MAX(0,MIN(Q148-R148,$D148-(G148+K148+O148))),0)</f>
        <v>0</v>
      </c>
      <c r="T148" s="69" t="n">
        <f aca="false">Q148-R148-S148</f>
        <v>0</v>
      </c>
      <c r="U148" s="69" t="n">
        <f aca="false">IF(X147&gt;0.5,X147*(1+U$23)+U$24,0)</f>
        <v>0</v>
      </c>
      <c r="V148" s="69" t="n">
        <f aca="false">MIN(V$23,U148)</f>
        <v>0</v>
      </c>
      <c r="W148" s="69" t="n">
        <f aca="false">IF(AND(V$24=1,OR(U$25="",$C148&gt;=U$25)),MAX(0,MIN(U148-V148,$D148-(G148+K148+O148+S148))),0)</f>
        <v>0</v>
      </c>
      <c r="X148" s="69" t="n">
        <f aca="false">U148-V148-W148</f>
        <v>0</v>
      </c>
      <c r="Y148" s="69" t="n">
        <f aca="false">IF(AB147&gt;0.5,AB147*(1+Y$23)+Y$24,0)</f>
        <v>0</v>
      </c>
      <c r="Z148" s="69" t="n">
        <f aca="false">MIN(Z$23,Y148)</f>
        <v>0</v>
      </c>
      <c r="AA148" s="69" t="n">
        <f aca="false">IF(AND(Z$24=1,OR(Y$25="",$C148&gt;=Y$25)),MAX(0,MIN(Y148-Z148,$D148-(G148+K148+O148+S148+W148))),0)</f>
        <v>0</v>
      </c>
      <c r="AB148" s="69" t="n">
        <f aca="false">Y148-Z148-AA148</f>
        <v>0</v>
      </c>
      <c r="AC148" s="69" t="n">
        <f aca="false">IF(AF147&gt;0.5,AF147*(1+AC$23)+AC$24,0)</f>
        <v>0</v>
      </c>
      <c r="AD148" s="69" t="n">
        <f aca="false">MIN(AD$23,AC148)</f>
        <v>0</v>
      </c>
      <c r="AE148" s="69" t="n">
        <f aca="false">IF(AND(AD$24=1,OR(AC$25="",$C148&gt;=AC$25)),MAX(0,MIN(AC148-AD148,$D148-(G148+K148+O148+S148+W148+AA148))),0)</f>
        <v>0</v>
      </c>
      <c r="AF148" s="69" t="n">
        <f aca="false">AC148-AD148-AE148</f>
        <v>0</v>
      </c>
      <c r="AG148" s="69" t="n">
        <f aca="false">IF(AJ147&gt;0.5,AJ147*(1+AG$23)+AG$24,0)</f>
        <v>0</v>
      </c>
      <c r="AH148" s="69" t="n">
        <f aca="false">MIN(AH$23,AG148)</f>
        <v>0</v>
      </c>
      <c r="AI148" s="69" t="n">
        <f aca="false">IF(AND(AH$24=1,OR(AG$25="",$C148&gt;=AG$25)),MAX(0,MIN(AG148-AH148,$D148-(G148+K148+O148+S148+W148+AA148+AE148))),0)</f>
        <v>0</v>
      </c>
      <c r="AJ148" s="69" t="n">
        <f aca="false">AG148-AH148-AI148</f>
        <v>0</v>
      </c>
      <c r="AK148" s="69" t="n">
        <f aca="false">IF(AK147&gt;0.5,AK147*(1+$E$12)+$G$12-MIN($F$12,AK147*(1+$E$12)+$G$12),0)</f>
        <v>0</v>
      </c>
      <c r="AL148" s="69" t="n">
        <f aca="false">IF(AL147&gt;0.5,AL147*(1+$E$13)+$G$13-MIN($F$13,AL147*(1+$E$13)+$G$13),0)</f>
        <v>0</v>
      </c>
      <c r="AM148" s="69" t="n">
        <f aca="false">IF(AM147&gt;0.5,AM147*(1+$E$14)+$G$14-MIN($F$14,AM147*(1+$E$14)+$G$14),0)</f>
        <v>0</v>
      </c>
      <c r="AN148" s="69" t="n">
        <f aca="false">IF(AN147&gt;0.5,AN147*(1+$E$15)+$G$15-MIN($F$15,AN147*(1+$E$15)+$G$15),0)</f>
        <v>0</v>
      </c>
      <c r="AO148" s="69" t="n">
        <f aca="false">IF(AO147&gt;0.5,AO147*(1+$E$16)+$G$16-MIN($F$16,AO147*(1+$E$16)+$G$16),0)</f>
        <v>0</v>
      </c>
      <c r="AP148" s="69" t="n">
        <f aca="false">IF(AP147&gt;0.5,AP147*(1+$E$17)+$G$17-MIN($F$17,AP147*(1+$E$17)+$G$17),0)</f>
        <v>0</v>
      </c>
      <c r="AQ148" s="69" t="n">
        <f aca="false">IF(AQ147&gt;0.5,AQ147*(1+$E$18)+$G$18-MIN($F$18,AQ147*(1+$E$18)+$G$18),0)</f>
        <v>0</v>
      </c>
      <c r="AR148" s="69" t="n">
        <f aca="false">IF(AR147&gt;0.5,AR147*(1+$E$19)+$G$19-MIN($F$19,AR147*(1+$E$19)+$G$19),0)</f>
        <v>0</v>
      </c>
      <c r="AS148" s="69" t="n">
        <f aca="false">H148+L148+P148+T148+X148+AB148+AF148+AJ148</f>
        <v>0</v>
      </c>
      <c r="AT148" s="69" t="n">
        <f aca="false">SUM(AK148:AR148)</f>
        <v>0</v>
      </c>
      <c r="AU148" s="69" t="n">
        <f aca="false">F148+G148+J148+K148+N148+O148+R148+S148+V148+W148+Z148+AA148+AD148+AE148+AH148+AI148</f>
        <v>0</v>
      </c>
    </row>
    <row r="149" customFormat="false" ht="15" hidden="false" customHeight="false" outlineLevel="0" collapsed="false">
      <c r="B149" s="0" t="n">
        <v>122</v>
      </c>
      <c r="C149" s="68" t="n">
        <f aca="false">EDATE($C$7,121)</f>
        <v>49980</v>
      </c>
      <c r="D149" s="69" t="n">
        <f aca="false">$C$8-(F149+J149+N149+R149+V149+Z149+AD149+AH149)</f>
        <v>0</v>
      </c>
      <c r="E149" s="69" t="n">
        <f aca="false">IF(H148&gt;0.5,H148*(1+E$23)+E$24,0)</f>
        <v>0</v>
      </c>
      <c r="F149" s="69" t="n">
        <f aca="false">MIN(F$23,E149)</f>
        <v>0</v>
      </c>
      <c r="G149" s="69" t="n">
        <f aca="false">IF(AND(F$24=1,OR(E$25="",$C149&gt;=E$25)),MAX(0,MIN(E149-F149,$D149-(0))),0)</f>
        <v>0</v>
      </c>
      <c r="H149" s="69" t="n">
        <f aca="false">E149-F149-G149</f>
        <v>0</v>
      </c>
      <c r="I149" s="69" t="n">
        <f aca="false">IF(L148&gt;0.5,L148*(1+I$23)+I$24,0)</f>
        <v>0</v>
      </c>
      <c r="J149" s="69" t="n">
        <f aca="false">MIN(J$23,I149)</f>
        <v>0</v>
      </c>
      <c r="K149" s="69" t="n">
        <f aca="false">IF(AND(J$24=1,OR(I$25="",$C149&gt;=I$25)),MAX(0,MIN(I149-J149,$D149-(G149))),0)</f>
        <v>0</v>
      </c>
      <c r="L149" s="69" t="n">
        <f aca="false">I149-J149-K149</f>
        <v>0</v>
      </c>
      <c r="M149" s="69" t="n">
        <f aca="false">IF(P148&gt;0.5,P148*(1+M$23)+M$24,0)</f>
        <v>0</v>
      </c>
      <c r="N149" s="69" t="n">
        <f aca="false">MIN(N$23,M149)</f>
        <v>0</v>
      </c>
      <c r="O149" s="69" t="n">
        <f aca="false">IF(AND(N$24=1,OR(M$25="",$C149&gt;=M$25)),MAX(0,MIN(M149-N149,$D149-(G149+K149))),0)</f>
        <v>0</v>
      </c>
      <c r="P149" s="69" t="n">
        <f aca="false">M149-N149-O149</f>
        <v>0</v>
      </c>
      <c r="Q149" s="69" t="n">
        <f aca="false">IF(T148&gt;0.5,T148*(1+Q$23)+Q$24,0)</f>
        <v>0</v>
      </c>
      <c r="R149" s="69" t="n">
        <f aca="false">MIN(R$23,Q149)</f>
        <v>0</v>
      </c>
      <c r="S149" s="69" t="n">
        <f aca="false">IF(AND(R$24=1,OR(Q$25="",$C149&gt;=Q$25)),MAX(0,MIN(Q149-R149,$D149-(G149+K149+O149))),0)</f>
        <v>0</v>
      </c>
      <c r="T149" s="69" t="n">
        <f aca="false">Q149-R149-S149</f>
        <v>0</v>
      </c>
      <c r="U149" s="69" t="n">
        <f aca="false">IF(X148&gt;0.5,X148*(1+U$23)+U$24,0)</f>
        <v>0</v>
      </c>
      <c r="V149" s="69" t="n">
        <f aca="false">MIN(V$23,U149)</f>
        <v>0</v>
      </c>
      <c r="W149" s="69" t="n">
        <f aca="false">IF(AND(V$24=1,OR(U$25="",$C149&gt;=U$25)),MAX(0,MIN(U149-V149,$D149-(G149+K149+O149+S149))),0)</f>
        <v>0</v>
      </c>
      <c r="X149" s="69" t="n">
        <f aca="false">U149-V149-W149</f>
        <v>0</v>
      </c>
      <c r="Y149" s="69" t="n">
        <f aca="false">IF(AB148&gt;0.5,AB148*(1+Y$23)+Y$24,0)</f>
        <v>0</v>
      </c>
      <c r="Z149" s="69" t="n">
        <f aca="false">MIN(Z$23,Y149)</f>
        <v>0</v>
      </c>
      <c r="AA149" s="69" t="n">
        <f aca="false">IF(AND(Z$24=1,OR(Y$25="",$C149&gt;=Y$25)),MAX(0,MIN(Y149-Z149,$D149-(G149+K149+O149+S149+W149))),0)</f>
        <v>0</v>
      </c>
      <c r="AB149" s="69" t="n">
        <f aca="false">Y149-Z149-AA149</f>
        <v>0</v>
      </c>
      <c r="AC149" s="69" t="n">
        <f aca="false">IF(AF148&gt;0.5,AF148*(1+AC$23)+AC$24,0)</f>
        <v>0</v>
      </c>
      <c r="AD149" s="69" t="n">
        <f aca="false">MIN(AD$23,AC149)</f>
        <v>0</v>
      </c>
      <c r="AE149" s="69" t="n">
        <f aca="false">IF(AND(AD$24=1,OR(AC$25="",$C149&gt;=AC$25)),MAX(0,MIN(AC149-AD149,$D149-(G149+K149+O149+S149+W149+AA149))),0)</f>
        <v>0</v>
      </c>
      <c r="AF149" s="69" t="n">
        <f aca="false">AC149-AD149-AE149</f>
        <v>0</v>
      </c>
      <c r="AG149" s="69" t="n">
        <f aca="false">IF(AJ148&gt;0.5,AJ148*(1+AG$23)+AG$24,0)</f>
        <v>0</v>
      </c>
      <c r="AH149" s="69" t="n">
        <f aca="false">MIN(AH$23,AG149)</f>
        <v>0</v>
      </c>
      <c r="AI149" s="69" t="n">
        <f aca="false">IF(AND(AH$24=1,OR(AG$25="",$C149&gt;=AG$25)),MAX(0,MIN(AG149-AH149,$D149-(G149+K149+O149+S149+W149+AA149+AE149))),0)</f>
        <v>0</v>
      </c>
      <c r="AJ149" s="69" t="n">
        <f aca="false">AG149-AH149-AI149</f>
        <v>0</v>
      </c>
      <c r="AK149" s="69" t="n">
        <f aca="false">IF(AK148&gt;0.5,AK148*(1+$E$12)+$G$12-MIN($F$12,AK148*(1+$E$12)+$G$12),0)</f>
        <v>0</v>
      </c>
      <c r="AL149" s="69" t="n">
        <f aca="false">IF(AL148&gt;0.5,AL148*(1+$E$13)+$G$13-MIN($F$13,AL148*(1+$E$13)+$G$13),0)</f>
        <v>0</v>
      </c>
      <c r="AM149" s="69" t="n">
        <f aca="false">IF(AM148&gt;0.5,AM148*(1+$E$14)+$G$14-MIN($F$14,AM148*(1+$E$14)+$G$14),0)</f>
        <v>0</v>
      </c>
      <c r="AN149" s="69" t="n">
        <f aca="false">IF(AN148&gt;0.5,AN148*(1+$E$15)+$G$15-MIN($F$15,AN148*(1+$E$15)+$G$15),0)</f>
        <v>0</v>
      </c>
      <c r="AO149" s="69" t="n">
        <f aca="false">IF(AO148&gt;0.5,AO148*(1+$E$16)+$G$16-MIN($F$16,AO148*(1+$E$16)+$G$16),0)</f>
        <v>0</v>
      </c>
      <c r="AP149" s="69" t="n">
        <f aca="false">IF(AP148&gt;0.5,AP148*(1+$E$17)+$G$17-MIN($F$17,AP148*(1+$E$17)+$G$17),0)</f>
        <v>0</v>
      </c>
      <c r="AQ149" s="69" t="n">
        <f aca="false">IF(AQ148&gt;0.5,AQ148*(1+$E$18)+$G$18-MIN($F$18,AQ148*(1+$E$18)+$G$18),0)</f>
        <v>0</v>
      </c>
      <c r="AR149" s="69" t="n">
        <f aca="false">IF(AR148&gt;0.5,AR148*(1+$E$19)+$G$19-MIN($F$19,AR148*(1+$E$19)+$G$19),0)</f>
        <v>0</v>
      </c>
      <c r="AS149" s="69" t="n">
        <f aca="false">H149+L149+P149+T149+X149+AB149+AF149+AJ149</f>
        <v>0</v>
      </c>
      <c r="AT149" s="69" t="n">
        <f aca="false">SUM(AK149:AR149)</f>
        <v>0</v>
      </c>
      <c r="AU149" s="69" t="n">
        <f aca="false">F149+G149+J149+K149+N149+O149+R149+S149+V149+W149+Z149+AA149+AD149+AE149+AH149+AI149</f>
        <v>0</v>
      </c>
    </row>
    <row r="150" customFormat="false" ht="15" hidden="false" customHeight="false" outlineLevel="0" collapsed="false">
      <c r="B150" s="0" t="n">
        <v>123</v>
      </c>
      <c r="C150" s="68" t="n">
        <f aca="false">EDATE($C$7,122)</f>
        <v>50010</v>
      </c>
      <c r="D150" s="69" t="n">
        <f aca="false">$C$8-(F150+J150+N150+R150+V150+Z150+AD150+AH150)</f>
        <v>0</v>
      </c>
      <c r="E150" s="69" t="n">
        <f aca="false">IF(H149&gt;0.5,H149*(1+E$23)+E$24,0)</f>
        <v>0</v>
      </c>
      <c r="F150" s="69" t="n">
        <f aca="false">MIN(F$23,E150)</f>
        <v>0</v>
      </c>
      <c r="G150" s="69" t="n">
        <f aca="false">IF(AND(F$24=1,OR(E$25="",$C150&gt;=E$25)),MAX(0,MIN(E150-F150,$D150-(0))),0)</f>
        <v>0</v>
      </c>
      <c r="H150" s="69" t="n">
        <f aca="false">E150-F150-G150</f>
        <v>0</v>
      </c>
      <c r="I150" s="69" t="n">
        <f aca="false">IF(L149&gt;0.5,L149*(1+I$23)+I$24,0)</f>
        <v>0</v>
      </c>
      <c r="J150" s="69" t="n">
        <f aca="false">MIN(J$23,I150)</f>
        <v>0</v>
      </c>
      <c r="K150" s="69" t="n">
        <f aca="false">IF(AND(J$24=1,OR(I$25="",$C150&gt;=I$25)),MAX(0,MIN(I150-J150,$D150-(G150))),0)</f>
        <v>0</v>
      </c>
      <c r="L150" s="69" t="n">
        <f aca="false">I150-J150-K150</f>
        <v>0</v>
      </c>
      <c r="M150" s="69" t="n">
        <f aca="false">IF(P149&gt;0.5,P149*(1+M$23)+M$24,0)</f>
        <v>0</v>
      </c>
      <c r="N150" s="69" t="n">
        <f aca="false">MIN(N$23,M150)</f>
        <v>0</v>
      </c>
      <c r="O150" s="69" t="n">
        <f aca="false">IF(AND(N$24=1,OR(M$25="",$C150&gt;=M$25)),MAX(0,MIN(M150-N150,$D150-(G150+K150))),0)</f>
        <v>0</v>
      </c>
      <c r="P150" s="69" t="n">
        <f aca="false">M150-N150-O150</f>
        <v>0</v>
      </c>
      <c r="Q150" s="69" t="n">
        <f aca="false">IF(T149&gt;0.5,T149*(1+Q$23)+Q$24,0)</f>
        <v>0</v>
      </c>
      <c r="R150" s="69" t="n">
        <f aca="false">MIN(R$23,Q150)</f>
        <v>0</v>
      </c>
      <c r="S150" s="69" t="n">
        <f aca="false">IF(AND(R$24=1,OR(Q$25="",$C150&gt;=Q$25)),MAX(0,MIN(Q150-R150,$D150-(G150+K150+O150))),0)</f>
        <v>0</v>
      </c>
      <c r="T150" s="69" t="n">
        <f aca="false">Q150-R150-S150</f>
        <v>0</v>
      </c>
      <c r="U150" s="69" t="n">
        <f aca="false">IF(X149&gt;0.5,X149*(1+U$23)+U$24,0)</f>
        <v>0</v>
      </c>
      <c r="V150" s="69" t="n">
        <f aca="false">MIN(V$23,U150)</f>
        <v>0</v>
      </c>
      <c r="W150" s="69" t="n">
        <f aca="false">IF(AND(V$24=1,OR(U$25="",$C150&gt;=U$25)),MAX(0,MIN(U150-V150,$D150-(G150+K150+O150+S150))),0)</f>
        <v>0</v>
      </c>
      <c r="X150" s="69" t="n">
        <f aca="false">U150-V150-W150</f>
        <v>0</v>
      </c>
      <c r="Y150" s="69" t="n">
        <f aca="false">IF(AB149&gt;0.5,AB149*(1+Y$23)+Y$24,0)</f>
        <v>0</v>
      </c>
      <c r="Z150" s="69" t="n">
        <f aca="false">MIN(Z$23,Y150)</f>
        <v>0</v>
      </c>
      <c r="AA150" s="69" t="n">
        <f aca="false">IF(AND(Z$24=1,OR(Y$25="",$C150&gt;=Y$25)),MAX(0,MIN(Y150-Z150,$D150-(G150+K150+O150+S150+W150))),0)</f>
        <v>0</v>
      </c>
      <c r="AB150" s="69" t="n">
        <f aca="false">Y150-Z150-AA150</f>
        <v>0</v>
      </c>
      <c r="AC150" s="69" t="n">
        <f aca="false">IF(AF149&gt;0.5,AF149*(1+AC$23)+AC$24,0)</f>
        <v>0</v>
      </c>
      <c r="AD150" s="69" t="n">
        <f aca="false">MIN(AD$23,AC150)</f>
        <v>0</v>
      </c>
      <c r="AE150" s="69" t="n">
        <f aca="false">IF(AND(AD$24=1,OR(AC$25="",$C150&gt;=AC$25)),MAX(0,MIN(AC150-AD150,$D150-(G150+K150+O150+S150+W150+AA150))),0)</f>
        <v>0</v>
      </c>
      <c r="AF150" s="69" t="n">
        <f aca="false">AC150-AD150-AE150</f>
        <v>0</v>
      </c>
      <c r="AG150" s="69" t="n">
        <f aca="false">IF(AJ149&gt;0.5,AJ149*(1+AG$23)+AG$24,0)</f>
        <v>0</v>
      </c>
      <c r="AH150" s="69" t="n">
        <f aca="false">MIN(AH$23,AG150)</f>
        <v>0</v>
      </c>
      <c r="AI150" s="69" t="n">
        <f aca="false">IF(AND(AH$24=1,OR(AG$25="",$C150&gt;=AG$25)),MAX(0,MIN(AG150-AH150,$D150-(G150+K150+O150+S150+W150+AA150+AE150))),0)</f>
        <v>0</v>
      </c>
      <c r="AJ150" s="69" t="n">
        <f aca="false">AG150-AH150-AI150</f>
        <v>0</v>
      </c>
      <c r="AK150" s="69" t="n">
        <f aca="false">IF(AK149&gt;0.5,AK149*(1+$E$12)+$G$12-MIN($F$12,AK149*(1+$E$12)+$G$12),0)</f>
        <v>0</v>
      </c>
      <c r="AL150" s="69" t="n">
        <f aca="false">IF(AL149&gt;0.5,AL149*(1+$E$13)+$G$13-MIN($F$13,AL149*(1+$E$13)+$G$13),0)</f>
        <v>0</v>
      </c>
      <c r="AM150" s="69" t="n">
        <f aca="false">IF(AM149&gt;0.5,AM149*(1+$E$14)+$G$14-MIN($F$14,AM149*(1+$E$14)+$G$14),0)</f>
        <v>0</v>
      </c>
      <c r="AN150" s="69" t="n">
        <f aca="false">IF(AN149&gt;0.5,AN149*(1+$E$15)+$G$15-MIN($F$15,AN149*(1+$E$15)+$G$15),0)</f>
        <v>0</v>
      </c>
      <c r="AO150" s="69" t="n">
        <f aca="false">IF(AO149&gt;0.5,AO149*(1+$E$16)+$G$16-MIN($F$16,AO149*(1+$E$16)+$G$16),0)</f>
        <v>0</v>
      </c>
      <c r="AP150" s="69" t="n">
        <f aca="false">IF(AP149&gt;0.5,AP149*(1+$E$17)+$G$17-MIN($F$17,AP149*(1+$E$17)+$G$17),0)</f>
        <v>0</v>
      </c>
      <c r="AQ150" s="69" t="n">
        <f aca="false">IF(AQ149&gt;0.5,AQ149*(1+$E$18)+$G$18-MIN($F$18,AQ149*(1+$E$18)+$G$18),0)</f>
        <v>0</v>
      </c>
      <c r="AR150" s="69" t="n">
        <f aca="false">IF(AR149&gt;0.5,AR149*(1+$E$19)+$G$19-MIN($F$19,AR149*(1+$E$19)+$G$19),0)</f>
        <v>0</v>
      </c>
      <c r="AS150" s="69" t="n">
        <f aca="false">H150+L150+P150+T150+X150+AB150+AF150+AJ150</f>
        <v>0</v>
      </c>
      <c r="AT150" s="69" t="n">
        <f aca="false">SUM(AK150:AR150)</f>
        <v>0</v>
      </c>
      <c r="AU150" s="69" t="n">
        <f aca="false">F150+G150+J150+K150+N150+O150+R150+S150+V150+W150+Z150+AA150+AD150+AE150+AH150+AI150</f>
        <v>0</v>
      </c>
    </row>
    <row r="151" customFormat="false" ht="15" hidden="false" customHeight="false" outlineLevel="0" collapsed="false">
      <c r="B151" s="0" t="n">
        <v>124</v>
      </c>
      <c r="C151" s="68" t="n">
        <f aca="false">EDATE($C$7,123)</f>
        <v>50041</v>
      </c>
      <c r="D151" s="69" t="n">
        <f aca="false">$C$8-(F151+J151+N151+R151+V151+Z151+AD151+AH151)</f>
        <v>0</v>
      </c>
      <c r="E151" s="69" t="n">
        <f aca="false">IF(H150&gt;0.5,H150*(1+E$23)+E$24,0)</f>
        <v>0</v>
      </c>
      <c r="F151" s="69" t="n">
        <f aca="false">MIN(F$23,E151)</f>
        <v>0</v>
      </c>
      <c r="G151" s="69" t="n">
        <f aca="false">IF(AND(F$24=1,OR(E$25="",$C151&gt;=E$25)),MAX(0,MIN(E151-F151,$D151-(0))),0)</f>
        <v>0</v>
      </c>
      <c r="H151" s="69" t="n">
        <f aca="false">E151-F151-G151</f>
        <v>0</v>
      </c>
      <c r="I151" s="69" t="n">
        <f aca="false">IF(L150&gt;0.5,L150*(1+I$23)+I$24,0)</f>
        <v>0</v>
      </c>
      <c r="J151" s="69" t="n">
        <f aca="false">MIN(J$23,I151)</f>
        <v>0</v>
      </c>
      <c r="K151" s="69" t="n">
        <f aca="false">IF(AND(J$24=1,OR(I$25="",$C151&gt;=I$25)),MAX(0,MIN(I151-J151,$D151-(G151))),0)</f>
        <v>0</v>
      </c>
      <c r="L151" s="69" t="n">
        <f aca="false">I151-J151-K151</f>
        <v>0</v>
      </c>
      <c r="M151" s="69" t="n">
        <f aca="false">IF(P150&gt;0.5,P150*(1+M$23)+M$24,0)</f>
        <v>0</v>
      </c>
      <c r="N151" s="69" t="n">
        <f aca="false">MIN(N$23,M151)</f>
        <v>0</v>
      </c>
      <c r="O151" s="69" t="n">
        <f aca="false">IF(AND(N$24=1,OR(M$25="",$C151&gt;=M$25)),MAX(0,MIN(M151-N151,$D151-(G151+K151))),0)</f>
        <v>0</v>
      </c>
      <c r="P151" s="69" t="n">
        <f aca="false">M151-N151-O151</f>
        <v>0</v>
      </c>
      <c r="Q151" s="69" t="n">
        <f aca="false">IF(T150&gt;0.5,T150*(1+Q$23)+Q$24,0)</f>
        <v>0</v>
      </c>
      <c r="R151" s="69" t="n">
        <f aca="false">MIN(R$23,Q151)</f>
        <v>0</v>
      </c>
      <c r="S151" s="69" t="n">
        <f aca="false">IF(AND(R$24=1,OR(Q$25="",$C151&gt;=Q$25)),MAX(0,MIN(Q151-R151,$D151-(G151+K151+O151))),0)</f>
        <v>0</v>
      </c>
      <c r="T151" s="69" t="n">
        <f aca="false">Q151-R151-S151</f>
        <v>0</v>
      </c>
      <c r="U151" s="69" t="n">
        <f aca="false">IF(X150&gt;0.5,X150*(1+U$23)+U$24,0)</f>
        <v>0</v>
      </c>
      <c r="V151" s="69" t="n">
        <f aca="false">MIN(V$23,U151)</f>
        <v>0</v>
      </c>
      <c r="W151" s="69" t="n">
        <f aca="false">IF(AND(V$24=1,OR(U$25="",$C151&gt;=U$25)),MAX(0,MIN(U151-V151,$D151-(G151+K151+O151+S151))),0)</f>
        <v>0</v>
      </c>
      <c r="X151" s="69" t="n">
        <f aca="false">U151-V151-W151</f>
        <v>0</v>
      </c>
      <c r="Y151" s="69" t="n">
        <f aca="false">IF(AB150&gt;0.5,AB150*(1+Y$23)+Y$24,0)</f>
        <v>0</v>
      </c>
      <c r="Z151" s="69" t="n">
        <f aca="false">MIN(Z$23,Y151)</f>
        <v>0</v>
      </c>
      <c r="AA151" s="69" t="n">
        <f aca="false">IF(AND(Z$24=1,OR(Y$25="",$C151&gt;=Y$25)),MAX(0,MIN(Y151-Z151,$D151-(G151+K151+O151+S151+W151))),0)</f>
        <v>0</v>
      </c>
      <c r="AB151" s="69" t="n">
        <f aca="false">Y151-Z151-AA151</f>
        <v>0</v>
      </c>
      <c r="AC151" s="69" t="n">
        <f aca="false">IF(AF150&gt;0.5,AF150*(1+AC$23)+AC$24,0)</f>
        <v>0</v>
      </c>
      <c r="AD151" s="69" t="n">
        <f aca="false">MIN(AD$23,AC151)</f>
        <v>0</v>
      </c>
      <c r="AE151" s="69" t="n">
        <f aca="false">IF(AND(AD$24=1,OR(AC$25="",$C151&gt;=AC$25)),MAX(0,MIN(AC151-AD151,$D151-(G151+K151+O151+S151+W151+AA151))),0)</f>
        <v>0</v>
      </c>
      <c r="AF151" s="69" t="n">
        <f aca="false">AC151-AD151-AE151</f>
        <v>0</v>
      </c>
      <c r="AG151" s="69" t="n">
        <f aca="false">IF(AJ150&gt;0.5,AJ150*(1+AG$23)+AG$24,0)</f>
        <v>0</v>
      </c>
      <c r="AH151" s="69" t="n">
        <f aca="false">MIN(AH$23,AG151)</f>
        <v>0</v>
      </c>
      <c r="AI151" s="69" t="n">
        <f aca="false">IF(AND(AH$24=1,OR(AG$25="",$C151&gt;=AG$25)),MAX(0,MIN(AG151-AH151,$D151-(G151+K151+O151+S151+W151+AA151+AE151))),0)</f>
        <v>0</v>
      </c>
      <c r="AJ151" s="69" t="n">
        <f aca="false">AG151-AH151-AI151</f>
        <v>0</v>
      </c>
      <c r="AK151" s="69" t="n">
        <f aca="false">IF(AK150&gt;0.5,AK150*(1+$E$12)+$G$12-MIN($F$12,AK150*(1+$E$12)+$G$12),0)</f>
        <v>0</v>
      </c>
      <c r="AL151" s="69" t="n">
        <f aca="false">IF(AL150&gt;0.5,AL150*(1+$E$13)+$G$13-MIN($F$13,AL150*(1+$E$13)+$G$13),0)</f>
        <v>0</v>
      </c>
      <c r="AM151" s="69" t="n">
        <f aca="false">IF(AM150&gt;0.5,AM150*(1+$E$14)+$G$14-MIN($F$14,AM150*(1+$E$14)+$G$14),0)</f>
        <v>0</v>
      </c>
      <c r="AN151" s="69" t="n">
        <f aca="false">IF(AN150&gt;0.5,AN150*(1+$E$15)+$G$15-MIN($F$15,AN150*(1+$E$15)+$G$15),0)</f>
        <v>0</v>
      </c>
      <c r="AO151" s="69" t="n">
        <f aca="false">IF(AO150&gt;0.5,AO150*(1+$E$16)+$G$16-MIN($F$16,AO150*(1+$E$16)+$G$16),0)</f>
        <v>0</v>
      </c>
      <c r="AP151" s="69" t="n">
        <f aca="false">IF(AP150&gt;0.5,AP150*(1+$E$17)+$G$17-MIN($F$17,AP150*(1+$E$17)+$G$17),0)</f>
        <v>0</v>
      </c>
      <c r="AQ151" s="69" t="n">
        <f aca="false">IF(AQ150&gt;0.5,AQ150*(1+$E$18)+$G$18-MIN($F$18,AQ150*(1+$E$18)+$G$18),0)</f>
        <v>0</v>
      </c>
      <c r="AR151" s="69" t="n">
        <f aca="false">IF(AR150&gt;0.5,AR150*(1+$E$19)+$G$19-MIN($F$19,AR150*(1+$E$19)+$G$19),0)</f>
        <v>0</v>
      </c>
      <c r="AS151" s="69" t="n">
        <f aca="false">H151+L151+P151+T151+X151+AB151+AF151+AJ151</f>
        <v>0</v>
      </c>
      <c r="AT151" s="69" t="n">
        <f aca="false">SUM(AK151:AR151)</f>
        <v>0</v>
      </c>
      <c r="AU151" s="69" t="n">
        <f aca="false">F151+G151+J151+K151+N151+O151+R151+S151+V151+W151+Z151+AA151+AD151+AE151+AH151+AI151</f>
        <v>0</v>
      </c>
    </row>
    <row r="152" customFormat="false" ht="15" hidden="false" customHeight="false" outlineLevel="0" collapsed="false">
      <c r="B152" s="0" t="n">
        <v>125</v>
      </c>
      <c r="C152" s="68" t="n">
        <f aca="false">EDATE($C$7,124)</f>
        <v>50072</v>
      </c>
      <c r="D152" s="69" t="n">
        <f aca="false">$C$8-(F152+J152+N152+R152+V152+Z152+AD152+AH152)</f>
        <v>0</v>
      </c>
      <c r="E152" s="69" t="n">
        <f aca="false">IF(H151&gt;0.5,H151*(1+E$23)+E$24,0)</f>
        <v>0</v>
      </c>
      <c r="F152" s="69" t="n">
        <f aca="false">MIN(F$23,E152)</f>
        <v>0</v>
      </c>
      <c r="G152" s="69" t="n">
        <f aca="false">IF(AND(F$24=1,OR(E$25="",$C152&gt;=E$25)),MAX(0,MIN(E152-F152,$D152-(0))),0)</f>
        <v>0</v>
      </c>
      <c r="H152" s="69" t="n">
        <f aca="false">E152-F152-G152</f>
        <v>0</v>
      </c>
      <c r="I152" s="69" t="n">
        <f aca="false">IF(L151&gt;0.5,L151*(1+I$23)+I$24,0)</f>
        <v>0</v>
      </c>
      <c r="J152" s="69" t="n">
        <f aca="false">MIN(J$23,I152)</f>
        <v>0</v>
      </c>
      <c r="K152" s="69" t="n">
        <f aca="false">IF(AND(J$24=1,OR(I$25="",$C152&gt;=I$25)),MAX(0,MIN(I152-J152,$D152-(G152))),0)</f>
        <v>0</v>
      </c>
      <c r="L152" s="69" t="n">
        <f aca="false">I152-J152-K152</f>
        <v>0</v>
      </c>
      <c r="M152" s="69" t="n">
        <f aca="false">IF(P151&gt;0.5,P151*(1+M$23)+M$24,0)</f>
        <v>0</v>
      </c>
      <c r="N152" s="69" t="n">
        <f aca="false">MIN(N$23,M152)</f>
        <v>0</v>
      </c>
      <c r="O152" s="69" t="n">
        <f aca="false">IF(AND(N$24=1,OR(M$25="",$C152&gt;=M$25)),MAX(0,MIN(M152-N152,$D152-(G152+K152))),0)</f>
        <v>0</v>
      </c>
      <c r="P152" s="69" t="n">
        <f aca="false">M152-N152-O152</f>
        <v>0</v>
      </c>
      <c r="Q152" s="69" t="n">
        <f aca="false">IF(T151&gt;0.5,T151*(1+Q$23)+Q$24,0)</f>
        <v>0</v>
      </c>
      <c r="R152" s="69" t="n">
        <f aca="false">MIN(R$23,Q152)</f>
        <v>0</v>
      </c>
      <c r="S152" s="69" t="n">
        <f aca="false">IF(AND(R$24=1,OR(Q$25="",$C152&gt;=Q$25)),MAX(0,MIN(Q152-R152,$D152-(G152+K152+O152))),0)</f>
        <v>0</v>
      </c>
      <c r="T152" s="69" t="n">
        <f aca="false">Q152-R152-S152</f>
        <v>0</v>
      </c>
      <c r="U152" s="69" t="n">
        <f aca="false">IF(X151&gt;0.5,X151*(1+U$23)+U$24,0)</f>
        <v>0</v>
      </c>
      <c r="V152" s="69" t="n">
        <f aca="false">MIN(V$23,U152)</f>
        <v>0</v>
      </c>
      <c r="W152" s="69" t="n">
        <f aca="false">IF(AND(V$24=1,OR(U$25="",$C152&gt;=U$25)),MAX(0,MIN(U152-V152,$D152-(G152+K152+O152+S152))),0)</f>
        <v>0</v>
      </c>
      <c r="X152" s="69" t="n">
        <f aca="false">U152-V152-W152</f>
        <v>0</v>
      </c>
      <c r="Y152" s="69" t="n">
        <f aca="false">IF(AB151&gt;0.5,AB151*(1+Y$23)+Y$24,0)</f>
        <v>0</v>
      </c>
      <c r="Z152" s="69" t="n">
        <f aca="false">MIN(Z$23,Y152)</f>
        <v>0</v>
      </c>
      <c r="AA152" s="69" t="n">
        <f aca="false">IF(AND(Z$24=1,OR(Y$25="",$C152&gt;=Y$25)),MAX(0,MIN(Y152-Z152,$D152-(G152+K152+O152+S152+W152))),0)</f>
        <v>0</v>
      </c>
      <c r="AB152" s="69" t="n">
        <f aca="false">Y152-Z152-AA152</f>
        <v>0</v>
      </c>
      <c r="AC152" s="69" t="n">
        <f aca="false">IF(AF151&gt;0.5,AF151*(1+AC$23)+AC$24,0)</f>
        <v>0</v>
      </c>
      <c r="AD152" s="69" t="n">
        <f aca="false">MIN(AD$23,AC152)</f>
        <v>0</v>
      </c>
      <c r="AE152" s="69" t="n">
        <f aca="false">IF(AND(AD$24=1,OR(AC$25="",$C152&gt;=AC$25)),MAX(0,MIN(AC152-AD152,$D152-(G152+K152+O152+S152+W152+AA152))),0)</f>
        <v>0</v>
      </c>
      <c r="AF152" s="69" t="n">
        <f aca="false">AC152-AD152-AE152</f>
        <v>0</v>
      </c>
      <c r="AG152" s="69" t="n">
        <f aca="false">IF(AJ151&gt;0.5,AJ151*(1+AG$23)+AG$24,0)</f>
        <v>0</v>
      </c>
      <c r="AH152" s="69" t="n">
        <f aca="false">MIN(AH$23,AG152)</f>
        <v>0</v>
      </c>
      <c r="AI152" s="69" t="n">
        <f aca="false">IF(AND(AH$24=1,OR(AG$25="",$C152&gt;=AG$25)),MAX(0,MIN(AG152-AH152,$D152-(G152+K152+O152+S152+W152+AA152+AE152))),0)</f>
        <v>0</v>
      </c>
      <c r="AJ152" s="69" t="n">
        <f aca="false">AG152-AH152-AI152</f>
        <v>0</v>
      </c>
      <c r="AK152" s="69" t="n">
        <f aca="false">IF(AK151&gt;0.5,AK151*(1+$E$12)+$G$12-MIN($F$12,AK151*(1+$E$12)+$G$12),0)</f>
        <v>0</v>
      </c>
      <c r="AL152" s="69" t="n">
        <f aca="false">IF(AL151&gt;0.5,AL151*(1+$E$13)+$G$13-MIN($F$13,AL151*(1+$E$13)+$G$13),0)</f>
        <v>0</v>
      </c>
      <c r="AM152" s="69" t="n">
        <f aca="false">IF(AM151&gt;0.5,AM151*(1+$E$14)+$G$14-MIN($F$14,AM151*(1+$E$14)+$G$14),0)</f>
        <v>0</v>
      </c>
      <c r="AN152" s="69" t="n">
        <f aca="false">IF(AN151&gt;0.5,AN151*(1+$E$15)+$G$15-MIN($F$15,AN151*(1+$E$15)+$G$15),0)</f>
        <v>0</v>
      </c>
      <c r="AO152" s="69" t="n">
        <f aca="false">IF(AO151&gt;0.5,AO151*(1+$E$16)+$G$16-MIN($F$16,AO151*(1+$E$16)+$G$16),0)</f>
        <v>0</v>
      </c>
      <c r="AP152" s="69" t="n">
        <f aca="false">IF(AP151&gt;0.5,AP151*(1+$E$17)+$G$17-MIN($F$17,AP151*(1+$E$17)+$G$17),0)</f>
        <v>0</v>
      </c>
      <c r="AQ152" s="69" t="n">
        <f aca="false">IF(AQ151&gt;0.5,AQ151*(1+$E$18)+$G$18-MIN($F$18,AQ151*(1+$E$18)+$G$18),0)</f>
        <v>0</v>
      </c>
      <c r="AR152" s="69" t="n">
        <f aca="false">IF(AR151&gt;0.5,AR151*(1+$E$19)+$G$19-MIN($F$19,AR151*(1+$E$19)+$G$19),0)</f>
        <v>0</v>
      </c>
      <c r="AS152" s="69" t="n">
        <f aca="false">H152+L152+P152+T152+X152+AB152+AF152+AJ152</f>
        <v>0</v>
      </c>
      <c r="AT152" s="69" t="n">
        <f aca="false">SUM(AK152:AR152)</f>
        <v>0</v>
      </c>
      <c r="AU152" s="69" t="n">
        <f aca="false">F152+G152+J152+K152+N152+O152+R152+S152+V152+W152+Z152+AA152+AD152+AE152+AH152+AI152</f>
        <v>0</v>
      </c>
    </row>
    <row r="153" customFormat="false" ht="15" hidden="false" customHeight="false" outlineLevel="0" collapsed="false">
      <c r="B153" s="0" t="n">
        <v>126</v>
      </c>
      <c r="C153" s="68" t="n">
        <f aca="false">EDATE($C$7,125)</f>
        <v>50100</v>
      </c>
      <c r="D153" s="69" t="n">
        <f aca="false">$C$8-(F153+J153+N153+R153+V153+Z153+AD153+AH153)</f>
        <v>0</v>
      </c>
      <c r="E153" s="69" t="n">
        <f aca="false">IF(H152&gt;0.5,H152*(1+E$23)+E$24,0)</f>
        <v>0</v>
      </c>
      <c r="F153" s="69" t="n">
        <f aca="false">MIN(F$23,E153)</f>
        <v>0</v>
      </c>
      <c r="G153" s="69" t="n">
        <f aca="false">IF(AND(F$24=1,OR(E$25="",$C153&gt;=E$25)),MAX(0,MIN(E153-F153,$D153-(0))),0)</f>
        <v>0</v>
      </c>
      <c r="H153" s="69" t="n">
        <f aca="false">E153-F153-G153</f>
        <v>0</v>
      </c>
      <c r="I153" s="69" t="n">
        <f aca="false">IF(L152&gt;0.5,L152*(1+I$23)+I$24,0)</f>
        <v>0</v>
      </c>
      <c r="J153" s="69" t="n">
        <f aca="false">MIN(J$23,I153)</f>
        <v>0</v>
      </c>
      <c r="K153" s="69" t="n">
        <f aca="false">IF(AND(J$24=1,OR(I$25="",$C153&gt;=I$25)),MAX(0,MIN(I153-J153,$D153-(G153))),0)</f>
        <v>0</v>
      </c>
      <c r="L153" s="69" t="n">
        <f aca="false">I153-J153-K153</f>
        <v>0</v>
      </c>
      <c r="M153" s="69" t="n">
        <f aca="false">IF(P152&gt;0.5,P152*(1+M$23)+M$24,0)</f>
        <v>0</v>
      </c>
      <c r="N153" s="69" t="n">
        <f aca="false">MIN(N$23,M153)</f>
        <v>0</v>
      </c>
      <c r="O153" s="69" t="n">
        <f aca="false">IF(AND(N$24=1,OR(M$25="",$C153&gt;=M$25)),MAX(0,MIN(M153-N153,$D153-(G153+K153))),0)</f>
        <v>0</v>
      </c>
      <c r="P153" s="69" t="n">
        <f aca="false">M153-N153-O153</f>
        <v>0</v>
      </c>
      <c r="Q153" s="69" t="n">
        <f aca="false">IF(T152&gt;0.5,T152*(1+Q$23)+Q$24,0)</f>
        <v>0</v>
      </c>
      <c r="R153" s="69" t="n">
        <f aca="false">MIN(R$23,Q153)</f>
        <v>0</v>
      </c>
      <c r="S153" s="69" t="n">
        <f aca="false">IF(AND(R$24=1,OR(Q$25="",$C153&gt;=Q$25)),MAX(0,MIN(Q153-R153,$D153-(G153+K153+O153))),0)</f>
        <v>0</v>
      </c>
      <c r="T153" s="69" t="n">
        <f aca="false">Q153-R153-S153</f>
        <v>0</v>
      </c>
      <c r="U153" s="69" t="n">
        <f aca="false">IF(X152&gt;0.5,X152*(1+U$23)+U$24,0)</f>
        <v>0</v>
      </c>
      <c r="V153" s="69" t="n">
        <f aca="false">MIN(V$23,U153)</f>
        <v>0</v>
      </c>
      <c r="W153" s="69" t="n">
        <f aca="false">IF(AND(V$24=1,OR(U$25="",$C153&gt;=U$25)),MAX(0,MIN(U153-V153,$D153-(G153+K153+O153+S153))),0)</f>
        <v>0</v>
      </c>
      <c r="X153" s="69" t="n">
        <f aca="false">U153-V153-W153</f>
        <v>0</v>
      </c>
      <c r="Y153" s="69" t="n">
        <f aca="false">IF(AB152&gt;0.5,AB152*(1+Y$23)+Y$24,0)</f>
        <v>0</v>
      </c>
      <c r="Z153" s="69" t="n">
        <f aca="false">MIN(Z$23,Y153)</f>
        <v>0</v>
      </c>
      <c r="AA153" s="69" t="n">
        <f aca="false">IF(AND(Z$24=1,OR(Y$25="",$C153&gt;=Y$25)),MAX(0,MIN(Y153-Z153,$D153-(G153+K153+O153+S153+W153))),0)</f>
        <v>0</v>
      </c>
      <c r="AB153" s="69" t="n">
        <f aca="false">Y153-Z153-AA153</f>
        <v>0</v>
      </c>
      <c r="AC153" s="69" t="n">
        <f aca="false">IF(AF152&gt;0.5,AF152*(1+AC$23)+AC$24,0)</f>
        <v>0</v>
      </c>
      <c r="AD153" s="69" t="n">
        <f aca="false">MIN(AD$23,AC153)</f>
        <v>0</v>
      </c>
      <c r="AE153" s="69" t="n">
        <f aca="false">IF(AND(AD$24=1,OR(AC$25="",$C153&gt;=AC$25)),MAX(0,MIN(AC153-AD153,$D153-(G153+K153+O153+S153+W153+AA153))),0)</f>
        <v>0</v>
      </c>
      <c r="AF153" s="69" t="n">
        <f aca="false">AC153-AD153-AE153</f>
        <v>0</v>
      </c>
      <c r="AG153" s="69" t="n">
        <f aca="false">IF(AJ152&gt;0.5,AJ152*(1+AG$23)+AG$24,0)</f>
        <v>0</v>
      </c>
      <c r="AH153" s="69" t="n">
        <f aca="false">MIN(AH$23,AG153)</f>
        <v>0</v>
      </c>
      <c r="AI153" s="69" t="n">
        <f aca="false">IF(AND(AH$24=1,OR(AG$25="",$C153&gt;=AG$25)),MAX(0,MIN(AG153-AH153,$D153-(G153+K153+O153+S153+W153+AA153+AE153))),0)</f>
        <v>0</v>
      </c>
      <c r="AJ153" s="69" t="n">
        <f aca="false">AG153-AH153-AI153</f>
        <v>0</v>
      </c>
      <c r="AK153" s="69" t="n">
        <f aca="false">IF(AK152&gt;0.5,AK152*(1+$E$12)+$G$12-MIN($F$12,AK152*(1+$E$12)+$G$12),0)</f>
        <v>0</v>
      </c>
      <c r="AL153" s="69" t="n">
        <f aca="false">IF(AL152&gt;0.5,AL152*(1+$E$13)+$G$13-MIN($F$13,AL152*(1+$E$13)+$G$13),0)</f>
        <v>0</v>
      </c>
      <c r="AM153" s="69" t="n">
        <f aca="false">IF(AM152&gt;0.5,AM152*(1+$E$14)+$G$14-MIN($F$14,AM152*(1+$E$14)+$G$14),0)</f>
        <v>0</v>
      </c>
      <c r="AN153" s="69" t="n">
        <f aca="false">IF(AN152&gt;0.5,AN152*(1+$E$15)+$G$15-MIN($F$15,AN152*(1+$E$15)+$G$15),0)</f>
        <v>0</v>
      </c>
      <c r="AO153" s="69" t="n">
        <f aca="false">IF(AO152&gt;0.5,AO152*(1+$E$16)+$G$16-MIN($F$16,AO152*(1+$E$16)+$G$16),0)</f>
        <v>0</v>
      </c>
      <c r="AP153" s="69" t="n">
        <f aca="false">IF(AP152&gt;0.5,AP152*(1+$E$17)+$G$17-MIN($F$17,AP152*(1+$E$17)+$G$17),0)</f>
        <v>0</v>
      </c>
      <c r="AQ153" s="69" t="n">
        <f aca="false">IF(AQ152&gt;0.5,AQ152*(1+$E$18)+$G$18-MIN($F$18,AQ152*(1+$E$18)+$G$18),0)</f>
        <v>0</v>
      </c>
      <c r="AR153" s="69" t="n">
        <f aca="false">IF(AR152&gt;0.5,AR152*(1+$E$19)+$G$19-MIN($F$19,AR152*(1+$E$19)+$G$19),0)</f>
        <v>0</v>
      </c>
      <c r="AS153" s="69" t="n">
        <f aca="false">H153+L153+P153+T153+X153+AB153+AF153+AJ153</f>
        <v>0</v>
      </c>
      <c r="AT153" s="69" t="n">
        <f aca="false">SUM(AK153:AR153)</f>
        <v>0</v>
      </c>
      <c r="AU153" s="69" t="n">
        <f aca="false">F153+G153+J153+K153+N153+O153+R153+S153+V153+W153+Z153+AA153+AD153+AE153+AH153+AI153</f>
        <v>0</v>
      </c>
    </row>
    <row r="154" customFormat="false" ht="15" hidden="false" customHeight="false" outlineLevel="0" collapsed="false">
      <c r="B154" s="0" t="n">
        <v>127</v>
      </c>
      <c r="C154" s="68" t="n">
        <f aca="false">EDATE($C$7,126)</f>
        <v>50131</v>
      </c>
      <c r="D154" s="69" t="n">
        <f aca="false">$C$8-(F154+J154+N154+R154+V154+Z154+AD154+AH154)</f>
        <v>0</v>
      </c>
      <c r="E154" s="69" t="n">
        <f aca="false">IF(H153&gt;0.5,H153*(1+E$23)+E$24,0)</f>
        <v>0</v>
      </c>
      <c r="F154" s="69" t="n">
        <f aca="false">MIN(F$23,E154)</f>
        <v>0</v>
      </c>
      <c r="G154" s="69" t="n">
        <f aca="false">IF(AND(F$24=1,OR(E$25="",$C154&gt;=E$25)),MAX(0,MIN(E154-F154,$D154-(0))),0)</f>
        <v>0</v>
      </c>
      <c r="H154" s="69" t="n">
        <f aca="false">E154-F154-G154</f>
        <v>0</v>
      </c>
      <c r="I154" s="69" t="n">
        <f aca="false">IF(L153&gt;0.5,L153*(1+I$23)+I$24,0)</f>
        <v>0</v>
      </c>
      <c r="J154" s="69" t="n">
        <f aca="false">MIN(J$23,I154)</f>
        <v>0</v>
      </c>
      <c r="K154" s="69" t="n">
        <f aca="false">IF(AND(J$24=1,OR(I$25="",$C154&gt;=I$25)),MAX(0,MIN(I154-J154,$D154-(G154))),0)</f>
        <v>0</v>
      </c>
      <c r="L154" s="69" t="n">
        <f aca="false">I154-J154-K154</f>
        <v>0</v>
      </c>
      <c r="M154" s="69" t="n">
        <f aca="false">IF(P153&gt;0.5,P153*(1+M$23)+M$24,0)</f>
        <v>0</v>
      </c>
      <c r="N154" s="69" t="n">
        <f aca="false">MIN(N$23,M154)</f>
        <v>0</v>
      </c>
      <c r="O154" s="69" t="n">
        <f aca="false">IF(AND(N$24=1,OR(M$25="",$C154&gt;=M$25)),MAX(0,MIN(M154-N154,$D154-(G154+K154))),0)</f>
        <v>0</v>
      </c>
      <c r="P154" s="69" t="n">
        <f aca="false">M154-N154-O154</f>
        <v>0</v>
      </c>
      <c r="Q154" s="69" t="n">
        <f aca="false">IF(T153&gt;0.5,T153*(1+Q$23)+Q$24,0)</f>
        <v>0</v>
      </c>
      <c r="R154" s="69" t="n">
        <f aca="false">MIN(R$23,Q154)</f>
        <v>0</v>
      </c>
      <c r="S154" s="69" t="n">
        <f aca="false">IF(AND(R$24=1,OR(Q$25="",$C154&gt;=Q$25)),MAX(0,MIN(Q154-R154,$D154-(G154+K154+O154))),0)</f>
        <v>0</v>
      </c>
      <c r="T154" s="69" t="n">
        <f aca="false">Q154-R154-S154</f>
        <v>0</v>
      </c>
      <c r="U154" s="69" t="n">
        <f aca="false">IF(X153&gt;0.5,X153*(1+U$23)+U$24,0)</f>
        <v>0</v>
      </c>
      <c r="V154" s="69" t="n">
        <f aca="false">MIN(V$23,U154)</f>
        <v>0</v>
      </c>
      <c r="W154" s="69" t="n">
        <f aca="false">IF(AND(V$24=1,OR(U$25="",$C154&gt;=U$25)),MAX(0,MIN(U154-V154,$D154-(G154+K154+O154+S154))),0)</f>
        <v>0</v>
      </c>
      <c r="X154" s="69" t="n">
        <f aca="false">U154-V154-W154</f>
        <v>0</v>
      </c>
      <c r="Y154" s="69" t="n">
        <f aca="false">IF(AB153&gt;0.5,AB153*(1+Y$23)+Y$24,0)</f>
        <v>0</v>
      </c>
      <c r="Z154" s="69" t="n">
        <f aca="false">MIN(Z$23,Y154)</f>
        <v>0</v>
      </c>
      <c r="AA154" s="69" t="n">
        <f aca="false">IF(AND(Z$24=1,OR(Y$25="",$C154&gt;=Y$25)),MAX(0,MIN(Y154-Z154,$D154-(G154+K154+O154+S154+W154))),0)</f>
        <v>0</v>
      </c>
      <c r="AB154" s="69" t="n">
        <f aca="false">Y154-Z154-AA154</f>
        <v>0</v>
      </c>
      <c r="AC154" s="69" t="n">
        <f aca="false">IF(AF153&gt;0.5,AF153*(1+AC$23)+AC$24,0)</f>
        <v>0</v>
      </c>
      <c r="AD154" s="69" t="n">
        <f aca="false">MIN(AD$23,AC154)</f>
        <v>0</v>
      </c>
      <c r="AE154" s="69" t="n">
        <f aca="false">IF(AND(AD$24=1,OR(AC$25="",$C154&gt;=AC$25)),MAX(0,MIN(AC154-AD154,$D154-(G154+K154+O154+S154+W154+AA154))),0)</f>
        <v>0</v>
      </c>
      <c r="AF154" s="69" t="n">
        <f aca="false">AC154-AD154-AE154</f>
        <v>0</v>
      </c>
      <c r="AG154" s="69" t="n">
        <f aca="false">IF(AJ153&gt;0.5,AJ153*(1+AG$23)+AG$24,0)</f>
        <v>0</v>
      </c>
      <c r="AH154" s="69" t="n">
        <f aca="false">MIN(AH$23,AG154)</f>
        <v>0</v>
      </c>
      <c r="AI154" s="69" t="n">
        <f aca="false">IF(AND(AH$24=1,OR(AG$25="",$C154&gt;=AG$25)),MAX(0,MIN(AG154-AH154,$D154-(G154+K154+O154+S154+W154+AA154+AE154))),0)</f>
        <v>0</v>
      </c>
      <c r="AJ154" s="69" t="n">
        <f aca="false">AG154-AH154-AI154</f>
        <v>0</v>
      </c>
      <c r="AK154" s="69" t="n">
        <f aca="false">IF(AK153&gt;0.5,AK153*(1+$E$12)+$G$12-MIN($F$12,AK153*(1+$E$12)+$G$12),0)</f>
        <v>0</v>
      </c>
      <c r="AL154" s="69" t="n">
        <f aca="false">IF(AL153&gt;0.5,AL153*(1+$E$13)+$G$13-MIN($F$13,AL153*(1+$E$13)+$G$13),0)</f>
        <v>0</v>
      </c>
      <c r="AM154" s="69" t="n">
        <f aca="false">IF(AM153&gt;0.5,AM153*(1+$E$14)+$G$14-MIN($F$14,AM153*(1+$E$14)+$G$14),0)</f>
        <v>0</v>
      </c>
      <c r="AN154" s="69" t="n">
        <f aca="false">IF(AN153&gt;0.5,AN153*(1+$E$15)+$G$15-MIN($F$15,AN153*(1+$E$15)+$G$15),0)</f>
        <v>0</v>
      </c>
      <c r="AO154" s="69" t="n">
        <f aca="false">IF(AO153&gt;0.5,AO153*(1+$E$16)+$G$16-MIN($F$16,AO153*(1+$E$16)+$G$16),0)</f>
        <v>0</v>
      </c>
      <c r="AP154" s="69" t="n">
        <f aca="false">IF(AP153&gt;0.5,AP153*(1+$E$17)+$G$17-MIN($F$17,AP153*(1+$E$17)+$G$17),0)</f>
        <v>0</v>
      </c>
      <c r="AQ154" s="69" t="n">
        <f aca="false">IF(AQ153&gt;0.5,AQ153*(1+$E$18)+$G$18-MIN($F$18,AQ153*(1+$E$18)+$G$18),0)</f>
        <v>0</v>
      </c>
      <c r="AR154" s="69" t="n">
        <f aca="false">IF(AR153&gt;0.5,AR153*(1+$E$19)+$G$19-MIN($F$19,AR153*(1+$E$19)+$G$19),0)</f>
        <v>0</v>
      </c>
      <c r="AS154" s="69" t="n">
        <f aca="false">H154+L154+P154+T154+X154+AB154+AF154+AJ154</f>
        <v>0</v>
      </c>
      <c r="AT154" s="69" t="n">
        <f aca="false">SUM(AK154:AR154)</f>
        <v>0</v>
      </c>
      <c r="AU154" s="69" t="n">
        <f aca="false">F154+G154+J154+K154+N154+O154+R154+S154+V154+W154+Z154+AA154+AD154+AE154+AH154+AI154</f>
        <v>0</v>
      </c>
    </row>
    <row r="155" customFormat="false" ht="15" hidden="false" customHeight="false" outlineLevel="0" collapsed="false">
      <c r="B155" s="0" t="n">
        <v>128</v>
      </c>
      <c r="C155" s="68" t="n">
        <f aca="false">EDATE($C$7,127)</f>
        <v>50161</v>
      </c>
      <c r="D155" s="69" t="n">
        <f aca="false">$C$8-(F155+J155+N155+R155+V155+Z155+AD155+AH155)</f>
        <v>0</v>
      </c>
      <c r="E155" s="69" t="n">
        <f aca="false">IF(H154&gt;0.5,H154*(1+E$23)+E$24,0)</f>
        <v>0</v>
      </c>
      <c r="F155" s="69" t="n">
        <f aca="false">MIN(F$23,E155)</f>
        <v>0</v>
      </c>
      <c r="G155" s="69" t="n">
        <f aca="false">IF(AND(F$24=1,OR(E$25="",$C155&gt;=E$25)),MAX(0,MIN(E155-F155,$D155-(0))),0)</f>
        <v>0</v>
      </c>
      <c r="H155" s="69" t="n">
        <f aca="false">E155-F155-G155</f>
        <v>0</v>
      </c>
      <c r="I155" s="69" t="n">
        <f aca="false">IF(L154&gt;0.5,L154*(1+I$23)+I$24,0)</f>
        <v>0</v>
      </c>
      <c r="J155" s="69" t="n">
        <f aca="false">MIN(J$23,I155)</f>
        <v>0</v>
      </c>
      <c r="K155" s="69" t="n">
        <f aca="false">IF(AND(J$24=1,OR(I$25="",$C155&gt;=I$25)),MAX(0,MIN(I155-J155,$D155-(G155))),0)</f>
        <v>0</v>
      </c>
      <c r="L155" s="69" t="n">
        <f aca="false">I155-J155-K155</f>
        <v>0</v>
      </c>
      <c r="M155" s="69" t="n">
        <f aca="false">IF(P154&gt;0.5,P154*(1+M$23)+M$24,0)</f>
        <v>0</v>
      </c>
      <c r="N155" s="69" t="n">
        <f aca="false">MIN(N$23,M155)</f>
        <v>0</v>
      </c>
      <c r="O155" s="69" t="n">
        <f aca="false">IF(AND(N$24=1,OR(M$25="",$C155&gt;=M$25)),MAX(0,MIN(M155-N155,$D155-(G155+K155))),0)</f>
        <v>0</v>
      </c>
      <c r="P155" s="69" t="n">
        <f aca="false">M155-N155-O155</f>
        <v>0</v>
      </c>
      <c r="Q155" s="69" t="n">
        <f aca="false">IF(T154&gt;0.5,T154*(1+Q$23)+Q$24,0)</f>
        <v>0</v>
      </c>
      <c r="R155" s="69" t="n">
        <f aca="false">MIN(R$23,Q155)</f>
        <v>0</v>
      </c>
      <c r="S155" s="69" t="n">
        <f aca="false">IF(AND(R$24=1,OR(Q$25="",$C155&gt;=Q$25)),MAX(0,MIN(Q155-R155,$D155-(G155+K155+O155))),0)</f>
        <v>0</v>
      </c>
      <c r="T155" s="69" t="n">
        <f aca="false">Q155-R155-S155</f>
        <v>0</v>
      </c>
      <c r="U155" s="69" t="n">
        <f aca="false">IF(X154&gt;0.5,X154*(1+U$23)+U$24,0)</f>
        <v>0</v>
      </c>
      <c r="V155" s="69" t="n">
        <f aca="false">MIN(V$23,U155)</f>
        <v>0</v>
      </c>
      <c r="W155" s="69" t="n">
        <f aca="false">IF(AND(V$24=1,OR(U$25="",$C155&gt;=U$25)),MAX(0,MIN(U155-V155,$D155-(G155+K155+O155+S155))),0)</f>
        <v>0</v>
      </c>
      <c r="X155" s="69" t="n">
        <f aca="false">U155-V155-W155</f>
        <v>0</v>
      </c>
      <c r="Y155" s="69" t="n">
        <f aca="false">IF(AB154&gt;0.5,AB154*(1+Y$23)+Y$24,0)</f>
        <v>0</v>
      </c>
      <c r="Z155" s="69" t="n">
        <f aca="false">MIN(Z$23,Y155)</f>
        <v>0</v>
      </c>
      <c r="AA155" s="69" t="n">
        <f aca="false">IF(AND(Z$24=1,OR(Y$25="",$C155&gt;=Y$25)),MAX(0,MIN(Y155-Z155,$D155-(G155+K155+O155+S155+W155))),0)</f>
        <v>0</v>
      </c>
      <c r="AB155" s="69" t="n">
        <f aca="false">Y155-Z155-AA155</f>
        <v>0</v>
      </c>
      <c r="AC155" s="69" t="n">
        <f aca="false">IF(AF154&gt;0.5,AF154*(1+AC$23)+AC$24,0)</f>
        <v>0</v>
      </c>
      <c r="AD155" s="69" t="n">
        <f aca="false">MIN(AD$23,AC155)</f>
        <v>0</v>
      </c>
      <c r="AE155" s="69" t="n">
        <f aca="false">IF(AND(AD$24=1,OR(AC$25="",$C155&gt;=AC$25)),MAX(0,MIN(AC155-AD155,$D155-(G155+K155+O155+S155+W155+AA155))),0)</f>
        <v>0</v>
      </c>
      <c r="AF155" s="69" t="n">
        <f aca="false">AC155-AD155-AE155</f>
        <v>0</v>
      </c>
      <c r="AG155" s="69" t="n">
        <f aca="false">IF(AJ154&gt;0.5,AJ154*(1+AG$23)+AG$24,0)</f>
        <v>0</v>
      </c>
      <c r="AH155" s="69" t="n">
        <f aca="false">MIN(AH$23,AG155)</f>
        <v>0</v>
      </c>
      <c r="AI155" s="69" t="n">
        <f aca="false">IF(AND(AH$24=1,OR(AG$25="",$C155&gt;=AG$25)),MAX(0,MIN(AG155-AH155,$D155-(G155+K155+O155+S155+W155+AA155+AE155))),0)</f>
        <v>0</v>
      </c>
      <c r="AJ155" s="69" t="n">
        <f aca="false">AG155-AH155-AI155</f>
        <v>0</v>
      </c>
      <c r="AK155" s="69" t="n">
        <f aca="false">IF(AK154&gt;0.5,AK154*(1+$E$12)+$G$12-MIN($F$12,AK154*(1+$E$12)+$G$12),0)</f>
        <v>0</v>
      </c>
      <c r="AL155" s="69" t="n">
        <f aca="false">IF(AL154&gt;0.5,AL154*(1+$E$13)+$G$13-MIN($F$13,AL154*(1+$E$13)+$G$13),0)</f>
        <v>0</v>
      </c>
      <c r="AM155" s="69" t="n">
        <f aca="false">IF(AM154&gt;0.5,AM154*(1+$E$14)+$G$14-MIN($F$14,AM154*(1+$E$14)+$G$14),0)</f>
        <v>0</v>
      </c>
      <c r="AN155" s="69" t="n">
        <f aca="false">IF(AN154&gt;0.5,AN154*(1+$E$15)+$G$15-MIN($F$15,AN154*(1+$E$15)+$G$15),0)</f>
        <v>0</v>
      </c>
      <c r="AO155" s="69" t="n">
        <f aca="false">IF(AO154&gt;0.5,AO154*(1+$E$16)+$G$16-MIN($F$16,AO154*(1+$E$16)+$G$16),0)</f>
        <v>0</v>
      </c>
      <c r="AP155" s="69" t="n">
        <f aca="false">IF(AP154&gt;0.5,AP154*(1+$E$17)+$G$17-MIN($F$17,AP154*(1+$E$17)+$G$17),0)</f>
        <v>0</v>
      </c>
      <c r="AQ155" s="69" t="n">
        <f aca="false">IF(AQ154&gt;0.5,AQ154*(1+$E$18)+$G$18-MIN($F$18,AQ154*(1+$E$18)+$G$18),0)</f>
        <v>0</v>
      </c>
      <c r="AR155" s="69" t="n">
        <f aca="false">IF(AR154&gt;0.5,AR154*(1+$E$19)+$G$19-MIN($F$19,AR154*(1+$E$19)+$G$19),0)</f>
        <v>0</v>
      </c>
      <c r="AS155" s="69" t="n">
        <f aca="false">H155+L155+P155+T155+X155+AB155+AF155+AJ155</f>
        <v>0</v>
      </c>
      <c r="AT155" s="69" t="n">
        <f aca="false">SUM(AK155:AR155)</f>
        <v>0</v>
      </c>
      <c r="AU155" s="69" t="n">
        <f aca="false">F155+G155+J155+K155+N155+O155+R155+S155+V155+W155+Z155+AA155+AD155+AE155+AH155+AI155</f>
        <v>0</v>
      </c>
    </row>
    <row r="156" customFormat="false" ht="15" hidden="false" customHeight="false" outlineLevel="0" collapsed="false">
      <c r="B156" s="0" t="n">
        <v>129</v>
      </c>
      <c r="C156" s="68" t="n">
        <f aca="false">EDATE($C$7,128)</f>
        <v>50192</v>
      </c>
      <c r="D156" s="69" t="n">
        <f aca="false">$C$8-(F156+J156+N156+R156+V156+Z156+AD156+AH156)</f>
        <v>0</v>
      </c>
      <c r="E156" s="69" t="n">
        <f aca="false">IF(H155&gt;0.5,H155*(1+E$23)+E$24,0)</f>
        <v>0</v>
      </c>
      <c r="F156" s="69" t="n">
        <f aca="false">MIN(F$23,E156)</f>
        <v>0</v>
      </c>
      <c r="G156" s="69" t="n">
        <f aca="false">IF(AND(F$24=1,OR(E$25="",$C156&gt;=E$25)),MAX(0,MIN(E156-F156,$D156-(0))),0)</f>
        <v>0</v>
      </c>
      <c r="H156" s="69" t="n">
        <f aca="false">E156-F156-G156</f>
        <v>0</v>
      </c>
      <c r="I156" s="69" t="n">
        <f aca="false">IF(L155&gt;0.5,L155*(1+I$23)+I$24,0)</f>
        <v>0</v>
      </c>
      <c r="J156" s="69" t="n">
        <f aca="false">MIN(J$23,I156)</f>
        <v>0</v>
      </c>
      <c r="K156" s="69" t="n">
        <f aca="false">IF(AND(J$24=1,OR(I$25="",$C156&gt;=I$25)),MAX(0,MIN(I156-J156,$D156-(G156))),0)</f>
        <v>0</v>
      </c>
      <c r="L156" s="69" t="n">
        <f aca="false">I156-J156-K156</f>
        <v>0</v>
      </c>
      <c r="M156" s="69" t="n">
        <f aca="false">IF(P155&gt;0.5,P155*(1+M$23)+M$24,0)</f>
        <v>0</v>
      </c>
      <c r="N156" s="69" t="n">
        <f aca="false">MIN(N$23,M156)</f>
        <v>0</v>
      </c>
      <c r="O156" s="69" t="n">
        <f aca="false">IF(AND(N$24=1,OR(M$25="",$C156&gt;=M$25)),MAX(0,MIN(M156-N156,$D156-(G156+K156))),0)</f>
        <v>0</v>
      </c>
      <c r="P156" s="69" t="n">
        <f aca="false">M156-N156-O156</f>
        <v>0</v>
      </c>
      <c r="Q156" s="69" t="n">
        <f aca="false">IF(T155&gt;0.5,T155*(1+Q$23)+Q$24,0)</f>
        <v>0</v>
      </c>
      <c r="R156" s="69" t="n">
        <f aca="false">MIN(R$23,Q156)</f>
        <v>0</v>
      </c>
      <c r="S156" s="69" t="n">
        <f aca="false">IF(AND(R$24=1,OR(Q$25="",$C156&gt;=Q$25)),MAX(0,MIN(Q156-R156,$D156-(G156+K156+O156))),0)</f>
        <v>0</v>
      </c>
      <c r="T156" s="69" t="n">
        <f aca="false">Q156-R156-S156</f>
        <v>0</v>
      </c>
      <c r="U156" s="69" t="n">
        <f aca="false">IF(X155&gt;0.5,X155*(1+U$23)+U$24,0)</f>
        <v>0</v>
      </c>
      <c r="V156" s="69" t="n">
        <f aca="false">MIN(V$23,U156)</f>
        <v>0</v>
      </c>
      <c r="W156" s="69" t="n">
        <f aca="false">IF(AND(V$24=1,OR(U$25="",$C156&gt;=U$25)),MAX(0,MIN(U156-V156,$D156-(G156+K156+O156+S156))),0)</f>
        <v>0</v>
      </c>
      <c r="X156" s="69" t="n">
        <f aca="false">U156-V156-W156</f>
        <v>0</v>
      </c>
      <c r="Y156" s="69" t="n">
        <f aca="false">IF(AB155&gt;0.5,AB155*(1+Y$23)+Y$24,0)</f>
        <v>0</v>
      </c>
      <c r="Z156" s="69" t="n">
        <f aca="false">MIN(Z$23,Y156)</f>
        <v>0</v>
      </c>
      <c r="AA156" s="69" t="n">
        <f aca="false">IF(AND(Z$24=1,OR(Y$25="",$C156&gt;=Y$25)),MAX(0,MIN(Y156-Z156,$D156-(G156+K156+O156+S156+W156))),0)</f>
        <v>0</v>
      </c>
      <c r="AB156" s="69" t="n">
        <f aca="false">Y156-Z156-AA156</f>
        <v>0</v>
      </c>
      <c r="AC156" s="69" t="n">
        <f aca="false">IF(AF155&gt;0.5,AF155*(1+AC$23)+AC$24,0)</f>
        <v>0</v>
      </c>
      <c r="AD156" s="69" t="n">
        <f aca="false">MIN(AD$23,AC156)</f>
        <v>0</v>
      </c>
      <c r="AE156" s="69" t="n">
        <f aca="false">IF(AND(AD$24=1,OR(AC$25="",$C156&gt;=AC$25)),MAX(0,MIN(AC156-AD156,$D156-(G156+K156+O156+S156+W156+AA156))),0)</f>
        <v>0</v>
      </c>
      <c r="AF156" s="69" t="n">
        <f aca="false">AC156-AD156-AE156</f>
        <v>0</v>
      </c>
      <c r="AG156" s="69" t="n">
        <f aca="false">IF(AJ155&gt;0.5,AJ155*(1+AG$23)+AG$24,0)</f>
        <v>0</v>
      </c>
      <c r="AH156" s="69" t="n">
        <f aca="false">MIN(AH$23,AG156)</f>
        <v>0</v>
      </c>
      <c r="AI156" s="69" t="n">
        <f aca="false">IF(AND(AH$24=1,OR(AG$25="",$C156&gt;=AG$25)),MAX(0,MIN(AG156-AH156,$D156-(G156+K156+O156+S156+W156+AA156+AE156))),0)</f>
        <v>0</v>
      </c>
      <c r="AJ156" s="69" t="n">
        <f aca="false">AG156-AH156-AI156</f>
        <v>0</v>
      </c>
      <c r="AK156" s="69" t="n">
        <f aca="false">IF(AK155&gt;0.5,AK155*(1+$E$12)+$G$12-MIN($F$12,AK155*(1+$E$12)+$G$12),0)</f>
        <v>0</v>
      </c>
      <c r="AL156" s="69" t="n">
        <f aca="false">IF(AL155&gt;0.5,AL155*(1+$E$13)+$G$13-MIN($F$13,AL155*(1+$E$13)+$G$13),0)</f>
        <v>0</v>
      </c>
      <c r="AM156" s="69" t="n">
        <f aca="false">IF(AM155&gt;0.5,AM155*(1+$E$14)+$G$14-MIN($F$14,AM155*(1+$E$14)+$G$14),0)</f>
        <v>0</v>
      </c>
      <c r="AN156" s="69" t="n">
        <f aca="false">IF(AN155&gt;0.5,AN155*(1+$E$15)+$G$15-MIN($F$15,AN155*(1+$E$15)+$G$15),0)</f>
        <v>0</v>
      </c>
      <c r="AO156" s="69" t="n">
        <f aca="false">IF(AO155&gt;0.5,AO155*(1+$E$16)+$G$16-MIN($F$16,AO155*(1+$E$16)+$G$16),0)</f>
        <v>0</v>
      </c>
      <c r="AP156" s="69" t="n">
        <f aca="false">IF(AP155&gt;0.5,AP155*(1+$E$17)+$G$17-MIN($F$17,AP155*(1+$E$17)+$G$17),0)</f>
        <v>0</v>
      </c>
      <c r="AQ156" s="69" t="n">
        <f aca="false">IF(AQ155&gt;0.5,AQ155*(1+$E$18)+$G$18-MIN($F$18,AQ155*(1+$E$18)+$G$18),0)</f>
        <v>0</v>
      </c>
      <c r="AR156" s="69" t="n">
        <f aca="false">IF(AR155&gt;0.5,AR155*(1+$E$19)+$G$19-MIN($F$19,AR155*(1+$E$19)+$G$19),0)</f>
        <v>0</v>
      </c>
      <c r="AS156" s="69" t="n">
        <f aca="false">H156+L156+P156+T156+X156+AB156+AF156+AJ156</f>
        <v>0</v>
      </c>
      <c r="AT156" s="69" t="n">
        <f aca="false">SUM(AK156:AR156)</f>
        <v>0</v>
      </c>
      <c r="AU156" s="69" t="n">
        <f aca="false">F156+G156+J156+K156+N156+O156+R156+S156+V156+W156+Z156+AA156+AD156+AE156+AH156+AI156</f>
        <v>0</v>
      </c>
    </row>
    <row r="157" customFormat="false" ht="15" hidden="false" customHeight="false" outlineLevel="0" collapsed="false">
      <c r="B157" s="0" t="n">
        <v>130</v>
      </c>
      <c r="C157" s="68" t="n">
        <f aca="false">EDATE($C$7,129)</f>
        <v>50222</v>
      </c>
      <c r="D157" s="69" t="n">
        <f aca="false">$C$8-(F157+J157+N157+R157+V157+Z157+AD157+AH157)</f>
        <v>0</v>
      </c>
      <c r="E157" s="69" t="n">
        <f aca="false">IF(H156&gt;0.5,H156*(1+E$23)+E$24,0)</f>
        <v>0</v>
      </c>
      <c r="F157" s="69" t="n">
        <f aca="false">MIN(F$23,E157)</f>
        <v>0</v>
      </c>
      <c r="G157" s="69" t="n">
        <f aca="false">IF(AND(F$24=1,OR(E$25="",$C157&gt;=E$25)),MAX(0,MIN(E157-F157,$D157-(0))),0)</f>
        <v>0</v>
      </c>
      <c r="H157" s="69" t="n">
        <f aca="false">E157-F157-G157</f>
        <v>0</v>
      </c>
      <c r="I157" s="69" t="n">
        <f aca="false">IF(L156&gt;0.5,L156*(1+I$23)+I$24,0)</f>
        <v>0</v>
      </c>
      <c r="J157" s="69" t="n">
        <f aca="false">MIN(J$23,I157)</f>
        <v>0</v>
      </c>
      <c r="K157" s="69" t="n">
        <f aca="false">IF(AND(J$24=1,OR(I$25="",$C157&gt;=I$25)),MAX(0,MIN(I157-J157,$D157-(G157))),0)</f>
        <v>0</v>
      </c>
      <c r="L157" s="69" t="n">
        <f aca="false">I157-J157-K157</f>
        <v>0</v>
      </c>
      <c r="M157" s="69" t="n">
        <f aca="false">IF(P156&gt;0.5,P156*(1+M$23)+M$24,0)</f>
        <v>0</v>
      </c>
      <c r="N157" s="69" t="n">
        <f aca="false">MIN(N$23,M157)</f>
        <v>0</v>
      </c>
      <c r="O157" s="69" t="n">
        <f aca="false">IF(AND(N$24=1,OR(M$25="",$C157&gt;=M$25)),MAX(0,MIN(M157-N157,$D157-(G157+K157))),0)</f>
        <v>0</v>
      </c>
      <c r="P157" s="69" t="n">
        <f aca="false">M157-N157-O157</f>
        <v>0</v>
      </c>
      <c r="Q157" s="69" t="n">
        <f aca="false">IF(T156&gt;0.5,T156*(1+Q$23)+Q$24,0)</f>
        <v>0</v>
      </c>
      <c r="R157" s="69" t="n">
        <f aca="false">MIN(R$23,Q157)</f>
        <v>0</v>
      </c>
      <c r="S157" s="69" t="n">
        <f aca="false">IF(AND(R$24=1,OR(Q$25="",$C157&gt;=Q$25)),MAX(0,MIN(Q157-R157,$D157-(G157+K157+O157))),0)</f>
        <v>0</v>
      </c>
      <c r="T157" s="69" t="n">
        <f aca="false">Q157-R157-S157</f>
        <v>0</v>
      </c>
      <c r="U157" s="69" t="n">
        <f aca="false">IF(X156&gt;0.5,X156*(1+U$23)+U$24,0)</f>
        <v>0</v>
      </c>
      <c r="V157" s="69" t="n">
        <f aca="false">MIN(V$23,U157)</f>
        <v>0</v>
      </c>
      <c r="W157" s="69" t="n">
        <f aca="false">IF(AND(V$24=1,OR(U$25="",$C157&gt;=U$25)),MAX(0,MIN(U157-V157,$D157-(G157+K157+O157+S157))),0)</f>
        <v>0</v>
      </c>
      <c r="X157" s="69" t="n">
        <f aca="false">U157-V157-W157</f>
        <v>0</v>
      </c>
      <c r="Y157" s="69" t="n">
        <f aca="false">IF(AB156&gt;0.5,AB156*(1+Y$23)+Y$24,0)</f>
        <v>0</v>
      </c>
      <c r="Z157" s="69" t="n">
        <f aca="false">MIN(Z$23,Y157)</f>
        <v>0</v>
      </c>
      <c r="AA157" s="69" t="n">
        <f aca="false">IF(AND(Z$24=1,OR(Y$25="",$C157&gt;=Y$25)),MAX(0,MIN(Y157-Z157,$D157-(G157+K157+O157+S157+W157))),0)</f>
        <v>0</v>
      </c>
      <c r="AB157" s="69" t="n">
        <f aca="false">Y157-Z157-AA157</f>
        <v>0</v>
      </c>
      <c r="AC157" s="69" t="n">
        <f aca="false">IF(AF156&gt;0.5,AF156*(1+AC$23)+AC$24,0)</f>
        <v>0</v>
      </c>
      <c r="AD157" s="69" t="n">
        <f aca="false">MIN(AD$23,AC157)</f>
        <v>0</v>
      </c>
      <c r="AE157" s="69" t="n">
        <f aca="false">IF(AND(AD$24=1,OR(AC$25="",$C157&gt;=AC$25)),MAX(0,MIN(AC157-AD157,$D157-(G157+K157+O157+S157+W157+AA157))),0)</f>
        <v>0</v>
      </c>
      <c r="AF157" s="69" t="n">
        <f aca="false">AC157-AD157-AE157</f>
        <v>0</v>
      </c>
      <c r="AG157" s="69" t="n">
        <f aca="false">IF(AJ156&gt;0.5,AJ156*(1+AG$23)+AG$24,0)</f>
        <v>0</v>
      </c>
      <c r="AH157" s="69" t="n">
        <f aca="false">MIN(AH$23,AG157)</f>
        <v>0</v>
      </c>
      <c r="AI157" s="69" t="n">
        <f aca="false">IF(AND(AH$24=1,OR(AG$25="",$C157&gt;=AG$25)),MAX(0,MIN(AG157-AH157,$D157-(G157+K157+O157+S157+W157+AA157+AE157))),0)</f>
        <v>0</v>
      </c>
      <c r="AJ157" s="69" t="n">
        <f aca="false">AG157-AH157-AI157</f>
        <v>0</v>
      </c>
      <c r="AK157" s="69" t="n">
        <f aca="false">IF(AK156&gt;0.5,AK156*(1+$E$12)+$G$12-MIN($F$12,AK156*(1+$E$12)+$G$12),0)</f>
        <v>0</v>
      </c>
      <c r="AL157" s="69" t="n">
        <f aca="false">IF(AL156&gt;0.5,AL156*(1+$E$13)+$G$13-MIN($F$13,AL156*(1+$E$13)+$G$13),0)</f>
        <v>0</v>
      </c>
      <c r="AM157" s="69" t="n">
        <f aca="false">IF(AM156&gt;0.5,AM156*(1+$E$14)+$G$14-MIN($F$14,AM156*(1+$E$14)+$G$14),0)</f>
        <v>0</v>
      </c>
      <c r="AN157" s="69" t="n">
        <f aca="false">IF(AN156&gt;0.5,AN156*(1+$E$15)+$G$15-MIN($F$15,AN156*(1+$E$15)+$G$15),0)</f>
        <v>0</v>
      </c>
      <c r="AO157" s="69" t="n">
        <f aca="false">IF(AO156&gt;0.5,AO156*(1+$E$16)+$G$16-MIN($F$16,AO156*(1+$E$16)+$G$16),0)</f>
        <v>0</v>
      </c>
      <c r="AP157" s="69" t="n">
        <f aca="false">IF(AP156&gt;0.5,AP156*(1+$E$17)+$G$17-MIN($F$17,AP156*(1+$E$17)+$G$17),0)</f>
        <v>0</v>
      </c>
      <c r="AQ157" s="69" t="n">
        <f aca="false">IF(AQ156&gt;0.5,AQ156*(1+$E$18)+$G$18-MIN($F$18,AQ156*(1+$E$18)+$G$18),0)</f>
        <v>0</v>
      </c>
      <c r="AR157" s="69" t="n">
        <f aca="false">IF(AR156&gt;0.5,AR156*(1+$E$19)+$G$19-MIN($F$19,AR156*(1+$E$19)+$G$19),0)</f>
        <v>0</v>
      </c>
      <c r="AS157" s="69" t="n">
        <f aca="false">H157+L157+P157+T157+X157+AB157+AF157+AJ157</f>
        <v>0</v>
      </c>
      <c r="AT157" s="69" t="n">
        <f aca="false">SUM(AK157:AR157)</f>
        <v>0</v>
      </c>
      <c r="AU157" s="69" t="n">
        <f aca="false">F157+G157+J157+K157+N157+O157+R157+S157+V157+W157+Z157+AA157+AD157+AE157+AH157+AI157</f>
        <v>0</v>
      </c>
    </row>
    <row r="158" customFormat="false" ht="15" hidden="false" customHeight="false" outlineLevel="0" collapsed="false">
      <c r="B158" s="0" t="n">
        <v>131</v>
      </c>
      <c r="C158" s="68" t="n">
        <f aca="false">EDATE($C$7,130)</f>
        <v>50253</v>
      </c>
      <c r="D158" s="69" t="n">
        <f aca="false">$C$8-(F158+J158+N158+R158+V158+Z158+AD158+AH158)</f>
        <v>0</v>
      </c>
      <c r="E158" s="69" t="n">
        <f aca="false">IF(H157&gt;0.5,H157*(1+E$23)+E$24,0)</f>
        <v>0</v>
      </c>
      <c r="F158" s="69" t="n">
        <f aca="false">MIN(F$23,E158)</f>
        <v>0</v>
      </c>
      <c r="G158" s="69" t="n">
        <f aca="false">IF(AND(F$24=1,OR(E$25="",$C158&gt;=E$25)),MAX(0,MIN(E158-F158,$D158-(0))),0)</f>
        <v>0</v>
      </c>
      <c r="H158" s="69" t="n">
        <f aca="false">E158-F158-G158</f>
        <v>0</v>
      </c>
      <c r="I158" s="69" t="n">
        <f aca="false">IF(L157&gt;0.5,L157*(1+I$23)+I$24,0)</f>
        <v>0</v>
      </c>
      <c r="J158" s="69" t="n">
        <f aca="false">MIN(J$23,I158)</f>
        <v>0</v>
      </c>
      <c r="K158" s="69" t="n">
        <f aca="false">IF(AND(J$24=1,OR(I$25="",$C158&gt;=I$25)),MAX(0,MIN(I158-J158,$D158-(G158))),0)</f>
        <v>0</v>
      </c>
      <c r="L158" s="69" t="n">
        <f aca="false">I158-J158-K158</f>
        <v>0</v>
      </c>
      <c r="M158" s="69" t="n">
        <f aca="false">IF(P157&gt;0.5,P157*(1+M$23)+M$24,0)</f>
        <v>0</v>
      </c>
      <c r="N158" s="69" t="n">
        <f aca="false">MIN(N$23,M158)</f>
        <v>0</v>
      </c>
      <c r="O158" s="69" t="n">
        <f aca="false">IF(AND(N$24=1,OR(M$25="",$C158&gt;=M$25)),MAX(0,MIN(M158-N158,$D158-(G158+K158))),0)</f>
        <v>0</v>
      </c>
      <c r="P158" s="69" t="n">
        <f aca="false">M158-N158-O158</f>
        <v>0</v>
      </c>
      <c r="Q158" s="69" t="n">
        <f aca="false">IF(T157&gt;0.5,T157*(1+Q$23)+Q$24,0)</f>
        <v>0</v>
      </c>
      <c r="R158" s="69" t="n">
        <f aca="false">MIN(R$23,Q158)</f>
        <v>0</v>
      </c>
      <c r="S158" s="69" t="n">
        <f aca="false">IF(AND(R$24=1,OR(Q$25="",$C158&gt;=Q$25)),MAX(0,MIN(Q158-R158,$D158-(G158+K158+O158))),0)</f>
        <v>0</v>
      </c>
      <c r="T158" s="69" t="n">
        <f aca="false">Q158-R158-S158</f>
        <v>0</v>
      </c>
      <c r="U158" s="69" t="n">
        <f aca="false">IF(X157&gt;0.5,X157*(1+U$23)+U$24,0)</f>
        <v>0</v>
      </c>
      <c r="V158" s="69" t="n">
        <f aca="false">MIN(V$23,U158)</f>
        <v>0</v>
      </c>
      <c r="W158" s="69" t="n">
        <f aca="false">IF(AND(V$24=1,OR(U$25="",$C158&gt;=U$25)),MAX(0,MIN(U158-V158,$D158-(G158+K158+O158+S158))),0)</f>
        <v>0</v>
      </c>
      <c r="X158" s="69" t="n">
        <f aca="false">U158-V158-W158</f>
        <v>0</v>
      </c>
      <c r="Y158" s="69" t="n">
        <f aca="false">IF(AB157&gt;0.5,AB157*(1+Y$23)+Y$24,0)</f>
        <v>0</v>
      </c>
      <c r="Z158" s="69" t="n">
        <f aca="false">MIN(Z$23,Y158)</f>
        <v>0</v>
      </c>
      <c r="AA158" s="69" t="n">
        <f aca="false">IF(AND(Z$24=1,OR(Y$25="",$C158&gt;=Y$25)),MAX(0,MIN(Y158-Z158,$D158-(G158+K158+O158+S158+W158))),0)</f>
        <v>0</v>
      </c>
      <c r="AB158" s="69" t="n">
        <f aca="false">Y158-Z158-AA158</f>
        <v>0</v>
      </c>
      <c r="AC158" s="69" t="n">
        <f aca="false">IF(AF157&gt;0.5,AF157*(1+AC$23)+AC$24,0)</f>
        <v>0</v>
      </c>
      <c r="AD158" s="69" t="n">
        <f aca="false">MIN(AD$23,AC158)</f>
        <v>0</v>
      </c>
      <c r="AE158" s="69" t="n">
        <f aca="false">IF(AND(AD$24=1,OR(AC$25="",$C158&gt;=AC$25)),MAX(0,MIN(AC158-AD158,$D158-(G158+K158+O158+S158+W158+AA158))),0)</f>
        <v>0</v>
      </c>
      <c r="AF158" s="69" t="n">
        <f aca="false">AC158-AD158-AE158</f>
        <v>0</v>
      </c>
      <c r="AG158" s="69" t="n">
        <f aca="false">IF(AJ157&gt;0.5,AJ157*(1+AG$23)+AG$24,0)</f>
        <v>0</v>
      </c>
      <c r="AH158" s="69" t="n">
        <f aca="false">MIN(AH$23,AG158)</f>
        <v>0</v>
      </c>
      <c r="AI158" s="69" t="n">
        <f aca="false">IF(AND(AH$24=1,OR(AG$25="",$C158&gt;=AG$25)),MAX(0,MIN(AG158-AH158,$D158-(G158+K158+O158+S158+W158+AA158+AE158))),0)</f>
        <v>0</v>
      </c>
      <c r="AJ158" s="69" t="n">
        <f aca="false">AG158-AH158-AI158</f>
        <v>0</v>
      </c>
      <c r="AK158" s="69" t="n">
        <f aca="false">IF(AK157&gt;0.5,AK157*(1+$E$12)+$G$12-MIN($F$12,AK157*(1+$E$12)+$G$12),0)</f>
        <v>0</v>
      </c>
      <c r="AL158" s="69" t="n">
        <f aca="false">IF(AL157&gt;0.5,AL157*(1+$E$13)+$G$13-MIN($F$13,AL157*(1+$E$13)+$G$13),0)</f>
        <v>0</v>
      </c>
      <c r="AM158" s="69" t="n">
        <f aca="false">IF(AM157&gt;0.5,AM157*(1+$E$14)+$G$14-MIN($F$14,AM157*(1+$E$14)+$G$14),0)</f>
        <v>0</v>
      </c>
      <c r="AN158" s="69" t="n">
        <f aca="false">IF(AN157&gt;0.5,AN157*(1+$E$15)+$G$15-MIN($F$15,AN157*(1+$E$15)+$G$15),0)</f>
        <v>0</v>
      </c>
      <c r="AO158" s="69" t="n">
        <f aca="false">IF(AO157&gt;0.5,AO157*(1+$E$16)+$G$16-MIN($F$16,AO157*(1+$E$16)+$G$16),0)</f>
        <v>0</v>
      </c>
      <c r="AP158" s="69" t="n">
        <f aca="false">IF(AP157&gt;0.5,AP157*(1+$E$17)+$G$17-MIN($F$17,AP157*(1+$E$17)+$G$17),0)</f>
        <v>0</v>
      </c>
      <c r="AQ158" s="69" t="n">
        <f aca="false">IF(AQ157&gt;0.5,AQ157*(1+$E$18)+$G$18-MIN($F$18,AQ157*(1+$E$18)+$G$18),0)</f>
        <v>0</v>
      </c>
      <c r="AR158" s="69" t="n">
        <f aca="false">IF(AR157&gt;0.5,AR157*(1+$E$19)+$G$19-MIN($F$19,AR157*(1+$E$19)+$G$19),0)</f>
        <v>0</v>
      </c>
      <c r="AS158" s="69" t="n">
        <f aca="false">H158+L158+P158+T158+X158+AB158+AF158+AJ158</f>
        <v>0</v>
      </c>
      <c r="AT158" s="69" t="n">
        <f aca="false">SUM(AK158:AR158)</f>
        <v>0</v>
      </c>
      <c r="AU158" s="69" t="n">
        <f aca="false">F158+G158+J158+K158+N158+O158+R158+S158+V158+W158+Z158+AA158+AD158+AE158+AH158+AI158</f>
        <v>0</v>
      </c>
    </row>
    <row r="159" customFormat="false" ht="15" hidden="false" customHeight="false" outlineLevel="0" collapsed="false">
      <c r="B159" s="0" t="n">
        <v>132</v>
      </c>
      <c r="C159" s="68" t="n">
        <f aca="false">EDATE($C$7,131)</f>
        <v>50284</v>
      </c>
      <c r="D159" s="69" t="n">
        <f aca="false">$C$8-(F159+J159+N159+R159+V159+Z159+AD159+AH159)</f>
        <v>0</v>
      </c>
      <c r="E159" s="69" t="n">
        <f aca="false">IF(H158&gt;0.5,H158*(1+E$23)+E$24,0)</f>
        <v>0</v>
      </c>
      <c r="F159" s="69" t="n">
        <f aca="false">MIN(F$23,E159)</f>
        <v>0</v>
      </c>
      <c r="G159" s="69" t="n">
        <f aca="false">IF(AND(F$24=1,OR(E$25="",$C159&gt;=E$25)),MAX(0,MIN(E159-F159,$D159-(0))),0)</f>
        <v>0</v>
      </c>
      <c r="H159" s="69" t="n">
        <f aca="false">E159-F159-G159</f>
        <v>0</v>
      </c>
      <c r="I159" s="69" t="n">
        <f aca="false">IF(L158&gt;0.5,L158*(1+I$23)+I$24,0)</f>
        <v>0</v>
      </c>
      <c r="J159" s="69" t="n">
        <f aca="false">MIN(J$23,I159)</f>
        <v>0</v>
      </c>
      <c r="K159" s="69" t="n">
        <f aca="false">IF(AND(J$24=1,OR(I$25="",$C159&gt;=I$25)),MAX(0,MIN(I159-J159,$D159-(G159))),0)</f>
        <v>0</v>
      </c>
      <c r="L159" s="69" t="n">
        <f aca="false">I159-J159-K159</f>
        <v>0</v>
      </c>
      <c r="M159" s="69" t="n">
        <f aca="false">IF(P158&gt;0.5,P158*(1+M$23)+M$24,0)</f>
        <v>0</v>
      </c>
      <c r="N159" s="69" t="n">
        <f aca="false">MIN(N$23,M159)</f>
        <v>0</v>
      </c>
      <c r="O159" s="69" t="n">
        <f aca="false">IF(AND(N$24=1,OR(M$25="",$C159&gt;=M$25)),MAX(0,MIN(M159-N159,$D159-(G159+K159))),0)</f>
        <v>0</v>
      </c>
      <c r="P159" s="69" t="n">
        <f aca="false">M159-N159-O159</f>
        <v>0</v>
      </c>
      <c r="Q159" s="69" t="n">
        <f aca="false">IF(T158&gt;0.5,T158*(1+Q$23)+Q$24,0)</f>
        <v>0</v>
      </c>
      <c r="R159" s="69" t="n">
        <f aca="false">MIN(R$23,Q159)</f>
        <v>0</v>
      </c>
      <c r="S159" s="69" t="n">
        <f aca="false">IF(AND(R$24=1,OR(Q$25="",$C159&gt;=Q$25)),MAX(0,MIN(Q159-R159,$D159-(G159+K159+O159))),0)</f>
        <v>0</v>
      </c>
      <c r="T159" s="69" t="n">
        <f aca="false">Q159-R159-S159</f>
        <v>0</v>
      </c>
      <c r="U159" s="69" t="n">
        <f aca="false">IF(X158&gt;0.5,X158*(1+U$23)+U$24,0)</f>
        <v>0</v>
      </c>
      <c r="V159" s="69" t="n">
        <f aca="false">MIN(V$23,U159)</f>
        <v>0</v>
      </c>
      <c r="W159" s="69" t="n">
        <f aca="false">IF(AND(V$24=1,OR(U$25="",$C159&gt;=U$25)),MAX(0,MIN(U159-V159,$D159-(G159+K159+O159+S159))),0)</f>
        <v>0</v>
      </c>
      <c r="X159" s="69" t="n">
        <f aca="false">U159-V159-W159</f>
        <v>0</v>
      </c>
      <c r="Y159" s="69" t="n">
        <f aca="false">IF(AB158&gt;0.5,AB158*(1+Y$23)+Y$24,0)</f>
        <v>0</v>
      </c>
      <c r="Z159" s="69" t="n">
        <f aca="false">MIN(Z$23,Y159)</f>
        <v>0</v>
      </c>
      <c r="AA159" s="69" t="n">
        <f aca="false">IF(AND(Z$24=1,OR(Y$25="",$C159&gt;=Y$25)),MAX(0,MIN(Y159-Z159,$D159-(G159+K159+O159+S159+W159))),0)</f>
        <v>0</v>
      </c>
      <c r="AB159" s="69" t="n">
        <f aca="false">Y159-Z159-AA159</f>
        <v>0</v>
      </c>
      <c r="AC159" s="69" t="n">
        <f aca="false">IF(AF158&gt;0.5,AF158*(1+AC$23)+AC$24,0)</f>
        <v>0</v>
      </c>
      <c r="AD159" s="69" t="n">
        <f aca="false">MIN(AD$23,AC159)</f>
        <v>0</v>
      </c>
      <c r="AE159" s="69" t="n">
        <f aca="false">IF(AND(AD$24=1,OR(AC$25="",$C159&gt;=AC$25)),MAX(0,MIN(AC159-AD159,$D159-(G159+K159+O159+S159+W159+AA159))),0)</f>
        <v>0</v>
      </c>
      <c r="AF159" s="69" t="n">
        <f aca="false">AC159-AD159-AE159</f>
        <v>0</v>
      </c>
      <c r="AG159" s="69" t="n">
        <f aca="false">IF(AJ158&gt;0.5,AJ158*(1+AG$23)+AG$24,0)</f>
        <v>0</v>
      </c>
      <c r="AH159" s="69" t="n">
        <f aca="false">MIN(AH$23,AG159)</f>
        <v>0</v>
      </c>
      <c r="AI159" s="69" t="n">
        <f aca="false">IF(AND(AH$24=1,OR(AG$25="",$C159&gt;=AG$25)),MAX(0,MIN(AG159-AH159,$D159-(G159+K159+O159+S159+W159+AA159+AE159))),0)</f>
        <v>0</v>
      </c>
      <c r="AJ159" s="69" t="n">
        <f aca="false">AG159-AH159-AI159</f>
        <v>0</v>
      </c>
      <c r="AK159" s="69" t="n">
        <f aca="false">IF(AK158&gt;0.5,AK158*(1+$E$12)+$G$12-MIN($F$12,AK158*(1+$E$12)+$G$12),0)</f>
        <v>0</v>
      </c>
      <c r="AL159" s="69" t="n">
        <f aca="false">IF(AL158&gt;0.5,AL158*(1+$E$13)+$G$13-MIN($F$13,AL158*(1+$E$13)+$G$13),0)</f>
        <v>0</v>
      </c>
      <c r="AM159" s="69" t="n">
        <f aca="false">IF(AM158&gt;0.5,AM158*(1+$E$14)+$G$14-MIN($F$14,AM158*(1+$E$14)+$G$14),0)</f>
        <v>0</v>
      </c>
      <c r="AN159" s="69" t="n">
        <f aca="false">IF(AN158&gt;0.5,AN158*(1+$E$15)+$G$15-MIN($F$15,AN158*(1+$E$15)+$G$15),0)</f>
        <v>0</v>
      </c>
      <c r="AO159" s="69" t="n">
        <f aca="false">IF(AO158&gt;0.5,AO158*(1+$E$16)+$G$16-MIN($F$16,AO158*(1+$E$16)+$G$16),0)</f>
        <v>0</v>
      </c>
      <c r="AP159" s="69" t="n">
        <f aca="false">IF(AP158&gt;0.5,AP158*(1+$E$17)+$G$17-MIN($F$17,AP158*(1+$E$17)+$G$17),0)</f>
        <v>0</v>
      </c>
      <c r="AQ159" s="69" t="n">
        <f aca="false">IF(AQ158&gt;0.5,AQ158*(1+$E$18)+$G$18-MIN($F$18,AQ158*(1+$E$18)+$G$18),0)</f>
        <v>0</v>
      </c>
      <c r="AR159" s="69" t="n">
        <f aca="false">IF(AR158&gt;0.5,AR158*(1+$E$19)+$G$19-MIN($F$19,AR158*(1+$E$19)+$G$19),0)</f>
        <v>0</v>
      </c>
      <c r="AS159" s="69" t="n">
        <f aca="false">H159+L159+P159+T159+X159+AB159+AF159+AJ159</f>
        <v>0</v>
      </c>
      <c r="AT159" s="69" t="n">
        <f aca="false">SUM(AK159:AR159)</f>
        <v>0</v>
      </c>
      <c r="AU159" s="69" t="n">
        <f aca="false">F159+G159+J159+K159+N159+O159+R159+S159+V159+W159+Z159+AA159+AD159+AE159+AH159+AI159</f>
        <v>0</v>
      </c>
    </row>
    <row r="160" customFormat="false" ht="15" hidden="false" customHeight="false" outlineLevel="0" collapsed="false">
      <c r="B160" s="0" t="n">
        <v>133</v>
      </c>
      <c r="C160" s="68" t="n">
        <f aca="false">EDATE($C$7,132)</f>
        <v>50314</v>
      </c>
      <c r="D160" s="69" t="n">
        <f aca="false">$C$8-(F160+J160+N160+R160+V160+Z160+AD160+AH160)</f>
        <v>0</v>
      </c>
      <c r="E160" s="69" t="n">
        <f aca="false">IF(H159&gt;0.5,H159*(1+E$23)+E$24,0)</f>
        <v>0</v>
      </c>
      <c r="F160" s="69" t="n">
        <f aca="false">MIN(F$23,E160)</f>
        <v>0</v>
      </c>
      <c r="G160" s="69" t="n">
        <f aca="false">IF(AND(F$24=1,OR(E$25="",$C160&gt;=E$25)),MAX(0,MIN(E160-F160,$D160-(0))),0)</f>
        <v>0</v>
      </c>
      <c r="H160" s="69" t="n">
        <f aca="false">E160-F160-G160</f>
        <v>0</v>
      </c>
      <c r="I160" s="69" t="n">
        <f aca="false">IF(L159&gt;0.5,L159*(1+I$23)+I$24,0)</f>
        <v>0</v>
      </c>
      <c r="J160" s="69" t="n">
        <f aca="false">MIN(J$23,I160)</f>
        <v>0</v>
      </c>
      <c r="K160" s="69" t="n">
        <f aca="false">IF(AND(J$24=1,OR(I$25="",$C160&gt;=I$25)),MAX(0,MIN(I160-J160,$D160-(G160))),0)</f>
        <v>0</v>
      </c>
      <c r="L160" s="69" t="n">
        <f aca="false">I160-J160-K160</f>
        <v>0</v>
      </c>
      <c r="M160" s="69" t="n">
        <f aca="false">IF(P159&gt;0.5,P159*(1+M$23)+M$24,0)</f>
        <v>0</v>
      </c>
      <c r="N160" s="69" t="n">
        <f aca="false">MIN(N$23,M160)</f>
        <v>0</v>
      </c>
      <c r="O160" s="69" t="n">
        <f aca="false">IF(AND(N$24=1,OR(M$25="",$C160&gt;=M$25)),MAX(0,MIN(M160-N160,$D160-(G160+K160))),0)</f>
        <v>0</v>
      </c>
      <c r="P160" s="69" t="n">
        <f aca="false">M160-N160-O160</f>
        <v>0</v>
      </c>
      <c r="Q160" s="69" t="n">
        <f aca="false">IF(T159&gt;0.5,T159*(1+Q$23)+Q$24,0)</f>
        <v>0</v>
      </c>
      <c r="R160" s="69" t="n">
        <f aca="false">MIN(R$23,Q160)</f>
        <v>0</v>
      </c>
      <c r="S160" s="69" t="n">
        <f aca="false">IF(AND(R$24=1,OR(Q$25="",$C160&gt;=Q$25)),MAX(0,MIN(Q160-R160,$D160-(G160+K160+O160))),0)</f>
        <v>0</v>
      </c>
      <c r="T160" s="69" t="n">
        <f aca="false">Q160-R160-S160</f>
        <v>0</v>
      </c>
      <c r="U160" s="69" t="n">
        <f aca="false">IF(X159&gt;0.5,X159*(1+U$23)+U$24,0)</f>
        <v>0</v>
      </c>
      <c r="V160" s="69" t="n">
        <f aca="false">MIN(V$23,U160)</f>
        <v>0</v>
      </c>
      <c r="W160" s="69" t="n">
        <f aca="false">IF(AND(V$24=1,OR(U$25="",$C160&gt;=U$25)),MAX(0,MIN(U160-V160,$D160-(G160+K160+O160+S160))),0)</f>
        <v>0</v>
      </c>
      <c r="X160" s="69" t="n">
        <f aca="false">U160-V160-W160</f>
        <v>0</v>
      </c>
      <c r="Y160" s="69" t="n">
        <f aca="false">IF(AB159&gt;0.5,AB159*(1+Y$23)+Y$24,0)</f>
        <v>0</v>
      </c>
      <c r="Z160" s="69" t="n">
        <f aca="false">MIN(Z$23,Y160)</f>
        <v>0</v>
      </c>
      <c r="AA160" s="69" t="n">
        <f aca="false">IF(AND(Z$24=1,OR(Y$25="",$C160&gt;=Y$25)),MAX(0,MIN(Y160-Z160,$D160-(G160+K160+O160+S160+W160))),0)</f>
        <v>0</v>
      </c>
      <c r="AB160" s="69" t="n">
        <f aca="false">Y160-Z160-AA160</f>
        <v>0</v>
      </c>
      <c r="AC160" s="69" t="n">
        <f aca="false">IF(AF159&gt;0.5,AF159*(1+AC$23)+AC$24,0)</f>
        <v>0</v>
      </c>
      <c r="AD160" s="69" t="n">
        <f aca="false">MIN(AD$23,AC160)</f>
        <v>0</v>
      </c>
      <c r="AE160" s="69" t="n">
        <f aca="false">IF(AND(AD$24=1,OR(AC$25="",$C160&gt;=AC$25)),MAX(0,MIN(AC160-AD160,$D160-(G160+K160+O160+S160+W160+AA160))),0)</f>
        <v>0</v>
      </c>
      <c r="AF160" s="69" t="n">
        <f aca="false">AC160-AD160-AE160</f>
        <v>0</v>
      </c>
      <c r="AG160" s="69" t="n">
        <f aca="false">IF(AJ159&gt;0.5,AJ159*(1+AG$23)+AG$24,0)</f>
        <v>0</v>
      </c>
      <c r="AH160" s="69" t="n">
        <f aca="false">MIN(AH$23,AG160)</f>
        <v>0</v>
      </c>
      <c r="AI160" s="69" t="n">
        <f aca="false">IF(AND(AH$24=1,OR(AG$25="",$C160&gt;=AG$25)),MAX(0,MIN(AG160-AH160,$D160-(G160+K160+O160+S160+W160+AA160+AE160))),0)</f>
        <v>0</v>
      </c>
      <c r="AJ160" s="69" t="n">
        <f aca="false">AG160-AH160-AI160</f>
        <v>0</v>
      </c>
      <c r="AK160" s="69" t="n">
        <f aca="false">IF(AK159&gt;0.5,AK159*(1+$E$12)+$G$12-MIN($F$12,AK159*(1+$E$12)+$G$12),0)</f>
        <v>0</v>
      </c>
      <c r="AL160" s="69" t="n">
        <f aca="false">IF(AL159&gt;0.5,AL159*(1+$E$13)+$G$13-MIN($F$13,AL159*(1+$E$13)+$G$13),0)</f>
        <v>0</v>
      </c>
      <c r="AM160" s="69" t="n">
        <f aca="false">IF(AM159&gt;0.5,AM159*(1+$E$14)+$G$14-MIN($F$14,AM159*(1+$E$14)+$G$14),0)</f>
        <v>0</v>
      </c>
      <c r="AN160" s="69" t="n">
        <f aca="false">IF(AN159&gt;0.5,AN159*(1+$E$15)+$G$15-MIN($F$15,AN159*(1+$E$15)+$G$15),0)</f>
        <v>0</v>
      </c>
      <c r="AO160" s="69" t="n">
        <f aca="false">IF(AO159&gt;0.5,AO159*(1+$E$16)+$G$16-MIN($F$16,AO159*(1+$E$16)+$G$16),0)</f>
        <v>0</v>
      </c>
      <c r="AP160" s="69" t="n">
        <f aca="false">IF(AP159&gt;0.5,AP159*(1+$E$17)+$G$17-MIN($F$17,AP159*(1+$E$17)+$G$17),0)</f>
        <v>0</v>
      </c>
      <c r="AQ160" s="69" t="n">
        <f aca="false">IF(AQ159&gt;0.5,AQ159*(1+$E$18)+$G$18-MIN($F$18,AQ159*(1+$E$18)+$G$18),0)</f>
        <v>0</v>
      </c>
      <c r="AR160" s="69" t="n">
        <f aca="false">IF(AR159&gt;0.5,AR159*(1+$E$19)+$G$19-MIN($F$19,AR159*(1+$E$19)+$G$19),0)</f>
        <v>0</v>
      </c>
      <c r="AS160" s="69" t="n">
        <f aca="false">H160+L160+P160+T160+X160+AB160+AF160+AJ160</f>
        <v>0</v>
      </c>
      <c r="AT160" s="69" t="n">
        <f aca="false">SUM(AK160:AR160)</f>
        <v>0</v>
      </c>
      <c r="AU160" s="69" t="n">
        <f aca="false">F160+G160+J160+K160+N160+O160+R160+S160+V160+W160+Z160+AA160+AD160+AE160+AH160+AI160</f>
        <v>0</v>
      </c>
    </row>
    <row r="161" customFormat="false" ht="15" hidden="false" customHeight="false" outlineLevel="0" collapsed="false">
      <c r="B161" s="0" t="n">
        <v>134</v>
      </c>
      <c r="C161" s="68" t="n">
        <f aca="false">EDATE($C$7,133)</f>
        <v>50345</v>
      </c>
      <c r="D161" s="69" t="n">
        <f aca="false">$C$8-(F161+J161+N161+R161+V161+Z161+AD161+AH161)</f>
        <v>0</v>
      </c>
      <c r="E161" s="69" t="n">
        <f aca="false">IF(H160&gt;0.5,H160*(1+E$23)+E$24,0)</f>
        <v>0</v>
      </c>
      <c r="F161" s="69" t="n">
        <f aca="false">MIN(F$23,E161)</f>
        <v>0</v>
      </c>
      <c r="G161" s="69" t="n">
        <f aca="false">IF(AND(F$24=1,OR(E$25="",$C161&gt;=E$25)),MAX(0,MIN(E161-F161,$D161-(0))),0)</f>
        <v>0</v>
      </c>
      <c r="H161" s="69" t="n">
        <f aca="false">E161-F161-G161</f>
        <v>0</v>
      </c>
      <c r="I161" s="69" t="n">
        <f aca="false">IF(L160&gt;0.5,L160*(1+I$23)+I$24,0)</f>
        <v>0</v>
      </c>
      <c r="J161" s="69" t="n">
        <f aca="false">MIN(J$23,I161)</f>
        <v>0</v>
      </c>
      <c r="K161" s="69" t="n">
        <f aca="false">IF(AND(J$24=1,OR(I$25="",$C161&gt;=I$25)),MAX(0,MIN(I161-J161,$D161-(G161))),0)</f>
        <v>0</v>
      </c>
      <c r="L161" s="69" t="n">
        <f aca="false">I161-J161-K161</f>
        <v>0</v>
      </c>
      <c r="M161" s="69" t="n">
        <f aca="false">IF(P160&gt;0.5,P160*(1+M$23)+M$24,0)</f>
        <v>0</v>
      </c>
      <c r="N161" s="69" t="n">
        <f aca="false">MIN(N$23,M161)</f>
        <v>0</v>
      </c>
      <c r="O161" s="69" t="n">
        <f aca="false">IF(AND(N$24=1,OR(M$25="",$C161&gt;=M$25)),MAX(0,MIN(M161-N161,$D161-(G161+K161))),0)</f>
        <v>0</v>
      </c>
      <c r="P161" s="69" t="n">
        <f aca="false">M161-N161-O161</f>
        <v>0</v>
      </c>
      <c r="Q161" s="69" t="n">
        <f aca="false">IF(T160&gt;0.5,T160*(1+Q$23)+Q$24,0)</f>
        <v>0</v>
      </c>
      <c r="R161" s="69" t="n">
        <f aca="false">MIN(R$23,Q161)</f>
        <v>0</v>
      </c>
      <c r="S161" s="69" t="n">
        <f aca="false">IF(AND(R$24=1,OR(Q$25="",$C161&gt;=Q$25)),MAX(0,MIN(Q161-R161,$D161-(G161+K161+O161))),0)</f>
        <v>0</v>
      </c>
      <c r="T161" s="69" t="n">
        <f aca="false">Q161-R161-S161</f>
        <v>0</v>
      </c>
      <c r="U161" s="69" t="n">
        <f aca="false">IF(X160&gt;0.5,X160*(1+U$23)+U$24,0)</f>
        <v>0</v>
      </c>
      <c r="V161" s="69" t="n">
        <f aca="false">MIN(V$23,U161)</f>
        <v>0</v>
      </c>
      <c r="W161" s="69" t="n">
        <f aca="false">IF(AND(V$24=1,OR(U$25="",$C161&gt;=U$25)),MAX(0,MIN(U161-V161,$D161-(G161+K161+O161+S161))),0)</f>
        <v>0</v>
      </c>
      <c r="X161" s="69" t="n">
        <f aca="false">U161-V161-W161</f>
        <v>0</v>
      </c>
      <c r="Y161" s="69" t="n">
        <f aca="false">IF(AB160&gt;0.5,AB160*(1+Y$23)+Y$24,0)</f>
        <v>0</v>
      </c>
      <c r="Z161" s="69" t="n">
        <f aca="false">MIN(Z$23,Y161)</f>
        <v>0</v>
      </c>
      <c r="AA161" s="69" t="n">
        <f aca="false">IF(AND(Z$24=1,OR(Y$25="",$C161&gt;=Y$25)),MAX(0,MIN(Y161-Z161,$D161-(G161+K161+O161+S161+W161))),0)</f>
        <v>0</v>
      </c>
      <c r="AB161" s="69" t="n">
        <f aca="false">Y161-Z161-AA161</f>
        <v>0</v>
      </c>
      <c r="AC161" s="69" t="n">
        <f aca="false">IF(AF160&gt;0.5,AF160*(1+AC$23)+AC$24,0)</f>
        <v>0</v>
      </c>
      <c r="AD161" s="69" t="n">
        <f aca="false">MIN(AD$23,AC161)</f>
        <v>0</v>
      </c>
      <c r="AE161" s="69" t="n">
        <f aca="false">IF(AND(AD$24=1,OR(AC$25="",$C161&gt;=AC$25)),MAX(0,MIN(AC161-AD161,$D161-(G161+K161+O161+S161+W161+AA161))),0)</f>
        <v>0</v>
      </c>
      <c r="AF161" s="69" t="n">
        <f aca="false">AC161-AD161-AE161</f>
        <v>0</v>
      </c>
      <c r="AG161" s="69" t="n">
        <f aca="false">IF(AJ160&gt;0.5,AJ160*(1+AG$23)+AG$24,0)</f>
        <v>0</v>
      </c>
      <c r="AH161" s="69" t="n">
        <f aca="false">MIN(AH$23,AG161)</f>
        <v>0</v>
      </c>
      <c r="AI161" s="69" t="n">
        <f aca="false">IF(AND(AH$24=1,OR(AG$25="",$C161&gt;=AG$25)),MAX(0,MIN(AG161-AH161,$D161-(G161+K161+O161+S161+W161+AA161+AE161))),0)</f>
        <v>0</v>
      </c>
      <c r="AJ161" s="69" t="n">
        <f aca="false">AG161-AH161-AI161</f>
        <v>0</v>
      </c>
      <c r="AK161" s="69" t="n">
        <f aca="false">IF(AK160&gt;0.5,AK160*(1+$E$12)+$G$12-MIN($F$12,AK160*(1+$E$12)+$G$12),0)</f>
        <v>0</v>
      </c>
      <c r="AL161" s="69" t="n">
        <f aca="false">IF(AL160&gt;0.5,AL160*(1+$E$13)+$G$13-MIN($F$13,AL160*(1+$E$13)+$G$13),0)</f>
        <v>0</v>
      </c>
      <c r="AM161" s="69" t="n">
        <f aca="false">IF(AM160&gt;0.5,AM160*(1+$E$14)+$G$14-MIN($F$14,AM160*(1+$E$14)+$G$14),0)</f>
        <v>0</v>
      </c>
      <c r="AN161" s="69" t="n">
        <f aca="false">IF(AN160&gt;0.5,AN160*(1+$E$15)+$G$15-MIN($F$15,AN160*(1+$E$15)+$G$15),0)</f>
        <v>0</v>
      </c>
      <c r="AO161" s="69" t="n">
        <f aca="false">IF(AO160&gt;0.5,AO160*(1+$E$16)+$G$16-MIN($F$16,AO160*(1+$E$16)+$G$16),0)</f>
        <v>0</v>
      </c>
      <c r="AP161" s="69" t="n">
        <f aca="false">IF(AP160&gt;0.5,AP160*(1+$E$17)+$G$17-MIN($F$17,AP160*(1+$E$17)+$G$17),0)</f>
        <v>0</v>
      </c>
      <c r="AQ161" s="69" t="n">
        <f aca="false">IF(AQ160&gt;0.5,AQ160*(1+$E$18)+$G$18-MIN($F$18,AQ160*(1+$E$18)+$G$18),0)</f>
        <v>0</v>
      </c>
      <c r="AR161" s="69" t="n">
        <f aca="false">IF(AR160&gt;0.5,AR160*(1+$E$19)+$G$19-MIN($F$19,AR160*(1+$E$19)+$G$19),0)</f>
        <v>0</v>
      </c>
      <c r="AS161" s="69" t="n">
        <f aca="false">H161+L161+P161+T161+X161+AB161+AF161+AJ161</f>
        <v>0</v>
      </c>
      <c r="AT161" s="69" t="n">
        <f aca="false">SUM(AK161:AR161)</f>
        <v>0</v>
      </c>
      <c r="AU161" s="69" t="n">
        <f aca="false">F161+G161+J161+K161+N161+O161+R161+S161+V161+W161+Z161+AA161+AD161+AE161+AH161+AI161</f>
        <v>0</v>
      </c>
    </row>
    <row r="162" customFormat="false" ht="15" hidden="false" customHeight="false" outlineLevel="0" collapsed="false">
      <c r="B162" s="0" t="n">
        <v>135</v>
      </c>
      <c r="C162" s="68" t="n">
        <f aca="false">EDATE($C$7,134)</f>
        <v>50375</v>
      </c>
      <c r="D162" s="69" t="n">
        <f aca="false">$C$8-(F162+J162+N162+R162+V162+Z162+AD162+AH162)</f>
        <v>0</v>
      </c>
      <c r="E162" s="69" t="n">
        <f aca="false">IF(H161&gt;0.5,H161*(1+E$23)+E$24,0)</f>
        <v>0</v>
      </c>
      <c r="F162" s="69" t="n">
        <f aca="false">MIN(F$23,E162)</f>
        <v>0</v>
      </c>
      <c r="G162" s="69" t="n">
        <f aca="false">IF(AND(F$24=1,OR(E$25="",$C162&gt;=E$25)),MAX(0,MIN(E162-F162,$D162-(0))),0)</f>
        <v>0</v>
      </c>
      <c r="H162" s="69" t="n">
        <f aca="false">E162-F162-G162</f>
        <v>0</v>
      </c>
      <c r="I162" s="69" t="n">
        <f aca="false">IF(L161&gt;0.5,L161*(1+I$23)+I$24,0)</f>
        <v>0</v>
      </c>
      <c r="J162" s="69" t="n">
        <f aca="false">MIN(J$23,I162)</f>
        <v>0</v>
      </c>
      <c r="K162" s="69" t="n">
        <f aca="false">IF(AND(J$24=1,OR(I$25="",$C162&gt;=I$25)),MAX(0,MIN(I162-J162,$D162-(G162))),0)</f>
        <v>0</v>
      </c>
      <c r="L162" s="69" t="n">
        <f aca="false">I162-J162-K162</f>
        <v>0</v>
      </c>
      <c r="M162" s="69" t="n">
        <f aca="false">IF(P161&gt;0.5,P161*(1+M$23)+M$24,0)</f>
        <v>0</v>
      </c>
      <c r="N162" s="69" t="n">
        <f aca="false">MIN(N$23,M162)</f>
        <v>0</v>
      </c>
      <c r="O162" s="69" t="n">
        <f aca="false">IF(AND(N$24=1,OR(M$25="",$C162&gt;=M$25)),MAX(0,MIN(M162-N162,$D162-(G162+K162))),0)</f>
        <v>0</v>
      </c>
      <c r="P162" s="69" t="n">
        <f aca="false">M162-N162-O162</f>
        <v>0</v>
      </c>
      <c r="Q162" s="69" t="n">
        <f aca="false">IF(T161&gt;0.5,T161*(1+Q$23)+Q$24,0)</f>
        <v>0</v>
      </c>
      <c r="R162" s="69" t="n">
        <f aca="false">MIN(R$23,Q162)</f>
        <v>0</v>
      </c>
      <c r="S162" s="69" t="n">
        <f aca="false">IF(AND(R$24=1,OR(Q$25="",$C162&gt;=Q$25)),MAX(0,MIN(Q162-R162,$D162-(G162+K162+O162))),0)</f>
        <v>0</v>
      </c>
      <c r="T162" s="69" t="n">
        <f aca="false">Q162-R162-S162</f>
        <v>0</v>
      </c>
      <c r="U162" s="69" t="n">
        <f aca="false">IF(X161&gt;0.5,X161*(1+U$23)+U$24,0)</f>
        <v>0</v>
      </c>
      <c r="V162" s="69" t="n">
        <f aca="false">MIN(V$23,U162)</f>
        <v>0</v>
      </c>
      <c r="W162" s="69" t="n">
        <f aca="false">IF(AND(V$24=1,OR(U$25="",$C162&gt;=U$25)),MAX(0,MIN(U162-V162,$D162-(G162+K162+O162+S162))),0)</f>
        <v>0</v>
      </c>
      <c r="X162" s="69" t="n">
        <f aca="false">U162-V162-W162</f>
        <v>0</v>
      </c>
      <c r="Y162" s="69" t="n">
        <f aca="false">IF(AB161&gt;0.5,AB161*(1+Y$23)+Y$24,0)</f>
        <v>0</v>
      </c>
      <c r="Z162" s="69" t="n">
        <f aca="false">MIN(Z$23,Y162)</f>
        <v>0</v>
      </c>
      <c r="AA162" s="69" t="n">
        <f aca="false">IF(AND(Z$24=1,OR(Y$25="",$C162&gt;=Y$25)),MAX(0,MIN(Y162-Z162,$D162-(G162+K162+O162+S162+W162))),0)</f>
        <v>0</v>
      </c>
      <c r="AB162" s="69" t="n">
        <f aca="false">Y162-Z162-AA162</f>
        <v>0</v>
      </c>
      <c r="AC162" s="69" t="n">
        <f aca="false">IF(AF161&gt;0.5,AF161*(1+AC$23)+AC$24,0)</f>
        <v>0</v>
      </c>
      <c r="AD162" s="69" t="n">
        <f aca="false">MIN(AD$23,AC162)</f>
        <v>0</v>
      </c>
      <c r="AE162" s="69" t="n">
        <f aca="false">IF(AND(AD$24=1,OR(AC$25="",$C162&gt;=AC$25)),MAX(0,MIN(AC162-AD162,$D162-(G162+K162+O162+S162+W162+AA162))),0)</f>
        <v>0</v>
      </c>
      <c r="AF162" s="69" t="n">
        <f aca="false">AC162-AD162-AE162</f>
        <v>0</v>
      </c>
      <c r="AG162" s="69" t="n">
        <f aca="false">IF(AJ161&gt;0.5,AJ161*(1+AG$23)+AG$24,0)</f>
        <v>0</v>
      </c>
      <c r="AH162" s="69" t="n">
        <f aca="false">MIN(AH$23,AG162)</f>
        <v>0</v>
      </c>
      <c r="AI162" s="69" t="n">
        <f aca="false">IF(AND(AH$24=1,OR(AG$25="",$C162&gt;=AG$25)),MAX(0,MIN(AG162-AH162,$D162-(G162+K162+O162+S162+W162+AA162+AE162))),0)</f>
        <v>0</v>
      </c>
      <c r="AJ162" s="69" t="n">
        <f aca="false">AG162-AH162-AI162</f>
        <v>0</v>
      </c>
      <c r="AK162" s="69" t="n">
        <f aca="false">IF(AK161&gt;0.5,AK161*(1+$E$12)+$G$12-MIN($F$12,AK161*(1+$E$12)+$G$12),0)</f>
        <v>0</v>
      </c>
      <c r="AL162" s="69" t="n">
        <f aca="false">IF(AL161&gt;0.5,AL161*(1+$E$13)+$G$13-MIN($F$13,AL161*(1+$E$13)+$G$13),0)</f>
        <v>0</v>
      </c>
      <c r="AM162" s="69" t="n">
        <f aca="false">IF(AM161&gt;0.5,AM161*(1+$E$14)+$G$14-MIN($F$14,AM161*(1+$E$14)+$G$14),0)</f>
        <v>0</v>
      </c>
      <c r="AN162" s="69" t="n">
        <f aca="false">IF(AN161&gt;0.5,AN161*(1+$E$15)+$G$15-MIN($F$15,AN161*(1+$E$15)+$G$15),0)</f>
        <v>0</v>
      </c>
      <c r="AO162" s="69" t="n">
        <f aca="false">IF(AO161&gt;0.5,AO161*(1+$E$16)+$G$16-MIN($F$16,AO161*(1+$E$16)+$G$16),0)</f>
        <v>0</v>
      </c>
      <c r="AP162" s="69" t="n">
        <f aca="false">IF(AP161&gt;0.5,AP161*(1+$E$17)+$G$17-MIN($F$17,AP161*(1+$E$17)+$G$17),0)</f>
        <v>0</v>
      </c>
      <c r="AQ162" s="69" t="n">
        <f aca="false">IF(AQ161&gt;0.5,AQ161*(1+$E$18)+$G$18-MIN($F$18,AQ161*(1+$E$18)+$G$18),0)</f>
        <v>0</v>
      </c>
      <c r="AR162" s="69" t="n">
        <f aca="false">IF(AR161&gt;0.5,AR161*(1+$E$19)+$G$19-MIN($F$19,AR161*(1+$E$19)+$G$19),0)</f>
        <v>0</v>
      </c>
      <c r="AS162" s="69" t="n">
        <f aca="false">H162+L162+P162+T162+X162+AB162+AF162+AJ162</f>
        <v>0</v>
      </c>
      <c r="AT162" s="69" t="n">
        <f aca="false">SUM(AK162:AR162)</f>
        <v>0</v>
      </c>
      <c r="AU162" s="69" t="n">
        <f aca="false">F162+G162+J162+K162+N162+O162+R162+S162+V162+W162+Z162+AA162+AD162+AE162+AH162+AI162</f>
        <v>0</v>
      </c>
    </row>
    <row r="163" customFormat="false" ht="15" hidden="false" customHeight="false" outlineLevel="0" collapsed="false">
      <c r="B163" s="0" t="n">
        <v>136</v>
      </c>
      <c r="C163" s="68" t="n">
        <f aca="false">EDATE($C$7,135)</f>
        <v>50406</v>
      </c>
      <c r="D163" s="69" t="n">
        <f aca="false">$C$8-(F163+J163+N163+R163+V163+Z163+AD163+AH163)</f>
        <v>0</v>
      </c>
      <c r="E163" s="69" t="n">
        <f aca="false">IF(H162&gt;0.5,H162*(1+E$23)+E$24,0)</f>
        <v>0</v>
      </c>
      <c r="F163" s="69" t="n">
        <f aca="false">MIN(F$23,E163)</f>
        <v>0</v>
      </c>
      <c r="G163" s="69" t="n">
        <f aca="false">IF(AND(F$24=1,OR(E$25="",$C163&gt;=E$25)),MAX(0,MIN(E163-F163,$D163-(0))),0)</f>
        <v>0</v>
      </c>
      <c r="H163" s="69" t="n">
        <f aca="false">E163-F163-G163</f>
        <v>0</v>
      </c>
      <c r="I163" s="69" t="n">
        <f aca="false">IF(L162&gt;0.5,L162*(1+I$23)+I$24,0)</f>
        <v>0</v>
      </c>
      <c r="J163" s="69" t="n">
        <f aca="false">MIN(J$23,I163)</f>
        <v>0</v>
      </c>
      <c r="K163" s="69" t="n">
        <f aca="false">IF(AND(J$24=1,OR(I$25="",$C163&gt;=I$25)),MAX(0,MIN(I163-J163,$D163-(G163))),0)</f>
        <v>0</v>
      </c>
      <c r="L163" s="69" t="n">
        <f aca="false">I163-J163-K163</f>
        <v>0</v>
      </c>
      <c r="M163" s="69" t="n">
        <f aca="false">IF(P162&gt;0.5,P162*(1+M$23)+M$24,0)</f>
        <v>0</v>
      </c>
      <c r="N163" s="69" t="n">
        <f aca="false">MIN(N$23,M163)</f>
        <v>0</v>
      </c>
      <c r="O163" s="69" t="n">
        <f aca="false">IF(AND(N$24=1,OR(M$25="",$C163&gt;=M$25)),MAX(0,MIN(M163-N163,$D163-(G163+K163))),0)</f>
        <v>0</v>
      </c>
      <c r="P163" s="69" t="n">
        <f aca="false">M163-N163-O163</f>
        <v>0</v>
      </c>
      <c r="Q163" s="69" t="n">
        <f aca="false">IF(T162&gt;0.5,T162*(1+Q$23)+Q$24,0)</f>
        <v>0</v>
      </c>
      <c r="R163" s="69" t="n">
        <f aca="false">MIN(R$23,Q163)</f>
        <v>0</v>
      </c>
      <c r="S163" s="69" t="n">
        <f aca="false">IF(AND(R$24=1,OR(Q$25="",$C163&gt;=Q$25)),MAX(0,MIN(Q163-R163,$D163-(G163+K163+O163))),0)</f>
        <v>0</v>
      </c>
      <c r="T163" s="69" t="n">
        <f aca="false">Q163-R163-S163</f>
        <v>0</v>
      </c>
      <c r="U163" s="69" t="n">
        <f aca="false">IF(X162&gt;0.5,X162*(1+U$23)+U$24,0)</f>
        <v>0</v>
      </c>
      <c r="V163" s="69" t="n">
        <f aca="false">MIN(V$23,U163)</f>
        <v>0</v>
      </c>
      <c r="W163" s="69" t="n">
        <f aca="false">IF(AND(V$24=1,OR(U$25="",$C163&gt;=U$25)),MAX(0,MIN(U163-V163,$D163-(G163+K163+O163+S163))),0)</f>
        <v>0</v>
      </c>
      <c r="X163" s="69" t="n">
        <f aca="false">U163-V163-W163</f>
        <v>0</v>
      </c>
      <c r="Y163" s="69" t="n">
        <f aca="false">IF(AB162&gt;0.5,AB162*(1+Y$23)+Y$24,0)</f>
        <v>0</v>
      </c>
      <c r="Z163" s="69" t="n">
        <f aca="false">MIN(Z$23,Y163)</f>
        <v>0</v>
      </c>
      <c r="AA163" s="69" t="n">
        <f aca="false">IF(AND(Z$24=1,OR(Y$25="",$C163&gt;=Y$25)),MAX(0,MIN(Y163-Z163,$D163-(G163+K163+O163+S163+W163))),0)</f>
        <v>0</v>
      </c>
      <c r="AB163" s="69" t="n">
        <f aca="false">Y163-Z163-AA163</f>
        <v>0</v>
      </c>
      <c r="AC163" s="69" t="n">
        <f aca="false">IF(AF162&gt;0.5,AF162*(1+AC$23)+AC$24,0)</f>
        <v>0</v>
      </c>
      <c r="AD163" s="69" t="n">
        <f aca="false">MIN(AD$23,AC163)</f>
        <v>0</v>
      </c>
      <c r="AE163" s="69" t="n">
        <f aca="false">IF(AND(AD$24=1,OR(AC$25="",$C163&gt;=AC$25)),MAX(0,MIN(AC163-AD163,$D163-(G163+K163+O163+S163+W163+AA163))),0)</f>
        <v>0</v>
      </c>
      <c r="AF163" s="69" t="n">
        <f aca="false">AC163-AD163-AE163</f>
        <v>0</v>
      </c>
      <c r="AG163" s="69" t="n">
        <f aca="false">IF(AJ162&gt;0.5,AJ162*(1+AG$23)+AG$24,0)</f>
        <v>0</v>
      </c>
      <c r="AH163" s="69" t="n">
        <f aca="false">MIN(AH$23,AG163)</f>
        <v>0</v>
      </c>
      <c r="AI163" s="69" t="n">
        <f aca="false">IF(AND(AH$24=1,OR(AG$25="",$C163&gt;=AG$25)),MAX(0,MIN(AG163-AH163,$D163-(G163+K163+O163+S163+W163+AA163+AE163))),0)</f>
        <v>0</v>
      </c>
      <c r="AJ163" s="69" t="n">
        <f aca="false">AG163-AH163-AI163</f>
        <v>0</v>
      </c>
      <c r="AK163" s="69" t="n">
        <f aca="false">IF(AK162&gt;0.5,AK162*(1+$E$12)+$G$12-MIN($F$12,AK162*(1+$E$12)+$G$12),0)</f>
        <v>0</v>
      </c>
      <c r="AL163" s="69" t="n">
        <f aca="false">IF(AL162&gt;0.5,AL162*(1+$E$13)+$G$13-MIN($F$13,AL162*(1+$E$13)+$G$13),0)</f>
        <v>0</v>
      </c>
      <c r="AM163" s="69" t="n">
        <f aca="false">IF(AM162&gt;0.5,AM162*(1+$E$14)+$G$14-MIN($F$14,AM162*(1+$E$14)+$G$14),0)</f>
        <v>0</v>
      </c>
      <c r="AN163" s="69" t="n">
        <f aca="false">IF(AN162&gt;0.5,AN162*(1+$E$15)+$G$15-MIN($F$15,AN162*(1+$E$15)+$G$15),0)</f>
        <v>0</v>
      </c>
      <c r="AO163" s="69" t="n">
        <f aca="false">IF(AO162&gt;0.5,AO162*(1+$E$16)+$G$16-MIN($F$16,AO162*(1+$E$16)+$G$16),0)</f>
        <v>0</v>
      </c>
      <c r="AP163" s="69" t="n">
        <f aca="false">IF(AP162&gt;0.5,AP162*(1+$E$17)+$G$17-MIN($F$17,AP162*(1+$E$17)+$G$17),0)</f>
        <v>0</v>
      </c>
      <c r="AQ163" s="69" t="n">
        <f aca="false">IF(AQ162&gt;0.5,AQ162*(1+$E$18)+$G$18-MIN($F$18,AQ162*(1+$E$18)+$G$18),0)</f>
        <v>0</v>
      </c>
      <c r="AR163" s="69" t="n">
        <f aca="false">IF(AR162&gt;0.5,AR162*(1+$E$19)+$G$19-MIN($F$19,AR162*(1+$E$19)+$G$19),0)</f>
        <v>0</v>
      </c>
      <c r="AS163" s="69" t="n">
        <f aca="false">H163+L163+P163+T163+X163+AB163+AF163+AJ163</f>
        <v>0</v>
      </c>
      <c r="AT163" s="69" t="n">
        <f aca="false">SUM(AK163:AR163)</f>
        <v>0</v>
      </c>
      <c r="AU163" s="69" t="n">
        <f aca="false">F163+G163+J163+K163+N163+O163+R163+S163+V163+W163+Z163+AA163+AD163+AE163+AH163+AI163</f>
        <v>0</v>
      </c>
    </row>
    <row r="164" customFormat="false" ht="15" hidden="false" customHeight="false" outlineLevel="0" collapsed="false">
      <c r="B164" s="0" t="n">
        <v>137</v>
      </c>
      <c r="C164" s="68" t="n">
        <f aca="false">EDATE($C$7,136)</f>
        <v>50437</v>
      </c>
      <c r="D164" s="69" t="n">
        <f aca="false">$C$8-(F164+J164+N164+R164+V164+Z164+AD164+AH164)</f>
        <v>0</v>
      </c>
      <c r="E164" s="69" t="n">
        <f aca="false">IF(H163&gt;0.5,H163*(1+E$23)+E$24,0)</f>
        <v>0</v>
      </c>
      <c r="F164" s="69" t="n">
        <f aca="false">MIN(F$23,E164)</f>
        <v>0</v>
      </c>
      <c r="G164" s="69" t="n">
        <f aca="false">IF(AND(F$24=1,OR(E$25="",$C164&gt;=E$25)),MAX(0,MIN(E164-F164,$D164-(0))),0)</f>
        <v>0</v>
      </c>
      <c r="H164" s="69" t="n">
        <f aca="false">E164-F164-G164</f>
        <v>0</v>
      </c>
      <c r="I164" s="69" t="n">
        <f aca="false">IF(L163&gt;0.5,L163*(1+I$23)+I$24,0)</f>
        <v>0</v>
      </c>
      <c r="J164" s="69" t="n">
        <f aca="false">MIN(J$23,I164)</f>
        <v>0</v>
      </c>
      <c r="K164" s="69" t="n">
        <f aca="false">IF(AND(J$24=1,OR(I$25="",$C164&gt;=I$25)),MAX(0,MIN(I164-J164,$D164-(G164))),0)</f>
        <v>0</v>
      </c>
      <c r="L164" s="69" t="n">
        <f aca="false">I164-J164-K164</f>
        <v>0</v>
      </c>
      <c r="M164" s="69" t="n">
        <f aca="false">IF(P163&gt;0.5,P163*(1+M$23)+M$24,0)</f>
        <v>0</v>
      </c>
      <c r="N164" s="69" t="n">
        <f aca="false">MIN(N$23,M164)</f>
        <v>0</v>
      </c>
      <c r="O164" s="69" t="n">
        <f aca="false">IF(AND(N$24=1,OR(M$25="",$C164&gt;=M$25)),MAX(0,MIN(M164-N164,$D164-(G164+K164))),0)</f>
        <v>0</v>
      </c>
      <c r="P164" s="69" t="n">
        <f aca="false">M164-N164-O164</f>
        <v>0</v>
      </c>
      <c r="Q164" s="69" t="n">
        <f aca="false">IF(T163&gt;0.5,T163*(1+Q$23)+Q$24,0)</f>
        <v>0</v>
      </c>
      <c r="R164" s="69" t="n">
        <f aca="false">MIN(R$23,Q164)</f>
        <v>0</v>
      </c>
      <c r="S164" s="69" t="n">
        <f aca="false">IF(AND(R$24=1,OR(Q$25="",$C164&gt;=Q$25)),MAX(0,MIN(Q164-R164,$D164-(G164+K164+O164))),0)</f>
        <v>0</v>
      </c>
      <c r="T164" s="69" t="n">
        <f aca="false">Q164-R164-S164</f>
        <v>0</v>
      </c>
      <c r="U164" s="69" t="n">
        <f aca="false">IF(X163&gt;0.5,X163*(1+U$23)+U$24,0)</f>
        <v>0</v>
      </c>
      <c r="V164" s="69" t="n">
        <f aca="false">MIN(V$23,U164)</f>
        <v>0</v>
      </c>
      <c r="W164" s="69" t="n">
        <f aca="false">IF(AND(V$24=1,OR(U$25="",$C164&gt;=U$25)),MAX(0,MIN(U164-V164,$D164-(G164+K164+O164+S164))),0)</f>
        <v>0</v>
      </c>
      <c r="X164" s="69" t="n">
        <f aca="false">U164-V164-W164</f>
        <v>0</v>
      </c>
      <c r="Y164" s="69" t="n">
        <f aca="false">IF(AB163&gt;0.5,AB163*(1+Y$23)+Y$24,0)</f>
        <v>0</v>
      </c>
      <c r="Z164" s="69" t="n">
        <f aca="false">MIN(Z$23,Y164)</f>
        <v>0</v>
      </c>
      <c r="AA164" s="69" t="n">
        <f aca="false">IF(AND(Z$24=1,OR(Y$25="",$C164&gt;=Y$25)),MAX(0,MIN(Y164-Z164,$D164-(G164+K164+O164+S164+W164))),0)</f>
        <v>0</v>
      </c>
      <c r="AB164" s="69" t="n">
        <f aca="false">Y164-Z164-AA164</f>
        <v>0</v>
      </c>
      <c r="AC164" s="69" t="n">
        <f aca="false">IF(AF163&gt;0.5,AF163*(1+AC$23)+AC$24,0)</f>
        <v>0</v>
      </c>
      <c r="AD164" s="69" t="n">
        <f aca="false">MIN(AD$23,AC164)</f>
        <v>0</v>
      </c>
      <c r="AE164" s="69" t="n">
        <f aca="false">IF(AND(AD$24=1,OR(AC$25="",$C164&gt;=AC$25)),MAX(0,MIN(AC164-AD164,$D164-(G164+K164+O164+S164+W164+AA164))),0)</f>
        <v>0</v>
      </c>
      <c r="AF164" s="69" t="n">
        <f aca="false">AC164-AD164-AE164</f>
        <v>0</v>
      </c>
      <c r="AG164" s="69" t="n">
        <f aca="false">IF(AJ163&gt;0.5,AJ163*(1+AG$23)+AG$24,0)</f>
        <v>0</v>
      </c>
      <c r="AH164" s="69" t="n">
        <f aca="false">MIN(AH$23,AG164)</f>
        <v>0</v>
      </c>
      <c r="AI164" s="69" t="n">
        <f aca="false">IF(AND(AH$24=1,OR(AG$25="",$C164&gt;=AG$25)),MAX(0,MIN(AG164-AH164,$D164-(G164+K164+O164+S164+W164+AA164+AE164))),0)</f>
        <v>0</v>
      </c>
      <c r="AJ164" s="69" t="n">
        <f aca="false">AG164-AH164-AI164</f>
        <v>0</v>
      </c>
      <c r="AK164" s="69" t="n">
        <f aca="false">IF(AK163&gt;0.5,AK163*(1+$E$12)+$G$12-MIN($F$12,AK163*(1+$E$12)+$G$12),0)</f>
        <v>0</v>
      </c>
      <c r="AL164" s="69" t="n">
        <f aca="false">IF(AL163&gt;0.5,AL163*(1+$E$13)+$G$13-MIN($F$13,AL163*(1+$E$13)+$G$13),0)</f>
        <v>0</v>
      </c>
      <c r="AM164" s="69" t="n">
        <f aca="false">IF(AM163&gt;0.5,AM163*(1+$E$14)+$G$14-MIN($F$14,AM163*(1+$E$14)+$G$14),0)</f>
        <v>0</v>
      </c>
      <c r="AN164" s="69" t="n">
        <f aca="false">IF(AN163&gt;0.5,AN163*(1+$E$15)+$G$15-MIN($F$15,AN163*(1+$E$15)+$G$15),0)</f>
        <v>0</v>
      </c>
      <c r="AO164" s="69" t="n">
        <f aca="false">IF(AO163&gt;0.5,AO163*(1+$E$16)+$G$16-MIN($F$16,AO163*(1+$E$16)+$G$16),0)</f>
        <v>0</v>
      </c>
      <c r="AP164" s="69" t="n">
        <f aca="false">IF(AP163&gt;0.5,AP163*(1+$E$17)+$G$17-MIN($F$17,AP163*(1+$E$17)+$G$17),0)</f>
        <v>0</v>
      </c>
      <c r="AQ164" s="69" t="n">
        <f aca="false">IF(AQ163&gt;0.5,AQ163*(1+$E$18)+$G$18-MIN($F$18,AQ163*(1+$E$18)+$G$18),0)</f>
        <v>0</v>
      </c>
      <c r="AR164" s="69" t="n">
        <f aca="false">IF(AR163&gt;0.5,AR163*(1+$E$19)+$G$19-MIN($F$19,AR163*(1+$E$19)+$G$19),0)</f>
        <v>0</v>
      </c>
      <c r="AS164" s="69" t="n">
        <f aca="false">H164+L164+P164+T164+X164+AB164+AF164+AJ164</f>
        <v>0</v>
      </c>
      <c r="AT164" s="69" t="n">
        <f aca="false">SUM(AK164:AR164)</f>
        <v>0</v>
      </c>
      <c r="AU164" s="69" t="n">
        <f aca="false">F164+G164+J164+K164+N164+O164+R164+S164+V164+W164+Z164+AA164+AD164+AE164+AH164+AI164</f>
        <v>0</v>
      </c>
    </row>
    <row r="165" customFormat="false" ht="15" hidden="false" customHeight="false" outlineLevel="0" collapsed="false">
      <c r="B165" s="0" t="n">
        <v>138</v>
      </c>
      <c r="C165" s="68" t="n">
        <f aca="false">EDATE($C$7,137)</f>
        <v>50465</v>
      </c>
      <c r="D165" s="69" t="n">
        <f aca="false">$C$8-(F165+J165+N165+R165+V165+Z165+AD165+AH165)</f>
        <v>0</v>
      </c>
      <c r="E165" s="69" t="n">
        <f aca="false">IF(H164&gt;0.5,H164*(1+E$23)+E$24,0)</f>
        <v>0</v>
      </c>
      <c r="F165" s="69" t="n">
        <f aca="false">MIN(F$23,E165)</f>
        <v>0</v>
      </c>
      <c r="G165" s="69" t="n">
        <f aca="false">IF(AND(F$24=1,OR(E$25="",$C165&gt;=E$25)),MAX(0,MIN(E165-F165,$D165-(0))),0)</f>
        <v>0</v>
      </c>
      <c r="H165" s="69" t="n">
        <f aca="false">E165-F165-G165</f>
        <v>0</v>
      </c>
      <c r="I165" s="69" t="n">
        <f aca="false">IF(L164&gt;0.5,L164*(1+I$23)+I$24,0)</f>
        <v>0</v>
      </c>
      <c r="J165" s="69" t="n">
        <f aca="false">MIN(J$23,I165)</f>
        <v>0</v>
      </c>
      <c r="K165" s="69" t="n">
        <f aca="false">IF(AND(J$24=1,OR(I$25="",$C165&gt;=I$25)),MAX(0,MIN(I165-J165,$D165-(G165))),0)</f>
        <v>0</v>
      </c>
      <c r="L165" s="69" t="n">
        <f aca="false">I165-J165-K165</f>
        <v>0</v>
      </c>
      <c r="M165" s="69" t="n">
        <f aca="false">IF(P164&gt;0.5,P164*(1+M$23)+M$24,0)</f>
        <v>0</v>
      </c>
      <c r="N165" s="69" t="n">
        <f aca="false">MIN(N$23,M165)</f>
        <v>0</v>
      </c>
      <c r="O165" s="69" t="n">
        <f aca="false">IF(AND(N$24=1,OR(M$25="",$C165&gt;=M$25)),MAX(0,MIN(M165-N165,$D165-(G165+K165))),0)</f>
        <v>0</v>
      </c>
      <c r="P165" s="69" t="n">
        <f aca="false">M165-N165-O165</f>
        <v>0</v>
      </c>
      <c r="Q165" s="69" t="n">
        <f aca="false">IF(T164&gt;0.5,T164*(1+Q$23)+Q$24,0)</f>
        <v>0</v>
      </c>
      <c r="R165" s="69" t="n">
        <f aca="false">MIN(R$23,Q165)</f>
        <v>0</v>
      </c>
      <c r="S165" s="69" t="n">
        <f aca="false">IF(AND(R$24=1,OR(Q$25="",$C165&gt;=Q$25)),MAX(0,MIN(Q165-R165,$D165-(G165+K165+O165))),0)</f>
        <v>0</v>
      </c>
      <c r="T165" s="69" t="n">
        <f aca="false">Q165-R165-S165</f>
        <v>0</v>
      </c>
      <c r="U165" s="69" t="n">
        <f aca="false">IF(X164&gt;0.5,X164*(1+U$23)+U$24,0)</f>
        <v>0</v>
      </c>
      <c r="V165" s="69" t="n">
        <f aca="false">MIN(V$23,U165)</f>
        <v>0</v>
      </c>
      <c r="W165" s="69" t="n">
        <f aca="false">IF(AND(V$24=1,OR(U$25="",$C165&gt;=U$25)),MAX(0,MIN(U165-V165,$D165-(G165+K165+O165+S165))),0)</f>
        <v>0</v>
      </c>
      <c r="X165" s="69" t="n">
        <f aca="false">U165-V165-W165</f>
        <v>0</v>
      </c>
      <c r="Y165" s="69" t="n">
        <f aca="false">IF(AB164&gt;0.5,AB164*(1+Y$23)+Y$24,0)</f>
        <v>0</v>
      </c>
      <c r="Z165" s="69" t="n">
        <f aca="false">MIN(Z$23,Y165)</f>
        <v>0</v>
      </c>
      <c r="AA165" s="69" t="n">
        <f aca="false">IF(AND(Z$24=1,OR(Y$25="",$C165&gt;=Y$25)),MAX(0,MIN(Y165-Z165,$D165-(G165+K165+O165+S165+W165))),0)</f>
        <v>0</v>
      </c>
      <c r="AB165" s="69" t="n">
        <f aca="false">Y165-Z165-AA165</f>
        <v>0</v>
      </c>
      <c r="AC165" s="69" t="n">
        <f aca="false">IF(AF164&gt;0.5,AF164*(1+AC$23)+AC$24,0)</f>
        <v>0</v>
      </c>
      <c r="AD165" s="69" t="n">
        <f aca="false">MIN(AD$23,AC165)</f>
        <v>0</v>
      </c>
      <c r="AE165" s="69" t="n">
        <f aca="false">IF(AND(AD$24=1,OR(AC$25="",$C165&gt;=AC$25)),MAX(0,MIN(AC165-AD165,$D165-(G165+K165+O165+S165+W165+AA165))),0)</f>
        <v>0</v>
      </c>
      <c r="AF165" s="69" t="n">
        <f aca="false">AC165-AD165-AE165</f>
        <v>0</v>
      </c>
      <c r="AG165" s="69" t="n">
        <f aca="false">IF(AJ164&gt;0.5,AJ164*(1+AG$23)+AG$24,0)</f>
        <v>0</v>
      </c>
      <c r="AH165" s="69" t="n">
        <f aca="false">MIN(AH$23,AG165)</f>
        <v>0</v>
      </c>
      <c r="AI165" s="69" t="n">
        <f aca="false">IF(AND(AH$24=1,OR(AG$25="",$C165&gt;=AG$25)),MAX(0,MIN(AG165-AH165,$D165-(G165+K165+O165+S165+W165+AA165+AE165))),0)</f>
        <v>0</v>
      </c>
      <c r="AJ165" s="69" t="n">
        <f aca="false">AG165-AH165-AI165</f>
        <v>0</v>
      </c>
      <c r="AK165" s="69" t="n">
        <f aca="false">IF(AK164&gt;0.5,AK164*(1+$E$12)+$G$12-MIN($F$12,AK164*(1+$E$12)+$G$12),0)</f>
        <v>0</v>
      </c>
      <c r="AL165" s="69" t="n">
        <f aca="false">IF(AL164&gt;0.5,AL164*(1+$E$13)+$G$13-MIN($F$13,AL164*(1+$E$13)+$G$13),0)</f>
        <v>0</v>
      </c>
      <c r="AM165" s="69" t="n">
        <f aca="false">IF(AM164&gt;0.5,AM164*(1+$E$14)+$G$14-MIN($F$14,AM164*(1+$E$14)+$G$14),0)</f>
        <v>0</v>
      </c>
      <c r="AN165" s="69" t="n">
        <f aca="false">IF(AN164&gt;0.5,AN164*(1+$E$15)+$G$15-MIN($F$15,AN164*(1+$E$15)+$G$15),0)</f>
        <v>0</v>
      </c>
      <c r="AO165" s="69" t="n">
        <f aca="false">IF(AO164&gt;0.5,AO164*(1+$E$16)+$G$16-MIN($F$16,AO164*(1+$E$16)+$G$16),0)</f>
        <v>0</v>
      </c>
      <c r="AP165" s="69" t="n">
        <f aca="false">IF(AP164&gt;0.5,AP164*(1+$E$17)+$G$17-MIN($F$17,AP164*(1+$E$17)+$G$17),0)</f>
        <v>0</v>
      </c>
      <c r="AQ165" s="69" t="n">
        <f aca="false">IF(AQ164&gt;0.5,AQ164*(1+$E$18)+$G$18-MIN($F$18,AQ164*(1+$E$18)+$G$18),0)</f>
        <v>0</v>
      </c>
      <c r="AR165" s="69" t="n">
        <f aca="false">IF(AR164&gt;0.5,AR164*(1+$E$19)+$G$19-MIN($F$19,AR164*(1+$E$19)+$G$19),0)</f>
        <v>0</v>
      </c>
      <c r="AS165" s="69" t="n">
        <f aca="false">H165+L165+P165+T165+X165+AB165+AF165+AJ165</f>
        <v>0</v>
      </c>
      <c r="AT165" s="69" t="n">
        <f aca="false">SUM(AK165:AR165)</f>
        <v>0</v>
      </c>
      <c r="AU165" s="69" t="n">
        <f aca="false">F165+G165+J165+K165+N165+O165+R165+S165+V165+W165+Z165+AA165+AD165+AE165+AH165+AI165</f>
        <v>0</v>
      </c>
    </row>
    <row r="166" customFormat="false" ht="15" hidden="false" customHeight="false" outlineLevel="0" collapsed="false">
      <c r="B166" s="0" t="n">
        <v>139</v>
      </c>
      <c r="C166" s="68" t="n">
        <f aca="false">EDATE($C$7,138)</f>
        <v>50496</v>
      </c>
      <c r="D166" s="69" t="n">
        <f aca="false">$C$8-(F166+J166+N166+R166+V166+Z166+AD166+AH166)</f>
        <v>0</v>
      </c>
      <c r="E166" s="69" t="n">
        <f aca="false">IF(H165&gt;0.5,H165*(1+E$23)+E$24,0)</f>
        <v>0</v>
      </c>
      <c r="F166" s="69" t="n">
        <f aca="false">MIN(F$23,E166)</f>
        <v>0</v>
      </c>
      <c r="G166" s="69" t="n">
        <f aca="false">IF(AND(F$24=1,OR(E$25="",$C166&gt;=E$25)),MAX(0,MIN(E166-F166,$D166-(0))),0)</f>
        <v>0</v>
      </c>
      <c r="H166" s="69" t="n">
        <f aca="false">E166-F166-G166</f>
        <v>0</v>
      </c>
      <c r="I166" s="69" t="n">
        <f aca="false">IF(L165&gt;0.5,L165*(1+I$23)+I$24,0)</f>
        <v>0</v>
      </c>
      <c r="J166" s="69" t="n">
        <f aca="false">MIN(J$23,I166)</f>
        <v>0</v>
      </c>
      <c r="K166" s="69" t="n">
        <f aca="false">IF(AND(J$24=1,OR(I$25="",$C166&gt;=I$25)),MAX(0,MIN(I166-J166,$D166-(G166))),0)</f>
        <v>0</v>
      </c>
      <c r="L166" s="69" t="n">
        <f aca="false">I166-J166-K166</f>
        <v>0</v>
      </c>
      <c r="M166" s="69" t="n">
        <f aca="false">IF(P165&gt;0.5,P165*(1+M$23)+M$24,0)</f>
        <v>0</v>
      </c>
      <c r="N166" s="69" t="n">
        <f aca="false">MIN(N$23,M166)</f>
        <v>0</v>
      </c>
      <c r="O166" s="69" t="n">
        <f aca="false">IF(AND(N$24=1,OR(M$25="",$C166&gt;=M$25)),MAX(0,MIN(M166-N166,$D166-(G166+K166))),0)</f>
        <v>0</v>
      </c>
      <c r="P166" s="69" t="n">
        <f aca="false">M166-N166-O166</f>
        <v>0</v>
      </c>
      <c r="Q166" s="69" t="n">
        <f aca="false">IF(T165&gt;0.5,T165*(1+Q$23)+Q$24,0)</f>
        <v>0</v>
      </c>
      <c r="R166" s="69" t="n">
        <f aca="false">MIN(R$23,Q166)</f>
        <v>0</v>
      </c>
      <c r="S166" s="69" t="n">
        <f aca="false">IF(AND(R$24=1,OR(Q$25="",$C166&gt;=Q$25)),MAX(0,MIN(Q166-R166,$D166-(G166+K166+O166))),0)</f>
        <v>0</v>
      </c>
      <c r="T166" s="69" t="n">
        <f aca="false">Q166-R166-S166</f>
        <v>0</v>
      </c>
      <c r="U166" s="69" t="n">
        <f aca="false">IF(X165&gt;0.5,X165*(1+U$23)+U$24,0)</f>
        <v>0</v>
      </c>
      <c r="V166" s="69" t="n">
        <f aca="false">MIN(V$23,U166)</f>
        <v>0</v>
      </c>
      <c r="W166" s="69" t="n">
        <f aca="false">IF(AND(V$24=1,OR(U$25="",$C166&gt;=U$25)),MAX(0,MIN(U166-V166,$D166-(G166+K166+O166+S166))),0)</f>
        <v>0</v>
      </c>
      <c r="X166" s="69" t="n">
        <f aca="false">U166-V166-W166</f>
        <v>0</v>
      </c>
      <c r="Y166" s="69" t="n">
        <f aca="false">IF(AB165&gt;0.5,AB165*(1+Y$23)+Y$24,0)</f>
        <v>0</v>
      </c>
      <c r="Z166" s="69" t="n">
        <f aca="false">MIN(Z$23,Y166)</f>
        <v>0</v>
      </c>
      <c r="AA166" s="69" t="n">
        <f aca="false">IF(AND(Z$24=1,OR(Y$25="",$C166&gt;=Y$25)),MAX(0,MIN(Y166-Z166,$D166-(G166+K166+O166+S166+W166))),0)</f>
        <v>0</v>
      </c>
      <c r="AB166" s="69" t="n">
        <f aca="false">Y166-Z166-AA166</f>
        <v>0</v>
      </c>
      <c r="AC166" s="69" t="n">
        <f aca="false">IF(AF165&gt;0.5,AF165*(1+AC$23)+AC$24,0)</f>
        <v>0</v>
      </c>
      <c r="AD166" s="69" t="n">
        <f aca="false">MIN(AD$23,AC166)</f>
        <v>0</v>
      </c>
      <c r="AE166" s="69" t="n">
        <f aca="false">IF(AND(AD$24=1,OR(AC$25="",$C166&gt;=AC$25)),MAX(0,MIN(AC166-AD166,$D166-(G166+K166+O166+S166+W166+AA166))),0)</f>
        <v>0</v>
      </c>
      <c r="AF166" s="69" t="n">
        <f aca="false">AC166-AD166-AE166</f>
        <v>0</v>
      </c>
      <c r="AG166" s="69" t="n">
        <f aca="false">IF(AJ165&gt;0.5,AJ165*(1+AG$23)+AG$24,0)</f>
        <v>0</v>
      </c>
      <c r="AH166" s="69" t="n">
        <f aca="false">MIN(AH$23,AG166)</f>
        <v>0</v>
      </c>
      <c r="AI166" s="69" t="n">
        <f aca="false">IF(AND(AH$24=1,OR(AG$25="",$C166&gt;=AG$25)),MAX(0,MIN(AG166-AH166,$D166-(G166+K166+O166+S166+W166+AA166+AE166))),0)</f>
        <v>0</v>
      </c>
      <c r="AJ166" s="69" t="n">
        <f aca="false">AG166-AH166-AI166</f>
        <v>0</v>
      </c>
      <c r="AK166" s="69" t="n">
        <f aca="false">IF(AK165&gt;0.5,AK165*(1+$E$12)+$G$12-MIN($F$12,AK165*(1+$E$12)+$G$12),0)</f>
        <v>0</v>
      </c>
      <c r="AL166" s="69" t="n">
        <f aca="false">IF(AL165&gt;0.5,AL165*(1+$E$13)+$G$13-MIN($F$13,AL165*(1+$E$13)+$G$13),0)</f>
        <v>0</v>
      </c>
      <c r="AM166" s="69" t="n">
        <f aca="false">IF(AM165&gt;0.5,AM165*(1+$E$14)+$G$14-MIN($F$14,AM165*(1+$E$14)+$G$14),0)</f>
        <v>0</v>
      </c>
      <c r="AN166" s="69" t="n">
        <f aca="false">IF(AN165&gt;0.5,AN165*(1+$E$15)+$G$15-MIN($F$15,AN165*(1+$E$15)+$G$15),0)</f>
        <v>0</v>
      </c>
      <c r="AO166" s="69" t="n">
        <f aca="false">IF(AO165&gt;0.5,AO165*(1+$E$16)+$G$16-MIN($F$16,AO165*(1+$E$16)+$G$16),0)</f>
        <v>0</v>
      </c>
      <c r="AP166" s="69" t="n">
        <f aca="false">IF(AP165&gt;0.5,AP165*(1+$E$17)+$G$17-MIN($F$17,AP165*(1+$E$17)+$G$17),0)</f>
        <v>0</v>
      </c>
      <c r="AQ166" s="69" t="n">
        <f aca="false">IF(AQ165&gt;0.5,AQ165*(1+$E$18)+$G$18-MIN($F$18,AQ165*(1+$E$18)+$G$18),0)</f>
        <v>0</v>
      </c>
      <c r="AR166" s="69" t="n">
        <f aca="false">IF(AR165&gt;0.5,AR165*(1+$E$19)+$G$19-MIN($F$19,AR165*(1+$E$19)+$G$19),0)</f>
        <v>0</v>
      </c>
      <c r="AS166" s="69" t="n">
        <f aca="false">H166+L166+P166+T166+X166+AB166+AF166+AJ166</f>
        <v>0</v>
      </c>
      <c r="AT166" s="69" t="n">
        <f aca="false">SUM(AK166:AR166)</f>
        <v>0</v>
      </c>
      <c r="AU166" s="69" t="n">
        <f aca="false">F166+G166+J166+K166+N166+O166+R166+S166+V166+W166+Z166+AA166+AD166+AE166+AH166+AI166</f>
        <v>0</v>
      </c>
    </row>
    <row r="167" customFormat="false" ht="15" hidden="false" customHeight="false" outlineLevel="0" collapsed="false">
      <c r="B167" s="0" t="n">
        <v>140</v>
      </c>
      <c r="C167" s="68" t="n">
        <f aca="false">EDATE($C$7,139)</f>
        <v>50526</v>
      </c>
      <c r="D167" s="69" t="n">
        <f aca="false">$C$8-(F167+J167+N167+R167+V167+Z167+AD167+AH167)</f>
        <v>0</v>
      </c>
      <c r="E167" s="69" t="n">
        <f aca="false">IF(H166&gt;0.5,H166*(1+E$23)+E$24,0)</f>
        <v>0</v>
      </c>
      <c r="F167" s="69" t="n">
        <f aca="false">MIN(F$23,E167)</f>
        <v>0</v>
      </c>
      <c r="G167" s="69" t="n">
        <f aca="false">IF(AND(F$24=1,OR(E$25="",$C167&gt;=E$25)),MAX(0,MIN(E167-F167,$D167-(0))),0)</f>
        <v>0</v>
      </c>
      <c r="H167" s="69" t="n">
        <f aca="false">E167-F167-G167</f>
        <v>0</v>
      </c>
      <c r="I167" s="69" t="n">
        <f aca="false">IF(L166&gt;0.5,L166*(1+I$23)+I$24,0)</f>
        <v>0</v>
      </c>
      <c r="J167" s="69" t="n">
        <f aca="false">MIN(J$23,I167)</f>
        <v>0</v>
      </c>
      <c r="K167" s="69" t="n">
        <f aca="false">IF(AND(J$24=1,OR(I$25="",$C167&gt;=I$25)),MAX(0,MIN(I167-J167,$D167-(G167))),0)</f>
        <v>0</v>
      </c>
      <c r="L167" s="69" t="n">
        <f aca="false">I167-J167-K167</f>
        <v>0</v>
      </c>
      <c r="M167" s="69" t="n">
        <f aca="false">IF(P166&gt;0.5,P166*(1+M$23)+M$24,0)</f>
        <v>0</v>
      </c>
      <c r="N167" s="69" t="n">
        <f aca="false">MIN(N$23,M167)</f>
        <v>0</v>
      </c>
      <c r="O167" s="69" t="n">
        <f aca="false">IF(AND(N$24=1,OR(M$25="",$C167&gt;=M$25)),MAX(0,MIN(M167-N167,$D167-(G167+K167))),0)</f>
        <v>0</v>
      </c>
      <c r="P167" s="69" t="n">
        <f aca="false">M167-N167-O167</f>
        <v>0</v>
      </c>
      <c r="Q167" s="69" t="n">
        <f aca="false">IF(T166&gt;0.5,T166*(1+Q$23)+Q$24,0)</f>
        <v>0</v>
      </c>
      <c r="R167" s="69" t="n">
        <f aca="false">MIN(R$23,Q167)</f>
        <v>0</v>
      </c>
      <c r="S167" s="69" t="n">
        <f aca="false">IF(AND(R$24=1,OR(Q$25="",$C167&gt;=Q$25)),MAX(0,MIN(Q167-R167,$D167-(G167+K167+O167))),0)</f>
        <v>0</v>
      </c>
      <c r="T167" s="69" t="n">
        <f aca="false">Q167-R167-S167</f>
        <v>0</v>
      </c>
      <c r="U167" s="69" t="n">
        <f aca="false">IF(X166&gt;0.5,X166*(1+U$23)+U$24,0)</f>
        <v>0</v>
      </c>
      <c r="V167" s="69" t="n">
        <f aca="false">MIN(V$23,U167)</f>
        <v>0</v>
      </c>
      <c r="W167" s="69" t="n">
        <f aca="false">IF(AND(V$24=1,OR(U$25="",$C167&gt;=U$25)),MAX(0,MIN(U167-V167,$D167-(G167+K167+O167+S167))),0)</f>
        <v>0</v>
      </c>
      <c r="X167" s="69" t="n">
        <f aca="false">U167-V167-W167</f>
        <v>0</v>
      </c>
      <c r="Y167" s="69" t="n">
        <f aca="false">IF(AB166&gt;0.5,AB166*(1+Y$23)+Y$24,0)</f>
        <v>0</v>
      </c>
      <c r="Z167" s="69" t="n">
        <f aca="false">MIN(Z$23,Y167)</f>
        <v>0</v>
      </c>
      <c r="AA167" s="69" t="n">
        <f aca="false">IF(AND(Z$24=1,OR(Y$25="",$C167&gt;=Y$25)),MAX(0,MIN(Y167-Z167,$D167-(G167+K167+O167+S167+W167))),0)</f>
        <v>0</v>
      </c>
      <c r="AB167" s="69" t="n">
        <f aca="false">Y167-Z167-AA167</f>
        <v>0</v>
      </c>
      <c r="AC167" s="69" t="n">
        <f aca="false">IF(AF166&gt;0.5,AF166*(1+AC$23)+AC$24,0)</f>
        <v>0</v>
      </c>
      <c r="AD167" s="69" t="n">
        <f aca="false">MIN(AD$23,AC167)</f>
        <v>0</v>
      </c>
      <c r="AE167" s="69" t="n">
        <f aca="false">IF(AND(AD$24=1,OR(AC$25="",$C167&gt;=AC$25)),MAX(0,MIN(AC167-AD167,$D167-(G167+K167+O167+S167+W167+AA167))),0)</f>
        <v>0</v>
      </c>
      <c r="AF167" s="69" t="n">
        <f aca="false">AC167-AD167-AE167</f>
        <v>0</v>
      </c>
      <c r="AG167" s="69" t="n">
        <f aca="false">IF(AJ166&gt;0.5,AJ166*(1+AG$23)+AG$24,0)</f>
        <v>0</v>
      </c>
      <c r="AH167" s="69" t="n">
        <f aca="false">MIN(AH$23,AG167)</f>
        <v>0</v>
      </c>
      <c r="AI167" s="69" t="n">
        <f aca="false">IF(AND(AH$24=1,OR(AG$25="",$C167&gt;=AG$25)),MAX(0,MIN(AG167-AH167,$D167-(G167+K167+O167+S167+W167+AA167+AE167))),0)</f>
        <v>0</v>
      </c>
      <c r="AJ167" s="69" t="n">
        <f aca="false">AG167-AH167-AI167</f>
        <v>0</v>
      </c>
      <c r="AK167" s="69" t="n">
        <f aca="false">IF(AK166&gt;0.5,AK166*(1+$E$12)+$G$12-MIN($F$12,AK166*(1+$E$12)+$G$12),0)</f>
        <v>0</v>
      </c>
      <c r="AL167" s="69" t="n">
        <f aca="false">IF(AL166&gt;0.5,AL166*(1+$E$13)+$G$13-MIN($F$13,AL166*(1+$E$13)+$G$13),0)</f>
        <v>0</v>
      </c>
      <c r="AM167" s="69" t="n">
        <f aca="false">IF(AM166&gt;0.5,AM166*(1+$E$14)+$G$14-MIN($F$14,AM166*(1+$E$14)+$G$14),0)</f>
        <v>0</v>
      </c>
      <c r="AN167" s="69" t="n">
        <f aca="false">IF(AN166&gt;0.5,AN166*(1+$E$15)+$G$15-MIN($F$15,AN166*(1+$E$15)+$G$15),0)</f>
        <v>0</v>
      </c>
      <c r="AO167" s="69" t="n">
        <f aca="false">IF(AO166&gt;0.5,AO166*(1+$E$16)+$G$16-MIN($F$16,AO166*(1+$E$16)+$G$16),0)</f>
        <v>0</v>
      </c>
      <c r="AP167" s="69" t="n">
        <f aca="false">IF(AP166&gt;0.5,AP166*(1+$E$17)+$G$17-MIN($F$17,AP166*(1+$E$17)+$G$17),0)</f>
        <v>0</v>
      </c>
      <c r="AQ167" s="69" t="n">
        <f aca="false">IF(AQ166&gt;0.5,AQ166*(1+$E$18)+$G$18-MIN($F$18,AQ166*(1+$E$18)+$G$18),0)</f>
        <v>0</v>
      </c>
      <c r="AR167" s="69" t="n">
        <f aca="false">IF(AR166&gt;0.5,AR166*(1+$E$19)+$G$19-MIN($F$19,AR166*(1+$E$19)+$G$19),0)</f>
        <v>0</v>
      </c>
      <c r="AS167" s="69" t="n">
        <f aca="false">H167+L167+P167+T167+X167+AB167+AF167+AJ167</f>
        <v>0</v>
      </c>
      <c r="AT167" s="69" t="n">
        <f aca="false">SUM(AK167:AR167)</f>
        <v>0</v>
      </c>
      <c r="AU167" s="69" t="n">
        <f aca="false">F167+G167+J167+K167+N167+O167+R167+S167+V167+W167+Z167+AA167+AD167+AE167+AH167+AI167</f>
        <v>0</v>
      </c>
    </row>
    <row r="168" customFormat="false" ht="15" hidden="false" customHeight="false" outlineLevel="0" collapsed="false">
      <c r="B168" s="0" t="n">
        <v>141</v>
      </c>
      <c r="C168" s="68" t="n">
        <f aca="false">EDATE($C$7,140)</f>
        <v>50557</v>
      </c>
      <c r="D168" s="69" t="n">
        <f aca="false">$C$8-(F168+J168+N168+R168+V168+Z168+AD168+AH168)</f>
        <v>0</v>
      </c>
      <c r="E168" s="69" t="n">
        <f aca="false">IF(H167&gt;0.5,H167*(1+E$23)+E$24,0)</f>
        <v>0</v>
      </c>
      <c r="F168" s="69" t="n">
        <f aca="false">MIN(F$23,E168)</f>
        <v>0</v>
      </c>
      <c r="G168" s="69" t="n">
        <f aca="false">IF(AND(F$24=1,OR(E$25="",$C168&gt;=E$25)),MAX(0,MIN(E168-F168,$D168-(0))),0)</f>
        <v>0</v>
      </c>
      <c r="H168" s="69" t="n">
        <f aca="false">E168-F168-G168</f>
        <v>0</v>
      </c>
      <c r="I168" s="69" t="n">
        <f aca="false">IF(L167&gt;0.5,L167*(1+I$23)+I$24,0)</f>
        <v>0</v>
      </c>
      <c r="J168" s="69" t="n">
        <f aca="false">MIN(J$23,I168)</f>
        <v>0</v>
      </c>
      <c r="K168" s="69" t="n">
        <f aca="false">IF(AND(J$24=1,OR(I$25="",$C168&gt;=I$25)),MAX(0,MIN(I168-J168,$D168-(G168))),0)</f>
        <v>0</v>
      </c>
      <c r="L168" s="69" t="n">
        <f aca="false">I168-J168-K168</f>
        <v>0</v>
      </c>
      <c r="M168" s="69" t="n">
        <f aca="false">IF(P167&gt;0.5,P167*(1+M$23)+M$24,0)</f>
        <v>0</v>
      </c>
      <c r="N168" s="69" t="n">
        <f aca="false">MIN(N$23,M168)</f>
        <v>0</v>
      </c>
      <c r="O168" s="69" t="n">
        <f aca="false">IF(AND(N$24=1,OR(M$25="",$C168&gt;=M$25)),MAX(0,MIN(M168-N168,$D168-(G168+K168))),0)</f>
        <v>0</v>
      </c>
      <c r="P168" s="69" t="n">
        <f aca="false">M168-N168-O168</f>
        <v>0</v>
      </c>
      <c r="Q168" s="69" t="n">
        <f aca="false">IF(T167&gt;0.5,T167*(1+Q$23)+Q$24,0)</f>
        <v>0</v>
      </c>
      <c r="R168" s="69" t="n">
        <f aca="false">MIN(R$23,Q168)</f>
        <v>0</v>
      </c>
      <c r="S168" s="69" t="n">
        <f aca="false">IF(AND(R$24=1,OR(Q$25="",$C168&gt;=Q$25)),MAX(0,MIN(Q168-R168,$D168-(G168+K168+O168))),0)</f>
        <v>0</v>
      </c>
      <c r="T168" s="69" t="n">
        <f aca="false">Q168-R168-S168</f>
        <v>0</v>
      </c>
      <c r="U168" s="69" t="n">
        <f aca="false">IF(X167&gt;0.5,X167*(1+U$23)+U$24,0)</f>
        <v>0</v>
      </c>
      <c r="V168" s="69" t="n">
        <f aca="false">MIN(V$23,U168)</f>
        <v>0</v>
      </c>
      <c r="W168" s="69" t="n">
        <f aca="false">IF(AND(V$24=1,OR(U$25="",$C168&gt;=U$25)),MAX(0,MIN(U168-V168,$D168-(G168+K168+O168+S168))),0)</f>
        <v>0</v>
      </c>
      <c r="X168" s="69" t="n">
        <f aca="false">U168-V168-W168</f>
        <v>0</v>
      </c>
      <c r="Y168" s="69" t="n">
        <f aca="false">IF(AB167&gt;0.5,AB167*(1+Y$23)+Y$24,0)</f>
        <v>0</v>
      </c>
      <c r="Z168" s="69" t="n">
        <f aca="false">MIN(Z$23,Y168)</f>
        <v>0</v>
      </c>
      <c r="AA168" s="69" t="n">
        <f aca="false">IF(AND(Z$24=1,OR(Y$25="",$C168&gt;=Y$25)),MAX(0,MIN(Y168-Z168,$D168-(G168+K168+O168+S168+W168))),0)</f>
        <v>0</v>
      </c>
      <c r="AB168" s="69" t="n">
        <f aca="false">Y168-Z168-AA168</f>
        <v>0</v>
      </c>
      <c r="AC168" s="69" t="n">
        <f aca="false">IF(AF167&gt;0.5,AF167*(1+AC$23)+AC$24,0)</f>
        <v>0</v>
      </c>
      <c r="AD168" s="69" t="n">
        <f aca="false">MIN(AD$23,AC168)</f>
        <v>0</v>
      </c>
      <c r="AE168" s="69" t="n">
        <f aca="false">IF(AND(AD$24=1,OR(AC$25="",$C168&gt;=AC$25)),MAX(0,MIN(AC168-AD168,$D168-(G168+K168+O168+S168+W168+AA168))),0)</f>
        <v>0</v>
      </c>
      <c r="AF168" s="69" t="n">
        <f aca="false">AC168-AD168-AE168</f>
        <v>0</v>
      </c>
      <c r="AG168" s="69" t="n">
        <f aca="false">IF(AJ167&gt;0.5,AJ167*(1+AG$23)+AG$24,0)</f>
        <v>0</v>
      </c>
      <c r="AH168" s="69" t="n">
        <f aca="false">MIN(AH$23,AG168)</f>
        <v>0</v>
      </c>
      <c r="AI168" s="69" t="n">
        <f aca="false">IF(AND(AH$24=1,OR(AG$25="",$C168&gt;=AG$25)),MAX(0,MIN(AG168-AH168,$D168-(G168+K168+O168+S168+W168+AA168+AE168))),0)</f>
        <v>0</v>
      </c>
      <c r="AJ168" s="69" t="n">
        <f aca="false">AG168-AH168-AI168</f>
        <v>0</v>
      </c>
      <c r="AK168" s="69" t="n">
        <f aca="false">IF(AK167&gt;0.5,AK167*(1+$E$12)+$G$12-MIN($F$12,AK167*(1+$E$12)+$G$12),0)</f>
        <v>0</v>
      </c>
      <c r="AL168" s="69" t="n">
        <f aca="false">IF(AL167&gt;0.5,AL167*(1+$E$13)+$G$13-MIN($F$13,AL167*(1+$E$13)+$G$13),0)</f>
        <v>0</v>
      </c>
      <c r="AM168" s="69" t="n">
        <f aca="false">IF(AM167&gt;0.5,AM167*(1+$E$14)+$G$14-MIN($F$14,AM167*(1+$E$14)+$G$14),0)</f>
        <v>0</v>
      </c>
      <c r="AN168" s="69" t="n">
        <f aca="false">IF(AN167&gt;0.5,AN167*(1+$E$15)+$G$15-MIN($F$15,AN167*(1+$E$15)+$G$15),0)</f>
        <v>0</v>
      </c>
      <c r="AO168" s="69" t="n">
        <f aca="false">IF(AO167&gt;0.5,AO167*(1+$E$16)+$G$16-MIN($F$16,AO167*(1+$E$16)+$G$16),0)</f>
        <v>0</v>
      </c>
      <c r="AP168" s="69" t="n">
        <f aca="false">IF(AP167&gt;0.5,AP167*(1+$E$17)+$G$17-MIN($F$17,AP167*(1+$E$17)+$G$17),0)</f>
        <v>0</v>
      </c>
      <c r="AQ168" s="69" t="n">
        <f aca="false">IF(AQ167&gt;0.5,AQ167*(1+$E$18)+$G$18-MIN($F$18,AQ167*(1+$E$18)+$G$18),0)</f>
        <v>0</v>
      </c>
      <c r="AR168" s="69" t="n">
        <f aca="false">IF(AR167&gt;0.5,AR167*(1+$E$19)+$G$19-MIN($F$19,AR167*(1+$E$19)+$G$19),0)</f>
        <v>0</v>
      </c>
      <c r="AS168" s="69" t="n">
        <f aca="false">H168+L168+P168+T168+X168+AB168+AF168+AJ168</f>
        <v>0</v>
      </c>
      <c r="AT168" s="69" t="n">
        <f aca="false">SUM(AK168:AR168)</f>
        <v>0</v>
      </c>
      <c r="AU168" s="69" t="n">
        <f aca="false">F168+G168+J168+K168+N168+O168+R168+S168+V168+W168+Z168+AA168+AD168+AE168+AH168+AI168</f>
        <v>0</v>
      </c>
    </row>
    <row r="169" customFormat="false" ht="15" hidden="false" customHeight="false" outlineLevel="0" collapsed="false">
      <c r="B169" s="0" t="n">
        <v>142</v>
      </c>
      <c r="C169" s="68" t="n">
        <f aca="false">EDATE($C$7,141)</f>
        <v>50587</v>
      </c>
      <c r="D169" s="69" t="n">
        <f aca="false">$C$8-(F169+J169+N169+R169+V169+Z169+AD169+AH169)</f>
        <v>0</v>
      </c>
      <c r="E169" s="69" t="n">
        <f aca="false">IF(H168&gt;0.5,H168*(1+E$23)+E$24,0)</f>
        <v>0</v>
      </c>
      <c r="F169" s="69" t="n">
        <f aca="false">MIN(F$23,E169)</f>
        <v>0</v>
      </c>
      <c r="G169" s="69" t="n">
        <f aca="false">IF(AND(F$24=1,OR(E$25="",$C169&gt;=E$25)),MAX(0,MIN(E169-F169,$D169-(0))),0)</f>
        <v>0</v>
      </c>
      <c r="H169" s="69" t="n">
        <f aca="false">E169-F169-G169</f>
        <v>0</v>
      </c>
      <c r="I169" s="69" t="n">
        <f aca="false">IF(L168&gt;0.5,L168*(1+I$23)+I$24,0)</f>
        <v>0</v>
      </c>
      <c r="J169" s="69" t="n">
        <f aca="false">MIN(J$23,I169)</f>
        <v>0</v>
      </c>
      <c r="K169" s="69" t="n">
        <f aca="false">IF(AND(J$24=1,OR(I$25="",$C169&gt;=I$25)),MAX(0,MIN(I169-J169,$D169-(G169))),0)</f>
        <v>0</v>
      </c>
      <c r="L169" s="69" t="n">
        <f aca="false">I169-J169-K169</f>
        <v>0</v>
      </c>
      <c r="M169" s="69" t="n">
        <f aca="false">IF(P168&gt;0.5,P168*(1+M$23)+M$24,0)</f>
        <v>0</v>
      </c>
      <c r="N169" s="69" t="n">
        <f aca="false">MIN(N$23,M169)</f>
        <v>0</v>
      </c>
      <c r="O169" s="69" t="n">
        <f aca="false">IF(AND(N$24=1,OR(M$25="",$C169&gt;=M$25)),MAX(0,MIN(M169-N169,$D169-(G169+K169))),0)</f>
        <v>0</v>
      </c>
      <c r="P169" s="69" t="n">
        <f aca="false">M169-N169-O169</f>
        <v>0</v>
      </c>
      <c r="Q169" s="69" t="n">
        <f aca="false">IF(T168&gt;0.5,T168*(1+Q$23)+Q$24,0)</f>
        <v>0</v>
      </c>
      <c r="R169" s="69" t="n">
        <f aca="false">MIN(R$23,Q169)</f>
        <v>0</v>
      </c>
      <c r="S169" s="69" t="n">
        <f aca="false">IF(AND(R$24=1,OR(Q$25="",$C169&gt;=Q$25)),MAX(0,MIN(Q169-R169,$D169-(G169+K169+O169))),0)</f>
        <v>0</v>
      </c>
      <c r="T169" s="69" t="n">
        <f aca="false">Q169-R169-S169</f>
        <v>0</v>
      </c>
      <c r="U169" s="69" t="n">
        <f aca="false">IF(X168&gt;0.5,X168*(1+U$23)+U$24,0)</f>
        <v>0</v>
      </c>
      <c r="V169" s="69" t="n">
        <f aca="false">MIN(V$23,U169)</f>
        <v>0</v>
      </c>
      <c r="W169" s="69" t="n">
        <f aca="false">IF(AND(V$24=1,OR(U$25="",$C169&gt;=U$25)),MAX(0,MIN(U169-V169,$D169-(G169+K169+O169+S169))),0)</f>
        <v>0</v>
      </c>
      <c r="X169" s="69" t="n">
        <f aca="false">U169-V169-W169</f>
        <v>0</v>
      </c>
      <c r="Y169" s="69" t="n">
        <f aca="false">IF(AB168&gt;0.5,AB168*(1+Y$23)+Y$24,0)</f>
        <v>0</v>
      </c>
      <c r="Z169" s="69" t="n">
        <f aca="false">MIN(Z$23,Y169)</f>
        <v>0</v>
      </c>
      <c r="AA169" s="69" t="n">
        <f aca="false">IF(AND(Z$24=1,OR(Y$25="",$C169&gt;=Y$25)),MAX(0,MIN(Y169-Z169,$D169-(G169+K169+O169+S169+W169))),0)</f>
        <v>0</v>
      </c>
      <c r="AB169" s="69" t="n">
        <f aca="false">Y169-Z169-AA169</f>
        <v>0</v>
      </c>
      <c r="AC169" s="69" t="n">
        <f aca="false">IF(AF168&gt;0.5,AF168*(1+AC$23)+AC$24,0)</f>
        <v>0</v>
      </c>
      <c r="AD169" s="69" t="n">
        <f aca="false">MIN(AD$23,AC169)</f>
        <v>0</v>
      </c>
      <c r="AE169" s="69" t="n">
        <f aca="false">IF(AND(AD$24=1,OR(AC$25="",$C169&gt;=AC$25)),MAX(0,MIN(AC169-AD169,$D169-(G169+K169+O169+S169+W169+AA169))),0)</f>
        <v>0</v>
      </c>
      <c r="AF169" s="69" t="n">
        <f aca="false">AC169-AD169-AE169</f>
        <v>0</v>
      </c>
      <c r="AG169" s="69" t="n">
        <f aca="false">IF(AJ168&gt;0.5,AJ168*(1+AG$23)+AG$24,0)</f>
        <v>0</v>
      </c>
      <c r="AH169" s="69" t="n">
        <f aca="false">MIN(AH$23,AG169)</f>
        <v>0</v>
      </c>
      <c r="AI169" s="69" t="n">
        <f aca="false">IF(AND(AH$24=1,OR(AG$25="",$C169&gt;=AG$25)),MAX(0,MIN(AG169-AH169,$D169-(G169+K169+O169+S169+W169+AA169+AE169))),0)</f>
        <v>0</v>
      </c>
      <c r="AJ169" s="69" t="n">
        <f aca="false">AG169-AH169-AI169</f>
        <v>0</v>
      </c>
      <c r="AK169" s="69" t="n">
        <f aca="false">IF(AK168&gt;0.5,AK168*(1+$E$12)+$G$12-MIN($F$12,AK168*(1+$E$12)+$G$12),0)</f>
        <v>0</v>
      </c>
      <c r="AL169" s="69" t="n">
        <f aca="false">IF(AL168&gt;0.5,AL168*(1+$E$13)+$G$13-MIN($F$13,AL168*(1+$E$13)+$G$13),0)</f>
        <v>0</v>
      </c>
      <c r="AM169" s="69" t="n">
        <f aca="false">IF(AM168&gt;0.5,AM168*(1+$E$14)+$G$14-MIN($F$14,AM168*(1+$E$14)+$G$14),0)</f>
        <v>0</v>
      </c>
      <c r="AN169" s="69" t="n">
        <f aca="false">IF(AN168&gt;0.5,AN168*(1+$E$15)+$G$15-MIN($F$15,AN168*(1+$E$15)+$G$15),0)</f>
        <v>0</v>
      </c>
      <c r="AO169" s="69" t="n">
        <f aca="false">IF(AO168&gt;0.5,AO168*(1+$E$16)+$G$16-MIN($F$16,AO168*(1+$E$16)+$G$16),0)</f>
        <v>0</v>
      </c>
      <c r="AP169" s="69" t="n">
        <f aca="false">IF(AP168&gt;0.5,AP168*(1+$E$17)+$G$17-MIN($F$17,AP168*(1+$E$17)+$G$17),0)</f>
        <v>0</v>
      </c>
      <c r="AQ169" s="69" t="n">
        <f aca="false">IF(AQ168&gt;0.5,AQ168*(1+$E$18)+$G$18-MIN($F$18,AQ168*(1+$E$18)+$G$18),0)</f>
        <v>0</v>
      </c>
      <c r="AR169" s="69" t="n">
        <f aca="false">IF(AR168&gt;0.5,AR168*(1+$E$19)+$G$19-MIN($F$19,AR168*(1+$E$19)+$G$19),0)</f>
        <v>0</v>
      </c>
      <c r="AS169" s="69" t="n">
        <f aca="false">H169+L169+P169+T169+X169+AB169+AF169+AJ169</f>
        <v>0</v>
      </c>
      <c r="AT169" s="69" t="n">
        <f aca="false">SUM(AK169:AR169)</f>
        <v>0</v>
      </c>
      <c r="AU169" s="69" t="n">
        <f aca="false">F169+G169+J169+K169+N169+O169+R169+S169+V169+W169+Z169+AA169+AD169+AE169+AH169+AI169</f>
        <v>0</v>
      </c>
    </row>
    <row r="170" customFormat="false" ht="15" hidden="false" customHeight="false" outlineLevel="0" collapsed="false">
      <c r="B170" s="0" t="n">
        <v>143</v>
      </c>
      <c r="C170" s="68" t="n">
        <f aca="false">EDATE($C$7,142)</f>
        <v>50618</v>
      </c>
      <c r="D170" s="69" t="n">
        <f aca="false">$C$8-(F170+J170+N170+R170+V170+Z170+AD170+AH170)</f>
        <v>0</v>
      </c>
      <c r="E170" s="69" t="n">
        <f aca="false">IF(H169&gt;0.5,H169*(1+E$23)+E$24,0)</f>
        <v>0</v>
      </c>
      <c r="F170" s="69" t="n">
        <f aca="false">MIN(F$23,E170)</f>
        <v>0</v>
      </c>
      <c r="G170" s="69" t="n">
        <f aca="false">IF(AND(F$24=1,OR(E$25="",$C170&gt;=E$25)),MAX(0,MIN(E170-F170,$D170-(0))),0)</f>
        <v>0</v>
      </c>
      <c r="H170" s="69" t="n">
        <f aca="false">E170-F170-G170</f>
        <v>0</v>
      </c>
      <c r="I170" s="69" t="n">
        <f aca="false">IF(L169&gt;0.5,L169*(1+I$23)+I$24,0)</f>
        <v>0</v>
      </c>
      <c r="J170" s="69" t="n">
        <f aca="false">MIN(J$23,I170)</f>
        <v>0</v>
      </c>
      <c r="K170" s="69" t="n">
        <f aca="false">IF(AND(J$24=1,OR(I$25="",$C170&gt;=I$25)),MAX(0,MIN(I170-J170,$D170-(G170))),0)</f>
        <v>0</v>
      </c>
      <c r="L170" s="69" t="n">
        <f aca="false">I170-J170-K170</f>
        <v>0</v>
      </c>
      <c r="M170" s="69" t="n">
        <f aca="false">IF(P169&gt;0.5,P169*(1+M$23)+M$24,0)</f>
        <v>0</v>
      </c>
      <c r="N170" s="69" t="n">
        <f aca="false">MIN(N$23,M170)</f>
        <v>0</v>
      </c>
      <c r="O170" s="69" t="n">
        <f aca="false">IF(AND(N$24=1,OR(M$25="",$C170&gt;=M$25)),MAX(0,MIN(M170-N170,$D170-(G170+K170))),0)</f>
        <v>0</v>
      </c>
      <c r="P170" s="69" t="n">
        <f aca="false">M170-N170-O170</f>
        <v>0</v>
      </c>
      <c r="Q170" s="69" t="n">
        <f aca="false">IF(T169&gt;0.5,T169*(1+Q$23)+Q$24,0)</f>
        <v>0</v>
      </c>
      <c r="R170" s="69" t="n">
        <f aca="false">MIN(R$23,Q170)</f>
        <v>0</v>
      </c>
      <c r="S170" s="69" t="n">
        <f aca="false">IF(AND(R$24=1,OR(Q$25="",$C170&gt;=Q$25)),MAX(0,MIN(Q170-R170,$D170-(G170+K170+O170))),0)</f>
        <v>0</v>
      </c>
      <c r="T170" s="69" t="n">
        <f aca="false">Q170-R170-S170</f>
        <v>0</v>
      </c>
      <c r="U170" s="69" t="n">
        <f aca="false">IF(X169&gt;0.5,X169*(1+U$23)+U$24,0)</f>
        <v>0</v>
      </c>
      <c r="V170" s="69" t="n">
        <f aca="false">MIN(V$23,U170)</f>
        <v>0</v>
      </c>
      <c r="W170" s="69" t="n">
        <f aca="false">IF(AND(V$24=1,OR(U$25="",$C170&gt;=U$25)),MAX(0,MIN(U170-V170,$D170-(G170+K170+O170+S170))),0)</f>
        <v>0</v>
      </c>
      <c r="X170" s="69" t="n">
        <f aca="false">U170-V170-W170</f>
        <v>0</v>
      </c>
      <c r="Y170" s="69" t="n">
        <f aca="false">IF(AB169&gt;0.5,AB169*(1+Y$23)+Y$24,0)</f>
        <v>0</v>
      </c>
      <c r="Z170" s="69" t="n">
        <f aca="false">MIN(Z$23,Y170)</f>
        <v>0</v>
      </c>
      <c r="AA170" s="69" t="n">
        <f aca="false">IF(AND(Z$24=1,OR(Y$25="",$C170&gt;=Y$25)),MAX(0,MIN(Y170-Z170,$D170-(G170+K170+O170+S170+W170))),0)</f>
        <v>0</v>
      </c>
      <c r="AB170" s="69" t="n">
        <f aca="false">Y170-Z170-AA170</f>
        <v>0</v>
      </c>
      <c r="AC170" s="69" t="n">
        <f aca="false">IF(AF169&gt;0.5,AF169*(1+AC$23)+AC$24,0)</f>
        <v>0</v>
      </c>
      <c r="AD170" s="69" t="n">
        <f aca="false">MIN(AD$23,AC170)</f>
        <v>0</v>
      </c>
      <c r="AE170" s="69" t="n">
        <f aca="false">IF(AND(AD$24=1,OR(AC$25="",$C170&gt;=AC$25)),MAX(0,MIN(AC170-AD170,$D170-(G170+K170+O170+S170+W170+AA170))),0)</f>
        <v>0</v>
      </c>
      <c r="AF170" s="69" t="n">
        <f aca="false">AC170-AD170-AE170</f>
        <v>0</v>
      </c>
      <c r="AG170" s="69" t="n">
        <f aca="false">IF(AJ169&gt;0.5,AJ169*(1+AG$23)+AG$24,0)</f>
        <v>0</v>
      </c>
      <c r="AH170" s="69" t="n">
        <f aca="false">MIN(AH$23,AG170)</f>
        <v>0</v>
      </c>
      <c r="AI170" s="69" t="n">
        <f aca="false">IF(AND(AH$24=1,OR(AG$25="",$C170&gt;=AG$25)),MAX(0,MIN(AG170-AH170,$D170-(G170+K170+O170+S170+W170+AA170+AE170))),0)</f>
        <v>0</v>
      </c>
      <c r="AJ170" s="69" t="n">
        <f aca="false">AG170-AH170-AI170</f>
        <v>0</v>
      </c>
      <c r="AK170" s="69" t="n">
        <f aca="false">IF(AK169&gt;0.5,AK169*(1+$E$12)+$G$12-MIN($F$12,AK169*(1+$E$12)+$G$12),0)</f>
        <v>0</v>
      </c>
      <c r="AL170" s="69" t="n">
        <f aca="false">IF(AL169&gt;0.5,AL169*(1+$E$13)+$G$13-MIN($F$13,AL169*(1+$E$13)+$G$13),0)</f>
        <v>0</v>
      </c>
      <c r="AM170" s="69" t="n">
        <f aca="false">IF(AM169&gt;0.5,AM169*(1+$E$14)+$G$14-MIN($F$14,AM169*(1+$E$14)+$G$14),0)</f>
        <v>0</v>
      </c>
      <c r="AN170" s="69" t="n">
        <f aca="false">IF(AN169&gt;0.5,AN169*(1+$E$15)+$G$15-MIN($F$15,AN169*(1+$E$15)+$G$15),0)</f>
        <v>0</v>
      </c>
      <c r="AO170" s="69" t="n">
        <f aca="false">IF(AO169&gt;0.5,AO169*(1+$E$16)+$G$16-MIN($F$16,AO169*(1+$E$16)+$G$16),0)</f>
        <v>0</v>
      </c>
      <c r="AP170" s="69" t="n">
        <f aca="false">IF(AP169&gt;0.5,AP169*(1+$E$17)+$G$17-MIN($F$17,AP169*(1+$E$17)+$G$17),0)</f>
        <v>0</v>
      </c>
      <c r="AQ170" s="69" t="n">
        <f aca="false">IF(AQ169&gt;0.5,AQ169*(1+$E$18)+$G$18-MIN($F$18,AQ169*(1+$E$18)+$G$18),0)</f>
        <v>0</v>
      </c>
      <c r="AR170" s="69" t="n">
        <f aca="false">IF(AR169&gt;0.5,AR169*(1+$E$19)+$G$19-MIN($F$19,AR169*(1+$E$19)+$G$19),0)</f>
        <v>0</v>
      </c>
      <c r="AS170" s="69" t="n">
        <f aca="false">H170+L170+P170+T170+X170+AB170+AF170+AJ170</f>
        <v>0</v>
      </c>
      <c r="AT170" s="69" t="n">
        <f aca="false">SUM(AK170:AR170)</f>
        <v>0</v>
      </c>
      <c r="AU170" s="69" t="n">
        <f aca="false">F170+G170+J170+K170+N170+O170+R170+S170+V170+W170+Z170+AA170+AD170+AE170+AH170+AI170</f>
        <v>0</v>
      </c>
    </row>
    <row r="171" customFormat="false" ht="15" hidden="false" customHeight="false" outlineLevel="0" collapsed="false">
      <c r="B171" s="0" t="n">
        <v>144</v>
      </c>
      <c r="C171" s="68" t="n">
        <f aca="false">EDATE($C$7,143)</f>
        <v>50649</v>
      </c>
      <c r="D171" s="69" t="n">
        <f aca="false">$C$8-(F171+J171+N171+R171+V171+Z171+AD171+AH171)</f>
        <v>0</v>
      </c>
      <c r="E171" s="69" t="n">
        <f aca="false">IF(H170&gt;0.5,H170*(1+E$23)+E$24,0)</f>
        <v>0</v>
      </c>
      <c r="F171" s="69" t="n">
        <f aca="false">MIN(F$23,E171)</f>
        <v>0</v>
      </c>
      <c r="G171" s="69" t="n">
        <f aca="false">IF(AND(F$24=1,OR(E$25="",$C171&gt;=E$25)),MAX(0,MIN(E171-F171,$D171-(0))),0)</f>
        <v>0</v>
      </c>
      <c r="H171" s="69" t="n">
        <f aca="false">E171-F171-G171</f>
        <v>0</v>
      </c>
      <c r="I171" s="69" t="n">
        <f aca="false">IF(L170&gt;0.5,L170*(1+I$23)+I$24,0)</f>
        <v>0</v>
      </c>
      <c r="J171" s="69" t="n">
        <f aca="false">MIN(J$23,I171)</f>
        <v>0</v>
      </c>
      <c r="K171" s="69" t="n">
        <f aca="false">IF(AND(J$24=1,OR(I$25="",$C171&gt;=I$25)),MAX(0,MIN(I171-J171,$D171-(G171))),0)</f>
        <v>0</v>
      </c>
      <c r="L171" s="69" t="n">
        <f aca="false">I171-J171-K171</f>
        <v>0</v>
      </c>
      <c r="M171" s="69" t="n">
        <f aca="false">IF(P170&gt;0.5,P170*(1+M$23)+M$24,0)</f>
        <v>0</v>
      </c>
      <c r="N171" s="69" t="n">
        <f aca="false">MIN(N$23,M171)</f>
        <v>0</v>
      </c>
      <c r="O171" s="69" t="n">
        <f aca="false">IF(AND(N$24=1,OR(M$25="",$C171&gt;=M$25)),MAX(0,MIN(M171-N171,$D171-(G171+K171))),0)</f>
        <v>0</v>
      </c>
      <c r="P171" s="69" t="n">
        <f aca="false">M171-N171-O171</f>
        <v>0</v>
      </c>
      <c r="Q171" s="69" t="n">
        <f aca="false">IF(T170&gt;0.5,T170*(1+Q$23)+Q$24,0)</f>
        <v>0</v>
      </c>
      <c r="R171" s="69" t="n">
        <f aca="false">MIN(R$23,Q171)</f>
        <v>0</v>
      </c>
      <c r="S171" s="69" t="n">
        <f aca="false">IF(AND(R$24=1,OR(Q$25="",$C171&gt;=Q$25)),MAX(0,MIN(Q171-R171,$D171-(G171+K171+O171))),0)</f>
        <v>0</v>
      </c>
      <c r="T171" s="69" t="n">
        <f aca="false">Q171-R171-S171</f>
        <v>0</v>
      </c>
      <c r="U171" s="69" t="n">
        <f aca="false">IF(X170&gt;0.5,X170*(1+U$23)+U$24,0)</f>
        <v>0</v>
      </c>
      <c r="V171" s="69" t="n">
        <f aca="false">MIN(V$23,U171)</f>
        <v>0</v>
      </c>
      <c r="W171" s="69" t="n">
        <f aca="false">IF(AND(V$24=1,OR(U$25="",$C171&gt;=U$25)),MAX(0,MIN(U171-V171,$D171-(G171+K171+O171+S171))),0)</f>
        <v>0</v>
      </c>
      <c r="X171" s="69" t="n">
        <f aca="false">U171-V171-W171</f>
        <v>0</v>
      </c>
      <c r="Y171" s="69" t="n">
        <f aca="false">IF(AB170&gt;0.5,AB170*(1+Y$23)+Y$24,0)</f>
        <v>0</v>
      </c>
      <c r="Z171" s="69" t="n">
        <f aca="false">MIN(Z$23,Y171)</f>
        <v>0</v>
      </c>
      <c r="AA171" s="69" t="n">
        <f aca="false">IF(AND(Z$24=1,OR(Y$25="",$C171&gt;=Y$25)),MAX(0,MIN(Y171-Z171,$D171-(G171+K171+O171+S171+W171))),0)</f>
        <v>0</v>
      </c>
      <c r="AB171" s="69" t="n">
        <f aca="false">Y171-Z171-AA171</f>
        <v>0</v>
      </c>
      <c r="AC171" s="69" t="n">
        <f aca="false">IF(AF170&gt;0.5,AF170*(1+AC$23)+AC$24,0)</f>
        <v>0</v>
      </c>
      <c r="AD171" s="69" t="n">
        <f aca="false">MIN(AD$23,AC171)</f>
        <v>0</v>
      </c>
      <c r="AE171" s="69" t="n">
        <f aca="false">IF(AND(AD$24=1,OR(AC$25="",$C171&gt;=AC$25)),MAX(0,MIN(AC171-AD171,$D171-(G171+K171+O171+S171+W171+AA171))),0)</f>
        <v>0</v>
      </c>
      <c r="AF171" s="69" t="n">
        <f aca="false">AC171-AD171-AE171</f>
        <v>0</v>
      </c>
      <c r="AG171" s="69" t="n">
        <f aca="false">IF(AJ170&gt;0.5,AJ170*(1+AG$23)+AG$24,0)</f>
        <v>0</v>
      </c>
      <c r="AH171" s="69" t="n">
        <f aca="false">MIN(AH$23,AG171)</f>
        <v>0</v>
      </c>
      <c r="AI171" s="69" t="n">
        <f aca="false">IF(AND(AH$24=1,OR(AG$25="",$C171&gt;=AG$25)),MAX(0,MIN(AG171-AH171,$D171-(G171+K171+O171+S171+W171+AA171+AE171))),0)</f>
        <v>0</v>
      </c>
      <c r="AJ171" s="69" t="n">
        <f aca="false">AG171-AH171-AI171</f>
        <v>0</v>
      </c>
      <c r="AK171" s="69" t="n">
        <f aca="false">IF(AK170&gt;0.5,AK170*(1+$E$12)+$G$12-MIN($F$12,AK170*(1+$E$12)+$G$12),0)</f>
        <v>0</v>
      </c>
      <c r="AL171" s="69" t="n">
        <f aca="false">IF(AL170&gt;0.5,AL170*(1+$E$13)+$G$13-MIN($F$13,AL170*(1+$E$13)+$G$13),0)</f>
        <v>0</v>
      </c>
      <c r="AM171" s="69" t="n">
        <f aca="false">IF(AM170&gt;0.5,AM170*(1+$E$14)+$G$14-MIN($F$14,AM170*(1+$E$14)+$G$14),0)</f>
        <v>0</v>
      </c>
      <c r="AN171" s="69" t="n">
        <f aca="false">IF(AN170&gt;0.5,AN170*(1+$E$15)+$G$15-MIN($F$15,AN170*(1+$E$15)+$G$15),0)</f>
        <v>0</v>
      </c>
      <c r="AO171" s="69" t="n">
        <f aca="false">IF(AO170&gt;0.5,AO170*(1+$E$16)+$G$16-MIN($F$16,AO170*(1+$E$16)+$G$16),0)</f>
        <v>0</v>
      </c>
      <c r="AP171" s="69" t="n">
        <f aca="false">IF(AP170&gt;0.5,AP170*(1+$E$17)+$G$17-MIN($F$17,AP170*(1+$E$17)+$G$17),0)</f>
        <v>0</v>
      </c>
      <c r="AQ171" s="69" t="n">
        <f aca="false">IF(AQ170&gt;0.5,AQ170*(1+$E$18)+$G$18-MIN($F$18,AQ170*(1+$E$18)+$G$18),0)</f>
        <v>0</v>
      </c>
      <c r="AR171" s="69" t="n">
        <f aca="false">IF(AR170&gt;0.5,AR170*(1+$E$19)+$G$19-MIN($F$19,AR170*(1+$E$19)+$G$19),0)</f>
        <v>0</v>
      </c>
      <c r="AS171" s="69" t="n">
        <f aca="false">H171+L171+P171+T171+X171+AB171+AF171+AJ171</f>
        <v>0</v>
      </c>
      <c r="AT171" s="69" t="n">
        <f aca="false">SUM(AK171:AR171)</f>
        <v>0</v>
      </c>
      <c r="AU171" s="69" t="n">
        <f aca="false">F171+G171+J171+K171+N171+O171+R171+S171+V171+W171+Z171+AA171+AD171+AE171+AH171+AI171</f>
        <v>0</v>
      </c>
    </row>
    <row r="172" customFormat="false" ht="15" hidden="false" customHeight="false" outlineLevel="0" collapsed="false">
      <c r="B172" s="0" t="n">
        <v>145</v>
      </c>
      <c r="C172" s="68" t="n">
        <f aca="false">EDATE($C$7,144)</f>
        <v>50679</v>
      </c>
      <c r="D172" s="69" t="n">
        <f aca="false">$C$8-(F172+J172+N172+R172+V172+Z172+AD172+AH172)</f>
        <v>0</v>
      </c>
      <c r="E172" s="69" t="n">
        <f aca="false">IF(H171&gt;0.5,H171*(1+E$23)+E$24,0)</f>
        <v>0</v>
      </c>
      <c r="F172" s="69" t="n">
        <f aca="false">MIN(F$23,E172)</f>
        <v>0</v>
      </c>
      <c r="G172" s="69" t="n">
        <f aca="false">IF(AND(F$24=1,OR(E$25="",$C172&gt;=E$25)),MAX(0,MIN(E172-F172,$D172-(0))),0)</f>
        <v>0</v>
      </c>
      <c r="H172" s="69" t="n">
        <f aca="false">E172-F172-G172</f>
        <v>0</v>
      </c>
      <c r="I172" s="69" t="n">
        <f aca="false">IF(L171&gt;0.5,L171*(1+I$23)+I$24,0)</f>
        <v>0</v>
      </c>
      <c r="J172" s="69" t="n">
        <f aca="false">MIN(J$23,I172)</f>
        <v>0</v>
      </c>
      <c r="K172" s="69" t="n">
        <f aca="false">IF(AND(J$24=1,OR(I$25="",$C172&gt;=I$25)),MAX(0,MIN(I172-J172,$D172-(G172))),0)</f>
        <v>0</v>
      </c>
      <c r="L172" s="69" t="n">
        <f aca="false">I172-J172-K172</f>
        <v>0</v>
      </c>
      <c r="M172" s="69" t="n">
        <f aca="false">IF(P171&gt;0.5,P171*(1+M$23)+M$24,0)</f>
        <v>0</v>
      </c>
      <c r="N172" s="69" t="n">
        <f aca="false">MIN(N$23,M172)</f>
        <v>0</v>
      </c>
      <c r="O172" s="69" t="n">
        <f aca="false">IF(AND(N$24=1,OR(M$25="",$C172&gt;=M$25)),MAX(0,MIN(M172-N172,$D172-(G172+K172))),0)</f>
        <v>0</v>
      </c>
      <c r="P172" s="69" t="n">
        <f aca="false">M172-N172-O172</f>
        <v>0</v>
      </c>
      <c r="Q172" s="69" t="n">
        <f aca="false">IF(T171&gt;0.5,T171*(1+Q$23)+Q$24,0)</f>
        <v>0</v>
      </c>
      <c r="R172" s="69" t="n">
        <f aca="false">MIN(R$23,Q172)</f>
        <v>0</v>
      </c>
      <c r="S172" s="69" t="n">
        <f aca="false">IF(AND(R$24=1,OR(Q$25="",$C172&gt;=Q$25)),MAX(0,MIN(Q172-R172,$D172-(G172+K172+O172))),0)</f>
        <v>0</v>
      </c>
      <c r="T172" s="69" t="n">
        <f aca="false">Q172-R172-S172</f>
        <v>0</v>
      </c>
      <c r="U172" s="69" t="n">
        <f aca="false">IF(X171&gt;0.5,X171*(1+U$23)+U$24,0)</f>
        <v>0</v>
      </c>
      <c r="V172" s="69" t="n">
        <f aca="false">MIN(V$23,U172)</f>
        <v>0</v>
      </c>
      <c r="W172" s="69" t="n">
        <f aca="false">IF(AND(V$24=1,OR(U$25="",$C172&gt;=U$25)),MAX(0,MIN(U172-V172,$D172-(G172+K172+O172+S172))),0)</f>
        <v>0</v>
      </c>
      <c r="X172" s="69" t="n">
        <f aca="false">U172-V172-W172</f>
        <v>0</v>
      </c>
      <c r="Y172" s="69" t="n">
        <f aca="false">IF(AB171&gt;0.5,AB171*(1+Y$23)+Y$24,0)</f>
        <v>0</v>
      </c>
      <c r="Z172" s="69" t="n">
        <f aca="false">MIN(Z$23,Y172)</f>
        <v>0</v>
      </c>
      <c r="AA172" s="69" t="n">
        <f aca="false">IF(AND(Z$24=1,OR(Y$25="",$C172&gt;=Y$25)),MAX(0,MIN(Y172-Z172,$D172-(G172+K172+O172+S172+W172))),0)</f>
        <v>0</v>
      </c>
      <c r="AB172" s="69" t="n">
        <f aca="false">Y172-Z172-AA172</f>
        <v>0</v>
      </c>
      <c r="AC172" s="69" t="n">
        <f aca="false">IF(AF171&gt;0.5,AF171*(1+AC$23)+AC$24,0)</f>
        <v>0</v>
      </c>
      <c r="AD172" s="69" t="n">
        <f aca="false">MIN(AD$23,AC172)</f>
        <v>0</v>
      </c>
      <c r="AE172" s="69" t="n">
        <f aca="false">IF(AND(AD$24=1,OR(AC$25="",$C172&gt;=AC$25)),MAX(0,MIN(AC172-AD172,$D172-(G172+K172+O172+S172+W172+AA172))),0)</f>
        <v>0</v>
      </c>
      <c r="AF172" s="69" t="n">
        <f aca="false">AC172-AD172-AE172</f>
        <v>0</v>
      </c>
      <c r="AG172" s="69" t="n">
        <f aca="false">IF(AJ171&gt;0.5,AJ171*(1+AG$23)+AG$24,0)</f>
        <v>0</v>
      </c>
      <c r="AH172" s="69" t="n">
        <f aca="false">MIN(AH$23,AG172)</f>
        <v>0</v>
      </c>
      <c r="AI172" s="69" t="n">
        <f aca="false">IF(AND(AH$24=1,OR(AG$25="",$C172&gt;=AG$25)),MAX(0,MIN(AG172-AH172,$D172-(G172+K172+O172+S172+W172+AA172+AE172))),0)</f>
        <v>0</v>
      </c>
      <c r="AJ172" s="69" t="n">
        <f aca="false">AG172-AH172-AI172</f>
        <v>0</v>
      </c>
      <c r="AK172" s="69" t="n">
        <f aca="false">IF(AK171&gt;0.5,AK171*(1+$E$12)+$G$12-MIN($F$12,AK171*(1+$E$12)+$G$12),0)</f>
        <v>0</v>
      </c>
      <c r="AL172" s="69" t="n">
        <f aca="false">IF(AL171&gt;0.5,AL171*(1+$E$13)+$G$13-MIN($F$13,AL171*(1+$E$13)+$G$13),0)</f>
        <v>0</v>
      </c>
      <c r="AM172" s="69" t="n">
        <f aca="false">IF(AM171&gt;0.5,AM171*(1+$E$14)+$G$14-MIN($F$14,AM171*(1+$E$14)+$G$14),0)</f>
        <v>0</v>
      </c>
      <c r="AN172" s="69" t="n">
        <f aca="false">IF(AN171&gt;0.5,AN171*(1+$E$15)+$G$15-MIN($F$15,AN171*(1+$E$15)+$G$15),0)</f>
        <v>0</v>
      </c>
      <c r="AO172" s="69" t="n">
        <f aca="false">IF(AO171&gt;0.5,AO171*(1+$E$16)+$G$16-MIN($F$16,AO171*(1+$E$16)+$G$16),0)</f>
        <v>0</v>
      </c>
      <c r="AP172" s="69" t="n">
        <f aca="false">IF(AP171&gt;0.5,AP171*(1+$E$17)+$G$17-MIN($F$17,AP171*(1+$E$17)+$G$17),0)</f>
        <v>0</v>
      </c>
      <c r="AQ172" s="69" t="n">
        <f aca="false">IF(AQ171&gt;0.5,AQ171*(1+$E$18)+$G$18-MIN($F$18,AQ171*(1+$E$18)+$G$18),0)</f>
        <v>0</v>
      </c>
      <c r="AR172" s="69" t="n">
        <f aca="false">IF(AR171&gt;0.5,AR171*(1+$E$19)+$G$19-MIN($F$19,AR171*(1+$E$19)+$G$19),0)</f>
        <v>0</v>
      </c>
      <c r="AS172" s="69" t="n">
        <f aca="false">H172+L172+P172+T172+X172+AB172+AF172+AJ172</f>
        <v>0</v>
      </c>
      <c r="AT172" s="69" t="n">
        <f aca="false">SUM(AK172:AR172)</f>
        <v>0</v>
      </c>
      <c r="AU172" s="69" t="n">
        <f aca="false">F172+G172+J172+K172+N172+O172+R172+S172+V172+W172+Z172+AA172+AD172+AE172+AH172+AI172</f>
        <v>0</v>
      </c>
    </row>
    <row r="173" customFormat="false" ht="15" hidden="false" customHeight="false" outlineLevel="0" collapsed="false">
      <c r="B173" s="0" t="n">
        <v>146</v>
      </c>
      <c r="C173" s="68" t="n">
        <f aca="false">EDATE($C$7,145)</f>
        <v>50710</v>
      </c>
      <c r="D173" s="69" t="n">
        <f aca="false">$C$8-(F173+J173+N173+R173+V173+Z173+AD173+AH173)</f>
        <v>0</v>
      </c>
      <c r="E173" s="69" t="n">
        <f aca="false">IF(H172&gt;0.5,H172*(1+E$23)+E$24,0)</f>
        <v>0</v>
      </c>
      <c r="F173" s="69" t="n">
        <f aca="false">MIN(F$23,E173)</f>
        <v>0</v>
      </c>
      <c r="G173" s="69" t="n">
        <f aca="false">IF(AND(F$24=1,OR(E$25="",$C173&gt;=E$25)),MAX(0,MIN(E173-F173,$D173-(0))),0)</f>
        <v>0</v>
      </c>
      <c r="H173" s="69" t="n">
        <f aca="false">E173-F173-G173</f>
        <v>0</v>
      </c>
      <c r="I173" s="69" t="n">
        <f aca="false">IF(L172&gt;0.5,L172*(1+I$23)+I$24,0)</f>
        <v>0</v>
      </c>
      <c r="J173" s="69" t="n">
        <f aca="false">MIN(J$23,I173)</f>
        <v>0</v>
      </c>
      <c r="K173" s="69" t="n">
        <f aca="false">IF(AND(J$24=1,OR(I$25="",$C173&gt;=I$25)),MAX(0,MIN(I173-J173,$D173-(G173))),0)</f>
        <v>0</v>
      </c>
      <c r="L173" s="69" t="n">
        <f aca="false">I173-J173-K173</f>
        <v>0</v>
      </c>
      <c r="M173" s="69" t="n">
        <f aca="false">IF(P172&gt;0.5,P172*(1+M$23)+M$24,0)</f>
        <v>0</v>
      </c>
      <c r="N173" s="69" t="n">
        <f aca="false">MIN(N$23,M173)</f>
        <v>0</v>
      </c>
      <c r="O173" s="69" t="n">
        <f aca="false">IF(AND(N$24=1,OR(M$25="",$C173&gt;=M$25)),MAX(0,MIN(M173-N173,$D173-(G173+K173))),0)</f>
        <v>0</v>
      </c>
      <c r="P173" s="69" t="n">
        <f aca="false">M173-N173-O173</f>
        <v>0</v>
      </c>
      <c r="Q173" s="69" t="n">
        <f aca="false">IF(T172&gt;0.5,T172*(1+Q$23)+Q$24,0)</f>
        <v>0</v>
      </c>
      <c r="R173" s="69" t="n">
        <f aca="false">MIN(R$23,Q173)</f>
        <v>0</v>
      </c>
      <c r="S173" s="69" t="n">
        <f aca="false">IF(AND(R$24=1,OR(Q$25="",$C173&gt;=Q$25)),MAX(0,MIN(Q173-R173,$D173-(G173+K173+O173))),0)</f>
        <v>0</v>
      </c>
      <c r="T173" s="69" t="n">
        <f aca="false">Q173-R173-S173</f>
        <v>0</v>
      </c>
      <c r="U173" s="69" t="n">
        <f aca="false">IF(X172&gt;0.5,X172*(1+U$23)+U$24,0)</f>
        <v>0</v>
      </c>
      <c r="V173" s="69" t="n">
        <f aca="false">MIN(V$23,U173)</f>
        <v>0</v>
      </c>
      <c r="W173" s="69" t="n">
        <f aca="false">IF(AND(V$24=1,OR(U$25="",$C173&gt;=U$25)),MAX(0,MIN(U173-V173,$D173-(G173+K173+O173+S173))),0)</f>
        <v>0</v>
      </c>
      <c r="X173" s="69" t="n">
        <f aca="false">U173-V173-W173</f>
        <v>0</v>
      </c>
      <c r="Y173" s="69" t="n">
        <f aca="false">IF(AB172&gt;0.5,AB172*(1+Y$23)+Y$24,0)</f>
        <v>0</v>
      </c>
      <c r="Z173" s="69" t="n">
        <f aca="false">MIN(Z$23,Y173)</f>
        <v>0</v>
      </c>
      <c r="AA173" s="69" t="n">
        <f aca="false">IF(AND(Z$24=1,OR(Y$25="",$C173&gt;=Y$25)),MAX(0,MIN(Y173-Z173,$D173-(G173+K173+O173+S173+W173))),0)</f>
        <v>0</v>
      </c>
      <c r="AB173" s="69" t="n">
        <f aca="false">Y173-Z173-AA173</f>
        <v>0</v>
      </c>
      <c r="AC173" s="69" t="n">
        <f aca="false">IF(AF172&gt;0.5,AF172*(1+AC$23)+AC$24,0)</f>
        <v>0</v>
      </c>
      <c r="AD173" s="69" t="n">
        <f aca="false">MIN(AD$23,AC173)</f>
        <v>0</v>
      </c>
      <c r="AE173" s="69" t="n">
        <f aca="false">IF(AND(AD$24=1,OR(AC$25="",$C173&gt;=AC$25)),MAX(0,MIN(AC173-AD173,$D173-(G173+K173+O173+S173+W173+AA173))),0)</f>
        <v>0</v>
      </c>
      <c r="AF173" s="69" t="n">
        <f aca="false">AC173-AD173-AE173</f>
        <v>0</v>
      </c>
      <c r="AG173" s="69" t="n">
        <f aca="false">IF(AJ172&gt;0.5,AJ172*(1+AG$23)+AG$24,0)</f>
        <v>0</v>
      </c>
      <c r="AH173" s="69" t="n">
        <f aca="false">MIN(AH$23,AG173)</f>
        <v>0</v>
      </c>
      <c r="AI173" s="69" t="n">
        <f aca="false">IF(AND(AH$24=1,OR(AG$25="",$C173&gt;=AG$25)),MAX(0,MIN(AG173-AH173,$D173-(G173+K173+O173+S173+W173+AA173+AE173))),0)</f>
        <v>0</v>
      </c>
      <c r="AJ173" s="69" t="n">
        <f aca="false">AG173-AH173-AI173</f>
        <v>0</v>
      </c>
      <c r="AK173" s="69" t="n">
        <f aca="false">IF(AK172&gt;0.5,AK172*(1+$E$12)+$G$12-MIN($F$12,AK172*(1+$E$12)+$G$12),0)</f>
        <v>0</v>
      </c>
      <c r="AL173" s="69" t="n">
        <f aca="false">IF(AL172&gt;0.5,AL172*(1+$E$13)+$G$13-MIN($F$13,AL172*(1+$E$13)+$G$13),0)</f>
        <v>0</v>
      </c>
      <c r="AM173" s="69" t="n">
        <f aca="false">IF(AM172&gt;0.5,AM172*(1+$E$14)+$G$14-MIN($F$14,AM172*(1+$E$14)+$G$14),0)</f>
        <v>0</v>
      </c>
      <c r="AN173" s="69" t="n">
        <f aca="false">IF(AN172&gt;0.5,AN172*(1+$E$15)+$G$15-MIN($F$15,AN172*(1+$E$15)+$G$15),0)</f>
        <v>0</v>
      </c>
      <c r="AO173" s="69" t="n">
        <f aca="false">IF(AO172&gt;0.5,AO172*(1+$E$16)+$G$16-MIN($F$16,AO172*(1+$E$16)+$G$16),0)</f>
        <v>0</v>
      </c>
      <c r="AP173" s="69" t="n">
        <f aca="false">IF(AP172&gt;0.5,AP172*(1+$E$17)+$G$17-MIN($F$17,AP172*(1+$E$17)+$G$17),0)</f>
        <v>0</v>
      </c>
      <c r="AQ173" s="69" t="n">
        <f aca="false">IF(AQ172&gt;0.5,AQ172*(1+$E$18)+$G$18-MIN($F$18,AQ172*(1+$E$18)+$G$18),0)</f>
        <v>0</v>
      </c>
      <c r="AR173" s="69" t="n">
        <f aca="false">IF(AR172&gt;0.5,AR172*(1+$E$19)+$G$19-MIN($F$19,AR172*(1+$E$19)+$G$19),0)</f>
        <v>0</v>
      </c>
      <c r="AS173" s="69" t="n">
        <f aca="false">H173+L173+P173+T173+X173+AB173+AF173+AJ173</f>
        <v>0</v>
      </c>
      <c r="AT173" s="69" t="n">
        <f aca="false">SUM(AK173:AR173)</f>
        <v>0</v>
      </c>
      <c r="AU173" s="69" t="n">
        <f aca="false">F173+G173+J173+K173+N173+O173+R173+S173+V173+W173+Z173+AA173+AD173+AE173+AH173+AI173</f>
        <v>0</v>
      </c>
    </row>
    <row r="174" customFormat="false" ht="15" hidden="false" customHeight="false" outlineLevel="0" collapsed="false">
      <c r="B174" s="0" t="n">
        <v>147</v>
      </c>
      <c r="C174" s="68" t="n">
        <f aca="false">EDATE($C$7,146)</f>
        <v>50740</v>
      </c>
      <c r="D174" s="69" t="n">
        <f aca="false">$C$8-(F174+J174+N174+R174+V174+Z174+AD174+AH174)</f>
        <v>0</v>
      </c>
      <c r="E174" s="69" t="n">
        <f aca="false">IF(H173&gt;0.5,H173*(1+E$23)+E$24,0)</f>
        <v>0</v>
      </c>
      <c r="F174" s="69" t="n">
        <f aca="false">MIN(F$23,E174)</f>
        <v>0</v>
      </c>
      <c r="G174" s="69" t="n">
        <f aca="false">IF(AND(F$24=1,OR(E$25="",$C174&gt;=E$25)),MAX(0,MIN(E174-F174,$D174-(0))),0)</f>
        <v>0</v>
      </c>
      <c r="H174" s="69" t="n">
        <f aca="false">E174-F174-G174</f>
        <v>0</v>
      </c>
      <c r="I174" s="69" t="n">
        <f aca="false">IF(L173&gt;0.5,L173*(1+I$23)+I$24,0)</f>
        <v>0</v>
      </c>
      <c r="J174" s="69" t="n">
        <f aca="false">MIN(J$23,I174)</f>
        <v>0</v>
      </c>
      <c r="K174" s="69" t="n">
        <f aca="false">IF(AND(J$24=1,OR(I$25="",$C174&gt;=I$25)),MAX(0,MIN(I174-J174,$D174-(G174))),0)</f>
        <v>0</v>
      </c>
      <c r="L174" s="69" t="n">
        <f aca="false">I174-J174-K174</f>
        <v>0</v>
      </c>
      <c r="M174" s="69" t="n">
        <f aca="false">IF(P173&gt;0.5,P173*(1+M$23)+M$24,0)</f>
        <v>0</v>
      </c>
      <c r="N174" s="69" t="n">
        <f aca="false">MIN(N$23,M174)</f>
        <v>0</v>
      </c>
      <c r="O174" s="69" t="n">
        <f aca="false">IF(AND(N$24=1,OR(M$25="",$C174&gt;=M$25)),MAX(0,MIN(M174-N174,$D174-(G174+K174))),0)</f>
        <v>0</v>
      </c>
      <c r="P174" s="69" t="n">
        <f aca="false">M174-N174-O174</f>
        <v>0</v>
      </c>
      <c r="Q174" s="69" t="n">
        <f aca="false">IF(T173&gt;0.5,T173*(1+Q$23)+Q$24,0)</f>
        <v>0</v>
      </c>
      <c r="R174" s="69" t="n">
        <f aca="false">MIN(R$23,Q174)</f>
        <v>0</v>
      </c>
      <c r="S174" s="69" t="n">
        <f aca="false">IF(AND(R$24=1,OR(Q$25="",$C174&gt;=Q$25)),MAX(0,MIN(Q174-R174,$D174-(G174+K174+O174))),0)</f>
        <v>0</v>
      </c>
      <c r="T174" s="69" t="n">
        <f aca="false">Q174-R174-S174</f>
        <v>0</v>
      </c>
      <c r="U174" s="69" t="n">
        <f aca="false">IF(X173&gt;0.5,X173*(1+U$23)+U$24,0)</f>
        <v>0</v>
      </c>
      <c r="V174" s="69" t="n">
        <f aca="false">MIN(V$23,U174)</f>
        <v>0</v>
      </c>
      <c r="W174" s="69" t="n">
        <f aca="false">IF(AND(V$24=1,OR(U$25="",$C174&gt;=U$25)),MAX(0,MIN(U174-V174,$D174-(G174+K174+O174+S174))),0)</f>
        <v>0</v>
      </c>
      <c r="X174" s="69" t="n">
        <f aca="false">U174-V174-W174</f>
        <v>0</v>
      </c>
      <c r="Y174" s="69" t="n">
        <f aca="false">IF(AB173&gt;0.5,AB173*(1+Y$23)+Y$24,0)</f>
        <v>0</v>
      </c>
      <c r="Z174" s="69" t="n">
        <f aca="false">MIN(Z$23,Y174)</f>
        <v>0</v>
      </c>
      <c r="AA174" s="69" t="n">
        <f aca="false">IF(AND(Z$24=1,OR(Y$25="",$C174&gt;=Y$25)),MAX(0,MIN(Y174-Z174,$D174-(G174+K174+O174+S174+W174))),0)</f>
        <v>0</v>
      </c>
      <c r="AB174" s="69" t="n">
        <f aca="false">Y174-Z174-AA174</f>
        <v>0</v>
      </c>
      <c r="AC174" s="69" t="n">
        <f aca="false">IF(AF173&gt;0.5,AF173*(1+AC$23)+AC$24,0)</f>
        <v>0</v>
      </c>
      <c r="AD174" s="69" t="n">
        <f aca="false">MIN(AD$23,AC174)</f>
        <v>0</v>
      </c>
      <c r="AE174" s="69" t="n">
        <f aca="false">IF(AND(AD$24=1,OR(AC$25="",$C174&gt;=AC$25)),MAX(0,MIN(AC174-AD174,$D174-(G174+K174+O174+S174+W174+AA174))),0)</f>
        <v>0</v>
      </c>
      <c r="AF174" s="69" t="n">
        <f aca="false">AC174-AD174-AE174</f>
        <v>0</v>
      </c>
      <c r="AG174" s="69" t="n">
        <f aca="false">IF(AJ173&gt;0.5,AJ173*(1+AG$23)+AG$24,0)</f>
        <v>0</v>
      </c>
      <c r="AH174" s="69" t="n">
        <f aca="false">MIN(AH$23,AG174)</f>
        <v>0</v>
      </c>
      <c r="AI174" s="69" t="n">
        <f aca="false">IF(AND(AH$24=1,OR(AG$25="",$C174&gt;=AG$25)),MAX(0,MIN(AG174-AH174,$D174-(G174+K174+O174+S174+W174+AA174+AE174))),0)</f>
        <v>0</v>
      </c>
      <c r="AJ174" s="69" t="n">
        <f aca="false">AG174-AH174-AI174</f>
        <v>0</v>
      </c>
      <c r="AK174" s="69" t="n">
        <f aca="false">IF(AK173&gt;0.5,AK173*(1+$E$12)+$G$12-MIN($F$12,AK173*(1+$E$12)+$G$12),0)</f>
        <v>0</v>
      </c>
      <c r="AL174" s="69" t="n">
        <f aca="false">IF(AL173&gt;0.5,AL173*(1+$E$13)+$G$13-MIN($F$13,AL173*(1+$E$13)+$G$13),0)</f>
        <v>0</v>
      </c>
      <c r="AM174" s="69" t="n">
        <f aca="false">IF(AM173&gt;0.5,AM173*(1+$E$14)+$G$14-MIN($F$14,AM173*(1+$E$14)+$G$14),0)</f>
        <v>0</v>
      </c>
      <c r="AN174" s="69" t="n">
        <f aca="false">IF(AN173&gt;0.5,AN173*(1+$E$15)+$G$15-MIN($F$15,AN173*(1+$E$15)+$G$15),0)</f>
        <v>0</v>
      </c>
      <c r="AO174" s="69" t="n">
        <f aca="false">IF(AO173&gt;0.5,AO173*(1+$E$16)+$G$16-MIN($F$16,AO173*(1+$E$16)+$G$16),0)</f>
        <v>0</v>
      </c>
      <c r="AP174" s="69" t="n">
        <f aca="false">IF(AP173&gt;0.5,AP173*(1+$E$17)+$G$17-MIN($F$17,AP173*(1+$E$17)+$G$17),0)</f>
        <v>0</v>
      </c>
      <c r="AQ174" s="69" t="n">
        <f aca="false">IF(AQ173&gt;0.5,AQ173*(1+$E$18)+$G$18-MIN($F$18,AQ173*(1+$E$18)+$G$18),0)</f>
        <v>0</v>
      </c>
      <c r="AR174" s="69" t="n">
        <f aca="false">IF(AR173&gt;0.5,AR173*(1+$E$19)+$G$19-MIN($F$19,AR173*(1+$E$19)+$G$19),0)</f>
        <v>0</v>
      </c>
      <c r="AS174" s="69" t="n">
        <f aca="false">H174+L174+P174+T174+X174+AB174+AF174+AJ174</f>
        <v>0</v>
      </c>
      <c r="AT174" s="69" t="n">
        <f aca="false">SUM(AK174:AR174)</f>
        <v>0</v>
      </c>
      <c r="AU174" s="69" t="n">
        <f aca="false">F174+G174+J174+K174+N174+O174+R174+S174+V174+W174+Z174+AA174+AD174+AE174+AH174+AI174</f>
        <v>0</v>
      </c>
    </row>
    <row r="175" customFormat="false" ht="15" hidden="false" customHeight="false" outlineLevel="0" collapsed="false">
      <c r="B175" s="0" t="n">
        <v>148</v>
      </c>
      <c r="C175" s="68" t="n">
        <f aca="false">EDATE($C$7,147)</f>
        <v>50771</v>
      </c>
      <c r="D175" s="69" t="n">
        <f aca="false">$C$8-(F175+J175+N175+R175+V175+Z175+AD175+AH175)</f>
        <v>0</v>
      </c>
      <c r="E175" s="69" t="n">
        <f aca="false">IF(H174&gt;0.5,H174*(1+E$23)+E$24,0)</f>
        <v>0</v>
      </c>
      <c r="F175" s="69" t="n">
        <f aca="false">MIN(F$23,E175)</f>
        <v>0</v>
      </c>
      <c r="G175" s="69" t="n">
        <f aca="false">IF(AND(F$24=1,OR(E$25="",$C175&gt;=E$25)),MAX(0,MIN(E175-F175,$D175-(0))),0)</f>
        <v>0</v>
      </c>
      <c r="H175" s="69" t="n">
        <f aca="false">E175-F175-G175</f>
        <v>0</v>
      </c>
      <c r="I175" s="69" t="n">
        <f aca="false">IF(L174&gt;0.5,L174*(1+I$23)+I$24,0)</f>
        <v>0</v>
      </c>
      <c r="J175" s="69" t="n">
        <f aca="false">MIN(J$23,I175)</f>
        <v>0</v>
      </c>
      <c r="K175" s="69" t="n">
        <f aca="false">IF(AND(J$24=1,OR(I$25="",$C175&gt;=I$25)),MAX(0,MIN(I175-J175,$D175-(G175))),0)</f>
        <v>0</v>
      </c>
      <c r="L175" s="69" t="n">
        <f aca="false">I175-J175-K175</f>
        <v>0</v>
      </c>
      <c r="M175" s="69" t="n">
        <f aca="false">IF(P174&gt;0.5,P174*(1+M$23)+M$24,0)</f>
        <v>0</v>
      </c>
      <c r="N175" s="69" t="n">
        <f aca="false">MIN(N$23,M175)</f>
        <v>0</v>
      </c>
      <c r="O175" s="69" t="n">
        <f aca="false">IF(AND(N$24=1,OR(M$25="",$C175&gt;=M$25)),MAX(0,MIN(M175-N175,$D175-(G175+K175))),0)</f>
        <v>0</v>
      </c>
      <c r="P175" s="69" t="n">
        <f aca="false">M175-N175-O175</f>
        <v>0</v>
      </c>
      <c r="Q175" s="69" t="n">
        <f aca="false">IF(T174&gt;0.5,T174*(1+Q$23)+Q$24,0)</f>
        <v>0</v>
      </c>
      <c r="R175" s="69" t="n">
        <f aca="false">MIN(R$23,Q175)</f>
        <v>0</v>
      </c>
      <c r="S175" s="69" t="n">
        <f aca="false">IF(AND(R$24=1,OR(Q$25="",$C175&gt;=Q$25)),MAX(0,MIN(Q175-R175,$D175-(G175+K175+O175))),0)</f>
        <v>0</v>
      </c>
      <c r="T175" s="69" t="n">
        <f aca="false">Q175-R175-S175</f>
        <v>0</v>
      </c>
      <c r="U175" s="69" t="n">
        <f aca="false">IF(X174&gt;0.5,X174*(1+U$23)+U$24,0)</f>
        <v>0</v>
      </c>
      <c r="V175" s="69" t="n">
        <f aca="false">MIN(V$23,U175)</f>
        <v>0</v>
      </c>
      <c r="W175" s="69" t="n">
        <f aca="false">IF(AND(V$24=1,OR(U$25="",$C175&gt;=U$25)),MAX(0,MIN(U175-V175,$D175-(G175+K175+O175+S175))),0)</f>
        <v>0</v>
      </c>
      <c r="X175" s="69" t="n">
        <f aca="false">U175-V175-W175</f>
        <v>0</v>
      </c>
      <c r="Y175" s="69" t="n">
        <f aca="false">IF(AB174&gt;0.5,AB174*(1+Y$23)+Y$24,0)</f>
        <v>0</v>
      </c>
      <c r="Z175" s="69" t="n">
        <f aca="false">MIN(Z$23,Y175)</f>
        <v>0</v>
      </c>
      <c r="AA175" s="69" t="n">
        <f aca="false">IF(AND(Z$24=1,OR(Y$25="",$C175&gt;=Y$25)),MAX(0,MIN(Y175-Z175,$D175-(G175+K175+O175+S175+W175))),0)</f>
        <v>0</v>
      </c>
      <c r="AB175" s="69" t="n">
        <f aca="false">Y175-Z175-AA175</f>
        <v>0</v>
      </c>
      <c r="AC175" s="69" t="n">
        <f aca="false">IF(AF174&gt;0.5,AF174*(1+AC$23)+AC$24,0)</f>
        <v>0</v>
      </c>
      <c r="AD175" s="69" t="n">
        <f aca="false">MIN(AD$23,AC175)</f>
        <v>0</v>
      </c>
      <c r="AE175" s="69" t="n">
        <f aca="false">IF(AND(AD$24=1,OR(AC$25="",$C175&gt;=AC$25)),MAX(0,MIN(AC175-AD175,$D175-(G175+K175+O175+S175+W175+AA175))),0)</f>
        <v>0</v>
      </c>
      <c r="AF175" s="69" t="n">
        <f aca="false">AC175-AD175-AE175</f>
        <v>0</v>
      </c>
      <c r="AG175" s="69" t="n">
        <f aca="false">IF(AJ174&gt;0.5,AJ174*(1+AG$23)+AG$24,0)</f>
        <v>0</v>
      </c>
      <c r="AH175" s="69" t="n">
        <f aca="false">MIN(AH$23,AG175)</f>
        <v>0</v>
      </c>
      <c r="AI175" s="69" t="n">
        <f aca="false">IF(AND(AH$24=1,OR(AG$25="",$C175&gt;=AG$25)),MAX(0,MIN(AG175-AH175,$D175-(G175+K175+O175+S175+W175+AA175+AE175))),0)</f>
        <v>0</v>
      </c>
      <c r="AJ175" s="69" t="n">
        <f aca="false">AG175-AH175-AI175</f>
        <v>0</v>
      </c>
      <c r="AK175" s="69" t="n">
        <f aca="false">IF(AK174&gt;0.5,AK174*(1+$E$12)+$G$12-MIN($F$12,AK174*(1+$E$12)+$G$12),0)</f>
        <v>0</v>
      </c>
      <c r="AL175" s="69" t="n">
        <f aca="false">IF(AL174&gt;0.5,AL174*(1+$E$13)+$G$13-MIN($F$13,AL174*(1+$E$13)+$G$13),0)</f>
        <v>0</v>
      </c>
      <c r="AM175" s="69" t="n">
        <f aca="false">IF(AM174&gt;0.5,AM174*(1+$E$14)+$G$14-MIN($F$14,AM174*(1+$E$14)+$G$14),0)</f>
        <v>0</v>
      </c>
      <c r="AN175" s="69" t="n">
        <f aca="false">IF(AN174&gt;0.5,AN174*(1+$E$15)+$G$15-MIN($F$15,AN174*(1+$E$15)+$G$15),0)</f>
        <v>0</v>
      </c>
      <c r="AO175" s="69" t="n">
        <f aca="false">IF(AO174&gt;0.5,AO174*(1+$E$16)+$G$16-MIN($F$16,AO174*(1+$E$16)+$G$16),0)</f>
        <v>0</v>
      </c>
      <c r="AP175" s="69" t="n">
        <f aca="false">IF(AP174&gt;0.5,AP174*(1+$E$17)+$G$17-MIN($F$17,AP174*(1+$E$17)+$G$17),0)</f>
        <v>0</v>
      </c>
      <c r="AQ175" s="69" t="n">
        <f aca="false">IF(AQ174&gt;0.5,AQ174*(1+$E$18)+$G$18-MIN($F$18,AQ174*(1+$E$18)+$G$18),0)</f>
        <v>0</v>
      </c>
      <c r="AR175" s="69" t="n">
        <f aca="false">IF(AR174&gt;0.5,AR174*(1+$E$19)+$G$19-MIN($F$19,AR174*(1+$E$19)+$G$19),0)</f>
        <v>0</v>
      </c>
      <c r="AS175" s="69" t="n">
        <f aca="false">H175+L175+P175+T175+X175+AB175+AF175+AJ175</f>
        <v>0</v>
      </c>
      <c r="AT175" s="69" t="n">
        <f aca="false">SUM(AK175:AR175)</f>
        <v>0</v>
      </c>
      <c r="AU175" s="69" t="n">
        <f aca="false">F175+G175+J175+K175+N175+O175+R175+S175+V175+W175+Z175+AA175+AD175+AE175+AH175+AI175</f>
        <v>0</v>
      </c>
    </row>
    <row r="176" customFormat="false" ht="15" hidden="false" customHeight="false" outlineLevel="0" collapsed="false">
      <c r="B176" s="0" t="n">
        <v>149</v>
      </c>
      <c r="C176" s="68" t="n">
        <f aca="false">EDATE($C$7,148)</f>
        <v>50802</v>
      </c>
      <c r="D176" s="69" t="n">
        <f aca="false">$C$8-(F176+J176+N176+R176+V176+Z176+AD176+AH176)</f>
        <v>0</v>
      </c>
      <c r="E176" s="69" t="n">
        <f aca="false">IF(H175&gt;0.5,H175*(1+E$23)+E$24,0)</f>
        <v>0</v>
      </c>
      <c r="F176" s="69" t="n">
        <f aca="false">MIN(F$23,E176)</f>
        <v>0</v>
      </c>
      <c r="G176" s="69" t="n">
        <f aca="false">IF(AND(F$24=1,OR(E$25="",$C176&gt;=E$25)),MAX(0,MIN(E176-F176,$D176-(0))),0)</f>
        <v>0</v>
      </c>
      <c r="H176" s="69" t="n">
        <f aca="false">E176-F176-G176</f>
        <v>0</v>
      </c>
      <c r="I176" s="69" t="n">
        <f aca="false">IF(L175&gt;0.5,L175*(1+I$23)+I$24,0)</f>
        <v>0</v>
      </c>
      <c r="J176" s="69" t="n">
        <f aca="false">MIN(J$23,I176)</f>
        <v>0</v>
      </c>
      <c r="K176" s="69" t="n">
        <f aca="false">IF(AND(J$24=1,OR(I$25="",$C176&gt;=I$25)),MAX(0,MIN(I176-J176,$D176-(G176))),0)</f>
        <v>0</v>
      </c>
      <c r="L176" s="69" t="n">
        <f aca="false">I176-J176-K176</f>
        <v>0</v>
      </c>
      <c r="M176" s="69" t="n">
        <f aca="false">IF(P175&gt;0.5,P175*(1+M$23)+M$24,0)</f>
        <v>0</v>
      </c>
      <c r="N176" s="69" t="n">
        <f aca="false">MIN(N$23,M176)</f>
        <v>0</v>
      </c>
      <c r="O176" s="69" t="n">
        <f aca="false">IF(AND(N$24=1,OR(M$25="",$C176&gt;=M$25)),MAX(0,MIN(M176-N176,$D176-(G176+K176))),0)</f>
        <v>0</v>
      </c>
      <c r="P176" s="69" t="n">
        <f aca="false">M176-N176-O176</f>
        <v>0</v>
      </c>
      <c r="Q176" s="69" t="n">
        <f aca="false">IF(T175&gt;0.5,T175*(1+Q$23)+Q$24,0)</f>
        <v>0</v>
      </c>
      <c r="R176" s="69" t="n">
        <f aca="false">MIN(R$23,Q176)</f>
        <v>0</v>
      </c>
      <c r="S176" s="69" t="n">
        <f aca="false">IF(AND(R$24=1,OR(Q$25="",$C176&gt;=Q$25)),MAX(0,MIN(Q176-R176,$D176-(G176+K176+O176))),0)</f>
        <v>0</v>
      </c>
      <c r="T176" s="69" t="n">
        <f aca="false">Q176-R176-S176</f>
        <v>0</v>
      </c>
      <c r="U176" s="69" t="n">
        <f aca="false">IF(X175&gt;0.5,X175*(1+U$23)+U$24,0)</f>
        <v>0</v>
      </c>
      <c r="V176" s="69" t="n">
        <f aca="false">MIN(V$23,U176)</f>
        <v>0</v>
      </c>
      <c r="W176" s="69" t="n">
        <f aca="false">IF(AND(V$24=1,OR(U$25="",$C176&gt;=U$25)),MAX(0,MIN(U176-V176,$D176-(G176+K176+O176+S176))),0)</f>
        <v>0</v>
      </c>
      <c r="X176" s="69" t="n">
        <f aca="false">U176-V176-W176</f>
        <v>0</v>
      </c>
      <c r="Y176" s="69" t="n">
        <f aca="false">IF(AB175&gt;0.5,AB175*(1+Y$23)+Y$24,0)</f>
        <v>0</v>
      </c>
      <c r="Z176" s="69" t="n">
        <f aca="false">MIN(Z$23,Y176)</f>
        <v>0</v>
      </c>
      <c r="AA176" s="69" t="n">
        <f aca="false">IF(AND(Z$24=1,OR(Y$25="",$C176&gt;=Y$25)),MAX(0,MIN(Y176-Z176,$D176-(G176+K176+O176+S176+W176))),0)</f>
        <v>0</v>
      </c>
      <c r="AB176" s="69" t="n">
        <f aca="false">Y176-Z176-AA176</f>
        <v>0</v>
      </c>
      <c r="AC176" s="69" t="n">
        <f aca="false">IF(AF175&gt;0.5,AF175*(1+AC$23)+AC$24,0)</f>
        <v>0</v>
      </c>
      <c r="AD176" s="69" t="n">
        <f aca="false">MIN(AD$23,AC176)</f>
        <v>0</v>
      </c>
      <c r="AE176" s="69" t="n">
        <f aca="false">IF(AND(AD$24=1,OR(AC$25="",$C176&gt;=AC$25)),MAX(0,MIN(AC176-AD176,$D176-(G176+K176+O176+S176+W176+AA176))),0)</f>
        <v>0</v>
      </c>
      <c r="AF176" s="69" t="n">
        <f aca="false">AC176-AD176-AE176</f>
        <v>0</v>
      </c>
      <c r="AG176" s="69" t="n">
        <f aca="false">IF(AJ175&gt;0.5,AJ175*(1+AG$23)+AG$24,0)</f>
        <v>0</v>
      </c>
      <c r="AH176" s="69" t="n">
        <f aca="false">MIN(AH$23,AG176)</f>
        <v>0</v>
      </c>
      <c r="AI176" s="69" t="n">
        <f aca="false">IF(AND(AH$24=1,OR(AG$25="",$C176&gt;=AG$25)),MAX(0,MIN(AG176-AH176,$D176-(G176+K176+O176+S176+W176+AA176+AE176))),0)</f>
        <v>0</v>
      </c>
      <c r="AJ176" s="69" t="n">
        <f aca="false">AG176-AH176-AI176</f>
        <v>0</v>
      </c>
      <c r="AK176" s="69" t="n">
        <f aca="false">IF(AK175&gt;0.5,AK175*(1+$E$12)+$G$12-MIN($F$12,AK175*(1+$E$12)+$G$12),0)</f>
        <v>0</v>
      </c>
      <c r="AL176" s="69" t="n">
        <f aca="false">IF(AL175&gt;0.5,AL175*(1+$E$13)+$G$13-MIN($F$13,AL175*(1+$E$13)+$G$13),0)</f>
        <v>0</v>
      </c>
      <c r="AM176" s="69" t="n">
        <f aca="false">IF(AM175&gt;0.5,AM175*(1+$E$14)+$G$14-MIN($F$14,AM175*(1+$E$14)+$G$14),0)</f>
        <v>0</v>
      </c>
      <c r="AN176" s="69" t="n">
        <f aca="false">IF(AN175&gt;0.5,AN175*(1+$E$15)+$G$15-MIN($F$15,AN175*(1+$E$15)+$G$15),0)</f>
        <v>0</v>
      </c>
      <c r="AO176" s="69" t="n">
        <f aca="false">IF(AO175&gt;0.5,AO175*(1+$E$16)+$G$16-MIN($F$16,AO175*(1+$E$16)+$G$16),0)</f>
        <v>0</v>
      </c>
      <c r="AP176" s="69" t="n">
        <f aca="false">IF(AP175&gt;0.5,AP175*(1+$E$17)+$G$17-MIN($F$17,AP175*(1+$E$17)+$G$17),0)</f>
        <v>0</v>
      </c>
      <c r="AQ176" s="69" t="n">
        <f aca="false">IF(AQ175&gt;0.5,AQ175*(1+$E$18)+$G$18-MIN($F$18,AQ175*(1+$E$18)+$G$18),0)</f>
        <v>0</v>
      </c>
      <c r="AR176" s="69" t="n">
        <f aca="false">IF(AR175&gt;0.5,AR175*(1+$E$19)+$G$19-MIN($F$19,AR175*(1+$E$19)+$G$19),0)</f>
        <v>0</v>
      </c>
      <c r="AS176" s="69" t="n">
        <f aca="false">H176+L176+P176+T176+X176+AB176+AF176+AJ176</f>
        <v>0</v>
      </c>
      <c r="AT176" s="69" t="n">
        <f aca="false">SUM(AK176:AR176)</f>
        <v>0</v>
      </c>
      <c r="AU176" s="69" t="n">
        <f aca="false">F176+G176+J176+K176+N176+O176+R176+S176+V176+W176+Z176+AA176+AD176+AE176+AH176+AI176</f>
        <v>0</v>
      </c>
    </row>
    <row r="177" customFormat="false" ht="15" hidden="false" customHeight="false" outlineLevel="0" collapsed="false">
      <c r="B177" s="0" t="n">
        <v>150</v>
      </c>
      <c r="C177" s="68" t="n">
        <f aca="false">EDATE($C$7,149)</f>
        <v>50830</v>
      </c>
      <c r="D177" s="69" t="n">
        <f aca="false">$C$8-(F177+J177+N177+R177+V177+Z177+AD177+AH177)</f>
        <v>0</v>
      </c>
      <c r="E177" s="69" t="n">
        <f aca="false">IF(H176&gt;0.5,H176*(1+E$23)+E$24,0)</f>
        <v>0</v>
      </c>
      <c r="F177" s="69" t="n">
        <f aca="false">MIN(F$23,E177)</f>
        <v>0</v>
      </c>
      <c r="G177" s="69" t="n">
        <f aca="false">IF(AND(F$24=1,OR(E$25="",$C177&gt;=E$25)),MAX(0,MIN(E177-F177,$D177-(0))),0)</f>
        <v>0</v>
      </c>
      <c r="H177" s="69" t="n">
        <f aca="false">E177-F177-G177</f>
        <v>0</v>
      </c>
      <c r="I177" s="69" t="n">
        <f aca="false">IF(L176&gt;0.5,L176*(1+I$23)+I$24,0)</f>
        <v>0</v>
      </c>
      <c r="J177" s="69" t="n">
        <f aca="false">MIN(J$23,I177)</f>
        <v>0</v>
      </c>
      <c r="K177" s="69" t="n">
        <f aca="false">IF(AND(J$24=1,OR(I$25="",$C177&gt;=I$25)),MAX(0,MIN(I177-J177,$D177-(G177))),0)</f>
        <v>0</v>
      </c>
      <c r="L177" s="69" t="n">
        <f aca="false">I177-J177-K177</f>
        <v>0</v>
      </c>
      <c r="M177" s="69" t="n">
        <f aca="false">IF(P176&gt;0.5,P176*(1+M$23)+M$24,0)</f>
        <v>0</v>
      </c>
      <c r="N177" s="69" t="n">
        <f aca="false">MIN(N$23,M177)</f>
        <v>0</v>
      </c>
      <c r="O177" s="69" t="n">
        <f aca="false">IF(AND(N$24=1,OR(M$25="",$C177&gt;=M$25)),MAX(0,MIN(M177-N177,$D177-(G177+K177))),0)</f>
        <v>0</v>
      </c>
      <c r="P177" s="69" t="n">
        <f aca="false">M177-N177-O177</f>
        <v>0</v>
      </c>
      <c r="Q177" s="69" t="n">
        <f aca="false">IF(T176&gt;0.5,T176*(1+Q$23)+Q$24,0)</f>
        <v>0</v>
      </c>
      <c r="R177" s="69" t="n">
        <f aca="false">MIN(R$23,Q177)</f>
        <v>0</v>
      </c>
      <c r="S177" s="69" t="n">
        <f aca="false">IF(AND(R$24=1,OR(Q$25="",$C177&gt;=Q$25)),MAX(0,MIN(Q177-R177,$D177-(G177+K177+O177))),0)</f>
        <v>0</v>
      </c>
      <c r="T177" s="69" t="n">
        <f aca="false">Q177-R177-S177</f>
        <v>0</v>
      </c>
      <c r="U177" s="69" t="n">
        <f aca="false">IF(X176&gt;0.5,X176*(1+U$23)+U$24,0)</f>
        <v>0</v>
      </c>
      <c r="V177" s="69" t="n">
        <f aca="false">MIN(V$23,U177)</f>
        <v>0</v>
      </c>
      <c r="W177" s="69" t="n">
        <f aca="false">IF(AND(V$24=1,OR(U$25="",$C177&gt;=U$25)),MAX(0,MIN(U177-V177,$D177-(G177+K177+O177+S177))),0)</f>
        <v>0</v>
      </c>
      <c r="X177" s="69" t="n">
        <f aca="false">U177-V177-W177</f>
        <v>0</v>
      </c>
      <c r="Y177" s="69" t="n">
        <f aca="false">IF(AB176&gt;0.5,AB176*(1+Y$23)+Y$24,0)</f>
        <v>0</v>
      </c>
      <c r="Z177" s="69" t="n">
        <f aca="false">MIN(Z$23,Y177)</f>
        <v>0</v>
      </c>
      <c r="AA177" s="69" t="n">
        <f aca="false">IF(AND(Z$24=1,OR(Y$25="",$C177&gt;=Y$25)),MAX(0,MIN(Y177-Z177,$D177-(G177+K177+O177+S177+W177))),0)</f>
        <v>0</v>
      </c>
      <c r="AB177" s="69" t="n">
        <f aca="false">Y177-Z177-AA177</f>
        <v>0</v>
      </c>
      <c r="AC177" s="69" t="n">
        <f aca="false">IF(AF176&gt;0.5,AF176*(1+AC$23)+AC$24,0)</f>
        <v>0</v>
      </c>
      <c r="AD177" s="69" t="n">
        <f aca="false">MIN(AD$23,AC177)</f>
        <v>0</v>
      </c>
      <c r="AE177" s="69" t="n">
        <f aca="false">IF(AND(AD$24=1,OR(AC$25="",$C177&gt;=AC$25)),MAX(0,MIN(AC177-AD177,$D177-(G177+K177+O177+S177+W177+AA177))),0)</f>
        <v>0</v>
      </c>
      <c r="AF177" s="69" t="n">
        <f aca="false">AC177-AD177-AE177</f>
        <v>0</v>
      </c>
      <c r="AG177" s="69" t="n">
        <f aca="false">IF(AJ176&gt;0.5,AJ176*(1+AG$23)+AG$24,0)</f>
        <v>0</v>
      </c>
      <c r="AH177" s="69" t="n">
        <f aca="false">MIN(AH$23,AG177)</f>
        <v>0</v>
      </c>
      <c r="AI177" s="69" t="n">
        <f aca="false">IF(AND(AH$24=1,OR(AG$25="",$C177&gt;=AG$25)),MAX(0,MIN(AG177-AH177,$D177-(G177+K177+O177+S177+W177+AA177+AE177))),0)</f>
        <v>0</v>
      </c>
      <c r="AJ177" s="69" t="n">
        <f aca="false">AG177-AH177-AI177</f>
        <v>0</v>
      </c>
      <c r="AK177" s="69" t="n">
        <f aca="false">IF(AK176&gt;0.5,AK176*(1+$E$12)+$G$12-MIN($F$12,AK176*(1+$E$12)+$G$12),0)</f>
        <v>0</v>
      </c>
      <c r="AL177" s="69" t="n">
        <f aca="false">IF(AL176&gt;0.5,AL176*(1+$E$13)+$G$13-MIN($F$13,AL176*(1+$E$13)+$G$13),0)</f>
        <v>0</v>
      </c>
      <c r="AM177" s="69" t="n">
        <f aca="false">IF(AM176&gt;0.5,AM176*(1+$E$14)+$G$14-MIN($F$14,AM176*(1+$E$14)+$G$14),0)</f>
        <v>0</v>
      </c>
      <c r="AN177" s="69" t="n">
        <f aca="false">IF(AN176&gt;0.5,AN176*(1+$E$15)+$G$15-MIN($F$15,AN176*(1+$E$15)+$G$15),0)</f>
        <v>0</v>
      </c>
      <c r="AO177" s="69" t="n">
        <f aca="false">IF(AO176&gt;0.5,AO176*(1+$E$16)+$G$16-MIN($F$16,AO176*(1+$E$16)+$G$16),0)</f>
        <v>0</v>
      </c>
      <c r="AP177" s="69" t="n">
        <f aca="false">IF(AP176&gt;0.5,AP176*(1+$E$17)+$G$17-MIN($F$17,AP176*(1+$E$17)+$G$17),0)</f>
        <v>0</v>
      </c>
      <c r="AQ177" s="69" t="n">
        <f aca="false">IF(AQ176&gt;0.5,AQ176*(1+$E$18)+$G$18-MIN($F$18,AQ176*(1+$E$18)+$G$18),0)</f>
        <v>0</v>
      </c>
      <c r="AR177" s="69" t="n">
        <f aca="false">IF(AR176&gt;0.5,AR176*(1+$E$19)+$G$19-MIN($F$19,AR176*(1+$E$19)+$G$19),0)</f>
        <v>0</v>
      </c>
      <c r="AS177" s="69" t="n">
        <f aca="false">H177+L177+P177+T177+X177+AB177+AF177+AJ177</f>
        <v>0</v>
      </c>
      <c r="AT177" s="69" t="n">
        <f aca="false">SUM(AK177:AR177)</f>
        <v>0</v>
      </c>
      <c r="AU177" s="69" t="n">
        <f aca="false">F177+G177+J177+K177+N177+O177+R177+S177+V177+W177+Z177+AA177+AD177+AE177+AH177+AI177</f>
        <v>0</v>
      </c>
    </row>
    <row r="178" customFormat="false" ht="15" hidden="false" customHeight="false" outlineLevel="0" collapsed="false">
      <c r="B178" s="0" t="n">
        <v>151</v>
      </c>
      <c r="C178" s="68" t="n">
        <f aca="false">EDATE($C$7,150)</f>
        <v>50861</v>
      </c>
      <c r="D178" s="69" t="n">
        <f aca="false">$C$8-(F178+J178+N178+R178+V178+Z178+AD178+AH178)</f>
        <v>0</v>
      </c>
      <c r="E178" s="69" t="n">
        <f aca="false">IF(H177&gt;0.5,H177*(1+E$23)+E$24,0)</f>
        <v>0</v>
      </c>
      <c r="F178" s="69" t="n">
        <f aca="false">MIN(F$23,E178)</f>
        <v>0</v>
      </c>
      <c r="G178" s="69" t="n">
        <f aca="false">IF(AND(F$24=1,OR(E$25="",$C178&gt;=E$25)),MAX(0,MIN(E178-F178,$D178-(0))),0)</f>
        <v>0</v>
      </c>
      <c r="H178" s="69" t="n">
        <f aca="false">E178-F178-G178</f>
        <v>0</v>
      </c>
      <c r="I178" s="69" t="n">
        <f aca="false">IF(L177&gt;0.5,L177*(1+I$23)+I$24,0)</f>
        <v>0</v>
      </c>
      <c r="J178" s="69" t="n">
        <f aca="false">MIN(J$23,I178)</f>
        <v>0</v>
      </c>
      <c r="K178" s="69" t="n">
        <f aca="false">IF(AND(J$24=1,OR(I$25="",$C178&gt;=I$25)),MAX(0,MIN(I178-J178,$D178-(G178))),0)</f>
        <v>0</v>
      </c>
      <c r="L178" s="69" t="n">
        <f aca="false">I178-J178-K178</f>
        <v>0</v>
      </c>
      <c r="M178" s="69" t="n">
        <f aca="false">IF(P177&gt;0.5,P177*(1+M$23)+M$24,0)</f>
        <v>0</v>
      </c>
      <c r="N178" s="69" t="n">
        <f aca="false">MIN(N$23,M178)</f>
        <v>0</v>
      </c>
      <c r="O178" s="69" t="n">
        <f aca="false">IF(AND(N$24=1,OR(M$25="",$C178&gt;=M$25)),MAX(0,MIN(M178-N178,$D178-(G178+K178))),0)</f>
        <v>0</v>
      </c>
      <c r="P178" s="69" t="n">
        <f aca="false">M178-N178-O178</f>
        <v>0</v>
      </c>
      <c r="Q178" s="69" t="n">
        <f aca="false">IF(T177&gt;0.5,T177*(1+Q$23)+Q$24,0)</f>
        <v>0</v>
      </c>
      <c r="R178" s="69" t="n">
        <f aca="false">MIN(R$23,Q178)</f>
        <v>0</v>
      </c>
      <c r="S178" s="69" t="n">
        <f aca="false">IF(AND(R$24=1,OR(Q$25="",$C178&gt;=Q$25)),MAX(0,MIN(Q178-R178,$D178-(G178+K178+O178))),0)</f>
        <v>0</v>
      </c>
      <c r="T178" s="69" t="n">
        <f aca="false">Q178-R178-S178</f>
        <v>0</v>
      </c>
      <c r="U178" s="69" t="n">
        <f aca="false">IF(X177&gt;0.5,X177*(1+U$23)+U$24,0)</f>
        <v>0</v>
      </c>
      <c r="V178" s="69" t="n">
        <f aca="false">MIN(V$23,U178)</f>
        <v>0</v>
      </c>
      <c r="W178" s="69" t="n">
        <f aca="false">IF(AND(V$24=1,OR(U$25="",$C178&gt;=U$25)),MAX(0,MIN(U178-V178,$D178-(G178+K178+O178+S178))),0)</f>
        <v>0</v>
      </c>
      <c r="X178" s="69" t="n">
        <f aca="false">U178-V178-W178</f>
        <v>0</v>
      </c>
      <c r="Y178" s="69" t="n">
        <f aca="false">IF(AB177&gt;0.5,AB177*(1+Y$23)+Y$24,0)</f>
        <v>0</v>
      </c>
      <c r="Z178" s="69" t="n">
        <f aca="false">MIN(Z$23,Y178)</f>
        <v>0</v>
      </c>
      <c r="AA178" s="69" t="n">
        <f aca="false">IF(AND(Z$24=1,OR(Y$25="",$C178&gt;=Y$25)),MAX(0,MIN(Y178-Z178,$D178-(G178+K178+O178+S178+W178))),0)</f>
        <v>0</v>
      </c>
      <c r="AB178" s="69" t="n">
        <f aca="false">Y178-Z178-AA178</f>
        <v>0</v>
      </c>
      <c r="AC178" s="69" t="n">
        <f aca="false">IF(AF177&gt;0.5,AF177*(1+AC$23)+AC$24,0)</f>
        <v>0</v>
      </c>
      <c r="AD178" s="69" t="n">
        <f aca="false">MIN(AD$23,AC178)</f>
        <v>0</v>
      </c>
      <c r="AE178" s="69" t="n">
        <f aca="false">IF(AND(AD$24=1,OR(AC$25="",$C178&gt;=AC$25)),MAX(0,MIN(AC178-AD178,$D178-(G178+K178+O178+S178+W178+AA178))),0)</f>
        <v>0</v>
      </c>
      <c r="AF178" s="69" t="n">
        <f aca="false">AC178-AD178-AE178</f>
        <v>0</v>
      </c>
      <c r="AG178" s="69" t="n">
        <f aca="false">IF(AJ177&gt;0.5,AJ177*(1+AG$23)+AG$24,0)</f>
        <v>0</v>
      </c>
      <c r="AH178" s="69" t="n">
        <f aca="false">MIN(AH$23,AG178)</f>
        <v>0</v>
      </c>
      <c r="AI178" s="69" t="n">
        <f aca="false">IF(AND(AH$24=1,OR(AG$25="",$C178&gt;=AG$25)),MAX(0,MIN(AG178-AH178,$D178-(G178+K178+O178+S178+W178+AA178+AE178))),0)</f>
        <v>0</v>
      </c>
      <c r="AJ178" s="69" t="n">
        <f aca="false">AG178-AH178-AI178</f>
        <v>0</v>
      </c>
      <c r="AK178" s="69" t="n">
        <f aca="false">IF(AK177&gt;0.5,AK177*(1+$E$12)+$G$12-MIN($F$12,AK177*(1+$E$12)+$G$12),0)</f>
        <v>0</v>
      </c>
      <c r="AL178" s="69" t="n">
        <f aca="false">IF(AL177&gt;0.5,AL177*(1+$E$13)+$G$13-MIN($F$13,AL177*(1+$E$13)+$G$13),0)</f>
        <v>0</v>
      </c>
      <c r="AM178" s="69" t="n">
        <f aca="false">IF(AM177&gt;0.5,AM177*(1+$E$14)+$G$14-MIN($F$14,AM177*(1+$E$14)+$G$14),0)</f>
        <v>0</v>
      </c>
      <c r="AN178" s="69" t="n">
        <f aca="false">IF(AN177&gt;0.5,AN177*(1+$E$15)+$G$15-MIN($F$15,AN177*(1+$E$15)+$G$15),0)</f>
        <v>0</v>
      </c>
      <c r="AO178" s="69" t="n">
        <f aca="false">IF(AO177&gt;0.5,AO177*(1+$E$16)+$G$16-MIN($F$16,AO177*(1+$E$16)+$G$16),0)</f>
        <v>0</v>
      </c>
      <c r="AP178" s="69" t="n">
        <f aca="false">IF(AP177&gt;0.5,AP177*(1+$E$17)+$G$17-MIN($F$17,AP177*(1+$E$17)+$G$17),0)</f>
        <v>0</v>
      </c>
      <c r="AQ178" s="69" t="n">
        <f aca="false">IF(AQ177&gt;0.5,AQ177*(1+$E$18)+$G$18-MIN($F$18,AQ177*(1+$E$18)+$G$18),0)</f>
        <v>0</v>
      </c>
      <c r="AR178" s="69" t="n">
        <f aca="false">IF(AR177&gt;0.5,AR177*(1+$E$19)+$G$19-MIN($F$19,AR177*(1+$E$19)+$G$19),0)</f>
        <v>0</v>
      </c>
      <c r="AS178" s="69" t="n">
        <f aca="false">H178+L178+P178+T178+X178+AB178+AF178+AJ178</f>
        <v>0</v>
      </c>
      <c r="AT178" s="69" t="n">
        <f aca="false">SUM(AK178:AR178)</f>
        <v>0</v>
      </c>
      <c r="AU178" s="69" t="n">
        <f aca="false">F178+G178+J178+K178+N178+O178+R178+S178+V178+W178+Z178+AA178+AD178+AE178+AH178+AI178</f>
        <v>0</v>
      </c>
    </row>
    <row r="179" customFormat="false" ht="15" hidden="false" customHeight="false" outlineLevel="0" collapsed="false">
      <c r="B179" s="0" t="n">
        <v>152</v>
      </c>
      <c r="C179" s="68" t="n">
        <f aca="false">EDATE($C$7,151)</f>
        <v>50891</v>
      </c>
      <c r="D179" s="69" t="n">
        <f aca="false">$C$8-(F179+J179+N179+R179+V179+Z179+AD179+AH179)</f>
        <v>0</v>
      </c>
      <c r="E179" s="69" t="n">
        <f aca="false">IF(H178&gt;0.5,H178*(1+E$23)+E$24,0)</f>
        <v>0</v>
      </c>
      <c r="F179" s="69" t="n">
        <f aca="false">MIN(F$23,E179)</f>
        <v>0</v>
      </c>
      <c r="G179" s="69" t="n">
        <f aca="false">IF(AND(F$24=1,OR(E$25="",$C179&gt;=E$25)),MAX(0,MIN(E179-F179,$D179-(0))),0)</f>
        <v>0</v>
      </c>
      <c r="H179" s="69" t="n">
        <f aca="false">E179-F179-G179</f>
        <v>0</v>
      </c>
      <c r="I179" s="69" t="n">
        <f aca="false">IF(L178&gt;0.5,L178*(1+I$23)+I$24,0)</f>
        <v>0</v>
      </c>
      <c r="J179" s="69" t="n">
        <f aca="false">MIN(J$23,I179)</f>
        <v>0</v>
      </c>
      <c r="K179" s="69" t="n">
        <f aca="false">IF(AND(J$24=1,OR(I$25="",$C179&gt;=I$25)),MAX(0,MIN(I179-J179,$D179-(G179))),0)</f>
        <v>0</v>
      </c>
      <c r="L179" s="69" t="n">
        <f aca="false">I179-J179-K179</f>
        <v>0</v>
      </c>
      <c r="M179" s="69" t="n">
        <f aca="false">IF(P178&gt;0.5,P178*(1+M$23)+M$24,0)</f>
        <v>0</v>
      </c>
      <c r="N179" s="69" t="n">
        <f aca="false">MIN(N$23,M179)</f>
        <v>0</v>
      </c>
      <c r="O179" s="69" t="n">
        <f aca="false">IF(AND(N$24=1,OR(M$25="",$C179&gt;=M$25)),MAX(0,MIN(M179-N179,$D179-(G179+K179))),0)</f>
        <v>0</v>
      </c>
      <c r="P179" s="69" t="n">
        <f aca="false">M179-N179-O179</f>
        <v>0</v>
      </c>
      <c r="Q179" s="69" t="n">
        <f aca="false">IF(T178&gt;0.5,T178*(1+Q$23)+Q$24,0)</f>
        <v>0</v>
      </c>
      <c r="R179" s="69" t="n">
        <f aca="false">MIN(R$23,Q179)</f>
        <v>0</v>
      </c>
      <c r="S179" s="69" t="n">
        <f aca="false">IF(AND(R$24=1,OR(Q$25="",$C179&gt;=Q$25)),MAX(0,MIN(Q179-R179,$D179-(G179+K179+O179))),0)</f>
        <v>0</v>
      </c>
      <c r="T179" s="69" t="n">
        <f aca="false">Q179-R179-S179</f>
        <v>0</v>
      </c>
      <c r="U179" s="69" t="n">
        <f aca="false">IF(X178&gt;0.5,X178*(1+U$23)+U$24,0)</f>
        <v>0</v>
      </c>
      <c r="V179" s="69" t="n">
        <f aca="false">MIN(V$23,U179)</f>
        <v>0</v>
      </c>
      <c r="W179" s="69" t="n">
        <f aca="false">IF(AND(V$24=1,OR(U$25="",$C179&gt;=U$25)),MAX(0,MIN(U179-V179,$D179-(G179+K179+O179+S179))),0)</f>
        <v>0</v>
      </c>
      <c r="X179" s="69" t="n">
        <f aca="false">U179-V179-W179</f>
        <v>0</v>
      </c>
      <c r="Y179" s="69" t="n">
        <f aca="false">IF(AB178&gt;0.5,AB178*(1+Y$23)+Y$24,0)</f>
        <v>0</v>
      </c>
      <c r="Z179" s="69" t="n">
        <f aca="false">MIN(Z$23,Y179)</f>
        <v>0</v>
      </c>
      <c r="AA179" s="69" t="n">
        <f aca="false">IF(AND(Z$24=1,OR(Y$25="",$C179&gt;=Y$25)),MAX(0,MIN(Y179-Z179,$D179-(G179+K179+O179+S179+W179))),0)</f>
        <v>0</v>
      </c>
      <c r="AB179" s="69" t="n">
        <f aca="false">Y179-Z179-AA179</f>
        <v>0</v>
      </c>
      <c r="AC179" s="69" t="n">
        <f aca="false">IF(AF178&gt;0.5,AF178*(1+AC$23)+AC$24,0)</f>
        <v>0</v>
      </c>
      <c r="AD179" s="69" t="n">
        <f aca="false">MIN(AD$23,AC179)</f>
        <v>0</v>
      </c>
      <c r="AE179" s="69" t="n">
        <f aca="false">IF(AND(AD$24=1,OR(AC$25="",$C179&gt;=AC$25)),MAX(0,MIN(AC179-AD179,$D179-(G179+K179+O179+S179+W179+AA179))),0)</f>
        <v>0</v>
      </c>
      <c r="AF179" s="69" t="n">
        <f aca="false">AC179-AD179-AE179</f>
        <v>0</v>
      </c>
      <c r="AG179" s="69" t="n">
        <f aca="false">IF(AJ178&gt;0.5,AJ178*(1+AG$23)+AG$24,0)</f>
        <v>0</v>
      </c>
      <c r="AH179" s="69" t="n">
        <f aca="false">MIN(AH$23,AG179)</f>
        <v>0</v>
      </c>
      <c r="AI179" s="69" t="n">
        <f aca="false">IF(AND(AH$24=1,OR(AG$25="",$C179&gt;=AG$25)),MAX(0,MIN(AG179-AH179,$D179-(G179+K179+O179+S179+W179+AA179+AE179))),0)</f>
        <v>0</v>
      </c>
      <c r="AJ179" s="69" t="n">
        <f aca="false">AG179-AH179-AI179</f>
        <v>0</v>
      </c>
      <c r="AK179" s="69" t="n">
        <f aca="false">IF(AK178&gt;0.5,AK178*(1+$E$12)+$G$12-MIN($F$12,AK178*(1+$E$12)+$G$12),0)</f>
        <v>0</v>
      </c>
      <c r="AL179" s="69" t="n">
        <f aca="false">IF(AL178&gt;0.5,AL178*(1+$E$13)+$G$13-MIN($F$13,AL178*(1+$E$13)+$G$13),0)</f>
        <v>0</v>
      </c>
      <c r="AM179" s="69" t="n">
        <f aca="false">IF(AM178&gt;0.5,AM178*(1+$E$14)+$G$14-MIN($F$14,AM178*(1+$E$14)+$G$14),0)</f>
        <v>0</v>
      </c>
      <c r="AN179" s="69" t="n">
        <f aca="false">IF(AN178&gt;0.5,AN178*(1+$E$15)+$G$15-MIN($F$15,AN178*(1+$E$15)+$G$15),0)</f>
        <v>0</v>
      </c>
      <c r="AO179" s="69" t="n">
        <f aca="false">IF(AO178&gt;0.5,AO178*(1+$E$16)+$G$16-MIN($F$16,AO178*(1+$E$16)+$G$16),0)</f>
        <v>0</v>
      </c>
      <c r="AP179" s="69" t="n">
        <f aca="false">IF(AP178&gt;0.5,AP178*(1+$E$17)+$G$17-MIN($F$17,AP178*(1+$E$17)+$G$17),0)</f>
        <v>0</v>
      </c>
      <c r="AQ179" s="69" t="n">
        <f aca="false">IF(AQ178&gt;0.5,AQ178*(1+$E$18)+$G$18-MIN($F$18,AQ178*(1+$E$18)+$G$18),0)</f>
        <v>0</v>
      </c>
      <c r="AR179" s="69" t="n">
        <f aca="false">IF(AR178&gt;0.5,AR178*(1+$E$19)+$G$19-MIN($F$19,AR178*(1+$E$19)+$G$19),0)</f>
        <v>0</v>
      </c>
      <c r="AS179" s="69" t="n">
        <f aca="false">H179+L179+P179+T179+X179+AB179+AF179+AJ179</f>
        <v>0</v>
      </c>
      <c r="AT179" s="69" t="n">
        <f aca="false">SUM(AK179:AR179)</f>
        <v>0</v>
      </c>
      <c r="AU179" s="69" t="n">
        <f aca="false">F179+G179+J179+K179+N179+O179+R179+S179+V179+W179+Z179+AA179+AD179+AE179+AH179+AI179</f>
        <v>0</v>
      </c>
    </row>
    <row r="180" customFormat="false" ht="15" hidden="false" customHeight="false" outlineLevel="0" collapsed="false">
      <c r="B180" s="0" t="n">
        <v>153</v>
      </c>
      <c r="C180" s="68" t="n">
        <f aca="false">EDATE($C$7,152)</f>
        <v>50922</v>
      </c>
      <c r="D180" s="69" t="n">
        <f aca="false">$C$8-(F180+J180+N180+R180+V180+Z180+AD180+AH180)</f>
        <v>0</v>
      </c>
      <c r="E180" s="69" t="n">
        <f aca="false">IF(H179&gt;0.5,H179*(1+E$23)+E$24,0)</f>
        <v>0</v>
      </c>
      <c r="F180" s="69" t="n">
        <f aca="false">MIN(F$23,E180)</f>
        <v>0</v>
      </c>
      <c r="G180" s="69" t="n">
        <f aca="false">IF(AND(F$24=1,OR(E$25="",$C180&gt;=E$25)),MAX(0,MIN(E180-F180,$D180-(0))),0)</f>
        <v>0</v>
      </c>
      <c r="H180" s="69" t="n">
        <f aca="false">E180-F180-G180</f>
        <v>0</v>
      </c>
      <c r="I180" s="69" t="n">
        <f aca="false">IF(L179&gt;0.5,L179*(1+I$23)+I$24,0)</f>
        <v>0</v>
      </c>
      <c r="J180" s="69" t="n">
        <f aca="false">MIN(J$23,I180)</f>
        <v>0</v>
      </c>
      <c r="K180" s="69" t="n">
        <f aca="false">IF(AND(J$24=1,OR(I$25="",$C180&gt;=I$25)),MAX(0,MIN(I180-J180,$D180-(G180))),0)</f>
        <v>0</v>
      </c>
      <c r="L180" s="69" t="n">
        <f aca="false">I180-J180-K180</f>
        <v>0</v>
      </c>
      <c r="M180" s="69" t="n">
        <f aca="false">IF(P179&gt;0.5,P179*(1+M$23)+M$24,0)</f>
        <v>0</v>
      </c>
      <c r="N180" s="69" t="n">
        <f aca="false">MIN(N$23,M180)</f>
        <v>0</v>
      </c>
      <c r="O180" s="69" t="n">
        <f aca="false">IF(AND(N$24=1,OR(M$25="",$C180&gt;=M$25)),MAX(0,MIN(M180-N180,$D180-(G180+K180))),0)</f>
        <v>0</v>
      </c>
      <c r="P180" s="69" t="n">
        <f aca="false">M180-N180-O180</f>
        <v>0</v>
      </c>
      <c r="Q180" s="69" t="n">
        <f aca="false">IF(T179&gt;0.5,T179*(1+Q$23)+Q$24,0)</f>
        <v>0</v>
      </c>
      <c r="R180" s="69" t="n">
        <f aca="false">MIN(R$23,Q180)</f>
        <v>0</v>
      </c>
      <c r="S180" s="69" t="n">
        <f aca="false">IF(AND(R$24=1,OR(Q$25="",$C180&gt;=Q$25)),MAX(0,MIN(Q180-R180,$D180-(G180+K180+O180))),0)</f>
        <v>0</v>
      </c>
      <c r="T180" s="69" t="n">
        <f aca="false">Q180-R180-S180</f>
        <v>0</v>
      </c>
      <c r="U180" s="69" t="n">
        <f aca="false">IF(X179&gt;0.5,X179*(1+U$23)+U$24,0)</f>
        <v>0</v>
      </c>
      <c r="V180" s="69" t="n">
        <f aca="false">MIN(V$23,U180)</f>
        <v>0</v>
      </c>
      <c r="W180" s="69" t="n">
        <f aca="false">IF(AND(V$24=1,OR(U$25="",$C180&gt;=U$25)),MAX(0,MIN(U180-V180,$D180-(G180+K180+O180+S180))),0)</f>
        <v>0</v>
      </c>
      <c r="X180" s="69" t="n">
        <f aca="false">U180-V180-W180</f>
        <v>0</v>
      </c>
      <c r="Y180" s="69" t="n">
        <f aca="false">IF(AB179&gt;0.5,AB179*(1+Y$23)+Y$24,0)</f>
        <v>0</v>
      </c>
      <c r="Z180" s="69" t="n">
        <f aca="false">MIN(Z$23,Y180)</f>
        <v>0</v>
      </c>
      <c r="AA180" s="69" t="n">
        <f aca="false">IF(AND(Z$24=1,OR(Y$25="",$C180&gt;=Y$25)),MAX(0,MIN(Y180-Z180,$D180-(G180+K180+O180+S180+W180))),0)</f>
        <v>0</v>
      </c>
      <c r="AB180" s="69" t="n">
        <f aca="false">Y180-Z180-AA180</f>
        <v>0</v>
      </c>
      <c r="AC180" s="69" t="n">
        <f aca="false">IF(AF179&gt;0.5,AF179*(1+AC$23)+AC$24,0)</f>
        <v>0</v>
      </c>
      <c r="AD180" s="69" t="n">
        <f aca="false">MIN(AD$23,AC180)</f>
        <v>0</v>
      </c>
      <c r="AE180" s="69" t="n">
        <f aca="false">IF(AND(AD$24=1,OR(AC$25="",$C180&gt;=AC$25)),MAX(0,MIN(AC180-AD180,$D180-(G180+K180+O180+S180+W180+AA180))),0)</f>
        <v>0</v>
      </c>
      <c r="AF180" s="69" t="n">
        <f aca="false">AC180-AD180-AE180</f>
        <v>0</v>
      </c>
      <c r="AG180" s="69" t="n">
        <f aca="false">IF(AJ179&gt;0.5,AJ179*(1+AG$23)+AG$24,0)</f>
        <v>0</v>
      </c>
      <c r="AH180" s="69" t="n">
        <f aca="false">MIN(AH$23,AG180)</f>
        <v>0</v>
      </c>
      <c r="AI180" s="69" t="n">
        <f aca="false">IF(AND(AH$24=1,OR(AG$25="",$C180&gt;=AG$25)),MAX(0,MIN(AG180-AH180,$D180-(G180+K180+O180+S180+W180+AA180+AE180))),0)</f>
        <v>0</v>
      </c>
      <c r="AJ180" s="69" t="n">
        <f aca="false">AG180-AH180-AI180</f>
        <v>0</v>
      </c>
      <c r="AK180" s="69" t="n">
        <f aca="false">IF(AK179&gt;0.5,AK179*(1+$E$12)+$G$12-MIN($F$12,AK179*(1+$E$12)+$G$12),0)</f>
        <v>0</v>
      </c>
      <c r="AL180" s="69" t="n">
        <f aca="false">IF(AL179&gt;0.5,AL179*(1+$E$13)+$G$13-MIN($F$13,AL179*(1+$E$13)+$G$13),0)</f>
        <v>0</v>
      </c>
      <c r="AM180" s="69" t="n">
        <f aca="false">IF(AM179&gt;0.5,AM179*(1+$E$14)+$G$14-MIN($F$14,AM179*(1+$E$14)+$G$14),0)</f>
        <v>0</v>
      </c>
      <c r="AN180" s="69" t="n">
        <f aca="false">IF(AN179&gt;0.5,AN179*(1+$E$15)+$G$15-MIN($F$15,AN179*(1+$E$15)+$G$15),0)</f>
        <v>0</v>
      </c>
      <c r="AO180" s="69" t="n">
        <f aca="false">IF(AO179&gt;0.5,AO179*(1+$E$16)+$G$16-MIN($F$16,AO179*(1+$E$16)+$G$16),0)</f>
        <v>0</v>
      </c>
      <c r="AP180" s="69" t="n">
        <f aca="false">IF(AP179&gt;0.5,AP179*(1+$E$17)+$G$17-MIN($F$17,AP179*(1+$E$17)+$G$17),0)</f>
        <v>0</v>
      </c>
      <c r="AQ180" s="69" t="n">
        <f aca="false">IF(AQ179&gt;0.5,AQ179*(1+$E$18)+$G$18-MIN($F$18,AQ179*(1+$E$18)+$G$18),0)</f>
        <v>0</v>
      </c>
      <c r="AR180" s="69" t="n">
        <f aca="false">IF(AR179&gt;0.5,AR179*(1+$E$19)+$G$19-MIN($F$19,AR179*(1+$E$19)+$G$19),0)</f>
        <v>0</v>
      </c>
      <c r="AS180" s="69" t="n">
        <f aca="false">H180+L180+P180+T180+X180+AB180+AF180+AJ180</f>
        <v>0</v>
      </c>
      <c r="AT180" s="69" t="n">
        <f aca="false">SUM(AK180:AR180)</f>
        <v>0</v>
      </c>
      <c r="AU180" s="69" t="n">
        <f aca="false">F180+G180+J180+K180+N180+O180+R180+S180+V180+W180+Z180+AA180+AD180+AE180+AH180+AI180</f>
        <v>0</v>
      </c>
    </row>
    <row r="181" customFormat="false" ht="15" hidden="false" customHeight="false" outlineLevel="0" collapsed="false">
      <c r="B181" s="0" t="n">
        <v>154</v>
      </c>
      <c r="C181" s="68" t="n">
        <f aca="false">EDATE($C$7,153)</f>
        <v>50952</v>
      </c>
      <c r="D181" s="69" t="n">
        <f aca="false">$C$8-(F181+J181+N181+R181+V181+Z181+AD181+AH181)</f>
        <v>0</v>
      </c>
      <c r="E181" s="69" t="n">
        <f aca="false">IF(H180&gt;0.5,H180*(1+E$23)+E$24,0)</f>
        <v>0</v>
      </c>
      <c r="F181" s="69" t="n">
        <f aca="false">MIN(F$23,E181)</f>
        <v>0</v>
      </c>
      <c r="G181" s="69" t="n">
        <f aca="false">IF(AND(F$24=1,OR(E$25="",$C181&gt;=E$25)),MAX(0,MIN(E181-F181,$D181-(0))),0)</f>
        <v>0</v>
      </c>
      <c r="H181" s="69" t="n">
        <f aca="false">E181-F181-G181</f>
        <v>0</v>
      </c>
      <c r="I181" s="69" t="n">
        <f aca="false">IF(L180&gt;0.5,L180*(1+I$23)+I$24,0)</f>
        <v>0</v>
      </c>
      <c r="J181" s="69" t="n">
        <f aca="false">MIN(J$23,I181)</f>
        <v>0</v>
      </c>
      <c r="K181" s="69" t="n">
        <f aca="false">IF(AND(J$24=1,OR(I$25="",$C181&gt;=I$25)),MAX(0,MIN(I181-J181,$D181-(G181))),0)</f>
        <v>0</v>
      </c>
      <c r="L181" s="69" t="n">
        <f aca="false">I181-J181-K181</f>
        <v>0</v>
      </c>
      <c r="M181" s="69" t="n">
        <f aca="false">IF(P180&gt;0.5,P180*(1+M$23)+M$24,0)</f>
        <v>0</v>
      </c>
      <c r="N181" s="69" t="n">
        <f aca="false">MIN(N$23,M181)</f>
        <v>0</v>
      </c>
      <c r="O181" s="69" t="n">
        <f aca="false">IF(AND(N$24=1,OR(M$25="",$C181&gt;=M$25)),MAX(0,MIN(M181-N181,$D181-(G181+K181))),0)</f>
        <v>0</v>
      </c>
      <c r="P181" s="69" t="n">
        <f aca="false">M181-N181-O181</f>
        <v>0</v>
      </c>
      <c r="Q181" s="69" t="n">
        <f aca="false">IF(T180&gt;0.5,T180*(1+Q$23)+Q$24,0)</f>
        <v>0</v>
      </c>
      <c r="R181" s="69" t="n">
        <f aca="false">MIN(R$23,Q181)</f>
        <v>0</v>
      </c>
      <c r="S181" s="69" t="n">
        <f aca="false">IF(AND(R$24=1,OR(Q$25="",$C181&gt;=Q$25)),MAX(0,MIN(Q181-R181,$D181-(G181+K181+O181))),0)</f>
        <v>0</v>
      </c>
      <c r="T181" s="69" t="n">
        <f aca="false">Q181-R181-S181</f>
        <v>0</v>
      </c>
      <c r="U181" s="69" t="n">
        <f aca="false">IF(X180&gt;0.5,X180*(1+U$23)+U$24,0)</f>
        <v>0</v>
      </c>
      <c r="V181" s="69" t="n">
        <f aca="false">MIN(V$23,U181)</f>
        <v>0</v>
      </c>
      <c r="W181" s="69" t="n">
        <f aca="false">IF(AND(V$24=1,OR(U$25="",$C181&gt;=U$25)),MAX(0,MIN(U181-V181,$D181-(G181+K181+O181+S181))),0)</f>
        <v>0</v>
      </c>
      <c r="X181" s="69" t="n">
        <f aca="false">U181-V181-W181</f>
        <v>0</v>
      </c>
      <c r="Y181" s="69" t="n">
        <f aca="false">IF(AB180&gt;0.5,AB180*(1+Y$23)+Y$24,0)</f>
        <v>0</v>
      </c>
      <c r="Z181" s="69" t="n">
        <f aca="false">MIN(Z$23,Y181)</f>
        <v>0</v>
      </c>
      <c r="AA181" s="69" t="n">
        <f aca="false">IF(AND(Z$24=1,OR(Y$25="",$C181&gt;=Y$25)),MAX(0,MIN(Y181-Z181,$D181-(G181+K181+O181+S181+W181))),0)</f>
        <v>0</v>
      </c>
      <c r="AB181" s="69" t="n">
        <f aca="false">Y181-Z181-AA181</f>
        <v>0</v>
      </c>
      <c r="AC181" s="69" t="n">
        <f aca="false">IF(AF180&gt;0.5,AF180*(1+AC$23)+AC$24,0)</f>
        <v>0</v>
      </c>
      <c r="AD181" s="69" t="n">
        <f aca="false">MIN(AD$23,AC181)</f>
        <v>0</v>
      </c>
      <c r="AE181" s="69" t="n">
        <f aca="false">IF(AND(AD$24=1,OR(AC$25="",$C181&gt;=AC$25)),MAX(0,MIN(AC181-AD181,$D181-(G181+K181+O181+S181+W181+AA181))),0)</f>
        <v>0</v>
      </c>
      <c r="AF181" s="69" t="n">
        <f aca="false">AC181-AD181-AE181</f>
        <v>0</v>
      </c>
      <c r="AG181" s="69" t="n">
        <f aca="false">IF(AJ180&gt;0.5,AJ180*(1+AG$23)+AG$24,0)</f>
        <v>0</v>
      </c>
      <c r="AH181" s="69" t="n">
        <f aca="false">MIN(AH$23,AG181)</f>
        <v>0</v>
      </c>
      <c r="AI181" s="69" t="n">
        <f aca="false">IF(AND(AH$24=1,OR(AG$25="",$C181&gt;=AG$25)),MAX(0,MIN(AG181-AH181,$D181-(G181+K181+O181+S181+W181+AA181+AE181))),0)</f>
        <v>0</v>
      </c>
      <c r="AJ181" s="69" t="n">
        <f aca="false">AG181-AH181-AI181</f>
        <v>0</v>
      </c>
      <c r="AK181" s="69" t="n">
        <f aca="false">IF(AK180&gt;0.5,AK180*(1+$E$12)+$G$12-MIN($F$12,AK180*(1+$E$12)+$G$12),0)</f>
        <v>0</v>
      </c>
      <c r="AL181" s="69" t="n">
        <f aca="false">IF(AL180&gt;0.5,AL180*(1+$E$13)+$G$13-MIN($F$13,AL180*(1+$E$13)+$G$13),0)</f>
        <v>0</v>
      </c>
      <c r="AM181" s="69" t="n">
        <f aca="false">IF(AM180&gt;0.5,AM180*(1+$E$14)+$G$14-MIN($F$14,AM180*(1+$E$14)+$G$14),0)</f>
        <v>0</v>
      </c>
      <c r="AN181" s="69" t="n">
        <f aca="false">IF(AN180&gt;0.5,AN180*(1+$E$15)+$G$15-MIN($F$15,AN180*(1+$E$15)+$G$15),0)</f>
        <v>0</v>
      </c>
      <c r="AO181" s="69" t="n">
        <f aca="false">IF(AO180&gt;0.5,AO180*(1+$E$16)+$G$16-MIN($F$16,AO180*(1+$E$16)+$G$16),0)</f>
        <v>0</v>
      </c>
      <c r="AP181" s="69" t="n">
        <f aca="false">IF(AP180&gt;0.5,AP180*(1+$E$17)+$G$17-MIN($F$17,AP180*(1+$E$17)+$G$17),0)</f>
        <v>0</v>
      </c>
      <c r="AQ181" s="69" t="n">
        <f aca="false">IF(AQ180&gt;0.5,AQ180*(1+$E$18)+$G$18-MIN($F$18,AQ180*(1+$E$18)+$G$18),0)</f>
        <v>0</v>
      </c>
      <c r="AR181" s="69" t="n">
        <f aca="false">IF(AR180&gt;0.5,AR180*(1+$E$19)+$G$19-MIN($F$19,AR180*(1+$E$19)+$G$19),0)</f>
        <v>0</v>
      </c>
      <c r="AS181" s="69" t="n">
        <f aca="false">H181+L181+P181+T181+X181+AB181+AF181+AJ181</f>
        <v>0</v>
      </c>
      <c r="AT181" s="69" t="n">
        <f aca="false">SUM(AK181:AR181)</f>
        <v>0</v>
      </c>
      <c r="AU181" s="69" t="n">
        <f aca="false">F181+G181+J181+K181+N181+O181+R181+S181+V181+W181+Z181+AA181+AD181+AE181+AH181+AI181</f>
        <v>0</v>
      </c>
    </row>
    <row r="182" customFormat="false" ht="15" hidden="false" customHeight="false" outlineLevel="0" collapsed="false">
      <c r="B182" s="0" t="n">
        <v>155</v>
      </c>
      <c r="C182" s="68" t="n">
        <f aca="false">EDATE($C$7,154)</f>
        <v>50983</v>
      </c>
      <c r="D182" s="69" t="n">
        <f aca="false">$C$8-(F182+J182+N182+R182+V182+Z182+AD182+AH182)</f>
        <v>0</v>
      </c>
      <c r="E182" s="69" t="n">
        <f aca="false">IF(H181&gt;0.5,H181*(1+E$23)+E$24,0)</f>
        <v>0</v>
      </c>
      <c r="F182" s="69" t="n">
        <f aca="false">MIN(F$23,E182)</f>
        <v>0</v>
      </c>
      <c r="G182" s="69" t="n">
        <f aca="false">IF(AND(F$24=1,OR(E$25="",$C182&gt;=E$25)),MAX(0,MIN(E182-F182,$D182-(0))),0)</f>
        <v>0</v>
      </c>
      <c r="H182" s="69" t="n">
        <f aca="false">E182-F182-G182</f>
        <v>0</v>
      </c>
      <c r="I182" s="69" t="n">
        <f aca="false">IF(L181&gt;0.5,L181*(1+I$23)+I$24,0)</f>
        <v>0</v>
      </c>
      <c r="J182" s="69" t="n">
        <f aca="false">MIN(J$23,I182)</f>
        <v>0</v>
      </c>
      <c r="K182" s="69" t="n">
        <f aca="false">IF(AND(J$24=1,OR(I$25="",$C182&gt;=I$25)),MAX(0,MIN(I182-J182,$D182-(G182))),0)</f>
        <v>0</v>
      </c>
      <c r="L182" s="69" t="n">
        <f aca="false">I182-J182-K182</f>
        <v>0</v>
      </c>
      <c r="M182" s="69" t="n">
        <f aca="false">IF(P181&gt;0.5,P181*(1+M$23)+M$24,0)</f>
        <v>0</v>
      </c>
      <c r="N182" s="69" t="n">
        <f aca="false">MIN(N$23,M182)</f>
        <v>0</v>
      </c>
      <c r="O182" s="69" t="n">
        <f aca="false">IF(AND(N$24=1,OR(M$25="",$C182&gt;=M$25)),MAX(0,MIN(M182-N182,$D182-(G182+K182))),0)</f>
        <v>0</v>
      </c>
      <c r="P182" s="69" t="n">
        <f aca="false">M182-N182-O182</f>
        <v>0</v>
      </c>
      <c r="Q182" s="69" t="n">
        <f aca="false">IF(T181&gt;0.5,T181*(1+Q$23)+Q$24,0)</f>
        <v>0</v>
      </c>
      <c r="R182" s="69" t="n">
        <f aca="false">MIN(R$23,Q182)</f>
        <v>0</v>
      </c>
      <c r="S182" s="69" t="n">
        <f aca="false">IF(AND(R$24=1,OR(Q$25="",$C182&gt;=Q$25)),MAX(0,MIN(Q182-R182,$D182-(G182+K182+O182))),0)</f>
        <v>0</v>
      </c>
      <c r="T182" s="69" t="n">
        <f aca="false">Q182-R182-S182</f>
        <v>0</v>
      </c>
      <c r="U182" s="69" t="n">
        <f aca="false">IF(X181&gt;0.5,X181*(1+U$23)+U$24,0)</f>
        <v>0</v>
      </c>
      <c r="V182" s="69" t="n">
        <f aca="false">MIN(V$23,U182)</f>
        <v>0</v>
      </c>
      <c r="W182" s="69" t="n">
        <f aca="false">IF(AND(V$24=1,OR(U$25="",$C182&gt;=U$25)),MAX(0,MIN(U182-V182,$D182-(G182+K182+O182+S182))),0)</f>
        <v>0</v>
      </c>
      <c r="X182" s="69" t="n">
        <f aca="false">U182-V182-W182</f>
        <v>0</v>
      </c>
      <c r="Y182" s="69" t="n">
        <f aca="false">IF(AB181&gt;0.5,AB181*(1+Y$23)+Y$24,0)</f>
        <v>0</v>
      </c>
      <c r="Z182" s="69" t="n">
        <f aca="false">MIN(Z$23,Y182)</f>
        <v>0</v>
      </c>
      <c r="AA182" s="69" t="n">
        <f aca="false">IF(AND(Z$24=1,OR(Y$25="",$C182&gt;=Y$25)),MAX(0,MIN(Y182-Z182,$D182-(G182+K182+O182+S182+W182))),0)</f>
        <v>0</v>
      </c>
      <c r="AB182" s="69" t="n">
        <f aca="false">Y182-Z182-AA182</f>
        <v>0</v>
      </c>
      <c r="AC182" s="69" t="n">
        <f aca="false">IF(AF181&gt;0.5,AF181*(1+AC$23)+AC$24,0)</f>
        <v>0</v>
      </c>
      <c r="AD182" s="69" t="n">
        <f aca="false">MIN(AD$23,AC182)</f>
        <v>0</v>
      </c>
      <c r="AE182" s="69" t="n">
        <f aca="false">IF(AND(AD$24=1,OR(AC$25="",$C182&gt;=AC$25)),MAX(0,MIN(AC182-AD182,$D182-(G182+K182+O182+S182+W182+AA182))),0)</f>
        <v>0</v>
      </c>
      <c r="AF182" s="69" t="n">
        <f aca="false">AC182-AD182-AE182</f>
        <v>0</v>
      </c>
      <c r="AG182" s="69" t="n">
        <f aca="false">IF(AJ181&gt;0.5,AJ181*(1+AG$23)+AG$24,0)</f>
        <v>0</v>
      </c>
      <c r="AH182" s="69" t="n">
        <f aca="false">MIN(AH$23,AG182)</f>
        <v>0</v>
      </c>
      <c r="AI182" s="69" t="n">
        <f aca="false">IF(AND(AH$24=1,OR(AG$25="",$C182&gt;=AG$25)),MAX(0,MIN(AG182-AH182,$D182-(G182+K182+O182+S182+W182+AA182+AE182))),0)</f>
        <v>0</v>
      </c>
      <c r="AJ182" s="69" t="n">
        <f aca="false">AG182-AH182-AI182</f>
        <v>0</v>
      </c>
      <c r="AK182" s="69" t="n">
        <f aca="false">IF(AK181&gt;0.5,AK181*(1+$E$12)+$G$12-MIN($F$12,AK181*(1+$E$12)+$G$12),0)</f>
        <v>0</v>
      </c>
      <c r="AL182" s="69" t="n">
        <f aca="false">IF(AL181&gt;0.5,AL181*(1+$E$13)+$G$13-MIN($F$13,AL181*(1+$E$13)+$G$13),0)</f>
        <v>0</v>
      </c>
      <c r="AM182" s="69" t="n">
        <f aca="false">IF(AM181&gt;0.5,AM181*(1+$E$14)+$G$14-MIN($F$14,AM181*(1+$E$14)+$G$14),0)</f>
        <v>0</v>
      </c>
      <c r="AN182" s="69" t="n">
        <f aca="false">IF(AN181&gt;0.5,AN181*(1+$E$15)+$G$15-MIN($F$15,AN181*(1+$E$15)+$G$15),0)</f>
        <v>0</v>
      </c>
      <c r="AO182" s="69" t="n">
        <f aca="false">IF(AO181&gt;0.5,AO181*(1+$E$16)+$G$16-MIN($F$16,AO181*(1+$E$16)+$G$16),0)</f>
        <v>0</v>
      </c>
      <c r="AP182" s="69" t="n">
        <f aca="false">IF(AP181&gt;0.5,AP181*(1+$E$17)+$G$17-MIN($F$17,AP181*(1+$E$17)+$G$17),0)</f>
        <v>0</v>
      </c>
      <c r="AQ182" s="69" t="n">
        <f aca="false">IF(AQ181&gt;0.5,AQ181*(1+$E$18)+$G$18-MIN($F$18,AQ181*(1+$E$18)+$G$18),0)</f>
        <v>0</v>
      </c>
      <c r="AR182" s="69" t="n">
        <f aca="false">IF(AR181&gt;0.5,AR181*(1+$E$19)+$G$19-MIN($F$19,AR181*(1+$E$19)+$G$19),0)</f>
        <v>0</v>
      </c>
      <c r="AS182" s="69" t="n">
        <f aca="false">H182+L182+P182+T182+X182+AB182+AF182+AJ182</f>
        <v>0</v>
      </c>
      <c r="AT182" s="69" t="n">
        <f aca="false">SUM(AK182:AR182)</f>
        <v>0</v>
      </c>
      <c r="AU182" s="69" t="n">
        <f aca="false">F182+G182+J182+K182+N182+O182+R182+S182+V182+W182+Z182+AA182+AD182+AE182+AH182+AI182</f>
        <v>0</v>
      </c>
    </row>
    <row r="183" customFormat="false" ht="15" hidden="false" customHeight="false" outlineLevel="0" collapsed="false">
      <c r="B183" s="0" t="n">
        <v>156</v>
      </c>
      <c r="C183" s="68" t="n">
        <f aca="false">EDATE($C$7,155)</f>
        <v>51014</v>
      </c>
      <c r="D183" s="69" t="n">
        <f aca="false">$C$8-(F183+J183+N183+R183+V183+Z183+AD183+AH183)</f>
        <v>0</v>
      </c>
      <c r="E183" s="69" t="n">
        <f aca="false">IF(H182&gt;0.5,H182*(1+E$23)+E$24,0)</f>
        <v>0</v>
      </c>
      <c r="F183" s="69" t="n">
        <f aca="false">MIN(F$23,E183)</f>
        <v>0</v>
      </c>
      <c r="G183" s="69" t="n">
        <f aca="false">IF(AND(F$24=1,OR(E$25="",$C183&gt;=E$25)),MAX(0,MIN(E183-F183,$D183-(0))),0)</f>
        <v>0</v>
      </c>
      <c r="H183" s="69" t="n">
        <f aca="false">E183-F183-G183</f>
        <v>0</v>
      </c>
      <c r="I183" s="69" t="n">
        <f aca="false">IF(L182&gt;0.5,L182*(1+I$23)+I$24,0)</f>
        <v>0</v>
      </c>
      <c r="J183" s="69" t="n">
        <f aca="false">MIN(J$23,I183)</f>
        <v>0</v>
      </c>
      <c r="K183" s="69" t="n">
        <f aca="false">IF(AND(J$24=1,OR(I$25="",$C183&gt;=I$25)),MAX(0,MIN(I183-J183,$D183-(G183))),0)</f>
        <v>0</v>
      </c>
      <c r="L183" s="69" t="n">
        <f aca="false">I183-J183-K183</f>
        <v>0</v>
      </c>
      <c r="M183" s="69" t="n">
        <f aca="false">IF(P182&gt;0.5,P182*(1+M$23)+M$24,0)</f>
        <v>0</v>
      </c>
      <c r="N183" s="69" t="n">
        <f aca="false">MIN(N$23,M183)</f>
        <v>0</v>
      </c>
      <c r="O183" s="69" t="n">
        <f aca="false">IF(AND(N$24=1,OR(M$25="",$C183&gt;=M$25)),MAX(0,MIN(M183-N183,$D183-(G183+K183))),0)</f>
        <v>0</v>
      </c>
      <c r="P183" s="69" t="n">
        <f aca="false">M183-N183-O183</f>
        <v>0</v>
      </c>
      <c r="Q183" s="69" t="n">
        <f aca="false">IF(T182&gt;0.5,T182*(1+Q$23)+Q$24,0)</f>
        <v>0</v>
      </c>
      <c r="R183" s="69" t="n">
        <f aca="false">MIN(R$23,Q183)</f>
        <v>0</v>
      </c>
      <c r="S183" s="69" t="n">
        <f aca="false">IF(AND(R$24=1,OR(Q$25="",$C183&gt;=Q$25)),MAX(0,MIN(Q183-R183,$D183-(G183+K183+O183))),0)</f>
        <v>0</v>
      </c>
      <c r="T183" s="69" t="n">
        <f aca="false">Q183-R183-S183</f>
        <v>0</v>
      </c>
      <c r="U183" s="69" t="n">
        <f aca="false">IF(X182&gt;0.5,X182*(1+U$23)+U$24,0)</f>
        <v>0</v>
      </c>
      <c r="V183" s="69" t="n">
        <f aca="false">MIN(V$23,U183)</f>
        <v>0</v>
      </c>
      <c r="W183" s="69" t="n">
        <f aca="false">IF(AND(V$24=1,OR(U$25="",$C183&gt;=U$25)),MAX(0,MIN(U183-V183,$D183-(G183+K183+O183+S183))),0)</f>
        <v>0</v>
      </c>
      <c r="X183" s="69" t="n">
        <f aca="false">U183-V183-W183</f>
        <v>0</v>
      </c>
      <c r="Y183" s="69" t="n">
        <f aca="false">IF(AB182&gt;0.5,AB182*(1+Y$23)+Y$24,0)</f>
        <v>0</v>
      </c>
      <c r="Z183" s="69" t="n">
        <f aca="false">MIN(Z$23,Y183)</f>
        <v>0</v>
      </c>
      <c r="AA183" s="69" t="n">
        <f aca="false">IF(AND(Z$24=1,OR(Y$25="",$C183&gt;=Y$25)),MAX(0,MIN(Y183-Z183,$D183-(G183+K183+O183+S183+W183))),0)</f>
        <v>0</v>
      </c>
      <c r="AB183" s="69" t="n">
        <f aca="false">Y183-Z183-AA183</f>
        <v>0</v>
      </c>
      <c r="AC183" s="69" t="n">
        <f aca="false">IF(AF182&gt;0.5,AF182*(1+AC$23)+AC$24,0)</f>
        <v>0</v>
      </c>
      <c r="AD183" s="69" t="n">
        <f aca="false">MIN(AD$23,AC183)</f>
        <v>0</v>
      </c>
      <c r="AE183" s="69" t="n">
        <f aca="false">IF(AND(AD$24=1,OR(AC$25="",$C183&gt;=AC$25)),MAX(0,MIN(AC183-AD183,$D183-(G183+K183+O183+S183+W183+AA183))),0)</f>
        <v>0</v>
      </c>
      <c r="AF183" s="69" t="n">
        <f aca="false">AC183-AD183-AE183</f>
        <v>0</v>
      </c>
      <c r="AG183" s="69" t="n">
        <f aca="false">IF(AJ182&gt;0.5,AJ182*(1+AG$23)+AG$24,0)</f>
        <v>0</v>
      </c>
      <c r="AH183" s="69" t="n">
        <f aca="false">MIN(AH$23,AG183)</f>
        <v>0</v>
      </c>
      <c r="AI183" s="69" t="n">
        <f aca="false">IF(AND(AH$24=1,OR(AG$25="",$C183&gt;=AG$25)),MAX(0,MIN(AG183-AH183,$D183-(G183+K183+O183+S183+W183+AA183+AE183))),0)</f>
        <v>0</v>
      </c>
      <c r="AJ183" s="69" t="n">
        <f aca="false">AG183-AH183-AI183</f>
        <v>0</v>
      </c>
      <c r="AK183" s="69" t="n">
        <f aca="false">IF(AK182&gt;0.5,AK182*(1+$E$12)+$G$12-MIN($F$12,AK182*(1+$E$12)+$G$12),0)</f>
        <v>0</v>
      </c>
      <c r="AL183" s="69" t="n">
        <f aca="false">IF(AL182&gt;0.5,AL182*(1+$E$13)+$G$13-MIN($F$13,AL182*(1+$E$13)+$G$13),0)</f>
        <v>0</v>
      </c>
      <c r="AM183" s="69" t="n">
        <f aca="false">IF(AM182&gt;0.5,AM182*(1+$E$14)+$G$14-MIN($F$14,AM182*(1+$E$14)+$G$14),0)</f>
        <v>0</v>
      </c>
      <c r="AN183" s="69" t="n">
        <f aca="false">IF(AN182&gt;0.5,AN182*(1+$E$15)+$G$15-MIN($F$15,AN182*(1+$E$15)+$G$15),0)</f>
        <v>0</v>
      </c>
      <c r="AO183" s="69" t="n">
        <f aca="false">IF(AO182&gt;0.5,AO182*(1+$E$16)+$G$16-MIN($F$16,AO182*(1+$E$16)+$G$16),0)</f>
        <v>0</v>
      </c>
      <c r="AP183" s="69" t="n">
        <f aca="false">IF(AP182&gt;0.5,AP182*(1+$E$17)+$G$17-MIN($F$17,AP182*(1+$E$17)+$G$17),0)</f>
        <v>0</v>
      </c>
      <c r="AQ183" s="69" t="n">
        <f aca="false">IF(AQ182&gt;0.5,AQ182*(1+$E$18)+$G$18-MIN($F$18,AQ182*(1+$E$18)+$G$18),0)</f>
        <v>0</v>
      </c>
      <c r="AR183" s="69" t="n">
        <f aca="false">IF(AR182&gt;0.5,AR182*(1+$E$19)+$G$19-MIN($F$19,AR182*(1+$E$19)+$G$19),0)</f>
        <v>0</v>
      </c>
      <c r="AS183" s="69" t="n">
        <f aca="false">H183+L183+P183+T183+X183+AB183+AF183+AJ183</f>
        <v>0</v>
      </c>
      <c r="AT183" s="69" t="n">
        <f aca="false">SUM(AK183:AR183)</f>
        <v>0</v>
      </c>
      <c r="AU183" s="69" t="n">
        <f aca="false">F183+G183+J183+K183+N183+O183+R183+S183+V183+W183+Z183+AA183+AD183+AE183+AH183+AI183</f>
        <v>0</v>
      </c>
    </row>
    <row r="184" customFormat="false" ht="15" hidden="false" customHeight="false" outlineLevel="0" collapsed="false">
      <c r="B184" s="0" t="n">
        <v>157</v>
      </c>
      <c r="C184" s="68" t="n">
        <f aca="false">EDATE($C$7,156)</f>
        <v>51044</v>
      </c>
      <c r="D184" s="69" t="n">
        <f aca="false">$C$8-(F184+J184+N184+R184+V184+Z184+AD184+AH184)</f>
        <v>0</v>
      </c>
      <c r="E184" s="69" t="n">
        <f aca="false">IF(H183&gt;0.5,H183*(1+E$23)+E$24,0)</f>
        <v>0</v>
      </c>
      <c r="F184" s="69" t="n">
        <f aca="false">MIN(F$23,E184)</f>
        <v>0</v>
      </c>
      <c r="G184" s="69" t="n">
        <f aca="false">IF(AND(F$24=1,OR(E$25="",$C184&gt;=E$25)),MAX(0,MIN(E184-F184,$D184-(0))),0)</f>
        <v>0</v>
      </c>
      <c r="H184" s="69" t="n">
        <f aca="false">E184-F184-G184</f>
        <v>0</v>
      </c>
      <c r="I184" s="69" t="n">
        <f aca="false">IF(L183&gt;0.5,L183*(1+I$23)+I$24,0)</f>
        <v>0</v>
      </c>
      <c r="J184" s="69" t="n">
        <f aca="false">MIN(J$23,I184)</f>
        <v>0</v>
      </c>
      <c r="K184" s="69" t="n">
        <f aca="false">IF(AND(J$24=1,OR(I$25="",$C184&gt;=I$25)),MAX(0,MIN(I184-J184,$D184-(G184))),0)</f>
        <v>0</v>
      </c>
      <c r="L184" s="69" t="n">
        <f aca="false">I184-J184-K184</f>
        <v>0</v>
      </c>
      <c r="M184" s="69" t="n">
        <f aca="false">IF(P183&gt;0.5,P183*(1+M$23)+M$24,0)</f>
        <v>0</v>
      </c>
      <c r="N184" s="69" t="n">
        <f aca="false">MIN(N$23,M184)</f>
        <v>0</v>
      </c>
      <c r="O184" s="69" t="n">
        <f aca="false">IF(AND(N$24=1,OR(M$25="",$C184&gt;=M$25)),MAX(0,MIN(M184-N184,$D184-(G184+K184))),0)</f>
        <v>0</v>
      </c>
      <c r="P184" s="69" t="n">
        <f aca="false">M184-N184-O184</f>
        <v>0</v>
      </c>
      <c r="Q184" s="69" t="n">
        <f aca="false">IF(T183&gt;0.5,T183*(1+Q$23)+Q$24,0)</f>
        <v>0</v>
      </c>
      <c r="R184" s="69" t="n">
        <f aca="false">MIN(R$23,Q184)</f>
        <v>0</v>
      </c>
      <c r="S184" s="69" t="n">
        <f aca="false">IF(AND(R$24=1,OR(Q$25="",$C184&gt;=Q$25)),MAX(0,MIN(Q184-R184,$D184-(G184+K184+O184))),0)</f>
        <v>0</v>
      </c>
      <c r="T184" s="69" t="n">
        <f aca="false">Q184-R184-S184</f>
        <v>0</v>
      </c>
      <c r="U184" s="69" t="n">
        <f aca="false">IF(X183&gt;0.5,X183*(1+U$23)+U$24,0)</f>
        <v>0</v>
      </c>
      <c r="V184" s="69" t="n">
        <f aca="false">MIN(V$23,U184)</f>
        <v>0</v>
      </c>
      <c r="W184" s="69" t="n">
        <f aca="false">IF(AND(V$24=1,OR(U$25="",$C184&gt;=U$25)),MAX(0,MIN(U184-V184,$D184-(G184+K184+O184+S184))),0)</f>
        <v>0</v>
      </c>
      <c r="X184" s="69" t="n">
        <f aca="false">U184-V184-W184</f>
        <v>0</v>
      </c>
      <c r="Y184" s="69" t="n">
        <f aca="false">IF(AB183&gt;0.5,AB183*(1+Y$23)+Y$24,0)</f>
        <v>0</v>
      </c>
      <c r="Z184" s="69" t="n">
        <f aca="false">MIN(Z$23,Y184)</f>
        <v>0</v>
      </c>
      <c r="AA184" s="69" t="n">
        <f aca="false">IF(AND(Z$24=1,OR(Y$25="",$C184&gt;=Y$25)),MAX(0,MIN(Y184-Z184,$D184-(G184+K184+O184+S184+W184))),0)</f>
        <v>0</v>
      </c>
      <c r="AB184" s="69" t="n">
        <f aca="false">Y184-Z184-AA184</f>
        <v>0</v>
      </c>
      <c r="AC184" s="69" t="n">
        <f aca="false">IF(AF183&gt;0.5,AF183*(1+AC$23)+AC$24,0)</f>
        <v>0</v>
      </c>
      <c r="AD184" s="69" t="n">
        <f aca="false">MIN(AD$23,AC184)</f>
        <v>0</v>
      </c>
      <c r="AE184" s="69" t="n">
        <f aca="false">IF(AND(AD$24=1,OR(AC$25="",$C184&gt;=AC$25)),MAX(0,MIN(AC184-AD184,$D184-(G184+K184+O184+S184+W184+AA184))),0)</f>
        <v>0</v>
      </c>
      <c r="AF184" s="69" t="n">
        <f aca="false">AC184-AD184-AE184</f>
        <v>0</v>
      </c>
      <c r="AG184" s="69" t="n">
        <f aca="false">IF(AJ183&gt;0.5,AJ183*(1+AG$23)+AG$24,0)</f>
        <v>0</v>
      </c>
      <c r="AH184" s="69" t="n">
        <f aca="false">MIN(AH$23,AG184)</f>
        <v>0</v>
      </c>
      <c r="AI184" s="69" t="n">
        <f aca="false">IF(AND(AH$24=1,OR(AG$25="",$C184&gt;=AG$25)),MAX(0,MIN(AG184-AH184,$D184-(G184+K184+O184+S184+W184+AA184+AE184))),0)</f>
        <v>0</v>
      </c>
      <c r="AJ184" s="69" t="n">
        <f aca="false">AG184-AH184-AI184</f>
        <v>0</v>
      </c>
      <c r="AK184" s="69" t="n">
        <f aca="false">IF(AK183&gt;0.5,AK183*(1+$E$12)+$G$12-MIN($F$12,AK183*(1+$E$12)+$G$12),0)</f>
        <v>0</v>
      </c>
      <c r="AL184" s="69" t="n">
        <f aca="false">IF(AL183&gt;0.5,AL183*(1+$E$13)+$G$13-MIN($F$13,AL183*(1+$E$13)+$G$13),0)</f>
        <v>0</v>
      </c>
      <c r="AM184" s="69" t="n">
        <f aca="false">IF(AM183&gt;0.5,AM183*(1+$E$14)+$G$14-MIN($F$14,AM183*(1+$E$14)+$G$14),0)</f>
        <v>0</v>
      </c>
      <c r="AN184" s="69" t="n">
        <f aca="false">IF(AN183&gt;0.5,AN183*(1+$E$15)+$G$15-MIN($F$15,AN183*(1+$E$15)+$G$15),0)</f>
        <v>0</v>
      </c>
      <c r="AO184" s="69" t="n">
        <f aca="false">IF(AO183&gt;0.5,AO183*(1+$E$16)+$G$16-MIN($F$16,AO183*(1+$E$16)+$G$16),0)</f>
        <v>0</v>
      </c>
      <c r="AP184" s="69" t="n">
        <f aca="false">IF(AP183&gt;0.5,AP183*(1+$E$17)+$G$17-MIN($F$17,AP183*(1+$E$17)+$G$17),0)</f>
        <v>0</v>
      </c>
      <c r="AQ184" s="69" t="n">
        <f aca="false">IF(AQ183&gt;0.5,AQ183*(1+$E$18)+$G$18-MIN($F$18,AQ183*(1+$E$18)+$G$18),0)</f>
        <v>0</v>
      </c>
      <c r="AR184" s="69" t="n">
        <f aca="false">IF(AR183&gt;0.5,AR183*(1+$E$19)+$G$19-MIN($F$19,AR183*(1+$E$19)+$G$19),0)</f>
        <v>0</v>
      </c>
      <c r="AS184" s="69" t="n">
        <f aca="false">H184+L184+P184+T184+X184+AB184+AF184+AJ184</f>
        <v>0</v>
      </c>
      <c r="AT184" s="69" t="n">
        <f aca="false">SUM(AK184:AR184)</f>
        <v>0</v>
      </c>
      <c r="AU184" s="69" t="n">
        <f aca="false">F184+G184+J184+K184+N184+O184+R184+S184+V184+W184+Z184+AA184+AD184+AE184+AH184+AI184</f>
        <v>0</v>
      </c>
    </row>
    <row r="185" customFormat="false" ht="15" hidden="false" customHeight="false" outlineLevel="0" collapsed="false">
      <c r="B185" s="0" t="n">
        <v>158</v>
      </c>
      <c r="C185" s="68" t="n">
        <f aca="false">EDATE($C$7,157)</f>
        <v>51075</v>
      </c>
      <c r="D185" s="69" t="n">
        <f aca="false">$C$8-(F185+J185+N185+R185+V185+Z185+AD185+AH185)</f>
        <v>0</v>
      </c>
      <c r="E185" s="69" t="n">
        <f aca="false">IF(H184&gt;0.5,H184*(1+E$23)+E$24,0)</f>
        <v>0</v>
      </c>
      <c r="F185" s="69" t="n">
        <f aca="false">MIN(F$23,E185)</f>
        <v>0</v>
      </c>
      <c r="G185" s="69" t="n">
        <f aca="false">IF(AND(F$24=1,OR(E$25="",$C185&gt;=E$25)),MAX(0,MIN(E185-F185,$D185-(0))),0)</f>
        <v>0</v>
      </c>
      <c r="H185" s="69" t="n">
        <f aca="false">E185-F185-G185</f>
        <v>0</v>
      </c>
      <c r="I185" s="69" t="n">
        <f aca="false">IF(L184&gt;0.5,L184*(1+I$23)+I$24,0)</f>
        <v>0</v>
      </c>
      <c r="J185" s="69" t="n">
        <f aca="false">MIN(J$23,I185)</f>
        <v>0</v>
      </c>
      <c r="K185" s="69" t="n">
        <f aca="false">IF(AND(J$24=1,OR(I$25="",$C185&gt;=I$25)),MAX(0,MIN(I185-J185,$D185-(G185))),0)</f>
        <v>0</v>
      </c>
      <c r="L185" s="69" t="n">
        <f aca="false">I185-J185-K185</f>
        <v>0</v>
      </c>
      <c r="M185" s="69" t="n">
        <f aca="false">IF(P184&gt;0.5,P184*(1+M$23)+M$24,0)</f>
        <v>0</v>
      </c>
      <c r="N185" s="69" t="n">
        <f aca="false">MIN(N$23,M185)</f>
        <v>0</v>
      </c>
      <c r="O185" s="69" t="n">
        <f aca="false">IF(AND(N$24=1,OR(M$25="",$C185&gt;=M$25)),MAX(0,MIN(M185-N185,$D185-(G185+K185))),0)</f>
        <v>0</v>
      </c>
      <c r="P185" s="69" t="n">
        <f aca="false">M185-N185-O185</f>
        <v>0</v>
      </c>
      <c r="Q185" s="69" t="n">
        <f aca="false">IF(T184&gt;0.5,T184*(1+Q$23)+Q$24,0)</f>
        <v>0</v>
      </c>
      <c r="R185" s="69" t="n">
        <f aca="false">MIN(R$23,Q185)</f>
        <v>0</v>
      </c>
      <c r="S185" s="69" t="n">
        <f aca="false">IF(AND(R$24=1,OR(Q$25="",$C185&gt;=Q$25)),MAX(0,MIN(Q185-R185,$D185-(G185+K185+O185))),0)</f>
        <v>0</v>
      </c>
      <c r="T185" s="69" t="n">
        <f aca="false">Q185-R185-S185</f>
        <v>0</v>
      </c>
      <c r="U185" s="69" t="n">
        <f aca="false">IF(X184&gt;0.5,X184*(1+U$23)+U$24,0)</f>
        <v>0</v>
      </c>
      <c r="V185" s="69" t="n">
        <f aca="false">MIN(V$23,U185)</f>
        <v>0</v>
      </c>
      <c r="W185" s="69" t="n">
        <f aca="false">IF(AND(V$24=1,OR(U$25="",$C185&gt;=U$25)),MAX(0,MIN(U185-V185,$D185-(G185+K185+O185+S185))),0)</f>
        <v>0</v>
      </c>
      <c r="X185" s="69" t="n">
        <f aca="false">U185-V185-W185</f>
        <v>0</v>
      </c>
      <c r="Y185" s="69" t="n">
        <f aca="false">IF(AB184&gt;0.5,AB184*(1+Y$23)+Y$24,0)</f>
        <v>0</v>
      </c>
      <c r="Z185" s="69" t="n">
        <f aca="false">MIN(Z$23,Y185)</f>
        <v>0</v>
      </c>
      <c r="AA185" s="69" t="n">
        <f aca="false">IF(AND(Z$24=1,OR(Y$25="",$C185&gt;=Y$25)),MAX(0,MIN(Y185-Z185,$D185-(G185+K185+O185+S185+W185))),0)</f>
        <v>0</v>
      </c>
      <c r="AB185" s="69" t="n">
        <f aca="false">Y185-Z185-AA185</f>
        <v>0</v>
      </c>
      <c r="AC185" s="69" t="n">
        <f aca="false">IF(AF184&gt;0.5,AF184*(1+AC$23)+AC$24,0)</f>
        <v>0</v>
      </c>
      <c r="AD185" s="69" t="n">
        <f aca="false">MIN(AD$23,AC185)</f>
        <v>0</v>
      </c>
      <c r="AE185" s="69" t="n">
        <f aca="false">IF(AND(AD$24=1,OR(AC$25="",$C185&gt;=AC$25)),MAX(0,MIN(AC185-AD185,$D185-(G185+K185+O185+S185+W185+AA185))),0)</f>
        <v>0</v>
      </c>
      <c r="AF185" s="69" t="n">
        <f aca="false">AC185-AD185-AE185</f>
        <v>0</v>
      </c>
      <c r="AG185" s="69" t="n">
        <f aca="false">IF(AJ184&gt;0.5,AJ184*(1+AG$23)+AG$24,0)</f>
        <v>0</v>
      </c>
      <c r="AH185" s="69" t="n">
        <f aca="false">MIN(AH$23,AG185)</f>
        <v>0</v>
      </c>
      <c r="AI185" s="69" t="n">
        <f aca="false">IF(AND(AH$24=1,OR(AG$25="",$C185&gt;=AG$25)),MAX(0,MIN(AG185-AH185,$D185-(G185+K185+O185+S185+W185+AA185+AE185))),0)</f>
        <v>0</v>
      </c>
      <c r="AJ185" s="69" t="n">
        <f aca="false">AG185-AH185-AI185</f>
        <v>0</v>
      </c>
      <c r="AK185" s="69" t="n">
        <f aca="false">IF(AK184&gt;0.5,AK184*(1+$E$12)+$G$12-MIN($F$12,AK184*(1+$E$12)+$G$12),0)</f>
        <v>0</v>
      </c>
      <c r="AL185" s="69" t="n">
        <f aca="false">IF(AL184&gt;0.5,AL184*(1+$E$13)+$G$13-MIN($F$13,AL184*(1+$E$13)+$G$13),0)</f>
        <v>0</v>
      </c>
      <c r="AM185" s="69" t="n">
        <f aca="false">IF(AM184&gt;0.5,AM184*(1+$E$14)+$G$14-MIN($F$14,AM184*(1+$E$14)+$G$14),0)</f>
        <v>0</v>
      </c>
      <c r="AN185" s="69" t="n">
        <f aca="false">IF(AN184&gt;0.5,AN184*(1+$E$15)+$G$15-MIN($F$15,AN184*(1+$E$15)+$G$15),0)</f>
        <v>0</v>
      </c>
      <c r="AO185" s="69" t="n">
        <f aca="false">IF(AO184&gt;0.5,AO184*(1+$E$16)+$G$16-MIN($F$16,AO184*(1+$E$16)+$G$16),0)</f>
        <v>0</v>
      </c>
      <c r="AP185" s="69" t="n">
        <f aca="false">IF(AP184&gt;0.5,AP184*(1+$E$17)+$G$17-MIN($F$17,AP184*(1+$E$17)+$G$17),0)</f>
        <v>0</v>
      </c>
      <c r="AQ185" s="69" t="n">
        <f aca="false">IF(AQ184&gt;0.5,AQ184*(1+$E$18)+$G$18-MIN($F$18,AQ184*(1+$E$18)+$G$18),0)</f>
        <v>0</v>
      </c>
      <c r="AR185" s="69" t="n">
        <f aca="false">IF(AR184&gt;0.5,AR184*(1+$E$19)+$G$19-MIN($F$19,AR184*(1+$E$19)+$G$19),0)</f>
        <v>0</v>
      </c>
      <c r="AS185" s="69" t="n">
        <f aca="false">H185+L185+P185+T185+X185+AB185+AF185+AJ185</f>
        <v>0</v>
      </c>
      <c r="AT185" s="69" t="n">
        <f aca="false">SUM(AK185:AR185)</f>
        <v>0</v>
      </c>
      <c r="AU185" s="69" t="n">
        <f aca="false">F185+G185+J185+K185+N185+O185+R185+S185+V185+W185+Z185+AA185+AD185+AE185+AH185+AI185</f>
        <v>0</v>
      </c>
    </row>
    <row r="186" customFormat="false" ht="15" hidden="false" customHeight="false" outlineLevel="0" collapsed="false">
      <c r="B186" s="0" t="n">
        <v>159</v>
      </c>
      <c r="C186" s="68" t="n">
        <f aca="false">EDATE($C$7,158)</f>
        <v>51105</v>
      </c>
      <c r="D186" s="69" t="n">
        <f aca="false">$C$8-(F186+J186+N186+R186+V186+Z186+AD186+AH186)</f>
        <v>0</v>
      </c>
      <c r="E186" s="69" t="n">
        <f aca="false">IF(H185&gt;0.5,H185*(1+E$23)+E$24,0)</f>
        <v>0</v>
      </c>
      <c r="F186" s="69" t="n">
        <f aca="false">MIN(F$23,E186)</f>
        <v>0</v>
      </c>
      <c r="G186" s="69" t="n">
        <f aca="false">IF(AND(F$24=1,OR(E$25="",$C186&gt;=E$25)),MAX(0,MIN(E186-F186,$D186-(0))),0)</f>
        <v>0</v>
      </c>
      <c r="H186" s="69" t="n">
        <f aca="false">E186-F186-G186</f>
        <v>0</v>
      </c>
      <c r="I186" s="69" t="n">
        <f aca="false">IF(L185&gt;0.5,L185*(1+I$23)+I$24,0)</f>
        <v>0</v>
      </c>
      <c r="J186" s="69" t="n">
        <f aca="false">MIN(J$23,I186)</f>
        <v>0</v>
      </c>
      <c r="K186" s="69" t="n">
        <f aca="false">IF(AND(J$24=1,OR(I$25="",$C186&gt;=I$25)),MAX(0,MIN(I186-J186,$D186-(G186))),0)</f>
        <v>0</v>
      </c>
      <c r="L186" s="69" t="n">
        <f aca="false">I186-J186-K186</f>
        <v>0</v>
      </c>
      <c r="M186" s="69" t="n">
        <f aca="false">IF(P185&gt;0.5,P185*(1+M$23)+M$24,0)</f>
        <v>0</v>
      </c>
      <c r="N186" s="69" t="n">
        <f aca="false">MIN(N$23,M186)</f>
        <v>0</v>
      </c>
      <c r="O186" s="69" t="n">
        <f aca="false">IF(AND(N$24=1,OR(M$25="",$C186&gt;=M$25)),MAX(0,MIN(M186-N186,$D186-(G186+K186))),0)</f>
        <v>0</v>
      </c>
      <c r="P186" s="69" t="n">
        <f aca="false">M186-N186-O186</f>
        <v>0</v>
      </c>
      <c r="Q186" s="69" t="n">
        <f aca="false">IF(T185&gt;0.5,T185*(1+Q$23)+Q$24,0)</f>
        <v>0</v>
      </c>
      <c r="R186" s="69" t="n">
        <f aca="false">MIN(R$23,Q186)</f>
        <v>0</v>
      </c>
      <c r="S186" s="69" t="n">
        <f aca="false">IF(AND(R$24=1,OR(Q$25="",$C186&gt;=Q$25)),MAX(0,MIN(Q186-R186,$D186-(G186+K186+O186))),0)</f>
        <v>0</v>
      </c>
      <c r="T186" s="69" t="n">
        <f aca="false">Q186-R186-S186</f>
        <v>0</v>
      </c>
      <c r="U186" s="69" t="n">
        <f aca="false">IF(X185&gt;0.5,X185*(1+U$23)+U$24,0)</f>
        <v>0</v>
      </c>
      <c r="V186" s="69" t="n">
        <f aca="false">MIN(V$23,U186)</f>
        <v>0</v>
      </c>
      <c r="W186" s="69" t="n">
        <f aca="false">IF(AND(V$24=1,OR(U$25="",$C186&gt;=U$25)),MAX(0,MIN(U186-V186,$D186-(G186+K186+O186+S186))),0)</f>
        <v>0</v>
      </c>
      <c r="X186" s="69" t="n">
        <f aca="false">U186-V186-W186</f>
        <v>0</v>
      </c>
      <c r="Y186" s="69" t="n">
        <f aca="false">IF(AB185&gt;0.5,AB185*(1+Y$23)+Y$24,0)</f>
        <v>0</v>
      </c>
      <c r="Z186" s="69" t="n">
        <f aca="false">MIN(Z$23,Y186)</f>
        <v>0</v>
      </c>
      <c r="AA186" s="69" t="n">
        <f aca="false">IF(AND(Z$24=1,OR(Y$25="",$C186&gt;=Y$25)),MAX(0,MIN(Y186-Z186,$D186-(G186+K186+O186+S186+W186))),0)</f>
        <v>0</v>
      </c>
      <c r="AB186" s="69" t="n">
        <f aca="false">Y186-Z186-AA186</f>
        <v>0</v>
      </c>
      <c r="AC186" s="69" t="n">
        <f aca="false">IF(AF185&gt;0.5,AF185*(1+AC$23)+AC$24,0)</f>
        <v>0</v>
      </c>
      <c r="AD186" s="69" t="n">
        <f aca="false">MIN(AD$23,AC186)</f>
        <v>0</v>
      </c>
      <c r="AE186" s="69" t="n">
        <f aca="false">IF(AND(AD$24=1,OR(AC$25="",$C186&gt;=AC$25)),MAX(0,MIN(AC186-AD186,$D186-(G186+K186+O186+S186+W186+AA186))),0)</f>
        <v>0</v>
      </c>
      <c r="AF186" s="69" t="n">
        <f aca="false">AC186-AD186-AE186</f>
        <v>0</v>
      </c>
      <c r="AG186" s="69" t="n">
        <f aca="false">IF(AJ185&gt;0.5,AJ185*(1+AG$23)+AG$24,0)</f>
        <v>0</v>
      </c>
      <c r="AH186" s="69" t="n">
        <f aca="false">MIN(AH$23,AG186)</f>
        <v>0</v>
      </c>
      <c r="AI186" s="69" t="n">
        <f aca="false">IF(AND(AH$24=1,OR(AG$25="",$C186&gt;=AG$25)),MAX(0,MIN(AG186-AH186,$D186-(G186+K186+O186+S186+W186+AA186+AE186))),0)</f>
        <v>0</v>
      </c>
      <c r="AJ186" s="69" t="n">
        <f aca="false">AG186-AH186-AI186</f>
        <v>0</v>
      </c>
      <c r="AK186" s="69" t="n">
        <f aca="false">IF(AK185&gt;0.5,AK185*(1+$E$12)+$G$12-MIN($F$12,AK185*(1+$E$12)+$G$12),0)</f>
        <v>0</v>
      </c>
      <c r="AL186" s="69" t="n">
        <f aca="false">IF(AL185&gt;0.5,AL185*(1+$E$13)+$G$13-MIN($F$13,AL185*(1+$E$13)+$G$13),0)</f>
        <v>0</v>
      </c>
      <c r="AM186" s="69" t="n">
        <f aca="false">IF(AM185&gt;0.5,AM185*(1+$E$14)+$G$14-MIN($F$14,AM185*(1+$E$14)+$G$14),0)</f>
        <v>0</v>
      </c>
      <c r="AN186" s="69" t="n">
        <f aca="false">IF(AN185&gt;0.5,AN185*(1+$E$15)+$G$15-MIN($F$15,AN185*(1+$E$15)+$G$15),0)</f>
        <v>0</v>
      </c>
      <c r="AO186" s="69" t="n">
        <f aca="false">IF(AO185&gt;0.5,AO185*(1+$E$16)+$G$16-MIN($F$16,AO185*(1+$E$16)+$G$16),0)</f>
        <v>0</v>
      </c>
      <c r="AP186" s="69" t="n">
        <f aca="false">IF(AP185&gt;0.5,AP185*(1+$E$17)+$G$17-MIN($F$17,AP185*(1+$E$17)+$G$17),0)</f>
        <v>0</v>
      </c>
      <c r="AQ186" s="69" t="n">
        <f aca="false">IF(AQ185&gt;0.5,AQ185*(1+$E$18)+$G$18-MIN($F$18,AQ185*(1+$E$18)+$G$18),0)</f>
        <v>0</v>
      </c>
      <c r="AR186" s="69" t="n">
        <f aca="false">IF(AR185&gt;0.5,AR185*(1+$E$19)+$G$19-MIN($F$19,AR185*(1+$E$19)+$G$19),0)</f>
        <v>0</v>
      </c>
      <c r="AS186" s="69" t="n">
        <f aca="false">H186+L186+P186+T186+X186+AB186+AF186+AJ186</f>
        <v>0</v>
      </c>
      <c r="AT186" s="69" t="n">
        <f aca="false">SUM(AK186:AR186)</f>
        <v>0</v>
      </c>
      <c r="AU186" s="69" t="n">
        <f aca="false">F186+G186+J186+K186+N186+O186+R186+S186+V186+W186+Z186+AA186+AD186+AE186+AH186+AI186</f>
        <v>0</v>
      </c>
    </row>
    <row r="187" customFormat="false" ht="15" hidden="false" customHeight="false" outlineLevel="0" collapsed="false">
      <c r="B187" s="0" t="n">
        <v>160</v>
      </c>
      <c r="C187" s="68" t="n">
        <f aca="false">EDATE($C$7,159)</f>
        <v>51136</v>
      </c>
      <c r="D187" s="69" t="n">
        <f aca="false">$C$8-(F187+J187+N187+R187+V187+Z187+AD187+AH187)</f>
        <v>0</v>
      </c>
      <c r="E187" s="69" t="n">
        <f aca="false">IF(H186&gt;0.5,H186*(1+E$23)+E$24,0)</f>
        <v>0</v>
      </c>
      <c r="F187" s="69" t="n">
        <f aca="false">MIN(F$23,E187)</f>
        <v>0</v>
      </c>
      <c r="G187" s="69" t="n">
        <f aca="false">IF(AND(F$24=1,OR(E$25="",$C187&gt;=E$25)),MAX(0,MIN(E187-F187,$D187-(0))),0)</f>
        <v>0</v>
      </c>
      <c r="H187" s="69" t="n">
        <f aca="false">E187-F187-G187</f>
        <v>0</v>
      </c>
      <c r="I187" s="69" t="n">
        <f aca="false">IF(L186&gt;0.5,L186*(1+I$23)+I$24,0)</f>
        <v>0</v>
      </c>
      <c r="J187" s="69" t="n">
        <f aca="false">MIN(J$23,I187)</f>
        <v>0</v>
      </c>
      <c r="K187" s="69" t="n">
        <f aca="false">IF(AND(J$24=1,OR(I$25="",$C187&gt;=I$25)),MAX(0,MIN(I187-J187,$D187-(G187))),0)</f>
        <v>0</v>
      </c>
      <c r="L187" s="69" t="n">
        <f aca="false">I187-J187-K187</f>
        <v>0</v>
      </c>
      <c r="M187" s="69" t="n">
        <f aca="false">IF(P186&gt;0.5,P186*(1+M$23)+M$24,0)</f>
        <v>0</v>
      </c>
      <c r="N187" s="69" t="n">
        <f aca="false">MIN(N$23,M187)</f>
        <v>0</v>
      </c>
      <c r="O187" s="69" t="n">
        <f aca="false">IF(AND(N$24=1,OR(M$25="",$C187&gt;=M$25)),MAX(0,MIN(M187-N187,$D187-(G187+K187))),0)</f>
        <v>0</v>
      </c>
      <c r="P187" s="69" t="n">
        <f aca="false">M187-N187-O187</f>
        <v>0</v>
      </c>
      <c r="Q187" s="69" t="n">
        <f aca="false">IF(T186&gt;0.5,T186*(1+Q$23)+Q$24,0)</f>
        <v>0</v>
      </c>
      <c r="R187" s="69" t="n">
        <f aca="false">MIN(R$23,Q187)</f>
        <v>0</v>
      </c>
      <c r="S187" s="69" t="n">
        <f aca="false">IF(AND(R$24=1,OR(Q$25="",$C187&gt;=Q$25)),MAX(0,MIN(Q187-R187,$D187-(G187+K187+O187))),0)</f>
        <v>0</v>
      </c>
      <c r="T187" s="69" t="n">
        <f aca="false">Q187-R187-S187</f>
        <v>0</v>
      </c>
      <c r="U187" s="69" t="n">
        <f aca="false">IF(X186&gt;0.5,X186*(1+U$23)+U$24,0)</f>
        <v>0</v>
      </c>
      <c r="V187" s="69" t="n">
        <f aca="false">MIN(V$23,U187)</f>
        <v>0</v>
      </c>
      <c r="W187" s="69" t="n">
        <f aca="false">IF(AND(V$24=1,OR(U$25="",$C187&gt;=U$25)),MAX(0,MIN(U187-V187,$D187-(G187+K187+O187+S187))),0)</f>
        <v>0</v>
      </c>
      <c r="X187" s="69" t="n">
        <f aca="false">U187-V187-W187</f>
        <v>0</v>
      </c>
      <c r="Y187" s="69" t="n">
        <f aca="false">IF(AB186&gt;0.5,AB186*(1+Y$23)+Y$24,0)</f>
        <v>0</v>
      </c>
      <c r="Z187" s="69" t="n">
        <f aca="false">MIN(Z$23,Y187)</f>
        <v>0</v>
      </c>
      <c r="AA187" s="69" t="n">
        <f aca="false">IF(AND(Z$24=1,OR(Y$25="",$C187&gt;=Y$25)),MAX(0,MIN(Y187-Z187,$D187-(G187+K187+O187+S187+W187))),0)</f>
        <v>0</v>
      </c>
      <c r="AB187" s="69" t="n">
        <f aca="false">Y187-Z187-AA187</f>
        <v>0</v>
      </c>
      <c r="AC187" s="69" t="n">
        <f aca="false">IF(AF186&gt;0.5,AF186*(1+AC$23)+AC$24,0)</f>
        <v>0</v>
      </c>
      <c r="AD187" s="69" t="n">
        <f aca="false">MIN(AD$23,AC187)</f>
        <v>0</v>
      </c>
      <c r="AE187" s="69" t="n">
        <f aca="false">IF(AND(AD$24=1,OR(AC$25="",$C187&gt;=AC$25)),MAX(0,MIN(AC187-AD187,$D187-(G187+K187+O187+S187+W187+AA187))),0)</f>
        <v>0</v>
      </c>
      <c r="AF187" s="69" t="n">
        <f aca="false">AC187-AD187-AE187</f>
        <v>0</v>
      </c>
      <c r="AG187" s="69" t="n">
        <f aca="false">IF(AJ186&gt;0.5,AJ186*(1+AG$23)+AG$24,0)</f>
        <v>0</v>
      </c>
      <c r="AH187" s="69" t="n">
        <f aca="false">MIN(AH$23,AG187)</f>
        <v>0</v>
      </c>
      <c r="AI187" s="69" t="n">
        <f aca="false">IF(AND(AH$24=1,OR(AG$25="",$C187&gt;=AG$25)),MAX(0,MIN(AG187-AH187,$D187-(G187+K187+O187+S187+W187+AA187+AE187))),0)</f>
        <v>0</v>
      </c>
      <c r="AJ187" s="69" t="n">
        <f aca="false">AG187-AH187-AI187</f>
        <v>0</v>
      </c>
      <c r="AK187" s="69" t="n">
        <f aca="false">IF(AK186&gt;0.5,AK186*(1+$E$12)+$G$12-MIN($F$12,AK186*(1+$E$12)+$G$12),0)</f>
        <v>0</v>
      </c>
      <c r="AL187" s="69" t="n">
        <f aca="false">IF(AL186&gt;0.5,AL186*(1+$E$13)+$G$13-MIN($F$13,AL186*(1+$E$13)+$G$13),0)</f>
        <v>0</v>
      </c>
      <c r="AM187" s="69" t="n">
        <f aca="false">IF(AM186&gt;0.5,AM186*(1+$E$14)+$G$14-MIN($F$14,AM186*(1+$E$14)+$G$14),0)</f>
        <v>0</v>
      </c>
      <c r="AN187" s="69" t="n">
        <f aca="false">IF(AN186&gt;0.5,AN186*(1+$E$15)+$G$15-MIN($F$15,AN186*(1+$E$15)+$G$15),0)</f>
        <v>0</v>
      </c>
      <c r="AO187" s="69" t="n">
        <f aca="false">IF(AO186&gt;0.5,AO186*(1+$E$16)+$G$16-MIN($F$16,AO186*(1+$E$16)+$G$16),0)</f>
        <v>0</v>
      </c>
      <c r="AP187" s="69" t="n">
        <f aca="false">IF(AP186&gt;0.5,AP186*(1+$E$17)+$G$17-MIN($F$17,AP186*(1+$E$17)+$G$17),0)</f>
        <v>0</v>
      </c>
      <c r="AQ187" s="69" t="n">
        <f aca="false">IF(AQ186&gt;0.5,AQ186*(1+$E$18)+$G$18-MIN($F$18,AQ186*(1+$E$18)+$G$18),0)</f>
        <v>0</v>
      </c>
      <c r="AR187" s="69" t="n">
        <f aca="false">IF(AR186&gt;0.5,AR186*(1+$E$19)+$G$19-MIN($F$19,AR186*(1+$E$19)+$G$19),0)</f>
        <v>0</v>
      </c>
      <c r="AS187" s="69" t="n">
        <f aca="false">H187+L187+P187+T187+X187+AB187+AF187+AJ187</f>
        <v>0</v>
      </c>
      <c r="AT187" s="69" t="n">
        <f aca="false">SUM(AK187:AR187)</f>
        <v>0</v>
      </c>
      <c r="AU187" s="69" t="n">
        <f aca="false">F187+G187+J187+K187+N187+O187+R187+S187+V187+W187+Z187+AA187+AD187+AE187+AH187+AI187</f>
        <v>0</v>
      </c>
    </row>
    <row r="188" customFormat="false" ht="15" hidden="false" customHeight="false" outlineLevel="0" collapsed="false">
      <c r="B188" s="0" t="n">
        <v>161</v>
      </c>
      <c r="C188" s="68" t="n">
        <f aca="false">EDATE($C$7,160)</f>
        <v>51167</v>
      </c>
      <c r="D188" s="69" t="n">
        <f aca="false">$C$8-(F188+J188+N188+R188+V188+Z188+AD188+AH188)</f>
        <v>0</v>
      </c>
      <c r="E188" s="69" t="n">
        <f aca="false">IF(H187&gt;0.5,H187*(1+E$23)+E$24,0)</f>
        <v>0</v>
      </c>
      <c r="F188" s="69" t="n">
        <f aca="false">MIN(F$23,E188)</f>
        <v>0</v>
      </c>
      <c r="G188" s="69" t="n">
        <f aca="false">IF(AND(F$24=1,OR(E$25="",$C188&gt;=E$25)),MAX(0,MIN(E188-F188,$D188-(0))),0)</f>
        <v>0</v>
      </c>
      <c r="H188" s="69" t="n">
        <f aca="false">E188-F188-G188</f>
        <v>0</v>
      </c>
      <c r="I188" s="69" t="n">
        <f aca="false">IF(L187&gt;0.5,L187*(1+I$23)+I$24,0)</f>
        <v>0</v>
      </c>
      <c r="J188" s="69" t="n">
        <f aca="false">MIN(J$23,I188)</f>
        <v>0</v>
      </c>
      <c r="K188" s="69" t="n">
        <f aca="false">IF(AND(J$24=1,OR(I$25="",$C188&gt;=I$25)),MAX(0,MIN(I188-J188,$D188-(G188))),0)</f>
        <v>0</v>
      </c>
      <c r="L188" s="69" t="n">
        <f aca="false">I188-J188-K188</f>
        <v>0</v>
      </c>
      <c r="M188" s="69" t="n">
        <f aca="false">IF(P187&gt;0.5,P187*(1+M$23)+M$24,0)</f>
        <v>0</v>
      </c>
      <c r="N188" s="69" t="n">
        <f aca="false">MIN(N$23,M188)</f>
        <v>0</v>
      </c>
      <c r="O188" s="69" t="n">
        <f aca="false">IF(AND(N$24=1,OR(M$25="",$C188&gt;=M$25)),MAX(0,MIN(M188-N188,$D188-(G188+K188))),0)</f>
        <v>0</v>
      </c>
      <c r="P188" s="69" t="n">
        <f aca="false">M188-N188-O188</f>
        <v>0</v>
      </c>
      <c r="Q188" s="69" t="n">
        <f aca="false">IF(T187&gt;0.5,T187*(1+Q$23)+Q$24,0)</f>
        <v>0</v>
      </c>
      <c r="R188" s="69" t="n">
        <f aca="false">MIN(R$23,Q188)</f>
        <v>0</v>
      </c>
      <c r="S188" s="69" t="n">
        <f aca="false">IF(AND(R$24=1,OR(Q$25="",$C188&gt;=Q$25)),MAX(0,MIN(Q188-R188,$D188-(G188+K188+O188))),0)</f>
        <v>0</v>
      </c>
      <c r="T188" s="69" t="n">
        <f aca="false">Q188-R188-S188</f>
        <v>0</v>
      </c>
      <c r="U188" s="69" t="n">
        <f aca="false">IF(X187&gt;0.5,X187*(1+U$23)+U$24,0)</f>
        <v>0</v>
      </c>
      <c r="V188" s="69" t="n">
        <f aca="false">MIN(V$23,U188)</f>
        <v>0</v>
      </c>
      <c r="W188" s="69" t="n">
        <f aca="false">IF(AND(V$24=1,OR(U$25="",$C188&gt;=U$25)),MAX(0,MIN(U188-V188,$D188-(G188+K188+O188+S188))),0)</f>
        <v>0</v>
      </c>
      <c r="X188" s="69" t="n">
        <f aca="false">U188-V188-W188</f>
        <v>0</v>
      </c>
      <c r="Y188" s="69" t="n">
        <f aca="false">IF(AB187&gt;0.5,AB187*(1+Y$23)+Y$24,0)</f>
        <v>0</v>
      </c>
      <c r="Z188" s="69" t="n">
        <f aca="false">MIN(Z$23,Y188)</f>
        <v>0</v>
      </c>
      <c r="AA188" s="69" t="n">
        <f aca="false">IF(AND(Z$24=1,OR(Y$25="",$C188&gt;=Y$25)),MAX(0,MIN(Y188-Z188,$D188-(G188+K188+O188+S188+W188))),0)</f>
        <v>0</v>
      </c>
      <c r="AB188" s="69" t="n">
        <f aca="false">Y188-Z188-AA188</f>
        <v>0</v>
      </c>
      <c r="AC188" s="69" t="n">
        <f aca="false">IF(AF187&gt;0.5,AF187*(1+AC$23)+AC$24,0)</f>
        <v>0</v>
      </c>
      <c r="AD188" s="69" t="n">
        <f aca="false">MIN(AD$23,AC188)</f>
        <v>0</v>
      </c>
      <c r="AE188" s="69" t="n">
        <f aca="false">IF(AND(AD$24=1,OR(AC$25="",$C188&gt;=AC$25)),MAX(0,MIN(AC188-AD188,$D188-(G188+K188+O188+S188+W188+AA188))),0)</f>
        <v>0</v>
      </c>
      <c r="AF188" s="69" t="n">
        <f aca="false">AC188-AD188-AE188</f>
        <v>0</v>
      </c>
      <c r="AG188" s="69" t="n">
        <f aca="false">IF(AJ187&gt;0.5,AJ187*(1+AG$23)+AG$24,0)</f>
        <v>0</v>
      </c>
      <c r="AH188" s="69" t="n">
        <f aca="false">MIN(AH$23,AG188)</f>
        <v>0</v>
      </c>
      <c r="AI188" s="69" t="n">
        <f aca="false">IF(AND(AH$24=1,OR(AG$25="",$C188&gt;=AG$25)),MAX(0,MIN(AG188-AH188,$D188-(G188+K188+O188+S188+W188+AA188+AE188))),0)</f>
        <v>0</v>
      </c>
      <c r="AJ188" s="69" t="n">
        <f aca="false">AG188-AH188-AI188</f>
        <v>0</v>
      </c>
      <c r="AK188" s="69" t="n">
        <f aca="false">IF(AK187&gt;0.5,AK187*(1+$E$12)+$G$12-MIN($F$12,AK187*(1+$E$12)+$G$12),0)</f>
        <v>0</v>
      </c>
      <c r="AL188" s="69" t="n">
        <f aca="false">IF(AL187&gt;0.5,AL187*(1+$E$13)+$G$13-MIN($F$13,AL187*(1+$E$13)+$G$13),0)</f>
        <v>0</v>
      </c>
      <c r="AM188" s="69" t="n">
        <f aca="false">IF(AM187&gt;0.5,AM187*(1+$E$14)+$G$14-MIN($F$14,AM187*(1+$E$14)+$G$14),0)</f>
        <v>0</v>
      </c>
      <c r="AN188" s="69" t="n">
        <f aca="false">IF(AN187&gt;0.5,AN187*(1+$E$15)+$G$15-MIN($F$15,AN187*(1+$E$15)+$G$15),0)</f>
        <v>0</v>
      </c>
      <c r="AO188" s="69" t="n">
        <f aca="false">IF(AO187&gt;0.5,AO187*(1+$E$16)+$G$16-MIN($F$16,AO187*(1+$E$16)+$G$16),0)</f>
        <v>0</v>
      </c>
      <c r="AP188" s="69" t="n">
        <f aca="false">IF(AP187&gt;0.5,AP187*(1+$E$17)+$G$17-MIN($F$17,AP187*(1+$E$17)+$G$17),0)</f>
        <v>0</v>
      </c>
      <c r="AQ188" s="69" t="n">
        <f aca="false">IF(AQ187&gt;0.5,AQ187*(1+$E$18)+$G$18-MIN($F$18,AQ187*(1+$E$18)+$G$18),0)</f>
        <v>0</v>
      </c>
      <c r="AR188" s="69" t="n">
        <f aca="false">IF(AR187&gt;0.5,AR187*(1+$E$19)+$G$19-MIN($F$19,AR187*(1+$E$19)+$G$19),0)</f>
        <v>0</v>
      </c>
      <c r="AS188" s="69" t="n">
        <f aca="false">H188+L188+P188+T188+X188+AB188+AF188+AJ188</f>
        <v>0</v>
      </c>
      <c r="AT188" s="69" t="n">
        <f aca="false">SUM(AK188:AR188)</f>
        <v>0</v>
      </c>
      <c r="AU188" s="69" t="n">
        <f aca="false">F188+G188+J188+K188+N188+O188+R188+S188+V188+W188+Z188+AA188+AD188+AE188+AH188+AI188</f>
        <v>0</v>
      </c>
    </row>
    <row r="189" customFormat="false" ht="15" hidden="false" customHeight="false" outlineLevel="0" collapsed="false">
      <c r="B189" s="0" t="n">
        <v>162</v>
      </c>
      <c r="C189" s="68" t="n">
        <f aca="false">EDATE($C$7,161)</f>
        <v>51196</v>
      </c>
      <c r="D189" s="69" t="n">
        <f aca="false">$C$8-(F189+J189+N189+R189+V189+Z189+AD189+AH189)</f>
        <v>0</v>
      </c>
      <c r="E189" s="69" t="n">
        <f aca="false">IF(H188&gt;0.5,H188*(1+E$23)+E$24,0)</f>
        <v>0</v>
      </c>
      <c r="F189" s="69" t="n">
        <f aca="false">MIN(F$23,E189)</f>
        <v>0</v>
      </c>
      <c r="G189" s="69" t="n">
        <f aca="false">IF(AND(F$24=1,OR(E$25="",$C189&gt;=E$25)),MAX(0,MIN(E189-F189,$D189-(0))),0)</f>
        <v>0</v>
      </c>
      <c r="H189" s="69" t="n">
        <f aca="false">E189-F189-G189</f>
        <v>0</v>
      </c>
      <c r="I189" s="69" t="n">
        <f aca="false">IF(L188&gt;0.5,L188*(1+I$23)+I$24,0)</f>
        <v>0</v>
      </c>
      <c r="J189" s="69" t="n">
        <f aca="false">MIN(J$23,I189)</f>
        <v>0</v>
      </c>
      <c r="K189" s="69" t="n">
        <f aca="false">IF(AND(J$24=1,OR(I$25="",$C189&gt;=I$25)),MAX(0,MIN(I189-J189,$D189-(G189))),0)</f>
        <v>0</v>
      </c>
      <c r="L189" s="69" t="n">
        <f aca="false">I189-J189-K189</f>
        <v>0</v>
      </c>
      <c r="M189" s="69" t="n">
        <f aca="false">IF(P188&gt;0.5,P188*(1+M$23)+M$24,0)</f>
        <v>0</v>
      </c>
      <c r="N189" s="69" t="n">
        <f aca="false">MIN(N$23,M189)</f>
        <v>0</v>
      </c>
      <c r="O189" s="69" t="n">
        <f aca="false">IF(AND(N$24=1,OR(M$25="",$C189&gt;=M$25)),MAX(0,MIN(M189-N189,$D189-(G189+K189))),0)</f>
        <v>0</v>
      </c>
      <c r="P189" s="69" t="n">
        <f aca="false">M189-N189-O189</f>
        <v>0</v>
      </c>
      <c r="Q189" s="69" t="n">
        <f aca="false">IF(T188&gt;0.5,T188*(1+Q$23)+Q$24,0)</f>
        <v>0</v>
      </c>
      <c r="R189" s="69" t="n">
        <f aca="false">MIN(R$23,Q189)</f>
        <v>0</v>
      </c>
      <c r="S189" s="69" t="n">
        <f aca="false">IF(AND(R$24=1,OR(Q$25="",$C189&gt;=Q$25)),MAX(0,MIN(Q189-R189,$D189-(G189+K189+O189))),0)</f>
        <v>0</v>
      </c>
      <c r="T189" s="69" t="n">
        <f aca="false">Q189-R189-S189</f>
        <v>0</v>
      </c>
      <c r="U189" s="69" t="n">
        <f aca="false">IF(X188&gt;0.5,X188*(1+U$23)+U$24,0)</f>
        <v>0</v>
      </c>
      <c r="V189" s="69" t="n">
        <f aca="false">MIN(V$23,U189)</f>
        <v>0</v>
      </c>
      <c r="W189" s="69" t="n">
        <f aca="false">IF(AND(V$24=1,OR(U$25="",$C189&gt;=U$25)),MAX(0,MIN(U189-V189,$D189-(G189+K189+O189+S189))),0)</f>
        <v>0</v>
      </c>
      <c r="X189" s="69" t="n">
        <f aca="false">U189-V189-W189</f>
        <v>0</v>
      </c>
      <c r="Y189" s="69" t="n">
        <f aca="false">IF(AB188&gt;0.5,AB188*(1+Y$23)+Y$24,0)</f>
        <v>0</v>
      </c>
      <c r="Z189" s="69" t="n">
        <f aca="false">MIN(Z$23,Y189)</f>
        <v>0</v>
      </c>
      <c r="AA189" s="69" t="n">
        <f aca="false">IF(AND(Z$24=1,OR(Y$25="",$C189&gt;=Y$25)),MAX(0,MIN(Y189-Z189,$D189-(G189+K189+O189+S189+W189))),0)</f>
        <v>0</v>
      </c>
      <c r="AB189" s="69" t="n">
        <f aca="false">Y189-Z189-AA189</f>
        <v>0</v>
      </c>
      <c r="AC189" s="69" t="n">
        <f aca="false">IF(AF188&gt;0.5,AF188*(1+AC$23)+AC$24,0)</f>
        <v>0</v>
      </c>
      <c r="AD189" s="69" t="n">
        <f aca="false">MIN(AD$23,AC189)</f>
        <v>0</v>
      </c>
      <c r="AE189" s="69" t="n">
        <f aca="false">IF(AND(AD$24=1,OR(AC$25="",$C189&gt;=AC$25)),MAX(0,MIN(AC189-AD189,$D189-(G189+K189+O189+S189+W189+AA189))),0)</f>
        <v>0</v>
      </c>
      <c r="AF189" s="69" t="n">
        <f aca="false">AC189-AD189-AE189</f>
        <v>0</v>
      </c>
      <c r="AG189" s="69" t="n">
        <f aca="false">IF(AJ188&gt;0.5,AJ188*(1+AG$23)+AG$24,0)</f>
        <v>0</v>
      </c>
      <c r="AH189" s="69" t="n">
        <f aca="false">MIN(AH$23,AG189)</f>
        <v>0</v>
      </c>
      <c r="AI189" s="69" t="n">
        <f aca="false">IF(AND(AH$24=1,OR(AG$25="",$C189&gt;=AG$25)),MAX(0,MIN(AG189-AH189,$D189-(G189+K189+O189+S189+W189+AA189+AE189))),0)</f>
        <v>0</v>
      </c>
      <c r="AJ189" s="69" t="n">
        <f aca="false">AG189-AH189-AI189</f>
        <v>0</v>
      </c>
      <c r="AK189" s="69" t="n">
        <f aca="false">IF(AK188&gt;0.5,AK188*(1+$E$12)+$G$12-MIN($F$12,AK188*(1+$E$12)+$G$12),0)</f>
        <v>0</v>
      </c>
      <c r="AL189" s="69" t="n">
        <f aca="false">IF(AL188&gt;0.5,AL188*(1+$E$13)+$G$13-MIN($F$13,AL188*(1+$E$13)+$G$13),0)</f>
        <v>0</v>
      </c>
      <c r="AM189" s="69" t="n">
        <f aca="false">IF(AM188&gt;0.5,AM188*(1+$E$14)+$G$14-MIN($F$14,AM188*(1+$E$14)+$G$14),0)</f>
        <v>0</v>
      </c>
      <c r="AN189" s="69" t="n">
        <f aca="false">IF(AN188&gt;0.5,AN188*(1+$E$15)+$G$15-MIN($F$15,AN188*(1+$E$15)+$G$15),0)</f>
        <v>0</v>
      </c>
      <c r="AO189" s="69" t="n">
        <f aca="false">IF(AO188&gt;0.5,AO188*(1+$E$16)+$G$16-MIN($F$16,AO188*(1+$E$16)+$G$16),0)</f>
        <v>0</v>
      </c>
      <c r="AP189" s="69" t="n">
        <f aca="false">IF(AP188&gt;0.5,AP188*(1+$E$17)+$G$17-MIN($F$17,AP188*(1+$E$17)+$G$17),0)</f>
        <v>0</v>
      </c>
      <c r="AQ189" s="69" t="n">
        <f aca="false">IF(AQ188&gt;0.5,AQ188*(1+$E$18)+$G$18-MIN($F$18,AQ188*(1+$E$18)+$G$18),0)</f>
        <v>0</v>
      </c>
      <c r="AR189" s="69" t="n">
        <f aca="false">IF(AR188&gt;0.5,AR188*(1+$E$19)+$G$19-MIN($F$19,AR188*(1+$E$19)+$G$19),0)</f>
        <v>0</v>
      </c>
      <c r="AS189" s="69" t="n">
        <f aca="false">H189+L189+P189+T189+X189+AB189+AF189+AJ189</f>
        <v>0</v>
      </c>
      <c r="AT189" s="69" t="n">
        <f aca="false">SUM(AK189:AR189)</f>
        <v>0</v>
      </c>
      <c r="AU189" s="69" t="n">
        <f aca="false">F189+G189+J189+K189+N189+O189+R189+S189+V189+W189+Z189+AA189+AD189+AE189+AH189+AI189</f>
        <v>0</v>
      </c>
    </row>
    <row r="190" customFormat="false" ht="15" hidden="false" customHeight="false" outlineLevel="0" collapsed="false">
      <c r="B190" s="0" t="n">
        <v>163</v>
      </c>
      <c r="C190" s="68" t="n">
        <f aca="false">EDATE($C$7,162)</f>
        <v>51227</v>
      </c>
      <c r="D190" s="69" t="n">
        <f aca="false">$C$8-(F190+J190+N190+R190+V190+Z190+AD190+AH190)</f>
        <v>0</v>
      </c>
      <c r="E190" s="69" t="n">
        <f aca="false">IF(H189&gt;0.5,H189*(1+E$23)+E$24,0)</f>
        <v>0</v>
      </c>
      <c r="F190" s="69" t="n">
        <f aca="false">MIN(F$23,E190)</f>
        <v>0</v>
      </c>
      <c r="G190" s="69" t="n">
        <f aca="false">IF(AND(F$24=1,OR(E$25="",$C190&gt;=E$25)),MAX(0,MIN(E190-F190,$D190-(0))),0)</f>
        <v>0</v>
      </c>
      <c r="H190" s="69" t="n">
        <f aca="false">E190-F190-G190</f>
        <v>0</v>
      </c>
      <c r="I190" s="69" t="n">
        <f aca="false">IF(L189&gt;0.5,L189*(1+I$23)+I$24,0)</f>
        <v>0</v>
      </c>
      <c r="J190" s="69" t="n">
        <f aca="false">MIN(J$23,I190)</f>
        <v>0</v>
      </c>
      <c r="K190" s="69" t="n">
        <f aca="false">IF(AND(J$24=1,OR(I$25="",$C190&gt;=I$25)),MAX(0,MIN(I190-J190,$D190-(G190))),0)</f>
        <v>0</v>
      </c>
      <c r="L190" s="69" t="n">
        <f aca="false">I190-J190-K190</f>
        <v>0</v>
      </c>
      <c r="M190" s="69" t="n">
        <f aca="false">IF(P189&gt;0.5,P189*(1+M$23)+M$24,0)</f>
        <v>0</v>
      </c>
      <c r="N190" s="69" t="n">
        <f aca="false">MIN(N$23,M190)</f>
        <v>0</v>
      </c>
      <c r="O190" s="69" t="n">
        <f aca="false">IF(AND(N$24=1,OR(M$25="",$C190&gt;=M$25)),MAX(0,MIN(M190-N190,$D190-(G190+K190))),0)</f>
        <v>0</v>
      </c>
      <c r="P190" s="69" t="n">
        <f aca="false">M190-N190-O190</f>
        <v>0</v>
      </c>
      <c r="Q190" s="69" t="n">
        <f aca="false">IF(T189&gt;0.5,T189*(1+Q$23)+Q$24,0)</f>
        <v>0</v>
      </c>
      <c r="R190" s="69" t="n">
        <f aca="false">MIN(R$23,Q190)</f>
        <v>0</v>
      </c>
      <c r="S190" s="69" t="n">
        <f aca="false">IF(AND(R$24=1,OR(Q$25="",$C190&gt;=Q$25)),MAX(0,MIN(Q190-R190,$D190-(G190+K190+O190))),0)</f>
        <v>0</v>
      </c>
      <c r="T190" s="69" t="n">
        <f aca="false">Q190-R190-S190</f>
        <v>0</v>
      </c>
      <c r="U190" s="69" t="n">
        <f aca="false">IF(X189&gt;0.5,X189*(1+U$23)+U$24,0)</f>
        <v>0</v>
      </c>
      <c r="V190" s="69" t="n">
        <f aca="false">MIN(V$23,U190)</f>
        <v>0</v>
      </c>
      <c r="W190" s="69" t="n">
        <f aca="false">IF(AND(V$24=1,OR(U$25="",$C190&gt;=U$25)),MAX(0,MIN(U190-V190,$D190-(G190+K190+O190+S190))),0)</f>
        <v>0</v>
      </c>
      <c r="X190" s="69" t="n">
        <f aca="false">U190-V190-W190</f>
        <v>0</v>
      </c>
      <c r="Y190" s="69" t="n">
        <f aca="false">IF(AB189&gt;0.5,AB189*(1+Y$23)+Y$24,0)</f>
        <v>0</v>
      </c>
      <c r="Z190" s="69" t="n">
        <f aca="false">MIN(Z$23,Y190)</f>
        <v>0</v>
      </c>
      <c r="AA190" s="69" t="n">
        <f aca="false">IF(AND(Z$24=1,OR(Y$25="",$C190&gt;=Y$25)),MAX(0,MIN(Y190-Z190,$D190-(G190+K190+O190+S190+W190))),0)</f>
        <v>0</v>
      </c>
      <c r="AB190" s="69" t="n">
        <f aca="false">Y190-Z190-AA190</f>
        <v>0</v>
      </c>
      <c r="AC190" s="69" t="n">
        <f aca="false">IF(AF189&gt;0.5,AF189*(1+AC$23)+AC$24,0)</f>
        <v>0</v>
      </c>
      <c r="AD190" s="69" t="n">
        <f aca="false">MIN(AD$23,AC190)</f>
        <v>0</v>
      </c>
      <c r="AE190" s="69" t="n">
        <f aca="false">IF(AND(AD$24=1,OR(AC$25="",$C190&gt;=AC$25)),MAX(0,MIN(AC190-AD190,$D190-(G190+K190+O190+S190+W190+AA190))),0)</f>
        <v>0</v>
      </c>
      <c r="AF190" s="69" t="n">
        <f aca="false">AC190-AD190-AE190</f>
        <v>0</v>
      </c>
      <c r="AG190" s="69" t="n">
        <f aca="false">IF(AJ189&gt;0.5,AJ189*(1+AG$23)+AG$24,0)</f>
        <v>0</v>
      </c>
      <c r="AH190" s="69" t="n">
        <f aca="false">MIN(AH$23,AG190)</f>
        <v>0</v>
      </c>
      <c r="AI190" s="69" t="n">
        <f aca="false">IF(AND(AH$24=1,OR(AG$25="",$C190&gt;=AG$25)),MAX(0,MIN(AG190-AH190,$D190-(G190+K190+O190+S190+W190+AA190+AE190))),0)</f>
        <v>0</v>
      </c>
      <c r="AJ190" s="69" t="n">
        <f aca="false">AG190-AH190-AI190</f>
        <v>0</v>
      </c>
      <c r="AK190" s="69" t="n">
        <f aca="false">IF(AK189&gt;0.5,AK189*(1+$E$12)+$G$12-MIN($F$12,AK189*(1+$E$12)+$G$12),0)</f>
        <v>0</v>
      </c>
      <c r="AL190" s="69" t="n">
        <f aca="false">IF(AL189&gt;0.5,AL189*(1+$E$13)+$G$13-MIN($F$13,AL189*(1+$E$13)+$G$13),0)</f>
        <v>0</v>
      </c>
      <c r="AM190" s="69" t="n">
        <f aca="false">IF(AM189&gt;0.5,AM189*(1+$E$14)+$G$14-MIN($F$14,AM189*(1+$E$14)+$G$14),0)</f>
        <v>0</v>
      </c>
      <c r="AN190" s="69" t="n">
        <f aca="false">IF(AN189&gt;0.5,AN189*(1+$E$15)+$G$15-MIN($F$15,AN189*(1+$E$15)+$G$15),0)</f>
        <v>0</v>
      </c>
      <c r="AO190" s="69" t="n">
        <f aca="false">IF(AO189&gt;0.5,AO189*(1+$E$16)+$G$16-MIN($F$16,AO189*(1+$E$16)+$G$16),0)</f>
        <v>0</v>
      </c>
      <c r="AP190" s="69" t="n">
        <f aca="false">IF(AP189&gt;0.5,AP189*(1+$E$17)+$G$17-MIN($F$17,AP189*(1+$E$17)+$G$17),0)</f>
        <v>0</v>
      </c>
      <c r="AQ190" s="69" t="n">
        <f aca="false">IF(AQ189&gt;0.5,AQ189*(1+$E$18)+$G$18-MIN($F$18,AQ189*(1+$E$18)+$G$18),0)</f>
        <v>0</v>
      </c>
      <c r="AR190" s="69" t="n">
        <f aca="false">IF(AR189&gt;0.5,AR189*(1+$E$19)+$G$19-MIN($F$19,AR189*(1+$E$19)+$G$19),0)</f>
        <v>0</v>
      </c>
      <c r="AS190" s="69" t="n">
        <f aca="false">H190+L190+P190+T190+X190+AB190+AF190+AJ190</f>
        <v>0</v>
      </c>
      <c r="AT190" s="69" t="n">
        <f aca="false">SUM(AK190:AR190)</f>
        <v>0</v>
      </c>
      <c r="AU190" s="69" t="n">
        <f aca="false">F190+G190+J190+K190+N190+O190+R190+S190+V190+W190+Z190+AA190+AD190+AE190+AH190+AI190</f>
        <v>0</v>
      </c>
    </row>
    <row r="191" customFormat="false" ht="15" hidden="false" customHeight="false" outlineLevel="0" collapsed="false">
      <c r="B191" s="0" t="n">
        <v>164</v>
      </c>
      <c r="C191" s="68" t="n">
        <f aca="false">EDATE($C$7,163)</f>
        <v>51257</v>
      </c>
      <c r="D191" s="69" t="n">
        <f aca="false">$C$8-(F191+J191+N191+R191+V191+Z191+AD191+AH191)</f>
        <v>0</v>
      </c>
      <c r="E191" s="69" t="n">
        <f aca="false">IF(H190&gt;0.5,H190*(1+E$23)+E$24,0)</f>
        <v>0</v>
      </c>
      <c r="F191" s="69" t="n">
        <f aca="false">MIN(F$23,E191)</f>
        <v>0</v>
      </c>
      <c r="G191" s="69" t="n">
        <f aca="false">IF(AND(F$24=1,OR(E$25="",$C191&gt;=E$25)),MAX(0,MIN(E191-F191,$D191-(0))),0)</f>
        <v>0</v>
      </c>
      <c r="H191" s="69" t="n">
        <f aca="false">E191-F191-G191</f>
        <v>0</v>
      </c>
      <c r="I191" s="69" t="n">
        <f aca="false">IF(L190&gt;0.5,L190*(1+I$23)+I$24,0)</f>
        <v>0</v>
      </c>
      <c r="J191" s="69" t="n">
        <f aca="false">MIN(J$23,I191)</f>
        <v>0</v>
      </c>
      <c r="K191" s="69" t="n">
        <f aca="false">IF(AND(J$24=1,OR(I$25="",$C191&gt;=I$25)),MAX(0,MIN(I191-J191,$D191-(G191))),0)</f>
        <v>0</v>
      </c>
      <c r="L191" s="69" t="n">
        <f aca="false">I191-J191-K191</f>
        <v>0</v>
      </c>
      <c r="M191" s="69" t="n">
        <f aca="false">IF(P190&gt;0.5,P190*(1+M$23)+M$24,0)</f>
        <v>0</v>
      </c>
      <c r="N191" s="69" t="n">
        <f aca="false">MIN(N$23,M191)</f>
        <v>0</v>
      </c>
      <c r="O191" s="69" t="n">
        <f aca="false">IF(AND(N$24=1,OR(M$25="",$C191&gt;=M$25)),MAX(0,MIN(M191-N191,$D191-(G191+K191))),0)</f>
        <v>0</v>
      </c>
      <c r="P191" s="69" t="n">
        <f aca="false">M191-N191-O191</f>
        <v>0</v>
      </c>
      <c r="Q191" s="69" t="n">
        <f aca="false">IF(T190&gt;0.5,T190*(1+Q$23)+Q$24,0)</f>
        <v>0</v>
      </c>
      <c r="R191" s="69" t="n">
        <f aca="false">MIN(R$23,Q191)</f>
        <v>0</v>
      </c>
      <c r="S191" s="69" t="n">
        <f aca="false">IF(AND(R$24=1,OR(Q$25="",$C191&gt;=Q$25)),MAX(0,MIN(Q191-R191,$D191-(G191+K191+O191))),0)</f>
        <v>0</v>
      </c>
      <c r="T191" s="69" t="n">
        <f aca="false">Q191-R191-S191</f>
        <v>0</v>
      </c>
      <c r="U191" s="69" t="n">
        <f aca="false">IF(X190&gt;0.5,X190*(1+U$23)+U$24,0)</f>
        <v>0</v>
      </c>
      <c r="V191" s="69" t="n">
        <f aca="false">MIN(V$23,U191)</f>
        <v>0</v>
      </c>
      <c r="W191" s="69" t="n">
        <f aca="false">IF(AND(V$24=1,OR(U$25="",$C191&gt;=U$25)),MAX(0,MIN(U191-V191,$D191-(G191+K191+O191+S191))),0)</f>
        <v>0</v>
      </c>
      <c r="X191" s="69" t="n">
        <f aca="false">U191-V191-W191</f>
        <v>0</v>
      </c>
      <c r="Y191" s="69" t="n">
        <f aca="false">IF(AB190&gt;0.5,AB190*(1+Y$23)+Y$24,0)</f>
        <v>0</v>
      </c>
      <c r="Z191" s="69" t="n">
        <f aca="false">MIN(Z$23,Y191)</f>
        <v>0</v>
      </c>
      <c r="AA191" s="69" t="n">
        <f aca="false">IF(AND(Z$24=1,OR(Y$25="",$C191&gt;=Y$25)),MAX(0,MIN(Y191-Z191,$D191-(G191+K191+O191+S191+W191))),0)</f>
        <v>0</v>
      </c>
      <c r="AB191" s="69" t="n">
        <f aca="false">Y191-Z191-AA191</f>
        <v>0</v>
      </c>
      <c r="AC191" s="69" t="n">
        <f aca="false">IF(AF190&gt;0.5,AF190*(1+AC$23)+AC$24,0)</f>
        <v>0</v>
      </c>
      <c r="AD191" s="69" t="n">
        <f aca="false">MIN(AD$23,AC191)</f>
        <v>0</v>
      </c>
      <c r="AE191" s="69" t="n">
        <f aca="false">IF(AND(AD$24=1,OR(AC$25="",$C191&gt;=AC$25)),MAX(0,MIN(AC191-AD191,$D191-(G191+K191+O191+S191+W191+AA191))),0)</f>
        <v>0</v>
      </c>
      <c r="AF191" s="69" t="n">
        <f aca="false">AC191-AD191-AE191</f>
        <v>0</v>
      </c>
      <c r="AG191" s="69" t="n">
        <f aca="false">IF(AJ190&gt;0.5,AJ190*(1+AG$23)+AG$24,0)</f>
        <v>0</v>
      </c>
      <c r="AH191" s="69" t="n">
        <f aca="false">MIN(AH$23,AG191)</f>
        <v>0</v>
      </c>
      <c r="AI191" s="69" t="n">
        <f aca="false">IF(AND(AH$24=1,OR(AG$25="",$C191&gt;=AG$25)),MAX(0,MIN(AG191-AH191,$D191-(G191+K191+O191+S191+W191+AA191+AE191))),0)</f>
        <v>0</v>
      </c>
      <c r="AJ191" s="69" t="n">
        <f aca="false">AG191-AH191-AI191</f>
        <v>0</v>
      </c>
      <c r="AK191" s="69" t="n">
        <f aca="false">IF(AK190&gt;0.5,AK190*(1+$E$12)+$G$12-MIN($F$12,AK190*(1+$E$12)+$G$12),0)</f>
        <v>0</v>
      </c>
      <c r="AL191" s="69" t="n">
        <f aca="false">IF(AL190&gt;0.5,AL190*(1+$E$13)+$G$13-MIN($F$13,AL190*(1+$E$13)+$G$13),0)</f>
        <v>0</v>
      </c>
      <c r="AM191" s="69" t="n">
        <f aca="false">IF(AM190&gt;0.5,AM190*(1+$E$14)+$G$14-MIN($F$14,AM190*(1+$E$14)+$G$14),0)</f>
        <v>0</v>
      </c>
      <c r="AN191" s="69" t="n">
        <f aca="false">IF(AN190&gt;0.5,AN190*(1+$E$15)+$G$15-MIN($F$15,AN190*(1+$E$15)+$G$15),0)</f>
        <v>0</v>
      </c>
      <c r="AO191" s="69" t="n">
        <f aca="false">IF(AO190&gt;0.5,AO190*(1+$E$16)+$G$16-MIN($F$16,AO190*(1+$E$16)+$G$16),0)</f>
        <v>0</v>
      </c>
      <c r="AP191" s="69" t="n">
        <f aca="false">IF(AP190&gt;0.5,AP190*(1+$E$17)+$G$17-MIN($F$17,AP190*(1+$E$17)+$G$17),0)</f>
        <v>0</v>
      </c>
      <c r="AQ191" s="69" t="n">
        <f aca="false">IF(AQ190&gt;0.5,AQ190*(1+$E$18)+$G$18-MIN($F$18,AQ190*(1+$E$18)+$G$18),0)</f>
        <v>0</v>
      </c>
      <c r="AR191" s="69" t="n">
        <f aca="false">IF(AR190&gt;0.5,AR190*(1+$E$19)+$G$19-MIN($F$19,AR190*(1+$E$19)+$G$19),0)</f>
        <v>0</v>
      </c>
      <c r="AS191" s="69" t="n">
        <f aca="false">H191+L191+P191+T191+X191+AB191+AF191+AJ191</f>
        <v>0</v>
      </c>
      <c r="AT191" s="69" t="n">
        <f aca="false">SUM(AK191:AR191)</f>
        <v>0</v>
      </c>
      <c r="AU191" s="69" t="n">
        <f aca="false">F191+G191+J191+K191+N191+O191+R191+S191+V191+W191+Z191+AA191+AD191+AE191+AH191+AI191</f>
        <v>0</v>
      </c>
    </row>
    <row r="192" customFormat="false" ht="15" hidden="false" customHeight="false" outlineLevel="0" collapsed="false">
      <c r="B192" s="0" t="n">
        <v>165</v>
      </c>
      <c r="C192" s="68" t="n">
        <f aca="false">EDATE($C$7,164)</f>
        <v>51288</v>
      </c>
      <c r="D192" s="69" t="n">
        <f aca="false">$C$8-(F192+J192+N192+R192+V192+Z192+AD192+AH192)</f>
        <v>0</v>
      </c>
      <c r="E192" s="69" t="n">
        <f aca="false">IF(H191&gt;0.5,H191*(1+E$23)+E$24,0)</f>
        <v>0</v>
      </c>
      <c r="F192" s="69" t="n">
        <f aca="false">MIN(F$23,E192)</f>
        <v>0</v>
      </c>
      <c r="G192" s="69" t="n">
        <f aca="false">IF(AND(F$24=1,OR(E$25="",$C192&gt;=E$25)),MAX(0,MIN(E192-F192,$D192-(0))),0)</f>
        <v>0</v>
      </c>
      <c r="H192" s="69" t="n">
        <f aca="false">E192-F192-G192</f>
        <v>0</v>
      </c>
      <c r="I192" s="69" t="n">
        <f aca="false">IF(L191&gt;0.5,L191*(1+I$23)+I$24,0)</f>
        <v>0</v>
      </c>
      <c r="J192" s="69" t="n">
        <f aca="false">MIN(J$23,I192)</f>
        <v>0</v>
      </c>
      <c r="K192" s="69" t="n">
        <f aca="false">IF(AND(J$24=1,OR(I$25="",$C192&gt;=I$25)),MAX(0,MIN(I192-J192,$D192-(G192))),0)</f>
        <v>0</v>
      </c>
      <c r="L192" s="69" t="n">
        <f aca="false">I192-J192-K192</f>
        <v>0</v>
      </c>
      <c r="M192" s="69" t="n">
        <f aca="false">IF(P191&gt;0.5,P191*(1+M$23)+M$24,0)</f>
        <v>0</v>
      </c>
      <c r="N192" s="69" t="n">
        <f aca="false">MIN(N$23,M192)</f>
        <v>0</v>
      </c>
      <c r="O192" s="69" t="n">
        <f aca="false">IF(AND(N$24=1,OR(M$25="",$C192&gt;=M$25)),MAX(0,MIN(M192-N192,$D192-(G192+K192))),0)</f>
        <v>0</v>
      </c>
      <c r="P192" s="69" t="n">
        <f aca="false">M192-N192-O192</f>
        <v>0</v>
      </c>
      <c r="Q192" s="69" t="n">
        <f aca="false">IF(T191&gt;0.5,T191*(1+Q$23)+Q$24,0)</f>
        <v>0</v>
      </c>
      <c r="R192" s="69" t="n">
        <f aca="false">MIN(R$23,Q192)</f>
        <v>0</v>
      </c>
      <c r="S192" s="69" t="n">
        <f aca="false">IF(AND(R$24=1,OR(Q$25="",$C192&gt;=Q$25)),MAX(0,MIN(Q192-R192,$D192-(G192+K192+O192))),0)</f>
        <v>0</v>
      </c>
      <c r="T192" s="69" t="n">
        <f aca="false">Q192-R192-S192</f>
        <v>0</v>
      </c>
      <c r="U192" s="69" t="n">
        <f aca="false">IF(X191&gt;0.5,X191*(1+U$23)+U$24,0)</f>
        <v>0</v>
      </c>
      <c r="V192" s="69" t="n">
        <f aca="false">MIN(V$23,U192)</f>
        <v>0</v>
      </c>
      <c r="W192" s="69" t="n">
        <f aca="false">IF(AND(V$24=1,OR(U$25="",$C192&gt;=U$25)),MAX(0,MIN(U192-V192,$D192-(G192+K192+O192+S192))),0)</f>
        <v>0</v>
      </c>
      <c r="X192" s="69" t="n">
        <f aca="false">U192-V192-W192</f>
        <v>0</v>
      </c>
      <c r="Y192" s="69" t="n">
        <f aca="false">IF(AB191&gt;0.5,AB191*(1+Y$23)+Y$24,0)</f>
        <v>0</v>
      </c>
      <c r="Z192" s="69" t="n">
        <f aca="false">MIN(Z$23,Y192)</f>
        <v>0</v>
      </c>
      <c r="AA192" s="69" t="n">
        <f aca="false">IF(AND(Z$24=1,OR(Y$25="",$C192&gt;=Y$25)),MAX(0,MIN(Y192-Z192,$D192-(G192+K192+O192+S192+W192))),0)</f>
        <v>0</v>
      </c>
      <c r="AB192" s="69" t="n">
        <f aca="false">Y192-Z192-AA192</f>
        <v>0</v>
      </c>
      <c r="AC192" s="69" t="n">
        <f aca="false">IF(AF191&gt;0.5,AF191*(1+AC$23)+AC$24,0)</f>
        <v>0</v>
      </c>
      <c r="AD192" s="69" t="n">
        <f aca="false">MIN(AD$23,AC192)</f>
        <v>0</v>
      </c>
      <c r="AE192" s="69" t="n">
        <f aca="false">IF(AND(AD$24=1,OR(AC$25="",$C192&gt;=AC$25)),MAX(0,MIN(AC192-AD192,$D192-(G192+K192+O192+S192+W192+AA192))),0)</f>
        <v>0</v>
      </c>
      <c r="AF192" s="69" t="n">
        <f aca="false">AC192-AD192-AE192</f>
        <v>0</v>
      </c>
      <c r="AG192" s="69" t="n">
        <f aca="false">IF(AJ191&gt;0.5,AJ191*(1+AG$23)+AG$24,0)</f>
        <v>0</v>
      </c>
      <c r="AH192" s="69" t="n">
        <f aca="false">MIN(AH$23,AG192)</f>
        <v>0</v>
      </c>
      <c r="AI192" s="69" t="n">
        <f aca="false">IF(AND(AH$24=1,OR(AG$25="",$C192&gt;=AG$25)),MAX(0,MIN(AG192-AH192,$D192-(G192+K192+O192+S192+W192+AA192+AE192))),0)</f>
        <v>0</v>
      </c>
      <c r="AJ192" s="69" t="n">
        <f aca="false">AG192-AH192-AI192</f>
        <v>0</v>
      </c>
      <c r="AK192" s="69" t="n">
        <f aca="false">IF(AK191&gt;0.5,AK191*(1+$E$12)+$G$12-MIN($F$12,AK191*(1+$E$12)+$G$12),0)</f>
        <v>0</v>
      </c>
      <c r="AL192" s="69" t="n">
        <f aca="false">IF(AL191&gt;0.5,AL191*(1+$E$13)+$G$13-MIN($F$13,AL191*(1+$E$13)+$G$13),0)</f>
        <v>0</v>
      </c>
      <c r="AM192" s="69" t="n">
        <f aca="false">IF(AM191&gt;0.5,AM191*(1+$E$14)+$G$14-MIN($F$14,AM191*(1+$E$14)+$G$14),0)</f>
        <v>0</v>
      </c>
      <c r="AN192" s="69" t="n">
        <f aca="false">IF(AN191&gt;0.5,AN191*(1+$E$15)+$G$15-MIN($F$15,AN191*(1+$E$15)+$G$15),0)</f>
        <v>0</v>
      </c>
      <c r="AO192" s="69" t="n">
        <f aca="false">IF(AO191&gt;0.5,AO191*(1+$E$16)+$G$16-MIN($F$16,AO191*(1+$E$16)+$G$16),0)</f>
        <v>0</v>
      </c>
      <c r="AP192" s="69" t="n">
        <f aca="false">IF(AP191&gt;0.5,AP191*(1+$E$17)+$G$17-MIN($F$17,AP191*(1+$E$17)+$G$17),0)</f>
        <v>0</v>
      </c>
      <c r="AQ192" s="69" t="n">
        <f aca="false">IF(AQ191&gt;0.5,AQ191*(1+$E$18)+$G$18-MIN($F$18,AQ191*(1+$E$18)+$G$18),0)</f>
        <v>0</v>
      </c>
      <c r="AR192" s="69" t="n">
        <f aca="false">IF(AR191&gt;0.5,AR191*(1+$E$19)+$G$19-MIN($F$19,AR191*(1+$E$19)+$G$19),0)</f>
        <v>0</v>
      </c>
      <c r="AS192" s="69" t="n">
        <f aca="false">H192+L192+P192+T192+X192+AB192+AF192+AJ192</f>
        <v>0</v>
      </c>
      <c r="AT192" s="69" t="n">
        <f aca="false">SUM(AK192:AR192)</f>
        <v>0</v>
      </c>
      <c r="AU192" s="69" t="n">
        <f aca="false">F192+G192+J192+K192+N192+O192+R192+S192+V192+W192+Z192+AA192+AD192+AE192+AH192+AI192</f>
        <v>0</v>
      </c>
    </row>
    <row r="193" customFormat="false" ht="15" hidden="false" customHeight="false" outlineLevel="0" collapsed="false">
      <c r="B193" s="0" t="n">
        <v>166</v>
      </c>
      <c r="C193" s="68" t="n">
        <f aca="false">EDATE($C$7,165)</f>
        <v>51318</v>
      </c>
      <c r="D193" s="69" t="n">
        <f aca="false">$C$8-(F193+J193+N193+R193+V193+Z193+AD193+AH193)</f>
        <v>0</v>
      </c>
      <c r="E193" s="69" t="n">
        <f aca="false">IF(H192&gt;0.5,H192*(1+E$23)+E$24,0)</f>
        <v>0</v>
      </c>
      <c r="F193" s="69" t="n">
        <f aca="false">MIN(F$23,E193)</f>
        <v>0</v>
      </c>
      <c r="G193" s="69" t="n">
        <f aca="false">IF(AND(F$24=1,OR(E$25="",$C193&gt;=E$25)),MAX(0,MIN(E193-F193,$D193-(0))),0)</f>
        <v>0</v>
      </c>
      <c r="H193" s="69" t="n">
        <f aca="false">E193-F193-G193</f>
        <v>0</v>
      </c>
      <c r="I193" s="69" t="n">
        <f aca="false">IF(L192&gt;0.5,L192*(1+I$23)+I$24,0)</f>
        <v>0</v>
      </c>
      <c r="J193" s="69" t="n">
        <f aca="false">MIN(J$23,I193)</f>
        <v>0</v>
      </c>
      <c r="K193" s="69" t="n">
        <f aca="false">IF(AND(J$24=1,OR(I$25="",$C193&gt;=I$25)),MAX(0,MIN(I193-J193,$D193-(G193))),0)</f>
        <v>0</v>
      </c>
      <c r="L193" s="69" t="n">
        <f aca="false">I193-J193-K193</f>
        <v>0</v>
      </c>
      <c r="M193" s="69" t="n">
        <f aca="false">IF(P192&gt;0.5,P192*(1+M$23)+M$24,0)</f>
        <v>0</v>
      </c>
      <c r="N193" s="69" t="n">
        <f aca="false">MIN(N$23,M193)</f>
        <v>0</v>
      </c>
      <c r="O193" s="69" t="n">
        <f aca="false">IF(AND(N$24=1,OR(M$25="",$C193&gt;=M$25)),MAX(0,MIN(M193-N193,$D193-(G193+K193))),0)</f>
        <v>0</v>
      </c>
      <c r="P193" s="69" t="n">
        <f aca="false">M193-N193-O193</f>
        <v>0</v>
      </c>
      <c r="Q193" s="69" t="n">
        <f aca="false">IF(T192&gt;0.5,T192*(1+Q$23)+Q$24,0)</f>
        <v>0</v>
      </c>
      <c r="R193" s="69" t="n">
        <f aca="false">MIN(R$23,Q193)</f>
        <v>0</v>
      </c>
      <c r="S193" s="69" t="n">
        <f aca="false">IF(AND(R$24=1,OR(Q$25="",$C193&gt;=Q$25)),MAX(0,MIN(Q193-R193,$D193-(G193+K193+O193))),0)</f>
        <v>0</v>
      </c>
      <c r="T193" s="69" t="n">
        <f aca="false">Q193-R193-S193</f>
        <v>0</v>
      </c>
      <c r="U193" s="69" t="n">
        <f aca="false">IF(X192&gt;0.5,X192*(1+U$23)+U$24,0)</f>
        <v>0</v>
      </c>
      <c r="V193" s="69" t="n">
        <f aca="false">MIN(V$23,U193)</f>
        <v>0</v>
      </c>
      <c r="W193" s="69" t="n">
        <f aca="false">IF(AND(V$24=1,OR(U$25="",$C193&gt;=U$25)),MAX(0,MIN(U193-V193,$D193-(G193+K193+O193+S193))),0)</f>
        <v>0</v>
      </c>
      <c r="X193" s="69" t="n">
        <f aca="false">U193-V193-W193</f>
        <v>0</v>
      </c>
      <c r="Y193" s="69" t="n">
        <f aca="false">IF(AB192&gt;0.5,AB192*(1+Y$23)+Y$24,0)</f>
        <v>0</v>
      </c>
      <c r="Z193" s="69" t="n">
        <f aca="false">MIN(Z$23,Y193)</f>
        <v>0</v>
      </c>
      <c r="AA193" s="69" t="n">
        <f aca="false">IF(AND(Z$24=1,OR(Y$25="",$C193&gt;=Y$25)),MAX(0,MIN(Y193-Z193,$D193-(G193+K193+O193+S193+W193))),0)</f>
        <v>0</v>
      </c>
      <c r="AB193" s="69" t="n">
        <f aca="false">Y193-Z193-AA193</f>
        <v>0</v>
      </c>
      <c r="AC193" s="69" t="n">
        <f aca="false">IF(AF192&gt;0.5,AF192*(1+AC$23)+AC$24,0)</f>
        <v>0</v>
      </c>
      <c r="AD193" s="69" t="n">
        <f aca="false">MIN(AD$23,AC193)</f>
        <v>0</v>
      </c>
      <c r="AE193" s="69" t="n">
        <f aca="false">IF(AND(AD$24=1,OR(AC$25="",$C193&gt;=AC$25)),MAX(0,MIN(AC193-AD193,$D193-(G193+K193+O193+S193+W193+AA193))),0)</f>
        <v>0</v>
      </c>
      <c r="AF193" s="69" t="n">
        <f aca="false">AC193-AD193-AE193</f>
        <v>0</v>
      </c>
      <c r="AG193" s="69" t="n">
        <f aca="false">IF(AJ192&gt;0.5,AJ192*(1+AG$23)+AG$24,0)</f>
        <v>0</v>
      </c>
      <c r="AH193" s="69" t="n">
        <f aca="false">MIN(AH$23,AG193)</f>
        <v>0</v>
      </c>
      <c r="AI193" s="69" t="n">
        <f aca="false">IF(AND(AH$24=1,OR(AG$25="",$C193&gt;=AG$25)),MAX(0,MIN(AG193-AH193,$D193-(G193+K193+O193+S193+W193+AA193+AE193))),0)</f>
        <v>0</v>
      </c>
      <c r="AJ193" s="69" t="n">
        <f aca="false">AG193-AH193-AI193</f>
        <v>0</v>
      </c>
      <c r="AK193" s="69" t="n">
        <f aca="false">IF(AK192&gt;0.5,AK192*(1+$E$12)+$G$12-MIN($F$12,AK192*(1+$E$12)+$G$12),0)</f>
        <v>0</v>
      </c>
      <c r="AL193" s="69" t="n">
        <f aca="false">IF(AL192&gt;0.5,AL192*(1+$E$13)+$G$13-MIN($F$13,AL192*(1+$E$13)+$G$13),0)</f>
        <v>0</v>
      </c>
      <c r="AM193" s="69" t="n">
        <f aca="false">IF(AM192&gt;0.5,AM192*(1+$E$14)+$G$14-MIN($F$14,AM192*(1+$E$14)+$G$14),0)</f>
        <v>0</v>
      </c>
      <c r="AN193" s="69" t="n">
        <f aca="false">IF(AN192&gt;0.5,AN192*(1+$E$15)+$G$15-MIN($F$15,AN192*(1+$E$15)+$G$15),0)</f>
        <v>0</v>
      </c>
      <c r="AO193" s="69" t="n">
        <f aca="false">IF(AO192&gt;0.5,AO192*(1+$E$16)+$G$16-MIN($F$16,AO192*(1+$E$16)+$G$16),0)</f>
        <v>0</v>
      </c>
      <c r="AP193" s="69" t="n">
        <f aca="false">IF(AP192&gt;0.5,AP192*(1+$E$17)+$G$17-MIN($F$17,AP192*(1+$E$17)+$G$17),0)</f>
        <v>0</v>
      </c>
      <c r="AQ193" s="69" t="n">
        <f aca="false">IF(AQ192&gt;0.5,AQ192*(1+$E$18)+$G$18-MIN($F$18,AQ192*(1+$E$18)+$G$18),0)</f>
        <v>0</v>
      </c>
      <c r="AR193" s="69" t="n">
        <f aca="false">IF(AR192&gt;0.5,AR192*(1+$E$19)+$G$19-MIN($F$19,AR192*(1+$E$19)+$G$19),0)</f>
        <v>0</v>
      </c>
      <c r="AS193" s="69" t="n">
        <f aca="false">H193+L193+P193+T193+X193+AB193+AF193+AJ193</f>
        <v>0</v>
      </c>
      <c r="AT193" s="69" t="n">
        <f aca="false">SUM(AK193:AR193)</f>
        <v>0</v>
      </c>
      <c r="AU193" s="69" t="n">
        <f aca="false">F193+G193+J193+K193+N193+O193+R193+S193+V193+W193+Z193+AA193+AD193+AE193+AH193+AI193</f>
        <v>0</v>
      </c>
    </row>
    <row r="194" customFormat="false" ht="15" hidden="false" customHeight="false" outlineLevel="0" collapsed="false">
      <c r="B194" s="0" t="n">
        <v>167</v>
      </c>
      <c r="C194" s="68" t="n">
        <f aca="false">EDATE($C$7,166)</f>
        <v>51349</v>
      </c>
      <c r="D194" s="69" t="n">
        <f aca="false">$C$8-(F194+J194+N194+R194+V194+Z194+AD194+AH194)</f>
        <v>0</v>
      </c>
      <c r="E194" s="69" t="n">
        <f aca="false">IF(H193&gt;0.5,H193*(1+E$23)+E$24,0)</f>
        <v>0</v>
      </c>
      <c r="F194" s="69" t="n">
        <f aca="false">MIN(F$23,E194)</f>
        <v>0</v>
      </c>
      <c r="G194" s="69" t="n">
        <f aca="false">IF(AND(F$24=1,OR(E$25="",$C194&gt;=E$25)),MAX(0,MIN(E194-F194,$D194-(0))),0)</f>
        <v>0</v>
      </c>
      <c r="H194" s="69" t="n">
        <f aca="false">E194-F194-G194</f>
        <v>0</v>
      </c>
      <c r="I194" s="69" t="n">
        <f aca="false">IF(L193&gt;0.5,L193*(1+I$23)+I$24,0)</f>
        <v>0</v>
      </c>
      <c r="J194" s="69" t="n">
        <f aca="false">MIN(J$23,I194)</f>
        <v>0</v>
      </c>
      <c r="K194" s="69" t="n">
        <f aca="false">IF(AND(J$24=1,OR(I$25="",$C194&gt;=I$25)),MAX(0,MIN(I194-J194,$D194-(G194))),0)</f>
        <v>0</v>
      </c>
      <c r="L194" s="69" t="n">
        <f aca="false">I194-J194-K194</f>
        <v>0</v>
      </c>
      <c r="M194" s="69" t="n">
        <f aca="false">IF(P193&gt;0.5,P193*(1+M$23)+M$24,0)</f>
        <v>0</v>
      </c>
      <c r="N194" s="69" t="n">
        <f aca="false">MIN(N$23,M194)</f>
        <v>0</v>
      </c>
      <c r="O194" s="69" t="n">
        <f aca="false">IF(AND(N$24=1,OR(M$25="",$C194&gt;=M$25)),MAX(0,MIN(M194-N194,$D194-(G194+K194))),0)</f>
        <v>0</v>
      </c>
      <c r="P194" s="69" t="n">
        <f aca="false">M194-N194-O194</f>
        <v>0</v>
      </c>
      <c r="Q194" s="69" t="n">
        <f aca="false">IF(T193&gt;0.5,T193*(1+Q$23)+Q$24,0)</f>
        <v>0</v>
      </c>
      <c r="R194" s="69" t="n">
        <f aca="false">MIN(R$23,Q194)</f>
        <v>0</v>
      </c>
      <c r="S194" s="69" t="n">
        <f aca="false">IF(AND(R$24=1,OR(Q$25="",$C194&gt;=Q$25)),MAX(0,MIN(Q194-R194,$D194-(G194+K194+O194))),0)</f>
        <v>0</v>
      </c>
      <c r="T194" s="69" t="n">
        <f aca="false">Q194-R194-S194</f>
        <v>0</v>
      </c>
      <c r="U194" s="69" t="n">
        <f aca="false">IF(X193&gt;0.5,X193*(1+U$23)+U$24,0)</f>
        <v>0</v>
      </c>
      <c r="V194" s="69" t="n">
        <f aca="false">MIN(V$23,U194)</f>
        <v>0</v>
      </c>
      <c r="W194" s="69" t="n">
        <f aca="false">IF(AND(V$24=1,OR(U$25="",$C194&gt;=U$25)),MAX(0,MIN(U194-V194,$D194-(G194+K194+O194+S194))),0)</f>
        <v>0</v>
      </c>
      <c r="X194" s="69" t="n">
        <f aca="false">U194-V194-W194</f>
        <v>0</v>
      </c>
      <c r="Y194" s="69" t="n">
        <f aca="false">IF(AB193&gt;0.5,AB193*(1+Y$23)+Y$24,0)</f>
        <v>0</v>
      </c>
      <c r="Z194" s="69" t="n">
        <f aca="false">MIN(Z$23,Y194)</f>
        <v>0</v>
      </c>
      <c r="AA194" s="69" t="n">
        <f aca="false">IF(AND(Z$24=1,OR(Y$25="",$C194&gt;=Y$25)),MAX(0,MIN(Y194-Z194,$D194-(G194+K194+O194+S194+W194))),0)</f>
        <v>0</v>
      </c>
      <c r="AB194" s="69" t="n">
        <f aca="false">Y194-Z194-AA194</f>
        <v>0</v>
      </c>
      <c r="AC194" s="69" t="n">
        <f aca="false">IF(AF193&gt;0.5,AF193*(1+AC$23)+AC$24,0)</f>
        <v>0</v>
      </c>
      <c r="AD194" s="69" t="n">
        <f aca="false">MIN(AD$23,AC194)</f>
        <v>0</v>
      </c>
      <c r="AE194" s="69" t="n">
        <f aca="false">IF(AND(AD$24=1,OR(AC$25="",$C194&gt;=AC$25)),MAX(0,MIN(AC194-AD194,$D194-(G194+K194+O194+S194+W194+AA194))),0)</f>
        <v>0</v>
      </c>
      <c r="AF194" s="69" t="n">
        <f aca="false">AC194-AD194-AE194</f>
        <v>0</v>
      </c>
      <c r="AG194" s="69" t="n">
        <f aca="false">IF(AJ193&gt;0.5,AJ193*(1+AG$23)+AG$24,0)</f>
        <v>0</v>
      </c>
      <c r="AH194" s="69" t="n">
        <f aca="false">MIN(AH$23,AG194)</f>
        <v>0</v>
      </c>
      <c r="AI194" s="69" t="n">
        <f aca="false">IF(AND(AH$24=1,OR(AG$25="",$C194&gt;=AG$25)),MAX(0,MIN(AG194-AH194,$D194-(G194+K194+O194+S194+W194+AA194+AE194))),0)</f>
        <v>0</v>
      </c>
      <c r="AJ194" s="69" t="n">
        <f aca="false">AG194-AH194-AI194</f>
        <v>0</v>
      </c>
      <c r="AK194" s="69" t="n">
        <f aca="false">IF(AK193&gt;0.5,AK193*(1+$E$12)+$G$12-MIN($F$12,AK193*(1+$E$12)+$G$12),0)</f>
        <v>0</v>
      </c>
      <c r="AL194" s="69" t="n">
        <f aca="false">IF(AL193&gt;0.5,AL193*(1+$E$13)+$G$13-MIN($F$13,AL193*(1+$E$13)+$G$13),0)</f>
        <v>0</v>
      </c>
      <c r="AM194" s="69" t="n">
        <f aca="false">IF(AM193&gt;0.5,AM193*(1+$E$14)+$G$14-MIN($F$14,AM193*(1+$E$14)+$G$14),0)</f>
        <v>0</v>
      </c>
      <c r="AN194" s="69" t="n">
        <f aca="false">IF(AN193&gt;0.5,AN193*(1+$E$15)+$G$15-MIN($F$15,AN193*(1+$E$15)+$G$15),0)</f>
        <v>0</v>
      </c>
      <c r="AO194" s="69" t="n">
        <f aca="false">IF(AO193&gt;0.5,AO193*(1+$E$16)+$G$16-MIN($F$16,AO193*(1+$E$16)+$G$16),0)</f>
        <v>0</v>
      </c>
      <c r="AP194" s="69" t="n">
        <f aca="false">IF(AP193&gt;0.5,AP193*(1+$E$17)+$G$17-MIN($F$17,AP193*(1+$E$17)+$G$17),0)</f>
        <v>0</v>
      </c>
      <c r="AQ194" s="69" t="n">
        <f aca="false">IF(AQ193&gt;0.5,AQ193*(1+$E$18)+$G$18-MIN($F$18,AQ193*(1+$E$18)+$G$18),0)</f>
        <v>0</v>
      </c>
      <c r="AR194" s="69" t="n">
        <f aca="false">IF(AR193&gt;0.5,AR193*(1+$E$19)+$G$19-MIN($F$19,AR193*(1+$E$19)+$G$19),0)</f>
        <v>0</v>
      </c>
      <c r="AS194" s="69" t="n">
        <f aca="false">H194+L194+P194+T194+X194+AB194+AF194+AJ194</f>
        <v>0</v>
      </c>
      <c r="AT194" s="69" t="n">
        <f aca="false">SUM(AK194:AR194)</f>
        <v>0</v>
      </c>
      <c r="AU194" s="69" t="n">
        <f aca="false">F194+G194+J194+K194+N194+O194+R194+S194+V194+W194+Z194+AA194+AD194+AE194+AH194+AI194</f>
        <v>0</v>
      </c>
    </row>
    <row r="195" customFormat="false" ht="15" hidden="false" customHeight="false" outlineLevel="0" collapsed="false">
      <c r="B195" s="0" t="n">
        <v>168</v>
      </c>
      <c r="C195" s="68" t="n">
        <f aca="false">EDATE($C$7,167)</f>
        <v>51380</v>
      </c>
      <c r="D195" s="69" t="n">
        <f aca="false">$C$8-(F195+J195+N195+R195+V195+Z195+AD195+AH195)</f>
        <v>0</v>
      </c>
      <c r="E195" s="69" t="n">
        <f aca="false">IF(H194&gt;0.5,H194*(1+E$23)+E$24,0)</f>
        <v>0</v>
      </c>
      <c r="F195" s="69" t="n">
        <f aca="false">MIN(F$23,E195)</f>
        <v>0</v>
      </c>
      <c r="G195" s="69" t="n">
        <f aca="false">IF(AND(F$24=1,OR(E$25="",$C195&gt;=E$25)),MAX(0,MIN(E195-F195,$D195-(0))),0)</f>
        <v>0</v>
      </c>
      <c r="H195" s="69" t="n">
        <f aca="false">E195-F195-G195</f>
        <v>0</v>
      </c>
      <c r="I195" s="69" t="n">
        <f aca="false">IF(L194&gt;0.5,L194*(1+I$23)+I$24,0)</f>
        <v>0</v>
      </c>
      <c r="J195" s="69" t="n">
        <f aca="false">MIN(J$23,I195)</f>
        <v>0</v>
      </c>
      <c r="K195" s="69" t="n">
        <f aca="false">IF(AND(J$24=1,OR(I$25="",$C195&gt;=I$25)),MAX(0,MIN(I195-J195,$D195-(G195))),0)</f>
        <v>0</v>
      </c>
      <c r="L195" s="69" t="n">
        <f aca="false">I195-J195-K195</f>
        <v>0</v>
      </c>
      <c r="M195" s="69" t="n">
        <f aca="false">IF(P194&gt;0.5,P194*(1+M$23)+M$24,0)</f>
        <v>0</v>
      </c>
      <c r="N195" s="69" t="n">
        <f aca="false">MIN(N$23,M195)</f>
        <v>0</v>
      </c>
      <c r="O195" s="69" t="n">
        <f aca="false">IF(AND(N$24=1,OR(M$25="",$C195&gt;=M$25)),MAX(0,MIN(M195-N195,$D195-(G195+K195))),0)</f>
        <v>0</v>
      </c>
      <c r="P195" s="69" t="n">
        <f aca="false">M195-N195-O195</f>
        <v>0</v>
      </c>
      <c r="Q195" s="69" t="n">
        <f aca="false">IF(T194&gt;0.5,T194*(1+Q$23)+Q$24,0)</f>
        <v>0</v>
      </c>
      <c r="R195" s="69" t="n">
        <f aca="false">MIN(R$23,Q195)</f>
        <v>0</v>
      </c>
      <c r="S195" s="69" t="n">
        <f aca="false">IF(AND(R$24=1,OR(Q$25="",$C195&gt;=Q$25)),MAX(0,MIN(Q195-R195,$D195-(G195+K195+O195))),0)</f>
        <v>0</v>
      </c>
      <c r="T195" s="69" t="n">
        <f aca="false">Q195-R195-S195</f>
        <v>0</v>
      </c>
      <c r="U195" s="69" t="n">
        <f aca="false">IF(X194&gt;0.5,X194*(1+U$23)+U$24,0)</f>
        <v>0</v>
      </c>
      <c r="V195" s="69" t="n">
        <f aca="false">MIN(V$23,U195)</f>
        <v>0</v>
      </c>
      <c r="W195" s="69" t="n">
        <f aca="false">IF(AND(V$24=1,OR(U$25="",$C195&gt;=U$25)),MAX(0,MIN(U195-V195,$D195-(G195+K195+O195+S195))),0)</f>
        <v>0</v>
      </c>
      <c r="X195" s="69" t="n">
        <f aca="false">U195-V195-W195</f>
        <v>0</v>
      </c>
      <c r="Y195" s="69" t="n">
        <f aca="false">IF(AB194&gt;0.5,AB194*(1+Y$23)+Y$24,0)</f>
        <v>0</v>
      </c>
      <c r="Z195" s="69" t="n">
        <f aca="false">MIN(Z$23,Y195)</f>
        <v>0</v>
      </c>
      <c r="AA195" s="69" t="n">
        <f aca="false">IF(AND(Z$24=1,OR(Y$25="",$C195&gt;=Y$25)),MAX(0,MIN(Y195-Z195,$D195-(G195+K195+O195+S195+W195))),0)</f>
        <v>0</v>
      </c>
      <c r="AB195" s="69" t="n">
        <f aca="false">Y195-Z195-AA195</f>
        <v>0</v>
      </c>
      <c r="AC195" s="69" t="n">
        <f aca="false">IF(AF194&gt;0.5,AF194*(1+AC$23)+AC$24,0)</f>
        <v>0</v>
      </c>
      <c r="AD195" s="69" t="n">
        <f aca="false">MIN(AD$23,AC195)</f>
        <v>0</v>
      </c>
      <c r="AE195" s="69" t="n">
        <f aca="false">IF(AND(AD$24=1,OR(AC$25="",$C195&gt;=AC$25)),MAX(0,MIN(AC195-AD195,$D195-(G195+K195+O195+S195+W195+AA195))),0)</f>
        <v>0</v>
      </c>
      <c r="AF195" s="69" t="n">
        <f aca="false">AC195-AD195-AE195</f>
        <v>0</v>
      </c>
      <c r="AG195" s="69" t="n">
        <f aca="false">IF(AJ194&gt;0.5,AJ194*(1+AG$23)+AG$24,0)</f>
        <v>0</v>
      </c>
      <c r="AH195" s="69" t="n">
        <f aca="false">MIN(AH$23,AG195)</f>
        <v>0</v>
      </c>
      <c r="AI195" s="69" t="n">
        <f aca="false">IF(AND(AH$24=1,OR(AG$25="",$C195&gt;=AG$25)),MAX(0,MIN(AG195-AH195,$D195-(G195+K195+O195+S195+W195+AA195+AE195))),0)</f>
        <v>0</v>
      </c>
      <c r="AJ195" s="69" t="n">
        <f aca="false">AG195-AH195-AI195</f>
        <v>0</v>
      </c>
      <c r="AK195" s="69" t="n">
        <f aca="false">IF(AK194&gt;0.5,AK194*(1+$E$12)+$G$12-MIN($F$12,AK194*(1+$E$12)+$G$12),0)</f>
        <v>0</v>
      </c>
      <c r="AL195" s="69" t="n">
        <f aca="false">IF(AL194&gt;0.5,AL194*(1+$E$13)+$G$13-MIN($F$13,AL194*(1+$E$13)+$G$13),0)</f>
        <v>0</v>
      </c>
      <c r="AM195" s="69" t="n">
        <f aca="false">IF(AM194&gt;0.5,AM194*(1+$E$14)+$G$14-MIN($F$14,AM194*(1+$E$14)+$G$14),0)</f>
        <v>0</v>
      </c>
      <c r="AN195" s="69" t="n">
        <f aca="false">IF(AN194&gt;0.5,AN194*(1+$E$15)+$G$15-MIN($F$15,AN194*(1+$E$15)+$G$15),0)</f>
        <v>0</v>
      </c>
      <c r="AO195" s="69" t="n">
        <f aca="false">IF(AO194&gt;0.5,AO194*(1+$E$16)+$G$16-MIN($F$16,AO194*(1+$E$16)+$G$16),0)</f>
        <v>0</v>
      </c>
      <c r="AP195" s="69" t="n">
        <f aca="false">IF(AP194&gt;0.5,AP194*(1+$E$17)+$G$17-MIN($F$17,AP194*(1+$E$17)+$G$17),0)</f>
        <v>0</v>
      </c>
      <c r="AQ195" s="69" t="n">
        <f aca="false">IF(AQ194&gt;0.5,AQ194*(1+$E$18)+$G$18-MIN($F$18,AQ194*(1+$E$18)+$G$18),0)</f>
        <v>0</v>
      </c>
      <c r="AR195" s="69" t="n">
        <f aca="false">IF(AR194&gt;0.5,AR194*(1+$E$19)+$G$19-MIN($F$19,AR194*(1+$E$19)+$G$19),0)</f>
        <v>0</v>
      </c>
      <c r="AS195" s="69" t="n">
        <f aca="false">H195+L195+P195+T195+X195+AB195+AF195+AJ195</f>
        <v>0</v>
      </c>
      <c r="AT195" s="69" t="n">
        <f aca="false">SUM(AK195:AR195)</f>
        <v>0</v>
      </c>
      <c r="AU195" s="69" t="n">
        <f aca="false">F195+G195+J195+K195+N195+O195+R195+S195+V195+W195+Z195+AA195+AD195+AE195+AH195+AI195</f>
        <v>0</v>
      </c>
    </row>
    <row r="196" customFormat="false" ht="15" hidden="false" customHeight="false" outlineLevel="0" collapsed="false">
      <c r="B196" s="0" t="n">
        <v>169</v>
      </c>
      <c r="C196" s="68" t="n">
        <f aca="false">EDATE($C$7,168)</f>
        <v>51410</v>
      </c>
      <c r="D196" s="69" t="n">
        <f aca="false">$C$8-(F196+J196+N196+R196+V196+Z196+AD196+AH196)</f>
        <v>0</v>
      </c>
      <c r="E196" s="69" t="n">
        <f aca="false">IF(H195&gt;0.5,H195*(1+E$23)+E$24,0)</f>
        <v>0</v>
      </c>
      <c r="F196" s="69" t="n">
        <f aca="false">MIN(F$23,E196)</f>
        <v>0</v>
      </c>
      <c r="G196" s="69" t="n">
        <f aca="false">IF(AND(F$24=1,OR(E$25="",$C196&gt;=E$25)),MAX(0,MIN(E196-F196,$D196-(0))),0)</f>
        <v>0</v>
      </c>
      <c r="H196" s="69" t="n">
        <f aca="false">E196-F196-G196</f>
        <v>0</v>
      </c>
      <c r="I196" s="69" t="n">
        <f aca="false">IF(L195&gt;0.5,L195*(1+I$23)+I$24,0)</f>
        <v>0</v>
      </c>
      <c r="J196" s="69" t="n">
        <f aca="false">MIN(J$23,I196)</f>
        <v>0</v>
      </c>
      <c r="K196" s="69" t="n">
        <f aca="false">IF(AND(J$24=1,OR(I$25="",$C196&gt;=I$25)),MAX(0,MIN(I196-J196,$D196-(G196))),0)</f>
        <v>0</v>
      </c>
      <c r="L196" s="69" t="n">
        <f aca="false">I196-J196-K196</f>
        <v>0</v>
      </c>
      <c r="M196" s="69" t="n">
        <f aca="false">IF(P195&gt;0.5,P195*(1+M$23)+M$24,0)</f>
        <v>0</v>
      </c>
      <c r="N196" s="69" t="n">
        <f aca="false">MIN(N$23,M196)</f>
        <v>0</v>
      </c>
      <c r="O196" s="69" t="n">
        <f aca="false">IF(AND(N$24=1,OR(M$25="",$C196&gt;=M$25)),MAX(0,MIN(M196-N196,$D196-(G196+K196))),0)</f>
        <v>0</v>
      </c>
      <c r="P196" s="69" t="n">
        <f aca="false">M196-N196-O196</f>
        <v>0</v>
      </c>
      <c r="Q196" s="69" t="n">
        <f aca="false">IF(T195&gt;0.5,T195*(1+Q$23)+Q$24,0)</f>
        <v>0</v>
      </c>
      <c r="R196" s="69" t="n">
        <f aca="false">MIN(R$23,Q196)</f>
        <v>0</v>
      </c>
      <c r="S196" s="69" t="n">
        <f aca="false">IF(AND(R$24=1,OR(Q$25="",$C196&gt;=Q$25)),MAX(0,MIN(Q196-R196,$D196-(G196+K196+O196))),0)</f>
        <v>0</v>
      </c>
      <c r="T196" s="69" t="n">
        <f aca="false">Q196-R196-S196</f>
        <v>0</v>
      </c>
      <c r="U196" s="69" t="n">
        <f aca="false">IF(X195&gt;0.5,X195*(1+U$23)+U$24,0)</f>
        <v>0</v>
      </c>
      <c r="V196" s="69" t="n">
        <f aca="false">MIN(V$23,U196)</f>
        <v>0</v>
      </c>
      <c r="W196" s="69" t="n">
        <f aca="false">IF(AND(V$24=1,OR(U$25="",$C196&gt;=U$25)),MAX(0,MIN(U196-V196,$D196-(G196+K196+O196+S196))),0)</f>
        <v>0</v>
      </c>
      <c r="X196" s="69" t="n">
        <f aca="false">U196-V196-W196</f>
        <v>0</v>
      </c>
      <c r="Y196" s="69" t="n">
        <f aca="false">IF(AB195&gt;0.5,AB195*(1+Y$23)+Y$24,0)</f>
        <v>0</v>
      </c>
      <c r="Z196" s="69" t="n">
        <f aca="false">MIN(Z$23,Y196)</f>
        <v>0</v>
      </c>
      <c r="AA196" s="69" t="n">
        <f aca="false">IF(AND(Z$24=1,OR(Y$25="",$C196&gt;=Y$25)),MAX(0,MIN(Y196-Z196,$D196-(G196+K196+O196+S196+W196))),0)</f>
        <v>0</v>
      </c>
      <c r="AB196" s="69" t="n">
        <f aca="false">Y196-Z196-AA196</f>
        <v>0</v>
      </c>
      <c r="AC196" s="69" t="n">
        <f aca="false">IF(AF195&gt;0.5,AF195*(1+AC$23)+AC$24,0)</f>
        <v>0</v>
      </c>
      <c r="AD196" s="69" t="n">
        <f aca="false">MIN(AD$23,AC196)</f>
        <v>0</v>
      </c>
      <c r="AE196" s="69" t="n">
        <f aca="false">IF(AND(AD$24=1,OR(AC$25="",$C196&gt;=AC$25)),MAX(0,MIN(AC196-AD196,$D196-(G196+K196+O196+S196+W196+AA196))),0)</f>
        <v>0</v>
      </c>
      <c r="AF196" s="69" t="n">
        <f aca="false">AC196-AD196-AE196</f>
        <v>0</v>
      </c>
      <c r="AG196" s="69" t="n">
        <f aca="false">IF(AJ195&gt;0.5,AJ195*(1+AG$23)+AG$24,0)</f>
        <v>0</v>
      </c>
      <c r="AH196" s="69" t="n">
        <f aca="false">MIN(AH$23,AG196)</f>
        <v>0</v>
      </c>
      <c r="AI196" s="69" t="n">
        <f aca="false">IF(AND(AH$24=1,OR(AG$25="",$C196&gt;=AG$25)),MAX(0,MIN(AG196-AH196,$D196-(G196+K196+O196+S196+W196+AA196+AE196))),0)</f>
        <v>0</v>
      </c>
      <c r="AJ196" s="69" t="n">
        <f aca="false">AG196-AH196-AI196</f>
        <v>0</v>
      </c>
      <c r="AK196" s="69" t="n">
        <f aca="false">IF(AK195&gt;0.5,AK195*(1+$E$12)+$G$12-MIN($F$12,AK195*(1+$E$12)+$G$12),0)</f>
        <v>0</v>
      </c>
      <c r="AL196" s="69" t="n">
        <f aca="false">IF(AL195&gt;0.5,AL195*(1+$E$13)+$G$13-MIN($F$13,AL195*(1+$E$13)+$G$13),0)</f>
        <v>0</v>
      </c>
      <c r="AM196" s="69" t="n">
        <f aca="false">IF(AM195&gt;0.5,AM195*(1+$E$14)+$G$14-MIN($F$14,AM195*(1+$E$14)+$G$14),0)</f>
        <v>0</v>
      </c>
      <c r="AN196" s="69" t="n">
        <f aca="false">IF(AN195&gt;0.5,AN195*(1+$E$15)+$G$15-MIN($F$15,AN195*(1+$E$15)+$G$15),0)</f>
        <v>0</v>
      </c>
      <c r="AO196" s="69" t="n">
        <f aca="false">IF(AO195&gt;0.5,AO195*(1+$E$16)+$G$16-MIN($F$16,AO195*(1+$E$16)+$G$16),0)</f>
        <v>0</v>
      </c>
      <c r="AP196" s="69" t="n">
        <f aca="false">IF(AP195&gt;0.5,AP195*(1+$E$17)+$G$17-MIN($F$17,AP195*(1+$E$17)+$G$17),0)</f>
        <v>0</v>
      </c>
      <c r="AQ196" s="69" t="n">
        <f aca="false">IF(AQ195&gt;0.5,AQ195*(1+$E$18)+$G$18-MIN($F$18,AQ195*(1+$E$18)+$G$18),0)</f>
        <v>0</v>
      </c>
      <c r="AR196" s="69" t="n">
        <f aca="false">IF(AR195&gt;0.5,AR195*(1+$E$19)+$G$19-MIN($F$19,AR195*(1+$E$19)+$G$19),0)</f>
        <v>0</v>
      </c>
      <c r="AS196" s="69" t="n">
        <f aca="false">H196+L196+P196+T196+X196+AB196+AF196+AJ196</f>
        <v>0</v>
      </c>
      <c r="AT196" s="69" t="n">
        <f aca="false">SUM(AK196:AR196)</f>
        <v>0</v>
      </c>
      <c r="AU196" s="69" t="n">
        <f aca="false">F196+G196+J196+K196+N196+O196+R196+S196+V196+W196+Z196+AA196+AD196+AE196+AH196+AI196</f>
        <v>0</v>
      </c>
    </row>
    <row r="197" customFormat="false" ht="15" hidden="false" customHeight="false" outlineLevel="0" collapsed="false">
      <c r="B197" s="0" t="n">
        <v>170</v>
      </c>
      <c r="C197" s="68" t="n">
        <f aca="false">EDATE($C$7,169)</f>
        <v>51441</v>
      </c>
      <c r="D197" s="69" t="n">
        <f aca="false">$C$8-(F197+J197+N197+R197+V197+Z197+AD197+AH197)</f>
        <v>0</v>
      </c>
      <c r="E197" s="69" t="n">
        <f aca="false">IF(H196&gt;0.5,H196*(1+E$23)+E$24,0)</f>
        <v>0</v>
      </c>
      <c r="F197" s="69" t="n">
        <f aca="false">MIN(F$23,E197)</f>
        <v>0</v>
      </c>
      <c r="G197" s="69" t="n">
        <f aca="false">IF(AND(F$24=1,OR(E$25="",$C197&gt;=E$25)),MAX(0,MIN(E197-F197,$D197-(0))),0)</f>
        <v>0</v>
      </c>
      <c r="H197" s="69" t="n">
        <f aca="false">E197-F197-G197</f>
        <v>0</v>
      </c>
      <c r="I197" s="69" t="n">
        <f aca="false">IF(L196&gt;0.5,L196*(1+I$23)+I$24,0)</f>
        <v>0</v>
      </c>
      <c r="J197" s="69" t="n">
        <f aca="false">MIN(J$23,I197)</f>
        <v>0</v>
      </c>
      <c r="K197" s="69" t="n">
        <f aca="false">IF(AND(J$24=1,OR(I$25="",$C197&gt;=I$25)),MAX(0,MIN(I197-J197,$D197-(G197))),0)</f>
        <v>0</v>
      </c>
      <c r="L197" s="69" t="n">
        <f aca="false">I197-J197-K197</f>
        <v>0</v>
      </c>
      <c r="M197" s="69" t="n">
        <f aca="false">IF(P196&gt;0.5,P196*(1+M$23)+M$24,0)</f>
        <v>0</v>
      </c>
      <c r="N197" s="69" t="n">
        <f aca="false">MIN(N$23,M197)</f>
        <v>0</v>
      </c>
      <c r="O197" s="69" t="n">
        <f aca="false">IF(AND(N$24=1,OR(M$25="",$C197&gt;=M$25)),MAX(0,MIN(M197-N197,$D197-(G197+K197))),0)</f>
        <v>0</v>
      </c>
      <c r="P197" s="69" t="n">
        <f aca="false">M197-N197-O197</f>
        <v>0</v>
      </c>
      <c r="Q197" s="69" t="n">
        <f aca="false">IF(T196&gt;0.5,T196*(1+Q$23)+Q$24,0)</f>
        <v>0</v>
      </c>
      <c r="R197" s="69" t="n">
        <f aca="false">MIN(R$23,Q197)</f>
        <v>0</v>
      </c>
      <c r="S197" s="69" t="n">
        <f aca="false">IF(AND(R$24=1,OR(Q$25="",$C197&gt;=Q$25)),MAX(0,MIN(Q197-R197,$D197-(G197+K197+O197))),0)</f>
        <v>0</v>
      </c>
      <c r="T197" s="69" t="n">
        <f aca="false">Q197-R197-S197</f>
        <v>0</v>
      </c>
      <c r="U197" s="69" t="n">
        <f aca="false">IF(X196&gt;0.5,X196*(1+U$23)+U$24,0)</f>
        <v>0</v>
      </c>
      <c r="V197" s="69" t="n">
        <f aca="false">MIN(V$23,U197)</f>
        <v>0</v>
      </c>
      <c r="W197" s="69" t="n">
        <f aca="false">IF(AND(V$24=1,OR(U$25="",$C197&gt;=U$25)),MAX(0,MIN(U197-V197,$D197-(G197+K197+O197+S197))),0)</f>
        <v>0</v>
      </c>
      <c r="X197" s="69" t="n">
        <f aca="false">U197-V197-W197</f>
        <v>0</v>
      </c>
      <c r="Y197" s="69" t="n">
        <f aca="false">IF(AB196&gt;0.5,AB196*(1+Y$23)+Y$24,0)</f>
        <v>0</v>
      </c>
      <c r="Z197" s="69" t="n">
        <f aca="false">MIN(Z$23,Y197)</f>
        <v>0</v>
      </c>
      <c r="AA197" s="69" t="n">
        <f aca="false">IF(AND(Z$24=1,OR(Y$25="",$C197&gt;=Y$25)),MAX(0,MIN(Y197-Z197,$D197-(G197+K197+O197+S197+W197))),0)</f>
        <v>0</v>
      </c>
      <c r="AB197" s="69" t="n">
        <f aca="false">Y197-Z197-AA197</f>
        <v>0</v>
      </c>
      <c r="AC197" s="69" t="n">
        <f aca="false">IF(AF196&gt;0.5,AF196*(1+AC$23)+AC$24,0)</f>
        <v>0</v>
      </c>
      <c r="AD197" s="69" t="n">
        <f aca="false">MIN(AD$23,AC197)</f>
        <v>0</v>
      </c>
      <c r="AE197" s="69" t="n">
        <f aca="false">IF(AND(AD$24=1,OR(AC$25="",$C197&gt;=AC$25)),MAX(0,MIN(AC197-AD197,$D197-(G197+K197+O197+S197+W197+AA197))),0)</f>
        <v>0</v>
      </c>
      <c r="AF197" s="69" t="n">
        <f aca="false">AC197-AD197-AE197</f>
        <v>0</v>
      </c>
      <c r="AG197" s="69" t="n">
        <f aca="false">IF(AJ196&gt;0.5,AJ196*(1+AG$23)+AG$24,0)</f>
        <v>0</v>
      </c>
      <c r="AH197" s="69" t="n">
        <f aca="false">MIN(AH$23,AG197)</f>
        <v>0</v>
      </c>
      <c r="AI197" s="69" t="n">
        <f aca="false">IF(AND(AH$24=1,OR(AG$25="",$C197&gt;=AG$25)),MAX(0,MIN(AG197-AH197,$D197-(G197+K197+O197+S197+W197+AA197+AE197))),0)</f>
        <v>0</v>
      </c>
      <c r="AJ197" s="69" t="n">
        <f aca="false">AG197-AH197-AI197</f>
        <v>0</v>
      </c>
      <c r="AK197" s="69" t="n">
        <f aca="false">IF(AK196&gt;0.5,AK196*(1+$E$12)+$G$12-MIN($F$12,AK196*(1+$E$12)+$G$12),0)</f>
        <v>0</v>
      </c>
      <c r="AL197" s="69" t="n">
        <f aca="false">IF(AL196&gt;0.5,AL196*(1+$E$13)+$G$13-MIN($F$13,AL196*(1+$E$13)+$G$13),0)</f>
        <v>0</v>
      </c>
      <c r="AM197" s="69" t="n">
        <f aca="false">IF(AM196&gt;0.5,AM196*(1+$E$14)+$G$14-MIN($F$14,AM196*(1+$E$14)+$G$14),0)</f>
        <v>0</v>
      </c>
      <c r="AN197" s="69" t="n">
        <f aca="false">IF(AN196&gt;0.5,AN196*(1+$E$15)+$G$15-MIN($F$15,AN196*(1+$E$15)+$G$15),0)</f>
        <v>0</v>
      </c>
      <c r="AO197" s="69" t="n">
        <f aca="false">IF(AO196&gt;0.5,AO196*(1+$E$16)+$G$16-MIN($F$16,AO196*(1+$E$16)+$G$16),0)</f>
        <v>0</v>
      </c>
      <c r="AP197" s="69" t="n">
        <f aca="false">IF(AP196&gt;0.5,AP196*(1+$E$17)+$G$17-MIN($F$17,AP196*(1+$E$17)+$G$17),0)</f>
        <v>0</v>
      </c>
      <c r="AQ197" s="69" t="n">
        <f aca="false">IF(AQ196&gt;0.5,AQ196*(1+$E$18)+$G$18-MIN($F$18,AQ196*(1+$E$18)+$G$18),0)</f>
        <v>0</v>
      </c>
      <c r="AR197" s="69" t="n">
        <f aca="false">IF(AR196&gt;0.5,AR196*(1+$E$19)+$G$19-MIN($F$19,AR196*(1+$E$19)+$G$19),0)</f>
        <v>0</v>
      </c>
      <c r="AS197" s="69" t="n">
        <f aca="false">H197+L197+P197+T197+X197+AB197+AF197+AJ197</f>
        <v>0</v>
      </c>
      <c r="AT197" s="69" t="n">
        <f aca="false">SUM(AK197:AR197)</f>
        <v>0</v>
      </c>
      <c r="AU197" s="69" t="n">
        <f aca="false">F197+G197+J197+K197+N197+O197+R197+S197+V197+W197+Z197+AA197+AD197+AE197+AH197+AI197</f>
        <v>0</v>
      </c>
    </row>
    <row r="198" customFormat="false" ht="15" hidden="false" customHeight="false" outlineLevel="0" collapsed="false">
      <c r="B198" s="0" t="n">
        <v>171</v>
      </c>
      <c r="C198" s="68" t="n">
        <f aca="false">EDATE($C$7,170)</f>
        <v>51471</v>
      </c>
      <c r="D198" s="69" t="n">
        <f aca="false">$C$8-(F198+J198+N198+R198+V198+Z198+AD198+AH198)</f>
        <v>0</v>
      </c>
      <c r="E198" s="69" t="n">
        <f aca="false">IF(H197&gt;0.5,H197*(1+E$23)+E$24,0)</f>
        <v>0</v>
      </c>
      <c r="F198" s="69" t="n">
        <f aca="false">MIN(F$23,E198)</f>
        <v>0</v>
      </c>
      <c r="G198" s="69" t="n">
        <f aca="false">IF(AND(F$24=1,OR(E$25="",$C198&gt;=E$25)),MAX(0,MIN(E198-F198,$D198-(0))),0)</f>
        <v>0</v>
      </c>
      <c r="H198" s="69" t="n">
        <f aca="false">E198-F198-G198</f>
        <v>0</v>
      </c>
      <c r="I198" s="69" t="n">
        <f aca="false">IF(L197&gt;0.5,L197*(1+I$23)+I$24,0)</f>
        <v>0</v>
      </c>
      <c r="J198" s="69" t="n">
        <f aca="false">MIN(J$23,I198)</f>
        <v>0</v>
      </c>
      <c r="K198" s="69" t="n">
        <f aca="false">IF(AND(J$24=1,OR(I$25="",$C198&gt;=I$25)),MAX(0,MIN(I198-J198,$D198-(G198))),0)</f>
        <v>0</v>
      </c>
      <c r="L198" s="69" t="n">
        <f aca="false">I198-J198-K198</f>
        <v>0</v>
      </c>
      <c r="M198" s="69" t="n">
        <f aca="false">IF(P197&gt;0.5,P197*(1+M$23)+M$24,0)</f>
        <v>0</v>
      </c>
      <c r="N198" s="69" t="n">
        <f aca="false">MIN(N$23,M198)</f>
        <v>0</v>
      </c>
      <c r="O198" s="69" t="n">
        <f aca="false">IF(AND(N$24=1,OR(M$25="",$C198&gt;=M$25)),MAX(0,MIN(M198-N198,$D198-(G198+K198))),0)</f>
        <v>0</v>
      </c>
      <c r="P198" s="69" t="n">
        <f aca="false">M198-N198-O198</f>
        <v>0</v>
      </c>
      <c r="Q198" s="69" t="n">
        <f aca="false">IF(T197&gt;0.5,T197*(1+Q$23)+Q$24,0)</f>
        <v>0</v>
      </c>
      <c r="R198" s="69" t="n">
        <f aca="false">MIN(R$23,Q198)</f>
        <v>0</v>
      </c>
      <c r="S198" s="69" t="n">
        <f aca="false">IF(AND(R$24=1,OR(Q$25="",$C198&gt;=Q$25)),MAX(0,MIN(Q198-R198,$D198-(G198+K198+O198))),0)</f>
        <v>0</v>
      </c>
      <c r="T198" s="69" t="n">
        <f aca="false">Q198-R198-S198</f>
        <v>0</v>
      </c>
      <c r="U198" s="69" t="n">
        <f aca="false">IF(X197&gt;0.5,X197*(1+U$23)+U$24,0)</f>
        <v>0</v>
      </c>
      <c r="V198" s="69" t="n">
        <f aca="false">MIN(V$23,U198)</f>
        <v>0</v>
      </c>
      <c r="W198" s="69" t="n">
        <f aca="false">IF(AND(V$24=1,OR(U$25="",$C198&gt;=U$25)),MAX(0,MIN(U198-V198,$D198-(G198+K198+O198+S198))),0)</f>
        <v>0</v>
      </c>
      <c r="X198" s="69" t="n">
        <f aca="false">U198-V198-W198</f>
        <v>0</v>
      </c>
      <c r="Y198" s="69" t="n">
        <f aca="false">IF(AB197&gt;0.5,AB197*(1+Y$23)+Y$24,0)</f>
        <v>0</v>
      </c>
      <c r="Z198" s="69" t="n">
        <f aca="false">MIN(Z$23,Y198)</f>
        <v>0</v>
      </c>
      <c r="AA198" s="69" t="n">
        <f aca="false">IF(AND(Z$24=1,OR(Y$25="",$C198&gt;=Y$25)),MAX(0,MIN(Y198-Z198,$D198-(G198+K198+O198+S198+W198))),0)</f>
        <v>0</v>
      </c>
      <c r="AB198" s="69" t="n">
        <f aca="false">Y198-Z198-AA198</f>
        <v>0</v>
      </c>
      <c r="AC198" s="69" t="n">
        <f aca="false">IF(AF197&gt;0.5,AF197*(1+AC$23)+AC$24,0)</f>
        <v>0</v>
      </c>
      <c r="AD198" s="69" t="n">
        <f aca="false">MIN(AD$23,AC198)</f>
        <v>0</v>
      </c>
      <c r="AE198" s="69" t="n">
        <f aca="false">IF(AND(AD$24=1,OR(AC$25="",$C198&gt;=AC$25)),MAX(0,MIN(AC198-AD198,$D198-(G198+K198+O198+S198+W198+AA198))),0)</f>
        <v>0</v>
      </c>
      <c r="AF198" s="69" t="n">
        <f aca="false">AC198-AD198-AE198</f>
        <v>0</v>
      </c>
      <c r="AG198" s="69" t="n">
        <f aca="false">IF(AJ197&gt;0.5,AJ197*(1+AG$23)+AG$24,0)</f>
        <v>0</v>
      </c>
      <c r="AH198" s="69" t="n">
        <f aca="false">MIN(AH$23,AG198)</f>
        <v>0</v>
      </c>
      <c r="AI198" s="69" t="n">
        <f aca="false">IF(AND(AH$24=1,OR(AG$25="",$C198&gt;=AG$25)),MAX(0,MIN(AG198-AH198,$D198-(G198+K198+O198+S198+W198+AA198+AE198))),0)</f>
        <v>0</v>
      </c>
      <c r="AJ198" s="69" t="n">
        <f aca="false">AG198-AH198-AI198</f>
        <v>0</v>
      </c>
      <c r="AK198" s="69" t="n">
        <f aca="false">IF(AK197&gt;0.5,AK197*(1+$E$12)+$G$12-MIN($F$12,AK197*(1+$E$12)+$G$12),0)</f>
        <v>0</v>
      </c>
      <c r="AL198" s="69" t="n">
        <f aca="false">IF(AL197&gt;0.5,AL197*(1+$E$13)+$G$13-MIN($F$13,AL197*(1+$E$13)+$G$13),0)</f>
        <v>0</v>
      </c>
      <c r="AM198" s="69" t="n">
        <f aca="false">IF(AM197&gt;0.5,AM197*(1+$E$14)+$G$14-MIN($F$14,AM197*(1+$E$14)+$G$14),0)</f>
        <v>0</v>
      </c>
      <c r="AN198" s="69" t="n">
        <f aca="false">IF(AN197&gt;0.5,AN197*(1+$E$15)+$G$15-MIN($F$15,AN197*(1+$E$15)+$G$15),0)</f>
        <v>0</v>
      </c>
      <c r="AO198" s="69" t="n">
        <f aca="false">IF(AO197&gt;0.5,AO197*(1+$E$16)+$G$16-MIN($F$16,AO197*(1+$E$16)+$G$16),0)</f>
        <v>0</v>
      </c>
      <c r="AP198" s="69" t="n">
        <f aca="false">IF(AP197&gt;0.5,AP197*(1+$E$17)+$G$17-MIN($F$17,AP197*(1+$E$17)+$G$17),0)</f>
        <v>0</v>
      </c>
      <c r="AQ198" s="69" t="n">
        <f aca="false">IF(AQ197&gt;0.5,AQ197*(1+$E$18)+$G$18-MIN($F$18,AQ197*(1+$E$18)+$G$18),0)</f>
        <v>0</v>
      </c>
      <c r="AR198" s="69" t="n">
        <f aca="false">IF(AR197&gt;0.5,AR197*(1+$E$19)+$G$19-MIN($F$19,AR197*(1+$E$19)+$G$19),0)</f>
        <v>0</v>
      </c>
      <c r="AS198" s="69" t="n">
        <f aca="false">H198+L198+P198+T198+X198+AB198+AF198+AJ198</f>
        <v>0</v>
      </c>
      <c r="AT198" s="69" t="n">
        <f aca="false">SUM(AK198:AR198)</f>
        <v>0</v>
      </c>
      <c r="AU198" s="69" t="n">
        <f aca="false">F198+G198+J198+K198+N198+O198+R198+S198+V198+W198+Z198+AA198+AD198+AE198+AH198+AI198</f>
        <v>0</v>
      </c>
    </row>
    <row r="199" customFormat="false" ht="15" hidden="false" customHeight="false" outlineLevel="0" collapsed="false">
      <c r="B199" s="0" t="n">
        <v>172</v>
      </c>
      <c r="C199" s="68" t="n">
        <f aca="false">EDATE($C$7,171)</f>
        <v>51502</v>
      </c>
      <c r="D199" s="69" t="n">
        <f aca="false">$C$8-(F199+J199+N199+R199+V199+Z199+AD199+AH199)</f>
        <v>0</v>
      </c>
      <c r="E199" s="69" t="n">
        <f aca="false">IF(H198&gt;0.5,H198*(1+E$23)+E$24,0)</f>
        <v>0</v>
      </c>
      <c r="F199" s="69" t="n">
        <f aca="false">MIN(F$23,E199)</f>
        <v>0</v>
      </c>
      <c r="G199" s="69" t="n">
        <f aca="false">IF(AND(F$24=1,OR(E$25="",$C199&gt;=E$25)),MAX(0,MIN(E199-F199,$D199-(0))),0)</f>
        <v>0</v>
      </c>
      <c r="H199" s="69" t="n">
        <f aca="false">E199-F199-G199</f>
        <v>0</v>
      </c>
      <c r="I199" s="69" t="n">
        <f aca="false">IF(L198&gt;0.5,L198*(1+I$23)+I$24,0)</f>
        <v>0</v>
      </c>
      <c r="J199" s="69" t="n">
        <f aca="false">MIN(J$23,I199)</f>
        <v>0</v>
      </c>
      <c r="K199" s="69" t="n">
        <f aca="false">IF(AND(J$24=1,OR(I$25="",$C199&gt;=I$25)),MAX(0,MIN(I199-J199,$D199-(G199))),0)</f>
        <v>0</v>
      </c>
      <c r="L199" s="69" t="n">
        <f aca="false">I199-J199-K199</f>
        <v>0</v>
      </c>
      <c r="M199" s="69" t="n">
        <f aca="false">IF(P198&gt;0.5,P198*(1+M$23)+M$24,0)</f>
        <v>0</v>
      </c>
      <c r="N199" s="69" t="n">
        <f aca="false">MIN(N$23,M199)</f>
        <v>0</v>
      </c>
      <c r="O199" s="69" t="n">
        <f aca="false">IF(AND(N$24=1,OR(M$25="",$C199&gt;=M$25)),MAX(0,MIN(M199-N199,$D199-(G199+K199))),0)</f>
        <v>0</v>
      </c>
      <c r="P199" s="69" t="n">
        <f aca="false">M199-N199-O199</f>
        <v>0</v>
      </c>
      <c r="Q199" s="69" t="n">
        <f aca="false">IF(T198&gt;0.5,T198*(1+Q$23)+Q$24,0)</f>
        <v>0</v>
      </c>
      <c r="R199" s="69" t="n">
        <f aca="false">MIN(R$23,Q199)</f>
        <v>0</v>
      </c>
      <c r="S199" s="69" t="n">
        <f aca="false">IF(AND(R$24=1,OR(Q$25="",$C199&gt;=Q$25)),MAX(0,MIN(Q199-R199,$D199-(G199+K199+O199))),0)</f>
        <v>0</v>
      </c>
      <c r="T199" s="69" t="n">
        <f aca="false">Q199-R199-S199</f>
        <v>0</v>
      </c>
      <c r="U199" s="69" t="n">
        <f aca="false">IF(X198&gt;0.5,X198*(1+U$23)+U$24,0)</f>
        <v>0</v>
      </c>
      <c r="V199" s="69" t="n">
        <f aca="false">MIN(V$23,U199)</f>
        <v>0</v>
      </c>
      <c r="W199" s="69" t="n">
        <f aca="false">IF(AND(V$24=1,OR(U$25="",$C199&gt;=U$25)),MAX(0,MIN(U199-V199,$D199-(G199+K199+O199+S199))),0)</f>
        <v>0</v>
      </c>
      <c r="X199" s="69" t="n">
        <f aca="false">U199-V199-W199</f>
        <v>0</v>
      </c>
      <c r="Y199" s="69" t="n">
        <f aca="false">IF(AB198&gt;0.5,AB198*(1+Y$23)+Y$24,0)</f>
        <v>0</v>
      </c>
      <c r="Z199" s="69" t="n">
        <f aca="false">MIN(Z$23,Y199)</f>
        <v>0</v>
      </c>
      <c r="AA199" s="69" t="n">
        <f aca="false">IF(AND(Z$24=1,OR(Y$25="",$C199&gt;=Y$25)),MAX(0,MIN(Y199-Z199,$D199-(G199+K199+O199+S199+W199))),0)</f>
        <v>0</v>
      </c>
      <c r="AB199" s="69" t="n">
        <f aca="false">Y199-Z199-AA199</f>
        <v>0</v>
      </c>
      <c r="AC199" s="69" t="n">
        <f aca="false">IF(AF198&gt;0.5,AF198*(1+AC$23)+AC$24,0)</f>
        <v>0</v>
      </c>
      <c r="AD199" s="69" t="n">
        <f aca="false">MIN(AD$23,AC199)</f>
        <v>0</v>
      </c>
      <c r="AE199" s="69" t="n">
        <f aca="false">IF(AND(AD$24=1,OR(AC$25="",$C199&gt;=AC$25)),MAX(0,MIN(AC199-AD199,$D199-(G199+K199+O199+S199+W199+AA199))),0)</f>
        <v>0</v>
      </c>
      <c r="AF199" s="69" t="n">
        <f aca="false">AC199-AD199-AE199</f>
        <v>0</v>
      </c>
      <c r="AG199" s="69" t="n">
        <f aca="false">IF(AJ198&gt;0.5,AJ198*(1+AG$23)+AG$24,0)</f>
        <v>0</v>
      </c>
      <c r="AH199" s="69" t="n">
        <f aca="false">MIN(AH$23,AG199)</f>
        <v>0</v>
      </c>
      <c r="AI199" s="69" t="n">
        <f aca="false">IF(AND(AH$24=1,OR(AG$25="",$C199&gt;=AG$25)),MAX(0,MIN(AG199-AH199,$D199-(G199+K199+O199+S199+W199+AA199+AE199))),0)</f>
        <v>0</v>
      </c>
      <c r="AJ199" s="69" t="n">
        <f aca="false">AG199-AH199-AI199</f>
        <v>0</v>
      </c>
      <c r="AK199" s="69" t="n">
        <f aca="false">IF(AK198&gt;0.5,AK198*(1+$E$12)+$G$12-MIN($F$12,AK198*(1+$E$12)+$G$12),0)</f>
        <v>0</v>
      </c>
      <c r="AL199" s="69" t="n">
        <f aca="false">IF(AL198&gt;0.5,AL198*(1+$E$13)+$G$13-MIN($F$13,AL198*(1+$E$13)+$G$13),0)</f>
        <v>0</v>
      </c>
      <c r="AM199" s="69" t="n">
        <f aca="false">IF(AM198&gt;0.5,AM198*(1+$E$14)+$G$14-MIN($F$14,AM198*(1+$E$14)+$G$14),0)</f>
        <v>0</v>
      </c>
      <c r="AN199" s="69" t="n">
        <f aca="false">IF(AN198&gt;0.5,AN198*(1+$E$15)+$G$15-MIN($F$15,AN198*(1+$E$15)+$G$15),0)</f>
        <v>0</v>
      </c>
      <c r="AO199" s="69" t="n">
        <f aca="false">IF(AO198&gt;0.5,AO198*(1+$E$16)+$G$16-MIN($F$16,AO198*(1+$E$16)+$G$16),0)</f>
        <v>0</v>
      </c>
      <c r="AP199" s="69" t="n">
        <f aca="false">IF(AP198&gt;0.5,AP198*(1+$E$17)+$G$17-MIN($F$17,AP198*(1+$E$17)+$G$17),0)</f>
        <v>0</v>
      </c>
      <c r="AQ199" s="69" t="n">
        <f aca="false">IF(AQ198&gt;0.5,AQ198*(1+$E$18)+$G$18-MIN($F$18,AQ198*(1+$E$18)+$G$18),0)</f>
        <v>0</v>
      </c>
      <c r="AR199" s="69" t="n">
        <f aca="false">IF(AR198&gt;0.5,AR198*(1+$E$19)+$G$19-MIN($F$19,AR198*(1+$E$19)+$G$19),0)</f>
        <v>0</v>
      </c>
      <c r="AS199" s="69" t="n">
        <f aca="false">H199+L199+P199+T199+X199+AB199+AF199+AJ199</f>
        <v>0</v>
      </c>
      <c r="AT199" s="69" t="n">
        <f aca="false">SUM(AK199:AR199)</f>
        <v>0</v>
      </c>
      <c r="AU199" s="69" t="n">
        <f aca="false">F199+G199+J199+K199+N199+O199+R199+S199+V199+W199+Z199+AA199+AD199+AE199+AH199+AI199</f>
        <v>0</v>
      </c>
    </row>
    <row r="200" customFormat="false" ht="15" hidden="false" customHeight="false" outlineLevel="0" collapsed="false">
      <c r="B200" s="0" t="n">
        <v>173</v>
      </c>
      <c r="C200" s="68" t="n">
        <f aca="false">EDATE($C$7,172)</f>
        <v>51533</v>
      </c>
      <c r="D200" s="69" t="n">
        <f aca="false">$C$8-(F200+J200+N200+R200+V200+Z200+AD200+AH200)</f>
        <v>0</v>
      </c>
      <c r="E200" s="69" t="n">
        <f aca="false">IF(H199&gt;0.5,H199*(1+E$23)+E$24,0)</f>
        <v>0</v>
      </c>
      <c r="F200" s="69" t="n">
        <f aca="false">MIN(F$23,E200)</f>
        <v>0</v>
      </c>
      <c r="G200" s="69" t="n">
        <f aca="false">IF(AND(F$24=1,OR(E$25="",$C200&gt;=E$25)),MAX(0,MIN(E200-F200,$D200-(0))),0)</f>
        <v>0</v>
      </c>
      <c r="H200" s="69" t="n">
        <f aca="false">E200-F200-G200</f>
        <v>0</v>
      </c>
      <c r="I200" s="69" t="n">
        <f aca="false">IF(L199&gt;0.5,L199*(1+I$23)+I$24,0)</f>
        <v>0</v>
      </c>
      <c r="J200" s="69" t="n">
        <f aca="false">MIN(J$23,I200)</f>
        <v>0</v>
      </c>
      <c r="K200" s="69" t="n">
        <f aca="false">IF(AND(J$24=1,OR(I$25="",$C200&gt;=I$25)),MAX(0,MIN(I200-J200,$D200-(G200))),0)</f>
        <v>0</v>
      </c>
      <c r="L200" s="69" t="n">
        <f aca="false">I200-J200-K200</f>
        <v>0</v>
      </c>
      <c r="M200" s="69" t="n">
        <f aca="false">IF(P199&gt;0.5,P199*(1+M$23)+M$24,0)</f>
        <v>0</v>
      </c>
      <c r="N200" s="69" t="n">
        <f aca="false">MIN(N$23,M200)</f>
        <v>0</v>
      </c>
      <c r="O200" s="69" t="n">
        <f aca="false">IF(AND(N$24=1,OR(M$25="",$C200&gt;=M$25)),MAX(0,MIN(M200-N200,$D200-(G200+K200))),0)</f>
        <v>0</v>
      </c>
      <c r="P200" s="69" t="n">
        <f aca="false">M200-N200-O200</f>
        <v>0</v>
      </c>
      <c r="Q200" s="69" t="n">
        <f aca="false">IF(T199&gt;0.5,T199*(1+Q$23)+Q$24,0)</f>
        <v>0</v>
      </c>
      <c r="R200" s="69" t="n">
        <f aca="false">MIN(R$23,Q200)</f>
        <v>0</v>
      </c>
      <c r="S200" s="69" t="n">
        <f aca="false">IF(AND(R$24=1,OR(Q$25="",$C200&gt;=Q$25)),MAX(0,MIN(Q200-R200,$D200-(G200+K200+O200))),0)</f>
        <v>0</v>
      </c>
      <c r="T200" s="69" t="n">
        <f aca="false">Q200-R200-S200</f>
        <v>0</v>
      </c>
      <c r="U200" s="69" t="n">
        <f aca="false">IF(X199&gt;0.5,X199*(1+U$23)+U$24,0)</f>
        <v>0</v>
      </c>
      <c r="V200" s="69" t="n">
        <f aca="false">MIN(V$23,U200)</f>
        <v>0</v>
      </c>
      <c r="W200" s="69" t="n">
        <f aca="false">IF(AND(V$24=1,OR(U$25="",$C200&gt;=U$25)),MAX(0,MIN(U200-V200,$D200-(G200+K200+O200+S200))),0)</f>
        <v>0</v>
      </c>
      <c r="X200" s="69" t="n">
        <f aca="false">U200-V200-W200</f>
        <v>0</v>
      </c>
      <c r="Y200" s="69" t="n">
        <f aca="false">IF(AB199&gt;0.5,AB199*(1+Y$23)+Y$24,0)</f>
        <v>0</v>
      </c>
      <c r="Z200" s="69" t="n">
        <f aca="false">MIN(Z$23,Y200)</f>
        <v>0</v>
      </c>
      <c r="AA200" s="69" t="n">
        <f aca="false">IF(AND(Z$24=1,OR(Y$25="",$C200&gt;=Y$25)),MAX(0,MIN(Y200-Z200,$D200-(G200+K200+O200+S200+W200))),0)</f>
        <v>0</v>
      </c>
      <c r="AB200" s="69" t="n">
        <f aca="false">Y200-Z200-AA200</f>
        <v>0</v>
      </c>
      <c r="AC200" s="69" t="n">
        <f aca="false">IF(AF199&gt;0.5,AF199*(1+AC$23)+AC$24,0)</f>
        <v>0</v>
      </c>
      <c r="AD200" s="69" t="n">
        <f aca="false">MIN(AD$23,AC200)</f>
        <v>0</v>
      </c>
      <c r="AE200" s="69" t="n">
        <f aca="false">IF(AND(AD$24=1,OR(AC$25="",$C200&gt;=AC$25)),MAX(0,MIN(AC200-AD200,$D200-(G200+K200+O200+S200+W200+AA200))),0)</f>
        <v>0</v>
      </c>
      <c r="AF200" s="69" t="n">
        <f aca="false">AC200-AD200-AE200</f>
        <v>0</v>
      </c>
      <c r="AG200" s="69" t="n">
        <f aca="false">IF(AJ199&gt;0.5,AJ199*(1+AG$23)+AG$24,0)</f>
        <v>0</v>
      </c>
      <c r="AH200" s="69" t="n">
        <f aca="false">MIN(AH$23,AG200)</f>
        <v>0</v>
      </c>
      <c r="AI200" s="69" t="n">
        <f aca="false">IF(AND(AH$24=1,OR(AG$25="",$C200&gt;=AG$25)),MAX(0,MIN(AG200-AH200,$D200-(G200+K200+O200+S200+W200+AA200+AE200))),0)</f>
        <v>0</v>
      </c>
      <c r="AJ200" s="69" t="n">
        <f aca="false">AG200-AH200-AI200</f>
        <v>0</v>
      </c>
      <c r="AK200" s="69" t="n">
        <f aca="false">IF(AK199&gt;0.5,AK199*(1+$E$12)+$G$12-MIN($F$12,AK199*(1+$E$12)+$G$12),0)</f>
        <v>0</v>
      </c>
      <c r="AL200" s="69" t="n">
        <f aca="false">IF(AL199&gt;0.5,AL199*(1+$E$13)+$G$13-MIN($F$13,AL199*(1+$E$13)+$G$13),0)</f>
        <v>0</v>
      </c>
      <c r="AM200" s="69" t="n">
        <f aca="false">IF(AM199&gt;0.5,AM199*(1+$E$14)+$G$14-MIN($F$14,AM199*(1+$E$14)+$G$14),0)</f>
        <v>0</v>
      </c>
      <c r="AN200" s="69" t="n">
        <f aca="false">IF(AN199&gt;0.5,AN199*(1+$E$15)+$G$15-MIN($F$15,AN199*(1+$E$15)+$G$15),0)</f>
        <v>0</v>
      </c>
      <c r="AO200" s="69" t="n">
        <f aca="false">IF(AO199&gt;0.5,AO199*(1+$E$16)+$G$16-MIN($F$16,AO199*(1+$E$16)+$G$16),0)</f>
        <v>0</v>
      </c>
      <c r="AP200" s="69" t="n">
        <f aca="false">IF(AP199&gt;0.5,AP199*(1+$E$17)+$G$17-MIN($F$17,AP199*(1+$E$17)+$G$17),0)</f>
        <v>0</v>
      </c>
      <c r="AQ200" s="69" t="n">
        <f aca="false">IF(AQ199&gt;0.5,AQ199*(1+$E$18)+$G$18-MIN($F$18,AQ199*(1+$E$18)+$G$18),0)</f>
        <v>0</v>
      </c>
      <c r="AR200" s="69" t="n">
        <f aca="false">IF(AR199&gt;0.5,AR199*(1+$E$19)+$G$19-MIN($F$19,AR199*(1+$E$19)+$G$19),0)</f>
        <v>0</v>
      </c>
      <c r="AS200" s="69" t="n">
        <f aca="false">H200+L200+P200+T200+X200+AB200+AF200+AJ200</f>
        <v>0</v>
      </c>
      <c r="AT200" s="69" t="n">
        <f aca="false">SUM(AK200:AR200)</f>
        <v>0</v>
      </c>
      <c r="AU200" s="69" t="n">
        <f aca="false">F200+G200+J200+K200+N200+O200+R200+S200+V200+W200+Z200+AA200+AD200+AE200+AH200+AI200</f>
        <v>0</v>
      </c>
    </row>
    <row r="201" customFormat="false" ht="15" hidden="false" customHeight="false" outlineLevel="0" collapsed="false">
      <c r="B201" s="0" t="n">
        <v>174</v>
      </c>
      <c r="C201" s="68" t="n">
        <f aca="false">EDATE($C$7,173)</f>
        <v>51561</v>
      </c>
      <c r="D201" s="69" t="n">
        <f aca="false">$C$8-(F201+J201+N201+R201+V201+Z201+AD201+AH201)</f>
        <v>0</v>
      </c>
      <c r="E201" s="69" t="n">
        <f aca="false">IF(H200&gt;0.5,H200*(1+E$23)+E$24,0)</f>
        <v>0</v>
      </c>
      <c r="F201" s="69" t="n">
        <f aca="false">MIN(F$23,E201)</f>
        <v>0</v>
      </c>
      <c r="G201" s="69" t="n">
        <f aca="false">IF(AND(F$24=1,OR(E$25="",$C201&gt;=E$25)),MAX(0,MIN(E201-F201,$D201-(0))),0)</f>
        <v>0</v>
      </c>
      <c r="H201" s="69" t="n">
        <f aca="false">E201-F201-G201</f>
        <v>0</v>
      </c>
      <c r="I201" s="69" t="n">
        <f aca="false">IF(L200&gt;0.5,L200*(1+I$23)+I$24,0)</f>
        <v>0</v>
      </c>
      <c r="J201" s="69" t="n">
        <f aca="false">MIN(J$23,I201)</f>
        <v>0</v>
      </c>
      <c r="K201" s="69" t="n">
        <f aca="false">IF(AND(J$24=1,OR(I$25="",$C201&gt;=I$25)),MAX(0,MIN(I201-J201,$D201-(G201))),0)</f>
        <v>0</v>
      </c>
      <c r="L201" s="69" t="n">
        <f aca="false">I201-J201-K201</f>
        <v>0</v>
      </c>
      <c r="M201" s="69" t="n">
        <f aca="false">IF(P200&gt;0.5,P200*(1+M$23)+M$24,0)</f>
        <v>0</v>
      </c>
      <c r="N201" s="69" t="n">
        <f aca="false">MIN(N$23,M201)</f>
        <v>0</v>
      </c>
      <c r="O201" s="69" t="n">
        <f aca="false">IF(AND(N$24=1,OR(M$25="",$C201&gt;=M$25)),MAX(0,MIN(M201-N201,$D201-(G201+K201))),0)</f>
        <v>0</v>
      </c>
      <c r="P201" s="69" t="n">
        <f aca="false">M201-N201-O201</f>
        <v>0</v>
      </c>
      <c r="Q201" s="69" t="n">
        <f aca="false">IF(T200&gt;0.5,T200*(1+Q$23)+Q$24,0)</f>
        <v>0</v>
      </c>
      <c r="R201" s="69" t="n">
        <f aca="false">MIN(R$23,Q201)</f>
        <v>0</v>
      </c>
      <c r="S201" s="69" t="n">
        <f aca="false">IF(AND(R$24=1,OR(Q$25="",$C201&gt;=Q$25)),MAX(0,MIN(Q201-R201,$D201-(G201+K201+O201))),0)</f>
        <v>0</v>
      </c>
      <c r="T201" s="69" t="n">
        <f aca="false">Q201-R201-S201</f>
        <v>0</v>
      </c>
      <c r="U201" s="69" t="n">
        <f aca="false">IF(X200&gt;0.5,X200*(1+U$23)+U$24,0)</f>
        <v>0</v>
      </c>
      <c r="V201" s="69" t="n">
        <f aca="false">MIN(V$23,U201)</f>
        <v>0</v>
      </c>
      <c r="W201" s="69" t="n">
        <f aca="false">IF(AND(V$24=1,OR(U$25="",$C201&gt;=U$25)),MAX(0,MIN(U201-V201,$D201-(G201+K201+O201+S201))),0)</f>
        <v>0</v>
      </c>
      <c r="X201" s="69" t="n">
        <f aca="false">U201-V201-W201</f>
        <v>0</v>
      </c>
      <c r="Y201" s="69" t="n">
        <f aca="false">IF(AB200&gt;0.5,AB200*(1+Y$23)+Y$24,0)</f>
        <v>0</v>
      </c>
      <c r="Z201" s="69" t="n">
        <f aca="false">MIN(Z$23,Y201)</f>
        <v>0</v>
      </c>
      <c r="AA201" s="69" t="n">
        <f aca="false">IF(AND(Z$24=1,OR(Y$25="",$C201&gt;=Y$25)),MAX(0,MIN(Y201-Z201,$D201-(G201+K201+O201+S201+W201))),0)</f>
        <v>0</v>
      </c>
      <c r="AB201" s="69" t="n">
        <f aca="false">Y201-Z201-AA201</f>
        <v>0</v>
      </c>
      <c r="AC201" s="69" t="n">
        <f aca="false">IF(AF200&gt;0.5,AF200*(1+AC$23)+AC$24,0)</f>
        <v>0</v>
      </c>
      <c r="AD201" s="69" t="n">
        <f aca="false">MIN(AD$23,AC201)</f>
        <v>0</v>
      </c>
      <c r="AE201" s="69" t="n">
        <f aca="false">IF(AND(AD$24=1,OR(AC$25="",$C201&gt;=AC$25)),MAX(0,MIN(AC201-AD201,$D201-(G201+K201+O201+S201+W201+AA201))),0)</f>
        <v>0</v>
      </c>
      <c r="AF201" s="69" t="n">
        <f aca="false">AC201-AD201-AE201</f>
        <v>0</v>
      </c>
      <c r="AG201" s="69" t="n">
        <f aca="false">IF(AJ200&gt;0.5,AJ200*(1+AG$23)+AG$24,0)</f>
        <v>0</v>
      </c>
      <c r="AH201" s="69" t="n">
        <f aca="false">MIN(AH$23,AG201)</f>
        <v>0</v>
      </c>
      <c r="AI201" s="69" t="n">
        <f aca="false">IF(AND(AH$24=1,OR(AG$25="",$C201&gt;=AG$25)),MAX(0,MIN(AG201-AH201,$D201-(G201+K201+O201+S201+W201+AA201+AE201))),0)</f>
        <v>0</v>
      </c>
      <c r="AJ201" s="69" t="n">
        <f aca="false">AG201-AH201-AI201</f>
        <v>0</v>
      </c>
      <c r="AK201" s="69" t="n">
        <f aca="false">IF(AK200&gt;0.5,AK200*(1+$E$12)+$G$12-MIN($F$12,AK200*(1+$E$12)+$G$12),0)</f>
        <v>0</v>
      </c>
      <c r="AL201" s="69" t="n">
        <f aca="false">IF(AL200&gt;0.5,AL200*(1+$E$13)+$G$13-MIN($F$13,AL200*(1+$E$13)+$G$13),0)</f>
        <v>0</v>
      </c>
      <c r="AM201" s="69" t="n">
        <f aca="false">IF(AM200&gt;0.5,AM200*(1+$E$14)+$G$14-MIN($F$14,AM200*(1+$E$14)+$G$14),0)</f>
        <v>0</v>
      </c>
      <c r="AN201" s="69" t="n">
        <f aca="false">IF(AN200&gt;0.5,AN200*(1+$E$15)+$G$15-MIN($F$15,AN200*(1+$E$15)+$G$15),0)</f>
        <v>0</v>
      </c>
      <c r="AO201" s="69" t="n">
        <f aca="false">IF(AO200&gt;0.5,AO200*(1+$E$16)+$G$16-MIN($F$16,AO200*(1+$E$16)+$G$16),0)</f>
        <v>0</v>
      </c>
      <c r="AP201" s="69" t="n">
        <f aca="false">IF(AP200&gt;0.5,AP200*(1+$E$17)+$G$17-MIN($F$17,AP200*(1+$E$17)+$G$17),0)</f>
        <v>0</v>
      </c>
      <c r="AQ201" s="69" t="n">
        <f aca="false">IF(AQ200&gt;0.5,AQ200*(1+$E$18)+$G$18-MIN($F$18,AQ200*(1+$E$18)+$G$18),0)</f>
        <v>0</v>
      </c>
      <c r="AR201" s="69" t="n">
        <f aca="false">IF(AR200&gt;0.5,AR200*(1+$E$19)+$G$19-MIN($F$19,AR200*(1+$E$19)+$G$19),0)</f>
        <v>0</v>
      </c>
      <c r="AS201" s="69" t="n">
        <f aca="false">H201+L201+P201+T201+X201+AB201+AF201+AJ201</f>
        <v>0</v>
      </c>
      <c r="AT201" s="69" t="n">
        <f aca="false">SUM(AK201:AR201)</f>
        <v>0</v>
      </c>
      <c r="AU201" s="69" t="n">
        <f aca="false">F201+G201+J201+K201+N201+O201+R201+S201+V201+W201+Z201+AA201+AD201+AE201+AH201+AI201</f>
        <v>0</v>
      </c>
    </row>
    <row r="202" customFormat="false" ht="15" hidden="false" customHeight="false" outlineLevel="0" collapsed="false">
      <c r="B202" s="0" t="n">
        <v>175</v>
      </c>
      <c r="C202" s="68" t="n">
        <f aca="false">EDATE($C$7,174)</f>
        <v>51592</v>
      </c>
      <c r="D202" s="69" t="n">
        <f aca="false">$C$8-(F202+J202+N202+R202+V202+Z202+AD202+AH202)</f>
        <v>0</v>
      </c>
      <c r="E202" s="69" t="n">
        <f aca="false">IF(H201&gt;0.5,H201*(1+E$23)+E$24,0)</f>
        <v>0</v>
      </c>
      <c r="F202" s="69" t="n">
        <f aca="false">MIN(F$23,E202)</f>
        <v>0</v>
      </c>
      <c r="G202" s="69" t="n">
        <f aca="false">IF(AND(F$24=1,OR(E$25="",$C202&gt;=E$25)),MAX(0,MIN(E202-F202,$D202-(0))),0)</f>
        <v>0</v>
      </c>
      <c r="H202" s="69" t="n">
        <f aca="false">E202-F202-G202</f>
        <v>0</v>
      </c>
      <c r="I202" s="69" t="n">
        <f aca="false">IF(L201&gt;0.5,L201*(1+I$23)+I$24,0)</f>
        <v>0</v>
      </c>
      <c r="J202" s="69" t="n">
        <f aca="false">MIN(J$23,I202)</f>
        <v>0</v>
      </c>
      <c r="K202" s="69" t="n">
        <f aca="false">IF(AND(J$24=1,OR(I$25="",$C202&gt;=I$25)),MAX(0,MIN(I202-J202,$D202-(G202))),0)</f>
        <v>0</v>
      </c>
      <c r="L202" s="69" t="n">
        <f aca="false">I202-J202-K202</f>
        <v>0</v>
      </c>
      <c r="M202" s="69" t="n">
        <f aca="false">IF(P201&gt;0.5,P201*(1+M$23)+M$24,0)</f>
        <v>0</v>
      </c>
      <c r="N202" s="69" t="n">
        <f aca="false">MIN(N$23,M202)</f>
        <v>0</v>
      </c>
      <c r="O202" s="69" t="n">
        <f aca="false">IF(AND(N$24=1,OR(M$25="",$C202&gt;=M$25)),MAX(0,MIN(M202-N202,$D202-(G202+K202))),0)</f>
        <v>0</v>
      </c>
      <c r="P202" s="69" t="n">
        <f aca="false">M202-N202-O202</f>
        <v>0</v>
      </c>
      <c r="Q202" s="69" t="n">
        <f aca="false">IF(T201&gt;0.5,T201*(1+Q$23)+Q$24,0)</f>
        <v>0</v>
      </c>
      <c r="R202" s="69" t="n">
        <f aca="false">MIN(R$23,Q202)</f>
        <v>0</v>
      </c>
      <c r="S202" s="69" t="n">
        <f aca="false">IF(AND(R$24=1,OR(Q$25="",$C202&gt;=Q$25)),MAX(0,MIN(Q202-R202,$D202-(G202+K202+O202))),0)</f>
        <v>0</v>
      </c>
      <c r="T202" s="69" t="n">
        <f aca="false">Q202-R202-S202</f>
        <v>0</v>
      </c>
      <c r="U202" s="69" t="n">
        <f aca="false">IF(X201&gt;0.5,X201*(1+U$23)+U$24,0)</f>
        <v>0</v>
      </c>
      <c r="V202" s="69" t="n">
        <f aca="false">MIN(V$23,U202)</f>
        <v>0</v>
      </c>
      <c r="W202" s="69" t="n">
        <f aca="false">IF(AND(V$24=1,OR(U$25="",$C202&gt;=U$25)),MAX(0,MIN(U202-V202,$D202-(G202+K202+O202+S202))),0)</f>
        <v>0</v>
      </c>
      <c r="X202" s="69" t="n">
        <f aca="false">U202-V202-W202</f>
        <v>0</v>
      </c>
      <c r="Y202" s="69" t="n">
        <f aca="false">IF(AB201&gt;0.5,AB201*(1+Y$23)+Y$24,0)</f>
        <v>0</v>
      </c>
      <c r="Z202" s="69" t="n">
        <f aca="false">MIN(Z$23,Y202)</f>
        <v>0</v>
      </c>
      <c r="AA202" s="69" t="n">
        <f aca="false">IF(AND(Z$24=1,OR(Y$25="",$C202&gt;=Y$25)),MAX(0,MIN(Y202-Z202,$D202-(G202+K202+O202+S202+W202))),0)</f>
        <v>0</v>
      </c>
      <c r="AB202" s="69" t="n">
        <f aca="false">Y202-Z202-AA202</f>
        <v>0</v>
      </c>
      <c r="AC202" s="69" t="n">
        <f aca="false">IF(AF201&gt;0.5,AF201*(1+AC$23)+AC$24,0)</f>
        <v>0</v>
      </c>
      <c r="AD202" s="69" t="n">
        <f aca="false">MIN(AD$23,AC202)</f>
        <v>0</v>
      </c>
      <c r="AE202" s="69" t="n">
        <f aca="false">IF(AND(AD$24=1,OR(AC$25="",$C202&gt;=AC$25)),MAX(0,MIN(AC202-AD202,$D202-(G202+K202+O202+S202+W202+AA202))),0)</f>
        <v>0</v>
      </c>
      <c r="AF202" s="69" t="n">
        <f aca="false">AC202-AD202-AE202</f>
        <v>0</v>
      </c>
      <c r="AG202" s="69" t="n">
        <f aca="false">IF(AJ201&gt;0.5,AJ201*(1+AG$23)+AG$24,0)</f>
        <v>0</v>
      </c>
      <c r="AH202" s="69" t="n">
        <f aca="false">MIN(AH$23,AG202)</f>
        <v>0</v>
      </c>
      <c r="AI202" s="69" t="n">
        <f aca="false">IF(AND(AH$24=1,OR(AG$25="",$C202&gt;=AG$25)),MAX(0,MIN(AG202-AH202,$D202-(G202+K202+O202+S202+W202+AA202+AE202))),0)</f>
        <v>0</v>
      </c>
      <c r="AJ202" s="69" t="n">
        <f aca="false">AG202-AH202-AI202</f>
        <v>0</v>
      </c>
      <c r="AK202" s="69" t="n">
        <f aca="false">IF(AK201&gt;0.5,AK201*(1+$E$12)+$G$12-MIN($F$12,AK201*(1+$E$12)+$G$12),0)</f>
        <v>0</v>
      </c>
      <c r="AL202" s="69" t="n">
        <f aca="false">IF(AL201&gt;0.5,AL201*(1+$E$13)+$G$13-MIN($F$13,AL201*(1+$E$13)+$G$13),0)</f>
        <v>0</v>
      </c>
      <c r="AM202" s="69" t="n">
        <f aca="false">IF(AM201&gt;0.5,AM201*(1+$E$14)+$G$14-MIN($F$14,AM201*(1+$E$14)+$G$14),0)</f>
        <v>0</v>
      </c>
      <c r="AN202" s="69" t="n">
        <f aca="false">IF(AN201&gt;0.5,AN201*(1+$E$15)+$G$15-MIN($F$15,AN201*(1+$E$15)+$G$15),0)</f>
        <v>0</v>
      </c>
      <c r="AO202" s="69" t="n">
        <f aca="false">IF(AO201&gt;0.5,AO201*(1+$E$16)+$G$16-MIN($F$16,AO201*(1+$E$16)+$G$16),0)</f>
        <v>0</v>
      </c>
      <c r="AP202" s="69" t="n">
        <f aca="false">IF(AP201&gt;0.5,AP201*(1+$E$17)+$G$17-MIN($F$17,AP201*(1+$E$17)+$G$17),0)</f>
        <v>0</v>
      </c>
      <c r="AQ202" s="69" t="n">
        <f aca="false">IF(AQ201&gt;0.5,AQ201*(1+$E$18)+$G$18-MIN($F$18,AQ201*(1+$E$18)+$G$18),0)</f>
        <v>0</v>
      </c>
      <c r="AR202" s="69" t="n">
        <f aca="false">IF(AR201&gt;0.5,AR201*(1+$E$19)+$G$19-MIN($F$19,AR201*(1+$E$19)+$G$19),0)</f>
        <v>0</v>
      </c>
      <c r="AS202" s="69" t="n">
        <f aca="false">H202+L202+P202+T202+X202+AB202+AF202+AJ202</f>
        <v>0</v>
      </c>
      <c r="AT202" s="69" t="n">
        <f aca="false">SUM(AK202:AR202)</f>
        <v>0</v>
      </c>
      <c r="AU202" s="69" t="n">
        <f aca="false">F202+G202+J202+K202+N202+O202+R202+S202+V202+W202+Z202+AA202+AD202+AE202+AH202+AI202</f>
        <v>0</v>
      </c>
    </row>
    <row r="203" customFormat="false" ht="15" hidden="false" customHeight="false" outlineLevel="0" collapsed="false">
      <c r="B203" s="0" t="n">
        <v>176</v>
      </c>
      <c r="C203" s="68" t="n">
        <f aca="false">EDATE($C$7,175)</f>
        <v>51622</v>
      </c>
      <c r="D203" s="69" t="n">
        <f aca="false">$C$8-(F203+J203+N203+R203+V203+Z203+AD203+AH203)</f>
        <v>0</v>
      </c>
      <c r="E203" s="69" t="n">
        <f aca="false">IF(H202&gt;0.5,H202*(1+E$23)+E$24,0)</f>
        <v>0</v>
      </c>
      <c r="F203" s="69" t="n">
        <f aca="false">MIN(F$23,E203)</f>
        <v>0</v>
      </c>
      <c r="G203" s="69" t="n">
        <f aca="false">IF(AND(F$24=1,OR(E$25="",$C203&gt;=E$25)),MAX(0,MIN(E203-F203,$D203-(0))),0)</f>
        <v>0</v>
      </c>
      <c r="H203" s="69" t="n">
        <f aca="false">E203-F203-G203</f>
        <v>0</v>
      </c>
      <c r="I203" s="69" t="n">
        <f aca="false">IF(L202&gt;0.5,L202*(1+I$23)+I$24,0)</f>
        <v>0</v>
      </c>
      <c r="J203" s="69" t="n">
        <f aca="false">MIN(J$23,I203)</f>
        <v>0</v>
      </c>
      <c r="K203" s="69" t="n">
        <f aca="false">IF(AND(J$24=1,OR(I$25="",$C203&gt;=I$25)),MAX(0,MIN(I203-J203,$D203-(G203))),0)</f>
        <v>0</v>
      </c>
      <c r="L203" s="69" t="n">
        <f aca="false">I203-J203-K203</f>
        <v>0</v>
      </c>
      <c r="M203" s="69" t="n">
        <f aca="false">IF(P202&gt;0.5,P202*(1+M$23)+M$24,0)</f>
        <v>0</v>
      </c>
      <c r="N203" s="69" t="n">
        <f aca="false">MIN(N$23,M203)</f>
        <v>0</v>
      </c>
      <c r="O203" s="69" t="n">
        <f aca="false">IF(AND(N$24=1,OR(M$25="",$C203&gt;=M$25)),MAX(0,MIN(M203-N203,$D203-(G203+K203))),0)</f>
        <v>0</v>
      </c>
      <c r="P203" s="69" t="n">
        <f aca="false">M203-N203-O203</f>
        <v>0</v>
      </c>
      <c r="Q203" s="69" t="n">
        <f aca="false">IF(T202&gt;0.5,T202*(1+Q$23)+Q$24,0)</f>
        <v>0</v>
      </c>
      <c r="R203" s="69" t="n">
        <f aca="false">MIN(R$23,Q203)</f>
        <v>0</v>
      </c>
      <c r="S203" s="69" t="n">
        <f aca="false">IF(AND(R$24=1,OR(Q$25="",$C203&gt;=Q$25)),MAX(0,MIN(Q203-R203,$D203-(G203+K203+O203))),0)</f>
        <v>0</v>
      </c>
      <c r="T203" s="69" t="n">
        <f aca="false">Q203-R203-S203</f>
        <v>0</v>
      </c>
      <c r="U203" s="69" t="n">
        <f aca="false">IF(X202&gt;0.5,X202*(1+U$23)+U$24,0)</f>
        <v>0</v>
      </c>
      <c r="V203" s="69" t="n">
        <f aca="false">MIN(V$23,U203)</f>
        <v>0</v>
      </c>
      <c r="W203" s="69" t="n">
        <f aca="false">IF(AND(V$24=1,OR(U$25="",$C203&gt;=U$25)),MAX(0,MIN(U203-V203,$D203-(G203+K203+O203+S203))),0)</f>
        <v>0</v>
      </c>
      <c r="X203" s="69" t="n">
        <f aca="false">U203-V203-W203</f>
        <v>0</v>
      </c>
      <c r="Y203" s="69" t="n">
        <f aca="false">IF(AB202&gt;0.5,AB202*(1+Y$23)+Y$24,0)</f>
        <v>0</v>
      </c>
      <c r="Z203" s="69" t="n">
        <f aca="false">MIN(Z$23,Y203)</f>
        <v>0</v>
      </c>
      <c r="AA203" s="69" t="n">
        <f aca="false">IF(AND(Z$24=1,OR(Y$25="",$C203&gt;=Y$25)),MAX(0,MIN(Y203-Z203,$D203-(G203+K203+O203+S203+W203))),0)</f>
        <v>0</v>
      </c>
      <c r="AB203" s="69" t="n">
        <f aca="false">Y203-Z203-AA203</f>
        <v>0</v>
      </c>
      <c r="AC203" s="69" t="n">
        <f aca="false">IF(AF202&gt;0.5,AF202*(1+AC$23)+AC$24,0)</f>
        <v>0</v>
      </c>
      <c r="AD203" s="69" t="n">
        <f aca="false">MIN(AD$23,AC203)</f>
        <v>0</v>
      </c>
      <c r="AE203" s="69" t="n">
        <f aca="false">IF(AND(AD$24=1,OR(AC$25="",$C203&gt;=AC$25)),MAX(0,MIN(AC203-AD203,$D203-(G203+K203+O203+S203+W203+AA203))),0)</f>
        <v>0</v>
      </c>
      <c r="AF203" s="69" t="n">
        <f aca="false">AC203-AD203-AE203</f>
        <v>0</v>
      </c>
      <c r="AG203" s="69" t="n">
        <f aca="false">IF(AJ202&gt;0.5,AJ202*(1+AG$23)+AG$24,0)</f>
        <v>0</v>
      </c>
      <c r="AH203" s="69" t="n">
        <f aca="false">MIN(AH$23,AG203)</f>
        <v>0</v>
      </c>
      <c r="AI203" s="69" t="n">
        <f aca="false">IF(AND(AH$24=1,OR(AG$25="",$C203&gt;=AG$25)),MAX(0,MIN(AG203-AH203,$D203-(G203+K203+O203+S203+W203+AA203+AE203))),0)</f>
        <v>0</v>
      </c>
      <c r="AJ203" s="69" t="n">
        <f aca="false">AG203-AH203-AI203</f>
        <v>0</v>
      </c>
      <c r="AK203" s="69" t="n">
        <f aca="false">IF(AK202&gt;0.5,AK202*(1+$E$12)+$G$12-MIN($F$12,AK202*(1+$E$12)+$G$12),0)</f>
        <v>0</v>
      </c>
      <c r="AL203" s="69" t="n">
        <f aca="false">IF(AL202&gt;0.5,AL202*(1+$E$13)+$G$13-MIN($F$13,AL202*(1+$E$13)+$G$13),0)</f>
        <v>0</v>
      </c>
      <c r="AM203" s="69" t="n">
        <f aca="false">IF(AM202&gt;0.5,AM202*(1+$E$14)+$G$14-MIN($F$14,AM202*(1+$E$14)+$G$14),0)</f>
        <v>0</v>
      </c>
      <c r="AN203" s="69" t="n">
        <f aca="false">IF(AN202&gt;0.5,AN202*(1+$E$15)+$G$15-MIN($F$15,AN202*(1+$E$15)+$G$15),0)</f>
        <v>0</v>
      </c>
      <c r="AO203" s="69" t="n">
        <f aca="false">IF(AO202&gt;0.5,AO202*(1+$E$16)+$G$16-MIN($F$16,AO202*(1+$E$16)+$G$16),0)</f>
        <v>0</v>
      </c>
      <c r="AP203" s="69" t="n">
        <f aca="false">IF(AP202&gt;0.5,AP202*(1+$E$17)+$G$17-MIN($F$17,AP202*(1+$E$17)+$G$17),0)</f>
        <v>0</v>
      </c>
      <c r="AQ203" s="69" t="n">
        <f aca="false">IF(AQ202&gt;0.5,AQ202*(1+$E$18)+$G$18-MIN($F$18,AQ202*(1+$E$18)+$G$18),0)</f>
        <v>0</v>
      </c>
      <c r="AR203" s="69" t="n">
        <f aca="false">IF(AR202&gt;0.5,AR202*(1+$E$19)+$G$19-MIN($F$19,AR202*(1+$E$19)+$G$19),0)</f>
        <v>0</v>
      </c>
      <c r="AS203" s="69" t="n">
        <f aca="false">H203+L203+P203+T203+X203+AB203+AF203+AJ203</f>
        <v>0</v>
      </c>
      <c r="AT203" s="69" t="n">
        <f aca="false">SUM(AK203:AR203)</f>
        <v>0</v>
      </c>
      <c r="AU203" s="69" t="n">
        <f aca="false">F203+G203+J203+K203+N203+O203+R203+S203+V203+W203+Z203+AA203+AD203+AE203+AH203+AI203</f>
        <v>0</v>
      </c>
    </row>
    <row r="204" customFormat="false" ht="15" hidden="false" customHeight="false" outlineLevel="0" collapsed="false">
      <c r="B204" s="0" t="n">
        <v>177</v>
      </c>
      <c r="C204" s="68" t="n">
        <f aca="false">EDATE($C$7,176)</f>
        <v>51653</v>
      </c>
      <c r="D204" s="69" t="n">
        <f aca="false">$C$8-(F204+J204+N204+R204+V204+Z204+AD204+AH204)</f>
        <v>0</v>
      </c>
      <c r="E204" s="69" t="n">
        <f aca="false">IF(H203&gt;0.5,H203*(1+E$23)+E$24,0)</f>
        <v>0</v>
      </c>
      <c r="F204" s="69" t="n">
        <f aca="false">MIN(F$23,E204)</f>
        <v>0</v>
      </c>
      <c r="G204" s="69" t="n">
        <f aca="false">IF(AND(F$24=1,OR(E$25="",$C204&gt;=E$25)),MAX(0,MIN(E204-F204,$D204-(0))),0)</f>
        <v>0</v>
      </c>
      <c r="H204" s="69" t="n">
        <f aca="false">E204-F204-G204</f>
        <v>0</v>
      </c>
      <c r="I204" s="69" t="n">
        <f aca="false">IF(L203&gt;0.5,L203*(1+I$23)+I$24,0)</f>
        <v>0</v>
      </c>
      <c r="J204" s="69" t="n">
        <f aca="false">MIN(J$23,I204)</f>
        <v>0</v>
      </c>
      <c r="K204" s="69" t="n">
        <f aca="false">IF(AND(J$24=1,OR(I$25="",$C204&gt;=I$25)),MAX(0,MIN(I204-J204,$D204-(G204))),0)</f>
        <v>0</v>
      </c>
      <c r="L204" s="69" t="n">
        <f aca="false">I204-J204-K204</f>
        <v>0</v>
      </c>
      <c r="M204" s="69" t="n">
        <f aca="false">IF(P203&gt;0.5,P203*(1+M$23)+M$24,0)</f>
        <v>0</v>
      </c>
      <c r="N204" s="69" t="n">
        <f aca="false">MIN(N$23,M204)</f>
        <v>0</v>
      </c>
      <c r="O204" s="69" t="n">
        <f aca="false">IF(AND(N$24=1,OR(M$25="",$C204&gt;=M$25)),MAX(0,MIN(M204-N204,$D204-(G204+K204))),0)</f>
        <v>0</v>
      </c>
      <c r="P204" s="69" t="n">
        <f aca="false">M204-N204-O204</f>
        <v>0</v>
      </c>
      <c r="Q204" s="69" t="n">
        <f aca="false">IF(T203&gt;0.5,T203*(1+Q$23)+Q$24,0)</f>
        <v>0</v>
      </c>
      <c r="R204" s="69" t="n">
        <f aca="false">MIN(R$23,Q204)</f>
        <v>0</v>
      </c>
      <c r="S204" s="69" t="n">
        <f aca="false">IF(AND(R$24=1,OR(Q$25="",$C204&gt;=Q$25)),MAX(0,MIN(Q204-R204,$D204-(G204+K204+O204))),0)</f>
        <v>0</v>
      </c>
      <c r="T204" s="69" t="n">
        <f aca="false">Q204-R204-S204</f>
        <v>0</v>
      </c>
      <c r="U204" s="69" t="n">
        <f aca="false">IF(X203&gt;0.5,X203*(1+U$23)+U$24,0)</f>
        <v>0</v>
      </c>
      <c r="V204" s="69" t="n">
        <f aca="false">MIN(V$23,U204)</f>
        <v>0</v>
      </c>
      <c r="W204" s="69" t="n">
        <f aca="false">IF(AND(V$24=1,OR(U$25="",$C204&gt;=U$25)),MAX(0,MIN(U204-V204,$D204-(G204+K204+O204+S204))),0)</f>
        <v>0</v>
      </c>
      <c r="X204" s="69" t="n">
        <f aca="false">U204-V204-W204</f>
        <v>0</v>
      </c>
      <c r="Y204" s="69" t="n">
        <f aca="false">IF(AB203&gt;0.5,AB203*(1+Y$23)+Y$24,0)</f>
        <v>0</v>
      </c>
      <c r="Z204" s="69" t="n">
        <f aca="false">MIN(Z$23,Y204)</f>
        <v>0</v>
      </c>
      <c r="AA204" s="69" t="n">
        <f aca="false">IF(AND(Z$24=1,OR(Y$25="",$C204&gt;=Y$25)),MAX(0,MIN(Y204-Z204,$D204-(G204+K204+O204+S204+W204))),0)</f>
        <v>0</v>
      </c>
      <c r="AB204" s="69" t="n">
        <f aca="false">Y204-Z204-AA204</f>
        <v>0</v>
      </c>
      <c r="AC204" s="69" t="n">
        <f aca="false">IF(AF203&gt;0.5,AF203*(1+AC$23)+AC$24,0)</f>
        <v>0</v>
      </c>
      <c r="AD204" s="69" t="n">
        <f aca="false">MIN(AD$23,AC204)</f>
        <v>0</v>
      </c>
      <c r="AE204" s="69" t="n">
        <f aca="false">IF(AND(AD$24=1,OR(AC$25="",$C204&gt;=AC$25)),MAX(0,MIN(AC204-AD204,$D204-(G204+K204+O204+S204+W204+AA204))),0)</f>
        <v>0</v>
      </c>
      <c r="AF204" s="69" t="n">
        <f aca="false">AC204-AD204-AE204</f>
        <v>0</v>
      </c>
      <c r="AG204" s="69" t="n">
        <f aca="false">IF(AJ203&gt;0.5,AJ203*(1+AG$23)+AG$24,0)</f>
        <v>0</v>
      </c>
      <c r="AH204" s="69" t="n">
        <f aca="false">MIN(AH$23,AG204)</f>
        <v>0</v>
      </c>
      <c r="AI204" s="69" t="n">
        <f aca="false">IF(AND(AH$24=1,OR(AG$25="",$C204&gt;=AG$25)),MAX(0,MIN(AG204-AH204,$D204-(G204+K204+O204+S204+W204+AA204+AE204))),0)</f>
        <v>0</v>
      </c>
      <c r="AJ204" s="69" t="n">
        <f aca="false">AG204-AH204-AI204</f>
        <v>0</v>
      </c>
      <c r="AK204" s="69" t="n">
        <f aca="false">IF(AK203&gt;0.5,AK203*(1+$E$12)+$G$12-MIN($F$12,AK203*(1+$E$12)+$G$12),0)</f>
        <v>0</v>
      </c>
      <c r="AL204" s="69" t="n">
        <f aca="false">IF(AL203&gt;0.5,AL203*(1+$E$13)+$G$13-MIN($F$13,AL203*(1+$E$13)+$G$13),0)</f>
        <v>0</v>
      </c>
      <c r="AM204" s="69" t="n">
        <f aca="false">IF(AM203&gt;0.5,AM203*(1+$E$14)+$G$14-MIN($F$14,AM203*(1+$E$14)+$G$14),0)</f>
        <v>0</v>
      </c>
      <c r="AN204" s="69" t="n">
        <f aca="false">IF(AN203&gt;0.5,AN203*(1+$E$15)+$G$15-MIN($F$15,AN203*(1+$E$15)+$G$15),0)</f>
        <v>0</v>
      </c>
      <c r="AO204" s="69" t="n">
        <f aca="false">IF(AO203&gt;0.5,AO203*(1+$E$16)+$G$16-MIN($F$16,AO203*(1+$E$16)+$G$16),0)</f>
        <v>0</v>
      </c>
      <c r="AP204" s="69" t="n">
        <f aca="false">IF(AP203&gt;0.5,AP203*(1+$E$17)+$G$17-MIN($F$17,AP203*(1+$E$17)+$G$17),0)</f>
        <v>0</v>
      </c>
      <c r="AQ204" s="69" t="n">
        <f aca="false">IF(AQ203&gt;0.5,AQ203*(1+$E$18)+$G$18-MIN($F$18,AQ203*(1+$E$18)+$G$18),0)</f>
        <v>0</v>
      </c>
      <c r="AR204" s="69" t="n">
        <f aca="false">IF(AR203&gt;0.5,AR203*(1+$E$19)+$G$19-MIN($F$19,AR203*(1+$E$19)+$G$19),0)</f>
        <v>0</v>
      </c>
      <c r="AS204" s="69" t="n">
        <f aca="false">H204+L204+P204+T204+X204+AB204+AF204+AJ204</f>
        <v>0</v>
      </c>
      <c r="AT204" s="69" t="n">
        <f aca="false">SUM(AK204:AR204)</f>
        <v>0</v>
      </c>
      <c r="AU204" s="69" t="n">
        <f aca="false">F204+G204+J204+K204+N204+O204+R204+S204+V204+W204+Z204+AA204+AD204+AE204+AH204+AI204</f>
        <v>0</v>
      </c>
    </row>
    <row r="205" customFormat="false" ht="15" hidden="false" customHeight="false" outlineLevel="0" collapsed="false">
      <c r="B205" s="0" t="n">
        <v>178</v>
      </c>
      <c r="C205" s="68" t="n">
        <f aca="false">EDATE($C$7,177)</f>
        <v>51683</v>
      </c>
      <c r="D205" s="69" t="n">
        <f aca="false">$C$8-(F205+J205+N205+R205+V205+Z205+AD205+AH205)</f>
        <v>0</v>
      </c>
      <c r="E205" s="69" t="n">
        <f aca="false">IF(H204&gt;0.5,H204*(1+E$23)+E$24,0)</f>
        <v>0</v>
      </c>
      <c r="F205" s="69" t="n">
        <f aca="false">MIN(F$23,E205)</f>
        <v>0</v>
      </c>
      <c r="G205" s="69" t="n">
        <f aca="false">IF(AND(F$24=1,OR(E$25="",$C205&gt;=E$25)),MAX(0,MIN(E205-F205,$D205-(0))),0)</f>
        <v>0</v>
      </c>
      <c r="H205" s="69" t="n">
        <f aca="false">E205-F205-G205</f>
        <v>0</v>
      </c>
      <c r="I205" s="69" t="n">
        <f aca="false">IF(L204&gt;0.5,L204*(1+I$23)+I$24,0)</f>
        <v>0</v>
      </c>
      <c r="J205" s="69" t="n">
        <f aca="false">MIN(J$23,I205)</f>
        <v>0</v>
      </c>
      <c r="K205" s="69" t="n">
        <f aca="false">IF(AND(J$24=1,OR(I$25="",$C205&gt;=I$25)),MAX(0,MIN(I205-J205,$D205-(G205))),0)</f>
        <v>0</v>
      </c>
      <c r="L205" s="69" t="n">
        <f aca="false">I205-J205-K205</f>
        <v>0</v>
      </c>
      <c r="M205" s="69" t="n">
        <f aca="false">IF(P204&gt;0.5,P204*(1+M$23)+M$24,0)</f>
        <v>0</v>
      </c>
      <c r="N205" s="69" t="n">
        <f aca="false">MIN(N$23,M205)</f>
        <v>0</v>
      </c>
      <c r="O205" s="69" t="n">
        <f aca="false">IF(AND(N$24=1,OR(M$25="",$C205&gt;=M$25)),MAX(0,MIN(M205-N205,$D205-(G205+K205))),0)</f>
        <v>0</v>
      </c>
      <c r="P205" s="69" t="n">
        <f aca="false">M205-N205-O205</f>
        <v>0</v>
      </c>
      <c r="Q205" s="69" t="n">
        <f aca="false">IF(T204&gt;0.5,T204*(1+Q$23)+Q$24,0)</f>
        <v>0</v>
      </c>
      <c r="R205" s="69" t="n">
        <f aca="false">MIN(R$23,Q205)</f>
        <v>0</v>
      </c>
      <c r="S205" s="69" t="n">
        <f aca="false">IF(AND(R$24=1,OR(Q$25="",$C205&gt;=Q$25)),MAX(0,MIN(Q205-R205,$D205-(G205+K205+O205))),0)</f>
        <v>0</v>
      </c>
      <c r="T205" s="69" t="n">
        <f aca="false">Q205-R205-S205</f>
        <v>0</v>
      </c>
      <c r="U205" s="69" t="n">
        <f aca="false">IF(X204&gt;0.5,X204*(1+U$23)+U$24,0)</f>
        <v>0</v>
      </c>
      <c r="V205" s="69" t="n">
        <f aca="false">MIN(V$23,U205)</f>
        <v>0</v>
      </c>
      <c r="W205" s="69" t="n">
        <f aca="false">IF(AND(V$24=1,OR(U$25="",$C205&gt;=U$25)),MAX(0,MIN(U205-V205,$D205-(G205+K205+O205+S205))),0)</f>
        <v>0</v>
      </c>
      <c r="X205" s="69" t="n">
        <f aca="false">U205-V205-W205</f>
        <v>0</v>
      </c>
      <c r="Y205" s="69" t="n">
        <f aca="false">IF(AB204&gt;0.5,AB204*(1+Y$23)+Y$24,0)</f>
        <v>0</v>
      </c>
      <c r="Z205" s="69" t="n">
        <f aca="false">MIN(Z$23,Y205)</f>
        <v>0</v>
      </c>
      <c r="AA205" s="69" t="n">
        <f aca="false">IF(AND(Z$24=1,OR(Y$25="",$C205&gt;=Y$25)),MAX(0,MIN(Y205-Z205,$D205-(G205+K205+O205+S205+W205))),0)</f>
        <v>0</v>
      </c>
      <c r="AB205" s="69" t="n">
        <f aca="false">Y205-Z205-AA205</f>
        <v>0</v>
      </c>
      <c r="AC205" s="69" t="n">
        <f aca="false">IF(AF204&gt;0.5,AF204*(1+AC$23)+AC$24,0)</f>
        <v>0</v>
      </c>
      <c r="AD205" s="69" t="n">
        <f aca="false">MIN(AD$23,AC205)</f>
        <v>0</v>
      </c>
      <c r="AE205" s="69" t="n">
        <f aca="false">IF(AND(AD$24=1,OR(AC$25="",$C205&gt;=AC$25)),MAX(0,MIN(AC205-AD205,$D205-(G205+K205+O205+S205+W205+AA205))),0)</f>
        <v>0</v>
      </c>
      <c r="AF205" s="69" t="n">
        <f aca="false">AC205-AD205-AE205</f>
        <v>0</v>
      </c>
      <c r="AG205" s="69" t="n">
        <f aca="false">IF(AJ204&gt;0.5,AJ204*(1+AG$23)+AG$24,0)</f>
        <v>0</v>
      </c>
      <c r="AH205" s="69" t="n">
        <f aca="false">MIN(AH$23,AG205)</f>
        <v>0</v>
      </c>
      <c r="AI205" s="69" t="n">
        <f aca="false">IF(AND(AH$24=1,OR(AG$25="",$C205&gt;=AG$25)),MAX(0,MIN(AG205-AH205,$D205-(G205+K205+O205+S205+W205+AA205+AE205))),0)</f>
        <v>0</v>
      </c>
      <c r="AJ205" s="69" t="n">
        <f aca="false">AG205-AH205-AI205</f>
        <v>0</v>
      </c>
      <c r="AK205" s="69" t="n">
        <f aca="false">IF(AK204&gt;0.5,AK204*(1+$E$12)+$G$12-MIN($F$12,AK204*(1+$E$12)+$G$12),0)</f>
        <v>0</v>
      </c>
      <c r="AL205" s="69" t="n">
        <f aca="false">IF(AL204&gt;0.5,AL204*(1+$E$13)+$G$13-MIN($F$13,AL204*(1+$E$13)+$G$13),0)</f>
        <v>0</v>
      </c>
      <c r="AM205" s="69" t="n">
        <f aca="false">IF(AM204&gt;0.5,AM204*(1+$E$14)+$G$14-MIN($F$14,AM204*(1+$E$14)+$G$14),0)</f>
        <v>0</v>
      </c>
      <c r="AN205" s="69" t="n">
        <f aca="false">IF(AN204&gt;0.5,AN204*(1+$E$15)+$G$15-MIN($F$15,AN204*(1+$E$15)+$G$15),0)</f>
        <v>0</v>
      </c>
      <c r="AO205" s="69" t="n">
        <f aca="false">IF(AO204&gt;0.5,AO204*(1+$E$16)+$G$16-MIN($F$16,AO204*(1+$E$16)+$G$16),0)</f>
        <v>0</v>
      </c>
      <c r="AP205" s="69" t="n">
        <f aca="false">IF(AP204&gt;0.5,AP204*(1+$E$17)+$G$17-MIN($F$17,AP204*(1+$E$17)+$G$17),0)</f>
        <v>0</v>
      </c>
      <c r="AQ205" s="69" t="n">
        <f aca="false">IF(AQ204&gt;0.5,AQ204*(1+$E$18)+$G$18-MIN($F$18,AQ204*(1+$E$18)+$G$18),0)</f>
        <v>0</v>
      </c>
      <c r="AR205" s="69" t="n">
        <f aca="false">IF(AR204&gt;0.5,AR204*(1+$E$19)+$G$19-MIN($F$19,AR204*(1+$E$19)+$G$19),0)</f>
        <v>0</v>
      </c>
      <c r="AS205" s="69" t="n">
        <f aca="false">H205+L205+P205+T205+X205+AB205+AF205+AJ205</f>
        <v>0</v>
      </c>
      <c r="AT205" s="69" t="n">
        <f aca="false">SUM(AK205:AR205)</f>
        <v>0</v>
      </c>
      <c r="AU205" s="69" t="n">
        <f aca="false">F205+G205+J205+K205+N205+O205+R205+S205+V205+W205+Z205+AA205+AD205+AE205+AH205+AI205</f>
        <v>0</v>
      </c>
    </row>
    <row r="206" customFormat="false" ht="15" hidden="false" customHeight="false" outlineLevel="0" collapsed="false">
      <c r="B206" s="0" t="n">
        <v>179</v>
      </c>
      <c r="C206" s="68" t="n">
        <f aca="false">EDATE($C$7,178)</f>
        <v>51714</v>
      </c>
      <c r="D206" s="69" t="n">
        <f aca="false">$C$8-(F206+J206+N206+R206+V206+Z206+AD206+AH206)</f>
        <v>0</v>
      </c>
      <c r="E206" s="69" t="n">
        <f aca="false">IF(H205&gt;0.5,H205*(1+E$23)+E$24,0)</f>
        <v>0</v>
      </c>
      <c r="F206" s="69" t="n">
        <f aca="false">MIN(F$23,E206)</f>
        <v>0</v>
      </c>
      <c r="G206" s="69" t="n">
        <f aca="false">IF(AND(F$24=1,OR(E$25="",$C206&gt;=E$25)),MAX(0,MIN(E206-F206,$D206-(0))),0)</f>
        <v>0</v>
      </c>
      <c r="H206" s="69" t="n">
        <f aca="false">E206-F206-G206</f>
        <v>0</v>
      </c>
      <c r="I206" s="69" t="n">
        <f aca="false">IF(L205&gt;0.5,L205*(1+I$23)+I$24,0)</f>
        <v>0</v>
      </c>
      <c r="J206" s="69" t="n">
        <f aca="false">MIN(J$23,I206)</f>
        <v>0</v>
      </c>
      <c r="K206" s="69" t="n">
        <f aca="false">IF(AND(J$24=1,OR(I$25="",$C206&gt;=I$25)),MAX(0,MIN(I206-J206,$D206-(G206))),0)</f>
        <v>0</v>
      </c>
      <c r="L206" s="69" t="n">
        <f aca="false">I206-J206-K206</f>
        <v>0</v>
      </c>
      <c r="M206" s="69" t="n">
        <f aca="false">IF(P205&gt;0.5,P205*(1+M$23)+M$24,0)</f>
        <v>0</v>
      </c>
      <c r="N206" s="69" t="n">
        <f aca="false">MIN(N$23,M206)</f>
        <v>0</v>
      </c>
      <c r="O206" s="69" t="n">
        <f aca="false">IF(AND(N$24=1,OR(M$25="",$C206&gt;=M$25)),MAX(0,MIN(M206-N206,$D206-(G206+K206))),0)</f>
        <v>0</v>
      </c>
      <c r="P206" s="69" t="n">
        <f aca="false">M206-N206-O206</f>
        <v>0</v>
      </c>
      <c r="Q206" s="69" t="n">
        <f aca="false">IF(T205&gt;0.5,T205*(1+Q$23)+Q$24,0)</f>
        <v>0</v>
      </c>
      <c r="R206" s="69" t="n">
        <f aca="false">MIN(R$23,Q206)</f>
        <v>0</v>
      </c>
      <c r="S206" s="69" t="n">
        <f aca="false">IF(AND(R$24=1,OR(Q$25="",$C206&gt;=Q$25)),MAX(0,MIN(Q206-R206,$D206-(G206+K206+O206))),0)</f>
        <v>0</v>
      </c>
      <c r="T206" s="69" t="n">
        <f aca="false">Q206-R206-S206</f>
        <v>0</v>
      </c>
      <c r="U206" s="69" t="n">
        <f aca="false">IF(X205&gt;0.5,X205*(1+U$23)+U$24,0)</f>
        <v>0</v>
      </c>
      <c r="V206" s="69" t="n">
        <f aca="false">MIN(V$23,U206)</f>
        <v>0</v>
      </c>
      <c r="W206" s="69" t="n">
        <f aca="false">IF(AND(V$24=1,OR(U$25="",$C206&gt;=U$25)),MAX(0,MIN(U206-V206,$D206-(G206+K206+O206+S206))),0)</f>
        <v>0</v>
      </c>
      <c r="X206" s="69" t="n">
        <f aca="false">U206-V206-W206</f>
        <v>0</v>
      </c>
      <c r="Y206" s="69" t="n">
        <f aca="false">IF(AB205&gt;0.5,AB205*(1+Y$23)+Y$24,0)</f>
        <v>0</v>
      </c>
      <c r="Z206" s="69" t="n">
        <f aca="false">MIN(Z$23,Y206)</f>
        <v>0</v>
      </c>
      <c r="AA206" s="69" t="n">
        <f aca="false">IF(AND(Z$24=1,OR(Y$25="",$C206&gt;=Y$25)),MAX(0,MIN(Y206-Z206,$D206-(G206+K206+O206+S206+W206))),0)</f>
        <v>0</v>
      </c>
      <c r="AB206" s="69" t="n">
        <f aca="false">Y206-Z206-AA206</f>
        <v>0</v>
      </c>
      <c r="AC206" s="69" t="n">
        <f aca="false">IF(AF205&gt;0.5,AF205*(1+AC$23)+AC$24,0)</f>
        <v>0</v>
      </c>
      <c r="AD206" s="69" t="n">
        <f aca="false">MIN(AD$23,AC206)</f>
        <v>0</v>
      </c>
      <c r="AE206" s="69" t="n">
        <f aca="false">IF(AND(AD$24=1,OR(AC$25="",$C206&gt;=AC$25)),MAX(0,MIN(AC206-AD206,$D206-(G206+K206+O206+S206+W206+AA206))),0)</f>
        <v>0</v>
      </c>
      <c r="AF206" s="69" t="n">
        <f aca="false">AC206-AD206-AE206</f>
        <v>0</v>
      </c>
      <c r="AG206" s="69" t="n">
        <f aca="false">IF(AJ205&gt;0.5,AJ205*(1+AG$23)+AG$24,0)</f>
        <v>0</v>
      </c>
      <c r="AH206" s="69" t="n">
        <f aca="false">MIN(AH$23,AG206)</f>
        <v>0</v>
      </c>
      <c r="AI206" s="69" t="n">
        <f aca="false">IF(AND(AH$24=1,OR(AG$25="",$C206&gt;=AG$25)),MAX(0,MIN(AG206-AH206,$D206-(G206+K206+O206+S206+W206+AA206+AE206))),0)</f>
        <v>0</v>
      </c>
      <c r="AJ206" s="69" t="n">
        <f aca="false">AG206-AH206-AI206</f>
        <v>0</v>
      </c>
      <c r="AK206" s="69" t="n">
        <f aca="false">IF(AK205&gt;0.5,AK205*(1+$E$12)+$G$12-MIN($F$12,AK205*(1+$E$12)+$G$12),0)</f>
        <v>0</v>
      </c>
      <c r="AL206" s="69" t="n">
        <f aca="false">IF(AL205&gt;0.5,AL205*(1+$E$13)+$G$13-MIN($F$13,AL205*(1+$E$13)+$G$13),0)</f>
        <v>0</v>
      </c>
      <c r="AM206" s="69" t="n">
        <f aca="false">IF(AM205&gt;0.5,AM205*(1+$E$14)+$G$14-MIN($F$14,AM205*(1+$E$14)+$G$14),0)</f>
        <v>0</v>
      </c>
      <c r="AN206" s="69" t="n">
        <f aca="false">IF(AN205&gt;0.5,AN205*(1+$E$15)+$G$15-MIN($F$15,AN205*(1+$E$15)+$G$15),0)</f>
        <v>0</v>
      </c>
      <c r="AO206" s="69" t="n">
        <f aca="false">IF(AO205&gt;0.5,AO205*(1+$E$16)+$G$16-MIN($F$16,AO205*(1+$E$16)+$G$16),0)</f>
        <v>0</v>
      </c>
      <c r="AP206" s="69" t="n">
        <f aca="false">IF(AP205&gt;0.5,AP205*(1+$E$17)+$G$17-MIN($F$17,AP205*(1+$E$17)+$G$17),0)</f>
        <v>0</v>
      </c>
      <c r="AQ206" s="69" t="n">
        <f aca="false">IF(AQ205&gt;0.5,AQ205*(1+$E$18)+$G$18-MIN($F$18,AQ205*(1+$E$18)+$G$18),0)</f>
        <v>0</v>
      </c>
      <c r="AR206" s="69" t="n">
        <f aca="false">IF(AR205&gt;0.5,AR205*(1+$E$19)+$G$19-MIN($F$19,AR205*(1+$E$19)+$G$19),0)</f>
        <v>0</v>
      </c>
      <c r="AS206" s="69" t="n">
        <f aca="false">H206+L206+P206+T206+X206+AB206+AF206+AJ206</f>
        <v>0</v>
      </c>
      <c r="AT206" s="69" t="n">
        <f aca="false">SUM(AK206:AR206)</f>
        <v>0</v>
      </c>
      <c r="AU206" s="69" t="n">
        <f aca="false">F206+G206+J206+K206+N206+O206+R206+S206+V206+W206+Z206+AA206+AD206+AE206+AH206+AI206</f>
        <v>0</v>
      </c>
    </row>
    <row r="207" customFormat="false" ht="15" hidden="false" customHeight="false" outlineLevel="0" collapsed="false">
      <c r="B207" s="0" t="n">
        <v>180</v>
      </c>
      <c r="C207" s="68" t="n">
        <f aca="false">EDATE($C$7,179)</f>
        <v>51745</v>
      </c>
      <c r="D207" s="69" t="n">
        <f aca="false">$C$8-(F207+J207+N207+R207+V207+Z207+AD207+AH207)</f>
        <v>0</v>
      </c>
      <c r="E207" s="69" t="n">
        <f aca="false">IF(H206&gt;0.5,H206*(1+E$23)+E$24,0)</f>
        <v>0</v>
      </c>
      <c r="F207" s="69" t="n">
        <f aca="false">MIN(F$23,E207)</f>
        <v>0</v>
      </c>
      <c r="G207" s="69" t="n">
        <f aca="false">IF(AND(F$24=1,OR(E$25="",$C207&gt;=E$25)),MAX(0,MIN(E207-F207,$D207-(0))),0)</f>
        <v>0</v>
      </c>
      <c r="H207" s="69" t="n">
        <f aca="false">E207-F207-G207</f>
        <v>0</v>
      </c>
      <c r="I207" s="69" t="n">
        <f aca="false">IF(L206&gt;0.5,L206*(1+I$23)+I$24,0)</f>
        <v>0</v>
      </c>
      <c r="J207" s="69" t="n">
        <f aca="false">MIN(J$23,I207)</f>
        <v>0</v>
      </c>
      <c r="K207" s="69" t="n">
        <f aca="false">IF(AND(J$24=1,OR(I$25="",$C207&gt;=I$25)),MAX(0,MIN(I207-J207,$D207-(G207))),0)</f>
        <v>0</v>
      </c>
      <c r="L207" s="69" t="n">
        <f aca="false">I207-J207-K207</f>
        <v>0</v>
      </c>
      <c r="M207" s="69" t="n">
        <f aca="false">IF(P206&gt;0.5,P206*(1+M$23)+M$24,0)</f>
        <v>0</v>
      </c>
      <c r="N207" s="69" t="n">
        <f aca="false">MIN(N$23,M207)</f>
        <v>0</v>
      </c>
      <c r="O207" s="69" t="n">
        <f aca="false">IF(AND(N$24=1,OR(M$25="",$C207&gt;=M$25)),MAX(0,MIN(M207-N207,$D207-(G207+K207))),0)</f>
        <v>0</v>
      </c>
      <c r="P207" s="69" t="n">
        <f aca="false">M207-N207-O207</f>
        <v>0</v>
      </c>
      <c r="Q207" s="69" t="n">
        <f aca="false">IF(T206&gt;0.5,T206*(1+Q$23)+Q$24,0)</f>
        <v>0</v>
      </c>
      <c r="R207" s="69" t="n">
        <f aca="false">MIN(R$23,Q207)</f>
        <v>0</v>
      </c>
      <c r="S207" s="69" t="n">
        <f aca="false">IF(AND(R$24=1,OR(Q$25="",$C207&gt;=Q$25)),MAX(0,MIN(Q207-R207,$D207-(G207+K207+O207))),0)</f>
        <v>0</v>
      </c>
      <c r="T207" s="69" t="n">
        <f aca="false">Q207-R207-S207</f>
        <v>0</v>
      </c>
      <c r="U207" s="69" t="n">
        <f aca="false">IF(X206&gt;0.5,X206*(1+U$23)+U$24,0)</f>
        <v>0</v>
      </c>
      <c r="V207" s="69" t="n">
        <f aca="false">MIN(V$23,U207)</f>
        <v>0</v>
      </c>
      <c r="W207" s="69" t="n">
        <f aca="false">IF(AND(V$24=1,OR(U$25="",$C207&gt;=U$25)),MAX(0,MIN(U207-V207,$D207-(G207+K207+O207+S207))),0)</f>
        <v>0</v>
      </c>
      <c r="X207" s="69" t="n">
        <f aca="false">U207-V207-W207</f>
        <v>0</v>
      </c>
      <c r="Y207" s="69" t="n">
        <f aca="false">IF(AB206&gt;0.5,AB206*(1+Y$23)+Y$24,0)</f>
        <v>0</v>
      </c>
      <c r="Z207" s="69" t="n">
        <f aca="false">MIN(Z$23,Y207)</f>
        <v>0</v>
      </c>
      <c r="AA207" s="69" t="n">
        <f aca="false">IF(AND(Z$24=1,OR(Y$25="",$C207&gt;=Y$25)),MAX(0,MIN(Y207-Z207,$D207-(G207+K207+O207+S207+W207))),0)</f>
        <v>0</v>
      </c>
      <c r="AB207" s="69" t="n">
        <f aca="false">Y207-Z207-AA207</f>
        <v>0</v>
      </c>
      <c r="AC207" s="69" t="n">
        <f aca="false">IF(AF206&gt;0.5,AF206*(1+AC$23)+AC$24,0)</f>
        <v>0</v>
      </c>
      <c r="AD207" s="69" t="n">
        <f aca="false">MIN(AD$23,AC207)</f>
        <v>0</v>
      </c>
      <c r="AE207" s="69" t="n">
        <f aca="false">IF(AND(AD$24=1,OR(AC$25="",$C207&gt;=AC$25)),MAX(0,MIN(AC207-AD207,$D207-(G207+K207+O207+S207+W207+AA207))),0)</f>
        <v>0</v>
      </c>
      <c r="AF207" s="69" t="n">
        <f aca="false">AC207-AD207-AE207</f>
        <v>0</v>
      </c>
      <c r="AG207" s="69" t="n">
        <f aca="false">IF(AJ206&gt;0.5,AJ206*(1+AG$23)+AG$24,0)</f>
        <v>0</v>
      </c>
      <c r="AH207" s="69" t="n">
        <f aca="false">MIN(AH$23,AG207)</f>
        <v>0</v>
      </c>
      <c r="AI207" s="69" t="n">
        <f aca="false">IF(AND(AH$24=1,OR(AG$25="",$C207&gt;=AG$25)),MAX(0,MIN(AG207-AH207,$D207-(G207+K207+O207+S207+W207+AA207+AE207))),0)</f>
        <v>0</v>
      </c>
      <c r="AJ207" s="69" t="n">
        <f aca="false">AG207-AH207-AI207</f>
        <v>0</v>
      </c>
      <c r="AK207" s="69" t="n">
        <f aca="false">IF(AK206&gt;0.5,AK206*(1+$E$12)+$G$12-MIN($F$12,AK206*(1+$E$12)+$G$12),0)</f>
        <v>0</v>
      </c>
      <c r="AL207" s="69" t="n">
        <f aca="false">IF(AL206&gt;0.5,AL206*(1+$E$13)+$G$13-MIN($F$13,AL206*(1+$E$13)+$G$13),0)</f>
        <v>0</v>
      </c>
      <c r="AM207" s="69" t="n">
        <f aca="false">IF(AM206&gt;0.5,AM206*(1+$E$14)+$G$14-MIN($F$14,AM206*(1+$E$14)+$G$14),0)</f>
        <v>0</v>
      </c>
      <c r="AN207" s="69" t="n">
        <f aca="false">IF(AN206&gt;0.5,AN206*(1+$E$15)+$G$15-MIN($F$15,AN206*(1+$E$15)+$G$15),0)</f>
        <v>0</v>
      </c>
      <c r="AO207" s="69" t="n">
        <f aca="false">IF(AO206&gt;0.5,AO206*(1+$E$16)+$G$16-MIN($F$16,AO206*(1+$E$16)+$G$16),0)</f>
        <v>0</v>
      </c>
      <c r="AP207" s="69" t="n">
        <f aca="false">IF(AP206&gt;0.5,AP206*(1+$E$17)+$G$17-MIN($F$17,AP206*(1+$E$17)+$G$17),0)</f>
        <v>0</v>
      </c>
      <c r="AQ207" s="69" t="n">
        <f aca="false">IF(AQ206&gt;0.5,AQ206*(1+$E$18)+$G$18-MIN($F$18,AQ206*(1+$E$18)+$G$18),0)</f>
        <v>0</v>
      </c>
      <c r="AR207" s="69" t="n">
        <f aca="false">IF(AR206&gt;0.5,AR206*(1+$E$19)+$G$19-MIN($F$19,AR206*(1+$E$19)+$G$19),0)</f>
        <v>0</v>
      </c>
      <c r="AS207" s="69" t="n">
        <f aca="false">H207+L207+P207+T207+X207+AB207+AF207+AJ207</f>
        <v>0</v>
      </c>
      <c r="AT207" s="69" t="n">
        <f aca="false">SUM(AK207:AR207)</f>
        <v>0</v>
      </c>
      <c r="AU207" s="69" t="n">
        <f aca="false">F207+G207+J207+K207+N207+O207+R207+S207+V207+W207+Z207+AA207+AD207+AE207+AH207+AI207</f>
        <v>0</v>
      </c>
    </row>
    <row r="208" customFormat="false" ht="15" hidden="false" customHeight="false" outlineLevel="0" collapsed="false">
      <c r="B208" s="0" t="n">
        <v>181</v>
      </c>
      <c r="C208" s="68" t="n">
        <f aca="false">EDATE($C$7,180)</f>
        <v>51775</v>
      </c>
      <c r="D208" s="69" t="n">
        <f aca="false">$C$8-(F208+J208+N208+R208+V208+Z208+AD208+AH208)</f>
        <v>0</v>
      </c>
      <c r="E208" s="69" t="n">
        <f aca="false">IF(H207&gt;0.5,H207*(1+E$23)+E$24,0)</f>
        <v>0</v>
      </c>
      <c r="F208" s="69" t="n">
        <f aca="false">MIN(F$23,E208)</f>
        <v>0</v>
      </c>
      <c r="G208" s="69" t="n">
        <f aca="false">IF(AND(F$24=1,OR(E$25="",$C208&gt;=E$25)),MAX(0,MIN(E208-F208,$D208-(0))),0)</f>
        <v>0</v>
      </c>
      <c r="H208" s="69" t="n">
        <f aca="false">E208-F208-G208</f>
        <v>0</v>
      </c>
      <c r="I208" s="69" t="n">
        <f aca="false">IF(L207&gt;0.5,L207*(1+I$23)+I$24,0)</f>
        <v>0</v>
      </c>
      <c r="J208" s="69" t="n">
        <f aca="false">MIN(J$23,I208)</f>
        <v>0</v>
      </c>
      <c r="K208" s="69" t="n">
        <f aca="false">IF(AND(J$24=1,OR(I$25="",$C208&gt;=I$25)),MAX(0,MIN(I208-J208,$D208-(G208))),0)</f>
        <v>0</v>
      </c>
      <c r="L208" s="69" t="n">
        <f aca="false">I208-J208-K208</f>
        <v>0</v>
      </c>
      <c r="M208" s="69" t="n">
        <f aca="false">IF(P207&gt;0.5,P207*(1+M$23)+M$24,0)</f>
        <v>0</v>
      </c>
      <c r="N208" s="69" t="n">
        <f aca="false">MIN(N$23,M208)</f>
        <v>0</v>
      </c>
      <c r="O208" s="69" t="n">
        <f aca="false">IF(AND(N$24=1,OR(M$25="",$C208&gt;=M$25)),MAX(0,MIN(M208-N208,$D208-(G208+K208))),0)</f>
        <v>0</v>
      </c>
      <c r="P208" s="69" t="n">
        <f aca="false">M208-N208-O208</f>
        <v>0</v>
      </c>
      <c r="Q208" s="69" t="n">
        <f aca="false">IF(T207&gt;0.5,T207*(1+Q$23)+Q$24,0)</f>
        <v>0</v>
      </c>
      <c r="R208" s="69" t="n">
        <f aca="false">MIN(R$23,Q208)</f>
        <v>0</v>
      </c>
      <c r="S208" s="69" t="n">
        <f aca="false">IF(AND(R$24=1,OR(Q$25="",$C208&gt;=Q$25)),MAX(0,MIN(Q208-R208,$D208-(G208+K208+O208))),0)</f>
        <v>0</v>
      </c>
      <c r="T208" s="69" t="n">
        <f aca="false">Q208-R208-S208</f>
        <v>0</v>
      </c>
      <c r="U208" s="69" t="n">
        <f aca="false">IF(X207&gt;0.5,X207*(1+U$23)+U$24,0)</f>
        <v>0</v>
      </c>
      <c r="V208" s="69" t="n">
        <f aca="false">MIN(V$23,U208)</f>
        <v>0</v>
      </c>
      <c r="W208" s="69" t="n">
        <f aca="false">IF(AND(V$24=1,OR(U$25="",$C208&gt;=U$25)),MAX(0,MIN(U208-V208,$D208-(G208+K208+O208+S208))),0)</f>
        <v>0</v>
      </c>
      <c r="X208" s="69" t="n">
        <f aca="false">U208-V208-W208</f>
        <v>0</v>
      </c>
      <c r="Y208" s="69" t="n">
        <f aca="false">IF(AB207&gt;0.5,AB207*(1+Y$23)+Y$24,0)</f>
        <v>0</v>
      </c>
      <c r="Z208" s="69" t="n">
        <f aca="false">MIN(Z$23,Y208)</f>
        <v>0</v>
      </c>
      <c r="AA208" s="69" t="n">
        <f aca="false">IF(AND(Z$24=1,OR(Y$25="",$C208&gt;=Y$25)),MAX(0,MIN(Y208-Z208,$D208-(G208+K208+O208+S208+W208))),0)</f>
        <v>0</v>
      </c>
      <c r="AB208" s="69" t="n">
        <f aca="false">Y208-Z208-AA208</f>
        <v>0</v>
      </c>
      <c r="AC208" s="69" t="n">
        <f aca="false">IF(AF207&gt;0.5,AF207*(1+AC$23)+AC$24,0)</f>
        <v>0</v>
      </c>
      <c r="AD208" s="69" t="n">
        <f aca="false">MIN(AD$23,AC208)</f>
        <v>0</v>
      </c>
      <c r="AE208" s="69" t="n">
        <f aca="false">IF(AND(AD$24=1,OR(AC$25="",$C208&gt;=AC$25)),MAX(0,MIN(AC208-AD208,$D208-(G208+K208+O208+S208+W208+AA208))),0)</f>
        <v>0</v>
      </c>
      <c r="AF208" s="69" t="n">
        <f aca="false">AC208-AD208-AE208</f>
        <v>0</v>
      </c>
      <c r="AG208" s="69" t="n">
        <f aca="false">IF(AJ207&gt;0.5,AJ207*(1+AG$23)+AG$24,0)</f>
        <v>0</v>
      </c>
      <c r="AH208" s="69" t="n">
        <f aca="false">MIN(AH$23,AG208)</f>
        <v>0</v>
      </c>
      <c r="AI208" s="69" t="n">
        <f aca="false">IF(AND(AH$24=1,OR(AG$25="",$C208&gt;=AG$25)),MAX(0,MIN(AG208-AH208,$D208-(G208+K208+O208+S208+W208+AA208+AE208))),0)</f>
        <v>0</v>
      </c>
      <c r="AJ208" s="69" t="n">
        <f aca="false">AG208-AH208-AI208</f>
        <v>0</v>
      </c>
      <c r="AK208" s="69" t="n">
        <f aca="false">IF(AK207&gt;0.5,AK207*(1+$E$12)+$G$12-MIN($F$12,AK207*(1+$E$12)+$G$12),0)</f>
        <v>0</v>
      </c>
      <c r="AL208" s="69" t="n">
        <f aca="false">IF(AL207&gt;0.5,AL207*(1+$E$13)+$G$13-MIN($F$13,AL207*(1+$E$13)+$G$13),0)</f>
        <v>0</v>
      </c>
      <c r="AM208" s="69" t="n">
        <f aca="false">IF(AM207&gt;0.5,AM207*(1+$E$14)+$G$14-MIN($F$14,AM207*(1+$E$14)+$G$14),0)</f>
        <v>0</v>
      </c>
      <c r="AN208" s="69" t="n">
        <f aca="false">IF(AN207&gt;0.5,AN207*(1+$E$15)+$G$15-MIN($F$15,AN207*(1+$E$15)+$G$15),0)</f>
        <v>0</v>
      </c>
      <c r="AO208" s="69" t="n">
        <f aca="false">IF(AO207&gt;0.5,AO207*(1+$E$16)+$G$16-MIN($F$16,AO207*(1+$E$16)+$G$16),0)</f>
        <v>0</v>
      </c>
      <c r="AP208" s="69" t="n">
        <f aca="false">IF(AP207&gt;0.5,AP207*(1+$E$17)+$G$17-MIN($F$17,AP207*(1+$E$17)+$G$17),0)</f>
        <v>0</v>
      </c>
      <c r="AQ208" s="69" t="n">
        <f aca="false">IF(AQ207&gt;0.5,AQ207*(1+$E$18)+$G$18-MIN($F$18,AQ207*(1+$E$18)+$G$18),0)</f>
        <v>0</v>
      </c>
      <c r="AR208" s="69" t="n">
        <f aca="false">IF(AR207&gt;0.5,AR207*(1+$E$19)+$G$19-MIN($F$19,AR207*(1+$E$19)+$G$19),0)</f>
        <v>0</v>
      </c>
      <c r="AS208" s="69" t="n">
        <f aca="false">H208+L208+P208+T208+X208+AB208+AF208+AJ208</f>
        <v>0</v>
      </c>
      <c r="AT208" s="69" t="n">
        <f aca="false">SUM(AK208:AR208)</f>
        <v>0</v>
      </c>
      <c r="AU208" s="69" t="n">
        <f aca="false">F208+G208+J208+K208+N208+O208+R208+S208+V208+W208+Z208+AA208+AD208+AE208+AH208+AI208</f>
        <v>0</v>
      </c>
    </row>
    <row r="209" customFormat="false" ht="15" hidden="false" customHeight="false" outlineLevel="0" collapsed="false">
      <c r="B209" s="0" t="n">
        <v>182</v>
      </c>
      <c r="C209" s="68" t="n">
        <f aca="false">EDATE($C$7,181)</f>
        <v>51806</v>
      </c>
      <c r="D209" s="69" t="n">
        <f aca="false">$C$8-(F209+J209+N209+R209+V209+Z209+AD209+AH209)</f>
        <v>0</v>
      </c>
      <c r="E209" s="69" t="n">
        <f aca="false">IF(H208&gt;0.5,H208*(1+E$23)+E$24,0)</f>
        <v>0</v>
      </c>
      <c r="F209" s="69" t="n">
        <f aca="false">MIN(F$23,E209)</f>
        <v>0</v>
      </c>
      <c r="G209" s="69" t="n">
        <f aca="false">IF(AND(F$24=1,OR(E$25="",$C209&gt;=E$25)),MAX(0,MIN(E209-F209,$D209-(0))),0)</f>
        <v>0</v>
      </c>
      <c r="H209" s="69" t="n">
        <f aca="false">E209-F209-G209</f>
        <v>0</v>
      </c>
      <c r="I209" s="69" t="n">
        <f aca="false">IF(L208&gt;0.5,L208*(1+I$23)+I$24,0)</f>
        <v>0</v>
      </c>
      <c r="J209" s="69" t="n">
        <f aca="false">MIN(J$23,I209)</f>
        <v>0</v>
      </c>
      <c r="K209" s="69" t="n">
        <f aca="false">IF(AND(J$24=1,OR(I$25="",$C209&gt;=I$25)),MAX(0,MIN(I209-J209,$D209-(G209))),0)</f>
        <v>0</v>
      </c>
      <c r="L209" s="69" t="n">
        <f aca="false">I209-J209-K209</f>
        <v>0</v>
      </c>
      <c r="M209" s="69" t="n">
        <f aca="false">IF(P208&gt;0.5,P208*(1+M$23)+M$24,0)</f>
        <v>0</v>
      </c>
      <c r="N209" s="69" t="n">
        <f aca="false">MIN(N$23,M209)</f>
        <v>0</v>
      </c>
      <c r="O209" s="69" t="n">
        <f aca="false">IF(AND(N$24=1,OR(M$25="",$C209&gt;=M$25)),MAX(0,MIN(M209-N209,$D209-(G209+K209))),0)</f>
        <v>0</v>
      </c>
      <c r="P209" s="69" t="n">
        <f aca="false">M209-N209-O209</f>
        <v>0</v>
      </c>
      <c r="Q209" s="69" t="n">
        <f aca="false">IF(T208&gt;0.5,T208*(1+Q$23)+Q$24,0)</f>
        <v>0</v>
      </c>
      <c r="R209" s="69" t="n">
        <f aca="false">MIN(R$23,Q209)</f>
        <v>0</v>
      </c>
      <c r="S209" s="69" t="n">
        <f aca="false">IF(AND(R$24=1,OR(Q$25="",$C209&gt;=Q$25)),MAX(0,MIN(Q209-R209,$D209-(G209+K209+O209))),0)</f>
        <v>0</v>
      </c>
      <c r="T209" s="69" t="n">
        <f aca="false">Q209-R209-S209</f>
        <v>0</v>
      </c>
      <c r="U209" s="69" t="n">
        <f aca="false">IF(X208&gt;0.5,X208*(1+U$23)+U$24,0)</f>
        <v>0</v>
      </c>
      <c r="V209" s="69" t="n">
        <f aca="false">MIN(V$23,U209)</f>
        <v>0</v>
      </c>
      <c r="W209" s="69" t="n">
        <f aca="false">IF(AND(V$24=1,OR(U$25="",$C209&gt;=U$25)),MAX(0,MIN(U209-V209,$D209-(G209+K209+O209+S209))),0)</f>
        <v>0</v>
      </c>
      <c r="X209" s="69" t="n">
        <f aca="false">U209-V209-W209</f>
        <v>0</v>
      </c>
      <c r="Y209" s="69" t="n">
        <f aca="false">IF(AB208&gt;0.5,AB208*(1+Y$23)+Y$24,0)</f>
        <v>0</v>
      </c>
      <c r="Z209" s="69" t="n">
        <f aca="false">MIN(Z$23,Y209)</f>
        <v>0</v>
      </c>
      <c r="AA209" s="69" t="n">
        <f aca="false">IF(AND(Z$24=1,OR(Y$25="",$C209&gt;=Y$25)),MAX(0,MIN(Y209-Z209,$D209-(G209+K209+O209+S209+W209))),0)</f>
        <v>0</v>
      </c>
      <c r="AB209" s="69" t="n">
        <f aca="false">Y209-Z209-AA209</f>
        <v>0</v>
      </c>
      <c r="AC209" s="69" t="n">
        <f aca="false">IF(AF208&gt;0.5,AF208*(1+AC$23)+AC$24,0)</f>
        <v>0</v>
      </c>
      <c r="AD209" s="69" t="n">
        <f aca="false">MIN(AD$23,AC209)</f>
        <v>0</v>
      </c>
      <c r="AE209" s="69" t="n">
        <f aca="false">IF(AND(AD$24=1,OR(AC$25="",$C209&gt;=AC$25)),MAX(0,MIN(AC209-AD209,$D209-(G209+K209+O209+S209+W209+AA209))),0)</f>
        <v>0</v>
      </c>
      <c r="AF209" s="69" t="n">
        <f aca="false">AC209-AD209-AE209</f>
        <v>0</v>
      </c>
      <c r="AG209" s="69" t="n">
        <f aca="false">IF(AJ208&gt;0.5,AJ208*(1+AG$23)+AG$24,0)</f>
        <v>0</v>
      </c>
      <c r="AH209" s="69" t="n">
        <f aca="false">MIN(AH$23,AG209)</f>
        <v>0</v>
      </c>
      <c r="AI209" s="69" t="n">
        <f aca="false">IF(AND(AH$24=1,OR(AG$25="",$C209&gt;=AG$25)),MAX(0,MIN(AG209-AH209,$D209-(G209+K209+O209+S209+W209+AA209+AE209))),0)</f>
        <v>0</v>
      </c>
      <c r="AJ209" s="69" t="n">
        <f aca="false">AG209-AH209-AI209</f>
        <v>0</v>
      </c>
      <c r="AK209" s="69" t="n">
        <f aca="false">IF(AK208&gt;0.5,AK208*(1+$E$12)+$G$12-MIN($F$12,AK208*(1+$E$12)+$G$12),0)</f>
        <v>0</v>
      </c>
      <c r="AL209" s="69" t="n">
        <f aca="false">IF(AL208&gt;0.5,AL208*(1+$E$13)+$G$13-MIN($F$13,AL208*(1+$E$13)+$G$13),0)</f>
        <v>0</v>
      </c>
      <c r="AM209" s="69" t="n">
        <f aca="false">IF(AM208&gt;0.5,AM208*(1+$E$14)+$G$14-MIN($F$14,AM208*(1+$E$14)+$G$14),0)</f>
        <v>0</v>
      </c>
      <c r="AN209" s="69" t="n">
        <f aca="false">IF(AN208&gt;0.5,AN208*(1+$E$15)+$G$15-MIN($F$15,AN208*(1+$E$15)+$G$15),0)</f>
        <v>0</v>
      </c>
      <c r="AO209" s="69" t="n">
        <f aca="false">IF(AO208&gt;0.5,AO208*(1+$E$16)+$G$16-MIN($F$16,AO208*(1+$E$16)+$G$16),0)</f>
        <v>0</v>
      </c>
      <c r="AP209" s="69" t="n">
        <f aca="false">IF(AP208&gt;0.5,AP208*(1+$E$17)+$G$17-MIN($F$17,AP208*(1+$E$17)+$G$17),0)</f>
        <v>0</v>
      </c>
      <c r="AQ209" s="69" t="n">
        <f aca="false">IF(AQ208&gt;0.5,AQ208*(1+$E$18)+$G$18-MIN($F$18,AQ208*(1+$E$18)+$G$18),0)</f>
        <v>0</v>
      </c>
      <c r="AR209" s="69" t="n">
        <f aca="false">IF(AR208&gt;0.5,AR208*(1+$E$19)+$G$19-MIN($F$19,AR208*(1+$E$19)+$G$19),0)</f>
        <v>0</v>
      </c>
      <c r="AS209" s="69" t="n">
        <f aca="false">H209+L209+P209+T209+X209+AB209+AF209+AJ209</f>
        <v>0</v>
      </c>
      <c r="AT209" s="69" t="n">
        <f aca="false">SUM(AK209:AR209)</f>
        <v>0</v>
      </c>
      <c r="AU209" s="69" t="n">
        <f aca="false">F209+G209+J209+K209+N209+O209+R209+S209+V209+W209+Z209+AA209+AD209+AE209+AH209+AI209</f>
        <v>0</v>
      </c>
    </row>
    <row r="210" customFormat="false" ht="15" hidden="false" customHeight="false" outlineLevel="0" collapsed="false">
      <c r="B210" s="0" t="n">
        <v>183</v>
      </c>
      <c r="C210" s="68" t="n">
        <f aca="false">EDATE($C$7,182)</f>
        <v>51836</v>
      </c>
      <c r="D210" s="69" t="n">
        <f aca="false">$C$8-(F210+J210+N210+R210+V210+Z210+AD210+AH210)</f>
        <v>0</v>
      </c>
      <c r="E210" s="69" t="n">
        <f aca="false">IF(H209&gt;0.5,H209*(1+E$23)+E$24,0)</f>
        <v>0</v>
      </c>
      <c r="F210" s="69" t="n">
        <f aca="false">MIN(F$23,E210)</f>
        <v>0</v>
      </c>
      <c r="G210" s="69" t="n">
        <f aca="false">IF(AND(F$24=1,OR(E$25="",$C210&gt;=E$25)),MAX(0,MIN(E210-F210,$D210-(0))),0)</f>
        <v>0</v>
      </c>
      <c r="H210" s="69" t="n">
        <f aca="false">E210-F210-G210</f>
        <v>0</v>
      </c>
      <c r="I210" s="69" t="n">
        <f aca="false">IF(L209&gt;0.5,L209*(1+I$23)+I$24,0)</f>
        <v>0</v>
      </c>
      <c r="J210" s="69" t="n">
        <f aca="false">MIN(J$23,I210)</f>
        <v>0</v>
      </c>
      <c r="K210" s="69" t="n">
        <f aca="false">IF(AND(J$24=1,OR(I$25="",$C210&gt;=I$25)),MAX(0,MIN(I210-J210,$D210-(G210))),0)</f>
        <v>0</v>
      </c>
      <c r="L210" s="69" t="n">
        <f aca="false">I210-J210-K210</f>
        <v>0</v>
      </c>
      <c r="M210" s="69" t="n">
        <f aca="false">IF(P209&gt;0.5,P209*(1+M$23)+M$24,0)</f>
        <v>0</v>
      </c>
      <c r="N210" s="69" t="n">
        <f aca="false">MIN(N$23,M210)</f>
        <v>0</v>
      </c>
      <c r="O210" s="69" t="n">
        <f aca="false">IF(AND(N$24=1,OR(M$25="",$C210&gt;=M$25)),MAX(0,MIN(M210-N210,$D210-(G210+K210))),0)</f>
        <v>0</v>
      </c>
      <c r="P210" s="69" t="n">
        <f aca="false">M210-N210-O210</f>
        <v>0</v>
      </c>
      <c r="Q210" s="69" t="n">
        <f aca="false">IF(T209&gt;0.5,T209*(1+Q$23)+Q$24,0)</f>
        <v>0</v>
      </c>
      <c r="R210" s="69" t="n">
        <f aca="false">MIN(R$23,Q210)</f>
        <v>0</v>
      </c>
      <c r="S210" s="69" t="n">
        <f aca="false">IF(AND(R$24=1,OR(Q$25="",$C210&gt;=Q$25)),MAX(0,MIN(Q210-R210,$D210-(G210+K210+O210))),0)</f>
        <v>0</v>
      </c>
      <c r="T210" s="69" t="n">
        <f aca="false">Q210-R210-S210</f>
        <v>0</v>
      </c>
      <c r="U210" s="69" t="n">
        <f aca="false">IF(X209&gt;0.5,X209*(1+U$23)+U$24,0)</f>
        <v>0</v>
      </c>
      <c r="V210" s="69" t="n">
        <f aca="false">MIN(V$23,U210)</f>
        <v>0</v>
      </c>
      <c r="W210" s="69" t="n">
        <f aca="false">IF(AND(V$24=1,OR(U$25="",$C210&gt;=U$25)),MAX(0,MIN(U210-V210,$D210-(G210+K210+O210+S210))),0)</f>
        <v>0</v>
      </c>
      <c r="X210" s="69" t="n">
        <f aca="false">U210-V210-W210</f>
        <v>0</v>
      </c>
      <c r="Y210" s="69" t="n">
        <f aca="false">IF(AB209&gt;0.5,AB209*(1+Y$23)+Y$24,0)</f>
        <v>0</v>
      </c>
      <c r="Z210" s="69" t="n">
        <f aca="false">MIN(Z$23,Y210)</f>
        <v>0</v>
      </c>
      <c r="AA210" s="69" t="n">
        <f aca="false">IF(AND(Z$24=1,OR(Y$25="",$C210&gt;=Y$25)),MAX(0,MIN(Y210-Z210,$D210-(G210+K210+O210+S210+W210))),0)</f>
        <v>0</v>
      </c>
      <c r="AB210" s="69" t="n">
        <f aca="false">Y210-Z210-AA210</f>
        <v>0</v>
      </c>
      <c r="AC210" s="69" t="n">
        <f aca="false">IF(AF209&gt;0.5,AF209*(1+AC$23)+AC$24,0)</f>
        <v>0</v>
      </c>
      <c r="AD210" s="69" t="n">
        <f aca="false">MIN(AD$23,AC210)</f>
        <v>0</v>
      </c>
      <c r="AE210" s="69" t="n">
        <f aca="false">IF(AND(AD$24=1,OR(AC$25="",$C210&gt;=AC$25)),MAX(0,MIN(AC210-AD210,$D210-(G210+K210+O210+S210+W210+AA210))),0)</f>
        <v>0</v>
      </c>
      <c r="AF210" s="69" t="n">
        <f aca="false">AC210-AD210-AE210</f>
        <v>0</v>
      </c>
      <c r="AG210" s="69" t="n">
        <f aca="false">IF(AJ209&gt;0.5,AJ209*(1+AG$23)+AG$24,0)</f>
        <v>0</v>
      </c>
      <c r="AH210" s="69" t="n">
        <f aca="false">MIN(AH$23,AG210)</f>
        <v>0</v>
      </c>
      <c r="AI210" s="69" t="n">
        <f aca="false">IF(AND(AH$24=1,OR(AG$25="",$C210&gt;=AG$25)),MAX(0,MIN(AG210-AH210,$D210-(G210+K210+O210+S210+W210+AA210+AE210))),0)</f>
        <v>0</v>
      </c>
      <c r="AJ210" s="69" t="n">
        <f aca="false">AG210-AH210-AI210</f>
        <v>0</v>
      </c>
      <c r="AK210" s="69" t="n">
        <f aca="false">IF(AK209&gt;0.5,AK209*(1+$E$12)+$G$12-MIN($F$12,AK209*(1+$E$12)+$G$12),0)</f>
        <v>0</v>
      </c>
      <c r="AL210" s="69" t="n">
        <f aca="false">IF(AL209&gt;0.5,AL209*(1+$E$13)+$G$13-MIN($F$13,AL209*(1+$E$13)+$G$13),0)</f>
        <v>0</v>
      </c>
      <c r="AM210" s="69" t="n">
        <f aca="false">IF(AM209&gt;0.5,AM209*(1+$E$14)+$G$14-MIN($F$14,AM209*(1+$E$14)+$G$14),0)</f>
        <v>0</v>
      </c>
      <c r="AN210" s="69" t="n">
        <f aca="false">IF(AN209&gt;0.5,AN209*(1+$E$15)+$G$15-MIN($F$15,AN209*(1+$E$15)+$G$15),0)</f>
        <v>0</v>
      </c>
      <c r="AO210" s="69" t="n">
        <f aca="false">IF(AO209&gt;0.5,AO209*(1+$E$16)+$G$16-MIN($F$16,AO209*(1+$E$16)+$G$16),0)</f>
        <v>0</v>
      </c>
      <c r="AP210" s="69" t="n">
        <f aca="false">IF(AP209&gt;0.5,AP209*(1+$E$17)+$G$17-MIN($F$17,AP209*(1+$E$17)+$G$17),0)</f>
        <v>0</v>
      </c>
      <c r="AQ210" s="69" t="n">
        <f aca="false">IF(AQ209&gt;0.5,AQ209*(1+$E$18)+$G$18-MIN($F$18,AQ209*(1+$E$18)+$G$18),0)</f>
        <v>0</v>
      </c>
      <c r="AR210" s="69" t="n">
        <f aca="false">IF(AR209&gt;0.5,AR209*(1+$E$19)+$G$19-MIN($F$19,AR209*(1+$E$19)+$G$19),0)</f>
        <v>0</v>
      </c>
      <c r="AS210" s="69" t="n">
        <f aca="false">H210+L210+P210+T210+X210+AB210+AF210+AJ210</f>
        <v>0</v>
      </c>
      <c r="AT210" s="69" t="n">
        <f aca="false">SUM(AK210:AR210)</f>
        <v>0</v>
      </c>
      <c r="AU210" s="69" t="n">
        <f aca="false">F210+G210+J210+K210+N210+O210+R210+S210+V210+W210+Z210+AA210+AD210+AE210+AH210+AI210</f>
        <v>0</v>
      </c>
    </row>
    <row r="211" customFormat="false" ht="15" hidden="false" customHeight="false" outlineLevel="0" collapsed="false">
      <c r="B211" s="0" t="n">
        <v>184</v>
      </c>
      <c r="C211" s="68" t="n">
        <f aca="false">EDATE($C$7,183)</f>
        <v>51867</v>
      </c>
      <c r="D211" s="69" t="n">
        <f aca="false">$C$8-(F211+J211+N211+R211+V211+Z211+AD211+AH211)</f>
        <v>0</v>
      </c>
      <c r="E211" s="69" t="n">
        <f aca="false">IF(H210&gt;0.5,H210*(1+E$23)+E$24,0)</f>
        <v>0</v>
      </c>
      <c r="F211" s="69" t="n">
        <f aca="false">MIN(F$23,E211)</f>
        <v>0</v>
      </c>
      <c r="G211" s="69" t="n">
        <f aca="false">IF(AND(F$24=1,OR(E$25="",$C211&gt;=E$25)),MAX(0,MIN(E211-F211,$D211-(0))),0)</f>
        <v>0</v>
      </c>
      <c r="H211" s="69" t="n">
        <f aca="false">E211-F211-G211</f>
        <v>0</v>
      </c>
      <c r="I211" s="69" t="n">
        <f aca="false">IF(L210&gt;0.5,L210*(1+I$23)+I$24,0)</f>
        <v>0</v>
      </c>
      <c r="J211" s="69" t="n">
        <f aca="false">MIN(J$23,I211)</f>
        <v>0</v>
      </c>
      <c r="K211" s="69" t="n">
        <f aca="false">IF(AND(J$24=1,OR(I$25="",$C211&gt;=I$25)),MAX(0,MIN(I211-J211,$D211-(G211))),0)</f>
        <v>0</v>
      </c>
      <c r="L211" s="69" t="n">
        <f aca="false">I211-J211-K211</f>
        <v>0</v>
      </c>
      <c r="M211" s="69" t="n">
        <f aca="false">IF(P210&gt;0.5,P210*(1+M$23)+M$24,0)</f>
        <v>0</v>
      </c>
      <c r="N211" s="69" t="n">
        <f aca="false">MIN(N$23,M211)</f>
        <v>0</v>
      </c>
      <c r="O211" s="69" t="n">
        <f aca="false">IF(AND(N$24=1,OR(M$25="",$C211&gt;=M$25)),MAX(0,MIN(M211-N211,$D211-(G211+K211))),0)</f>
        <v>0</v>
      </c>
      <c r="P211" s="69" t="n">
        <f aca="false">M211-N211-O211</f>
        <v>0</v>
      </c>
      <c r="Q211" s="69" t="n">
        <f aca="false">IF(T210&gt;0.5,T210*(1+Q$23)+Q$24,0)</f>
        <v>0</v>
      </c>
      <c r="R211" s="69" t="n">
        <f aca="false">MIN(R$23,Q211)</f>
        <v>0</v>
      </c>
      <c r="S211" s="69" t="n">
        <f aca="false">IF(AND(R$24=1,OR(Q$25="",$C211&gt;=Q$25)),MAX(0,MIN(Q211-R211,$D211-(G211+K211+O211))),0)</f>
        <v>0</v>
      </c>
      <c r="T211" s="69" t="n">
        <f aca="false">Q211-R211-S211</f>
        <v>0</v>
      </c>
      <c r="U211" s="69" t="n">
        <f aca="false">IF(X210&gt;0.5,X210*(1+U$23)+U$24,0)</f>
        <v>0</v>
      </c>
      <c r="V211" s="69" t="n">
        <f aca="false">MIN(V$23,U211)</f>
        <v>0</v>
      </c>
      <c r="W211" s="69" t="n">
        <f aca="false">IF(AND(V$24=1,OR(U$25="",$C211&gt;=U$25)),MAX(0,MIN(U211-V211,$D211-(G211+K211+O211+S211))),0)</f>
        <v>0</v>
      </c>
      <c r="X211" s="69" t="n">
        <f aca="false">U211-V211-W211</f>
        <v>0</v>
      </c>
      <c r="Y211" s="69" t="n">
        <f aca="false">IF(AB210&gt;0.5,AB210*(1+Y$23)+Y$24,0)</f>
        <v>0</v>
      </c>
      <c r="Z211" s="69" t="n">
        <f aca="false">MIN(Z$23,Y211)</f>
        <v>0</v>
      </c>
      <c r="AA211" s="69" t="n">
        <f aca="false">IF(AND(Z$24=1,OR(Y$25="",$C211&gt;=Y$25)),MAX(0,MIN(Y211-Z211,$D211-(G211+K211+O211+S211+W211))),0)</f>
        <v>0</v>
      </c>
      <c r="AB211" s="69" t="n">
        <f aca="false">Y211-Z211-AA211</f>
        <v>0</v>
      </c>
      <c r="AC211" s="69" t="n">
        <f aca="false">IF(AF210&gt;0.5,AF210*(1+AC$23)+AC$24,0)</f>
        <v>0</v>
      </c>
      <c r="AD211" s="69" t="n">
        <f aca="false">MIN(AD$23,AC211)</f>
        <v>0</v>
      </c>
      <c r="AE211" s="69" t="n">
        <f aca="false">IF(AND(AD$24=1,OR(AC$25="",$C211&gt;=AC$25)),MAX(0,MIN(AC211-AD211,$D211-(G211+K211+O211+S211+W211+AA211))),0)</f>
        <v>0</v>
      </c>
      <c r="AF211" s="69" t="n">
        <f aca="false">AC211-AD211-AE211</f>
        <v>0</v>
      </c>
      <c r="AG211" s="69" t="n">
        <f aca="false">IF(AJ210&gt;0.5,AJ210*(1+AG$23)+AG$24,0)</f>
        <v>0</v>
      </c>
      <c r="AH211" s="69" t="n">
        <f aca="false">MIN(AH$23,AG211)</f>
        <v>0</v>
      </c>
      <c r="AI211" s="69" t="n">
        <f aca="false">IF(AND(AH$24=1,OR(AG$25="",$C211&gt;=AG$25)),MAX(0,MIN(AG211-AH211,$D211-(G211+K211+O211+S211+W211+AA211+AE211))),0)</f>
        <v>0</v>
      </c>
      <c r="AJ211" s="69" t="n">
        <f aca="false">AG211-AH211-AI211</f>
        <v>0</v>
      </c>
      <c r="AK211" s="69" t="n">
        <f aca="false">IF(AK210&gt;0.5,AK210*(1+$E$12)+$G$12-MIN($F$12,AK210*(1+$E$12)+$G$12),0)</f>
        <v>0</v>
      </c>
      <c r="AL211" s="69" t="n">
        <f aca="false">IF(AL210&gt;0.5,AL210*(1+$E$13)+$G$13-MIN($F$13,AL210*(1+$E$13)+$G$13),0)</f>
        <v>0</v>
      </c>
      <c r="AM211" s="69" t="n">
        <f aca="false">IF(AM210&gt;0.5,AM210*(1+$E$14)+$G$14-MIN($F$14,AM210*(1+$E$14)+$G$14),0)</f>
        <v>0</v>
      </c>
      <c r="AN211" s="69" t="n">
        <f aca="false">IF(AN210&gt;0.5,AN210*(1+$E$15)+$G$15-MIN($F$15,AN210*(1+$E$15)+$G$15),0)</f>
        <v>0</v>
      </c>
      <c r="AO211" s="69" t="n">
        <f aca="false">IF(AO210&gt;0.5,AO210*(1+$E$16)+$G$16-MIN($F$16,AO210*(1+$E$16)+$G$16),0)</f>
        <v>0</v>
      </c>
      <c r="AP211" s="69" t="n">
        <f aca="false">IF(AP210&gt;0.5,AP210*(1+$E$17)+$G$17-MIN($F$17,AP210*(1+$E$17)+$G$17),0)</f>
        <v>0</v>
      </c>
      <c r="AQ211" s="69" t="n">
        <f aca="false">IF(AQ210&gt;0.5,AQ210*(1+$E$18)+$G$18-MIN($F$18,AQ210*(1+$E$18)+$G$18),0)</f>
        <v>0</v>
      </c>
      <c r="AR211" s="69" t="n">
        <f aca="false">IF(AR210&gt;0.5,AR210*(1+$E$19)+$G$19-MIN($F$19,AR210*(1+$E$19)+$G$19),0)</f>
        <v>0</v>
      </c>
      <c r="AS211" s="69" t="n">
        <f aca="false">H211+L211+P211+T211+X211+AB211+AF211+AJ211</f>
        <v>0</v>
      </c>
      <c r="AT211" s="69" t="n">
        <f aca="false">SUM(AK211:AR211)</f>
        <v>0</v>
      </c>
      <c r="AU211" s="69" t="n">
        <f aca="false">F211+G211+J211+K211+N211+O211+R211+S211+V211+W211+Z211+AA211+AD211+AE211+AH211+AI211</f>
        <v>0</v>
      </c>
    </row>
    <row r="212" customFormat="false" ht="15" hidden="false" customHeight="false" outlineLevel="0" collapsed="false">
      <c r="B212" s="0" t="n">
        <v>185</v>
      </c>
      <c r="C212" s="68" t="n">
        <f aca="false">EDATE($C$7,184)</f>
        <v>51898</v>
      </c>
      <c r="D212" s="69" t="n">
        <f aca="false">$C$8-(F212+J212+N212+R212+V212+Z212+AD212+AH212)</f>
        <v>0</v>
      </c>
      <c r="E212" s="69" t="n">
        <f aca="false">IF(H211&gt;0.5,H211*(1+E$23)+E$24,0)</f>
        <v>0</v>
      </c>
      <c r="F212" s="69" t="n">
        <f aca="false">MIN(F$23,E212)</f>
        <v>0</v>
      </c>
      <c r="G212" s="69" t="n">
        <f aca="false">IF(AND(F$24=1,OR(E$25="",$C212&gt;=E$25)),MAX(0,MIN(E212-F212,$D212-(0))),0)</f>
        <v>0</v>
      </c>
      <c r="H212" s="69" t="n">
        <f aca="false">E212-F212-G212</f>
        <v>0</v>
      </c>
      <c r="I212" s="69" t="n">
        <f aca="false">IF(L211&gt;0.5,L211*(1+I$23)+I$24,0)</f>
        <v>0</v>
      </c>
      <c r="J212" s="69" t="n">
        <f aca="false">MIN(J$23,I212)</f>
        <v>0</v>
      </c>
      <c r="K212" s="69" t="n">
        <f aca="false">IF(AND(J$24=1,OR(I$25="",$C212&gt;=I$25)),MAX(0,MIN(I212-J212,$D212-(G212))),0)</f>
        <v>0</v>
      </c>
      <c r="L212" s="69" t="n">
        <f aca="false">I212-J212-K212</f>
        <v>0</v>
      </c>
      <c r="M212" s="69" t="n">
        <f aca="false">IF(P211&gt;0.5,P211*(1+M$23)+M$24,0)</f>
        <v>0</v>
      </c>
      <c r="N212" s="69" t="n">
        <f aca="false">MIN(N$23,M212)</f>
        <v>0</v>
      </c>
      <c r="O212" s="69" t="n">
        <f aca="false">IF(AND(N$24=1,OR(M$25="",$C212&gt;=M$25)),MAX(0,MIN(M212-N212,$D212-(G212+K212))),0)</f>
        <v>0</v>
      </c>
      <c r="P212" s="69" t="n">
        <f aca="false">M212-N212-O212</f>
        <v>0</v>
      </c>
      <c r="Q212" s="69" t="n">
        <f aca="false">IF(T211&gt;0.5,T211*(1+Q$23)+Q$24,0)</f>
        <v>0</v>
      </c>
      <c r="R212" s="69" t="n">
        <f aca="false">MIN(R$23,Q212)</f>
        <v>0</v>
      </c>
      <c r="S212" s="69" t="n">
        <f aca="false">IF(AND(R$24=1,OR(Q$25="",$C212&gt;=Q$25)),MAX(0,MIN(Q212-R212,$D212-(G212+K212+O212))),0)</f>
        <v>0</v>
      </c>
      <c r="T212" s="69" t="n">
        <f aca="false">Q212-R212-S212</f>
        <v>0</v>
      </c>
      <c r="U212" s="69" t="n">
        <f aca="false">IF(X211&gt;0.5,X211*(1+U$23)+U$24,0)</f>
        <v>0</v>
      </c>
      <c r="V212" s="69" t="n">
        <f aca="false">MIN(V$23,U212)</f>
        <v>0</v>
      </c>
      <c r="W212" s="69" t="n">
        <f aca="false">IF(AND(V$24=1,OR(U$25="",$C212&gt;=U$25)),MAX(0,MIN(U212-V212,$D212-(G212+K212+O212+S212))),0)</f>
        <v>0</v>
      </c>
      <c r="X212" s="69" t="n">
        <f aca="false">U212-V212-W212</f>
        <v>0</v>
      </c>
      <c r="Y212" s="69" t="n">
        <f aca="false">IF(AB211&gt;0.5,AB211*(1+Y$23)+Y$24,0)</f>
        <v>0</v>
      </c>
      <c r="Z212" s="69" t="n">
        <f aca="false">MIN(Z$23,Y212)</f>
        <v>0</v>
      </c>
      <c r="AA212" s="69" t="n">
        <f aca="false">IF(AND(Z$24=1,OR(Y$25="",$C212&gt;=Y$25)),MAX(0,MIN(Y212-Z212,$D212-(G212+K212+O212+S212+W212))),0)</f>
        <v>0</v>
      </c>
      <c r="AB212" s="69" t="n">
        <f aca="false">Y212-Z212-AA212</f>
        <v>0</v>
      </c>
      <c r="AC212" s="69" t="n">
        <f aca="false">IF(AF211&gt;0.5,AF211*(1+AC$23)+AC$24,0)</f>
        <v>0</v>
      </c>
      <c r="AD212" s="69" t="n">
        <f aca="false">MIN(AD$23,AC212)</f>
        <v>0</v>
      </c>
      <c r="AE212" s="69" t="n">
        <f aca="false">IF(AND(AD$24=1,OR(AC$25="",$C212&gt;=AC$25)),MAX(0,MIN(AC212-AD212,$D212-(G212+K212+O212+S212+W212+AA212))),0)</f>
        <v>0</v>
      </c>
      <c r="AF212" s="69" t="n">
        <f aca="false">AC212-AD212-AE212</f>
        <v>0</v>
      </c>
      <c r="AG212" s="69" t="n">
        <f aca="false">IF(AJ211&gt;0.5,AJ211*(1+AG$23)+AG$24,0)</f>
        <v>0</v>
      </c>
      <c r="AH212" s="69" t="n">
        <f aca="false">MIN(AH$23,AG212)</f>
        <v>0</v>
      </c>
      <c r="AI212" s="69" t="n">
        <f aca="false">IF(AND(AH$24=1,OR(AG$25="",$C212&gt;=AG$25)),MAX(0,MIN(AG212-AH212,$D212-(G212+K212+O212+S212+W212+AA212+AE212))),0)</f>
        <v>0</v>
      </c>
      <c r="AJ212" s="69" t="n">
        <f aca="false">AG212-AH212-AI212</f>
        <v>0</v>
      </c>
      <c r="AK212" s="69" t="n">
        <f aca="false">IF(AK211&gt;0.5,AK211*(1+$E$12)+$G$12-MIN($F$12,AK211*(1+$E$12)+$G$12),0)</f>
        <v>0</v>
      </c>
      <c r="AL212" s="69" t="n">
        <f aca="false">IF(AL211&gt;0.5,AL211*(1+$E$13)+$G$13-MIN($F$13,AL211*(1+$E$13)+$G$13),0)</f>
        <v>0</v>
      </c>
      <c r="AM212" s="69" t="n">
        <f aca="false">IF(AM211&gt;0.5,AM211*(1+$E$14)+$G$14-MIN($F$14,AM211*(1+$E$14)+$G$14),0)</f>
        <v>0</v>
      </c>
      <c r="AN212" s="69" t="n">
        <f aca="false">IF(AN211&gt;0.5,AN211*(1+$E$15)+$G$15-MIN($F$15,AN211*(1+$E$15)+$G$15),0)</f>
        <v>0</v>
      </c>
      <c r="AO212" s="69" t="n">
        <f aca="false">IF(AO211&gt;0.5,AO211*(1+$E$16)+$G$16-MIN($F$16,AO211*(1+$E$16)+$G$16),0)</f>
        <v>0</v>
      </c>
      <c r="AP212" s="69" t="n">
        <f aca="false">IF(AP211&gt;0.5,AP211*(1+$E$17)+$G$17-MIN($F$17,AP211*(1+$E$17)+$G$17),0)</f>
        <v>0</v>
      </c>
      <c r="AQ212" s="69" t="n">
        <f aca="false">IF(AQ211&gt;0.5,AQ211*(1+$E$18)+$G$18-MIN($F$18,AQ211*(1+$E$18)+$G$18),0)</f>
        <v>0</v>
      </c>
      <c r="AR212" s="69" t="n">
        <f aca="false">IF(AR211&gt;0.5,AR211*(1+$E$19)+$G$19-MIN($F$19,AR211*(1+$E$19)+$G$19),0)</f>
        <v>0</v>
      </c>
      <c r="AS212" s="69" t="n">
        <f aca="false">H212+L212+P212+T212+X212+AB212+AF212+AJ212</f>
        <v>0</v>
      </c>
      <c r="AT212" s="69" t="n">
        <f aca="false">SUM(AK212:AR212)</f>
        <v>0</v>
      </c>
      <c r="AU212" s="69" t="n">
        <f aca="false">F212+G212+J212+K212+N212+O212+R212+S212+V212+W212+Z212+AA212+AD212+AE212+AH212+AI212</f>
        <v>0</v>
      </c>
    </row>
    <row r="213" customFormat="false" ht="15" hidden="false" customHeight="false" outlineLevel="0" collapsed="false">
      <c r="B213" s="0" t="n">
        <v>186</v>
      </c>
      <c r="C213" s="68" t="n">
        <f aca="false">EDATE($C$7,185)</f>
        <v>51926</v>
      </c>
      <c r="D213" s="69" t="n">
        <f aca="false">$C$8-(F213+J213+N213+R213+V213+Z213+AD213+AH213)</f>
        <v>0</v>
      </c>
      <c r="E213" s="69" t="n">
        <f aca="false">IF(H212&gt;0.5,H212*(1+E$23)+E$24,0)</f>
        <v>0</v>
      </c>
      <c r="F213" s="69" t="n">
        <f aca="false">MIN(F$23,E213)</f>
        <v>0</v>
      </c>
      <c r="G213" s="69" t="n">
        <f aca="false">IF(AND(F$24=1,OR(E$25="",$C213&gt;=E$25)),MAX(0,MIN(E213-F213,$D213-(0))),0)</f>
        <v>0</v>
      </c>
      <c r="H213" s="69" t="n">
        <f aca="false">E213-F213-G213</f>
        <v>0</v>
      </c>
      <c r="I213" s="69" t="n">
        <f aca="false">IF(L212&gt;0.5,L212*(1+I$23)+I$24,0)</f>
        <v>0</v>
      </c>
      <c r="J213" s="69" t="n">
        <f aca="false">MIN(J$23,I213)</f>
        <v>0</v>
      </c>
      <c r="K213" s="69" t="n">
        <f aca="false">IF(AND(J$24=1,OR(I$25="",$C213&gt;=I$25)),MAX(0,MIN(I213-J213,$D213-(G213))),0)</f>
        <v>0</v>
      </c>
      <c r="L213" s="69" t="n">
        <f aca="false">I213-J213-K213</f>
        <v>0</v>
      </c>
      <c r="M213" s="69" t="n">
        <f aca="false">IF(P212&gt;0.5,P212*(1+M$23)+M$24,0)</f>
        <v>0</v>
      </c>
      <c r="N213" s="69" t="n">
        <f aca="false">MIN(N$23,M213)</f>
        <v>0</v>
      </c>
      <c r="O213" s="69" t="n">
        <f aca="false">IF(AND(N$24=1,OR(M$25="",$C213&gt;=M$25)),MAX(0,MIN(M213-N213,$D213-(G213+K213))),0)</f>
        <v>0</v>
      </c>
      <c r="P213" s="69" t="n">
        <f aca="false">M213-N213-O213</f>
        <v>0</v>
      </c>
      <c r="Q213" s="69" t="n">
        <f aca="false">IF(T212&gt;0.5,T212*(1+Q$23)+Q$24,0)</f>
        <v>0</v>
      </c>
      <c r="R213" s="69" t="n">
        <f aca="false">MIN(R$23,Q213)</f>
        <v>0</v>
      </c>
      <c r="S213" s="69" t="n">
        <f aca="false">IF(AND(R$24=1,OR(Q$25="",$C213&gt;=Q$25)),MAX(0,MIN(Q213-R213,$D213-(G213+K213+O213))),0)</f>
        <v>0</v>
      </c>
      <c r="T213" s="69" t="n">
        <f aca="false">Q213-R213-S213</f>
        <v>0</v>
      </c>
      <c r="U213" s="69" t="n">
        <f aca="false">IF(X212&gt;0.5,X212*(1+U$23)+U$24,0)</f>
        <v>0</v>
      </c>
      <c r="V213" s="69" t="n">
        <f aca="false">MIN(V$23,U213)</f>
        <v>0</v>
      </c>
      <c r="W213" s="69" t="n">
        <f aca="false">IF(AND(V$24=1,OR(U$25="",$C213&gt;=U$25)),MAX(0,MIN(U213-V213,$D213-(G213+K213+O213+S213))),0)</f>
        <v>0</v>
      </c>
      <c r="X213" s="69" t="n">
        <f aca="false">U213-V213-W213</f>
        <v>0</v>
      </c>
      <c r="Y213" s="69" t="n">
        <f aca="false">IF(AB212&gt;0.5,AB212*(1+Y$23)+Y$24,0)</f>
        <v>0</v>
      </c>
      <c r="Z213" s="69" t="n">
        <f aca="false">MIN(Z$23,Y213)</f>
        <v>0</v>
      </c>
      <c r="AA213" s="69" t="n">
        <f aca="false">IF(AND(Z$24=1,OR(Y$25="",$C213&gt;=Y$25)),MAX(0,MIN(Y213-Z213,$D213-(G213+K213+O213+S213+W213))),0)</f>
        <v>0</v>
      </c>
      <c r="AB213" s="69" t="n">
        <f aca="false">Y213-Z213-AA213</f>
        <v>0</v>
      </c>
      <c r="AC213" s="69" t="n">
        <f aca="false">IF(AF212&gt;0.5,AF212*(1+AC$23)+AC$24,0)</f>
        <v>0</v>
      </c>
      <c r="AD213" s="69" t="n">
        <f aca="false">MIN(AD$23,AC213)</f>
        <v>0</v>
      </c>
      <c r="AE213" s="69" t="n">
        <f aca="false">IF(AND(AD$24=1,OR(AC$25="",$C213&gt;=AC$25)),MAX(0,MIN(AC213-AD213,$D213-(G213+K213+O213+S213+W213+AA213))),0)</f>
        <v>0</v>
      </c>
      <c r="AF213" s="69" t="n">
        <f aca="false">AC213-AD213-AE213</f>
        <v>0</v>
      </c>
      <c r="AG213" s="69" t="n">
        <f aca="false">IF(AJ212&gt;0.5,AJ212*(1+AG$23)+AG$24,0)</f>
        <v>0</v>
      </c>
      <c r="AH213" s="69" t="n">
        <f aca="false">MIN(AH$23,AG213)</f>
        <v>0</v>
      </c>
      <c r="AI213" s="69" t="n">
        <f aca="false">IF(AND(AH$24=1,OR(AG$25="",$C213&gt;=AG$25)),MAX(0,MIN(AG213-AH213,$D213-(G213+K213+O213+S213+W213+AA213+AE213))),0)</f>
        <v>0</v>
      </c>
      <c r="AJ213" s="69" t="n">
        <f aca="false">AG213-AH213-AI213</f>
        <v>0</v>
      </c>
      <c r="AK213" s="69" t="n">
        <f aca="false">IF(AK212&gt;0.5,AK212*(1+$E$12)+$G$12-MIN($F$12,AK212*(1+$E$12)+$G$12),0)</f>
        <v>0</v>
      </c>
      <c r="AL213" s="69" t="n">
        <f aca="false">IF(AL212&gt;0.5,AL212*(1+$E$13)+$G$13-MIN($F$13,AL212*(1+$E$13)+$G$13),0)</f>
        <v>0</v>
      </c>
      <c r="AM213" s="69" t="n">
        <f aca="false">IF(AM212&gt;0.5,AM212*(1+$E$14)+$G$14-MIN($F$14,AM212*(1+$E$14)+$G$14),0)</f>
        <v>0</v>
      </c>
      <c r="AN213" s="69" t="n">
        <f aca="false">IF(AN212&gt;0.5,AN212*(1+$E$15)+$G$15-MIN($F$15,AN212*(1+$E$15)+$G$15),0)</f>
        <v>0</v>
      </c>
      <c r="AO213" s="69" t="n">
        <f aca="false">IF(AO212&gt;0.5,AO212*(1+$E$16)+$G$16-MIN($F$16,AO212*(1+$E$16)+$G$16),0)</f>
        <v>0</v>
      </c>
      <c r="AP213" s="69" t="n">
        <f aca="false">IF(AP212&gt;0.5,AP212*(1+$E$17)+$G$17-MIN($F$17,AP212*(1+$E$17)+$G$17),0)</f>
        <v>0</v>
      </c>
      <c r="AQ213" s="69" t="n">
        <f aca="false">IF(AQ212&gt;0.5,AQ212*(1+$E$18)+$G$18-MIN($F$18,AQ212*(1+$E$18)+$G$18),0)</f>
        <v>0</v>
      </c>
      <c r="AR213" s="69" t="n">
        <f aca="false">IF(AR212&gt;0.5,AR212*(1+$E$19)+$G$19-MIN($F$19,AR212*(1+$E$19)+$G$19),0)</f>
        <v>0</v>
      </c>
      <c r="AS213" s="69" t="n">
        <f aca="false">H213+L213+P213+T213+X213+AB213+AF213+AJ213</f>
        <v>0</v>
      </c>
      <c r="AT213" s="69" t="n">
        <f aca="false">SUM(AK213:AR213)</f>
        <v>0</v>
      </c>
      <c r="AU213" s="69" t="n">
        <f aca="false">F213+G213+J213+K213+N213+O213+R213+S213+V213+W213+Z213+AA213+AD213+AE213+AH213+AI213</f>
        <v>0</v>
      </c>
    </row>
    <row r="214" customFormat="false" ht="15" hidden="false" customHeight="false" outlineLevel="0" collapsed="false">
      <c r="B214" s="0" t="n">
        <v>187</v>
      </c>
      <c r="C214" s="68" t="n">
        <f aca="false">EDATE($C$7,186)</f>
        <v>51957</v>
      </c>
      <c r="D214" s="69" t="n">
        <f aca="false">$C$8-(F214+J214+N214+R214+V214+Z214+AD214+AH214)</f>
        <v>0</v>
      </c>
      <c r="E214" s="69" t="n">
        <f aca="false">IF(H213&gt;0.5,H213*(1+E$23)+E$24,0)</f>
        <v>0</v>
      </c>
      <c r="F214" s="69" t="n">
        <f aca="false">MIN(F$23,E214)</f>
        <v>0</v>
      </c>
      <c r="G214" s="69" t="n">
        <f aca="false">IF(AND(F$24=1,OR(E$25="",$C214&gt;=E$25)),MAX(0,MIN(E214-F214,$D214-(0))),0)</f>
        <v>0</v>
      </c>
      <c r="H214" s="69" t="n">
        <f aca="false">E214-F214-G214</f>
        <v>0</v>
      </c>
      <c r="I214" s="69" t="n">
        <f aca="false">IF(L213&gt;0.5,L213*(1+I$23)+I$24,0)</f>
        <v>0</v>
      </c>
      <c r="J214" s="69" t="n">
        <f aca="false">MIN(J$23,I214)</f>
        <v>0</v>
      </c>
      <c r="K214" s="69" t="n">
        <f aca="false">IF(AND(J$24=1,OR(I$25="",$C214&gt;=I$25)),MAX(0,MIN(I214-J214,$D214-(G214))),0)</f>
        <v>0</v>
      </c>
      <c r="L214" s="69" t="n">
        <f aca="false">I214-J214-K214</f>
        <v>0</v>
      </c>
      <c r="M214" s="69" t="n">
        <f aca="false">IF(P213&gt;0.5,P213*(1+M$23)+M$24,0)</f>
        <v>0</v>
      </c>
      <c r="N214" s="69" t="n">
        <f aca="false">MIN(N$23,M214)</f>
        <v>0</v>
      </c>
      <c r="O214" s="69" t="n">
        <f aca="false">IF(AND(N$24=1,OR(M$25="",$C214&gt;=M$25)),MAX(0,MIN(M214-N214,$D214-(G214+K214))),0)</f>
        <v>0</v>
      </c>
      <c r="P214" s="69" t="n">
        <f aca="false">M214-N214-O214</f>
        <v>0</v>
      </c>
      <c r="Q214" s="69" t="n">
        <f aca="false">IF(T213&gt;0.5,T213*(1+Q$23)+Q$24,0)</f>
        <v>0</v>
      </c>
      <c r="R214" s="69" t="n">
        <f aca="false">MIN(R$23,Q214)</f>
        <v>0</v>
      </c>
      <c r="S214" s="69" t="n">
        <f aca="false">IF(AND(R$24=1,OR(Q$25="",$C214&gt;=Q$25)),MAX(0,MIN(Q214-R214,$D214-(G214+K214+O214))),0)</f>
        <v>0</v>
      </c>
      <c r="T214" s="69" t="n">
        <f aca="false">Q214-R214-S214</f>
        <v>0</v>
      </c>
      <c r="U214" s="69" t="n">
        <f aca="false">IF(X213&gt;0.5,X213*(1+U$23)+U$24,0)</f>
        <v>0</v>
      </c>
      <c r="V214" s="69" t="n">
        <f aca="false">MIN(V$23,U214)</f>
        <v>0</v>
      </c>
      <c r="W214" s="69" t="n">
        <f aca="false">IF(AND(V$24=1,OR(U$25="",$C214&gt;=U$25)),MAX(0,MIN(U214-V214,$D214-(G214+K214+O214+S214))),0)</f>
        <v>0</v>
      </c>
      <c r="X214" s="69" t="n">
        <f aca="false">U214-V214-W214</f>
        <v>0</v>
      </c>
      <c r="Y214" s="69" t="n">
        <f aca="false">IF(AB213&gt;0.5,AB213*(1+Y$23)+Y$24,0)</f>
        <v>0</v>
      </c>
      <c r="Z214" s="69" t="n">
        <f aca="false">MIN(Z$23,Y214)</f>
        <v>0</v>
      </c>
      <c r="AA214" s="69" t="n">
        <f aca="false">IF(AND(Z$24=1,OR(Y$25="",$C214&gt;=Y$25)),MAX(0,MIN(Y214-Z214,$D214-(G214+K214+O214+S214+W214))),0)</f>
        <v>0</v>
      </c>
      <c r="AB214" s="69" t="n">
        <f aca="false">Y214-Z214-AA214</f>
        <v>0</v>
      </c>
      <c r="AC214" s="69" t="n">
        <f aca="false">IF(AF213&gt;0.5,AF213*(1+AC$23)+AC$24,0)</f>
        <v>0</v>
      </c>
      <c r="AD214" s="69" t="n">
        <f aca="false">MIN(AD$23,AC214)</f>
        <v>0</v>
      </c>
      <c r="AE214" s="69" t="n">
        <f aca="false">IF(AND(AD$24=1,OR(AC$25="",$C214&gt;=AC$25)),MAX(0,MIN(AC214-AD214,$D214-(G214+K214+O214+S214+W214+AA214))),0)</f>
        <v>0</v>
      </c>
      <c r="AF214" s="69" t="n">
        <f aca="false">AC214-AD214-AE214</f>
        <v>0</v>
      </c>
      <c r="AG214" s="69" t="n">
        <f aca="false">IF(AJ213&gt;0.5,AJ213*(1+AG$23)+AG$24,0)</f>
        <v>0</v>
      </c>
      <c r="AH214" s="69" t="n">
        <f aca="false">MIN(AH$23,AG214)</f>
        <v>0</v>
      </c>
      <c r="AI214" s="69" t="n">
        <f aca="false">IF(AND(AH$24=1,OR(AG$25="",$C214&gt;=AG$25)),MAX(0,MIN(AG214-AH214,$D214-(G214+K214+O214+S214+W214+AA214+AE214))),0)</f>
        <v>0</v>
      </c>
      <c r="AJ214" s="69" t="n">
        <f aca="false">AG214-AH214-AI214</f>
        <v>0</v>
      </c>
      <c r="AK214" s="69" t="n">
        <f aca="false">IF(AK213&gt;0.5,AK213*(1+$E$12)+$G$12-MIN($F$12,AK213*(1+$E$12)+$G$12),0)</f>
        <v>0</v>
      </c>
      <c r="AL214" s="69" t="n">
        <f aca="false">IF(AL213&gt;0.5,AL213*(1+$E$13)+$G$13-MIN($F$13,AL213*(1+$E$13)+$G$13),0)</f>
        <v>0</v>
      </c>
      <c r="AM214" s="69" t="n">
        <f aca="false">IF(AM213&gt;0.5,AM213*(1+$E$14)+$G$14-MIN($F$14,AM213*(1+$E$14)+$G$14),0)</f>
        <v>0</v>
      </c>
      <c r="AN214" s="69" t="n">
        <f aca="false">IF(AN213&gt;0.5,AN213*(1+$E$15)+$G$15-MIN($F$15,AN213*(1+$E$15)+$G$15),0)</f>
        <v>0</v>
      </c>
      <c r="AO214" s="69" t="n">
        <f aca="false">IF(AO213&gt;0.5,AO213*(1+$E$16)+$G$16-MIN($F$16,AO213*(1+$E$16)+$G$16),0)</f>
        <v>0</v>
      </c>
      <c r="AP214" s="69" t="n">
        <f aca="false">IF(AP213&gt;0.5,AP213*(1+$E$17)+$G$17-MIN($F$17,AP213*(1+$E$17)+$G$17),0)</f>
        <v>0</v>
      </c>
      <c r="AQ214" s="69" t="n">
        <f aca="false">IF(AQ213&gt;0.5,AQ213*(1+$E$18)+$G$18-MIN($F$18,AQ213*(1+$E$18)+$G$18),0)</f>
        <v>0</v>
      </c>
      <c r="AR214" s="69" t="n">
        <f aca="false">IF(AR213&gt;0.5,AR213*(1+$E$19)+$G$19-MIN($F$19,AR213*(1+$E$19)+$G$19),0)</f>
        <v>0</v>
      </c>
      <c r="AS214" s="69" t="n">
        <f aca="false">H214+L214+P214+T214+X214+AB214+AF214+AJ214</f>
        <v>0</v>
      </c>
      <c r="AT214" s="69" t="n">
        <f aca="false">SUM(AK214:AR214)</f>
        <v>0</v>
      </c>
      <c r="AU214" s="69" t="n">
        <f aca="false">F214+G214+J214+K214+N214+O214+R214+S214+V214+W214+Z214+AA214+AD214+AE214+AH214+AI214</f>
        <v>0</v>
      </c>
    </row>
    <row r="215" customFormat="false" ht="15" hidden="false" customHeight="false" outlineLevel="0" collapsed="false">
      <c r="B215" s="0" t="n">
        <v>188</v>
      </c>
      <c r="C215" s="68" t="n">
        <f aca="false">EDATE($C$7,187)</f>
        <v>51987</v>
      </c>
      <c r="D215" s="69" t="n">
        <f aca="false">$C$8-(F215+J215+N215+R215+V215+Z215+AD215+AH215)</f>
        <v>0</v>
      </c>
      <c r="E215" s="69" t="n">
        <f aca="false">IF(H214&gt;0.5,H214*(1+E$23)+E$24,0)</f>
        <v>0</v>
      </c>
      <c r="F215" s="69" t="n">
        <f aca="false">MIN(F$23,E215)</f>
        <v>0</v>
      </c>
      <c r="G215" s="69" t="n">
        <f aca="false">IF(AND(F$24=1,OR(E$25="",$C215&gt;=E$25)),MAX(0,MIN(E215-F215,$D215-(0))),0)</f>
        <v>0</v>
      </c>
      <c r="H215" s="69" t="n">
        <f aca="false">E215-F215-G215</f>
        <v>0</v>
      </c>
      <c r="I215" s="69" t="n">
        <f aca="false">IF(L214&gt;0.5,L214*(1+I$23)+I$24,0)</f>
        <v>0</v>
      </c>
      <c r="J215" s="69" t="n">
        <f aca="false">MIN(J$23,I215)</f>
        <v>0</v>
      </c>
      <c r="K215" s="69" t="n">
        <f aca="false">IF(AND(J$24=1,OR(I$25="",$C215&gt;=I$25)),MAX(0,MIN(I215-J215,$D215-(G215))),0)</f>
        <v>0</v>
      </c>
      <c r="L215" s="69" t="n">
        <f aca="false">I215-J215-K215</f>
        <v>0</v>
      </c>
      <c r="M215" s="69" t="n">
        <f aca="false">IF(P214&gt;0.5,P214*(1+M$23)+M$24,0)</f>
        <v>0</v>
      </c>
      <c r="N215" s="69" t="n">
        <f aca="false">MIN(N$23,M215)</f>
        <v>0</v>
      </c>
      <c r="O215" s="69" t="n">
        <f aca="false">IF(AND(N$24=1,OR(M$25="",$C215&gt;=M$25)),MAX(0,MIN(M215-N215,$D215-(G215+K215))),0)</f>
        <v>0</v>
      </c>
      <c r="P215" s="69" t="n">
        <f aca="false">M215-N215-O215</f>
        <v>0</v>
      </c>
      <c r="Q215" s="69" t="n">
        <f aca="false">IF(T214&gt;0.5,T214*(1+Q$23)+Q$24,0)</f>
        <v>0</v>
      </c>
      <c r="R215" s="69" t="n">
        <f aca="false">MIN(R$23,Q215)</f>
        <v>0</v>
      </c>
      <c r="S215" s="69" t="n">
        <f aca="false">IF(AND(R$24=1,OR(Q$25="",$C215&gt;=Q$25)),MAX(0,MIN(Q215-R215,$D215-(G215+K215+O215))),0)</f>
        <v>0</v>
      </c>
      <c r="T215" s="69" t="n">
        <f aca="false">Q215-R215-S215</f>
        <v>0</v>
      </c>
      <c r="U215" s="69" t="n">
        <f aca="false">IF(X214&gt;0.5,X214*(1+U$23)+U$24,0)</f>
        <v>0</v>
      </c>
      <c r="V215" s="69" t="n">
        <f aca="false">MIN(V$23,U215)</f>
        <v>0</v>
      </c>
      <c r="W215" s="69" t="n">
        <f aca="false">IF(AND(V$24=1,OR(U$25="",$C215&gt;=U$25)),MAX(0,MIN(U215-V215,$D215-(G215+K215+O215+S215))),0)</f>
        <v>0</v>
      </c>
      <c r="X215" s="69" t="n">
        <f aca="false">U215-V215-W215</f>
        <v>0</v>
      </c>
      <c r="Y215" s="69" t="n">
        <f aca="false">IF(AB214&gt;0.5,AB214*(1+Y$23)+Y$24,0)</f>
        <v>0</v>
      </c>
      <c r="Z215" s="69" t="n">
        <f aca="false">MIN(Z$23,Y215)</f>
        <v>0</v>
      </c>
      <c r="AA215" s="69" t="n">
        <f aca="false">IF(AND(Z$24=1,OR(Y$25="",$C215&gt;=Y$25)),MAX(0,MIN(Y215-Z215,$D215-(G215+K215+O215+S215+W215))),0)</f>
        <v>0</v>
      </c>
      <c r="AB215" s="69" t="n">
        <f aca="false">Y215-Z215-AA215</f>
        <v>0</v>
      </c>
      <c r="AC215" s="69" t="n">
        <f aca="false">IF(AF214&gt;0.5,AF214*(1+AC$23)+AC$24,0)</f>
        <v>0</v>
      </c>
      <c r="AD215" s="69" t="n">
        <f aca="false">MIN(AD$23,AC215)</f>
        <v>0</v>
      </c>
      <c r="AE215" s="69" t="n">
        <f aca="false">IF(AND(AD$24=1,OR(AC$25="",$C215&gt;=AC$25)),MAX(0,MIN(AC215-AD215,$D215-(G215+K215+O215+S215+W215+AA215))),0)</f>
        <v>0</v>
      </c>
      <c r="AF215" s="69" t="n">
        <f aca="false">AC215-AD215-AE215</f>
        <v>0</v>
      </c>
      <c r="AG215" s="69" t="n">
        <f aca="false">IF(AJ214&gt;0.5,AJ214*(1+AG$23)+AG$24,0)</f>
        <v>0</v>
      </c>
      <c r="AH215" s="69" t="n">
        <f aca="false">MIN(AH$23,AG215)</f>
        <v>0</v>
      </c>
      <c r="AI215" s="69" t="n">
        <f aca="false">IF(AND(AH$24=1,OR(AG$25="",$C215&gt;=AG$25)),MAX(0,MIN(AG215-AH215,$D215-(G215+K215+O215+S215+W215+AA215+AE215))),0)</f>
        <v>0</v>
      </c>
      <c r="AJ215" s="69" t="n">
        <f aca="false">AG215-AH215-AI215</f>
        <v>0</v>
      </c>
      <c r="AK215" s="69" t="n">
        <f aca="false">IF(AK214&gt;0.5,AK214*(1+$E$12)+$G$12-MIN($F$12,AK214*(1+$E$12)+$G$12),0)</f>
        <v>0</v>
      </c>
      <c r="AL215" s="69" t="n">
        <f aca="false">IF(AL214&gt;0.5,AL214*(1+$E$13)+$G$13-MIN($F$13,AL214*(1+$E$13)+$G$13),0)</f>
        <v>0</v>
      </c>
      <c r="AM215" s="69" t="n">
        <f aca="false">IF(AM214&gt;0.5,AM214*(1+$E$14)+$G$14-MIN($F$14,AM214*(1+$E$14)+$G$14),0)</f>
        <v>0</v>
      </c>
      <c r="AN215" s="69" t="n">
        <f aca="false">IF(AN214&gt;0.5,AN214*(1+$E$15)+$G$15-MIN($F$15,AN214*(1+$E$15)+$G$15),0)</f>
        <v>0</v>
      </c>
      <c r="AO215" s="69" t="n">
        <f aca="false">IF(AO214&gt;0.5,AO214*(1+$E$16)+$G$16-MIN($F$16,AO214*(1+$E$16)+$G$16),0)</f>
        <v>0</v>
      </c>
      <c r="AP215" s="69" t="n">
        <f aca="false">IF(AP214&gt;0.5,AP214*(1+$E$17)+$G$17-MIN($F$17,AP214*(1+$E$17)+$G$17),0)</f>
        <v>0</v>
      </c>
      <c r="AQ215" s="69" t="n">
        <f aca="false">IF(AQ214&gt;0.5,AQ214*(1+$E$18)+$G$18-MIN($F$18,AQ214*(1+$E$18)+$G$18),0)</f>
        <v>0</v>
      </c>
      <c r="AR215" s="69" t="n">
        <f aca="false">IF(AR214&gt;0.5,AR214*(1+$E$19)+$G$19-MIN($F$19,AR214*(1+$E$19)+$G$19),0)</f>
        <v>0</v>
      </c>
      <c r="AS215" s="69" t="n">
        <f aca="false">H215+L215+P215+T215+X215+AB215+AF215+AJ215</f>
        <v>0</v>
      </c>
      <c r="AT215" s="69" t="n">
        <f aca="false">SUM(AK215:AR215)</f>
        <v>0</v>
      </c>
      <c r="AU215" s="69" t="n">
        <f aca="false">F215+G215+J215+K215+N215+O215+R215+S215+V215+W215+Z215+AA215+AD215+AE215+AH215+AI215</f>
        <v>0</v>
      </c>
    </row>
    <row r="216" customFormat="false" ht="15" hidden="false" customHeight="false" outlineLevel="0" collapsed="false">
      <c r="B216" s="0" t="n">
        <v>189</v>
      </c>
      <c r="C216" s="68" t="n">
        <f aca="false">EDATE($C$7,188)</f>
        <v>52018</v>
      </c>
      <c r="D216" s="69" t="n">
        <f aca="false">$C$8-(F216+J216+N216+R216+V216+Z216+AD216+AH216)</f>
        <v>0</v>
      </c>
      <c r="E216" s="69" t="n">
        <f aca="false">IF(H215&gt;0.5,H215*(1+E$23)+E$24,0)</f>
        <v>0</v>
      </c>
      <c r="F216" s="69" t="n">
        <f aca="false">MIN(F$23,E216)</f>
        <v>0</v>
      </c>
      <c r="G216" s="69" t="n">
        <f aca="false">IF(AND(F$24=1,OR(E$25="",$C216&gt;=E$25)),MAX(0,MIN(E216-F216,$D216-(0))),0)</f>
        <v>0</v>
      </c>
      <c r="H216" s="69" t="n">
        <f aca="false">E216-F216-G216</f>
        <v>0</v>
      </c>
      <c r="I216" s="69" t="n">
        <f aca="false">IF(L215&gt;0.5,L215*(1+I$23)+I$24,0)</f>
        <v>0</v>
      </c>
      <c r="J216" s="69" t="n">
        <f aca="false">MIN(J$23,I216)</f>
        <v>0</v>
      </c>
      <c r="K216" s="69" t="n">
        <f aca="false">IF(AND(J$24=1,OR(I$25="",$C216&gt;=I$25)),MAX(0,MIN(I216-J216,$D216-(G216))),0)</f>
        <v>0</v>
      </c>
      <c r="L216" s="69" t="n">
        <f aca="false">I216-J216-K216</f>
        <v>0</v>
      </c>
      <c r="M216" s="69" t="n">
        <f aca="false">IF(P215&gt;0.5,P215*(1+M$23)+M$24,0)</f>
        <v>0</v>
      </c>
      <c r="N216" s="69" t="n">
        <f aca="false">MIN(N$23,M216)</f>
        <v>0</v>
      </c>
      <c r="O216" s="69" t="n">
        <f aca="false">IF(AND(N$24=1,OR(M$25="",$C216&gt;=M$25)),MAX(0,MIN(M216-N216,$D216-(G216+K216))),0)</f>
        <v>0</v>
      </c>
      <c r="P216" s="69" t="n">
        <f aca="false">M216-N216-O216</f>
        <v>0</v>
      </c>
      <c r="Q216" s="69" t="n">
        <f aca="false">IF(T215&gt;0.5,T215*(1+Q$23)+Q$24,0)</f>
        <v>0</v>
      </c>
      <c r="R216" s="69" t="n">
        <f aca="false">MIN(R$23,Q216)</f>
        <v>0</v>
      </c>
      <c r="S216" s="69" t="n">
        <f aca="false">IF(AND(R$24=1,OR(Q$25="",$C216&gt;=Q$25)),MAX(0,MIN(Q216-R216,$D216-(G216+K216+O216))),0)</f>
        <v>0</v>
      </c>
      <c r="T216" s="69" t="n">
        <f aca="false">Q216-R216-S216</f>
        <v>0</v>
      </c>
      <c r="U216" s="69" t="n">
        <f aca="false">IF(X215&gt;0.5,X215*(1+U$23)+U$24,0)</f>
        <v>0</v>
      </c>
      <c r="V216" s="69" t="n">
        <f aca="false">MIN(V$23,U216)</f>
        <v>0</v>
      </c>
      <c r="W216" s="69" t="n">
        <f aca="false">IF(AND(V$24=1,OR(U$25="",$C216&gt;=U$25)),MAX(0,MIN(U216-V216,$D216-(G216+K216+O216+S216))),0)</f>
        <v>0</v>
      </c>
      <c r="X216" s="69" t="n">
        <f aca="false">U216-V216-W216</f>
        <v>0</v>
      </c>
      <c r="Y216" s="69" t="n">
        <f aca="false">IF(AB215&gt;0.5,AB215*(1+Y$23)+Y$24,0)</f>
        <v>0</v>
      </c>
      <c r="Z216" s="69" t="n">
        <f aca="false">MIN(Z$23,Y216)</f>
        <v>0</v>
      </c>
      <c r="AA216" s="69" t="n">
        <f aca="false">IF(AND(Z$24=1,OR(Y$25="",$C216&gt;=Y$25)),MAX(0,MIN(Y216-Z216,$D216-(G216+K216+O216+S216+W216))),0)</f>
        <v>0</v>
      </c>
      <c r="AB216" s="69" t="n">
        <f aca="false">Y216-Z216-AA216</f>
        <v>0</v>
      </c>
      <c r="AC216" s="69" t="n">
        <f aca="false">IF(AF215&gt;0.5,AF215*(1+AC$23)+AC$24,0)</f>
        <v>0</v>
      </c>
      <c r="AD216" s="69" t="n">
        <f aca="false">MIN(AD$23,AC216)</f>
        <v>0</v>
      </c>
      <c r="AE216" s="69" t="n">
        <f aca="false">IF(AND(AD$24=1,OR(AC$25="",$C216&gt;=AC$25)),MAX(0,MIN(AC216-AD216,$D216-(G216+K216+O216+S216+W216+AA216))),0)</f>
        <v>0</v>
      </c>
      <c r="AF216" s="69" t="n">
        <f aca="false">AC216-AD216-AE216</f>
        <v>0</v>
      </c>
      <c r="AG216" s="69" t="n">
        <f aca="false">IF(AJ215&gt;0.5,AJ215*(1+AG$23)+AG$24,0)</f>
        <v>0</v>
      </c>
      <c r="AH216" s="69" t="n">
        <f aca="false">MIN(AH$23,AG216)</f>
        <v>0</v>
      </c>
      <c r="AI216" s="69" t="n">
        <f aca="false">IF(AND(AH$24=1,OR(AG$25="",$C216&gt;=AG$25)),MAX(0,MIN(AG216-AH216,$D216-(G216+K216+O216+S216+W216+AA216+AE216))),0)</f>
        <v>0</v>
      </c>
      <c r="AJ216" s="69" t="n">
        <f aca="false">AG216-AH216-AI216</f>
        <v>0</v>
      </c>
      <c r="AK216" s="69" t="n">
        <f aca="false">IF(AK215&gt;0.5,AK215*(1+$E$12)+$G$12-MIN($F$12,AK215*(1+$E$12)+$G$12),0)</f>
        <v>0</v>
      </c>
      <c r="AL216" s="69" t="n">
        <f aca="false">IF(AL215&gt;0.5,AL215*(1+$E$13)+$G$13-MIN($F$13,AL215*(1+$E$13)+$G$13),0)</f>
        <v>0</v>
      </c>
      <c r="AM216" s="69" t="n">
        <f aca="false">IF(AM215&gt;0.5,AM215*(1+$E$14)+$G$14-MIN($F$14,AM215*(1+$E$14)+$G$14),0)</f>
        <v>0</v>
      </c>
      <c r="AN216" s="69" t="n">
        <f aca="false">IF(AN215&gt;0.5,AN215*(1+$E$15)+$G$15-MIN($F$15,AN215*(1+$E$15)+$G$15),0)</f>
        <v>0</v>
      </c>
      <c r="AO216" s="69" t="n">
        <f aca="false">IF(AO215&gt;0.5,AO215*(1+$E$16)+$G$16-MIN($F$16,AO215*(1+$E$16)+$G$16),0)</f>
        <v>0</v>
      </c>
      <c r="AP216" s="69" t="n">
        <f aca="false">IF(AP215&gt;0.5,AP215*(1+$E$17)+$G$17-MIN($F$17,AP215*(1+$E$17)+$G$17),0)</f>
        <v>0</v>
      </c>
      <c r="AQ216" s="69" t="n">
        <f aca="false">IF(AQ215&gt;0.5,AQ215*(1+$E$18)+$G$18-MIN($F$18,AQ215*(1+$E$18)+$G$18),0)</f>
        <v>0</v>
      </c>
      <c r="AR216" s="69" t="n">
        <f aca="false">IF(AR215&gt;0.5,AR215*(1+$E$19)+$G$19-MIN($F$19,AR215*(1+$E$19)+$G$19),0)</f>
        <v>0</v>
      </c>
      <c r="AS216" s="69" t="n">
        <f aca="false">H216+L216+P216+T216+X216+AB216+AF216+AJ216</f>
        <v>0</v>
      </c>
      <c r="AT216" s="69" t="n">
        <f aca="false">SUM(AK216:AR216)</f>
        <v>0</v>
      </c>
      <c r="AU216" s="69" t="n">
        <f aca="false">F216+G216+J216+K216+N216+O216+R216+S216+V216+W216+Z216+AA216+AD216+AE216+AH216+AI216</f>
        <v>0</v>
      </c>
    </row>
    <row r="217" customFormat="false" ht="15" hidden="false" customHeight="false" outlineLevel="0" collapsed="false">
      <c r="B217" s="0" t="n">
        <v>190</v>
      </c>
      <c r="C217" s="68" t="n">
        <f aca="false">EDATE($C$7,189)</f>
        <v>52048</v>
      </c>
      <c r="D217" s="69" t="n">
        <f aca="false">$C$8-(F217+J217+N217+R217+V217+Z217+AD217+AH217)</f>
        <v>0</v>
      </c>
      <c r="E217" s="69" t="n">
        <f aca="false">IF(H216&gt;0.5,H216*(1+E$23)+E$24,0)</f>
        <v>0</v>
      </c>
      <c r="F217" s="69" t="n">
        <f aca="false">MIN(F$23,E217)</f>
        <v>0</v>
      </c>
      <c r="G217" s="69" t="n">
        <f aca="false">IF(AND(F$24=1,OR(E$25="",$C217&gt;=E$25)),MAX(0,MIN(E217-F217,$D217-(0))),0)</f>
        <v>0</v>
      </c>
      <c r="H217" s="69" t="n">
        <f aca="false">E217-F217-G217</f>
        <v>0</v>
      </c>
      <c r="I217" s="69" t="n">
        <f aca="false">IF(L216&gt;0.5,L216*(1+I$23)+I$24,0)</f>
        <v>0</v>
      </c>
      <c r="J217" s="69" t="n">
        <f aca="false">MIN(J$23,I217)</f>
        <v>0</v>
      </c>
      <c r="K217" s="69" t="n">
        <f aca="false">IF(AND(J$24=1,OR(I$25="",$C217&gt;=I$25)),MAX(0,MIN(I217-J217,$D217-(G217))),0)</f>
        <v>0</v>
      </c>
      <c r="L217" s="69" t="n">
        <f aca="false">I217-J217-K217</f>
        <v>0</v>
      </c>
      <c r="M217" s="69" t="n">
        <f aca="false">IF(P216&gt;0.5,P216*(1+M$23)+M$24,0)</f>
        <v>0</v>
      </c>
      <c r="N217" s="69" t="n">
        <f aca="false">MIN(N$23,M217)</f>
        <v>0</v>
      </c>
      <c r="O217" s="69" t="n">
        <f aca="false">IF(AND(N$24=1,OR(M$25="",$C217&gt;=M$25)),MAX(0,MIN(M217-N217,$D217-(G217+K217))),0)</f>
        <v>0</v>
      </c>
      <c r="P217" s="69" t="n">
        <f aca="false">M217-N217-O217</f>
        <v>0</v>
      </c>
      <c r="Q217" s="69" t="n">
        <f aca="false">IF(T216&gt;0.5,T216*(1+Q$23)+Q$24,0)</f>
        <v>0</v>
      </c>
      <c r="R217" s="69" t="n">
        <f aca="false">MIN(R$23,Q217)</f>
        <v>0</v>
      </c>
      <c r="S217" s="69" t="n">
        <f aca="false">IF(AND(R$24=1,OR(Q$25="",$C217&gt;=Q$25)),MAX(0,MIN(Q217-R217,$D217-(G217+K217+O217))),0)</f>
        <v>0</v>
      </c>
      <c r="T217" s="69" t="n">
        <f aca="false">Q217-R217-S217</f>
        <v>0</v>
      </c>
      <c r="U217" s="69" t="n">
        <f aca="false">IF(X216&gt;0.5,X216*(1+U$23)+U$24,0)</f>
        <v>0</v>
      </c>
      <c r="V217" s="69" t="n">
        <f aca="false">MIN(V$23,U217)</f>
        <v>0</v>
      </c>
      <c r="W217" s="69" t="n">
        <f aca="false">IF(AND(V$24=1,OR(U$25="",$C217&gt;=U$25)),MAX(0,MIN(U217-V217,$D217-(G217+K217+O217+S217))),0)</f>
        <v>0</v>
      </c>
      <c r="X217" s="69" t="n">
        <f aca="false">U217-V217-W217</f>
        <v>0</v>
      </c>
      <c r="Y217" s="69" t="n">
        <f aca="false">IF(AB216&gt;0.5,AB216*(1+Y$23)+Y$24,0)</f>
        <v>0</v>
      </c>
      <c r="Z217" s="69" t="n">
        <f aca="false">MIN(Z$23,Y217)</f>
        <v>0</v>
      </c>
      <c r="AA217" s="69" t="n">
        <f aca="false">IF(AND(Z$24=1,OR(Y$25="",$C217&gt;=Y$25)),MAX(0,MIN(Y217-Z217,$D217-(G217+K217+O217+S217+W217))),0)</f>
        <v>0</v>
      </c>
      <c r="AB217" s="69" t="n">
        <f aca="false">Y217-Z217-AA217</f>
        <v>0</v>
      </c>
      <c r="AC217" s="69" t="n">
        <f aca="false">IF(AF216&gt;0.5,AF216*(1+AC$23)+AC$24,0)</f>
        <v>0</v>
      </c>
      <c r="AD217" s="69" t="n">
        <f aca="false">MIN(AD$23,AC217)</f>
        <v>0</v>
      </c>
      <c r="AE217" s="69" t="n">
        <f aca="false">IF(AND(AD$24=1,OR(AC$25="",$C217&gt;=AC$25)),MAX(0,MIN(AC217-AD217,$D217-(G217+K217+O217+S217+W217+AA217))),0)</f>
        <v>0</v>
      </c>
      <c r="AF217" s="69" t="n">
        <f aca="false">AC217-AD217-AE217</f>
        <v>0</v>
      </c>
      <c r="AG217" s="69" t="n">
        <f aca="false">IF(AJ216&gt;0.5,AJ216*(1+AG$23)+AG$24,0)</f>
        <v>0</v>
      </c>
      <c r="AH217" s="69" t="n">
        <f aca="false">MIN(AH$23,AG217)</f>
        <v>0</v>
      </c>
      <c r="AI217" s="69" t="n">
        <f aca="false">IF(AND(AH$24=1,OR(AG$25="",$C217&gt;=AG$25)),MAX(0,MIN(AG217-AH217,$D217-(G217+K217+O217+S217+W217+AA217+AE217))),0)</f>
        <v>0</v>
      </c>
      <c r="AJ217" s="69" t="n">
        <f aca="false">AG217-AH217-AI217</f>
        <v>0</v>
      </c>
      <c r="AK217" s="69" t="n">
        <f aca="false">IF(AK216&gt;0.5,AK216*(1+$E$12)+$G$12-MIN($F$12,AK216*(1+$E$12)+$G$12),0)</f>
        <v>0</v>
      </c>
      <c r="AL217" s="69" t="n">
        <f aca="false">IF(AL216&gt;0.5,AL216*(1+$E$13)+$G$13-MIN($F$13,AL216*(1+$E$13)+$G$13),0)</f>
        <v>0</v>
      </c>
      <c r="AM217" s="69" t="n">
        <f aca="false">IF(AM216&gt;0.5,AM216*(1+$E$14)+$G$14-MIN($F$14,AM216*(1+$E$14)+$G$14),0)</f>
        <v>0</v>
      </c>
      <c r="AN217" s="69" t="n">
        <f aca="false">IF(AN216&gt;0.5,AN216*(1+$E$15)+$G$15-MIN($F$15,AN216*(1+$E$15)+$G$15),0)</f>
        <v>0</v>
      </c>
      <c r="AO217" s="69" t="n">
        <f aca="false">IF(AO216&gt;0.5,AO216*(1+$E$16)+$G$16-MIN($F$16,AO216*(1+$E$16)+$G$16),0)</f>
        <v>0</v>
      </c>
      <c r="AP217" s="69" t="n">
        <f aca="false">IF(AP216&gt;0.5,AP216*(1+$E$17)+$G$17-MIN($F$17,AP216*(1+$E$17)+$G$17),0)</f>
        <v>0</v>
      </c>
      <c r="AQ217" s="69" t="n">
        <f aca="false">IF(AQ216&gt;0.5,AQ216*(1+$E$18)+$G$18-MIN($F$18,AQ216*(1+$E$18)+$G$18),0)</f>
        <v>0</v>
      </c>
      <c r="AR217" s="69" t="n">
        <f aca="false">IF(AR216&gt;0.5,AR216*(1+$E$19)+$G$19-MIN($F$19,AR216*(1+$E$19)+$G$19),0)</f>
        <v>0</v>
      </c>
      <c r="AS217" s="69" t="n">
        <f aca="false">H217+L217+P217+T217+X217+AB217+AF217+AJ217</f>
        <v>0</v>
      </c>
      <c r="AT217" s="69" t="n">
        <f aca="false">SUM(AK217:AR217)</f>
        <v>0</v>
      </c>
      <c r="AU217" s="69" t="n">
        <f aca="false">F217+G217+J217+K217+N217+O217+R217+S217+V217+W217+Z217+AA217+AD217+AE217+AH217+AI217</f>
        <v>0</v>
      </c>
    </row>
    <row r="218" customFormat="false" ht="15" hidden="false" customHeight="false" outlineLevel="0" collapsed="false">
      <c r="B218" s="0" t="n">
        <v>191</v>
      </c>
      <c r="C218" s="68" t="n">
        <f aca="false">EDATE($C$7,190)</f>
        <v>52079</v>
      </c>
      <c r="D218" s="69" t="n">
        <f aca="false">$C$8-(F218+J218+N218+R218+V218+Z218+AD218+AH218)</f>
        <v>0</v>
      </c>
      <c r="E218" s="69" t="n">
        <f aca="false">IF(H217&gt;0.5,H217*(1+E$23)+E$24,0)</f>
        <v>0</v>
      </c>
      <c r="F218" s="69" t="n">
        <f aca="false">MIN(F$23,E218)</f>
        <v>0</v>
      </c>
      <c r="G218" s="69" t="n">
        <f aca="false">IF(AND(F$24=1,OR(E$25="",$C218&gt;=E$25)),MAX(0,MIN(E218-F218,$D218-(0))),0)</f>
        <v>0</v>
      </c>
      <c r="H218" s="69" t="n">
        <f aca="false">E218-F218-G218</f>
        <v>0</v>
      </c>
      <c r="I218" s="69" t="n">
        <f aca="false">IF(L217&gt;0.5,L217*(1+I$23)+I$24,0)</f>
        <v>0</v>
      </c>
      <c r="J218" s="69" t="n">
        <f aca="false">MIN(J$23,I218)</f>
        <v>0</v>
      </c>
      <c r="K218" s="69" t="n">
        <f aca="false">IF(AND(J$24=1,OR(I$25="",$C218&gt;=I$25)),MAX(0,MIN(I218-J218,$D218-(G218))),0)</f>
        <v>0</v>
      </c>
      <c r="L218" s="69" t="n">
        <f aca="false">I218-J218-K218</f>
        <v>0</v>
      </c>
      <c r="M218" s="69" t="n">
        <f aca="false">IF(P217&gt;0.5,P217*(1+M$23)+M$24,0)</f>
        <v>0</v>
      </c>
      <c r="N218" s="69" t="n">
        <f aca="false">MIN(N$23,M218)</f>
        <v>0</v>
      </c>
      <c r="O218" s="69" t="n">
        <f aca="false">IF(AND(N$24=1,OR(M$25="",$C218&gt;=M$25)),MAX(0,MIN(M218-N218,$D218-(G218+K218))),0)</f>
        <v>0</v>
      </c>
      <c r="P218" s="69" t="n">
        <f aca="false">M218-N218-O218</f>
        <v>0</v>
      </c>
      <c r="Q218" s="69" t="n">
        <f aca="false">IF(T217&gt;0.5,T217*(1+Q$23)+Q$24,0)</f>
        <v>0</v>
      </c>
      <c r="R218" s="69" t="n">
        <f aca="false">MIN(R$23,Q218)</f>
        <v>0</v>
      </c>
      <c r="S218" s="69" t="n">
        <f aca="false">IF(AND(R$24=1,OR(Q$25="",$C218&gt;=Q$25)),MAX(0,MIN(Q218-R218,$D218-(G218+K218+O218))),0)</f>
        <v>0</v>
      </c>
      <c r="T218" s="69" t="n">
        <f aca="false">Q218-R218-S218</f>
        <v>0</v>
      </c>
      <c r="U218" s="69" t="n">
        <f aca="false">IF(X217&gt;0.5,X217*(1+U$23)+U$24,0)</f>
        <v>0</v>
      </c>
      <c r="V218" s="69" t="n">
        <f aca="false">MIN(V$23,U218)</f>
        <v>0</v>
      </c>
      <c r="W218" s="69" t="n">
        <f aca="false">IF(AND(V$24=1,OR(U$25="",$C218&gt;=U$25)),MAX(0,MIN(U218-V218,$D218-(G218+K218+O218+S218))),0)</f>
        <v>0</v>
      </c>
      <c r="X218" s="69" t="n">
        <f aca="false">U218-V218-W218</f>
        <v>0</v>
      </c>
      <c r="Y218" s="69" t="n">
        <f aca="false">IF(AB217&gt;0.5,AB217*(1+Y$23)+Y$24,0)</f>
        <v>0</v>
      </c>
      <c r="Z218" s="69" t="n">
        <f aca="false">MIN(Z$23,Y218)</f>
        <v>0</v>
      </c>
      <c r="AA218" s="69" t="n">
        <f aca="false">IF(AND(Z$24=1,OR(Y$25="",$C218&gt;=Y$25)),MAX(0,MIN(Y218-Z218,$D218-(G218+K218+O218+S218+W218))),0)</f>
        <v>0</v>
      </c>
      <c r="AB218" s="69" t="n">
        <f aca="false">Y218-Z218-AA218</f>
        <v>0</v>
      </c>
      <c r="AC218" s="69" t="n">
        <f aca="false">IF(AF217&gt;0.5,AF217*(1+AC$23)+AC$24,0)</f>
        <v>0</v>
      </c>
      <c r="AD218" s="69" t="n">
        <f aca="false">MIN(AD$23,AC218)</f>
        <v>0</v>
      </c>
      <c r="AE218" s="69" t="n">
        <f aca="false">IF(AND(AD$24=1,OR(AC$25="",$C218&gt;=AC$25)),MAX(0,MIN(AC218-AD218,$D218-(G218+K218+O218+S218+W218+AA218))),0)</f>
        <v>0</v>
      </c>
      <c r="AF218" s="69" t="n">
        <f aca="false">AC218-AD218-AE218</f>
        <v>0</v>
      </c>
      <c r="AG218" s="69" t="n">
        <f aca="false">IF(AJ217&gt;0.5,AJ217*(1+AG$23)+AG$24,0)</f>
        <v>0</v>
      </c>
      <c r="AH218" s="69" t="n">
        <f aca="false">MIN(AH$23,AG218)</f>
        <v>0</v>
      </c>
      <c r="AI218" s="69" t="n">
        <f aca="false">IF(AND(AH$24=1,OR(AG$25="",$C218&gt;=AG$25)),MAX(0,MIN(AG218-AH218,$D218-(G218+K218+O218+S218+W218+AA218+AE218))),0)</f>
        <v>0</v>
      </c>
      <c r="AJ218" s="69" t="n">
        <f aca="false">AG218-AH218-AI218</f>
        <v>0</v>
      </c>
      <c r="AK218" s="69" t="n">
        <f aca="false">IF(AK217&gt;0.5,AK217*(1+$E$12)+$G$12-MIN($F$12,AK217*(1+$E$12)+$G$12),0)</f>
        <v>0</v>
      </c>
      <c r="AL218" s="69" t="n">
        <f aca="false">IF(AL217&gt;0.5,AL217*(1+$E$13)+$G$13-MIN($F$13,AL217*(1+$E$13)+$G$13),0)</f>
        <v>0</v>
      </c>
      <c r="AM218" s="69" t="n">
        <f aca="false">IF(AM217&gt;0.5,AM217*(1+$E$14)+$G$14-MIN($F$14,AM217*(1+$E$14)+$G$14),0)</f>
        <v>0</v>
      </c>
      <c r="AN218" s="69" t="n">
        <f aca="false">IF(AN217&gt;0.5,AN217*(1+$E$15)+$G$15-MIN($F$15,AN217*(1+$E$15)+$G$15),0)</f>
        <v>0</v>
      </c>
      <c r="AO218" s="69" t="n">
        <f aca="false">IF(AO217&gt;0.5,AO217*(1+$E$16)+$G$16-MIN($F$16,AO217*(1+$E$16)+$G$16),0)</f>
        <v>0</v>
      </c>
      <c r="AP218" s="69" t="n">
        <f aca="false">IF(AP217&gt;0.5,AP217*(1+$E$17)+$G$17-MIN($F$17,AP217*(1+$E$17)+$G$17),0)</f>
        <v>0</v>
      </c>
      <c r="AQ218" s="69" t="n">
        <f aca="false">IF(AQ217&gt;0.5,AQ217*(1+$E$18)+$G$18-MIN($F$18,AQ217*(1+$E$18)+$G$18),0)</f>
        <v>0</v>
      </c>
      <c r="AR218" s="69" t="n">
        <f aca="false">IF(AR217&gt;0.5,AR217*(1+$E$19)+$G$19-MIN($F$19,AR217*(1+$E$19)+$G$19),0)</f>
        <v>0</v>
      </c>
      <c r="AS218" s="69" t="n">
        <f aca="false">H218+L218+P218+T218+X218+AB218+AF218+AJ218</f>
        <v>0</v>
      </c>
      <c r="AT218" s="69" t="n">
        <f aca="false">SUM(AK218:AR218)</f>
        <v>0</v>
      </c>
      <c r="AU218" s="69" t="n">
        <f aca="false">F218+G218+J218+K218+N218+O218+R218+S218+V218+W218+Z218+AA218+AD218+AE218+AH218+AI218</f>
        <v>0</v>
      </c>
    </row>
    <row r="219" customFormat="false" ht="15" hidden="false" customHeight="false" outlineLevel="0" collapsed="false">
      <c r="B219" s="0" t="n">
        <v>192</v>
      </c>
      <c r="C219" s="68" t="n">
        <f aca="false">EDATE($C$7,191)</f>
        <v>52110</v>
      </c>
      <c r="D219" s="69" t="n">
        <f aca="false">$C$8-(F219+J219+N219+R219+V219+Z219+AD219+AH219)</f>
        <v>0</v>
      </c>
      <c r="E219" s="69" t="n">
        <f aca="false">IF(H218&gt;0.5,H218*(1+E$23)+E$24,0)</f>
        <v>0</v>
      </c>
      <c r="F219" s="69" t="n">
        <f aca="false">MIN(F$23,E219)</f>
        <v>0</v>
      </c>
      <c r="G219" s="69" t="n">
        <f aca="false">IF(AND(F$24=1,OR(E$25="",$C219&gt;=E$25)),MAX(0,MIN(E219-F219,$D219-(0))),0)</f>
        <v>0</v>
      </c>
      <c r="H219" s="69" t="n">
        <f aca="false">E219-F219-G219</f>
        <v>0</v>
      </c>
      <c r="I219" s="69" t="n">
        <f aca="false">IF(L218&gt;0.5,L218*(1+I$23)+I$24,0)</f>
        <v>0</v>
      </c>
      <c r="J219" s="69" t="n">
        <f aca="false">MIN(J$23,I219)</f>
        <v>0</v>
      </c>
      <c r="K219" s="69" t="n">
        <f aca="false">IF(AND(J$24=1,OR(I$25="",$C219&gt;=I$25)),MAX(0,MIN(I219-J219,$D219-(G219))),0)</f>
        <v>0</v>
      </c>
      <c r="L219" s="69" t="n">
        <f aca="false">I219-J219-K219</f>
        <v>0</v>
      </c>
      <c r="M219" s="69" t="n">
        <f aca="false">IF(P218&gt;0.5,P218*(1+M$23)+M$24,0)</f>
        <v>0</v>
      </c>
      <c r="N219" s="69" t="n">
        <f aca="false">MIN(N$23,M219)</f>
        <v>0</v>
      </c>
      <c r="O219" s="69" t="n">
        <f aca="false">IF(AND(N$24=1,OR(M$25="",$C219&gt;=M$25)),MAX(0,MIN(M219-N219,$D219-(G219+K219))),0)</f>
        <v>0</v>
      </c>
      <c r="P219" s="69" t="n">
        <f aca="false">M219-N219-O219</f>
        <v>0</v>
      </c>
      <c r="Q219" s="69" t="n">
        <f aca="false">IF(T218&gt;0.5,T218*(1+Q$23)+Q$24,0)</f>
        <v>0</v>
      </c>
      <c r="R219" s="69" t="n">
        <f aca="false">MIN(R$23,Q219)</f>
        <v>0</v>
      </c>
      <c r="S219" s="69" t="n">
        <f aca="false">IF(AND(R$24=1,OR(Q$25="",$C219&gt;=Q$25)),MAX(0,MIN(Q219-R219,$D219-(G219+K219+O219))),0)</f>
        <v>0</v>
      </c>
      <c r="T219" s="69" t="n">
        <f aca="false">Q219-R219-S219</f>
        <v>0</v>
      </c>
      <c r="U219" s="69" t="n">
        <f aca="false">IF(X218&gt;0.5,X218*(1+U$23)+U$24,0)</f>
        <v>0</v>
      </c>
      <c r="V219" s="69" t="n">
        <f aca="false">MIN(V$23,U219)</f>
        <v>0</v>
      </c>
      <c r="W219" s="69" t="n">
        <f aca="false">IF(AND(V$24=1,OR(U$25="",$C219&gt;=U$25)),MAX(0,MIN(U219-V219,$D219-(G219+K219+O219+S219))),0)</f>
        <v>0</v>
      </c>
      <c r="X219" s="69" t="n">
        <f aca="false">U219-V219-W219</f>
        <v>0</v>
      </c>
      <c r="Y219" s="69" t="n">
        <f aca="false">IF(AB218&gt;0.5,AB218*(1+Y$23)+Y$24,0)</f>
        <v>0</v>
      </c>
      <c r="Z219" s="69" t="n">
        <f aca="false">MIN(Z$23,Y219)</f>
        <v>0</v>
      </c>
      <c r="AA219" s="69" t="n">
        <f aca="false">IF(AND(Z$24=1,OR(Y$25="",$C219&gt;=Y$25)),MAX(0,MIN(Y219-Z219,$D219-(G219+K219+O219+S219+W219))),0)</f>
        <v>0</v>
      </c>
      <c r="AB219" s="69" t="n">
        <f aca="false">Y219-Z219-AA219</f>
        <v>0</v>
      </c>
      <c r="AC219" s="69" t="n">
        <f aca="false">IF(AF218&gt;0.5,AF218*(1+AC$23)+AC$24,0)</f>
        <v>0</v>
      </c>
      <c r="AD219" s="69" t="n">
        <f aca="false">MIN(AD$23,AC219)</f>
        <v>0</v>
      </c>
      <c r="AE219" s="69" t="n">
        <f aca="false">IF(AND(AD$24=1,OR(AC$25="",$C219&gt;=AC$25)),MAX(0,MIN(AC219-AD219,$D219-(G219+K219+O219+S219+W219+AA219))),0)</f>
        <v>0</v>
      </c>
      <c r="AF219" s="69" t="n">
        <f aca="false">AC219-AD219-AE219</f>
        <v>0</v>
      </c>
      <c r="AG219" s="69" t="n">
        <f aca="false">IF(AJ218&gt;0.5,AJ218*(1+AG$23)+AG$24,0)</f>
        <v>0</v>
      </c>
      <c r="AH219" s="69" t="n">
        <f aca="false">MIN(AH$23,AG219)</f>
        <v>0</v>
      </c>
      <c r="AI219" s="69" t="n">
        <f aca="false">IF(AND(AH$24=1,OR(AG$25="",$C219&gt;=AG$25)),MAX(0,MIN(AG219-AH219,$D219-(G219+K219+O219+S219+W219+AA219+AE219))),0)</f>
        <v>0</v>
      </c>
      <c r="AJ219" s="69" t="n">
        <f aca="false">AG219-AH219-AI219</f>
        <v>0</v>
      </c>
      <c r="AK219" s="69" t="n">
        <f aca="false">IF(AK218&gt;0.5,AK218*(1+$E$12)+$G$12-MIN($F$12,AK218*(1+$E$12)+$G$12),0)</f>
        <v>0</v>
      </c>
      <c r="AL219" s="69" t="n">
        <f aca="false">IF(AL218&gt;0.5,AL218*(1+$E$13)+$G$13-MIN($F$13,AL218*(1+$E$13)+$G$13),0)</f>
        <v>0</v>
      </c>
      <c r="AM219" s="69" t="n">
        <f aca="false">IF(AM218&gt;0.5,AM218*(1+$E$14)+$G$14-MIN($F$14,AM218*(1+$E$14)+$G$14),0)</f>
        <v>0</v>
      </c>
      <c r="AN219" s="69" t="n">
        <f aca="false">IF(AN218&gt;0.5,AN218*(1+$E$15)+$G$15-MIN($F$15,AN218*(1+$E$15)+$G$15),0)</f>
        <v>0</v>
      </c>
      <c r="AO219" s="69" t="n">
        <f aca="false">IF(AO218&gt;0.5,AO218*(1+$E$16)+$G$16-MIN($F$16,AO218*(1+$E$16)+$G$16),0)</f>
        <v>0</v>
      </c>
      <c r="AP219" s="69" t="n">
        <f aca="false">IF(AP218&gt;0.5,AP218*(1+$E$17)+$G$17-MIN($F$17,AP218*(1+$E$17)+$G$17),0)</f>
        <v>0</v>
      </c>
      <c r="AQ219" s="69" t="n">
        <f aca="false">IF(AQ218&gt;0.5,AQ218*(1+$E$18)+$G$18-MIN($F$18,AQ218*(1+$E$18)+$G$18),0)</f>
        <v>0</v>
      </c>
      <c r="AR219" s="69" t="n">
        <f aca="false">IF(AR218&gt;0.5,AR218*(1+$E$19)+$G$19-MIN($F$19,AR218*(1+$E$19)+$G$19),0)</f>
        <v>0</v>
      </c>
      <c r="AS219" s="69" t="n">
        <f aca="false">H219+L219+P219+T219+X219+AB219+AF219+AJ219</f>
        <v>0</v>
      </c>
      <c r="AT219" s="69" t="n">
        <f aca="false">SUM(AK219:AR219)</f>
        <v>0</v>
      </c>
      <c r="AU219" s="69" t="n">
        <f aca="false">F219+G219+J219+K219+N219+O219+R219+S219+V219+W219+Z219+AA219+AD219+AE219+AH219+AI219</f>
        <v>0</v>
      </c>
    </row>
    <row r="220" customFormat="false" ht="15" hidden="false" customHeight="false" outlineLevel="0" collapsed="false">
      <c r="B220" s="0" t="n">
        <v>193</v>
      </c>
      <c r="C220" s="68" t="n">
        <f aca="false">EDATE($C$7,192)</f>
        <v>52140</v>
      </c>
      <c r="D220" s="69" t="n">
        <f aca="false">$C$8-(F220+J220+N220+R220+V220+Z220+AD220+AH220)</f>
        <v>0</v>
      </c>
      <c r="E220" s="69" t="n">
        <f aca="false">IF(H219&gt;0.5,H219*(1+E$23)+E$24,0)</f>
        <v>0</v>
      </c>
      <c r="F220" s="69" t="n">
        <f aca="false">MIN(F$23,E220)</f>
        <v>0</v>
      </c>
      <c r="G220" s="69" t="n">
        <f aca="false">IF(AND(F$24=1,OR(E$25="",$C220&gt;=E$25)),MAX(0,MIN(E220-F220,$D220-(0))),0)</f>
        <v>0</v>
      </c>
      <c r="H220" s="69" t="n">
        <f aca="false">E220-F220-G220</f>
        <v>0</v>
      </c>
      <c r="I220" s="69" t="n">
        <f aca="false">IF(L219&gt;0.5,L219*(1+I$23)+I$24,0)</f>
        <v>0</v>
      </c>
      <c r="J220" s="69" t="n">
        <f aca="false">MIN(J$23,I220)</f>
        <v>0</v>
      </c>
      <c r="K220" s="69" t="n">
        <f aca="false">IF(AND(J$24=1,OR(I$25="",$C220&gt;=I$25)),MAX(0,MIN(I220-J220,$D220-(G220))),0)</f>
        <v>0</v>
      </c>
      <c r="L220" s="69" t="n">
        <f aca="false">I220-J220-K220</f>
        <v>0</v>
      </c>
      <c r="M220" s="69" t="n">
        <f aca="false">IF(P219&gt;0.5,P219*(1+M$23)+M$24,0)</f>
        <v>0</v>
      </c>
      <c r="N220" s="69" t="n">
        <f aca="false">MIN(N$23,M220)</f>
        <v>0</v>
      </c>
      <c r="O220" s="69" t="n">
        <f aca="false">IF(AND(N$24=1,OR(M$25="",$C220&gt;=M$25)),MAX(0,MIN(M220-N220,$D220-(G220+K220))),0)</f>
        <v>0</v>
      </c>
      <c r="P220" s="69" t="n">
        <f aca="false">M220-N220-O220</f>
        <v>0</v>
      </c>
      <c r="Q220" s="69" t="n">
        <f aca="false">IF(T219&gt;0.5,T219*(1+Q$23)+Q$24,0)</f>
        <v>0</v>
      </c>
      <c r="R220" s="69" t="n">
        <f aca="false">MIN(R$23,Q220)</f>
        <v>0</v>
      </c>
      <c r="S220" s="69" t="n">
        <f aca="false">IF(AND(R$24=1,OR(Q$25="",$C220&gt;=Q$25)),MAX(0,MIN(Q220-R220,$D220-(G220+K220+O220))),0)</f>
        <v>0</v>
      </c>
      <c r="T220" s="69" t="n">
        <f aca="false">Q220-R220-S220</f>
        <v>0</v>
      </c>
      <c r="U220" s="69" t="n">
        <f aca="false">IF(X219&gt;0.5,X219*(1+U$23)+U$24,0)</f>
        <v>0</v>
      </c>
      <c r="V220" s="69" t="n">
        <f aca="false">MIN(V$23,U220)</f>
        <v>0</v>
      </c>
      <c r="W220" s="69" t="n">
        <f aca="false">IF(AND(V$24=1,OR(U$25="",$C220&gt;=U$25)),MAX(0,MIN(U220-V220,$D220-(G220+K220+O220+S220))),0)</f>
        <v>0</v>
      </c>
      <c r="X220" s="69" t="n">
        <f aca="false">U220-V220-W220</f>
        <v>0</v>
      </c>
      <c r="Y220" s="69" t="n">
        <f aca="false">IF(AB219&gt;0.5,AB219*(1+Y$23)+Y$24,0)</f>
        <v>0</v>
      </c>
      <c r="Z220" s="69" t="n">
        <f aca="false">MIN(Z$23,Y220)</f>
        <v>0</v>
      </c>
      <c r="AA220" s="69" t="n">
        <f aca="false">IF(AND(Z$24=1,OR(Y$25="",$C220&gt;=Y$25)),MAX(0,MIN(Y220-Z220,$D220-(G220+K220+O220+S220+W220))),0)</f>
        <v>0</v>
      </c>
      <c r="AB220" s="69" t="n">
        <f aca="false">Y220-Z220-AA220</f>
        <v>0</v>
      </c>
      <c r="AC220" s="69" t="n">
        <f aca="false">IF(AF219&gt;0.5,AF219*(1+AC$23)+AC$24,0)</f>
        <v>0</v>
      </c>
      <c r="AD220" s="69" t="n">
        <f aca="false">MIN(AD$23,AC220)</f>
        <v>0</v>
      </c>
      <c r="AE220" s="69" t="n">
        <f aca="false">IF(AND(AD$24=1,OR(AC$25="",$C220&gt;=AC$25)),MAX(0,MIN(AC220-AD220,$D220-(G220+K220+O220+S220+W220+AA220))),0)</f>
        <v>0</v>
      </c>
      <c r="AF220" s="69" t="n">
        <f aca="false">AC220-AD220-AE220</f>
        <v>0</v>
      </c>
      <c r="AG220" s="69" t="n">
        <f aca="false">IF(AJ219&gt;0.5,AJ219*(1+AG$23)+AG$24,0)</f>
        <v>0</v>
      </c>
      <c r="AH220" s="69" t="n">
        <f aca="false">MIN(AH$23,AG220)</f>
        <v>0</v>
      </c>
      <c r="AI220" s="69" t="n">
        <f aca="false">IF(AND(AH$24=1,OR(AG$25="",$C220&gt;=AG$25)),MAX(0,MIN(AG220-AH220,$D220-(G220+K220+O220+S220+W220+AA220+AE220))),0)</f>
        <v>0</v>
      </c>
      <c r="AJ220" s="69" t="n">
        <f aca="false">AG220-AH220-AI220</f>
        <v>0</v>
      </c>
      <c r="AK220" s="69" t="n">
        <f aca="false">IF(AK219&gt;0.5,AK219*(1+$E$12)+$G$12-MIN($F$12,AK219*(1+$E$12)+$G$12),0)</f>
        <v>0</v>
      </c>
      <c r="AL220" s="69" t="n">
        <f aca="false">IF(AL219&gt;0.5,AL219*(1+$E$13)+$G$13-MIN($F$13,AL219*(1+$E$13)+$G$13),0)</f>
        <v>0</v>
      </c>
      <c r="AM220" s="69" t="n">
        <f aca="false">IF(AM219&gt;0.5,AM219*(1+$E$14)+$G$14-MIN($F$14,AM219*(1+$E$14)+$G$14),0)</f>
        <v>0</v>
      </c>
      <c r="AN220" s="69" t="n">
        <f aca="false">IF(AN219&gt;0.5,AN219*(1+$E$15)+$G$15-MIN($F$15,AN219*(1+$E$15)+$G$15),0)</f>
        <v>0</v>
      </c>
      <c r="AO220" s="69" t="n">
        <f aca="false">IF(AO219&gt;0.5,AO219*(1+$E$16)+$G$16-MIN($F$16,AO219*(1+$E$16)+$G$16),0)</f>
        <v>0</v>
      </c>
      <c r="AP220" s="69" t="n">
        <f aca="false">IF(AP219&gt;0.5,AP219*(1+$E$17)+$G$17-MIN($F$17,AP219*(1+$E$17)+$G$17),0)</f>
        <v>0</v>
      </c>
      <c r="AQ220" s="69" t="n">
        <f aca="false">IF(AQ219&gt;0.5,AQ219*(1+$E$18)+$G$18-MIN($F$18,AQ219*(1+$E$18)+$G$18),0)</f>
        <v>0</v>
      </c>
      <c r="AR220" s="69" t="n">
        <f aca="false">IF(AR219&gt;0.5,AR219*(1+$E$19)+$G$19-MIN($F$19,AR219*(1+$E$19)+$G$19),0)</f>
        <v>0</v>
      </c>
      <c r="AS220" s="69" t="n">
        <f aca="false">H220+L220+P220+T220+X220+AB220+AF220+AJ220</f>
        <v>0</v>
      </c>
      <c r="AT220" s="69" t="n">
        <f aca="false">SUM(AK220:AR220)</f>
        <v>0</v>
      </c>
      <c r="AU220" s="69" t="n">
        <f aca="false">F220+G220+J220+K220+N220+O220+R220+S220+V220+W220+Z220+AA220+AD220+AE220+AH220+AI220</f>
        <v>0</v>
      </c>
    </row>
    <row r="221" customFormat="false" ht="15" hidden="false" customHeight="false" outlineLevel="0" collapsed="false">
      <c r="B221" s="0" t="n">
        <v>194</v>
      </c>
      <c r="C221" s="68" t="n">
        <f aca="false">EDATE($C$7,193)</f>
        <v>52171</v>
      </c>
      <c r="D221" s="69" t="n">
        <f aca="false">$C$8-(F221+J221+N221+R221+V221+Z221+AD221+AH221)</f>
        <v>0</v>
      </c>
      <c r="E221" s="69" t="n">
        <f aca="false">IF(H220&gt;0.5,H220*(1+E$23)+E$24,0)</f>
        <v>0</v>
      </c>
      <c r="F221" s="69" t="n">
        <f aca="false">MIN(F$23,E221)</f>
        <v>0</v>
      </c>
      <c r="G221" s="69" t="n">
        <f aca="false">IF(AND(F$24=1,OR(E$25="",$C221&gt;=E$25)),MAX(0,MIN(E221-F221,$D221-(0))),0)</f>
        <v>0</v>
      </c>
      <c r="H221" s="69" t="n">
        <f aca="false">E221-F221-G221</f>
        <v>0</v>
      </c>
      <c r="I221" s="69" t="n">
        <f aca="false">IF(L220&gt;0.5,L220*(1+I$23)+I$24,0)</f>
        <v>0</v>
      </c>
      <c r="J221" s="69" t="n">
        <f aca="false">MIN(J$23,I221)</f>
        <v>0</v>
      </c>
      <c r="K221" s="69" t="n">
        <f aca="false">IF(AND(J$24=1,OR(I$25="",$C221&gt;=I$25)),MAX(0,MIN(I221-J221,$D221-(G221))),0)</f>
        <v>0</v>
      </c>
      <c r="L221" s="69" t="n">
        <f aca="false">I221-J221-K221</f>
        <v>0</v>
      </c>
      <c r="M221" s="69" t="n">
        <f aca="false">IF(P220&gt;0.5,P220*(1+M$23)+M$24,0)</f>
        <v>0</v>
      </c>
      <c r="N221" s="69" t="n">
        <f aca="false">MIN(N$23,M221)</f>
        <v>0</v>
      </c>
      <c r="O221" s="69" t="n">
        <f aca="false">IF(AND(N$24=1,OR(M$25="",$C221&gt;=M$25)),MAX(0,MIN(M221-N221,$D221-(G221+K221))),0)</f>
        <v>0</v>
      </c>
      <c r="P221" s="69" t="n">
        <f aca="false">M221-N221-O221</f>
        <v>0</v>
      </c>
      <c r="Q221" s="69" t="n">
        <f aca="false">IF(T220&gt;0.5,T220*(1+Q$23)+Q$24,0)</f>
        <v>0</v>
      </c>
      <c r="R221" s="69" t="n">
        <f aca="false">MIN(R$23,Q221)</f>
        <v>0</v>
      </c>
      <c r="S221" s="69" t="n">
        <f aca="false">IF(AND(R$24=1,OR(Q$25="",$C221&gt;=Q$25)),MAX(0,MIN(Q221-R221,$D221-(G221+K221+O221))),0)</f>
        <v>0</v>
      </c>
      <c r="T221" s="69" t="n">
        <f aca="false">Q221-R221-S221</f>
        <v>0</v>
      </c>
      <c r="U221" s="69" t="n">
        <f aca="false">IF(X220&gt;0.5,X220*(1+U$23)+U$24,0)</f>
        <v>0</v>
      </c>
      <c r="V221" s="69" t="n">
        <f aca="false">MIN(V$23,U221)</f>
        <v>0</v>
      </c>
      <c r="W221" s="69" t="n">
        <f aca="false">IF(AND(V$24=1,OR(U$25="",$C221&gt;=U$25)),MAX(0,MIN(U221-V221,$D221-(G221+K221+O221+S221))),0)</f>
        <v>0</v>
      </c>
      <c r="X221" s="69" t="n">
        <f aca="false">U221-V221-W221</f>
        <v>0</v>
      </c>
      <c r="Y221" s="69" t="n">
        <f aca="false">IF(AB220&gt;0.5,AB220*(1+Y$23)+Y$24,0)</f>
        <v>0</v>
      </c>
      <c r="Z221" s="69" t="n">
        <f aca="false">MIN(Z$23,Y221)</f>
        <v>0</v>
      </c>
      <c r="AA221" s="69" t="n">
        <f aca="false">IF(AND(Z$24=1,OR(Y$25="",$C221&gt;=Y$25)),MAX(0,MIN(Y221-Z221,$D221-(G221+K221+O221+S221+W221))),0)</f>
        <v>0</v>
      </c>
      <c r="AB221" s="69" t="n">
        <f aca="false">Y221-Z221-AA221</f>
        <v>0</v>
      </c>
      <c r="AC221" s="69" t="n">
        <f aca="false">IF(AF220&gt;0.5,AF220*(1+AC$23)+AC$24,0)</f>
        <v>0</v>
      </c>
      <c r="AD221" s="69" t="n">
        <f aca="false">MIN(AD$23,AC221)</f>
        <v>0</v>
      </c>
      <c r="AE221" s="69" t="n">
        <f aca="false">IF(AND(AD$24=1,OR(AC$25="",$C221&gt;=AC$25)),MAX(0,MIN(AC221-AD221,$D221-(G221+K221+O221+S221+W221+AA221))),0)</f>
        <v>0</v>
      </c>
      <c r="AF221" s="69" t="n">
        <f aca="false">AC221-AD221-AE221</f>
        <v>0</v>
      </c>
      <c r="AG221" s="69" t="n">
        <f aca="false">IF(AJ220&gt;0.5,AJ220*(1+AG$23)+AG$24,0)</f>
        <v>0</v>
      </c>
      <c r="AH221" s="69" t="n">
        <f aca="false">MIN(AH$23,AG221)</f>
        <v>0</v>
      </c>
      <c r="AI221" s="69" t="n">
        <f aca="false">IF(AND(AH$24=1,OR(AG$25="",$C221&gt;=AG$25)),MAX(0,MIN(AG221-AH221,$D221-(G221+K221+O221+S221+W221+AA221+AE221))),0)</f>
        <v>0</v>
      </c>
      <c r="AJ221" s="69" t="n">
        <f aca="false">AG221-AH221-AI221</f>
        <v>0</v>
      </c>
      <c r="AK221" s="69" t="n">
        <f aca="false">IF(AK220&gt;0.5,AK220*(1+$E$12)+$G$12-MIN($F$12,AK220*(1+$E$12)+$G$12),0)</f>
        <v>0</v>
      </c>
      <c r="AL221" s="69" t="n">
        <f aca="false">IF(AL220&gt;0.5,AL220*(1+$E$13)+$G$13-MIN($F$13,AL220*(1+$E$13)+$G$13),0)</f>
        <v>0</v>
      </c>
      <c r="AM221" s="69" t="n">
        <f aca="false">IF(AM220&gt;0.5,AM220*(1+$E$14)+$G$14-MIN($F$14,AM220*(1+$E$14)+$G$14),0)</f>
        <v>0</v>
      </c>
      <c r="AN221" s="69" t="n">
        <f aca="false">IF(AN220&gt;0.5,AN220*(1+$E$15)+$G$15-MIN($F$15,AN220*(1+$E$15)+$G$15),0)</f>
        <v>0</v>
      </c>
      <c r="AO221" s="69" t="n">
        <f aca="false">IF(AO220&gt;0.5,AO220*(1+$E$16)+$G$16-MIN($F$16,AO220*(1+$E$16)+$G$16),0)</f>
        <v>0</v>
      </c>
      <c r="AP221" s="69" t="n">
        <f aca="false">IF(AP220&gt;0.5,AP220*(1+$E$17)+$G$17-MIN($F$17,AP220*(1+$E$17)+$G$17),0)</f>
        <v>0</v>
      </c>
      <c r="AQ221" s="69" t="n">
        <f aca="false">IF(AQ220&gt;0.5,AQ220*(1+$E$18)+$G$18-MIN($F$18,AQ220*(1+$E$18)+$G$18),0)</f>
        <v>0</v>
      </c>
      <c r="AR221" s="69" t="n">
        <f aca="false">IF(AR220&gt;0.5,AR220*(1+$E$19)+$G$19-MIN($F$19,AR220*(1+$E$19)+$G$19),0)</f>
        <v>0</v>
      </c>
      <c r="AS221" s="69" t="n">
        <f aca="false">H221+L221+P221+T221+X221+AB221+AF221+AJ221</f>
        <v>0</v>
      </c>
      <c r="AT221" s="69" t="n">
        <f aca="false">SUM(AK221:AR221)</f>
        <v>0</v>
      </c>
      <c r="AU221" s="69" t="n">
        <f aca="false">F221+G221+J221+K221+N221+O221+R221+S221+V221+W221+Z221+AA221+AD221+AE221+AH221+AI221</f>
        <v>0</v>
      </c>
    </row>
    <row r="222" customFormat="false" ht="15" hidden="false" customHeight="false" outlineLevel="0" collapsed="false">
      <c r="B222" s="0" t="n">
        <v>195</v>
      </c>
      <c r="C222" s="68" t="n">
        <f aca="false">EDATE($C$7,194)</f>
        <v>52201</v>
      </c>
      <c r="D222" s="69" t="n">
        <f aca="false">$C$8-(F222+J222+N222+R222+V222+Z222+AD222+AH222)</f>
        <v>0</v>
      </c>
      <c r="E222" s="69" t="n">
        <f aca="false">IF(H221&gt;0.5,H221*(1+E$23)+E$24,0)</f>
        <v>0</v>
      </c>
      <c r="F222" s="69" t="n">
        <f aca="false">MIN(F$23,E222)</f>
        <v>0</v>
      </c>
      <c r="G222" s="69" t="n">
        <f aca="false">IF(AND(F$24=1,OR(E$25="",$C222&gt;=E$25)),MAX(0,MIN(E222-F222,$D222-(0))),0)</f>
        <v>0</v>
      </c>
      <c r="H222" s="69" t="n">
        <f aca="false">E222-F222-G222</f>
        <v>0</v>
      </c>
      <c r="I222" s="69" t="n">
        <f aca="false">IF(L221&gt;0.5,L221*(1+I$23)+I$24,0)</f>
        <v>0</v>
      </c>
      <c r="J222" s="69" t="n">
        <f aca="false">MIN(J$23,I222)</f>
        <v>0</v>
      </c>
      <c r="K222" s="69" t="n">
        <f aca="false">IF(AND(J$24=1,OR(I$25="",$C222&gt;=I$25)),MAX(0,MIN(I222-J222,$D222-(G222))),0)</f>
        <v>0</v>
      </c>
      <c r="L222" s="69" t="n">
        <f aca="false">I222-J222-K222</f>
        <v>0</v>
      </c>
      <c r="M222" s="69" t="n">
        <f aca="false">IF(P221&gt;0.5,P221*(1+M$23)+M$24,0)</f>
        <v>0</v>
      </c>
      <c r="N222" s="69" t="n">
        <f aca="false">MIN(N$23,M222)</f>
        <v>0</v>
      </c>
      <c r="O222" s="69" t="n">
        <f aca="false">IF(AND(N$24=1,OR(M$25="",$C222&gt;=M$25)),MAX(0,MIN(M222-N222,$D222-(G222+K222))),0)</f>
        <v>0</v>
      </c>
      <c r="P222" s="69" t="n">
        <f aca="false">M222-N222-O222</f>
        <v>0</v>
      </c>
      <c r="Q222" s="69" t="n">
        <f aca="false">IF(T221&gt;0.5,T221*(1+Q$23)+Q$24,0)</f>
        <v>0</v>
      </c>
      <c r="R222" s="69" t="n">
        <f aca="false">MIN(R$23,Q222)</f>
        <v>0</v>
      </c>
      <c r="S222" s="69" t="n">
        <f aca="false">IF(AND(R$24=1,OR(Q$25="",$C222&gt;=Q$25)),MAX(0,MIN(Q222-R222,$D222-(G222+K222+O222))),0)</f>
        <v>0</v>
      </c>
      <c r="T222" s="69" t="n">
        <f aca="false">Q222-R222-S222</f>
        <v>0</v>
      </c>
      <c r="U222" s="69" t="n">
        <f aca="false">IF(X221&gt;0.5,X221*(1+U$23)+U$24,0)</f>
        <v>0</v>
      </c>
      <c r="V222" s="69" t="n">
        <f aca="false">MIN(V$23,U222)</f>
        <v>0</v>
      </c>
      <c r="W222" s="69" t="n">
        <f aca="false">IF(AND(V$24=1,OR(U$25="",$C222&gt;=U$25)),MAX(0,MIN(U222-V222,$D222-(G222+K222+O222+S222))),0)</f>
        <v>0</v>
      </c>
      <c r="X222" s="69" t="n">
        <f aca="false">U222-V222-W222</f>
        <v>0</v>
      </c>
      <c r="Y222" s="69" t="n">
        <f aca="false">IF(AB221&gt;0.5,AB221*(1+Y$23)+Y$24,0)</f>
        <v>0</v>
      </c>
      <c r="Z222" s="69" t="n">
        <f aca="false">MIN(Z$23,Y222)</f>
        <v>0</v>
      </c>
      <c r="AA222" s="69" t="n">
        <f aca="false">IF(AND(Z$24=1,OR(Y$25="",$C222&gt;=Y$25)),MAX(0,MIN(Y222-Z222,$D222-(G222+K222+O222+S222+W222))),0)</f>
        <v>0</v>
      </c>
      <c r="AB222" s="69" t="n">
        <f aca="false">Y222-Z222-AA222</f>
        <v>0</v>
      </c>
      <c r="AC222" s="69" t="n">
        <f aca="false">IF(AF221&gt;0.5,AF221*(1+AC$23)+AC$24,0)</f>
        <v>0</v>
      </c>
      <c r="AD222" s="69" t="n">
        <f aca="false">MIN(AD$23,AC222)</f>
        <v>0</v>
      </c>
      <c r="AE222" s="69" t="n">
        <f aca="false">IF(AND(AD$24=1,OR(AC$25="",$C222&gt;=AC$25)),MAX(0,MIN(AC222-AD222,$D222-(G222+K222+O222+S222+W222+AA222))),0)</f>
        <v>0</v>
      </c>
      <c r="AF222" s="69" t="n">
        <f aca="false">AC222-AD222-AE222</f>
        <v>0</v>
      </c>
      <c r="AG222" s="69" t="n">
        <f aca="false">IF(AJ221&gt;0.5,AJ221*(1+AG$23)+AG$24,0)</f>
        <v>0</v>
      </c>
      <c r="AH222" s="69" t="n">
        <f aca="false">MIN(AH$23,AG222)</f>
        <v>0</v>
      </c>
      <c r="AI222" s="69" t="n">
        <f aca="false">IF(AND(AH$24=1,OR(AG$25="",$C222&gt;=AG$25)),MAX(0,MIN(AG222-AH222,$D222-(G222+K222+O222+S222+W222+AA222+AE222))),0)</f>
        <v>0</v>
      </c>
      <c r="AJ222" s="69" t="n">
        <f aca="false">AG222-AH222-AI222</f>
        <v>0</v>
      </c>
      <c r="AK222" s="69" t="n">
        <f aca="false">IF(AK221&gt;0.5,AK221*(1+$E$12)+$G$12-MIN($F$12,AK221*(1+$E$12)+$G$12),0)</f>
        <v>0</v>
      </c>
      <c r="AL222" s="69" t="n">
        <f aca="false">IF(AL221&gt;0.5,AL221*(1+$E$13)+$G$13-MIN($F$13,AL221*(1+$E$13)+$G$13),0)</f>
        <v>0</v>
      </c>
      <c r="AM222" s="69" t="n">
        <f aca="false">IF(AM221&gt;0.5,AM221*(1+$E$14)+$G$14-MIN($F$14,AM221*(1+$E$14)+$G$14),0)</f>
        <v>0</v>
      </c>
      <c r="AN222" s="69" t="n">
        <f aca="false">IF(AN221&gt;0.5,AN221*(1+$E$15)+$G$15-MIN($F$15,AN221*(1+$E$15)+$G$15),0)</f>
        <v>0</v>
      </c>
      <c r="AO222" s="69" t="n">
        <f aca="false">IF(AO221&gt;0.5,AO221*(1+$E$16)+$G$16-MIN($F$16,AO221*(1+$E$16)+$G$16),0)</f>
        <v>0</v>
      </c>
      <c r="AP222" s="69" t="n">
        <f aca="false">IF(AP221&gt;0.5,AP221*(1+$E$17)+$G$17-MIN($F$17,AP221*(1+$E$17)+$G$17),0)</f>
        <v>0</v>
      </c>
      <c r="AQ222" s="69" t="n">
        <f aca="false">IF(AQ221&gt;0.5,AQ221*(1+$E$18)+$G$18-MIN($F$18,AQ221*(1+$E$18)+$G$18),0)</f>
        <v>0</v>
      </c>
      <c r="AR222" s="69" t="n">
        <f aca="false">IF(AR221&gt;0.5,AR221*(1+$E$19)+$G$19-MIN($F$19,AR221*(1+$E$19)+$G$19),0)</f>
        <v>0</v>
      </c>
      <c r="AS222" s="69" t="n">
        <f aca="false">H222+L222+P222+T222+X222+AB222+AF222+AJ222</f>
        <v>0</v>
      </c>
      <c r="AT222" s="69" t="n">
        <f aca="false">SUM(AK222:AR222)</f>
        <v>0</v>
      </c>
      <c r="AU222" s="69" t="n">
        <f aca="false">F222+G222+J222+K222+N222+O222+R222+S222+V222+W222+Z222+AA222+AD222+AE222+AH222+AI222</f>
        <v>0</v>
      </c>
    </row>
    <row r="223" customFormat="false" ht="15" hidden="false" customHeight="false" outlineLevel="0" collapsed="false">
      <c r="B223" s="0" t="n">
        <v>196</v>
      </c>
      <c r="C223" s="68" t="n">
        <f aca="false">EDATE($C$7,195)</f>
        <v>52232</v>
      </c>
      <c r="D223" s="69" t="n">
        <f aca="false">$C$8-(F223+J223+N223+R223+V223+Z223+AD223+AH223)</f>
        <v>0</v>
      </c>
      <c r="E223" s="69" t="n">
        <f aca="false">IF(H222&gt;0.5,H222*(1+E$23)+E$24,0)</f>
        <v>0</v>
      </c>
      <c r="F223" s="69" t="n">
        <f aca="false">MIN(F$23,E223)</f>
        <v>0</v>
      </c>
      <c r="G223" s="69" t="n">
        <f aca="false">IF(AND(F$24=1,OR(E$25="",$C223&gt;=E$25)),MAX(0,MIN(E223-F223,$D223-(0))),0)</f>
        <v>0</v>
      </c>
      <c r="H223" s="69" t="n">
        <f aca="false">E223-F223-G223</f>
        <v>0</v>
      </c>
      <c r="I223" s="69" t="n">
        <f aca="false">IF(L222&gt;0.5,L222*(1+I$23)+I$24,0)</f>
        <v>0</v>
      </c>
      <c r="J223" s="69" t="n">
        <f aca="false">MIN(J$23,I223)</f>
        <v>0</v>
      </c>
      <c r="K223" s="69" t="n">
        <f aca="false">IF(AND(J$24=1,OR(I$25="",$C223&gt;=I$25)),MAX(0,MIN(I223-J223,$D223-(G223))),0)</f>
        <v>0</v>
      </c>
      <c r="L223" s="69" t="n">
        <f aca="false">I223-J223-K223</f>
        <v>0</v>
      </c>
      <c r="M223" s="69" t="n">
        <f aca="false">IF(P222&gt;0.5,P222*(1+M$23)+M$24,0)</f>
        <v>0</v>
      </c>
      <c r="N223" s="69" t="n">
        <f aca="false">MIN(N$23,M223)</f>
        <v>0</v>
      </c>
      <c r="O223" s="69" t="n">
        <f aca="false">IF(AND(N$24=1,OR(M$25="",$C223&gt;=M$25)),MAX(0,MIN(M223-N223,$D223-(G223+K223))),0)</f>
        <v>0</v>
      </c>
      <c r="P223" s="69" t="n">
        <f aca="false">M223-N223-O223</f>
        <v>0</v>
      </c>
      <c r="Q223" s="69" t="n">
        <f aca="false">IF(T222&gt;0.5,T222*(1+Q$23)+Q$24,0)</f>
        <v>0</v>
      </c>
      <c r="R223" s="69" t="n">
        <f aca="false">MIN(R$23,Q223)</f>
        <v>0</v>
      </c>
      <c r="S223" s="69" t="n">
        <f aca="false">IF(AND(R$24=1,OR(Q$25="",$C223&gt;=Q$25)),MAX(0,MIN(Q223-R223,$D223-(G223+K223+O223))),0)</f>
        <v>0</v>
      </c>
      <c r="T223" s="69" t="n">
        <f aca="false">Q223-R223-S223</f>
        <v>0</v>
      </c>
      <c r="U223" s="69" t="n">
        <f aca="false">IF(X222&gt;0.5,X222*(1+U$23)+U$24,0)</f>
        <v>0</v>
      </c>
      <c r="V223" s="69" t="n">
        <f aca="false">MIN(V$23,U223)</f>
        <v>0</v>
      </c>
      <c r="W223" s="69" t="n">
        <f aca="false">IF(AND(V$24=1,OR(U$25="",$C223&gt;=U$25)),MAX(0,MIN(U223-V223,$D223-(G223+K223+O223+S223))),0)</f>
        <v>0</v>
      </c>
      <c r="X223" s="69" t="n">
        <f aca="false">U223-V223-W223</f>
        <v>0</v>
      </c>
      <c r="Y223" s="69" t="n">
        <f aca="false">IF(AB222&gt;0.5,AB222*(1+Y$23)+Y$24,0)</f>
        <v>0</v>
      </c>
      <c r="Z223" s="69" t="n">
        <f aca="false">MIN(Z$23,Y223)</f>
        <v>0</v>
      </c>
      <c r="AA223" s="69" t="n">
        <f aca="false">IF(AND(Z$24=1,OR(Y$25="",$C223&gt;=Y$25)),MAX(0,MIN(Y223-Z223,$D223-(G223+K223+O223+S223+W223))),0)</f>
        <v>0</v>
      </c>
      <c r="AB223" s="69" t="n">
        <f aca="false">Y223-Z223-AA223</f>
        <v>0</v>
      </c>
      <c r="AC223" s="69" t="n">
        <f aca="false">IF(AF222&gt;0.5,AF222*(1+AC$23)+AC$24,0)</f>
        <v>0</v>
      </c>
      <c r="AD223" s="69" t="n">
        <f aca="false">MIN(AD$23,AC223)</f>
        <v>0</v>
      </c>
      <c r="AE223" s="69" t="n">
        <f aca="false">IF(AND(AD$24=1,OR(AC$25="",$C223&gt;=AC$25)),MAX(0,MIN(AC223-AD223,$D223-(G223+K223+O223+S223+W223+AA223))),0)</f>
        <v>0</v>
      </c>
      <c r="AF223" s="69" t="n">
        <f aca="false">AC223-AD223-AE223</f>
        <v>0</v>
      </c>
      <c r="AG223" s="69" t="n">
        <f aca="false">IF(AJ222&gt;0.5,AJ222*(1+AG$23)+AG$24,0)</f>
        <v>0</v>
      </c>
      <c r="AH223" s="69" t="n">
        <f aca="false">MIN(AH$23,AG223)</f>
        <v>0</v>
      </c>
      <c r="AI223" s="69" t="n">
        <f aca="false">IF(AND(AH$24=1,OR(AG$25="",$C223&gt;=AG$25)),MAX(0,MIN(AG223-AH223,$D223-(G223+K223+O223+S223+W223+AA223+AE223))),0)</f>
        <v>0</v>
      </c>
      <c r="AJ223" s="69" t="n">
        <f aca="false">AG223-AH223-AI223</f>
        <v>0</v>
      </c>
      <c r="AK223" s="69" t="n">
        <f aca="false">IF(AK222&gt;0.5,AK222*(1+$E$12)+$G$12-MIN($F$12,AK222*(1+$E$12)+$G$12),0)</f>
        <v>0</v>
      </c>
      <c r="AL223" s="69" t="n">
        <f aca="false">IF(AL222&gt;0.5,AL222*(1+$E$13)+$G$13-MIN($F$13,AL222*(1+$E$13)+$G$13),0)</f>
        <v>0</v>
      </c>
      <c r="AM223" s="69" t="n">
        <f aca="false">IF(AM222&gt;0.5,AM222*(1+$E$14)+$G$14-MIN($F$14,AM222*(1+$E$14)+$G$14),0)</f>
        <v>0</v>
      </c>
      <c r="AN223" s="69" t="n">
        <f aca="false">IF(AN222&gt;0.5,AN222*(1+$E$15)+$G$15-MIN($F$15,AN222*(1+$E$15)+$G$15),0)</f>
        <v>0</v>
      </c>
      <c r="AO223" s="69" t="n">
        <f aca="false">IF(AO222&gt;0.5,AO222*(1+$E$16)+$G$16-MIN($F$16,AO222*(1+$E$16)+$G$16),0)</f>
        <v>0</v>
      </c>
      <c r="AP223" s="69" t="n">
        <f aca="false">IF(AP222&gt;0.5,AP222*(1+$E$17)+$G$17-MIN($F$17,AP222*(1+$E$17)+$G$17),0)</f>
        <v>0</v>
      </c>
      <c r="AQ223" s="69" t="n">
        <f aca="false">IF(AQ222&gt;0.5,AQ222*(1+$E$18)+$G$18-MIN($F$18,AQ222*(1+$E$18)+$G$18),0)</f>
        <v>0</v>
      </c>
      <c r="AR223" s="69" t="n">
        <f aca="false">IF(AR222&gt;0.5,AR222*(1+$E$19)+$G$19-MIN($F$19,AR222*(1+$E$19)+$G$19),0)</f>
        <v>0</v>
      </c>
      <c r="AS223" s="69" t="n">
        <f aca="false">H223+L223+P223+T223+X223+AB223+AF223+AJ223</f>
        <v>0</v>
      </c>
      <c r="AT223" s="69" t="n">
        <f aca="false">SUM(AK223:AR223)</f>
        <v>0</v>
      </c>
      <c r="AU223" s="69" t="n">
        <f aca="false">F223+G223+J223+K223+N223+O223+R223+S223+V223+W223+Z223+AA223+AD223+AE223+AH223+AI223</f>
        <v>0</v>
      </c>
    </row>
    <row r="224" customFormat="false" ht="15" hidden="false" customHeight="false" outlineLevel="0" collapsed="false">
      <c r="B224" s="0" t="n">
        <v>197</v>
      </c>
      <c r="C224" s="68" t="n">
        <f aca="false">EDATE($C$7,196)</f>
        <v>52263</v>
      </c>
      <c r="D224" s="69" t="n">
        <f aca="false">$C$8-(F224+J224+N224+R224+V224+Z224+AD224+AH224)</f>
        <v>0</v>
      </c>
      <c r="E224" s="69" t="n">
        <f aca="false">IF(H223&gt;0.5,H223*(1+E$23)+E$24,0)</f>
        <v>0</v>
      </c>
      <c r="F224" s="69" t="n">
        <f aca="false">MIN(F$23,E224)</f>
        <v>0</v>
      </c>
      <c r="G224" s="69" t="n">
        <f aca="false">IF(AND(F$24=1,OR(E$25="",$C224&gt;=E$25)),MAX(0,MIN(E224-F224,$D224-(0))),0)</f>
        <v>0</v>
      </c>
      <c r="H224" s="69" t="n">
        <f aca="false">E224-F224-G224</f>
        <v>0</v>
      </c>
      <c r="I224" s="69" t="n">
        <f aca="false">IF(L223&gt;0.5,L223*(1+I$23)+I$24,0)</f>
        <v>0</v>
      </c>
      <c r="J224" s="69" t="n">
        <f aca="false">MIN(J$23,I224)</f>
        <v>0</v>
      </c>
      <c r="K224" s="69" t="n">
        <f aca="false">IF(AND(J$24=1,OR(I$25="",$C224&gt;=I$25)),MAX(0,MIN(I224-J224,$D224-(G224))),0)</f>
        <v>0</v>
      </c>
      <c r="L224" s="69" t="n">
        <f aca="false">I224-J224-K224</f>
        <v>0</v>
      </c>
      <c r="M224" s="69" t="n">
        <f aca="false">IF(P223&gt;0.5,P223*(1+M$23)+M$24,0)</f>
        <v>0</v>
      </c>
      <c r="N224" s="69" t="n">
        <f aca="false">MIN(N$23,M224)</f>
        <v>0</v>
      </c>
      <c r="O224" s="69" t="n">
        <f aca="false">IF(AND(N$24=1,OR(M$25="",$C224&gt;=M$25)),MAX(0,MIN(M224-N224,$D224-(G224+K224))),0)</f>
        <v>0</v>
      </c>
      <c r="P224" s="69" t="n">
        <f aca="false">M224-N224-O224</f>
        <v>0</v>
      </c>
      <c r="Q224" s="69" t="n">
        <f aca="false">IF(T223&gt;0.5,T223*(1+Q$23)+Q$24,0)</f>
        <v>0</v>
      </c>
      <c r="R224" s="69" t="n">
        <f aca="false">MIN(R$23,Q224)</f>
        <v>0</v>
      </c>
      <c r="S224" s="69" t="n">
        <f aca="false">IF(AND(R$24=1,OR(Q$25="",$C224&gt;=Q$25)),MAX(0,MIN(Q224-R224,$D224-(G224+K224+O224))),0)</f>
        <v>0</v>
      </c>
      <c r="T224" s="69" t="n">
        <f aca="false">Q224-R224-S224</f>
        <v>0</v>
      </c>
      <c r="U224" s="69" t="n">
        <f aca="false">IF(X223&gt;0.5,X223*(1+U$23)+U$24,0)</f>
        <v>0</v>
      </c>
      <c r="V224" s="69" t="n">
        <f aca="false">MIN(V$23,U224)</f>
        <v>0</v>
      </c>
      <c r="W224" s="69" t="n">
        <f aca="false">IF(AND(V$24=1,OR(U$25="",$C224&gt;=U$25)),MAX(0,MIN(U224-V224,$D224-(G224+K224+O224+S224))),0)</f>
        <v>0</v>
      </c>
      <c r="X224" s="69" t="n">
        <f aca="false">U224-V224-W224</f>
        <v>0</v>
      </c>
      <c r="Y224" s="69" t="n">
        <f aca="false">IF(AB223&gt;0.5,AB223*(1+Y$23)+Y$24,0)</f>
        <v>0</v>
      </c>
      <c r="Z224" s="69" t="n">
        <f aca="false">MIN(Z$23,Y224)</f>
        <v>0</v>
      </c>
      <c r="AA224" s="69" t="n">
        <f aca="false">IF(AND(Z$24=1,OR(Y$25="",$C224&gt;=Y$25)),MAX(0,MIN(Y224-Z224,$D224-(G224+K224+O224+S224+W224))),0)</f>
        <v>0</v>
      </c>
      <c r="AB224" s="69" t="n">
        <f aca="false">Y224-Z224-AA224</f>
        <v>0</v>
      </c>
      <c r="AC224" s="69" t="n">
        <f aca="false">IF(AF223&gt;0.5,AF223*(1+AC$23)+AC$24,0)</f>
        <v>0</v>
      </c>
      <c r="AD224" s="69" t="n">
        <f aca="false">MIN(AD$23,AC224)</f>
        <v>0</v>
      </c>
      <c r="AE224" s="69" t="n">
        <f aca="false">IF(AND(AD$24=1,OR(AC$25="",$C224&gt;=AC$25)),MAX(0,MIN(AC224-AD224,$D224-(G224+K224+O224+S224+W224+AA224))),0)</f>
        <v>0</v>
      </c>
      <c r="AF224" s="69" t="n">
        <f aca="false">AC224-AD224-AE224</f>
        <v>0</v>
      </c>
      <c r="AG224" s="69" t="n">
        <f aca="false">IF(AJ223&gt;0.5,AJ223*(1+AG$23)+AG$24,0)</f>
        <v>0</v>
      </c>
      <c r="AH224" s="69" t="n">
        <f aca="false">MIN(AH$23,AG224)</f>
        <v>0</v>
      </c>
      <c r="AI224" s="69" t="n">
        <f aca="false">IF(AND(AH$24=1,OR(AG$25="",$C224&gt;=AG$25)),MAX(0,MIN(AG224-AH224,$D224-(G224+K224+O224+S224+W224+AA224+AE224))),0)</f>
        <v>0</v>
      </c>
      <c r="AJ224" s="69" t="n">
        <f aca="false">AG224-AH224-AI224</f>
        <v>0</v>
      </c>
      <c r="AK224" s="69" t="n">
        <f aca="false">IF(AK223&gt;0.5,AK223*(1+$E$12)+$G$12-MIN($F$12,AK223*(1+$E$12)+$G$12),0)</f>
        <v>0</v>
      </c>
      <c r="AL224" s="69" t="n">
        <f aca="false">IF(AL223&gt;0.5,AL223*(1+$E$13)+$G$13-MIN($F$13,AL223*(1+$E$13)+$G$13),0)</f>
        <v>0</v>
      </c>
      <c r="AM224" s="69" t="n">
        <f aca="false">IF(AM223&gt;0.5,AM223*(1+$E$14)+$G$14-MIN($F$14,AM223*(1+$E$14)+$G$14),0)</f>
        <v>0</v>
      </c>
      <c r="AN224" s="69" t="n">
        <f aca="false">IF(AN223&gt;0.5,AN223*(1+$E$15)+$G$15-MIN($F$15,AN223*(1+$E$15)+$G$15),0)</f>
        <v>0</v>
      </c>
      <c r="AO224" s="69" t="n">
        <f aca="false">IF(AO223&gt;0.5,AO223*(1+$E$16)+$G$16-MIN($F$16,AO223*(1+$E$16)+$G$16),0)</f>
        <v>0</v>
      </c>
      <c r="AP224" s="69" t="n">
        <f aca="false">IF(AP223&gt;0.5,AP223*(1+$E$17)+$G$17-MIN($F$17,AP223*(1+$E$17)+$G$17),0)</f>
        <v>0</v>
      </c>
      <c r="AQ224" s="69" t="n">
        <f aca="false">IF(AQ223&gt;0.5,AQ223*(1+$E$18)+$G$18-MIN($F$18,AQ223*(1+$E$18)+$G$18),0)</f>
        <v>0</v>
      </c>
      <c r="AR224" s="69" t="n">
        <f aca="false">IF(AR223&gt;0.5,AR223*(1+$E$19)+$G$19-MIN($F$19,AR223*(1+$E$19)+$G$19),0)</f>
        <v>0</v>
      </c>
      <c r="AS224" s="69" t="n">
        <f aca="false">H224+L224+P224+T224+X224+AB224+AF224+AJ224</f>
        <v>0</v>
      </c>
      <c r="AT224" s="69" t="n">
        <f aca="false">SUM(AK224:AR224)</f>
        <v>0</v>
      </c>
      <c r="AU224" s="69" t="n">
        <f aca="false">F224+G224+J224+K224+N224+O224+R224+S224+V224+W224+Z224+AA224+AD224+AE224+AH224+AI224</f>
        <v>0</v>
      </c>
    </row>
    <row r="225" customFormat="false" ht="15" hidden="false" customHeight="false" outlineLevel="0" collapsed="false">
      <c r="B225" s="0" t="n">
        <v>198</v>
      </c>
      <c r="C225" s="68" t="n">
        <f aca="false">EDATE($C$7,197)</f>
        <v>52291</v>
      </c>
      <c r="D225" s="69" t="n">
        <f aca="false">$C$8-(F225+J225+N225+R225+V225+Z225+AD225+AH225)</f>
        <v>0</v>
      </c>
      <c r="E225" s="69" t="n">
        <f aca="false">IF(H224&gt;0.5,H224*(1+E$23)+E$24,0)</f>
        <v>0</v>
      </c>
      <c r="F225" s="69" t="n">
        <f aca="false">MIN(F$23,E225)</f>
        <v>0</v>
      </c>
      <c r="G225" s="69" t="n">
        <f aca="false">IF(AND(F$24=1,OR(E$25="",$C225&gt;=E$25)),MAX(0,MIN(E225-F225,$D225-(0))),0)</f>
        <v>0</v>
      </c>
      <c r="H225" s="69" t="n">
        <f aca="false">E225-F225-G225</f>
        <v>0</v>
      </c>
      <c r="I225" s="69" t="n">
        <f aca="false">IF(L224&gt;0.5,L224*(1+I$23)+I$24,0)</f>
        <v>0</v>
      </c>
      <c r="J225" s="69" t="n">
        <f aca="false">MIN(J$23,I225)</f>
        <v>0</v>
      </c>
      <c r="K225" s="69" t="n">
        <f aca="false">IF(AND(J$24=1,OR(I$25="",$C225&gt;=I$25)),MAX(0,MIN(I225-J225,$D225-(G225))),0)</f>
        <v>0</v>
      </c>
      <c r="L225" s="69" t="n">
        <f aca="false">I225-J225-K225</f>
        <v>0</v>
      </c>
      <c r="M225" s="69" t="n">
        <f aca="false">IF(P224&gt;0.5,P224*(1+M$23)+M$24,0)</f>
        <v>0</v>
      </c>
      <c r="N225" s="69" t="n">
        <f aca="false">MIN(N$23,M225)</f>
        <v>0</v>
      </c>
      <c r="O225" s="69" t="n">
        <f aca="false">IF(AND(N$24=1,OR(M$25="",$C225&gt;=M$25)),MAX(0,MIN(M225-N225,$D225-(G225+K225))),0)</f>
        <v>0</v>
      </c>
      <c r="P225" s="69" t="n">
        <f aca="false">M225-N225-O225</f>
        <v>0</v>
      </c>
      <c r="Q225" s="69" t="n">
        <f aca="false">IF(T224&gt;0.5,T224*(1+Q$23)+Q$24,0)</f>
        <v>0</v>
      </c>
      <c r="R225" s="69" t="n">
        <f aca="false">MIN(R$23,Q225)</f>
        <v>0</v>
      </c>
      <c r="S225" s="69" t="n">
        <f aca="false">IF(AND(R$24=1,OR(Q$25="",$C225&gt;=Q$25)),MAX(0,MIN(Q225-R225,$D225-(G225+K225+O225))),0)</f>
        <v>0</v>
      </c>
      <c r="T225" s="69" t="n">
        <f aca="false">Q225-R225-S225</f>
        <v>0</v>
      </c>
      <c r="U225" s="69" t="n">
        <f aca="false">IF(X224&gt;0.5,X224*(1+U$23)+U$24,0)</f>
        <v>0</v>
      </c>
      <c r="V225" s="69" t="n">
        <f aca="false">MIN(V$23,U225)</f>
        <v>0</v>
      </c>
      <c r="W225" s="69" t="n">
        <f aca="false">IF(AND(V$24=1,OR(U$25="",$C225&gt;=U$25)),MAX(0,MIN(U225-V225,$D225-(G225+K225+O225+S225))),0)</f>
        <v>0</v>
      </c>
      <c r="X225" s="69" t="n">
        <f aca="false">U225-V225-W225</f>
        <v>0</v>
      </c>
      <c r="Y225" s="69" t="n">
        <f aca="false">IF(AB224&gt;0.5,AB224*(1+Y$23)+Y$24,0)</f>
        <v>0</v>
      </c>
      <c r="Z225" s="69" t="n">
        <f aca="false">MIN(Z$23,Y225)</f>
        <v>0</v>
      </c>
      <c r="AA225" s="69" t="n">
        <f aca="false">IF(AND(Z$24=1,OR(Y$25="",$C225&gt;=Y$25)),MAX(0,MIN(Y225-Z225,$D225-(G225+K225+O225+S225+W225))),0)</f>
        <v>0</v>
      </c>
      <c r="AB225" s="69" t="n">
        <f aca="false">Y225-Z225-AA225</f>
        <v>0</v>
      </c>
      <c r="AC225" s="69" t="n">
        <f aca="false">IF(AF224&gt;0.5,AF224*(1+AC$23)+AC$24,0)</f>
        <v>0</v>
      </c>
      <c r="AD225" s="69" t="n">
        <f aca="false">MIN(AD$23,AC225)</f>
        <v>0</v>
      </c>
      <c r="AE225" s="69" t="n">
        <f aca="false">IF(AND(AD$24=1,OR(AC$25="",$C225&gt;=AC$25)),MAX(0,MIN(AC225-AD225,$D225-(G225+K225+O225+S225+W225+AA225))),0)</f>
        <v>0</v>
      </c>
      <c r="AF225" s="69" t="n">
        <f aca="false">AC225-AD225-AE225</f>
        <v>0</v>
      </c>
      <c r="AG225" s="69" t="n">
        <f aca="false">IF(AJ224&gt;0.5,AJ224*(1+AG$23)+AG$24,0)</f>
        <v>0</v>
      </c>
      <c r="AH225" s="69" t="n">
        <f aca="false">MIN(AH$23,AG225)</f>
        <v>0</v>
      </c>
      <c r="AI225" s="69" t="n">
        <f aca="false">IF(AND(AH$24=1,OR(AG$25="",$C225&gt;=AG$25)),MAX(0,MIN(AG225-AH225,$D225-(G225+K225+O225+S225+W225+AA225+AE225))),0)</f>
        <v>0</v>
      </c>
      <c r="AJ225" s="69" t="n">
        <f aca="false">AG225-AH225-AI225</f>
        <v>0</v>
      </c>
      <c r="AK225" s="69" t="n">
        <f aca="false">IF(AK224&gt;0.5,AK224*(1+$E$12)+$G$12-MIN($F$12,AK224*(1+$E$12)+$G$12),0)</f>
        <v>0</v>
      </c>
      <c r="AL225" s="69" t="n">
        <f aca="false">IF(AL224&gt;0.5,AL224*(1+$E$13)+$G$13-MIN($F$13,AL224*(1+$E$13)+$G$13),0)</f>
        <v>0</v>
      </c>
      <c r="AM225" s="69" t="n">
        <f aca="false">IF(AM224&gt;0.5,AM224*(1+$E$14)+$G$14-MIN($F$14,AM224*(1+$E$14)+$G$14),0)</f>
        <v>0</v>
      </c>
      <c r="AN225" s="69" t="n">
        <f aca="false">IF(AN224&gt;0.5,AN224*(1+$E$15)+$G$15-MIN($F$15,AN224*(1+$E$15)+$G$15),0)</f>
        <v>0</v>
      </c>
      <c r="AO225" s="69" t="n">
        <f aca="false">IF(AO224&gt;0.5,AO224*(1+$E$16)+$G$16-MIN($F$16,AO224*(1+$E$16)+$G$16),0)</f>
        <v>0</v>
      </c>
      <c r="AP225" s="69" t="n">
        <f aca="false">IF(AP224&gt;0.5,AP224*(1+$E$17)+$G$17-MIN($F$17,AP224*(1+$E$17)+$G$17),0)</f>
        <v>0</v>
      </c>
      <c r="AQ225" s="69" t="n">
        <f aca="false">IF(AQ224&gt;0.5,AQ224*(1+$E$18)+$G$18-MIN($F$18,AQ224*(1+$E$18)+$G$18),0)</f>
        <v>0</v>
      </c>
      <c r="AR225" s="69" t="n">
        <f aca="false">IF(AR224&gt;0.5,AR224*(1+$E$19)+$G$19-MIN($F$19,AR224*(1+$E$19)+$G$19),0)</f>
        <v>0</v>
      </c>
      <c r="AS225" s="69" t="n">
        <f aca="false">H225+L225+P225+T225+X225+AB225+AF225+AJ225</f>
        <v>0</v>
      </c>
      <c r="AT225" s="69" t="n">
        <f aca="false">SUM(AK225:AR225)</f>
        <v>0</v>
      </c>
      <c r="AU225" s="69" t="n">
        <f aca="false">F225+G225+J225+K225+N225+O225+R225+S225+V225+W225+Z225+AA225+AD225+AE225+AH225+AI225</f>
        <v>0</v>
      </c>
    </row>
    <row r="226" customFormat="false" ht="15" hidden="false" customHeight="false" outlineLevel="0" collapsed="false">
      <c r="B226" s="0" t="n">
        <v>199</v>
      </c>
      <c r="C226" s="68" t="n">
        <f aca="false">EDATE($C$7,198)</f>
        <v>52322</v>
      </c>
      <c r="D226" s="69" t="n">
        <f aca="false">$C$8-(F226+J226+N226+R226+V226+Z226+AD226+AH226)</f>
        <v>0</v>
      </c>
      <c r="E226" s="69" t="n">
        <f aca="false">IF(H225&gt;0.5,H225*(1+E$23)+E$24,0)</f>
        <v>0</v>
      </c>
      <c r="F226" s="69" t="n">
        <f aca="false">MIN(F$23,E226)</f>
        <v>0</v>
      </c>
      <c r="G226" s="69" t="n">
        <f aca="false">IF(AND(F$24=1,OR(E$25="",$C226&gt;=E$25)),MAX(0,MIN(E226-F226,$D226-(0))),0)</f>
        <v>0</v>
      </c>
      <c r="H226" s="69" t="n">
        <f aca="false">E226-F226-G226</f>
        <v>0</v>
      </c>
      <c r="I226" s="69" t="n">
        <f aca="false">IF(L225&gt;0.5,L225*(1+I$23)+I$24,0)</f>
        <v>0</v>
      </c>
      <c r="J226" s="69" t="n">
        <f aca="false">MIN(J$23,I226)</f>
        <v>0</v>
      </c>
      <c r="K226" s="69" t="n">
        <f aca="false">IF(AND(J$24=1,OR(I$25="",$C226&gt;=I$25)),MAX(0,MIN(I226-J226,$D226-(G226))),0)</f>
        <v>0</v>
      </c>
      <c r="L226" s="69" t="n">
        <f aca="false">I226-J226-K226</f>
        <v>0</v>
      </c>
      <c r="M226" s="69" t="n">
        <f aca="false">IF(P225&gt;0.5,P225*(1+M$23)+M$24,0)</f>
        <v>0</v>
      </c>
      <c r="N226" s="69" t="n">
        <f aca="false">MIN(N$23,M226)</f>
        <v>0</v>
      </c>
      <c r="O226" s="69" t="n">
        <f aca="false">IF(AND(N$24=1,OR(M$25="",$C226&gt;=M$25)),MAX(0,MIN(M226-N226,$D226-(G226+K226))),0)</f>
        <v>0</v>
      </c>
      <c r="P226" s="69" t="n">
        <f aca="false">M226-N226-O226</f>
        <v>0</v>
      </c>
      <c r="Q226" s="69" t="n">
        <f aca="false">IF(T225&gt;0.5,T225*(1+Q$23)+Q$24,0)</f>
        <v>0</v>
      </c>
      <c r="R226" s="69" t="n">
        <f aca="false">MIN(R$23,Q226)</f>
        <v>0</v>
      </c>
      <c r="S226" s="69" t="n">
        <f aca="false">IF(AND(R$24=1,OR(Q$25="",$C226&gt;=Q$25)),MAX(0,MIN(Q226-R226,$D226-(G226+K226+O226))),0)</f>
        <v>0</v>
      </c>
      <c r="T226" s="69" t="n">
        <f aca="false">Q226-R226-S226</f>
        <v>0</v>
      </c>
      <c r="U226" s="69" t="n">
        <f aca="false">IF(X225&gt;0.5,X225*(1+U$23)+U$24,0)</f>
        <v>0</v>
      </c>
      <c r="V226" s="69" t="n">
        <f aca="false">MIN(V$23,U226)</f>
        <v>0</v>
      </c>
      <c r="W226" s="69" t="n">
        <f aca="false">IF(AND(V$24=1,OR(U$25="",$C226&gt;=U$25)),MAX(0,MIN(U226-V226,$D226-(G226+K226+O226+S226))),0)</f>
        <v>0</v>
      </c>
      <c r="X226" s="69" t="n">
        <f aca="false">U226-V226-W226</f>
        <v>0</v>
      </c>
      <c r="Y226" s="69" t="n">
        <f aca="false">IF(AB225&gt;0.5,AB225*(1+Y$23)+Y$24,0)</f>
        <v>0</v>
      </c>
      <c r="Z226" s="69" t="n">
        <f aca="false">MIN(Z$23,Y226)</f>
        <v>0</v>
      </c>
      <c r="AA226" s="69" t="n">
        <f aca="false">IF(AND(Z$24=1,OR(Y$25="",$C226&gt;=Y$25)),MAX(0,MIN(Y226-Z226,$D226-(G226+K226+O226+S226+W226))),0)</f>
        <v>0</v>
      </c>
      <c r="AB226" s="69" t="n">
        <f aca="false">Y226-Z226-AA226</f>
        <v>0</v>
      </c>
      <c r="AC226" s="69" t="n">
        <f aca="false">IF(AF225&gt;0.5,AF225*(1+AC$23)+AC$24,0)</f>
        <v>0</v>
      </c>
      <c r="AD226" s="69" t="n">
        <f aca="false">MIN(AD$23,AC226)</f>
        <v>0</v>
      </c>
      <c r="AE226" s="69" t="n">
        <f aca="false">IF(AND(AD$24=1,OR(AC$25="",$C226&gt;=AC$25)),MAX(0,MIN(AC226-AD226,$D226-(G226+K226+O226+S226+W226+AA226))),0)</f>
        <v>0</v>
      </c>
      <c r="AF226" s="69" t="n">
        <f aca="false">AC226-AD226-AE226</f>
        <v>0</v>
      </c>
      <c r="AG226" s="69" t="n">
        <f aca="false">IF(AJ225&gt;0.5,AJ225*(1+AG$23)+AG$24,0)</f>
        <v>0</v>
      </c>
      <c r="AH226" s="69" t="n">
        <f aca="false">MIN(AH$23,AG226)</f>
        <v>0</v>
      </c>
      <c r="AI226" s="69" t="n">
        <f aca="false">IF(AND(AH$24=1,OR(AG$25="",$C226&gt;=AG$25)),MAX(0,MIN(AG226-AH226,$D226-(G226+K226+O226+S226+W226+AA226+AE226))),0)</f>
        <v>0</v>
      </c>
      <c r="AJ226" s="69" t="n">
        <f aca="false">AG226-AH226-AI226</f>
        <v>0</v>
      </c>
      <c r="AK226" s="69" t="n">
        <f aca="false">IF(AK225&gt;0.5,AK225*(1+$E$12)+$G$12-MIN($F$12,AK225*(1+$E$12)+$G$12),0)</f>
        <v>0</v>
      </c>
      <c r="AL226" s="69" t="n">
        <f aca="false">IF(AL225&gt;0.5,AL225*(1+$E$13)+$G$13-MIN($F$13,AL225*(1+$E$13)+$G$13),0)</f>
        <v>0</v>
      </c>
      <c r="AM226" s="69" t="n">
        <f aca="false">IF(AM225&gt;0.5,AM225*(1+$E$14)+$G$14-MIN($F$14,AM225*(1+$E$14)+$G$14),0)</f>
        <v>0</v>
      </c>
      <c r="AN226" s="69" t="n">
        <f aca="false">IF(AN225&gt;0.5,AN225*(1+$E$15)+$G$15-MIN($F$15,AN225*(1+$E$15)+$G$15),0)</f>
        <v>0</v>
      </c>
      <c r="AO226" s="69" t="n">
        <f aca="false">IF(AO225&gt;0.5,AO225*(1+$E$16)+$G$16-MIN($F$16,AO225*(1+$E$16)+$G$16),0)</f>
        <v>0</v>
      </c>
      <c r="AP226" s="69" t="n">
        <f aca="false">IF(AP225&gt;0.5,AP225*(1+$E$17)+$G$17-MIN($F$17,AP225*(1+$E$17)+$G$17),0)</f>
        <v>0</v>
      </c>
      <c r="AQ226" s="69" t="n">
        <f aca="false">IF(AQ225&gt;0.5,AQ225*(1+$E$18)+$G$18-MIN($F$18,AQ225*(1+$E$18)+$G$18),0)</f>
        <v>0</v>
      </c>
      <c r="AR226" s="69" t="n">
        <f aca="false">IF(AR225&gt;0.5,AR225*(1+$E$19)+$G$19-MIN($F$19,AR225*(1+$E$19)+$G$19),0)</f>
        <v>0</v>
      </c>
      <c r="AS226" s="69" t="n">
        <f aca="false">H226+L226+P226+T226+X226+AB226+AF226+AJ226</f>
        <v>0</v>
      </c>
      <c r="AT226" s="69" t="n">
        <f aca="false">SUM(AK226:AR226)</f>
        <v>0</v>
      </c>
      <c r="AU226" s="69" t="n">
        <f aca="false">F226+G226+J226+K226+N226+O226+R226+S226+V226+W226+Z226+AA226+AD226+AE226+AH226+AI226</f>
        <v>0</v>
      </c>
    </row>
    <row r="227" customFormat="false" ht="15" hidden="false" customHeight="false" outlineLevel="0" collapsed="false">
      <c r="B227" s="0" t="n">
        <v>200</v>
      </c>
      <c r="C227" s="68" t="n">
        <f aca="false">EDATE($C$7,199)</f>
        <v>52352</v>
      </c>
      <c r="D227" s="69" t="n">
        <f aca="false">$C$8-(F227+J227+N227+R227+V227+Z227+AD227+AH227)</f>
        <v>0</v>
      </c>
      <c r="E227" s="69" t="n">
        <f aca="false">IF(H226&gt;0.5,H226*(1+E$23)+E$24,0)</f>
        <v>0</v>
      </c>
      <c r="F227" s="69" t="n">
        <f aca="false">MIN(F$23,E227)</f>
        <v>0</v>
      </c>
      <c r="G227" s="69" t="n">
        <f aca="false">IF(AND(F$24=1,OR(E$25="",$C227&gt;=E$25)),MAX(0,MIN(E227-F227,$D227-(0))),0)</f>
        <v>0</v>
      </c>
      <c r="H227" s="69" t="n">
        <f aca="false">E227-F227-G227</f>
        <v>0</v>
      </c>
      <c r="I227" s="69" t="n">
        <f aca="false">IF(L226&gt;0.5,L226*(1+I$23)+I$24,0)</f>
        <v>0</v>
      </c>
      <c r="J227" s="69" t="n">
        <f aca="false">MIN(J$23,I227)</f>
        <v>0</v>
      </c>
      <c r="K227" s="69" t="n">
        <f aca="false">IF(AND(J$24=1,OR(I$25="",$C227&gt;=I$25)),MAX(0,MIN(I227-J227,$D227-(G227))),0)</f>
        <v>0</v>
      </c>
      <c r="L227" s="69" t="n">
        <f aca="false">I227-J227-K227</f>
        <v>0</v>
      </c>
      <c r="M227" s="69" t="n">
        <f aca="false">IF(P226&gt;0.5,P226*(1+M$23)+M$24,0)</f>
        <v>0</v>
      </c>
      <c r="N227" s="69" t="n">
        <f aca="false">MIN(N$23,M227)</f>
        <v>0</v>
      </c>
      <c r="O227" s="69" t="n">
        <f aca="false">IF(AND(N$24=1,OR(M$25="",$C227&gt;=M$25)),MAX(0,MIN(M227-N227,$D227-(G227+K227))),0)</f>
        <v>0</v>
      </c>
      <c r="P227" s="69" t="n">
        <f aca="false">M227-N227-O227</f>
        <v>0</v>
      </c>
      <c r="Q227" s="69" t="n">
        <f aca="false">IF(T226&gt;0.5,T226*(1+Q$23)+Q$24,0)</f>
        <v>0</v>
      </c>
      <c r="R227" s="69" t="n">
        <f aca="false">MIN(R$23,Q227)</f>
        <v>0</v>
      </c>
      <c r="S227" s="69" t="n">
        <f aca="false">IF(AND(R$24=1,OR(Q$25="",$C227&gt;=Q$25)),MAX(0,MIN(Q227-R227,$D227-(G227+K227+O227))),0)</f>
        <v>0</v>
      </c>
      <c r="T227" s="69" t="n">
        <f aca="false">Q227-R227-S227</f>
        <v>0</v>
      </c>
      <c r="U227" s="69" t="n">
        <f aca="false">IF(X226&gt;0.5,X226*(1+U$23)+U$24,0)</f>
        <v>0</v>
      </c>
      <c r="V227" s="69" t="n">
        <f aca="false">MIN(V$23,U227)</f>
        <v>0</v>
      </c>
      <c r="W227" s="69" t="n">
        <f aca="false">IF(AND(V$24=1,OR(U$25="",$C227&gt;=U$25)),MAX(0,MIN(U227-V227,$D227-(G227+K227+O227+S227))),0)</f>
        <v>0</v>
      </c>
      <c r="X227" s="69" t="n">
        <f aca="false">U227-V227-W227</f>
        <v>0</v>
      </c>
      <c r="Y227" s="69" t="n">
        <f aca="false">IF(AB226&gt;0.5,AB226*(1+Y$23)+Y$24,0)</f>
        <v>0</v>
      </c>
      <c r="Z227" s="69" t="n">
        <f aca="false">MIN(Z$23,Y227)</f>
        <v>0</v>
      </c>
      <c r="AA227" s="69" t="n">
        <f aca="false">IF(AND(Z$24=1,OR(Y$25="",$C227&gt;=Y$25)),MAX(0,MIN(Y227-Z227,$D227-(G227+K227+O227+S227+W227))),0)</f>
        <v>0</v>
      </c>
      <c r="AB227" s="69" t="n">
        <f aca="false">Y227-Z227-AA227</f>
        <v>0</v>
      </c>
      <c r="AC227" s="69" t="n">
        <f aca="false">IF(AF226&gt;0.5,AF226*(1+AC$23)+AC$24,0)</f>
        <v>0</v>
      </c>
      <c r="AD227" s="69" t="n">
        <f aca="false">MIN(AD$23,AC227)</f>
        <v>0</v>
      </c>
      <c r="AE227" s="69" t="n">
        <f aca="false">IF(AND(AD$24=1,OR(AC$25="",$C227&gt;=AC$25)),MAX(0,MIN(AC227-AD227,$D227-(G227+K227+O227+S227+W227+AA227))),0)</f>
        <v>0</v>
      </c>
      <c r="AF227" s="69" t="n">
        <f aca="false">AC227-AD227-AE227</f>
        <v>0</v>
      </c>
      <c r="AG227" s="69" t="n">
        <f aca="false">IF(AJ226&gt;0.5,AJ226*(1+AG$23)+AG$24,0)</f>
        <v>0</v>
      </c>
      <c r="AH227" s="69" t="n">
        <f aca="false">MIN(AH$23,AG227)</f>
        <v>0</v>
      </c>
      <c r="AI227" s="69" t="n">
        <f aca="false">IF(AND(AH$24=1,OR(AG$25="",$C227&gt;=AG$25)),MAX(0,MIN(AG227-AH227,$D227-(G227+K227+O227+S227+W227+AA227+AE227))),0)</f>
        <v>0</v>
      </c>
      <c r="AJ227" s="69" t="n">
        <f aca="false">AG227-AH227-AI227</f>
        <v>0</v>
      </c>
      <c r="AK227" s="69" t="n">
        <f aca="false">IF(AK226&gt;0.5,AK226*(1+$E$12)+$G$12-MIN($F$12,AK226*(1+$E$12)+$G$12),0)</f>
        <v>0</v>
      </c>
      <c r="AL227" s="69" t="n">
        <f aca="false">IF(AL226&gt;0.5,AL226*(1+$E$13)+$G$13-MIN($F$13,AL226*(1+$E$13)+$G$13),0)</f>
        <v>0</v>
      </c>
      <c r="AM227" s="69" t="n">
        <f aca="false">IF(AM226&gt;0.5,AM226*(1+$E$14)+$G$14-MIN($F$14,AM226*(1+$E$14)+$G$14),0)</f>
        <v>0</v>
      </c>
      <c r="AN227" s="69" t="n">
        <f aca="false">IF(AN226&gt;0.5,AN226*(1+$E$15)+$G$15-MIN($F$15,AN226*(1+$E$15)+$G$15),0)</f>
        <v>0</v>
      </c>
      <c r="AO227" s="69" t="n">
        <f aca="false">IF(AO226&gt;0.5,AO226*(1+$E$16)+$G$16-MIN($F$16,AO226*(1+$E$16)+$G$16),0)</f>
        <v>0</v>
      </c>
      <c r="AP227" s="69" t="n">
        <f aca="false">IF(AP226&gt;0.5,AP226*(1+$E$17)+$G$17-MIN($F$17,AP226*(1+$E$17)+$G$17),0)</f>
        <v>0</v>
      </c>
      <c r="AQ227" s="69" t="n">
        <f aca="false">IF(AQ226&gt;0.5,AQ226*(1+$E$18)+$G$18-MIN($F$18,AQ226*(1+$E$18)+$G$18),0)</f>
        <v>0</v>
      </c>
      <c r="AR227" s="69" t="n">
        <f aca="false">IF(AR226&gt;0.5,AR226*(1+$E$19)+$G$19-MIN($F$19,AR226*(1+$E$19)+$G$19),0)</f>
        <v>0</v>
      </c>
      <c r="AS227" s="69" t="n">
        <f aca="false">H227+L227+P227+T227+X227+AB227+AF227+AJ227</f>
        <v>0</v>
      </c>
      <c r="AT227" s="69" t="n">
        <f aca="false">SUM(AK227:AR227)</f>
        <v>0</v>
      </c>
      <c r="AU227" s="69" t="n">
        <f aca="false">F227+G227+J227+K227+N227+O227+R227+S227+V227+W227+Z227+AA227+AD227+AE227+AH227+AI227</f>
        <v>0</v>
      </c>
    </row>
    <row r="228" customFormat="false" ht="15" hidden="false" customHeight="false" outlineLevel="0" collapsed="false">
      <c r="B228" s="0" t="n">
        <v>201</v>
      </c>
      <c r="C228" s="68" t="n">
        <f aca="false">EDATE($C$7,200)</f>
        <v>52383</v>
      </c>
      <c r="D228" s="69" t="n">
        <f aca="false">$C$8-(F228+J228+N228+R228+V228+Z228+AD228+AH228)</f>
        <v>0</v>
      </c>
      <c r="E228" s="69" t="n">
        <f aca="false">IF(H227&gt;0.5,H227*(1+E$23)+E$24,0)</f>
        <v>0</v>
      </c>
      <c r="F228" s="69" t="n">
        <f aca="false">MIN(F$23,E228)</f>
        <v>0</v>
      </c>
      <c r="G228" s="69" t="n">
        <f aca="false">IF(AND(F$24=1,OR(E$25="",$C228&gt;=E$25)),MAX(0,MIN(E228-F228,$D228-(0))),0)</f>
        <v>0</v>
      </c>
      <c r="H228" s="69" t="n">
        <f aca="false">E228-F228-G228</f>
        <v>0</v>
      </c>
      <c r="I228" s="69" t="n">
        <f aca="false">IF(L227&gt;0.5,L227*(1+I$23)+I$24,0)</f>
        <v>0</v>
      </c>
      <c r="J228" s="69" t="n">
        <f aca="false">MIN(J$23,I228)</f>
        <v>0</v>
      </c>
      <c r="K228" s="69" t="n">
        <f aca="false">IF(AND(J$24=1,OR(I$25="",$C228&gt;=I$25)),MAX(0,MIN(I228-J228,$D228-(G228))),0)</f>
        <v>0</v>
      </c>
      <c r="L228" s="69" t="n">
        <f aca="false">I228-J228-K228</f>
        <v>0</v>
      </c>
      <c r="M228" s="69" t="n">
        <f aca="false">IF(P227&gt;0.5,P227*(1+M$23)+M$24,0)</f>
        <v>0</v>
      </c>
      <c r="N228" s="69" t="n">
        <f aca="false">MIN(N$23,M228)</f>
        <v>0</v>
      </c>
      <c r="O228" s="69" t="n">
        <f aca="false">IF(AND(N$24=1,OR(M$25="",$C228&gt;=M$25)),MAX(0,MIN(M228-N228,$D228-(G228+K228))),0)</f>
        <v>0</v>
      </c>
      <c r="P228" s="69" t="n">
        <f aca="false">M228-N228-O228</f>
        <v>0</v>
      </c>
      <c r="Q228" s="69" t="n">
        <f aca="false">IF(T227&gt;0.5,T227*(1+Q$23)+Q$24,0)</f>
        <v>0</v>
      </c>
      <c r="R228" s="69" t="n">
        <f aca="false">MIN(R$23,Q228)</f>
        <v>0</v>
      </c>
      <c r="S228" s="69" t="n">
        <f aca="false">IF(AND(R$24=1,OR(Q$25="",$C228&gt;=Q$25)),MAX(0,MIN(Q228-R228,$D228-(G228+K228+O228))),0)</f>
        <v>0</v>
      </c>
      <c r="T228" s="69" t="n">
        <f aca="false">Q228-R228-S228</f>
        <v>0</v>
      </c>
      <c r="U228" s="69" t="n">
        <f aca="false">IF(X227&gt;0.5,X227*(1+U$23)+U$24,0)</f>
        <v>0</v>
      </c>
      <c r="V228" s="69" t="n">
        <f aca="false">MIN(V$23,U228)</f>
        <v>0</v>
      </c>
      <c r="W228" s="69" t="n">
        <f aca="false">IF(AND(V$24=1,OR(U$25="",$C228&gt;=U$25)),MAX(0,MIN(U228-V228,$D228-(G228+K228+O228+S228))),0)</f>
        <v>0</v>
      </c>
      <c r="X228" s="69" t="n">
        <f aca="false">U228-V228-W228</f>
        <v>0</v>
      </c>
      <c r="Y228" s="69" t="n">
        <f aca="false">IF(AB227&gt;0.5,AB227*(1+Y$23)+Y$24,0)</f>
        <v>0</v>
      </c>
      <c r="Z228" s="69" t="n">
        <f aca="false">MIN(Z$23,Y228)</f>
        <v>0</v>
      </c>
      <c r="AA228" s="69" t="n">
        <f aca="false">IF(AND(Z$24=1,OR(Y$25="",$C228&gt;=Y$25)),MAX(0,MIN(Y228-Z228,$D228-(G228+K228+O228+S228+W228))),0)</f>
        <v>0</v>
      </c>
      <c r="AB228" s="69" t="n">
        <f aca="false">Y228-Z228-AA228</f>
        <v>0</v>
      </c>
      <c r="AC228" s="69" t="n">
        <f aca="false">IF(AF227&gt;0.5,AF227*(1+AC$23)+AC$24,0)</f>
        <v>0</v>
      </c>
      <c r="AD228" s="69" t="n">
        <f aca="false">MIN(AD$23,AC228)</f>
        <v>0</v>
      </c>
      <c r="AE228" s="69" t="n">
        <f aca="false">IF(AND(AD$24=1,OR(AC$25="",$C228&gt;=AC$25)),MAX(0,MIN(AC228-AD228,$D228-(G228+K228+O228+S228+W228+AA228))),0)</f>
        <v>0</v>
      </c>
      <c r="AF228" s="69" t="n">
        <f aca="false">AC228-AD228-AE228</f>
        <v>0</v>
      </c>
      <c r="AG228" s="69" t="n">
        <f aca="false">IF(AJ227&gt;0.5,AJ227*(1+AG$23)+AG$24,0)</f>
        <v>0</v>
      </c>
      <c r="AH228" s="69" t="n">
        <f aca="false">MIN(AH$23,AG228)</f>
        <v>0</v>
      </c>
      <c r="AI228" s="69" t="n">
        <f aca="false">IF(AND(AH$24=1,OR(AG$25="",$C228&gt;=AG$25)),MAX(0,MIN(AG228-AH228,$D228-(G228+K228+O228+S228+W228+AA228+AE228))),0)</f>
        <v>0</v>
      </c>
      <c r="AJ228" s="69" t="n">
        <f aca="false">AG228-AH228-AI228</f>
        <v>0</v>
      </c>
      <c r="AK228" s="69" t="n">
        <f aca="false">IF(AK227&gt;0.5,AK227*(1+$E$12)+$G$12-MIN($F$12,AK227*(1+$E$12)+$G$12),0)</f>
        <v>0</v>
      </c>
      <c r="AL228" s="69" t="n">
        <f aca="false">IF(AL227&gt;0.5,AL227*(1+$E$13)+$G$13-MIN($F$13,AL227*(1+$E$13)+$G$13),0)</f>
        <v>0</v>
      </c>
      <c r="AM228" s="69" t="n">
        <f aca="false">IF(AM227&gt;0.5,AM227*(1+$E$14)+$G$14-MIN($F$14,AM227*(1+$E$14)+$G$14),0)</f>
        <v>0</v>
      </c>
      <c r="AN228" s="69" t="n">
        <f aca="false">IF(AN227&gt;0.5,AN227*(1+$E$15)+$G$15-MIN($F$15,AN227*(1+$E$15)+$G$15),0)</f>
        <v>0</v>
      </c>
      <c r="AO228" s="69" t="n">
        <f aca="false">IF(AO227&gt;0.5,AO227*(1+$E$16)+$G$16-MIN($F$16,AO227*(1+$E$16)+$G$16),0)</f>
        <v>0</v>
      </c>
      <c r="AP228" s="69" t="n">
        <f aca="false">IF(AP227&gt;0.5,AP227*(1+$E$17)+$G$17-MIN($F$17,AP227*(1+$E$17)+$G$17),0)</f>
        <v>0</v>
      </c>
      <c r="AQ228" s="69" t="n">
        <f aca="false">IF(AQ227&gt;0.5,AQ227*(1+$E$18)+$G$18-MIN($F$18,AQ227*(1+$E$18)+$G$18),0)</f>
        <v>0</v>
      </c>
      <c r="AR228" s="69" t="n">
        <f aca="false">IF(AR227&gt;0.5,AR227*(1+$E$19)+$G$19-MIN($F$19,AR227*(1+$E$19)+$G$19),0)</f>
        <v>0</v>
      </c>
      <c r="AS228" s="69" t="n">
        <f aca="false">H228+L228+P228+T228+X228+AB228+AF228+AJ228</f>
        <v>0</v>
      </c>
      <c r="AT228" s="69" t="n">
        <f aca="false">SUM(AK228:AR228)</f>
        <v>0</v>
      </c>
      <c r="AU228" s="69" t="n">
        <f aca="false">F228+G228+J228+K228+N228+O228+R228+S228+V228+W228+Z228+AA228+AD228+AE228+AH228+AI228</f>
        <v>0</v>
      </c>
    </row>
    <row r="229" customFormat="false" ht="15" hidden="false" customHeight="false" outlineLevel="0" collapsed="false">
      <c r="B229" s="0" t="n">
        <v>202</v>
      </c>
      <c r="C229" s="68" t="n">
        <f aca="false">EDATE($C$7,201)</f>
        <v>52413</v>
      </c>
      <c r="D229" s="69" t="n">
        <f aca="false">$C$8-(F229+J229+N229+R229+V229+Z229+AD229+AH229)</f>
        <v>0</v>
      </c>
      <c r="E229" s="69" t="n">
        <f aca="false">IF(H228&gt;0.5,H228*(1+E$23)+E$24,0)</f>
        <v>0</v>
      </c>
      <c r="F229" s="69" t="n">
        <f aca="false">MIN(F$23,E229)</f>
        <v>0</v>
      </c>
      <c r="G229" s="69" t="n">
        <f aca="false">IF(AND(F$24=1,OR(E$25="",$C229&gt;=E$25)),MAX(0,MIN(E229-F229,$D229-(0))),0)</f>
        <v>0</v>
      </c>
      <c r="H229" s="69" t="n">
        <f aca="false">E229-F229-G229</f>
        <v>0</v>
      </c>
      <c r="I229" s="69" t="n">
        <f aca="false">IF(L228&gt;0.5,L228*(1+I$23)+I$24,0)</f>
        <v>0</v>
      </c>
      <c r="J229" s="69" t="n">
        <f aca="false">MIN(J$23,I229)</f>
        <v>0</v>
      </c>
      <c r="K229" s="69" t="n">
        <f aca="false">IF(AND(J$24=1,OR(I$25="",$C229&gt;=I$25)),MAX(0,MIN(I229-J229,$D229-(G229))),0)</f>
        <v>0</v>
      </c>
      <c r="L229" s="69" t="n">
        <f aca="false">I229-J229-K229</f>
        <v>0</v>
      </c>
      <c r="M229" s="69" t="n">
        <f aca="false">IF(P228&gt;0.5,P228*(1+M$23)+M$24,0)</f>
        <v>0</v>
      </c>
      <c r="N229" s="69" t="n">
        <f aca="false">MIN(N$23,M229)</f>
        <v>0</v>
      </c>
      <c r="O229" s="69" t="n">
        <f aca="false">IF(AND(N$24=1,OR(M$25="",$C229&gt;=M$25)),MAX(0,MIN(M229-N229,$D229-(G229+K229))),0)</f>
        <v>0</v>
      </c>
      <c r="P229" s="69" t="n">
        <f aca="false">M229-N229-O229</f>
        <v>0</v>
      </c>
      <c r="Q229" s="69" t="n">
        <f aca="false">IF(T228&gt;0.5,T228*(1+Q$23)+Q$24,0)</f>
        <v>0</v>
      </c>
      <c r="R229" s="69" t="n">
        <f aca="false">MIN(R$23,Q229)</f>
        <v>0</v>
      </c>
      <c r="S229" s="69" t="n">
        <f aca="false">IF(AND(R$24=1,OR(Q$25="",$C229&gt;=Q$25)),MAX(0,MIN(Q229-R229,$D229-(G229+K229+O229))),0)</f>
        <v>0</v>
      </c>
      <c r="T229" s="69" t="n">
        <f aca="false">Q229-R229-S229</f>
        <v>0</v>
      </c>
      <c r="U229" s="69" t="n">
        <f aca="false">IF(X228&gt;0.5,X228*(1+U$23)+U$24,0)</f>
        <v>0</v>
      </c>
      <c r="V229" s="69" t="n">
        <f aca="false">MIN(V$23,U229)</f>
        <v>0</v>
      </c>
      <c r="W229" s="69" t="n">
        <f aca="false">IF(AND(V$24=1,OR(U$25="",$C229&gt;=U$25)),MAX(0,MIN(U229-V229,$D229-(G229+K229+O229+S229))),0)</f>
        <v>0</v>
      </c>
      <c r="X229" s="69" t="n">
        <f aca="false">U229-V229-W229</f>
        <v>0</v>
      </c>
      <c r="Y229" s="69" t="n">
        <f aca="false">IF(AB228&gt;0.5,AB228*(1+Y$23)+Y$24,0)</f>
        <v>0</v>
      </c>
      <c r="Z229" s="69" t="n">
        <f aca="false">MIN(Z$23,Y229)</f>
        <v>0</v>
      </c>
      <c r="AA229" s="69" t="n">
        <f aca="false">IF(AND(Z$24=1,OR(Y$25="",$C229&gt;=Y$25)),MAX(0,MIN(Y229-Z229,$D229-(G229+K229+O229+S229+W229))),0)</f>
        <v>0</v>
      </c>
      <c r="AB229" s="69" t="n">
        <f aca="false">Y229-Z229-AA229</f>
        <v>0</v>
      </c>
      <c r="AC229" s="69" t="n">
        <f aca="false">IF(AF228&gt;0.5,AF228*(1+AC$23)+AC$24,0)</f>
        <v>0</v>
      </c>
      <c r="AD229" s="69" t="n">
        <f aca="false">MIN(AD$23,AC229)</f>
        <v>0</v>
      </c>
      <c r="AE229" s="69" t="n">
        <f aca="false">IF(AND(AD$24=1,OR(AC$25="",$C229&gt;=AC$25)),MAX(0,MIN(AC229-AD229,$D229-(G229+K229+O229+S229+W229+AA229))),0)</f>
        <v>0</v>
      </c>
      <c r="AF229" s="69" t="n">
        <f aca="false">AC229-AD229-AE229</f>
        <v>0</v>
      </c>
      <c r="AG229" s="69" t="n">
        <f aca="false">IF(AJ228&gt;0.5,AJ228*(1+AG$23)+AG$24,0)</f>
        <v>0</v>
      </c>
      <c r="AH229" s="69" t="n">
        <f aca="false">MIN(AH$23,AG229)</f>
        <v>0</v>
      </c>
      <c r="AI229" s="69" t="n">
        <f aca="false">IF(AND(AH$24=1,OR(AG$25="",$C229&gt;=AG$25)),MAX(0,MIN(AG229-AH229,$D229-(G229+K229+O229+S229+W229+AA229+AE229))),0)</f>
        <v>0</v>
      </c>
      <c r="AJ229" s="69" t="n">
        <f aca="false">AG229-AH229-AI229</f>
        <v>0</v>
      </c>
      <c r="AK229" s="69" t="n">
        <f aca="false">IF(AK228&gt;0.5,AK228*(1+$E$12)+$G$12-MIN($F$12,AK228*(1+$E$12)+$G$12),0)</f>
        <v>0</v>
      </c>
      <c r="AL229" s="69" t="n">
        <f aca="false">IF(AL228&gt;0.5,AL228*(1+$E$13)+$G$13-MIN($F$13,AL228*(1+$E$13)+$G$13),0)</f>
        <v>0</v>
      </c>
      <c r="AM229" s="69" t="n">
        <f aca="false">IF(AM228&gt;0.5,AM228*(1+$E$14)+$G$14-MIN($F$14,AM228*(1+$E$14)+$G$14),0)</f>
        <v>0</v>
      </c>
      <c r="AN229" s="69" t="n">
        <f aca="false">IF(AN228&gt;0.5,AN228*(1+$E$15)+$G$15-MIN($F$15,AN228*(1+$E$15)+$G$15),0)</f>
        <v>0</v>
      </c>
      <c r="AO229" s="69" t="n">
        <f aca="false">IF(AO228&gt;0.5,AO228*(1+$E$16)+$G$16-MIN($F$16,AO228*(1+$E$16)+$G$16),0)</f>
        <v>0</v>
      </c>
      <c r="AP229" s="69" t="n">
        <f aca="false">IF(AP228&gt;0.5,AP228*(1+$E$17)+$G$17-MIN($F$17,AP228*(1+$E$17)+$G$17),0)</f>
        <v>0</v>
      </c>
      <c r="AQ229" s="69" t="n">
        <f aca="false">IF(AQ228&gt;0.5,AQ228*(1+$E$18)+$G$18-MIN($F$18,AQ228*(1+$E$18)+$G$18),0)</f>
        <v>0</v>
      </c>
      <c r="AR229" s="69" t="n">
        <f aca="false">IF(AR228&gt;0.5,AR228*(1+$E$19)+$G$19-MIN($F$19,AR228*(1+$E$19)+$G$19),0)</f>
        <v>0</v>
      </c>
      <c r="AS229" s="69" t="n">
        <f aca="false">H229+L229+P229+T229+X229+AB229+AF229+AJ229</f>
        <v>0</v>
      </c>
      <c r="AT229" s="69" t="n">
        <f aca="false">SUM(AK229:AR229)</f>
        <v>0</v>
      </c>
      <c r="AU229" s="69" t="n">
        <f aca="false">F229+G229+J229+K229+N229+O229+R229+S229+V229+W229+Z229+AA229+AD229+AE229+AH229+AI229</f>
        <v>0</v>
      </c>
    </row>
    <row r="230" customFormat="false" ht="15" hidden="false" customHeight="false" outlineLevel="0" collapsed="false">
      <c r="B230" s="0" t="n">
        <v>203</v>
      </c>
      <c r="C230" s="68" t="n">
        <f aca="false">EDATE($C$7,202)</f>
        <v>52444</v>
      </c>
      <c r="D230" s="69" t="n">
        <f aca="false">$C$8-(F230+J230+N230+R230+V230+Z230+AD230+AH230)</f>
        <v>0</v>
      </c>
      <c r="E230" s="69" t="n">
        <f aca="false">IF(H229&gt;0.5,H229*(1+E$23)+E$24,0)</f>
        <v>0</v>
      </c>
      <c r="F230" s="69" t="n">
        <f aca="false">MIN(F$23,E230)</f>
        <v>0</v>
      </c>
      <c r="G230" s="69" t="n">
        <f aca="false">IF(AND(F$24=1,OR(E$25="",$C230&gt;=E$25)),MAX(0,MIN(E230-F230,$D230-(0))),0)</f>
        <v>0</v>
      </c>
      <c r="H230" s="69" t="n">
        <f aca="false">E230-F230-G230</f>
        <v>0</v>
      </c>
      <c r="I230" s="69" t="n">
        <f aca="false">IF(L229&gt;0.5,L229*(1+I$23)+I$24,0)</f>
        <v>0</v>
      </c>
      <c r="J230" s="69" t="n">
        <f aca="false">MIN(J$23,I230)</f>
        <v>0</v>
      </c>
      <c r="K230" s="69" t="n">
        <f aca="false">IF(AND(J$24=1,OR(I$25="",$C230&gt;=I$25)),MAX(0,MIN(I230-J230,$D230-(G230))),0)</f>
        <v>0</v>
      </c>
      <c r="L230" s="69" t="n">
        <f aca="false">I230-J230-K230</f>
        <v>0</v>
      </c>
      <c r="M230" s="69" t="n">
        <f aca="false">IF(P229&gt;0.5,P229*(1+M$23)+M$24,0)</f>
        <v>0</v>
      </c>
      <c r="N230" s="69" t="n">
        <f aca="false">MIN(N$23,M230)</f>
        <v>0</v>
      </c>
      <c r="O230" s="69" t="n">
        <f aca="false">IF(AND(N$24=1,OR(M$25="",$C230&gt;=M$25)),MAX(0,MIN(M230-N230,$D230-(G230+K230))),0)</f>
        <v>0</v>
      </c>
      <c r="P230" s="69" t="n">
        <f aca="false">M230-N230-O230</f>
        <v>0</v>
      </c>
      <c r="Q230" s="69" t="n">
        <f aca="false">IF(T229&gt;0.5,T229*(1+Q$23)+Q$24,0)</f>
        <v>0</v>
      </c>
      <c r="R230" s="69" t="n">
        <f aca="false">MIN(R$23,Q230)</f>
        <v>0</v>
      </c>
      <c r="S230" s="69" t="n">
        <f aca="false">IF(AND(R$24=1,OR(Q$25="",$C230&gt;=Q$25)),MAX(0,MIN(Q230-R230,$D230-(G230+K230+O230))),0)</f>
        <v>0</v>
      </c>
      <c r="T230" s="69" t="n">
        <f aca="false">Q230-R230-S230</f>
        <v>0</v>
      </c>
      <c r="U230" s="69" t="n">
        <f aca="false">IF(X229&gt;0.5,X229*(1+U$23)+U$24,0)</f>
        <v>0</v>
      </c>
      <c r="V230" s="69" t="n">
        <f aca="false">MIN(V$23,U230)</f>
        <v>0</v>
      </c>
      <c r="W230" s="69" t="n">
        <f aca="false">IF(AND(V$24=1,OR(U$25="",$C230&gt;=U$25)),MAX(0,MIN(U230-V230,$D230-(G230+K230+O230+S230))),0)</f>
        <v>0</v>
      </c>
      <c r="X230" s="69" t="n">
        <f aca="false">U230-V230-W230</f>
        <v>0</v>
      </c>
      <c r="Y230" s="69" t="n">
        <f aca="false">IF(AB229&gt;0.5,AB229*(1+Y$23)+Y$24,0)</f>
        <v>0</v>
      </c>
      <c r="Z230" s="69" t="n">
        <f aca="false">MIN(Z$23,Y230)</f>
        <v>0</v>
      </c>
      <c r="AA230" s="69" t="n">
        <f aca="false">IF(AND(Z$24=1,OR(Y$25="",$C230&gt;=Y$25)),MAX(0,MIN(Y230-Z230,$D230-(G230+K230+O230+S230+W230))),0)</f>
        <v>0</v>
      </c>
      <c r="AB230" s="69" t="n">
        <f aca="false">Y230-Z230-AA230</f>
        <v>0</v>
      </c>
      <c r="AC230" s="69" t="n">
        <f aca="false">IF(AF229&gt;0.5,AF229*(1+AC$23)+AC$24,0)</f>
        <v>0</v>
      </c>
      <c r="AD230" s="69" t="n">
        <f aca="false">MIN(AD$23,AC230)</f>
        <v>0</v>
      </c>
      <c r="AE230" s="69" t="n">
        <f aca="false">IF(AND(AD$24=1,OR(AC$25="",$C230&gt;=AC$25)),MAX(0,MIN(AC230-AD230,$D230-(G230+K230+O230+S230+W230+AA230))),0)</f>
        <v>0</v>
      </c>
      <c r="AF230" s="69" t="n">
        <f aca="false">AC230-AD230-AE230</f>
        <v>0</v>
      </c>
      <c r="AG230" s="69" t="n">
        <f aca="false">IF(AJ229&gt;0.5,AJ229*(1+AG$23)+AG$24,0)</f>
        <v>0</v>
      </c>
      <c r="AH230" s="69" t="n">
        <f aca="false">MIN(AH$23,AG230)</f>
        <v>0</v>
      </c>
      <c r="AI230" s="69" t="n">
        <f aca="false">IF(AND(AH$24=1,OR(AG$25="",$C230&gt;=AG$25)),MAX(0,MIN(AG230-AH230,$D230-(G230+K230+O230+S230+W230+AA230+AE230))),0)</f>
        <v>0</v>
      </c>
      <c r="AJ230" s="69" t="n">
        <f aca="false">AG230-AH230-AI230</f>
        <v>0</v>
      </c>
      <c r="AK230" s="69" t="n">
        <f aca="false">IF(AK229&gt;0.5,AK229*(1+$E$12)+$G$12-MIN($F$12,AK229*(1+$E$12)+$G$12),0)</f>
        <v>0</v>
      </c>
      <c r="AL230" s="69" t="n">
        <f aca="false">IF(AL229&gt;0.5,AL229*(1+$E$13)+$G$13-MIN($F$13,AL229*(1+$E$13)+$G$13),0)</f>
        <v>0</v>
      </c>
      <c r="AM230" s="69" t="n">
        <f aca="false">IF(AM229&gt;0.5,AM229*(1+$E$14)+$G$14-MIN($F$14,AM229*(1+$E$14)+$G$14),0)</f>
        <v>0</v>
      </c>
      <c r="AN230" s="69" t="n">
        <f aca="false">IF(AN229&gt;0.5,AN229*(1+$E$15)+$G$15-MIN($F$15,AN229*(1+$E$15)+$G$15),0)</f>
        <v>0</v>
      </c>
      <c r="AO230" s="69" t="n">
        <f aca="false">IF(AO229&gt;0.5,AO229*(1+$E$16)+$G$16-MIN($F$16,AO229*(1+$E$16)+$G$16),0)</f>
        <v>0</v>
      </c>
      <c r="AP230" s="69" t="n">
        <f aca="false">IF(AP229&gt;0.5,AP229*(1+$E$17)+$G$17-MIN($F$17,AP229*(1+$E$17)+$G$17),0)</f>
        <v>0</v>
      </c>
      <c r="AQ230" s="69" t="n">
        <f aca="false">IF(AQ229&gt;0.5,AQ229*(1+$E$18)+$G$18-MIN($F$18,AQ229*(1+$E$18)+$G$18),0)</f>
        <v>0</v>
      </c>
      <c r="AR230" s="69" t="n">
        <f aca="false">IF(AR229&gt;0.5,AR229*(1+$E$19)+$G$19-MIN($F$19,AR229*(1+$E$19)+$G$19),0)</f>
        <v>0</v>
      </c>
      <c r="AS230" s="69" t="n">
        <f aca="false">H230+L230+P230+T230+X230+AB230+AF230+AJ230</f>
        <v>0</v>
      </c>
      <c r="AT230" s="69" t="n">
        <f aca="false">SUM(AK230:AR230)</f>
        <v>0</v>
      </c>
      <c r="AU230" s="69" t="n">
        <f aca="false">F230+G230+J230+K230+N230+O230+R230+S230+V230+W230+Z230+AA230+AD230+AE230+AH230+AI230</f>
        <v>0</v>
      </c>
    </row>
    <row r="231" customFormat="false" ht="15" hidden="false" customHeight="false" outlineLevel="0" collapsed="false">
      <c r="B231" s="0" t="n">
        <v>204</v>
      </c>
      <c r="C231" s="68" t="n">
        <f aca="false">EDATE($C$7,203)</f>
        <v>52475</v>
      </c>
      <c r="D231" s="69" t="n">
        <f aca="false">$C$8-(F231+J231+N231+R231+V231+Z231+AD231+AH231)</f>
        <v>0</v>
      </c>
      <c r="E231" s="69" t="n">
        <f aca="false">IF(H230&gt;0.5,H230*(1+E$23)+E$24,0)</f>
        <v>0</v>
      </c>
      <c r="F231" s="69" t="n">
        <f aca="false">MIN(F$23,E231)</f>
        <v>0</v>
      </c>
      <c r="G231" s="69" t="n">
        <f aca="false">IF(AND(F$24=1,OR(E$25="",$C231&gt;=E$25)),MAX(0,MIN(E231-F231,$D231-(0))),0)</f>
        <v>0</v>
      </c>
      <c r="H231" s="69" t="n">
        <f aca="false">E231-F231-G231</f>
        <v>0</v>
      </c>
      <c r="I231" s="69" t="n">
        <f aca="false">IF(L230&gt;0.5,L230*(1+I$23)+I$24,0)</f>
        <v>0</v>
      </c>
      <c r="J231" s="69" t="n">
        <f aca="false">MIN(J$23,I231)</f>
        <v>0</v>
      </c>
      <c r="K231" s="69" t="n">
        <f aca="false">IF(AND(J$24=1,OR(I$25="",$C231&gt;=I$25)),MAX(0,MIN(I231-J231,$D231-(G231))),0)</f>
        <v>0</v>
      </c>
      <c r="L231" s="69" t="n">
        <f aca="false">I231-J231-K231</f>
        <v>0</v>
      </c>
      <c r="M231" s="69" t="n">
        <f aca="false">IF(P230&gt;0.5,P230*(1+M$23)+M$24,0)</f>
        <v>0</v>
      </c>
      <c r="N231" s="69" t="n">
        <f aca="false">MIN(N$23,M231)</f>
        <v>0</v>
      </c>
      <c r="O231" s="69" t="n">
        <f aca="false">IF(AND(N$24=1,OR(M$25="",$C231&gt;=M$25)),MAX(0,MIN(M231-N231,$D231-(G231+K231))),0)</f>
        <v>0</v>
      </c>
      <c r="P231" s="69" t="n">
        <f aca="false">M231-N231-O231</f>
        <v>0</v>
      </c>
      <c r="Q231" s="69" t="n">
        <f aca="false">IF(T230&gt;0.5,T230*(1+Q$23)+Q$24,0)</f>
        <v>0</v>
      </c>
      <c r="R231" s="69" t="n">
        <f aca="false">MIN(R$23,Q231)</f>
        <v>0</v>
      </c>
      <c r="S231" s="69" t="n">
        <f aca="false">IF(AND(R$24=1,OR(Q$25="",$C231&gt;=Q$25)),MAX(0,MIN(Q231-R231,$D231-(G231+K231+O231))),0)</f>
        <v>0</v>
      </c>
      <c r="T231" s="69" t="n">
        <f aca="false">Q231-R231-S231</f>
        <v>0</v>
      </c>
      <c r="U231" s="69" t="n">
        <f aca="false">IF(X230&gt;0.5,X230*(1+U$23)+U$24,0)</f>
        <v>0</v>
      </c>
      <c r="V231" s="69" t="n">
        <f aca="false">MIN(V$23,U231)</f>
        <v>0</v>
      </c>
      <c r="W231" s="69" t="n">
        <f aca="false">IF(AND(V$24=1,OR(U$25="",$C231&gt;=U$25)),MAX(0,MIN(U231-V231,$D231-(G231+K231+O231+S231))),0)</f>
        <v>0</v>
      </c>
      <c r="X231" s="69" t="n">
        <f aca="false">U231-V231-W231</f>
        <v>0</v>
      </c>
      <c r="Y231" s="69" t="n">
        <f aca="false">IF(AB230&gt;0.5,AB230*(1+Y$23)+Y$24,0)</f>
        <v>0</v>
      </c>
      <c r="Z231" s="69" t="n">
        <f aca="false">MIN(Z$23,Y231)</f>
        <v>0</v>
      </c>
      <c r="AA231" s="69" t="n">
        <f aca="false">IF(AND(Z$24=1,OR(Y$25="",$C231&gt;=Y$25)),MAX(0,MIN(Y231-Z231,$D231-(G231+K231+O231+S231+W231))),0)</f>
        <v>0</v>
      </c>
      <c r="AB231" s="69" t="n">
        <f aca="false">Y231-Z231-AA231</f>
        <v>0</v>
      </c>
      <c r="AC231" s="69" t="n">
        <f aca="false">IF(AF230&gt;0.5,AF230*(1+AC$23)+AC$24,0)</f>
        <v>0</v>
      </c>
      <c r="AD231" s="69" t="n">
        <f aca="false">MIN(AD$23,AC231)</f>
        <v>0</v>
      </c>
      <c r="AE231" s="69" t="n">
        <f aca="false">IF(AND(AD$24=1,OR(AC$25="",$C231&gt;=AC$25)),MAX(0,MIN(AC231-AD231,$D231-(G231+K231+O231+S231+W231+AA231))),0)</f>
        <v>0</v>
      </c>
      <c r="AF231" s="69" t="n">
        <f aca="false">AC231-AD231-AE231</f>
        <v>0</v>
      </c>
      <c r="AG231" s="69" t="n">
        <f aca="false">IF(AJ230&gt;0.5,AJ230*(1+AG$23)+AG$24,0)</f>
        <v>0</v>
      </c>
      <c r="AH231" s="69" t="n">
        <f aca="false">MIN(AH$23,AG231)</f>
        <v>0</v>
      </c>
      <c r="AI231" s="69" t="n">
        <f aca="false">IF(AND(AH$24=1,OR(AG$25="",$C231&gt;=AG$25)),MAX(0,MIN(AG231-AH231,$D231-(G231+K231+O231+S231+W231+AA231+AE231))),0)</f>
        <v>0</v>
      </c>
      <c r="AJ231" s="69" t="n">
        <f aca="false">AG231-AH231-AI231</f>
        <v>0</v>
      </c>
      <c r="AK231" s="69" t="n">
        <f aca="false">IF(AK230&gt;0.5,AK230*(1+$E$12)+$G$12-MIN($F$12,AK230*(1+$E$12)+$G$12),0)</f>
        <v>0</v>
      </c>
      <c r="AL231" s="69" t="n">
        <f aca="false">IF(AL230&gt;0.5,AL230*(1+$E$13)+$G$13-MIN($F$13,AL230*(1+$E$13)+$G$13),0)</f>
        <v>0</v>
      </c>
      <c r="AM231" s="69" t="n">
        <f aca="false">IF(AM230&gt;0.5,AM230*(1+$E$14)+$G$14-MIN($F$14,AM230*(1+$E$14)+$G$14),0)</f>
        <v>0</v>
      </c>
      <c r="AN231" s="69" t="n">
        <f aca="false">IF(AN230&gt;0.5,AN230*(1+$E$15)+$G$15-MIN($F$15,AN230*(1+$E$15)+$G$15),0)</f>
        <v>0</v>
      </c>
      <c r="AO231" s="69" t="n">
        <f aca="false">IF(AO230&gt;0.5,AO230*(1+$E$16)+$G$16-MIN($F$16,AO230*(1+$E$16)+$G$16),0)</f>
        <v>0</v>
      </c>
      <c r="AP231" s="69" t="n">
        <f aca="false">IF(AP230&gt;0.5,AP230*(1+$E$17)+$G$17-MIN($F$17,AP230*(1+$E$17)+$G$17),0)</f>
        <v>0</v>
      </c>
      <c r="AQ231" s="69" t="n">
        <f aca="false">IF(AQ230&gt;0.5,AQ230*(1+$E$18)+$G$18-MIN($F$18,AQ230*(1+$E$18)+$G$18),0)</f>
        <v>0</v>
      </c>
      <c r="AR231" s="69" t="n">
        <f aca="false">IF(AR230&gt;0.5,AR230*(1+$E$19)+$G$19-MIN($F$19,AR230*(1+$E$19)+$G$19),0)</f>
        <v>0</v>
      </c>
      <c r="AS231" s="69" t="n">
        <f aca="false">H231+L231+P231+T231+X231+AB231+AF231+AJ231</f>
        <v>0</v>
      </c>
      <c r="AT231" s="69" t="n">
        <f aca="false">SUM(AK231:AR231)</f>
        <v>0</v>
      </c>
      <c r="AU231" s="69" t="n">
        <f aca="false">F231+G231+J231+K231+N231+O231+R231+S231+V231+W231+Z231+AA231+AD231+AE231+AH231+AI231</f>
        <v>0</v>
      </c>
    </row>
    <row r="232" customFormat="false" ht="15" hidden="false" customHeight="false" outlineLevel="0" collapsed="false">
      <c r="B232" s="0" t="n">
        <v>205</v>
      </c>
      <c r="C232" s="68" t="n">
        <f aca="false">EDATE($C$7,204)</f>
        <v>52505</v>
      </c>
      <c r="D232" s="69" t="n">
        <f aca="false">$C$8-(F232+J232+N232+R232+V232+Z232+AD232+AH232)</f>
        <v>0</v>
      </c>
      <c r="E232" s="69" t="n">
        <f aca="false">IF(H231&gt;0.5,H231*(1+E$23)+E$24,0)</f>
        <v>0</v>
      </c>
      <c r="F232" s="69" t="n">
        <f aca="false">MIN(F$23,E232)</f>
        <v>0</v>
      </c>
      <c r="G232" s="69" t="n">
        <f aca="false">IF(AND(F$24=1,OR(E$25="",$C232&gt;=E$25)),MAX(0,MIN(E232-F232,$D232-(0))),0)</f>
        <v>0</v>
      </c>
      <c r="H232" s="69" t="n">
        <f aca="false">E232-F232-G232</f>
        <v>0</v>
      </c>
      <c r="I232" s="69" t="n">
        <f aca="false">IF(L231&gt;0.5,L231*(1+I$23)+I$24,0)</f>
        <v>0</v>
      </c>
      <c r="J232" s="69" t="n">
        <f aca="false">MIN(J$23,I232)</f>
        <v>0</v>
      </c>
      <c r="K232" s="69" t="n">
        <f aca="false">IF(AND(J$24=1,OR(I$25="",$C232&gt;=I$25)),MAX(0,MIN(I232-J232,$D232-(G232))),0)</f>
        <v>0</v>
      </c>
      <c r="L232" s="69" t="n">
        <f aca="false">I232-J232-K232</f>
        <v>0</v>
      </c>
      <c r="M232" s="69" t="n">
        <f aca="false">IF(P231&gt;0.5,P231*(1+M$23)+M$24,0)</f>
        <v>0</v>
      </c>
      <c r="N232" s="69" t="n">
        <f aca="false">MIN(N$23,M232)</f>
        <v>0</v>
      </c>
      <c r="O232" s="69" t="n">
        <f aca="false">IF(AND(N$24=1,OR(M$25="",$C232&gt;=M$25)),MAX(0,MIN(M232-N232,$D232-(G232+K232))),0)</f>
        <v>0</v>
      </c>
      <c r="P232" s="69" t="n">
        <f aca="false">M232-N232-O232</f>
        <v>0</v>
      </c>
      <c r="Q232" s="69" t="n">
        <f aca="false">IF(T231&gt;0.5,T231*(1+Q$23)+Q$24,0)</f>
        <v>0</v>
      </c>
      <c r="R232" s="69" t="n">
        <f aca="false">MIN(R$23,Q232)</f>
        <v>0</v>
      </c>
      <c r="S232" s="69" t="n">
        <f aca="false">IF(AND(R$24=1,OR(Q$25="",$C232&gt;=Q$25)),MAX(0,MIN(Q232-R232,$D232-(G232+K232+O232))),0)</f>
        <v>0</v>
      </c>
      <c r="T232" s="69" t="n">
        <f aca="false">Q232-R232-S232</f>
        <v>0</v>
      </c>
      <c r="U232" s="69" t="n">
        <f aca="false">IF(X231&gt;0.5,X231*(1+U$23)+U$24,0)</f>
        <v>0</v>
      </c>
      <c r="V232" s="69" t="n">
        <f aca="false">MIN(V$23,U232)</f>
        <v>0</v>
      </c>
      <c r="W232" s="69" t="n">
        <f aca="false">IF(AND(V$24=1,OR(U$25="",$C232&gt;=U$25)),MAX(0,MIN(U232-V232,$D232-(G232+K232+O232+S232))),0)</f>
        <v>0</v>
      </c>
      <c r="X232" s="69" t="n">
        <f aca="false">U232-V232-W232</f>
        <v>0</v>
      </c>
      <c r="Y232" s="69" t="n">
        <f aca="false">IF(AB231&gt;0.5,AB231*(1+Y$23)+Y$24,0)</f>
        <v>0</v>
      </c>
      <c r="Z232" s="69" t="n">
        <f aca="false">MIN(Z$23,Y232)</f>
        <v>0</v>
      </c>
      <c r="AA232" s="69" t="n">
        <f aca="false">IF(AND(Z$24=1,OR(Y$25="",$C232&gt;=Y$25)),MAX(0,MIN(Y232-Z232,$D232-(G232+K232+O232+S232+W232))),0)</f>
        <v>0</v>
      </c>
      <c r="AB232" s="69" t="n">
        <f aca="false">Y232-Z232-AA232</f>
        <v>0</v>
      </c>
      <c r="AC232" s="69" t="n">
        <f aca="false">IF(AF231&gt;0.5,AF231*(1+AC$23)+AC$24,0)</f>
        <v>0</v>
      </c>
      <c r="AD232" s="69" t="n">
        <f aca="false">MIN(AD$23,AC232)</f>
        <v>0</v>
      </c>
      <c r="AE232" s="69" t="n">
        <f aca="false">IF(AND(AD$24=1,OR(AC$25="",$C232&gt;=AC$25)),MAX(0,MIN(AC232-AD232,$D232-(G232+K232+O232+S232+W232+AA232))),0)</f>
        <v>0</v>
      </c>
      <c r="AF232" s="69" t="n">
        <f aca="false">AC232-AD232-AE232</f>
        <v>0</v>
      </c>
      <c r="AG232" s="69" t="n">
        <f aca="false">IF(AJ231&gt;0.5,AJ231*(1+AG$23)+AG$24,0)</f>
        <v>0</v>
      </c>
      <c r="AH232" s="69" t="n">
        <f aca="false">MIN(AH$23,AG232)</f>
        <v>0</v>
      </c>
      <c r="AI232" s="69" t="n">
        <f aca="false">IF(AND(AH$24=1,OR(AG$25="",$C232&gt;=AG$25)),MAX(0,MIN(AG232-AH232,$D232-(G232+K232+O232+S232+W232+AA232+AE232))),0)</f>
        <v>0</v>
      </c>
      <c r="AJ232" s="69" t="n">
        <f aca="false">AG232-AH232-AI232</f>
        <v>0</v>
      </c>
      <c r="AK232" s="69" t="n">
        <f aca="false">IF(AK231&gt;0.5,AK231*(1+$E$12)+$G$12-MIN($F$12,AK231*(1+$E$12)+$G$12),0)</f>
        <v>0</v>
      </c>
      <c r="AL232" s="69" t="n">
        <f aca="false">IF(AL231&gt;0.5,AL231*(1+$E$13)+$G$13-MIN($F$13,AL231*(1+$E$13)+$G$13),0)</f>
        <v>0</v>
      </c>
      <c r="AM232" s="69" t="n">
        <f aca="false">IF(AM231&gt;0.5,AM231*(1+$E$14)+$G$14-MIN($F$14,AM231*(1+$E$14)+$G$14),0)</f>
        <v>0</v>
      </c>
      <c r="AN232" s="69" t="n">
        <f aca="false">IF(AN231&gt;0.5,AN231*(1+$E$15)+$G$15-MIN($F$15,AN231*(1+$E$15)+$G$15),0)</f>
        <v>0</v>
      </c>
      <c r="AO232" s="69" t="n">
        <f aca="false">IF(AO231&gt;0.5,AO231*(1+$E$16)+$G$16-MIN($F$16,AO231*(1+$E$16)+$G$16),0)</f>
        <v>0</v>
      </c>
      <c r="AP232" s="69" t="n">
        <f aca="false">IF(AP231&gt;0.5,AP231*(1+$E$17)+$G$17-MIN($F$17,AP231*(1+$E$17)+$G$17),0)</f>
        <v>0</v>
      </c>
      <c r="AQ232" s="69" t="n">
        <f aca="false">IF(AQ231&gt;0.5,AQ231*(1+$E$18)+$G$18-MIN($F$18,AQ231*(1+$E$18)+$G$18),0)</f>
        <v>0</v>
      </c>
      <c r="AR232" s="69" t="n">
        <f aca="false">IF(AR231&gt;0.5,AR231*(1+$E$19)+$G$19-MIN($F$19,AR231*(1+$E$19)+$G$19),0)</f>
        <v>0</v>
      </c>
      <c r="AS232" s="69" t="n">
        <f aca="false">H232+L232+P232+T232+X232+AB232+AF232+AJ232</f>
        <v>0</v>
      </c>
      <c r="AT232" s="69" t="n">
        <f aca="false">SUM(AK232:AR232)</f>
        <v>0</v>
      </c>
      <c r="AU232" s="69" t="n">
        <f aca="false">F232+G232+J232+K232+N232+O232+R232+S232+V232+W232+Z232+AA232+AD232+AE232+AH232+AI232</f>
        <v>0</v>
      </c>
    </row>
    <row r="233" customFormat="false" ht="15" hidden="false" customHeight="false" outlineLevel="0" collapsed="false">
      <c r="B233" s="0" t="n">
        <v>206</v>
      </c>
      <c r="C233" s="68" t="n">
        <f aca="false">EDATE($C$7,205)</f>
        <v>52536</v>
      </c>
      <c r="D233" s="69" t="n">
        <f aca="false">$C$8-(F233+J233+N233+R233+V233+Z233+AD233+AH233)</f>
        <v>0</v>
      </c>
      <c r="E233" s="69" t="n">
        <f aca="false">IF(H232&gt;0.5,H232*(1+E$23)+E$24,0)</f>
        <v>0</v>
      </c>
      <c r="F233" s="69" t="n">
        <f aca="false">MIN(F$23,E233)</f>
        <v>0</v>
      </c>
      <c r="G233" s="69" t="n">
        <f aca="false">IF(AND(F$24=1,OR(E$25="",$C233&gt;=E$25)),MAX(0,MIN(E233-F233,$D233-(0))),0)</f>
        <v>0</v>
      </c>
      <c r="H233" s="69" t="n">
        <f aca="false">E233-F233-G233</f>
        <v>0</v>
      </c>
      <c r="I233" s="69" t="n">
        <f aca="false">IF(L232&gt;0.5,L232*(1+I$23)+I$24,0)</f>
        <v>0</v>
      </c>
      <c r="J233" s="69" t="n">
        <f aca="false">MIN(J$23,I233)</f>
        <v>0</v>
      </c>
      <c r="K233" s="69" t="n">
        <f aca="false">IF(AND(J$24=1,OR(I$25="",$C233&gt;=I$25)),MAX(0,MIN(I233-J233,$D233-(G233))),0)</f>
        <v>0</v>
      </c>
      <c r="L233" s="69" t="n">
        <f aca="false">I233-J233-K233</f>
        <v>0</v>
      </c>
      <c r="M233" s="69" t="n">
        <f aca="false">IF(P232&gt;0.5,P232*(1+M$23)+M$24,0)</f>
        <v>0</v>
      </c>
      <c r="N233" s="69" t="n">
        <f aca="false">MIN(N$23,M233)</f>
        <v>0</v>
      </c>
      <c r="O233" s="69" t="n">
        <f aca="false">IF(AND(N$24=1,OR(M$25="",$C233&gt;=M$25)),MAX(0,MIN(M233-N233,$D233-(G233+K233))),0)</f>
        <v>0</v>
      </c>
      <c r="P233" s="69" t="n">
        <f aca="false">M233-N233-O233</f>
        <v>0</v>
      </c>
      <c r="Q233" s="69" t="n">
        <f aca="false">IF(T232&gt;0.5,T232*(1+Q$23)+Q$24,0)</f>
        <v>0</v>
      </c>
      <c r="R233" s="69" t="n">
        <f aca="false">MIN(R$23,Q233)</f>
        <v>0</v>
      </c>
      <c r="S233" s="69" t="n">
        <f aca="false">IF(AND(R$24=1,OR(Q$25="",$C233&gt;=Q$25)),MAX(0,MIN(Q233-R233,$D233-(G233+K233+O233))),0)</f>
        <v>0</v>
      </c>
      <c r="T233" s="69" t="n">
        <f aca="false">Q233-R233-S233</f>
        <v>0</v>
      </c>
      <c r="U233" s="69" t="n">
        <f aca="false">IF(X232&gt;0.5,X232*(1+U$23)+U$24,0)</f>
        <v>0</v>
      </c>
      <c r="V233" s="69" t="n">
        <f aca="false">MIN(V$23,U233)</f>
        <v>0</v>
      </c>
      <c r="W233" s="69" t="n">
        <f aca="false">IF(AND(V$24=1,OR(U$25="",$C233&gt;=U$25)),MAX(0,MIN(U233-V233,$D233-(G233+K233+O233+S233))),0)</f>
        <v>0</v>
      </c>
      <c r="X233" s="69" t="n">
        <f aca="false">U233-V233-W233</f>
        <v>0</v>
      </c>
      <c r="Y233" s="69" t="n">
        <f aca="false">IF(AB232&gt;0.5,AB232*(1+Y$23)+Y$24,0)</f>
        <v>0</v>
      </c>
      <c r="Z233" s="69" t="n">
        <f aca="false">MIN(Z$23,Y233)</f>
        <v>0</v>
      </c>
      <c r="AA233" s="69" t="n">
        <f aca="false">IF(AND(Z$24=1,OR(Y$25="",$C233&gt;=Y$25)),MAX(0,MIN(Y233-Z233,$D233-(G233+K233+O233+S233+W233))),0)</f>
        <v>0</v>
      </c>
      <c r="AB233" s="69" t="n">
        <f aca="false">Y233-Z233-AA233</f>
        <v>0</v>
      </c>
      <c r="AC233" s="69" t="n">
        <f aca="false">IF(AF232&gt;0.5,AF232*(1+AC$23)+AC$24,0)</f>
        <v>0</v>
      </c>
      <c r="AD233" s="69" t="n">
        <f aca="false">MIN(AD$23,AC233)</f>
        <v>0</v>
      </c>
      <c r="AE233" s="69" t="n">
        <f aca="false">IF(AND(AD$24=1,OR(AC$25="",$C233&gt;=AC$25)),MAX(0,MIN(AC233-AD233,$D233-(G233+K233+O233+S233+W233+AA233))),0)</f>
        <v>0</v>
      </c>
      <c r="AF233" s="69" t="n">
        <f aca="false">AC233-AD233-AE233</f>
        <v>0</v>
      </c>
      <c r="AG233" s="69" t="n">
        <f aca="false">IF(AJ232&gt;0.5,AJ232*(1+AG$23)+AG$24,0)</f>
        <v>0</v>
      </c>
      <c r="AH233" s="69" t="n">
        <f aca="false">MIN(AH$23,AG233)</f>
        <v>0</v>
      </c>
      <c r="AI233" s="69" t="n">
        <f aca="false">IF(AND(AH$24=1,OR(AG$25="",$C233&gt;=AG$25)),MAX(0,MIN(AG233-AH233,$D233-(G233+K233+O233+S233+W233+AA233+AE233))),0)</f>
        <v>0</v>
      </c>
      <c r="AJ233" s="69" t="n">
        <f aca="false">AG233-AH233-AI233</f>
        <v>0</v>
      </c>
      <c r="AK233" s="69" t="n">
        <f aca="false">IF(AK232&gt;0.5,AK232*(1+$E$12)+$G$12-MIN($F$12,AK232*(1+$E$12)+$G$12),0)</f>
        <v>0</v>
      </c>
      <c r="AL233" s="69" t="n">
        <f aca="false">IF(AL232&gt;0.5,AL232*(1+$E$13)+$G$13-MIN($F$13,AL232*(1+$E$13)+$G$13),0)</f>
        <v>0</v>
      </c>
      <c r="AM233" s="69" t="n">
        <f aca="false">IF(AM232&gt;0.5,AM232*(1+$E$14)+$G$14-MIN($F$14,AM232*(1+$E$14)+$G$14),0)</f>
        <v>0</v>
      </c>
      <c r="AN233" s="69" t="n">
        <f aca="false">IF(AN232&gt;0.5,AN232*(1+$E$15)+$G$15-MIN($F$15,AN232*(1+$E$15)+$G$15),0)</f>
        <v>0</v>
      </c>
      <c r="AO233" s="69" t="n">
        <f aca="false">IF(AO232&gt;0.5,AO232*(1+$E$16)+$G$16-MIN($F$16,AO232*(1+$E$16)+$G$16),0)</f>
        <v>0</v>
      </c>
      <c r="AP233" s="69" t="n">
        <f aca="false">IF(AP232&gt;0.5,AP232*(1+$E$17)+$G$17-MIN($F$17,AP232*(1+$E$17)+$G$17),0)</f>
        <v>0</v>
      </c>
      <c r="AQ233" s="69" t="n">
        <f aca="false">IF(AQ232&gt;0.5,AQ232*(1+$E$18)+$G$18-MIN($F$18,AQ232*(1+$E$18)+$G$18),0)</f>
        <v>0</v>
      </c>
      <c r="AR233" s="69" t="n">
        <f aca="false">IF(AR232&gt;0.5,AR232*(1+$E$19)+$G$19-MIN($F$19,AR232*(1+$E$19)+$G$19),0)</f>
        <v>0</v>
      </c>
      <c r="AS233" s="69" t="n">
        <f aca="false">H233+L233+P233+T233+X233+AB233+AF233+AJ233</f>
        <v>0</v>
      </c>
      <c r="AT233" s="69" t="n">
        <f aca="false">SUM(AK233:AR233)</f>
        <v>0</v>
      </c>
      <c r="AU233" s="69" t="n">
        <f aca="false">F233+G233+J233+K233+N233+O233+R233+S233+V233+W233+Z233+AA233+AD233+AE233+AH233+AI233</f>
        <v>0</v>
      </c>
    </row>
    <row r="234" customFormat="false" ht="15" hidden="false" customHeight="false" outlineLevel="0" collapsed="false">
      <c r="B234" s="0" t="n">
        <v>207</v>
      </c>
      <c r="C234" s="68" t="n">
        <f aca="false">EDATE($C$7,206)</f>
        <v>52566</v>
      </c>
      <c r="D234" s="69" t="n">
        <f aca="false">$C$8-(F234+J234+N234+R234+V234+Z234+AD234+AH234)</f>
        <v>0</v>
      </c>
      <c r="E234" s="69" t="n">
        <f aca="false">IF(H233&gt;0.5,H233*(1+E$23)+E$24,0)</f>
        <v>0</v>
      </c>
      <c r="F234" s="69" t="n">
        <f aca="false">MIN(F$23,E234)</f>
        <v>0</v>
      </c>
      <c r="G234" s="69" t="n">
        <f aca="false">IF(AND(F$24=1,OR(E$25="",$C234&gt;=E$25)),MAX(0,MIN(E234-F234,$D234-(0))),0)</f>
        <v>0</v>
      </c>
      <c r="H234" s="69" t="n">
        <f aca="false">E234-F234-G234</f>
        <v>0</v>
      </c>
      <c r="I234" s="69" t="n">
        <f aca="false">IF(L233&gt;0.5,L233*(1+I$23)+I$24,0)</f>
        <v>0</v>
      </c>
      <c r="J234" s="69" t="n">
        <f aca="false">MIN(J$23,I234)</f>
        <v>0</v>
      </c>
      <c r="K234" s="69" t="n">
        <f aca="false">IF(AND(J$24=1,OR(I$25="",$C234&gt;=I$25)),MAX(0,MIN(I234-J234,$D234-(G234))),0)</f>
        <v>0</v>
      </c>
      <c r="L234" s="69" t="n">
        <f aca="false">I234-J234-K234</f>
        <v>0</v>
      </c>
      <c r="M234" s="69" t="n">
        <f aca="false">IF(P233&gt;0.5,P233*(1+M$23)+M$24,0)</f>
        <v>0</v>
      </c>
      <c r="N234" s="69" t="n">
        <f aca="false">MIN(N$23,M234)</f>
        <v>0</v>
      </c>
      <c r="O234" s="69" t="n">
        <f aca="false">IF(AND(N$24=1,OR(M$25="",$C234&gt;=M$25)),MAX(0,MIN(M234-N234,$D234-(G234+K234))),0)</f>
        <v>0</v>
      </c>
      <c r="P234" s="69" t="n">
        <f aca="false">M234-N234-O234</f>
        <v>0</v>
      </c>
      <c r="Q234" s="69" t="n">
        <f aca="false">IF(T233&gt;0.5,T233*(1+Q$23)+Q$24,0)</f>
        <v>0</v>
      </c>
      <c r="R234" s="69" t="n">
        <f aca="false">MIN(R$23,Q234)</f>
        <v>0</v>
      </c>
      <c r="S234" s="69" t="n">
        <f aca="false">IF(AND(R$24=1,OR(Q$25="",$C234&gt;=Q$25)),MAX(0,MIN(Q234-R234,$D234-(G234+K234+O234))),0)</f>
        <v>0</v>
      </c>
      <c r="T234" s="69" t="n">
        <f aca="false">Q234-R234-S234</f>
        <v>0</v>
      </c>
      <c r="U234" s="69" t="n">
        <f aca="false">IF(X233&gt;0.5,X233*(1+U$23)+U$24,0)</f>
        <v>0</v>
      </c>
      <c r="V234" s="69" t="n">
        <f aca="false">MIN(V$23,U234)</f>
        <v>0</v>
      </c>
      <c r="W234" s="69" t="n">
        <f aca="false">IF(AND(V$24=1,OR(U$25="",$C234&gt;=U$25)),MAX(0,MIN(U234-V234,$D234-(G234+K234+O234+S234))),0)</f>
        <v>0</v>
      </c>
      <c r="X234" s="69" t="n">
        <f aca="false">U234-V234-W234</f>
        <v>0</v>
      </c>
      <c r="Y234" s="69" t="n">
        <f aca="false">IF(AB233&gt;0.5,AB233*(1+Y$23)+Y$24,0)</f>
        <v>0</v>
      </c>
      <c r="Z234" s="69" t="n">
        <f aca="false">MIN(Z$23,Y234)</f>
        <v>0</v>
      </c>
      <c r="AA234" s="69" t="n">
        <f aca="false">IF(AND(Z$24=1,OR(Y$25="",$C234&gt;=Y$25)),MAX(0,MIN(Y234-Z234,$D234-(G234+K234+O234+S234+W234))),0)</f>
        <v>0</v>
      </c>
      <c r="AB234" s="69" t="n">
        <f aca="false">Y234-Z234-AA234</f>
        <v>0</v>
      </c>
      <c r="AC234" s="69" t="n">
        <f aca="false">IF(AF233&gt;0.5,AF233*(1+AC$23)+AC$24,0)</f>
        <v>0</v>
      </c>
      <c r="AD234" s="69" t="n">
        <f aca="false">MIN(AD$23,AC234)</f>
        <v>0</v>
      </c>
      <c r="AE234" s="69" t="n">
        <f aca="false">IF(AND(AD$24=1,OR(AC$25="",$C234&gt;=AC$25)),MAX(0,MIN(AC234-AD234,$D234-(G234+K234+O234+S234+W234+AA234))),0)</f>
        <v>0</v>
      </c>
      <c r="AF234" s="69" t="n">
        <f aca="false">AC234-AD234-AE234</f>
        <v>0</v>
      </c>
      <c r="AG234" s="69" t="n">
        <f aca="false">IF(AJ233&gt;0.5,AJ233*(1+AG$23)+AG$24,0)</f>
        <v>0</v>
      </c>
      <c r="AH234" s="69" t="n">
        <f aca="false">MIN(AH$23,AG234)</f>
        <v>0</v>
      </c>
      <c r="AI234" s="69" t="n">
        <f aca="false">IF(AND(AH$24=1,OR(AG$25="",$C234&gt;=AG$25)),MAX(0,MIN(AG234-AH234,$D234-(G234+K234+O234+S234+W234+AA234+AE234))),0)</f>
        <v>0</v>
      </c>
      <c r="AJ234" s="69" t="n">
        <f aca="false">AG234-AH234-AI234</f>
        <v>0</v>
      </c>
      <c r="AK234" s="69" t="n">
        <f aca="false">IF(AK233&gt;0.5,AK233*(1+$E$12)+$G$12-MIN($F$12,AK233*(1+$E$12)+$G$12),0)</f>
        <v>0</v>
      </c>
      <c r="AL234" s="69" t="n">
        <f aca="false">IF(AL233&gt;0.5,AL233*(1+$E$13)+$G$13-MIN($F$13,AL233*(1+$E$13)+$G$13),0)</f>
        <v>0</v>
      </c>
      <c r="AM234" s="69" t="n">
        <f aca="false">IF(AM233&gt;0.5,AM233*(1+$E$14)+$G$14-MIN($F$14,AM233*(1+$E$14)+$G$14),0)</f>
        <v>0</v>
      </c>
      <c r="AN234" s="69" t="n">
        <f aca="false">IF(AN233&gt;0.5,AN233*(1+$E$15)+$G$15-MIN($F$15,AN233*(1+$E$15)+$G$15),0)</f>
        <v>0</v>
      </c>
      <c r="AO234" s="69" t="n">
        <f aca="false">IF(AO233&gt;0.5,AO233*(1+$E$16)+$G$16-MIN($F$16,AO233*(1+$E$16)+$G$16),0)</f>
        <v>0</v>
      </c>
      <c r="AP234" s="69" t="n">
        <f aca="false">IF(AP233&gt;0.5,AP233*(1+$E$17)+$G$17-MIN($F$17,AP233*(1+$E$17)+$G$17),0)</f>
        <v>0</v>
      </c>
      <c r="AQ234" s="69" t="n">
        <f aca="false">IF(AQ233&gt;0.5,AQ233*(1+$E$18)+$G$18-MIN($F$18,AQ233*(1+$E$18)+$G$18),0)</f>
        <v>0</v>
      </c>
      <c r="AR234" s="69" t="n">
        <f aca="false">IF(AR233&gt;0.5,AR233*(1+$E$19)+$G$19-MIN($F$19,AR233*(1+$E$19)+$G$19),0)</f>
        <v>0</v>
      </c>
      <c r="AS234" s="69" t="n">
        <f aca="false">H234+L234+P234+T234+X234+AB234+AF234+AJ234</f>
        <v>0</v>
      </c>
      <c r="AT234" s="69" t="n">
        <f aca="false">SUM(AK234:AR234)</f>
        <v>0</v>
      </c>
      <c r="AU234" s="69" t="n">
        <f aca="false">F234+G234+J234+K234+N234+O234+R234+S234+V234+W234+Z234+AA234+AD234+AE234+AH234+AI234</f>
        <v>0</v>
      </c>
    </row>
    <row r="235" customFormat="false" ht="15" hidden="false" customHeight="false" outlineLevel="0" collapsed="false">
      <c r="B235" s="0" t="n">
        <v>208</v>
      </c>
      <c r="C235" s="68" t="n">
        <f aca="false">EDATE($C$7,207)</f>
        <v>52597</v>
      </c>
      <c r="D235" s="69" t="n">
        <f aca="false">$C$8-(F235+J235+N235+R235+V235+Z235+AD235+AH235)</f>
        <v>0</v>
      </c>
      <c r="E235" s="69" t="n">
        <f aca="false">IF(H234&gt;0.5,H234*(1+E$23)+E$24,0)</f>
        <v>0</v>
      </c>
      <c r="F235" s="69" t="n">
        <f aca="false">MIN(F$23,E235)</f>
        <v>0</v>
      </c>
      <c r="G235" s="69" t="n">
        <f aca="false">IF(AND(F$24=1,OR(E$25="",$C235&gt;=E$25)),MAX(0,MIN(E235-F235,$D235-(0))),0)</f>
        <v>0</v>
      </c>
      <c r="H235" s="69" t="n">
        <f aca="false">E235-F235-G235</f>
        <v>0</v>
      </c>
      <c r="I235" s="69" t="n">
        <f aca="false">IF(L234&gt;0.5,L234*(1+I$23)+I$24,0)</f>
        <v>0</v>
      </c>
      <c r="J235" s="69" t="n">
        <f aca="false">MIN(J$23,I235)</f>
        <v>0</v>
      </c>
      <c r="K235" s="69" t="n">
        <f aca="false">IF(AND(J$24=1,OR(I$25="",$C235&gt;=I$25)),MAX(0,MIN(I235-J235,$D235-(G235))),0)</f>
        <v>0</v>
      </c>
      <c r="L235" s="69" t="n">
        <f aca="false">I235-J235-K235</f>
        <v>0</v>
      </c>
      <c r="M235" s="69" t="n">
        <f aca="false">IF(P234&gt;0.5,P234*(1+M$23)+M$24,0)</f>
        <v>0</v>
      </c>
      <c r="N235" s="69" t="n">
        <f aca="false">MIN(N$23,M235)</f>
        <v>0</v>
      </c>
      <c r="O235" s="69" t="n">
        <f aca="false">IF(AND(N$24=1,OR(M$25="",$C235&gt;=M$25)),MAX(0,MIN(M235-N235,$D235-(G235+K235))),0)</f>
        <v>0</v>
      </c>
      <c r="P235" s="69" t="n">
        <f aca="false">M235-N235-O235</f>
        <v>0</v>
      </c>
      <c r="Q235" s="69" t="n">
        <f aca="false">IF(T234&gt;0.5,T234*(1+Q$23)+Q$24,0)</f>
        <v>0</v>
      </c>
      <c r="R235" s="69" t="n">
        <f aca="false">MIN(R$23,Q235)</f>
        <v>0</v>
      </c>
      <c r="S235" s="69" t="n">
        <f aca="false">IF(AND(R$24=1,OR(Q$25="",$C235&gt;=Q$25)),MAX(0,MIN(Q235-R235,$D235-(G235+K235+O235))),0)</f>
        <v>0</v>
      </c>
      <c r="T235" s="69" t="n">
        <f aca="false">Q235-R235-S235</f>
        <v>0</v>
      </c>
      <c r="U235" s="69" t="n">
        <f aca="false">IF(X234&gt;0.5,X234*(1+U$23)+U$24,0)</f>
        <v>0</v>
      </c>
      <c r="V235" s="69" t="n">
        <f aca="false">MIN(V$23,U235)</f>
        <v>0</v>
      </c>
      <c r="W235" s="69" t="n">
        <f aca="false">IF(AND(V$24=1,OR(U$25="",$C235&gt;=U$25)),MAX(0,MIN(U235-V235,$D235-(G235+K235+O235+S235))),0)</f>
        <v>0</v>
      </c>
      <c r="X235" s="69" t="n">
        <f aca="false">U235-V235-W235</f>
        <v>0</v>
      </c>
      <c r="Y235" s="69" t="n">
        <f aca="false">IF(AB234&gt;0.5,AB234*(1+Y$23)+Y$24,0)</f>
        <v>0</v>
      </c>
      <c r="Z235" s="69" t="n">
        <f aca="false">MIN(Z$23,Y235)</f>
        <v>0</v>
      </c>
      <c r="AA235" s="69" t="n">
        <f aca="false">IF(AND(Z$24=1,OR(Y$25="",$C235&gt;=Y$25)),MAX(0,MIN(Y235-Z235,$D235-(G235+K235+O235+S235+W235))),0)</f>
        <v>0</v>
      </c>
      <c r="AB235" s="69" t="n">
        <f aca="false">Y235-Z235-AA235</f>
        <v>0</v>
      </c>
      <c r="AC235" s="69" t="n">
        <f aca="false">IF(AF234&gt;0.5,AF234*(1+AC$23)+AC$24,0)</f>
        <v>0</v>
      </c>
      <c r="AD235" s="69" t="n">
        <f aca="false">MIN(AD$23,AC235)</f>
        <v>0</v>
      </c>
      <c r="AE235" s="69" t="n">
        <f aca="false">IF(AND(AD$24=1,OR(AC$25="",$C235&gt;=AC$25)),MAX(0,MIN(AC235-AD235,$D235-(G235+K235+O235+S235+W235+AA235))),0)</f>
        <v>0</v>
      </c>
      <c r="AF235" s="69" t="n">
        <f aca="false">AC235-AD235-AE235</f>
        <v>0</v>
      </c>
      <c r="AG235" s="69" t="n">
        <f aca="false">IF(AJ234&gt;0.5,AJ234*(1+AG$23)+AG$24,0)</f>
        <v>0</v>
      </c>
      <c r="AH235" s="69" t="n">
        <f aca="false">MIN(AH$23,AG235)</f>
        <v>0</v>
      </c>
      <c r="AI235" s="69" t="n">
        <f aca="false">IF(AND(AH$24=1,OR(AG$25="",$C235&gt;=AG$25)),MAX(0,MIN(AG235-AH235,$D235-(G235+K235+O235+S235+W235+AA235+AE235))),0)</f>
        <v>0</v>
      </c>
      <c r="AJ235" s="69" t="n">
        <f aca="false">AG235-AH235-AI235</f>
        <v>0</v>
      </c>
      <c r="AK235" s="69" t="n">
        <f aca="false">IF(AK234&gt;0.5,AK234*(1+$E$12)+$G$12-MIN($F$12,AK234*(1+$E$12)+$G$12),0)</f>
        <v>0</v>
      </c>
      <c r="AL235" s="69" t="n">
        <f aca="false">IF(AL234&gt;0.5,AL234*(1+$E$13)+$G$13-MIN($F$13,AL234*(1+$E$13)+$G$13),0)</f>
        <v>0</v>
      </c>
      <c r="AM235" s="69" t="n">
        <f aca="false">IF(AM234&gt;0.5,AM234*(1+$E$14)+$G$14-MIN($F$14,AM234*(1+$E$14)+$G$14),0)</f>
        <v>0</v>
      </c>
      <c r="AN235" s="69" t="n">
        <f aca="false">IF(AN234&gt;0.5,AN234*(1+$E$15)+$G$15-MIN($F$15,AN234*(1+$E$15)+$G$15),0)</f>
        <v>0</v>
      </c>
      <c r="AO235" s="69" t="n">
        <f aca="false">IF(AO234&gt;0.5,AO234*(1+$E$16)+$G$16-MIN($F$16,AO234*(1+$E$16)+$G$16),0)</f>
        <v>0</v>
      </c>
      <c r="AP235" s="69" t="n">
        <f aca="false">IF(AP234&gt;0.5,AP234*(1+$E$17)+$G$17-MIN($F$17,AP234*(1+$E$17)+$G$17),0)</f>
        <v>0</v>
      </c>
      <c r="AQ235" s="69" t="n">
        <f aca="false">IF(AQ234&gt;0.5,AQ234*(1+$E$18)+$G$18-MIN($F$18,AQ234*(1+$E$18)+$G$18),0)</f>
        <v>0</v>
      </c>
      <c r="AR235" s="69" t="n">
        <f aca="false">IF(AR234&gt;0.5,AR234*(1+$E$19)+$G$19-MIN($F$19,AR234*(1+$E$19)+$G$19),0)</f>
        <v>0</v>
      </c>
      <c r="AS235" s="69" t="n">
        <f aca="false">H235+L235+P235+T235+X235+AB235+AF235+AJ235</f>
        <v>0</v>
      </c>
      <c r="AT235" s="69" t="n">
        <f aca="false">SUM(AK235:AR235)</f>
        <v>0</v>
      </c>
      <c r="AU235" s="69" t="n">
        <f aca="false">F235+G235+J235+K235+N235+O235+R235+S235+V235+W235+Z235+AA235+AD235+AE235+AH235+AI235</f>
        <v>0</v>
      </c>
    </row>
    <row r="236" customFormat="false" ht="15" hidden="false" customHeight="false" outlineLevel="0" collapsed="false">
      <c r="B236" s="0" t="n">
        <v>209</v>
      </c>
      <c r="C236" s="68" t="n">
        <f aca="false">EDATE($C$7,208)</f>
        <v>52628</v>
      </c>
      <c r="D236" s="69" t="n">
        <f aca="false">$C$8-(F236+J236+N236+R236+V236+Z236+AD236+AH236)</f>
        <v>0</v>
      </c>
      <c r="E236" s="69" t="n">
        <f aca="false">IF(H235&gt;0.5,H235*(1+E$23)+E$24,0)</f>
        <v>0</v>
      </c>
      <c r="F236" s="69" t="n">
        <f aca="false">MIN(F$23,E236)</f>
        <v>0</v>
      </c>
      <c r="G236" s="69" t="n">
        <f aca="false">IF(AND(F$24=1,OR(E$25="",$C236&gt;=E$25)),MAX(0,MIN(E236-F236,$D236-(0))),0)</f>
        <v>0</v>
      </c>
      <c r="H236" s="69" t="n">
        <f aca="false">E236-F236-G236</f>
        <v>0</v>
      </c>
      <c r="I236" s="69" t="n">
        <f aca="false">IF(L235&gt;0.5,L235*(1+I$23)+I$24,0)</f>
        <v>0</v>
      </c>
      <c r="J236" s="69" t="n">
        <f aca="false">MIN(J$23,I236)</f>
        <v>0</v>
      </c>
      <c r="K236" s="69" t="n">
        <f aca="false">IF(AND(J$24=1,OR(I$25="",$C236&gt;=I$25)),MAX(0,MIN(I236-J236,$D236-(G236))),0)</f>
        <v>0</v>
      </c>
      <c r="L236" s="69" t="n">
        <f aca="false">I236-J236-K236</f>
        <v>0</v>
      </c>
      <c r="M236" s="69" t="n">
        <f aca="false">IF(P235&gt;0.5,P235*(1+M$23)+M$24,0)</f>
        <v>0</v>
      </c>
      <c r="N236" s="69" t="n">
        <f aca="false">MIN(N$23,M236)</f>
        <v>0</v>
      </c>
      <c r="O236" s="69" t="n">
        <f aca="false">IF(AND(N$24=1,OR(M$25="",$C236&gt;=M$25)),MAX(0,MIN(M236-N236,$D236-(G236+K236))),0)</f>
        <v>0</v>
      </c>
      <c r="P236" s="69" t="n">
        <f aca="false">M236-N236-O236</f>
        <v>0</v>
      </c>
      <c r="Q236" s="69" t="n">
        <f aca="false">IF(T235&gt;0.5,T235*(1+Q$23)+Q$24,0)</f>
        <v>0</v>
      </c>
      <c r="R236" s="69" t="n">
        <f aca="false">MIN(R$23,Q236)</f>
        <v>0</v>
      </c>
      <c r="S236" s="69" t="n">
        <f aca="false">IF(AND(R$24=1,OR(Q$25="",$C236&gt;=Q$25)),MAX(0,MIN(Q236-R236,$D236-(G236+K236+O236))),0)</f>
        <v>0</v>
      </c>
      <c r="T236" s="69" t="n">
        <f aca="false">Q236-R236-S236</f>
        <v>0</v>
      </c>
      <c r="U236" s="69" t="n">
        <f aca="false">IF(X235&gt;0.5,X235*(1+U$23)+U$24,0)</f>
        <v>0</v>
      </c>
      <c r="V236" s="69" t="n">
        <f aca="false">MIN(V$23,U236)</f>
        <v>0</v>
      </c>
      <c r="W236" s="69" t="n">
        <f aca="false">IF(AND(V$24=1,OR(U$25="",$C236&gt;=U$25)),MAX(0,MIN(U236-V236,$D236-(G236+K236+O236+S236))),0)</f>
        <v>0</v>
      </c>
      <c r="X236" s="69" t="n">
        <f aca="false">U236-V236-W236</f>
        <v>0</v>
      </c>
      <c r="Y236" s="69" t="n">
        <f aca="false">IF(AB235&gt;0.5,AB235*(1+Y$23)+Y$24,0)</f>
        <v>0</v>
      </c>
      <c r="Z236" s="69" t="n">
        <f aca="false">MIN(Z$23,Y236)</f>
        <v>0</v>
      </c>
      <c r="AA236" s="69" t="n">
        <f aca="false">IF(AND(Z$24=1,OR(Y$25="",$C236&gt;=Y$25)),MAX(0,MIN(Y236-Z236,$D236-(G236+K236+O236+S236+W236))),0)</f>
        <v>0</v>
      </c>
      <c r="AB236" s="69" t="n">
        <f aca="false">Y236-Z236-AA236</f>
        <v>0</v>
      </c>
      <c r="AC236" s="69" t="n">
        <f aca="false">IF(AF235&gt;0.5,AF235*(1+AC$23)+AC$24,0)</f>
        <v>0</v>
      </c>
      <c r="AD236" s="69" t="n">
        <f aca="false">MIN(AD$23,AC236)</f>
        <v>0</v>
      </c>
      <c r="AE236" s="69" t="n">
        <f aca="false">IF(AND(AD$24=1,OR(AC$25="",$C236&gt;=AC$25)),MAX(0,MIN(AC236-AD236,$D236-(G236+K236+O236+S236+W236+AA236))),0)</f>
        <v>0</v>
      </c>
      <c r="AF236" s="69" t="n">
        <f aca="false">AC236-AD236-AE236</f>
        <v>0</v>
      </c>
      <c r="AG236" s="69" t="n">
        <f aca="false">IF(AJ235&gt;0.5,AJ235*(1+AG$23)+AG$24,0)</f>
        <v>0</v>
      </c>
      <c r="AH236" s="69" t="n">
        <f aca="false">MIN(AH$23,AG236)</f>
        <v>0</v>
      </c>
      <c r="AI236" s="69" t="n">
        <f aca="false">IF(AND(AH$24=1,OR(AG$25="",$C236&gt;=AG$25)),MAX(0,MIN(AG236-AH236,$D236-(G236+K236+O236+S236+W236+AA236+AE236))),0)</f>
        <v>0</v>
      </c>
      <c r="AJ236" s="69" t="n">
        <f aca="false">AG236-AH236-AI236</f>
        <v>0</v>
      </c>
      <c r="AK236" s="69" t="n">
        <f aca="false">IF(AK235&gt;0.5,AK235*(1+$E$12)+$G$12-MIN($F$12,AK235*(1+$E$12)+$G$12),0)</f>
        <v>0</v>
      </c>
      <c r="AL236" s="69" t="n">
        <f aca="false">IF(AL235&gt;0.5,AL235*(1+$E$13)+$G$13-MIN($F$13,AL235*(1+$E$13)+$G$13),0)</f>
        <v>0</v>
      </c>
      <c r="AM236" s="69" t="n">
        <f aca="false">IF(AM235&gt;0.5,AM235*(1+$E$14)+$G$14-MIN($F$14,AM235*(1+$E$14)+$G$14),0)</f>
        <v>0</v>
      </c>
      <c r="AN236" s="69" t="n">
        <f aca="false">IF(AN235&gt;0.5,AN235*(1+$E$15)+$G$15-MIN($F$15,AN235*(1+$E$15)+$G$15),0)</f>
        <v>0</v>
      </c>
      <c r="AO236" s="69" t="n">
        <f aca="false">IF(AO235&gt;0.5,AO235*(1+$E$16)+$G$16-MIN($F$16,AO235*(1+$E$16)+$G$16),0)</f>
        <v>0</v>
      </c>
      <c r="AP236" s="69" t="n">
        <f aca="false">IF(AP235&gt;0.5,AP235*(1+$E$17)+$G$17-MIN($F$17,AP235*(1+$E$17)+$G$17),0)</f>
        <v>0</v>
      </c>
      <c r="AQ236" s="69" t="n">
        <f aca="false">IF(AQ235&gt;0.5,AQ235*(1+$E$18)+$G$18-MIN($F$18,AQ235*(1+$E$18)+$G$18),0)</f>
        <v>0</v>
      </c>
      <c r="AR236" s="69" t="n">
        <f aca="false">IF(AR235&gt;0.5,AR235*(1+$E$19)+$G$19-MIN($F$19,AR235*(1+$E$19)+$G$19),0)</f>
        <v>0</v>
      </c>
      <c r="AS236" s="69" t="n">
        <f aca="false">H236+L236+P236+T236+X236+AB236+AF236+AJ236</f>
        <v>0</v>
      </c>
      <c r="AT236" s="69" t="n">
        <f aca="false">SUM(AK236:AR236)</f>
        <v>0</v>
      </c>
      <c r="AU236" s="69" t="n">
        <f aca="false">F236+G236+J236+K236+N236+O236+R236+S236+V236+W236+Z236+AA236+AD236+AE236+AH236+AI236</f>
        <v>0</v>
      </c>
    </row>
    <row r="237" customFormat="false" ht="15" hidden="false" customHeight="false" outlineLevel="0" collapsed="false">
      <c r="B237" s="0" t="n">
        <v>210</v>
      </c>
      <c r="C237" s="68" t="n">
        <f aca="false">EDATE($C$7,209)</f>
        <v>52657</v>
      </c>
      <c r="D237" s="69" t="n">
        <f aca="false">$C$8-(F237+J237+N237+R237+V237+Z237+AD237+AH237)</f>
        <v>0</v>
      </c>
      <c r="E237" s="69" t="n">
        <f aca="false">IF(H236&gt;0.5,H236*(1+E$23)+E$24,0)</f>
        <v>0</v>
      </c>
      <c r="F237" s="69" t="n">
        <f aca="false">MIN(F$23,E237)</f>
        <v>0</v>
      </c>
      <c r="G237" s="69" t="n">
        <f aca="false">IF(AND(F$24=1,OR(E$25="",$C237&gt;=E$25)),MAX(0,MIN(E237-F237,$D237-(0))),0)</f>
        <v>0</v>
      </c>
      <c r="H237" s="69" t="n">
        <f aca="false">E237-F237-G237</f>
        <v>0</v>
      </c>
      <c r="I237" s="69" t="n">
        <f aca="false">IF(L236&gt;0.5,L236*(1+I$23)+I$24,0)</f>
        <v>0</v>
      </c>
      <c r="J237" s="69" t="n">
        <f aca="false">MIN(J$23,I237)</f>
        <v>0</v>
      </c>
      <c r="K237" s="69" t="n">
        <f aca="false">IF(AND(J$24=1,OR(I$25="",$C237&gt;=I$25)),MAX(0,MIN(I237-J237,$D237-(G237))),0)</f>
        <v>0</v>
      </c>
      <c r="L237" s="69" t="n">
        <f aca="false">I237-J237-K237</f>
        <v>0</v>
      </c>
      <c r="M237" s="69" t="n">
        <f aca="false">IF(P236&gt;0.5,P236*(1+M$23)+M$24,0)</f>
        <v>0</v>
      </c>
      <c r="N237" s="69" t="n">
        <f aca="false">MIN(N$23,M237)</f>
        <v>0</v>
      </c>
      <c r="O237" s="69" t="n">
        <f aca="false">IF(AND(N$24=1,OR(M$25="",$C237&gt;=M$25)),MAX(0,MIN(M237-N237,$D237-(G237+K237))),0)</f>
        <v>0</v>
      </c>
      <c r="P237" s="69" t="n">
        <f aca="false">M237-N237-O237</f>
        <v>0</v>
      </c>
      <c r="Q237" s="69" t="n">
        <f aca="false">IF(T236&gt;0.5,T236*(1+Q$23)+Q$24,0)</f>
        <v>0</v>
      </c>
      <c r="R237" s="69" t="n">
        <f aca="false">MIN(R$23,Q237)</f>
        <v>0</v>
      </c>
      <c r="S237" s="69" t="n">
        <f aca="false">IF(AND(R$24=1,OR(Q$25="",$C237&gt;=Q$25)),MAX(0,MIN(Q237-R237,$D237-(G237+K237+O237))),0)</f>
        <v>0</v>
      </c>
      <c r="T237" s="69" t="n">
        <f aca="false">Q237-R237-S237</f>
        <v>0</v>
      </c>
      <c r="U237" s="69" t="n">
        <f aca="false">IF(X236&gt;0.5,X236*(1+U$23)+U$24,0)</f>
        <v>0</v>
      </c>
      <c r="V237" s="69" t="n">
        <f aca="false">MIN(V$23,U237)</f>
        <v>0</v>
      </c>
      <c r="W237" s="69" t="n">
        <f aca="false">IF(AND(V$24=1,OR(U$25="",$C237&gt;=U$25)),MAX(0,MIN(U237-V237,$D237-(G237+K237+O237+S237))),0)</f>
        <v>0</v>
      </c>
      <c r="X237" s="69" t="n">
        <f aca="false">U237-V237-W237</f>
        <v>0</v>
      </c>
      <c r="Y237" s="69" t="n">
        <f aca="false">IF(AB236&gt;0.5,AB236*(1+Y$23)+Y$24,0)</f>
        <v>0</v>
      </c>
      <c r="Z237" s="69" t="n">
        <f aca="false">MIN(Z$23,Y237)</f>
        <v>0</v>
      </c>
      <c r="AA237" s="69" t="n">
        <f aca="false">IF(AND(Z$24=1,OR(Y$25="",$C237&gt;=Y$25)),MAX(0,MIN(Y237-Z237,$D237-(G237+K237+O237+S237+W237))),0)</f>
        <v>0</v>
      </c>
      <c r="AB237" s="69" t="n">
        <f aca="false">Y237-Z237-AA237</f>
        <v>0</v>
      </c>
      <c r="AC237" s="69" t="n">
        <f aca="false">IF(AF236&gt;0.5,AF236*(1+AC$23)+AC$24,0)</f>
        <v>0</v>
      </c>
      <c r="AD237" s="69" t="n">
        <f aca="false">MIN(AD$23,AC237)</f>
        <v>0</v>
      </c>
      <c r="AE237" s="69" t="n">
        <f aca="false">IF(AND(AD$24=1,OR(AC$25="",$C237&gt;=AC$25)),MAX(0,MIN(AC237-AD237,$D237-(G237+K237+O237+S237+W237+AA237))),0)</f>
        <v>0</v>
      </c>
      <c r="AF237" s="69" t="n">
        <f aca="false">AC237-AD237-AE237</f>
        <v>0</v>
      </c>
      <c r="AG237" s="69" t="n">
        <f aca="false">IF(AJ236&gt;0.5,AJ236*(1+AG$23)+AG$24,0)</f>
        <v>0</v>
      </c>
      <c r="AH237" s="69" t="n">
        <f aca="false">MIN(AH$23,AG237)</f>
        <v>0</v>
      </c>
      <c r="AI237" s="69" t="n">
        <f aca="false">IF(AND(AH$24=1,OR(AG$25="",$C237&gt;=AG$25)),MAX(0,MIN(AG237-AH237,$D237-(G237+K237+O237+S237+W237+AA237+AE237))),0)</f>
        <v>0</v>
      </c>
      <c r="AJ237" s="69" t="n">
        <f aca="false">AG237-AH237-AI237</f>
        <v>0</v>
      </c>
      <c r="AK237" s="69" t="n">
        <f aca="false">IF(AK236&gt;0.5,AK236*(1+$E$12)+$G$12-MIN($F$12,AK236*(1+$E$12)+$G$12),0)</f>
        <v>0</v>
      </c>
      <c r="AL237" s="69" t="n">
        <f aca="false">IF(AL236&gt;0.5,AL236*(1+$E$13)+$G$13-MIN($F$13,AL236*(1+$E$13)+$G$13),0)</f>
        <v>0</v>
      </c>
      <c r="AM237" s="69" t="n">
        <f aca="false">IF(AM236&gt;0.5,AM236*(1+$E$14)+$G$14-MIN($F$14,AM236*(1+$E$14)+$G$14),0)</f>
        <v>0</v>
      </c>
      <c r="AN237" s="69" t="n">
        <f aca="false">IF(AN236&gt;0.5,AN236*(1+$E$15)+$G$15-MIN($F$15,AN236*(1+$E$15)+$G$15),0)</f>
        <v>0</v>
      </c>
      <c r="AO237" s="69" t="n">
        <f aca="false">IF(AO236&gt;0.5,AO236*(1+$E$16)+$G$16-MIN($F$16,AO236*(1+$E$16)+$G$16),0)</f>
        <v>0</v>
      </c>
      <c r="AP237" s="69" t="n">
        <f aca="false">IF(AP236&gt;0.5,AP236*(1+$E$17)+$G$17-MIN($F$17,AP236*(1+$E$17)+$G$17),0)</f>
        <v>0</v>
      </c>
      <c r="AQ237" s="69" t="n">
        <f aca="false">IF(AQ236&gt;0.5,AQ236*(1+$E$18)+$G$18-MIN($F$18,AQ236*(1+$E$18)+$G$18),0)</f>
        <v>0</v>
      </c>
      <c r="AR237" s="69" t="n">
        <f aca="false">IF(AR236&gt;0.5,AR236*(1+$E$19)+$G$19-MIN($F$19,AR236*(1+$E$19)+$G$19),0)</f>
        <v>0</v>
      </c>
      <c r="AS237" s="69" t="n">
        <f aca="false">H237+L237+P237+T237+X237+AB237+AF237+AJ237</f>
        <v>0</v>
      </c>
      <c r="AT237" s="69" t="n">
        <f aca="false">SUM(AK237:AR237)</f>
        <v>0</v>
      </c>
      <c r="AU237" s="69" t="n">
        <f aca="false">F237+G237+J237+K237+N237+O237+R237+S237+V237+W237+Z237+AA237+AD237+AE237+AH237+AI237</f>
        <v>0</v>
      </c>
    </row>
    <row r="238" customFormat="false" ht="15" hidden="false" customHeight="false" outlineLevel="0" collapsed="false">
      <c r="B238" s="0" t="n">
        <v>211</v>
      </c>
      <c r="C238" s="68" t="n">
        <f aca="false">EDATE($C$7,210)</f>
        <v>52688</v>
      </c>
      <c r="D238" s="69" t="n">
        <f aca="false">$C$8-(F238+J238+N238+R238+V238+Z238+AD238+AH238)</f>
        <v>0</v>
      </c>
      <c r="E238" s="69" t="n">
        <f aca="false">IF(H237&gt;0.5,H237*(1+E$23)+E$24,0)</f>
        <v>0</v>
      </c>
      <c r="F238" s="69" t="n">
        <f aca="false">MIN(F$23,E238)</f>
        <v>0</v>
      </c>
      <c r="G238" s="69" t="n">
        <f aca="false">IF(AND(F$24=1,OR(E$25="",$C238&gt;=E$25)),MAX(0,MIN(E238-F238,$D238-(0))),0)</f>
        <v>0</v>
      </c>
      <c r="H238" s="69" t="n">
        <f aca="false">E238-F238-G238</f>
        <v>0</v>
      </c>
      <c r="I238" s="69" t="n">
        <f aca="false">IF(L237&gt;0.5,L237*(1+I$23)+I$24,0)</f>
        <v>0</v>
      </c>
      <c r="J238" s="69" t="n">
        <f aca="false">MIN(J$23,I238)</f>
        <v>0</v>
      </c>
      <c r="K238" s="69" t="n">
        <f aca="false">IF(AND(J$24=1,OR(I$25="",$C238&gt;=I$25)),MAX(0,MIN(I238-J238,$D238-(G238))),0)</f>
        <v>0</v>
      </c>
      <c r="L238" s="69" t="n">
        <f aca="false">I238-J238-K238</f>
        <v>0</v>
      </c>
      <c r="M238" s="69" t="n">
        <f aca="false">IF(P237&gt;0.5,P237*(1+M$23)+M$24,0)</f>
        <v>0</v>
      </c>
      <c r="N238" s="69" t="n">
        <f aca="false">MIN(N$23,M238)</f>
        <v>0</v>
      </c>
      <c r="O238" s="69" t="n">
        <f aca="false">IF(AND(N$24=1,OR(M$25="",$C238&gt;=M$25)),MAX(0,MIN(M238-N238,$D238-(G238+K238))),0)</f>
        <v>0</v>
      </c>
      <c r="P238" s="69" t="n">
        <f aca="false">M238-N238-O238</f>
        <v>0</v>
      </c>
      <c r="Q238" s="69" t="n">
        <f aca="false">IF(T237&gt;0.5,T237*(1+Q$23)+Q$24,0)</f>
        <v>0</v>
      </c>
      <c r="R238" s="69" t="n">
        <f aca="false">MIN(R$23,Q238)</f>
        <v>0</v>
      </c>
      <c r="S238" s="69" t="n">
        <f aca="false">IF(AND(R$24=1,OR(Q$25="",$C238&gt;=Q$25)),MAX(0,MIN(Q238-R238,$D238-(G238+K238+O238))),0)</f>
        <v>0</v>
      </c>
      <c r="T238" s="69" t="n">
        <f aca="false">Q238-R238-S238</f>
        <v>0</v>
      </c>
      <c r="U238" s="69" t="n">
        <f aca="false">IF(X237&gt;0.5,X237*(1+U$23)+U$24,0)</f>
        <v>0</v>
      </c>
      <c r="V238" s="69" t="n">
        <f aca="false">MIN(V$23,U238)</f>
        <v>0</v>
      </c>
      <c r="W238" s="69" t="n">
        <f aca="false">IF(AND(V$24=1,OR(U$25="",$C238&gt;=U$25)),MAX(0,MIN(U238-V238,$D238-(G238+K238+O238+S238))),0)</f>
        <v>0</v>
      </c>
      <c r="X238" s="69" t="n">
        <f aca="false">U238-V238-W238</f>
        <v>0</v>
      </c>
      <c r="Y238" s="69" t="n">
        <f aca="false">IF(AB237&gt;0.5,AB237*(1+Y$23)+Y$24,0)</f>
        <v>0</v>
      </c>
      <c r="Z238" s="69" t="n">
        <f aca="false">MIN(Z$23,Y238)</f>
        <v>0</v>
      </c>
      <c r="AA238" s="69" t="n">
        <f aca="false">IF(AND(Z$24=1,OR(Y$25="",$C238&gt;=Y$25)),MAX(0,MIN(Y238-Z238,$D238-(G238+K238+O238+S238+W238))),0)</f>
        <v>0</v>
      </c>
      <c r="AB238" s="69" t="n">
        <f aca="false">Y238-Z238-AA238</f>
        <v>0</v>
      </c>
      <c r="AC238" s="69" t="n">
        <f aca="false">IF(AF237&gt;0.5,AF237*(1+AC$23)+AC$24,0)</f>
        <v>0</v>
      </c>
      <c r="AD238" s="69" t="n">
        <f aca="false">MIN(AD$23,AC238)</f>
        <v>0</v>
      </c>
      <c r="AE238" s="69" t="n">
        <f aca="false">IF(AND(AD$24=1,OR(AC$25="",$C238&gt;=AC$25)),MAX(0,MIN(AC238-AD238,$D238-(G238+K238+O238+S238+W238+AA238))),0)</f>
        <v>0</v>
      </c>
      <c r="AF238" s="69" t="n">
        <f aca="false">AC238-AD238-AE238</f>
        <v>0</v>
      </c>
      <c r="AG238" s="69" t="n">
        <f aca="false">IF(AJ237&gt;0.5,AJ237*(1+AG$23)+AG$24,0)</f>
        <v>0</v>
      </c>
      <c r="AH238" s="69" t="n">
        <f aca="false">MIN(AH$23,AG238)</f>
        <v>0</v>
      </c>
      <c r="AI238" s="69" t="n">
        <f aca="false">IF(AND(AH$24=1,OR(AG$25="",$C238&gt;=AG$25)),MAX(0,MIN(AG238-AH238,$D238-(G238+K238+O238+S238+W238+AA238+AE238))),0)</f>
        <v>0</v>
      </c>
      <c r="AJ238" s="69" t="n">
        <f aca="false">AG238-AH238-AI238</f>
        <v>0</v>
      </c>
      <c r="AK238" s="69" t="n">
        <f aca="false">IF(AK237&gt;0.5,AK237*(1+$E$12)+$G$12-MIN($F$12,AK237*(1+$E$12)+$G$12),0)</f>
        <v>0</v>
      </c>
      <c r="AL238" s="69" t="n">
        <f aca="false">IF(AL237&gt;0.5,AL237*(1+$E$13)+$G$13-MIN($F$13,AL237*(1+$E$13)+$G$13),0)</f>
        <v>0</v>
      </c>
      <c r="AM238" s="69" t="n">
        <f aca="false">IF(AM237&gt;0.5,AM237*(1+$E$14)+$G$14-MIN($F$14,AM237*(1+$E$14)+$G$14),0)</f>
        <v>0</v>
      </c>
      <c r="AN238" s="69" t="n">
        <f aca="false">IF(AN237&gt;0.5,AN237*(1+$E$15)+$G$15-MIN($F$15,AN237*(1+$E$15)+$G$15),0)</f>
        <v>0</v>
      </c>
      <c r="AO238" s="69" t="n">
        <f aca="false">IF(AO237&gt;0.5,AO237*(1+$E$16)+$G$16-MIN($F$16,AO237*(1+$E$16)+$G$16),0)</f>
        <v>0</v>
      </c>
      <c r="AP238" s="69" t="n">
        <f aca="false">IF(AP237&gt;0.5,AP237*(1+$E$17)+$G$17-MIN($F$17,AP237*(1+$E$17)+$G$17),0)</f>
        <v>0</v>
      </c>
      <c r="AQ238" s="69" t="n">
        <f aca="false">IF(AQ237&gt;0.5,AQ237*(1+$E$18)+$G$18-MIN($F$18,AQ237*(1+$E$18)+$G$18),0)</f>
        <v>0</v>
      </c>
      <c r="AR238" s="69" t="n">
        <f aca="false">IF(AR237&gt;0.5,AR237*(1+$E$19)+$G$19-MIN($F$19,AR237*(1+$E$19)+$G$19),0)</f>
        <v>0</v>
      </c>
      <c r="AS238" s="69" t="n">
        <f aca="false">H238+L238+P238+T238+X238+AB238+AF238+AJ238</f>
        <v>0</v>
      </c>
      <c r="AT238" s="69" t="n">
        <f aca="false">SUM(AK238:AR238)</f>
        <v>0</v>
      </c>
      <c r="AU238" s="69" t="n">
        <f aca="false">F238+G238+J238+K238+N238+O238+R238+S238+V238+W238+Z238+AA238+AD238+AE238+AH238+AI238</f>
        <v>0</v>
      </c>
    </row>
    <row r="239" customFormat="false" ht="15" hidden="false" customHeight="false" outlineLevel="0" collapsed="false">
      <c r="B239" s="0" t="n">
        <v>212</v>
      </c>
      <c r="C239" s="68" t="n">
        <f aca="false">EDATE($C$7,211)</f>
        <v>52718</v>
      </c>
      <c r="D239" s="69" t="n">
        <f aca="false">$C$8-(F239+J239+N239+R239+V239+Z239+AD239+AH239)</f>
        <v>0</v>
      </c>
      <c r="E239" s="69" t="n">
        <f aca="false">IF(H238&gt;0.5,H238*(1+E$23)+E$24,0)</f>
        <v>0</v>
      </c>
      <c r="F239" s="69" t="n">
        <f aca="false">MIN(F$23,E239)</f>
        <v>0</v>
      </c>
      <c r="G239" s="69" t="n">
        <f aca="false">IF(AND(F$24=1,OR(E$25="",$C239&gt;=E$25)),MAX(0,MIN(E239-F239,$D239-(0))),0)</f>
        <v>0</v>
      </c>
      <c r="H239" s="69" t="n">
        <f aca="false">E239-F239-G239</f>
        <v>0</v>
      </c>
      <c r="I239" s="69" t="n">
        <f aca="false">IF(L238&gt;0.5,L238*(1+I$23)+I$24,0)</f>
        <v>0</v>
      </c>
      <c r="J239" s="69" t="n">
        <f aca="false">MIN(J$23,I239)</f>
        <v>0</v>
      </c>
      <c r="K239" s="69" t="n">
        <f aca="false">IF(AND(J$24=1,OR(I$25="",$C239&gt;=I$25)),MAX(0,MIN(I239-J239,$D239-(G239))),0)</f>
        <v>0</v>
      </c>
      <c r="L239" s="69" t="n">
        <f aca="false">I239-J239-K239</f>
        <v>0</v>
      </c>
      <c r="M239" s="69" t="n">
        <f aca="false">IF(P238&gt;0.5,P238*(1+M$23)+M$24,0)</f>
        <v>0</v>
      </c>
      <c r="N239" s="69" t="n">
        <f aca="false">MIN(N$23,M239)</f>
        <v>0</v>
      </c>
      <c r="O239" s="69" t="n">
        <f aca="false">IF(AND(N$24=1,OR(M$25="",$C239&gt;=M$25)),MAX(0,MIN(M239-N239,$D239-(G239+K239))),0)</f>
        <v>0</v>
      </c>
      <c r="P239" s="69" t="n">
        <f aca="false">M239-N239-O239</f>
        <v>0</v>
      </c>
      <c r="Q239" s="69" t="n">
        <f aca="false">IF(T238&gt;0.5,T238*(1+Q$23)+Q$24,0)</f>
        <v>0</v>
      </c>
      <c r="R239" s="69" t="n">
        <f aca="false">MIN(R$23,Q239)</f>
        <v>0</v>
      </c>
      <c r="S239" s="69" t="n">
        <f aca="false">IF(AND(R$24=1,OR(Q$25="",$C239&gt;=Q$25)),MAX(0,MIN(Q239-R239,$D239-(G239+K239+O239))),0)</f>
        <v>0</v>
      </c>
      <c r="T239" s="69" t="n">
        <f aca="false">Q239-R239-S239</f>
        <v>0</v>
      </c>
      <c r="U239" s="69" t="n">
        <f aca="false">IF(X238&gt;0.5,X238*(1+U$23)+U$24,0)</f>
        <v>0</v>
      </c>
      <c r="V239" s="69" t="n">
        <f aca="false">MIN(V$23,U239)</f>
        <v>0</v>
      </c>
      <c r="W239" s="69" t="n">
        <f aca="false">IF(AND(V$24=1,OR(U$25="",$C239&gt;=U$25)),MAX(0,MIN(U239-V239,$D239-(G239+K239+O239+S239))),0)</f>
        <v>0</v>
      </c>
      <c r="X239" s="69" t="n">
        <f aca="false">U239-V239-W239</f>
        <v>0</v>
      </c>
      <c r="Y239" s="69" t="n">
        <f aca="false">IF(AB238&gt;0.5,AB238*(1+Y$23)+Y$24,0)</f>
        <v>0</v>
      </c>
      <c r="Z239" s="69" t="n">
        <f aca="false">MIN(Z$23,Y239)</f>
        <v>0</v>
      </c>
      <c r="AA239" s="69" t="n">
        <f aca="false">IF(AND(Z$24=1,OR(Y$25="",$C239&gt;=Y$25)),MAX(0,MIN(Y239-Z239,$D239-(G239+K239+O239+S239+W239))),0)</f>
        <v>0</v>
      </c>
      <c r="AB239" s="69" t="n">
        <f aca="false">Y239-Z239-AA239</f>
        <v>0</v>
      </c>
      <c r="AC239" s="69" t="n">
        <f aca="false">IF(AF238&gt;0.5,AF238*(1+AC$23)+AC$24,0)</f>
        <v>0</v>
      </c>
      <c r="AD239" s="69" t="n">
        <f aca="false">MIN(AD$23,AC239)</f>
        <v>0</v>
      </c>
      <c r="AE239" s="69" t="n">
        <f aca="false">IF(AND(AD$24=1,OR(AC$25="",$C239&gt;=AC$25)),MAX(0,MIN(AC239-AD239,$D239-(G239+K239+O239+S239+W239+AA239))),0)</f>
        <v>0</v>
      </c>
      <c r="AF239" s="69" t="n">
        <f aca="false">AC239-AD239-AE239</f>
        <v>0</v>
      </c>
      <c r="AG239" s="69" t="n">
        <f aca="false">IF(AJ238&gt;0.5,AJ238*(1+AG$23)+AG$24,0)</f>
        <v>0</v>
      </c>
      <c r="AH239" s="69" t="n">
        <f aca="false">MIN(AH$23,AG239)</f>
        <v>0</v>
      </c>
      <c r="AI239" s="69" t="n">
        <f aca="false">IF(AND(AH$24=1,OR(AG$25="",$C239&gt;=AG$25)),MAX(0,MIN(AG239-AH239,$D239-(G239+K239+O239+S239+W239+AA239+AE239))),0)</f>
        <v>0</v>
      </c>
      <c r="AJ239" s="69" t="n">
        <f aca="false">AG239-AH239-AI239</f>
        <v>0</v>
      </c>
      <c r="AK239" s="69" t="n">
        <f aca="false">IF(AK238&gt;0.5,AK238*(1+$E$12)+$G$12-MIN($F$12,AK238*(1+$E$12)+$G$12),0)</f>
        <v>0</v>
      </c>
      <c r="AL239" s="69" t="n">
        <f aca="false">IF(AL238&gt;0.5,AL238*(1+$E$13)+$G$13-MIN($F$13,AL238*(1+$E$13)+$G$13),0)</f>
        <v>0</v>
      </c>
      <c r="AM239" s="69" t="n">
        <f aca="false">IF(AM238&gt;0.5,AM238*(1+$E$14)+$G$14-MIN($F$14,AM238*(1+$E$14)+$G$14),0)</f>
        <v>0</v>
      </c>
      <c r="AN239" s="69" t="n">
        <f aca="false">IF(AN238&gt;0.5,AN238*(1+$E$15)+$G$15-MIN($F$15,AN238*(1+$E$15)+$G$15),0)</f>
        <v>0</v>
      </c>
      <c r="AO239" s="69" t="n">
        <f aca="false">IF(AO238&gt;0.5,AO238*(1+$E$16)+$G$16-MIN($F$16,AO238*(1+$E$16)+$G$16),0)</f>
        <v>0</v>
      </c>
      <c r="AP239" s="69" t="n">
        <f aca="false">IF(AP238&gt;0.5,AP238*(1+$E$17)+$G$17-MIN($F$17,AP238*(1+$E$17)+$G$17),0)</f>
        <v>0</v>
      </c>
      <c r="AQ239" s="69" t="n">
        <f aca="false">IF(AQ238&gt;0.5,AQ238*(1+$E$18)+$G$18-MIN($F$18,AQ238*(1+$E$18)+$G$18),0)</f>
        <v>0</v>
      </c>
      <c r="AR239" s="69" t="n">
        <f aca="false">IF(AR238&gt;0.5,AR238*(1+$E$19)+$G$19-MIN($F$19,AR238*(1+$E$19)+$G$19),0)</f>
        <v>0</v>
      </c>
      <c r="AS239" s="69" t="n">
        <f aca="false">H239+L239+P239+T239+X239+AB239+AF239+AJ239</f>
        <v>0</v>
      </c>
      <c r="AT239" s="69" t="n">
        <f aca="false">SUM(AK239:AR239)</f>
        <v>0</v>
      </c>
      <c r="AU239" s="69" t="n">
        <f aca="false">F239+G239+J239+K239+N239+O239+R239+S239+V239+W239+Z239+AA239+AD239+AE239+AH239+AI239</f>
        <v>0</v>
      </c>
    </row>
    <row r="240" customFormat="false" ht="15" hidden="false" customHeight="false" outlineLevel="0" collapsed="false">
      <c r="B240" s="0" t="n">
        <v>213</v>
      </c>
      <c r="C240" s="68" t="n">
        <f aca="false">EDATE($C$7,212)</f>
        <v>52749</v>
      </c>
      <c r="D240" s="69" t="n">
        <f aca="false">$C$8-(F240+J240+N240+R240+V240+Z240+AD240+AH240)</f>
        <v>0</v>
      </c>
      <c r="E240" s="69" t="n">
        <f aca="false">IF(H239&gt;0.5,H239*(1+E$23)+E$24,0)</f>
        <v>0</v>
      </c>
      <c r="F240" s="69" t="n">
        <f aca="false">MIN(F$23,E240)</f>
        <v>0</v>
      </c>
      <c r="G240" s="69" t="n">
        <f aca="false">IF(AND(F$24=1,OR(E$25="",$C240&gt;=E$25)),MAX(0,MIN(E240-F240,$D240-(0))),0)</f>
        <v>0</v>
      </c>
      <c r="H240" s="69" t="n">
        <f aca="false">E240-F240-G240</f>
        <v>0</v>
      </c>
      <c r="I240" s="69" t="n">
        <f aca="false">IF(L239&gt;0.5,L239*(1+I$23)+I$24,0)</f>
        <v>0</v>
      </c>
      <c r="J240" s="69" t="n">
        <f aca="false">MIN(J$23,I240)</f>
        <v>0</v>
      </c>
      <c r="K240" s="69" t="n">
        <f aca="false">IF(AND(J$24=1,OR(I$25="",$C240&gt;=I$25)),MAX(0,MIN(I240-J240,$D240-(G240))),0)</f>
        <v>0</v>
      </c>
      <c r="L240" s="69" t="n">
        <f aca="false">I240-J240-K240</f>
        <v>0</v>
      </c>
      <c r="M240" s="69" t="n">
        <f aca="false">IF(P239&gt;0.5,P239*(1+M$23)+M$24,0)</f>
        <v>0</v>
      </c>
      <c r="N240" s="69" t="n">
        <f aca="false">MIN(N$23,M240)</f>
        <v>0</v>
      </c>
      <c r="O240" s="69" t="n">
        <f aca="false">IF(AND(N$24=1,OR(M$25="",$C240&gt;=M$25)),MAX(0,MIN(M240-N240,$D240-(G240+K240))),0)</f>
        <v>0</v>
      </c>
      <c r="P240" s="69" t="n">
        <f aca="false">M240-N240-O240</f>
        <v>0</v>
      </c>
      <c r="Q240" s="69" t="n">
        <f aca="false">IF(T239&gt;0.5,T239*(1+Q$23)+Q$24,0)</f>
        <v>0</v>
      </c>
      <c r="R240" s="69" t="n">
        <f aca="false">MIN(R$23,Q240)</f>
        <v>0</v>
      </c>
      <c r="S240" s="69" t="n">
        <f aca="false">IF(AND(R$24=1,OR(Q$25="",$C240&gt;=Q$25)),MAX(0,MIN(Q240-R240,$D240-(G240+K240+O240))),0)</f>
        <v>0</v>
      </c>
      <c r="T240" s="69" t="n">
        <f aca="false">Q240-R240-S240</f>
        <v>0</v>
      </c>
      <c r="U240" s="69" t="n">
        <f aca="false">IF(X239&gt;0.5,X239*(1+U$23)+U$24,0)</f>
        <v>0</v>
      </c>
      <c r="V240" s="69" t="n">
        <f aca="false">MIN(V$23,U240)</f>
        <v>0</v>
      </c>
      <c r="W240" s="69" t="n">
        <f aca="false">IF(AND(V$24=1,OR(U$25="",$C240&gt;=U$25)),MAX(0,MIN(U240-V240,$D240-(G240+K240+O240+S240))),0)</f>
        <v>0</v>
      </c>
      <c r="X240" s="69" t="n">
        <f aca="false">U240-V240-W240</f>
        <v>0</v>
      </c>
      <c r="Y240" s="69" t="n">
        <f aca="false">IF(AB239&gt;0.5,AB239*(1+Y$23)+Y$24,0)</f>
        <v>0</v>
      </c>
      <c r="Z240" s="69" t="n">
        <f aca="false">MIN(Z$23,Y240)</f>
        <v>0</v>
      </c>
      <c r="AA240" s="69" t="n">
        <f aca="false">IF(AND(Z$24=1,OR(Y$25="",$C240&gt;=Y$25)),MAX(0,MIN(Y240-Z240,$D240-(G240+K240+O240+S240+W240))),0)</f>
        <v>0</v>
      </c>
      <c r="AB240" s="69" t="n">
        <f aca="false">Y240-Z240-AA240</f>
        <v>0</v>
      </c>
      <c r="AC240" s="69" t="n">
        <f aca="false">IF(AF239&gt;0.5,AF239*(1+AC$23)+AC$24,0)</f>
        <v>0</v>
      </c>
      <c r="AD240" s="69" t="n">
        <f aca="false">MIN(AD$23,AC240)</f>
        <v>0</v>
      </c>
      <c r="AE240" s="69" t="n">
        <f aca="false">IF(AND(AD$24=1,OR(AC$25="",$C240&gt;=AC$25)),MAX(0,MIN(AC240-AD240,$D240-(G240+K240+O240+S240+W240+AA240))),0)</f>
        <v>0</v>
      </c>
      <c r="AF240" s="69" t="n">
        <f aca="false">AC240-AD240-AE240</f>
        <v>0</v>
      </c>
      <c r="AG240" s="69" t="n">
        <f aca="false">IF(AJ239&gt;0.5,AJ239*(1+AG$23)+AG$24,0)</f>
        <v>0</v>
      </c>
      <c r="AH240" s="69" t="n">
        <f aca="false">MIN(AH$23,AG240)</f>
        <v>0</v>
      </c>
      <c r="AI240" s="69" t="n">
        <f aca="false">IF(AND(AH$24=1,OR(AG$25="",$C240&gt;=AG$25)),MAX(0,MIN(AG240-AH240,$D240-(G240+K240+O240+S240+W240+AA240+AE240))),0)</f>
        <v>0</v>
      </c>
      <c r="AJ240" s="69" t="n">
        <f aca="false">AG240-AH240-AI240</f>
        <v>0</v>
      </c>
      <c r="AK240" s="69" t="n">
        <f aca="false">IF(AK239&gt;0.5,AK239*(1+$E$12)+$G$12-MIN($F$12,AK239*(1+$E$12)+$G$12),0)</f>
        <v>0</v>
      </c>
      <c r="AL240" s="69" t="n">
        <f aca="false">IF(AL239&gt;0.5,AL239*(1+$E$13)+$G$13-MIN($F$13,AL239*(1+$E$13)+$G$13),0)</f>
        <v>0</v>
      </c>
      <c r="AM240" s="69" t="n">
        <f aca="false">IF(AM239&gt;0.5,AM239*(1+$E$14)+$G$14-MIN($F$14,AM239*(1+$E$14)+$G$14),0)</f>
        <v>0</v>
      </c>
      <c r="AN240" s="69" t="n">
        <f aca="false">IF(AN239&gt;0.5,AN239*(1+$E$15)+$G$15-MIN($F$15,AN239*(1+$E$15)+$G$15),0)</f>
        <v>0</v>
      </c>
      <c r="AO240" s="69" t="n">
        <f aca="false">IF(AO239&gt;0.5,AO239*(1+$E$16)+$G$16-MIN($F$16,AO239*(1+$E$16)+$G$16),0)</f>
        <v>0</v>
      </c>
      <c r="AP240" s="69" t="n">
        <f aca="false">IF(AP239&gt;0.5,AP239*(1+$E$17)+$G$17-MIN($F$17,AP239*(1+$E$17)+$G$17),0)</f>
        <v>0</v>
      </c>
      <c r="AQ240" s="69" t="n">
        <f aca="false">IF(AQ239&gt;0.5,AQ239*(1+$E$18)+$G$18-MIN($F$18,AQ239*(1+$E$18)+$G$18),0)</f>
        <v>0</v>
      </c>
      <c r="AR240" s="69" t="n">
        <f aca="false">IF(AR239&gt;0.5,AR239*(1+$E$19)+$G$19-MIN($F$19,AR239*(1+$E$19)+$G$19),0)</f>
        <v>0</v>
      </c>
      <c r="AS240" s="69" t="n">
        <f aca="false">H240+L240+P240+T240+X240+AB240+AF240+AJ240</f>
        <v>0</v>
      </c>
      <c r="AT240" s="69" t="n">
        <f aca="false">SUM(AK240:AR240)</f>
        <v>0</v>
      </c>
      <c r="AU240" s="69" t="n">
        <f aca="false">F240+G240+J240+K240+N240+O240+R240+S240+V240+W240+Z240+AA240+AD240+AE240+AH240+AI240</f>
        <v>0</v>
      </c>
    </row>
    <row r="241" customFormat="false" ht="15" hidden="false" customHeight="false" outlineLevel="0" collapsed="false">
      <c r="B241" s="0" t="n">
        <v>214</v>
      </c>
      <c r="C241" s="68" t="n">
        <f aca="false">EDATE($C$7,213)</f>
        <v>52779</v>
      </c>
      <c r="D241" s="69" t="n">
        <f aca="false">$C$8-(F241+J241+N241+R241+V241+Z241+AD241+AH241)</f>
        <v>0</v>
      </c>
      <c r="E241" s="69" t="n">
        <f aca="false">IF(H240&gt;0.5,H240*(1+E$23)+E$24,0)</f>
        <v>0</v>
      </c>
      <c r="F241" s="69" t="n">
        <f aca="false">MIN(F$23,E241)</f>
        <v>0</v>
      </c>
      <c r="G241" s="69" t="n">
        <f aca="false">IF(AND(F$24=1,OR(E$25="",$C241&gt;=E$25)),MAX(0,MIN(E241-F241,$D241-(0))),0)</f>
        <v>0</v>
      </c>
      <c r="H241" s="69" t="n">
        <f aca="false">E241-F241-G241</f>
        <v>0</v>
      </c>
      <c r="I241" s="69" t="n">
        <f aca="false">IF(L240&gt;0.5,L240*(1+I$23)+I$24,0)</f>
        <v>0</v>
      </c>
      <c r="J241" s="69" t="n">
        <f aca="false">MIN(J$23,I241)</f>
        <v>0</v>
      </c>
      <c r="K241" s="69" t="n">
        <f aca="false">IF(AND(J$24=1,OR(I$25="",$C241&gt;=I$25)),MAX(0,MIN(I241-J241,$D241-(G241))),0)</f>
        <v>0</v>
      </c>
      <c r="L241" s="69" t="n">
        <f aca="false">I241-J241-K241</f>
        <v>0</v>
      </c>
      <c r="M241" s="69" t="n">
        <f aca="false">IF(P240&gt;0.5,P240*(1+M$23)+M$24,0)</f>
        <v>0</v>
      </c>
      <c r="N241" s="69" t="n">
        <f aca="false">MIN(N$23,M241)</f>
        <v>0</v>
      </c>
      <c r="O241" s="69" t="n">
        <f aca="false">IF(AND(N$24=1,OR(M$25="",$C241&gt;=M$25)),MAX(0,MIN(M241-N241,$D241-(G241+K241))),0)</f>
        <v>0</v>
      </c>
      <c r="P241" s="69" t="n">
        <f aca="false">M241-N241-O241</f>
        <v>0</v>
      </c>
      <c r="Q241" s="69" t="n">
        <f aca="false">IF(T240&gt;0.5,T240*(1+Q$23)+Q$24,0)</f>
        <v>0</v>
      </c>
      <c r="R241" s="69" t="n">
        <f aca="false">MIN(R$23,Q241)</f>
        <v>0</v>
      </c>
      <c r="S241" s="69" t="n">
        <f aca="false">IF(AND(R$24=1,OR(Q$25="",$C241&gt;=Q$25)),MAX(0,MIN(Q241-R241,$D241-(G241+K241+O241))),0)</f>
        <v>0</v>
      </c>
      <c r="T241" s="69" t="n">
        <f aca="false">Q241-R241-S241</f>
        <v>0</v>
      </c>
      <c r="U241" s="69" t="n">
        <f aca="false">IF(X240&gt;0.5,X240*(1+U$23)+U$24,0)</f>
        <v>0</v>
      </c>
      <c r="V241" s="69" t="n">
        <f aca="false">MIN(V$23,U241)</f>
        <v>0</v>
      </c>
      <c r="W241" s="69" t="n">
        <f aca="false">IF(AND(V$24=1,OR(U$25="",$C241&gt;=U$25)),MAX(0,MIN(U241-V241,$D241-(G241+K241+O241+S241))),0)</f>
        <v>0</v>
      </c>
      <c r="X241" s="69" t="n">
        <f aca="false">U241-V241-W241</f>
        <v>0</v>
      </c>
      <c r="Y241" s="69" t="n">
        <f aca="false">IF(AB240&gt;0.5,AB240*(1+Y$23)+Y$24,0)</f>
        <v>0</v>
      </c>
      <c r="Z241" s="69" t="n">
        <f aca="false">MIN(Z$23,Y241)</f>
        <v>0</v>
      </c>
      <c r="AA241" s="69" t="n">
        <f aca="false">IF(AND(Z$24=1,OR(Y$25="",$C241&gt;=Y$25)),MAX(0,MIN(Y241-Z241,$D241-(G241+K241+O241+S241+W241))),0)</f>
        <v>0</v>
      </c>
      <c r="AB241" s="69" t="n">
        <f aca="false">Y241-Z241-AA241</f>
        <v>0</v>
      </c>
      <c r="AC241" s="69" t="n">
        <f aca="false">IF(AF240&gt;0.5,AF240*(1+AC$23)+AC$24,0)</f>
        <v>0</v>
      </c>
      <c r="AD241" s="69" t="n">
        <f aca="false">MIN(AD$23,AC241)</f>
        <v>0</v>
      </c>
      <c r="AE241" s="69" t="n">
        <f aca="false">IF(AND(AD$24=1,OR(AC$25="",$C241&gt;=AC$25)),MAX(0,MIN(AC241-AD241,$D241-(G241+K241+O241+S241+W241+AA241))),0)</f>
        <v>0</v>
      </c>
      <c r="AF241" s="69" t="n">
        <f aca="false">AC241-AD241-AE241</f>
        <v>0</v>
      </c>
      <c r="AG241" s="69" t="n">
        <f aca="false">IF(AJ240&gt;0.5,AJ240*(1+AG$23)+AG$24,0)</f>
        <v>0</v>
      </c>
      <c r="AH241" s="69" t="n">
        <f aca="false">MIN(AH$23,AG241)</f>
        <v>0</v>
      </c>
      <c r="AI241" s="69" t="n">
        <f aca="false">IF(AND(AH$24=1,OR(AG$25="",$C241&gt;=AG$25)),MAX(0,MIN(AG241-AH241,$D241-(G241+K241+O241+S241+W241+AA241+AE241))),0)</f>
        <v>0</v>
      </c>
      <c r="AJ241" s="69" t="n">
        <f aca="false">AG241-AH241-AI241</f>
        <v>0</v>
      </c>
      <c r="AK241" s="69" t="n">
        <f aca="false">IF(AK240&gt;0.5,AK240*(1+$E$12)+$G$12-MIN($F$12,AK240*(1+$E$12)+$G$12),0)</f>
        <v>0</v>
      </c>
      <c r="AL241" s="69" t="n">
        <f aca="false">IF(AL240&gt;0.5,AL240*(1+$E$13)+$G$13-MIN($F$13,AL240*(1+$E$13)+$G$13),0)</f>
        <v>0</v>
      </c>
      <c r="AM241" s="69" t="n">
        <f aca="false">IF(AM240&gt;0.5,AM240*(1+$E$14)+$G$14-MIN($F$14,AM240*(1+$E$14)+$G$14),0)</f>
        <v>0</v>
      </c>
      <c r="AN241" s="69" t="n">
        <f aca="false">IF(AN240&gt;0.5,AN240*(1+$E$15)+$G$15-MIN($F$15,AN240*(1+$E$15)+$G$15),0)</f>
        <v>0</v>
      </c>
      <c r="AO241" s="69" t="n">
        <f aca="false">IF(AO240&gt;0.5,AO240*(1+$E$16)+$G$16-MIN($F$16,AO240*(1+$E$16)+$G$16),0)</f>
        <v>0</v>
      </c>
      <c r="AP241" s="69" t="n">
        <f aca="false">IF(AP240&gt;0.5,AP240*(1+$E$17)+$G$17-MIN($F$17,AP240*(1+$E$17)+$G$17),0)</f>
        <v>0</v>
      </c>
      <c r="AQ241" s="69" t="n">
        <f aca="false">IF(AQ240&gt;0.5,AQ240*(1+$E$18)+$G$18-MIN($F$18,AQ240*(1+$E$18)+$G$18),0)</f>
        <v>0</v>
      </c>
      <c r="AR241" s="69" t="n">
        <f aca="false">IF(AR240&gt;0.5,AR240*(1+$E$19)+$G$19-MIN($F$19,AR240*(1+$E$19)+$G$19),0)</f>
        <v>0</v>
      </c>
      <c r="AS241" s="69" t="n">
        <f aca="false">H241+L241+P241+T241+X241+AB241+AF241+AJ241</f>
        <v>0</v>
      </c>
      <c r="AT241" s="69" t="n">
        <f aca="false">SUM(AK241:AR241)</f>
        <v>0</v>
      </c>
      <c r="AU241" s="69" t="n">
        <f aca="false">F241+G241+J241+K241+N241+O241+R241+S241+V241+W241+Z241+AA241+AD241+AE241+AH241+AI241</f>
        <v>0</v>
      </c>
    </row>
    <row r="242" customFormat="false" ht="15" hidden="false" customHeight="false" outlineLevel="0" collapsed="false">
      <c r="B242" s="0" t="n">
        <v>215</v>
      </c>
      <c r="C242" s="68" t="n">
        <f aca="false">EDATE($C$7,214)</f>
        <v>52810</v>
      </c>
      <c r="D242" s="69" t="n">
        <f aca="false">$C$8-(F242+J242+N242+R242+V242+Z242+AD242+AH242)</f>
        <v>0</v>
      </c>
      <c r="E242" s="69" t="n">
        <f aca="false">IF(H241&gt;0.5,H241*(1+E$23)+E$24,0)</f>
        <v>0</v>
      </c>
      <c r="F242" s="69" t="n">
        <f aca="false">MIN(F$23,E242)</f>
        <v>0</v>
      </c>
      <c r="G242" s="69" t="n">
        <f aca="false">IF(AND(F$24=1,OR(E$25="",$C242&gt;=E$25)),MAX(0,MIN(E242-F242,$D242-(0))),0)</f>
        <v>0</v>
      </c>
      <c r="H242" s="69" t="n">
        <f aca="false">E242-F242-G242</f>
        <v>0</v>
      </c>
      <c r="I242" s="69" t="n">
        <f aca="false">IF(L241&gt;0.5,L241*(1+I$23)+I$24,0)</f>
        <v>0</v>
      </c>
      <c r="J242" s="69" t="n">
        <f aca="false">MIN(J$23,I242)</f>
        <v>0</v>
      </c>
      <c r="K242" s="69" t="n">
        <f aca="false">IF(AND(J$24=1,OR(I$25="",$C242&gt;=I$25)),MAX(0,MIN(I242-J242,$D242-(G242))),0)</f>
        <v>0</v>
      </c>
      <c r="L242" s="69" t="n">
        <f aca="false">I242-J242-K242</f>
        <v>0</v>
      </c>
      <c r="M242" s="69" t="n">
        <f aca="false">IF(P241&gt;0.5,P241*(1+M$23)+M$24,0)</f>
        <v>0</v>
      </c>
      <c r="N242" s="69" t="n">
        <f aca="false">MIN(N$23,M242)</f>
        <v>0</v>
      </c>
      <c r="O242" s="69" t="n">
        <f aca="false">IF(AND(N$24=1,OR(M$25="",$C242&gt;=M$25)),MAX(0,MIN(M242-N242,$D242-(G242+K242))),0)</f>
        <v>0</v>
      </c>
      <c r="P242" s="69" t="n">
        <f aca="false">M242-N242-O242</f>
        <v>0</v>
      </c>
      <c r="Q242" s="69" t="n">
        <f aca="false">IF(T241&gt;0.5,T241*(1+Q$23)+Q$24,0)</f>
        <v>0</v>
      </c>
      <c r="R242" s="69" t="n">
        <f aca="false">MIN(R$23,Q242)</f>
        <v>0</v>
      </c>
      <c r="S242" s="69" t="n">
        <f aca="false">IF(AND(R$24=1,OR(Q$25="",$C242&gt;=Q$25)),MAX(0,MIN(Q242-R242,$D242-(G242+K242+O242))),0)</f>
        <v>0</v>
      </c>
      <c r="T242" s="69" t="n">
        <f aca="false">Q242-R242-S242</f>
        <v>0</v>
      </c>
      <c r="U242" s="69" t="n">
        <f aca="false">IF(X241&gt;0.5,X241*(1+U$23)+U$24,0)</f>
        <v>0</v>
      </c>
      <c r="V242" s="69" t="n">
        <f aca="false">MIN(V$23,U242)</f>
        <v>0</v>
      </c>
      <c r="W242" s="69" t="n">
        <f aca="false">IF(AND(V$24=1,OR(U$25="",$C242&gt;=U$25)),MAX(0,MIN(U242-V242,$D242-(G242+K242+O242+S242))),0)</f>
        <v>0</v>
      </c>
      <c r="X242" s="69" t="n">
        <f aca="false">U242-V242-W242</f>
        <v>0</v>
      </c>
      <c r="Y242" s="69" t="n">
        <f aca="false">IF(AB241&gt;0.5,AB241*(1+Y$23)+Y$24,0)</f>
        <v>0</v>
      </c>
      <c r="Z242" s="69" t="n">
        <f aca="false">MIN(Z$23,Y242)</f>
        <v>0</v>
      </c>
      <c r="AA242" s="69" t="n">
        <f aca="false">IF(AND(Z$24=1,OR(Y$25="",$C242&gt;=Y$25)),MAX(0,MIN(Y242-Z242,$D242-(G242+K242+O242+S242+W242))),0)</f>
        <v>0</v>
      </c>
      <c r="AB242" s="69" t="n">
        <f aca="false">Y242-Z242-AA242</f>
        <v>0</v>
      </c>
      <c r="AC242" s="69" t="n">
        <f aca="false">IF(AF241&gt;0.5,AF241*(1+AC$23)+AC$24,0)</f>
        <v>0</v>
      </c>
      <c r="AD242" s="69" t="n">
        <f aca="false">MIN(AD$23,AC242)</f>
        <v>0</v>
      </c>
      <c r="AE242" s="69" t="n">
        <f aca="false">IF(AND(AD$24=1,OR(AC$25="",$C242&gt;=AC$25)),MAX(0,MIN(AC242-AD242,$D242-(G242+K242+O242+S242+W242+AA242))),0)</f>
        <v>0</v>
      </c>
      <c r="AF242" s="69" t="n">
        <f aca="false">AC242-AD242-AE242</f>
        <v>0</v>
      </c>
      <c r="AG242" s="69" t="n">
        <f aca="false">IF(AJ241&gt;0.5,AJ241*(1+AG$23)+AG$24,0)</f>
        <v>0</v>
      </c>
      <c r="AH242" s="69" t="n">
        <f aca="false">MIN(AH$23,AG242)</f>
        <v>0</v>
      </c>
      <c r="AI242" s="69" t="n">
        <f aca="false">IF(AND(AH$24=1,OR(AG$25="",$C242&gt;=AG$25)),MAX(0,MIN(AG242-AH242,$D242-(G242+K242+O242+S242+W242+AA242+AE242))),0)</f>
        <v>0</v>
      </c>
      <c r="AJ242" s="69" t="n">
        <f aca="false">AG242-AH242-AI242</f>
        <v>0</v>
      </c>
      <c r="AK242" s="69" t="n">
        <f aca="false">IF(AK241&gt;0.5,AK241*(1+$E$12)+$G$12-MIN($F$12,AK241*(1+$E$12)+$G$12),0)</f>
        <v>0</v>
      </c>
      <c r="AL242" s="69" t="n">
        <f aca="false">IF(AL241&gt;0.5,AL241*(1+$E$13)+$G$13-MIN($F$13,AL241*(1+$E$13)+$G$13),0)</f>
        <v>0</v>
      </c>
      <c r="AM242" s="69" t="n">
        <f aca="false">IF(AM241&gt;0.5,AM241*(1+$E$14)+$G$14-MIN($F$14,AM241*(1+$E$14)+$G$14),0)</f>
        <v>0</v>
      </c>
      <c r="AN242" s="69" t="n">
        <f aca="false">IF(AN241&gt;0.5,AN241*(1+$E$15)+$G$15-MIN($F$15,AN241*(1+$E$15)+$G$15),0)</f>
        <v>0</v>
      </c>
      <c r="AO242" s="69" t="n">
        <f aca="false">IF(AO241&gt;0.5,AO241*(1+$E$16)+$G$16-MIN($F$16,AO241*(1+$E$16)+$G$16),0)</f>
        <v>0</v>
      </c>
      <c r="AP242" s="69" t="n">
        <f aca="false">IF(AP241&gt;0.5,AP241*(1+$E$17)+$G$17-MIN($F$17,AP241*(1+$E$17)+$G$17),0)</f>
        <v>0</v>
      </c>
      <c r="AQ242" s="69" t="n">
        <f aca="false">IF(AQ241&gt;0.5,AQ241*(1+$E$18)+$G$18-MIN($F$18,AQ241*(1+$E$18)+$G$18),0)</f>
        <v>0</v>
      </c>
      <c r="AR242" s="69" t="n">
        <f aca="false">IF(AR241&gt;0.5,AR241*(1+$E$19)+$G$19-MIN($F$19,AR241*(1+$E$19)+$G$19),0)</f>
        <v>0</v>
      </c>
      <c r="AS242" s="69" t="n">
        <f aca="false">H242+L242+P242+T242+X242+AB242+AF242+AJ242</f>
        <v>0</v>
      </c>
      <c r="AT242" s="69" t="n">
        <f aca="false">SUM(AK242:AR242)</f>
        <v>0</v>
      </c>
      <c r="AU242" s="69" t="n">
        <f aca="false">F242+G242+J242+K242+N242+O242+R242+S242+V242+W242+Z242+AA242+AD242+AE242+AH242+AI242</f>
        <v>0</v>
      </c>
    </row>
    <row r="243" customFormat="false" ht="15" hidden="false" customHeight="false" outlineLevel="0" collapsed="false">
      <c r="B243" s="0" t="n">
        <v>216</v>
      </c>
      <c r="C243" s="68" t="n">
        <f aca="false">EDATE($C$7,215)</f>
        <v>52841</v>
      </c>
      <c r="D243" s="69" t="n">
        <f aca="false">$C$8-(F243+J243+N243+R243+V243+Z243+AD243+AH243)</f>
        <v>0</v>
      </c>
      <c r="E243" s="69" t="n">
        <f aca="false">IF(H242&gt;0.5,H242*(1+E$23)+E$24,0)</f>
        <v>0</v>
      </c>
      <c r="F243" s="69" t="n">
        <f aca="false">MIN(F$23,E243)</f>
        <v>0</v>
      </c>
      <c r="G243" s="69" t="n">
        <f aca="false">IF(AND(F$24=1,OR(E$25="",$C243&gt;=E$25)),MAX(0,MIN(E243-F243,$D243-(0))),0)</f>
        <v>0</v>
      </c>
      <c r="H243" s="69" t="n">
        <f aca="false">E243-F243-G243</f>
        <v>0</v>
      </c>
      <c r="I243" s="69" t="n">
        <f aca="false">IF(L242&gt;0.5,L242*(1+I$23)+I$24,0)</f>
        <v>0</v>
      </c>
      <c r="J243" s="69" t="n">
        <f aca="false">MIN(J$23,I243)</f>
        <v>0</v>
      </c>
      <c r="K243" s="69" t="n">
        <f aca="false">IF(AND(J$24=1,OR(I$25="",$C243&gt;=I$25)),MAX(0,MIN(I243-J243,$D243-(G243))),0)</f>
        <v>0</v>
      </c>
      <c r="L243" s="69" t="n">
        <f aca="false">I243-J243-K243</f>
        <v>0</v>
      </c>
      <c r="M243" s="69" t="n">
        <f aca="false">IF(P242&gt;0.5,P242*(1+M$23)+M$24,0)</f>
        <v>0</v>
      </c>
      <c r="N243" s="69" t="n">
        <f aca="false">MIN(N$23,M243)</f>
        <v>0</v>
      </c>
      <c r="O243" s="69" t="n">
        <f aca="false">IF(AND(N$24=1,OR(M$25="",$C243&gt;=M$25)),MAX(0,MIN(M243-N243,$D243-(G243+K243))),0)</f>
        <v>0</v>
      </c>
      <c r="P243" s="69" t="n">
        <f aca="false">M243-N243-O243</f>
        <v>0</v>
      </c>
      <c r="Q243" s="69" t="n">
        <f aca="false">IF(T242&gt;0.5,T242*(1+Q$23)+Q$24,0)</f>
        <v>0</v>
      </c>
      <c r="R243" s="69" t="n">
        <f aca="false">MIN(R$23,Q243)</f>
        <v>0</v>
      </c>
      <c r="S243" s="69" t="n">
        <f aca="false">IF(AND(R$24=1,OR(Q$25="",$C243&gt;=Q$25)),MAX(0,MIN(Q243-R243,$D243-(G243+K243+O243))),0)</f>
        <v>0</v>
      </c>
      <c r="T243" s="69" t="n">
        <f aca="false">Q243-R243-S243</f>
        <v>0</v>
      </c>
      <c r="U243" s="69" t="n">
        <f aca="false">IF(X242&gt;0.5,X242*(1+U$23)+U$24,0)</f>
        <v>0</v>
      </c>
      <c r="V243" s="69" t="n">
        <f aca="false">MIN(V$23,U243)</f>
        <v>0</v>
      </c>
      <c r="W243" s="69" t="n">
        <f aca="false">IF(AND(V$24=1,OR(U$25="",$C243&gt;=U$25)),MAX(0,MIN(U243-V243,$D243-(G243+K243+O243+S243))),0)</f>
        <v>0</v>
      </c>
      <c r="X243" s="69" t="n">
        <f aca="false">U243-V243-W243</f>
        <v>0</v>
      </c>
      <c r="Y243" s="69" t="n">
        <f aca="false">IF(AB242&gt;0.5,AB242*(1+Y$23)+Y$24,0)</f>
        <v>0</v>
      </c>
      <c r="Z243" s="69" t="n">
        <f aca="false">MIN(Z$23,Y243)</f>
        <v>0</v>
      </c>
      <c r="AA243" s="69" t="n">
        <f aca="false">IF(AND(Z$24=1,OR(Y$25="",$C243&gt;=Y$25)),MAX(0,MIN(Y243-Z243,$D243-(G243+K243+O243+S243+W243))),0)</f>
        <v>0</v>
      </c>
      <c r="AB243" s="69" t="n">
        <f aca="false">Y243-Z243-AA243</f>
        <v>0</v>
      </c>
      <c r="AC243" s="69" t="n">
        <f aca="false">IF(AF242&gt;0.5,AF242*(1+AC$23)+AC$24,0)</f>
        <v>0</v>
      </c>
      <c r="AD243" s="69" t="n">
        <f aca="false">MIN(AD$23,AC243)</f>
        <v>0</v>
      </c>
      <c r="AE243" s="69" t="n">
        <f aca="false">IF(AND(AD$24=1,OR(AC$25="",$C243&gt;=AC$25)),MAX(0,MIN(AC243-AD243,$D243-(G243+K243+O243+S243+W243+AA243))),0)</f>
        <v>0</v>
      </c>
      <c r="AF243" s="69" t="n">
        <f aca="false">AC243-AD243-AE243</f>
        <v>0</v>
      </c>
      <c r="AG243" s="69" t="n">
        <f aca="false">IF(AJ242&gt;0.5,AJ242*(1+AG$23)+AG$24,0)</f>
        <v>0</v>
      </c>
      <c r="AH243" s="69" t="n">
        <f aca="false">MIN(AH$23,AG243)</f>
        <v>0</v>
      </c>
      <c r="AI243" s="69" t="n">
        <f aca="false">IF(AND(AH$24=1,OR(AG$25="",$C243&gt;=AG$25)),MAX(0,MIN(AG243-AH243,$D243-(G243+K243+O243+S243+W243+AA243+AE243))),0)</f>
        <v>0</v>
      </c>
      <c r="AJ243" s="69" t="n">
        <f aca="false">AG243-AH243-AI243</f>
        <v>0</v>
      </c>
      <c r="AK243" s="69" t="n">
        <f aca="false">IF(AK242&gt;0.5,AK242*(1+$E$12)+$G$12-MIN($F$12,AK242*(1+$E$12)+$G$12),0)</f>
        <v>0</v>
      </c>
      <c r="AL243" s="69" t="n">
        <f aca="false">IF(AL242&gt;0.5,AL242*(1+$E$13)+$G$13-MIN($F$13,AL242*(1+$E$13)+$G$13),0)</f>
        <v>0</v>
      </c>
      <c r="AM243" s="69" t="n">
        <f aca="false">IF(AM242&gt;0.5,AM242*(1+$E$14)+$G$14-MIN($F$14,AM242*(1+$E$14)+$G$14),0)</f>
        <v>0</v>
      </c>
      <c r="AN243" s="69" t="n">
        <f aca="false">IF(AN242&gt;0.5,AN242*(1+$E$15)+$G$15-MIN($F$15,AN242*(1+$E$15)+$G$15),0)</f>
        <v>0</v>
      </c>
      <c r="AO243" s="69" t="n">
        <f aca="false">IF(AO242&gt;0.5,AO242*(1+$E$16)+$G$16-MIN($F$16,AO242*(1+$E$16)+$G$16),0)</f>
        <v>0</v>
      </c>
      <c r="AP243" s="69" t="n">
        <f aca="false">IF(AP242&gt;0.5,AP242*(1+$E$17)+$G$17-MIN($F$17,AP242*(1+$E$17)+$G$17),0)</f>
        <v>0</v>
      </c>
      <c r="AQ243" s="69" t="n">
        <f aca="false">IF(AQ242&gt;0.5,AQ242*(1+$E$18)+$G$18-MIN($F$18,AQ242*(1+$E$18)+$G$18),0)</f>
        <v>0</v>
      </c>
      <c r="AR243" s="69" t="n">
        <f aca="false">IF(AR242&gt;0.5,AR242*(1+$E$19)+$G$19-MIN($F$19,AR242*(1+$E$19)+$G$19),0)</f>
        <v>0</v>
      </c>
      <c r="AS243" s="69" t="n">
        <f aca="false">H243+L243+P243+T243+X243+AB243+AF243+AJ243</f>
        <v>0</v>
      </c>
      <c r="AT243" s="69" t="n">
        <f aca="false">SUM(AK243:AR243)</f>
        <v>0</v>
      </c>
      <c r="AU243" s="69" t="n">
        <f aca="false">F243+G243+J243+K243+N243+O243+R243+S243+V243+W243+Z243+AA243+AD243+AE243+AH243+AI243</f>
        <v>0</v>
      </c>
    </row>
    <row r="244" customFormat="false" ht="15" hidden="false" customHeight="false" outlineLevel="0" collapsed="false">
      <c r="B244" s="0" t="n">
        <v>217</v>
      </c>
      <c r="C244" s="68" t="n">
        <f aca="false">EDATE($C$7,216)</f>
        <v>52871</v>
      </c>
      <c r="D244" s="69" t="n">
        <f aca="false">$C$8-(F244+J244+N244+R244+V244+Z244+AD244+AH244)</f>
        <v>0</v>
      </c>
      <c r="E244" s="69" t="n">
        <f aca="false">IF(H243&gt;0.5,H243*(1+E$23)+E$24,0)</f>
        <v>0</v>
      </c>
      <c r="F244" s="69" t="n">
        <f aca="false">MIN(F$23,E244)</f>
        <v>0</v>
      </c>
      <c r="G244" s="69" t="n">
        <f aca="false">IF(AND(F$24=1,OR(E$25="",$C244&gt;=E$25)),MAX(0,MIN(E244-F244,$D244-(0))),0)</f>
        <v>0</v>
      </c>
      <c r="H244" s="69" t="n">
        <f aca="false">E244-F244-G244</f>
        <v>0</v>
      </c>
      <c r="I244" s="69" t="n">
        <f aca="false">IF(L243&gt;0.5,L243*(1+I$23)+I$24,0)</f>
        <v>0</v>
      </c>
      <c r="J244" s="69" t="n">
        <f aca="false">MIN(J$23,I244)</f>
        <v>0</v>
      </c>
      <c r="K244" s="69" t="n">
        <f aca="false">IF(AND(J$24=1,OR(I$25="",$C244&gt;=I$25)),MAX(0,MIN(I244-J244,$D244-(G244))),0)</f>
        <v>0</v>
      </c>
      <c r="L244" s="69" t="n">
        <f aca="false">I244-J244-K244</f>
        <v>0</v>
      </c>
      <c r="M244" s="69" t="n">
        <f aca="false">IF(P243&gt;0.5,P243*(1+M$23)+M$24,0)</f>
        <v>0</v>
      </c>
      <c r="N244" s="69" t="n">
        <f aca="false">MIN(N$23,M244)</f>
        <v>0</v>
      </c>
      <c r="O244" s="69" t="n">
        <f aca="false">IF(AND(N$24=1,OR(M$25="",$C244&gt;=M$25)),MAX(0,MIN(M244-N244,$D244-(G244+K244))),0)</f>
        <v>0</v>
      </c>
      <c r="P244" s="69" t="n">
        <f aca="false">M244-N244-O244</f>
        <v>0</v>
      </c>
      <c r="Q244" s="69" t="n">
        <f aca="false">IF(T243&gt;0.5,T243*(1+Q$23)+Q$24,0)</f>
        <v>0</v>
      </c>
      <c r="R244" s="69" t="n">
        <f aca="false">MIN(R$23,Q244)</f>
        <v>0</v>
      </c>
      <c r="S244" s="69" t="n">
        <f aca="false">IF(AND(R$24=1,OR(Q$25="",$C244&gt;=Q$25)),MAX(0,MIN(Q244-R244,$D244-(G244+K244+O244))),0)</f>
        <v>0</v>
      </c>
      <c r="T244" s="69" t="n">
        <f aca="false">Q244-R244-S244</f>
        <v>0</v>
      </c>
      <c r="U244" s="69" t="n">
        <f aca="false">IF(X243&gt;0.5,X243*(1+U$23)+U$24,0)</f>
        <v>0</v>
      </c>
      <c r="V244" s="69" t="n">
        <f aca="false">MIN(V$23,U244)</f>
        <v>0</v>
      </c>
      <c r="W244" s="69" t="n">
        <f aca="false">IF(AND(V$24=1,OR(U$25="",$C244&gt;=U$25)),MAX(0,MIN(U244-V244,$D244-(G244+K244+O244+S244))),0)</f>
        <v>0</v>
      </c>
      <c r="X244" s="69" t="n">
        <f aca="false">U244-V244-W244</f>
        <v>0</v>
      </c>
      <c r="Y244" s="69" t="n">
        <f aca="false">IF(AB243&gt;0.5,AB243*(1+Y$23)+Y$24,0)</f>
        <v>0</v>
      </c>
      <c r="Z244" s="69" t="n">
        <f aca="false">MIN(Z$23,Y244)</f>
        <v>0</v>
      </c>
      <c r="AA244" s="69" t="n">
        <f aca="false">IF(AND(Z$24=1,OR(Y$25="",$C244&gt;=Y$25)),MAX(0,MIN(Y244-Z244,$D244-(G244+K244+O244+S244+W244))),0)</f>
        <v>0</v>
      </c>
      <c r="AB244" s="69" t="n">
        <f aca="false">Y244-Z244-AA244</f>
        <v>0</v>
      </c>
      <c r="AC244" s="69" t="n">
        <f aca="false">IF(AF243&gt;0.5,AF243*(1+AC$23)+AC$24,0)</f>
        <v>0</v>
      </c>
      <c r="AD244" s="69" t="n">
        <f aca="false">MIN(AD$23,AC244)</f>
        <v>0</v>
      </c>
      <c r="AE244" s="69" t="n">
        <f aca="false">IF(AND(AD$24=1,OR(AC$25="",$C244&gt;=AC$25)),MAX(0,MIN(AC244-AD244,$D244-(G244+K244+O244+S244+W244+AA244))),0)</f>
        <v>0</v>
      </c>
      <c r="AF244" s="69" t="n">
        <f aca="false">AC244-AD244-AE244</f>
        <v>0</v>
      </c>
      <c r="AG244" s="69" t="n">
        <f aca="false">IF(AJ243&gt;0.5,AJ243*(1+AG$23)+AG$24,0)</f>
        <v>0</v>
      </c>
      <c r="AH244" s="69" t="n">
        <f aca="false">MIN(AH$23,AG244)</f>
        <v>0</v>
      </c>
      <c r="AI244" s="69" t="n">
        <f aca="false">IF(AND(AH$24=1,OR(AG$25="",$C244&gt;=AG$25)),MAX(0,MIN(AG244-AH244,$D244-(G244+K244+O244+S244+W244+AA244+AE244))),0)</f>
        <v>0</v>
      </c>
      <c r="AJ244" s="69" t="n">
        <f aca="false">AG244-AH244-AI244</f>
        <v>0</v>
      </c>
      <c r="AK244" s="69" t="n">
        <f aca="false">IF(AK243&gt;0.5,AK243*(1+$E$12)+$G$12-MIN($F$12,AK243*(1+$E$12)+$G$12),0)</f>
        <v>0</v>
      </c>
      <c r="AL244" s="69" t="n">
        <f aca="false">IF(AL243&gt;0.5,AL243*(1+$E$13)+$G$13-MIN($F$13,AL243*(1+$E$13)+$G$13),0)</f>
        <v>0</v>
      </c>
      <c r="AM244" s="69" t="n">
        <f aca="false">IF(AM243&gt;0.5,AM243*(1+$E$14)+$G$14-MIN($F$14,AM243*(1+$E$14)+$G$14),0)</f>
        <v>0</v>
      </c>
      <c r="AN244" s="69" t="n">
        <f aca="false">IF(AN243&gt;0.5,AN243*(1+$E$15)+$G$15-MIN($F$15,AN243*(1+$E$15)+$G$15),0)</f>
        <v>0</v>
      </c>
      <c r="AO244" s="69" t="n">
        <f aca="false">IF(AO243&gt;0.5,AO243*(1+$E$16)+$G$16-MIN($F$16,AO243*(1+$E$16)+$G$16),0)</f>
        <v>0</v>
      </c>
      <c r="AP244" s="69" t="n">
        <f aca="false">IF(AP243&gt;0.5,AP243*(1+$E$17)+$G$17-MIN($F$17,AP243*(1+$E$17)+$G$17),0)</f>
        <v>0</v>
      </c>
      <c r="AQ244" s="69" t="n">
        <f aca="false">IF(AQ243&gt;0.5,AQ243*(1+$E$18)+$G$18-MIN($F$18,AQ243*(1+$E$18)+$G$18),0)</f>
        <v>0</v>
      </c>
      <c r="AR244" s="69" t="n">
        <f aca="false">IF(AR243&gt;0.5,AR243*(1+$E$19)+$G$19-MIN($F$19,AR243*(1+$E$19)+$G$19),0)</f>
        <v>0</v>
      </c>
      <c r="AS244" s="69" t="n">
        <f aca="false">H244+L244+P244+T244+X244+AB244+AF244+AJ244</f>
        <v>0</v>
      </c>
      <c r="AT244" s="69" t="n">
        <f aca="false">SUM(AK244:AR244)</f>
        <v>0</v>
      </c>
      <c r="AU244" s="69" t="n">
        <f aca="false">F244+G244+J244+K244+N244+O244+R244+S244+V244+W244+Z244+AA244+AD244+AE244+AH244+AI244</f>
        <v>0</v>
      </c>
    </row>
    <row r="245" customFormat="false" ht="15" hidden="false" customHeight="false" outlineLevel="0" collapsed="false">
      <c r="B245" s="0" t="n">
        <v>218</v>
      </c>
      <c r="C245" s="68" t="n">
        <f aca="false">EDATE($C$7,217)</f>
        <v>52902</v>
      </c>
      <c r="D245" s="69" t="n">
        <f aca="false">$C$8-(F245+J245+N245+R245+V245+Z245+AD245+AH245)</f>
        <v>0</v>
      </c>
      <c r="E245" s="69" t="n">
        <f aca="false">IF(H244&gt;0.5,H244*(1+E$23)+E$24,0)</f>
        <v>0</v>
      </c>
      <c r="F245" s="69" t="n">
        <f aca="false">MIN(F$23,E245)</f>
        <v>0</v>
      </c>
      <c r="G245" s="69" t="n">
        <f aca="false">IF(AND(F$24=1,OR(E$25="",$C245&gt;=E$25)),MAX(0,MIN(E245-F245,$D245-(0))),0)</f>
        <v>0</v>
      </c>
      <c r="H245" s="69" t="n">
        <f aca="false">E245-F245-G245</f>
        <v>0</v>
      </c>
      <c r="I245" s="69" t="n">
        <f aca="false">IF(L244&gt;0.5,L244*(1+I$23)+I$24,0)</f>
        <v>0</v>
      </c>
      <c r="J245" s="69" t="n">
        <f aca="false">MIN(J$23,I245)</f>
        <v>0</v>
      </c>
      <c r="K245" s="69" t="n">
        <f aca="false">IF(AND(J$24=1,OR(I$25="",$C245&gt;=I$25)),MAX(0,MIN(I245-J245,$D245-(G245))),0)</f>
        <v>0</v>
      </c>
      <c r="L245" s="69" t="n">
        <f aca="false">I245-J245-K245</f>
        <v>0</v>
      </c>
      <c r="M245" s="69" t="n">
        <f aca="false">IF(P244&gt;0.5,P244*(1+M$23)+M$24,0)</f>
        <v>0</v>
      </c>
      <c r="N245" s="69" t="n">
        <f aca="false">MIN(N$23,M245)</f>
        <v>0</v>
      </c>
      <c r="O245" s="69" t="n">
        <f aca="false">IF(AND(N$24=1,OR(M$25="",$C245&gt;=M$25)),MAX(0,MIN(M245-N245,$D245-(G245+K245))),0)</f>
        <v>0</v>
      </c>
      <c r="P245" s="69" t="n">
        <f aca="false">M245-N245-O245</f>
        <v>0</v>
      </c>
      <c r="Q245" s="69" t="n">
        <f aca="false">IF(T244&gt;0.5,T244*(1+Q$23)+Q$24,0)</f>
        <v>0</v>
      </c>
      <c r="R245" s="69" t="n">
        <f aca="false">MIN(R$23,Q245)</f>
        <v>0</v>
      </c>
      <c r="S245" s="69" t="n">
        <f aca="false">IF(AND(R$24=1,OR(Q$25="",$C245&gt;=Q$25)),MAX(0,MIN(Q245-R245,$D245-(G245+K245+O245))),0)</f>
        <v>0</v>
      </c>
      <c r="T245" s="69" t="n">
        <f aca="false">Q245-R245-S245</f>
        <v>0</v>
      </c>
      <c r="U245" s="69" t="n">
        <f aca="false">IF(X244&gt;0.5,X244*(1+U$23)+U$24,0)</f>
        <v>0</v>
      </c>
      <c r="V245" s="69" t="n">
        <f aca="false">MIN(V$23,U245)</f>
        <v>0</v>
      </c>
      <c r="W245" s="69" t="n">
        <f aca="false">IF(AND(V$24=1,OR(U$25="",$C245&gt;=U$25)),MAX(0,MIN(U245-V245,$D245-(G245+K245+O245+S245))),0)</f>
        <v>0</v>
      </c>
      <c r="X245" s="69" t="n">
        <f aca="false">U245-V245-W245</f>
        <v>0</v>
      </c>
      <c r="Y245" s="69" t="n">
        <f aca="false">IF(AB244&gt;0.5,AB244*(1+Y$23)+Y$24,0)</f>
        <v>0</v>
      </c>
      <c r="Z245" s="69" t="n">
        <f aca="false">MIN(Z$23,Y245)</f>
        <v>0</v>
      </c>
      <c r="AA245" s="69" t="n">
        <f aca="false">IF(AND(Z$24=1,OR(Y$25="",$C245&gt;=Y$25)),MAX(0,MIN(Y245-Z245,$D245-(G245+K245+O245+S245+W245))),0)</f>
        <v>0</v>
      </c>
      <c r="AB245" s="69" t="n">
        <f aca="false">Y245-Z245-AA245</f>
        <v>0</v>
      </c>
      <c r="AC245" s="69" t="n">
        <f aca="false">IF(AF244&gt;0.5,AF244*(1+AC$23)+AC$24,0)</f>
        <v>0</v>
      </c>
      <c r="AD245" s="69" t="n">
        <f aca="false">MIN(AD$23,AC245)</f>
        <v>0</v>
      </c>
      <c r="AE245" s="69" t="n">
        <f aca="false">IF(AND(AD$24=1,OR(AC$25="",$C245&gt;=AC$25)),MAX(0,MIN(AC245-AD245,$D245-(G245+K245+O245+S245+W245+AA245))),0)</f>
        <v>0</v>
      </c>
      <c r="AF245" s="69" t="n">
        <f aca="false">AC245-AD245-AE245</f>
        <v>0</v>
      </c>
      <c r="AG245" s="69" t="n">
        <f aca="false">IF(AJ244&gt;0.5,AJ244*(1+AG$23)+AG$24,0)</f>
        <v>0</v>
      </c>
      <c r="AH245" s="69" t="n">
        <f aca="false">MIN(AH$23,AG245)</f>
        <v>0</v>
      </c>
      <c r="AI245" s="69" t="n">
        <f aca="false">IF(AND(AH$24=1,OR(AG$25="",$C245&gt;=AG$25)),MAX(0,MIN(AG245-AH245,$D245-(G245+K245+O245+S245+W245+AA245+AE245))),0)</f>
        <v>0</v>
      </c>
      <c r="AJ245" s="69" t="n">
        <f aca="false">AG245-AH245-AI245</f>
        <v>0</v>
      </c>
      <c r="AK245" s="69" t="n">
        <f aca="false">IF(AK244&gt;0.5,AK244*(1+$E$12)+$G$12-MIN($F$12,AK244*(1+$E$12)+$G$12),0)</f>
        <v>0</v>
      </c>
      <c r="AL245" s="69" t="n">
        <f aca="false">IF(AL244&gt;0.5,AL244*(1+$E$13)+$G$13-MIN($F$13,AL244*(1+$E$13)+$G$13),0)</f>
        <v>0</v>
      </c>
      <c r="AM245" s="69" t="n">
        <f aca="false">IF(AM244&gt;0.5,AM244*(1+$E$14)+$G$14-MIN($F$14,AM244*(1+$E$14)+$G$14),0)</f>
        <v>0</v>
      </c>
      <c r="AN245" s="69" t="n">
        <f aca="false">IF(AN244&gt;0.5,AN244*(1+$E$15)+$G$15-MIN($F$15,AN244*(1+$E$15)+$G$15),0)</f>
        <v>0</v>
      </c>
      <c r="AO245" s="69" t="n">
        <f aca="false">IF(AO244&gt;0.5,AO244*(1+$E$16)+$G$16-MIN($F$16,AO244*(1+$E$16)+$G$16),0)</f>
        <v>0</v>
      </c>
      <c r="AP245" s="69" t="n">
        <f aca="false">IF(AP244&gt;0.5,AP244*(1+$E$17)+$G$17-MIN($F$17,AP244*(1+$E$17)+$G$17),0)</f>
        <v>0</v>
      </c>
      <c r="AQ245" s="69" t="n">
        <f aca="false">IF(AQ244&gt;0.5,AQ244*(1+$E$18)+$G$18-MIN($F$18,AQ244*(1+$E$18)+$G$18),0)</f>
        <v>0</v>
      </c>
      <c r="AR245" s="69" t="n">
        <f aca="false">IF(AR244&gt;0.5,AR244*(1+$E$19)+$G$19-MIN($F$19,AR244*(1+$E$19)+$G$19),0)</f>
        <v>0</v>
      </c>
      <c r="AS245" s="69" t="n">
        <f aca="false">H245+L245+P245+T245+X245+AB245+AF245+AJ245</f>
        <v>0</v>
      </c>
      <c r="AT245" s="69" t="n">
        <f aca="false">SUM(AK245:AR245)</f>
        <v>0</v>
      </c>
      <c r="AU245" s="69" t="n">
        <f aca="false">F245+G245+J245+K245+N245+O245+R245+S245+V245+W245+Z245+AA245+AD245+AE245+AH245+AI245</f>
        <v>0</v>
      </c>
    </row>
    <row r="246" customFormat="false" ht="15" hidden="false" customHeight="false" outlineLevel="0" collapsed="false">
      <c r="B246" s="0" t="n">
        <v>219</v>
      </c>
      <c r="C246" s="68" t="n">
        <f aca="false">EDATE($C$7,218)</f>
        <v>52932</v>
      </c>
      <c r="D246" s="69" t="n">
        <f aca="false">$C$8-(F246+J246+N246+R246+V246+Z246+AD246+AH246)</f>
        <v>0</v>
      </c>
      <c r="E246" s="69" t="n">
        <f aca="false">IF(H245&gt;0.5,H245*(1+E$23)+E$24,0)</f>
        <v>0</v>
      </c>
      <c r="F246" s="69" t="n">
        <f aca="false">MIN(F$23,E246)</f>
        <v>0</v>
      </c>
      <c r="G246" s="69" t="n">
        <f aca="false">IF(AND(F$24=1,OR(E$25="",$C246&gt;=E$25)),MAX(0,MIN(E246-F246,$D246-(0))),0)</f>
        <v>0</v>
      </c>
      <c r="H246" s="69" t="n">
        <f aca="false">E246-F246-G246</f>
        <v>0</v>
      </c>
      <c r="I246" s="69" t="n">
        <f aca="false">IF(L245&gt;0.5,L245*(1+I$23)+I$24,0)</f>
        <v>0</v>
      </c>
      <c r="J246" s="69" t="n">
        <f aca="false">MIN(J$23,I246)</f>
        <v>0</v>
      </c>
      <c r="K246" s="69" t="n">
        <f aca="false">IF(AND(J$24=1,OR(I$25="",$C246&gt;=I$25)),MAX(0,MIN(I246-J246,$D246-(G246))),0)</f>
        <v>0</v>
      </c>
      <c r="L246" s="69" t="n">
        <f aca="false">I246-J246-K246</f>
        <v>0</v>
      </c>
      <c r="M246" s="69" t="n">
        <f aca="false">IF(P245&gt;0.5,P245*(1+M$23)+M$24,0)</f>
        <v>0</v>
      </c>
      <c r="N246" s="69" t="n">
        <f aca="false">MIN(N$23,M246)</f>
        <v>0</v>
      </c>
      <c r="O246" s="69" t="n">
        <f aca="false">IF(AND(N$24=1,OR(M$25="",$C246&gt;=M$25)),MAX(0,MIN(M246-N246,$D246-(G246+K246))),0)</f>
        <v>0</v>
      </c>
      <c r="P246" s="69" t="n">
        <f aca="false">M246-N246-O246</f>
        <v>0</v>
      </c>
      <c r="Q246" s="69" t="n">
        <f aca="false">IF(T245&gt;0.5,T245*(1+Q$23)+Q$24,0)</f>
        <v>0</v>
      </c>
      <c r="R246" s="69" t="n">
        <f aca="false">MIN(R$23,Q246)</f>
        <v>0</v>
      </c>
      <c r="S246" s="69" t="n">
        <f aca="false">IF(AND(R$24=1,OR(Q$25="",$C246&gt;=Q$25)),MAX(0,MIN(Q246-R246,$D246-(G246+K246+O246))),0)</f>
        <v>0</v>
      </c>
      <c r="T246" s="69" t="n">
        <f aca="false">Q246-R246-S246</f>
        <v>0</v>
      </c>
      <c r="U246" s="69" t="n">
        <f aca="false">IF(X245&gt;0.5,X245*(1+U$23)+U$24,0)</f>
        <v>0</v>
      </c>
      <c r="V246" s="69" t="n">
        <f aca="false">MIN(V$23,U246)</f>
        <v>0</v>
      </c>
      <c r="W246" s="69" t="n">
        <f aca="false">IF(AND(V$24=1,OR(U$25="",$C246&gt;=U$25)),MAX(0,MIN(U246-V246,$D246-(G246+K246+O246+S246))),0)</f>
        <v>0</v>
      </c>
      <c r="X246" s="69" t="n">
        <f aca="false">U246-V246-W246</f>
        <v>0</v>
      </c>
      <c r="Y246" s="69" t="n">
        <f aca="false">IF(AB245&gt;0.5,AB245*(1+Y$23)+Y$24,0)</f>
        <v>0</v>
      </c>
      <c r="Z246" s="69" t="n">
        <f aca="false">MIN(Z$23,Y246)</f>
        <v>0</v>
      </c>
      <c r="AA246" s="69" t="n">
        <f aca="false">IF(AND(Z$24=1,OR(Y$25="",$C246&gt;=Y$25)),MAX(0,MIN(Y246-Z246,$D246-(G246+K246+O246+S246+W246))),0)</f>
        <v>0</v>
      </c>
      <c r="AB246" s="69" t="n">
        <f aca="false">Y246-Z246-AA246</f>
        <v>0</v>
      </c>
      <c r="AC246" s="69" t="n">
        <f aca="false">IF(AF245&gt;0.5,AF245*(1+AC$23)+AC$24,0)</f>
        <v>0</v>
      </c>
      <c r="AD246" s="69" t="n">
        <f aca="false">MIN(AD$23,AC246)</f>
        <v>0</v>
      </c>
      <c r="AE246" s="69" t="n">
        <f aca="false">IF(AND(AD$24=1,OR(AC$25="",$C246&gt;=AC$25)),MAX(0,MIN(AC246-AD246,$D246-(G246+K246+O246+S246+W246+AA246))),0)</f>
        <v>0</v>
      </c>
      <c r="AF246" s="69" t="n">
        <f aca="false">AC246-AD246-AE246</f>
        <v>0</v>
      </c>
      <c r="AG246" s="69" t="n">
        <f aca="false">IF(AJ245&gt;0.5,AJ245*(1+AG$23)+AG$24,0)</f>
        <v>0</v>
      </c>
      <c r="AH246" s="69" t="n">
        <f aca="false">MIN(AH$23,AG246)</f>
        <v>0</v>
      </c>
      <c r="AI246" s="69" t="n">
        <f aca="false">IF(AND(AH$24=1,OR(AG$25="",$C246&gt;=AG$25)),MAX(0,MIN(AG246-AH246,$D246-(G246+K246+O246+S246+W246+AA246+AE246))),0)</f>
        <v>0</v>
      </c>
      <c r="AJ246" s="69" t="n">
        <f aca="false">AG246-AH246-AI246</f>
        <v>0</v>
      </c>
      <c r="AK246" s="69" t="n">
        <f aca="false">IF(AK245&gt;0.5,AK245*(1+$E$12)+$G$12-MIN($F$12,AK245*(1+$E$12)+$G$12),0)</f>
        <v>0</v>
      </c>
      <c r="AL246" s="69" t="n">
        <f aca="false">IF(AL245&gt;0.5,AL245*(1+$E$13)+$G$13-MIN($F$13,AL245*(1+$E$13)+$G$13),0)</f>
        <v>0</v>
      </c>
      <c r="AM246" s="69" t="n">
        <f aca="false">IF(AM245&gt;0.5,AM245*(1+$E$14)+$G$14-MIN($F$14,AM245*(1+$E$14)+$G$14),0)</f>
        <v>0</v>
      </c>
      <c r="AN246" s="69" t="n">
        <f aca="false">IF(AN245&gt;0.5,AN245*(1+$E$15)+$G$15-MIN($F$15,AN245*(1+$E$15)+$G$15),0)</f>
        <v>0</v>
      </c>
      <c r="AO246" s="69" t="n">
        <f aca="false">IF(AO245&gt;0.5,AO245*(1+$E$16)+$G$16-MIN($F$16,AO245*(1+$E$16)+$G$16),0)</f>
        <v>0</v>
      </c>
      <c r="AP246" s="69" t="n">
        <f aca="false">IF(AP245&gt;0.5,AP245*(1+$E$17)+$G$17-MIN($F$17,AP245*(1+$E$17)+$G$17),0)</f>
        <v>0</v>
      </c>
      <c r="AQ246" s="69" t="n">
        <f aca="false">IF(AQ245&gt;0.5,AQ245*(1+$E$18)+$G$18-MIN($F$18,AQ245*(1+$E$18)+$G$18),0)</f>
        <v>0</v>
      </c>
      <c r="AR246" s="69" t="n">
        <f aca="false">IF(AR245&gt;0.5,AR245*(1+$E$19)+$G$19-MIN($F$19,AR245*(1+$E$19)+$G$19),0)</f>
        <v>0</v>
      </c>
      <c r="AS246" s="69" t="n">
        <f aca="false">H246+L246+P246+T246+X246+AB246+AF246+AJ246</f>
        <v>0</v>
      </c>
      <c r="AT246" s="69" t="n">
        <f aca="false">SUM(AK246:AR246)</f>
        <v>0</v>
      </c>
      <c r="AU246" s="69" t="n">
        <f aca="false">F246+G246+J246+K246+N246+O246+R246+S246+V246+W246+Z246+AA246+AD246+AE246+AH246+AI246</f>
        <v>0</v>
      </c>
    </row>
    <row r="247" customFormat="false" ht="15" hidden="false" customHeight="false" outlineLevel="0" collapsed="false">
      <c r="B247" s="0" t="n">
        <v>220</v>
      </c>
      <c r="C247" s="68" t="n">
        <f aca="false">EDATE($C$7,219)</f>
        <v>52963</v>
      </c>
      <c r="D247" s="69" t="n">
        <f aca="false">$C$8-(F247+J247+N247+R247+V247+Z247+AD247+AH247)</f>
        <v>0</v>
      </c>
      <c r="E247" s="69" t="n">
        <f aca="false">IF(H246&gt;0.5,H246*(1+E$23)+E$24,0)</f>
        <v>0</v>
      </c>
      <c r="F247" s="69" t="n">
        <f aca="false">MIN(F$23,E247)</f>
        <v>0</v>
      </c>
      <c r="G247" s="69" t="n">
        <f aca="false">IF(AND(F$24=1,OR(E$25="",$C247&gt;=E$25)),MAX(0,MIN(E247-F247,$D247-(0))),0)</f>
        <v>0</v>
      </c>
      <c r="H247" s="69" t="n">
        <f aca="false">E247-F247-G247</f>
        <v>0</v>
      </c>
      <c r="I247" s="69" t="n">
        <f aca="false">IF(L246&gt;0.5,L246*(1+I$23)+I$24,0)</f>
        <v>0</v>
      </c>
      <c r="J247" s="69" t="n">
        <f aca="false">MIN(J$23,I247)</f>
        <v>0</v>
      </c>
      <c r="K247" s="69" t="n">
        <f aca="false">IF(AND(J$24=1,OR(I$25="",$C247&gt;=I$25)),MAX(0,MIN(I247-J247,$D247-(G247))),0)</f>
        <v>0</v>
      </c>
      <c r="L247" s="69" t="n">
        <f aca="false">I247-J247-K247</f>
        <v>0</v>
      </c>
      <c r="M247" s="69" t="n">
        <f aca="false">IF(P246&gt;0.5,P246*(1+M$23)+M$24,0)</f>
        <v>0</v>
      </c>
      <c r="N247" s="69" t="n">
        <f aca="false">MIN(N$23,M247)</f>
        <v>0</v>
      </c>
      <c r="O247" s="69" t="n">
        <f aca="false">IF(AND(N$24=1,OR(M$25="",$C247&gt;=M$25)),MAX(0,MIN(M247-N247,$D247-(G247+K247))),0)</f>
        <v>0</v>
      </c>
      <c r="P247" s="69" t="n">
        <f aca="false">M247-N247-O247</f>
        <v>0</v>
      </c>
      <c r="Q247" s="69" t="n">
        <f aca="false">IF(T246&gt;0.5,T246*(1+Q$23)+Q$24,0)</f>
        <v>0</v>
      </c>
      <c r="R247" s="69" t="n">
        <f aca="false">MIN(R$23,Q247)</f>
        <v>0</v>
      </c>
      <c r="S247" s="69" t="n">
        <f aca="false">IF(AND(R$24=1,OR(Q$25="",$C247&gt;=Q$25)),MAX(0,MIN(Q247-R247,$D247-(G247+K247+O247))),0)</f>
        <v>0</v>
      </c>
      <c r="T247" s="69" t="n">
        <f aca="false">Q247-R247-S247</f>
        <v>0</v>
      </c>
      <c r="U247" s="69" t="n">
        <f aca="false">IF(X246&gt;0.5,X246*(1+U$23)+U$24,0)</f>
        <v>0</v>
      </c>
      <c r="V247" s="69" t="n">
        <f aca="false">MIN(V$23,U247)</f>
        <v>0</v>
      </c>
      <c r="W247" s="69" t="n">
        <f aca="false">IF(AND(V$24=1,OR(U$25="",$C247&gt;=U$25)),MAX(0,MIN(U247-V247,$D247-(G247+K247+O247+S247))),0)</f>
        <v>0</v>
      </c>
      <c r="X247" s="69" t="n">
        <f aca="false">U247-V247-W247</f>
        <v>0</v>
      </c>
      <c r="Y247" s="69" t="n">
        <f aca="false">IF(AB246&gt;0.5,AB246*(1+Y$23)+Y$24,0)</f>
        <v>0</v>
      </c>
      <c r="Z247" s="69" t="n">
        <f aca="false">MIN(Z$23,Y247)</f>
        <v>0</v>
      </c>
      <c r="AA247" s="69" t="n">
        <f aca="false">IF(AND(Z$24=1,OR(Y$25="",$C247&gt;=Y$25)),MAX(0,MIN(Y247-Z247,$D247-(G247+K247+O247+S247+W247))),0)</f>
        <v>0</v>
      </c>
      <c r="AB247" s="69" t="n">
        <f aca="false">Y247-Z247-AA247</f>
        <v>0</v>
      </c>
      <c r="AC247" s="69" t="n">
        <f aca="false">IF(AF246&gt;0.5,AF246*(1+AC$23)+AC$24,0)</f>
        <v>0</v>
      </c>
      <c r="AD247" s="69" t="n">
        <f aca="false">MIN(AD$23,AC247)</f>
        <v>0</v>
      </c>
      <c r="AE247" s="69" t="n">
        <f aca="false">IF(AND(AD$24=1,OR(AC$25="",$C247&gt;=AC$25)),MAX(0,MIN(AC247-AD247,$D247-(G247+K247+O247+S247+W247+AA247))),0)</f>
        <v>0</v>
      </c>
      <c r="AF247" s="69" t="n">
        <f aca="false">AC247-AD247-AE247</f>
        <v>0</v>
      </c>
      <c r="AG247" s="69" t="n">
        <f aca="false">IF(AJ246&gt;0.5,AJ246*(1+AG$23)+AG$24,0)</f>
        <v>0</v>
      </c>
      <c r="AH247" s="69" t="n">
        <f aca="false">MIN(AH$23,AG247)</f>
        <v>0</v>
      </c>
      <c r="AI247" s="69" t="n">
        <f aca="false">IF(AND(AH$24=1,OR(AG$25="",$C247&gt;=AG$25)),MAX(0,MIN(AG247-AH247,$D247-(G247+K247+O247+S247+W247+AA247+AE247))),0)</f>
        <v>0</v>
      </c>
      <c r="AJ247" s="69" t="n">
        <f aca="false">AG247-AH247-AI247</f>
        <v>0</v>
      </c>
      <c r="AK247" s="69" t="n">
        <f aca="false">IF(AK246&gt;0.5,AK246*(1+$E$12)+$G$12-MIN($F$12,AK246*(1+$E$12)+$G$12),0)</f>
        <v>0</v>
      </c>
      <c r="AL247" s="69" t="n">
        <f aca="false">IF(AL246&gt;0.5,AL246*(1+$E$13)+$G$13-MIN($F$13,AL246*(1+$E$13)+$G$13),0)</f>
        <v>0</v>
      </c>
      <c r="AM247" s="69" t="n">
        <f aca="false">IF(AM246&gt;0.5,AM246*(1+$E$14)+$G$14-MIN($F$14,AM246*(1+$E$14)+$G$14),0)</f>
        <v>0</v>
      </c>
      <c r="AN247" s="69" t="n">
        <f aca="false">IF(AN246&gt;0.5,AN246*(1+$E$15)+$G$15-MIN($F$15,AN246*(1+$E$15)+$G$15),0)</f>
        <v>0</v>
      </c>
      <c r="AO247" s="69" t="n">
        <f aca="false">IF(AO246&gt;0.5,AO246*(1+$E$16)+$G$16-MIN($F$16,AO246*(1+$E$16)+$G$16),0)</f>
        <v>0</v>
      </c>
      <c r="AP247" s="69" t="n">
        <f aca="false">IF(AP246&gt;0.5,AP246*(1+$E$17)+$G$17-MIN($F$17,AP246*(1+$E$17)+$G$17),0)</f>
        <v>0</v>
      </c>
      <c r="AQ247" s="69" t="n">
        <f aca="false">IF(AQ246&gt;0.5,AQ246*(1+$E$18)+$G$18-MIN($F$18,AQ246*(1+$E$18)+$G$18),0)</f>
        <v>0</v>
      </c>
      <c r="AR247" s="69" t="n">
        <f aca="false">IF(AR246&gt;0.5,AR246*(1+$E$19)+$G$19-MIN($F$19,AR246*(1+$E$19)+$G$19),0)</f>
        <v>0</v>
      </c>
      <c r="AS247" s="69" t="n">
        <f aca="false">H247+L247+P247+T247+X247+AB247+AF247+AJ247</f>
        <v>0</v>
      </c>
      <c r="AT247" s="69" t="n">
        <f aca="false">SUM(AK247:AR247)</f>
        <v>0</v>
      </c>
      <c r="AU247" s="69" t="n">
        <f aca="false">F247+G247+J247+K247+N247+O247+R247+S247+V247+W247+Z247+AA247+AD247+AE247+AH247+AI247</f>
        <v>0</v>
      </c>
    </row>
    <row r="248" customFormat="false" ht="15" hidden="false" customHeight="false" outlineLevel="0" collapsed="false">
      <c r="B248" s="0" t="n">
        <v>221</v>
      </c>
      <c r="C248" s="68" t="n">
        <f aca="false">EDATE($C$7,220)</f>
        <v>52994</v>
      </c>
      <c r="D248" s="69" t="n">
        <f aca="false">$C$8-(F248+J248+N248+R248+V248+Z248+AD248+AH248)</f>
        <v>0</v>
      </c>
      <c r="E248" s="69" t="n">
        <f aca="false">IF(H247&gt;0.5,H247*(1+E$23)+E$24,0)</f>
        <v>0</v>
      </c>
      <c r="F248" s="69" t="n">
        <f aca="false">MIN(F$23,E248)</f>
        <v>0</v>
      </c>
      <c r="G248" s="69" t="n">
        <f aca="false">IF(AND(F$24=1,OR(E$25="",$C248&gt;=E$25)),MAX(0,MIN(E248-F248,$D248-(0))),0)</f>
        <v>0</v>
      </c>
      <c r="H248" s="69" t="n">
        <f aca="false">E248-F248-G248</f>
        <v>0</v>
      </c>
      <c r="I248" s="69" t="n">
        <f aca="false">IF(L247&gt;0.5,L247*(1+I$23)+I$24,0)</f>
        <v>0</v>
      </c>
      <c r="J248" s="69" t="n">
        <f aca="false">MIN(J$23,I248)</f>
        <v>0</v>
      </c>
      <c r="K248" s="69" t="n">
        <f aca="false">IF(AND(J$24=1,OR(I$25="",$C248&gt;=I$25)),MAX(0,MIN(I248-J248,$D248-(G248))),0)</f>
        <v>0</v>
      </c>
      <c r="L248" s="69" t="n">
        <f aca="false">I248-J248-K248</f>
        <v>0</v>
      </c>
      <c r="M248" s="69" t="n">
        <f aca="false">IF(P247&gt;0.5,P247*(1+M$23)+M$24,0)</f>
        <v>0</v>
      </c>
      <c r="N248" s="69" t="n">
        <f aca="false">MIN(N$23,M248)</f>
        <v>0</v>
      </c>
      <c r="O248" s="69" t="n">
        <f aca="false">IF(AND(N$24=1,OR(M$25="",$C248&gt;=M$25)),MAX(0,MIN(M248-N248,$D248-(G248+K248))),0)</f>
        <v>0</v>
      </c>
      <c r="P248" s="69" t="n">
        <f aca="false">M248-N248-O248</f>
        <v>0</v>
      </c>
      <c r="Q248" s="69" t="n">
        <f aca="false">IF(T247&gt;0.5,T247*(1+Q$23)+Q$24,0)</f>
        <v>0</v>
      </c>
      <c r="R248" s="69" t="n">
        <f aca="false">MIN(R$23,Q248)</f>
        <v>0</v>
      </c>
      <c r="S248" s="69" t="n">
        <f aca="false">IF(AND(R$24=1,OR(Q$25="",$C248&gt;=Q$25)),MAX(0,MIN(Q248-R248,$D248-(G248+K248+O248))),0)</f>
        <v>0</v>
      </c>
      <c r="T248" s="69" t="n">
        <f aca="false">Q248-R248-S248</f>
        <v>0</v>
      </c>
      <c r="U248" s="69" t="n">
        <f aca="false">IF(X247&gt;0.5,X247*(1+U$23)+U$24,0)</f>
        <v>0</v>
      </c>
      <c r="V248" s="69" t="n">
        <f aca="false">MIN(V$23,U248)</f>
        <v>0</v>
      </c>
      <c r="W248" s="69" t="n">
        <f aca="false">IF(AND(V$24=1,OR(U$25="",$C248&gt;=U$25)),MAX(0,MIN(U248-V248,$D248-(G248+K248+O248+S248))),0)</f>
        <v>0</v>
      </c>
      <c r="X248" s="69" t="n">
        <f aca="false">U248-V248-W248</f>
        <v>0</v>
      </c>
      <c r="Y248" s="69" t="n">
        <f aca="false">IF(AB247&gt;0.5,AB247*(1+Y$23)+Y$24,0)</f>
        <v>0</v>
      </c>
      <c r="Z248" s="69" t="n">
        <f aca="false">MIN(Z$23,Y248)</f>
        <v>0</v>
      </c>
      <c r="AA248" s="69" t="n">
        <f aca="false">IF(AND(Z$24=1,OR(Y$25="",$C248&gt;=Y$25)),MAX(0,MIN(Y248-Z248,$D248-(G248+K248+O248+S248+W248))),0)</f>
        <v>0</v>
      </c>
      <c r="AB248" s="69" t="n">
        <f aca="false">Y248-Z248-AA248</f>
        <v>0</v>
      </c>
      <c r="AC248" s="69" t="n">
        <f aca="false">IF(AF247&gt;0.5,AF247*(1+AC$23)+AC$24,0)</f>
        <v>0</v>
      </c>
      <c r="AD248" s="69" t="n">
        <f aca="false">MIN(AD$23,AC248)</f>
        <v>0</v>
      </c>
      <c r="AE248" s="69" t="n">
        <f aca="false">IF(AND(AD$24=1,OR(AC$25="",$C248&gt;=AC$25)),MAX(0,MIN(AC248-AD248,$D248-(G248+K248+O248+S248+W248+AA248))),0)</f>
        <v>0</v>
      </c>
      <c r="AF248" s="69" t="n">
        <f aca="false">AC248-AD248-AE248</f>
        <v>0</v>
      </c>
      <c r="AG248" s="69" t="n">
        <f aca="false">IF(AJ247&gt;0.5,AJ247*(1+AG$23)+AG$24,0)</f>
        <v>0</v>
      </c>
      <c r="AH248" s="69" t="n">
        <f aca="false">MIN(AH$23,AG248)</f>
        <v>0</v>
      </c>
      <c r="AI248" s="69" t="n">
        <f aca="false">IF(AND(AH$24=1,OR(AG$25="",$C248&gt;=AG$25)),MAX(0,MIN(AG248-AH248,$D248-(G248+K248+O248+S248+W248+AA248+AE248))),0)</f>
        <v>0</v>
      </c>
      <c r="AJ248" s="69" t="n">
        <f aca="false">AG248-AH248-AI248</f>
        <v>0</v>
      </c>
      <c r="AK248" s="69" t="n">
        <f aca="false">IF(AK247&gt;0.5,AK247*(1+$E$12)+$G$12-MIN($F$12,AK247*(1+$E$12)+$G$12),0)</f>
        <v>0</v>
      </c>
      <c r="AL248" s="69" t="n">
        <f aca="false">IF(AL247&gt;0.5,AL247*(1+$E$13)+$G$13-MIN($F$13,AL247*(1+$E$13)+$G$13),0)</f>
        <v>0</v>
      </c>
      <c r="AM248" s="69" t="n">
        <f aca="false">IF(AM247&gt;0.5,AM247*(1+$E$14)+$G$14-MIN($F$14,AM247*(1+$E$14)+$G$14),0)</f>
        <v>0</v>
      </c>
      <c r="AN248" s="69" t="n">
        <f aca="false">IF(AN247&gt;0.5,AN247*(1+$E$15)+$G$15-MIN($F$15,AN247*(1+$E$15)+$G$15),0)</f>
        <v>0</v>
      </c>
      <c r="AO248" s="69" t="n">
        <f aca="false">IF(AO247&gt;0.5,AO247*(1+$E$16)+$G$16-MIN($F$16,AO247*(1+$E$16)+$G$16),0)</f>
        <v>0</v>
      </c>
      <c r="AP248" s="69" t="n">
        <f aca="false">IF(AP247&gt;0.5,AP247*(1+$E$17)+$G$17-MIN($F$17,AP247*(1+$E$17)+$G$17),0)</f>
        <v>0</v>
      </c>
      <c r="AQ248" s="69" t="n">
        <f aca="false">IF(AQ247&gt;0.5,AQ247*(1+$E$18)+$G$18-MIN($F$18,AQ247*(1+$E$18)+$G$18),0)</f>
        <v>0</v>
      </c>
      <c r="AR248" s="69" t="n">
        <f aca="false">IF(AR247&gt;0.5,AR247*(1+$E$19)+$G$19-MIN($F$19,AR247*(1+$E$19)+$G$19),0)</f>
        <v>0</v>
      </c>
      <c r="AS248" s="69" t="n">
        <f aca="false">H248+L248+P248+T248+X248+AB248+AF248+AJ248</f>
        <v>0</v>
      </c>
      <c r="AT248" s="69" t="n">
        <f aca="false">SUM(AK248:AR248)</f>
        <v>0</v>
      </c>
      <c r="AU248" s="69" t="n">
        <f aca="false">F248+G248+J248+K248+N248+O248+R248+S248+V248+W248+Z248+AA248+AD248+AE248+AH248+AI248</f>
        <v>0</v>
      </c>
    </row>
    <row r="249" customFormat="false" ht="15" hidden="false" customHeight="false" outlineLevel="0" collapsed="false">
      <c r="B249" s="0" t="n">
        <v>222</v>
      </c>
      <c r="C249" s="68" t="n">
        <f aca="false">EDATE($C$7,221)</f>
        <v>53022</v>
      </c>
      <c r="D249" s="69" t="n">
        <f aca="false">$C$8-(F249+J249+N249+R249+V249+Z249+AD249+AH249)</f>
        <v>0</v>
      </c>
      <c r="E249" s="69" t="n">
        <f aca="false">IF(H248&gt;0.5,H248*(1+E$23)+E$24,0)</f>
        <v>0</v>
      </c>
      <c r="F249" s="69" t="n">
        <f aca="false">MIN(F$23,E249)</f>
        <v>0</v>
      </c>
      <c r="G249" s="69" t="n">
        <f aca="false">IF(AND(F$24=1,OR(E$25="",$C249&gt;=E$25)),MAX(0,MIN(E249-F249,$D249-(0))),0)</f>
        <v>0</v>
      </c>
      <c r="H249" s="69" t="n">
        <f aca="false">E249-F249-G249</f>
        <v>0</v>
      </c>
      <c r="I249" s="69" t="n">
        <f aca="false">IF(L248&gt;0.5,L248*(1+I$23)+I$24,0)</f>
        <v>0</v>
      </c>
      <c r="J249" s="69" t="n">
        <f aca="false">MIN(J$23,I249)</f>
        <v>0</v>
      </c>
      <c r="K249" s="69" t="n">
        <f aca="false">IF(AND(J$24=1,OR(I$25="",$C249&gt;=I$25)),MAX(0,MIN(I249-J249,$D249-(G249))),0)</f>
        <v>0</v>
      </c>
      <c r="L249" s="69" t="n">
        <f aca="false">I249-J249-K249</f>
        <v>0</v>
      </c>
      <c r="M249" s="69" t="n">
        <f aca="false">IF(P248&gt;0.5,P248*(1+M$23)+M$24,0)</f>
        <v>0</v>
      </c>
      <c r="N249" s="69" t="n">
        <f aca="false">MIN(N$23,M249)</f>
        <v>0</v>
      </c>
      <c r="O249" s="69" t="n">
        <f aca="false">IF(AND(N$24=1,OR(M$25="",$C249&gt;=M$25)),MAX(0,MIN(M249-N249,$D249-(G249+K249))),0)</f>
        <v>0</v>
      </c>
      <c r="P249" s="69" t="n">
        <f aca="false">M249-N249-O249</f>
        <v>0</v>
      </c>
      <c r="Q249" s="69" t="n">
        <f aca="false">IF(T248&gt;0.5,T248*(1+Q$23)+Q$24,0)</f>
        <v>0</v>
      </c>
      <c r="R249" s="69" t="n">
        <f aca="false">MIN(R$23,Q249)</f>
        <v>0</v>
      </c>
      <c r="S249" s="69" t="n">
        <f aca="false">IF(AND(R$24=1,OR(Q$25="",$C249&gt;=Q$25)),MAX(0,MIN(Q249-R249,$D249-(G249+K249+O249))),0)</f>
        <v>0</v>
      </c>
      <c r="T249" s="69" t="n">
        <f aca="false">Q249-R249-S249</f>
        <v>0</v>
      </c>
      <c r="U249" s="69" t="n">
        <f aca="false">IF(X248&gt;0.5,X248*(1+U$23)+U$24,0)</f>
        <v>0</v>
      </c>
      <c r="V249" s="69" t="n">
        <f aca="false">MIN(V$23,U249)</f>
        <v>0</v>
      </c>
      <c r="W249" s="69" t="n">
        <f aca="false">IF(AND(V$24=1,OR(U$25="",$C249&gt;=U$25)),MAX(0,MIN(U249-V249,$D249-(G249+K249+O249+S249))),0)</f>
        <v>0</v>
      </c>
      <c r="X249" s="69" t="n">
        <f aca="false">U249-V249-W249</f>
        <v>0</v>
      </c>
      <c r="Y249" s="69" t="n">
        <f aca="false">IF(AB248&gt;0.5,AB248*(1+Y$23)+Y$24,0)</f>
        <v>0</v>
      </c>
      <c r="Z249" s="69" t="n">
        <f aca="false">MIN(Z$23,Y249)</f>
        <v>0</v>
      </c>
      <c r="AA249" s="69" t="n">
        <f aca="false">IF(AND(Z$24=1,OR(Y$25="",$C249&gt;=Y$25)),MAX(0,MIN(Y249-Z249,$D249-(G249+K249+O249+S249+W249))),0)</f>
        <v>0</v>
      </c>
      <c r="AB249" s="69" t="n">
        <f aca="false">Y249-Z249-AA249</f>
        <v>0</v>
      </c>
      <c r="AC249" s="69" t="n">
        <f aca="false">IF(AF248&gt;0.5,AF248*(1+AC$23)+AC$24,0)</f>
        <v>0</v>
      </c>
      <c r="AD249" s="69" t="n">
        <f aca="false">MIN(AD$23,AC249)</f>
        <v>0</v>
      </c>
      <c r="AE249" s="69" t="n">
        <f aca="false">IF(AND(AD$24=1,OR(AC$25="",$C249&gt;=AC$25)),MAX(0,MIN(AC249-AD249,$D249-(G249+K249+O249+S249+W249+AA249))),0)</f>
        <v>0</v>
      </c>
      <c r="AF249" s="69" t="n">
        <f aca="false">AC249-AD249-AE249</f>
        <v>0</v>
      </c>
      <c r="AG249" s="69" t="n">
        <f aca="false">IF(AJ248&gt;0.5,AJ248*(1+AG$23)+AG$24,0)</f>
        <v>0</v>
      </c>
      <c r="AH249" s="69" t="n">
        <f aca="false">MIN(AH$23,AG249)</f>
        <v>0</v>
      </c>
      <c r="AI249" s="69" t="n">
        <f aca="false">IF(AND(AH$24=1,OR(AG$25="",$C249&gt;=AG$25)),MAX(0,MIN(AG249-AH249,$D249-(G249+K249+O249+S249+W249+AA249+AE249))),0)</f>
        <v>0</v>
      </c>
      <c r="AJ249" s="69" t="n">
        <f aca="false">AG249-AH249-AI249</f>
        <v>0</v>
      </c>
      <c r="AK249" s="69" t="n">
        <f aca="false">IF(AK248&gt;0.5,AK248*(1+$E$12)+$G$12-MIN($F$12,AK248*(1+$E$12)+$G$12),0)</f>
        <v>0</v>
      </c>
      <c r="AL249" s="69" t="n">
        <f aca="false">IF(AL248&gt;0.5,AL248*(1+$E$13)+$G$13-MIN($F$13,AL248*(1+$E$13)+$G$13),0)</f>
        <v>0</v>
      </c>
      <c r="AM249" s="69" t="n">
        <f aca="false">IF(AM248&gt;0.5,AM248*(1+$E$14)+$G$14-MIN($F$14,AM248*(1+$E$14)+$G$14),0)</f>
        <v>0</v>
      </c>
      <c r="AN249" s="69" t="n">
        <f aca="false">IF(AN248&gt;0.5,AN248*(1+$E$15)+$G$15-MIN($F$15,AN248*(1+$E$15)+$G$15),0)</f>
        <v>0</v>
      </c>
      <c r="AO249" s="69" t="n">
        <f aca="false">IF(AO248&gt;0.5,AO248*(1+$E$16)+$G$16-MIN($F$16,AO248*(1+$E$16)+$G$16),0)</f>
        <v>0</v>
      </c>
      <c r="AP249" s="69" t="n">
        <f aca="false">IF(AP248&gt;0.5,AP248*(1+$E$17)+$G$17-MIN($F$17,AP248*(1+$E$17)+$G$17),0)</f>
        <v>0</v>
      </c>
      <c r="AQ249" s="69" t="n">
        <f aca="false">IF(AQ248&gt;0.5,AQ248*(1+$E$18)+$G$18-MIN($F$18,AQ248*(1+$E$18)+$G$18),0)</f>
        <v>0</v>
      </c>
      <c r="AR249" s="69" t="n">
        <f aca="false">IF(AR248&gt;0.5,AR248*(1+$E$19)+$G$19-MIN($F$19,AR248*(1+$E$19)+$G$19),0)</f>
        <v>0</v>
      </c>
      <c r="AS249" s="69" t="n">
        <f aca="false">H249+L249+P249+T249+X249+AB249+AF249+AJ249</f>
        <v>0</v>
      </c>
      <c r="AT249" s="69" t="n">
        <f aca="false">SUM(AK249:AR249)</f>
        <v>0</v>
      </c>
      <c r="AU249" s="69" t="n">
        <f aca="false">F249+G249+J249+K249+N249+O249+R249+S249+V249+W249+Z249+AA249+AD249+AE249+AH249+AI249</f>
        <v>0</v>
      </c>
    </row>
    <row r="250" customFormat="false" ht="15" hidden="false" customHeight="false" outlineLevel="0" collapsed="false">
      <c r="B250" s="0" t="n">
        <v>223</v>
      </c>
      <c r="C250" s="68" t="n">
        <f aca="false">EDATE($C$7,222)</f>
        <v>53053</v>
      </c>
      <c r="D250" s="69" t="n">
        <f aca="false">$C$8-(F250+J250+N250+R250+V250+Z250+AD250+AH250)</f>
        <v>0</v>
      </c>
      <c r="E250" s="69" t="n">
        <f aca="false">IF(H249&gt;0.5,H249*(1+E$23)+E$24,0)</f>
        <v>0</v>
      </c>
      <c r="F250" s="69" t="n">
        <f aca="false">MIN(F$23,E250)</f>
        <v>0</v>
      </c>
      <c r="G250" s="69" t="n">
        <f aca="false">IF(AND(F$24=1,OR(E$25="",$C250&gt;=E$25)),MAX(0,MIN(E250-F250,$D250-(0))),0)</f>
        <v>0</v>
      </c>
      <c r="H250" s="69" t="n">
        <f aca="false">E250-F250-G250</f>
        <v>0</v>
      </c>
      <c r="I250" s="69" t="n">
        <f aca="false">IF(L249&gt;0.5,L249*(1+I$23)+I$24,0)</f>
        <v>0</v>
      </c>
      <c r="J250" s="69" t="n">
        <f aca="false">MIN(J$23,I250)</f>
        <v>0</v>
      </c>
      <c r="K250" s="69" t="n">
        <f aca="false">IF(AND(J$24=1,OR(I$25="",$C250&gt;=I$25)),MAX(0,MIN(I250-J250,$D250-(G250))),0)</f>
        <v>0</v>
      </c>
      <c r="L250" s="69" t="n">
        <f aca="false">I250-J250-K250</f>
        <v>0</v>
      </c>
      <c r="M250" s="69" t="n">
        <f aca="false">IF(P249&gt;0.5,P249*(1+M$23)+M$24,0)</f>
        <v>0</v>
      </c>
      <c r="N250" s="69" t="n">
        <f aca="false">MIN(N$23,M250)</f>
        <v>0</v>
      </c>
      <c r="O250" s="69" t="n">
        <f aca="false">IF(AND(N$24=1,OR(M$25="",$C250&gt;=M$25)),MAX(0,MIN(M250-N250,$D250-(G250+K250))),0)</f>
        <v>0</v>
      </c>
      <c r="P250" s="69" t="n">
        <f aca="false">M250-N250-O250</f>
        <v>0</v>
      </c>
      <c r="Q250" s="69" t="n">
        <f aca="false">IF(T249&gt;0.5,T249*(1+Q$23)+Q$24,0)</f>
        <v>0</v>
      </c>
      <c r="R250" s="69" t="n">
        <f aca="false">MIN(R$23,Q250)</f>
        <v>0</v>
      </c>
      <c r="S250" s="69" t="n">
        <f aca="false">IF(AND(R$24=1,OR(Q$25="",$C250&gt;=Q$25)),MAX(0,MIN(Q250-R250,$D250-(G250+K250+O250))),0)</f>
        <v>0</v>
      </c>
      <c r="T250" s="69" t="n">
        <f aca="false">Q250-R250-S250</f>
        <v>0</v>
      </c>
      <c r="U250" s="69" t="n">
        <f aca="false">IF(X249&gt;0.5,X249*(1+U$23)+U$24,0)</f>
        <v>0</v>
      </c>
      <c r="V250" s="69" t="n">
        <f aca="false">MIN(V$23,U250)</f>
        <v>0</v>
      </c>
      <c r="W250" s="69" t="n">
        <f aca="false">IF(AND(V$24=1,OR(U$25="",$C250&gt;=U$25)),MAX(0,MIN(U250-V250,$D250-(G250+K250+O250+S250))),0)</f>
        <v>0</v>
      </c>
      <c r="X250" s="69" t="n">
        <f aca="false">U250-V250-W250</f>
        <v>0</v>
      </c>
      <c r="Y250" s="69" t="n">
        <f aca="false">IF(AB249&gt;0.5,AB249*(1+Y$23)+Y$24,0)</f>
        <v>0</v>
      </c>
      <c r="Z250" s="69" t="n">
        <f aca="false">MIN(Z$23,Y250)</f>
        <v>0</v>
      </c>
      <c r="AA250" s="69" t="n">
        <f aca="false">IF(AND(Z$24=1,OR(Y$25="",$C250&gt;=Y$25)),MAX(0,MIN(Y250-Z250,$D250-(G250+K250+O250+S250+W250))),0)</f>
        <v>0</v>
      </c>
      <c r="AB250" s="69" t="n">
        <f aca="false">Y250-Z250-AA250</f>
        <v>0</v>
      </c>
      <c r="AC250" s="69" t="n">
        <f aca="false">IF(AF249&gt;0.5,AF249*(1+AC$23)+AC$24,0)</f>
        <v>0</v>
      </c>
      <c r="AD250" s="69" t="n">
        <f aca="false">MIN(AD$23,AC250)</f>
        <v>0</v>
      </c>
      <c r="AE250" s="69" t="n">
        <f aca="false">IF(AND(AD$24=1,OR(AC$25="",$C250&gt;=AC$25)),MAX(0,MIN(AC250-AD250,$D250-(G250+K250+O250+S250+W250+AA250))),0)</f>
        <v>0</v>
      </c>
      <c r="AF250" s="69" t="n">
        <f aca="false">AC250-AD250-AE250</f>
        <v>0</v>
      </c>
      <c r="AG250" s="69" t="n">
        <f aca="false">IF(AJ249&gt;0.5,AJ249*(1+AG$23)+AG$24,0)</f>
        <v>0</v>
      </c>
      <c r="AH250" s="69" t="n">
        <f aca="false">MIN(AH$23,AG250)</f>
        <v>0</v>
      </c>
      <c r="AI250" s="69" t="n">
        <f aca="false">IF(AND(AH$24=1,OR(AG$25="",$C250&gt;=AG$25)),MAX(0,MIN(AG250-AH250,$D250-(G250+K250+O250+S250+W250+AA250+AE250))),0)</f>
        <v>0</v>
      </c>
      <c r="AJ250" s="69" t="n">
        <f aca="false">AG250-AH250-AI250</f>
        <v>0</v>
      </c>
      <c r="AK250" s="69" t="n">
        <f aca="false">IF(AK249&gt;0.5,AK249*(1+$E$12)+$G$12-MIN($F$12,AK249*(1+$E$12)+$G$12),0)</f>
        <v>0</v>
      </c>
      <c r="AL250" s="69" t="n">
        <f aca="false">IF(AL249&gt;0.5,AL249*(1+$E$13)+$G$13-MIN($F$13,AL249*(1+$E$13)+$G$13),0)</f>
        <v>0</v>
      </c>
      <c r="AM250" s="69" t="n">
        <f aca="false">IF(AM249&gt;0.5,AM249*(1+$E$14)+$G$14-MIN($F$14,AM249*(1+$E$14)+$G$14),0)</f>
        <v>0</v>
      </c>
      <c r="AN250" s="69" t="n">
        <f aca="false">IF(AN249&gt;0.5,AN249*(1+$E$15)+$G$15-MIN($F$15,AN249*(1+$E$15)+$G$15),0)</f>
        <v>0</v>
      </c>
      <c r="AO250" s="69" t="n">
        <f aca="false">IF(AO249&gt;0.5,AO249*(1+$E$16)+$G$16-MIN($F$16,AO249*(1+$E$16)+$G$16),0)</f>
        <v>0</v>
      </c>
      <c r="AP250" s="69" t="n">
        <f aca="false">IF(AP249&gt;0.5,AP249*(1+$E$17)+$G$17-MIN($F$17,AP249*(1+$E$17)+$G$17),0)</f>
        <v>0</v>
      </c>
      <c r="AQ250" s="69" t="n">
        <f aca="false">IF(AQ249&gt;0.5,AQ249*(1+$E$18)+$G$18-MIN($F$18,AQ249*(1+$E$18)+$G$18),0)</f>
        <v>0</v>
      </c>
      <c r="AR250" s="69" t="n">
        <f aca="false">IF(AR249&gt;0.5,AR249*(1+$E$19)+$G$19-MIN($F$19,AR249*(1+$E$19)+$G$19),0)</f>
        <v>0</v>
      </c>
      <c r="AS250" s="69" t="n">
        <f aca="false">H250+L250+P250+T250+X250+AB250+AF250+AJ250</f>
        <v>0</v>
      </c>
      <c r="AT250" s="69" t="n">
        <f aca="false">SUM(AK250:AR250)</f>
        <v>0</v>
      </c>
      <c r="AU250" s="69" t="n">
        <f aca="false">F250+G250+J250+K250+N250+O250+R250+S250+V250+W250+Z250+AA250+AD250+AE250+AH250+AI250</f>
        <v>0</v>
      </c>
    </row>
    <row r="251" customFormat="false" ht="15" hidden="false" customHeight="false" outlineLevel="0" collapsed="false">
      <c r="B251" s="0" t="n">
        <v>224</v>
      </c>
      <c r="C251" s="68" t="n">
        <f aca="false">EDATE($C$7,223)</f>
        <v>53083</v>
      </c>
      <c r="D251" s="69" t="n">
        <f aca="false">$C$8-(F251+J251+N251+R251+V251+Z251+AD251+AH251)</f>
        <v>0</v>
      </c>
      <c r="E251" s="69" t="n">
        <f aca="false">IF(H250&gt;0.5,H250*(1+E$23)+E$24,0)</f>
        <v>0</v>
      </c>
      <c r="F251" s="69" t="n">
        <f aca="false">MIN(F$23,E251)</f>
        <v>0</v>
      </c>
      <c r="G251" s="69" t="n">
        <f aca="false">IF(AND(F$24=1,OR(E$25="",$C251&gt;=E$25)),MAX(0,MIN(E251-F251,$D251-(0))),0)</f>
        <v>0</v>
      </c>
      <c r="H251" s="69" t="n">
        <f aca="false">E251-F251-G251</f>
        <v>0</v>
      </c>
      <c r="I251" s="69" t="n">
        <f aca="false">IF(L250&gt;0.5,L250*(1+I$23)+I$24,0)</f>
        <v>0</v>
      </c>
      <c r="J251" s="69" t="n">
        <f aca="false">MIN(J$23,I251)</f>
        <v>0</v>
      </c>
      <c r="K251" s="69" t="n">
        <f aca="false">IF(AND(J$24=1,OR(I$25="",$C251&gt;=I$25)),MAX(0,MIN(I251-J251,$D251-(G251))),0)</f>
        <v>0</v>
      </c>
      <c r="L251" s="69" t="n">
        <f aca="false">I251-J251-K251</f>
        <v>0</v>
      </c>
      <c r="M251" s="69" t="n">
        <f aca="false">IF(P250&gt;0.5,P250*(1+M$23)+M$24,0)</f>
        <v>0</v>
      </c>
      <c r="N251" s="69" t="n">
        <f aca="false">MIN(N$23,M251)</f>
        <v>0</v>
      </c>
      <c r="O251" s="69" t="n">
        <f aca="false">IF(AND(N$24=1,OR(M$25="",$C251&gt;=M$25)),MAX(0,MIN(M251-N251,$D251-(G251+K251))),0)</f>
        <v>0</v>
      </c>
      <c r="P251" s="69" t="n">
        <f aca="false">M251-N251-O251</f>
        <v>0</v>
      </c>
      <c r="Q251" s="69" t="n">
        <f aca="false">IF(T250&gt;0.5,T250*(1+Q$23)+Q$24,0)</f>
        <v>0</v>
      </c>
      <c r="R251" s="69" t="n">
        <f aca="false">MIN(R$23,Q251)</f>
        <v>0</v>
      </c>
      <c r="S251" s="69" t="n">
        <f aca="false">IF(AND(R$24=1,OR(Q$25="",$C251&gt;=Q$25)),MAX(0,MIN(Q251-R251,$D251-(G251+K251+O251))),0)</f>
        <v>0</v>
      </c>
      <c r="T251" s="69" t="n">
        <f aca="false">Q251-R251-S251</f>
        <v>0</v>
      </c>
      <c r="U251" s="69" t="n">
        <f aca="false">IF(X250&gt;0.5,X250*(1+U$23)+U$24,0)</f>
        <v>0</v>
      </c>
      <c r="V251" s="69" t="n">
        <f aca="false">MIN(V$23,U251)</f>
        <v>0</v>
      </c>
      <c r="W251" s="69" t="n">
        <f aca="false">IF(AND(V$24=1,OR(U$25="",$C251&gt;=U$25)),MAX(0,MIN(U251-V251,$D251-(G251+K251+O251+S251))),0)</f>
        <v>0</v>
      </c>
      <c r="X251" s="69" t="n">
        <f aca="false">U251-V251-W251</f>
        <v>0</v>
      </c>
      <c r="Y251" s="69" t="n">
        <f aca="false">IF(AB250&gt;0.5,AB250*(1+Y$23)+Y$24,0)</f>
        <v>0</v>
      </c>
      <c r="Z251" s="69" t="n">
        <f aca="false">MIN(Z$23,Y251)</f>
        <v>0</v>
      </c>
      <c r="AA251" s="69" t="n">
        <f aca="false">IF(AND(Z$24=1,OR(Y$25="",$C251&gt;=Y$25)),MAX(0,MIN(Y251-Z251,$D251-(G251+K251+O251+S251+W251))),0)</f>
        <v>0</v>
      </c>
      <c r="AB251" s="69" t="n">
        <f aca="false">Y251-Z251-AA251</f>
        <v>0</v>
      </c>
      <c r="AC251" s="69" t="n">
        <f aca="false">IF(AF250&gt;0.5,AF250*(1+AC$23)+AC$24,0)</f>
        <v>0</v>
      </c>
      <c r="AD251" s="69" t="n">
        <f aca="false">MIN(AD$23,AC251)</f>
        <v>0</v>
      </c>
      <c r="AE251" s="69" t="n">
        <f aca="false">IF(AND(AD$24=1,OR(AC$25="",$C251&gt;=AC$25)),MAX(0,MIN(AC251-AD251,$D251-(G251+K251+O251+S251+W251+AA251))),0)</f>
        <v>0</v>
      </c>
      <c r="AF251" s="69" t="n">
        <f aca="false">AC251-AD251-AE251</f>
        <v>0</v>
      </c>
      <c r="AG251" s="69" t="n">
        <f aca="false">IF(AJ250&gt;0.5,AJ250*(1+AG$23)+AG$24,0)</f>
        <v>0</v>
      </c>
      <c r="AH251" s="69" t="n">
        <f aca="false">MIN(AH$23,AG251)</f>
        <v>0</v>
      </c>
      <c r="AI251" s="69" t="n">
        <f aca="false">IF(AND(AH$24=1,OR(AG$25="",$C251&gt;=AG$25)),MAX(0,MIN(AG251-AH251,$D251-(G251+K251+O251+S251+W251+AA251+AE251))),0)</f>
        <v>0</v>
      </c>
      <c r="AJ251" s="69" t="n">
        <f aca="false">AG251-AH251-AI251</f>
        <v>0</v>
      </c>
      <c r="AK251" s="69" t="n">
        <f aca="false">IF(AK250&gt;0.5,AK250*(1+$E$12)+$G$12-MIN($F$12,AK250*(1+$E$12)+$G$12),0)</f>
        <v>0</v>
      </c>
      <c r="AL251" s="69" t="n">
        <f aca="false">IF(AL250&gt;0.5,AL250*(1+$E$13)+$G$13-MIN($F$13,AL250*(1+$E$13)+$G$13),0)</f>
        <v>0</v>
      </c>
      <c r="AM251" s="69" t="n">
        <f aca="false">IF(AM250&gt;0.5,AM250*(1+$E$14)+$G$14-MIN($F$14,AM250*(1+$E$14)+$G$14),0)</f>
        <v>0</v>
      </c>
      <c r="AN251" s="69" t="n">
        <f aca="false">IF(AN250&gt;0.5,AN250*(1+$E$15)+$G$15-MIN($F$15,AN250*(1+$E$15)+$G$15),0)</f>
        <v>0</v>
      </c>
      <c r="AO251" s="69" t="n">
        <f aca="false">IF(AO250&gt;0.5,AO250*(1+$E$16)+$G$16-MIN($F$16,AO250*(1+$E$16)+$G$16),0)</f>
        <v>0</v>
      </c>
      <c r="AP251" s="69" t="n">
        <f aca="false">IF(AP250&gt;0.5,AP250*(1+$E$17)+$G$17-MIN($F$17,AP250*(1+$E$17)+$G$17),0)</f>
        <v>0</v>
      </c>
      <c r="AQ251" s="69" t="n">
        <f aca="false">IF(AQ250&gt;0.5,AQ250*(1+$E$18)+$G$18-MIN($F$18,AQ250*(1+$E$18)+$G$18),0)</f>
        <v>0</v>
      </c>
      <c r="AR251" s="69" t="n">
        <f aca="false">IF(AR250&gt;0.5,AR250*(1+$E$19)+$G$19-MIN($F$19,AR250*(1+$E$19)+$G$19),0)</f>
        <v>0</v>
      </c>
      <c r="AS251" s="69" t="n">
        <f aca="false">H251+L251+P251+T251+X251+AB251+AF251+AJ251</f>
        <v>0</v>
      </c>
      <c r="AT251" s="69" t="n">
        <f aca="false">SUM(AK251:AR251)</f>
        <v>0</v>
      </c>
      <c r="AU251" s="69" t="n">
        <f aca="false">F251+G251+J251+K251+N251+O251+R251+S251+V251+W251+Z251+AA251+AD251+AE251+AH251+AI251</f>
        <v>0</v>
      </c>
    </row>
    <row r="252" customFormat="false" ht="15" hidden="false" customHeight="false" outlineLevel="0" collapsed="false">
      <c r="B252" s="0" t="n">
        <v>225</v>
      </c>
      <c r="C252" s="68" t="n">
        <f aca="false">EDATE($C$7,224)</f>
        <v>53114</v>
      </c>
      <c r="D252" s="69" t="n">
        <f aca="false">$C$8-(F252+J252+N252+R252+V252+Z252+AD252+AH252)</f>
        <v>0</v>
      </c>
      <c r="E252" s="69" t="n">
        <f aca="false">IF(H251&gt;0.5,H251*(1+E$23)+E$24,0)</f>
        <v>0</v>
      </c>
      <c r="F252" s="69" t="n">
        <f aca="false">MIN(F$23,E252)</f>
        <v>0</v>
      </c>
      <c r="G252" s="69" t="n">
        <f aca="false">IF(AND(F$24=1,OR(E$25="",$C252&gt;=E$25)),MAX(0,MIN(E252-F252,$D252-(0))),0)</f>
        <v>0</v>
      </c>
      <c r="H252" s="69" t="n">
        <f aca="false">E252-F252-G252</f>
        <v>0</v>
      </c>
      <c r="I252" s="69" t="n">
        <f aca="false">IF(L251&gt;0.5,L251*(1+I$23)+I$24,0)</f>
        <v>0</v>
      </c>
      <c r="J252" s="69" t="n">
        <f aca="false">MIN(J$23,I252)</f>
        <v>0</v>
      </c>
      <c r="K252" s="69" t="n">
        <f aca="false">IF(AND(J$24=1,OR(I$25="",$C252&gt;=I$25)),MAX(0,MIN(I252-J252,$D252-(G252))),0)</f>
        <v>0</v>
      </c>
      <c r="L252" s="69" t="n">
        <f aca="false">I252-J252-K252</f>
        <v>0</v>
      </c>
      <c r="M252" s="69" t="n">
        <f aca="false">IF(P251&gt;0.5,P251*(1+M$23)+M$24,0)</f>
        <v>0</v>
      </c>
      <c r="N252" s="69" t="n">
        <f aca="false">MIN(N$23,M252)</f>
        <v>0</v>
      </c>
      <c r="O252" s="69" t="n">
        <f aca="false">IF(AND(N$24=1,OR(M$25="",$C252&gt;=M$25)),MAX(0,MIN(M252-N252,$D252-(G252+K252))),0)</f>
        <v>0</v>
      </c>
      <c r="P252" s="69" t="n">
        <f aca="false">M252-N252-O252</f>
        <v>0</v>
      </c>
      <c r="Q252" s="69" t="n">
        <f aca="false">IF(T251&gt;0.5,T251*(1+Q$23)+Q$24,0)</f>
        <v>0</v>
      </c>
      <c r="R252" s="69" t="n">
        <f aca="false">MIN(R$23,Q252)</f>
        <v>0</v>
      </c>
      <c r="S252" s="69" t="n">
        <f aca="false">IF(AND(R$24=1,OR(Q$25="",$C252&gt;=Q$25)),MAX(0,MIN(Q252-R252,$D252-(G252+K252+O252))),0)</f>
        <v>0</v>
      </c>
      <c r="T252" s="69" t="n">
        <f aca="false">Q252-R252-S252</f>
        <v>0</v>
      </c>
      <c r="U252" s="69" t="n">
        <f aca="false">IF(X251&gt;0.5,X251*(1+U$23)+U$24,0)</f>
        <v>0</v>
      </c>
      <c r="V252" s="69" t="n">
        <f aca="false">MIN(V$23,U252)</f>
        <v>0</v>
      </c>
      <c r="W252" s="69" t="n">
        <f aca="false">IF(AND(V$24=1,OR(U$25="",$C252&gt;=U$25)),MAX(0,MIN(U252-V252,$D252-(G252+K252+O252+S252))),0)</f>
        <v>0</v>
      </c>
      <c r="X252" s="69" t="n">
        <f aca="false">U252-V252-W252</f>
        <v>0</v>
      </c>
      <c r="Y252" s="69" t="n">
        <f aca="false">IF(AB251&gt;0.5,AB251*(1+Y$23)+Y$24,0)</f>
        <v>0</v>
      </c>
      <c r="Z252" s="69" t="n">
        <f aca="false">MIN(Z$23,Y252)</f>
        <v>0</v>
      </c>
      <c r="AA252" s="69" t="n">
        <f aca="false">IF(AND(Z$24=1,OR(Y$25="",$C252&gt;=Y$25)),MAX(0,MIN(Y252-Z252,$D252-(G252+K252+O252+S252+W252))),0)</f>
        <v>0</v>
      </c>
      <c r="AB252" s="69" t="n">
        <f aca="false">Y252-Z252-AA252</f>
        <v>0</v>
      </c>
      <c r="AC252" s="69" t="n">
        <f aca="false">IF(AF251&gt;0.5,AF251*(1+AC$23)+AC$24,0)</f>
        <v>0</v>
      </c>
      <c r="AD252" s="69" t="n">
        <f aca="false">MIN(AD$23,AC252)</f>
        <v>0</v>
      </c>
      <c r="AE252" s="69" t="n">
        <f aca="false">IF(AND(AD$24=1,OR(AC$25="",$C252&gt;=AC$25)),MAX(0,MIN(AC252-AD252,$D252-(G252+K252+O252+S252+W252+AA252))),0)</f>
        <v>0</v>
      </c>
      <c r="AF252" s="69" t="n">
        <f aca="false">AC252-AD252-AE252</f>
        <v>0</v>
      </c>
      <c r="AG252" s="69" t="n">
        <f aca="false">IF(AJ251&gt;0.5,AJ251*(1+AG$23)+AG$24,0)</f>
        <v>0</v>
      </c>
      <c r="AH252" s="69" t="n">
        <f aca="false">MIN(AH$23,AG252)</f>
        <v>0</v>
      </c>
      <c r="AI252" s="69" t="n">
        <f aca="false">IF(AND(AH$24=1,OR(AG$25="",$C252&gt;=AG$25)),MAX(0,MIN(AG252-AH252,$D252-(G252+K252+O252+S252+W252+AA252+AE252))),0)</f>
        <v>0</v>
      </c>
      <c r="AJ252" s="69" t="n">
        <f aca="false">AG252-AH252-AI252</f>
        <v>0</v>
      </c>
      <c r="AK252" s="69" t="n">
        <f aca="false">IF(AK251&gt;0.5,AK251*(1+$E$12)+$G$12-MIN($F$12,AK251*(1+$E$12)+$G$12),0)</f>
        <v>0</v>
      </c>
      <c r="AL252" s="69" t="n">
        <f aca="false">IF(AL251&gt;0.5,AL251*(1+$E$13)+$G$13-MIN($F$13,AL251*(1+$E$13)+$G$13),0)</f>
        <v>0</v>
      </c>
      <c r="AM252" s="69" t="n">
        <f aca="false">IF(AM251&gt;0.5,AM251*(1+$E$14)+$G$14-MIN($F$14,AM251*(1+$E$14)+$G$14),0)</f>
        <v>0</v>
      </c>
      <c r="AN252" s="69" t="n">
        <f aca="false">IF(AN251&gt;0.5,AN251*(1+$E$15)+$G$15-MIN($F$15,AN251*(1+$E$15)+$G$15),0)</f>
        <v>0</v>
      </c>
      <c r="AO252" s="69" t="n">
        <f aca="false">IF(AO251&gt;0.5,AO251*(1+$E$16)+$G$16-MIN($F$16,AO251*(1+$E$16)+$G$16),0)</f>
        <v>0</v>
      </c>
      <c r="AP252" s="69" t="n">
        <f aca="false">IF(AP251&gt;0.5,AP251*(1+$E$17)+$G$17-MIN($F$17,AP251*(1+$E$17)+$G$17),0)</f>
        <v>0</v>
      </c>
      <c r="AQ252" s="69" t="n">
        <f aca="false">IF(AQ251&gt;0.5,AQ251*(1+$E$18)+$G$18-MIN($F$18,AQ251*(1+$E$18)+$G$18),0)</f>
        <v>0</v>
      </c>
      <c r="AR252" s="69" t="n">
        <f aca="false">IF(AR251&gt;0.5,AR251*(1+$E$19)+$G$19-MIN($F$19,AR251*(1+$E$19)+$G$19),0)</f>
        <v>0</v>
      </c>
      <c r="AS252" s="69" t="n">
        <f aca="false">H252+L252+P252+T252+X252+AB252+AF252+AJ252</f>
        <v>0</v>
      </c>
      <c r="AT252" s="69" t="n">
        <f aca="false">SUM(AK252:AR252)</f>
        <v>0</v>
      </c>
      <c r="AU252" s="69" t="n">
        <f aca="false">F252+G252+J252+K252+N252+O252+R252+S252+V252+W252+Z252+AA252+AD252+AE252+AH252+AI252</f>
        <v>0</v>
      </c>
    </row>
    <row r="253" customFormat="false" ht="15" hidden="false" customHeight="false" outlineLevel="0" collapsed="false">
      <c r="B253" s="0" t="n">
        <v>226</v>
      </c>
      <c r="C253" s="68" t="n">
        <f aca="false">EDATE($C$7,225)</f>
        <v>53144</v>
      </c>
      <c r="D253" s="69" t="n">
        <f aca="false">$C$8-(F253+J253+N253+R253+V253+Z253+AD253+AH253)</f>
        <v>0</v>
      </c>
      <c r="E253" s="69" t="n">
        <f aca="false">IF(H252&gt;0.5,H252*(1+E$23)+E$24,0)</f>
        <v>0</v>
      </c>
      <c r="F253" s="69" t="n">
        <f aca="false">MIN(F$23,E253)</f>
        <v>0</v>
      </c>
      <c r="G253" s="69" t="n">
        <f aca="false">IF(AND(F$24=1,OR(E$25="",$C253&gt;=E$25)),MAX(0,MIN(E253-F253,$D253-(0))),0)</f>
        <v>0</v>
      </c>
      <c r="H253" s="69" t="n">
        <f aca="false">E253-F253-G253</f>
        <v>0</v>
      </c>
      <c r="I253" s="69" t="n">
        <f aca="false">IF(L252&gt;0.5,L252*(1+I$23)+I$24,0)</f>
        <v>0</v>
      </c>
      <c r="J253" s="69" t="n">
        <f aca="false">MIN(J$23,I253)</f>
        <v>0</v>
      </c>
      <c r="K253" s="69" t="n">
        <f aca="false">IF(AND(J$24=1,OR(I$25="",$C253&gt;=I$25)),MAX(0,MIN(I253-J253,$D253-(G253))),0)</f>
        <v>0</v>
      </c>
      <c r="L253" s="69" t="n">
        <f aca="false">I253-J253-K253</f>
        <v>0</v>
      </c>
      <c r="M253" s="69" t="n">
        <f aca="false">IF(P252&gt;0.5,P252*(1+M$23)+M$24,0)</f>
        <v>0</v>
      </c>
      <c r="N253" s="69" t="n">
        <f aca="false">MIN(N$23,M253)</f>
        <v>0</v>
      </c>
      <c r="O253" s="69" t="n">
        <f aca="false">IF(AND(N$24=1,OR(M$25="",$C253&gt;=M$25)),MAX(0,MIN(M253-N253,$D253-(G253+K253))),0)</f>
        <v>0</v>
      </c>
      <c r="P253" s="69" t="n">
        <f aca="false">M253-N253-O253</f>
        <v>0</v>
      </c>
      <c r="Q253" s="69" t="n">
        <f aca="false">IF(T252&gt;0.5,T252*(1+Q$23)+Q$24,0)</f>
        <v>0</v>
      </c>
      <c r="R253" s="69" t="n">
        <f aca="false">MIN(R$23,Q253)</f>
        <v>0</v>
      </c>
      <c r="S253" s="69" t="n">
        <f aca="false">IF(AND(R$24=1,OR(Q$25="",$C253&gt;=Q$25)),MAX(0,MIN(Q253-R253,$D253-(G253+K253+O253))),0)</f>
        <v>0</v>
      </c>
      <c r="T253" s="69" t="n">
        <f aca="false">Q253-R253-S253</f>
        <v>0</v>
      </c>
      <c r="U253" s="69" t="n">
        <f aca="false">IF(X252&gt;0.5,X252*(1+U$23)+U$24,0)</f>
        <v>0</v>
      </c>
      <c r="V253" s="69" t="n">
        <f aca="false">MIN(V$23,U253)</f>
        <v>0</v>
      </c>
      <c r="W253" s="69" t="n">
        <f aca="false">IF(AND(V$24=1,OR(U$25="",$C253&gt;=U$25)),MAX(0,MIN(U253-V253,$D253-(G253+K253+O253+S253))),0)</f>
        <v>0</v>
      </c>
      <c r="X253" s="69" t="n">
        <f aca="false">U253-V253-W253</f>
        <v>0</v>
      </c>
      <c r="Y253" s="69" t="n">
        <f aca="false">IF(AB252&gt;0.5,AB252*(1+Y$23)+Y$24,0)</f>
        <v>0</v>
      </c>
      <c r="Z253" s="69" t="n">
        <f aca="false">MIN(Z$23,Y253)</f>
        <v>0</v>
      </c>
      <c r="AA253" s="69" t="n">
        <f aca="false">IF(AND(Z$24=1,OR(Y$25="",$C253&gt;=Y$25)),MAX(0,MIN(Y253-Z253,$D253-(G253+K253+O253+S253+W253))),0)</f>
        <v>0</v>
      </c>
      <c r="AB253" s="69" t="n">
        <f aca="false">Y253-Z253-AA253</f>
        <v>0</v>
      </c>
      <c r="AC253" s="69" t="n">
        <f aca="false">IF(AF252&gt;0.5,AF252*(1+AC$23)+AC$24,0)</f>
        <v>0</v>
      </c>
      <c r="AD253" s="69" t="n">
        <f aca="false">MIN(AD$23,AC253)</f>
        <v>0</v>
      </c>
      <c r="AE253" s="69" t="n">
        <f aca="false">IF(AND(AD$24=1,OR(AC$25="",$C253&gt;=AC$25)),MAX(0,MIN(AC253-AD253,$D253-(G253+K253+O253+S253+W253+AA253))),0)</f>
        <v>0</v>
      </c>
      <c r="AF253" s="69" t="n">
        <f aca="false">AC253-AD253-AE253</f>
        <v>0</v>
      </c>
      <c r="AG253" s="69" t="n">
        <f aca="false">IF(AJ252&gt;0.5,AJ252*(1+AG$23)+AG$24,0)</f>
        <v>0</v>
      </c>
      <c r="AH253" s="69" t="n">
        <f aca="false">MIN(AH$23,AG253)</f>
        <v>0</v>
      </c>
      <c r="AI253" s="69" t="n">
        <f aca="false">IF(AND(AH$24=1,OR(AG$25="",$C253&gt;=AG$25)),MAX(0,MIN(AG253-AH253,$D253-(G253+K253+O253+S253+W253+AA253+AE253))),0)</f>
        <v>0</v>
      </c>
      <c r="AJ253" s="69" t="n">
        <f aca="false">AG253-AH253-AI253</f>
        <v>0</v>
      </c>
      <c r="AK253" s="69" t="n">
        <f aca="false">IF(AK252&gt;0.5,AK252*(1+$E$12)+$G$12-MIN($F$12,AK252*(1+$E$12)+$G$12),0)</f>
        <v>0</v>
      </c>
      <c r="AL253" s="69" t="n">
        <f aca="false">IF(AL252&gt;0.5,AL252*(1+$E$13)+$G$13-MIN($F$13,AL252*(1+$E$13)+$G$13),0)</f>
        <v>0</v>
      </c>
      <c r="AM253" s="69" t="n">
        <f aca="false">IF(AM252&gt;0.5,AM252*(1+$E$14)+$G$14-MIN($F$14,AM252*(1+$E$14)+$G$14),0)</f>
        <v>0</v>
      </c>
      <c r="AN253" s="69" t="n">
        <f aca="false">IF(AN252&gt;0.5,AN252*(1+$E$15)+$G$15-MIN($F$15,AN252*(1+$E$15)+$G$15),0)</f>
        <v>0</v>
      </c>
      <c r="AO253" s="69" t="n">
        <f aca="false">IF(AO252&gt;0.5,AO252*(1+$E$16)+$G$16-MIN($F$16,AO252*(1+$E$16)+$G$16),0)</f>
        <v>0</v>
      </c>
      <c r="AP253" s="69" t="n">
        <f aca="false">IF(AP252&gt;0.5,AP252*(1+$E$17)+$G$17-MIN($F$17,AP252*(1+$E$17)+$G$17),0)</f>
        <v>0</v>
      </c>
      <c r="AQ253" s="69" t="n">
        <f aca="false">IF(AQ252&gt;0.5,AQ252*(1+$E$18)+$G$18-MIN($F$18,AQ252*(1+$E$18)+$G$18),0)</f>
        <v>0</v>
      </c>
      <c r="AR253" s="69" t="n">
        <f aca="false">IF(AR252&gt;0.5,AR252*(1+$E$19)+$G$19-MIN($F$19,AR252*(1+$E$19)+$G$19),0)</f>
        <v>0</v>
      </c>
      <c r="AS253" s="69" t="n">
        <f aca="false">H253+L253+P253+T253+X253+AB253+AF253+AJ253</f>
        <v>0</v>
      </c>
      <c r="AT253" s="69" t="n">
        <f aca="false">SUM(AK253:AR253)</f>
        <v>0</v>
      </c>
      <c r="AU253" s="69" t="n">
        <f aca="false">F253+G253+J253+K253+N253+O253+R253+S253+V253+W253+Z253+AA253+AD253+AE253+AH253+AI253</f>
        <v>0</v>
      </c>
    </row>
    <row r="254" customFormat="false" ht="15" hidden="false" customHeight="false" outlineLevel="0" collapsed="false">
      <c r="B254" s="0" t="n">
        <v>227</v>
      </c>
      <c r="C254" s="68" t="n">
        <f aca="false">EDATE($C$7,226)</f>
        <v>53175</v>
      </c>
      <c r="D254" s="69" t="n">
        <f aca="false">$C$8-(F254+J254+N254+R254+V254+Z254+AD254+AH254)</f>
        <v>0</v>
      </c>
      <c r="E254" s="69" t="n">
        <f aca="false">IF(H253&gt;0.5,H253*(1+E$23)+E$24,0)</f>
        <v>0</v>
      </c>
      <c r="F254" s="69" t="n">
        <f aca="false">MIN(F$23,E254)</f>
        <v>0</v>
      </c>
      <c r="G254" s="69" t="n">
        <f aca="false">IF(AND(F$24=1,OR(E$25="",$C254&gt;=E$25)),MAX(0,MIN(E254-F254,$D254-(0))),0)</f>
        <v>0</v>
      </c>
      <c r="H254" s="69" t="n">
        <f aca="false">E254-F254-G254</f>
        <v>0</v>
      </c>
      <c r="I254" s="69" t="n">
        <f aca="false">IF(L253&gt;0.5,L253*(1+I$23)+I$24,0)</f>
        <v>0</v>
      </c>
      <c r="J254" s="69" t="n">
        <f aca="false">MIN(J$23,I254)</f>
        <v>0</v>
      </c>
      <c r="K254" s="69" t="n">
        <f aca="false">IF(AND(J$24=1,OR(I$25="",$C254&gt;=I$25)),MAX(0,MIN(I254-J254,$D254-(G254))),0)</f>
        <v>0</v>
      </c>
      <c r="L254" s="69" t="n">
        <f aca="false">I254-J254-K254</f>
        <v>0</v>
      </c>
      <c r="M254" s="69" t="n">
        <f aca="false">IF(P253&gt;0.5,P253*(1+M$23)+M$24,0)</f>
        <v>0</v>
      </c>
      <c r="N254" s="69" t="n">
        <f aca="false">MIN(N$23,M254)</f>
        <v>0</v>
      </c>
      <c r="O254" s="69" t="n">
        <f aca="false">IF(AND(N$24=1,OR(M$25="",$C254&gt;=M$25)),MAX(0,MIN(M254-N254,$D254-(G254+K254))),0)</f>
        <v>0</v>
      </c>
      <c r="P254" s="69" t="n">
        <f aca="false">M254-N254-O254</f>
        <v>0</v>
      </c>
      <c r="Q254" s="69" t="n">
        <f aca="false">IF(T253&gt;0.5,T253*(1+Q$23)+Q$24,0)</f>
        <v>0</v>
      </c>
      <c r="R254" s="69" t="n">
        <f aca="false">MIN(R$23,Q254)</f>
        <v>0</v>
      </c>
      <c r="S254" s="69" t="n">
        <f aca="false">IF(AND(R$24=1,OR(Q$25="",$C254&gt;=Q$25)),MAX(0,MIN(Q254-R254,$D254-(G254+K254+O254))),0)</f>
        <v>0</v>
      </c>
      <c r="T254" s="69" t="n">
        <f aca="false">Q254-R254-S254</f>
        <v>0</v>
      </c>
      <c r="U254" s="69" t="n">
        <f aca="false">IF(X253&gt;0.5,X253*(1+U$23)+U$24,0)</f>
        <v>0</v>
      </c>
      <c r="V254" s="69" t="n">
        <f aca="false">MIN(V$23,U254)</f>
        <v>0</v>
      </c>
      <c r="W254" s="69" t="n">
        <f aca="false">IF(AND(V$24=1,OR(U$25="",$C254&gt;=U$25)),MAX(0,MIN(U254-V254,$D254-(G254+K254+O254+S254))),0)</f>
        <v>0</v>
      </c>
      <c r="X254" s="69" t="n">
        <f aca="false">U254-V254-W254</f>
        <v>0</v>
      </c>
      <c r="Y254" s="69" t="n">
        <f aca="false">IF(AB253&gt;0.5,AB253*(1+Y$23)+Y$24,0)</f>
        <v>0</v>
      </c>
      <c r="Z254" s="69" t="n">
        <f aca="false">MIN(Z$23,Y254)</f>
        <v>0</v>
      </c>
      <c r="AA254" s="69" t="n">
        <f aca="false">IF(AND(Z$24=1,OR(Y$25="",$C254&gt;=Y$25)),MAX(0,MIN(Y254-Z254,$D254-(G254+K254+O254+S254+W254))),0)</f>
        <v>0</v>
      </c>
      <c r="AB254" s="69" t="n">
        <f aca="false">Y254-Z254-AA254</f>
        <v>0</v>
      </c>
      <c r="AC254" s="69" t="n">
        <f aca="false">IF(AF253&gt;0.5,AF253*(1+AC$23)+AC$24,0)</f>
        <v>0</v>
      </c>
      <c r="AD254" s="69" t="n">
        <f aca="false">MIN(AD$23,AC254)</f>
        <v>0</v>
      </c>
      <c r="AE254" s="69" t="n">
        <f aca="false">IF(AND(AD$24=1,OR(AC$25="",$C254&gt;=AC$25)),MAX(0,MIN(AC254-AD254,$D254-(G254+K254+O254+S254+W254+AA254))),0)</f>
        <v>0</v>
      </c>
      <c r="AF254" s="69" t="n">
        <f aca="false">AC254-AD254-AE254</f>
        <v>0</v>
      </c>
      <c r="AG254" s="69" t="n">
        <f aca="false">IF(AJ253&gt;0.5,AJ253*(1+AG$23)+AG$24,0)</f>
        <v>0</v>
      </c>
      <c r="AH254" s="69" t="n">
        <f aca="false">MIN(AH$23,AG254)</f>
        <v>0</v>
      </c>
      <c r="AI254" s="69" t="n">
        <f aca="false">IF(AND(AH$24=1,OR(AG$25="",$C254&gt;=AG$25)),MAX(0,MIN(AG254-AH254,$D254-(G254+K254+O254+S254+W254+AA254+AE254))),0)</f>
        <v>0</v>
      </c>
      <c r="AJ254" s="69" t="n">
        <f aca="false">AG254-AH254-AI254</f>
        <v>0</v>
      </c>
      <c r="AK254" s="69" t="n">
        <f aca="false">IF(AK253&gt;0.5,AK253*(1+$E$12)+$G$12-MIN($F$12,AK253*(1+$E$12)+$G$12),0)</f>
        <v>0</v>
      </c>
      <c r="AL254" s="69" t="n">
        <f aca="false">IF(AL253&gt;0.5,AL253*(1+$E$13)+$G$13-MIN($F$13,AL253*(1+$E$13)+$G$13),0)</f>
        <v>0</v>
      </c>
      <c r="AM254" s="69" t="n">
        <f aca="false">IF(AM253&gt;0.5,AM253*(1+$E$14)+$G$14-MIN($F$14,AM253*(1+$E$14)+$G$14),0)</f>
        <v>0</v>
      </c>
      <c r="AN254" s="69" t="n">
        <f aca="false">IF(AN253&gt;0.5,AN253*(1+$E$15)+$G$15-MIN($F$15,AN253*(1+$E$15)+$G$15),0)</f>
        <v>0</v>
      </c>
      <c r="AO254" s="69" t="n">
        <f aca="false">IF(AO253&gt;0.5,AO253*(1+$E$16)+$G$16-MIN($F$16,AO253*(1+$E$16)+$G$16),0)</f>
        <v>0</v>
      </c>
      <c r="AP254" s="69" t="n">
        <f aca="false">IF(AP253&gt;0.5,AP253*(1+$E$17)+$G$17-MIN($F$17,AP253*(1+$E$17)+$G$17),0)</f>
        <v>0</v>
      </c>
      <c r="AQ254" s="69" t="n">
        <f aca="false">IF(AQ253&gt;0.5,AQ253*(1+$E$18)+$G$18-MIN($F$18,AQ253*(1+$E$18)+$G$18),0)</f>
        <v>0</v>
      </c>
      <c r="AR254" s="69" t="n">
        <f aca="false">IF(AR253&gt;0.5,AR253*(1+$E$19)+$G$19-MIN($F$19,AR253*(1+$E$19)+$G$19),0)</f>
        <v>0</v>
      </c>
      <c r="AS254" s="69" t="n">
        <f aca="false">H254+L254+P254+T254+X254+AB254+AF254+AJ254</f>
        <v>0</v>
      </c>
      <c r="AT254" s="69" t="n">
        <f aca="false">SUM(AK254:AR254)</f>
        <v>0</v>
      </c>
      <c r="AU254" s="69" t="n">
        <f aca="false">F254+G254+J254+K254+N254+O254+R254+S254+V254+W254+Z254+AA254+AD254+AE254+AH254+AI254</f>
        <v>0</v>
      </c>
    </row>
    <row r="255" customFormat="false" ht="15" hidden="false" customHeight="false" outlineLevel="0" collapsed="false">
      <c r="B255" s="0" t="n">
        <v>228</v>
      </c>
      <c r="C255" s="68" t="n">
        <f aca="false">EDATE($C$7,227)</f>
        <v>53206</v>
      </c>
      <c r="D255" s="69" t="n">
        <f aca="false">$C$8-(F255+J255+N255+R255+V255+Z255+AD255+AH255)</f>
        <v>0</v>
      </c>
      <c r="E255" s="69" t="n">
        <f aca="false">IF(H254&gt;0.5,H254*(1+E$23)+E$24,0)</f>
        <v>0</v>
      </c>
      <c r="F255" s="69" t="n">
        <f aca="false">MIN(F$23,E255)</f>
        <v>0</v>
      </c>
      <c r="G255" s="69" t="n">
        <f aca="false">IF(AND(F$24=1,OR(E$25="",$C255&gt;=E$25)),MAX(0,MIN(E255-F255,$D255-(0))),0)</f>
        <v>0</v>
      </c>
      <c r="H255" s="69" t="n">
        <f aca="false">E255-F255-G255</f>
        <v>0</v>
      </c>
      <c r="I255" s="69" t="n">
        <f aca="false">IF(L254&gt;0.5,L254*(1+I$23)+I$24,0)</f>
        <v>0</v>
      </c>
      <c r="J255" s="69" t="n">
        <f aca="false">MIN(J$23,I255)</f>
        <v>0</v>
      </c>
      <c r="K255" s="69" t="n">
        <f aca="false">IF(AND(J$24=1,OR(I$25="",$C255&gt;=I$25)),MAX(0,MIN(I255-J255,$D255-(G255))),0)</f>
        <v>0</v>
      </c>
      <c r="L255" s="69" t="n">
        <f aca="false">I255-J255-K255</f>
        <v>0</v>
      </c>
      <c r="M255" s="69" t="n">
        <f aca="false">IF(P254&gt;0.5,P254*(1+M$23)+M$24,0)</f>
        <v>0</v>
      </c>
      <c r="N255" s="69" t="n">
        <f aca="false">MIN(N$23,M255)</f>
        <v>0</v>
      </c>
      <c r="O255" s="69" t="n">
        <f aca="false">IF(AND(N$24=1,OR(M$25="",$C255&gt;=M$25)),MAX(0,MIN(M255-N255,$D255-(G255+K255))),0)</f>
        <v>0</v>
      </c>
      <c r="P255" s="69" t="n">
        <f aca="false">M255-N255-O255</f>
        <v>0</v>
      </c>
      <c r="Q255" s="69" t="n">
        <f aca="false">IF(T254&gt;0.5,T254*(1+Q$23)+Q$24,0)</f>
        <v>0</v>
      </c>
      <c r="R255" s="69" t="n">
        <f aca="false">MIN(R$23,Q255)</f>
        <v>0</v>
      </c>
      <c r="S255" s="69" t="n">
        <f aca="false">IF(AND(R$24=1,OR(Q$25="",$C255&gt;=Q$25)),MAX(0,MIN(Q255-R255,$D255-(G255+K255+O255))),0)</f>
        <v>0</v>
      </c>
      <c r="T255" s="69" t="n">
        <f aca="false">Q255-R255-S255</f>
        <v>0</v>
      </c>
      <c r="U255" s="69" t="n">
        <f aca="false">IF(X254&gt;0.5,X254*(1+U$23)+U$24,0)</f>
        <v>0</v>
      </c>
      <c r="V255" s="69" t="n">
        <f aca="false">MIN(V$23,U255)</f>
        <v>0</v>
      </c>
      <c r="W255" s="69" t="n">
        <f aca="false">IF(AND(V$24=1,OR(U$25="",$C255&gt;=U$25)),MAX(0,MIN(U255-V255,$D255-(G255+K255+O255+S255))),0)</f>
        <v>0</v>
      </c>
      <c r="X255" s="69" t="n">
        <f aca="false">U255-V255-W255</f>
        <v>0</v>
      </c>
      <c r="Y255" s="69" t="n">
        <f aca="false">IF(AB254&gt;0.5,AB254*(1+Y$23)+Y$24,0)</f>
        <v>0</v>
      </c>
      <c r="Z255" s="69" t="n">
        <f aca="false">MIN(Z$23,Y255)</f>
        <v>0</v>
      </c>
      <c r="AA255" s="69" t="n">
        <f aca="false">IF(AND(Z$24=1,OR(Y$25="",$C255&gt;=Y$25)),MAX(0,MIN(Y255-Z255,$D255-(G255+K255+O255+S255+W255))),0)</f>
        <v>0</v>
      </c>
      <c r="AB255" s="69" t="n">
        <f aca="false">Y255-Z255-AA255</f>
        <v>0</v>
      </c>
      <c r="AC255" s="69" t="n">
        <f aca="false">IF(AF254&gt;0.5,AF254*(1+AC$23)+AC$24,0)</f>
        <v>0</v>
      </c>
      <c r="AD255" s="69" t="n">
        <f aca="false">MIN(AD$23,AC255)</f>
        <v>0</v>
      </c>
      <c r="AE255" s="69" t="n">
        <f aca="false">IF(AND(AD$24=1,OR(AC$25="",$C255&gt;=AC$25)),MAX(0,MIN(AC255-AD255,$D255-(G255+K255+O255+S255+W255+AA255))),0)</f>
        <v>0</v>
      </c>
      <c r="AF255" s="69" t="n">
        <f aca="false">AC255-AD255-AE255</f>
        <v>0</v>
      </c>
      <c r="AG255" s="69" t="n">
        <f aca="false">IF(AJ254&gt;0.5,AJ254*(1+AG$23)+AG$24,0)</f>
        <v>0</v>
      </c>
      <c r="AH255" s="69" t="n">
        <f aca="false">MIN(AH$23,AG255)</f>
        <v>0</v>
      </c>
      <c r="AI255" s="69" t="n">
        <f aca="false">IF(AND(AH$24=1,OR(AG$25="",$C255&gt;=AG$25)),MAX(0,MIN(AG255-AH255,$D255-(G255+K255+O255+S255+W255+AA255+AE255))),0)</f>
        <v>0</v>
      </c>
      <c r="AJ255" s="69" t="n">
        <f aca="false">AG255-AH255-AI255</f>
        <v>0</v>
      </c>
      <c r="AK255" s="69" t="n">
        <f aca="false">IF(AK254&gt;0.5,AK254*(1+$E$12)+$G$12-MIN($F$12,AK254*(1+$E$12)+$G$12),0)</f>
        <v>0</v>
      </c>
      <c r="AL255" s="69" t="n">
        <f aca="false">IF(AL254&gt;0.5,AL254*(1+$E$13)+$G$13-MIN($F$13,AL254*(1+$E$13)+$G$13),0)</f>
        <v>0</v>
      </c>
      <c r="AM255" s="69" t="n">
        <f aca="false">IF(AM254&gt;0.5,AM254*(1+$E$14)+$G$14-MIN($F$14,AM254*(1+$E$14)+$G$14),0)</f>
        <v>0</v>
      </c>
      <c r="AN255" s="69" t="n">
        <f aca="false">IF(AN254&gt;0.5,AN254*(1+$E$15)+$G$15-MIN($F$15,AN254*(1+$E$15)+$G$15),0)</f>
        <v>0</v>
      </c>
      <c r="AO255" s="69" t="n">
        <f aca="false">IF(AO254&gt;0.5,AO254*(1+$E$16)+$G$16-MIN($F$16,AO254*(1+$E$16)+$G$16),0)</f>
        <v>0</v>
      </c>
      <c r="AP255" s="69" t="n">
        <f aca="false">IF(AP254&gt;0.5,AP254*(1+$E$17)+$G$17-MIN($F$17,AP254*(1+$E$17)+$G$17),0)</f>
        <v>0</v>
      </c>
      <c r="AQ255" s="69" t="n">
        <f aca="false">IF(AQ254&gt;0.5,AQ254*(1+$E$18)+$G$18-MIN($F$18,AQ254*(1+$E$18)+$G$18),0)</f>
        <v>0</v>
      </c>
      <c r="AR255" s="69" t="n">
        <f aca="false">IF(AR254&gt;0.5,AR254*(1+$E$19)+$G$19-MIN($F$19,AR254*(1+$E$19)+$G$19),0)</f>
        <v>0</v>
      </c>
      <c r="AS255" s="69" t="n">
        <f aca="false">H255+L255+P255+T255+X255+AB255+AF255+AJ255</f>
        <v>0</v>
      </c>
      <c r="AT255" s="69" t="n">
        <f aca="false">SUM(AK255:AR255)</f>
        <v>0</v>
      </c>
      <c r="AU255" s="69" t="n">
        <f aca="false">F255+G255+J255+K255+N255+O255+R255+S255+V255+W255+Z255+AA255+AD255+AE255+AH255+AI255</f>
        <v>0</v>
      </c>
    </row>
    <row r="256" customFormat="false" ht="15" hidden="false" customHeight="false" outlineLevel="0" collapsed="false">
      <c r="B256" s="0" t="n">
        <v>229</v>
      </c>
      <c r="C256" s="68" t="n">
        <f aca="false">EDATE($C$7,228)</f>
        <v>53236</v>
      </c>
      <c r="D256" s="69" t="n">
        <f aca="false">$C$8-(F256+J256+N256+R256+V256+Z256+AD256+AH256)</f>
        <v>0</v>
      </c>
      <c r="E256" s="69" t="n">
        <f aca="false">IF(H255&gt;0.5,H255*(1+E$23)+E$24,0)</f>
        <v>0</v>
      </c>
      <c r="F256" s="69" t="n">
        <f aca="false">MIN(F$23,E256)</f>
        <v>0</v>
      </c>
      <c r="G256" s="69" t="n">
        <f aca="false">IF(AND(F$24=1,OR(E$25="",$C256&gt;=E$25)),MAX(0,MIN(E256-F256,$D256-(0))),0)</f>
        <v>0</v>
      </c>
      <c r="H256" s="69" t="n">
        <f aca="false">E256-F256-G256</f>
        <v>0</v>
      </c>
      <c r="I256" s="69" t="n">
        <f aca="false">IF(L255&gt;0.5,L255*(1+I$23)+I$24,0)</f>
        <v>0</v>
      </c>
      <c r="J256" s="69" t="n">
        <f aca="false">MIN(J$23,I256)</f>
        <v>0</v>
      </c>
      <c r="K256" s="69" t="n">
        <f aca="false">IF(AND(J$24=1,OR(I$25="",$C256&gt;=I$25)),MAX(0,MIN(I256-J256,$D256-(G256))),0)</f>
        <v>0</v>
      </c>
      <c r="L256" s="69" t="n">
        <f aca="false">I256-J256-K256</f>
        <v>0</v>
      </c>
      <c r="M256" s="69" t="n">
        <f aca="false">IF(P255&gt;0.5,P255*(1+M$23)+M$24,0)</f>
        <v>0</v>
      </c>
      <c r="N256" s="69" t="n">
        <f aca="false">MIN(N$23,M256)</f>
        <v>0</v>
      </c>
      <c r="O256" s="69" t="n">
        <f aca="false">IF(AND(N$24=1,OR(M$25="",$C256&gt;=M$25)),MAX(0,MIN(M256-N256,$D256-(G256+K256))),0)</f>
        <v>0</v>
      </c>
      <c r="P256" s="69" t="n">
        <f aca="false">M256-N256-O256</f>
        <v>0</v>
      </c>
      <c r="Q256" s="69" t="n">
        <f aca="false">IF(T255&gt;0.5,T255*(1+Q$23)+Q$24,0)</f>
        <v>0</v>
      </c>
      <c r="R256" s="69" t="n">
        <f aca="false">MIN(R$23,Q256)</f>
        <v>0</v>
      </c>
      <c r="S256" s="69" t="n">
        <f aca="false">IF(AND(R$24=1,OR(Q$25="",$C256&gt;=Q$25)),MAX(0,MIN(Q256-R256,$D256-(G256+K256+O256))),0)</f>
        <v>0</v>
      </c>
      <c r="T256" s="69" t="n">
        <f aca="false">Q256-R256-S256</f>
        <v>0</v>
      </c>
      <c r="U256" s="69" t="n">
        <f aca="false">IF(X255&gt;0.5,X255*(1+U$23)+U$24,0)</f>
        <v>0</v>
      </c>
      <c r="V256" s="69" t="n">
        <f aca="false">MIN(V$23,U256)</f>
        <v>0</v>
      </c>
      <c r="W256" s="69" t="n">
        <f aca="false">IF(AND(V$24=1,OR(U$25="",$C256&gt;=U$25)),MAX(0,MIN(U256-V256,$D256-(G256+K256+O256+S256))),0)</f>
        <v>0</v>
      </c>
      <c r="X256" s="69" t="n">
        <f aca="false">U256-V256-W256</f>
        <v>0</v>
      </c>
      <c r="Y256" s="69" t="n">
        <f aca="false">IF(AB255&gt;0.5,AB255*(1+Y$23)+Y$24,0)</f>
        <v>0</v>
      </c>
      <c r="Z256" s="69" t="n">
        <f aca="false">MIN(Z$23,Y256)</f>
        <v>0</v>
      </c>
      <c r="AA256" s="69" t="n">
        <f aca="false">IF(AND(Z$24=1,OR(Y$25="",$C256&gt;=Y$25)),MAX(0,MIN(Y256-Z256,$D256-(G256+K256+O256+S256+W256))),0)</f>
        <v>0</v>
      </c>
      <c r="AB256" s="69" t="n">
        <f aca="false">Y256-Z256-AA256</f>
        <v>0</v>
      </c>
      <c r="AC256" s="69" t="n">
        <f aca="false">IF(AF255&gt;0.5,AF255*(1+AC$23)+AC$24,0)</f>
        <v>0</v>
      </c>
      <c r="AD256" s="69" t="n">
        <f aca="false">MIN(AD$23,AC256)</f>
        <v>0</v>
      </c>
      <c r="AE256" s="69" t="n">
        <f aca="false">IF(AND(AD$24=1,OR(AC$25="",$C256&gt;=AC$25)),MAX(0,MIN(AC256-AD256,$D256-(G256+K256+O256+S256+W256+AA256))),0)</f>
        <v>0</v>
      </c>
      <c r="AF256" s="69" t="n">
        <f aca="false">AC256-AD256-AE256</f>
        <v>0</v>
      </c>
      <c r="AG256" s="69" t="n">
        <f aca="false">IF(AJ255&gt;0.5,AJ255*(1+AG$23)+AG$24,0)</f>
        <v>0</v>
      </c>
      <c r="AH256" s="69" t="n">
        <f aca="false">MIN(AH$23,AG256)</f>
        <v>0</v>
      </c>
      <c r="AI256" s="69" t="n">
        <f aca="false">IF(AND(AH$24=1,OR(AG$25="",$C256&gt;=AG$25)),MAX(0,MIN(AG256-AH256,$D256-(G256+K256+O256+S256+W256+AA256+AE256))),0)</f>
        <v>0</v>
      </c>
      <c r="AJ256" s="69" t="n">
        <f aca="false">AG256-AH256-AI256</f>
        <v>0</v>
      </c>
      <c r="AK256" s="69" t="n">
        <f aca="false">IF(AK255&gt;0.5,AK255*(1+$E$12)+$G$12-MIN($F$12,AK255*(1+$E$12)+$G$12),0)</f>
        <v>0</v>
      </c>
      <c r="AL256" s="69" t="n">
        <f aca="false">IF(AL255&gt;0.5,AL255*(1+$E$13)+$G$13-MIN($F$13,AL255*(1+$E$13)+$G$13),0)</f>
        <v>0</v>
      </c>
      <c r="AM256" s="69" t="n">
        <f aca="false">IF(AM255&gt;0.5,AM255*(1+$E$14)+$G$14-MIN($F$14,AM255*(1+$E$14)+$G$14),0)</f>
        <v>0</v>
      </c>
      <c r="AN256" s="69" t="n">
        <f aca="false">IF(AN255&gt;0.5,AN255*(1+$E$15)+$G$15-MIN($F$15,AN255*(1+$E$15)+$G$15),0)</f>
        <v>0</v>
      </c>
      <c r="AO256" s="69" t="n">
        <f aca="false">IF(AO255&gt;0.5,AO255*(1+$E$16)+$G$16-MIN($F$16,AO255*(1+$E$16)+$G$16),0)</f>
        <v>0</v>
      </c>
      <c r="AP256" s="69" t="n">
        <f aca="false">IF(AP255&gt;0.5,AP255*(1+$E$17)+$G$17-MIN($F$17,AP255*(1+$E$17)+$G$17),0)</f>
        <v>0</v>
      </c>
      <c r="AQ256" s="69" t="n">
        <f aca="false">IF(AQ255&gt;0.5,AQ255*(1+$E$18)+$G$18-MIN($F$18,AQ255*(1+$E$18)+$G$18),0)</f>
        <v>0</v>
      </c>
      <c r="AR256" s="69" t="n">
        <f aca="false">IF(AR255&gt;0.5,AR255*(1+$E$19)+$G$19-MIN($F$19,AR255*(1+$E$19)+$G$19),0)</f>
        <v>0</v>
      </c>
      <c r="AS256" s="69" t="n">
        <f aca="false">H256+L256+P256+T256+X256+AB256+AF256+AJ256</f>
        <v>0</v>
      </c>
      <c r="AT256" s="69" t="n">
        <f aca="false">SUM(AK256:AR256)</f>
        <v>0</v>
      </c>
      <c r="AU256" s="69" t="n">
        <f aca="false">F256+G256+J256+K256+N256+O256+R256+S256+V256+W256+Z256+AA256+AD256+AE256+AH256+AI256</f>
        <v>0</v>
      </c>
    </row>
    <row r="257" customFormat="false" ht="15" hidden="false" customHeight="false" outlineLevel="0" collapsed="false">
      <c r="B257" s="0" t="n">
        <v>230</v>
      </c>
      <c r="C257" s="68" t="n">
        <f aca="false">EDATE($C$7,229)</f>
        <v>53267</v>
      </c>
      <c r="D257" s="69" t="n">
        <f aca="false">$C$8-(F257+J257+N257+R257+V257+Z257+AD257+AH257)</f>
        <v>0</v>
      </c>
      <c r="E257" s="69" t="n">
        <f aca="false">IF(H256&gt;0.5,H256*(1+E$23)+E$24,0)</f>
        <v>0</v>
      </c>
      <c r="F257" s="69" t="n">
        <f aca="false">MIN(F$23,E257)</f>
        <v>0</v>
      </c>
      <c r="G257" s="69" t="n">
        <f aca="false">IF(AND(F$24=1,OR(E$25="",$C257&gt;=E$25)),MAX(0,MIN(E257-F257,$D257-(0))),0)</f>
        <v>0</v>
      </c>
      <c r="H257" s="69" t="n">
        <f aca="false">E257-F257-G257</f>
        <v>0</v>
      </c>
      <c r="I257" s="69" t="n">
        <f aca="false">IF(L256&gt;0.5,L256*(1+I$23)+I$24,0)</f>
        <v>0</v>
      </c>
      <c r="J257" s="69" t="n">
        <f aca="false">MIN(J$23,I257)</f>
        <v>0</v>
      </c>
      <c r="K257" s="69" t="n">
        <f aca="false">IF(AND(J$24=1,OR(I$25="",$C257&gt;=I$25)),MAX(0,MIN(I257-J257,$D257-(G257))),0)</f>
        <v>0</v>
      </c>
      <c r="L257" s="69" t="n">
        <f aca="false">I257-J257-K257</f>
        <v>0</v>
      </c>
      <c r="M257" s="69" t="n">
        <f aca="false">IF(P256&gt;0.5,P256*(1+M$23)+M$24,0)</f>
        <v>0</v>
      </c>
      <c r="N257" s="69" t="n">
        <f aca="false">MIN(N$23,M257)</f>
        <v>0</v>
      </c>
      <c r="O257" s="69" t="n">
        <f aca="false">IF(AND(N$24=1,OR(M$25="",$C257&gt;=M$25)),MAX(0,MIN(M257-N257,$D257-(G257+K257))),0)</f>
        <v>0</v>
      </c>
      <c r="P257" s="69" t="n">
        <f aca="false">M257-N257-O257</f>
        <v>0</v>
      </c>
      <c r="Q257" s="69" t="n">
        <f aca="false">IF(T256&gt;0.5,T256*(1+Q$23)+Q$24,0)</f>
        <v>0</v>
      </c>
      <c r="R257" s="69" t="n">
        <f aca="false">MIN(R$23,Q257)</f>
        <v>0</v>
      </c>
      <c r="S257" s="69" t="n">
        <f aca="false">IF(AND(R$24=1,OR(Q$25="",$C257&gt;=Q$25)),MAX(0,MIN(Q257-R257,$D257-(G257+K257+O257))),0)</f>
        <v>0</v>
      </c>
      <c r="T257" s="69" t="n">
        <f aca="false">Q257-R257-S257</f>
        <v>0</v>
      </c>
      <c r="U257" s="69" t="n">
        <f aca="false">IF(X256&gt;0.5,X256*(1+U$23)+U$24,0)</f>
        <v>0</v>
      </c>
      <c r="V257" s="69" t="n">
        <f aca="false">MIN(V$23,U257)</f>
        <v>0</v>
      </c>
      <c r="W257" s="69" t="n">
        <f aca="false">IF(AND(V$24=1,OR(U$25="",$C257&gt;=U$25)),MAX(0,MIN(U257-V257,$D257-(G257+K257+O257+S257))),0)</f>
        <v>0</v>
      </c>
      <c r="X257" s="69" t="n">
        <f aca="false">U257-V257-W257</f>
        <v>0</v>
      </c>
      <c r="Y257" s="69" t="n">
        <f aca="false">IF(AB256&gt;0.5,AB256*(1+Y$23)+Y$24,0)</f>
        <v>0</v>
      </c>
      <c r="Z257" s="69" t="n">
        <f aca="false">MIN(Z$23,Y257)</f>
        <v>0</v>
      </c>
      <c r="AA257" s="69" t="n">
        <f aca="false">IF(AND(Z$24=1,OR(Y$25="",$C257&gt;=Y$25)),MAX(0,MIN(Y257-Z257,$D257-(G257+K257+O257+S257+W257))),0)</f>
        <v>0</v>
      </c>
      <c r="AB257" s="69" t="n">
        <f aca="false">Y257-Z257-AA257</f>
        <v>0</v>
      </c>
      <c r="AC257" s="69" t="n">
        <f aca="false">IF(AF256&gt;0.5,AF256*(1+AC$23)+AC$24,0)</f>
        <v>0</v>
      </c>
      <c r="AD257" s="69" t="n">
        <f aca="false">MIN(AD$23,AC257)</f>
        <v>0</v>
      </c>
      <c r="AE257" s="69" t="n">
        <f aca="false">IF(AND(AD$24=1,OR(AC$25="",$C257&gt;=AC$25)),MAX(0,MIN(AC257-AD257,$D257-(G257+K257+O257+S257+W257+AA257))),0)</f>
        <v>0</v>
      </c>
      <c r="AF257" s="69" t="n">
        <f aca="false">AC257-AD257-AE257</f>
        <v>0</v>
      </c>
      <c r="AG257" s="69" t="n">
        <f aca="false">IF(AJ256&gt;0.5,AJ256*(1+AG$23)+AG$24,0)</f>
        <v>0</v>
      </c>
      <c r="AH257" s="69" t="n">
        <f aca="false">MIN(AH$23,AG257)</f>
        <v>0</v>
      </c>
      <c r="AI257" s="69" t="n">
        <f aca="false">IF(AND(AH$24=1,OR(AG$25="",$C257&gt;=AG$25)),MAX(0,MIN(AG257-AH257,$D257-(G257+K257+O257+S257+W257+AA257+AE257))),0)</f>
        <v>0</v>
      </c>
      <c r="AJ257" s="69" t="n">
        <f aca="false">AG257-AH257-AI257</f>
        <v>0</v>
      </c>
      <c r="AK257" s="69" t="n">
        <f aca="false">IF(AK256&gt;0.5,AK256*(1+$E$12)+$G$12-MIN($F$12,AK256*(1+$E$12)+$G$12),0)</f>
        <v>0</v>
      </c>
      <c r="AL257" s="69" t="n">
        <f aca="false">IF(AL256&gt;0.5,AL256*(1+$E$13)+$G$13-MIN($F$13,AL256*(1+$E$13)+$G$13),0)</f>
        <v>0</v>
      </c>
      <c r="AM257" s="69" t="n">
        <f aca="false">IF(AM256&gt;0.5,AM256*(1+$E$14)+$G$14-MIN($F$14,AM256*(1+$E$14)+$G$14),0)</f>
        <v>0</v>
      </c>
      <c r="AN257" s="69" t="n">
        <f aca="false">IF(AN256&gt;0.5,AN256*(1+$E$15)+$G$15-MIN($F$15,AN256*(1+$E$15)+$G$15),0)</f>
        <v>0</v>
      </c>
      <c r="AO257" s="69" t="n">
        <f aca="false">IF(AO256&gt;0.5,AO256*(1+$E$16)+$G$16-MIN($F$16,AO256*(1+$E$16)+$G$16),0)</f>
        <v>0</v>
      </c>
      <c r="AP257" s="69" t="n">
        <f aca="false">IF(AP256&gt;0.5,AP256*(1+$E$17)+$G$17-MIN($F$17,AP256*(1+$E$17)+$G$17),0)</f>
        <v>0</v>
      </c>
      <c r="AQ257" s="69" t="n">
        <f aca="false">IF(AQ256&gt;0.5,AQ256*(1+$E$18)+$G$18-MIN($F$18,AQ256*(1+$E$18)+$G$18),0)</f>
        <v>0</v>
      </c>
      <c r="AR257" s="69" t="n">
        <f aca="false">IF(AR256&gt;0.5,AR256*(1+$E$19)+$G$19-MIN($F$19,AR256*(1+$E$19)+$G$19),0)</f>
        <v>0</v>
      </c>
      <c r="AS257" s="69" t="n">
        <f aca="false">H257+L257+P257+T257+X257+AB257+AF257+AJ257</f>
        <v>0</v>
      </c>
      <c r="AT257" s="69" t="n">
        <f aca="false">SUM(AK257:AR257)</f>
        <v>0</v>
      </c>
      <c r="AU257" s="69" t="n">
        <f aca="false">F257+G257+J257+K257+N257+O257+R257+S257+V257+W257+Z257+AA257+AD257+AE257+AH257+AI257</f>
        <v>0</v>
      </c>
    </row>
    <row r="258" customFormat="false" ht="15" hidden="false" customHeight="false" outlineLevel="0" collapsed="false">
      <c r="B258" s="0" t="n">
        <v>231</v>
      </c>
      <c r="C258" s="68" t="n">
        <f aca="false">EDATE($C$7,230)</f>
        <v>53297</v>
      </c>
      <c r="D258" s="69" t="n">
        <f aca="false">$C$8-(F258+J258+N258+R258+V258+Z258+AD258+AH258)</f>
        <v>0</v>
      </c>
      <c r="E258" s="69" t="n">
        <f aca="false">IF(H257&gt;0.5,H257*(1+E$23)+E$24,0)</f>
        <v>0</v>
      </c>
      <c r="F258" s="69" t="n">
        <f aca="false">MIN(F$23,E258)</f>
        <v>0</v>
      </c>
      <c r="G258" s="69" t="n">
        <f aca="false">IF(AND(F$24=1,OR(E$25="",$C258&gt;=E$25)),MAX(0,MIN(E258-F258,$D258-(0))),0)</f>
        <v>0</v>
      </c>
      <c r="H258" s="69" t="n">
        <f aca="false">E258-F258-G258</f>
        <v>0</v>
      </c>
      <c r="I258" s="69" t="n">
        <f aca="false">IF(L257&gt;0.5,L257*(1+I$23)+I$24,0)</f>
        <v>0</v>
      </c>
      <c r="J258" s="69" t="n">
        <f aca="false">MIN(J$23,I258)</f>
        <v>0</v>
      </c>
      <c r="K258" s="69" t="n">
        <f aca="false">IF(AND(J$24=1,OR(I$25="",$C258&gt;=I$25)),MAX(0,MIN(I258-J258,$D258-(G258))),0)</f>
        <v>0</v>
      </c>
      <c r="L258" s="69" t="n">
        <f aca="false">I258-J258-K258</f>
        <v>0</v>
      </c>
      <c r="M258" s="69" t="n">
        <f aca="false">IF(P257&gt;0.5,P257*(1+M$23)+M$24,0)</f>
        <v>0</v>
      </c>
      <c r="N258" s="69" t="n">
        <f aca="false">MIN(N$23,M258)</f>
        <v>0</v>
      </c>
      <c r="O258" s="69" t="n">
        <f aca="false">IF(AND(N$24=1,OR(M$25="",$C258&gt;=M$25)),MAX(0,MIN(M258-N258,$D258-(G258+K258))),0)</f>
        <v>0</v>
      </c>
      <c r="P258" s="69" t="n">
        <f aca="false">M258-N258-O258</f>
        <v>0</v>
      </c>
      <c r="Q258" s="69" t="n">
        <f aca="false">IF(T257&gt;0.5,T257*(1+Q$23)+Q$24,0)</f>
        <v>0</v>
      </c>
      <c r="R258" s="69" t="n">
        <f aca="false">MIN(R$23,Q258)</f>
        <v>0</v>
      </c>
      <c r="S258" s="69" t="n">
        <f aca="false">IF(AND(R$24=1,OR(Q$25="",$C258&gt;=Q$25)),MAX(0,MIN(Q258-R258,$D258-(G258+K258+O258))),0)</f>
        <v>0</v>
      </c>
      <c r="T258" s="69" t="n">
        <f aca="false">Q258-R258-S258</f>
        <v>0</v>
      </c>
      <c r="U258" s="69" t="n">
        <f aca="false">IF(X257&gt;0.5,X257*(1+U$23)+U$24,0)</f>
        <v>0</v>
      </c>
      <c r="V258" s="69" t="n">
        <f aca="false">MIN(V$23,U258)</f>
        <v>0</v>
      </c>
      <c r="W258" s="69" t="n">
        <f aca="false">IF(AND(V$24=1,OR(U$25="",$C258&gt;=U$25)),MAX(0,MIN(U258-V258,$D258-(G258+K258+O258+S258))),0)</f>
        <v>0</v>
      </c>
      <c r="X258" s="69" t="n">
        <f aca="false">U258-V258-W258</f>
        <v>0</v>
      </c>
      <c r="Y258" s="69" t="n">
        <f aca="false">IF(AB257&gt;0.5,AB257*(1+Y$23)+Y$24,0)</f>
        <v>0</v>
      </c>
      <c r="Z258" s="69" t="n">
        <f aca="false">MIN(Z$23,Y258)</f>
        <v>0</v>
      </c>
      <c r="AA258" s="69" t="n">
        <f aca="false">IF(AND(Z$24=1,OR(Y$25="",$C258&gt;=Y$25)),MAX(0,MIN(Y258-Z258,$D258-(G258+K258+O258+S258+W258))),0)</f>
        <v>0</v>
      </c>
      <c r="AB258" s="69" t="n">
        <f aca="false">Y258-Z258-AA258</f>
        <v>0</v>
      </c>
      <c r="AC258" s="69" t="n">
        <f aca="false">IF(AF257&gt;0.5,AF257*(1+AC$23)+AC$24,0)</f>
        <v>0</v>
      </c>
      <c r="AD258" s="69" t="n">
        <f aca="false">MIN(AD$23,AC258)</f>
        <v>0</v>
      </c>
      <c r="AE258" s="69" t="n">
        <f aca="false">IF(AND(AD$24=1,OR(AC$25="",$C258&gt;=AC$25)),MAX(0,MIN(AC258-AD258,$D258-(G258+K258+O258+S258+W258+AA258))),0)</f>
        <v>0</v>
      </c>
      <c r="AF258" s="69" t="n">
        <f aca="false">AC258-AD258-AE258</f>
        <v>0</v>
      </c>
      <c r="AG258" s="69" t="n">
        <f aca="false">IF(AJ257&gt;0.5,AJ257*(1+AG$23)+AG$24,0)</f>
        <v>0</v>
      </c>
      <c r="AH258" s="69" t="n">
        <f aca="false">MIN(AH$23,AG258)</f>
        <v>0</v>
      </c>
      <c r="AI258" s="69" t="n">
        <f aca="false">IF(AND(AH$24=1,OR(AG$25="",$C258&gt;=AG$25)),MAX(0,MIN(AG258-AH258,$D258-(G258+K258+O258+S258+W258+AA258+AE258))),0)</f>
        <v>0</v>
      </c>
      <c r="AJ258" s="69" t="n">
        <f aca="false">AG258-AH258-AI258</f>
        <v>0</v>
      </c>
      <c r="AK258" s="69" t="n">
        <f aca="false">IF(AK257&gt;0.5,AK257*(1+$E$12)+$G$12-MIN($F$12,AK257*(1+$E$12)+$G$12),0)</f>
        <v>0</v>
      </c>
      <c r="AL258" s="69" t="n">
        <f aca="false">IF(AL257&gt;0.5,AL257*(1+$E$13)+$G$13-MIN($F$13,AL257*(1+$E$13)+$G$13),0)</f>
        <v>0</v>
      </c>
      <c r="AM258" s="69" t="n">
        <f aca="false">IF(AM257&gt;0.5,AM257*(1+$E$14)+$G$14-MIN($F$14,AM257*(1+$E$14)+$G$14),0)</f>
        <v>0</v>
      </c>
      <c r="AN258" s="69" t="n">
        <f aca="false">IF(AN257&gt;0.5,AN257*(1+$E$15)+$G$15-MIN($F$15,AN257*(1+$E$15)+$G$15),0)</f>
        <v>0</v>
      </c>
      <c r="AO258" s="69" t="n">
        <f aca="false">IF(AO257&gt;0.5,AO257*(1+$E$16)+$G$16-MIN($F$16,AO257*(1+$E$16)+$G$16),0)</f>
        <v>0</v>
      </c>
      <c r="AP258" s="69" t="n">
        <f aca="false">IF(AP257&gt;0.5,AP257*(1+$E$17)+$G$17-MIN($F$17,AP257*(1+$E$17)+$G$17),0)</f>
        <v>0</v>
      </c>
      <c r="AQ258" s="69" t="n">
        <f aca="false">IF(AQ257&gt;0.5,AQ257*(1+$E$18)+$G$18-MIN($F$18,AQ257*(1+$E$18)+$G$18),0)</f>
        <v>0</v>
      </c>
      <c r="AR258" s="69" t="n">
        <f aca="false">IF(AR257&gt;0.5,AR257*(1+$E$19)+$G$19-MIN($F$19,AR257*(1+$E$19)+$G$19),0)</f>
        <v>0</v>
      </c>
      <c r="AS258" s="69" t="n">
        <f aca="false">H258+L258+P258+T258+X258+AB258+AF258+AJ258</f>
        <v>0</v>
      </c>
      <c r="AT258" s="69" t="n">
        <f aca="false">SUM(AK258:AR258)</f>
        <v>0</v>
      </c>
      <c r="AU258" s="69" t="n">
        <f aca="false">F258+G258+J258+K258+N258+O258+R258+S258+V258+W258+Z258+AA258+AD258+AE258+AH258+AI258</f>
        <v>0</v>
      </c>
    </row>
    <row r="259" customFormat="false" ht="15" hidden="false" customHeight="false" outlineLevel="0" collapsed="false">
      <c r="B259" s="0" t="n">
        <v>232</v>
      </c>
      <c r="C259" s="68" t="n">
        <f aca="false">EDATE($C$7,231)</f>
        <v>53328</v>
      </c>
      <c r="D259" s="69" t="n">
        <f aca="false">$C$8-(F259+J259+N259+R259+V259+Z259+AD259+AH259)</f>
        <v>0</v>
      </c>
      <c r="E259" s="69" t="n">
        <f aca="false">IF(H258&gt;0.5,H258*(1+E$23)+E$24,0)</f>
        <v>0</v>
      </c>
      <c r="F259" s="69" t="n">
        <f aca="false">MIN(F$23,E259)</f>
        <v>0</v>
      </c>
      <c r="G259" s="69" t="n">
        <f aca="false">IF(AND(F$24=1,OR(E$25="",$C259&gt;=E$25)),MAX(0,MIN(E259-F259,$D259-(0))),0)</f>
        <v>0</v>
      </c>
      <c r="H259" s="69" t="n">
        <f aca="false">E259-F259-G259</f>
        <v>0</v>
      </c>
      <c r="I259" s="69" t="n">
        <f aca="false">IF(L258&gt;0.5,L258*(1+I$23)+I$24,0)</f>
        <v>0</v>
      </c>
      <c r="J259" s="69" t="n">
        <f aca="false">MIN(J$23,I259)</f>
        <v>0</v>
      </c>
      <c r="K259" s="69" t="n">
        <f aca="false">IF(AND(J$24=1,OR(I$25="",$C259&gt;=I$25)),MAX(0,MIN(I259-J259,$D259-(G259))),0)</f>
        <v>0</v>
      </c>
      <c r="L259" s="69" t="n">
        <f aca="false">I259-J259-K259</f>
        <v>0</v>
      </c>
      <c r="M259" s="69" t="n">
        <f aca="false">IF(P258&gt;0.5,P258*(1+M$23)+M$24,0)</f>
        <v>0</v>
      </c>
      <c r="N259" s="69" t="n">
        <f aca="false">MIN(N$23,M259)</f>
        <v>0</v>
      </c>
      <c r="O259" s="69" t="n">
        <f aca="false">IF(AND(N$24=1,OR(M$25="",$C259&gt;=M$25)),MAX(0,MIN(M259-N259,$D259-(G259+K259))),0)</f>
        <v>0</v>
      </c>
      <c r="P259" s="69" t="n">
        <f aca="false">M259-N259-O259</f>
        <v>0</v>
      </c>
      <c r="Q259" s="69" t="n">
        <f aca="false">IF(T258&gt;0.5,T258*(1+Q$23)+Q$24,0)</f>
        <v>0</v>
      </c>
      <c r="R259" s="69" t="n">
        <f aca="false">MIN(R$23,Q259)</f>
        <v>0</v>
      </c>
      <c r="S259" s="69" t="n">
        <f aca="false">IF(AND(R$24=1,OR(Q$25="",$C259&gt;=Q$25)),MAX(0,MIN(Q259-R259,$D259-(G259+K259+O259))),0)</f>
        <v>0</v>
      </c>
      <c r="T259" s="69" t="n">
        <f aca="false">Q259-R259-S259</f>
        <v>0</v>
      </c>
      <c r="U259" s="69" t="n">
        <f aca="false">IF(X258&gt;0.5,X258*(1+U$23)+U$24,0)</f>
        <v>0</v>
      </c>
      <c r="V259" s="69" t="n">
        <f aca="false">MIN(V$23,U259)</f>
        <v>0</v>
      </c>
      <c r="W259" s="69" t="n">
        <f aca="false">IF(AND(V$24=1,OR(U$25="",$C259&gt;=U$25)),MAX(0,MIN(U259-V259,$D259-(G259+K259+O259+S259))),0)</f>
        <v>0</v>
      </c>
      <c r="X259" s="69" t="n">
        <f aca="false">U259-V259-W259</f>
        <v>0</v>
      </c>
      <c r="Y259" s="69" t="n">
        <f aca="false">IF(AB258&gt;0.5,AB258*(1+Y$23)+Y$24,0)</f>
        <v>0</v>
      </c>
      <c r="Z259" s="69" t="n">
        <f aca="false">MIN(Z$23,Y259)</f>
        <v>0</v>
      </c>
      <c r="AA259" s="69" t="n">
        <f aca="false">IF(AND(Z$24=1,OR(Y$25="",$C259&gt;=Y$25)),MAX(0,MIN(Y259-Z259,$D259-(G259+K259+O259+S259+W259))),0)</f>
        <v>0</v>
      </c>
      <c r="AB259" s="69" t="n">
        <f aca="false">Y259-Z259-AA259</f>
        <v>0</v>
      </c>
      <c r="AC259" s="69" t="n">
        <f aca="false">IF(AF258&gt;0.5,AF258*(1+AC$23)+AC$24,0)</f>
        <v>0</v>
      </c>
      <c r="AD259" s="69" t="n">
        <f aca="false">MIN(AD$23,AC259)</f>
        <v>0</v>
      </c>
      <c r="AE259" s="69" t="n">
        <f aca="false">IF(AND(AD$24=1,OR(AC$25="",$C259&gt;=AC$25)),MAX(0,MIN(AC259-AD259,$D259-(G259+K259+O259+S259+W259+AA259))),0)</f>
        <v>0</v>
      </c>
      <c r="AF259" s="69" t="n">
        <f aca="false">AC259-AD259-AE259</f>
        <v>0</v>
      </c>
      <c r="AG259" s="69" t="n">
        <f aca="false">IF(AJ258&gt;0.5,AJ258*(1+AG$23)+AG$24,0)</f>
        <v>0</v>
      </c>
      <c r="AH259" s="69" t="n">
        <f aca="false">MIN(AH$23,AG259)</f>
        <v>0</v>
      </c>
      <c r="AI259" s="69" t="n">
        <f aca="false">IF(AND(AH$24=1,OR(AG$25="",$C259&gt;=AG$25)),MAX(0,MIN(AG259-AH259,$D259-(G259+K259+O259+S259+W259+AA259+AE259))),0)</f>
        <v>0</v>
      </c>
      <c r="AJ259" s="69" t="n">
        <f aca="false">AG259-AH259-AI259</f>
        <v>0</v>
      </c>
      <c r="AK259" s="69" t="n">
        <f aca="false">IF(AK258&gt;0.5,AK258*(1+$E$12)+$G$12-MIN($F$12,AK258*(1+$E$12)+$G$12),0)</f>
        <v>0</v>
      </c>
      <c r="AL259" s="69" t="n">
        <f aca="false">IF(AL258&gt;0.5,AL258*(1+$E$13)+$G$13-MIN($F$13,AL258*(1+$E$13)+$G$13),0)</f>
        <v>0</v>
      </c>
      <c r="AM259" s="69" t="n">
        <f aca="false">IF(AM258&gt;0.5,AM258*(1+$E$14)+$G$14-MIN($F$14,AM258*(1+$E$14)+$G$14),0)</f>
        <v>0</v>
      </c>
      <c r="AN259" s="69" t="n">
        <f aca="false">IF(AN258&gt;0.5,AN258*(1+$E$15)+$G$15-MIN($F$15,AN258*(1+$E$15)+$G$15),0)</f>
        <v>0</v>
      </c>
      <c r="AO259" s="69" t="n">
        <f aca="false">IF(AO258&gt;0.5,AO258*(1+$E$16)+$G$16-MIN($F$16,AO258*(1+$E$16)+$G$16),0)</f>
        <v>0</v>
      </c>
      <c r="AP259" s="69" t="n">
        <f aca="false">IF(AP258&gt;0.5,AP258*(1+$E$17)+$G$17-MIN($F$17,AP258*(1+$E$17)+$G$17),0)</f>
        <v>0</v>
      </c>
      <c r="AQ259" s="69" t="n">
        <f aca="false">IF(AQ258&gt;0.5,AQ258*(1+$E$18)+$G$18-MIN($F$18,AQ258*(1+$E$18)+$G$18),0)</f>
        <v>0</v>
      </c>
      <c r="AR259" s="69" t="n">
        <f aca="false">IF(AR258&gt;0.5,AR258*(1+$E$19)+$G$19-MIN($F$19,AR258*(1+$E$19)+$G$19),0)</f>
        <v>0</v>
      </c>
      <c r="AS259" s="69" t="n">
        <f aca="false">H259+L259+P259+T259+X259+AB259+AF259+AJ259</f>
        <v>0</v>
      </c>
      <c r="AT259" s="69" t="n">
        <f aca="false">SUM(AK259:AR259)</f>
        <v>0</v>
      </c>
      <c r="AU259" s="69" t="n">
        <f aca="false">F259+G259+J259+K259+N259+O259+R259+S259+V259+W259+Z259+AA259+AD259+AE259+AH259+AI259</f>
        <v>0</v>
      </c>
    </row>
    <row r="260" customFormat="false" ht="15" hidden="false" customHeight="false" outlineLevel="0" collapsed="false">
      <c r="B260" s="0" t="n">
        <v>233</v>
      </c>
      <c r="C260" s="68" t="n">
        <f aca="false">EDATE($C$7,232)</f>
        <v>53359</v>
      </c>
      <c r="D260" s="69" t="n">
        <f aca="false">$C$8-(F260+J260+N260+R260+V260+Z260+AD260+AH260)</f>
        <v>0</v>
      </c>
      <c r="E260" s="69" t="n">
        <f aca="false">IF(H259&gt;0.5,H259*(1+E$23)+E$24,0)</f>
        <v>0</v>
      </c>
      <c r="F260" s="69" t="n">
        <f aca="false">MIN(F$23,E260)</f>
        <v>0</v>
      </c>
      <c r="G260" s="69" t="n">
        <f aca="false">IF(AND(F$24=1,OR(E$25="",$C260&gt;=E$25)),MAX(0,MIN(E260-F260,$D260-(0))),0)</f>
        <v>0</v>
      </c>
      <c r="H260" s="69" t="n">
        <f aca="false">E260-F260-G260</f>
        <v>0</v>
      </c>
      <c r="I260" s="69" t="n">
        <f aca="false">IF(L259&gt;0.5,L259*(1+I$23)+I$24,0)</f>
        <v>0</v>
      </c>
      <c r="J260" s="69" t="n">
        <f aca="false">MIN(J$23,I260)</f>
        <v>0</v>
      </c>
      <c r="K260" s="69" t="n">
        <f aca="false">IF(AND(J$24=1,OR(I$25="",$C260&gt;=I$25)),MAX(0,MIN(I260-J260,$D260-(G260))),0)</f>
        <v>0</v>
      </c>
      <c r="L260" s="69" t="n">
        <f aca="false">I260-J260-K260</f>
        <v>0</v>
      </c>
      <c r="M260" s="69" t="n">
        <f aca="false">IF(P259&gt;0.5,P259*(1+M$23)+M$24,0)</f>
        <v>0</v>
      </c>
      <c r="N260" s="69" t="n">
        <f aca="false">MIN(N$23,M260)</f>
        <v>0</v>
      </c>
      <c r="O260" s="69" t="n">
        <f aca="false">IF(AND(N$24=1,OR(M$25="",$C260&gt;=M$25)),MAX(0,MIN(M260-N260,$D260-(G260+K260))),0)</f>
        <v>0</v>
      </c>
      <c r="P260" s="69" t="n">
        <f aca="false">M260-N260-O260</f>
        <v>0</v>
      </c>
      <c r="Q260" s="69" t="n">
        <f aca="false">IF(T259&gt;0.5,T259*(1+Q$23)+Q$24,0)</f>
        <v>0</v>
      </c>
      <c r="R260" s="69" t="n">
        <f aca="false">MIN(R$23,Q260)</f>
        <v>0</v>
      </c>
      <c r="S260" s="69" t="n">
        <f aca="false">IF(AND(R$24=1,OR(Q$25="",$C260&gt;=Q$25)),MAX(0,MIN(Q260-R260,$D260-(G260+K260+O260))),0)</f>
        <v>0</v>
      </c>
      <c r="T260" s="69" t="n">
        <f aca="false">Q260-R260-S260</f>
        <v>0</v>
      </c>
      <c r="U260" s="69" t="n">
        <f aca="false">IF(X259&gt;0.5,X259*(1+U$23)+U$24,0)</f>
        <v>0</v>
      </c>
      <c r="V260" s="69" t="n">
        <f aca="false">MIN(V$23,U260)</f>
        <v>0</v>
      </c>
      <c r="W260" s="69" t="n">
        <f aca="false">IF(AND(V$24=1,OR(U$25="",$C260&gt;=U$25)),MAX(0,MIN(U260-V260,$D260-(G260+K260+O260+S260))),0)</f>
        <v>0</v>
      </c>
      <c r="X260" s="69" t="n">
        <f aca="false">U260-V260-W260</f>
        <v>0</v>
      </c>
      <c r="Y260" s="69" t="n">
        <f aca="false">IF(AB259&gt;0.5,AB259*(1+Y$23)+Y$24,0)</f>
        <v>0</v>
      </c>
      <c r="Z260" s="69" t="n">
        <f aca="false">MIN(Z$23,Y260)</f>
        <v>0</v>
      </c>
      <c r="AA260" s="69" t="n">
        <f aca="false">IF(AND(Z$24=1,OR(Y$25="",$C260&gt;=Y$25)),MAX(0,MIN(Y260-Z260,$D260-(G260+K260+O260+S260+W260))),0)</f>
        <v>0</v>
      </c>
      <c r="AB260" s="69" t="n">
        <f aca="false">Y260-Z260-AA260</f>
        <v>0</v>
      </c>
      <c r="AC260" s="69" t="n">
        <f aca="false">IF(AF259&gt;0.5,AF259*(1+AC$23)+AC$24,0)</f>
        <v>0</v>
      </c>
      <c r="AD260" s="69" t="n">
        <f aca="false">MIN(AD$23,AC260)</f>
        <v>0</v>
      </c>
      <c r="AE260" s="69" t="n">
        <f aca="false">IF(AND(AD$24=1,OR(AC$25="",$C260&gt;=AC$25)),MAX(0,MIN(AC260-AD260,$D260-(G260+K260+O260+S260+W260+AA260))),0)</f>
        <v>0</v>
      </c>
      <c r="AF260" s="69" t="n">
        <f aca="false">AC260-AD260-AE260</f>
        <v>0</v>
      </c>
      <c r="AG260" s="69" t="n">
        <f aca="false">IF(AJ259&gt;0.5,AJ259*(1+AG$23)+AG$24,0)</f>
        <v>0</v>
      </c>
      <c r="AH260" s="69" t="n">
        <f aca="false">MIN(AH$23,AG260)</f>
        <v>0</v>
      </c>
      <c r="AI260" s="69" t="n">
        <f aca="false">IF(AND(AH$24=1,OR(AG$25="",$C260&gt;=AG$25)),MAX(0,MIN(AG260-AH260,$D260-(G260+K260+O260+S260+W260+AA260+AE260))),0)</f>
        <v>0</v>
      </c>
      <c r="AJ260" s="69" t="n">
        <f aca="false">AG260-AH260-AI260</f>
        <v>0</v>
      </c>
      <c r="AK260" s="69" t="n">
        <f aca="false">IF(AK259&gt;0.5,AK259*(1+$E$12)+$G$12-MIN($F$12,AK259*(1+$E$12)+$G$12),0)</f>
        <v>0</v>
      </c>
      <c r="AL260" s="69" t="n">
        <f aca="false">IF(AL259&gt;0.5,AL259*(1+$E$13)+$G$13-MIN($F$13,AL259*(1+$E$13)+$G$13),0)</f>
        <v>0</v>
      </c>
      <c r="AM260" s="69" t="n">
        <f aca="false">IF(AM259&gt;0.5,AM259*(1+$E$14)+$G$14-MIN($F$14,AM259*(1+$E$14)+$G$14),0)</f>
        <v>0</v>
      </c>
      <c r="AN260" s="69" t="n">
        <f aca="false">IF(AN259&gt;0.5,AN259*(1+$E$15)+$G$15-MIN($F$15,AN259*(1+$E$15)+$G$15),0)</f>
        <v>0</v>
      </c>
      <c r="AO260" s="69" t="n">
        <f aca="false">IF(AO259&gt;0.5,AO259*(1+$E$16)+$G$16-MIN($F$16,AO259*(1+$E$16)+$G$16),0)</f>
        <v>0</v>
      </c>
      <c r="AP260" s="69" t="n">
        <f aca="false">IF(AP259&gt;0.5,AP259*(1+$E$17)+$G$17-MIN($F$17,AP259*(1+$E$17)+$G$17),0)</f>
        <v>0</v>
      </c>
      <c r="AQ260" s="69" t="n">
        <f aca="false">IF(AQ259&gt;0.5,AQ259*(1+$E$18)+$G$18-MIN($F$18,AQ259*(1+$E$18)+$G$18),0)</f>
        <v>0</v>
      </c>
      <c r="AR260" s="69" t="n">
        <f aca="false">IF(AR259&gt;0.5,AR259*(1+$E$19)+$G$19-MIN($F$19,AR259*(1+$E$19)+$G$19),0)</f>
        <v>0</v>
      </c>
      <c r="AS260" s="69" t="n">
        <f aca="false">H260+L260+P260+T260+X260+AB260+AF260+AJ260</f>
        <v>0</v>
      </c>
      <c r="AT260" s="69" t="n">
        <f aca="false">SUM(AK260:AR260)</f>
        <v>0</v>
      </c>
      <c r="AU260" s="69" t="n">
        <f aca="false">F260+G260+J260+K260+N260+O260+R260+S260+V260+W260+Z260+AA260+AD260+AE260+AH260+AI260</f>
        <v>0</v>
      </c>
    </row>
    <row r="261" customFormat="false" ht="15" hidden="false" customHeight="false" outlineLevel="0" collapsed="false">
      <c r="B261" s="0" t="n">
        <v>234</v>
      </c>
      <c r="C261" s="68" t="n">
        <f aca="false">EDATE($C$7,233)</f>
        <v>53387</v>
      </c>
      <c r="D261" s="69" t="n">
        <f aca="false">$C$8-(F261+J261+N261+R261+V261+Z261+AD261+AH261)</f>
        <v>0</v>
      </c>
      <c r="E261" s="69" t="n">
        <f aca="false">IF(H260&gt;0.5,H260*(1+E$23)+E$24,0)</f>
        <v>0</v>
      </c>
      <c r="F261" s="69" t="n">
        <f aca="false">MIN(F$23,E261)</f>
        <v>0</v>
      </c>
      <c r="G261" s="69" t="n">
        <f aca="false">IF(AND(F$24=1,OR(E$25="",$C261&gt;=E$25)),MAX(0,MIN(E261-F261,$D261-(0))),0)</f>
        <v>0</v>
      </c>
      <c r="H261" s="69" t="n">
        <f aca="false">E261-F261-G261</f>
        <v>0</v>
      </c>
      <c r="I261" s="69" t="n">
        <f aca="false">IF(L260&gt;0.5,L260*(1+I$23)+I$24,0)</f>
        <v>0</v>
      </c>
      <c r="J261" s="69" t="n">
        <f aca="false">MIN(J$23,I261)</f>
        <v>0</v>
      </c>
      <c r="K261" s="69" t="n">
        <f aca="false">IF(AND(J$24=1,OR(I$25="",$C261&gt;=I$25)),MAX(0,MIN(I261-J261,$D261-(G261))),0)</f>
        <v>0</v>
      </c>
      <c r="L261" s="69" t="n">
        <f aca="false">I261-J261-K261</f>
        <v>0</v>
      </c>
      <c r="M261" s="69" t="n">
        <f aca="false">IF(P260&gt;0.5,P260*(1+M$23)+M$24,0)</f>
        <v>0</v>
      </c>
      <c r="N261" s="69" t="n">
        <f aca="false">MIN(N$23,M261)</f>
        <v>0</v>
      </c>
      <c r="O261" s="69" t="n">
        <f aca="false">IF(AND(N$24=1,OR(M$25="",$C261&gt;=M$25)),MAX(0,MIN(M261-N261,$D261-(G261+K261))),0)</f>
        <v>0</v>
      </c>
      <c r="P261" s="69" t="n">
        <f aca="false">M261-N261-O261</f>
        <v>0</v>
      </c>
      <c r="Q261" s="69" t="n">
        <f aca="false">IF(T260&gt;0.5,T260*(1+Q$23)+Q$24,0)</f>
        <v>0</v>
      </c>
      <c r="R261" s="69" t="n">
        <f aca="false">MIN(R$23,Q261)</f>
        <v>0</v>
      </c>
      <c r="S261" s="69" t="n">
        <f aca="false">IF(AND(R$24=1,OR(Q$25="",$C261&gt;=Q$25)),MAX(0,MIN(Q261-R261,$D261-(G261+K261+O261))),0)</f>
        <v>0</v>
      </c>
      <c r="T261" s="69" t="n">
        <f aca="false">Q261-R261-S261</f>
        <v>0</v>
      </c>
      <c r="U261" s="69" t="n">
        <f aca="false">IF(X260&gt;0.5,X260*(1+U$23)+U$24,0)</f>
        <v>0</v>
      </c>
      <c r="V261" s="69" t="n">
        <f aca="false">MIN(V$23,U261)</f>
        <v>0</v>
      </c>
      <c r="W261" s="69" t="n">
        <f aca="false">IF(AND(V$24=1,OR(U$25="",$C261&gt;=U$25)),MAX(0,MIN(U261-V261,$D261-(G261+K261+O261+S261))),0)</f>
        <v>0</v>
      </c>
      <c r="X261" s="69" t="n">
        <f aca="false">U261-V261-W261</f>
        <v>0</v>
      </c>
      <c r="Y261" s="69" t="n">
        <f aca="false">IF(AB260&gt;0.5,AB260*(1+Y$23)+Y$24,0)</f>
        <v>0</v>
      </c>
      <c r="Z261" s="69" t="n">
        <f aca="false">MIN(Z$23,Y261)</f>
        <v>0</v>
      </c>
      <c r="AA261" s="69" t="n">
        <f aca="false">IF(AND(Z$24=1,OR(Y$25="",$C261&gt;=Y$25)),MAX(0,MIN(Y261-Z261,$D261-(G261+K261+O261+S261+W261))),0)</f>
        <v>0</v>
      </c>
      <c r="AB261" s="69" t="n">
        <f aca="false">Y261-Z261-AA261</f>
        <v>0</v>
      </c>
      <c r="AC261" s="69" t="n">
        <f aca="false">IF(AF260&gt;0.5,AF260*(1+AC$23)+AC$24,0)</f>
        <v>0</v>
      </c>
      <c r="AD261" s="69" t="n">
        <f aca="false">MIN(AD$23,AC261)</f>
        <v>0</v>
      </c>
      <c r="AE261" s="69" t="n">
        <f aca="false">IF(AND(AD$24=1,OR(AC$25="",$C261&gt;=AC$25)),MAX(0,MIN(AC261-AD261,$D261-(G261+K261+O261+S261+W261+AA261))),0)</f>
        <v>0</v>
      </c>
      <c r="AF261" s="69" t="n">
        <f aca="false">AC261-AD261-AE261</f>
        <v>0</v>
      </c>
      <c r="AG261" s="69" t="n">
        <f aca="false">IF(AJ260&gt;0.5,AJ260*(1+AG$23)+AG$24,0)</f>
        <v>0</v>
      </c>
      <c r="AH261" s="69" t="n">
        <f aca="false">MIN(AH$23,AG261)</f>
        <v>0</v>
      </c>
      <c r="AI261" s="69" t="n">
        <f aca="false">IF(AND(AH$24=1,OR(AG$25="",$C261&gt;=AG$25)),MAX(0,MIN(AG261-AH261,$D261-(G261+K261+O261+S261+W261+AA261+AE261))),0)</f>
        <v>0</v>
      </c>
      <c r="AJ261" s="69" t="n">
        <f aca="false">AG261-AH261-AI261</f>
        <v>0</v>
      </c>
      <c r="AK261" s="69" t="n">
        <f aca="false">IF(AK260&gt;0.5,AK260*(1+$E$12)+$G$12-MIN($F$12,AK260*(1+$E$12)+$G$12),0)</f>
        <v>0</v>
      </c>
      <c r="AL261" s="69" t="n">
        <f aca="false">IF(AL260&gt;0.5,AL260*(1+$E$13)+$G$13-MIN($F$13,AL260*(1+$E$13)+$G$13),0)</f>
        <v>0</v>
      </c>
      <c r="AM261" s="69" t="n">
        <f aca="false">IF(AM260&gt;0.5,AM260*(1+$E$14)+$G$14-MIN($F$14,AM260*(1+$E$14)+$G$14),0)</f>
        <v>0</v>
      </c>
      <c r="AN261" s="69" t="n">
        <f aca="false">IF(AN260&gt;0.5,AN260*(1+$E$15)+$G$15-MIN($F$15,AN260*(1+$E$15)+$G$15),0)</f>
        <v>0</v>
      </c>
      <c r="AO261" s="69" t="n">
        <f aca="false">IF(AO260&gt;0.5,AO260*(1+$E$16)+$G$16-MIN($F$16,AO260*(1+$E$16)+$G$16),0)</f>
        <v>0</v>
      </c>
      <c r="AP261" s="69" t="n">
        <f aca="false">IF(AP260&gt;0.5,AP260*(1+$E$17)+$G$17-MIN($F$17,AP260*(1+$E$17)+$G$17),0)</f>
        <v>0</v>
      </c>
      <c r="AQ261" s="69" t="n">
        <f aca="false">IF(AQ260&gt;0.5,AQ260*(1+$E$18)+$G$18-MIN($F$18,AQ260*(1+$E$18)+$G$18),0)</f>
        <v>0</v>
      </c>
      <c r="AR261" s="69" t="n">
        <f aca="false">IF(AR260&gt;0.5,AR260*(1+$E$19)+$G$19-MIN($F$19,AR260*(1+$E$19)+$G$19),0)</f>
        <v>0</v>
      </c>
      <c r="AS261" s="69" t="n">
        <f aca="false">H261+L261+P261+T261+X261+AB261+AF261+AJ261</f>
        <v>0</v>
      </c>
      <c r="AT261" s="69" t="n">
        <f aca="false">SUM(AK261:AR261)</f>
        <v>0</v>
      </c>
      <c r="AU261" s="69" t="n">
        <f aca="false">F261+G261+J261+K261+N261+O261+R261+S261+V261+W261+Z261+AA261+AD261+AE261+AH261+AI261</f>
        <v>0</v>
      </c>
    </row>
    <row r="262" customFormat="false" ht="15" hidden="false" customHeight="false" outlineLevel="0" collapsed="false">
      <c r="B262" s="0" t="n">
        <v>235</v>
      </c>
      <c r="C262" s="68" t="n">
        <f aca="false">EDATE($C$7,234)</f>
        <v>53418</v>
      </c>
      <c r="D262" s="69" t="n">
        <f aca="false">$C$8-(F262+J262+N262+R262+V262+Z262+AD262+AH262)</f>
        <v>0</v>
      </c>
      <c r="E262" s="69" t="n">
        <f aca="false">IF(H261&gt;0.5,H261*(1+E$23)+E$24,0)</f>
        <v>0</v>
      </c>
      <c r="F262" s="69" t="n">
        <f aca="false">MIN(F$23,E262)</f>
        <v>0</v>
      </c>
      <c r="G262" s="69" t="n">
        <f aca="false">IF(AND(F$24=1,OR(E$25="",$C262&gt;=E$25)),MAX(0,MIN(E262-F262,$D262-(0))),0)</f>
        <v>0</v>
      </c>
      <c r="H262" s="69" t="n">
        <f aca="false">E262-F262-G262</f>
        <v>0</v>
      </c>
      <c r="I262" s="69" t="n">
        <f aca="false">IF(L261&gt;0.5,L261*(1+I$23)+I$24,0)</f>
        <v>0</v>
      </c>
      <c r="J262" s="69" t="n">
        <f aca="false">MIN(J$23,I262)</f>
        <v>0</v>
      </c>
      <c r="K262" s="69" t="n">
        <f aca="false">IF(AND(J$24=1,OR(I$25="",$C262&gt;=I$25)),MAX(0,MIN(I262-J262,$D262-(G262))),0)</f>
        <v>0</v>
      </c>
      <c r="L262" s="69" t="n">
        <f aca="false">I262-J262-K262</f>
        <v>0</v>
      </c>
      <c r="M262" s="69" t="n">
        <f aca="false">IF(P261&gt;0.5,P261*(1+M$23)+M$24,0)</f>
        <v>0</v>
      </c>
      <c r="N262" s="69" t="n">
        <f aca="false">MIN(N$23,M262)</f>
        <v>0</v>
      </c>
      <c r="O262" s="69" t="n">
        <f aca="false">IF(AND(N$24=1,OR(M$25="",$C262&gt;=M$25)),MAX(0,MIN(M262-N262,$D262-(G262+K262))),0)</f>
        <v>0</v>
      </c>
      <c r="P262" s="69" t="n">
        <f aca="false">M262-N262-O262</f>
        <v>0</v>
      </c>
      <c r="Q262" s="69" t="n">
        <f aca="false">IF(T261&gt;0.5,T261*(1+Q$23)+Q$24,0)</f>
        <v>0</v>
      </c>
      <c r="R262" s="69" t="n">
        <f aca="false">MIN(R$23,Q262)</f>
        <v>0</v>
      </c>
      <c r="S262" s="69" t="n">
        <f aca="false">IF(AND(R$24=1,OR(Q$25="",$C262&gt;=Q$25)),MAX(0,MIN(Q262-R262,$D262-(G262+K262+O262))),0)</f>
        <v>0</v>
      </c>
      <c r="T262" s="69" t="n">
        <f aca="false">Q262-R262-S262</f>
        <v>0</v>
      </c>
      <c r="U262" s="69" t="n">
        <f aca="false">IF(X261&gt;0.5,X261*(1+U$23)+U$24,0)</f>
        <v>0</v>
      </c>
      <c r="V262" s="69" t="n">
        <f aca="false">MIN(V$23,U262)</f>
        <v>0</v>
      </c>
      <c r="W262" s="69" t="n">
        <f aca="false">IF(AND(V$24=1,OR(U$25="",$C262&gt;=U$25)),MAX(0,MIN(U262-V262,$D262-(G262+K262+O262+S262))),0)</f>
        <v>0</v>
      </c>
      <c r="X262" s="69" t="n">
        <f aca="false">U262-V262-W262</f>
        <v>0</v>
      </c>
      <c r="Y262" s="69" t="n">
        <f aca="false">IF(AB261&gt;0.5,AB261*(1+Y$23)+Y$24,0)</f>
        <v>0</v>
      </c>
      <c r="Z262" s="69" t="n">
        <f aca="false">MIN(Z$23,Y262)</f>
        <v>0</v>
      </c>
      <c r="AA262" s="69" t="n">
        <f aca="false">IF(AND(Z$24=1,OR(Y$25="",$C262&gt;=Y$25)),MAX(0,MIN(Y262-Z262,$D262-(G262+K262+O262+S262+W262))),0)</f>
        <v>0</v>
      </c>
      <c r="AB262" s="69" t="n">
        <f aca="false">Y262-Z262-AA262</f>
        <v>0</v>
      </c>
      <c r="AC262" s="69" t="n">
        <f aca="false">IF(AF261&gt;0.5,AF261*(1+AC$23)+AC$24,0)</f>
        <v>0</v>
      </c>
      <c r="AD262" s="69" t="n">
        <f aca="false">MIN(AD$23,AC262)</f>
        <v>0</v>
      </c>
      <c r="AE262" s="69" t="n">
        <f aca="false">IF(AND(AD$24=1,OR(AC$25="",$C262&gt;=AC$25)),MAX(0,MIN(AC262-AD262,$D262-(G262+K262+O262+S262+W262+AA262))),0)</f>
        <v>0</v>
      </c>
      <c r="AF262" s="69" t="n">
        <f aca="false">AC262-AD262-AE262</f>
        <v>0</v>
      </c>
      <c r="AG262" s="69" t="n">
        <f aca="false">IF(AJ261&gt;0.5,AJ261*(1+AG$23)+AG$24,0)</f>
        <v>0</v>
      </c>
      <c r="AH262" s="69" t="n">
        <f aca="false">MIN(AH$23,AG262)</f>
        <v>0</v>
      </c>
      <c r="AI262" s="69" t="n">
        <f aca="false">IF(AND(AH$24=1,OR(AG$25="",$C262&gt;=AG$25)),MAX(0,MIN(AG262-AH262,$D262-(G262+K262+O262+S262+W262+AA262+AE262))),0)</f>
        <v>0</v>
      </c>
      <c r="AJ262" s="69" t="n">
        <f aca="false">AG262-AH262-AI262</f>
        <v>0</v>
      </c>
      <c r="AK262" s="69" t="n">
        <f aca="false">IF(AK261&gt;0.5,AK261*(1+$E$12)+$G$12-MIN($F$12,AK261*(1+$E$12)+$G$12),0)</f>
        <v>0</v>
      </c>
      <c r="AL262" s="69" t="n">
        <f aca="false">IF(AL261&gt;0.5,AL261*(1+$E$13)+$G$13-MIN($F$13,AL261*(1+$E$13)+$G$13),0)</f>
        <v>0</v>
      </c>
      <c r="AM262" s="69" t="n">
        <f aca="false">IF(AM261&gt;0.5,AM261*(1+$E$14)+$G$14-MIN($F$14,AM261*(1+$E$14)+$G$14),0)</f>
        <v>0</v>
      </c>
      <c r="AN262" s="69" t="n">
        <f aca="false">IF(AN261&gt;0.5,AN261*(1+$E$15)+$G$15-MIN($F$15,AN261*(1+$E$15)+$G$15),0)</f>
        <v>0</v>
      </c>
      <c r="AO262" s="69" t="n">
        <f aca="false">IF(AO261&gt;0.5,AO261*(1+$E$16)+$G$16-MIN($F$16,AO261*(1+$E$16)+$G$16),0)</f>
        <v>0</v>
      </c>
      <c r="AP262" s="69" t="n">
        <f aca="false">IF(AP261&gt;0.5,AP261*(1+$E$17)+$G$17-MIN($F$17,AP261*(1+$E$17)+$G$17),0)</f>
        <v>0</v>
      </c>
      <c r="AQ262" s="69" t="n">
        <f aca="false">IF(AQ261&gt;0.5,AQ261*(1+$E$18)+$G$18-MIN($F$18,AQ261*(1+$E$18)+$G$18),0)</f>
        <v>0</v>
      </c>
      <c r="AR262" s="69" t="n">
        <f aca="false">IF(AR261&gt;0.5,AR261*(1+$E$19)+$G$19-MIN($F$19,AR261*(1+$E$19)+$G$19),0)</f>
        <v>0</v>
      </c>
      <c r="AS262" s="69" t="n">
        <f aca="false">H262+L262+P262+T262+X262+AB262+AF262+AJ262</f>
        <v>0</v>
      </c>
      <c r="AT262" s="69" t="n">
        <f aca="false">SUM(AK262:AR262)</f>
        <v>0</v>
      </c>
      <c r="AU262" s="69" t="n">
        <f aca="false">F262+G262+J262+K262+N262+O262+R262+S262+V262+W262+Z262+AA262+AD262+AE262+AH262+AI262</f>
        <v>0</v>
      </c>
    </row>
    <row r="263" customFormat="false" ht="15" hidden="false" customHeight="false" outlineLevel="0" collapsed="false">
      <c r="B263" s="0" t="n">
        <v>236</v>
      </c>
      <c r="C263" s="68" t="n">
        <f aca="false">EDATE($C$7,235)</f>
        <v>53448</v>
      </c>
      <c r="D263" s="69" t="n">
        <f aca="false">$C$8-(F263+J263+N263+R263+V263+Z263+AD263+AH263)</f>
        <v>0</v>
      </c>
      <c r="E263" s="69" t="n">
        <f aca="false">IF(H262&gt;0.5,H262*(1+E$23)+E$24,0)</f>
        <v>0</v>
      </c>
      <c r="F263" s="69" t="n">
        <f aca="false">MIN(F$23,E263)</f>
        <v>0</v>
      </c>
      <c r="G263" s="69" t="n">
        <f aca="false">IF(AND(F$24=1,OR(E$25="",$C263&gt;=E$25)),MAX(0,MIN(E263-F263,$D263-(0))),0)</f>
        <v>0</v>
      </c>
      <c r="H263" s="69" t="n">
        <f aca="false">E263-F263-G263</f>
        <v>0</v>
      </c>
      <c r="I263" s="69" t="n">
        <f aca="false">IF(L262&gt;0.5,L262*(1+I$23)+I$24,0)</f>
        <v>0</v>
      </c>
      <c r="J263" s="69" t="n">
        <f aca="false">MIN(J$23,I263)</f>
        <v>0</v>
      </c>
      <c r="K263" s="69" t="n">
        <f aca="false">IF(AND(J$24=1,OR(I$25="",$C263&gt;=I$25)),MAX(0,MIN(I263-J263,$D263-(G263))),0)</f>
        <v>0</v>
      </c>
      <c r="L263" s="69" t="n">
        <f aca="false">I263-J263-K263</f>
        <v>0</v>
      </c>
      <c r="M263" s="69" t="n">
        <f aca="false">IF(P262&gt;0.5,P262*(1+M$23)+M$24,0)</f>
        <v>0</v>
      </c>
      <c r="N263" s="69" t="n">
        <f aca="false">MIN(N$23,M263)</f>
        <v>0</v>
      </c>
      <c r="O263" s="69" t="n">
        <f aca="false">IF(AND(N$24=1,OR(M$25="",$C263&gt;=M$25)),MAX(0,MIN(M263-N263,$D263-(G263+K263))),0)</f>
        <v>0</v>
      </c>
      <c r="P263" s="69" t="n">
        <f aca="false">M263-N263-O263</f>
        <v>0</v>
      </c>
      <c r="Q263" s="69" t="n">
        <f aca="false">IF(T262&gt;0.5,T262*(1+Q$23)+Q$24,0)</f>
        <v>0</v>
      </c>
      <c r="R263" s="69" t="n">
        <f aca="false">MIN(R$23,Q263)</f>
        <v>0</v>
      </c>
      <c r="S263" s="69" t="n">
        <f aca="false">IF(AND(R$24=1,OR(Q$25="",$C263&gt;=Q$25)),MAX(0,MIN(Q263-R263,$D263-(G263+K263+O263))),0)</f>
        <v>0</v>
      </c>
      <c r="T263" s="69" t="n">
        <f aca="false">Q263-R263-S263</f>
        <v>0</v>
      </c>
      <c r="U263" s="69" t="n">
        <f aca="false">IF(X262&gt;0.5,X262*(1+U$23)+U$24,0)</f>
        <v>0</v>
      </c>
      <c r="V263" s="69" t="n">
        <f aca="false">MIN(V$23,U263)</f>
        <v>0</v>
      </c>
      <c r="W263" s="69" t="n">
        <f aca="false">IF(AND(V$24=1,OR(U$25="",$C263&gt;=U$25)),MAX(0,MIN(U263-V263,$D263-(G263+K263+O263+S263))),0)</f>
        <v>0</v>
      </c>
      <c r="X263" s="69" t="n">
        <f aca="false">U263-V263-W263</f>
        <v>0</v>
      </c>
      <c r="Y263" s="69" t="n">
        <f aca="false">IF(AB262&gt;0.5,AB262*(1+Y$23)+Y$24,0)</f>
        <v>0</v>
      </c>
      <c r="Z263" s="69" t="n">
        <f aca="false">MIN(Z$23,Y263)</f>
        <v>0</v>
      </c>
      <c r="AA263" s="69" t="n">
        <f aca="false">IF(AND(Z$24=1,OR(Y$25="",$C263&gt;=Y$25)),MAX(0,MIN(Y263-Z263,$D263-(G263+K263+O263+S263+W263))),0)</f>
        <v>0</v>
      </c>
      <c r="AB263" s="69" t="n">
        <f aca="false">Y263-Z263-AA263</f>
        <v>0</v>
      </c>
      <c r="AC263" s="69" t="n">
        <f aca="false">IF(AF262&gt;0.5,AF262*(1+AC$23)+AC$24,0)</f>
        <v>0</v>
      </c>
      <c r="AD263" s="69" t="n">
        <f aca="false">MIN(AD$23,AC263)</f>
        <v>0</v>
      </c>
      <c r="AE263" s="69" t="n">
        <f aca="false">IF(AND(AD$24=1,OR(AC$25="",$C263&gt;=AC$25)),MAX(0,MIN(AC263-AD263,$D263-(G263+K263+O263+S263+W263+AA263))),0)</f>
        <v>0</v>
      </c>
      <c r="AF263" s="69" t="n">
        <f aca="false">AC263-AD263-AE263</f>
        <v>0</v>
      </c>
      <c r="AG263" s="69" t="n">
        <f aca="false">IF(AJ262&gt;0.5,AJ262*(1+AG$23)+AG$24,0)</f>
        <v>0</v>
      </c>
      <c r="AH263" s="69" t="n">
        <f aca="false">MIN(AH$23,AG263)</f>
        <v>0</v>
      </c>
      <c r="AI263" s="69" t="n">
        <f aca="false">IF(AND(AH$24=1,OR(AG$25="",$C263&gt;=AG$25)),MAX(0,MIN(AG263-AH263,$D263-(G263+K263+O263+S263+W263+AA263+AE263))),0)</f>
        <v>0</v>
      </c>
      <c r="AJ263" s="69" t="n">
        <f aca="false">AG263-AH263-AI263</f>
        <v>0</v>
      </c>
      <c r="AK263" s="69" t="n">
        <f aca="false">IF(AK262&gt;0.5,AK262*(1+$E$12)+$G$12-MIN($F$12,AK262*(1+$E$12)+$G$12),0)</f>
        <v>0</v>
      </c>
      <c r="AL263" s="69" t="n">
        <f aca="false">IF(AL262&gt;0.5,AL262*(1+$E$13)+$G$13-MIN($F$13,AL262*(1+$E$13)+$G$13),0)</f>
        <v>0</v>
      </c>
      <c r="AM263" s="69" t="n">
        <f aca="false">IF(AM262&gt;0.5,AM262*(1+$E$14)+$G$14-MIN($F$14,AM262*(1+$E$14)+$G$14),0)</f>
        <v>0</v>
      </c>
      <c r="AN263" s="69" t="n">
        <f aca="false">IF(AN262&gt;0.5,AN262*(1+$E$15)+$G$15-MIN($F$15,AN262*(1+$E$15)+$G$15),0)</f>
        <v>0</v>
      </c>
      <c r="AO263" s="69" t="n">
        <f aca="false">IF(AO262&gt;0.5,AO262*(1+$E$16)+$G$16-MIN($F$16,AO262*(1+$E$16)+$G$16),0)</f>
        <v>0</v>
      </c>
      <c r="AP263" s="69" t="n">
        <f aca="false">IF(AP262&gt;0.5,AP262*(1+$E$17)+$G$17-MIN($F$17,AP262*(1+$E$17)+$G$17),0)</f>
        <v>0</v>
      </c>
      <c r="AQ263" s="69" t="n">
        <f aca="false">IF(AQ262&gt;0.5,AQ262*(1+$E$18)+$G$18-MIN($F$18,AQ262*(1+$E$18)+$G$18),0)</f>
        <v>0</v>
      </c>
      <c r="AR263" s="69" t="n">
        <f aca="false">IF(AR262&gt;0.5,AR262*(1+$E$19)+$G$19-MIN($F$19,AR262*(1+$E$19)+$G$19),0)</f>
        <v>0</v>
      </c>
      <c r="AS263" s="69" t="n">
        <f aca="false">H263+L263+P263+T263+X263+AB263+AF263+AJ263</f>
        <v>0</v>
      </c>
      <c r="AT263" s="69" t="n">
        <f aca="false">SUM(AK263:AR263)</f>
        <v>0</v>
      </c>
      <c r="AU263" s="69" t="n">
        <f aca="false">F263+G263+J263+K263+N263+O263+R263+S263+V263+W263+Z263+AA263+AD263+AE263+AH263+AI263</f>
        <v>0</v>
      </c>
    </row>
    <row r="264" customFormat="false" ht="15" hidden="false" customHeight="false" outlineLevel="0" collapsed="false">
      <c r="B264" s="0" t="n">
        <v>237</v>
      </c>
      <c r="C264" s="68" t="n">
        <f aca="false">EDATE($C$7,236)</f>
        <v>53479</v>
      </c>
      <c r="D264" s="69" t="n">
        <f aca="false">$C$8-(F264+J264+N264+R264+V264+Z264+AD264+AH264)</f>
        <v>0</v>
      </c>
      <c r="E264" s="69" t="n">
        <f aca="false">IF(H263&gt;0.5,H263*(1+E$23)+E$24,0)</f>
        <v>0</v>
      </c>
      <c r="F264" s="69" t="n">
        <f aca="false">MIN(F$23,E264)</f>
        <v>0</v>
      </c>
      <c r="G264" s="69" t="n">
        <f aca="false">IF(AND(F$24=1,OR(E$25="",$C264&gt;=E$25)),MAX(0,MIN(E264-F264,$D264-(0))),0)</f>
        <v>0</v>
      </c>
      <c r="H264" s="69" t="n">
        <f aca="false">E264-F264-G264</f>
        <v>0</v>
      </c>
      <c r="I264" s="69" t="n">
        <f aca="false">IF(L263&gt;0.5,L263*(1+I$23)+I$24,0)</f>
        <v>0</v>
      </c>
      <c r="J264" s="69" t="n">
        <f aca="false">MIN(J$23,I264)</f>
        <v>0</v>
      </c>
      <c r="K264" s="69" t="n">
        <f aca="false">IF(AND(J$24=1,OR(I$25="",$C264&gt;=I$25)),MAX(0,MIN(I264-J264,$D264-(G264))),0)</f>
        <v>0</v>
      </c>
      <c r="L264" s="69" t="n">
        <f aca="false">I264-J264-K264</f>
        <v>0</v>
      </c>
      <c r="M264" s="69" t="n">
        <f aca="false">IF(P263&gt;0.5,P263*(1+M$23)+M$24,0)</f>
        <v>0</v>
      </c>
      <c r="N264" s="69" t="n">
        <f aca="false">MIN(N$23,M264)</f>
        <v>0</v>
      </c>
      <c r="O264" s="69" t="n">
        <f aca="false">IF(AND(N$24=1,OR(M$25="",$C264&gt;=M$25)),MAX(0,MIN(M264-N264,$D264-(G264+K264))),0)</f>
        <v>0</v>
      </c>
      <c r="P264" s="69" t="n">
        <f aca="false">M264-N264-O264</f>
        <v>0</v>
      </c>
      <c r="Q264" s="69" t="n">
        <f aca="false">IF(T263&gt;0.5,T263*(1+Q$23)+Q$24,0)</f>
        <v>0</v>
      </c>
      <c r="R264" s="69" t="n">
        <f aca="false">MIN(R$23,Q264)</f>
        <v>0</v>
      </c>
      <c r="S264" s="69" t="n">
        <f aca="false">IF(AND(R$24=1,OR(Q$25="",$C264&gt;=Q$25)),MAX(0,MIN(Q264-R264,$D264-(G264+K264+O264))),0)</f>
        <v>0</v>
      </c>
      <c r="T264" s="69" t="n">
        <f aca="false">Q264-R264-S264</f>
        <v>0</v>
      </c>
      <c r="U264" s="69" t="n">
        <f aca="false">IF(X263&gt;0.5,X263*(1+U$23)+U$24,0)</f>
        <v>0</v>
      </c>
      <c r="V264" s="69" t="n">
        <f aca="false">MIN(V$23,U264)</f>
        <v>0</v>
      </c>
      <c r="W264" s="69" t="n">
        <f aca="false">IF(AND(V$24=1,OR(U$25="",$C264&gt;=U$25)),MAX(0,MIN(U264-V264,$D264-(G264+K264+O264+S264))),0)</f>
        <v>0</v>
      </c>
      <c r="X264" s="69" t="n">
        <f aca="false">U264-V264-W264</f>
        <v>0</v>
      </c>
      <c r="Y264" s="69" t="n">
        <f aca="false">IF(AB263&gt;0.5,AB263*(1+Y$23)+Y$24,0)</f>
        <v>0</v>
      </c>
      <c r="Z264" s="69" t="n">
        <f aca="false">MIN(Z$23,Y264)</f>
        <v>0</v>
      </c>
      <c r="AA264" s="69" t="n">
        <f aca="false">IF(AND(Z$24=1,OR(Y$25="",$C264&gt;=Y$25)),MAX(0,MIN(Y264-Z264,$D264-(G264+K264+O264+S264+W264))),0)</f>
        <v>0</v>
      </c>
      <c r="AB264" s="69" t="n">
        <f aca="false">Y264-Z264-AA264</f>
        <v>0</v>
      </c>
      <c r="AC264" s="69" t="n">
        <f aca="false">IF(AF263&gt;0.5,AF263*(1+AC$23)+AC$24,0)</f>
        <v>0</v>
      </c>
      <c r="AD264" s="69" t="n">
        <f aca="false">MIN(AD$23,AC264)</f>
        <v>0</v>
      </c>
      <c r="AE264" s="69" t="n">
        <f aca="false">IF(AND(AD$24=1,OR(AC$25="",$C264&gt;=AC$25)),MAX(0,MIN(AC264-AD264,$D264-(G264+K264+O264+S264+W264+AA264))),0)</f>
        <v>0</v>
      </c>
      <c r="AF264" s="69" t="n">
        <f aca="false">AC264-AD264-AE264</f>
        <v>0</v>
      </c>
      <c r="AG264" s="69" t="n">
        <f aca="false">IF(AJ263&gt;0.5,AJ263*(1+AG$23)+AG$24,0)</f>
        <v>0</v>
      </c>
      <c r="AH264" s="69" t="n">
        <f aca="false">MIN(AH$23,AG264)</f>
        <v>0</v>
      </c>
      <c r="AI264" s="69" t="n">
        <f aca="false">IF(AND(AH$24=1,OR(AG$25="",$C264&gt;=AG$25)),MAX(0,MIN(AG264-AH264,$D264-(G264+K264+O264+S264+W264+AA264+AE264))),0)</f>
        <v>0</v>
      </c>
      <c r="AJ264" s="69" t="n">
        <f aca="false">AG264-AH264-AI264</f>
        <v>0</v>
      </c>
      <c r="AK264" s="69" t="n">
        <f aca="false">IF(AK263&gt;0.5,AK263*(1+$E$12)+$G$12-MIN($F$12,AK263*(1+$E$12)+$G$12),0)</f>
        <v>0</v>
      </c>
      <c r="AL264" s="69" t="n">
        <f aca="false">IF(AL263&gt;0.5,AL263*(1+$E$13)+$G$13-MIN($F$13,AL263*(1+$E$13)+$G$13),0)</f>
        <v>0</v>
      </c>
      <c r="AM264" s="69" t="n">
        <f aca="false">IF(AM263&gt;0.5,AM263*(1+$E$14)+$G$14-MIN($F$14,AM263*(1+$E$14)+$G$14),0)</f>
        <v>0</v>
      </c>
      <c r="AN264" s="69" t="n">
        <f aca="false">IF(AN263&gt;0.5,AN263*(1+$E$15)+$G$15-MIN($F$15,AN263*(1+$E$15)+$G$15),0)</f>
        <v>0</v>
      </c>
      <c r="AO264" s="69" t="n">
        <f aca="false">IF(AO263&gt;0.5,AO263*(1+$E$16)+$G$16-MIN($F$16,AO263*(1+$E$16)+$G$16),0)</f>
        <v>0</v>
      </c>
      <c r="AP264" s="69" t="n">
        <f aca="false">IF(AP263&gt;0.5,AP263*(1+$E$17)+$G$17-MIN($F$17,AP263*(1+$E$17)+$G$17),0)</f>
        <v>0</v>
      </c>
      <c r="AQ264" s="69" t="n">
        <f aca="false">IF(AQ263&gt;0.5,AQ263*(1+$E$18)+$G$18-MIN($F$18,AQ263*(1+$E$18)+$G$18),0)</f>
        <v>0</v>
      </c>
      <c r="AR264" s="69" t="n">
        <f aca="false">IF(AR263&gt;0.5,AR263*(1+$E$19)+$G$19-MIN($F$19,AR263*(1+$E$19)+$G$19),0)</f>
        <v>0</v>
      </c>
      <c r="AS264" s="69" t="n">
        <f aca="false">H264+L264+P264+T264+X264+AB264+AF264+AJ264</f>
        <v>0</v>
      </c>
      <c r="AT264" s="69" t="n">
        <f aca="false">SUM(AK264:AR264)</f>
        <v>0</v>
      </c>
      <c r="AU264" s="69" t="n">
        <f aca="false">F264+G264+J264+K264+N264+O264+R264+S264+V264+W264+Z264+AA264+AD264+AE264+AH264+AI264</f>
        <v>0</v>
      </c>
    </row>
    <row r="265" customFormat="false" ht="15" hidden="false" customHeight="false" outlineLevel="0" collapsed="false">
      <c r="B265" s="0" t="n">
        <v>238</v>
      </c>
      <c r="C265" s="68" t="n">
        <f aca="false">EDATE($C$7,237)</f>
        <v>53509</v>
      </c>
      <c r="D265" s="69" t="n">
        <f aca="false">$C$8-(F265+J265+N265+R265+V265+Z265+AD265+AH265)</f>
        <v>0</v>
      </c>
      <c r="E265" s="69" t="n">
        <f aca="false">IF(H264&gt;0.5,H264*(1+E$23)+E$24,0)</f>
        <v>0</v>
      </c>
      <c r="F265" s="69" t="n">
        <f aca="false">MIN(F$23,E265)</f>
        <v>0</v>
      </c>
      <c r="G265" s="69" t="n">
        <f aca="false">IF(AND(F$24=1,OR(E$25="",$C265&gt;=E$25)),MAX(0,MIN(E265-F265,$D265-(0))),0)</f>
        <v>0</v>
      </c>
      <c r="H265" s="69" t="n">
        <f aca="false">E265-F265-G265</f>
        <v>0</v>
      </c>
      <c r="I265" s="69" t="n">
        <f aca="false">IF(L264&gt;0.5,L264*(1+I$23)+I$24,0)</f>
        <v>0</v>
      </c>
      <c r="J265" s="69" t="n">
        <f aca="false">MIN(J$23,I265)</f>
        <v>0</v>
      </c>
      <c r="K265" s="69" t="n">
        <f aca="false">IF(AND(J$24=1,OR(I$25="",$C265&gt;=I$25)),MAX(0,MIN(I265-J265,$D265-(G265))),0)</f>
        <v>0</v>
      </c>
      <c r="L265" s="69" t="n">
        <f aca="false">I265-J265-K265</f>
        <v>0</v>
      </c>
      <c r="M265" s="69" t="n">
        <f aca="false">IF(P264&gt;0.5,P264*(1+M$23)+M$24,0)</f>
        <v>0</v>
      </c>
      <c r="N265" s="69" t="n">
        <f aca="false">MIN(N$23,M265)</f>
        <v>0</v>
      </c>
      <c r="O265" s="69" t="n">
        <f aca="false">IF(AND(N$24=1,OR(M$25="",$C265&gt;=M$25)),MAX(0,MIN(M265-N265,$D265-(G265+K265))),0)</f>
        <v>0</v>
      </c>
      <c r="P265" s="69" t="n">
        <f aca="false">M265-N265-O265</f>
        <v>0</v>
      </c>
      <c r="Q265" s="69" t="n">
        <f aca="false">IF(T264&gt;0.5,T264*(1+Q$23)+Q$24,0)</f>
        <v>0</v>
      </c>
      <c r="R265" s="69" t="n">
        <f aca="false">MIN(R$23,Q265)</f>
        <v>0</v>
      </c>
      <c r="S265" s="69" t="n">
        <f aca="false">IF(AND(R$24=1,OR(Q$25="",$C265&gt;=Q$25)),MAX(0,MIN(Q265-R265,$D265-(G265+K265+O265))),0)</f>
        <v>0</v>
      </c>
      <c r="T265" s="69" t="n">
        <f aca="false">Q265-R265-S265</f>
        <v>0</v>
      </c>
      <c r="U265" s="69" t="n">
        <f aca="false">IF(X264&gt;0.5,X264*(1+U$23)+U$24,0)</f>
        <v>0</v>
      </c>
      <c r="V265" s="69" t="n">
        <f aca="false">MIN(V$23,U265)</f>
        <v>0</v>
      </c>
      <c r="W265" s="69" t="n">
        <f aca="false">IF(AND(V$24=1,OR(U$25="",$C265&gt;=U$25)),MAX(0,MIN(U265-V265,$D265-(G265+K265+O265+S265))),0)</f>
        <v>0</v>
      </c>
      <c r="X265" s="69" t="n">
        <f aca="false">U265-V265-W265</f>
        <v>0</v>
      </c>
      <c r="Y265" s="69" t="n">
        <f aca="false">IF(AB264&gt;0.5,AB264*(1+Y$23)+Y$24,0)</f>
        <v>0</v>
      </c>
      <c r="Z265" s="69" t="n">
        <f aca="false">MIN(Z$23,Y265)</f>
        <v>0</v>
      </c>
      <c r="AA265" s="69" t="n">
        <f aca="false">IF(AND(Z$24=1,OR(Y$25="",$C265&gt;=Y$25)),MAX(0,MIN(Y265-Z265,$D265-(G265+K265+O265+S265+W265))),0)</f>
        <v>0</v>
      </c>
      <c r="AB265" s="69" t="n">
        <f aca="false">Y265-Z265-AA265</f>
        <v>0</v>
      </c>
      <c r="AC265" s="69" t="n">
        <f aca="false">IF(AF264&gt;0.5,AF264*(1+AC$23)+AC$24,0)</f>
        <v>0</v>
      </c>
      <c r="AD265" s="69" t="n">
        <f aca="false">MIN(AD$23,AC265)</f>
        <v>0</v>
      </c>
      <c r="AE265" s="69" t="n">
        <f aca="false">IF(AND(AD$24=1,OR(AC$25="",$C265&gt;=AC$25)),MAX(0,MIN(AC265-AD265,$D265-(G265+K265+O265+S265+W265+AA265))),0)</f>
        <v>0</v>
      </c>
      <c r="AF265" s="69" t="n">
        <f aca="false">AC265-AD265-AE265</f>
        <v>0</v>
      </c>
      <c r="AG265" s="69" t="n">
        <f aca="false">IF(AJ264&gt;0.5,AJ264*(1+AG$23)+AG$24,0)</f>
        <v>0</v>
      </c>
      <c r="AH265" s="69" t="n">
        <f aca="false">MIN(AH$23,AG265)</f>
        <v>0</v>
      </c>
      <c r="AI265" s="69" t="n">
        <f aca="false">IF(AND(AH$24=1,OR(AG$25="",$C265&gt;=AG$25)),MAX(0,MIN(AG265-AH265,$D265-(G265+K265+O265+S265+W265+AA265+AE265))),0)</f>
        <v>0</v>
      </c>
      <c r="AJ265" s="69" t="n">
        <f aca="false">AG265-AH265-AI265</f>
        <v>0</v>
      </c>
      <c r="AK265" s="69" t="n">
        <f aca="false">IF(AK264&gt;0.5,AK264*(1+$E$12)+$G$12-MIN($F$12,AK264*(1+$E$12)+$G$12),0)</f>
        <v>0</v>
      </c>
      <c r="AL265" s="69" t="n">
        <f aca="false">IF(AL264&gt;0.5,AL264*(1+$E$13)+$G$13-MIN($F$13,AL264*(1+$E$13)+$G$13),0)</f>
        <v>0</v>
      </c>
      <c r="AM265" s="69" t="n">
        <f aca="false">IF(AM264&gt;0.5,AM264*(1+$E$14)+$G$14-MIN($F$14,AM264*(1+$E$14)+$G$14),0)</f>
        <v>0</v>
      </c>
      <c r="AN265" s="69" t="n">
        <f aca="false">IF(AN264&gt;0.5,AN264*(1+$E$15)+$G$15-MIN($F$15,AN264*(1+$E$15)+$G$15),0)</f>
        <v>0</v>
      </c>
      <c r="AO265" s="69" t="n">
        <f aca="false">IF(AO264&gt;0.5,AO264*(1+$E$16)+$G$16-MIN($F$16,AO264*(1+$E$16)+$G$16),0)</f>
        <v>0</v>
      </c>
      <c r="AP265" s="69" t="n">
        <f aca="false">IF(AP264&gt;0.5,AP264*(1+$E$17)+$G$17-MIN($F$17,AP264*(1+$E$17)+$G$17),0)</f>
        <v>0</v>
      </c>
      <c r="AQ265" s="69" t="n">
        <f aca="false">IF(AQ264&gt;0.5,AQ264*(1+$E$18)+$G$18-MIN($F$18,AQ264*(1+$E$18)+$G$18),0)</f>
        <v>0</v>
      </c>
      <c r="AR265" s="69" t="n">
        <f aca="false">IF(AR264&gt;0.5,AR264*(1+$E$19)+$G$19-MIN($F$19,AR264*(1+$E$19)+$G$19),0)</f>
        <v>0</v>
      </c>
      <c r="AS265" s="69" t="n">
        <f aca="false">H265+L265+P265+T265+X265+AB265+AF265+AJ265</f>
        <v>0</v>
      </c>
      <c r="AT265" s="69" t="n">
        <f aca="false">SUM(AK265:AR265)</f>
        <v>0</v>
      </c>
      <c r="AU265" s="69" t="n">
        <f aca="false">F265+G265+J265+K265+N265+O265+R265+S265+V265+W265+Z265+AA265+AD265+AE265+AH265+AI265</f>
        <v>0</v>
      </c>
    </row>
    <row r="266" customFormat="false" ht="15" hidden="false" customHeight="false" outlineLevel="0" collapsed="false">
      <c r="B266" s="0" t="n">
        <v>239</v>
      </c>
      <c r="C266" s="68" t="n">
        <f aca="false">EDATE($C$7,238)</f>
        <v>53540</v>
      </c>
      <c r="D266" s="69" t="n">
        <f aca="false">$C$8-(F266+J266+N266+R266+V266+Z266+AD266+AH266)</f>
        <v>0</v>
      </c>
      <c r="E266" s="69" t="n">
        <f aca="false">IF(H265&gt;0.5,H265*(1+E$23)+E$24,0)</f>
        <v>0</v>
      </c>
      <c r="F266" s="69" t="n">
        <f aca="false">MIN(F$23,E266)</f>
        <v>0</v>
      </c>
      <c r="G266" s="69" t="n">
        <f aca="false">IF(AND(F$24=1,OR(E$25="",$C266&gt;=E$25)),MAX(0,MIN(E266-F266,$D266-(0))),0)</f>
        <v>0</v>
      </c>
      <c r="H266" s="69" t="n">
        <f aca="false">E266-F266-G266</f>
        <v>0</v>
      </c>
      <c r="I266" s="69" t="n">
        <f aca="false">IF(L265&gt;0.5,L265*(1+I$23)+I$24,0)</f>
        <v>0</v>
      </c>
      <c r="J266" s="69" t="n">
        <f aca="false">MIN(J$23,I266)</f>
        <v>0</v>
      </c>
      <c r="K266" s="69" t="n">
        <f aca="false">IF(AND(J$24=1,OR(I$25="",$C266&gt;=I$25)),MAX(0,MIN(I266-J266,$D266-(G266))),0)</f>
        <v>0</v>
      </c>
      <c r="L266" s="69" t="n">
        <f aca="false">I266-J266-K266</f>
        <v>0</v>
      </c>
      <c r="M266" s="69" t="n">
        <f aca="false">IF(P265&gt;0.5,P265*(1+M$23)+M$24,0)</f>
        <v>0</v>
      </c>
      <c r="N266" s="69" t="n">
        <f aca="false">MIN(N$23,M266)</f>
        <v>0</v>
      </c>
      <c r="O266" s="69" t="n">
        <f aca="false">IF(AND(N$24=1,OR(M$25="",$C266&gt;=M$25)),MAX(0,MIN(M266-N266,$D266-(G266+K266))),0)</f>
        <v>0</v>
      </c>
      <c r="P266" s="69" t="n">
        <f aca="false">M266-N266-O266</f>
        <v>0</v>
      </c>
      <c r="Q266" s="69" t="n">
        <f aca="false">IF(T265&gt;0.5,T265*(1+Q$23)+Q$24,0)</f>
        <v>0</v>
      </c>
      <c r="R266" s="69" t="n">
        <f aca="false">MIN(R$23,Q266)</f>
        <v>0</v>
      </c>
      <c r="S266" s="69" t="n">
        <f aca="false">IF(AND(R$24=1,OR(Q$25="",$C266&gt;=Q$25)),MAX(0,MIN(Q266-R266,$D266-(G266+K266+O266))),0)</f>
        <v>0</v>
      </c>
      <c r="T266" s="69" t="n">
        <f aca="false">Q266-R266-S266</f>
        <v>0</v>
      </c>
      <c r="U266" s="69" t="n">
        <f aca="false">IF(X265&gt;0.5,X265*(1+U$23)+U$24,0)</f>
        <v>0</v>
      </c>
      <c r="V266" s="69" t="n">
        <f aca="false">MIN(V$23,U266)</f>
        <v>0</v>
      </c>
      <c r="W266" s="69" t="n">
        <f aca="false">IF(AND(V$24=1,OR(U$25="",$C266&gt;=U$25)),MAX(0,MIN(U266-V266,$D266-(G266+K266+O266+S266))),0)</f>
        <v>0</v>
      </c>
      <c r="X266" s="69" t="n">
        <f aca="false">U266-V266-W266</f>
        <v>0</v>
      </c>
      <c r="Y266" s="69" t="n">
        <f aca="false">IF(AB265&gt;0.5,AB265*(1+Y$23)+Y$24,0)</f>
        <v>0</v>
      </c>
      <c r="Z266" s="69" t="n">
        <f aca="false">MIN(Z$23,Y266)</f>
        <v>0</v>
      </c>
      <c r="AA266" s="69" t="n">
        <f aca="false">IF(AND(Z$24=1,OR(Y$25="",$C266&gt;=Y$25)),MAX(0,MIN(Y266-Z266,$D266-(G266+K266+O266+S266+W266))),0)</f>
        <v>0</v>
      </c>
      <c r="AB266" s="69" t="n">
        <f aca="false">Y266-Z266-AA266</f>
        <v>0</v>
      </c>
      <c r="AC266" s="69" t="n">
        <f aca="false">IF(AF265&gt;0.5,AF265*(1+AC$23)+AC$24,0)</f>
        <v>0</v>
      </c>
      <c r="AD266" s="69" t="n">
        <f aca="false">MIN(AD$23,AC266)</f>
        <v>0</v>
      </c>
      <c r="AE266" s="69" t="n">
        <f aca="false">IF(AND(AD$24=1,OR(AC$25="",$C266&gt;=AC$25)),MAX(0,MIN(AC266-AD266,$D266-(G266+K266+O266+S266+W266+AA266))),0)</f>
        <v>0</v>
      </c>
      <c r="AF266" s="69" t="n">
        <f aca="false">AC266-AD266-AE266</f>
        <v>0</v>
      </c>
      <c r="AG266" s="69" t="n">
        <f aca="false">IF(AJ265&gt;0.5,AJ265*(1+AG$23)+AG$24,0)</f>
        <v>0</v>
      </c>
      <c r="AH266" s="69" t="n">
        <f aca="false">MIN(AH$23,AG266)</f>
        <v>0</v>
      </c>
      <c r="AI266" s="69" t="n">
        <f aca="false">IF(AND(AH$24=1,OR(AG$25="",$C266&gt;=AG$25)),MAX(0,MIN(AG266-AH266,$D266-(G266+K266+O266+S266+W266+AA266+AE266))),0)</f>
        <v>0</v>
      </c>
      <c r="AJ266" s="69" t="n">
        <f aca="false">AG266-AH266-AI266</f>
        <v>0</v>
      </c>
      <c r="AK266" s="69" t="n">
        <f aca="false">IF(AK265&gt;0.5,AK265*(1+$E$12)+$G$12-MIN($F$12,AK265*(1+$E$12)+$G$12),0)</f>
        <v>0</v>
      </c>
      <c r="AL266" s="69" t="n">
        <f aca="false">IF(AL265&gt;0.5,AL265*(1+$E$13)+$G$13-MIN($F$13,AL265*(1+$E$13)+$G$13),0)</f>
        <v>0</v>
      </c>
      <c r="AM266" s="69" t="n">
        <f aca="false">IF(AM265&gt;0.5,AM265*(1+$E$14)+$G$14-MIN($F$14,AM265*(1+$E$14)+$G$14),0)</f>
        <v>0</v>
      </c>
      <c r="AN266" s="69" t="n">
        <f aca="false">IF(AN265&gt;0.5,AN265*(1+$E$15)+$G$15-MIN($F$15,AN265*(1+$E$15)+$G$15),0)</f>
        <v>0</v>
      </c>
      <c r="AO266" s="69" t="n">
        <f aca="false">IF(AO265&gt;0.5,AO265*(1+$E$16)+$G$16-MIN($F$16,AO265*(1+$E$16)+$G$16),0)</f>
        <v>0</v>
      </c>
      <c r="AP266" s="69" t="n">
        <f aca="false">IF(AP265&gt;0.5,AP265*(1+$E$17)+$G$17-MIN($F$17,AP265*(1+$E$17)+$G$17),0)</f>
        <v>0</v>
      </c>
      <c r="AQ266" s="69" t="n">
        <f aca="false">IF(AQ265&gt;0.5,AQ265*(1+$E$18)+$G$18-MIN($F$18,AQ265*(1+$E$18)+$G$18),0)</f>
        <v>0</v>
      </c>
      <c r="AR266" s="69" t="n">
        <f aca="false">IF(AR265&gt;0.5,AR265*(1+$E$19)+$G$19-MIN($F$19,AR265*(1+$E$19)+$G$19),0)</f>
        <v>0</v>
      </c>
      <c r="AS266" s="69" t="n">
        <f aca="false">H266+L266+P266+T266+X266+AB266+AF266+AJ266</f>
        <v>0</v>
      </c>
      <c r="AT266" s="69" t="n">
        <f aca="false">SUM(AK266:AR266)</f>
        <v>0</v>
      </c>
      <c r="AU266" s="69" t="n">
        <f aca="false">F266+G266+J266+K266+N266+O266+R266+S266+V266+W266+Z266+AA266+AD266+AE266+AH266+AI266</f>
        <v>0</v>
      </c>
    </row>
    <row r="267" customFormat="false" ht="15" hidden="false" customHeight="false" outlineLevel="0" collapsed="false">
      <c r="B267" s="0" t="n">
        <v>240</v>
      </c>
      <c r="C267" s="68" t="n">
        <f aca="false">EDATE($C$7,239)</f>
        <v>53571</v>
      </c>
      <c r="D267" s="69" t="n">
        <f aca="false">$C$8-(F267+J267+N267+R267+V267+Z267+AD267+AH267)</f>
        <v>0</v>
      </c>
      <c r="E267" s="69" t="n">
        <f aca="false">IF(H266&gt;0.5,H266*(1+E$23)+E$24,0)</f>
        <v>0</v>
      </c>
      <c r="F267" s="69" t="n">
        <f aca="false">MIN(F$23,E267)</f>
        <v>0</v>
      </c>
      <c r="G267" s="69" t="n">
        <f aca="false">IF(AND(F$24=1,OR(E$25="",$C267&gt;=E$25)),MAX(0,MIN(E267-F267,$D267-(0))),0)</f>
        <v>0</v>
      </c>
      <c r="H267" s="69" t="n">
        <f aca="false">E267-F267-G267</f>
        <v>0</v>
      </c>
      <c r="I267" s="69" t="n">
        <f aca="false">IF(L266&gt;0.5,L266*(1+I$23)+I$24,0)</f>
        <v>0</v>
      </c>
      <c r="J267" s="69" t="n">
        <f aca="false">MIN(J$23,I267)</f>
        <v>0</v>
      </c>
      <c r="K267" s="69" t="n">
        <f aca="false">IF(AND(J$24=1,OR(I$25="",$C267&gt;=I$25)),MAX(0,MIN(I267-J267,$D267-(G267))),0)</f>
        <v>0</v>
      </c>
      <c r="L267" s="69" t="n">
        <f aca="false">I267-J267-K267</f>
        <v>0</v>
      </c>
      <c r="M267" s="69" t="n">
        <f aca="false">IF(P266&gt;0.5,P266*(1+M$23)+M$24,0)</f>
        <v>0</v>
      </c>
      <c r="N267" s="69" t="n">
        <f aca="false">MIN(N$23,M267)</f>
        <v>0</v>
      </c>
      <c r="O267" s="69" t="n">
        <f aca="false">IF(AND(N$24=1,OR(M$25="",$C267&gt;=M$25)),MAX(0,MIN(M267-N267,$D267-(G267+K267))),0)</f>
        <v>0</v>
      </c>
      <c r="P267" s="69" t="n">
        <f aca="false">M267-N267-O267</f>
        <v>0</v>
      </c>
      <c r="Q267" s="69" t="n">
        <f aca="false">IF(T266&gt;0.5,T266*(1+Q$23)+Q$24,0)</f>
        <v>0</v>
      </c>
      <c r="R267" s="69" t="n">
        <f aca="false">MIN(R$23,Q267)</f>
        <v>0</v>
      </c>
      <c r="S267" s="69" t="n">
        <f aca="false">IF(AND(R$24=1,OR(Q$25="",$C267&gt;=Q$25)),MAX(0,MIN(Q267-R267,$D267-(G267+K267+O267))),0)</f>
        <v>0</v>
      </c>
      <c r="T267" s="69" t="n">
        <f aca="false">Q267-R267-S267</f>
        <v>0</v>
      </c>
      <c r="U267" s="69" t="n">
        <f aca="false">IF(X266&gt;0.5,X266*(1+U$23)+U$24,0)</f>
        <v>0</v>
      </c>
      <c r="V267" s="69" t="n">
        <f aca="false">MIN(V$23,U267)</f>
        <v>0</v>
      </c>
      <c r="W267" s="69" t="n">
        <f aca="false">IF(AND(V$24=1,OR(U$25="",$C267&gt;=U$25)),MAX(0,MIN(U267-V267,$D267-(G267+K267+O267+S267))),0)</f>
        <v>0</v>
      </c>
      <c r="X267" s="69" t="n">
        <f aca="false">U267-V267-W267</f>
        <v>0</v>
      </c>
      <c r="Y267" s="69" t="n">
        <f aca="false">IF(AB266&gt;0.5,AB266*(1+Y$23)+Y$24,0)</f>
        <v>0</v>
      </c>
      <c r="Z267" s="69" t="n">
        <f aca="false">MIN(Z$23,Y267)</f>
        <v>0</v>
      </c>
      <c r="AA267" s="69" t="n">
        <f aca="false">IF(AND(Z$24=1,OR(Y$25="",$C267&gt;=Y$25)),MAX(0,MIN(Y267-Z267,$D267-(G267+K267+O267+S267+W267))),0)</f>
        <v>0</v>
      </c>
      <c r="AB267" s="69" t="n">
        <f aca="false">Y267-Z267-AA267</f>
        <v>0</v>
      </c>
      <c r="AC267" s="69" t="n">
        <f aca="false">IF(AF266&gt;0.5,AF266*(1+AC$23)+AC$24,0)</f>
        <v>0</v>
      </c>
      <c r="AD267" s="69" t="n">
        <f aca="false">MIN(AD$23,AC267)</f>
        <v>0</v>
      </c>
      <c r="AE267" s="69" t="n">
        <f aca="false">IF(AND(AD$24=1,OR(AC$25="",$C267&gt;=AC$25)),MAX(0,MIN(AC267-AD267,$D267-(G267+K267+O267+S267+W267+AA267))),0)</f>
        <v>0</v>
      </c>
      <c r="AF267" s="69" t="n">
        <f aca="false">AC267-AD267-AE267</f>
        <v>0</v>
      </c>
      <c r="AG267" s="69" t="n">
        <f aca="false">IF(AJ266&gt;0.5,AJ266*(1+AG$23)+AG$24,0)</f>
        <v>0</v>
      </c>
      <c r="AH267" s="69" t="n">
        <f aca="false">MIN(AH$23,AG267)</f>
        <v>0</v>
      </c>
      <c r="AI267" s="69" t="n">
        <f aca="false">IF(AND(AH$24=1,OR(AG$25="",$C267&gt;=AG$25)),MAX(0,MIN(AG267-AH267,$D267-(G267+K267+O267+S267+W267+AA267+AE267))),0)</f>
        <v>0</v>
      </c>
      <c r="AJ267" s="69" t="n">
        <f aca="false">AG267-AH267-AI267</f>
        <v>0</v>
      </c>
      <c r="AK267" s="69" t="n">
        <f aca="false">IF(AK266&gt;0.5,AK266*(1+$E$12)+$G$12-MIN($F$12,AK266*(1+$E$12)+$G$12),0)</f>
        <v>0</v>
      </c>
      <c r="AL267" s="69" t="n">
        <f aca="false">IF(AL266&gt;0.5,AL266*(1+$E$13)+$G$13-MIN($F$13,AL266*(1+$E$13)+$G$13),0)</f>
        <v>0</v>
      </c>
      <c r="AM267" s="69" t="n">
        <f aca="false">IF(AM266&gt;0.5,AM266*(1+$E$14)+$G$14-MIN($F$14,AM266*(1+$E$14)+$G$14),0)</f>
        <v>0</v>
      </c>
      <c r="AN267" s="69" t="n">
        <f aca="false">IF(AN266&gt;0.5,AN266*(1+$E$15)+$G$15-MIN($F$15,AN266*(1+$E$15)+$G$15),0)</f>
        <v>0</v>
      </c>
      <c r="AO267" s="69" t="n">
        <f aca="false">IF(AO266&gt;0.5,AO266*(1+$E$16)+$G$16-MIN($F$16,AO266*(1+$E$16)+$G$16),0)</f>
        <v>0</v>
      </c>
      <c r="AP267" s="69" t="n">
        <f aca="false">IF(AP266&gt;0.5,AP266*(1+$E$17)+$G$17-MIN($F$17,AP266*(1+$E$17)+$G$17),0)</f>
        <v>0</v>
      </c>
      <c r="AQ267" s="69" t="n">
        <f aca="false">IF(AQ266&gt;0.5,AQ266*(1+$E$18)+$G$18-MIN($F$18,AQ266*(1+$E$18)+$G$18),0)</f>
        <v>0</v>
      </c>
      <c r="AR267" s="69" t="n">
        <f aca="false">IF(AR266&gt;0.5,AR266*(1+$E$19)+$G$19-MIN($F$19,AR266*(1+$E$19)+$G$19),0)</f>
        <v>0</v>
      </c>
      <c r="AS267" s="69" t="n">
        <f aca="false">H267+L267+P267+T267+X267+AB267+AF267+AJ267</f>
        <v>0</v>
      </c>
      <c r="AT267" s="69" t="n">
        <f aca="false">SUM(AK267:AR267)</f>
        <v>0</v>
      </c>
      <c r="AU267" s="69" t="n">
        <f aca="false">F267+G267+J267+K267+N267+O267+R267+S267+V267+W267+Z267+AA267+AD267+AE267+AH267+AI267</f>
        <v>0</v>
      </c>
    </row>
    <row r="268" customFormat="false" ht="15" hidden="false" customHeight="false" outlineLevel="0" collapsed="false">
      <c r="B268" s="0" t="n">
        <v>241</v>
      </c>
      <c r="C268" s="68" t="n">
        <f aca="false">EDATE($C$7,240)</f>
        <v>53601</v>
      </c>
      <c r="D268" s="69" t="n">
        <f aca="false">$C$8-(F268+J268+N268+R268+V268+Z268+AD268+AH268)</f>
        <v>0</v>
      </c>
      <c r="E268" s="69" t="n">
        <f aca="false">IF(H267&gt;0.5,H267*(1+E$23)+E$24,0)</f>
        <v>0</v>
      </c>
      <c r="F268" s="69" t="n">
        <f aca="false">MIN(F$23,E268)</f>
        <v>0</v>
      </c>
      <c r="G268" s="69" t="n">
        <f aca="false">IF(AND(F$24=1,OR(E$25="",$C268&gt;=E$25)),MAX(0,MIN(E268-F268,$D268-(0))),0)</f>
        <v>0</v>
      </c>
      <c r="H268" s="69" t="n">
        <f aca="false">E268-F268-G268</f>
        <v>0</v>
      </c>
      <c r="I268" s="69" t="n">
        <f aca="false">IF(L267&gt;0.5,L267*(1+I$23)+I$24,0)</f>
        <v>0</v>
      </c>
      <c r="J268" s="69" t="n">
        <f aca="false">MIN(J$23,I268)</f>
        <v>0</v>
      </c>
      <c r="K268" s="69" t="n">
        <f aca="false">IF(AND(J$24=1,OR(I$25="",$C268&gt;=I$25)),MAX(0,MIN(I268-J268,$D268-(G268))),0)</f>
        <v>0</v>
      </c>
      <c r="L268" s="69" t="n">
        <f aca="false">I268-J268-K268</f>
        <v>0</v>
      </c>
      <c r="M268" s="69" t="n">
        <f aca="false">IF(P267&gt;0.5,P267*(1+M$23)+M$24,0)</f>
        <v>0</v>
      </c>
      <c r="N268" s="69" t="n">
        <f aca="false">MIN(N$23,M268)</f>
        <v>0</v>
      </c>
      <c r="O268" s="69" t="n">
        <f aca="false">IF(AND(N$24=1,OR(M$25="",$C268&gt;=M$25)),MAX(0,MIN(M268-N268,$D268-(G268+K268))),0)</f>
        <v>0</v>
      </c>
      <c r="P268" s="69" t="n">
        <f aca="false">M268-N268-O268</f>
        <v>0</v>
      </c>
      <c r="Q268" s="69" t="n">
        <f aca="false">IF(T267&gt;0.5,T267*(1+Q$23)+Q$24,0)</f>
        <v>0</v>
      </c>
      <c r="R268" s="69" t="n">
        <f aca="false">MIN(R$23,Q268)</f>
        <v>0</v>
      </c>
      <c r="S268" s="69" t="n">
        <f aca="false">IF(AND(R$24=1,OR(Q$25="",$C268&gt;=Q$25)),MAX(0,MIN(Q268-R268,$D268-(G268+K268+O268))),0)</f>
        <v>0</v>
      </c>
      <c r="T268" s="69" t="n">
        <f aca="false">Q268-R268-S268</f>
        <v>0</v>
      </c>
      <c r="U268" s="69" t="n">
        <f aca="false">IF(X267&gt;0.5,X267*(1+U$23)+U$24,0)</f>
        <v>0</v>
      </c>
      <c r="V268" s="69" t="n">
        <f aca="false">MIN(V$23,U268)</f>
        <v>0</v>
      </c>
      <c r="W268" s="69" t="n">
        <f aca="false">IF(AND(V$24=1,OR(U$25="",$C268&gt;=U$25)),MAX(0,MIN(U268-V268,$D268-(G268+K268+O268+S268))),0)</f>
        <v>0</v>
      </c>
      <c r="X268" s="69" t="n">
        <f aca="false">U268-V268-W268</f>
        <v>0</v>
      </c>
      <c r="Y268" s="69" t="n">
        <f aca="false">IF(AB267&gt;0.5,AB267*(1+Y$23)+Y$24,0)</f>
        <v>0</v>
      </c>
      <c r="Z268" s="69" t="n">
        <f aca="false">MIN(Z$23,Y268)</f>
        <v>0</v>
      </c>
      <c r="AA268" s="69" t="n">
        <f aca="false">IF(AND(Z$24=1,OR(Y$25="",$C268&gt;=Y$25)),MAX(0,MIN(Y268-Z268,$D268-(G268+K268+O268+S268+W268))),0)</f>
        <v>0</v>
      </c>
      <c r="AB268" s="69" t="n">
        <f aca="false">Y268-Z268-AA268</f>
        <v>0</v>
      </c>
      <c r="AC268" s="69" t="n">
        <f aca="false">IF(AF267&gt;0.5,AF267*(1+AC$23)+AC$24,0)</f>
        <v>0</v>
      </c>
      <c r="AD268" s="69" t="n">
        <f aca="false">MIN(AD$23,AC268)</f>
        <v>0</v>
      </c>
      <c r="AE268" s="69" t="n">
        <f aca="false">IF(AND(AD$24=1,OR(AC$25="",$C268&gt;=AC$25)),MAX(0,MIN(AC268-AD268,$D268-(G268+K268+O268+S268+W268+AA268))),0)</f>
        <v>0</v>
      </c>
      <c r="AF268" s="69" t="n">
        <f aca="false">AC268-AD268-AE268</f>
        <v>0</v>
      </c>
      <c r="AG268" s="69" t="n">
        <f aca="false">IF(AJ267&gt;0.5,AJ267*(1+AG$23)+AG$24,0)</f>
        <v>0</v>
      </c>
      <c r="AH268" s="69" t="n">
        <f aca="false">MIN(AH$23,AG268)</f>
        <v>0</v>
      </c>
      <c r="AI268" s="69" t="n">
        <f aca="false">IF(AND(AH$24=1,OR(AG$25="",$C268&gt;=AG$25)),MAX(0,MIN(AG268-AH268,$D268-(G268+K268+O268+S268+W268+AA268+AE268))),0)</f>
        <v>0</v>
      </c>
      <c r="AJ268" s="69" t="n">
        <f aca="false">AG268-AH268-AI268</f>
        <v>0</v>
      </c>
      <c r="AK268" s="69" t="n">
        <f aca="false">IF(AK267&gt;0.5,AK267*(1+$E$12)+$G$12-MIN($F$12,AK267*(1+$E$12)+$G$12),0)</f>
        <v>0</v>
      </c>
      <c r="AL268" s="69" t="n">
        <f aca="false">IF(AL267&gt;0.5,AL267*(1+$E$13)+$G$13-MIN($F$13,AL267*(1+$E$13)+$G$13),0)</f>
        <v>0</v>
      </c>
      <c r="AM268" s="69" t="n">
        <f aca="false">IF(AM267&gt;0.5,AM267*(1+$E$14)+$G$14-MIN($F$14,AM267*(1+$E$14)+$G$14),0)</f>
        <v>0</v>
      </c>
      <c r="AN268" s="69" t="n">
        <f aca="false">IF(AN267&gt;0.5,AN267*(1+$E$15)+$G$15-MIN($F$15,AN267*(1+$E$15)+$G$15),0)</f>
        <v>0</v>
      </c>
      <c r="AO268" s="69" t="n">
        <f aca="false">IF(AO267&gt;0.5,AO267*(1+$E$16)+$G$16-MIN($F$16,AO267*(1+$E$16)+$G$16),0)</f>
        <v>0</v>
      </c>
      <c r="AP268" s="69" t="n">
        <f aca="false">IF(AP267&gt;0.5,AP267*(1+$E$17)+$G$17-MIN($F$17,AP267*(1+$E$17)+$G$17),0)</f>
        <v>0</v>
      </c>
      <c r="AQ268" s="69" t="n">
        <f aca="false">IF(AQ267&gt;0.5,AQ267*(1+$E$18)+$G$18-MIN($F$18,AQ267*(1+$E$18)+$G$18),0)</f>
        <v>0</v>
      </c>
      <c r="AR268" s="69" t="n">
        <f aca="false">IF(AR267&gt;0.5,AR267*(1+$E$19)+$G$19-MIN($F$19,AR267*(1+$E$19)+$G$19),0)</f>
        <v>0</v>
      </c>
      <c r="AS268" s="69" t="n">
        <f aca="false">H268+L268+P268+T268+X268+AB268+AF268+AJ268</f>
        <v>0</v>
      </c>
      <c r="AT268" s="69" t="n">
        <f aca="false">SUM(AK268:AR268)</f>
        <v>0</v>
      </c>
      <c r="AU268" s="69" t="n">
        <f aca="false">F268+G268+J268+K268+N268+O268+R268+S268+V268+W268+Z268+AA268+AD268+AE268+AH268+AI268</f>
        <v>0</v>
      </c>
    </row>
    <row r="269" customFormat="false" ht="15" hidden="false" customHeight="false" outlineLevel="0" collapsed="false">
      <c r="B269" s="0" t="n">
        <v>242</v>
      </c>
      <c r="C269" s="68" t="n">
        <f aca="false">EDATE($C$7,241)</f>
        <v>53632</v>
      </c>
      <c r="D269" s="69" t="n">
        <f aca="false">$C$8-(F269+J269+N269+R269+V269+Z269+AD269+AH269)</f>
        <v>0</v>
      </c>
      <c r="E269" s="69" t="n">
        <f aca="false">IF(H268&gt;0.5,H268*(1+E$23)+E$24,0)</f>
        <v>0</v>
      </c>
      <c r="F269" s="69" t="n">
        <f aca="false">MIN(F$23,E269)</f>
        <v>0</v>
      </c>
      <c r="G269" s="69" t="n">
        <f aca="false">IF(AND(F$24=1,OR(E$25="",$C269&gt;=E$25)),MAX(0,MIN(E269-F269,$D269-(0))),0)</f>
        <v>0</v>
      </c>
      <c r="H269" s="69" t="n">
        <f aca="false">E269-F269-G269</f>
        <v>0</v>
      </c>
      <c r="I269" s="69" t="n">
        <f aca="false">IF(L268&gt;0.5,L268*(1+I$23)+I$24,0)</f>
        <v>0</v>
      </c>
      <c r="J269" s="69" t="n">
        <f aca="false">MIN(J$23,I269)</f>
        <v>0</v>
      </c>
      <c r="K269" s="69" t="n">
        <f aca="false">IF(AND(J$24=1,OR(I$25="",$C269&gt;=I$25)),MAX(0,MIN(I269-J269,$D269-(G269))),0)</f>
        <v>0</v>
      </c>
      <c r="L269" s="69" t="n">
        <f aca="false">I269-J269-K269</f>
        <v>0</v>
      </c>
      <c r="M269" s="69" t="n">
        <f aca="false">IF(P268&gt;0.5,P268*(1+M$23)+M$24,0)</f>
        <v>0</v>
      </c>
      <c r="N269" s="69" t="n">
        <f aca="false">MIN(N$23,M269)</f>
        <v>0</v>
      </c>
      <c r="O269" s="69" t="n">
        <f aca="false">IF(AND(N$24=1,OR(M$25="",$C269&gt;=M$25)),MAX(0,MIN(M269-N269,$D269-(G269+K269))),0)</f>
        <v>0</v>
      </c>
      <c r="P269" s="69" t="n">
        <f aca="false">M269-N269-O269</f>
        <v>0</v>
      </c>
      <c r="Q269" s="69" t="n">
        <f aca="false">IF(T268&gt;0.5,T268*(1+Q$23)+Q$24,0)</f>
        <v>0</v>
      </c>
      <c r="R269" s="69" t="n">
        <f aca="false">MIN(R$23,Q269)</f>
        <v>0</v>
      </c>
      <c r="S269" s="69" t="n">
        <f aca="false">IF(AND(R$24=1,OR(Q$25="",$C269&gt;=Q$25)),MAX(0,MIN(Q269-R269,$D269-(G269+K269+O269))),0)</f>
        <v>0</v>
      </c>
      <c r="T269" s="69" t="n">
        <f aca="false">Q269-R269-S269</f>
        <v>0</v>
      </c>
      <c r="U269" s="69" t="n">
        <f aca="false">IF(X268&gt;0.5,X268*(1+U$23)+U$24,0)</f>
        <v>0</v>
      </c>
      <c r="V269" s="69" t="n">
        <f aca="false">MIN(V$23,U269)</f>
        <v>0</v>
      </c>
      <c r="W269" s="69" t="n">
        <f aca="false">IF(AND(V$24=1,OR(U$25="",$C269&gt;=U$25)),MAX(0,MIN(U269-V269,$D269-(G269+K269+O269+S269))),0)</f>
        <v>0</v>
      </c>
      <c r="X269" s="69" t="n">
        <f aca="false">U269-V269-W269</f>
        <v>0</v>
      </c>
      <c r="Y269" s="69" t="n">
        <f aca="false">IF(AB268&gt;0.5,AB268*(1+Y$23)+Y$24,0)</f>
        <v>0</v>
      </c>
      <c r="Z269" s="69" t="n">
        <f aca="false">MIN(Z$23,Y269)</f>
        <v>0</v>
      </c>
      <c r="AA269" s="69" t="n">
        <f aca="false">IF(AND(Z$24=1,OR(Y$25="",$C269&gt;=Y$25)),MAX(0,MIN(Y269-Z269,$D269-(G269+K269+O269+S269+W269))),0)</f>
        <v>0</v>
      </c>
      <c r="AB269" s="69" t="n">
        <f aca="false">Y269-Z269-AA269</f>
        <v>0</v>
      </c>
      <c r="AC269" s="69" t="n">
        <f aca="false">IF(AF268&gt;0.5,AF268*(1+AC$23)+AC$24,0)</f>
        <v>0</v>
      </c>
      <c r="AD269" s="69" t="n">
        <f aca="false">MIN(AD$23,AC269)</f>
        <v>0</v>
      </c>
      <c r="AE269" s="69" t="n">
        <f aca="false">IF(AND(AD$24=1,OR(AC$25="",$C269&gt;=AC$25)),MAX(0,MIN(AC269-AD269,$D269-(G269+K269+O269+S269+W269+AA269))),0)</f>
        <v>0</v>
      </c>
      <c r="AF269" s="69" t="n">
        <f aca="false">AC269-AD269-AE269</f>
        <v>0</v>
      </c>
      <c r="AG269" s="69" t="n">
        <f aca="false">IF(AJ268&gt;0.5,AJ268*(1+AG$23)+AG$24,0)</f>
        <v>0</v>
      </c>
      <c r="AH269" s="69" t="n">
        <f aca="false">MIN(AH$23,AG269)</f>
        <v>0</v>
      </c>
      <c r="AI269" s="69" t="n">
        <f aca="false">IF(AND(AH$24=1,OR(AG$25="",$C269&gt;=AG$25)),MAX(0,MIN(AG269-AH269,$D269-(G269+K269+O269+S269+W269+AA269+AE269))),0)</f>
        <v>0</v>
      </c>
      <c r="AJ269" s="69" t="n">
        <f aca="false">AG269-AH269-AI269</f>
        <v>0</v>
      </c>
      <c r="AK269" s="69" t="n">
        <f aca="false">IF(AK268&gt;0.5,AK268*(1+$E$12)+$G$12-MIN($F$12,AK268*(1+$E$12)+$G$12),0)</f>
        <v>0</v>
      </c>
      <c r="AL269" s="69" t="n">
        <f aca="false">IF(AL268&gt;0.5,AL268*(1+$E$13)+$G$13-MIN($F$13,AL268*(1+$E$13)+$G$13),0)</f>
        <v>0</v>
      </c>
      <c r="AM269" s="69" t="n">
        <f aca="false">IF(AM268&gt;0.5,AM268*(1+$E$14)+$G$14-MIN($F$14,AM268*(1+$E$14)+$G$14),0)</f>
        <v>0</v>
      </c>
      <c r="AN269" s="69" t="n">
        <f aca="false">IF(AN268&gt;0.5,AN268*(1+$E$15)+$G$15-MIN($F$15,AN268*(1+$E$15)+$G$15),0)</f>
        <v>0</v>
      </c>
      <c r="AO269" s="69" t="n">
        <f aca="false">IF(AO268&gt;0.5,AO268*(1+$E$16)+$G$16-MIN($F$16,AO268*(1+$E$16)+$G$16),0)</f>
        <v>0</v>
      </c>
      <c r="AP269" s="69" t="n">
        <f aca="false">IF(AP268&gt;0.5,AP268*(1+$E$17)+$G$17-MIN($F$17,AP268*(1+$E$17)+$G$17),0)</f>
        <v>0</v>
      </c>
      <c r="AQ269" s="69" t="n">
        <f aca="false">IF(AQ268&gt;0.5,AQ268*(1+$E$18)+$G$18-MIN($F$18,AQ268*(1+$E$18)+$G$18),0)</f>
        <v>0</v>
      </c>
      <c r="AR269" s="69" t="n">
        <f aca="false">IF(AR268&gt;0.5,AR268*(1+$E$19)+$G$19-MIN($F$19,AR268*(1+$E$19)+$G$19),0)</f>
        <v>0</v>
      </c>
      <c r="AS269" s="69" t="n">
        <f aca="false">H269+L269+P269+T269+X269+AB269+AF269+AJ269</f>
        <v>0</v>
      </c>
      <c r="AT269" s="69" t="n">
        <f aca="false">SUM(AK269:AR269)</f>
        <v>0</v>
      </c>
      <c r="AU269" s="69" t="n">
        <f aca="false">F269+G269+J269+K269+N269+O269+R269+S269+V269+W269+Z269+AA269+AD269+AE269+AH269+AI269</f>
        <v>0</v>
      </c>
    </row>
    <row r="270" customFormat="false" ht="15" hidden="false" customHeight="false" outlineLevel="0" collapsed="false">
      <c r="B270" s="0" t="n">
        <v>243</v>
      </c>
      <c r="C270" s="68" t="n">
        <f aca="false">EDATE($C$7,242)</f>
        <v>53662</v>
      </c>
      <c r="D270" s="69" t="n">
        <f aca="false">$C$8-(F270+J270+N270+R270+V270+Z270+AD270+AH270)</f>
        <v>0</v>
      </c>
      <c r="E270" s="69" t="n">
        <f aca="false">IF(H269&gt;0.5,H269*(1+E$23)+E$24,0)</f>
        <v>0</v>
      </c>
      <c r="F270" s="69" t="n">
        <f aca="false">MIN(F$23,E270)</f>
        <v>0</v>
      </c>
      <c r="G270" s="69" t="n">
        <f aca="false">IF(AND(F$24=1,OR(E$25="",$C270&gt;=E$25)),MAX(0,MIN(E270-F270,$D270-(0))),0)</f>
        <v>0</v>
      </c>
      <c r="H270" s="69" t="n">
        <f aca="false">E270-F270-G270</f>
        <v>0</v>
      </c>
      <c r="I270" s="69" t="n">
        <f aca="false">IF(L269&gt;0.5,L269*(1+I$23)+I$24,0)</f>
        <v>0</v>
      </c>
      <c r="J270" s="69" t="n">
        <f aca="false">MIN(J$23,I270)</f>
        <v>0</v>
      </c>
      <c r="K270" s="69" t="n">
        <f aca="false">IF(AND(J$24=1,OR(I$25="",$C270&gt;=I$25)),MAX(0,MIN(I270-J270,$D270-(G270))),0)</f>
        <v>0</v>
      </c>
      <c r="L270" s="69" t="n">
        <f aca="false">I270-J270-K270</f>
        <v>0</v>
      </c>
      <c r="M270" s="69" t="n">
        <f aca="false">IF(P269&gt;0.5,P269*(1+M$23)+M$24,0)</f>
        <v>0</v>
      </c>
      <c r="N270" s="69" t="n">
        <f aca="false">MIN(N$23,M270)</f>
        <v>0</v>
      </c>
      <c r="O270" s="69" t="n">
        <f aca="false">IF(AND(N$24=1,OR(M$25="",$C270&gt;=M$25)),MAX(0,MIN(M270-N270,$D270-(G270+K270))),0)</f>
        <v>0</v>
      </c>
      <c r="P270" s="69" t="n">
        <f aca="false">M270-N270-O270</f>
        <v>0</v>
      </c>
      <c r="Q270" s="69" t="n">
        <f aca="false">IF(T269&gt;0.5,T269*(1+Q$23)+Q$24,0)</f>
        <v>0</v>
      </c>
      <c r="R270" s="69" t="n">
        <f aca="false">MIN(R$23,Q270)</f>
        <v>0</v>
      </c>
      <c r="S270" s="69" t="n">
        <f aca="false">IF(AND(R$24=1,OR(Q$25="",$C270&gt;=Q$25)),MAX(0,MIN(Q270-R270,$D270-(G270+K270+O270))),0)</f>
        <v>0</v>
      </c>
      <c r="T270" s="69" t="n">
        <f aca="false">Q270-R270-S270</f>
        <v>0</v>
      </c>
      <c r="U270" s="69" t="n">
        <f aca="false">IF(X269&gt;0.5,X269*(1+U$23)+U$24,0)</f>
        <v>0</v>
      </c>
      <c r="V270" s="69" t="n">
        <f aca="false">MIN(V$23,U270)</f>
        <v>0</v>
      </c>
      <c r="W270" s="69" t="n">
        <f aca="false">IF(AND(V$24=1,OR(U$25="",$C270&gt;=U$25)),MAX(0,MIN(U270-V270,$D270-(G270+K270+O270+S270))),0)</f>
        <v>0</v>
      </c>
      <c r="X270" s="69" t="n">
        <f aca="false">U270-V270-W270</f>
        <v>0</v>
      </c>
      <c r="Y270" s="69" t="n">
        <f aca="false">IF(AB269&gt;0.5,AB269*(1+Y$23)+Y$24,0)</f>
        <v>0</v>
      </c>
      <c r="Z270" s="69" t="n">
        <f aca="false">MIN(Z$23,Y270)</f>
        <v>0</v>
      </c>
      <c r="AA270" s="69" t="n">
        <f aca="false">IF(AND(Z$24=1,OR(Y$25="",$C270&gt;=Y$25)),MAX(0,MIN(Y270-Z270,$D270-(G270+K270+O270+S270+W270))),0)</f>
        <v>0</v>
      </c>
      <c r="AB270" s="69" t="n">
        <f aca="false">Y270-Z270-AA270</f>
        <v>0</v>
      </c>
      <c r="AC270" s="69" t="n">
        <f aca="false">IF(AF269&gt;0.5,AF269*(1+AC$23)+AC$24,0)</f>
        <v>0</v>
      </c>
      <c r="AD270" s="69" t="n">
        <f aca="false">MIN(AD$23,AC270)</f>
        <v>0</v>
      </c>
      <c r="AE270" s="69" t="n">
        <f aca="false">IF(AND(AD$24=1,OR(AC$25="",$C270&gt;=AC$25)),MAX(0,MIN(AC270-AD270,$D270-(G270+K270+O270+S270+W270+AA270))),0)</f>
        <v>0</v>
      </c>
      <c r="AF270" s="69" t="n">
        <f aca="false">AC270-AD270-AE270</f>
        <v>0</v>
      </c>
      <c r="AG270" s="69" t="n">
        <f aca="false">IF(AJ269&gt;0.5,AJ269*(1+AG$23)+AG$24,0)</f>
        <v>0</v>
      </c>
      <c r="AH270" s="69" t="n">
        <f aca="false">MIN(AH$23,AG270)</f>
        <v>0</v>
      </c>
      <c r="AI270" s="69" t="n">
        <f aca="false">IF(AND(AH$24=1,OR(AG$25="",$C270&gt;=AG$25)),MAX(0,MIN(AG270-AH270,$D270-(G270+K270+O270+S270+W270+AA270+AE270))),0)</f>
        <v>0</v>
      </c>
      <c r="AJ270" s="69" t="n">
        <f aca="false">AG270-AH270-AI270</f>
        <v>0</v>
      </c>
      <c r="AK270" s="69" t="n">
        <f aca="false">IF(AK269&gt;0.5,AK269*(1+$E$12)+$G$12-MIN($F$12,AK269*(1+$E$12)+$G$12),0)</f>
        <v>0</v>
      </c>
      <c r="AL270" s="69" t="n">
        <f aca="false">IF(AL269&gt;0.5,AL269*(1+$E$13)+$G$13-MIN($F$13,AL269*(1+$E$13)+$G$13),0)</f>
        <v>0</v>
      </c>
      <c r="AM270" s="69" t="n">
        <f aca="false">IF(AM269&gt;0.5,AM269*(1+$E$14)+$G$14-MIN($F$14,AM269*(1+$E$14)+$G$14),0)</f>
        <v>0</v>
      </c>
      <c r="AN270" s="69" t="n">
        <f aca="false">IF(AN269&gt;0.5,AN269*(1+$E$15)+$G$15-MIN($F$15,AN269*(1+$E$15)+$G$15),0)</f>
        <v>0</v>
      </c>
      <c r="AO270" s="69" t="n">
        <f aca="false">IF(AO269&gt;0.5,AO269*(1+$E$16)+$G$16-MIN($F$16,AO269*(1+$E$16)+$G$16),0)</f>
        <v>0</v>
      </c>
      <c r="AP270" s="69" t="n">
        <f aca="false">IF(AP269&gt;0.5,AP269*(1+$E$17)+$G$17-MIN($F$17,AP269*(1+$E$17)+$G$17),0)</f>
        <v>0</v>
      </c>
      <c r="AQ270" s="69" t="n">
        <f aca="false">IF(AQ269&gt;0.5,AQ269*(1+$E$18)+$G$18-MIN($F$18,AQ269*(1+$E$18)+$G$18),0)</f>
        <v>0</v>
      </c>
      <c r="AR270" s="69" t="n">
        <f aca="false">IF(AR269&gt;0.5,AR269*(1+$E$19)+$G$19-MIN($F$19,AR269*(1+$E$19)+$G$19),0)</f>
        <v>0</v>
      </c>
      <c r="AS270" s="69" t="n">
        <f aca="false">H270+L270+P270+T270+X270+AB270+AF270+AJ270</f>
        <v>0</v>
      </c>
      <c r="AT270" s="69" t="n">
        <f aca="false">SUM(AK270:AR270)</f>
        <v>0</v>
      </c>
      <c r="AU270" s="69" t="n">
        <f aca="false">F270+G270+J270+K270+N270+O270+R270+S270+V270+W270+Z270+AA270+AD270+AE270+AH270+AI270</f>
        <v>0</v>
      </c>
    </row>
    <row r="271" customFormat="false" ht="15" hidden="false" customHeight="false" outlineLevel="0" collapsed="false">
      <c r="B271" s="0" t="n">
        <v>244</v>
      </c>
      <c r="C271" s="68" t="n">
        <f aca="false">EDATE($C$7,243)</f>
        <v>53693</v>
      </c>
      <c r="D271" s="69" t="n">
        <f aca="false">$C$8-(F271+J271+N271+R271+V271+Z271+AD271+AH271)</f>
        <v>0</v>
      </c>
      <c r="E271" s="69" t="n">
        <f aca="false">IF(H270&gt;0.5,H270*(1+E$23)+E$24,0)</f>
        <v>0</v>
      </c>
      <c r="F271" s="69" t="n">
        <f aca="false">MIN(F$23,E271)</f>
        <v>0</v>
      </c>
      <c r="G271" s="69" t="n">
        <f aca="false">IF(AND(F$24=1,OR(E$25="",$C271&gt;=E$25)),MAX(0,MIN(E271-F271,$D271-(0))),0)</f>
        <v>0</v>
      </c>
      <c r="H271" s="69" t="n">
        <f aca="false">E271-F271-G271</f>
        <v>0</v>
      </c>
      <c r="I271" s="69" t="n">
        <f aca="false">IF(L270&gt;0.5,L270*(1+I$23)+I$24,0)</f>
        <v>0</v>
      </c>
      <c r="J271" s="69" t="n">
        <f aca="false">MIN(J$23,I271)</f>
        <v>0</v>
      </c>
      <c r="K271" s="69" t="n">
        <f aca="false">IF(AND(J$24=1,OR(I$25="",$C271&gt;=I$25)),MAX(0,MIN(I271-J271,$D271-(G271))),0)</f>
        <v>0</v>
      </c>
      <c r="L271" s="69" t="n">
        <f aca="false">I271-J271-K271</f>
        <v>0</v>
      </c>
      <c r="M271" s="69" t="n">
        <f aca="false">IF(P270&gt;0.5,P270*(1+M$23)+M$24,0)</f>
        <v>0</v>
      </c>
      <c r="N271" s="69" t="n">
        <f aca="false">MIN(N$23,M271)</f>
        <v>0</v>
      </c>
      <c r="O271" s="69" t="n">
        <f aca="false">IF(AND(N$24=1,OR(M$25="",$C271&gt;=M$25)),MAX(0,MIN(M271-N271,$D271-(G271+K271))),0)</f>
        <v>0</v>
      </c>
      <c r="P271" s="69" t="n">
        <f aca="false">M271-N271-O271</f>
        <v>0</v>
      </c>
      <c r="Q271" s="69" t="n">
        <f aca="false">IF(T270&gt;0.5,T270*(1+Q$23)+Q$24,0)</f>
        <v>0</v>
      </c>
      <c r="R271" s="69" t="n">
        <f aca="false">MIN(R$23,Q271)</f>
        <v>0</v>
      </c>
      <c r="S271" s="69" t="n">
        <f aca="false">IF(AND(R$24=1,OR(Q$25="",$C271&gt;=Q$25)),MAX(0,MIN(Q271-R271,$D271-(G271+K271+O271))),0)</f>
        <v>0</v>
      </c>
      <c r="T271" s="69" t="n">
        <f aca="false">Q271-R271-S271</f>
        <v>0</v>
      </c>
      <c r="U271" s="69" t="n">
        <f aca="false">IF(X270&gt;0.5,X270*(1+U$23)+U$24,0)</f>
        <v>0</v>
      </c>
      <c r="V271" s="69" t="n">
        <f aca="false">MIN(V$23,U271)</f>
        <v>0</v>
      </c>
      <c r="W271" s="69" t="n">
        <f aca="false">IF(AND(V$24=1,OR(U$25="",$C271&gt;=U$25)),MAX(0,MIN(U271-V271,$D271-(G271+K271+O271+S271))),0)</f>
        <v>0</v>
      </c>
      <c r="X271" s="69" t="n">
        <f aca="false">U271-V271-W271</f>
        <v>0</v>
      </c>
      <c r="Y271" s="69" t="n">
        <f aca="false">IF(AB270&gt;0.5,AB270*(1+Y$23)+Y$24,0)</f>
        <v>0</v>
      </c>
      <c r="Z271" s="69" t="n">
        <f aca="false">MIN(Z$23,Y271)</f>
        <v>0</v>
      </c>
      <c r="AA271" s="69" t="n">
        <f aca="false">IF(AND(Z$24=1,OR(Y$25="",$C271&gt;=Y$25)),MAX(0,MIN(Y271-Z271,$D271-(G271+K271+O271+S271+W271))),0)</f>
        <v>0</v>
      </c>
      <c r="AB271" s="69" t="n">
        <f aca="false">Y271-Z271-AA271</f>
        <v>0</v>
      </c>
      <c r="AC271" s="69" t="n">
        <f aca="false">IF(AF270&gt;0.5,AF270*(1+AC$23)+AC$24,0)</f>
        <v>0</v>
      </c>
      <c r="AD271" s="69" t="n">
        <f aca="false">MIN(AD$23,AC271)</f>
        <v>0</v>
      </c>
      <c r="AE271" s="69" t="n">
        <f aca="false">IF(AND(AD$24=1,OR(AC$25="",$C271&gt;=AC$25)),MAX(0,MIN(AC271-AD271,$D271-(G271+K271+O271+S271+W271+AA271))),0)</f>
        <v>0</v>
      </c>
      <c r="AF271" s="69" t="n">
        <f aca="false">AC271-AD271-AE271</f>
        <v>0</v>
      </c>
      <c r="AG271" s="69" t="n">
        <f aca="false">IF(AJ270&gt;0.5,AJ270*(1+AG$23)+AG$24,0)</f>
        <v>0</v>
      </c>
      <c r="AH271" s="69" t="n">
        <f aca="false">MIN(AH$23,AG271)</f>
        <v>0</v>
      </c>
      <c r="AI271" s="69" t="n">
        <f aca="false">IF(AND(AH$24=1,OR(AG$25="",$C271&gt;=AG$25)),MAX(0,MIN(AG271-AH271,$D271-(G271+K271+O271+S271+W271+AA271+AE271))),0)</f>
        <v>0</v>
      </c>
      <c r="AJ271" s="69" t="n">
        <f aca="false">AG271-AH271-AI271</f>
        <v>0</v>
      </c>
      <c r="AK271" s="69" t="n">
        <f aca="false">IF(AK270&gt;0.5,AK270*(1+$E$12)+$G$12-MIN($F$12,AK270*(1+$E$12)+$G$12),0)</f>
        <v>0</v>
      </c>
      <c r="AL271" s="69" t="n">
        <f aca="false">IF(AL270&gt;0.5,AL270*(1+$E$13)+$G$13-MIN($F$13,AL270*(1+$E$13)+$G$13),0)</f>
        <v>0</v>
      </c>
      <c r="AM271" s="69" t="n">
        <f aca="false">IF(AM270&gt;0.5,AM270*(1+$E$14)+$G$14-MIN($F$14,AM270*(1+$E$14)+$G$14),0)</f>
        <v>0</v>
      </c>
      <c r="AN271" s="69" t="n">
        <f aca="false">IF(AN270&gt;0.5,AN270*(1+$E$15)+$G$15-MIN($F$15,AN270*(1+$E$15)+$G$15),0)</f>
        <v>0</v>
      </c>
      <c r="AO271" s="69" t="n">
        <f aca="false">IF(AO270&gt;0.5,AO270*(1+$E$16)+$G$16-MIN($F$16,AO270*(1+$E$16)+$G$16),0)</f>
        <v>0</v>
      </c>
      <c r="AP271" s="69" t="n">
        <f aca="false">IF(AP270&gt;0.5,AP270*(1+$E$17)+$G$17-MIN($F$17,AP270*(1+$E$17)+$G$17),0)</f>
        <v>0</v>
      </c>
      <c r="AQ271" s="69" t="n">
        <f aca="false">IF(AQ270&gt;0.5,AQ270*(1+$E$18)+$G$18-MIN($F$18,AQ270*(1+$E$18)+$G$18),0)</f>
        <v>0</v>
      </c>
      <c r="AR271" s="69" t="n">
        <f aca="false">IF(AR270&gt;0.5,AR270*(1+$E$19)+$G$19-MIN($F$19,AR270*(1+$E$19)+$G$19),0)</f>
        <v>0</v>
      </c>
      <c r="AS271" s="69" t="n">
        <f aca="false">H271+L271+P271+T271+X271+AB271+AF271+AJ271</f>
        <v>0</v>
      </c>
      <c r="AT271" s="69" t="n">
        <f aca="false">SUM(AK271:AR271)</f>
        <v>0</v>
      </c>
      <c r="AU271" s="69" t="n">
        <f aca="false">F271+G271+J271+K271+N271+O271+R271+S271+V271+W271+Z271+AA271+AD271+AE271+AH271+AI271</f>
        <v>0</v>
      </c>
    </row>
    <row r="272" customFormat="false" ht="15" hidden="false" customHeight="false" outlineLevel="0" collapsed="false">
      <c r="B272" s="0" t="n">
        <v>245</v>
      </c>
      <c r="C272" s="68" t="n">
        <f aca="false">EDATE($C$7,244)</f>
        <v>53724</v>
      </c>
      <c r="D272" s="69" t="n">
        <f aca="false">$C$8-(F272+J272+N272+R272+V272+Z272+AD272+AH272)</f>
        <v>0</v>
      </c>
      <c r="E272" s="69" t="n">
        <f aca="false">IF(H271&gt;0.5,H271*(1+E$23)+E$24,0)</f>
        <v>0</v>
      </c>
      <c r="F272" s="69" t="n">
        <f aca="false">MIN(F$23,E272)</f>
        <v>0</v>
      </c>
      <c r="G272" s="69" t="n">
        <f aca="false">IF(AND(F$24=1,OR(E$25="",$C272&gt;=E$25)),MAX(0,MIN(E272-F272,$D272-(0))),0)</f>
        <v>0</v>
      </c>
      <c r="H272" s="69" t="n">
        <f aca="false">E272-F272-G272</f>
        <v>0</v>
      </c>
      <c r="I272" s="69" t="n">
        <f aca="false">IF(L271&gt;0.5,L271*(1+I$23)+I$24,0)</f>
        <v>0</v>
      </c>
      <c r="J272" s="69" t="n">
        <f aca="false">MIN(J$23,I272)</f>
        <v>0</v>
      </c>
      <c r="K272" s="69" t="n">
        <f aca="false">IF(AND(J$24=1,OR(I$25="",$C272&gt;=I$25)),MAX(0,MIN(I272-J272,$D272-(G272))),0)</f>
        <v>0</v>
      </c>
      <c r="L272" s="69" t="n">
        <f aca="false">I272-J272-K272</f>
        <v>0</v>
      </c>
      <c r="M272" s="69" t="n">
        <f aca="false">IF(P271&gt;0.5,P271*(1+M$23)+M$24,0)</f>
        <v>0</v>
      </c>
      <c r="N272" s="69" t="n">
        <f aca="false">MIN(N$23,M272)</f>
        <v>0</v>
      </c>
      <c r="O272" s="69" t="n">
        <f aca="false">IF(AND(N$24=1,OR(M$25="",$C272&gt;=M$25)),MAX(0,MIN(M272-N272,$D272-(G272+K272))),0)</f>
        <v>0</v>
      </c>
      <c r="P272" s="69" t="n">
        <f aca="false">M272-N272-O272</f>
        <v>0</v>
      </c>
      <c r="Q272" s="69" t="n">
        <f aca="false">IF(T271&gt;0.5,T271*(1+Q$23)+Q$24,0)</f>
        <v>0</v>
      </c>
      <c r="R272" s="69" t="n">
        <f aca="false">MIN(R$23,Q272)</f>
        <v>0</v>
      </c>
      <c r="S272" s="69" t="n">
        <f aca="false">IF(AND(R$24=1,OR(Q$25="",$C272&gt;=Q$25)),MAX(0,MIN(Q272-R272,$D272-(G272+K272+O272))),0)</f>
        <v>0</v>
      </c>
      <c r="T272" s="69" t="n">
        <f aca="false">Q272-R272-S272</f>
        <v>0</v>
      </c>
      <c r="U272" s="69" t="n">
        <f aca="false">IF(X271&gt;0.5,X271*(1+U$23)+U$24,0)</f>
        <v>0</v>
      </c>
      <c r="V272" s="69" t="n">
        <f aca="false">MIN(V$23,U272)</f>
        <v>0</v>
      </c>
      <c r="W272" s="69" t="n">
        <f aca="false">IF(AND(V$24=1,OR(U$25="",$C272&gt;=U$25)),MAX(0,MIN(U272-V272,$D272-(G272+K272+O272+S272))),0)</f>
        <v>0</v>
      </c>
      <c r="X272" s="69" t="n">
        <f aca="false">U272-V272-W272</f>
        <v>0</v>
      </c>
      <c r="Y272" s="69" t="n">
        <f aca="false">IF(AB271&gt;0.5,AB271*(1+Y$23)+Y$24,0)</f>
        <v>0</v>
      </c>
      <c r="Z272" s="69" t="n">
        <f aca="false">MIN(Z$23,Y272)</f>
        <v>0</v>
      </c>
      <c r="AA272" s="69" t="n">
        <f aca="false">IF(AND(Z$24=1,OR(Y$25="",$C272&gt;=Y$25)),MAX(0,MIN(Y272-Z272,$D272-(G272+K272+O272+S272+W272))),0)</f>
        <v>0</v>
      </c>
      <c r="AB272" s="69" t="n">
        <f aca="false">Y272-Z272-AA272</f>
        <v>0</v>
      </c>
      <c r="AC272" s="69" t="n">
        <f aca="false">IF(AF271&gt;0.5,AF271*(1+AC$23)+AC$24,0)</f>
        <v>0</v>
      </c>
      <c r="AD272" s="69" t="n">
        <f aca="false">MIN(AD$23,AC272)</f>
        <v>0</v>
      </c>
      <c r="AE272" s="69" t="n">
        <f aca="false">IF(AND(AD$24=1,OR(AC$25="",$C272&gt;=AC$25)),MAX(0,MIN(AC272-AD272,$D272-(G272+K272+O272+S272+W272+AA272))),0)</f>
        <v>0</v>
      </c>
      <c r="AF272" s="69" t="n">
        <f aca="false">AC272-AD272-AE272</f>
        <v>0</v>
      </c>
      <c r="AG272" s="69" t="n">
        <f aca="false">IF(AJ271&gt;0.5,AJ271*(1+AG$23)+AG$24,0)</f>
        <v>0</v>
      </c>
      <c r="AH272" s="69" t="n">
        <f aca="false">MIN(AH$23,AG272)</f>
        <v>0</v>
      </c>
      <c r="AI272" s="69" t="n">
        <f aca="false">IF(AND(AH$24=1,OR(AG$25="",$C272&gt;=AG$25)),MAX(0,MIN(AG272-AH272,$D272-(G272+K272+O272+S272+W272+AA272+AE272))),0)</f>
        <v>0</v>
      </c>
      <c r="AJ272" s="69" t="n">
        <f aca="false">AG272-AH272-AI272</f>
        <v>0</v>
      </c>
      <c r="AK272" s="69" t="n">
        <f aca="false">IF(AK271&gt;0.5,AK271*(1+$E$12)+$G$12-MIN($F$12,AK271*(1+$E$12)+$G$12),0)</f>
        <v>0</v>
      </c>
      <c r="AL272" s="69" t="n">
        <f aca="false">IF(AL271&gt;0.5,AL271*(1+$E$13)+$G$13-MIN($F$13,AL271*(1+$E$13)+$G$13),0)</f>
        <v>0</v>
      </c>
      <c r="AM272" s="69" t="n">
        <f aca="false">IF(AM271&gt;0.5,AM271*(1+$E$14)+$G$14-MIN($F$14,AM271*(1+$E$14)+$G$14),0)</f>
        <v>0</v>
      </c>
      <c r="AN272" s="69" t="n">
        <f aca="false">IF(AN271&gt;0.5,AN271*(1+$E$15)+$G$15-MIN($F$15,AN271*(1+$E$15)+$G$15),0)</f>
        <v>0</v>
      </c>
      <c r="AO272" s="69" t="n">
        <f aca="false">IF(AO271&gt;0.5,AO271*(1+$E$16)+$G$16-MIN($F$16,AO271*(1+$E$16)+$G$16),0)</f>
        <v>0</v>
      </c>
      <c r="AP272" s="69" t="n">
        <f aca="false">IF(AP271&gt;0.5,AP271*(1+$E$17)+$G$17-MIN($F$17,AP271*(1+$E$17)+$G$17),0)</f>
        <v>0</v>
      </c>
      <c r="AQ272" s="69" t="n">
        <f aca="false">IF(AQ271&gt;0.5,AQ271*(1+$E$18)+$G$18-MIN($F$18,AQ271*(1+$E$18)+$G$18),0)</f>
        <v>0</v>
      </c>
      <c r="AR272" s="69" t="n">
        <f aca="false">IF(AR271&gt;0.5,AR271*(1+$E$19)+$G$19-MIN($F$19,AR271*(1+$E$19)+$G$19),0)</f>
        <v>0</v>
      </c>
      <c r="AS272" s="69" t="n">
        <f aca="false">H272+L272+P272+T272+X272+AB272+AF272+AJ272</f>
        <v>0</v>
      </c>
      <c r="AT272" s="69" t="n">
        <f aca="false">SUM(AK272:AR272)</f>
        <v>0</v>
      </c>
      <c r="AU272" s="69" t="n">
        <f aca="false">F272+G272+J272+K272+N272+O272+R272+S272+V272+W272+Z272+AA272+AD272+AE272+AH272+AI272</f>
        <v>0</v>
      </c>
    </row>
    <row r="273" customFormat="false" ht="15" hidden="false" customHeight="false" outlineLevel="0" collapsed="false">
      <c r="B273" s="0" t="n">
        <v>246</v>
      </c>
      <c r="C273" s="68" t="n">
        <f aca="false">EDATE($C$7,245)</f>
        <v>53752</v>
      </c>
      <c r="D273" s="69" t="n">
        <f aca="false">$C$8-(F273+J273+N273+R273+V273+Z273+AD273+AH273)</f>
        <v>0</v>
      </c>
      <c r="E273" s="69" t="n">
        <f aca="false">IF(H272&gt;0.5,H272*(1+E$23)+E$24,0)</f>
        <v>0</v>
      </c>
      <c r="F273" s="69" t="n">
        <f aca="false">MIN(F$23,E273)</f>
        <v>0</v>
      </c>
      <c r="G273" s="69" t="n">
        <f aca="false">IF(AND(F$24=1,OR(E$25="",$C273&gt;=E$25)),MAX(0,MIN(E273-F273,$D273-(0))),0)</f>
        <v>0</v>
      </c>
      <c r="H273" s="69" t="n">
        <f aca="false">E273-F273-G273</f>
        <v>0</v>
      </c>
      <c r="I273" s="69" t="n">
        <f aca="false">IF(L272&gt;0.5,L272*(1+I$23)+I$24,0)</f>
        <v>0</v>
      </c>
      <c r="J273" s="69" t="n">
        <f aca="false">MIN(J$23,I273)</f>
        <v>0</v>
      </c>
      <c r="K273" s="69" t="n">
        <f aca="false">IF(AND(J$24=1,OR(I$25="",$C273&gt;=I$25)),MAX(0,MIN(I273-J273,$D273-(G273))),0)</f>
        <v>0</v>
      </c>
      <c r="L273" s="69" t="n">
        <f aca="false">I273-J273-K273</f>
        <v>0</v>
      </c>
      <c r="M273" s="69" t="n">
        <f aca="false">IF(P272&gt;0.5,P272*(1+M$23)+M$24,0)</f>
        <v>0</v>
      </c>
      <c r="N273" s="69" t="n">
        <f aca="false">MIN(N$23,M273)</f>
        <v>0</v>
      </c>
      <c r="O273" s="69" t="n">
        <f aca="false">IF(AND(N$24=1,OR(M$25="",$C273&gt;=M$25)),MAX(0,MIN(M273-N273,$D273-(G273+K273))),0)</f>
        <v>0</v>
      </c>
      <c r="P273" s="69" t="n">
        <f aca="false">M273-N273-O273</f>
        <v>0</v>
      </c>
      <c r="Q273" s="69" t="n">
        <f aca="false">IF(T272&gt;0.5,T272*(1+Q$23)+Q$24,0)</f>
        <v>0</v>
      </c>
      <c r="R273" s="69" t="n">
        <f aca="false">MIN(R$23,Q273)</f>
        <v>0</v>
      </c>
      <c r="S273" s="69" t="n">
        <f aca="false">IF(AND(R$24=1,OR(Q$25="",$C273&gt;=Q$25)),MAX(0,MIN(Q273-R273,$D273-(G273+K273+O273))),0)</f>
        <v>0</v>
      </c>
      <c r="T273" s="69" t="n">
        <f aca="false">Q273-R273-S273</f>
        <v>0</v>
      </c>
      <c r="U273" s="69" t="n">
        <f aca="false">IF(X272&gt;0.5,X272*(1+U$23)+U$24,0)</f>
        <v>0</v>
      </c>
      <c r="V273" s="69" t="n">
        <f aca="false">MIN(V$23,U273)</f>
        <v>0</v>
      </c>
      <c r="W273" s="69" t="n">
        <f aca="false">IF(AND(V$24=1,OR(U$25="",$C273&gt;=U$25)),MAX(0,MIN(U273-V273,$D273-(G273+K273+O273+S273))),0)</f>
        <v>0</v>
      </c>
      <c r="X273" s="69" t="n">
        <f aca="false">U273-V273-W273</f>
        <v>0</v>
      </c>
      <c r="Y273" s="69" t="n">
        <f aca="false">IF(AB272&gt;0.5,AB272*(1+Y$23)+Y$24,0)</f>
        <v>0</v>
      </c>
      <c r="Z273" s="69" t="n">
        <f aca="false">MIN(Z$23,Y273)</f>
        <v>0</v>
      </c>
      <c r="AA273" s="69" t="n">
        <f aca="false">IF(AND(Z$24=1,OR(Y$25="",$C273&gt;=Y$25)),MAX(0,MIN(Y273-Z273,$D273-(G273+K273+O273+S273+W273))),0)</f>
        <v>0</v>
      </c>
      <c r="AB273" s="69" t="n">
        <f aca="false">Y273-Z273-AA273</f>
        <v>0</v>
      </c>
      <c r="AC273" s="69" t="n">
        <f aca="false">IF(AF272&gt;0.5,AF272*(1+AC$23)+AC$24,0)</f>
        <v>0</v>
      </c>
      <c r="AD273" s="69" t="n">
        <f aca="false">MIN(AD$23,AC273)</f>
        <v>0</v>
      </c>
      <c r="AE273" s="69" t="n">
        <f aca="false">IF(AND(AD$24=1,OR(AC$25="",$C273&gt;=AC$25)),MAX(0,MIN(AC273-AD273,$D273-(G273+K273+O273+S273+W273+AA273))),0)</f>
        <v>0</v>
      </c>
      <c r="AF273" s="69" t="n">
        <f aca="false">AC273-AD273-AE273</f>
        <v>0</v>
      </c>
      <c r="AG273" s="69" t="n">
        <f aca="false">IF(AJ272&gt;0.5,AJ272*(1+AG$23)+AG$24,0)</f>
        <v>0</v>
      </c>
      <c r="AH273" s="69" t="n">
        <f aca="false">MIN(AH$23,AG273)</f>
        <v>0</v>
      </c>
      <c r="AI273" s="69" t="n">
        <f aca="false">IF(AND(AH$24=1,OR(AG$25="",$C273&gt;=AG$25)),MAX(0,MIN(AG273-AH273,$D273-(G273+K273+O273+S273+W273+AA273+AE273))),0)</f>
        <v>0</v>
      </c>
      <c r="AJ273" s="69" t="n">
        <f aca="false">AG273-AH273-AI273</f>
        <v>0</v>
      </c>
      <c r="AK273" s="69" t="n">
        <f aca="false">IF(AK272&gt;0.5,AK272*(1+$E$12)+$G$12-MIN($F$12,AK272*(1+$E$12)+$G$12),0)</f>
        <v>0</v>
      </c>
      <c r="AL273" s="69" t="n">
        <f aca="false">IF(AL272&gt;0.5,AL272*(1+$E$13)+$G$13-MIN($F$13,AL272*(1+$E$13)+$G$13),0)</f>
        <v>0</v>
      </c>
      <c r="AM273" s="69" t="n">
        <f aca="false">IF(AM272&gt;0.5,AM272*(1+$E$14)+$G$14-MIN($F$14,AM272*(1+$E$14)+$G$14),0)</f>
        <v>0</v>
      </c>
      <c r="AN273" s="69" t="n">
        <f aca="false">IF(AN272&gt;0.5,AN272*(1+$E$15)+$G$15-MIN($F$15,AN272*(1+$E$15)+$G$15),0)</f>
        <v>0</v>
      </c>
      <c r="AO273" s="69" t="n">
        <f aca="false">IF(AO272&gt;0.5,AO272*(1+$E$16)+$G$16-MIN($F$16,AO272*(1+$E$16)+$G$16),0)</f>
        <v>0</v>
      </c>
      <c r="AP273" s="69" t="n">
        <f aca="false">IF(AP272&gt;0.5,AP272*(1+$E$17)+$G$17-MIN($F$17,AP272*(1+$E$17)+$G$17),0)</f>
        <v>0</v>
      </c>
      <c r="AQ273" s="69" t="n">
        <f aca="false">IF(AQ272&gt;0.5,AQ272*(1+$E$18)+$G$18-MIN($F$18,AQ272*(1+$E$18)+$G$18),0)</f>
        <v>0</v>
      </c>
      <c r="AR273" s="69" t="n">
        <f aca="false">IF(AR272&gt;0.5,AR272*(1+$E$19)+$G$19-MIN($F$19,AR272*(1+$E$19)+$G$19),0)</f>
        <v>0</v>
      </c>
      <c r="AS273" s="69" t="n">
        <f aca="false">H273+L273+P273+T273+X273+AB273+AF273+AJ273</f>
        <v>0</v>
      </c>
      <c r="AT273" s="69" t="n">
        <f aca="false">SUM(AK273:AR273)</f>
        <v>0</v>
      </c>
      <c r="AU273" s="69" t="n">
        <f aca="false">F273+G273+J273+K273+N273+O273+R273+S273+V273+W273+Z273+AA273+AD273+AE273+AH273+AI273</f>
        <v>0</v>
      </c>
    </row>
    <row r="274" customFormat="false" ht="15" hidden="false" customHeight="false" outlineLevel="0" collapsed="false">
      <c r="B274" s="0" t="n">
        <v>247</v>
      </c>
      <c r="C274" s="68" t="n">
        <f aca="false">EDATE($C$7,246)</f>
        <v>53783</v>
      </c>
      <c r="D274" s="69" t="n">
        <f aca="false">$C$8-(F274+J274+N274+R274+V274+Z274+AD274+AH274)</f>
        <v>0</v>
      </c>
      <c r="E274" s="69" t="n">
        <f aca="false">IF(H273&gt;0.5,H273*(1+E$23)+E$24,0)</f>
        <v>0</v>
      </c>
      <c r="F274" s="69" t="n">
        <f aca="false">MIN(F$23,E274)</f>
        <v>0</v>
      </c>
      <c r="G274" s="69" t="n">
        <f aca="false">IF(AND(F$24=1,OR(E$25="",$C274&gt;=E$25)),MAX(0,MIN(E274-F274,$D274-(0))),0)</f>
        <v>0</v>
      </c>
      <c r="H274" s="69" t="n">
        <f aca="false">E274-F274-G274</f>
        <v>0</v>
      </c>
      <c r="I274" s="69" t="n">
        <f aca="false">IF(L273&gt;0.5,L273*(1+I$23)+I$24,0)</f>
        <v>0</v>
      </c>
      <c r="J274" s="69" t="n">
        <f aca="false">MIN(J$23,I274)</f>
        <v>0</v>
      </c>
      <c r="K274" s="69" t="n">
        <f aca="false">IF(AND(J$24=1,OR(I$25="",$C274&gt;=I$25)),MAX(0,MIN(I274-J274,$D274-(G274))),0)</f>
        <v>0</v>
      </c>
      <c r="L274" s="69" t="n">
        <f aca="false">I274-J274-K274</f>
        <v>0</v>
      </c>
      <c r="M274" s="69" t="n">
        <f aca="false">IF(P273&gt;0.5,P273*(1+M$23)+M$24,0)</f>
        <v>0</v>
      </c>
      <c r="N274" s="69" t="n">
        <f aca="false">MIN(N$23,M274)</f>
        <v>0</v>
      </c>
      <c r="O274" s="69" t="n">
        <f aca="false">IF(AND(N$24=1,OR(M$25="",$C274&gt;=M$25)),MAX(0,MIN(M274-N274,$D274-(G274+K274))),0)</f>
        <v>0</v>
      </c>
      <c r="P274" s="69" t="n">
        <f aca="false">M274-N274-O274</f>
        <v>0</v>
      </c>
      <c r="Q274" s="69" t="n">
        <f aca="false">IF(T273&gt;0.5,T273*(1+Q$23)+Q$24,0)</f>
        <v>0</v>
      </c>
      <c r="R274" s="69" t="n">
        <f aca="false">MIN(R$23,Q274)</f>
        <v>0</v>
      </c>
      <c r="S274" s="69" t="n">
        <f aca="false">IF(AND(R$24=1,OR(Q$25="",$C274&gt;=Q$25)),MAX(0,MIN(Q274-R274,$D274-(G274+K274+O274))),0)</f>
        <v>0</v>
      </c>
      <c r="T274" s="69" t="n">
        <f aca="false">Q274-R274-S274</f>
        <v>0</v>
      </c>
      <c r="U274" s="69" t="n">
        <f aca="false">IF(X273&gt;0.5,X273*(1+U$23)+U$24,0)</f>
        <v>0</v>
      </c>
      <c r="V274" s="69" t="n">
        <f aca="false">MIN(V$23,U274)</f>
        <v>0</v>
      </c>
      <c r="W274" s="69" t="n">
        <f aca="false">IF(AND(V$24=1,OR(U$25="",$C274&gt;=U$25)),MAX(0,MIN(U274-V274,$D274-(G274+K274+O274+S274))),0)</f>
        <v>0</v>
      </c>
      <c r="X274" s="69" t="n">
        <f aca="false">U274-V274-W274</f>
        <v>0</v>
      </c>
      <c r="Y274" s="69" t="n">
        <f aca="false">IF(AB273&gt;0.5,AB273*(1+Y$23)+Y$24,0)</f>
        <v>0</v>
      </c>
      <c r="Z274" s="69" t="n">
        <f aca="false">MIN(Z$23,Y274)</f>
        <v>0</v>
      </c>
      <c r="AA274" s="69" t="n">
        <f aca="false">IF(AND(Z$24=1,OR(Y$25="",$C274&gt;=Y$25)),MAX(0,MIN(Y274-Z274,$D274-(G274+K274+O274+S274+W274))),0)</f>
        <v>0</v>
      </c>
      <c r="AB274" s="69" t="n">
        <f aca="false">Y274-Z274-AA274</f>
        <v>0</v>
      </c>
      <c r="AC274" s="69" t="n">
        <f aca="false">IF(AF273&gt;0.5,AF273*(1+AC$23)+AC$24,0)</f>
        <v>0</v>
      </c>
      <c r="AD274" s="69" t="n">
        <f aca="false">MIN(AD$23,AC274)</f>
        <v>0</v>
      </c>
      <c r="AE274" s="69" t="n">
        <f aca="false">IF(AND(AD$24=1,OR(AC$25="",$C274&gt;=AC$25)),MAX(0,MIN(AC274-AD274,$D274-(G274+K274+O274+S274+W274+AA274))),0)</f>
        <v>0</v>
      </c>
      <c r="AF274" s="69" t="n">
        <f aca="false">AC274-AD274-AE274</f>
        <v>0</v>
      </c>
      <c r="AG274" s="69" t="n">
        <f aca="false">IF(AJ273&gt;0.5,AJ273*(1+AG$23)+AG$24,0)</f>
        <v>0</v>
      </c>
      <c r="AH274" s="69" t="n">
        <f aca="false">MIN(AH$23,AG274)</f>
        <v>0</v>
      </c>
      <c r="AI274" s="69" t="n">
        <f aca="false">IF(AND(AH$24=1,OR(AG$25="",$C274&gt;=AG$25)),MAX(0,MIN(AG274-AH274,$D274-(G274+K274+O274+S274+W274+AA274+AE274))),0)</f>
        <v>0</v>
      </c>
      <c r="AJ274" s="69" t="n">
        <f aca="false">AG274-AH274-AI274</f>
        <v>0</v>
      </c>
      <c r="AK274" s="69" t="n">
        <f aca="false">IF(AK273&gt;0.5,AK273*(1+$E$12)+$G$12-MIN($F$12,AK273*(1+$E$12)+$G$12),0)</f>
        <v>0</v>
      </c>
      <c r="AL274" s="69" t="n">
        <f aca="false">IF(AL273&gt;0.5,AL273*(1+$E$13)+$G$13-MIN($F$13,AL273*(1+$E$13)+$G$13),0)</f>
        <v>0</v>
      </c>
      <c r="AM274" s="69" t="n">
        <f aca="false">IF(AM273&gt;0.5,AM273*(1+$E$14)+$G$14-MIN($F$14,AM273*(1+$E$14)+$G$14),0)</f>
        <v>0</v>
      </c>
      <c r="AN274" s="69" t="n">
        <f aca="false">IF(AN273&gt;0.5,AN273*(1+$E$15)+$G$15-MIN($F$15,AN273*(1+$E$15)+$G$15),0)</f>
        <v>0</v>
      </c>
      <c r="AO274" s="69" t="n">
        <f aca="false">IF(AO273&gt;0.5,AO273*(1+$E$16)+$G$16-MIN($F$16,AO273*(1+$E$16)+$G$16),0)</f>
        <v>0</v>
      </c>
      <c r="AP274" s="69" t="n">
        <f aca="false">IF(AP273&gt;0.5,AP273*(1+$E$17)+$G$17-MIN($F$17,AP273*(1+$E$17)+$G$17),0)</f>
        <v>0</v>
      </c>
      <c r="AQ274" s="69" t="n">
        <f aca="false">IF(AQ273&gt;0.5,AQ273*(1+$E$18)+$G$18-MIN($F$18,AQ273*(1+$E$18)+$G$18),0)</f>
        <v>0</v>
      </c>
      <c r="AR274" s="69" t="n">
        <f aca="false">IF(AR273&gt;0.5,AR273*(1+$E$19)+$G$19-MIN($F$19,AR273*(1+$E$19)+$G$19),0)</f>
        <v>0</v>
      </c>
      <c r="AS274" s="69" t="n">
        <f aca="false">H274+L274+P274+T274+X274+AB274+AF274+AJ274</f>
        <v>0</v>
      </c>
      <c r="AT274" s="69" t="n">
        <f aca="false">SUM(AK274:AR274)</f>
        <v>0</v>
      </c>
      <c r="AU274" s="69" t="n">
        <f aca="false">F274+G274+J274+K274+N274+O274+R274+S274+V274+W274+Z274+AA274+AD274+AE274+AH274+AI274</f>
        <v>0</v>
      </c>
    </row>
    <row r="275" customFormat="false" ht="15" hidden="false" customHeight="false" outlineLevel="0" collapsed="false">
      <c r="B275" s="0" t="n">
        <v>248</v>
      </c>
      <c r="C275" s="68" t="n">
        <f aca="false">EDATE($C$7,247)</f>
        <v>53813</v>
      </c>
      <c r="D275" s="69" t="n">
        <f aca="false">$C$8-(F275+J275+N275+R275+V275+Z275+AD275+AH275)</f>
        <v>0</v>
      </c>
      <c r="E275" s="69" t="n">
        <f aca="false">IF(H274&gt;0.5,H274*(1+E$23)+E$24,0)</f>
        <v>0</v>
      </c>
      <c r="F275" s="69" t="n">
        <f aca="false">MIN(F$23,E275)</f>
        <v>0</v>
      </c>
      <c r="G275" s="69" t="n">
        <f aca="false">IF(AND(F$24=1,OR(E$25="",$C275&gt;=E$25)),MAX(0,MIN(E275-F275,$D275-(0))),0)</f>
        <v>0</v>
      </c>
      <c r="H275" s="69" t="n">
        <f aca="false">E275-F275-G275</f>
        <v>0</v>
      </c>
      <c r="I275" s="69" t="n">
        <f aca="false">IF(L274&gt;0.5,L274*(1+I$23)+I$24,0)</f>
        <v>0</v>
      </c>
      <c r="J275" s="69" t="n">
        <f aca="false">MIN(J$23,I275)</f>
        <v>0</v>
      </c>
      <c r="K275" s="69" t="n">
        <f aca="false">IF(AND(J$24=1,OR(I$25="",$C275&gt;=I$25)),MAX(0,MIN(I275-J275,$D275-(G275))),0)</f>
        <v>0</v>
      </c>
      <c r="L275" s="69" t="n">
        <f aca="false">I275-J275-K275</f>
        <v>0</v>
      </c>
      <c r="M275" s="69" t="n">
        <f aca="false">IF(P274&gt;0.5,P274*(1+M$23)+M$24,0)</f>
        <v>0</v>
      </c>
      <c r="N275" s="69" t="n">
        <f aca="false">MIN(N$23,M275)</f>
        <v>0</v>
      </c>
      <c r="O275" s="69" t="n">
        <f aca="false">IF(AND(N$24=1,OR(M$25="",$C275&gt;=M$25)),MAX(0,MIN(M275-N275,$D275-(G275+K275))),0)</f>
        <v>0</v>
      </c>
      <c r="P275" s="69" t="n">
        <f aca="false">M275-N275-O275</f>
        <v>0</v>
      </c>
      <c r="Q275" s="69" t="n">
        <f aca="false">IF(T274&gt;0.5,T274*(1+Q$23)+Q$24,0)</f>
        <v>0</v>
      </c>
      <c r="R275" s="69" t="n">
        <f aca="false">MIN(R$23,Q275)</f>
        <v>0</v>
      </c>
      <c r="S275" s="69" t="n">
        <f aca="false">IF(AND(R$24=1,OR(Q$25="",$C275&gt;=Q$25)),MAX(0,MIN(Q275-R275,$D275-(G275+K275+O275))),0)</f>
        <v>0</v>
      </c>
      <c r="T275" s="69" t="n">
        <f aca="false">Q275-R275-S275</f>
        <v>0</v>
      </c>
      <c r="U275" s="69" t="n">
        <f aca="false">IF(X274&gt;0.5,X274*(1+U$23)+U$24,0)</f>
        <v>0</v>
      </c>
      <c r="V275" s="69" t="n">
        <f aca="false">MIN(V$23,U275)</f>
        <v>0</v>
      </c>
      <c r="W275" s="69" t="n">
        <f aca="false">IF(AND(V$24=1,OR(U$25="",$C275&gt;=U$25)),MAX(0,MIN(U275-V275,$D275-(G275+K275+O275+S275))),0)</f>
        <v>0</v>
      </c>
      <c r="X275" s="69" t="n">
        <f aca="false">U275-V275-W275</f>
        <v>0</v>
      </c>
      <c r="Y275" s="69" t="n">
        <f aca="false">IF(AB274&gt;0.5,AB274*(1+Y$23)+Y$24,0)</f>
        <v>0</v>
      </c>
      <c r="Z275" s="69" t="n">
        <f aca="false">MIN(Z$23,Y275)</f>
        <v>0</v>
      </c>
      <c r="AA275" s="69" t="n">
        <f aca="false">IF(AND(Z$24=1,OR(Y$25="",$C275&gt;=Y$25)),MAX(0,MIN(Y275-Z275,$D275-(G275+K275+O275+S275+W275))),0)</f>
        <v>0</v>
      </c>
      <c r="AB275" s="69" t="n">
        <f aca="false">Y275-Z275-AA275</f>
        <v>0</v>
      </c>
      <c r="AC275" s="69" t="n">
        <f aca="false">IF(AF274&gt;0.5,AF274*(1+AC$23)+AC$24,0)</f>
        <v>0</v>
      </c>
      <c r="AD275" s="69" t="n">
        <f aca="false">MIN(AD$23,AC275)</f>
        <v>0</v>
      </c>
      <c r="AE275" s="69" t="n">
        <f aca="false">IF(AND(AD$24=1,OR(AC$25="",$C275&gt;=AC$25)),MAX(0,MIN(AC275-AD275,$D275-(G275+K275+O275+S275+W275+AA275))),0)</f>
        <v>0</v>
      </c>
      <c r="AF275" s="69" t="n">
        <f aca="false">AC275-AD275-AE275</f>
        <v>0</v>
      </c>
      <c r="AG275" s="69" t="n">
        <f aca="false">IF(AJ274&gt;0.5,AJ274*(1+AG$23)+AG$24,0)</f>
        <v>0</v>
      </c>
      <c r="AH275" s="69" t="n">
        <f aca="false">MIN(AH$23,AG275)</f>
        <v>0</v>
      </c>
      <c r="AI275" s="69" t="n">
        <f aca="false">IF(AND(AH$24=1,OR(AG$25="",$C275&gt;=AG$25)),MAX(0,MIN(AG275-AH275,$D275-(G275+K275+O275+S275+W275+AA275+AE275))),0)</f>
        <v>0</v>
      </c>
      <c r="AJ275" s="69" t="n">
        <f aca="false">AG275-AH275-AI275</f>
        <v>0</v>
      </c>
      <c r="AK275" s="69" t="n">
        <f aca="false">IF(AK274&gt;0.5,AK274*(1+$E$12)+$G$12-MIN($F$12,AK274*(1+$E$12)+$G$12),0)</f>
        <v>0</v>
      </c>
      <c r="AL275" s="69" t="n">
        <f aca="false">IF(AL274&gt;0.5,AL274*(1+$E$13)+$G$13-MIN($F$13,AL274*(1+$E$13)+$G$13),0)</f>
        <v>0</v>
      </c>
      <c r="AM275" s="69" t="n">
        <f aca="false">IF(AM274&gt;0.5,AM274*(1+$E$14)+$G$14-MIN($F$14,AM274*(1+$E$14)+$G$14),0)</f>
        <v>0</v>
      </c>
      <c r="AN275" s="69" t="n">
        <f aca="false">IF(AN274&gt;0.5,AN274*(1+$E$15)+$G$15-MIN($F$15,AN274*(1+$E$15)+$G$15),0)</f>
        <v>0</v>
      </c>
      <c r="AO275" s="69" t="n">
        <f aca="false">IF(AO274&gt;0.5,AO274*(1+$E$16)+$G$16-MIN($F$16,AO274*(1+$E$16)+$G$16),0)</f>
        <v>0</v>
      </c>
      <c r="AP275" s="69" t="n">
        <f aca="false">IF(AP274&gt;0.5,AP274*(1+$E$17)+$G$17-MIN($F$17,AP274*(1+$E$17)+$G$17),0)</f>
        <v>0</v>
      </c>
      <c r="AQ275" s="69" t="n">
        <f aca="false">IF(AQ274&gt;0.5,AQ274*(1+$E$18)+$G$18-MIN($F$18,AQ274*(1+$E$18)+$G$18),0)</f>
        <v>0</v>
      </c>
      <c r="AR275" s="69" t="n">
        <f aca="false">IF(AR274&gt;0.5,AR274*(1+$E$19)+$G$19-MIN($F$19,AR274*(1+$E$19)+$G$19),0)</f>
        <v>0</v>
      </c>
      <c r="AS275" s="69" t="n">
        <f aca="false">H275+L275+P275+T275+X275+AB275+AF275+AJ275</f>
        <v>0</v>
      </c>
      <c r="AT275" s="69" t="n">
        <f aca="false">SUM(AK275:AR275)</f>
        <v>0</v>
      </c>
      <c r="AU275" s="69" t="n">
        <f aca="false">F275+G275+J275+K275+N275+O275+R275+S275+V275+W275+Z275+AA275+AD275+AE275+AH275+AI275</f>
        <v>0</v>
      </c>
    </row>
    <row r="276" customFormat="false" ht="15" hidden="false" customHeight="false" outlineLevel="0" collapsed="false">
      <c r="B276" s="0" t="n">
        <v>249</v>
      </c>
      <c r="C276" s="68" t="n">
        <f aca="false">EDATE($C$7,248)</f>
        <v>53844</v>
      </c>
      <c r="D276" s="69" t="n">
        <f aca="false">$C$8-(F276+J276+N276+R276+V276+Z276+AD276+AH276)</f>
        <v>0</v>
      </c>
      <c r="E276" s="69" t="n">
        <f aca="false">IF(H275&gt;0.5,H275*(1+E$23)+E$24,0)</f>
        <v>0</v>
      </c>
      <c r="F276" s="69" t="n">
        <f aca="false">MIN(F$23,E276)</f>
        <v>0</v>
      </c>
      <c r="G276" s="69" t="n">
        <f aca="false">IF(AND(F$24=1,OR(E$25="",$C276&gt;=E$25)),MAX(0,MIN(E276-F276,$D276-(0))),0)</f>
        <v>0</v>
      </c>
      <c r="H276" s="69" t="n">
        <f aca="false">E276-F276-G276</f>
        <v>0</v>
      </c>
      <c r="I276" s="69" t="n">
        <f aca="false">IF(L275&gt;0.5,L275*(1+I$23)+I$24,0)</f>
        <v>0</v>
      </c>
      <c r="J276" s="69" t="n">
        <f aca="false">MIN(J$23,I276)</f>
        <v>0</v>
      </c>
      <c r="K276" s="69" t="n">
        <f aca="false">IF(AND(J$24=1,OR(I$25="",$C276&gt;=I$25)),MAX(0,MIN(I276-J276,$D276-(G276))),0)</f>
        <v>0</v>
      </c>
      <c r="L276" s="69" t="n">
        <f aca="false">I276-J276-K276</f>
        <v>0</v>
      </c>
      <c r="M276" s="69" t="n">
        <f aca="false">IF(P275&gt;0.5,P275*(1+M$23)+M$24,0)</f>
        <v>0</v>
      </c>
      <c r="N276" s="69" t="n">
        <f aca="false">MIN(N$23,M276)</f>
        <v>0</v>
      </c>
      <c r="O276" s="69" t="n">
        <f aca="false">IF(AND(N$24=1,OR(M$25="",$C276&gt;=M$25)),MAX(0,MIN(M276-N276,$D276-(G276+K276))),0)</f>
        <v>0</v>
      </c>
      <c r="P276" s="69" t="n">
        <f aca="false">M276-N276-O276</f>
        <v>0</v>
      </c>
      <c r="Q276" s="69" t="n">
        <f aca="false">IF(T275&gt;0.5,T275*(1+Q$23)+Q$24,0)</f>
        <v>0</v>
      </c>
      <c r="R276" s="69" t="n">
        <f aca="false">MIN(R$23,Q276)</f>
        <v>0</v>
      </c>
      <c r="S276" s="69" t="n">
        <f aca="false">IF(AND(R$24=1,OR(Q$25="",$C276&gt;=Q$25)),MAX(0,MIN(Q276-R276,$D276-(G276+K276+O276))),0)</f>
        <v>0</v>
      </c>
      <c r="T276" s="69" t="n">
        <f aca="false">Q276-R276-S276</f>
        <v>0</v>
      </c>
      <c r="U276" s="69" t="n">
        <f aca="false">IF(X275&gt;0.5,X275*(1+U$23)+U$24,0)</f>
        <v>0</v>
      </c>
      <c r="V276" s="69" t="n">
        <f aca="false">MIN(V$23,U276)</f>
        <v>0</v>
      </c>
      <c r="W276" s="69" t="n">
        <f aca="false">IF(AND(V$24=1,OR(U$25="",$C276&gt;=U$25)),MAX(0,MIN(U276-V276,$D276-(G276+K276+O276+S276))),0)</f>
        <v>0</v>
      </c>
      <c r="X276" s="69" t="n">
        <f aca="false">U276-V276-W276</f>
        <v>0</v>
      </c>
      <c r="Y276" s="69" t="n">
        <f aca="false">IF(AB275&gt;0.5,AB275*(1+Y$23)+Y$24,0)</f>
        <v>0</v>
      </c>
      <c r="Z276" s="69" t="n">
        <f aca="false">MIN(Z$23,Y276)</f>
        <v>0</v>
      </c>
      <c r="AA276" s="69" t="n">
        <f aca="false">IF(AND(Z$24=1,OR(Y$25="",$C276&gt;=Y$25)),MAX(0,MIN(Y276-Z276,$D276-(G276+K276+O276+S276+W276))),0)</f>
        <v>0</v>
      </c>
      <c r="AB276" s="69" t="n">
        <f aca="false">Y276-Z276-AA276</f>
        <v>0</v>
      </c>
      <c r="AC276" s="69" t="n">
        <f aca="false">IF(AF275&gt;0.5,AF275*(1+AC$23)+AC$24,0)</f>
        <v>0</v>
      </c>
      <c r="AD276" s="69" t="n">
        <f aca="false">MIN(AD$23,AC276)</f>
        <v>0</v>
      </c>
      <c r="AE276" s="69" t="n">
        <f aca="false">IF(AND(AD$24=1,OR(AC$25="",$C276&gt;=AC$25)),MAX(0,MIN(AC276-AD276,$D276-(G276+K276+O276+S276+W276+AA276))),0)</f>
        <v>0</v>
      </c>
      <c r="AF276" s="69" t="n">
        <f aca="false">AC276-AD276-AE276</f>
        <v>0</v>
      </c>
      <c r="AG276" s="69" t="n">
        <f aca="false">IF(AJ275&gt;0.5,AJ275*(1+AG$23)+AG$24,0)</f>
        <v>0</v>
      </c>
      <c r="AH276" s="69" t="n">
        <f aca="false">MIN(AH$23,AG276)</f>
        <v>0</v>
      </c>
      <c r="AI276" s="69" t="n">
        <f aca="false">IF(AND(AH$24=1,OR(AG$25="",$C276&gt;=AG$25)),MAX(0,MIN(AG276-AH276,$D276-(G276+K276+O276+S276+W276+AA276+AE276))),0)</f>
        <v>0</v>
      </c>
      <c r="AJ276" s="69" t="n">
        <f aca="false">AG276-AH276-AI276</f>
        <v>0</v>
      </c>
      <c r="AK276" s="69" t="n">
        <f aca="false">IF(AK275&gt;0.5,AK275*(1+$E$12)+$G$12-MIN($F$12,AK275*(1+$E$12)+$G$12),0)</f>
        <v>0</v>
      </c>
      <c r="AL276" s="69" t="n">
        <f aca="false">IF(AL275&gt;0.5,AL275*(1+$E$13)+$G$13-MIN($F$13,AL275*(1+$E$13)+$G$13),0)</f>
        <v>0</v>
      </c>
      <c r="AM276" s="69" t="n">
        <f aca="false">IF(AM275&gt;0.5,AM275*(1+$E$14)+$G$14-MIN($F$14,AM275*(1+$E$14)+$G$14),0)</f>
        <v>0</v>
      </c>
      <c r="AN276" s="69" t="n">
        <f aca="false">IF(AN275&gt;0.5,AN275*(1+$E$15)+$G$15-MIN($F$15,AN275*(1+$E$15)+$G$15),0)</f>
        <v>0</v>
      </c>
      <c r="AO276" s="69" t="n">
        <f aca="false">IF(AO275&gt;0.5,AO275*(1+$E$16)+$G$16-MIN($F$16,AO275*(1+$E$16)+$G$16),0)</f>
        <v>0</v>
      </c>
      <c r="AP276" s="69" t="n">
        <f aca="false">IF(AP275&gt;0.5,AP275*(1+$E$17)+$G$17-MIN($F$17,AP275*(1+$E$17)+$G$17),0)</f>
        <v>0</v>
      </c>
      <c r="AQ276" s="69" t="n">
        <f aca="false">IF(AQ275&gt;0.5,AQ275*(1+$E$18)+$G$18-MIN($F$18,AQ275*(1+$E$18)+$G$18),0)</f>
        <v>0</v>
      </c>
      <c r="AR276" s="69" t="n">
        <f aca="false">IF(AR275&gt;0.5,AR275*(1+$E$19)+$G$19-MIN($F$19,AR275*(1+$E$19)+$G$19),0)</f>
        <v>0</v>
      </c>
      <c r="AS276" s="69" t="n">
        <f aca="false">H276+L276+P276+T276+X276+AB276+AF276+AJ276</f>
        <v>0</v>
      </c>
      <c r="AT276" s="69" t="n">
        <f aca="false">SUM(AK276:AR276)</f>
        <v>0</v>
      </c>
      <c r="AU276" s="69" t="n">
        <f aca="false">F276+G276+J276+K276+N276+O276+R276+S276+V276+W276+Z276+AA276+AD276+AE276+AH276+AI276</f>
        <v>0</v>
      </c>
    </row>
    <row r="277" customFormat="false" ht="15" hidden="false" customHeight="false" outlineLevel="0" collapsed="false">
      <c r="B277" s="0" t="n">
        <v>250</v>
      </c>
      <c r="C277" s="68" t="n">
        <f aca="false">EDATE($C$7,249)</f>
        <v>53874</v>
      </c>
      <c r="D277" s="69" t="n">
        <f aca="false">$C$8-(F277+J277+N277+R277+V277+Z277+AD277+AH277)</f>
        <v>0</v>
      </c>
      <c r="E277" s="69" t="n">
        <f aca="false">IF(H276&gt;0.5,H276*(1+E$23)+E$24,0)</f>
        <v>0</v>
      </c>
      <c r="F277" s="69" t="n">
        <f aca="false">MIN(F$23,E277)</f>
        <v>0</v>
      </c>
      <c r="G277" s="69" t="n">
        <f aca="false">IF(AND(F$24=1,OR(E$25="",$C277&gt;=E$25)),MAX(0,MIN(E277-F277,$D277-(0))),0)</f>
        <v>0</v>
      </c>
      <c r="H277" s="69" t="n">
        <f aca="false">E277-F277-G277</f>
        <v>0</v>
      </c>
      <c r="I277" s="69" t="n">
        <f aca="false">IF(L276&gt;0.5,L276*(1+I$23)+I$24,0)</f>
        <v>0</v>
      </c>
      <c r="J277" s="69" t="n">
        <f aca="false">MIN(J$23,I277)</f>
        <v>0</v>
      </c>
      <c r="K277" s="69" t="n">
        <f aca="false">IF(AND(J$24=1,OR(I$25="",$C277&gt;=I$25)),MAX(0,MIN(I277-J277,$D277-(G277))),0)</f>
        <v>0</v>
      </c>
      <c r="L277" s="69" t="n">
        <f aca="false">I277-J277-K277</f>
        <v>0</v>
      </c>
      <c r="M277" s="69" t="n">
        <f aca="false">IF(P276&gt;0.5,P276*(1+M$23)+M$24,0)</f>
        <v>0</v>
      </c>
      <c r="N277" s="69" t="n">
        <f aca="false">MIN(N$23,M277)</f>
        <v>0</v>
      </c>
      <c r="O277" s="69" t="n">
        <f aca="false">IF(AND(N$24=1,OR(M$25="",$C277&gt;=M$25)),MAX(0,MIN(M277-N277,$D277-(G277+K277))),0)</f>
        <v>0</v>
      </c>
      <c r="P277" s="69" t="n">
        <f aca="false">M277-N277-O277</f>
        <v>0</v>
      </c>
      <c r="Q277" s="69" t="n">
        <f aca="false">IF(T276&gt;0.5,T276*(1+Q$23)+Q$24,0)</f>
        <v>0</v>
      </c>
      <c r="R277" s="69" t="n">
        <f aca="false">MIN(R$23,Q277)</f>
        <v>0</v>
      </c>
      <c r="S277" s="69" t="n">
        <f aca="false">IF(AND(R$24=1,OR(Q$25="",$C277&gt;=Q$25)),MAX(0,MIN(Q277-R277,$D277-(G277+K277+O277))),0)</f>
        <v>0</v>
      </c>
      <c r="T277" s="69" t="n">
        <f aca="false">Q277-R277-S277</f>
        <v>0</v>
      </c>
      <c r="U277" s="69" t="n">
        <f aca="false">IF(X276&gt;0.5,X276*(1+U$23)+U$24,0)</f>
        <v>0</v>
      </c>
      <c r="V277" s="69" t="n">
        <f aca="false">MIN(V$23,U277)</f>
        <v>0</v>
      </c>
      <c r="W277" s="69" t="n">
        <f aca="false">IF(AND(V$24=1,OR(U$25="",$C277&gt;=U$25)),MAX(0,MIN(U277-V277,$D277-(G277+K277+O277+S277))),0)</f>
        <v>0</v>
      </c>
      <c r="X277" s="69" t="n">
        <f aca="false">U277-V277-W277</f>
        <v>0</v>
      </c>
      <c r="Y277" s="69" t="n">
        <f aca="false">IF(AB276&gt;0.5,AB276*(1+Y$23)+Y$24,0)</f>
        <v>0</v>
      </c>
      <c r="Z277" s="69" t="n">
        <f aca="false">MIN(Z$23,Y277)</f>
        <v>0</v>
      </c>
      <c r="AA277" s="69" t="n">
        <f aca="false">IF(AND(Z$24=1,OR(Y$25="",$C277&gt;=Y$25)),MAX(0,MIN(Y277-Z277,$D277-(G277+K277+O277+S277+W277))),0)</f>
        <v>0</v>
      </c>
      <c r="AB277" s="69" t="n">
        <f aca="false">Y277-Z277-AA277</f>
        <v>0</v>
      </c>
      <c r="AC277" s="69" t="n">
        <f aca="false">IF(AF276&gt;0.5,AF276*(1+AC$23)+AC$24,0)</f>
        <v>0</v>
      </c>
      <c r="AD277" s="69" t="n">
        <f aca="false">MIN(AD$23,AC277)</f>
        <v>0</v>
      </c>
      <c r="AE277" s="69" t="n">
        <f aca="false">IF(AND(AD$24=1,OR(AC$25="",$C277&gt;=AC$25)),MAX(0,MIN(AC277-AD277,$D277-(G277+K277+O277+S277+W277+AA277))),0)</f>
        <v>0</v>
      </c>
      <c r="AF277" s="69" t="n">
        <f aca="false">AC277-AD277-AE277</f>
        <v>0</v>
      </c>
      <c r="AG277" s="69" t="n">
        <f aca="false">IF(AJ276&gt;0.5,AJ276*(1+AG$23)+AG$24,0)</f>
        <v>0</v>
      </c>
      <c r="AH277" s="69" t="n">
        <f aca="false">MIN(AH$23,AG277)</f>
        <v>0</v>
      </c>
      <c r="AI277" s="69" t="n">
        <f aca="false">IF(AND(AH$24=1,OR(AG$25="",$C277&gt;=AG$25)),MAX(0,MIN(AG277-AH277,$D277-(G277+K277+O277+S277+W277+AA277+AE277))),0)</f>
        <v>0</v>
      </c>
      <c r="AJ277" s="69" t="n">
        <f aca="false">AG277-AH277-AI277</f>
        <v>0</v>
      </c>
      <c r="AK277" s="69" t="n">
        <f aca="false">IF(AK276&gt;0.5,AK276*(1+$E$12)+$G$12-MIN($F$12,AK276*(1+$E$12)+$G$12),0)</f>
        <v>0</v>
      </c>
      <c r="AL277" s="69" t="n">
        <f aca="false">IF(AL276&gt;0.5,AL276*(1+$E$13)+$G$13-MIN($F$13,AL276*(1+$E$13)+$G$13),0)</f>
        <v>0</v>
      </c>
      <c r="AM277" s="69" t="n">
        <f aca="false">IF(AM276&gt;0.5,AM276*(1+$E$14)+$G$14-MIN($F$14,AM276*(1+$E$14)+$G$14),0)</f>
        <v>0</v>
      </c>
      <c r="AN277" s="69" t="n">
        <f aca="false">IF(AN276&gt;0.5,AN276*(1+$E$15)+$G$15-MIN($F$15,AN276*(1+$E$15)+$G$15),0)</f>
        <v>0</v>
      </c>
      <c r="AO277" s="69" t="n">
        <f aca="false">IF(AO276&gt;0.5,AO276*(1+$E$16)+$G$16-MIN($F$16,AO276*(1+$E$16)+$G$16),0)</f>
        <v>0</v>
      </c>
      <c r="AP277" s="69" t="n">
        <f aca="false">IF(AP276&gt;0.5,AP276*(1+$E$17)+$G$17-MIN($F$17,AP276*(1+$E$17)+$G$17),0)</f>
        <v>0</v>
      </c>
      <c r="AQ277" s="69" t="n">
        <f aca="false">IF(AQ276&gt;0.5,AQ276*(1+$E$18)+$G$18-MIN($F$18,AQ276*(1+$E$18)+$G$18),0)</f>
        <v>0</v>
      </c>
      <c r="AR277" s="69" t="n">
        <f aca="false">IF(AR276&gt;0.5,AR276*(1+$E$19)+$G$19-MIN($F$19,AR276*(1+$E$19)+$G$19),0)</f>
        <v>0</v>
      </c>
      <c r="AS277" s="69" t="n">
        <f aca="false">H277+L277+P277+T277+X277+AB277+AF277+AJ277</f>
        <v>0</v>
      </c>
      <c r="AT277" s="69" t="n">
        <f aca="false">SUM(AK277:AR277)</f>
        <v>0</v>
      </c>
      <c r="AU277" s="69" t="n">
        <f aca="false">F277+G277+J277+K277+N277+O277+R277+S277+V277+W277+Z277+AA277+AD277+AE277+AH277+AI277</f>
        <v>0</v>
      </c>
    </row>
    <row r="278" customFormat="false" ht="15" hidden="false" customHeight="false" outlineLevel="0" collapsed="false">
      <c r="B278" s="0" t="n">
        <v>251</v>
      </c>
      <c r="C278" s="68" t="n">
        <f aca="false">EDATE($C$7,250)</f>
        <v>53905</v>
      </c>
      <c r="D278" s="69" t="n">
        <f aca="false">$C$8-(F278+J278+N278+R278+V278+Z278+AD278+AH278)</f>
        <v>0</v>
      </c>
      <c r="E278" s="69" t="n">
        <f aca="false">IF(H277&gt;0.5,H277*(1+E$23)+E$24,0)</f>
        <v>0</v>
      </c>
      <c r="F278" s="69" t="n">
        <f aca="false">MIN(F$23,E278)</f>
        <v>0</v>
      </c>
      <c r="G278" s="69" t="n">
        <f aca="false">IF(AND(F$24=1,OR(E$25="",$C278&gt;=E$25)),MAX(0,MIN(E278-F278,$D278-(0))),0)</f>
        <v>0</v>
      </c>
      <c r="H278" s="69" t="n">
        <f aca="false">E278-F278-G278</f>
        <v>0</v>
      </c>
      <c r="I278" s="69" t="n">
        <f aca="false">IF(L277&gt;0.5,L277*(1+I$23)+I$24,0)</f>
        <v>0</v>
      </c>
      <c r="J278" s="69" t="n">
        <f aca="false">MIN(J$23,I278)</f>
        <v>0</v>
      </c>
      <c r="K278" s="69" t="n">
        <f aca="false">IF(AND(J$24=1,OR(I$25="",$C278&gt;=I$25)),MAX(0,MIN(I278-J278,$D278-(G278))),0)</f>
        <v>0</v>
      </c>
      <c r="L278" s="69" t="n">
        <f aca="false">I278-J278-K278</f>
        <v>0</v>
      </c>
      <c r="M278" s="69" t="n">
        <f aca="false">IF(P277&gt;0.5,P277*(1+M$23)+M$24,0)</f>
        <v>0</v>
      </c>
      <c r="N278" s="69" t="n">
        <f aca="false">MIN(N$23,M278)</f>
        <v>0</v>
      </c>
      <c r="O278" s="69" t="n">
        <f aca="false">IF(AND(N$24=1,OR(M$25="",$C278&gt;=M$25)),MAX(0,MIN(M278-N278,$D278-(G278+K278))),0)</f>
        <v>0</v>
      </c>
      <c r="P278" s="69" t="n">
        <f aca="false">M278-N278-O278</f>
        <v>0</v>
      </c>
      <c r="Q278" s="69" t="n">
        <f aca="false">IF(T277&gt;0.5,T277*(1+Q$23)+Q$24,0)</f>
        <v>0</v>
      </c>
      <c r="R278" s="69" t="n">
        <f aca="false">MIN(R$23,Q278)</f>
        <v>0</v>
      </c>
      <c r="S278" s="69" t="n">
        <f aca="false">IF(AND(R$24=1,OR(Q$25="",$C278&gt;=Q$25)),MAX(0,MIN(Q278-R278,$D278-(G278+K278+O278))),0)</f>
        <v>0</v>
      </c>
      <c r="T278" s="69" t="n">
        <f aca="false">Q278-R278-S278</f>
        <v>0</v>
      </c>
      <c r="U278" s="69" t="n">
        <f aca="false">IF(X277&gt;0.5,X277*(1+U$23)+U$24,0)</f>
        <v>0</v>
      </c>
      <c r="V278" s="69" t="n">
        <f aca="false">MIN(V$23,U278)</f>
        <v>0</v>
      </c>
      <c r="W278" s="69" t="n">
        <f aca="false">IF(AND(V$24=1,OR(U$25="",$C278&gt;=U$25)),MAX(0,MIN(U278-V278,$D278-(G278+K278+O278+S278))),0)</f>
        <v>0</v>
      </c>
      <c r="X278" s="69" t="n">
        <f aca="false">U278-V278-W278</f>
        <v>0</v>
      </c>
      <c r="Y278" s="69" t="n">
        <f aca="false">IF(AB277&gt;0.5,AB277*(1+Y$23)+Y$24,0)</f>
        <v>0</v>
      </c>
      <c r="Z278" s="69" t="n">
        <f aca="false">MIN(Z$23,Y278)</f>
        <v>0</v>
      </c>
      <c r="AA278" s="69" t="n">
        <f aca="false">IF(AND(Z$24=1,OR(Y$25="",$C278&gt;=Y$25)),MAX(0,MIN(Y278-Z278,$D278-(G278+K278+O278+S278+W278))),0)</f>
        <v>0</v>
      </c>
      <c r="AB278" s="69" t="n">
        <f aca="false">Y278-Z278-AA278</f>
        <v>0</v>
      </c>
      <c r="AC278" s="69" t="n">
        <f aca="false">IF(AF277&gt;0.5,AF277*(1+AC$23)+AC$24,0)</f>
        <v>0</v>
      </c>
      <c r="AD278" s="69" t="n">
        <f aca="false">MIN(AD$23,AC278)</f>
        <v>0</v>
      </c>
      <c r="AE278" s="69" t="n">
        <f aca="false">IF(AND(AD$24=1,OR(AC$25="",$C278&gt;=AC$25)),MAX(0,MIN(AC278-AD278,$D278-(G278+K278+O278+S278+W278+AA278))),0)</f>
        <v>0</v>
      </c>
      <c r="AF278" s="69" t="n">
        <f aca="false">AC278-AD278-AE278</f>
        <v>0</v>
      </c>
      <c r="AG278" s="69" t="n">
        <f aca="false">IF(AJ277&gt;0.5,AJ277*(1+AG$23)+AG$24,0)</f>
        <v>0</v>
      </c>
      <c r="AH278" s="69" t="n">
        <f aca="false">MIN(AH$23,AG278)</f>
        <v>0</v>
      </c>
      <c r="AI278" s="69" t="n">
        <f aca="false">IF(AND(AH$24=1,OR(AG$25="",$C278&gt;=AG$25)),MAX(0,MIN(AG278-AH278,$D278-(G278+K278+O278+S278+W278+AA278+AE278))),0)</f>
        <v>0</v>
      </c>
      <c r="AJ278" s="69" t="n">
        <f aca="false">AG278-AH278-AI278</f>
        <v>0</v>
      </c>
      <c r="AK278" s="69" t="n">
        <f aca="false">IF(AK277&gt;0.5,AK277*(1+$E$12)+$G$12-MIN($F$12,AK277*(1+$E$12)+$G$12),0)</f>
        <v>0</v>
      </c>
      <c r="AL278" s="69" t="n">
        <f aca="false">IF(AL277&gt;0.5,AL277*(1+$E$13)+$G$13-MIN($F$13,AL277*(1+$E$13)+$G$13),0)</f>
        <v>0</v>
      </c>
      <c r="AM278" s="69" t="n">
        <f aca="false">IF(AM277&gt;0.5,AM277*(1+$E$14)+$G$14-MIN($F$14,AM277*(1+$E$14)+$G$14),0)</f>
        <v>0</v>
      </c>
      <c r="AN278" s="69" t="n">
        <f aca="false">IF(AN277&gt;0.5,AN277*(1+$E$15)+$G$15-MIN($F$15,AN277*(1+$E$15)+$G$15),0)</f>
        <v>0</v>
      </c>
      <c r="AO278" s="69" t="n">
        <f aca="false">IF(AO277&gt;0.5,AO277*(1+$E$16)+$G$16-MIN($F$16,AO277*(1+$E$16)+$G$16),0)</f>
        <v>0</v>
      </c>
      <c r="AP278" s="69" t="n">
        <f aca="false">IF(AP277&gt;0.5,AP277*(1+$E$17)+$G$17-MIN($F$17,AP277*(1+$E$17)+$G$17),0)</f>
        <v>0</v>
      </c>
      <c r="AQ278" s="69" t="n">
        <f aca="false">IF(AQ277&gt;0.5,AQ277*(1+$E$18)+$G$18-MIN($F$18,AQ277*(1+$E$18)+$G$18),0)</f>
        <v>0</v>
      </c>
      <c r="AR278" s="69" t="n">
        <f aca="false">IF(AR277&gt;0.5,AR277*(1+$E$19)+$G$19-MIN($F$19,AR277*(1+$E$19)+$G$19),0)</f>
        <v>0</v>
      </c>
      <c r="AS278" s="69" t="n">
        <f aca="false">H278+L278+P278+T278+X278+AB278+AF278+AJ278</f>
        <v>0</v>
      </c>
      <c r="AT278" s="69" t="n">
        <f aca="false">SUM(AK278:AR278)</f>
        <v>0</v>
      </c>
      <c r="AU278" s="69" t="n">
        <f aca="false">F278+G278+J278+K278+N278+O278+R278+S278+V278+W278+Z278+AA278+AD278+AE278+AH278+AI278</f>
        <v>0</v>
      </c>
    </row>
    <row r="279" customFormat="false" ht="15" hidden="false" customHeight="false" outlineLevel="0" collapsed="false">
      <c r="B279" s="0" t="n">
        <v>252</v>
      </c>
      <c r="C279" s="68" t="n">
        <f aca="false">EDATE($C$7,251)</f>
        <v>53936</v>
      </c>
      <c r="D279" s="69" t="n">
        <f aca="false">$C$8-(F279+J279+N279+R279+V279+Z279+AD279+AH279)</f>
        <v>0</v>
      </c>
      <c r="E279" s="69" t="n">
        <f aca="false">IF(H278&gt;0.5,H278*(1+E$23)+E$24,0)</f>
        <v>0</v>
      </c>
      <c r="F279" s="69" t="n">
        <f aca="false">MIN(F$23,E279)</f>
        <v>0</v>
      </c>
      <c r="G279" s="69" t="n">
        <f aca="false">IF(AND(F$24=1,OR(E$25="",$C279&gt;=E$25)),MAX(0,MIN(E279-F279,$D279-(0))),0)</f>
        <v>0</v>
      </c>
      <c r="H279" s="69" t="n">
        <f aca="false">E279-F279-G279</f>
        <v>0</v>
      </c>
      <c r="I279" s="69" t="n">
        <f aca="false">IF(L278&gt;0.5,L278*(1+I$23)+I$24,0)</f>
        <v>0</v>
      </c>
      <c r="J279" s="69" t="n">
        <f aca="false">MIN(J$23,I279)</f>
        <v>0</v>
      </c>
      <c r="K279" s="69" t="n">
        <f aca="false">IF(AND(J$24=1,OR(I$25="",$C279&gt;=I$25)),MAX(0,MIN(I279-J279,$D279-(G279))),0)</f>
        <v>0</v>
      </c>
      <c r="L279" s="69" t="n">
        <f aca="false">I279-J279-K279</f>
        <v>0</v>
      </c>
      <c r="M279" s="69" t="n">
        <f aca="false">IF(P278&gt;0.5,P278*(1+M$23)+M$24,0)</f>
        <v>0</v>
      </c>
      <c r="N279" s="69" t="n">
        <f aca="false">MIN(N$23,M279)</f>
        <v>0</v>
      </c>
      <c r="O279" s="69" t="n">
        <f aca="false">IF(AND(N$24=1,OR(M$25="",$C279&gt;=M$25)),MAX(0,MIN(M279-N279,$D279-(G279+K279))),0)</f>
        <v>0</v>
      </c>
      <c r="P279" s="69" t="n">
        <f aca="false">M279-N279-O279</f>
        <v>0</v>
      </c>
      <c r="Q279" s="69" t="n">
        <f aca="false">IF(T278&gt;0.5,T278*(1+Q$23)+Q$24,0)</f>
        <v>0</v>
      </c>
      <c r="R279" s="69" t="n">
        <f aca="false">MIN(R$23,Q279)</f>
        <v>0</v>
      </c>
      <c r="S279" s="69" t="n">
        <f aca="false">IF(AND(R$24=1,OR(Q$25="",$C279&gt;=Q$25)),MAX(0,MIN(Q279-R279,$D279-(G279+K279+O279))),0)</f>
        <v>0</v>
      </c>
      <c r="T279" s="69" t="n">
        <f aca="false">Q279-R279-S279</f>
        <v>0</v>
      </c>
      <c r="U279" s="69" t="n">
        <f aca="false">IF(X278&gt;0.5,X278*(1+U$23)+U$24,0)</f>
        <v>0</v>
      </c>
      <c r="V279" s="69" t="n">
        <f aca="false">MIN(V$23,U279)</f>
        <v>0</v>
      </c>
      <c r="W279" s="69" t="n">
        <f aca="false">IF(AND(V$24=1,OR(U$25="",$C279&gt;=U$25)),MAX(0,MIN(U279-V279,$D279-(G279+K279+O279+S279))),0)</f>
        <v>0</v>
      </c>
      <c r="X279" s="69" t="n">
        <f aca="false">U279-V279-W279</f>
        <v>0</v>
      </c>
      <c r="Y279" s="69" t="n">
        <f aca="false">IF(AB278&gt;0.5,AB278*(1+Y$23)+Y$24,0)</f>
        <v>0</v>
      </c>
      <c r="Z279" s="69" t="n">
        <f aca="false">MIN(Z$23,Y279)</f>
        <v>0</v>
      </c>
      <c r="AA279" s="69" t="n">
        <f aca="false">IF(AND(Z$24=1,OR(Y$25="",$C279&gt;=Y$25)),MAX(0,MIN(Y279-Z279,$D279-(G279+K279+O279+S279+W279))),0)</f>
        <v>0</v>
      </c>
      <c r="AB279" s="69" t="n">
        <f aca="false">Y279-Z279-AA279</f>
        <v>0</v>
      </c>
      <c r="AC279" s="69" t="n">
        <f aca="false">IF(AF278&gt;0.5,AF278*(1+AC$23)+AC$24,0)</f>
        <v>0</v>
      </c>
      <c r="AD279" s="69" t="n">
        <f aca="false">MIN(AD$23,AC279)</f>
        <v>0</v>
      </c>
      <c r="AE279" s="69" t="n">
        <f aca="false">IF(AND(AD$24=1,OR(AC$25="",$C279&gt;=AC$25)),MAX(0,MIN(AC279-AD279,$D279-(G279+K279+O279+S279+W279+AA279))),0)</f>
        <v>0</v>
      </c>
      <c r="AF279" s="69" t="n">
        <f aca="false">AC279-AD279-AE279</f>
        <v>0</v>
      </c>
      <c r="AG279" s="69" t="n">
        <f aca="false">IF(AJ278&gt;0.5,AJ278*(1+AG$23)+AG$24,0)</f>
        <v>0</v>
      </c>
      <c r="AH279" s="69" t="n">
        <f aca="false">MIN(AH$23,AG279)</f>
        <v>0</v>
      </c>
      <c r="AI279" s="69" t="n">
        <f aca="false">IF(AND(AH$24=1,OR(AG$25="",$C279&gt;=AG$25)),MAX(0,MIN(AG279-AH279,$D279-(G279+K279+O279+S279+W279+AA279+AE279))),0)</f>
        <v>0</v>
      </c>
      <c r="AJ279" s="69" t="n">
        <f aca="false">AG279-AH279-AI279</f>
        <v>0</v>
      </c>
      <c r="AK279" s="69" t="n">
        <f aca="false">IF(AK278&gt;0.5,AK278*(1+$E$12)+$G$12-MIN($F$12,AK278*(1+$E$12)+$G$12),0)</f>
        <v>0</v>
      </c>
      <c r="AL279" s="69" t="n">
        <f aca="false">IF(AL278&gt;0.5,AL278*(1+$E$13)+$G$13-MIN($F$13,AL278*(1+$E$13)+$G$13),0)</f>
        <v>0</v>
      </c>
      <c r="AM279" s="69" t="n">
        <f aca="false">IF(AM278&gt;0.5,AM278*(1+$E$14)+$G$14-MIN($F$14,AM278*(1+$E$14)+$G$14),0)</f>
        <v>0</v>
      </c>
      <c r="AN279" s="69" t="n">
        <f aca="false">IF(AN278&gt;0.5,AN278*(1+$E$15)+$G$15-MIN($F$15,AN278*(1+$E$15)+$G$15),0)</f>
        <v>0</v>
      </c>
      <c r="AO279" s="69" t="n">
        <f aca="false">IF(AO278&gt;0.5,AO278*(1+$E$16)+$G$16-MIN($F$16,AO278*(1+$E$16)+$G$16),0)</f>
        <v>0</v>
      </c>
      <c r="AP279" s="69" t="n">
        <f aca="false">IF(AP278&gt;0.5,AP278*(1+$E$17)+$G$17-MIN($F$17,AP278*(1+$E$17)+$G$17),0)</f>
        <v>0</v>
      </c>
      <c r="AQ279" s="69" t="n">
        <f aca="false">IF(AQ278&gt;0.5,AQ278*(1+$E$18)+$G$18-MIN($F$18,AQ278*(1+$E$18)+$G$18),0)</f>
        <v>0</v>
      </c>
      <c r="AR279" s="69" t="n">
        <f aca="false">IF(AR278&gt;0.5,AR278*(1+$E$19)+$G$19-MIN($F$19,AR278*(1+$E$19)+$G$19),0)</f>
        <v>0</v>
      </c>
      <c r="AS279" s="69" t="n">
        <f aca="false">H279+L279+P279+T279+X279+AB279+AF279+AJ279</f>
        <v>0</v>
      </c>
      <c r="AT279" s="69" t="n">
        <f aca="false">SUM(AK279:AR279)</f>
        <v>0</v>
      </c>
      <c r="AU279" s="69" t="n">
        <f aca="false">F279+G279+J279+K279+N279+O279+R279+S279+V279+W279+Z279+AA279+AD279+AE279+AH279+AI279</f>
        <v>0</v>
      </c>
    </row>
    <row r="280" customFormat="false" ht="15" hidden="false" customHeight="false" outlineLevel="0" collapsed="false">
      <c r="B280" s="0" t="n">
        <v>253</v>
      </c>
      <c r="C280" s="68" t="n">
        <f aca="false">EDATE($C$7,252)</f>
        <v>53966</v>
      </c>
      <c r="D280" s="69" t="n">
        <f aca="false">$C$8-(F280+J280+N280+R280+V280+Z280+AD280+AH280)</f>
        <v>0</v>
      </c>
      <c r="E280" s="69" t="n">
        <f aca="false">IF(H279&gt;0.5,H279*(1+E$23)+E$24,0)</f>
        <v>0</v>
      </c>
      <c r="F280" s="69" t="n">
        <f aca="false">MIN(F$23,E280)</f>
        <v>0</v>
      </c>
      <c r="G280" s="69" t="n">
        <f aca="false">IF(AND(F$24=1,OR(E$25="",$C280&gt;=E$25)),MAX(0,MIN(E280-F280,$D280-(0))),0)</f>
        <v>0</v>
      </c>
      <c r="H280" s="69" t="n">
        <f aca="false">E280-F280-G280</f>
        <v>0</v>
      </c>
      <c r="I280" s="69" t="n">
        <f aca="false">IF(L279&gt;0.5,L279*(1+I$23)+I$24,0)</f>
        <v>0</v>
      </c>
      <c r="J280" s="69" t="n">
        <f aca="false">MIN(J$23,I280)</f>
        <v>0</v>
      </c>
      <c r="K280" s="69" t="n">
        <f aca="false">IF(AND(J$24=1,OR(I$25="",$C280&gt;=I$25)),MAX(0,MIN(I280-J280,$D280-(G280))),0)</f>
        <v>0</v>
      </c>
      <c r="L280" s="69" t="n">
        <f aca="false">I280-J280-K280</f>
        <v>0</v>
      </c>
      <c r="M280" s="69" t="n">
        <f aca="false">IF(P279&gt;0.5,P279*(1+M$23)+M$24,0)</f>
        <v>0</v>
      </c>
      <c r="N280" s="69" t="n">
        <f aca="false">MIN(N$23,M280)</f>
        <v>0</v>
      </c>
      <c r="O280" s="69" t="n">
        <f aca="false">IF(AND(N$24=1,OR(M$25="",$C280&gt;=M$25)),MAX(0,MIN(M280-N280,$D280-(G280+K280))),0)</f>
        <v>0</v>
      </c>
      <c r="P280" s="69" t="n">
        <f aca="false">M280-N280-O280</f>
        <v>0</v>
      </c>
      <c r="Q280" s="69" t="n">
        <f aca="false">IF(T279&gt;0.5,T279*(1+Q$23)+Q$24,0)</f>
        <v>0</v>
      </c>
      <c r="R280" s="69" t="n">
        <f aca="false">MIN(R$23,Q280)</f>
        <v>0</v>
      </c>
      <c r="S280" s="69" t="n">
        <f aca="false">IF(AND(R$24=1,OR(Q$25="",$C280&gt;=Q$25)),MAX(0,MIN(Q280-R280,$D280-(G280+K280+O280))),0)</f>
        <v>0</v>
      </c>
      <c r="T280" s="69" t="n">
        <f aca="false">Q280-R280-S280</f>
        <v>0</v>
      </c>
      <c r="U280" s="69" t="n">
        <f aca="false">IF(X279&gt;0.5,X279*(1+U$23)+U$24,0)</f>
        <v>0</v>
      </c>
      <c r="V280" s="69" t="n">
        <f aca="false">MIN(V$23,U280)</f>
        <v>0</v>
      </c>
      <c r="W280" s="69" t="n">
        <f aca="false">IF(AND(V$24=1,OR(U$25="",$C280&gt;=U$25)),MAX(0,MIN(U280-V280,$D280-(G280+K280+O280+S280))),0)</f>
        <v>0</v>
      </c>
      <c r="X280" s="69" t="n">
        <f aca="false">U280-V280-W280</f>
        <v>0</v>
      </c>
      <c r="Y280" s="69" t="n">
        <f aca="false">IF(AB279&gt;0.5,AB279*(1+Y$23)+Y$24,0)</f>
        <v>0</v>
      </c>
      <c r="Z280" s="69" t="n">
        <f aca="false">MIN(Z$23,Y280)</f>
        <v>0</v>
      </c>
      <c r="AA280" s="69" t="n">
        <f aca="false">IF(AND(Z$24=1,OR(Y$25="",$C280&gt;=Y$25)),MAX(0,MIN(Y280-Z280,$D280-(G280+K280+O280+S280+W280))),0)</f>
        <v>0</v>
      </c>
      <c r="AB280" s="69" t="n">
        <f aca="false">Y280-Z280-AA280</f>
        <v>0</v>
      </c>
      <c r="AC280" s="69" t="n">
        <f aca="false">IF(AF279&gt;0.5,AF279*(1+AC$23)+AC$24,0)</f>
        <v>0</v>
      </c>
      <c r="AD280" s="69" t="n">
        <f aca="false">MIN(AD$23,AC280)</f>
        <v>0</v>
      </c>
      <c r="AE280" s="69" t="n">
        <f aca="false">IF(AND(AD$24=1,OR(AC$25="",$C280&gt;=AC$25)),MAX(0,MIN(AC280-AD280,$D280-(G280+K280+O280+S280+W280+AA280))),0)</f>
        <v>0</v>
      </c>
      <c r="AF280" s="69" t="n">
        <f aca="false">AC280-AD280-AE280</f>
        <v>0</v>
      </c>
      <c r="AG280" s="69" t="n">
        <f aca="false">IF(AJ279&gt;0.5,AJ279*(1+AG$23)+AG$24,0)</f>
        <v>0</v>
      </c>
      <c r="AH280" s="69" t="n">
        <f aca="false">MIN(AH$23,AG280)</f>
        <v>0</v>
      </c>
      <c r="AI280" s="69" t="n">
        <f aca="false">IF(AND(AH$24=1,OR(AG$25="",$C280&gt;=AG$25)),MAX(0,MIN(AG280-AH280,$D280-(G280+K280+O280+S280+W280+AA280+AE280))),0)</f>
        <v>0</v>
      </c>
      <c r="AJ280" s="69" t="n">
        <f aca="false">AG280-AH280-AI280</f>
        <v>0</v>
      </c>
      <c r="AK280" s="69" t="n">
        <f aca="false">IF(AK279&gt;0.5,AK279*(1+$E$12)+$G$12-MIN($F$12,AK279*(1+$E$12)+$G$12),0)</f>
        <v>0</v>
      </c>
      <c r="AL280" s="69" t="n">
        <f aca="false">IF(AL279&gt;0.5,AL279*(1+$E$13)+$G$13-MIN($F$13,AL279*(1+$E$13)+$G$13),0)</f>
        <v>0</v>
      </c>
      <c r="AM280" s="69" t="n">
        <f aca="false">IF(AM279&gt;0.5,AM279*(1+$E$14)+$G$14-MIN($F$14,AM279*(1+$E$14)+$G$14),0)</f>
        <v>0</v>
      </c>
      <c r="AN280" s="69" t="n">
        <f aca="false">IF(AN279&gt;0.5,AN279*(1+$E$15)+$G$15-MIN($F$15,AN279*(1+$E$15)+$G$15),0)</f>
        <v>0</v>
      </c>
      <c r="AO280" s="69" t="n">
        <f aca="false">IF(AO279&gt;0.5,AO279*(1+$E$16)+$G$16-MIN($F$16,AO279*(1+$E$16)+$G$16),0)</f>
        <v>0</v>
      </c>
      <c r="AP280" s="69" t="n">
        <f aca="false">IF(AP279&gt;0.5,AP279*(1+$E$17)+$G$17-MIN($F$17,AP279*(1+$E$17)+$G$17),0)</f>
        <v>0</v>
      </c>
      <c r="AQ280" s="69" t="n">
        <f aca="false">IF(AQ279&gt;0.5,AQ279*(1+$E$18)+$G$18-MIN($F$18,AQ279*(1+$E$18)+$G$18),0)</f>
        <v>0</v>
      </c>
      <c r="AR280" s="69" t="n">
        <f aca="false">IF(AR279&gt;0.5,AR279*(1+$E$19)+$G$19-MIN($F$19,AR279*(1+$E$19)+$G$19),0)</f>
        <v>0</v>
      </c>
      <c r="AS280" s="69" t="n">
        <f aca="false">H280+L280+P280+T280+X280+AB280+AF280+AJ280</f>
        <v>0</v>
      </c>
      <c r="AT280" s="69" t="n">
        <f aca="false">SUM(AK280:AR280)</f>
        <v>0</v>
      </c>
      <c r="AU280" s="69" t="n">
        <f aca="false">F280+G280+J280+K280+N280+O280+R280+S280+V280+W280+Z280+AA280+AD280+AE280+AH280+AI280</f>
        <v>0</v>
      </c>
    </row>
    <row r="281" customFormat="false" ht="15" hidden="false" customHeight="false" outlineLevel="0" collapsed="false">
      <c r="B281" s="0" t="n">
        <v>254</v>
      </c>
      <c r="C281" s="68" t="n">
        <f aca="false">EDATE($C$7,253)</f>
        <v>53997</v>
      </c>
      <c r="D281" s="69" t="n">
        <f aca="false">$C$8-(F281+J281+N281+R281+V281+Z281+AD281+AH281)</f>
        <v>0</v>
      </c>
      <c r="E281" s="69" t="n">
        <f aca="false">IF(H280&gt;0.5,H280*(1+E$23)+E$24,0)</f>
        <v>0</v>
      </c>
      <c r="F281" s="69" t="n">
        <f aca="false">MIN(F$23,E281)</f>
        <v>0</v>
      </c>
      <c r="G281" s="69" t="n">
        <f aca="false">IF(AND(F$24=1,OR(E$25="",$C281&gt;=E$25)),MAX(0,MIN(E281-F281,$D281-(0))),0)</f>
        <v>0</v>
      </c>
      <c r="H281" s="69" t="n">
        <f aca="false">E281-F281-G281</f>
        <v>0</v>
      </c>
      <c r="I281" s="69" t="n">
        <f aca="false">IF(L280&gt;0.5,L280*(1+I$23)+I$24,0)</f>
        <v>0</v>
      </c>
      <c r="J281" s="69" t="n">
        <f aca="false">MIN(J$23,I281)</f>
        <v>0</v>
      </c>
      <c r="K281" s="69" t="n">
        <f aca="false">IF(AND(J$24=1,OR(I$25="",$C281&gt;=I$25)),MAX(0,MIN(I281-J281,$D281-(G281))),0)</f>
        <v>0</v>
      </c>
      <c r="L281" s="69" t="n">
        <f aca="false">I281-J281-K281</f>
        <v>0</v>
      </c>
      <c r="M281" s="69" t="n">
        <f aca="false">IF(P280&gt;0.5,P280*(1+M$23)+M$24,0)</f>
        <v>0</v>
      </c>
      <c r="N281" s="69" t="n">
        <f aca="false">MIN(N$23,M281)</f>
        <v>0</v>
      </c>
      <c r="O281" s="69" t="n">
        <f aca="false">IF(AND(N$24=1,OR(M$25="",$C281&gt;=M$25)),MAX(0,MIN(M281-N281,$D281-(G281+K281))),0)</f>
        <v>0</v>
      </c>
      <c r="P281" s="69" t="n">
        <f aca="false">M281-N281-O281</f>
        <v>0</v>
      </c>
      <c r="Q281" s="69" t="n">
        <f aca="false">IF(T280&gt;0.5,T280*(1+Q$23)+Q$24,0)</f>
        <v>0</v>
      </c>
      <c r="R281" s="69" t="n">
        <f aca="false">MIN(R$23,Q281)</f>
        <v>0</v>
      </c>
      <c r="S281" s="69" t="n">
        <f aca="false">IF(AND(R$24=1,OR(Q$25="",$C281&gt;=Q$25)),MAX(0,MIN(Q281-R281,$D281-(G281+K281+O281))),0)</f>
        <v>0</v>
      </c>
      <c r="T281" s="69" t="n">
        <f aca="false">Q281-R281-S281</f>
        <v>0</v>
      </c>
      <c r="U281" s="69" t="n">
        <f aca="false">IF(X280&gt;0.5,X280*(1+U$23)+U$24,0)</f>
        <v>0</v>
      </c>
      <c r="V281" s="69" t="n">
        <f aca="false">MIN(V$23,U281)</f>
        <v>0</v>
      </c>
      <c r="W281" s="69" t="n">
        <f aca="false">IF(AND(V$24=1,OR(U$25="",$C281&gt;=U$25)),MAX(0,MIN(U281-V281,$D281-(G281+K281+O281+S281))),0)</f>
        <v>0</v>
      </c>
      <c r="X281" s="69" t="n">
        <f aca="false">U281-V281-W281</f>
        <v>0</v>
      </c>
      <c r="Y281" s="69" t="n">
        <f aca="false">IF(AB280&gt;0.5,AB280*(1+Y$23)+Y$24,0)</f>
        <v>0</v>
      </c>
      <c r="Z281" s="69" t="n">
        <f aca="false">MIN(Z$23,Y281)</f>
        <v>0</v>
      </c>
      <c r="AA281" s="69" t="n">
        <f aca="false">IF(AND(Z$24=1,OR(Y$25="",$C281&gt;=Y$25)),MAX(0,MIN(Y281-Z281,$D281-(G281+K281+O281+S281+W281))),0)</f>
        <v>0</v>
      </c>
      <c r="AB281" s="69" t="n">
        <f aca="false">Y281-Z281-AA281</f>
        <v>0</v>
      </c>
      <c r="AC281" s="69" t="n">
        <f aca="false">IF(AF280&gt;0.5,AF280*(1+AC$23)+AC$24,0)</f>
        <v>0</v>
      </c>
      <c r="AD281" s="69" t="n">
        <f aca="false">MIN(AD$23,AC281)</f>
        <v>0</v>
      </c>
      <c r="AE281" s="69" t="n">
        <f aca="false">IF(AND(AD$24=1,OR(AC$25="",$C281&gt;=AC$25)),MAX(0,MIN(AC281-AD281,$D281-(G281+K281+O281+S281+W281+AA281))),0)</f>
        <v>0</v>
      </c>
      <c r="AF281" s="69" t="n">
        <f aca="false">AC281-AD281-AE281</f>
        <v>0</v>
      </c>
      <c r="AG281" s="69" t="n">
        <f aca="false">IF(AJ280&gt;0.5,AJ280*(1+AG$23)+AG$24,0)</f>
        <v>0</v>
      </c>
      <c r="AH281" s="69" t="n">
        <f aca="false">MIN(AH$23,AG281)</f>
        <v>0</v>
      </c>
      <c r="AI281" s="69" t="n">
        <f aca="false">IF(AND(AH$24=1,OR(AG$25="",$C281&gt;=AG$25)),MAX(0,MIN(AG281-AH281,$D281-(G281+K281+O281+S281+W281+AA281+AE281))),0)</f>
        <v>0</v>
      </c>
      <c r="AJ281" s="69" t="n">
        <f aca="false">AG281-AH281-AI281</f>
        <v>0</v>
      </c>
      <c r="AK281" s="69" t="n">
        <f aca="false">IF(AK280&gt;0.5,AK280*(1+$E$12)+$G$12-MIN($F$12,AK280*(1+$E$12)+$G$12),0)</f>
        <v>0</v>
      </c>
      <c r="AL281" s="69" t="n">
        <f aca="false">IF(AL280&gt;0.5,AL280*(1+$E$13)+$G$13-MIN($F$13,AL280*(1+$E$13)+$G$13),0)</f>
        <v>0</v>
      </c>
      <c r="AM281" s="69" t="n">
        <f aca="false">IF(AM280&gt;0.5,AM280*(1+$E$14)+$G$14-MIN($F$14,AM280*(1+$E$14)+$G$14),0)</f>
        <v>0</v>
      </c>
      <c r="AN281" s="69" t="n">
        <f aca="false">IF(AN280&gt;0.5,AN280*(1+$E$15)+$G$15-MIN($F$15,AN280*(1+$E$15)+$G$15),0)</f>
        <v>0</v>
      </c>
      <c r="AO281" s="69" t="n">
        <f aca="false">IF(AO280&gt;0.5,AO280*(1+$E$16)+$G$16-MIN($F$16,AO280*(1+$E$16)+$G$16),0)</f>
        <v>0</v>
      </c>
      <c r="AP281" s="69" t="n">
        <f aca="false">IF(AP280&gt;0.5,AP280*(1+$E$17)+$G$17-MIN($F$17,AP280*(1+$E$17)+$G$17),0)</f>
        <v>0</v>
      </c>
      <c r="AQ281" s="69" t="n">
        <f aca="false">IF(AQ280&gt;0.5,AQ280*(1+$E$18)+$G$18-MIN($F$18,AQ280*(1+$E$18)+$G$18),0)</f>
        <v>0</v>
      </c>
      <c r="AR281" s="69" t="n">
        <f aca="false">IF(AR280&gt;0.5,AR280*(1+$E$19)+$G$19-MIN($F$19,AR280*(1+$E$19)+$G$19),0)</f>
        <v>0</v>
      </c>
      <c r="AS281" s="69" t="n">
        <f aca="false">H281+L281+P281+T281+X281+AB281+AF281+AJ281</f>
        <v>0</v>
      </c>
      <c r="AT281" s="69" t="n">
        <f aca="false">SUM(AK281:AR281)</f>
        <v>0</v>
      </c>
      <c r="AU281" s="69" t="n">
        <f aca="false">F281+G281+J281+K281+N281+O281+R281+S281+V281+W281+Z281+AA281+AD281+AE281+AH281+AI281</f>
        <v>0</v>
      </c>
    </row>
    <row r="282" customFormat="false" ht="15" hidden="false" customHeight="false" outlineLevel="0" collapsed="false">
      <c r="B282" s="0" t="n">
        <v>255</v>
      </c>
      <c r="C282" s="68" t="n">
        <f aca="false">EDATE($C$7,254)</f>
        <v>54027</v>
      </c>
      <c r="D282" s="69" t="n">
        <f aca="false">$C$8-(F282+J282+N282+R282+V282+Z282+AD282+AH282)</f>
        <v>0</v>
      </c>
      <c r="E282" s="69" t="n">
        <f aca="false">IF(H281&gt;0.5,H281*(1+E$23)+E$24,0)</f>
        <v>0</v>
      </c>
      <c r="F282" s="69" t="n">
        <f aca="false">MIN(F$23,E282)</f>
        <v>0</v>
      </c>
      <c r="G282" s="69" t="n">
        <f aca="false">IF(AND(F$24=1,OR(E$25="",$C282&gt;=E$25)),MAX(0,MIN(E282-F282,$D282-(0))),0)</f>
        <v>0</v>
      </c>
      <c r="H282" s="69" t="n">
        <f aca="false">E282-F282-G282</f>
        <v>0</v>
      </c>
      <c r="I282" s="69" t="n">
        <f aca="false">IF(L281&gt;0.5,L281*(1+I$23)+I$24,0)</f>
        <v>0</v>
      </c>
      <c r="J282" s="69" t="n">
        <f aca="false">MIN(J$23,I282)</f>
        <v>0</v>
      </c>
      <c r="K282" s="69" t="n">
        <f aca="false">IF(AND(J$24=1,OR(I$25="",$C282&gt;=I$25)),MAX(0,MIN(I282-J282,$D282-(G282))),0)</f>
        <v>0</v>
      </c>
      <c r="L282" s="69" t="n">
        <f aca="false">I282-J282-K282</f>
        <v>0</v>
      </c>
      <c r="M282" s="69" t="n">
        <f aca="false">IF(P281&gt;0.5,P281*(1+M$23)+M$24,0)</f>
        <v>0</v>
      </c>
      <c r="N282" s="69" t="n">
        <f aca="false">MIN(N$23,M282)</f>
        <v>0</v>
      </c>
      <c r="O282" s="69" t="n">
        <f aca="false">IF(AND(N$24=1,OR(M$25="",$C282&gt;=M$25)),MAX(0,MIN(M282-N282,$D282-(G282+K282))),0)</f>
        <v>0</v>
      </c>
      <c r="P282" s="69" t="n">
        <f aca="false">M282-N282-O282</f>
        <v>0</v>
      </c>
      <c r="Q282" s="69" t="n">
        <f aca="false">IF(T281&gt;0.5,T281*(1+Q$23)+Q$24,0)</f>
        <v>0</v>
      </c>
      <c r="R282" s="69" t="n">
        <f aca="false">MIN(R$23,Q282)</f>
        <v>0</v>
      </c>
      <c r="S282" s="69" t="n">
        <f aca="false">IF(AND(R$24=1,OR(Q$25="",$C282&gt;=Q$25)),MAX(0,MIN(Q282-R282,$D282-(G282+K282+O282))),0)</f>
        <v>0</v>
      </c>
      <c r="T282" s="69" t="n">
        <f aca="false">Q282-R282-S282</f>
        <v>0</v>
      </c>
      <c r="U282" s="69" t="n">
        <f aca="false">IF(X281&gt;0.5,X281*(1+U$23)+U$24,0)</f>
        <v>0</v>
      </c>
      <c r="V282" s="69" t="n">
        <f aca="false">MIN(V$23,U282)</f>
        <v>0</v>
      </c>
      <c r="W282" s="69" t="n">
        <f aca="false">IF(AND(V$24=1,OR(U$25="",$C282&gt;=U$25)),MAX(0,MIN(U282-V282,$D282-(G282+K282+O282+S282))),0)</f>
        <v>0</v>
      </c>
      <c r="X282" s="69" t="n">
        <f aca="false">U282-V282-W282</f>
        <v>0</v>
      </c>
      <c r="Y282" s="69" t="n">
        <f aca="false">IF(AB281&gt;0.5,AB281*(1+Y$23)+Y$24,0)</f>
        <v>0</v>
      </c>
      <c r="Z282" s="69" t="n">
        <f aca="false">MIN(Z$23,Y282)</f>
        <v>0</v>
      </c>
      <c r="AA282" s="69" t="n">
        <f aca="false">IF(AND(Z$24=1,OR(Y$25="",$C282&gt;=Y$25)),MAX(0,MIN(Y282-Z282,$D282-(G282+K282+O282+S282+W282))),0)</f>
        <v>0</v>
      </c>
      <c r="AB282" s="69" t="n">
        <f aca="false">Y282-Z282-AA282</f>
        <v>0</v>
      </c>
      <c r="AC282" s="69" t="n">
        <f aca="false">IF(AF281&gt;0.5,AF281*(1+AC$23)+AC$24,0)</f>
        <v>0</v>
      </c>
      <c r="AD282" s="69" t="n">
        <f aca="false">MIN(AD$23,AC282)</f>
        <v>0</v>
      </c>
      <c r="AE282" s="69" t="n">
        <f aca="false">IF(AND(AD$24=1,OR(AC$25="",$C282&gt;=AC$25)),MAX(0,MIN(AC282-AD282,$D282-(G282+K282+O282+S282+W282+AA282))),0)</f>
        <v>0</v>
      </c>
      <c r="AF282" s="69" t="n">
        <f aca="false">AC282-AD282-AE282</f>
        <v>0</v>
      </c>
      <c r="AG282" s="69" t="n">
        <f aca="false">IF(AJ281&gt;0.5,AJ281*(1+AG$23)+AG$24,0)</f>
        <v>0</v>
      </c>
      <c r="AH282" s="69" t="n">
        <f aca="false">MIN(AH$23,AG282)</f>
        <v>0</v>
      </c>
      <c r="AI282" s="69" t="n">
        <f aca="false">IF(AND(AH$24=1,OR(AG$25="",$C282&gt;=AG$25)),MAX(0,MIN(AG282-AH282,$D282-(G282+K282+O282+S282+W282+AA282+AE282))),0)</f>
        <v>0</v>
      </c>
      <c r="AJ282" s="69" t="n">
        <f aca="false">AG282-AH282-AI282</f>
        <v>0</v>
      </c>
      <c r="AK282" s="69" t="n">
        <f aca="false">IF(AK281&gt;0.5,AK281*(1+$E$12)+$G$12-MIN($F$12,AK281*(1+$E$12)+$G$12),0)</f>
        <v>0</v>
      </c>
      <c r="AL282" s="69" t="n">
        <f aca="false">IF(AL281&gt;0.5,AL281*(1+$E$13)+$G$13-MIN($F$13,AL281*(1+$E$13)+$G$13),0)</f>
        <v>0</v>
      </c>
      <c r="AM282" s="69" t="n">
        <f aca="false">IF(AM281&gt;0.5,AM281*(1+$E$14)+$G$14-MIN($F$14,AM281*(1+$E$14)+$G$14),0)</f>
        <v>0</v>
      </c>
      <c r="AN282" s="69" t="n">
        <f aca="false">IF(AN281&gt;0.5,AN281*(1+$E$15)+$G$15-MIN($F$15,AN281*(1+$E$15)+$G$15),0)</f>
        <v>0</v>
      </c>
      <c r="AO282" s="69" t="n">
        <f aca="false">IF(AO281&gt;0.5,AO281*(1+$E$16)+$G$16-MIN($F$16,AO281*(1+$E$16)+$G$16),0)</f>
        <v>0</v>
      </c>
      <c r="AP282" s="69" t="n">
        <f aca="false">IF(AP281&gt;0.5,AP281*(1+$E$17)+$G$17-MIN($F$17,AP281*(1+$E$17)+$G$17),0)</f>
        <v>0</v>
      </c>
      <c r="AQ282" s="69" t="n">
        <f aca="false">IF(AQ281&gt;0.5,AQ281*(1+$E$18)+$G$18-MIN($F$18,AQ281*(1+$E$18)+$G$18),0)</f>
        <v>0</v>
      </c>
      <c r="AR282" s="69" t="n">
        <f aca="false">IF(AR281&gt;0.5,AR281*(1+$E$19)+$G$19-MIN($F$19,AR281*(1+$E$19)+$G$19),0)</f>
        <v>0</v>
      </c>
      <c r="AS282" s="69" t="n">
        <f aca="false">H282+L282+P282+T282+X282+AB282+AF282+AJ282</f>
        <v>0</v>
      </c>
      <c r="AT282" s="69" t="n">
        <f aca="false">SUM(AK282:AR282)</f>
        <v>0</v>
      </c>
      <c r="AU282" s="69" t="n">
        <f aca="false">F282+G282+J282+K282+N282+O282+R282+S282+V282+W282+Z282+AA282+AD282+AE282+AH282+AI282</f>
        <v>0</v>
      </c>
    </row>
    <row r="283" customFormat="false" ht="15" hidden="false" customHeight="false" outlineLevel="0" collapsed="false">
      <c r="B283" s="0" t="n">
        <v>256</v>
      </c>
      <c r="C283" s="68" t="n">
        <f aca="false">EDATE($C$7,255)</f>
        <v>54058</v>
      </c>
      <c r="D283" s="69" t="n">
        <f aca="false">$C$8-(F283+J283+N283+R283+V283+Z283+AD283+AH283)</f>
        <v>0</v>
      </c>
      <c r="E283" s="69" t="n">
        <f aca="false">IF(H282&gt;0.5,H282*(1+E$23)+E$24,0)</f>
        <v>0</v>
      </c>
      <c r="F283" s="69" t="n">
        <f aca="false">MIN(F$23,E283)</f>
        <v>0</v>
      </c>
      <c r="G283" s="69" t="n">
        <f aca="false">IF(AND(F$24=1,OR(E$25="",$C283&gt;=E$25)),MAX(0,MIN(E283-F283,$D283-(0))),0)</f>
        <v>0</v>
      </c>
      <c r="H283" s="69" t="n">
        <f aca="false">E283-F283-G283</f>
        <v>0</v>
      </c>
      <c r="I283" s="69" t="n">
        <f aca="false">IF(L282&gt;0.5,L282*(1+I$23)+I$24,0)</f>
        <v>0</v>
      </c>
      <c r="J283" s="69" t="n">
        <f aca="false">MIN(J$23,I283)</f>
        <v>0</v>
      </c>
      <c r="K283" s="69" t="n">
        <f aca="false">IF(AND(J$24=1,OR(I$25="",$C283&gt;=I$25)),MAX(0,MIN(I283-J283,$D283-(G283))),0)</f>
        <v>0</v>
      </c>
      <c r="L283" s="69" t="n">
        <f aca="false">I283-J283-K283</f>
        <v>0</v>
      </c>
      <c r="M283" s="69" t="n">
        <f aca="false">IF(P282&gt;0.5,P282*(1+M$23)+M$24,0)</f>
        <v>0</v>
      </c>
      <c r="N283" s="69" t="n">
        <f aca="false">MIN(N$23,M283)</f>
        <v>0</v>
      </c>
      <c r="O283" s="69" t="n">
        <f aca="false">IF(AND(N$24=1,OR(M$25="",$C283&gt;=M$25)),MAX(0,MIN(M283-N283,$D283-(G283+K283))),0)</f>
        <v>0</v>
      </c>
      <c r="P283" s="69" t="n">
        <f aca="false">M283-N283-O283</f>
        <v>0</v>
      </c>
      <c r="Q283" s="69" t="n">
        <f aca="false">IF(T282&gt;0.5,T282*(1+Q$23)+Q$24,0)</f>
        <v>0</v>
      </c>
      <c r="R283" s="69" t="n">
        <f aca="false">MIN(R$23,Q283)</f>
        <v>0</v>
      </c>
      <c r="S283" s="69" t="n">
        <f aca="false">IF(AND(R$24=1,OR(Q$25="",$C283&gt;=Q$25)),MAX(0,MIN(Q283-R283,$D283-(G283+K283+O283))),0)</f>
        <v>0</v>
      </c>
      <c r="T283" s="69" t="n">
        <f aca="false">Q283-R283-S283</f>
        <v>0</v>
      </c>
      <c r="U283" s="69" t="n">
        <f aca="false">IF(X282&gt;0.5,X282*(1+U$23)+U$24,0)</f>
        <v>0</v>
      </c>
      <c r="V283" s="69" t="n">
        <f aca="false">MIN(V$23,U283)</f>
        <v>0</v>
      </c>
      <c r="W283" s="69" t="n">
        <f aca="false">IF(AND(V$24=1,OR(U$25="",$C283&gt;=U$25)),MAX(0,MIN(U283-V283,$D283-(G283+K283+O283+S283))),0)</f>
        <v>0</v>
      </c>
      <c r="X283" s="69" t="n">
        <f aca="false">U283-V283-W283</f>
        <v>0</v>
      </c>
      <c r="Y283" s="69" t="n">
        <f aca="false">IF(AB282&gt;0.5,AB282*(1+Y$23)+Y$24,0)</f>
        <v>0</v>
      </c>
      <c r="Z283" s="69" t="n">
        <f aca="false">MIN(Z$23,Y283)</f>
        <v>0</v>
      </c>
      <c r="AA283" s="69" t="n">
        <f aca="false">IF(AND(Z$24=1,OR(Y$25="",$C283&gt;=Y$25)),MAX(0,MIN(Y283-Z283,$D283-(G283+K283+O283+S283+W283))),0)</f>
        <v>0</v>
      </c>
      <c r="AB283" s="69" t="n">
        <f aca="false">Y283-Z283-AA283</f>
        <v>0</v>
      </c>
      <c r="AC283" s="69" t="n">
        <f aca="false">IF(AF282&gt;0.5,AF282*(1+AC$23)+AC$24,0)</f>
        <v>0</v>
      </c>
      <c r="AD283" s="69" t="n">
        <f aca="false">MIN(AD$23,AC283)</f>
        <v>0</v>
      </c>
      <c r="AE283" s="69" t="n">
        <f aca="false">IF(AND(AD$24=1,OR(AC$25="",$C283&gt;=AC$25)),MAX(0,MIN(AC283-AD283,$D283-(G283+K283+O283+S283+W283+AA283))),0)</f>
        <v>0</v>
      </c>
      <c r="AF283" s="69" t="n">
        <f aca="false">AC283-AD283-AE283</f>
        <v>0</v>
      </c>
      <c r="AG283" s="69" t="n">
        <f aca="false">IF(AJ282&gt;0.5,AJ282*(1+AG$23)+AG$24,0)</f>
        <v>0</v>
      </c>
      <c r="AH283" s="69" t="n">
        <f aca="false">MIN(AH$23,AG283)</f>
        <v>0</v>
      </c>
      <c r="AI283" s="69" t="n">
        <f aca="false">IF(AND(AH$24=1,OR(AG$25="",$C283&gt;=AG$25)),MAX(0,MIN(AG283-AH283,$D283-(G283+K283+O283+S283+W283+AA283+AE283))),0)</f>
        <v>0</v>
      </c>
      <c r="AJ283" s="69" t="n">
        <f aca="false">AG283-AH283-AI283</f>
        <v>0</v>
      </c>
      <c r="AK283" s="69" t="n">
        <f aca="false">IF(AK282&gt;0.5,AK282*(1+$E$12)+$G$12-MIN($F$12,AK282*(1+$E$12)+$G$12),0)</f>
        <v>0</v>
      </c>
      <c r="AL283" s="69" t="n">
        <f aca="false">IF(AL282&gt;0.5,AL282*(1+$E$13)+$G$13-MIN($F$13,AL282*(1+$E$13)+$G$13),0)</f>
        <v>0</v>
      </c>
      <c r="AM283" s="69" t="n">
        <f aca="false">IF(AM282&gt;0.5,AM282*(1+$E$14)+$G$14-MIN($F$14,AM282*(1+$E$14)+$G$14),0)</f>
        <v>0</v>
      </c>
      <c r="AN283" s="69" t="n">
        <f aca="false">IF(AN282&gt;0.5,AN282*(1+$E$15)+$G$15-MIN($F$15,AN282*(1+$E$15)+$G$15),0)</f>
        <v>0</v>
      </c>
      <c r="AO283" s="69" t="n">
        <f aca="false">IF(AO282&gt;0.5,AO282*(1+$E$16)+$G$16-MIN($F$16,AO282*(1+$E$16)+$G$16),0)</f>
        <v>0</v>
      </c>
      <c r="AP283" s="69" t="n">
        <f aca="false">IF(AP282&gt;0.5,AP282*(1+$E$17)+$G$17-MIN($F$17,AP282*(1+$E$17)+$G$17),0)</f>
        <v>0</v>
      </c>
      <c r="AQ283" s="69" t="n">
        <f aca="false">IF(AQ282&gt;0.5,AQ282*(1+$E$18)+$G$18-MIN($F$18,AQ282*(1+$E$18)+$G$18),0)</f>
        <v>0</v>
      </c>
      <c r="AR283" s="69" t="n">
        <f aca="false">IF(AR282&gt;0.5,AR282*(1+$E$19)+$G$19-MIN($F$19,AR282*(1+$E$19)+$G$19),0)</f>
        <v>0</v>
      </c>
      <c r="AS283" s="69" t="n">
        <f aca="false">H283+L283+P283+T283+X283+AB283+AF283+AJ283</f>
        <v>0</v>
      </c>
      <c r="AT283" s="69" t="n">
        <f aca="false">SUM(AK283:AR283)</f>
        <v>0</v>
      </c>
      <c r="AU283" s="69" t="n">
        <f aca="false">F283+G283+J283+K283+N283+O283+R283+S283+V283+W283+Z283+AA283+AD283+AE283+AH283+AI283</f>
        <v>0</v>
      </c>
    </row>
    <row r="284" customFormat="false" ht="15" hidden="false" customHeight="false" outlineLevel="0" collapsed="false">
      <c r="B284" s="0" t="n">
        <v>257</v>
      </c>
      <c r="C284" s="68" t="n">
        <f aca="false">EDATE($C$7,256)</f>
        <v>54089</v>
      </c>
      <c r="D284" s="69" t="n">
        <f aca="false">$C$8-(F284+J284+N284+R284+V284+Z284+AD284+AH284)</f>
        <v>0</v>
      </c>
      <c r="E284" s="69" t="n">
        <f aca="false">IF(H283&gt;0.5,H283*(1+E$23)+E$24,0)</f>
        <v>0</v>
      </c>
      <c r="F284" s="69" t="n">
        <f aca="false">MIN(F$23,E284)</f>
        <v>0</v>
      </c>
      <c r="G284" s="69" t="n">
        <f aca="false">IF(AND(F$24=1,OR(E$25="",$C284&gt;=E$25)),MAX(0,MIN(E284-F284,$D284-(0))),0)</f>
        <v>0</v>
      </c>
      <c r="H284" s="69" t="n">
        <f aca="false">E284-F284-G284</f>
        <v>0</v>
      </c>
      <c r="I284" s="69" t="n">
        <f aca="false">IF(L283&gt;0.5,L283*(1+I$23)+I$24,0)</f>
        <v>0</v>
      </c>
      <c r="J284" s="69" t="n">
        <f aca="false">MIN(J$23,I284)</f>
        <v>0</v>
      </c>
      <c r="K284" s="69" t="n">
        <f aca="false">IF(AND(J$24=1,OR(I$25="",$C284&gt;=I$25)),MAX(0,MIN(I284-J284,$D284-(G284))),0)</f>
        <v>0</v>
      </c>
      <c r="L284" s="69" t="n">
        <f aca="false">I284-J284-K284</f>
        <v>0</v>
      </c>
      <c r="M284" s="69" t="n">
        <f aca="false">IF(P283&gt;0.5,P283*(1+M$23)+M$24,0)</f>
        <v>0</v>
      </c>
      <c r="N284" s="69" t="n">
        <f aca="false">MIN(N$23,M284)</f>
        <v>0</v>
      </c>
      <c r="O284" s="69" t="n">
        <f aca="false">IF(AND(N$24=1,OR(M$25="",$C284&gt;=M$25)),MAX(0,MIN(M284-N284,$D284-(G284+K284))),0)</f>
        <v>0</v>
      </c>
      <c r="P284" s="69" t="n">
        <f aca="false">M284-N284-O284</f>
        <v>0</v>
      </c>
      <c r="Q284" s="69" t="n">
        <f aca="false">IF(T283&gt;0.5,T283*(1+Q$23)+Q$24,0)</f>
        <v>0</v>
      </c>
      <c r="R284" s="69" t="n">
        <f aca="false">MIN(R$23,Q284)</f>
        <v>0</v>
      </c>
      <c r="S284" s="69" t="n">
        <f aca="false">IF(AND(R$24=1,OR(Q$25="",$C284&gt;=Q$25)),MAX(0,MIN(Q284-R284,$D284-(G284+K284+O284))),0)</f>
        <v>0</v>
      </c>
      <c r="T284" s="69" t="n">
        <f aca="false">Q284-R284-S284</f>
        <v>0</v>
      </c>
      <c r="U284" s="69" t="n">
        <f aca="false">IF(X283&gt;0.5,X283*(1+U$23)+U$24,0)</f>
        <v>0</v>
      </c>
      <c r="V284" s="69" t="n">
        <f aca="false">MIN(V$23,U284)</f>
        <v>0</v>
      </c>
      <c r="W284" s="69" t="n">
        <f aca="false">IF(AND(V$24=1,OR(U$25="",$C284&gt;=U$25)),MAX(0,MIN(U284-V284,$D284-(G284+K284+O284+S284))),0)</f>
        <v>0</v>
      </c>
      <c r="X284" s="69" t="n">
        <f aca="false">U284-V284-W284</f>
        <v>0</v>
      </c>
      <c r="Y284" s="69" t="n">
        <f aca="false">IF(AB283&gt;0.5,AB283*(1+Y$23)+Y$24,0)</f>
        <v>0</v>
      </c>
      <c r="Z284" s="69" t="n">
        <f aca="false">MIN(Z$23,Y284)</f>
        <v>0</v>
      </c>
      <c r="AA284" s="69" t="n">
        <f aca="false">IF(AND(Z$24=1,OR(Y$25="",$C284&gt;=Y$25)),MAX(0,MIN(Y284-Z284,$D284-(G284+K284+O284+S284+W284))),0)</f>
        <v>0</v>
      </c>
      <c r="AB284" s="69" t="n">
        <f aca="false">Y284-Z284-AA284</f>
        <v>0</v>
      </c>
      <c r="AC284" s="69" t="n">
        <f aca="false">IF(AF283&gt;0.5,AF283*(1+AC$23)+AC$24,0)</f>
        <v>0</v>
      </c>
      <c r="AD284" s="69" t="n">
        <f aca="false">MIN(AD$23,AC284)</f>
        <v>0</v>
      </c>
      <c r="AE284" s="69" t="n">
        <f aca="false">IF(AND(AD$24=1,OR(AC$25="",$C284&gt;=AC$25)),MAX(0,MIN(AC284-AD284,$D284-(G284+K284+O284+S284+W284+AA284))),0)</f>
        <v>0</v>
      </c>
      <c r="AF284" s="69" t="n">
        <f aca="false">AC284-AD284-AE284</f>
        <v>0</v>
      </c>
      <c r="AG284" s="69" t="n">
        <f aca="false">IF(AJ283&gt;0.5,AJ283*(1+AG$23)+AG$24,0)</f>
        <v>0</v>
      </c>
      <c r="AH284" s="69" t="n">
        <f aca="false">MIN(AH$23,AG284)</f>
        <v>0</v>
      </c>
      <c r="AI284" s="69" t="n">
        <f aca="false">IF(AND(AH$24=1,OR(AG$25="",$C284&gt;=AG$25)),MAX(0,MIN(AG284-AH284,$D284-(G284+K284+O284+S284+W284+AA284+AE284))),0)</f>
        <v>0</v>
      </c>
      <c r="AJ284" s="69" t="n">
        <f aca="false">AG284-AH284-AI284</f>
        <v>0</v>
      </c>
      <c r="AK284" s="69" t="n">
        <f aca="false">IF(AK283&gt;0.5,AK283*(1+$E$12)+$G$12-MIN($F$12,AK283*(1+$E$12)+$G$12),0)</f>
        <v>0</v>
      </c>
      <c r="AL284" s="69" t="n">
        <f aca="false">IF(AL283&gt;0.5,AL283*(1+$E$13)+$G$13-MIN($F$13,AL283*(1+$E$13)+$G$13),0)</f>
        <v>0</v>
      </c>
      <c r="AM284" s="69" t="n">
        <f aca="false">IF(AM283&gt;0.5,AM283*(1+$E$14)+$G$14-MIN($F$14,AM283*(1+$E$14)+$G$14),0)</f>
        <v>0</v>
      </c>
      <c r="AN284" s="69" t="n">
        <f aca="false">IF(AN283&gt;0.5,AN283*(1+$E$15)+$G$15-MIN($F$15,AN283*(1+$E$15)+$G$15),0)</f>
        <v>0</v>
      </c>
      <c r="AO284" s="69" t="n">
        <f aca="false">IF(AO283&gt;0.5,AO283*(1+$E$16)+$G$16-MIN($F$16,AO283*(1+$E$16)+$G$16),0)</f>
        <v>0</v>
      </c>
      <c r="AP284" s="69" t="n">
        <f aca="false">IF(AP283&gt;0.5,AP283*(1+$E$17)+$G$17-MIN($F$17,AP283*(1+$E$17)+$G$17),0)</f>
        <v>0</v>
      </c>
      <c r="AQ284" s="69" t="n">
        <f aca="false">IF(AQ283&gt;0.5,AQ283*(1+$E$18)+$G$18-MIN($F$18,AQ283*(1+$E$18)+$G$18),0)</f>
        <v>0</v>
      </c>
      <c r="AR284" s="69" t="n">
        <f aca="false">IF(AR283&gt;0.5,AR283*(1+$E$19)+$G$19-MIN($F$19,AR283*(1+$E$19)+$G$19),0)</f>
        <v>0</v>
      </c>
      <c r="AS284" s="69" t="n">
        <f aca="false">H284+L284+P284+T284+X284+AB284+AF284+AJ284</f>
        <v>0</v>
      </c>
      <c r="AT284" s="69" t="n">
        <f aca="false">SUM(AK284:AR284)</f>
        <v>0</v>
      </c>
      <c r="AU284" s="69" t="n">
        <f aca="false">F284+G284+J284+K284+N284+O284+R284+S284+V284+W284+Z284+AA284+AD284+AE284+AH284+AI284</f>
        <v>0</v>
      </c>
    </row>
    <row r="285" customFormat="false" ht="15" hidden="false" customHeight="false" outlineLevel="0" collapsed="false">
      <c r="B285" s="0" t="n">
        <v>258</v>
      </c>
      <c r="C285" s="68" t="n">
        <f aca="false">EDATE($C$7,257)</f>
        <v>54118</v>
      </c>
      <c r="D285" s="69" t="n">
        <f aca="false">$C$8-(F285+J285+N285+R285+V285+Z285+AD285+AH285)</f>
        <v>0</v>
      </c>
      <c r="E285" s="69" t="n">
        <f aca="false">IF(H284&gt;0.5,H284*(1+E$23)+E$24,0)</f>
        <v>0</v>
      </c>
      <c r="F285" s="69" t="n">
        <f aca="false">MIN(F$23,E285)</f>
        <v>0</v>
      </c>
      <c r="G285" s="69" t="n">
        <f aca="false">IF(AND(F$24=1,OR(E$25="",$C285&gt;=E$25)),MAX(0,MIN(E285-F285,$D285-(0))),0)</f>
        <v>0</v>
      </c>
      <c r="H285" s="69" t="n">
        <f aca="false">E285-F285-G285</f>
        <v>0</v>
      </c>
      <c r="I285" s="69" t="n">
        <f aca="false">IF(L284&gt;0.5,L284*(1+I$23)+I$24,0)</f>
        <v>0</v>
      </c>
      <c r="J285" s="69" t="n">
        <f aca="false">MIN(J$23,I285)</f>
        <v>0</v>
      </c>
      <c r="K285" s="69" t="n">
        <f aca="false">IF(AND(J$24=1,OR(I$25="",$C285&gt;=I$25)),MAX(0,MIN(I285-J285,$D285-(G285))),0)</f>
        <v>0</v>
      </c>
      <c r="L285" s="69" t="n">
        <f aca="false">I285-J285-K285</f>
        <v>0</v>
      </c>
      <c r="M285" s="69" t="n">
        <f aca="false">IF(P284&gt;0.5,P284*(1+M$23)+M$24,0)</f>
        <v>0</v>
      </c>
      <c r="N285" s="69" t="n">
        <f aca="false">MIN(N$23,M285)</f>
        <v>0</v>
      </c>
      <c r="O285" s="69" t="n">
        <f aca="false">IF(AND(N$24=1,OR(M$25="",$C285&gt;=M$25)),MAX(0,MIN(M285-N285,$D285-(G285+K285))),0)</f>
        <v>0</v>
      </c>
      <c r="P285" s="69" t="n">
        <f aca="false">M285-N285-O285</f>
        <v>0</v>
      </c>
      <c r="Q285" s="69" t="n">
        <f aca="false">IF(T284&gt;0.5,T284*(1+Q$23)+Q$24,0)</f>
        <v>0</v>
      </c>
      <c r="R285" s="69" t="n">
        <f aca="false">MIN(R$23,Q285)</f>
        <v>0</v>
      </c>
      <c r="S285" s="69" t="n">
        <f aca="false">IF(AND(R$24=1,OR(Q$25="",$C285&gt;=Q$25)),MAX(0,MIN(Q285-R285,$D285-(G285+K285+O285))),0)</f>
        <v>0</v>
      </c>
      <c r="T285" s="69" t="n">
        <f aca="false">Q285-R285-S285</f>
        <v>0</v>
      </c>
      <c r="U285" s="69" t="n">
        <f aca="false">IF(X284&gt;0.5,X284*(1+U$23)+U$24,0)</f>
        <v>0</v>
      </c>
      <c r="V285" s="69" t="n">
        <f aca="false">MIN(V$23,U285)</f>
        <v>0</v>
      </c>
      <c r="W285" s="69" t="n">
        <f aca="false">IF(AND(V$24=1,OR(U$25="",$C285&gt;=U$25)),MAX(0,MIN(U285-V285,$D285-(G285+K285+O285+S285))),0)</f>
        <v>0</v>
      </c>
      <c r="X285" s="69" t="n">
        <f aca="false">U285-V285-W285</f>
        <v>0</v>
      </c>
      <c r="Y285" s="69" t="n">
        <f aca="false">IF(AB284&gt;0.5,AB284*(1+Y$23)+Y$24,0)</f>
        <v>0</v>
      </c>
      <c r="Z285" s="69" t="n">
        <f aca="false">MIN(Z$23,Y285)</f>
        <v>0</v>
      </c>
      <c r="AA285" s="69" t="n">
        <f aca="false">IF(AND(Z$24=1,OR(Y$25="",$C285&gt;=Y$25)),MAX(0,MIN(Y285-Z285,$D285-(G285+K285+O285+S285+W285))),0)</f>
        <v>0</v>
      </c>
      <c r="AB285" s="69" t="n">
        <f aca="false">Y285-Z285-AA285</f>
        <v>0</v>
      </c>
      <c r="AC285" s="69" t="n">
        <f aca="false">IF(AF284&gt;0.5,AF284*(1+AC$23)+AC$24,0)</f>
        <v>0</v>
      </c>
      <c r="AD285" s="69" t="n">
        <f aca="false">MIN(AD$23,AC285)</f>
        <v>0</v>
      </c>
      <c r="AE285" s="69" t="n">
        <f aca="false">IF(AND(AD$24=1,OR(AC$25="",$C285&gt;=AC$25)),MAX(0,MIN(AC285-AD285,$D285-(G285+K285+O285+S285+W285+AA285))),0)</f>
        <v>0</v>
      </c>
      <c r="AF285" s="69" t="n">
        <f aca="false">AC285-AD285-AE285</f>
        <v>0</v>
      </c>
      <c r="AG285" s="69" t="n">
        <f aca="false">IF(AJ284&gt;0.5,AJ284*(1+AG$23)+AG$24,0)</f>
        <v>0</v>
      </c>
      <c r="AH285" s="69" t="n">
        <f aca="false">MIN(AH$23,AG285)</f>
        <v>0</v>
      </c>
      <c r="AI285" s="69" t="n">
        <f aca="false">IF(AND(AH$24=1,OR(AG$25="",$C285&gt;=AG$25)),MAX(0,MIN(AG285-AH285,$D285-(G285+K285+O285+S285+W285+AA285+AE285))),0)</f>
        <v>0</v>
      </c>
      <c r="AJ285" s="69" t="n">
        <f aca="false">AG285-AH285-AI285</f>
        <v>0</v>
      </c>
      <c r="AK285" s="69" t="n">
        <f aca="false">IF(AK284&gt;0.5,AK284*(1+$E$12)+$G$12-MIN($F$12,AK284*(1+$E$12)+$G$12),0)</f>
        <v>0</v>
      </c>
      <c r="AL285" s="69" t="n">
        <f aca="false">IF(AL284&gt;0.5,AL284*(1+$E$13)+$G$13-MIN($F$13,AL284*(1+$E$13)+$G$13),0)</f>
        <v>0</v>
      </c>
      <c r="AM285" s="69" t="n">
        <f aca="false">IF(AM284&gt;0.5,AM284*(1+$E$14)+$G$14-MIN($F$14,AM284*(1+$E$14)+$G$14),0)</f>
        <v>0</v>
      </c>
      <c r="AN285" s="69" t="n">
        <f aca="false">IF(AN284&gt;0.5,AN284*(1+$E$15)+$G$15-MIN($F$15,AN284*(1+$E$15)+$G$15),0)</f>
        <v>0</v>
      </c>
      <c r="AO285" s="69" t="n">
        <f aca="false">IF(AO284&gt;0.5,AO284*(1+$E$16)+$G$16-MIN($F$16,AO284*(1+$E$16)+$G$16),0)</f>
        <v>0</v>
      </c>
      <c r="AP285" s="69" t="n">
        <f aca="false">IF(AP284&gt;0.5,AP284*(1+$E$17)+$G$17-MIN($F$17,AP284*(1+$E$17)+$G$17),0)</f>
        <v>0</v>
      </c>
      <c r="AQ285" s="69" t="n">
        <f aca="false">IF(AQ284&gt;0.5,AQ284*(1+$E$18)+$G$18-MIN($F$18,AQ284*(1+$E$18)+$G$18),0)</f>
        <v>0</v>
      </c>
      <c r="AR285" s="69" t="n">
        <f aca="false">IF(AR284&gt;0.5,AR284*(1+$E$19)+$G$19-MIN($F$19,AR284*(1+$E$19)+$G$19),0)</f>
        <v>0</v>
      </c>
      <c r="AS285" s="69" t="n">
        <f aca="false">H285+L285+P285+T285+X285+AB285+AF285+AJ285</f>
        <v>0</v>
      </c>
      <c r="AT285" s="69" t="n">
        <f aca="false">SUM(AK285:AR285)</f>
        <v>0</v>
      </c>
      <c r="AU285" s="69" t="n">
        <f aca="false">F285+G285+J285+K285+N285+O285+R285+S285+V285+W285+Z285+AA285+AD285+AE285+AH285+AI285</f>
        <v>0</v>
      </c>
    </row>
    <row r="286" customFormat="false" ht="15" hidden="false" customHeight="false" outlineLevel="0" collapsed="false">
      <c r="B286" s="0" t="n">
        <v>259</v>
      </c>
      <c r="C286" s="68" t="n">
        <f aca="false">EDATE($C$7,258)</f>
        <v>54149</v>
      </c>
      <c r="D286" s="69" t="n">
        <f aca="false">$C$8-(F286+J286+N286+R286+V286+Z286+AD286+AH286)</f>
        <v>0</v>
      </c>
      <c r="E286" s="69" t="n">
        <f aca="false">IF(H285&gt;0.5,H285*(1+E$23)+E$24,0)</f>
        <v>0</v>
      </c>
      <c r="F286" s="69" t="n">
        <f aca="false">MIN(F$23,E286)</f>
        <v>0</v>
      </c>
      <c r="G286" s="69" t="n">
        <f aca="false">IF(AND(F$24=1,OR(E$25="",$C286&gt;=E$25)),MAX(0,MIN(E286-F286,$D286-(0))),0)</f>
        <v>0</v>
      </c>
      <c r="H286" s="69" t="n">
        <f aca="false">E286-F286-G286</f>
        <v>0</v>
      </c>
      <c r="I286" s="69" t="n">
        <f aca="false">IF(L285&gt;0.5,L285*(1+I$23)+I$24,0)</f>
        <v>0</v>
      </c>
      <c r="J286" s="69" t="n">
        <f aca="false">MIN(J$23,I286)</f>
        <v>0</v>
      </c>
      <c r="K286" s="69" t="n">
        <f aca="false">IF(AND(J$24=1,OR(I$25="",$C286&gt;=I$25)),MAX(0,MIN(I286-J286,$D286-(G286))),0)</f>
        <v>0</v>
      </c>
      <c r="L286" s="69" t="n">
        <f aca="false">I286-J286-K286</f>
        <v>0</v>
      </c>
      <c r="M286" s="69" t="n">
        <f aca="false">IF(P285&gt;0.5,P285*(1+M$23)+M$24,0)</f>
        <v>0</v>
      </c>
      <c r="N286" s="69" t="n">
        <f aca="false">MIN(N$23,M286)</f>
        <v>0</v>
      </c>
      <c r="O286" s="69" t="n">
        <f aca="false">IF(AND(N$24=1,OR(M$25="",$C286&gt;=M$25)),MAX(0,MIN(M286-N286,$D286-(G286+K286))),0)</f>
        <v>0</v>
      </c>
      <c r="P286" s="69" t="n">
        <f aca="false">M286-N286-O286</f>
        <v>0</v>
      </c>
      <c r="Q286" s="69" t="n">
        <f aca="false">IF(T285&gt;0.5,T285*(1+Q$23)+Q$24,0)</f>
        <v>0</v>
      </c>
      <c r="R286" s="69" t="n">
        <f aca="false">MIN(R$23,Q286)</f>
        <v>0</v>
      </c>
      <c r="S286" s="69" t="n">
        <f aca="false">IF(AND(R$24=1,OR(Q$25="",$C286&gt;=Q$25)),MAX(0,MIN(Q286-R286,$D286-(G286+K286+O286))),0)</f>
        <v>0</v>
      </c>
      <c r="T286" s="69" t="n">
        <f aca="false">Q286-R286-S286</f>
        <v>0</v>
      </c>
      <c r="U286" s="69" t="n">
        <f aca="false">IF(X285&gt;0.5,X285*(1+U$23)+U$24,0)</f>
        <v>0</v>
      </c>
      <c r="V286" s="69" t="n">
        <f aca="false">MIN(V$23,U286)</f>
        <v>0</v>
      </c>
      <c r="W286" s="69" t="n">
        <f aca="false">IF(AND(V$24=1,OR(U$25="",$C286&gt;=U$25)),MAX(0,MIN(U286-V286,$D286-(G286+K286+O286+S286))),0)</f>
        <v>0</v>
      </c>
      <c r="X286" s="69" t="n">
        <f aca="false">U286-V286-W286</f>
        <v>0</v>
      </c>
      <c r="Y286" s="69" t="n">
        <f aca="false">IF(AB285&gt;0.5,AB285*(1+Y$23)+Y$24,0)</f>
        <v>0</v>
      </c>
      <c r="Z286" s="69" t="n">
        <f aca="false">MIN(Z$23,Y286)</f>
        <v>0</v>
      </c>
      <c r="AA286" s="69" t="n">
        <f aca="false">IF(AND(Z$24=1,OR(Y$25="",$C286&gt;=Y$25)),MAX(0,MIN(Y286-Z286,$D286-(G286+K286+O286+S286+W286))),0)</f>
        <v>0</v>
      </c>
      <c r="AB286" s="69" t="n">
        <f aca="false">Y286-Z286-AA286</f>
        <v>0</v>
      </c>
      <c r="AC286" s="69" t="n">
        <f aca="false">IF(AF285&gt;0.5,AF285*(1+AC$23)+AC$24,0)</f>
        <v>0</v>
      </c>
      <c r="AD286" s="69" t="n">
        <f aca="false">MIN(AD$23,AC286)</f>
        <v>0</v>
      </c>
      <c r="AE286" s="69" t="n">
        <f aca="false">IF(AND(AD$24=1,OR(AC$25="",$C286&gt;=AC$25)),MAX(0,MIN(AC286-AD286,$D286-(G286+K286+O286+S286+W286+AA286))),0)</f>
        <v>0</v>
      </c>
      <c r="AF286" s="69" t="n">
        <f aca="false">AC286-AD286-AE286</f>
        <v>0</v>
      </c>
      <c r="AG286" s="69" t="n">
        <f aca="false">IF(AJ285&gt;0.5,AJ285*(1+AG$23)+AG$24,0)</f>
        <v>0</v>
      </c>
      <c r="AH286" s="69" t="n">
        <f aca="false">MIN(AH$23,AG286)</f>
        <v>0</v>
      </c>
      <c r="AI286" s="69" t="n">
        <f aca="false">IF(AND(AH$24=1,OR(AG$25="",$C286&gt;=AG$25)),MAX(0,MIN(AG286-AH286,$D286-(G286+K286+O286+S286+W286+AA286+AE286))),0)</f>
        <v>0</v>
      </c>
      <c r="AJ286" s="69" t="n">
        <f aca="false">AG286-AH286-AI286</f>
        <v>0</v>
      </c>
      <c r="AK286" s="69" t="n">
        <f aca="false">IF(AK285&gt;0.5,AK285*(1+$E$12)+$G$12-MIN($F$12,AK285*(1+$E$12)+$G$12),0)</f>
        <v>0</v>
      </c>
      <c r="AL286" s="69" t="n">
        <f aca="false">IF(AL285&gt;0.5,AL285*(1+$E$13)+$G$13-MIN($F$13,AL285*(1+$E$13)+$G$13),0)</f>
        <v>0</v>
      </c>
      <c r="AM286" s="69" t="n">
        <f aca="false">IF(AM285&gt;0.5,AM285*(1+$E$14)+$G$14-MIN($F$14,AM285*(1+$E$14)+$G$14),0)</f>
        <v>0</v>
      </c>
      <c r="AN286" s="69" t="n">
        <f aca="false">IF(AN285&gt;0.5,AN285*(1+$E$15)+$G$15-MIN($F$15,AN285*(1+$E$15)+$G$15),0)</f>
        <v>0</v>
      </c>
      <c r="AO286" s="69" t="n">
        <f aca="false">IF(AO285&gt;0.5,AO285*(1+$E$16)+$G$16-MIN($F$16,AO285*(1+$E$16)+$G$16),0)</f>
        <v>0</v>
      </c>
      <c r="AP286" s="69" t="n">
        <f aca="false">IF(AP285&gt;0.5,AP285*(1+$E$17)+$G$17-MIN($F$17,AP285*(1+$E$17)+$G$17),0)</f>
        <v>0</v>
      </c>
      <c r="AQ286" s="69" t="n">
        <f aca="false">IF(AQ285&gt;0.5,AQ285*(1+$E$18)+$G$18-MIN($F$18,AQ285*(1+$E$18)+$G$18),0)</f>
        <v>0</v>
      </c>
      <c r="AR286" s="69" t="n">
        <f aca="false">IF(AR285&gt;0.5,AR285*(1+$E$19)+$G$19-MIN($F$19,AR285*(1+$E$19)+$G$19),0)</f>
        <v>0</v>
      </c>
      <c r="AS286" s="69" t="n">
        <f aca="false">H286+L286+P286+T286+X286+AB286+AF286+AJ286</f>
        <v>0</v>
      </c>
      <c r="AT286" s="69" t="n">
        <f aca="false">SUM(AK286:AR286)</f>
        <v>0</v>
      </c>
      <c r="AU286" s="69" t="n">
        <f aca="false">F286+G286+J286+K286+N286+O286+R286+S286+V286+W286+Z286+AA286+AD286+AE286+AH286+AI286</f>
        <v>0</v>
      </c>
    </row>
    <row r="287" customFormat="false" ht="15" hidden="false" customHeight="false" outlineLevel="0" collapsed="false">
      <c r="B287" s="0" t="n">
        <v>260</v>
      </c>
      <c r="C287" s="68" t="n">
        <f aca="false">EDATE($C$7,259)</f>
        <v>54179</v>
      </c>
      <c r="D287" s="69" t="n">
        <f aca="false">$C$8-(F287+J287+N287+R287+V287+Z287+AD287+AH287)</f>
        <v>0</v>
      </c>
      <c r="E287" s="69" t="n">
        <f aca="false">IF(H286&gt;0.5,H286*(1+E$23)+E$24,0)</f>
        <v>0</v>
      </c>
      <c r="F287" s="69" t="n">
        <f aca="false">MIN(F$23,E287)</f>
        <v>0</v>
      </c>
      <c r="G287" s="69" t="n">
        <f aca="false">IF(AND(F$24=1,OR(E$25="",$C287&gt;=E$25)),MAX(0,MIN(E287-F287,$D287-(0))),0)</f>
        <v>0</v>
      </c>
      <c r="H287" s="69" t="n">
        <f aca="false">E287-F287-G287</f>
        <v>0</v>
      </c>
      <c r="I287" s="69" t="n">
        <f aca="false">IF(L286&gt;0.5,L286*(1+I$23)+I$24,0)</f>
        <v>0</v>
      </c>
      <c r="J287" s="69" t="n">
        <f aca="false">MIN(J$23,I287)</f>
        <v>0</v>
      </c>
      <c r="K287" s="69" t="n">
        <f aca="false">IF(AND(J$24=1,OR(I$25="",$C287&gt;=I$25)),MAX(0,MIN(I287-J287,$D287-(G287))),0)</f>
        <v>0</v>
      </c>
      <c r="L287" s="69" t="n">
        <f aca="false">I287-J287-K287</f>
        <v>0</v>
      </c>
      <c r="M287" s="69" t="n">
        <f aca="false">IF(P286&gt;0.5,P286*(1+M$23)+M$24,0)</f>
        <v>0</v>
      </c>
      <c r="N287" s="69" t="n">
        <f aca="false">MIN(N$23,M287)</f>
        <v>0</v>
      </c>
      <c r="O287" s="69" t="n">
        <f aca="false">IF(AND(N$24=1,OR(M$25="",$C287&gt;=M$25)),MAX(0,MIN(M287-N287,$D287-(G287+K287))),0)</f>
        <v>0</v>
      </c>
      <c r="P287" s="69" t="n">
        <f aca="false">M287-N287-O287</f>
        <v>0</v>
      </c>
      <c r="Q287" s="69" t="n">
        <f aca="false">IF(T286&gt;0.5,T286*(1+Q$23)+Q$24,0)</f>
        <v>0</v>
      </c>
      <c r="R287" s="69" t="n">
        <f aca="false">MIN(R$23,Q287)</f>
        <v>0</v>
      </c>
      <c r="S287" s="69" t="n">
        <f aca="false">IF(AND(R$24=1,OR(Q$25="",$C287&gt;=Q$25)),MAX(0,MIN(Q287-R287,$D287-(G287+K287+O287))),0)</f>
        <v>0</v>
      </c>
      <c r="T287" s="69" t="n">
        <f aca="false">Q287-R287-S287</f>
        <v>0</v>
      </c>
      <c r="U287" s="69" t="n">
        <f aca="false">IF(X286&gt;0.5,X286*(1+U$23)+U$24,0)</f>
        <v>0</v>
      </c>
      <c r="V287" s="69" t="n">
        <f aca="false">MIN(V$23,U287)</f>
        <v>0</v>
      </c>
      <c r="W287" s="69" t="n">
        <f aca="false">IF(AND(V$24=1,OR(U$25="",$C287&gt;=U$25)),MAX(0,MIN(U287-V287,$D287-(G287+K287+O287+S287))),0)</f>
        <v>0</v>
      </c>
      <c r="X287" s="69" t="n">
        <f aca="false">U287-V287-W287</f>
        <v>0</v>
      </c>
      <c r="Y287" s="69" t="n">
        <f aca="false">IF(AB286&gt;0.5,AB286*(1+Y$23)+Y$24,0)</f>
        <v>0</v>
      </c>
      <c r="Z287" s="69" t="n">
        <f aca="false">MIN(Z$23,Y287)</f>
        <v>0</v>
      </c>
      <c r="AA287" s="69" t="n">
        <f aca="false">IF(AND(Z$24=1,OR(Y$25="",$C287&gt;=Y$25)),MAX(0,MIN(Y287-Z287,$D287-(G287+K287+O287+S287+W287))),0)</f>
        <v>0</v>
      </c>
      <c r="AB287" s="69" t="n">
        <f aca="false">Y287-Z287-AA287</f>
        <v>0</v>
      </c>
      <c r="AC287" s="69" t="n">
        <f aca="false">IF(AF286&gt;0.5,AF286*(1+AC$23)+AC$24,0)</f>
        <v>0</v>
      </c>
      <c r="AD287" s="69" t="n">
        <f aca="false">MIN(AD$23,AC287)</f>
        <v>0</v>
      </c>
      <c r="AE287" s="69" t="n">
        <f aca="false">IF(AND(AD$24=1,OR(AC$25="",$C287&gt;=AC$25)),MAX(0,MIN(AC287-AD287,$D287-(G287+K287+O287+S287+W287+AA287))),0)</f>
        <v>0</v>
      </c>
      <c r="AF287" s="69" t="n">
        <f aca="false">AC287-AD287-AE287</f>
        <v>0</v>
      </c>
      <c r="AG287" s="69" t="n">
        <f aca="false">IF(AJ286&gt;0.5,AJ286*(1+AG$23)+AG$24,0)</f>
        <v>0</v>
      </c>
      <c r="AH287" s="69" t="n">
        <f aca="false">MIN(AH$23,AG287)</f>
        <v>0</v>
      </c>
      <c r="AI287" s="69" t="n">
        <f aca="false">IF(AND(AH$24=1,OR(AG$25="",$C287&gt;=AG$25)),MAX(0,MIN(AG287-AH287,$D287-(G287+K287+O287+S287+W287+AA287+AE287))),0)</f>
        <v>0</v>
      </c>
      <c r="AJ287" s="69" t="n">
        <f aca="false">AG287-AH287-AI287</f>
        <v>0</v>
      </c>
      <c r="AK287" s="69" t="n">
        <f aca="false">IF(AK286&gt;0.5,AK286*(1+$E$12)+$G$12-MIN($F$12,AK286*(1+$E$12)+$G$12),0)</f>
        <v>0</v>
      </c>
      <c r="AL287" s="69" t="n">
        <f aca="false">IF(AL286&gt;0.5,AL286*(1+$E$13)+$G$13-MIN($F$13,AL286*(1+$E$13)+$G$13),0)</f>
        <v>0</v>
      </c>
      <c r="AM287" s="69" t="n">
        <f aca="false">IF(AM286&gt;0.5,AM286*(1+$E$14)+$G$14-MIN($F$14,AM286*(1+$E$14)+$G$14),0)</f>
        <v>0</v>
      </c>
      <c r="AN287" s="69" t="n">
        <f aca="false">IF(AN286&gt;0.5,AN286*(1+$E$15)+$G$15-MIN($F$15,AN286*(1+$E$15)+$G$15),0)</f>
        <v>0</v>
      </c>
      <c r="AO287" s="69" t="n">
        <f aca="false">IF(AO286&gt;0.5,AO286*(1+$E$16)+$G$16-MIN($F$16,AO286*(1+$E$16)+$G$16),0)</f>
        <v>0</v>
      </c>
      <c r="AP287" s="69" t="n">
        <f aca="false">IF(AP286&gt;0.5,AP286*(1+$E$17)+$G$17-MIN($F$17,AP286*(1+$E$17)+$G$17),0)</f>
        <v>0</v>
      </c>
      <c r="AQ287" s="69" t="n">
        <f aca="false">IF(AQ286&gt;0.5,AQ286*(1+$E$18)+$G$18-MIN($F$18,AQ286*(1+$E$18)+$G$18),0)</f>
        <v>0</v>
      </c>
      <c r="AR287" s="69" t="n">
        <f aca="false">IF(AR286&gt;0.5,AR286*(1+$E$19)+$G$19-MIN($F$19,AR286*(1+$E$19)+$G$19),0)</f>
        <v>0</v>
      </c>
      <c r="AS287" s="69" t="n">
        <f aca="false">H287+L287+P287+T287+X287+AB287+AF287+AJ287</f>
        <v>0</v>
      </c>
      <c r="AT287" s="69" t="n">
        <f aca="false">SUM(AK287:AR287)</f>
        <v>0</v>
      </c>
      <c r="AU287" s="69" t="n">
        <f aca="false">F287+G287+J287+K287+N287+O287+R287+S287+V287+W287+Z287+AA287+AD287+AE287+AH287+AI287</f>
        <v>0</v>
      </c>
    </row>
    <row r="288" customFormat="false" ht="15" hidden="false" customHeight="false" outlineLevel="0" collapsed="false">
      <c r="B288" s="0" t="n">
        <v>261</v>
      </c>
      <c r="C288" s="68" t="n">
        <f aca="false">EDATE($C$7,260)</f>
        <v>54210</v>
      </c>
      <c r="D288" s="69" t="n">
        <f aca="false">$C$8-(F288+J288+N288+R288+V288+Z288+AD288+AH288)</f>
        <v>0</v>
      </c>
      <c r="E288" s="69" t="n">
        <f aca="false">IF(H287&gt;0.5,H287*(1+E$23)+E$24,0)</f>
        <v>0</v>
      </c>
      <c r="F288" s="69" t="n">
        <f aca="false">MIN(F$23,E288)</f>
        <v>0</v>
      </c>
      <c r="G288" s="69" t="n">
        <f aca="false">IF(AND(F$24=1,OR(E$25="",$C288&gt;=E$25)),MAX(0,MIN(E288-F288,$D288-(0))),0)</f>
        <v>0</v>
      </c>
      <c r="H288" s="69" t="n">
        <f aca="false">E288-F288-G288</f>
        <v>0</v>
      </c>
      <c r="I288" s="69" t="n">
        <f aca="false">IF(L287&gt;0.5,L287*(1+I$23)+I$24,0)</f>
        <v>0</v>
      </c>
      <c r="J288" s="69" t="n">
        <f aca="false">MIN(J$23,I288)</f>
        <v>0</v>
      </c>
      <c r="K288" s="69" t="n">
        <f aca="false">IF(AND(J$24=1,OR(I$25="",$C288&gt;=I$25)),MAX(0,MIN(I288-J288,$D288-(G288))),0)</f>
        <v>0</v>
      </c>
      <c r="L288" s="69" t="n">
        <f aca="false">I288-J288-K288</f>
        <v>0</v>
      </c>
      <c r="M288" s="69" t="n">
        <f aca="false">IF(P287&gt;0.5,P287*(1+M$23)+M$24,0)</f>
        <v>0</v>
      </c>
      <c r="N288" s="69" t="n">
        <f aca="false">MIN(N$23,M288)</f>
        <v>0</v>
      </c>
      <c r="O288" s="69" t="n">
        <f aca="false">IF(AND(N$24=1,OR(M$25="",$C288&gt;=M$25)),MAX(0,MIN(M288-N288,$D288-(G288+K288))),0)</f>
        <v>0</v>
      </c>
      <c r="P288" s="69" t="n">
        <f aca="false">M288-N288-O288</f>
        <v>0</v>
      </c>
      <c r="Q288" s="69" t="n">
        <f aca="false">IF(T287&gt;0.5,T287*(1+Q$23)+Q$24,0)</f>
        <v>0</v>
      </c>
      <c r="R288" s="69" t="n">
        <f aca="false">MIN(R$23,Q288)</f>
        <v>0</v>
      </c>
      <c r="S288" s="69" t="n">
        <f aca="false">IF(AND(R$24=1,OR(Q$25="",$C288&gt;=Q$25)),MAX(0,MIN(Q288-R288,$D288-(G288+K288+O288))),0)</f>
        <v>0</v>
      </c>
      <c r="T288" s="69" t="n">
        <f aca="false">Q288-R288-S288</f>
        <v>0</v>
      </c>
      <c r="U288" s="69" t="n">
        <f aca="false">IF(X287&gt;0.5,X287*(1+U$23)+U$24,0)</f>
        <v>0</v>
      </c>
      <c r="V288" s="69" t="n">
        <f aca="false">MIN(V$23,U288)</f>
        <v>0</v>
      </c>
      <c r="W288" s="69" t="n">
        <f aca="false">IF(AND(V$24=1,OR(U$25="",$C288&gt;=U$25)),MAX(0,MIN(U288-V288,$D288-(G288+K288+O288+S288))),0)</f>
        <v>0</v>
      </c>
      <c r="X288" s="69" t="n">
        <f aca="false">U288-V288-W288</f>
        <v>0</v>
      </c>
      <c r="Y288" s="69" t="n">
        <f aca="false">IF(AB287&gt;0.5,AB287*(1+Y$23)+Y$24,0)</f>
        <v>0</v>
      </c>
      <c r="Z288" s="69" t="n">
        <f aca="false">MIN(Z$23,Y288)</f>
        <v>0</v>
      </c>
      <c r="AA288" s="69" t="n">
        <f aca="false">IF(AND(Z$24=1,OR(Y$25="",$C288&gt;=Y$25)),MAX(0,MIN(Y288-Z288,$D288-(G288+K288+O288+S288+W288))),0)</f>
        <v>0</v>
      </c>
      <c r="AB288" s="69" t="n">
        <f aca="false">Y288-Z288-AA288</f>
        <v>0</v>
      </c>
      <c r="AC288" s="69" t="n">
        <f aca="false">IF(AF287&gt;0.5,AF287*(1+AC$23)+AC$24,0)</f>
        <v>0</v>
      </c>
      <c r="AD288" s="69" t="n">
        <f aca="false">MIN(AD$23,AC288)</f>
        <v>0</v>
      </c>
      <c r="AE288" s="69" t="n">
        <f aca="false">IF(AND(AD$24=1,OR(AC$25="",$C288&gt;=AC$25)),MAX(0,MIN(AC288-AD288,$D288-(G288+K288+O288+S288+W288+AA288))),0)</f>
        <v>0</v>
      </c>
      <c r="AF288" s="69" t="n">
        <f aca="false">AC288-AD288-AE288</f>
        <v>0</v>
      </c>
      <c r="AG288" s="69" t="n">
        <f aca="false">IF(AJ287&gt;0.5,AJ287*(1+AG$23)+AG$24,0)</f>
        <v>0</v>
      </c>
      <c r="AH288" s="69" t="n">
        <f aca="false">MIN(AH$23,AG288)</f>
        <v>0</v>
      </c>
      <c r="AI288" s="69" t="n">
        <f aca="false">IF(AND(AH$24=1,OR(AG$25="",$C288&gt;=AG$25)),MAX(0,MIN(AG288-AH288,$D288-(G288+K288+O288+S288+W288+AA288+AE288))),0)</f>
        <v>0</v>
      </c>
      <c r="AJ288" s="69" t="n">
        <f aca="false">AG288-AH288-AI288</f>
        <v>0</v>
      </c>
      <c r="AK288" s="69" t="n">
        <f aca="false">IF(AK287&gt;0.5,AK287*(1+$E$12)+$G$12-MIN($F$12,AK287*(1+$E$12)+$G$12),0)</f>
        <v>0</v>
      </c>
      <c r="AL288" s="69" t="n">
        <f aca="false">IF(AL287&gt;0.5,AL287*(1+$E$13)+$G$13-MIN($F$13,AL287*(1+$E$13)+$G$13),0)</f>
        <v>0</v>
      </c>
      <c r="AM288" s="69" t="n">
        <f aca="false">IF(AM287&gt;0.5,AM287*(1+$E$14)+$G$14-MIN($F$14,AM287*(1+$E$14)+$G$14),0)</f>
        <v>0</v>
      </c>
      <c r="AN288" s="69" t="n">
        <f aca="false">IF(AN287&gt;0.5,AN287*(1+$E$15)+$G$15-MIN($F$15,AN287*(1+$E$15)+$G$15),0)</f>
        <v>0</v>
      </c>
      <c r="AO288" s="69" t="n">
        <f aca="false">IF(AO287&gt;0.5,AO287*(1+$E$16)+$G$16-MIN($F$16,AO287*(1+$E$16)+$G$16),0)</f>
        <v>0</v>
      </c>
      <c r="AP288" s="69" t="n">
        <f aca="false">IF(AP287&gt;0.5,AP287*(1+$E$17)+$G$17-MIN($F$17,AP287*(1+$E$17)+$G$17),0)</f>
        <v>0</v>
      </c>
      <c r="AQ288" s="69" t="n">
        <f aca="false">IF(AQ287&gt;0.5,AQ287*(1+$E$18)+$G$18-MIN($F$18,AQ287*(1+$E$18)+$G$18),0)</f>
        <v>0</v>
      </c>
      <c r="AR288" s="69" t="n">
        <f aca="false">IF(AR287&gt;0.5,AR287*(1+$E$19)+$G$19-MIN($F$19,AR287*(1+$E$19)+$G$19),0)</f>
        <v>0</v>
      </c>
      <c r="AS288" s="69" t="n">
        <f aca="false">H288+L288+P288+T288+X288+AB288+AF288+AJ288</f>
        <v>0</v>
      </c>
      <c r="AT288" s="69" t="n">
        <f aca="false">SUM(AK288:AR288)</f>
        <v>0</v>
      </c>
      <c r="AU288" s="69" t="n">
        <f aca="false">F288+G288+J288+K288+N288+O288+R288+S288+V288+W288+Z288+AA288+AD288+AE288+AH288+AI288</f>
        <v>0</v>
      </c>
    </row>
    <row r="289" customFormat="false" ht="15" hidden="false" customHeight="false" outlineLevel="0" collapsed="false">
      <c r="B289" s="0" t="n">
        <v>262</v>
      </c>
      <c r="C289" s="68" t="n">
        <f aca="false">EDATE($C$7,261)</f>
        <v>54240</v>
      </c>
      <c r="D289" s="69" t="n">
        <f aca="false">$C$8-(F289+J289+N289+R289+V289+Z289+AD289+AH289)</f>
        <v>0</v>
      </c>
      <c r="E289" s="69" t="n">
        <f aca="false">IF(H288&gt;0.5,H288*(1+E$23)+E$24,0)</f>
        <v>0</v>
      </c>
      <c r="F289" s="69" t="n">
        <f aca="false">MIN(F$23,E289)</f>
        <v>0</v>
      </c>
      <c r="G289" s="69" t="n">
        <f aca="false">IF(AND(F$24=1,OR(E$25="",$C289&gt;=E$25)),MAX(0,MIN(E289-F289,$D289-(0))),0)</f>
        <v>0</v>
      </c>
      <c r="H289" s="69" t="n">
        <f aca="false">E289-F289-G289</f>
        <v>0</v>
      </c>
      <c r="I289" s="69" t="n">
        <f aca="false">IF(L288&gt;0.5,L288*(1+I$23)+I$24,0)</f>
        <v>0</v>
      </c>
      <c r="J289" s="69" t="n">
        <f aca="false">MIN(J$23,I289)</f>
        <v>0</v>
      </c>
      <c r="K289" s="69" t="n">
        <f aca="false">IF(AND(J$24=1,OR(I$25="",$C289&gt;=I$25)),MAX(0,MIN(I289-J289,$D289-(G289))),0)</f>
        <v>0</v>
      </c>
      <c r="L289" s="69" t="n">
        <f aca="false">I289-J289-K289</f>
        <v>0</v>
      </c>
      <c r="M289" s="69" t="n">
        <f aca="false">IF(P288&gt;0.5,P288*(1+M$23)+M$24,0)</f>
        <v>0</v>
      </c>
      <c r="N289" s="69" t="n">
        <f aca="false">MIN(N$23,M289)</f>
        <v>0</v>
      </c>
      <c r="O289" s="69" t="n">
        <f aca="false">IF(AND(N$24=1,OR(M$25="",$C289&gt;=M$25)),MAX(0,MIN(M289-N289,$D289-(G289+K289))),0)</f>
        <v>0</v>
      </c>
      <c r="P289" s="69" t="n">
        <f aca="false">M289-N289-O289</f>
        <v>0</v>
      </c>
      <c r="Q289" s="69" t="n">
        <f aca="false">IF(T288&gt;0.5,T288*(1+Q$23)+Q$24,0)</f>
        <v>0</v>
      </c>
      <c r="R289" s="69" t="n">
        <f aca="false">MIN(R$23,Q289)</f>
        <v>0</v>
      </c>
      <c r="S289" s="69" t="n">
        <f aca="false">IF(AND(R$24=1,OR(Q$25="",$C289&gt;=Q$25)),MAX(0,MIN(Q289-R289,$D289-(G289+K289+O289))),0)</f>
        <v>0</v>
      </c>
      <c r="T289" s="69" t="n">
        <f aca="false">Q289-R289-S289</f>
        <v>0</v>
      </c>
      <c r="U289" s="69" t="n">
        <f aca="false">IF(X288&gt;0.5,X288*(1+U$23)+U$24,0)</f>
        <v>0</v>
      </c>
      <c r="V289" s="69" t="n">
        <f aca="false">MIN(V$23,U289)</f>
        <v>0</v>
      </c>
      <c r="W289" s="69" t="n">
        <f aca="false">IF(AND(V$24=1,OR(U$25="",$C289&gt;=U$25)),MAX(0,MIN(U289-V289,$D289-(G289+K289+O289+S289))),0)</f>
        <v>0</v>
      </c>
      <c r="X289" s="69" t="n">
        <f aca="false">U289-V289-W289</f>
        <v>0</v>
      </c>
      <c r="Y289" s="69" t="n">
        <f aca="false">IF(AB288&gt;0.5,AB288*(1+Y$23)+Y$24,0)</f>
        <v>0</v>
      </c>
      <c r="Z289" s="69" t="n">
        <f aca="false">MIN(Z$23,Y289)</f>
        <v>0</v>
      </c>
      <c r="AA289" s="69" t="n">
        <f aca="false">IF(AND(Z$24=1,OR(Y$25="",$C289&gt;=Y$25)),MAX(0,MIN(Y289-Z289,$D289-(G289+K289+O289+S289+W289))),0)</f>
        <v>0</v>
      </c>
      <c r="AB289" s="69" t="n">
        <f aca="false">Y289-Z289-AA289</f>
        <v>0</v>
      </c>
      <c r="AC289" s="69" t="n">
        <f aca="false">IF(AF288&gt;0.5,AF288*(1+AC$23)+AC$24,0)</f>
        <v>0</v>
      </c>
      <c r="AD289" s="69" t="n">
        <f aca="false">MIN(AD$23,AC289)</f>
        <v>0</v>
      </c>
      <c r="AE289" s="69" t="n">
        <f aca="false">IF(AND(AD$24=1,OR(AC$25="",$C289&gt;=AC$25)),MAX(0,MIN(AC289-AD289,$D289-(G289+K289+O289+S289+W289+AA289))),0)</f>
        <v>0</v>
      </c>
      <c r="AF289" s="69" t="n">
        <f aca="false">AC289-AD289-AE289</f>
        <v>0</v>
      </c>
      <c r="AG289" s="69" t="n">
        <f aca="false">IF(AJ288&gt;0.5,AJ288*(1+AG$23)+AG$24,0)</f>
        <v>0</v>
      </c>
      <c r="AH289" s="69" t="n">
        <f aca="false">MIN(AH$23,AG289)</f>
        <v>0</v>
      </c>
      <c r="AI289" s="69" t="n">
        <f aca="false">IF(AND(AH$24=1,OR(AG$25="",$C289&gt;=AG$25)),MAX(0,MIN(AG289-AH289,$D289-(G289+K289+O289+S289+W289+AA289+AE289))),0)</f>
        <v>0</v>
      </c>
      <c r="AJ289" s="69" t="n">
        <f aca="false">AG289-AH289-AI289</f>
        <v>0</v>
      </c>
      <c r="AK289" s="69" t="n">
        <f aca="false">IF(AK288&gt;0.5,AK288*(1+$E$12)+$G$12-MIN($F$12,AK288*(1+$E$12)+$G$12),0)</f>
        <v>0</v>
      </c>
      <c r="AL289" s="69" t="n">
        <f aca="false">IF(AL288&gt;0.5,AL288*(1+$E$13)+$G$13-MIN($F$13,AL288*(1+$E$13)+$G$13),0)</f>
        <v>0</v>
      </c>
      <c r="AM289" s="69" t="n">
        <f aca="false">IF(AM288&gt;0.5,AM288*(1+$E$14)+$G$14-MIN($F$14,AM288*(1+$E$14)+$G$14),0)</f>
        <v>0</v>
      </c>
      <c r="AN289" s="69" t="n">
        <f aca="false">IF(AN288&gt;0.5,AN288*(1+$E$15)+$G$15-MIN($F$15,AN288*(1+$E$15)+$G$15),0)</f>
        <v>0</v>
      </c>
      <c r="AO289" s="69" t="n">
        <f aca="false">IF(AO288&gt;0.5,AO288*(1+$E$16)+$G$16-MIN($F$16,AO288*(1+$E$16)+$G$16),0)</f>
        <v>0</v>
      </c>
      <c r="AP289" s="69" t="n">
        <f aca="false">IF(AP288&gt;0.5,AP288*(1+$E$17)+$G$17-MIN($F$17,AP288*(1+$E$17)+$G$17),0)</f>
        <v>0</v>
      </c>
      <c r="AQ289" s="69" t="n">
        <f aca="false">IF(AQ288&gt;0.5,AQ288*(1+$E$18)+$G$18-MIN($F$18,AQ288*(1+$E$18)+$G$18),0)</f>
        <v>0</v>
      </c>
      <c r="AR289" s="69" t="n">
        <f aca="false">IF(AR288&gt;0.5,AR288*(1+$E$19)+$G$19-MIN($F$19,AR288*(1+$E$19)+$G$19),0)</f>
        <v>0</v>
      </c>
      <c r="AS289" s="69" t="n">
        <f aca="false">H289+L289+P289+T289+X289+AB289+AF289+AJ289</f>
        <v>0</v>
      </c>
      <c r="AT289" s="69" t="n">
        <f aca="false">SUM(AK289:AR289)</f>
        <v>0</v>
      </c>
      <c r="AU289" s="69" t="n">
        <f aca="false">F289+G289+J289+K289+N289+O289+R289+S289+V289+W289+Z289+AA289+AD289+AE289+AH289+AI289</f>
        <v>0</v>
      </c>
    </row>
    <row r="290" customFormat="false" ht="15" hidden="false" customHeight="false" outlineLevel="0" collapsed="false">
      <c r="B290" s="0" t="n">
        <v>263</v>
      </c>
      <c r="C290" s="68" t="n">
        <f aca="false">EDATE($C$7,262)</f>
        <v>54271</v>
      </c>
      <c r="D290" s="69" t="n">
        <f aca="false">$C$8-(F290+J290+N290+R290+V290+Z290+AD290+AH290)</f>
        <v>0</v>
      </c>
      <c r="E290" s="69" t="n">
        <f aca="false">IF(H289&gt;0.5,H289*(1+E$23)+E$24,0)</f>
        <v>0</v>
      </c>
      <c r="F290" s="69" t="n">
        <f aca="false">MIN(F$23,E290)</f>
        <v>0</v>
      </c>
      <c r="G290" s="69" t="n">
        <f aca="false">IF(AND(F$24=1,OR(E$25="",$C290&gt;=E$25)),MAX(0,MIN(E290-F290,$D290-(0))),0)</f>
        <v>0</v>
      </c>
      <c r="H290" s="69" t="n">
        <f aca="false">E290-F290-G290</f>
        <v>0</v>
      </c>
      <c r="I290" s="69" t="n">
        <f aca="false">IF(L289&gt;0.5,L289*(1+I$23)+I$24,0)</f>
        <v>0</v>
      </c>
      <c r="J290" s="69" t="n">
        <f aca="false">MIN(J$23,I290)</f>
        <v>0</v>
      </c>
      <c r="K290" s="69" t="n">
        <f aca="false">IF(AND(J$24=1,OR(I$25="",$C290&gt;=I$25)),MAX(0,MIN(I290-J290,$D290-(G290))),0)</f>
        <v>0</v>
      </c>
      <c r="L290" s="69" t="n">
        <f aca="false">I290-J290-K290</f>
        <v>0</v>
      </c>
      <c r="M290" s="69" t="n">
        <f aca="false">IF(P289&gt;0.5,P289*(1+M$23)+M$24,0)</f>
        <v>0</v>
      </c>
      <c r="N290" s="69" t="n">
        <f aca="false">MIN(N$23,M290)</f>
        <v>0</v>
      </c>
      <c r="O290" s="69" t="n">
        <f aca="false">IF(AND(N$24=1,OR(M$25="",$C290&gt;=M$25)),MAX(0,MIN(M290-N290,$D290-(G290+K290))),0)</f>
        <v>0</v>
      </c>
      <c r="P290" s="69" t="n">
        <f aca="false">M290-N290-O290</f>
        <v>0</v>
      </c>
      <c r="Q290" s="69" t="n">
        <f aca="false">IF(T289&gt;0.5,T289*(1+Q$23)+Q$24,0)</f>
        <v>0</v>
      </c>
      <c r="R290" s="69" t="n">
        <f aca="false">MIN(R$23,Q290)</f>
        <v>0</v>
      </c>
      <c r="S290" s="69" t="n">
        <f aca="false">IF(AND(R$24=1,OR(Q$25="",$C290&gt;=Q$25)),MAX(0,MIN(Q290-R290,$D290-(G290+K290+O290))),0)</f>
        <v>0</v>
      </c>
      <c r="T290" s="69" t="n">
        <f aca="false">Q290-R290-S290</f>
        <v>0</v>
      </c>
      <c r="U290" s="69" t="n">
        <f aca="false">IF(X289&gt;0.5,X289*(1+U$23)+U$24,0)</f>
        <v>0</v>
      </c>
      <c r="V290" s="69" t="n">
        <f aca="false">MIN(V$23,U290)</f>
        <v>0</v>
      </c>
      <c r="W290" s="69" t="n">
        <f aca="false">IF(AND(V$24=1,OR(U$25="",$C290&gt;=U$25)),MAX(0,MIN(U290-V290,$D290-(G290+K290+O290+S290))),0)</f>
        <v>0</v>
      </c>
      <c r="X290" s="69" t="n">
        <f aca="false">U290-V290-W290</f>
        <v>0</v>
      </c>
      <c r="Y290" s="69" t="n">
        <f aca="false">IF(AB289&gt;0.5,AB289*(1+Y$23)+Y$24,0)</f>
        <v>0</v>
      </c>
      <c r="Z290" s="69" t="n">
        <f aca="false">MIN(Z$23,Y290)</f>
        <v>0</v>
      </c>
      <c r="AA290" s="69" t="n">
        <f aca="false">IF(AND(Z$24=1,OR(Y$25="",$C290&gt;=Y$25)),MAX(0,MIN(Y290-Z290,$D290-(G290+K290+O290+S290+W290))),0)</f>
        <v>0</v>
      </c>
      <c r="AB290" s="69" t="n">
        <f aca="false">Y290-Z290-AA290</f>
        <v>0</v>
      </c>
      <c r="AC290" s="69" t="n">
        <f aca="false">IF(AF289&gt;0.5,AF289*(1+AC$23)+AC$24,0)</f>
        <v>0</v>
      </c>
      <c r="AD290" s="69" t="n">
        <f aca="false">MIN(AD$23,AC290)</f>
        <v>0</v>
      </c>
      <c r="AE290" s="69" t="n">
        <f aca="false">IF(AND(AD$24=1,OR(AC$25="",$C290&gt;=AC$25)),MAX(0,MIN(AC290-AD290,$D290-(G290+K290+O290+S290+W290+AA290))),0)</f>
        <v>0</v>
      </c>
      <c r="AF290" s="69" t="n">
        <f aca="false">AC290-AD290-AE290</f>
        <v>0</v>
      </c>
      <c r="AG290" s="69" t="n">
        <f aca="false">IF(AJ289&gt;0.5,AJ289*(1+AG$23)+AG$24,0)</f>
        <v>0</v>
      </c>
      <c r="AH290" s="69" t="n">
        <f aca="false">MIN(AH$23,AG290)</f>
        <v>0</v>
      </c>
      <c r="AI290" s="69" t="n">
        <f aca="false">IF(AND(AH$24=1,OR(AG$25="",$C290&gt;=AG$25)),MAX(0,MIN(AG290-AH290,$D290-(G290+K290+O290+S290+W290+AA290+AE290))),0)</f>
        <v>0</v>
      </c>
      <c r="AJ290" s="69" t="n">
        <f aca="false">AG290-AH290-AI290</f>
        <v>0</v>
      </c>
      <c r="AK290" s="69" t="n">
        <f aca="false">IF(AK289&gt;0.5,AK289*(1+$E$12)+$G$12-MIN($F$12,AK289*(1+$E$12)+$G$12),0)</f>
        <v>0</v>
      </c>
      <c r="AL290" s="69" t="n">
        <f aca="false">IF(AL289&gt;0.5,AL289*(1+$E$13)+$G$13-MIN($F$13,AL289*(1+$E$13)+$G$13),0)</f>
        <v>0</v>
      </c>
      <c r="AM290" s="69" t="n">
        <f aca="false">IF(AM289&gt;0.5,AM289*(1+$E$14)+$G$14-MIN($F$14,AM289*(1+$E$14)+$G$14),0)</f>
        <v>0</v>
      </c>
      <c r="AN290" s="69" t="n">
        <f aca="false">IF(AN289&gt;0.5,AN289*(1+$E$15)+$G$15-MIN($F$15,AN289*(1+$E$15)+$G$15),0)</f>
        <v>0</v>
      </c>
      <c r="AO290" s="69" t="n">
        <f aca="false">IF(AO289&gt;0.5,AO289*(1+$E$16)+$G$16-MIN($F$16,AO289*(1+$E$16)+$G$16),0)</f>
        <v>0</v>
      </c>
      <c r="AP290" s="69" t="n">
        <f aca="false">IF(AP289&gt;0.5,AP289*(1+$E$17)+$G$17-MIN($F$17,AP289*(1+$E$17)+$G$17),0)</f>
        <v>0</v>
      </c>
      <c r="AQ290" s="69" t="n">
        <f aca="false">IF(AQ289&gt;0.5,AQ289*(1+$E$18)+$G$18-MIN($F$18,AQ289*(1+$E$18)+$G$18),0)</f>
        <v>0</v>
      </c>
      <c r="AR290" s="69" t="n">
        <f aca="false">IF(AR289&gt;0.5,AR289*(1+$E$19)+$G$19-MIN($F$19,AR289*(1+$E$19)+$G$19),0)</f>
        <v>0</v>
      </c>
      <c r="AS290" s="69" t="n">
        <f aca="false">H290+L290+P290+T290+X290+AB290+AF290+AJ290</f>
        <v>0</v>
      </c>
      <c r="AT290" s="69" t="n">
        <f aca="false">SUM(AK290:AR290)</f>
        <v>0</v>
      </c>
      <c r="AU290" s="69" t="n">
        <f aca="false">F290+G290+J290+K290+N290+O290+R290+S290+V290+W290+Z290+AA290+AD290+AE290+AH290+AI290</f>
        <v>0</v>
      </c>
    </row>
    <row r="291" customFormat="false" ht="15" hidden="false" customHeight="false" outlineLevel="0" collapsed="false">
      <c r="B291" s="0" t="n">
        <v>264</v>
      </c>
      <c r="C291" s="68" t="n">
        <f aca="false">EDATE($C$7,263)</f>
        <v>54302</v>
      </c>
      <c r="D291" s="69" t="n">
        <f aca="false">$C$8-(F291+J291+N291+R291+V291+Z291+AD291+AH291)</f>
        <v>0</v>
      </c>
      <c r="E291" s="69" t="n">
        <f aca="false">IF(H290&gt;0.5,H290*(1+E$23)+E$24,0)</f>
        <v>0</v>
      </c>
      <c r="F291" s="69" t="n">
        <f aca="false">MIN(F$23,E291)</f>
        <v>0</v>
      </c>
      <c r="G291" s="69" t="n">
        <f aca="false">IF(AND(F$24=1,OR(E$25="",$C291&gt;=E$25)),MAX(0,MIN(E291-F291,$D291-(0))),0)</f>
        <v>0</v>
      </c>
      <c r="H291" s="69" t="n">
        <f aca="false">E291-F291-G291</f>
        <v>0</v>
      </c>
      <c r="I291" s="69" t="n">
        <f aca="false">IF(L290&gt;0.5,L290*(1+I$23)+I$24,0)</f>
        <v>0</v>
      </c>
      <c r="J291" s="69" t="n">
        <f aca="false">MIN(J$23,I291)</f>
        <v>0</v>
      </c>
      <c r="K291" s="69" t="n">
        <f aca="false">IF(AND(J$24=1,OR(I$25="",$C291&gt;=I$25)),MAX(0,MIN(I291-J291,$D291-(G291))),0)</f>
        <v>0</v>
      </c>
      <c r="L291" s="69" t="n">
        <f aca="false">I291-J291-K291</f>
        <v>0</v>
      </c>
      <c r="M291" s="69" t="n">
        <f aca="false">IF(P290&gt;0.5,P290*(1+M$23)+M$24,0)</f>
        <v>0</v>
      </c>
      <c r="N291" s="69" t="n">
        <f aca="false">MIN(N$23,M291)</f>
        <v>0</v>
      </c>
      <c r="O291" s="69" t="n">
        <f aca="false">IF(AND(N$24=1,OR(M$25="",$C291&gt;=M$25)),MAX(0,MIN(M291-N291,$D291-(G291+K291))),0)</f>
        <v>0</v>
      </c>
      <c r="P291" s="69" t="n">
        <f aca="false">M291-N291-O291</f>
        <v>0</v>
      </c>
      <c r="Q291" s="69" t="n">
        <f aca="false">IF(T290&gt;0.5,T290*(1+Q$23)+Q$24,0)</f>
        <v>0</v>
      </c>
      <c r="R291" s="69" t="n">
        <f aca="false">MIN(R$23,Q291)</f>
        <v>0</v>
      </c>
      <c r="S291" s="69" t="n">
        <f aca="false">IF(AND(R$24=1,OR(Q$25="",$C291&gt;=Q$25)),MAX(0,MIN(Q291-R291,$D291-(G291+K291+O291))),0)</f>
        <v>0</v>
      </c>
      <c r="T291" s="69" t="n">
        <f aca="false">Q291-R291-S291</f>
        <v>0</v>
      </c>
      <c r="U291" s="69" t="n">
        <f aca="false">IF(X290&gt;0.5,X290*(1+U$23)+U$24,0)</f>
        <v>0</v>
      </c>
      <c r="V291" s="69" t="n">
        <f aca="false">MIN(V$23,U291)</f>
        <v>0</v>
      </c>
      <c r="W291" s="69" t="n">
        <f aca="false">IF(AND(V$24=1,OR(U$25="",$C291&gt;=U$25)),MAX(0,MIN(U291-V291,$D291-(G291+K291+O291+S291))),0)</f>
        <v>0</v>
      </c>
      <c r="X291" s="69" t="n">
        <f aca="false">U291-V291-W291</f>
        <v>0</v>
      </c>
      <c r="Y291" s="69" t="n">
        <f aca="false">IF(AB290&gt;0.5,AB290*(1+Y$23)+Y$24,0)</f>
        <v>0</v>
      </c>
      <c r="Z291" s="69" t="n">
        <f aca="false">MIN(Z$23,Y291)</f>
        <v>0</v>
      </c>
      <c r="AA291" s="69" t="n">
        <f aca="false">IF(AND(Z$24=1,OR(Y$25="",$C291&gt;=Y$25)),MAX(0,MIN(Y291-Z291,$D291-(G291+K291+O291+S291+W291))),0)</f>
        <v>0</v>
      </c>
      <c r="AB291" s="69" t="n">
        <f aca="false">Y291-Z291-AA291</f>
        <v>0</v>
      </c>
      <c r="AC291" s="69" t="n">
        <f aca="false">IF(AF290&gt;0.5,AF290*(1+AC$23)+AC$24,0)</f>
        <v>0</v>
      </c>
      <c r="AD291" s="69" t="n">
        <f aca="false">MIN(AD$23,AC291)</f>
        <v>0</v>
      </c>
      <c r="AE291" s="69" t="n">
        <f aca="false">IF(AND(AD$24=1,OR(AC$25="",$C291&gt;=AC$25)),MAX(0,MIN(AC291-AD291,$D291-(G291+K291+O291+S291+W291+AA291))),0)</f>
        <v>0</v>
      </c>
      <c r="AF291" s="69" t="n">
        <f aca="false">AC291-AD291-AE291</f>
        <v>0</v>
      </c>
      <c r="AG291" s="69" t="n">
        <f aca="false">IF(AJ290&gt;0.5,AJ290*(1+AG$23)+AG$24,0)</f>
        <v>0</v>
      </c>
      <c r="AH291" s="69" t="n">
        <f aca="false">MIN(AH$23,AG291)</f>
        <v>0</v>
      </c>
      <c r="AI291" s="69" t="n">
        <f aca="false">IF(AND(AH$24=1,OR(AG$25="",$C291&gt;=AG$25)),MAX(0,MIN(AG291-AH291,$D291-(G291+K291+O291+S291+W291+AA291+AE291))),0)</f>
        <v>0</v>
      </c>
      <c r="AJ291" s="69" t="n">
        <f aca="false">AG291-AH291-AI291</f>
        <v>0</v>
      </c>
      <c r="AK291" s="69" t="n">
        <f aca="false">IF(AK290&gt;0.5,AK290*(1+$E$12)+$G$12-MIN($F$12,AK290*(1+$E$12)+$G$12),0)</f>
        <v>0</v>
      </c>
      <c r="AL291" s="69" t="n">
        <f aca="false">IF(AL290&gt;0.5,AL290*(1+$E$13)+$G$13-MIN($F$13,AL290*(1+$E$13)+$G$13),0)</f>
        <v>0</v>
      </c>
      <c r="AM291" s="69" t="n">
        <f aca="false">IF(AM290&gt;0.5,AM290*(1+$E$14)+$G$14-MIN($F$14,AM290*(1+$E$14)+$G$14),0)</f>
        <v>0</v>
      </c>
      <c r="AN291" s="69" t="n">
        <f aca="false">IF(AN290&gt;0.5,AN290*(1+$E$15)+$G$15-MIN($F$15,AN290*(1+$E$15)+$G$15),0)</f>
        <v>0</v>
      </c>
      <c r="AO291" s="69" t="n">
        <f aca="false">IF(AO290&gt;0.5,AO290*(1+$E$16)+$G$16-MIN($F$16,AO290*(1+$E$16)+$G$16),0)</f>
        <v>0</v>
      </c>
      <c r="AP291" s="69" t="n">
        <f aca="false">IF(AP290&gt;0.5,AP290*(1+$E$17)+$G$17-MIN($F$17,AP290*(1+$E$17)+$G$17),0)</f>
        <v>0</v>
      </c>
      <c r="AQ291" s="69" t="n">
        <f aca="false">IF(AQ290&gt;0.5,AQ290*(1+$E$18)+$G$18-MIN($F$18,AQ290*(1+$E$18)+$G$18),0)</f>
        <v>0</v>
      </c>
      <c r="AR291" s="69" t="n">
        <f aca="false">IF(AR290&gt;0.5,AR290*(1+$E$19)+$G$19-MIN($F$19,AR290*(1+$E$19)+$G$19),0)</f>
        <v>0</v>
      </c>
      <c r="AS291" s="69" t="n">
        <f aca="false">H291+L291+P291+T291+X291+AB291+AF291+AJ291</f>
        <v>0</v>
      </c>
      <c r="AT291" s="69" t="n">
        <f aca="false">SUM(AK291:AR291)</f>
        <v>0</v>
      </c>
      <c r="AU291" s="69" t="n">
        <f aca="false">F291+G291+J291+K291+N291+O291+R291+S291+V291+W291+Z291+AA291+AD291+AE291+AH291+AI291</f>
        <v>0</v>
      </c>
    </row>
    <row r="292" customFormat="false" ht="15" hidden="false" customHeight="false" outlineLevel="0" collapsed="false">
      <c r="B292" s="0" t="n">
        <v>265</v>
      </c>
      <c r="C292" s="68" t="n">
        <f aca="false">EDATE($C$7,264)</f>
        <v>54332</v>
      </c>
      <c r="D292" s="69" t="n">
        <f aca="false">$C$8-(F292+J292+N292+R292+V292+Z292+AD292+AH292)</f>
        <v>0</v>
      </c>
      <c r="E292" s="69" t="n">
        <f aca="false">IF(H291&gt;0.5,H291*(1+E$23)+E$24,0)</f>
        <v>0</v>
      </c>
      <c r="F292" s="69" t="n">
        <f aca="false">MIN(F$23,E292)</f>
        <v>0</v>
      </c>
      <c r="G292" s="69" t="n">
        <f aca="false">IF(AND(F$24=1,OR(E$25="",$C292&gt;=E$25)),MAX(0,MIN(E292-F292,$D292-(0))),0)</f>
        <v>0</v>
      </c>
      <c r="H292" s="69" t="n">
        <f aca="false">E292-F292-G292</f>
        <v>0</v>
      </c>
      <c r="I292" s="69" t="n">
        <f aca="false">IF(L291&gt;0.5,L291*(1+I$23)+I$24,0)</f>
        <v>0</v>
      </c>
      <c r="J292" s="69" t="n">
        <f aca="false">MIN(J$23,I292)</f>
        <v>0</v>
      </c>
      <c r="K292" s="69" t="n">
        <f aca="false">IF(AND(J$24=1,OR(I$25="",$C292&gt;=I$25)),MAX(0,MIN(I292-J292,$D292-(G292))),0)</f>
        <v>0</v>
      </c>
      <c r="L292" s="69" t="n">
        <f aca="false">I292-J292-K292</f>
        <v>0</v>
      </c>
      <c r="M292" s="69" t="n">
        <f aca="false">IF(P291&gt;0.5,P291*(1+M$23)+M$24,0)</f>
        <v>0</v>
      </c>
      <c r="N292" s="69" t="n">
        <f aca="false">MIN(N$23,M292)</f>
        <v>0</v>
      </c>
      <c r="O292" s="69" t="n">
        <f aca="false">IF(AND(N$24=1,OR(M$25="",$C292&gt;=M$25)),MAX(0,MIN(M292-N292,$D292-(G292+K292))),0)</f>
        <v>0</v>
      </c>
      <c r="P292" s="69" t="n">
        <f aca="false">M292-N292-O292</f>
        <v>0</v>
      </c>
      <c r="Q292" s="69" t="n">
        <f aca="false">IF(T291&gt;0.5,T291*(1+Q$23)+Q$24,0)</f>
        <v>0</v>
      </c>
      <c r="R292" s="69" t="n">
        <f aca="false">MIN(R$23,Q292)</f>
        <v>0</v>
      </c>
      <c r="S292" s="69" t="n">
        <f aca="false">IF(AND(R$24=1,OR(Q$25="",$C292&gt;=Q$25)),MAX(0,MIN(Q292-R292,$D292-(G292+K292+O292))),0)</f>
        <v>0</v>
      </c>
      <c r="T292" s="69" t="n">
        <f aca="false">Q292-R292-S292</f>
        <v>0</v>
      </c>
      <c r="U292" s="69" t="n">
        <f aca="false">IF(X291&gt;0.5,X291*(1+U$23)+U$24,0)</f>
        <v>0</v>
      </c>
      <c r="V292" s="69" t="n">
        <f aca="false">MIN(V$23,U292)</f>
        <v>0</v>
      </c>
      <c r="W292" s="69" t="n">
        <f aca="false">IF(AND(V$24=1,OR(U$25="",$C292&gt;=U$25)),MAX(0,MIN(U292-V292,$D292-(G292+K292+O292+S292))),0)</f>
        <v>0</v>
      </c>
      <c r="X292" s="69" t="n">
        <f aca="false">U292-V292-W292</f>
        <v>0</v>
      </c>
      <c r="Y292" s="69" t="n">
        <f aca="false">IF(AB291&gt;0.5,AB291*(1+Y$23)+Y$24,0)</f>
        <v>0</v>
      </c>
      <c r="Z292" s="69" t="n">
        <f aca="false">MIN(Z$23,Y292)</f>
        <v>0</v>
      </c>
      <c r="AA292" s="69" t="n">
        <f aca="false">IF(AND(Z$24=1,OR(Y$25="",$C292&gt;=Y$25)),MAX(0,MIN(Y292-Z292,$D292-(G292+K292+O292+S292+W292))),0)</f>
        <v>0</v>
      </c>
      <c r="AB292" s="69" t="n">
        <f aca="false">Y292-Z292-AA292</f>
        <v>0</v>
      </c>
      <c r="AC292" s="69" t="n">
        <f aca="false">IF(AF291&gt;0.5,AF291*(1+AC$23)+AC$24,0)</f>
        <v>0</v>
      </c>
      <c r="AD292" s="69" t="n">
        <f aca="false">MIN(AD$23,AC292)</f>
        <v>0</v>
      </c>
      <c r="AE292" s="69" t="n">
        <f aca="false">IF(AND(AD$24=1,OR(AC$25="",$C292&gt;=AC$25)),MAX(0,MIN(AC292-AD292,$D292-(G292+K292+O292+S292+W292+AA292))),0)</f>
        <v>0</v>
      </c>
      <c r="AF292" s="69" t="n">
        <f aca="false">AC292-AD292-AE292</f>
        <v>0</v>
      </c>
      <c r="AG292" s="69" t="n">
        <f aca="false">IF(AJ291&gt;0.5,AJ291*(1+AG$23)+AG$24,0)</f>
        <v>0</v>
      </c>
      <c r="AH292" s="69" t="n">
        <f aca="false">MIN(AH$23,AG292)</f>
        <v>0</v>
      </c>
      <c r="AI292" s="69" t="n">
        <f aca="false">IF(AND(AH$24=1,OR(AG$25="",$C292&gt;=AG$25)),MAX(0,MIN(AG292-AH292,$D292-(G292+K292+O292+S292+W292+AA292+AE292))),0)</f>
        <v>0</v>
      </c>
      <c r="AJ292" s="69" t="n">
        <f aca="false">AG292-AH292-AI292</f>
        <v>0</v>
      </c>
      <c r="AK292" s="69" t="n">
        <f aca="false">IF(AK291&gt;0.5,AK291*(1+$E$12)+$G$12-MIN($F$12,AK291*(1+$E$12)+$G$12),0)</f>
        <v>0</v>
      </c>
      <c r="AL292" s="69" t="n">
        <f aca="false">IF(AL291&gt;0.5,AL291*(1+$E$13)+$G$13-MIN($F$13,AL291*(1+$E$13)+$G$13),0)</f>
        <v>0</v>
      </c>
      <c r="AM292" s="69" t="n">
        <f aca="false">IF(AM291&gt;0.5,AM291*(1+$E$14)+$G$14-MIN($F$14,AM291*(1+$E$14)+$G$14),0)</f>
        <v>0</v>
      </c>
      <c r="AN292" s="69" t="n">
        <f aca="false">IF(AN291&gt;0.5,AN291*(1+$E$15)+$G$15-MIN($F$15,AN291*(1+$E$15)+$G$15),0)</f>
        <v>0</v>
      </c>
      <c r="AO292" s="69" t="n">
        <f aca="false">IF(AO291&gt;0.5,AO291*(1+$E$16)+$G$16-MIN($F$16,AO291*(1+$E$16)+$G$16),0)</f>
        <v>0</v>
      </c>
      <c r="AP292" s="69" t="n">
        <f aca="false">IF(AP291&gt;0.5,AP291*(1+$E$17)+$G$17-MIN($F$17,AP291*(1+$E$17)+$G$17),0)</f>
        <v>0</v>
      </c>
      <c r="AQ292" s="69" t="n">
        <f aca="false">IF(AQ291&gt;0.5,AQ291*(1+$E$18)+$G$18-MIN($F$18,AQ291*(1+$E$18)+$G$18),0)</f>
        <v>0</v>
      </c>
      <c r="AR292" s="69" t="n">
        <f aca="false">IF(AR291&gt;0.5,AR291*(1+$E$19)+$G$19-MIN($F$19,AR291*(1+$E$19)+$G$19),0)</f>
        <v>0</v>
      </c>
      <c r="AS292" s="69" t="n">
        <f aca="false">H292+L292+P292+T292+X292+AB292+AF292+AJ292</f>
        <v>0</v>
      </c>
      <c r="AT292" s="69" t="n">
        <f aca="false">SUM(AK292:AR292)</f>
        <v>0</v>
      </c>
      <c r="AU292" s="69" t="n">
        <f aca="false">F292+G292+J292+K292+N292+O292+R292+S292+V292+W292+Z292+AA292+AD292+AE292+AH292+AI292</f>
        <v>0</v>
      </c>
    </row>
    <row r="293" customFormat="false" ht="15" hidden="false" customHeight="false" outlineLevel="0" collapsed="false">
      <c r="B293" s="0" t="n">
        <v>266</v>
      </c>
      <c r="C293" s="68" t="n">
        <f aca="false">EDATE($C$7,265)</f>
        <v>54363</v>
      </c>
      <c r="D293" s="69" t="n">
        <f aca="false">$C$8-(F293+J293+N293+R293+V293+Z293+AD293+AH293)</f>
        <v>0</v>
      </c>
      <c r="E293" s="69" t="n">
        <f aca="false">IF(H292&gt;0.5,H292*(1+E$23)+E$24,0)</f>
        <v>0</v>
      </c>
      <c r="F293" s="69" t="n">
        <f aca="false">MIN(F$23,E293)</f>
        <v>0</v>
      </c>
      <c r="G293" s="69" t="n">
        <f aca="false">IF(AND(F$24=1,OR(E$25="",$C293&gt;=E$25)),MAX(0,MIN(E293-F293,$D293-(0))),0)</f>
        <v>0</v>
      </c>
      <c r="H293" s="69" t="n">
        <f aca="false">E293-F293-G293</f>
        <v>0</v>
      </c>
      <c r="I293" s="69" t="n">
        <f aca="false">IF(L292&gt;0.5,L292*(1+I$23)+I$24,0)</f>
        <v>0</v>
      </c>
      <c r="J293" s="69" t="n">
        <f aca="false">MIN(J$23,I293)</f>
        <v>0</v>
      </c>
      <c r="K293" s="69" t="n">
        <f aca="false">IF(AND(J$24=1,OR(I$25="",$C293&gt;=I$25)),MAX(0,MIN(I293-J293,$D293-(G293))),0)</f>
        <v>0</v>
      </c>
      <c r="L293" s="69" t="n">
        <f aca="false">I293-J293-K293</f>
        <v>0</v>
      </c>
      <c r="M293" s="69" t="n">
        <f aca="false">IF(P292&gt;0.5,P292*(1+M$23)+M$24,0)</f>
        <v>0</v>
      </c>
      <c r="N293" s="69" t="n">
        <f aca="false">MIN(N$23,M293)</f>
        <v>0</v>
      </c>
      <c r="O293" s="69" t="n">
        <f aca="false">IF(AND(N$24=1,OR(M$25="",$C293&gt;=M$25)),MAX(0,MIN(M293-N293,$D293-(G293+K293))),0)</f>
        <v>0</v>
      </c>
      <c r="P293" s="69" t="n">
        <f aca="false">M293-N293-O293</f>
        <v>0</v>
      </c>
      <c r="Q293" s="69" t="n">
        <f aca="false">IF(T292&gt;0.5,T292*(1+Q$23)+Q$24,0)</f>
        <v>0</v>
      </c>
      <c r="R293" s="69" t="n">
        <f aca="false">MIN(R$23,Q293)</f>
        <v>0</v>
      </c>
      <c r="S293" s="69" t="n">
        <f aca="false">IF(AND(R$24=1,OR(Q$25="",$C293&gt;=Q$25)),MAX(0,MIN(Q293-R293,$D293-(G293+K293+O293))),0)</f>
        <v>0</v>
      </c>
      <c r="T293" s="69" t="n">
        <f aca="false">Q293-R293-S293</f>
        <v>0</v>
      </c>
      <c r="U293" s="69" t="n">
        <f aca="false">IF(X292&gt;0.5,X292*(1+U$23)+U$24,0)</f>
        <v>0</v>
      </c>
      <c r="V293" s="69" t="n">
        <f aca="false">MIN(V$23,U293)</f>
        <v>0</v>
      </c>
      <c r="W293" s="69" t="n">
        <f aca="false">IF(AND(V$24=1,OR(U$25="",$C293&gt;=U$25)),MAX(0,MIN(U293-V293,$D293-(G293+K293+O293+S293))),0)</f>
        <v>0</v>
      </c>
      <c r="X293" s="69" t="n">
        <f aca="false">U293-V293-W293</f>
        <v>0</v>
      </c>
      <c r="Y293" s="69" t="n">
        <f aca="false">IF(AB292&gt;0.5,AB292*(1+Y$23)+Y$24,0)</f>
        <v>0</v>
      </c>
      <c r="Z293" s="69" t="n">
        <f aca="false">MIN(Z$23,Y293)</f>
        <v>0</v>
      </c>
      <c r="AA293" s="69" t="n">
        <f aca="false">IF(AND(Z$24=1,OR(Y$25="",$C293&gt;=Y$25)),MAX(0,MIN(Y293-Z293,$D293-(G293+K293+O293+S293+W293))),0)</f>
        <v>0</v>
      </c>
      <c r="AB293" s="69" t="n">
        <f aca="false">Y293-Z293-AA293</f>
        <v>0</v>
      </c>
      <c r="AC293" s="69" t="n">
        <f aca="false">IF(AF292&gt;0.5,AF292*(1+AC$23)+AC$24,0)</f>
        <v>0</v>
      </c>
      <c r="AD293" s="69" t="n">
        <f aca="false">MIN(AD$23,AC293)</f>
        <v>0</v>
      </c>
      <c r="AE293" s="69" t="n">
        <f aca="false">IF(AND(AD$24=1,OR(AC$25="",$C293&gt;=AC$25)),MAX(0,MIN(AC293-AD293,$D293-(G293+K293+O293+S293+W293+AA293))),0)</f>
        <v>0</v>
      </c>
      <c r="AF293" s="69" t="n">
        <f aca="false">AC293-AD293-AE293</f>
        <v>0</v>
      </c>
      <c r="AG293" s="69" t="n">
        <f aca="false">IF(AJ292&gt;0.5,AJ292*(1+AG$23)+AG$24,0)</f>
        <v>0</v>
      </c>
      <c r="AH293" s="69" t="n">
        <f aca="false">MIN(AH$23,AG293)</f>
        <v>0</v>
      </c>
      <c r="AI293" s="69" t="n">
        <f aca="false">IF(AND(AH$24=1,OR(AG$25="",$C293&gt;=AG$25)),MAX(0,MIN(AG293-AH293,$D293-(G293+K293+O293+S293+W293+AA293+AE293))),0)</f>
        <v>0</v>
      </c>
      <c r="AJ293" s="69" t="n">
        <f aca="false">AG293-AH293-AI293</f>
        <v>0</v>
      </c>
      <c r="AK293" s="69" t="n">
        <f aca="false">IF(AK292&gt;0.5,AK292*(1+$E$12)+$G$12-MIN($F$12,AK292*(1+$E$12)+$G$12),0)</f>
        <v>0</v>
      </c>
      <c r="AL293" s="69" t="n">
        <f aca="false">IF(AL292&gt;0.5,AL292*(1+$E$13)+$G$13-MIN($F$13,AL292*(1+$E$13)+$G$13),0)</f>
        <v>0</v>
      </c>
      <c r="AM293" s="69" t="n">
        <f aca="false">IF(AM292&gt;0.5,AM292*(1+$E$14)+$G$14-MIN($F$14,AM292*(1+$E$14)+$G$14),0)</f>
        <v>0</v>
      </c>
      <c r="AN293" s="69" t="n">
        <f aca="false">IF(AN292&gt;0.5,AN292*(1+$E$15)+$G$15-MIN($F$15,AN292*(1+$E$15)+$G$15),0)</f>
        <v>0</v>
      </c>
      <c r="AO293" s="69" t="n">
        <f aca="false">IF(AO292&gt;0.5,AO292*(1+$E$16)+$G$16-MIN($F$16,AO292*(1+$E$16)+$G$16),0)</f>
        <v>0</v>
      </c>
      <c r="AP293" s="69" t="n">
        <f aca="false">IF(AP292&gt;0.5,AP292*(1+$E$17)+$G$17-MIN($F$17,AP292*(1+$E$17)+$G$17),0)</f>
        <v>0</v>
      </c>
      <c r="AQ293" s="69" t="n">
        <f aca="false">IF(AQ292&gt;0.5,AQ292*(1+$E$18)+$G$18-MIN($F$18,AQ292*(1+$E$18)+$G$18),0)</f>
        <v>0</v>
      </c>
      <c r="AR293" s="69" t="n">
        <f aca="false">IF(AR292&gt;0.5,AR292*(1+$E$19)+$G$19-MIN($F$19,AR292*(1+$E$19)+$G$19),0)</f>
        <v>0</v>
      </c>
      <c r="AS293" s="69" t="n">
        <f aca="false">H293+L293+P293+T293+X293+AB293+AF293+AJ293</f>
        <v>0</v>
      </c>
      <c r="AT293" s="69" t="n">
        <f aca="false">SUM(AK293:AR293)</f>
        <v>0</v>
      </c>
      <c r="AU293" s="69" t="n">
        <f aca="false">F293+G293+J293+K293+N293+O293+R293+S293+V293+W293+Z293+AA293+AD293+AE293+AH293+AI293</f>
        <v>0</v>
      </c>
    </row>
    <row r="294" customFormat="false" ht="15" hidden="false" customHeight="false" outlineLevel="0" collapsed="false">
      <c r="B294" s="0" t="n">
        <v>267</v>
      </c>
      <c r="C294" s="68" t="n">
        <f aca="false">EDATE($C$7,266)</f>
        <v>54393</v>
      </c>
      <c r="D294" s="69" t="n">
        <f aca="false">$C$8-(F294+J294+N294+R294+V294+Z294+AD294+AH294)</f>
        <v>0</v>
      </c>
      <c r="E294" s="69" t="n">
        <f aca="false">IF(H293&gt;0.5,H293*(1+E$23)+E$24,0)</f>
        <v>0</v>
      </c>
      <c r="F294" s="69" t="n">
        <f aca="false">MIN(F$23,E294)</f>
        <v>0</v>
      </c>
      <c r="G294" s="69" t="n">
        <f aca="false">IF(AND(F$24=1,OR(E$25="",$C294&gt;=E$25)),MAX(0,MIN(E294-F294,$D294-(0))),0)</f>
        <v>0</v>
      </c>
      <c r="H294" s="69" t="n">
        <f aca="false">E294-F294-G294</f>
        <v>0</v>
      </c>
      <c r="I294" s="69" t="n">
        <f aca="false">IF(L293&gt;0.5,L293*(1+I$23)+I$24,0)</f>
        <v>0</v>
      </c>
      <c r="J294" s="69" t="n">
        <f aca="false">MIN(J$23,I294)</f>
        <v>0</v>
      </c>
      <c r="K294" s="69" t="n">
        <f aca="false">IF(AND(J$24=1,OR(I$25="",$C294&gt;=I$25)),MAX(0,MIN(I294-J294,$D294-(G294))),0)</f>
        <v>0</v>
      </c>
      <c r="L294" s="69" t="n">
        <f aca="false">I294-J294-K294</f>
        <v>0</v>
      </c>
      <c r="M294" s="69" t="n">
        <f aca="false">IF(P293&gt;0.5,P293*(1+M$23)+M$24,0)</f>
        <v>0</v>
      </c>
      <c r="N294" s="69" t="n">
        <f aca="false">MIN(N$23,M294)</f>
        <v>0</v>
      </c>
      <c r="O294" s="69" t="n">
        <f aca="false">IF(AND(N$24=1,OR(M$25="",$C294&gt;=M$25)),MAX(0,MIN(M294-N294,$D294-(G294+K294))),0)</f>
        <v>0</v>
      </c>
      <c r="P294" s="69" t="n">
        <f aca="false">M294-N294-O294</f>
        <v>0</v>
      </c>
      <c r="Q294" s="69" t="n">
        <f aca="false">IF(T293&gt;0.5,T293*(1+Q$23)+Q$24,0)</f>
        <v>0</v>
      </c>
      <c r="R294" s="69" t="n">
        <f aca="false">MIN(R$23,Q294)</f>
        <v>0</v>
      </c>
      <c r="S294" s="69" t="n">
        <f aca="false">IF(AND(R$24=1,OR(Q$25="",$C294&gt;=Q$25)),MAX(0,MIN(Q294-R294,$D294-(G294+K294+O294))),0)</f>
        <v>0</v>
      </c>
      <c r="T294" s="69" t="n">
        <f aca="false">Q294-R294-S294</f>
        <v>0</v>
      </c>
      <c r="U294" s="69" t="n">
        <f aca="false">IF(X293&gt;0.5,X293*(1+U$23)+U$24,0)</f>
        <v>0</v>
      </c>
      <c r="V294" s="69" t="n">
        <f aca="false">MIN(V$23,U294)</f>
        <v>0</v>
      </c>
      <c r="W294" s="69" t="n">
        <f aca="false">IF(AND(V$24=1,OR(U$25="",$C294&gt;=U$25)),MAX(0,MIN(U294-V294,$D294-(G294+K294+O294+S294))),0)</f>
        <v>0</v>
      </c>
      <c r="X294" s="69" t="n">
        <f aca="false">U294-V294-W294</f>
        <v>0</v>
      </c>
      <c r="Y294" s="69" t="n">
        <f aca="false">IF(AB293&gt;0.5,AB293*(1+Y$23)+Y$24,0)</f>
        <v>0</v>
      </c>
      <c r="Z294" s="69" t="n">
        <f aca="false">MIN(Z$23,Y294)</f>
        <v>0</v>
      </c>
      <c r="AA294" s="69" t="n">
        <f aca="false">IF(AND(Z$24=1,OR(Y$25="",$C294&gt;=Y$25)),MAX(0,MIN(Y294-Z294,$D294-(G294+K294+O294+S294+W294))),0)</f>
        <v>0</v>
      </c>
      <c r="AB294" s="69" t="n">
        <f aca="false">Y294-Z294-AA294</f>
        <v>0</v>
      </c>
      <c r="AC294" s="69" t="n">
        <f aca="false">IF(AF293&gt;0.5,AF293*(1+AC$23)+AC$24,0)</f>
        <v>0</v>
      </c>
      <c r="AD294" s="69" t="n">
        <f aca="false">MIN(AD$23,AC294)</f>
        <v>0</v>
      </c>
      <c r="AE294" s="69" t="n">
        <f aca="false">IF(AND(AD$24=1,OR(AC$25="",$C294&gt;=AC$25)),MAX(0,MIN(AC294-AD294,$D294-(G294+K294+O294+S294+W294+AA294))),0)</f>
        <v>0</v>
      </c>
      <c r="AF294" s="69" t="n">
        <f aca="false">AC294-AD294-AE294</f>
        <v>0</v>
      </c>
      <c r="AG294" s="69" t="n">
        <f aca="false">IF(AJ293&gt;0.5,AJ293*(1+AG$23)+AG$24,0)</f>
        <v>0</v>
      </c>
      <c r="AH294" s="69" t="n">
        <f aca="false">MIN(AH$23,AG294)</f>
        <v>0</v>
      </c>
      <c r="AI294" s="69" t="n">
        <f aca="false">IF(AND(AH$24=1,OR(AG$25="",$C294&gt;=AG$25)),MAX(0,MIN(AG294-AH294,$D294-(G294+K294+O294+S294+W294+AA294+AE294))),0)</f>
        <v>0</v>
      </c>
      <c r="AJ294" s="69" t="n">
        <f aca="false">AG294-AH294-AI294</f>
        <v>0</v>
      </c>
      <c r="AK294" s="69" t="n">
        <f aca="false">IF(AK293&gt;0.5,AK293*(1+$E$12)+$G$12-MIN($F$12,AK293*(1+$E$12)+$G$12),0)</f>
        <v>0</v>
      </c>
      <c r="AL294" s="69" t="n">
        <f aca="false">IF(AL293&gt;0.5,AL293*(1+$E$13)+$G$13-MIN($F$13,AL293*(1+$E$13)+$G$13),0)</f>
        <v>0</v>
      </c>
      <c r="AM294" s="69" t="n">
        <f aca="false">IF(AM293&gt;0.5,AM293*(1+$E$14)+$G$14-MIN($F$14,AM293*(1+$E$14)+$G$14),0)</f>
        <v>0</v>
      </c>
      <c r="AN294" s="69" t="n">
        <f aca="false">IF(AN293&gt;0.5,AN293*(1+$E$15)+$G$15-MIN($F$15,AN293*(1+$E$15)+$G$15),0)</f>
        <v>0</v>
      </c>
      <c r="AO294" s="69" t="n">
        <f aca="false">IF(AO293&gt;0.5,AO293*(1+$E$16)+$G$16-MIN($F$16,AO293*(1+$E$16)+$G$16),0)</f>
        <v>0</v>
      </c>
      <c r="AP294" s="69" t="n">
        <f aca="false">IF(AP293&gt;0.5,AP293*(1+$E$17)+$G$17-MIN($F$17,AP293*(1+$E$17)+$G$17),0)</f>
        <v>0</v>
      </c>
      <c r="AQ294" s="69" t="n">
        <f aca="false">IF(AQ293&gt;0.5,AQ293*(1+$E$18)+$G$18-MIN($F$18,AQ293*(1+$E$18)+$G$18),0)</f>
        <v>0</v>
      </c>
      <c r="AR294" s="69" t="n">
        <f aca="false">IF(AR293&gt;0.5,AR293*(1+$E$19)+$G$19-MIN($F$19,AR293*(1+$E$19)+$G$19),0)</f>
        <v>0</v>
      </c>
      <c r="AS294" s="69" t="n">
        <f aca="false">H294+L294+P294+T294+X294+AB294+AF294+AJ294</f>
        <v>0</v>
      </c>
      <c r="AT294" s="69" t="n">
        <f aca="false">SUM(AK294:AR294)</f>
        <v>0</v>
      </c>
      <c r="AU294" s="69" t="n">
        <f aca="false">F294+G294+J294+K294+N294+O294+R294+S294+V294+W294+Z294+AA294+AD294+AE294+AH294+AI294</f>
        <v>0</v>
      </c>
    </row>
    <row r="295" customFormat="false" ht="15" hidden="false" customHeight="false" outlineLevel="0" collapsed="false">
      <c r="B295" s="0" t="n">
        <v>268</v>
      </c>
      <c r="C295" s="68" t="n">
        <f aca="false">EDATE($C$7,267)</f>
        <v>54424</v>
      </c>
      <c r="D295" s="69" t="n">
        <f aca="false">$C$8-(F295+J295+N295+R295+V295+Z295+AD295+AH295)</f>
        <v>0</v>
      </c>
      <c r="E295" s="69" t="n">
        <f aca="false">IF(H294&gt;0.5,H294*(1+E$23)+E$24,0)</f>
        <v>0</v>
      </c>
      <c r="F295" s="69" t="n">
        <f aca="false">MIN(F$23,E295)</f>
        <v>0</v>
      </c>
      <c r="G295" s="69" t="n">
        <f aca="false">IF(AND(F$24=1,OR(E$25="",$C295&gt;=E$25)),MAX(0,MIN(E295-F295,$D295-(0))),0)</f>
        <v>0</v>
      </c>
      <c r="H295" s="69" t="n">
        <f aca="false">E295-F295-G295</f>
        <v>0</v>
      </c>
      <c r="I295" s="69" t="n">
        <f aca="false">IF(L294&gt;0.5,L294*(1+I$23)+I$24,0)</f>
        <v>0</v>
      </c>
      <c r="J295" s="69" t="n">
        <f aca="false">MIN(J$23,I295)</f>
        <v>0</v>
      </c>
      <c r="K295" s="69" t="n">
        <f aca="false">IF(AND(J$24=1,OR(I$25="",$C295&gt;=I$25)),MAX(0,MIN(I295-J295,$D295-(G295))),0)</f>
        <v>0</v>
      </c>
      <c r="L295" s="69" t="n">
        <f aca="false">I295-J295-K295</f>
        <v>0</v>
      </c>
      <c r="M295" s="69" t="n">
        <f aca="false">IF(P294&gt;0.5,P294*(1+M$23)+M$24,0)</f>
        <v>0</v>
      </c>
      <c r="N295" s="69" t="n">
        <f aca="false">MIN(N$23,M295)</f>
        <v>0</v>
      </c>
      <c r="O295" s="69" t="n">
        <f aca="false">IF(AND(N$24=1,OR(M$25="",$C295&gt;=M$25)),MAX(0,MIN(M295-N295,$D295-(G295+K295))),0)</f>
        <v>0</v>
      </c>
      <c r="P295" s="69" t="n">
        <f aca="false">M295-N295-O295</f>
        <v>0</v>
      </c>
      <c r="Q295" s="69" t="n">
        <f aca="false">IF(T294&gt;0.5,T294*(1+Q$23)+Q$24,0)</f>
        <v>0</v>
      </c>
      <c r="R295" s="69" t="n">
        <f aca="false">MIN(R$23,Q295)</f>
        <v>0</v>
      </c>
      <c r="S295" s="69" t="n">
        <f aca="false">IF(AND(R$24=1,OR(Q$25="",$C295&gt;=Q$25)),MAX(0,MIN(Q295-R295,$D295-(G295+K295+O295))),0)</f>
        <v>0</v>
      </c>
      <c r="T295" s="69" t="n">
        <f aca="false">Q295-R295-S295</f>
        <v>0</v>
      </c>
      <c r="U295" s="69" t="n">
        <f aca="false">IF(X294&gt;0.5,X294*(1+U$23)+U$24,0)</f>
        <v>0</v>
      </c>
      <c r="V295" s="69" t="n">
        <f aca="false">MIN(V$23,U295)</f>
        <v>0</v>
      </c>
      <c r="W295" s="69" t="n">
        <f aca="false">IF(AND(V$24=1,OR(U$25="",$C295&gt;=U$25)),MAX(0,MIN(U295-V295,$D295-(G295+K295+O295+S295))),0)</f>
        <v>0</v>
      </c>
      <c r="X295" s="69" t="n">
        <f aca="false">U295-V295-W295</f>
        <v>0</v>
      </c>
      <c r="Y295" s="69" t="n">
        <f aca="false">IF(AB294&gt;0.5,AB294*(1+Y$23)+Y$24,0)</f>
        <v>0</v>
      </c>
      <c r="Z295" s="69" t="n">
        <f aca="false">MIN(Z$23,Y295)</f>
        <v>0</v>
      </c>
      <c r="AA295" s="69" t="n">
        <f aca="false">IF(AND(Z$24=1,OR(Y$25="",$C295&gt;=Y$25)),MAX(0,MIN(Y295-Z295,$D295-(G295+K295+O295+S295+W295))),0)</f>
        <v>0</v>
      </c>
      <c r="AB295" s="69" t="n">
        <f aca="false">Y295-Z295-AA295</f>
        <v>0</v>
      </c>
      <c r="AC295" s="69" t="n">
        <f aca="false">IF(AF294&gt;0.5,AF294*(1+AC$23)+AC$24,0)</f>
        <v>0</v>
      </c>
      <c r="AD295" s="69" t="n">
        <f aca="false">MIN(AD$23,AC295)</f>
        <v>0</v>
      </c>
      <c r="AE295" s="69" t="n">
        <f aca="false">IF(AND(AD$24=1,OR(AC$25="",$C295&gt;=AC$25)),MAX(0,MIN(AC295-AD295,$D295-(G295+K295+O295+S295+W295+AA295))),0)</f>
        <v>0</v>
      </c>
      <c r="AF295" s="69" t="n">
        <f aca="false">AC295-AD295-AE295</f>
        <v>0</v>
      </c>
      <c r="AG295" s="69" t="n">
        <f aca="false">IF(AJ294&gt;0.5,AJ294*(1+AG$23)+AG$24,0)</f>
        <v>0</v>
      </c>
      <c r="AH295" s="69" t="n">
        <f aca="false">MIN(AH$23,AG295)</f>
        <v>0</v>
      </c>
      <c r="AI295" s="69" t="n">
        <f aca="false">IF(AND(AH$24=1,OR(AG$25="",$C295&gt;=AG$25)),MAX(0,MIN(AG295-AH295,$D295-(G295+K295+O295+S295+W295+AA295+AE295))),0)</f>
        <v>0</v>
      </c>
      <c r="AJ295" s="69" t="n">
        <f aca="false">AG295-AH295-AI295</f>
        <v>0</v>
      </c>
      <c r="AK295" s="69" t="n">
        <f aca="false">IF(AK294&gt;0.5,AK294*(1+$E$12)+$G$12-MIN($F$12,AK294*(1+$E$12)+$G$12),0)</f>
        <v>0</v>
      </c>
      <c r="AL295" s="69" t="n">
        <f aca="false">IF(AL294&gt;0.5,AL294*(1+$E$13)+$G$13-MIN($F$13,AL294*(1+$E$13)+$G$13),0)</f>
        <v>0</v>
      </c>
      <c r="AM295" s="69" t="n">
        <f aca="false">IF(AM294&gt;0.5,AM294*(1+$E$14)+$G$14-MIN($F$14,AM294*(1+$E$14)+$G$14),0)</f>
        <v>0</v>
      </c>
      <c r="AN295" s="69" t="n">
        <f aca="false">IF(AN294&gt;0.5,AN294*(1+$E$15)+$G$15-MIN($F$15,AN294*(1+$E$15)+$G$15),0)</f>
        <v>0</v>
      </c>
      <c r="AO295" s="69" t="n">
        <f aca="false">IF(AO294&gt;0.5,AO294*(1+$E$16)+$G$16-MIN($F$16,AO294*(1+$E$16)+$G$16),0)</f>
        <v>0</v>
      </c>
      <c r="AP295" s="69" t="n">
        <f aca="false">IF(AP294&gt;0.5,AP294*(1+$E$17)+$G$17-MIN($F$17,AP294*(1+$E$17)+$G$17),0)</f>
        <v>0</v>
      </c>
      <c r="AQ295" s="69" t="n">
        <f aca="false">IF(AQ294&gt;0.5,AQ294*(1+$E$18)+$G$18-MIN($F$18,AQ294*(1+$E$18)+$G$18),0)</f>
        <v>0</v>
      </c>
      <c r="AR295" s="69" t="n">
        <f aca="false">IF(AR294&gt;0.5,AR294*(1+$E$19)+$G$19-MIN($F$19,AR294*(1+$E$19)+$G$19),0)</f>
        <v>0</v>
      </c>
      <c r="AS295" s="69" t="n">
        <f aca="false">H295+L295+P295+T295+X295+AB295+AF295+AJ295</f>
        <v>0</v>
      </c>
      <c r="AT295" s="69" t="n">
        <f aca="false">SUM(AK295:AR295)</f>
        <v>0</v>
      </c>
      <c r="AU295" s="69" t="n">
        <f aca="false">F295+G295+J295+K295+N295+O295+R295+S295+V295+W295+Z295+AA295+AD295+AE295+AH295+AI295</f>
        <v>0</v>
      </c>
    </row>
    <row r="296" customFormat="false" ht="15" hidden="false" customHeight="false" outlineLevel="0" collapsed="false">
      <c r="B296" s="0" t="n">
        <v>269</v>
      </c>
      <c r="C296" s="68" t="n">
        <f aca="false">EDATE($C$7,268)</f>
        <v>54455</v>
      </c>
      <c r="D296" s="69" t="n">
        <f aca="false">$C$8-(F296+J296+N296+R296+V296+Z296+AD296+AH296)</f>
        <v>0</v>
      </c>
      <c r="E296" s="69" t="n">
        <f aca="false">IF(H295&gt;0.5,H295*(1+E$23)+E$24,0)</f>
        <v>0</v>
      </c>
      <c r="F296" s="69" t="n">
        <f aca="false">MIN(F$23,E296)</f>
        <v>0</v>
      </c>
      <c r="G296" s="69" t="n">
        <f aca="false">IF(AND(F$24=1,OR(E$25="",$C296&gt;=E$25)),MAX(0,MIN(E296-F296,$D296-(0))),0)</f>
        <v>0</v>
      </c>
      <c r="H296" s="69" t="n">
        <f aca="false">E296-F296-G296</f>
        <v>0</v>
      </c>
      <c r="I296" s="69" t="n">
        <f aca="false">IF(L295&gt;0.5,L295*(1+I$23)+I$24,0)</f>
        <v>0</v>
      </c>
      <c r="J296" s="69" t="n">
        <f aca="false">MIN(J$23,I296)</f>
        <v>0</v>
      </c>
      <c r="K296" s="69" t="n">
        <f aca="false">IF(AND(J$24=1,OR(I$25="",$C296&gt;=I$25)),MAX(0,MIN(I296-J296,$D296-(G296))),0)</f>
        <v>0</v>
      </c>
      <c r="L296" s="69" t="n">
        <f aca="false">I296-J296-K296</f>
        <v>0</v>
      </c>
      <c r="M296" s="69" t="n">
        <f aca="false">IF(P295&gt;0.5,P295*(1+M$23)+M$24,0)</f>
        <v>0</v>
      </c>
      <c r="N296" s="69" t="n">
        <f aca="false">MIN(N$23,M296)</f>
        <v>0</v>
      </c>
      <c r="O296" s="69" t="n">
        <f aca="false">IF(AND(N$24=1,OR(M$25="",$C296&gt;=M$25)),MAX(0,MIN(M296-N296,$D296-(G296+K296))),0)</f>
        <v>0</v>
      </c>
      <c r="P296" s="69" t="n">
        <f aca="false">M296-N296-O296</f>
        <v>0</v>
      </c>
      <c r="Q296" s="69" t="n">
        <f aca="false">IF(T295&gt;0.5,T295*(1+Q$23)+Q$24,0)</f>
        <v>0</v>
      </c>
      <c r="R296" s="69" t="n">
        <f aca="false">MIN(R$23,Q296)</f>
        <v>0</v>
      </c>
      <c r="S296" s="69" t="n">
        <f aca="false">IF(AND(R$24=1,OR(Q$25="",$C296&gt;=Q$25)),MAX(0,MIN(Q296-R296,$D296-(G296+K296+O296))),0)</f>
        <v>0</v>
      </c>
      <c r="T296" s="69" t="n">
        <f aca="false">Q296-R296-S296</f>
        <v>0</v>
      </c>
      <c r="U296" s="69" t="n">
        <f aca="false">IF(X295&gt;0.5,X295*(1+U$23)+U$24,0)</f>
        <v>0</v>
      </c>
      <c r="V296" s="69" t="n">
        <f aca="false">MIN(V$23,U296)</f>
        <v>0</v>
      </c>
      <c r="W296" s="69" t="n">
        <f aca="false">IF(AND(V$24=1,OR(U$25="",$C296&gt;=U$25)),MAX(0,MIN(U296-V296,$D296-(G296+K296+O296+S296))),0)</f>
        <v>0</v>
      </c>
      <c r="X296" s="69" t="n">
        <f aca="false">U296-V296-W296</f>
        <v>0</v>
      </c>
      <c r="Y296" s="69" t="n">
        <f aca="false">IF(AB295&gt;0.5,AB295*(1+Y$23)+Y$24,0)</f>
        <v>0</v>
      </c>
      <c r="Z296" s="69" t="n">
        <f aca="false">MIN(Z$23,Y296)</f>
        <v>0</v>
      </c>
      <c r="AA296" s="69" t="n">
        <f aca="false">IF(AND(Z$24=1,OR(Y$25="",$C296&gt;=Y$25)),MAX(0,MIN(Y296-Z296,$D296-(G296+K296+O296+S296+W296))),0)</f>
        <v>0</v>
      </c>
      <c r="AB296" s="69" t="n">
        <f aca="false">Y296-Z296-AA296</f>
        <v>0</v>
      </c>
      <c r="AC296" s="69" t="n">
        <f aca="false">IF(AF295&gt;0.5,AF295*(1+AC$23)+AC$24,0)</f>
        <v>0</v>
      </c>
      <c r="AD296" s="69" t="n">
        <f aca="false">MIN(AD$23,AC296)</f>
        <v>0</v>
      </c>
      <c r="AE296" s="69" t="n">
        <f aca="false">IF(AND(AD$24=1,OR(AC$25="",$C296&gt;=AC$25)),MAX(0,MIN(AC296-AD296,$D296-(G296+K296+O296+S296+W296+AA296))),0)</f>
        <v>0</v>
      </c>
      <c r="AF296" s="69" t="n">
        <f aca="false">AC296-AD296-AE296</f>
        <v>0</v>
      </c>
      <c r="AG296" s="69" t="n">
        <f aca="false">IF(AJ295&gt;0.5,AJ295*(1+AG$23)+AG$24,0)</f>
        <v>0</v>
      </c>
      <c r="AH296" s="69" t="n">
        <f aca="false">MIN(AH$23,AG296)</f>
        <v>0</v>
      </c>
      <c r="AI296" s="69" t="n">
        <f aca="false">IF(AND(AH$24=1,OR(AG$25="",$C296&gt;=AG$25)),MAX(0,MIN(AG296-AH296,$D296-(G296+K296+O296+S296+W296+AA296+AE296))),0)</f>
        <v>0</v>
      </c>
      <c r="AJ296" s="69" t="n">
        <f aca="false">AG296-AH296-AI296</f>
        <v>0</v>
      </c>
      <c r="AK296" s="69" t="n">
        <f aca="false">IF(AK295&gt;0.5,AK295*(1+$E$12)+$G$12-MIN($F$12,AK295*(1+$E$12)+$G$12),0)</f>
        <v>0</v>
      </c>
      <c r="AL296" s="69" t="n">
        <f aca="false">IF(AL295&gt;0.5,AL295*(1+$E$13)+$G$13-MIN($F$13,AL295*(1+$E$13)+$G$13),0)</f>
        <v>0</v>
      </c>
      <c r="AM296" s="69" t="n">
        <f aca="false">IF(AM295&gt;0.5,AM295*(1+$E$14)+$G$14-MIN($F$14,AM295*(1+$E$14)+$G$14),0)</f>
        <v>0</v>
      </c>
      <c r="AN296" s="69" t="n">
        <f aca="false">IF(AN295&gt;0.5,AN295*(1+$E$15)+$G$15-MIN($F$15,AN295*(1+$E$15)+$G$15),0)</f>
        <v>0</v>
      </c>
      <c r="AO296" s="69" t="n">
        <f aca="false">IF(AO295&gt;0.5,AO295*(1+$E$16)+$G$16-MIN($F$16,AO295*(1+$E$16)+$G$16),0)</f>
        <v>0</v>
      </c>
      <c r="AP296" s="69" t="n">
        <f aca="false">IF(AP295&gt;0.5,AP295*(1+$E$17)+$G$17-MIN($F$17,AP295*(1+$E$17)+$G$17),0)</f>
        <v>0</v>
      </c>
      <c r="AQ296" s="69" t="n">
        <f aca="false">IF(AQ295&gt;0.5,AQ295*(1+$E$18)+$G$18-MIN($F$18,AQ295*(1+$E$18)+$G$18),0)</f>
        <v>0</v>
      </c>
      <c r="AR296" s="69" t="n">
        <f aca="false">IF(AR295&gt;0.5,AR295*(1+$E$19)+$G$19-MIN($F$19,AR295*(1+$E$19)+$G$19),0)</f>
        <v>0</v>
      </c>
      <c r="AS296" s="69" t="n">
        <f aca="false">H296+L296+P296+T296+X296+AB296+AF296+AJ296</f>
        <v>0</v>
      </c>
      <c r="AT296" s="69" t="n">
        <f aca="false">SUM(AK296:AR296)</f>
        <v>0</v>
      </c>
      <c r="AU296" s="69" t="n">
        <f aca="false">F296+G296+J296+K296+N296+O296+R296+S296+V296+W296+Z296+AA296+AD296+AE296+AH296+AI296</f>
        <v>0</v>
      </c>
    </row>
    <row r="297" customFormat="false" ht="15" hidden="false" customHeight="false" outlineLevel="0" collapsed="false">
      <c r="B297" s="0" t="n">
        <v>270</v>
      </c>
      <c r="C297" s="68" t="n">
        <f aca="false">EDATE($C$7,269)</f>
        <v>54483</v>
      </c>
      <c r="D297" s="69" t="n">
        <f aca="false">$C$8-(F297+J297+N297+R297+V297+Z297+AD297+AH297)</f>
        <v>0</v>
      </c>
      <c r="E297" s="69" t="n">
        <f aca="false">IF(H296&gt;0.5,H296*(1+E$23)+E$24,0)</f>
        <v>0</v>
      </c>
      <c r="F297" s="69" t="n">
        <f aca="false">MIN(F$23,E297)</f>
        <v>0</v>
      </c>
      <c r="G297" s="69" t="n">
        <f aca="false">IF(AND(F$24=1,OR(E$25="",$C297&gt;=E$25)),MAX(0,MIN(E297-F297,$D297-(0))),0)</f>
        <v>0</v>
      </c>
      <c r="H297" s="69" t="n">
        <f aca="false">E297-F297-G297</f>
        <v>0</v>
      </c>
      <c r="I297" s="69" t="n">
        <f aca="false">IF(L296&gt;0.5,L296*(1+I$23)+I$24,0)</f>
        <v>0</v>
      </c>
      <c r="J297" s="69" t="n">
        <f aca="false">MIN(J$23,I297)</f>
        <v>0</v>
      </c>
      <c r="K297" s="69" t="n">
        <f aca="false">IF(AND(J$24=1,OR(I$25="",$C297&gt;=I$25)),MAX(0,MIN(I297-J297,$D297-(G297))),0)</f>
        <v>0</v>
      </c>
      <c r="L297" s="69" t="n">
        <f aca="false">I297-J297-K297</f>
        <v>0</v>
      </c>
      <c r="M297" s="69" t="n">
        <f aca="false">IF(P296&gt;0.5,P296*(1+M$23)+M$24,0)</f>
        <v>0</v>
      </c>
      <c r="N297" s="69" t="n">
        <f aca="false">MIN(N$23,M297)</f>
        <v>0</v>
      </c>
      <c r="O297" s="69" t="n">
        <f aca="false">IF(AND(N$24=1,OR(M$25="",$C297&gt;=M$25)),MAX(0,MIN(M297-N297,$D297-(G297+K297))),0)</f>
        <v>0</v>
      </c>
      <c r="P297" s="69" t="n">
        <f aca="false">M297-N297-O297</f>
        <v>0</v>
      </c>
      <c r="Q297" s="69" t="n">
        <f aca="false">IF(T296&gt;0.5,T296*(1+Q$23)+Q$24,0)</f>
        <v>0</v>
      </c>
      <c r="R297" s="69" t="n">
        <f aca="false">MIN(R$23,Q297)</f>
        <v>0</v>
      </c>
      <c r="S297" s="69" t="n">
        <f aca="false">IF(AND(R$24=1,OR(Q$25="",$C297&gt;=Q$25)),MAX(0,MIN(Q297-R297,$D297-(G297+K297+O297))),0)</f>
        <v>0</v>
      </c>
      <c r="T297" s="69" t="n">
        <f aca="false">Q297-R297-S297</f>
        <v>0</v>
      </c>
      <c r="U297" s="69" t="n">
        <f aca="false">IF(X296&gt;0.5,X296*(1+U$23)+U$24,0)</f>
        <v>0</v>
      </c>
      <c r="V297" s="69" t="n">
        <f aca="false">MIN(V$23,U297)</f>
        <v>0</v>
      </c>
      <c r="W297" s="69" t="n">
        <f aca="false">IF(AND(V$24=1,OR(U$25="",$C297&gt;=U$25)),MAX(0,MIN(U297-V297,$D297-(G297+K297+O297+S297))),0)</f>
        <v>0</v>
      </c>
      <c r="X297" s="69" t="n">
        <f aca="false">U297-V297-W297</f>
        <v>0</v>
      </c>
      <c r="Y297" s="69" t="n">
        <f aca="false">IF(AB296&gt;0.5,AB296*(1+Y$23)+Y$24,0)</f>
        <v>0</v>
      </c>
      <c r="Z297" s="69" t="n">
        <f aca="false">MIN(Z$23,Y297)</f>
        <v>0</v>
      </c>
      <c r="AA297" s="69" t="n">
        <f aca="false">IF(AND(Z$24=1,OR(Y$25="",$C297&gt;=Y$25)),MAX(0,MIN(Y297-Z297,$D297-(G297+K297+O297+S297+W297))),0)</f>
        <v>0</v>
      </c>
      <c r="AB297" s="69" t="n">
        <f aca="false">Y297-Z297-AA297</f>
        <v>0</v>
      </c>
      <c r="AC297" s="69" t="n">
        <f aca="false">IF(AF296&gt;0.5,AF296*(1+AC$23)+AC$24,0)</f>
        <v>0</v>
      </c>
      <c r="AD297" s="69" t="n">
        <f aca="false">MIN(AD$23,AC297)</f>
        <v>0</v>
      </c>
      <c r="AE297" s="69" t="n">
        <f aca="false">IF(AND(AD$24=1,OR(AC$25="",$C297&gt;=AC$25)),MAX(0,MIN(AC297-AD297,$D297-(G297+K297+O297+S297+W297+AA297))),0)</f>
        <v>0</v>
      </c>
      <c r="AF297" s="69" t="n">
        <f aca="false">AC297-AD297-AE297</f>
        <v>0</v>
      </c>
      <c r="AG297" s="69" t="n">
        <f aca="false">IF(AJ296&gt;0.5,AJ296*(1+AG$23)+AG$24,0)</f>
        <v>0</v>
      </c>
      <c r="AH297" s="69" t="n">
        <f aca="false">MIN(AH$23,AG297)</f>
        <v>0</v>
      </c>
      <c r="AI297" s="69" t="n">
        <f aca="false">IF(AND(AH$24=1,OR(AG$25="",$C297&gt;=AG$25)),MAX(0,MIN(AG297-AH297,$D297-(G297+K297+O297+S297+W297+AA297+AE297))),0)</f>
        <v>0</v>
      </c>
      <c r="AJ297" s="69" t="n">
        <f aca="false">AG297-AH297-AI297</f>
        <v>0</v>
      </c>
      <c r="AK297" s="69" t="n">
        <f aca="false">IF(AK296&gt;0.5,AK296*(1+$E$12)+$G$12-MIN($F$12,AK296*(1+$E$12)+$G$12),0)</f>
        <v>0</v>
      </c>
      <c r="AL297" s="69" t="n">
        <f aca="false">IF(AL296&gt;0.5,AL296*(1+$E$13)+$G$13-MIN($F$13,AL296*(1+$E$13)+$G$13),0)</f>
        <v>0</v>
      </c>
      <c r="AM297" s="69" t="n">
        <f aca="false">IF(AM296&gt;0.5,AM296*(1+$E$14)+$G$14-MIN($F$14,AM296*(1+$E$14)+$G$14),0)</f>
        <v>0</v>
      </c>
      <c r="AN297" s="69" t="n">
        <f aca="false">IF(AN296&gt;0.5,AN296*(1+$E$15)+$G$15-MIN($F$15,AN296*(1+$E$15)+$G$15),0)</f>
        <v>0</v>
      </c>
      <c r="AO297" s="69" t="n">
        <f aca="false">IF(AO296&gt;0.5,AO296*(1+$E$16)+$G$16-MIN($F$16,AO296*(1+$E$16)+$G$16),0)</f>
        <v>0</v>
      </c>
      <c r="AP297" s="69" t="n">
        <f aca="false">IF(AP296&gt;0.5,AP296*(1+$E$17)+$G$17-MIN($F$17,AP296*(1+$E$17)+$G$17),0)</f>
        <v>0</v>
      </c>
      <c r="AQ297" s="69" t="n">
        <f aca="false">IF(AQ296&gt;0.5,AQ296*(1+$E$18)+$G$18-MIN($F$18,AQ296*(1+$E$18)+$G$18),0)</f>
        <v>0</v>
      </c>
      <c r="AR297" s="69" t="n">
        <f aca="false">IF(AR296&gt;0.5,AR296*(1+$E$19)+$G$19-MIN($F$19,AR296*(1+$E$19)+$G$19),0)</f>
        <v>0</v>
      </c>
      <c r="AS297" s="69" t="n">
        <f aca="false">H297+L297+P297+T297+X297+AB297+AF297+AJ297</f>
        <v>0</v>
      </c>
      <c r="AT297" s="69" t="n">
        <f aca="false">SUM(AK297:AR297)</f>
        <v>0</v>
      </c>
      <c r="AU297" s="69" t="n">
        <f aca="false">F297+G297+J297+K297+N297+O297+R297+S297+V297+W297+Z297+AA297+AD297+AE297+AH297+AI297</f>
        <v>0</v>
      </c>
    </row>
    <row r="298" customFormat="false" ht="15" hidden="false" customHeight="false" outlineLevel="0" collapsed="false">
      <c r="B298" s="0" t="n">
        <v>271</v>
      </c>
      <c r="C298" s="68" t="n">
        <f aca="false">EDATE($C$7,270)</f>
        <v>54514</v>
      </c>
      <c r="D298" s="69" t="n">
        <f aca="false">$C$8-(F298+J298+N298+R298+V298+Z298+AD298+AH298)</f>
        <v>0</v>
      </c>
      <c r="E298" s="69" t="n">
        <f aca="false">IF(H297&gt;0.5,H297*(1+E$23)+E$24,0)</f>
        <v>0</v>
      </c>
      <c r="F298" s="69" t="n">
        <f aca="false">MIN(F$23,E298)</f>
        <v>0</v>
      </c>
      <c r="G298" s="69" t="n">
        <f aca="false">IF(AND(F$24=1,OR(E$25="",$C298&gt;=E$25)),MAX(0,MIN(E298-F298,$D298-(0))),0)</f>
        <v>0</v>
      </c>
      <c r="H298" s="69" t="n">
        <f aca="false">E298-F298-G298</f>
        <v>0</v>
      </c>
      <c r="I298" s="69" t="n">
        <f aca="false">IF(L297&gt;0.5,L297*(1+I$23)+I$24,0)</f>
        <v>0</v>
      </c>
      <c r="J298" s="69" t="n">
        <f aca="false">MIN(J$23,I298)</f>
        <v>0</v>
      </c>
      <c r="K298" s="69" t="n">
        <f aca="false">IF(AND(J$24=1,OR(I$25="",$C298&gt;=I$25)),MAX(0,MIN(I298-J298,$D298-(G298))),0)</f>
        <v>0</v>
      </c>
      <c r="L298" s="69" t="n">
        <f aca="false">I298-J298-K298</f>
        <v>0</v>
      </c>
      <c r="M298" s="69" t="n">
        <f aca="false">IF(P297&gt;0.5,P297*(1+M$23)+M$24,0)</f>
        <v>0</v>
      </c>
      <c r="N298" s="69" t="n">
        <f aca="false">MIN(N$23,M298)</f>
        <v>0</v>
      </c>
      <c r="O298" s="69" t="n">
        <f aca="false">IF(AND(N$24=1,OR(M$25="",$C298&gt;=M$25)),MAX(0,MIN(M298-N298,$D298-(G298+K298))),0)</f>
        <v>0</v>
      </c>
      <c r="P298" s="69" t="n">
        <f aca="false">M298-N298-O298</f>
        <v>0</v>
      </c>
      <c r="Q298" s="69" t="n">
        <f aca="false">IF(T297&gt;0.5,T297*(1+Q$23)+Q$24,0)</f>
        <v>0</v>
      </c>
      <c r="R298" s="69" t="n">
        <f aca="false">MIN(R$23,Q298)</f>
        <v>0</v>
      </c>
      <c r="S298" s="69" t="n">
        <f aca="false">IF(AND(R$24=1,OR(Q$25="",$C298&gt;=Q$25)),MAX(0,MIN(Q298-R298,$D298-(G298+K298+O298))),0)</f>
        <v>0</v>
      </c>
      <c r="T298" s="69" t="n">
        <f aca="false">Q298-R298-S298</f>
        <v>0</v>
      </c>
      <c r="U298" s="69" t="n">
        <f aca="false">IF(X297&gt;0.5,X297*(1+U$23)+U$24,0)</f>
        <v>0</v>
      </c>
      <c r="V298" s="69" t="n">
        <f aca="false">MIN(V$23,U298)</f>
        <v>0</v>
      </c>
      <c r="W298" s="69" t="n">
        <f aca="false">IF(AND(V$24=1,OR(U$25="",$C298&gt;=U$25)),MAX(0,MIN(U298-V298,$D298-(G298+K298+O298+S298))),0)</f>
        <v>0</v>
      </c>
      <c r="X298" s="69" t="n">
        <f aca="false">U298-V298-W298</f>
        <v>0</v>
      </c>
      <c r="Y298" s="69" t="n">
        <f aca="false">IF(AB297&gt;0.5,AB297*(1+Y$23)+Y$24,0)</f>
        <v>0</v>
      </c>
      <c r="Z298" s="69" t="n">
        <f aca="false">MIN(Z$23,Y298)</f>
        <v>0</v>
      </c>
      <c r="AA298" s="69" t="n">
        <f aca="false">IF(AND(Z$24=1,OR(Y$25="",$C298&gt;=Y$25)),MAX(0,MIN(Y298-Z298,$D298-(G298+K298+O298+S298+W298))),0)</f>
        <v>0</v>
      </c>
      <c r="AB298" s="69" t="n">
        <f aca="false">Y298-Z298-AA298</f>
        <v>0</v>
      </c>
      <c r="AC298" s="69" t="n">
        <f aca="false">IF(AF297&gt;0.5,AF297*(1+AC$23)+AC$24,0)</f>
        <v>0</v>
      </c>
      <c r="AD298" s="69" t="n">
        <f aca="false">MIN(AD$23,AC298)</f>
        <v>0</v>
      </c>
      <c r="AE298" s="69" t="n">
        <f aca="false">IF(AND(AD$24=1,OR(AC$25="",$C298&gt;=AC$25)),MAX(0,MIN(AC298-AD298,$D298-(G298+K298+O298+S298+W298+AA298))),0)</f>
        <v>0</v>
      </c>
      <c r="AF298" s="69" t="n">
        <f aca="false">AC298-AD298-AE298</f>
        <v>0</v>
      </c>
      <c r="AG298" s="69" t="n">
        <f aca="false">IF(AJ297&gt;0.5,AJ297*(1+AG$23)+AG$24,0)</f>
        <v>0</v>
      </c>
      <c r="AH298" s="69" t="n">
        <f aca="false">MIN(AH$23,AG298)</f>
        <v>0</v>
      </c>
      <c r="AI298" s="69" t="n">
        <f aca="false">IF(AND(AH$24=1,OR(AG$25="",$C298&gt;=AG$25)),MAX(0,MIN(AG298-AH298,$D298-(G298+K298+O298+S298+W298+AA298+AE298))),0)</f>
        <v>0</v>
      </c>
      <c r="AJ298" s="69" t="n">
        <f aca="false">AG298-AH298-AI298</f>
        <v>0</v>
      </c>
      <c r="AK298" s="69" t="n">
        <f aca="false">IF(AK297&gt;0.5,AK297*(1+$E$12)+$G$12-MIN($F$12,AK297*(1+$E$12)+$G$12),0)</f>
        <v>0</v>
      </c>
      <c r="AL298" s="69" t="n">
        <f aca="false">IF(AL297&gt;0.5,AL297*(1+$E$13)+$G$13-MIN($F$13,AL297*(1+$E$13)+$G$13),0)</f>
        <v>0</v>
      </c>
      <c r="AM298" s="69" t="n">
        <f aca="false">IF(AM297&gt;0.5,AM297*(1+$E$14)+$G$14-MIN($F$14,AM297*(1+$E$14)+$G$14),0)</f>
        <v>0</v>
      </c>
      <c r="AN298" s="69" t="n">
        <f aca="false">IF(AN297&gt;0.5,AN297*(1+$E$15)+$G$15-MIN($F$15,AN297*(1+$E$15)+$G$15),0)</f>
        <v>0</v>
      </c>
      <c r="AO298" s="69" t="n">
        <f aca="false">IF(AO297&gt;0.5,AO297*(1+$E$16)+$G$16-MIN($F$16,AO297*(1+$E$16)+$G$16),0)</f>
        <v>0</v>
      </c>
      <c r="AP298" s="69" t="n">
        <f aca="false">IF(AP297&gt;0.5,AP297*(1+$E$17)+$G$17-MIN($F$17,AP297*(1+$E$17)+$G$17),0)</f>
        <v>0</v>
      </c>
      <c r="AQ298" s="69" t="n">
        <f aca="false">IF(AQ297&gt;0.5,AQ297*(1+$E$18)+$G$18-MIN($F$18,AQ297*(1+$E$18)+$G$18),0)</f>
        <v>0</v>
      </c>
      <c r="AR298" s="69" t="n">
        <f aca="false">IF(AR297&gt;0.5,AR297*(1+$E$19)+$G$19-MIN($F$19,AR297*(1+$E$19)+$G$19),0)</f>
        <v>0</v>
      </c>
      <c r="AS298" s="69" t="n">
        <f aca="false">H298+L298+P298+T298+X298+AB298+AF298+AJ298</f>
        <v>0</v>
      </c>
      <c r="AT298" s="69" t="n">
        <f aca="false">SUM(AK298:AR298)</f>
        <v>0</v>
      </c>
      <c r="AU298" s="69" t="n">
        <f aca="false">F298+G298+J298+K298+N298+O298+R298+S298+V298+W298+Z298+AA298+AD298+AE298+AH298+AI298</f>
        <v>0</v>
      </c>
    </row>
    <row r="299" customFormat="false" ht="15" hidden="false" customHeight="false" outlineLevel="0" collapsed="false">
      <c r="B299" s="0" t="n">
        <v>272</v>
      </c>
      <c r="C299" s="68" t="n">
        <f aca="false">EDATE($C$7,271)</f>
        <v>54544</v>
      </c>
      <c r="D299" s="69" t="n">
        <f aca="false">$C$8-(F299+J299+N299+R299+V299+Z299+AD299+AH299)</f>
        <v>0</v>
      </c>
      <c r="E299" s="69" t="n">
        <f aca="false">IF(H298&gt;0.5,H298*(1+E$23)+E$24,0)</f>
        <v>0</v>
      </c>
      <c r="F299" s="69" t="n">
        <f aca="false">MIN(F$23,E299)</f>
        <v>0</v>
      </c>
      <c r="G299" s="69" t="n">
        <f aca="false">IF(AND(F$24=1,OR(E$25="",$C299&gt;=E$25)),MAX(0,MIN(E299-F299,$D299-(0))),0)</f>
        <v>0</v>
      </c>
      <c r="H299" s="69" t="n">
        <f aca="false">E299-F299-G299</f>
        <v>0</v>
      </c>
      <c r="I299" s="69" t="n">
        <f aca="false">IF(L298&gt;0.5,L298*(1+I$23)+I$24,0)</f>
        <v>0</v>
      </c>
      <c r="J299" s="69" t="n">
        <f aca="false">MIN(J$23,I299)</f>
        <v>0</v>
      </c>
      <c r="K299" s="69" t="n">
        <f aca="false">IF(AND(J$24=1,OR(I$25="",$C299&gt;=I$25)),MAX(0,MIN(I299-J299,$D299-(G299))),0)</f>
        <v>0</v>
      </c>
      <c r="L299" s="69" t="n">
        <f aca="false">I299-J299-K299</f>
        <v>0</v>
      </c>
      <c r="M299" s="69" t="n">
        <f aca="false">IF(P298&gt;0.5,P298*(1+M$23)+M$24,0)</f>
        <v>0</v>
      </c>
      <c r="N299" s="69" t="n">
        <f aca="false">MIN(N$23,M299)</f>
        <v>0</v>
      </c>
      <c r="O299" s="69" t="n">
        <f aca="false">IF(AND(N$24=1,OR(M$25="",$C299&gt;=M$25)),MAX(0,MIN(M299-N299,$D299-(G299+K299))),0)</f>
        <v>0</v>
      </c>
      <c r="P299" s="69" t="n">
        <f aca="false">M299-N299-O299</f>
        <v>0</v>
      </c>
      <c r="Q299" s="69" t="n">
        <f aca="false">IF(T298&gt;0.5,T298*(1+Q$23)+Q$24,0)</f>
        <v>0</v>
      </c>
      <c r="R299" s="69" t="n">
        <f aca="false">MIN(R$23,Q299)</f>
        <v>0</v>
      </c>
      <c r="S299" s="69" t="n">
        <f aca="false">IF(AND(R$24=1,OR(Q$25="",$C299&gt;=Q$25)),MAX(0,MIN(Q299-R299,$D299-(G299+K299+O299))),0)</f>
        <v>0</v>
      </c>
      <c r="T299" s="69" t="n">
        <f aca="false">Q299-R299-S299</f>
        <v>0</v>
      </c>
      <c r="U299" s="69" t="n">
        <f aca="false">IF(X298&gt;0.5,X298*(1+U$23)+U$24,0)</f>
        <v>0</v>
      </c>
      <c r="V299" s="69" t="n">
        <f aca="false">MIN(V$23,U299)</f>
        <v>0</v>
      </c>
      <c r="W299" s="69" t="n">
        <f aca="false">IF(AND(V$24=1,OR(U$25="",$C299&gt;=U$25)),MAX(0,MIN(U299-V299,$D299-(G299+K299+O299+S299))),0)</f>
        <v>0</v>
      </c>
      <c r="X299" s="69" t="n">
        <f aca="false">U299-V299-W299</f>
        <v>0</v>
      </c>
      <c r="Y299" s="69" t="n">
        <f aca="false">IF(AB298&gt;0.5,AB298*(1+Y$23)+Y$24,0)</f>
        <v>0</v>
      </c>
      <c r="Z299" s="69" t="n">
        <f aca="false">MIN(Z$23,Y299)</f>
        <v>0</v>
      </c>
      <c r="AA299" s="69" t="n">
        <f aca="false">IF(AND(Z$24=1,OR(Y$25="",$C299&gt;=Y$25)),MAX(0,MIN(Y299-Z299,$D299-(G299+K299+O299+S299+W299))),0)</f>
        <v>0</v>
      </c>
      <c r="AB299" s="69" t="n">
        <f aca="false">Y299-Z299-AA299</f>
        <v>0</v>
      </c>
      <c r="AC299" s="69" t="n">
        <f aca="false">IF(AF298&gt;0.5,AF298*(1+AC$23)+AC$24,0)</f>
        <v>0</v>
      </c>
      <c r="AD299" s="69" t="n">
        <f aca="false">MIN(AD$23,AC299)</f>
        <v>0</v>
      </c>
      <c r="AE299" s="69" t="n">
        <f aca="false">IF(AND(AD$24=1,OR(AC$25="",$C299&gt;=AC$25)),MAX(0,MIN(AC299-AD299,$D299-(G299+K299+O299+S299+W299+AA299))),0)</f>
        <v>0</v>
      </c>
      <c r="AF299" s="69" t="n">
        <f aca="false">AC299-AD299-AE299</f>
        <v>0</v>
      </c>
      <c r="AG299" s="69" t="n">
        <f aca="false">IF(AJ298&gt;0.5,AJ298*(1+AG$23)+AG$24,0)</f>
        <v>0</v>
      </c>
      <c r="AH299" s="69" t="n">
        <f aca="false">MIN(AH$23,AG299)</f>
        <v>0</v>
      </c>
      <c r="AI299" s="69" t="n">
        <f aca="false">IF(AND(AH$24=1,OR(AG$25="",$C299&gt;=AG$25)),MAX(0,MIN(AG299-AH299,$D299-(G299+K299+O299+S299+W299+AA299+AE299))),0)</f>
        <v>0</v>
      </c>
      <c r="AJ299" s="69" t="n">
        <f aca="false">AG299-AH299-AI299</f>
        <v>0</v>
      </c>
      <c r="AK299" s="69" t="n">
        <f aca="false">IF(AK298&gt;0.5,AK298*(1+$E$12)+$G$12-MIN($F$12,AK298*(1+$E$12)+$G$12),0)</f>
        <v>0</v>
      </c>
      <c r="AL299" s="69" t="n">
        <f aca="false">IF(AL298&gt;0.5,AL298*(1+$E$13)+$G$13-MIN($F$13,AL298*(1+$E$13)+$G$13),0)</f>
        <v>0</v>
      </c>
      <c r="AM299" s="69" t="n">
        <f aca="false">IF(AM298&gt;0.5,AM298*(1+$E$14)+$G$14-MIN($F$14,AM298*(1+$E$14)+$G$14),0)</f>
        <v>0</v>
      </c>
      <c r="AN299" s="69" t="n">
        <f aca="false">IF(AN298&gt;0.5,AN298*(1+$E$15)+$G$15-MIN($F$15,AN298*(1+$E$15)+$G$15),0)</f>
        <v>0</v>
      </c>
      <c r="AO299" s="69" t="n">
        <f aca="false">IF(AO298&gt;0.5,AO298*(1+$E$16)+$G$16-MIN($F$16,AO298*(1+$E$16)+$G$16),0)</f>
        <v>0</v>
      </c>
      <c r="AP299" s="69" t="n">
        <f aca="false">IF(AP298&gt;0.5,AP298*(1+$E$17)+$G$17-MIN($F$17,AP298*(1+$E$17)+$G$17),0)</f>
        <v>0</v>
      </c>
      <c r="AQ299" s="69" t="n">
        <f aca="false">IF(AQ298&gt;0.5,AQ298*(1+$E$18)+$G$18-MIN($F$18,AQ298*(1+$E$18)+$G$18),0)</f>
        <v>0</v>
      </c>
      <c r="AR299" s="69" t="n">
        <f aca="false">IF(AR298&gt;0.5,AR298*(1+$E$19)+$G$19-MIN($F$19,AR298*(1+$E$19)+$G$19),0)</f>
        <v>0</v>
      </c>
      <c r="AS299" s="69" t="n">
        <f aca="false">H299+L299+P299+T299+X299+AB299+AF299+AJ299</f>
        <v>0</v>
      </c>
      <c r="AT299" s="69" t="n">
        <f aca="false">SUM(AK299:AR299)</f>
        <v>0</v>
      </c>
      <c r="AU299" s="69" t="n">
        <f aca="false">F299+G299+J299+K299+N299+O299+R299+S299+V299+W299+Z299+AA299+AD299+AE299+AH299+AI299</f>
        <v>0</v>
      </c>
    </row>
    <row r="300" customFormat="false" ht="15" hidden="false" customHeight="false" outlineLevel="0" collapsed="false">
      <c r="B300" s="0" t="n">
        <v>273</v>
      </c>
      <c r="C300" s="68" t="n">
        <f aca="false">EDATE($C$7,272)</f>
        <v>54575</v>
      </c>
      <c r="D300" s="69" t="n">
        <f aca="false">$C$8-(F300+J300+N300+R300+V300+Z300+AD300+AH300)</f>
        <v>0</v>
      </c>
      <c r="E300" s="69" t="n">
        <f aca="false">IF(H299&gt;0.5,H299*(1+E$23)+E$24,0)</f>
        <v>0</v>
      </c>
      <c r="F300" s="69" t="n">
        <f aca="false">MIN(F$23,E300)</f>
        <v>0</v>
      </c>
      <c r="G300" s="69" t="n">
        <f aca="false">IF(AND(F$24=1,OR(E$25="",$C300&gt;=E$25)),MAX(0,MIN(E300-F300,$D300-(0))),0)</f>
        <v>0</v>
      </c>
      <c r="H300" s="69" t="n">
        <f aca="false">E300-F300-G300</f>
        <v>0</v>
      </c>
      <c r="I300" s="69" t="n">
        <f aca="false">IF(L299&gt;0.5,L299*(1+I$23)+I$24,0)</f>
        <v>0</v>
      </c>
      <c r="J300" s="69" t="n">
        <f aca="false">MIN(J$23,I300)</f>
        <v>0</v>
      </c>
      <c r="K300" s="69" t="n">
        <f aca="false">IF(AND(J$24=1,OR(I$25="",$C300&gt;=I$25)),MAX(0,MIN(I300-J300,$D300-(G300))),0)</f>
        <v>0</v>
      </c>
      <c r="L300" s="69" t="n">
        <f aca="false">I300-J300-K300</f>
        <v>0</v>
      </c>
      <c r="M300" s="69" t="n">
        <f aca="false">IF(P299&gt;0.5,P299*(1+M$23)+M$24,0)</f>
        <v>0</v>
      </c>
      <c r="N300" s="69" t="n">
        <f aca="false">MIN(N$23,M300)</f>
        <v>0</v>
      </c>
      <c r="O300" s="69" t="n">
        <f aca="false">IF(AND(N$24=1,OR(M$25="",$C300&gt;=M$25)),MAX(0,MIN(M300-N300,$D300-(G300+K300))),0)</f>
        <v>0</v>
      </c>
      <c r="P300" s="69" t="n">
        <f aca="false">M300-N300-O300</f>
        <v>0</v>
      </c>
      <c r="Q300" s="69" t="n">
        <f aca="false">IF(T299&gt;0.5,T299*(1+Q$23)+Q$24,0)</f>
        <v>0</v>
      </c>
      <c r="R300" s="69" t="n">
        <f aca="false">MIN(R$23,Q300)</f>
        <v>0</v>
      </c>
      <c r="S300" s="69" t="n">
        <f aca="false">IF(AND(R$24=1,OR(Q$25="",$C300&gt;=Q$25)),MAX(0,MIN(Q300-R300,$D300-(G300+K300+O300))),0)</f>
        <v>0</v>
      </c>
      <c r="T300" s="69" t="n">
        <f aca="false">Q300-R300-S300</f>
        <v>0</v>
      </c>
      <c r="U300" s="69" t="n">
        <f aca="false">IF(X299&gt;0.5,X299*(1+U$23)+U$24,0)</f>
        <v>0</v>
      </c>
      <c r="V300" s="69" t="n">
        <f aca="false">MIN(V$23,U300)</f>
        <v>0</v>
      </c>
      <c r="W300" s="69" t="n">
        <f aca="false">IF(AND(V$24=1,OR(U$25="",$C300&gt;=U$25)),MAX(0,MIN(U300-V300,$D300-(G300+K300+O300+S300))),0)</f>
        <v>0</v>
      </c>
      <c r="X300" s="69" t="n">
        <f aca="false">U300-V300-W300</f>
        <v>0</v>
      </c>
      <c r="Y300" s="69" t="n">
        <f aca="false">IF(AB299&gt;0.5,AB299*(1+Y$23)+Y$24,0)</f>
        <v>0</v>
      </c>
      <c r="Z300" s="69" t="n">
        <f aca="false">MIN(Z$23,Y300)</f>
        <v>0</v>
      </c>
      <c r="AA300" s="69" t="n">
        <f aca="false">IF(AND(Z$24=1,OR(Y$25="",$C300&gt;=Y$25)),MAX(0,MIN(Y300-Z300,$D300-(G300+K300+O300+S300+W300))),0)</f>
        <v>0</v>
      </c>
      <c r="AB300" s="69" t="n">
        <f aca="false">Y300-Z300-AA300</f>
        <v>0</v>
      </c>
      <c r="AC300" s="69" t="n">
        <f aca="false">IF(AF299&gt;0.5,AF299*(1+AC$23)+AC$24,0)</f>
        <v>0</v>
      </c>
      <c r="AD300" s="69" t="n">
        <f aca="false">MIN(AD$23,AC300)</f>
        <v>0</v>
      </c>
      <c r="AE300" s="69" t="n">
        <f aca="false">IF(AND(AD$24=1,OR(AC$25="",$C300&gt;=AC$25)),MAX(0,MIN(AC300-AD300,$D300-(G300+K300+O300+S300+W300+AA300))),0)</f>
        <v>0</v>
      </c>
      <c r="AF300" s="69" t="n">
        <f aca="false">AC300-AD300-AE300</f>
        <v>0</v>
      </c>
      <c r="AG300" s="69" t="n">
        <f aca="false">IF(AJ299&gt;0.5,AJ299*(1+AG$23)+AG$24,0)</f>
        <v>0</v>
      </c>
      <c r="AH300" s="69" t="n">
        <f aca="false">MIN(AH$23,AG300)</f>
        <v>0</v>
      </c>
      <c r="AI300" s="69" t="n">
        <f aca="false">IF(AND(AH$24=1,OR(AG$25="",$C300&gt;=AG$25)),MAX(0,MIN(AG300-AH300,$D300-(G300+K300+O300+S300+W300+AA300+AE300))),0)</f>
        <v>0</v>
      </c>
      <c r="AJ300" s="69" t="n">
        <f aca="false">AG300-AH300-AI300</f>
        <v>0</v>
      </c>
      <c r="AK300" s="69" t="n">
        <f aca="false">IF(AK299&gt;0.5,AK299*(1+$E$12)+$G$12-MIN($F$12,AK299*(1+$E$12)+$G$12),0)</f>
        <v>0</v>
      </c>
      <c r="AL300" s="69" t="n">
        <f aca="false">IF(AL299&gt;0.5,AL299*(1+$E$13)+$G$13-MIN($F$13,AL299*(1+$E$13)+$G$13),0)</f>
        <v>0</v>
      </c>
      <c r="AM300" s="69" t="n">
        <f aca="false">IF(AM299&gt;0.5,AM299*(1+$E$14)+$G$14-MIN($F$14,AM299*(1+$E$14)+$G$14),0)</f>
        <v>0</v>
      </c>
      <c r="AN300" s="69" t="n">
        <f aca="false">IF(AN299&gt;0.5,AN299*(1+$E$15)+$G$15-MIN($F$15,AN299*(1+$E$15)+$G$15),0)</f>
        <v>0</v>
      </c>
      <c r="AO300" s="69" t="n">
        <f aca="false">IF(AO299&gt;0.5,AO299*(1+$E$16)+$G$16-MIN($F$16,AO299*(1+$E$16)+$G$16),0)</f>
        <v>0</v>
      </c>
      <c r="AP300" s="69" t="n">
        <f aca="false">IF(AP299&gt;0.5,AP299*(1+$E$17)+$G$17-MIN($F$17,AP299*(1+$E$17)+$G$17),0)</f>
        <v>0</v>
      </c>
      <c r="AQ300" s="69" t="n">
        <f aca="false">IF(AQ299&gt;0.5,AQ299*(1+$E$18)+$G$18-MIN($F$18,AQ299*(1+$E$18)+$G$18),0)</f>
        <v>0</v>
      </c>
      <c r="AR300" s="69" t="n">
        <f aca="false">IF(AR299&gt;0.5,AR299*(1+$E$19)+$G$19-MIN($F$19,AR299*(1+$E$19)+$G$19),0)</f>
        <v>0</v>
      </c>
      <c r="AS300" s="69" t="n">
        <f aca="false">H300+L300+P300+T300+X300+AB300+AF300+AJ300</f>
        <v>0</v>
      </c>
      <c r="AT300" s="69" t="n">
        <f aca="false">SUM(AK300:AR300)</f>
        <v>0</v>
      </c>
      <c r="AU300" s="69" t="n">
        <f aca="false">F300+G300+J300+K300+N300+O300+R300+S300+V300+W300+Z300+AA300+AD300+AE300+AH300+AI300</f>
        <v>0</v>
      </c>
    </row>
    <row r="301" customFormat="false" ht="15" hidden="false" customHeight="false" outlineLevel="0" collapsed="false">
      <c r="B301" s="0" t="n">
        <v>274</v>
      </c>
      <c r="C301" s="68" t="n">
        <f aca="false">EDATE($C$7,273)</f>
        <v>54605</v>
      </c>
      <c r="D301" s="69" t="n">
        <f aca="false">$C$8-(F301+J301+N301+R301+V301+Z301+AD301+AH301)</f>
        <v>0</v>
      </c>
      <c r="E301" s="69" t="n">
        <f aca="false">IF(H300&gt;0.5,H300*(1+E$23)+E$24,0)</f>
        <v>0</v>
      </c>
      <c r="F301" s="69" t="n">
        <f aca="false">MIN(F$23,E301)</f>
        <v>0</v>
      </c>
      <c r="G301" s="69" t="n">
        <f aca="false">IF(AND(F$24=1,OR(E$25="",$C301&gt;=E$25)),MAX(0,MIN(E301-F301,$D301-(0))),0)</f>
        <v>0</v>
      </c>
      <c r="H301" s="69" t="n">
        <f aca="false">E301-F301-G301</f>
        <v>0</v>
      </c>
      <c r="I301" s="69" t="n">
        <f aca="false">IF(L300&gt;0.5,L300*(1+I$23)+I$24,0)</f>
        <v>0</v>
      </c>
      <c r="J301" s="69" t="n">
        <f aca="false">MIN(J$23,I301)</f>
        <v>0</v>
      </c>
      <c r="K301" s="69" t="n">
        <f aca="false">IF(AND(J$24=1,OR(I$25="",$C301&gt;=I$25)),MAX(0,MIN(I301-J301,$D301-(G301))),0)</f>
        <v>0</v>
      </c>
      <c r="L301" s="69" t="n">
        <f aca="false">I301-J301-K301</f>
        <v>0</v>
      </c>
      <c r="M301" s="69" t="n">
        <f aca="false">IF(P300&gt;0.5,P300*(1+M$23)+M$24,0)</f>
        <v>0</v>
      </c>
      <c r="N301" s="69" t="n">
        <f aca="false">MIN(N$23,M301)</f>
        <v>0</v>
      </c>
      <c r="O301" s="69" t="n">
        <f aca="false">IF(AND(N$24=1,OR(M$25="",$C301&gt;=M$25)),MAX(0,MIN(M301-N301,$D301-(G301+K301))),0)</f>
        <v>0</v>
      </c>
      <c r="P301" s="69" t="n">
        <f aca="false">M301-N301-O301</f>
        <v>0</v>
      </c>
      <c r="Q301" s="69" t="n">
        <f aca="false">IF(T300&gt;0.5,T300*(1+Q$23)+Q$24,0)</f>
        <v>0</v>
      </c>
      <c r="R301" s="69" t="n">
        <f aca="false">MIN(R$23,Q301)</f>
        <v>0</v>
      </c>
      <c r="S301" s="69" t="n">
        <f aca="false">IF(AND(R$24=1,OR(Q$25="",$C301&gt;=Q$25)),MAX(0,MIN(Q301-R301,$D301-(G301+K301+O301))),0)</f>
        <v>0</v>
      </c>
      <c r="T301" s="69" t="n">
        <f aca="false">Q301-R301-S301</f>
        <v>0</v>
      </c>
      <c r="U301" s="69" t="n">
        <f aca="false">IF(X300&gt;0.5,X300*(1+U$23)+U$24,0)</f>
        <v>0</v>
      </c>
      <c r="V301" s="69" t="n">
        <f aca="false">MIN(V$23,U301)</f>
        <v>0</v>
      </c>
      <c r="W301" s="69" t="n">
        <f aca="false">IF(AND(V$24=1,OR(U$25="",$C301&gt;=U$25)),MAX(0,MIN(U301-V301,$D301-(G301+K301+O301+S301))),0)</f>
        <v>0</v>
      </c>
      <c r="X301" s="69" t="n">
        <f aca="false">U301-V301-W301</f>
        <v>0</v>
      </c>
      <c r="Y301" s="69" t="n">
        <f aca="false">IF(AB300&gt;0.5,AB300*(1+Y$23)+Y$24,0)</f>
        <v>0</v>
      </c>
      <c r="Z301" s="69" t="n">
        <f aca="false">MIN(Z$23,Y301)</f>
        <v>0</v>
      </c>
      <c r="AA301" s="69" t="n">
        <f aca="false">IF(AND(Z$24=1,OR(Y$25="",$C301&gt;=Y$25)),MAX(0,MIN(Y301-Z301,$D301-(G301+K301+O301+S301+W301))),0)</f>
        <v>0</v>
      </c>
      <c r="AB301" s="69" t="n">
        <f aca="false">Y301-Z301-AA301</f>
        <v>0</v>
      </c>
      <c r="AC301" s="69" t="n">
        <f aca="false">IF(AF300&gt;0.5,AF300*(1+AC$23)+AC$24,0)</f>
        <v>0</v>
      </c>
      <c r="AD301" s="69" t="n">
        <f aca="false">MIN(AD$23,AC301)</f>
        <v>0</v>
      </c>
      <c r="AE301" s="69" t="n">
        <f aca="false">IF(AND(AD$24=1,OR(AC$25="",$C301&gt;=AC$25)),MAX(0,MIN(AC301-AD301,$D301-(G301+K301+O301+S301+W301+AA301))),0)</f>
        <v>0</v>
      </c>
      <c r="AF301" s="69" t="n">
        <f aca="false">AC301-AD301-AE301</f>
        <v>0</v>
      </c>
      <c r="AG301" s="69" t="n">
        <f aca="false">IF(AJ300&gt;0.5,AJ300*(1+AG$23)+AG$24,0)</f>
        <v>0</v>
      </c>
      <c r="AH301" s="69" t="n">
        <f aca="false">MIN(AH$23,AG301)</f>
        <v>0</v>
      </c>
      <c r="AI301" s="69" t="n">
        <f aca="false">IF(AND(AH$24=1,OR(AG$25="",$C301&gt;=AG$25)),MAX(0,MIN(AG301-AH301,$D301-(G301+K301+O301+S301+W301+AA301+AE301))),0)</f>
        <v>0</v>
      </c>
      <c r="AJ301" s="69" t="n">
        <f aca="false">AG301-AH301-AI301</f>
        <v>0</v>
      </c>
      <c r="AK301" s="69" t="n">
        <f aca="false">IF(AK300&gt;0.5,AK300*(1+$E$12)+$G$12-MIN($F$12,AK300*(1+$E$12)+$G$12),0)</f>
        <v>0</v>
      </c>
      <c r="AL301" s="69" t="n">
        <f aca="false">IF(AL300&gt;0.5,AL300*(1+$E$13)+$G$13-MIN($F$13,AL300*(1+$E$13)+$G$13),0)</f>
        <v>0</v>
      </c>
      <c r="AM301" s="69" t="n">
        <f aca="false">IF(AM300&gt;0.5,AM300*(1+$E$14)+$G$14-MIN($F$14,AM300*(1+$E$14)+$G$14),0)</f>
        <v>0</v>
      </c>
      <c r="AN301" s="69" t="n">
        <f aca="false">IF(AN300&gt;0.5,AN300*(1+$E$15)+$G$15-MIN($F$15,AN300*(1+$E$15)+$G$15),0)</f>
        <v>0</v>
      </c>
      <c r="AO301" s="69" t="n">
        <f aca="false">IF(AO300&gt;0.5,AO300*(1+$E$16)+$G$16-MIN($F$16,AO300*(1+$E$16)+$G$16),0)</f>
        <v>0</v>
      </c>
      <c r="AP301" s="69" t="n">
        <f aca="false">IF(AP300&gt;0.5,AP300*(1+$E$17)+$G$17-MIN($F$17,AP300*(1+$E$17)+$G$17),0)</f>
        <v>0</v>
      </c>
      <c r="AQ301" s="69" t="n">
        <f aca="false">IF(AQ300&gt;0.5,AQ300*(1+$E$18)+$G$18-MIN($F$18,AQ300*(1+$E$18)+$G$18),0)</f>
        <v>0</v>
      </c>
      <c r="AR301" s="69" t="n">
        <f aca="false">IF(AR300&gt;0.5,AR300*(1+$E$19)+$G$19-MIN($F$19,AR300*(1+$E$19)+$G$19),0)</f>
        <v>0</v>
      </c>
      <c r="AS301" s="69" t="n">
        <f aca="false">H301+L301+P301+T301+X301+AB301+AF301+AJ301</f>
        <v>0</v>
      </c>
      <c r="AT301" s="69" t="n">
        <f aca="false">SUM(AK301:AR301)</f>
        <v>0</v>
      </c>
      <c r="AU301" s="69" t="n">
        <f aca="false">F301+G301+J301+K301+N301+O301+R301+S301+V301+W301+Z301+AA301+AD301+AE301+AH301+AI301</f>
        <v>0</v>
      </c>
    </row>
    <row r="302" customFormat="false" ht="15" hidden="false" customHeight="false" outlineLevel="0" collapsed="false">
      <c r="B302" s="0" t="n">
        <v>275</v>
      </c>
      <c r="C302" s="68" t="n">
        <f aca="false">EDATE($C$7,274)</f>
        <v>54636</v>
      </c>
      <c r="D302" s="69" t="n">
        <f aca="false">$C$8-(F302+J302+N302+R302+V302+Z302+AD302+AH302)</f>
        <v>0</v>
      </c>
      <c r="E302" s="69" t="n">
        <f aca="false">IF(H301&gt;0.5,H301*(1+E$23)+E$24,0)</f>
        <v>0</v>
      </c>
      <c r="F302" s="69" t="n">
        <f aca="false">MIN(F$23,E302)</f>
        <v>0</v>
      </c>
      <c r="G302" s="69" t="n">
        <f aca="false">IF(AND(F$24=1,OR(E$25="",$C302&gt;=E$25)),MAX(0,MIN(E302-F302,$D302-(0))),0)</f>
        <v>0</v>
      </c>
      <c r="H302" s="69" t="n">
        <f aca="false">E302-F302-G302</f>
        <v>0</v>
      </c>
      <c r="I302" s="69" t="n">
        <f aca="false">IF(L301&gt;0.5,L301*(1+I$23)+I$24,0)</f>
        <v>0</v>
      </c>
      <c r="J302" s="69" t="n">
        <f aca="false">MIN(J$23,I302)</f>
        <v>0</v>
      </c>
      <c r="K302" s="69" t="n">
        <f aca="false">IF(AND(J$24=1,OR(I$25="",$C302&gt;=I$25)),MAX(0,MIN(I302-J302,$D302-(G302))),0)</f>
        <v>0</v>
      </c>
      <c r="L302" s="69" t="n">
        <f aca="false">I302-J302-K302</f>
        <v>0</v>
      </c>
      <c r="M302" s="69" t="n">
        <f aca="false">IF(P301&gt;0.5,P301*(1+M$23)+M$24,0)</f>
        <v>0</v>
      </c>
      <c r="N302" s="69" t="n">
        <f aca="false">MIN(N$23,M302)</f>
        <v>0</v>
      </c>
      <c r="O302" s="69" t="n">
        <f aca="false">IF(AND(N$24=1,OR(M$25="",$C302&gt;=M$25)),MAX(0,MIN(M302-N302,$D302-(G302+K302))),0)</f>
        <v>0</v>
      </c>
      <c r="P302" s="69" t="n">
        <f aca="false">M302-N302-O302</f>
        <v>0</v>
      </c>
      <c r="Q302" s="69" t="n">
        <f aca="false">IF(T301&gt;0.5,T301*(1+Q$23)+Q$24,0)</f>
        <v>0</v>
      </c>
      <c r="R302" s="69" t="n">
        <f aca="false">MIN(R$23,Q302)</f>
        <v>0</v>
      </c>
      <c r="S302" s="69" t="n">
        <f aca="false">IF(AND(R$24=1,OR(Q$25="",$C302&gt;=Q$25)),MAX(0,MIN(Q302-R302,$D302-(G302+K302+O302))),0)</f>
        <v>0</v>
      </c>
      <c r="T302" s="69" t="n">
        <f aca="false">Q302-R302-S302</f>
        <v>0</v>
      </c>
      <c r="U302" s="69" t="n">
        <f aca="false">IF(X301&gt;0.5,X301*(1+U$23)+U$24,0)</f>
        <v>0</v>
      </c>
      <c r="V302" s="69" t="n">
        <f aca="false">MIN(V$23,U302)</f>
        <v>0</v>
      </c>
      <c r="W302" s="69" t="n">
        <f aca="false">IF(AND(V$24=1,OR(U$25="",$C302&gt;=U$25)),MAX(0,MIN(U302-V302,$D302-(G302+K302+O302+S302))),0)</f>
        <v>0</v>
      </c>
      <c r="X302" s="69" t="n">
        <f aca="false">U302-V302-W302</f>
        <v>0</v>
      </c>
      <c r="Y302" s="69" t="n">
        <f aca="false">IF(AB301&gt;0.5,AB301*(1+Y$23)+Y$24,0)</f>
        <v>0</v>
      </c>
      <c r="Z302" s="69" t="n">
        <f aca="false">MIN(Z$23,Y302)</f>
        <v>0</v>
      </c>
      <c r="AA302" s="69" t="n">
        <f aca="false">IF(AND(Z$24=1,OR(Y$25="",$C302&gt;=Y$25)),MAX(0,MIN(Y302-Z302,$D302-(G302+K302+O302+S302+W302))),0)</f>
        <v>0</v>
      </c>
      <c r="AB302" s="69" t="n">
        <f aca="false">Y302-Z302-AA302</f>
        <v>0</v>
      </c>
      <c r="AC302" s="69" t="n">
        <f aca="false">IF(AF301&gt;0.5,AF301*(1+AC$23)+AC$24,0)</f>
        <v>0</v>
      </c>
      <c r="AD302" s="69" t="n">
        <f aca="false">MIN(AD$23,AC302)</f>
        <v>0</v>
      </c>
      <c r="AE302" s="69" t="n">
        <f aca="false">IF(AND(AD$24=1,OR(AC$25="",$C302&gt;=AC$25)),MAX(0,MIN(AC302-AD302,$D302-(G302+K302+O302+S302+W302+AA302))),0)</f>
        <v>0</v>
      </c>
      <c r="AF302" s="69" t="n">
        <f aca="false">AC302-AD302-AE302</f>
        <v>0</v>
      </c>
      <c r="AG302" s="69" t="n">
        <f aca="false">IF(AJ301&gt;0.5,AJ301*(1+AG$23)+AG$24,0)</f>
        <v>0</v>
      </c>
      <c r="AH302" s="69" t="n">
        <f aca="false">MIN(AH$23,AG302)</f>
        <v>0</v>
      </c>
      <c r="AI302" s="69" t="n">
        <f aca="false">IF(AND(AH$24=1,OR(AG$25="",$C302&gt;=AG$25)),MAX(0,MIN(AG302-AH302,$D302-(G302+K302+O302+S302+W302+AA302+AE302))),0)</f>
        <v>0</v>
      </c>
      <c r="AJ302" s="69" t="n">
        <f aca="false">AG302-AH302-AI302</f>
        <v>0</v>
      </c>
      <c r="AK302" s="69" t="n">
        <f aca="false">IF(AK301&gt;0.5,AK301*(1+$E$12)+$G$12-MIN($F$12,AK301*(1+$E$12)+$G$12),0)</f>
        <v>0</v>
      </c>
      <c r="AL302" s="69" t="n">
        <f aca="false">IF(AL301&gt;0.5,AL301*(1+$E$13)+$G$13-MIN($F$13,AL301*(1+$E$13)+$G$13),0)</f>
        <v>0</v>
      </c>
      <c r="AM302" s="69" t="n">
        <f aca="false">IF(AM301&gt;0.5,AM301*(1+$E$14)+$G$14-MIN($F$14,AM301*(1+$E$14)+$G$14),0)</f>
        <v>0</v>
      </c>
      <c r="AN302" s="69" t="n">
        <f aca="false">IF(AN301&gt;0.5,AN301*(1+$E$15)+$G$15-MIN($F$15,AN301*(1+$E$15)+$G$15),0)</f>
        <v>0</v>
      </c>
      <c r="AO302" s="69" t="n">
        <f aca="false">IF(AO301&gt;0.5,AO301*(1+$E$16)+$G$16-MIN($F$16,AO301*(1+$E$16)+$G$16),0)</f>
        <v>0</v>
      </c>
      <c r="AP302" s="69" t="n">
        <f aca="false">IF(AP301&gt;0.5,AP301*(1+$E$17)+$G$17-MIN($F$17,AP301*(1+$E$17)+$G$17),0)</f>
        <v>0</v>
      </c>
      <c r="AQ302" s="69" t="n">
        <f aca="false">IF(AQ301&gt;0.5,AQ301*(1+$E$18)+$G$18-MIN($F$18,AQ301*(1+$E$18)+$G$18),0)</f>
        <v>0</v>
      </c>
      <c r="AR302" s="69" t="n">
        <f aca="false">IF(AR301&gt;0.5,AR301*(1+$E$19)+$G$19-MIN($F$19,AR301*(1+$E$19)+$G$19),0)</f>
        <v>0</v>
      </c>
      <c r="AS302" s="69" t="n">
        <f aca="false">H302+L302+P302+T302+X302+AB302+AF302+AJ302</f>
        <v>0</v>
      </c>
      <c r="AT302" s="69" t="n">
        <f aca="false">SUM(AK302:AR302)</f>
        <v>0</v>
      </c>
      <c r="AU302" s="69" t="n">
        <f aca="false">F302+G302+J302+K302+N302+O302+R302+S302+V302+W302+Z302+AA302+AD302+AE302+AH302+AI302</f>
        <v>0</v>
      </c>
    </row>
    <row r="303" customFormat="false" ht="15" hidden="false" customHeight="false" outlineLevel="0" collapsed="false">
      <c r="B303" s="0" t="n">
        <v>276</v>
      </c>
      <c r="C303" s="68" t="n">
        <f aca="false">EDATE($C$7,275)</f>
        <v>54667</v>
      </c>
      <c r="D303" s="69" t="n">
        <f aca="false">$C$8-(F303+J303+N303+R303+V303+Z303+AD303+AH303)</f>
        <v>0</v>
      </c>
      <c r="E303" s="69" t="n">
        <f aca="false">IF(H302&gt;0.5,H302*(1+E$23)+E$24,0)</f>
        <v>0</v>
      </c>
      <c r="F303" s="69" t="n">
        <f aca="false">MIN(F$23,E303)</f>
        <v>0</v>
      </c>
      <c r="G303" s="69" t="n">
        <f aca="false">IF(AND(F$24=1,OR(E$25="",$C303&gt;=E$25)),MAX(0,MIN(E303-F303,$D303-(0))),0)</f>
        <v>0</v>
      </c>
      <c r="H303" s="69" t="n">
        <f aca="false">E303-F303-G303</f>
        <v>0</v>
      </c>
      <c r="I303" s="69" t="n">
        <f aca="false">IF(L302&gt;0.5,L302*(1+I$23)+I$24,0)</f>
        <v>0</v>
      </c>
      <c r="J303" s="69" t="n">
        <f aca="false">MIN(J$23,I303)</f>
        <v>0</v>
      </c>
      <c r="K303" s="69" t="n">
        <f aca="false">IF(AND(J$24=1,OR(I$25="",$C303&gt;=I$25)),MAX(0,MIN(I303-J303,$D303-(G303))),0)</f>
        <v>0</v>
      </c>
      <c r="L303" s="69" t="n">
        <f aca="false">I303-J303-K303</f>
        <v>0</v>
      </c>
      <c r="M303" s="69" t="n">
        <f aca="false">IF(P302&gt;0.5,P302*(1+M$23)+M$24,0)</f>
        <v>0</v>
      </c>
      <c r="N303" s="69" t="n">
        <f aca="false">MIN(N$23,M303)</f>
        <v>0</v>
      </c>
      <c r="O303" s="69" t="n">
        <f aca="false">IF(AND(N$24=1,OR(M$25="",$C303&gt;=M$25)),MAX(0,MIN(M303-N303,$D303-(G303+K303))),0)</f>
        <v>0</v>
      </c>
      <c r="P303" s="69" t="n">
        <f aca="false">M303-N303-O303</f>
        <v>0</v>
      </c>
      <c r="Q303" s="69" t="n">
        <f aca="false">IF(T302&gt;0.5,T302*(1+Q$23)+Q$24,0)</f>
        <v>0</v>
      </c>
      <c r="R303" s="69" t="n">
        <f aca="false">MIN(R$23,Q303)</f>
        <v>0</v>
      </c>
      <c r="S303" s="69" t="n">
        <f aca="false">IF(AND(R$24=1,OR(Q$25="",$C303&gt;=Q$25)),MAX(0,MIN(Q303-R303,$D303-(G303+K303+O303))),0)</f>
        <v>0</v>
      </c>
      <c r="T303" s="69" t="n">
        <f aca="false">Q303-R303-S303</f>
        <v>0</v>
      </c>
      <c r="U303" s="69" t="n">
        <f aca="false">IF(X302&gt;0.5,X302*(1+U$23)+U$24,0)</f>
        <v>0</v>
      </c>
      <c r="V303" s="69" t="n">
        <f aca="false">MIN(V$23,U303)</f>
        <v>0</v>
      </c>
      <c r="W303" s="69" t="n">
        <f aca="false">IF(AND(V$24=1,OR(U$25="",$C303&gt;=U$25)),MAX(0,MIN(U303-V303,$D303-(G303+K303+O303+S303))),0)</f>
        <v>0</v>
      </c>
      <c r="X303" s="69" t="n">
        <f aca="false">U303-V303-W303</f>
        <v>0</v>
      </c>
      <c r="Y303" s="69" t="n">
        <f aca="false">IF(AB302&gt;0.5,AB302*(1+Y$23)+Y$24,0)</f>
        <v>0</v>
      </c>
      <c r="Z303" s="69" t="n">
        <f aca="false">MIN(Z$23,Y303)</f>
        <v>0</v>
      </c>
      <c r="AA303" s="69" t="n">
        <f aca="false">IF(AND(Z$24=1,OR(Y$25="",$C303&gt;=Y$25)),MAX(0,MIN(Y303-Z303,$D303-(G303+K303+O303+S303+W303))),0)</f>
        <v>0</v>
      </c>
      <c r="AB303" s="69" t="n">
        <f aca="false">Y303-Z303-AA303</f>
        <v>0</v>
      </c>
      <c r="AC303" s="69" t="n">
        <f aca="false">IF(AF302&gt;0.5,AF302*(1+AC$23)+AC$24,0)</f>
        <v>0</v>
      </c>
      <c r="AD303" s="69" t="n">
        <f aca="false">MIN(AD$23,AC303)</f>
        <v>0</v>
      </c>
      <c r="AE303" s="69" t="n">
        <f aca="false">IF(AND(AD$24=1,OR(AC$25="",$C303&gt;=AC$25)),MAX(0,MIN(AC303-AD303,$D303-(G303+K303+O303+S303+W303+AA303))),0)</f>
        <v>0</v>
      </c>
      <c r="AF303" s="69" t="n">
        <f aca="false">AC303-AD303-AE303</f>
        <v>0</v>
      </c>
      <c r="AG303" s="69" t="n">
        <f aca="false">IF(AJ302&gt;0.5,AJ302*(1+AG$23)+AG$24,0)</f>
        <v>0</v>
      </c>
      <c r="AH303" s="69" t="n">
        <f aca="false">MIN(AH$23,AG303)</f>
        <v>0</v>
      </c>
      <c r="AI303" s="69" t="n">
        <f aca="false">IF(AND(AH$24=1,OR(AG$25="",$C303&gt;=AG$25)),MAX(0,MIN(AG303-AH303,$D303-(G303+K303+O303+S303+W303+AA303+AE303))),0)</f>
        <v>0</v>
      </c>
      <c r="AJ303" s="69" t="n">
        <f aca="false">AG303-AH303-AI303</f>
        <v>0</v>
      </c>
      <c r="AK303" s="69" t="n">
        <f aca="false">IF(AK302&gt;0.5,AK302*(1+$E$12)+$G$12-MIN($F$12,AK302*(1+$E$12)+$G$12),0)</f>
        <v>0</v>
      </c>
      <c r="AL303" s="69" t="n">
        <f aca="false">IF(AL302&gt;0.5,AL302*(1+$E$13)+$G$13-MIN($F$13,AL302*(1+$E$13)+$G$13),0)</f>
        <v>0</v>
      </c>
      <c r="AM303" s="69" t="n">
        <f aca="false">IF(AM302&gt;0.5,AM302*(1+$E$14)+$G$14-MIN($F$14,AM302*(1+$E$14)+$G$14),0)</f>
        <v>0</v>
      </c>
      <c r="AN303" s="69" t="n">
        <f aca="false">IF(AN302&gt;0.5,AN302*(1+$E$15)+$G$15-MIN($F$15,AN302*(1+$E$15)+$G$15),0)</f>
        <v>0</v>
      </c>
      <c r="AO303" s="69" t="n">
        <f aca="false">IF(AO302&gt;0.5,AO302*(1+$E$16)+$G$16-MIN($F$16,AO302*(1+$E$16)+$G$16),0)</f>
        <v>0</v>
      </c>
      <c r="AP303" s="69" t="n">
        <f aca="false">IF(AP302&gt;0.5,AP302*(1+$E$17)+$G$17-MIN($F$17,AP302*(1+$E$17)+$G$17),0)</f>
        <v>0</v>
      </c>
      <c r="AQ303" s="69" t="n">
        <f aca="false">IF(AQ302&gt;0.5,AQ302*(1+$E$18)+$G$18-MIN($F$18,AQ302*(1+$E$18)+$G$18),0)</f>
        <v>0</v>
      </c>
      <c r="AR303" s="69" t="n">
        <f aca="false">IF(AR302&gt;0.5,AR302*(1+$E$19)+$G$19-MIN($F$19,AR302*(1+$E$19)+$G$19),0)</f>
        <v>0</v>
      </c>
      <c r="AS303" s="69" t="n">
        <f aca="false">H303+L303+P303+T303+X303+AB303+AF303+AJ303</f>
        <v>0</v>
      </c>
      <c r="AT303" s="69" t="n">
        <f aca="false">SUM(AK303:AR303)</f>
        <v>0</v>
      </c>
      <c r="AU303" s="69" t="n">
        <f aca="false">F303+G303+J303+K303+N303+O303+R303+S303+V303+W303+Z303+AA303+AD303+AE303+AH303+AI303</f>
        <v>0</v>
      </c>
    </row>
    <row r="304" customFormat="false" ht="15" hidden="false" customHeight="false" outlineLevel="0" collapsed="false">
      <c r="B304" s="0" t="n">
        <v>277</v>
      </c>
      <c r="C304" s="68" t="n">
        <f aca="false">EDATE($C$7,276)</f>
        <v>54697</v>
      </c>
      <c r="D304" s="69" t="n">
        <f aca="false">$C$8-(F304+J304+N304+R304+V304+Z304+AD304+AH304)</f>
        <v>0</v>
      </c>
      <c r="E304" s="69" t="n">
        <f aca="false">IF(H303&gt;0.5,H303*(1+E$23)+E$24,0)</f>
        <v>0</v>
      </c>
      <c r="F304" s="69" t="n">
        <f aca="false">MIN(F$23,E304)</f>
        <v>0</v>
      </c>
      <c r="G304" s="69" t="n">
        <f aca="false">IF(AND(F$24=1,OR(E$25="",$C304&gt;=E$25)),MAX(0,MIN(E304-F304,$D304-(0))),0)</f>
        <v>0</v>
      </c>
      <c r="H304" s="69" t="n">
        <f aca="false">E304-F304-G304</f>
        <v>0</v>
      </c>
      <c r="I304" s="69" t="n">
        <f aca="false">IF(L303&gt;0.5,L303*(1+I$23)+I$24,0)</f>
        <v>0</v>
      </c>
      <c r="J304" s="69" t="n">
        <f aca="false">MIN(J$23,I304)</f>
        <v>0</v>
      </c>
      <c r="K304" s="69" t="n">
        <f aca="false">IF(AND(J$24=1,OR(I$25="",$C304&gt;=I$25)),MAX(0,MIN(I304-J304,$D304-(G304))),0)</f>
        <v>0</v>
      </c>
      <c r="L304" s="69" t="n">
        <f aca="false">I304-J304-K304</f>
        <v>0</v>
      </c>
      <c r="M304" s="69" t="n">
        <f aca="false">IF(P303&gt;0.5,P303*(1+M$23)+M$24,0)</f>
        <v>0</v>
      </c>
      <c r="N304" s="69" t="n">
        <f aca="false">MIN(N$23,M304)</f>
        <v>0</v>
      </c>
      <c r="O304" s="69" t="n">
        <f aca="false">IF(AND(N$24=1,OR(M$25="",$C304&gt;=M$25)),MAX(0,MIN(M304-N304,$D304-(G304+K304))),0)</f>
        <v>0</v>
      </c>
      <c r="P304" s="69" t="n">
        <f aca="false">M304-N304-O304</f>
        <v>0</v>
      </c>
      <c r="Q304" s="69" t="n">
        <f aca="false">IF(T303&gt;0.5,T303*(1+Q$23)+Q$24,0)</f>
        <v>0</v>
      </c>
      <c r="R304" s="69" t="n">
        <f aca="false">MIN(R$23,Q304)</f>
        <v>0</v>
      </c>
      <c r="S304" s="69" t="n">
        <f aca="false">IF(AND(R$24=1,OR(Q$25="",$C304&gt;=Q$25)),MAX(0,MIN(Q304-R304,$D304-(G304+K304+O304))),0)</f>
        <v>0</v>
      </c>
      <c r="T304" s="69" t="n">
        <f aca="false">Q304-R304-S304</f>
        <v>0</v>
      </c>
      <c r="U304" s="69" t="n">
        <f aca="false">IF(X303&gt;0.5,X303*(1+U$23)+U$24,0)</f>
        <v>0</v>
      </c>
      <c r="V304" s="69" t="n">
        <f aca="false">MIN(V$23,U304)</f>
        <v>0</v>
      </c>
      <c r="W304" s="69" t="n">
        <f aca="false">IF(AND(V$24=1,OR(U$25="",$C304&gt;=U$25)),MAX(0,MIN(U304-V304,$D304-(G304+K304+O304+S304))),0)</f>
        <v>0</v>
      </c>
      <c r="X304" s="69" t="n">
        <f aca="false">U304-V304-W304</f>
        <v>0</v>
      </c>
      <c r="Y304" s="69" t="n">
        <f aca="false">IF(AB303&gt;0.5,AB303*(1+Y$23)+Y$24,0)</f>
        <v>0</v>
      </c>
      <c r="Z304" s="69" t="n">
        <f aca="false">MIN(Z$23,Y304)</f>
        <v>0</v>
      </c>
      <c r="AA304" s="69" t="n">
        <f aca="false">IF(AND(Z$24=1,OR(Y$25="",$C304&gt;=Y$25)),MAX(0,MIN(Y304-Z304,$D304-(G304+K304+O304+S304+W304))),0)</f>
        <v>0</v>
      </c>
      <c r="AB304" s="69" t="n">
        <f aca="false">Y304-Z304-AA304</f>
        <v>0</v>
      </c>
      <c r="AC304" s="69" t="n">
        <f aca="false">IF(AF303&gt;0.5,AF303*(1+AC$23)+AC$24,0)</f>
        <v>0</v>
      </c>
      <c r="AD304" s="69" t="n">
        <f aca="false">MIN(AD$23,AC304)</f>
        <v>0</v>
      </c>
      <c r="AE304" s="69" t="n">
        <f aca="false">IF(AND(AD$24=1,OR(AC$25="",$C304&gt;=AC$25)),MAX(0,MIN(AC304-AD304,$D304-(G304+K304+O304+S304+W304+AA304))),0)</f>
        <v>0</v>
      </c>
      <c r="AF304" s="69" t="n">
        <f aca="false">AC304-AD304-AE304</f>
        <v>0</v>
      </c>
      <c r="AG304" s="69" t="n">
        <f aca="false">IF(AJ303&gt;0.5,AJ303*(1+AG$23)+AG$24,0)</f>
        <v>0</v>
      </c>
      <c r="AH304" s="69" t="n">
        <f aca="false">MIN(AH$23,AG304)</f>
        <v>0</v>
      </c>
      <c r="AI304" s="69" t="n">
        <f aca="false">IF(AND(AH$24=1,OR(AG$25="",$C304&gt;=AG$25)),MAX(0,MIN(AG304-AH304,$D304-(G304+K304+O304+S304+W304+AA304+AE304))),0)</f>
        <v>0</v>
      </c>
      <c r="AJ304" s="69" t="n">
        <f aca="false">AG304-AH304-AI304</f>
        <v>0</v>
      </c>
      <c r="AK304" s="69" t="n">
        <f aca="false">IF(AK303&gt;0.5,AK303*(1+$E$12)+$G$12-MIN($F$12,AK303*(1+$E$12)+$G$12),0)</f>
        <v>0</v>
      </c>
      <c r="AL304" s="69" t="n">
        <f aca="false">IF(AL303&gt;0.5,AL303*(1+$E$13)+$G$13-MIN($F$13,AL303*(1+$E$13)+$G$13),0)</f>
        <v>0</v>
      </c>
      <c r="AM304" s="69" t="n">
        <f aca="false">IF(AM303&gt;0.5,AM303*(1+$E$14)+$G$14-MIN($F$14,AM303*(1+$E$14)+$G$14),0)</f>
        <v>0</v>
      </c>
      <c r="AN304" s="69" t="n">
        <f aca="false">IF(AN303&gt;0.5,AN303*(1+$E$15)+$G$15-MIN($F$15,AN303*(1+$E$15)+$G$15),0)</f>
        <v>0</v>
      </c>
      <c r="AO304" s="69" t="n">
        <f aca="false">IF(AO303&gt;0.5,AO303*(1+$E$16)+$G$16-MIN($F$16,AO303*(1+$E$16)+$G$16),0)</f>
        <v>0</v>
      </c>
      <c r="AP304" s="69" t="n">
        <f aca="false">IF(AP303&gt;0.5,AP303*(1+$E$17)+$G$17-MIN($F$17,AP303*(1+$E$17)+$G$17),0)</f>
        <v>0</v>
      </c>
      <c r="AQ304" s="69" t="n">
        <f aca="false">IF(AQ303&gt;0.5,AQ303*(1+$E$18)+$G$18-MIN($F$18,AQ303*(1+$E$18)+$G$18),0)</f>
        <v>0</v>
      </c>
      <c r="AR304" s="69" t="n">
        <f aca="false">IF(AR303&gt;0.5,AR303*(1+$E$19)+$G$19-MIN($F$19,AR303*(1+$E$19)+$G$19),0)</f>
        <v>0</v>
      </c>
      <c r="AS304" s="69" t="n">
        <f aca="false">H304+L304+P304+T304+X304+AB304+AF304+AJ304</f>
        <v>0</v>
      </c>
      <c r="AT304" s="69" t="n">
        <f aca="false">SUM(AK304:AR304)</f>
        <v>0</v>
      </c>
      <c r="AU304" s="69" t="n">
        <f aca="false">F304+G304+J304+K304+N304+O304+R304+S304+V304+W304+Z304+AA304+AD304+AE304+AH304+AI304</f>
        <v>0</v>
      </c>
    </row>
    <row r="305" customFormat="false" ht="15" hidden="false" customHeight="false" outlineLevel="0" collapsed="false">
      <c r="B305" s="0" t="n">
        <v>278</v>
      </c>
      <c r="C305" s="68" t="n">
        <f aca="false">EDATE($C$7,277)</f>
        <v>54728</v>
      </c>
      <c r="D305" s="69" t="n">
        <f aca="false">$C$8-(F305+J305+N305+R305+V305+Z305+AD305+AH305)</f>
        <v>0</v>
      </c>
      <c r="E305" s="69" t="n">
        <f aca="false">IF(H304&gt;0.5,H304*(1+E$23)+E$24,0)</f>
        <v>0</v>
      </c>
      <c r="F305" s="69" t="n">
        <f aca="false">MIN(F$23,E305)</f>
        <v>0</v>
      </c>
      <c r="G305" s="69" t="n">
        <f aca="false">IF(AND(F$24=1,OR(E$25="",$C305&gt;=E$25)),MAX(0,MIN(E305-F305,$D305-(0))),0)</f>
        <v>0</v>
      </c>
      <c r="H305" s="69" t="n">
        <f aca="false">E305-F305-G305</f>
        <v>0</v>
      </c>
      <c r="I305" s="69" t="n">
        <f aca="false">IF(L304&gt;0.5,L304*(1+I$23)+I$24,0)</f>
        <v>0</v>
      </c>
      <c r="J305" s="69" t="n">
        <f aca="false">MIN(J$23,I305)</f>
        <v>0</v>
      </c>
      <c r="K305" s="69" t="n">
        <f aca="false">IF(AND(J$24=1,OR(I$25="",$C305&gt;=I$25)),MAX(0,MIN(I305-J305,$D305-(G305))),0)</f>
        <v>0</v>
      </c>
      <c r="L305" s="69" t="n">
        <f aca="false">I305-J305-K305</f>
        <v>0</v>
      </c>
      <c r="M305" s="69" t="n">
        <f aca="false">IF(P304&gt;0.5,P304*(1+M$23)+M$24,0)</f>
        <v>0</v>
      </c>
      <c r="N305" s="69" t="n">
        <f aca="false">MIN(N$23,M305)</f>
        <v>0</v>
      </c>
      <c r="O305" s="69" t="n">
        <f aca="false">IF(AND(N$24=1,OR(M$25="",$C305&gt;=M$25)),MAX(0,MIN(M305-N305,$D305-(G305+K305))),0)</f>
        <v>0</v>
      </c>
      <c r="P305" s="69" t="n">
        <f aca="false">M305-N305-O305</f>
        <v>0</v>
      </c>
      <c r="Q305" s="69" t="n">
        <f aca="false">IF(T304&gt;0.5,T304*(1+Q$23)+Q$24,0)</f>
        <v>0</v>
      </c>
      <c r="R305" s="69" t="n">
        <f aca="false">MIN(R$23,Q305)</f>
        <v>0</v>
      </c>
      <c r="S305" s="69" t="n">
        <f aca="false">IF(AND(R$24=1,OR(Q$25="",$C305&gt;=Q$25)),MAX(0,MIN(Q305-R305,$D305-(G305+K305+O305))),0)</f>
        <v>0</v>
      </c>
      <c r="T305" s="69" t="n">
        <f aca="false">Q305-R305-S305</f>
        <v>0</v>
      </c>
      <c r="U305" s="69" t="n">
        <f aca="false">IF(X304&gt;0.5,X304*(1+U$23)+U$24,0)</f>
        <v>0</v>
      </c>
      <c r="V305" s="69" t="n">
        <f aca="false">MIN(V$23,U305)</f>
        <v>0</v>
      </c>
      <c r="W305" s="69" t="n">
        <f aca="false">IF(AND(V$24=1,OR(U$25="",$C305&gt;=U$25)),MAX(0,MIN(U305-V305,$D305-(G305+K305+O305+S305))),0)</f>
        <v>0</v>
      </c>
      <c r="X305" s="69" t="n">
        <f aca="false">U305-V305-W305</f>
        <v>0</v>
      </c>
      <c r="Y305" s="69" t="n">
        <f aca="false">IF(AB304&gt;0.5,AB304*(1+Y$23)+Y$24,0)</f>
        <v>0</v>
      </c>
      <c r="Z305" s="69" t="n">
        <f aca="false">MIN(Z$23,Y305)</f>
        <v>0</v>
      </c>
      <c r="AA305" s="69" t="n">
        <f aca="false">IF(AND(Z$24=1,OR(Y$25="",$C305&gt;=Y$25)),MAX(0,MIN(Y305-Z305,$D305-(G305+K305+O305+S305+W305))),0)</f>
        <v>0</v>
      </c>
      <c r="AB305" s="69" t="n">
        <f aca="false">Y305-Z305-AA305</f>
        <v>0</v>
      </c>
      <c r="AC305" s="69" t="n">
        <f aca="false">IF(AF304&gt;0.5,AF304*(1+AC$23)+AC$24,0)</f>
        <v>0</v>
      </c>
      <c r="AD305" s="69" t="n">
        <f aca="false">MIN(AD$23,AC305)</f>
        <v>0</v>
      </c>
      <c r="AE305" s="69" t="n">
        <f aca="false">IF(AND(AD$24=1,OR(AC$25="",$C305&gt;=AC$25)),MAX(0,MIN(AC305-AD305,$D305-(G305+K305+O305+S305+W305+AA305))),0)</f>
        <v>0</v>
      </c>
      <c r="AF305" s="69" t="n">
        <f aca="false">AC305-AD305-AE305</f>
        <v>0</v>
      </c>
      <c r="AG305" s="69" t="n">
        <f aca="false">IF(AJ304&gt;0.5,AJ304*(1+AG$23)+AG$24,0)</f>
        <v>0</v>
      </c>
      <c r="AH305" s="69" t="n">
        <f aca="false">MIN(AH$23,AG305)</f>
        <v>0</v>
      </c>
      <c r="AI305" s="69" t="n">
        <f aca="false">IF(AND(AH$24=1,OR(AG$25="",$C305&gt;=AG$25)),MAX(0,MIN(AG305-AH305,$D305-(G305+K305+O305+S305+W305+AA305+AE305))),0)</f>
        <v>0</v>
      </c>
      <c r="AJ305" s="69" t="n">
        <f aca="false">AG305-AH305-AI305</f>
        <v>0</v>
      </c>
      <c r="AK305" s="69" t="n">
        <f aca="false">IF(AK304&gt;0.5,AK304*(1+$E$12)+$G$12-MIN($F$12,AK304*(1+$E$12)+$G$12),0)</f>
        <v>0</v>
      </c>
      <c r="AL305" s="69" t="n">
        <f aca="false">IF(AL304&gt;0.5,AL304*(1+$E$13)+$G$13-MIN($F$13,AL304*(1+$E$13)+$G$13),0)</f>
        <v>0</v>
      </c>
      <c r="AM305" s="69" t="n">
        <f aca="false">IF(AM304&gt;0.5,AM304*(1+$E$14)+$G$14-MIN($F$14,AM304*(1+$E$14)+$G$14),0)</f>
        <v>0</v>
      </c>
      <c r="AN305" s="69" t="n">
        <f aca="false">IF(AN304&gt;0.5,AN304*(1+$E$15)+$G$15-MIN($F$15,AN304*(1+$E$15)+$G$15),0)</f>
        <v>0</v>
      </c>
      <c r="AO305" s="69" t="n">
        <f aca="false">IF(AO304&gt;0.5,AO304*(1+$E$16)+$G$16-MIN($F$16,AO304*(1+$E$16)+$G$16),0)</f>
        <v>0</v>
      </c>
      <c r="AP305" s="69" t="n">
        <f aca="false">IF(AP304&gt;0.5,AP304*(1+$E$17)+$G$17-MIN($F$17,AP304*(1+$E$17)+$G$17),0)</f>
        <v>0</v>
      </c>
      <c r="AQ305" s="69" t="n">
        <f aca="false">IF(AQ304&gt;0.5,AQ304*(1+$E$18)+$G$18-MIN($F$18,AQ304*(1+$E$18)+$G$18),0)</f>
        <v>0</v>
      </c>
      <c r="AR305" s="69" t="n">
        <f aca="false">IF(AR304&gt;0.5,AR304*(1+$E$19)+$G$19-MIN($F$19,AR304*(1+$E$19)+$G$19),0)</f>
        <v>0</v>
      </c>
      <c r="AS305" s="69" t="n">
        <f aca="false">H305+L305+P305+T305+X305+AB305+AF305+AJ305</f>
        <v>0</v>
      </c>
      <c r="AT305" s="69" t="n">
        <f aca="false">SUM(AK305:AR305)</f>
        <v>0</v>
      </c>
      <c r="AU305" s="69" t="n">
        <f aca="false">F305+G305+J305+K305+N305+O305+R305+S305+V305+W305+Z305+AA305+AD305+AE305+AH305+AI305</f>
        <v>0</v>
      </c>
    </row>
    <row r="306" customFormat="false" ht="15" hidden="false" customHeight="false" outlineLevel="0" collapsed="false">
      <c r="B306" s="0" t="n">
        <v>279</v>
      </c>
      <c r="C306" s="68" t="n">
        <f aca="false">EDATE($C$7,278)</f>
        <v>54758</v>
      </c>
      <c r="D306" s="69" t="n">
        <f aca="false">$C$8-(F306+J306+N306+R306+V306+Z306+AD306+AH306)</f>
        <v>0</v>
      </c>
      <c r="E306" s="69" t="n">
        <f aca="false">IF(H305&gt;0.5,H305*(1+E$23)+E$24,0)</f>
        <v>0</v>
      </c>
      <c r="F306" s="69" t="n">
        <f aca="false">MIN(F$23,E306)</f>
        <v>0</v>
      </c>
      <c r="G306" s="69" t="n">
        <f aca="false">IF(AND(F$24=1,OR(E$25="",$C306&gt;=E$25)),MAX(0,MIN(E306-F306,$D306-(0))),0)</f>
        <v>0</v>
      </c>
      <c r="H306" s="69" t="n">
        <f aca="false">E306-F306-G306</f>
        <v>0</v>
      </c>
      <c r="I306" s="69" t="n">
        <f aca="false">IF(L305&gt;0.5,L305*(1+I$23)+I$24,0)</f>
        <v>0</v>
      </c>
      <c r="J306" s="69" t="n">
        <f aca="false">MIN(J$23,I306)</f>
        <v>0</v>
      </c>
      <c r="K306" s="69" t="n">
        <f aca="false">IF(AND(J$24=1,OR(I$25="",$C306&gt;=I$25)),MAX(0,MIN(I306-J306,$D306-(G306))),0)</f>
        <v>0</v>
      </c>
      <c r="L306" s="69" t="n">
        <f aca="false">I306-J306-K306</f>
        <v>0</v>
      </c>
      <c r="M306" s="69" t="n">
        <f aca="false">IF(P305&gt;0.5,P305*(1+M$23)+M$24,0)</f>
        <v>0</v>
      </c>
      <c r="N306" s="69" t="n">
        <f aca="false">MIN(N$23,M306)</f>
        <v>0</v>
      </c>
      <c r="O306" s="69" t="n">
        <f aca="false">IF(AND(N$24=1,OR(M$25="",$C306&gt;=M$25)),MAX(0,MIN(M306-N306,$D306-(G306+K306))),0)</f>
        <v>0</v>
      </c>
      <c r="P306" s="69" t="n">
        <f aca="false">M306-N306-O306</f>
        <v>0</v>
      </c>
      <c r="Q306" s="69" t="n">
        <f aca="false">IF(T305&gt;0.5,T305*(1+Q$23)+Q$24,0)</f>
        <v>0</v>
      </c>
      <c r="R306" s="69" t="n">
        <f aca="false">MIN(R$23,Q306)</f>
        <v>0</v>
      </c>
      <c r="S306" s="69" t="n">
        <f aca="false">IF(AND(R$24=1,OR(Q$25="",$C306&gt;=Q$25)),MAX(0,MIN(Q306-R306,$D306-(G306+K306+O306))),0)</f>
        <v>0</v>
      </c>
      <c r="T306" s="69" t="n">
        <f aca="false">Q306-R306-S306</f>
        <v>0</v>
      </c>
      <c r="U306" s="69" t="n">
        <f aca="false">IF(X305&gt;0.5,X305*(1+U$23)+U$24,0)</f>
        <v>0</v>
      </c>
      <c r="V306" s="69" t="n">
        <f aca="false">MIN(V$23,U306)</f>
        <v>0</v>
      </c>
      <c r="W306" s="69" t="n">
        <f aca="false">IF(AND(V$24=1,OR(U$25="",$C306&gt;=U$25)),MAX(0,MIN(U306-V306,$D306-(G306+K306+O306+S306))),0)</f>
        <v>0</v>
      </c>
      <c r="X306" s="69" t="n">
        <f aca="false">U306-V306-W306</f>
        <v>0</v>
      </c>
      <c r="Y306" s="69" t="n">
        <f aca="false">IF(AB305&gt;0.5,AB305*(1+Y$23)+Y$24,0)</f>
        <v>0</v>
      </c>
      <c r="Z306" s="69" t="n">
        <f aca="false">MIN(Z$23,Y306)</f>
        <v>0</v>
      </c>
      <c r="AA306" s="69" t="n">
        <f aca="false">IF(AND(Z$24=1,OR(Y$25="",$C306&gt;=Y$25)),MAX(0,MIN(Y306-Z306,$D306-(G306+K306+O306+S306+W306))),0)</f>
        <v>0</v>
      </c>
      <c r="AB306" s="69" t="n">
        <f aca="false">Y306-Z306-AA306</f>
        <v>0</v>
      </c>
      <c r="AC306" s="69" t="n">
        <f aca="false">IF(AF305&gt;0.5,AF305*(1+AC$23)+AC$24,0)</f>
        <v>0</v>
      </c>
      <c r="AD306" s="69" t="n">
        <f aca="false">MIN(AD$23,AC306)</f>
        <v>0</v>
      </c>
      <c r="AE306" s="69" t="n">
        <f aca="false">IF(AND(AD$24=1,OR(AC$25="",$C306&gt;=AC$25)),MAX(0,MIN(AC306-AD306,$D306-(G306+K306+O306+S306+W306+AA306))),0)</f>
        <v>0</v>
      </c>
      <c r="AF306" s="69" t="n">
        <f aca="false">AC306-AD306-AE306</f>
        <v>0</v>
      </c>
      <c r="AG306" s="69" t="n">
        <f aca="false">IF(AJ305&gt;0.5,AJ305*(1+AG$23)+AG$24,0)</f>
        <v>0</v>
      </c>
      <c r="AH306" s="69" t="n">
        <f aca="false">MIN(AH$23,AG306)</f>
        <v>0</v>
      </c>
      <c r="AI306" s="69" t="n">
        <f aca="false">IF(AND(AH$24=1,OR(AG$25="",$C306&gt;=AG$25)),MAX(0,MIN(AG306-AH306,$D306-(G306+K306+O306+S306+W306+AA306+AE306))),0)</f>
        <v>0</v>
      </c>
      <c r="AJ306" s="69" t="n">
        <f aca="false">AG306-AH306-AI306</f>
        <v>0</v>
      </c>
      <c r="AK306" s="69" t="n">
        <f aca="false">IF(AK305&gt;0.5,AK305*(1+$E$12)+$G$12-MIN($F$12,AK305*(1+$E$12)+$G$12),0)</f>
        <v>0</v>
      </c>
      <c r="AL306" s="69" t="n">
        <f aca="false">IF(AL305&gt;0.5,AL305*(1+$E$13)+$G$13-MIN($F$13,AL305*(1+$E$13)+$G$13),0)</f>
        <v>0</v>
      </c>
      <c r="AM306" s="69" t="n">
        <f aca="false">IF(AM305&gt;0.5,AM305*(1+$E$14)+$G$14-MIN($F$14,AM305*(1+$E$14)+$G$14),0)</f>
        <v>0</v>
      </c>
      <c r="AN306" s="69" t="n">
        <f aca="false">IF(AN305&gt;0.5,AN305*(1+$E$15)+$G$15-MIN($F$15,AN305*(1+$E$15)+$G$15),0)</f>
        <v>0</v>
      </c>
      <c r="AO306" s="69" t="n">
        <f aca="false">IF(AO305&gt;0.5,AO305*(1+$E$16)+$G$16-MIN($F$16,AO305*(1+$E$16)+$G$16),0)</f>
        <v>0</v>
      </c>
      <c r="AP306" s="69" t="n">
        <f aca="false">IF(AP305&gt;0.5,AP305*(1+$E$17)+$G$17-MIN($F$17,AP305*(1+$E$17)+$G$17),0)</f>
        <v>0</v>
      </c>
      <c r="AQ306" s="69" t="n">
        <f aca="false">IF(AQ305&gt;0.5,AQ305*(1+$E$18)+$G$18-MIN($F$18,AQ305*(1+$E$18)+$G$18),0)</f>
        <v>0</v>
      </c>
      <c r="AR306" s="69" t="n">
        <f aca="false">IF(AR305&gt;0.5,AR305*(1+$E$19)+$G$19-MIN($F$19,AR305*(1+$E$19)+$G$19),0)</f>
        <v>0</v>
      </c>
      <c r="AS306" s="69" t="n">
        <f aca="false">H306+L306+P306+T306+X306+AB306+AF306+AJ306</f>
        <v>0</v>
      </c>
      <c r="AT306" s="69" t="n">
        <f aca="false">SUM(AK306:AR306)</f>
        <v>0</v>
      </c>
      <c r="AU306" s="69" t="n">
        <f aca="false">F306+G306+J306+K306+N306+O306+R306+S306+V306+W306+Z306+AA306+AD306+AE306+AH306+AI306</f>
        <v>0</v>
      </c>
    </row>
    <row r="307" customFormat="false" ht="15" hidden="false" customHeight="false" outlineLevel="0" collapsed="false">
      <c r="B307" s="0" t="n">
        <v>280</v>
      </c>
      <c r="C307" s="68" t="n">
        <f aca="false">EDATE($C$7,279)</f>
        <v>54789</v>
      </c>
      <c r="D307" s="69" t="n">
        <f aca="false">$C$8-(F307+J307+N307+R307+V307+Z307+AD307+AH307)</f>
        <v>0</v>
      </c>
      <c r="E307" s="69" t="n">
        <f aca="false">IF(H306&gt;0.5,H306*(1+E$23)+E$24,0)</f>
        <v>0</v>
      </c>
      <c r="F307" s="69" t="n">
        <f aca="false">MIN(F$23,E307)</f>
        <v>0</v>
      </c>
      <c r="G307" s="69" t="n">
        <f aca="false">IF(AND(F$24=1,OR(E$25="",$C307&gt;=E$25)),MAX(0,MIN(E307-F307,$D307-(0))),0)</f>
        <v>0</v>
      </c>
      <c r="H307" s="69" t="n">
        <f aca="false">E307-F307-G307</f>
        <v>0</v>
      </c>
      <c r="I307" s="69" t="n">
        <f aca="false">IF(L306&gt;0.5,L306*(1+I$23)+I$24,0)</f>
        <v>0</v>
      </c>
      <c r="J307" s="69" t="n">
        <f aca="false">MIN(J$23,I307)</f>
        <v>0</v>
      </c>
      <c r="K307" s="69" t="n">
        <f aca="false">IF(AND(J$24=1,OR(I$25="",$C307&gt;=I$25)),MAX(0,MIN(I307-J307,$D307-(G307))),0)</f>
        <v>0</v>
      </c>
      <c r="L307" s="69" t="n">
        <f aca="false">I307-J307-K307</f>
        <v>0</v>
      </c>
      <c r="M307" s="69" t="n">
        <f aca="false">IF(P306&gt;0.5,P306*(1+M$23)+M$24,0)</f>
        <v>0</v>
      </c>
      <c r="N307" s="69" t="n">
        <f aca="false">MIN(N$23,M307)</f>
        <v>0</v>
      </c>
      <c r="O307" s="69" t="n">
        <f aca="false">IF(AND(N$24=1,OR(M$25="",$C307&gt;=M$25)),MAX(0,MIN(M307-N307,$D307-(G307+K307))),0)</f>
        <v>0</v>
      </c>
      <c r="P307" s="69" t="n">
        <f aca="false">M307-N307-O307</f>
        <v>0</v>
      </c>
      <c r="Q307" s="69" t="n">
        <f aca="false">IF(T306&gt;0.5,T306*(1+Q$23)+Q$24,0)</f>
        <v>0</v>
      </c>
      <c r="R307" s="69" t="n">
        <f aca="false">MIN(R$23,Q307)</f>
        <v>0</v>
      </c>
      <c r="S307" s="69" t="n">
        <f aca="false">IF(AND(R$24=1,OR(Q$25="",$C307&gt;=Q$25)),MAX(0,MIN(Q307-R307,$D307-(G307+K307+O307))),0)</f>
        <v>0</v>
      </c>
      <c r="T307" s="69" t="n">
        <f aca="false">Q307-R307-S307</f>
        <v>0</v>
      </c>
      <c r="U307" s="69" t="n">
        <f aca="false">IF(X306&gt;0.5,X306*(1+U$23)+U$24,0)</f>
        <v>0</v>
      </c>
      <c r="V307" s="69" t="n">
        <f aca="false">MIN(V$23,U307)</f>
        <v>0</v>
      </c>
      <c r="W307" s="69" t="n">
        <f aca="false">IF(AND(V$24=1,OR(U$25="",$C307&gt;=U$25)),MAX(0,MIN(U307-V307,$D307-(G307+K307+O307+S307))),0)</f>
        <v>0</v>
      </c>
      <c r="X307" s="69" t="n">
        <f aca="false">U307-V307-W307</f>
        <v>0</v>
      </c>
      <c r="Y307" s="69" t="n">
        <f aca="false">IF(AB306&gt;0.5,AB306*(1+Y$23)+Y$24,0)</f>
        <v>0</v>
      </c>
      <c r="Z307" s="69" t="n">
        <f aca="false">MIN(Z$23,Y307)</f>
        <v>0</v>
      </c>
      <c r="AA307" s="69" t="n">
        <f aca="false">IF(AND(Z$24=1,OR(Y$25="",$C307&gt;=Y$25)),MAX(0,MIN(Y307-Z307,$D307-(G307+K307+O307+S307+W307))),0)</f>
        <v>0</v>
      </c>
      <c r="AB307" s="69" t="n">
        <f aca="false">Y307-Z307-AA307</f>
        <v>0</v>
      </c>
      <c r="AC307" s="69" t="n">
        <f aca="false">IF(AF306&gt;0.5,AF306*(1+AC$23)+AC$24,0)</f>
        <v>0</v>
      </c>
      <c r="AD307" s="69" t="n">
        <f aca="false">MIN(AD$23,AC307)</f>
        <v>0</v>
      </c>
      <c r="AE307" s="69" t="n">
        <f aca="false">IF(AND(AD$24=1,OR(AC$25="",$C307&gt;=AC$25)),MAX(0,MIN(AC307-AD307,$D307-(G307+K307+O307+S307+W307+AA307))),0)</f>
        <v>0</v>
      </c>
      <c r="AF307" s="69" t="n">
        <f aca="false">AC307-AD307-AE307</f>
        <v>0</v>
      </c>
      <c r="AG307" s="69" t="n">
        <f aca="false">IF(AJ306&gt;0.5,AJ306*(1+AG$23)+AG$24,0)</f>
        <v>0</v>
      </c>
      <c r="AH307" s="69" t="n">
        <f aca="false">MIN(AH$23,AG307)</f>
        <v>0</v>
      </c>
      <c r="AI307" s="69" t="n">
        <f aca="false">IF(AND(AH$24=1,OR(AG$25="",$C307&gt;=AG$25)),MAX(0,MIN(AG307-AH307,$D307-(G307+K307+O307+S307+W307+AA307+AE307))),0)</f>
        <v>0</v>
      </c>
      <c r="AJ307" s="69" t="n">
        <f aca="false">AG307-AH307-AI307</f>
        <v>0</v>
      </c>
      <c r="AK307" s="69" t="n">
        <f aca="false">IF(AK306&gt;0.5,AK306*(1+$E$12)+$G$12-MIN($F$12,AK306*(1+$E$12)+$G$12),0)</f>
        <v>0</v>
      </c>
      <c r="AL307" s="69" t="n">
        <f aca="false">IF(AL306&gt;0.5,AL306*(1+$E$13)+$G$13-MIN($F$13,AL306*(1+$E$13)+$G$13),0)</f>
        <v>0</v>
      </c>
      <c r="AM307" s="69" t="n">
        <f aca="false">IF(AM306&gt;0.5,AM306*(1+$E$14)+$G$14-MIN($F$14,AM306*(1+$E$14)+$G$14),0)</f>
        <v>0</v>
      </c>
      <c r="AN307" s="69" t="n">
        <f aca="false">IF(AN306&gt;0.5,AN306*(1+$E$15)+$G$15-MIN($F$15,AN306*(1+$E$15)+$G$15),0)</f>
        <v>0</v>
      </c>
      <c r="AO307" s="69" t="n">
        <f aca="false">IF(AO306&gt;0.5,AO306*(1+$E$16)+$G$16-MIN($F$16,AO306*(1+$E$16)+$G$16),0)</f>
        <v>0</v>
      </c>
      <c r="AP307" s="69" t="n">
        <f aca="false">IF(AP306&gt;0.5,AP306*(1+$E$17)+$G$17-MIN($F$17,AP306*(1+$E$17)+$G$17),0)</f>
        <v>0</v>
      </c>
      <c r="AQ307" s="69" t="n">
        <f aca="false">IF(AQ306&gt;0.5,AQ306*(1+$E$18)+$G$18-MIN($F$18,AQ306*(1+$E$18)+$G$18),0)</f>
        <v>0</v>
      </c>
      <c r="AR307" s="69" t="n">
        <f aca="false">IF(AR306&gt;0.5,AR306*(1+$E$19)+$G$19-MIN($F$19,AR306*(1+$E$19)+$G$19),0)</f>
        <v>0</v>
      </c>
      <c r="AS307" s="69" t="n">
        <f aca="false">H307+L307+P307+T307+X307+AB307+AF307+AJ307</f>
        <v>0</v>
      </c>
      <c r="AT307" s="69" t="n">
        <f aca="false">SUM(AK307:AR307)</f>
        <v>0</v>
      </c>
      <c r="AU307" s="69" t="n">
        <f aca="false">F307+G307+J307+K307+N307+O307+R307+S307+V307+W307+Z307+AA307+AD307+AE307+AH307+AI307</f>
        <v>0</v>
      </c>
    </row>
    <row r="308" customFormat="false" ht="15" hidden="false" customHeight="false" outlineLevel="0" collapsed="false">
      <c r="B308" s="0" t="n">
        <v>281</v>
      </c>
      <c r="C308" s="68" t="n">
        <f aca="false">EDATE($C$7,280)</f>
        <v>54820</v>
      </c>
      <c r="D308" s="69" t="n">
        <f aca="false">$C$8-(F308+J308+N308+R308+V308+Z308+AD308+AH308)</f>
        <v>0</v>
      </c>
      <c r="E308" s="69" t="n">
        <f aca="false">IF(H307&gt;0.5,H307*(1+E$23)+E$24,0)</f>
        <v>0</v>
      </c>
      <c r="F308" s="69" t="n">
        <f aca="false">MIN(F$23,E308)</f>
        <v>0</v>
      </c>
      <c r="G308" s="69" t="n">
        <f aca="false">IF(AND(F$24=1,OR(E$25="",$C308&gt;=E$25)),MAX(0,MIN(E308-F308,$D308-(0))),0)</f>
        <v>0</v>
      </c>
      <c r="H308" s="69" t="n">
        <f aca="false">E308-F308-G308</f>
        <v>0</v>
      </c>
      <c r="I308" s="69" t="n">
        <f aca="false">IF(L307&gt;0.5,L307*(1+I$23)+I$24,0)</f>
        <v>0</v>
      </c>
      <c r="J308" s="69" t="n">
        <f aca="false">MIN(J$23,I308)</f>
        <v>0</v>
      </c>
      <c r="K308" s="69" t="n">
        <f aca="false">IF(AND(J$24=1,OR(I$25="",$C308&gt;=I$25)),MAX(0,MIN(I308-J308,$D308-(G308))),0)</f>
        <v>0</v>
      </c>
      <c r="L308" s="69" t="n">
        <f aca="false">I308-J308-K308</f>
        <v>0</v>
      </c>
      <c r="M308" s="69" t="n">
        <f aca="false">IF(P307&gt;0.5,P307*(1+M$23)+M$24,0)</f>
        <v>0</v>
      </c>
      <c r="N308" s="69" t="n">
        <f aca="false">MIN(N$23,M308)</f>
        <v>0</v>
      </c>
      <c r="O308" s="69" t="n">
        <f aca="false">IF(AND(N$24=1,OR(M$25="",$C308&gt;=M$25)),MAX(0,MIN(M308-N308,$D308-(G308+K308))),0)</f>
        <v>0</v>
      </c>
      <c r="P308" s="69" t="n">
        <f aca="false">M308-N308-O308</f>
        <v>0</v>
      </c>
      <c r="Q308" s="69" t="n">
        <f aca="false">IF(T307&gt;0.5,T307*(1+Q$23)+Q$24,0)</f>
        <v>0</v>
      </c>
      <c r="R308" s="69" t="n">
        <f aca="false">MIN(R$23,Q308)</f>
        <v>0</v>
      </c>
      <c r="S308" s="69" t="n">
        <f aca="false">IF(AND(R$24=1,OR(Q$25="",$C308&gt;=Q$25)),MAX(0,MIN(Q308-R308,$D308-(G308+K308+O308))),0)</f>
        <v>0</v>
      </c>
      <c r="T308" s="69" t="n">
        <f aca="false">Q308-R308-S308</f>
        <v>0</v>
      </c>
      <c r="U308" s="69" t="n">
        <f aca="false">IF(X307&gt;0.5,X307*(1+U$23)+U$24,0)</f>
        <v>0</v>
      </c>
      <c r="V308" s="69" t="n">
        <f aca="false">MIN(V$23,U308)</f>
        <v>0</v>
      </c>
      <c r="W308" s="69" t="n">
        <f aca="false">IF(AND(V$24=1,OR(U$25="",$C308&gt;=U$25)),MAX(0,MIN(U308-V308,$D308-(G308+K308+O308+S308))),0)</f>
        <v>0</v>
      </c>
      <c r="X308" s="69" t="n">
        <f aca="false">U308-V308-W308</f>
        <v>0</v>
      </c>
      <c r="Y308" s="69" t="n">
        <f aca="false">IF(AB307&gt;0.5,AB307*(1+Y$23)+Y$24,0)</f>
        <v>0</v>
      </c>
      <c r="Z308" s="69" t="n">
        <f aca="false">MIN(Z$23,Y308)</f>
        <v>0</v>
      </c>
      <c r="AA308" s="69" t="n">
        <f aca="false">IF(AND(Z$24=1,OR(Y$25="",$C308&gt;=Y$25)),MAX(0,MIN(Y308-Z308,$D308-(G308+K308+O308+S308+W308))),0)</f>
        <v>0</v>
      </c>
      <c r="AB308" s="69" t="n">
        <f aca="false">Y308-Z308-AA308</f>
        <v>0</v>
      </c>
      <c r="AC308" s="69" t="n">
        <f aca="false">IF(AF307&gt;0.5,AF307*(1+AC$23)+AC$24,0)</f>
        <v>0</v>
      </c>
      <c r="AD308" s="69" t="n">
        <f aca="false">MIN(AD$23,AC308)</f>
        <v>0</v>
      </c>
      <c r="AE308" s="69" t="n">
        <f aca="false">IF(AND(AD$24=1,OR(AC$25="",$C308&gt;=AC$25)),MAX(0,MIN(AC308-AD308,$D308-(G308+K308+O308+S308+W308+AA308))),0)</f>
        <v>0</v>
      </c>
      <c r="AF308" s="69" t="n">
        <f aca="false">AC308-AD308-AE308</f>
        <v>0</v>
      </c>
      <c r="AG308" s="69" t="n">
        <f aca="false">IF(AJ307&gt;0.5,AJ307*(1+AG$23)+AG$24,0)</f>
        <v>0</v>
      </c>
      <c r="AH308" s="69" t="n">
        <f aca="false">MIN(AH$23,AG308)</f>
        <v>0</v>
      </c>
      <c r="AI308" s="69" t="n">
        <f aca="false">IF(AND(AH$24=1,OR(AG$25="",$C308&gt;=AG$25)),MAX(0,MIN(AG308-AH308,$D308-(G308+K308+O308+S308+W308+AA308+AE308))),0)</f>
        <v>0</v>
      </c>
      <c r="AJ308" s="69" t="n">
        <f aca="false">AG308-AH308-AI308</f>
        <v>0</v>
      </c>
      <c r="AK308" s="69" t="n">
        <f aca="false">IF(AK307&gt;0.5,AK307*(1+$E$12)+$G$12-MIN($F$12,AK307*(1+$E$12)+$G$12),0)</f>
        <v>0</v>
      </c>
      <c r="AL308" s="69" t="n">
        <f aca="false">IF(AL307&gt;0.5,AL307*(1+$E$13)+$G$13-MIN($F$13,AL307*(1+$E$13)+$G$13),0)</f>
        <v>0</v>
      </c>
      <c r="AM308" s="69" t="n">
        <f aca="false">IF(AM307&gt;0.5,AM307*(1+$E$14)+$G$14-MIN($F$14,AM307*(1+$E$14)+$G$14),0)</f>
        <v>0</v>
      </c>
      <c r="AN308" s="69" t="n">
        <f aca="false">IF(AN307&gt;0.5,AN307*(1+$E$15)+$G$15-MIN($F$15,AN307*(1+$E$15)+$G$15),0)</f>
        <v>0</v>
      </c>
      <c r="AO308" s="69" t="n">
        <f aca="false">IF(AO307&gt;0.5,AO307*(1+$E$16)+$G$16-MIN($F$16,AO307*(1+$E$16)+$G$16),0)</f>
        <v>0</v>
      </c>
      <c r="AP308" s="69" t="n">
        <f aca="false">IF(AP307&gt;0.5,AP307*(1+$E$17)+$G$17-MIN($F$17,AP307*(1+$E$17)+$G$17),0)</f>
        <v>0</v>
      </c>
      <c r="AQ308" s="69" t="n">
        <f aca="false">IF(AQ307&gt;0.5,AQ307*(1+$E$18)+$G$18-MIN($F$18,AQ307*(1+$E$18)+$G$18),0)</f>
        <v>0</v>
      </c>
      <c r="AR308" s="69" t="n">
        <f aca="false">IF(AR307&gt;0.5,AR307*(1+$E$19)+$G$19-MIN($F$19,AR307*(1+$E$19)+$G$19),0)</f>
        <v>0</v>
      </c>
      <c r="AS308" s="69" t="n">
        <f aca="false">H308+L308+P308+T308+X308+AB308+AF308+AJ308</f>
        <v>0</v>
      </c>
      <c r="AT308" s="69" t="n">
        <f aca="false">SUM(AK308:AR308)</f>
        <v>0</v>
      </c>
      <c r="AU308" s="69" t="n">
        <f aca="false">F308+G308+J308+K308+N308+O308+R308+S308+V308+W308+Z308+AA308+AD308+AE308+AH308+AI308</f>
        <v>0</v>
      </c>
    </row>
    <row r="309" customFormat="false" ht="15" hidden="false" customHeight="false" outlineLevel="0" collapsed="false">
      <c r="B309" s="0" t="n">
        <v>282</v>
      </c>
      <c r="C309" s="68" t="n">
        <f aca="false">EDATE($C$7,281)</f>
        <v>54848</v>
      </c>
      <c r="D309" s="69" t="n">
        <f aca="false">$C$8-(F309+J309+N309+R309+V309+Z309+AD309+AH309)</f>
        <v>0</v>
      </c>
      <c r="E309" s="69" t="n">
        <f aca="false">IF(H308&gt;0.5,H308*(1+E$23)+E$24,0)</f>
        <v>0</v>
      </c>
      <c r="F309" s="69" t="n">
        <f aca="false">MIN(F$23,E309)</f>
        <v>0</v>
      </c>
      <c r="G309" s="69" t="n">
        <f aca="false">IF(AND(F$24=1,OR(E$25="",$C309&gt;=E$25)),MAX(0,MIN(E309-F309,$D309-(0))),0)</f>
        <v>0</v>
      </c>
      <c r="H309" s="69" t="n">
        <f aca="false">E309-F309-G309</f>
        <v>0</v>
      </c>
      <c r="I309" s="69" t="n">
        <f aca="false">IF(L308&gt;0.5,L308*(1+I$23)+I$24,0)</f>
        <v>0</v>
      </c>
      <c r="J309" s="69" t="n">
        <f aca="false">MIN(J$23,I309)</f>
        <v>0</v>
      </c>
      <c r="K309" s="69" t="n">
        <f aca="false">IF(AND(J$24=1,OR(I$25="",$C309&gt;=I$25)),MAX(0,MIN(I309-J309,$D309-(G309))),0)</f>
        <v>0</v>
      </c>
      <c r="L309" s="69" t="n">
        <f aca="false">I309-J309-K309</f>
        <v>0</v>
      </c>
      <c r="M309" s="69" t="n">
        <f aca="false">IF(P308&gt;0.5,P308*(1+M$23)+M$24,0)</f>
        <v>0</v>
      </c>
      <c r="N309" s="69" t="n">
        <f aca="false">MIN(N$23,M309)</f>
        <v>0</v>
      </c>
      <c r="O309" s="69" t="n">
        <f aca="false">IF(AND(N$24=1,OR(M$25="",$C309&gt;=M$25)),MAX(0,MIN(M309-N309,$D309-(G309+K309))),0)</f>
        <v>0</v>
      </c>
      <c r="P309" s="69" t="n">
        <f aca="false">M309-N309-O309</f>
        <v>0</v>
      </c>
      <c r="Q309" s="69" t="n">
        <f aca="false">IF(T308&gt;0.5,T308*(1+Q$23)+Q$24,0)</f>
        <v>0</v>
      </c>
      <c r="R309" s="69" t="n">
        <f aca="false">MIN(R$23,Q309)</f>
        <v>0</v>
      </c>
      <c r="S309" s="69" t="n">
        <f aca="false">IF(AND(R$24=1,OR(Q$25="",$C309&gt;=Q$25)),MAX(0,MIN(Q309-R309,$D309-(G309+K309+O309))),0)</f>
        <v>0</v>
      </c>
      <c r="T309" s="69" t="n">
        <f aca="false">Q309-R309-S309</f>
        <v>0</v>
      </c>
      <c r="U309" s="69" t="n">
        <f aca="false">IF(X308&gt;0.5,X308*(1+U$23)+U$24,0)</f>
        <v>0</v>
      </c>
      <c r="V309" s="69" t="n">
        <f aca="false">MIN(V$23,U309)</f>
        <v>0</v>
      </c>
      <c r="W309" s="69" t="n">
        <f aca="false">IF(AND(V$24=1,OR(U$25="",$C309&gt;=U$25)),MAX(0,MIN(U309-V309,$D309-(G309+K309+O309+S309))),0)</f>
        <v>0</v>
      </c>
      <c r="X309" s="69" t="n">
        <f aca="false">U309-V309-W309</f>
        <v>0</v>
      </c>
      <c r="Y309" s="69" t="n">
        <f aca="false">IF(AB308&gt;0.5,AB308*(1+Y$23)+Y$24,0)</f>
        <v>0</v>
      </c>
      <c r="Z309" s="69" t="n">
        <f aca="false">MIN(Z$23,Y309)</f>
        <v>0</v>
      </c>
      <c r="AA309" s="69" t="n">
        <f aca="false">IF(AND(Z$24=1,OR(Y$25="",$C309&gt;=Y$25)),MAX(0,MIN(Y309-Z309,$D309-(G309+K309+O309+S309+W309))),0)</f>
        <v>0</v>
      </c>
      <c r="AB309" s="69" t="n">
        <f aca="false">Y309-Z309-AA309</f>
        <v>0</v>
      </c>
      <c r="AC309" s="69" t="n">
        <f aca="false">IF(AF308&gt;0.5,AF308*(1+AC$23)+AC$24,0)</f>
        <v>0</v>
      </c>
      <c r="AD309" s="69" t="n">
        <f aca="false">MIN(AD$23,AC309)</f>
        <v>0</v>
      </c>
      <c r="AE309" s="69" t="n">
        <f aca="false">IF(AND(AD$24=1,OR(AC$25="",$C309&gt;=AC$25)),MAX(0,MIN(AC309-AD309,$D309-(G309+K309+O309+S309+W309+AA309))),0)</f>
        <v>0</v>
      </c>
      <c r="AF309" s="69" t="n">
        <f aca="false">AC309-AD309-AE309</f>
        <v>0</v>
      </c>
      <c r="AG309" s="69" t="n">
        <f aca="false">IF(AJ308&gt;0.5,AJ308*(1+AG$23)+AG$24,0)</f>
        <v>0</v>
      </c>
      <c r="AH309" s="69" t="n">
        <f aca="false">MIN(AH$23,AG309)</f>
        <v>0</v>
      </c>
      <c r="AI309" s="69" t="n">
        <f aca="false">IF(AND(AH$24=1,OR(AG$25="",$C309&gt;=AG$25)),MAX(0,MIN(AG309-AH309,$D309-(G309+K309+O309+S309+W309+AA309+AE309))),0)</f>
        <v>0</v>
      </c>
      <c r="AJ309" s="69" t="n">
        <f aca="false">AG309-AH309-AI309</f>
        <v>0</v>
      </c>
      <c r="AK309" s="69" t="n">
        <f aca="false">IF(AK308&gt;0.5,AK308*(1+$E$12)+$G$12-MIN($F$12,AK308*(1+$E$12)+$G$12),0)</f>
        <v>0</v>
      </c>
      <c r="AL309" s="69" t="n">
        <f aca="false">IF(AL308&gt;0.5,AL308*(1+$E$13)+$G$13-MIN($F$13,AL308*(1+$E$13)+$G$13),0)</f>
        <v>0</v>
      </c>
      <c r="AM309" s="69" t="n">
        <f aca="false">IF(AM308&gt;0.5,AM308*(1+$E$14)+$G$14-MIN($F$14,AM308*(1+$E$14)+$G$14),0)</f>
        <v>0</v>
      </c>
      <c r="AN309" s="69" t="n">
        <f aca="false">IF(AN308&gt;0.5,AN308*(1+$E$15)+$G$15-MIN($F$15,AN308*(1+$E$15)+$G$15),0)</f>
        <v>0</v>
      </c>
      <c r="AO309" s="69" t="n">
        <f aca="false">IF(AO308&gt;0.5,AO308*(1+$E$16)+$G$16-MIN($F$16,AO308*(1+$E$16)+$G$16),0)</f>
        <v>0</v>
      </c>
      <c r="AP309" s="69" t="n">
        <f aca="false">IF(AP308&gt;0.5,AP308*(1+$E$17)+$G$17-MIN($F$17,AP308*(1+$E$17)+$G$17),0)</f>
        <v>0</v>
      </c>
      <c r="AQ309" s="69" t="n">
        <f aca="false">IF(AQ308&gt;0.5,AQ308*(1+$E$18)+$G$18-MIN($F$18,AQ308*(1+$E$18)+$G$18),0)</f>
        <v>0</v>
      </c>
      <c r="AR309" s="69" t="n">
        <f aca="false">IF(AR308&gt;0.5,AR308*(1+$E$19)+$G$19-MIN($F$19,AR308*(1+$E$19)+$G$19),0)</f>
        <v>0</v>
      </c>
      <c r="AS309" s="69" t="n">
        <f aca="false">H309+L309+P309+T309+X309+AB309+AF309+AJ309</f>
        <v>0</v>
      </c>
      <c r="AT309" s="69" t="n">
        <f aca="false">SUM(AK309:AR309)</f>
        <v>0</v>
      </c>
      <c r="AU309" s="69" t="n">
        <f aca="false">F309+G309+J309+K309+N309+O309+R309+S309+V309+W309+Z309+AA309+AD309+AE309+AH309+AI309</f>
        <v>0</v>
      </c>
    </row>
    <row r="310" customFormat="false" ht="15" hidden="false" customHeight="false" outlineLevel="0" collapsed="false">
      <c r="B310" s="0" t="n">
        <v>283</v>
      </c>
      <c r="C310" s="68" t="n">
        <f aca="false">EDATE($C$7,282)</f>
        <v>54879</v>
      </c>
      <c r="D310" s="69" t="n">
        <f aca="false">$C$8-(F310+J310+N310+R310+V310+Z310+AD310+AH310)</f>
        <v>0</v>
      </c>
      <c r="E310" s="69" t="n">
        <f aca="false">IF(H309&gt;0.5,H309*(1+E$23)+E$24,0)</f>
        <v>0</v>
      </c>
      <c r="F310" s="69" t="n">
        <f aca="false">MIN(F$23,E310)</f>
        <v>0</v>
      </c>
      <c r="G310" s="69" t="n">
        <f aca="false">IF(AND(F$24=1,OR(E$25="",$C310&gt;=E$25)),MAX(0,MIN(E310-F310,$D310-(0))),0)</f>
        <v>0</v>
      </c>
      <c r="H310" s="69" t="n">
        <f aca="false">E310-F310-G310</f>
        <v>0</v>
      </c>
      <c r="I310" s="69" t="n">
        <f aca="false">IF(L309&gt;0.5,L309*(1+I$23)+I$24,0)</f>
        <v>0</v>
      </c>
      <c r="J310" s="69" t="n">
        <f aca="false">MIN(J$23,I310)</f>
        <v>0</v>
      </c>
      <c r="K310" s="69" t="n">
        <f aca="false">IF(AND(J$24=1,OR(I$25="",$C310&gt;=I$25)),MAX(0,MIN(I310-J310,$D310-(G310))),0)</f>
        <v>0</v>
      </c>
      <c r="L310" s="69" t="n">
        <f aca="false">I310-J310-K310</f>
        <v>0</v>
      </c>
      <c r="M310" s="69" t="n">
        <f aca="false">IF(P309&gt;0.5,P309*(1+M$23)+M$24,0)</f>
        <v>0</v>
      </c>
      <c r="N310" s="69" t="n">
        <f aca="false">MIN(N$23,M310)</f>
        <v>0</v>
      </c>
      <c r="O310" s="69" t="n">
        <f aca="false">IF(AND(N$24=1,OR(M$25="",$C310&gt;=M$25)),MAX(0,MIN(M310-N310,$D310-(G310+K310))),0)</f>
        <v>0</v>
      </c>
      <c r="P310" s="69" t="n">
        <f aca="false">M310-N310-O310</f>
        <v>0</v>
      </c>
      <c r="Q310" s="69" t="n">
        <f aca="false">IF(T309&gt;0.5,T309*(1+Q$23)+Q$24,0)</f>
        <v>0</v>
      </c>
      <c r="R310" s="69" t="n">
        <f aca="false">MIN(R$23,Q310)</f>
        <v>0</v>
      </c>
      <c r="S310" s="69" t="n">
        <f aca="false">IF(AND(R$24=1,OR(Q$25="",$C310&gt;=Q$25)),MAX(0,MIN(Q310-R310,$D310-(G310+K310+O310))),0)</f>
        <v>0</v>
      </c>
      <c r="T310" s="69" t="n">
        <f aca="false">Q310-R310-S310</f>
        <v>0</v>
      </c>
      <c r="U310" s="69" t="n">
        <f aca="false">IF(X309&gt;0.5,X309*(1+U$23)+U$24,0)</f>
        <v>0</v>
      </c>
      <c r="V310" s="69" t="n">
        <f aca="false">MIN(V$23,U310)</f>
        <v>0</v>
      </c>
      <c r="W310" s="69" t="n">
        <f aca="false">IF(AND(V$24=1,OR(U$25="",$C310&gt;=U$25)),MAX(0,MIN(U310-V310,$D310-(G310+K310+O310+S310))),0)</f>
        <v>0</v>
      </c>
      <c r="X310" s="69" t="n">
        <f aca="false">U310-V310-W310</f>
        <v>0</v>
      </c>
      <c r="Y310" s="69" t="n">
        <f aca="false">IF(AB309&gt;0.5,AB309*(1+Y$23)+Y$24,0)</f>
        <v>0</v>
      </c>
      <c r="Z310" s="69" t="n">
        <f aca="false">MIN(Z$23,Y310)</f>
        <v>0</v>
      </c>
      <c r="AA310" s="69" t="n">
        <f aca="false">IF(AND(Z$24=1,OR(Y$25="",$C310&gt;=Y$25)),MAX(0,MIN(Y310-Z310,$D310-(G310+K310+O310+S310+W310))),0)</f>
        <v>0</v>
      </c>
      <c r="AB310" s="69" t="n">
        <f aca="false">Y310-Z310-AA310</f>
        <v>0</v>
      </c>
      <c r="AC310" s="69" t="n">
        <f aca="false">IF(AF309&gt;0.5,AF309*(1+AC$23)+AC$24,0)</f>
        <v>0</v>
      </c>
      <c r="AD310" s="69" t="n">
        <f aca="false">MIN(AD$23,AC310)</f>
        <v>0</v>
      </c>
      <c r="AE310" s="69" t="n">
        <f aca="false">IF(AND(AD$24=1,OR(AC$25="",$C310&gt;=AC$25)),MAX(0,MIN(AC310-AD310,$D310-(G310+K310+O310+S310+W310+AA310))),0)</f>
        <v>0</v>
      </c>
      <c r="AF310" s="69" t="n">
        <f aca="false">AC310-AD310-AE310</f>
        <v>0</v>
      </c>
      <c r="AG310" s="69" t="n">
        <f aca="false">IF(AJ309&gt;0.5,AJ309*(1+AG$23)+AG$24,0)</f>
        <v>0</v>
      </c>
      <c r="AH310" s="69" t="n">
        <f aca="false">MIN(AH$23,AG310)</f>
        <v>0</v>
      </c>
      <c r="AI310" s="69" t="n">
        <f aca="false">IF(AND(AH$24=1,OR(AG$25="",$C310&gt;=AG$25)),MAX(0,MIN(AG310-AH310,$D310-(G310+K310+O310+S310+W310+AA310+AE310))),0)</f>
        <v>0</v>
      </c>
      <c r="AJ310" s="69" t="n">
        <f aca="false">AG310-AH310-AI310</f>
        <v>0</v>
      </c>
      <c r="AK310" s="69" t="n">
        <f aca="false">IF(AK309&gt;0.5,AK309*(1+$E$12)+$G$12-MIN($F$12,AK309*(1+$E$12)+$G$12),0)</f>
        <v>0</v>
      </c>
      <c r="AL310" s="69" t="n">
        <f aca="false">IF(AL309&gt;0.5,AL309*(1+$E$13)+$G$13-MIN($F$13,AL309*(1+$E$13)+$G$13),0)</f>
        <v>0</v>
      </c>
      <c r="AM310" s="69" t="n">
        <f aca="false">IF(AM309&gt;0.5,AM309*(1+$E$14)+$G$14-MIN($F$14,AM309*(1+$E$14)+$G$14),0)</f>
        <v>0</v>
      </c>
      <c r="AN310" s="69" t="n">
        <f aca="false">IF(AN309&gt;0.5,AN309*(1+$E$15)+$G$15-MIN($F$15,AN309*(1+$E$15)+$G$15),0)</f>
        <v>0</v>
      </c>
      <c r="AO310" s="69" t="n">
        <f aca="false">IF(AO309&gt;0.5,AO309*(1+$E$16)+$G$16-MIN($F$16,AO309*(1+$E$16)+$G$16),0)</f>
        <v>0</v>
      </c>
      <c r="AP310" s="69" t="n">
        <f aca="false">IF(AP309&gt;0.5,AP309*(1+$E$17)+$G$17-MIN($F$17,AP309*(1+$E$17)+$G$17),0)</f>
        <v>0</v>
      </c>
      <c r="AQ310" s="69" t="n">
        <f aca="false">IF(AQ309&gt;0.5,AQ309*(1+$E$18)+$G$18-MIN($F$18,AQ309*(1+$E$18)+$G$18),0)</f>
        <v>0</v>
      </c>
      <c r="AR310" s="69" t="n">
        <f aca="false">IF(AR309&gt;0.5,AR309*(1+$E$19)+$G$19-MIN($F$19,AR309*(1+$E$19)+$G$19),0)</f>
        <v>0</v>
      </c>
      <c r="AS310" s="69" t="n">
        <f aca="false">H310+L310+P310+T310+X310+AB310+AF310+AJ310</f>
        <v>0</v>
      </c>
      <c r="AT310" s="69" t="n">
        <f aca="false">SUM(AK310:AR310)</f>
        <v>0</v>
      </c>
      <c r="AU310" s="69" t="n">
        <f aca="false">F310+G310+J310+K310+N310+O310+R310+S310+V310+W310+Z310+AA310+AD310+AE310+AH310+AI310</f>
        <v>0</v>
      </c>
    </row>
    <row r="311" customFormat="false" ht="15" hidden="false" customHeight="false" outlineLevel="0" collapsed="false">
      <c r="B311" s="0" t="n">
        <v>284</v>
      </c>
      <c r="C311" s="68" t="n">
        <f aca="false">EDATE($C$7,283)</f>
        <v>54909</v>
      </c>
      <c r="D311" s="69" t="n">
        <f aca="false">$C$8-(F311+J311+N311+R311+V311+Z311+AD311+AH311)</f>
        <v>0</v>
      </c>
      <c r="E311" s="69" t="n">
        <f aca="false">IF(H310&gt;0.5,H310*(1+E$23)+E$24,0)</f>
        <v>0</v>
      </c>
      <c r="F311" s="69" t="n">
        <f aca="false">MIN(F$23,E311)</f>
        <v>0</v>
      </c>
      <c r="G311" s="69" t="n">
        <f aca="false">IF(AND(F$24=1,OR(E$25="",$C311&gt;=E$25)),MAX(0,MIN(E311-F311,$D311-(0))),0)</f>
        <v>0</v>
      </c>
      <c r="H311" s="69" t="n">
        <f aca="false">E311-F311-G311</f>
        <v>0</v>
      </c>
      <c r="I311" s="69" t="n">
        <f aca="false">IF(L310&gt;0.5,L310*(1+I$23)+I$24,0)</f>
        <v>0</v>
      </c>
      <c r="J311" s="69" t="n">
        <f aca="false">MIN(J$23,I311)</f>
        <v>0</v>
      </c>
      <c r="K311" s="69" t="n">
        <f aca="false">IF(AND(J$24=1,OR(I$25="",$C311&gt;=I$25)),MAX(0,MIN(I311-J311,$D311-(G311))),0)</f>
        <v>0</v>
      </c>
      <c r="L311" s="69" t="n">
        <f aca="false">I311-J311-K311</f>
        <v>0</v>
      </c>
      <c r="M311" s="69" t="n">
        <f aca="false">IF(P310&gt;0.5,P310*(1+M$23)+M$24,0)</f>
        <v>0</v>
      </c>
      <c r="N311" s="69" t="n">
        <f aca="false">MIN(N$23,M311)</f>
        <v>0</v>
      </c>
      <c r="O311" s="69" t="n">
        <f aca="false">IF(AND(N$24=1,OR(M$25="",$C311&gt;=M$25)),MAX(0,MIN(M311-N311,$D311-(G311+K311))),0)</f>
        <v>0</v>
      </c>
      <c r="P311" s="69" t="n">
        <f aca="false">M311-N311-O311</f>
        <v>0</v>
      </c>
      <c r="Q311" s="69" t="n">
        <f aca="false">IF(T310&gt;0.5,T310*(1+Q$23)+Q$24,0)</f>
        <v>0</v>
      </c>
      <c r="R311" s="69" t="n">
        <f aca="false">MIN(R$23,Q311)</f>
        <v>0</v>
      </c>
      <c r="S311" s="69" t="n">
        <f aca="false">IF(AND(R$24=1,OR(Q$25="",$C311&gt;=Q$25)),MAX(0,MIN(Q311-R311,$D311-(G311+K311+O311))),0)</f>
        <v>0</v>
      </c>
      <c r="T311" s="69" t="n">
        <f aca="false">Q311-R311-S311</f>
        <v>0</v>
      </c>
      <c r="U311" s="69" t="n">
        <f aca="false">IF(X310&gt;0.5,X310*(1+U$23)+U$24,0)</f>
        <v>0</v>
      </c>
      <c r="V311" s="69" t="n">
        <f aca="false">MIN(V$23,U311)</f>
        <v>0</v>
      </c>
      <c r="W311" s="69" t="n">
        <f aca="false">IF(AND(V$24=1,OR(U$25="",$C311&gt;=U$25)),MAX(0,MIN(U311-V311,$D311-(G311+K311+O311+S311))),0)</f>
        <v>0</v>
      </c>
      <c r="X311" s="69" t="n">
        <f aca="false">U311-V311-W311</f>
        <v>0</v>
      </c>
      <c r="Y311" s="69" t="n">
        <f aca="false">IF(AB310&gt;0.5,AB310*(1+Y$23)+Y$24,0)</f>
        <v>0</v>
      </c>
      <c r="Z311" s="69" t="n">
        <f aca="false">MIN(Z$23,Y311)</f>
        <v>0</v>
      </c>
      <c r="AA311" s="69" t="n">
        <f aca="false">IF(AND(Z$24=1,OR(Y$25="",$C311&gt;=Y$25)),MAX(0,MIN(Y311-Z311,$D311-(G311+K311+O311+S311+W311))),0)</f>
        <v>0</v>
      </c>
      <c r="AB311" s="69" t="n">
        <f aca="false">Y311-Z311-AA311</f>
        <v>0</v>
      </c>
      <c r="AC311" s="69" t="n">
        <f aca="false">IF(AF310&gt;0.5,AF310*(1+AC$23)+AC$24,0)</f>
        <v>0</v>
      </c>
      <c r="AD311" s="69" t="n">
        <f aca="false">MIN(AD$23,AC311)</f>
        <v>0</v>
      </c>
      <c r="AE311" s="69" t="n">
        <f aca="false">IF(AND(AD$24=1,OR(AC$25="",$C311&gt;=AC$25)),MAX(0,MIN(AC311-AD311,$D311-(G311+K311+O311+S311+W311+AA311))),0)</f>
        <v>0</v>
      </c>
      <c r="AF311" s="69" t="n">
        <f aca="false">AC311-AD311-AE311</f>
        <v>0</v>
      </c>
      <c r="AG311" s="69" t="n">
        <f aca="false">IF(AJ310&gt;0.5,AJ310*(1+AG$23)+AG$24,0)</f>
        <v>0</v>
      </c>
      <c r="AH311" s="69" t="n">
        <f aca="false">MIN(AH$23,AG311)</f>
        <v>0</v>
      </c>
      <c r="AI311" s="69" t="n">
        <f aca="false">IF(AND(AH$24=1,OR(AG$25="",$C311&gt;=AG$25)),MAX(0,MIN(AG311-AH311,$D311-(G311+K311+O311+S311+W311+AA311+AE311))),0)</f>
        <v>0</v>
      </c>
      <c r="AJ311" s="69" t="n">
        <f aca="false">AG311-AH311-AI311</f>
        <v>0</v>
      </c>
      <c r="AK311" s="69" t="n">
        <f aca="false">IF(AK310&gt;0.5,AK310*(1+$E$12)+$G$12-MIN($F$12,AK310*(1+$E$12)+$G$12),0)</f>
        <v>0</v>
      </c>
      <c r="AL311" s="69" t="n">
        <f aca="false">IF(AL310&gt;0.5,AL310*(1+$E$13)+$G$13-MIN($F$13,AL310*(1+$E$13)+$G$13),0)</f>
        <v>0</v>
      </c>
      <c r="AM311" s="69" t="n">
        <f aca="false">IF(AM310&gt;0.5,AM310*(1+$E$14)+$G$14-MIN($F$14,AM310*(1+$E$14)+$G$14),0)</f>
        <v>0</v>
      </c>
      <c r="AN311" s="69" t="n">
        <f aca="false">IF(AN310&gt;0.5,AN310*(1+$E$15)+$G$15-MIN($F$15,AN310*(1+$E$15)+$G$15),0)</f>
        <v>0</v>
      </c>
      <c r="AO311" s="69" t="n">
        <f aca="false">IF(AO310&gt;0.5,AO310*(1+$E$16)+$G$16-MIN($F$16,AO310*(1+$E$16)+$G$16),0)</f>
        <v>0</v>
      </c>
      <c r="AP311" s="69" t="n">
        <f aca="false">IF(AP310&gt;0.5,AP310*(1+$E$17)+$G$17-MIN($F$17,AP310*(1+$E$17)+$G$17),0)</f>
        <v>0</v>
      </c>
      <c r="AQ311" s="69" t="n">
        <f aca="false">IF(AQ310&gt;0.5,AQ310*(1+$E$18)+$G$18-MIN($F$18,AQ310*(1+$E$18)+$G$18),0)</f>
        <v>0</v>
      </c>
      <c r="AR311" s="69" t="n">
        <f aca="false">IF(AR310&gt;0.5,AR310*(1+$E$19)+$G$19-MIN($F$19,AR310*(1+$E$19)+$G$19),0)</f>
        <v>0</v>
      </c>
      <c r="AS311" s="69" t="n">
        <f aca="false">H311+L311+P311+T311+X311+AB311+AF311+AJ311</f>
        <v>0</v>
      </c>
      <c r="AT311" s="69" t="n">
        <f aca="false">SUM(AK311:AR311)</f>
        <v>0</v>
      </c>
      <c r="AU311" s="69" t="n">
        <f aca="false">F311+G311+J311+K311+N311+O311+R311+S311+V311+W311+Z311+AA311+AD311+AE311+AH311+AI311</f>
        <v>0</v>
      </c>
    </row>
    <row r="312" customFormat="false" ht="15" hidden="false" customHeight="false" outlineLevel="0" collapsed="false">
      <c r="B312" s="0" t="n">
        <v>285</v>
      </c>
      <c r="C312" s="68" t="n">
        <f aca="false">EDATE($C$7,284)</f>
        <v>54940</v>
      </c>
      <c r="D312" s="69" t="n">
        <f aca="false">$C$8-(F312+J312+N312+R312+V312+Z312+AD312+AH312)</f>
        <v>0</v>
      </c>
      <c r="E312" s="69" t="n">
        <f aca="false">IF(H311&gt;0.5,H311*(1+E$23)+E$24,0)</f>
        <v>0</v>
      </c>
      <c r="F312" s="69" t="n">
        <f aca="false">MIN(F$23,E312)</f>
        <v>0</v>
      </c>
      <c r="G312" s="69" t="n">
        <f aca="false">IF(AND(F$24=1,OR(E$25="",$C312&gt;=E$25)),MAX(0,MIN(E312-F312,$D312-(0))),0)</f>
        <v>0</v>
      </c>
      <c r="H312" s="69" t="n">
        <f aca="false">E312-F312-G312</f>
        <v>0</v>
      </c>
      <c r="I312" s="69" t="n">
        <f aca="false">IF(L311&gt;0.5,L311*(1+I$23)+I$24,0)</f>
        <v>0</v>
      </c>
      <c r="J312" s="69" t="n">
        <f aca="false">MIN(J$23,I312)</f>
        <v>0</v>
      </c>
      <c r="K312" s="69" t="n">
        <f aca="false">IF(AND(J$24=1,OR(I$25="",$C312&gt;=I$25)),MAX(0,MIN(I312-J312,$D312-(G312))),0)</f>
        <v>0</v>
      </c>
      <c r="L312" s="69" t="n">
        <f aca="false">I312-J312-K312</f>
        <v>0</v>
      </c>
      <c r="M312" s="69" t="n">
        <f aca="false">IF(P311&gt;0.5,P311*(1+M$23)+M$24,0)</f>
        <v>0</v>
      </c>
      <c r="N312" s="69" t="n">
        <f aca="false">MIN(N$23,M312)</f>
        <v>0</v>
      </c>
      <c r="O312" s="69" t="n">
        <f aca="false">IF(AND(N$24=1,OR(M$25="",$C312&gt;=M$25)),MAX(0,MIN(M312-N312,$D312-(G312+K312))),0)</f>
        <v>0</v>
      </c>
      <c r="P312" s="69" t="n">
        <f aca="false">M312-N312-O312</f>
        <v>0</v>
      </c>
      <c r="Q312" s="69" t="n">
        <f aca="false">IF(T311&gt;0.5,T311*(1+Q$23)+Q$24,0)</f>
        <v>0</v>
      </c>
      <c r="R312" s="69" t="n">
        <f aca="false">MIN(R$23,Q312)</f>
        <v>0</v>
      </c>
      <c r="S312" s="69" t="n">
        <f aca="false">IF(AND(R$24=1,OR(Q$25="",$C312&gt;=Q$25)),MAX(0,MIN(Q312-R312,$D312-(G312+K312+O312))),0)</f>
        <v>0</v>
      </c>
      <c r="T312" s="69" t="n">
        <f aca="false">Q312-R312-S312</f>
        <v>0</v>
      </c>
      <c r="U312" s="69" t="n">
        <f aca="false">IF(X311&gt;0.5,X311*(1+U$23)+U$24,0)</f>
        <v>0</v>
      </c>
      <c r="V312" s="69" t="n">
        <f aca="false">MIN(V$23,U312)</f>
        <v>0</v>
      </c>
      <c r="W312" s="69" t="n">
        <f aca="false">IF(AND(V$24=1,OR(U$25="",$C312&gt;=U$25)),MAX(0,MIN(U312-V312,$D312-(G312+K312+O312+S312))),0)</f>
        <v>0</v>
      </c>
      <c r="X312" s="69" t="n">
        <f aca="false">U312-V312-W312</f>
        <v>0</v>
      </c>
      <c r="Y312" s="69" t="n">
        <f aca="false">IF(AB311&gt;0.5,AB311*(1+Y$23)+Y$24,0)</f>
        <v>0</v>
      </c>
      <c r="Z312" s="69" t="n">
        <f aca="false">MIN(Z$23,Y312)</f>
        <v>0</v>
      </c>
      <c r="AA312" s="69" t="n">
        <f aca="false">IF(AND(Z$24=1,OR(Y$25="",$C312&gt;=Y$25)),MAX(0,MIN(Y312-Z312,$D312-(G312+K312+O312+S312+W312))),0)</f>
        <v>0</v>
      </c>
      <c r="AB312" s="69" t="n">
        <f aca="false">Y312-Z312-AA312</f>
        <v>0</v>
      </c>
      <c r="AC312" s="69" t="n">
        <f aca="false">IF(AF311&gt;0.5,AF311*(1+AC$23)+AC$24,0)</f>
        <v>0</v>
      </c>
      <c r="AD312" s="69" t="n">
        <f aca="false">MIN(AD$23,AC312)</f>
        <v>0</v>
      </c>
      <c r="AE312" s="69" t="n">
        <f aca="false">IF(AND(AD$24=1,OR(AC$25="",$C312&gt;=AC$25)),MAX(0,MIN(AC312-AD312,$D312-(G312+K312+O312+S312+W312+AA312))),0)</f>
        <v>0</v>
      </c>
      <c r="AF312" s="69" t="n">
        <f aca="false">AC312-AD312-AE312</f>
        <v>0</v>
      </c>
      <c r="AG312" s="69" t="n">
        <f aca="false">IF(AJ311&gt;0.5,AJ311*(1+AG$23)+AG$24,0)</f>
        <v>0</v>
      </c>
      <c r="AH312" s="69" t="n">
        <f aca="false">MIN(AH$23,AG312)</f>
        <v>0</v>
      </c>
      <c r="AI312" s="69" t="n">
        <f aca="false">IF(AND(AH$24=1,OR(AG$25="",$C312&gt;=AG$25)),MAX(0,MIN(AG312-AH312,$D312-(G312+K312+O312+S312+W312+AA312+AE312))),0)</f>
        <v>0</v>
      </c>
      <c r="AJ312" s="69" t="n">
        <f aca="false">AG312-AH312-AI312</f>
        <v>0</v>
      </c>
      <c r="AK312" s="69" t="n">
        <f aca="false">IF(AK311&gt;0.5,AK311*(1+$E$12)+$G$12-MIN($F$12,AK311*(1+$E$12)+$G$12),0)</f>
        <v>0</v>
      </c>
      <c r="AL312" s="69" t="n">
        <f aca="false">IF(AL311&gt;0.5,AL311*(1+$E$13)+$G$13-MIN($F$13,AL311*(1+$E$13)+$G$13),0)</f>
        <v>0</v>
      </c>
      <c r="AM312" s="69" t="n">
        <f aca="false">IF(AM311&gt;0.5,AM311*(1+$E$14)+$G$14-MIN($F$14,AM311*(1+$E$14)+$G$14),0)</f>
        <v>0</v>
      </c>
      <c r="AN312" s="69" t="n">
        <f aca="false">IF(AN311&gt;0.5,AN311*(1+$E$15)+$G$15-MIN($F$15,AN311*(1+$E$15)+$G$15),0)</f>
        <v>0</v>
      </c>
      <c r="AO312" s="69" t="n">
        <f aca="false">IF(AO311&gt;0.5,AO311*(1+$E$16)+$G$16-MIN($F$16,AO311*(1+$E$16)+$G$16),0)</f>
        <v>0</v>
      </c>
      <c r="AP312" s="69" t="n">
        <f aca="false">IF(AP311&gt;0.5,AP311*(1+$E$17)+$G$17-MIN($F$17,AP311*(1+$E$17)+$G$17),0)</f>
        <v>0</v>
      </c>
      <c r="AQ312" s="69" t="n">
        <f aca="false">IF(AQ311&gt;0.5,AQ311*(1+$E$18)+$G$18-MIN($F$18,AQ311*(1+$E$18)+$G$18),0)</f>
        <v>0</v>
      </c>
      <c r="AR312" s="69" t="n">
        <f aca="false">IF(AR311&gt;0.5,AR311*(1+$E$19)+$G$19-MIN($F$19,AR311*(1+$E$19)+$G$19),0)</f>
        <v>0</v>
      </c>
      <c r="AS312" s="69" t="n">
        <f aca="false">H312+L312+P312+T312+X312+AB312+AF312+AJ312</f>
        <v>0</v>
      </c>
      <c r="AT312" s="69" t="n">
        <f aca="false">SUM(AK312:AR312)</f>
        <v>0</v>
      </c>
      <c r="AU312" s="69" t="n">
        <f aca="false">F312+G312+J312+K312+N312+O312+R312+S312+V312+W312+Z312+AA312+AD312+AE312+AH312+AI312</f>
        <v>0</v>
      </c>
    </row>
    <row r="313" customFormat="false" ht="15" hidden="false" customHeight="false" outlineLevel="0" collapsed="false">
      <c r="B313" s="0" t="n">
        <v>286</v>
      </c>
      <c r="C313" s="68" t="n">
        <f aca="false">EDATE($C$7,285)</f>
        <v>54970</v>
      </c>
      <c r="D313" s="69" t="n">
        <f aca="false">$C$8-(F313+J313+N313+R313+V313+Z313+AD313+AH313)</f>
        <v>0</v>
      </c>
      <c r="E313" s="69" t="n">
        <f aca="false">IF(H312&gt;0.5,H312*(1+E$23)+E$24,0)</f>
        <v>0</v>
      </c>
      <c r="F313" s="69" t="n">
        <f aca="false">MIN(F$23,E313)</f>
        <v>0</v>
      </c>
      <c r="G313" s="69" t="n">
        <f aca="false">IF(AND(F$24=1,OR(E$25="",$C313&gt;=E$25)),MAX(0,MIN(E313-F313,$D313-(0))),0)</f>
        <v>0</v>
      </c>
      <c r="H313" s="69" t="n">
        <f aca="false">E313-F313-G313</f>
        <v>0</v>
      </c>
      <c r="I313" s="69" t="n">
        <f aca="false">IF(L312&gt;0.5,L312*(1+I$23)+I$24,0)</f>
        <v>0</v>
      </c>
      <c r="J313" s="69" t="n">
        <f aca="false">MIN(J$23,I313)</f>
        <v>0</v>
      </c>
      <c r="K313" s="69" t="n">
        <f aca="false">IF(AND(J$24=1,OR(I$25="",$C313&gt;=I$25)),MAX(0,MIN(I313-J313,$D313-(G313))),0)</f>
        <v>0</v>
      </c>
      <c r="L313" s="69" t="n">
        <f aca="false">I313-J313-K313</f>
        <v>0</v>
      </c>
      <c r="M313" s="69" t="n">
        <f aca="false">IF(P312&gt;0.5,P312*(1+M$23)+M$24,0)</f>
        <v>0</v>
      </c>
      <c r="N313" s="69" t="n">
        <f aca="false">MIN(N$23,M313)</f>
        <v>0</v>
      </c>
      <c r="O313" s="69" t="n">
        <f aca="false">IF(AND(N$24=1,OR(M$25="",$C313&gt;=M$25)),MAX(0,MIN(M313-N313,$D313-(G313+K313))),0)</f>
        <v>0</v>
      </c>
      <c r="P313" s="69" t="n">
        <f aca="false">M313-N313-O313</f>
        <v>0</v>
      </c>
      <c r="Q313" s="69" t="n">
        <f aca="false">IF(T312&gt;0.5,T312*(1+Q$23)+Q$24,0)</f>
        <v>0</v>
      </c>
      <c r="R313" s="69" t="n">
        <f aca="false">MIN(R$23,Q313)</f>
        <v>0</v>
      </c>
      <c r="S313" s="69" t="n">
        <f aca="false">IF(AND(R$24=1,OR(Q$25="",$C313&gt;=Q$25)),MAX(0,MIN(Q313-R313,$D313-(G313+K313+O313))),0)</f>
        <v>0</v>
      </c>
      <c r="T313" s="69" t="n">
        <f aca="false">Q313-R313-S313</f>
        <v>0</v>
      </c>
      <c r="U313" s="69" t="n">
        <f aca="false">IF(X312&gt;0.5,X312*(1+U$23)+U$24,0)</f>
        <v>0</v>
      </c>
      <c r="V313" s="69" t="n">
        <f aca="false">MIN(V$23,U313)</f>
        <v>0</v>
      </c>
      <c r="W313" s="69" t="n">
        <f aca="false">IF(AND(V$24=1,OR(U$25="",$C313&gt;=U$25)),MAX(0,MIN(U313-V313,$D313-(G313+K313+O313+S313))),0)</f>
        <v>0</v>
      </c>
      <c r="X313" s="69" t="n">
        <f aca="false">U313-V313-W313</f>
        <v>0</v>
      </c>
      <c r="Y313" s="69" t="n">
        <f aca="false">IF(AB312&gt;0.5,AB312*(1+Y$23)+Y$24,0)</f>
        <v>0</v>
      </c>
      <c r="Z313" s="69" t="n">
        <f aca="false">MIN(Z$23,Y313)</f>
        <v>0</v>
      </c>
      <c r="AA313" s="69" t="n">
        <f aca="false">IF(AND(Z$24=1,OR(Y$25="",$C313&gt;=Y$25)),MAX(0,MIN(Y313-Z313,$D313-(G313+K313+O313+S313+W313))),0)</f>
        <v>0</v>
      </c>
      <c r="AB313" s="69" t="n">
        <f aca="false">Y313-Z313-AA313</f>
        <v>0</v>
      </c>
      <c r="AC313" s="69" t="n">
        <f aca="false">IF(AF312&gt;0.5,AF312*(1+AC$23)+AC$24,0)</f>
        <v>0</v>
      </c>
      <c r="AD313" s="69" t="n">
        <f aca="false">MIN(AD$23,AC313)</f>
        <v>0</v>
      </c>
      <c r="AE313" s="69" t="n">
        <f aca="false">IF(AND(AD$24=1,OR(AC$25="",$C313&gt;=AC$25)),MAX(0,MIN(AC313-AD313,$D313-(G313+K313+O313+S313+W313+AA313))),0)</f>
        <v>0</v>
      </c>
      <c r="AF313" s="69" t="n">
        <f aca="false">AC313-AD313-AE313</f>
        <v>0</v>
      </c>
      <c r="AG313" s="69" t="n">
        <f aca="false">IF(AJ312&gt;0.5,AJ312*(1+AG$23)+AG$24,0)</f>
        <v>0</v>
      </c>
      <c r="AH313" s="69" t="n">
        <f aca="false">MIN(AH$23,AG313)</f>
        <v>0</v>
      </c>
      <c r="AI313" s="69" t="n">
        <f aca="false">IF(AND(AH$24=1,OR(AG$25="",$C313&gt;=AG$25)),MAX(0,MIN(AG313-AH313,$D313-(G313+K313+O313+S313+W313+AA313+AE313))),0)</f>
        <v>0</v>
      </c>
      <c r="AJ313" s="69" t="n">
        <f aca="false">AG313-AH313-AI313</f>
        <v>0</v>
      </c>
      <c r="AK313" s="69" t="n">
        <f aca="false">IF(AK312&gt;0.5,AK312*(1+$E$12)+$G$12-MIN($F$12,AK312*(1+$E$12)+$G$12),0)</f>
        <v>0</v>
      </c>
      <c r="AL313" s="69" t="n">
        <f aca="false">IF(AL312&gt;0.5,AL312*(1+$E$13)+$G$13-MIN($F$13,AL312*(1+$E$13)+$G$13),0)</f>
        <v>0</v>
      </c>
      <c r="AM313" s="69" t="n">
        <f aca="false">IF(AM312&gt;0.5,AM312*(1+$E$14)+$G$14-MIN($F$14,AM312*(1+$E$14)+$G$14),0)</f>
        <v>0</v>
      </c>
      <c r="AN313" s="69" t="n">
        <f aca="false">IF(AN312&gt;0.5,AN312*(1+$E$15)+$G$15-MIN($F$15,AN312*(1+$E$15)+$G$15),0)</f>
        <v>0</v>
      </c>
      <c r="AO313" s="69" t="n">
        <f aca="false">IF(AO312&gt;0.5,AO312*(1+$E$16)+$G$16-MIN($F$16,AO312*(1+$E$16)+$G$16),0)</f>
        <v>0</v>
      </c>
      <c r="AP313" s="69" t="n">
        <f aca="false">IF(AP312&gt;0.5,AP312*(1+$E$17)+$G$17-MIN($F$17,AP312*(1+$E$17)+$G$17),0)</f>
        <v>0</v>
      </c>
      <c r="AQ313" s="69" t="n">
        <f aca="false">IF(AQ312&gt;0.5,AQ312*(1+$E$18)+$G$18-MIN($F$18,AQ312*(1+$E$18)+$G$18),0)</f>
        <v>0</v>
      </c>
      <c r="AR313" s="69" t="n">
        <f aca="false">IF(AR312&gt;0.5,AR312*(1+$E$19)+$G$19-MIN($F$19,AR312*(1+$E$19)+$G$19),0)</f>
        <v>0</v>
      </c>
      <c r="AS313" s="69" t="n">
        <f aca="false">H313+L313+P313+T313+X313+AB313+AF313+AJ313</f>
        <v>0</v>
      </c>
      <c r="AT313" s="69" t="n">
        <f aca="false">SUM(AK313:AR313)</f>
        <v>0</v>
      </c>
      <c r="AU313" s="69" t="n">
        <f aca="false">F313+G313+J313+K313+N313+O313+R313+S313+V313+W313+Z313+AA313+AD313+AE313+AH313+AI313</f>
        <v>0</v>
      </c>
    </row>
    <row r="314" customFormat="false" ht="15" hidden="false" customHeight="false" outlineLevel="0" collapsed="false">
      <c r="B314" s="0" t="n">
        <v>287</v>
      </c>
      <c r="C314" s="68" t="n">
        <f aca="false">EDATE($C$7,286)</f>
        <v>55001</v>
      </c>
      <c r="D314" s="69" t="n">
        <f aca="false">$C$8-(F314+J314+N314+R314+V314+Z314+AD314+AH314)</f>
        <v>0</v>
      </c>
      <c r="E314" s="69" t="n">
        <f aca="false">IF(H313&gt;0.5,H313*(1+E$23)+E$24,0)</f>
        <v>0</v>
      </c>
      <c r="F314" s="69" t="n">
        <f aca="false">MIN(F$23,E314)</f>
        <v>0</v>
      </c>
      <c r="G314" s="69" t="n">
        <f aca="false">IF(AND(F$24=1,OR(E$25="",$C314&gt;=E$25)),MAX(0,MIN(E314-F314,$D314-(0))),0)</f>
        <v>0</v>
      </c>
      <c r="H314" s="69" t="n">
        <f aca="false">E314-F314-G314</f>
        <v>0</v>
      </c>
      <c r="I314" s="69" t="n">
        <f aca="false">IF(L313&gt;0.5,L313*(1+I$23)+I$24,0)</f>
        <v>0</v>
      </c>
      <c r="J314" s="69" t="n">
        <f aca="false">MIN(J$23,I314)</f>
        <v>0</v>
      </c>
      <c r="K314" s="69" t="n">
        <f aca="false">IF(AND(J$24=1,OR(I$25="",$C314&gt;=I$25)),MAX(0,MIN(I314-J314,$D314-(G314))),0)</f>
        <v>0</v>
      </c>
      <c r="L314" s="69" t="n">
        <f aca="false">I314-J314-K314</f>
        <v>0</v>
      </c>
      <c r="M314" s="69" t="n">
        <f aca="false">IF(P313&gt;0.5,P313*(1+M$23)+M$24,0)</f>
        <v>0</v>
      </c>
      <c r="N314" s="69" t="n">
        <f aca="false">MIN(N$23,M314)</f>
        <v>0</v>
      </c>
      <c r="O314" s="69" t="n">
        <f aca="false">IF(AND(N$24=1,OR(M$25="",$C314&gt;=M$25)),MAX(0,MIN(M314-N314,$D314-(G314+K314))),0)</f>
        <v>0</v>
      </c>
      <c r="P314" s="69" t="n">
        <f aca="false">M314-N314-O314</f>
        <v>0</v>
      </c>
      <c r="Q314" s="69" t="n">
        <f aca="false">IF(T313&gt;0.5,T313*(1+Q$23)+Q$24,0)</f>
        <v>0</v>
      </c>
      <c r="R314" s="69" t="n">
        <f aca="false">MIN(R$23,Q314)</f>
        <v>0</v>
      </c>
      <c r="S314" s="69" t="n">
        <f aca="false">IF(AND(R$24=1,OR(Q$25="",$C314&gt;=Q$25)),MAX(0,MIN(Q314-R314,$D314-(G314+K314+O314))),0)</f>
        <v>0</v>
      </c>
      <c r="T314" s="69" t="n">
        <f aca="false">Q314-R314-S314</f>
        <v>0</v>
      </c>
      <c r="U314" s="69" t="n">
        <f aca="false">IF(X313&gt;0.5,X313*(1+U$23)+U$24,0)</f>
        <v>0</v>
      </c>
      <c r="V314" s="69" t="n">
        <f aca="false">MIN(V$23,U314)</f>
        <v>0</v>
      </c>
      <c r="W314" s="69" t="n">
        <f aca="false">IF(AND(V$24=1,OR(U$25="",$C314&gt;=U$25)),MAX(0,MIN(U314-V314,$D314-(G314+K314+O314+S314))),0)</f>
        <v>0</v>
      </c>
      <c r="X314" s="69" t="n">
        <f aca="false">U314-V314-W314</f>
        <v>0</v>
      </c>
      <c r="Y314" s="69" t="n">
        <f aca="false">IF(AB313&gt;0.5,AB313*(1+Y$23)+Y$24,0)</f>
        <v>0</v>
      </c>
      <c r="Z314" s="69" t="n">
        <f aca="false">MIN(Z$23,Y314)</f>
        <v>0</v>
      </c>
      <c r="AA314" s="69" t="n">
        <f aca="false">IF(AND(Z$24=1,OR(Y$25="",$C314&gt;=Y$25)),MAX(0,MIN(Y314-Z314,$D314-(G314+K314+O314+S314+W314))),0)</f>
        <v>0</v>
      </c>
      <c r="AB314" s="69" t="n">
        <f aca="false">Y314-Z314-AA314</f>
        <v>0</v>
      </c>
      <c r="AC314" s="69" t="n">
        <f aca="false">IF(AF313&gt;0.5,AF313*(1+AC$23)+AC$24,0)</f>
        <v>0</v>
      </c>
      <c r="AD314" s="69" t="n">
        <f aca="false">MIN(AD$23,AC314)</f>
        <v>0</v>
      </c>
      <c r="AE314" s="69" t="n">
        <f aca="false">IF(AND(AD$24=1,OR(AC$25="",$C314&gt;=AC$25)),MAX(0,MIN(AC314-AD314,$D314-(G314+K314+O314+S314+W314+AA314))),0)</f>
        <v>0</v>
      </c>
      <c r="AF314" s="69" t="n">
        <f aca="false">AC314-AD314-AE314</f>
        <v>0</v>
      </c>
      <c r="AG314" s="69" t="n">
        <f aca="false">IF(AJ313&gt;0.5,AJ313*(1+AG$23)+AG$24,0)</f>
        <v>0</v>
      </c>
      <c r="AH314" s="69" t="n">
        <f aca="false">MIN(AH$23,AG314)</f>
        <v>0</v>
      </c>
      <c r="AI314" s="69" t="n">
        <f aca="false">IF(AND(AH$24=1,OR(AG$25="",$C314&gt;=AG$25)),MAX(0,MIN(AG314-AH314,$D314-(G314+K314+O314+S314+W314+AA314+AE314))),0)</f>
        <v>0</v>
      </c>
      <c r="AJ314" s="69" t="n">
        <f aca="false">AG314-AH314-AI314</f>
        <v>0</v>
      </c>
      <c r="AK314" s="69" t="n">
        <f aca="false">IF(AK313&gt;0.5,AK313*(1+$E$12)+$G$12-MIN($F$12,AK313*(1+$E$12)+$G$12),0)</f>
        <v>0</v>
      </c>
      <c r="AL314" s="69" t="n">
        <f aca="false">IF(AL313&gt;0.5,AL313*(1+$E$13)+$G$13-MIN($F$13,AL313*(1+$E$13)+$G$13),0)</f>
        <v>0</v>
      </c>
      <c r="AM314" s="69" t="n">
        <f aca="false">IF(AM313&gt;0.5,AM313*(1+$E$14)+$G$14-MIN($F$14,AM313*(1+$E$14)+$G$14),0)</f>
        <v>0</v>
      </c>
      <c r="AN314" s="69" t="n">
        <f aca="false">IF(AN313&gt;0.5,AN313*(1+$E$15)+$G$15-MIN($F$15,AN313*(1+$E$15)+$G$15),0)</f>
        <v>0</v>
      </c>
      <c r="AO314" s="69" t="n">
        <f aca="false">IF(AO313&gt;0.5,AO313*(1+$E$16)+$G$16-MIN($F$16,AO313*(1+$E$16)+$G$16),0)</f>
        <v>0</v>
      </c>
      <c r="AP314" s="69" t="n">
        <f aca="false">IF(AP313&gt;0.5,AP313*(1+$E$17)+$G$17-MIN($F$17,AP313*(1+$E$17)+$G$17),0)</f>
        <v>0</v>
      </c>
      <c r="AQ314" s="69" t="n">
        <f aca="false">IF(AQ313&gt;0.5,AQ313*(1+$E$18)+$G$18-MIN($F$18,AQ313*(1+$E$18)+$G$18),0)</f>
        <v>0</v>
      </c>
      <c r="AR314" s="69" t="n">
        <f aca="false">IF(AR313&gt;0.5,AR313*(1+$E$19)+$G$19-MIN($F$19,AR313*(1+$E$19)+$G$19),0)</f>
        <v>0</v>
      </c>
      <c r="AS314" s="69" t="n">
        <f aca="false">H314+L314+P314+T314+X314+AB314+AF314+AJ314</f>
        <v>0</v>
      </c>
      <c r="AT314" s="69" t="n">
        <f aca="false">SUM(AK314:AR314)</f>
        <v>0</v>
      </c>
      <c r="AU314" s="69" t="n">
        <f aca="false">F314+G314+J314+K314+N314+O314+R314+S314+V314+W314+Z314+AA314+AD314+AE314+AH314+AI314</f>
        <v>0</v>
      </c>
    </row>
    <row r="315" customFormat="false" ht="15" hidden="false" customHeight="false" outlineLevel="0" collapsed="false">
      <c r="B315" s="0" t="n">
        <v>288</v>
      </c>
      <c r="C315" s="68" t="n">
        <f aca="false">EDATE($C$7,287)</f>
        <v>55032</v>
      </c>
      <c r="D315" s="69" t="n">
        <f aca="false">$C$8-(F315+J315+N315+R315+V315+Z315+AD315+AH315)</f>
        <v>0</v>
      </c>
      <c r="E315" s="69" t="n">
        <f aca="false">IF(H314&gt;0.5,H314*(1+E$23)+E$24,0)</f>
        <v>0</v>
      </c>
      <c r="F315" s="69" t="n">
        <f aca="false">MIN(F$23,E315)</f>
        <v>0</v>
      </c>
      <c r="G315" s="69" t="n">
        <f aca="false">IF(AND(F$24=1,OR(E$25="",$C315&gt;=E$25)),MAX(0,MIN(E315-F315,$D315-(0))),0)</f>
        <v>0</v>
      </c>
      <c r="H315" s="69" t="n">
        <f aca="false">E315-F315-G315</f>
        <v>0</v>
      </c>
      <c r="I315" s="69" t="n">
        <f aca="false">IF(L314&gt;0.5,L314*(1+I$23)+I$24,0)</f>
        <v>0</v>
      </c>
      <c r="J315" s="69" t="n">
        <f aca="false">MIN(J$23,I315)</f>
        <v>0</v>
      </c>
      <c r="K315" s="69" t="n">
        <f aca="false">IF(AND(J$24=1,OR(I$25="",$C315&gt;=I$25)),MAX(0,MIN(I315-J315,$D315-(G315))),0)</f>
        <v>0</v>
      </c>
      <c r="L315" s="69" t="n">
        <f aca="false">I315-J315-K315</f>
        <v>0</v>
      </c>
      <c r="M315" s="69" t="n">
        <f aca="false">IF(P314&gt;0.5,P314*(1+M$23)+M$24,0)</f>
        <v>0</v>
      </c>
      <c r="N315" s="69" t="n">
        <f aca="false">MIN(N$23,M315)</f>
        <v>0</v>
      </c>
      <c r="O315" s="69" t="n">
        <f aca="false">IF(AND(N$24=1,OR(M$25="",$C315&gt;=M$25)),MAX(0,MIN(M315-N315,$D315-(G315+K315))),0)</f>
        <v>0</v>
      </c>
      <c r="P315" s="69" t="n">
        <f aca="false">M315-N315-O315</f>
        <v>0</v>
      </c>
      <c r="Q315" s="69" t="n">
        <f aca="false">IF(T314&gt;0.5,T314*(1+Q$23)+Q$24,0)</f>
        <v>0</v>
      </c>
      <c r="R315" s="69" t="n">
        <f aca="false">MIN(R$23,Q315)</f>
        <v>0</v>
      </c>
      <c r="S315" s="69" t="n">
        <f aca="false">IF(AND(R$24=1,OR(Q$25="",$C315&gt;=Q$25)),MAX(0,MIN(Q315-R315,$D315-(G315+K315+O315))),0)</f>
        <v>0</v>
      </c>
      <c r="T315" s="69" t="n">
        <f aca="false">Q315-R315-S315</f>
        <v>0</v>
      </c>
      <c r="U315" s="69" t="n">
        <f aca="false">IF(X314&gt;0.5,X314*(1+U$23)+U$24,0)</f>
        <v>0</v>
      </c>
      <c r="V315" s="69" t="n">
        <f aca="false">MIN(V$23,U315)</f>
        <v>0</v>
      </c>
      <c r="W315" s="69" t="n">
        <f aca="false">IF(AND(V$24=1,OR(U$25="",$C315&gt;=U$25)),MAX(0,MIN(U315-V315,$D315-(G315+K315+O315+S315))),0)</f>
        <v>0</v>
      </c>
      <c r="X315" s="69" t="n">
        <f aca="false">U315-V315-W315</f>
        <v>0</v>
      </c>
      <c r="Y315" s="69" t="n">
        <f aca="false">IF(AB314&gt;0.5,AB314*(1+Y$23)+Y$24,0)</f>
        <v>0</v>
      </c>
      <c r="Z315" s="69" t="n">
        <f aca="false">MIN(Z$23,Y315)</f>
        <v>0</v>
      </c>
      <c r="AA315" s="69" t="n">
        <f aca="false">IF(AND(Z$24=1,OR(Y$25="",$C315&gt;=Y$25)),MAX(0,MIN(Y315-Z315,$D315-(G315+K315+O315+S315+W315))),0)</f>
        <v>0</v>
      </c>
      <c r="AB315" s="69" t="n">
        <f aca="false">Y315-Z315-AA315</f>
        <v>0</v>
      </c>
      <c r="AC315" s="69" t="n">
        <f aca="false">IF(AF314&gt;0.5,AF314*(1+AC$23)+AC$24,0)</f>
        <v>0</v>
      </c>
      <c r="AD315" s="69" t="n">
        <f aca="false">MIN(AD$23,AC315)</f>
        <v>0</v>
      </c>
      <c r="AE315" s="69" t="n">
        <f aca="false">IF(AND(AD$24=1,OR(AC$25="",$C315&gt;=AC$25)),MAX(0,MIN(AC315-AD315,$D315-(G315+K315+O315+S315+W315+AA315))),0)</f>
        <v>0</v>
      </c>
      <c r="AF315" s="69" t="n">
        <f aca="false">AC315-AD315-AE315</f>
        <v>0</v>
      </c>
      <c r="AG315" s="69" t="n">
        <f aca="false">IF(AJ314&gt;0.5,AJ314*(1+AG$23)+AG$24,0)</f>
        <v>0</v>
      </c>
      <c r="AH315" s="69" t="n">
        <f aca="false">MIN(AH$23,AG315)</f>
        <v>0</v>
      </c>
      <c r="AI315" s="69" t="n">
        <f aca="false">IF(AND(AH$24=1,OR(AG$25="",$C315&gt;=AG$25)),MAX(0,MIN(AG315-AH315,$D315-(G315+K315+O315+S315+W315+AA315+AE315))),0)</f>
        <v>0</v>
      </c>
      <c r="AJ315" s="69" t="n">
        <f aca="false">AG315-AH315-AI315</f>
        <v>0</v>
      </c>
      <c r="AK315" s="69" t="n">
        <f aca="false">IF(AK314&gt;0.5,AK314*(1+$E$12)+$G$12-MIN($F$12,AK314*(1+$E$12)+$G$12),0)</f>
        <v>0</v>
      </c>
      <c r="AL315" s="69" t="n">
        <f aca="false">IF(AL314&gt;0.5,AL314*(1+$E$13)+$G$13-MIN($F$13,AL314*(1+$E$13)+$G$13),0)</f>
        <v>0</v>
      </c>
      <c r="AM315" s="69" t="n">
        <f aca="false">IF(AM314&gt;0.5,AM314*(1+$E$14)+$G$14-MIN($F$14,AM314*(1+$E$14)+$G$14),0)</f>
        <v>0</v>
      </c>
      <c r="AN315" s="69" t="n">
        <f aca="false">IF(AN314&gt;0.5,AN314*(1+$E$15)+$G$15-MIN($F$15,AN314*(1+$E$15)+$G$15),0)</f>
        <v>0</v>
      </c>
      <c r="AO315" s="69" t="n">
        <f aca="false">IF(AO314&gt;0.5,AO314*(1+$E$16)+$G$16-MIN($F$16,AO314*(1+$E$16)+$G$16),0)</f>
        <v>0</v>
      </c>
      <c r="AP315" s="69" t="n">
        <f aca="false">IF(AP314&gt;0.5,AP314*(1+$E$17)+$G$17-MIN($F$17,AP314*(1+$E$17)+$G$17),0)</f>
        <v>0</v>
      </c>
      <c r="AQ315" s="69" t="n">
        <f aca="false">IF(AQ314&gt;0.5,AQ314*(1+$E$18)+$G$18-MIN($F$18,AQ314*(1+$E$18)+$G$18),0)</f>
        <v>0</v>
      </c>
      <c r="AR315" s="69" t="n">
        <f aca="false">IF(AR314&gt;0.5,AR314*(1+$E$19)+$G$19-MIN($F$19,AR314*(1+$E$19)+$G$19),0)</f>
        <v>0</v>
      </c>
      <c r="AS315" s="69" t="n">
        <f aca="false">H315+L315+P315+T315+X315+AB315+AF315+AJ315</f>
        <v>0</v>
      </c>
      <c r="AT315" s="69" t="n">
        <f aca="false">SUM(AK315:AR315)</f>
        <v>0</v>
      </c>
      <c r="AU315" s="69" t="n">
        <f aca="false">F315+G315+J315+K315+N315+O315+R315+S315+V315+W315+Z315+AA315+AD315+AE315+AH315+AI315</f>
        <v>0</v>
      </c>
    </row>
    <row r="316" customFormat="false" ht="15" hidden="false" customHeight="false" outlineLevel="0" collapsed="false">
      <c r="B316" s="0" t="n">
        <v>289</v>
      </c>
      <c r="C316" s="68" t="n">
        <f aca="false">EDATE($C$7,288)</f>
        <v>55062</v>
      </c>
      <c r="D316" s="69" t="n">
        <f aca="false">$C$8-(F316+J316+N316+R316+V316+Z316+AD316+AH316)</f>
        <v>0</v>
      </c>
      <c r="E316" s="69" t="n">
        <f aca="false">IF(H315&gt;0.5,H315*(1+E$23)+E$24,0)</f>
        <v>0</v>
      </c>
      <c r="F316" s="69" t="n">
        <f aca="false">MIN(F$23,E316)</f>
        <v>0</v>
      </c>
      <c r="G316" s="69" t="n">
        <f aca="false">IF(AND(F$24=1,OR(E$25="",$C316&gt;=E$25)),MAX(0,MIN(E316-F316,$D316-(0))),0)</f>
        <v>0</v>
      </c>
      <c r="H316" s="69" t="n">
        <f aca="false">E316-F316-G316</f>
        <v>0</v>
      </c>
      <c r="I316" s="69" t="n">
        <f aca="false">IF(L315&gt;0.5,L315*(1+I$23)+I$24,0)</f>
        <v>0</v>
      </c>
      <c r="J316" s="69" t="n">
        <f aca="false">MIN(J$23,I316)</f>
        <v>0</v>
      </c>
      <c r="K316" s="69" t="n">
        <f aca="false">IF(AND(J$24=1,OR(I$25="",$C316&gt;=I$25)),MAX(0,MIN(I316-J316,$D316-(G316))),0)</f>
        <v>0</v>
      </c>
      <c r="L316" s="69" t="n">
        <f aca="false">I316-J316-K316</f>
        <v>0</v>
      </c>
      <c r="M316" s="69" t="n">
        <f aca="false">IF(P315&gt;0.5,P315*(1+M$23)+M$24,0)</f>
        <v>0</v>
      </c>
      <c r="N316" s="69" t="n">
        <f aca="false">MIN(N$23,M316)</f>
        <v>0</v>
      </c>
      <c r="O316" s="69" t="n">
        <f aca="false">IF(AND(N$24=1,OR(M$25="",$C316&gt;=M$25)),MAX(0,MIN(M316-N316,$D316-(G316+K316))),0)</f>
        <v>0</v>
      </c>
      <c r="P316" s="69" t="n">
        <f aca="false">M316-N316-O316</f>
        <v>0</v>
      </c>
      <c r="Q316" s="69" t="n">
        <f aca="false">IF(T315&gt;0.5,T315*(1+Q$23)+Q$24,0)</f>
        <v>0</v>
      </c>
      <c r="R316" s="69" t="n">
        <f aca="false">MIN(R$23,Q316)</f>
        <v>0</v>
      </c>
      <c r="S316" s="69" t="n">
        <f aca="false">IF(AND(R$24=1,OR(Q$25="",$C316&gt;=Q$25)),MAX(0,MIN(Q316-R316,$D316-(G316+K316+O316))),0)</f>
        <v>0</v>
      </c>
      <c r="T316" s="69" t="n">
        <f aca="false">Q316-R316-S316</f>
        <v>0</v>
      </c>
      <c r="U316" s="69" t="n">
        <f aca="false">IF(X315&gt;0.5,X315*(1+U$23)+U$24,0)</f>
        <v>0</v>
      </c>
      <c r="V316" s="69" t="n">
        <f aca="false">MIN(V$23,U316)</f>
        <v>0</v>
      </c>
      <c r="W316" s="69" t="n">
        <f aca="false">IF(AND(V$24=1,OR(U$25="",$C316&gt;=U$25)),MAX(0,MIN(U316-V316,$D316-(G316+K316+O316+S316))),0)</f>
        <v>0</v>
      </c>
      <c r="X316" s="69" t="n">
        <f aca="false">U316-V316-W316</f>
        <v>0</v>
      </c>
      <c r="Y316" s="69" t="n">
        <f aca="false">IF(AB315&gt;0.5,AB315*(1+Y$23)+Y$24,0)</f>
        <v>0</v>
      </c>
      <c r="Z316" s="69" t="n">
        <f aca="false">MIN(Z$23,Y316)</f>
        <v>0</v>
      </c>
      <c r="AA316" s="69" t="n">
        <f aca="false">IF(AND(Z$24=1,OR(Y$25="",$C316&gt;=Y$25)),MAX(0,MIN(Y316-Z316,$D316-(G316+K316+O316+S316+W316))),0)</f>
        <v>0</v>
      </c>
      <c r="AB316" s="69" t="n">
        <f aca="false">Y316-Z316-AA316</f>
        <v>0</v>
      </c>
      <c r="AC316" s="69" t="n">
        <f aca="false">IF(AF315&gt;0.5,AF315*(1+AC$23)+AC$24,0)</f>
        <v>0</v>
      </c>
      <c r="AD316" s="69" t="n">
        <f aca="false">MIN(AD$23,AC316)</f>
        <v>0</v>
      </c>
      <c r="AE316" s="69" t="n">
        <f aca="false">IF(AND(AD$24=1,OR(AC$25="",$C316&gt;=AC$25)),MAX(0,MIN(AC316-AD316,$D316-(G316+K316+O316+S316+W316+AA316))),0)</f>
        <v>0</v>
      </c>
      <c r="AF316" s="69" t="n">
        <f aca="false">AC316-AD316-AE316</f>
        <v>0</v>
      </c>
      <c r="AG316" s="69" t="n">
        <f aca="false">IF(AJ315&gt;0.5,AJ315*(1+AG$23)+AG$24,0)</f>
        <v>0</v>
      </c>
      <c r="AH316" s="69" t="n">
        <f aca="false">MIN(AH$23,AG316)</f>
        <v>0</v>
      </c>
      <c r="AI316" s="69" t="n">
        <f aca="false">IF(AND(AH$24=1,OR(AG$25="",$C316&gt;=AG$25)),MAX(0,MIN(AG316-AH316,$D316-(G316+K316+O316+S316+W316+AA316+AE316))),0)</f>
        <v>0</v>
      </c>
      <c r="AJ316" s="69" t="n">
        <f aca="false">AG316-AH316-AI316</f>
        <v>0</v>
      </c>
      <c r="AK316" s="69" t="n">
        <f aca="false">IF(AK315&gt;0.5,AK315*(1+$E$12)+$G$12-MIN($F$12,AK315*(1+$E$12)+$G$12),0)</f>
        <v>0</v>
      </c>
      <c r="AL316" s="69" t="n">
        <f aca="false">IF(AL315&gt;0.5,AL315*(1+$E$13)+$G$13-MIN($F$13,AL315*(1+$E$13)+$G$13),0)</f>
        <v>0</v>
      </c>
      <c r="AM316" s="69" t="n">
        <f aca="false">IF(AM315&gt;0.5,AM315*(1+$E$14)+$G$14-MIN($F$14,AM315*(1+$E$14)+$G$14),0)</f>
        <v>0</v>
      </c>
      <c r="AN316" s="69" t="n">
        <f aca="false">IF(AN315&gt;0.5,AN315*(1+$E$15)+$G$15-MIN($F$15,AN315*(1+$E$15)+$G$15),0)</f>
        <v>0</v>
      </c>
      <c r="AO316" s="69" t="n">
        <f aca="false">IF(AO315&gt;0.5,AO315*(1+$E$16)+$G$16-MIN($F$16,AO315*(1+$E$16)+$G$16),0)</f>
        <v>0</v>
      </c>
      <c r="AP316" s="69" t="n">
        <f aca="false">IF(AP315&gt;0.5,AP315*(1+$E$17)+$G$17-MIN($F$17,AP315*(1+$E$17)+$G$17),0)</f>
        <v>0</v>
      </c>
      <c r="AQ316" s="69" t="n">
        <f aca="false">IF(AQ315&gt;0.5,AQ315*(1+$E$18)+$G$18-MIN($F$18,AQ315*(1+$E$18)+$G$18),0)</f>
        <v>0</v>
      </c>
      <c r="AR316" s="69" t="n">
        <f aca="false">IF(AR315&gt;0.5,AR315*(1+$E$19)+$G$19-MIN($F$19,AR315*(1+$E$19)+$G$19),0)</f>
        <v>0</v>
      </c>
      <c r="AS316" s="69" t="n">
        <f aca="false">H316+L316+P316+T316+X316+AB316+AF316+AJ316</f>
        <v>0</v>
      </c>
      <c r="AT316" s="69" t="n">
        <f aca="false">SUM(AK316:AR316)</f>
        <v>0</v>
      </c>
      <c r="AU316" s="69" t="n">
        <f aca="false">F316+G316+J316+K316+N316+O316+R316+S316+V316+W316+Z316+AA316+AD316+AE316+AH316+AI316</f>
        <v>0</v>
      </c>
    </row>
    <row r="317" customFormat="false" ht="15" hidden="false" customHeight="false" outlineLevel="0" collapsed="false">
      <c r="B317" s="0" t="n">
        <v>290</v>
      </c>
      <c r="C317" s="68" t="n">
        <f aca="false">EDATE($C$7,289)</f>
        <v>55093</v>
      </c>
      <c r="D317" s="69" t="n">
        <f aca="false">$C$8-(F317+J317+N317+R317+V317+Z317+AD317+AH317)</f>
        <v>0</v>
      </c>
      <c r="E317" s="69" t="n">
        <f aca="false">IF(H316&gt;0.5,H316*(1+E$23)+E$24,0)</f>
        <v>0</v>
      </c>
      <c r="F317" s="69" t="n">
        <f aca="false">MIN(F$23,E317)</f>
        <v>0</v>
      </c>
      <c r="G317" s="69" t="n">
        <f aca="false">IF(AND(F$24=1,OR(E$25="",$C317&gt;=E$25)),MAX(0,MIN(E317-F317,$D317-(0))),0)</f>
        <v>0</v>
      </c>
      <c r="H317" s="69" t="n">
        <f aca="false">E317-F317-G317</f>
        <v>0</v>
      </c>
      <c r="I317" s="69" t="n">
        <f aca="false">IF(L316&gt;0.5,L316*(1+I$23)+I$24,0)</f>
        <v>0</v>
      </c>
      <c r="J317" s="69" t="n">
        <f aca="false">MIN(J$23,I317)</f>
        <v>0</v>
      </c>
      <c r="K317" s="69" t="n">
        <f aca="false">IF(AND(J$24=1,OR(I$25="",$C317&gt;=I$25)),MAX(0,MIN(I317-J317,$D317-(G317))),0)</f>
        <v>0</v>
      </c>
      <c r="L317" s="69" t="n">
        <f aca="false">I317-J317-K317</f>
        <v>0</v>
      </c>
      <c r="M317" s="69" t="n">
        <f aca="false">IF(P316&gt;0.5,P316*(1+M$23)+M$24,0)</f>
        <v>0</v>
      </c>
      <c r="N317" s="69" t="n">
        <f aca="false">MIN(N$23,M317)</f>
        <v>0</v>
      </c>
      <c r="O317" s="69" t="n">
        <f aca="false">IF(AND(N$24=1,OR(M$25="",$C317&gt;=M$25)),MAX(0,MIN(M317-N317,$D317-(G317+K317))),0)</f>
        <v>0</v>
      </c>
      <c r="P317" s="69" t="n">
        <f aca="false">M317-N317-O317</f>
        <v>0</v>
      </c>
      <c r="Q317" s="69" t="n">
        <f aca="false">IF(T316&gt;0.5,T316*(1+Q$23)+Q$24,0)</f>
        <v>0</v>
      </c>
      <c r="R317" s="69" t="n">
        <f aca="false">MIN(R$23,Q317)</f>
        <v>0</v>
      </c>
      <c r="S317" s="69" t="n">
        <f aca="false">IF(AND(R$24=1,OR(Q$25="",$C317&gt;=Q$25)),MAX(0,MIN(Q317-R317,$D317-(G317+K317+O317))),0)</f>
        <v>0</v>
      </c>
      <c r="T317" s="69" t="n">
        <f aca="false">Q317-R317-S317</f>
        <v>0</v>
      </c>
      <c r="U317" s="69" t="n">
        <f aca="false">IF(X316&gt;0.5,X316*(1+U$23)+U$24,0)</f>
        <v>0</v>
      </c>
      <c r="V317" s="69" t="n">
        <f aca="false">MIN(V$23,U317)</f>
        <v>0</v>
      </c>
      <c r="W317" s="69" t="n">
        <f aca="false">IF(AND(V$24=1,OR(U$25="",$C317&gt;=U$25)),MAX(0,MIN(U317-V317,$D317-(G317+K317+O317+S317))),0)</f>
        <v>0</v>
      </c>
      <c r="X317" s="69" t="n">
        <f aca="false">U317-V317-W317</f>
        <v>0</v>
      </c>
      <c r="Y317" s="69" t="n">
        <f aca="false">IF(AB316&gt;0.5,AB316*(1+Y$23)+Y$24,0)</f>
        <v>0</v>
      </c>
      <c r="Z317" s="69" t="n">
        <f aca="false">MIN(Z$23,Y317)</f>
        <v>0</v>
      </c>
      <c r="AA317" s="69" t="n">
        <f aca="false">IF(AND(Z$24=1,OR(Y$25="",$C317&gt;=Y$25)),MAX(0,MIN(Y317-Z317,$D317-(G317+K317+O317+S317+W317))),0)</f>
        <v>0</v>
      </c>
      <c r="AB317" s="69" t="n">
        <f aca="false">Y317-Z317-AA317</f>
        <v>0</v>
      </c>
      <c r="AC317" s="69" t="n">
        <f aca="false">IF(AF316&gt;0.5,AF316*(1+AC$23)+AC$24,0)</f>
        <v>0</v>
      </c>
      <c r="AD317" s="69" t="n">
        <f aca="false">MIN(AD$23,AC317)</f>
        <v>0</v>
      </c>
      <c r="AE317" s="69" t="n">
        <f aca="false">IF(AND(AD$24=1,OR(AC$25="",$C317&gt;=AC$25)),MAX(0,MIN(AC317-AD317,$D317-(G317+K317+O317+S317+W317+AA317))),0)</f>
        <v>0</v>
      </c>
      <c r="AF317" s="69" t="n">
        <f aca="false">AC317-AD317-AE317</f>
        <v>0</v>
      </c>
      <c r="AG317" s="69" t="n">
        <f aca="false">IF(AJ316&gt;0.5,AJ316*(1+AG$23)+AG$24,0)</f>
        <v>0</v>
      </c>
      <c r="AH317" s="69" t="n">
        <f aca="false">MIN(AH$23,AG317)</f>
        <v>0</v>
      </c>
      <c r="AI317" s="69" t="n">
        <f aca="false">IF(AND(AH$24=1,OR(AG$25="",$C317&gt;=AG$25)),MAX(0,MIN(AG317-AH317,$D317-(G317+K317+O317+S317+W317+AA317+AE317))),0)</f>
        <v>0</v>
      </c>
      <c r="AJ317" s="69" t="n">
        <f aca="false">AG317-AH317-AI317</f>
        <v>0</v>
      </c>
      <c r="AK317" s="69" t="n">
        <f aca="false">IF(AK316&gt;0.5,AK316*(1+$E$12)+$G$12-MIN($F$12,AK316*(1+$E$12)+$G$12),0)</f>
        <v>0</v>
      </c>
      <c r="AL317" s="69" t="n">
        <f aca="false">IF(AL316&gt;0.5,AL316*(1+$E$13)+$G$13-MIN($F$13,AL316*(1+$E$13)+$G$13),0)</f>
        <v>0</v>
      </c>
      <c r="AM317" s="69" t="n">
        <f aca="false">IF(AM316&gt;0.5,AM316*(1+$E$14)+$G$14-MIN($F$14,AM316*(1+$E$14)+$G$14),0)</f>
        <v>0</v>
      </c>
      <c r="AN317" s="69" t="n">
        <f aca="false">IF(AN316&gt;0.5,AN316*(1+$E$15)+$G$15-MIN($F$15,AN316*(1+$E$15)+$G$15),0)</f>
        <v>0</v>
      </c>
      <c r="AO317" s="69" t="n">
        <f aca="false">IF(AO316&gt;0.5,AO316*(1+$E$16)+$G$16-MIN($F$16,AO316*(1+$E$16)+$G$16),0)</f>
        <v>0</v>
      </c>
      <c r="AP317" s="69" t="n">
        <f aca="false">IF(AP316&gt;0.5,AP316*(1+$E$17)+$G$17-MIN($F$17,AP316*(1+$E$17)+$G$17),0)</f>
        <v>0</v>
      </c>
      <c r="AQ317" s="69" t="n">
        <f aca="false">IF(AQ316&gt;0.5,AQ316*(1+$E$18)+$G$18-MIN($F$18,AQ316*(1+$E$18)+$G$18),0)</f>
        <v>0</v>
      </c>
      <c r="AR317" s="69" t="n">
        <f aca="false">IF(AR316&gt;0.5,AR316*(1+$E$19)+$G$19-MIN($F$19,AR316*(1+$E$19)+$G$19),0)</f>
        <v>0</v>
      </c>
      <c r="AS317" s="69" t="n">
        <f aca="false">H317+L317+P317+T317+X317+AB317+AF317+AJ317</f>
        <v>0</v>
      </c>
      <c r="AT317" s="69" t="n">
        <f aca="false">SUM(AK317:AR317)</f>
        <v>0</v>
      </c>
      <c r="AU317" s="69" t="n">
        <f aca="false">F317+G317+J317+K317+N317+O317+R317+S317+V317+W317+Z317+AA317+AD317+AE317+AH317+AI317</f>
        <v>0</v>
      </c>
    </row>
    <row r="318" customFormat="false" ht="15" hidden="false" customHeight="false" outlineLevel="0" collapsed="false">
      <c r="B318" s="0" t="n">
        <v>291</v>
      </c>
      <c r="C318" s="68" t="n">
        <f aca="false">EDATE($C$7,290)</f>
        <v>55123</v>
      </c>
      <c r="D318" s="69" t="n">
        <f aca="false">$C$8-(F318+J318+N318+R318+V318+Z318+AD318+AH318)</f>
        <v>0</v>
      </c>
      <c r="E318" s="69" t="n">
        <f aca="false">IF(H317&gt;0.5,H317*(1+E$23)+E$24,0)</f>
        <v>0</v>
      </c>
      <c r="F318" s="69" t="n">
        <f aca="false">MIN(F$23,E318)</f>
        <v>0</v>
      </c>
      <c r="G318" s="69" t="n">
        <f aca="false">IF(AND(F$24=1,OR(E$25="",$C318&gt;=E$25)),MAX(0,MIN(E318-F318,$D318-(0))),0)</f>
        <v>0</v>
      </c>
      <c r="H318" s="69" t="n">
        <f aca="false">E318-F318-G318</f>
        <v>0</v>
      </c>
      <c r="I318" s="69" t="n">
        <f aca="false">IF(L317&gt;0.5,L317*(1+I$23)+I$24,0)</f>
        <v>0</v>
      </c>
      <c r="J318" s="69" t="n">
        <f aca="false">MIN(J$23,I318)</f>
        <v>0</v>
      </c>
      <c r="K318" s="69" t="n">
        <f aca="false">IF(AND(J$24=1,OR(I$25="",$C318&gt;=I$25)),MAX(0,MIN(I318-J318,$D318-(G318))),0)</f>
        <v>0</v>
      </c>
      <c r="L318" s="69" t="n">
        <f aca="false">I318-J318-K318</f>
        <v>0</v>
      </c>
      <c r="M318" s="69" t="n">
        <f aca="false">IF(P317&gt;0.5,P317*(1+M$23)+M$24,0)</f>
        <v>0</v>
      </c>
      <c r="N318" s="69" t="n">
        <f aca="false">MIN(N$23,M318)</f>
        <v>0</v>
      </c>
      <c r="O318" s="69" t="n">
        <f aca="false">IF(AND(N$24=1,OR(M$25="",$C318&gt;=M$25)),MAX(0,MIN(M318-N318,$D318-(G318+K318))),0)</f>
        <v>0</v>
      </c>
      <c r="P318" s="69" t="n">
        <f aca="false">M318-N318-O318</f>
        <v>0</v>
      </c>
      <c r="Q318" s="69" t="n">
        <f aca="false">IF(T317&gt;0.5,T317*(1+Q$23)+Q$24,0)</f>
        <v>0</v>
      </c>
      <c r="R318" s="69" t="n">
        <f aca="false">MIN(R$23,Q318)</f>
        <v>0</v>
      </c>
      <c r="S318" s="69" t="n">
        <f aca="false">IF(AND(R$24=1,OR(Q$25="",$C318&gt;=Q$25)),MAX(0,MIN(Q318-R318,$D318-(G318+K318+O318))),0)</f>
        <v>0</v>
      </c>
      <c r="T318" s="69" t="n">
        <f aca="false">Q318-R318-S318</f>
        <v>0</v>
      </c>
      <c r="U318" s="69" t="n">
        <f aca="false">IF(X317&gt;0.5,X317*(1+U$23)+U$24,0)</f>
        <v>0</v>
      </c>
      <c r="V318" s="69" t="n">
        <f aca="false">MIN(V$23,U318)</f>
        <v>0</v>
      </c>
      <c r="W318" s="69" t="n">
        <f aca="false">IF(AND(V$24=1,OR(U$25="",$C318&gt;=U$25)),MAX(0,MIN(U318-V318,$D318-(G318+K318+O318+S318))),0)</f>
        <v>0</v>
      </c>
      <c r="X318" s="69" t="n">
        <f aca="false">U318-V318-W318</f>
        <v>0</v>
      </c>
      <c r="Y318" s="69" t="n">
        <f aca="false">IF(AB317&gt;0.5,AB317*(1+Y$23)+Y$24,0)</f>
        <v>0</v>
      </c>
      <c r="Z318" s="69" t="n">
        <f aca="false">MIN(Z$23,Y318)</f>
        <v>0</v>
      </c>
      <c r="AA318" s="69" t="n">
        <f aca="false">IF(AND(Z$24=1,OR(Y$25="",$C318&gt;=Y$25)),MAX(0,MIN(Y318-Z318,$D318-(G318+K318+O318+S318+W318))),0)</f>
        <v>0</v>
      </c>
      <c r="AB318" s="69" t="n">
        <f aca="false">Y318-Z318-AA318</f>
        <v>0</v>
      </c>
      <c r="AC318" s="69" t="n">
        <f aca="false">IF(AF317&gt;0.5,AF317*(1+AC$23)+AC$24,0)</f>
        <v>0</v>
      </c>
      <c r="AD318" s="69" t="n">
        <f aca="false">MIN(AD$23,AC318)</f>
        <v>0</v>
      </c>
      <c r="AE318" s="69" t="n">
        <f aca="false">IF(AND(AD$24=1,OR(AC$25="",$C318&gt;=AC$25)),MAX(0,MIN(AC318-AD318,$D318-(G318+K318+O318+S318+W318+AA318))),0)</f>
        <v>0</v>
      </c>
      <c r="AF318" s="69" t="n">
        <f aca="false">AC318-AD318-AE318</f>
        <v>0</v>
      </c>
      <c r="AG318" s="69" t="n">
        <f aca="false">IF(AJ317&gt;0.5,AJ317*(1+AG$23)+AG$24,0)</f>
        <v>0</v>
      </c>
      <c r="AH318" s="69" t="n">
        <f aca="false">MIN(AH$23,AG318)</f>
        <v>0</v>
      </c>
      <c r="AI318" s="69" t="n">
        <f aca="false">IF(AND(AH$24=1,OR(AG$25="",$C318&gt;=AG$25)),MAX(0,MIN(AG318-AH318,$D318-(G318+K318+O318+S318+W318+AA318+AE318))),0)</f>
        <v>0</v>
      </c>
      <c r="AJ318" s="69" t="n">
        <f aca="false">AG318-AH318-AI318</f>
        <v>0</v>
      </c>
      <c r="AK318" s="69" t="n">
        <f aca="false">IF(AK317&gt;0.5,AK317*(1+$E$12)+$G$12-MIN($F$12,AK317*(1+$E$12)+$G$12),0)</f>
        <v>0</v>
      </c>
      <c r="AL318" s="69" t="n">
        <f aca="false">IF(AL317&gt;0.5,AL317*(1+$E$13)+$G$13-MIN($F$13,AL317*(1+$E$13)+$G$13),0)</f>
        <v>0</v>
      </c>
      <c r="AM318" s="69" t="n">
        <f aca="false">IF(AM317&gt;0.5,AM317*(1+$E$14)+$G$14-MIN($F$14,AM317*(1+$E$14)+$G$14),0)</f>
        <v>0</v>
      </c>
      <c r="AN318" s="69" t="n">
        <f aca="false">IF(AN317&gt;0.5,AN317*(1+$E$15)+$G$15-MIN($F$15,AN317*(1+$E$15)+$G$15),0)</f>
        <v>0</v>
      </c>
      <c r="AO318" s="69" t="n">
        <f aca="false">IF(AO317&gt;0.5,AO317*(1+$E$16)+$G$16-MIN($F$16,AO317*(1+$E$16)+$G$16),0)</f>
        <v>0</v>
      </c>
      <c r="AP318" s="69" t="n">
        <f aca="false">IF(AP317&gt;0.5,AP317*(1+$E$17)+$G$17-MIN($F$17,AP317*(1+$E$17)+$G$17),0)</f>
        <v>0</v>
      </c>
      <c r="AQ318" s="69" t="n">
        <f aca="false">IF(AQ317&gt;0.5,AQ317*(1+$E$18)+$G$18-MIN($F$18,AQ317*(1+$E$18)+$G$18),0)</f>
        <v>0</v>
      </c>
      <c r="AR318" s="69" t="n">
        <f aca="false">IF(AR317&gt;0.5,AR317*(1+$E$19)+$G$19-MIN($F$19,AR317*(1+$E$19)+$G$19),0)</f>
        <v>0</v>
      </c>
      <c r="AS318" s="69" t="n">
        <f aca="false">H318+L318+P318+T318+X318+AB318+AF318+AJ318</f>
        <v>0</v>
      </c>
      <c r="AT318" s="69" t="n">
        <f aca="false">SUM(AK318:AR318)</f>
        <v>0</v>
      </c>
      <c r="AU318" s="69" t="n">
        <f aca="false">F318+G318+J318+K318+N318+O318+R318+S318+V318+W318+Z318+AA318+AD318+AE318+AH318+AI318</f>
        <v>0</v>
      </c>
    </row>
    <row r="319" customFormat="false" ht="15" hidden="false" customHeight="false" outlineLevel="0" collapsed="false">
      <c r="B319" s="0" t="n">
        <v>292</v>
      </c>
      <c r="C319" s="68" t="n">
        <f aca="false">EDATE($C$7,291)</f>
        <v>55154</v>
      </c>
      <c r="D319" s="69" t="n">
        <f aca="false">$C$8-(F319+J319+N319+R319+V319+Z319+AD319+AH319)</f>
        <v>0</v>
      </c>
      <c r="E319" s="69" t="n">
        <f aca="false">IF(H318&gt;0.5,H318*(1+E$23)+E$24,0)</f>
        <v>0</v>
      </c>
      <c r="F319" s="69" t="n">
        <f aca="false">MIN(F$23,E319)</f>
        <v>0</v>
      </c>
      <c r="G319" s="69" t="n">
        <f aca="false">IF(AND(F$24=1,OR(E$25="",$C319&gt;=E$25)),MAX(0,MIN(E319-F319,$D319-(0))),0)</f>
        <v>0</v>
      </c>
      <c r="H319" s="69" t="n">
        <f aca="false">E319-F319-G319</f>
        <v>0</v>
      </c>
      <c r="I319" s="69" t="n">
        <f aca="false">IF(L318&gt;0.5,L318*(1+I$23)+I$24,0)</f>
        <v>0</v>
      </c>
      <c r="J319" s="69" t="n">
        <f aca="false">MIN(J$23,I319)</f>
        <v>0</v>
      </c>
      <c r="K319" s="69" t="n">
        <f aca="false">IF(AND(J$24=1,OR(I$25="",$C319&gt;=I$25)),MAX(0,MIN(I319-J319,$D319-(G319))),0)</f>
        <v>0</v>
      </c>
      <c r="L319" s="69" t="n">
        <f aca="false">I319-J319-K319</f>
        <v>0</v>
      </c>
      <c r="M319" s="69" t="n">
        <f aca="false">IF(P318&gt;0.5,P318*(1+M$23)+M$24,0)</f>
        <v>0</v>
      </c>
      <c r="N319" s="69" t="n">
        <f aca="false">MIN(N$23,M319)</f>
        <v>0</v>
      </c>
      <c r="O319" s="69" t="n">
        <f aca="false">IF(AND(N$24=1,OR(M$25="",$C319&gt;=M$25)),MAX(0,MIN(M319-N319,$D319-(G319+K319))),0)</f>
        <v>0</v>
      </c>
      <c r="P319" s="69" t="n">
        <f aca="false">M319-N319-O319</f>
        <v>0</v>
      </c>
      <c r="Q319" s="69" t="n">
        <f aca="false">IF(T318&gt;0.5,T318*(1+Q$23)+Q$24,0)</f>
        <v>0</v>
      </c>
      <c r="R319" s="69" t="n">
        <f aca="false">MIN(R$23,Q319)</f>
        <v>0</v>
      </c>
      <c r="S319" s="69" t="n">
        <f aca="false">IF(AND(R$24=1,OR(Q$25="",$C319&gt;=Q$25)),MAX(0,MIN(Q319-R319,$D319-(G319+K319+O319))),0)</f>
        <v>0</v>
      </c>
      <c r="T319" s="69" t="n">
        <f aca="false">Q319-R319-S319</f>
        <v>0</v>
      </c>
      <c r="U319" s="69" t="n">
        <f aca="false">IF(X318&gt;0.5,X318*(1+U$23)+U$24,0)</f>
        <v>0</v>
      </c>
      <c r="V319" s="69" t="n">
        <f aca="false">MIN(V$23,U319)</f>
        <v>0</v>
      </c>
      <c r="W319" s="69" t="n">
        <f aca="false">IF(AND(V$24=1,OR(U$25="",$C319&gt;=U$25)),MAX(0,MIN(U319-V319,$D319-(G319+K319+O319+S319))),0)</f>
        <v>0</v>
      </c>
      <c r="X319" s="69" t="n">
        <f aca="false">U319-V319-W319</f>
        <v>0</v>
      </c>
      <c r="Y319" s="69" t="n">
        <f aca="false">IF(AB318&gt;0.5,AB318*(1+Y$23)+Y$24,0)</f>
        <v>0</v>
      </c>
      <c r="Z319" s="69" t="n">
        <f aca="false">MIN(Z$23,Y319)</f>
        <v>0</v>
      </c>
      <c r="AA319" s="69" t="n">
        <f aca="false">IF(AND(Z$24=1,OR(Y$25="",$C319&gt;=Y$25)),MAX(0,MIN(Y319-Z319,$D319-(G319+K319+O319+S319+W319))),0)</f>
        <v>0</v>
      </c>
      <c r="AB319" s="69" t="n">
        <f aca="false">Y319-Z319-AA319</f>
        <v>0</v>
      </c>
      <c r="AC319" s="69" t="n">
        <f aca="false">IF(AF318&gt;0.5,AF318*(1+AC$23)+AC$24,0)</f>
        <v>0</v>
      </c>
      <c r="AD319" s="69" t="n">
        <f aca="false">MIN(AD$23,AC319)</f>
        <v>0</v>
      </c>
      <c r="AE319" s="69" t="n">
        <f aca="false">IF(AND(AD$24=1,OR(AC$25="",$C319&gt;=AC$25)),MAX(0,MIN(AC319-AD319,$D319-(G319+K319+O319+S319+W319+AA319))),0)</f>
        <v>0</v>
      </c>
      <c r="AF319" s="69" t="n">
        <f aca="false">AC319-AD319-AE319</f>
        <v>0</v>
      </c>
      <c r="AG319" s="69" t="n">
        <f aca="false">IF(AJ318&gt;0.5,AJ318*(1+AG$23)+AG$24,0)</f>
        <v>0</v>
      </c>
      <c r="AH319" s="69" t="n">
        <f aca="false">MIN(AH$23,AG319)</f>
        <v>0</v>
      </c>
      <c r="AI319" s="69" t="n">
        <f aca="false">IF(AND(AH$24=1,OR(AG$25="",$C319&gt;=AG$25)),MAX(0,MIN(AG319-AH319,$D319-(G319+K319+O319+S319+W319+AA319+AE319))),0)</f>
        <v>0</v>
      </c>
      <c r="AJ319" s="69" t="n">
        <f aca="false">AG319-AH319-AI319</f>
        <v>0</v>
      </c>
      <c r="AK319" s="69" t="n">
        <f aca="false">IF(AK318&gt;0.5,AK318*(1+$E$12)+$G$12-MIN($F$12,AK318*(1+$E$12)+$G$12),0)</f>
        <v>0</v>
      </c>
      <c r="AL319" s="69" t="n">
        <f aca="false">IF(AL318&gt;0.5,AL318*(1+$E$13)+$G$13-MIN($F$13,AL318*(1+$E$13)+$G$13),0)</f>
        <v>0</v>
      </c>
      <c r="AM319" s="69" t="n">
        <f aca="false">IF(AM318&gt;0.5,AM318*(1+$E$14)+$G$14-MIN($F$14,AM318*(1+$E$14)+$G$14),0)</f>
        <v>0</v>
      </c>
      <c r="AN319" s="69" t="n">
        <f aca="false">IF(AN318&gt;0.5,AN318*(1+$E$15)+$G$15-MIN($F$15,AN318*(1+$E$15)+$G$15),0)</f>
        <v>0</v>
      </c>
      <c r="AO319" s="69" t="n">
        <f aca="false">IF(AO318&gt;0.5,AO318*(1+$E$16)+$G$16-MIN($F$16,AO318*(1+$E$16)+$G$16),0)</f>
        <v>0</v>
      </c>
      <c r="AP319" s="69" t="n">
        <f aca="false">IF(AP318&gt;0.5,AP318*(1+$E$17)+$G$17-MIN($F$17,AP318*(1+$E$17)+$G$17),0)</f>
        <v>0</v>
      </c>
      <c r="AQ319" s="69" t="n">
        <f aca="false">IF(AQ318&gt;0.5,AQ318*(1+$E$18)+$G$18-MIN($F$18,AQ318*(1+$E$18)+$G$18),0)</f>
        <v>0</v>
      </c>
      <c r="AR319" s="69" t="n">
        <f aca="false">IF(AR318&gt;0.5,AR318*(1+$E$19)+$G$19-MIN($F$19,AR318*(1+$E$19)+$G$19),0)</f>
        <v>0</v>
      </c>
      <c r="AS319" s="69" t="n">
        <f aca="false">H319+L319+P319+T319+X319+AB319+AF319+AJ319</f>
        <v>0</v>
      </c>
      <c r="AT319" s="69" t="n">
        <f aca="false">SUM(AK319:AR319)</f>
        <v>0</v>
      </c>
      <c r="AU319" s="69" t="n">
        <f aca="false">F319+G319+J319+K319+N319+O319+R319+S319+V319+W319+Z319+AA319+AD319+AE319+AH319+AI319</f>
        <v>0</v>
      </c>
    </row>
    <row r="320" customFormat="false" ht="15" hidden="false" customHeight="false" outlineLevel="0" collapsed="false">
      <c r="B320" s="0" t="n">
        <v>293</v>
      </c>
      <c r="C320" s="68" t="n">
        <f aca="false">EDATE($C$7,292)</f>
        <v>55185</v>
      </c>
      <c r="D320" s="69" t="n">
        <f aca="false">$C$8-(F320+J320+N320+R320+V320+Z320+AD320+AH320)</f>
        <v>0</v>
      </c>
      <c r="E320" s="69" t="n">
        <f aca="false">IF(H319&gt;0.5,H319*(1+E$23)+E$24,0)</f>
        <v>0</v>
      </c>
      <c r="F320" s="69" t="n">
        <f aca="false">MIN(F$23,E320)</f>
        <v>0</v>
      </c>
      <c r="G320" s="69" t="n">
        <f aca="false">IF(AND(F$24=1,OR(E$25="",$C320&gt;=E$25)),MAX(0,MIN(E320-F320,$D320-(0))),0)</f>
        <v>0</v>
      </c>
      <c r="H320" s="69" t="n">
        <f aca="false">E320-F320-G320</f>
        <v>0</v>
      </c>
      <c r="I320" s="69" t="n">
        <f aca="false">IF(L319&gt;0.5,L319*(1+I$23)+I$24,0)</f>
        <v>0</v>
      </c>
      <c r="J320" s="69" t="n">
        <f aca="false">MIN(J$23,I320)</f>
        <v>0</v>
      </c>
      <c r="K320" s="69" t="n">
        <f aca="false">IF(AND(J$24=1,OR(I$25="",$C320&gt;=I$25)),MAX(0,MIN(I320-J320,$D320-(G320))),0)</f>
        <v>0</v>
      </c>
      <c r="L320" s="69" t="n">
        <f aca="false">I320-J320-K320</f>
        <v>0</v>
      </c>
      <c r="M320" s="69" t="n">
        <f aca="false">IF(P319&gt;0.5,P319*(1+M$23)+M$24,0)</f>
        <v>0</v>
      </c>
      <c r="N320" s="69" t="n">
        <f aca="false">MIN(N$23,M320)</f>
        <v>0</v>
      </c>
      <c r="O320" s="69" t="n">
        <f aca="false">IF(AND(N$24=1,OR(M$25="",$C320&gt;=M$25)),MAX(0,MIN(M320-N320,$D320-(G320+K320))),0)</f>
        <v>0</v>
      </c>
      <c r="P320" s="69" t="n">
        <f aca="false">M320-N320-O320</f>
        <v>0</v>
      </c>
      <c r="Q320" s="69" t="n">
        <f aca="false">IF(T319&gt;0.5,T319*(1+Q$23)+Q$24,0)</f>
        <v>0</v>
      </c>
      <c r="R320" s="69" t="n">
        <f aca="false">MIN(R$23,Q320)</f>
        <v>0</v>
      </c>
      <c r="S320" s="69" t="n">
        <f aca="false">IF(AND(R$24=1,OR(Q$25="",$C320&gt;=Q$25)),MAX(0,MIN(Q320-R320,$D320-(G320+K320+O320))),0)</f>
        <v>0</v>
      </c>
      <c r="T320" s="69" t="n">
        <f aca="false">Q320-R320-S320</f>
        <v>0</v>
      </c>
      <c r="U320" s="69" t="n">
        <f aca="false">IF(X319&gt;0.5,X319*(1+U$23)+U$24,0)</f>
        <v>0</v>
      </c>
      <c r="V320" s="69" t="n">
        <f aca="false">MIN(V$23,U320)</f>
        <v>0</v>
      </c>
      <c r="W320" s="69" t="n">
        <f aca="false">IF(AND(V$24=1,OR(U$25="",$C320&gt;=U$25)),MAX(0,MIN(U320-V320,$D320-(G320+K320+O320+S320))),0)</f>
        <v>0</v>
      </c>
      <c r="X320" s="69" t="n">
        <f aca="false">U320-V320-W320</f>
        <v>0</v>
      </c>
      <c r="Y320" s="69" t="n">
        <f aca="false">IF(AB319&gt;0.5,AB319*(1+Y$23)+Y$24,0)</f>
        <v>0</v>
      </c>
      <c r="Z320" s="69" t="n">
        <f aca="false">MIN(Z$23,Y320)</f>
        <v>0</v>
      </c>
      <c r="AA320" s="69" t="n">
        <f aca="false">IF(AND(Z$24=1,OR(Y$25="",$C320&gt;=Y$25)),MAX(0,MIN(Y320-Z320,$D320-(G320+K320+O320+S320+W320))),0)</f>
        <v>0</v>
      </c>
      <c r="AB320" s="69" t="n">
        <f aca="false">Y320-Z320-AA320</f>
        <v>0</v>
      </c>
      <c r="AC320" s="69" t="n">
        <f aca="false">IF(AF319&gt;0.5,AF319*(1+AC$23)+AC$24,0)</f>
        <v>0</v>
      </c>
      <c r="AD320" s="69" t="n">
        <f aca="false">MIN(AD$23,AC320)</f>
        <v>0</v>
      </c>
      <c r="AE320" s="69" t="n">
        <f aca="false">IF(AND(AD$24=1,OR(AC$25="",$C320&gt;=AC$25)),MAX(0,MIN(AC320-AD320,$D320-(G320+K320+O320+S320+W320+AA320))),0)</f>
        <v>0</v>
      </c>
      <c r="AF320" s="69" t="n">
        <f aca="false">AC320-AD320-AE320</f>
        <v>0</v>
      </c>
      <c r="AG320" s="69" t="n">
        <f aca="false">IF(AJ319&gt;0.5,AJ319*(1+AG$23)+AG$24,0)</f>
        <v>0</v>
      </c>
      <c r="AH320" s="69" t="n">
        <f aca="false">MIN(AH$23,AG320)</f>
        <v>0</v>
      </c>
      <c r="AI320" s="69" t="n">
        <f aca="false">IF(AND(AH$24=1,OR(AG$25="",$C320&gt;=AG$25)),MAX(0,MIN(AG320-AH320,$D320-(G320+K320+O320+S320+W320+AA320+AE320))),0)</f>
        <v>0</v>
      </c>
      <c r="AJ320" s="69" t="n">
        <f aca="false">AG320-AH320-AI320</f>
        <v>0</v>
      </c>
      <c r="AK320" s="69" t="n">
        <f aca="false">IF(AK319&gt;0.5,AK319*(1+$E$12)+$G$12-MIN($F$12,AK319*(1+$E$12)+$G$12),0)</f>
        <v>0</v>
      </c>
      <c r="AL320" s="69" t="n">
        <f aca="false">IF(AL319&gt;0.5,AL319*(1+$E$13)+$G$13-MIN($F$13,AL319*(1+$E$13)+$G$13),0)</f>
        <v>0</v>
      </c>
      <c r="AM320" s="69" t="n">
        <f aca="false">IF(AM319&gt;0.5,AM319*(1+$E$14)+$G$14-MIN($F$14,AM319*(1+$E$14)+$G$14),0)</f>
        <v>0</v>
      </c>
      <c r="AN320" s="69" t="n">
        <f aca="false">IF(AN319&gt;0.5,AN319*(1+$E$15)+$G$15-MIN($F$15,AN319*(1+$E$15)+$G$15),0)</f>
        <v>0</v>
      </c>
      <c r="AO320" s="69" t="n">
        <f aca="false">IF(AO319&gt;0.5,AO319*(1+$E$16)+$G$16-MIN($F$16,AO319*(1+$E$16)+$G$16),0)</f>
        <v>0</v>
      </c>
      <c r="AP320" s="69" t="n">
        <f aca="false">IF(AP319&gt;0.5,AP319*(1+$E$17)+$G$17-MIN($F$17,AP319*(1+$E$17)+$G$17),0)</f>
        <v>0</v>
      </c>
      <c r="AQ320" s="69" t="n">
        <f aca="false">IF(AQ319&gt;0.5,AQ319*(1+$E$18)+$G$18-MIN($F$18,AQ319*(1+$E$18)+$G$18),0)</f>
        <v>0</v>
      </c>
      <c r="AR320" s="69" t="n">
        <f aca="false">IF(AR319&gt;0.5,AR319*(1+$E$19)+$G$19-MIN($F$19,AR319*(1+$E$19)+$G$19),0)</f>
        <v>0</v>
      </c>
      <c r="AS320" s="69" t="n">
        <f aca="false">H320+L320+P320+T320+X320+AB320+AF320+AJ320</f>
        <v>0</v>
      </c>
      <c r="AT320" s="69" t="n">
        <f aca="false">SUM(AK320:AR320)</f>
        <v>0</v>
      </c>
      <c r="AU320" s="69" t="n">
        <f aca="false">F320+G320+J320+K320+N320+O320+R320+S320+V320+W320+Z320+AA320+AD320+AE320+AH320+AI320</f>
        <v>0</v>
      </c>
    </row>
    <row r="321" customFormat="false" ht="15" hidden="false" customHeight="false" outlineLevel="0" collapsed="false">
      <c r="B321" s="0" t="n">
        <v>294</v>
      </c>
      <c r="C321" s="68" t="n">
        <f aca="false">EDATE($C$7,293)</f>
        <v>55213</v>
      </c>
      <c r="D321" s="69" t="n">
        <f aca="false">$C$8-(F321+J321+N321+R321+V321+Z321+AD321+AH321)</f>
        <v>0</v>
      </c>
      <c r="E321" s="69" t="n">
        <f aca="false">IF(H320&gt;0.5,H320*(1+E$23)+E$24,0)</f>
        <v>0</v>
      </c>
      <c r="F321" s="69" t="n">
        <f aca="false">MIN(F$23,E321)</f>
        <v>0</v>
      </c>
      <c r="G321" s="69" t="n">
        <f aca="false">IF(AND(F$24=1,OR(E$25="",$C321&gt;=E$25)),MAX(0,MIN(E321-F321,$D321-(0))),0)</f>
        <v>0</v>
      </c>
      <c r="H321" s="69" t="n">
        <f aca="false">E321-F321-G321</f>
        <v>0</v>
      </c>
      <c r="I321" s="69" t="n">
        <f aca="false">IF(L320&gt;0.5,L320*(1+I$23)+I$24,0)</f>
        <v>0</v>
      </c>
      <c r="J321" s="69" t="n">
        <f aca="false">MIN(J$23,I321)</f>
        <v>0</v>
      </c>
      <c r="K321" s="69" t="n">
        <f aca="false">IF(AND(J$24=1,OR(I$25="",$C321&gt;=I$25)),MAX(0,MIN(I321-J321,$D321-(G321))),0)</f>
        <v>0</v>
      </c>
      <c r="L321" s="69" t="n">
        <f aca="false">I321-J321-K321</f>
        <v>0</v>
      </c>
      <c r="M321" s="69" t="n">
        <f aca="false">IF(P320&gt;0.5,P320*(1+M$23)+M$24,0)</f>
        <v>0</v>
      </c>
      <c r="N321" s="69" t="n">
        <f aca="false">MIN(N$23,M321)</f>
        <v>0</v>
      </c>
      <c r="O321" s="69" t="n">
        <f aca="false">IF(AND(N$24=1,OR(M$25="",$C321&gt;=M$25)),MAX(0,MIN(M321-N321,$D321-(G321+K321))),0)</f>
        <v>0</v>
      </c>
      <c r="P321" s="69" t="n">
        <f aca="false">M321-N321-O321</f>
        <v>0</v>
      </c>
      <c r="Q321" s="69" t="n">
        <f aca="false">IF(T320&gt;0.5,T320*(1+Q$23)+Q$24,0)</f>
        <v>0</v>
      </c>
      <c r="R321" s="69" t="n">
        <f aca="false">MIN(R$23,Q321)</f>
        <v>0</v>
      </c>
      <c r="S321" s="69" t="n">
        <f aca="false">IF(AND(R$24=1,OR(Q$25="",$C321&gt;=Q$25)),MAX(0,MIN(Q321-R321,$D321-(G321+K321+O321))),0)</f>
        <v>0</v>
      </c>
      <c r="T321" s="69" t="n">
        <f aca="false">Q321-R321-S321</f>
        <v>0</v>
      </c>
      <c r="U321" s="69" t="n">
        <f aca="false">IF(X320&gt;0.5,X320*(1+U$23)+U$24,0)</f>
        <v>0</v>
      </c>
      <c r="V321" s="69" t="n">
        <f aca="false">MIN(V$23,U321)</f>
        <v>0</v>
      </c>
      <c r="W321" s="69" t="n">
        <f aca="false">IF(AND(V$24=1,OR(U$25="",$C321&gt;=U$25)),MAX(0,MIN(U321-V321,$D321-(G321+K321+O321+S321))),0)</f>
        <v>0</v>
      </c>
      <c r="X321" s="69" t="n">
        <f aca="false">U321-V321-W321</f>
        <v>0</v>
      </c>
      <c r="Y321" s="69" t="n">
        <f aca="false">IF(AB320&gt;0.5,AB320*(1+Y$23)+Y$24,0)</f>
        <v>0</v>
      </c>
      <c r="Z321" s="69" t="n">
        <f aca="false">MIN(Z$23,Y321)</f>
        <v>0</v>
      </c>
      <c r="AA321" s="69" t="n">
        <f aca="false">IF(AND(Z$24=1,OR(Y$25="",$C321&gt;=Y$25)),MAX(0,MIN(Y321-Z321,$D321-(G321+K321+O321+S321+W321))),0)</f>
        <v>0</v>
      </c>
      <c r="AB321" s="69" t="n">
        <f aca="false">Y321-Z321-AA321</f>
        <v>0</v>
      </c>
      <c r="AC321" s="69" t="n">
        <f aca="false">IF(AF320&gt;0.5,AF320*(1+AC$23)+AC$24,0)</f>
        <v>0</v>
      </c>
      <c r="AD321" s="69" t="n">
        <f aca="false">MIN(AD$23,AC321)</f>
        <v>0</v>
      </c>
      <c r="AE321" s="69" t="n">
        <f aca="false">IF(AND(AD$24=1,OR(AC$25="",$C321&gt;=AC$25)),MAX(0,MIN(AC321-AD321,$D321-(G321+K321+O321+S321+W321+AA321))),0)</f>
        <v>0</v>
      </c>
      <c r="AF321" s="69" t="n">
        <f aca="false">AC321-AD321-AE321</f>
        <v>0</v>
      </c>
      <c r="AG321" s="69" t="n">
        <f aca="false">IF(AJ320&gt;0.5,AJ320*(1+AG$23)+AG$24,0)</f>
        <v>0</v>
      </c>
      <c r="AH321" s="69" t="n">
        <f aca="false">MIN(AH$23,AG321)</f>
        <v>0</v>
      </c>
      <c r="AI321" s="69" t="n">
        <f aca="false">IF(AND(AH$24=1,OR(AG$25="",$C321&gt;=AG$25)),MAX(0,MIN(AG321-AH321,$D321-(G321+K321+O321+S321+W321+AA321+AE321))),0)</f>
        <v>0</v>
      </c>
      <c r="AJ321" s="69" t="n">
        <f aca="false">AG321-AH321-AI321</f>
        <v>0</v>
      </c>
      <c r="AK321" s="69" t="n">
        <f aca="false">IF(AK320&gt;0.5,AK320*(1+$E$12)+$G$12-MIN($F$12,AK320*(1+$E$12)+$G$12),0)</f>
        <v>0</v>
      </c>
      <c r="AL321" s="69" t="n">
        <f aca="false">IF(AL320&gt;0.5,AL320*(1+$E$13)+$G$13-MIN($F$13,AL320*(1+$E$13)+$G$13),0)</f>
        <v>0</v>
      </c>
      <c r="AM321" s="69" t="n">
        <f aca="false">IF(AM320&gt;0.5,AM320*(1+$E$14)+$G$14-MIN($F$14,AM320*(1+$E$14)+$G$14),0)</f>
        <v>0</v>
      </c>
      <c r="AN321" s="69" t="n">
        <f aca="false">IF(AN320&gt;0.5,AN320*(1+$E$15)+$G$15-MIN($F$15,AN320*(1+$E$15)+$G$15),0)</f>
        <v>0</v>
      </c>
      <c r="AO321" s="69" t="n">
        <f aca="false">IF(AO320&gt;0.5,AO320*(1+$E$16)+$G$16-MIN($F$16,AO320*(1+$E$16)+$G$16),0)</f>
        <v>0</v>
      </c>
      <c r="AP321" s="69" t="n">
        <f aca="false">IF(AP320&gt;0.5,AP320*(1+$E$17)+$G$17-MIN($F$17,AP320*(1+$E$17)+$G$17),0)</f>
        <v>0</v>
      </c>
      <c r="AQ321" s="69" t="n">
        <f aca="false">IF(AQ320&gt;0.5,AQ320*(1+$E$18)+$G$18-MIN($F$18,AQ320*(1+$E$18)+$G$18),0)</f>
        <v>0</v>
      </c>
      <c r="AR321" s="69" t="n">
        <f aca="false">IF(AR320&gt;0.5,AR320*(1+$E$19)+$G$19-MIN($F$19,AR320*(1+$E$19)+$G$19),0)</f>
        <v>0</v>
      </c>
      <c r="AS321" s="69" t="n">
        <f aca="false">H321+L321+P321+T321+X321+AB321+AF321+AJ321</f>
        <v>0</v>
      </c>
      <c r="AT321" s="69" t="n">
        <f aca="false">SUM(AK321:AR321)</f>
        <v>0</v>
      </c>
      <c r="AU321" s="69" t="n">
        <f aca="false">F321+G321+J321+K321+N321+O321+R321+S321+V321+W321+Z321+AA321+AD321+AE321+AH321+AI321</f>
        <v>0</v>
      </c>
    </row>
    <row r="322" customFormat="false" ht="15" hidden="false" customHeight="false" outlineLevel="0" collapsed="false">
      <c r="B322" s="0" t="n">
        <v>295</v>
      </c>
      <c r="C322" s="68" t="n">
        <f aca="false">EDATE($C$7,294)</f>
        <v>55244</v>
      </c>
      <c r="D322" s="69" t="n">
        <f aca="false">$C$8-(F322+J322+N322+R322+V322+Z322+AD322+AH322)</f>
        <v>0</v>
      </c>
      <c r="E322" s="69" t="n">
        <f aca="false">IF(H321&gt;0.5,H321*(1+E$23)+E$24,0)</f>
        <v>0</v>
      </c>
      <c r="F322" s="69" t="n">
        <f aca="false">MIN(F$23,E322)</f>
        <v>0</v>
      </c>
      <c r="G322" s="69" t="n">
        <f aca="false">IF(AND(F$24=1,OR(E$25="",$C322&gt;=E$25)),MAX(0,MIN(E322-F322,$D322-(0))),0)</f>
        <v>0</v>
      </c>
      <c r="H322" s="69" t="n">
        <f aca="false">E322-F322-G322</f>
        <v>0</v>
      </c>
      <c r="I322" s="69" t="n">
        <f aca="false">IF(L321&gt;0.5,L321*(1+I$23)+I$24,0)</f>
        <v>0</v>
      </c>
      <c r="J322" s="69" t="n">
        <f aca="false">MIN(J$23,I322)</f>
        <v>0</v>
      </c>
      <c r="K322" s="69" t="n">
        <f aca="false">IF(AND(J$24=1,OR(I$25="",$C322&gt;=I$25)),MAX(0,MIN(I322-J322,$D322-(G322))),0)</f>
        <v>0</v>
      </c>
      <c r="L322" s="69" t="n">
        <f aca="false">I322-J322-K322</f>
        <v>0</v>
      </c>
      <c r="M322" s="69" t="n">
        <f aca="false">IF(P321&gt;0.5,P321*(1+M$23)+M$24,0)</f>
        <v>0</v>
      </c>
      <c r="N322" s="69" t="n">
        <f aca="false">MIN(N$23,M322)</f>
        <v>0</v>
      </c>
      <c r="O322" s="69" t="n">
        <f aca="false">IF(AND(N$24=1,OR(M$25="",$C322&gt;=M$25)),MAX(0,MIN(M322-N322,$D322-(G322+K322))),0)</f>
        <v>0</v>
      </c>
      <c r="P322" s="69" t="n">
        <f aca="false">M322-N322-O322</f>
        <v>0</v>
      </c>
      <c r="Q322" s="69" t="n">
        <f aca="false">IF(T321&gt;0.5,T321*(1+Q$23)+Q$24,0)</f>
        <v>0</v>
      </c>
      <c r="R322" s="69" t="n">
        <f aca="false">MIN(R$23,Q322)</f>
        <v>0</v>
      </c>
      <c r="S322" s="69" t="n">
        <f aca="false">IF(AND(R$24=1,OR(Q$25="",$C322&gt;=Q$25)),MAX(0,MIN(Q322-R322,$D322-(G322+K322+O322))),0)</f>
        <v>0</v>
      </c>
      <c r="T322" s="69" t="n">
        <f aca="false">Q322-R322-S322</f>
        <v>0</v>
      </c>
      <c r="U322" s="69" t="n">
        <f aca="false">IF(X321&gt;0.5,X321*(1+U$23)+U$24,0)</f>
        <v>0</v>
      </c>
      <c r="V322" s="69" t="n">
        <f aca="false">MIN(V$23,U322)</f>
        <v>0</v>
      </c>
      <c r="W322" s="69" t="n">
        <f aca="false">IF(AND(V$24=1,OR(U$25="",$C322&gt;=U$25)),MAX(0,MIN(U322-V322,$D322-(G322+K322+O322+S322))),0)</f>
        <v>0</v>
      </c>
      <c r="X322" s="69" t="n">
        <f aca="false">U322-V322-W322</f>
        <v>0</v>
      </c>
      <c r="Y322" s="69" t="n">
        <f aca="false">IF(AB321&gt;0.5,AB321*(1+Y$23)+Y$24,0)</f>
        <v>0</v>
      </c>
      <c r="Z322" s="69" t="n">
        <f aca="false">MIN(Z$23,Y322)</f>
        <v>0</v>
      </c>
      <c r="AA322" s="69" t="n">
        <f aca="false">IF(AND(Z$24=1,OR(Y$25="",$C322&gt;=Y$25)),MAX(0,MIN(Y322-Z322,$D322-(G322+K322+O322+S322+W322))),0)</f>
        <v>0</v>
      </c>
      <c r="AB322" s="69" t="n">
        <f aca="false">Y322-Z322-AA322</f>
        <v>0</v>
      </c>
      <c r="AC322" s="69" t="n">
        <f aca="false">IF(AF321&gt;0.5,AF321*(1+AC$23)+AC$24,0)</f>
        <v>0</v>
      </c>
      <c r="AD322" s="69" t="n">
        <f aca="false">MIN(AD$23,AC322)</f>
        <v>0</v>
      </c>
      <c r="AE322" s="69" t="n">
        <f aca="false">IF(AND(AD$24=1,OR(AC$25="",$C322&gt;=AC$25)),MAX(0,MIN(AC322-AD322,$D322-(G322+K322+O322+S322+W322+AA322))),0)</f>
        <v>0</v>
      </c>
      <c r="AF322" s="69" t="n">
        <f aca="false">AC322-AD322-AE322</f>
        <v>0</v>
      </c>
      <c r="AG322" s="69" t="n">
        <f aca="false">IF(AJ321&gt;0.5,AJ321*(1+AG$23)+AG$24,0)</f>
        <v>0</v>
      </c>
      <c r="AH322" s="69" t="n">
        <f aca="false">MIN(AH$23,AG322)</f>
        <v>0</v>
      </c>
      <c r="AI322" s="69" t="n">
        <f aca="false">IF(AND(AH$24=1,OR(AG$25="",$C322&gt;=AG$25)),MAX(0,MIN(AG322-AH322,$D322-(G322+K322+O322+S322+W322+AA322+AE322))),0)</f>
        <v>0</v>
      </c>
      <c r="AJ322" s="69" t="n">
        <f aca="false">AG322-AH322-AI322</f>
        <v>0</v>
      </c>
      <c r="AK322" s="69" t="n">
        <f aca="false">IF(AK321&gt;0.5,AK321*(1+$E$12)+$G$12-MIN($F$12,AK321*(1+$E$12)+$G$12),0)</f>
        <v>0</v>
      </c>
      <c r="AL322" s="69" t="n">
        <f aca="false">IF(AL321&gt;0.5,AL321*(1+$E$13)+$G$13-MIN($F$13,AL321*(1+$E$13)+$G$13),0)</f>
        <v>0</v>
      </c>
      <c r="AM322" s="69" t="n">
        <f aca="false">IF(AM321&gt;0.5,AM321*(1+$E$14)+$G$14-MIN($F$14,AM321*(1+$E$14)+$G$14),0)</f>
        <v>0</v>
      </c>
      <c r="AN322" s="69" t="n">
        <f aca="false">IF(AN321&gt;0.5,AN321*(1+$E$15)+$G$15-MIN($F$15,AN321*(1+$E$15)+$G$15),0)</f>
        <v>0</v>
      </c>
      <c r="AO322" s="69" t="n">
        <f aca="false">IF(AO321&gt;0.5,AO321*(1+$E$16)+$G$16-MIN($F$16,AO321*(1+$E$16)+$G$16),0)</f>
        <v>0</v>
      </c>
      <c r="AP322" s="69" t="n">
        <f aca="false">IF(AP321&gt;0.5,AP321*(1+$E$17)+$G$17-MIN($F$17,AP321*(1+$E$17)+$G$17),0)</f>
        <v>0</v>
      </c>
      <c r="AQ322" s="69" t="n">
        <f aca="false">IF(AQ321&gt;0.5,AQ321*(1+$E$18)+$G$18-MIN($F$18,AQ321*(1+$E$18)+$G$18),0)</f>
        <v>0</v>
      </c>
      <c r="AR322" s="69" t="n">
        <f aca="false">IF(AR321&gt;0.5,AR321*(1+$E$19)+$G$19-MIN($F$19,AR321*(1+$E$19)+$G$19),0)</f>
        <v>0</v>
      </c>
      <c r="AS322" s="69" t="n">
        <f aca="false">H322+L322+P322+T322+X322+AB322+AF322+AJ322</f>
        <v>0</v>
      </c>
      <c r="AT322" s="69" t="n">
        <f aca="false">SUM(AK322:AR322)</f>
        <v>0</v>
      </c>
      <c r="AU322" s="69" t="n">
        <f aca="false">F322+G322+J322+K322+N322+O322+R322+S322+V322+W322+Z322+AA322+AD322+AE322+AH322+AI322</f>
        <v>0</v>
      </c>
    </row>
    <row r="323" customFormat="false" ht="15" hidden="false" customHeight="false" outlineLevel="0" collapsed="false">
      <c r="B323" s="0" t="n">
        <v>296</v>
      </c>
      <c r="C323" s="68" t="n">
        <f aca="false">EDATE($C$7,295)</f>
        <v>55274</v>
      </c>
      <c r="D323" s="69" t="n">
        <f aca="false">$C$8-(F323+J323+N323+R323+V323+Z323+AD323+AH323)</f>
        <v>0</v>
      </c>
      <c r="E323" s="69" t="n">
        <f aca="false">IF(H322&gt;0.5,H322*(1+E$23)+E$24,0)</f>
        <v>0</v>
      </c>
      <c r="F323" s="69" t="n">
        <f aca="false">MIN(F$23,E323)</f>
        <v>0</v>
      </c>
      <c r="G323" s="69" t="n">
        <f aca="false">IF(AND(F$24=1,OR(E$25="",$C323&gt;=E$25)),MAX(0,MIN(E323-F323,$D323-(0))),0)</f>
        <v>0</v>
      </c>
      <c r="H323" s="69" t="n">
        <f aca="false">E323-F323-G323</f>
        <v>0</v>
      </c>
      <c r="I323" s="69" t="n">
        <f aca="false">IF(L322&gt;0.5,L322*(1+I$23)+I$24,0)</f>
        <v>0</v>
      </c>
      <c r="J323" s="69" t="n">
        <f aca="false">MIN(J$23,I323)</f>
        <v>0</v>
      </c>
      <c r="K323" s="69" t="n">
        <f aca="false">IF(AND(J$24=1,OR(I$25="",$C323&gt;=I$25)),MAX(0,MIN(I323-J323,$D323-(G323))),0)</f>
        <v>0</v>
      </c>
      <c r="L323" s="69" t="n">
        <f aca="false">I323-J323-K323</f>
        <v>0</v>
      </c>
      <c r="M323" s="69" t="n">
        <f aca="false">IF(P322&gt;0.5,P322*(1+M$23)+M$24,0)</f>
        <v>0</v>
      </c>
      <c r="N323" s="69" t="n">
        <f aca="false">MIN(N$23,M323)</f>
        <v>0</v>
      </c>
      <c r="O323" s="69" t="n">
        <f aca="false">IF(AND(N$24=1,OR(M$25="",$C323&gt;=M$25)),MAX(0,MIN(M323-N323,$D323-(G323+K323))),0)</f>
        <v>0</v>
      </c>
      <c r="P323" s="69" t="n">
        <f aca="false">M323-N323-O323</f>
        <v>0</v>
      </c>
      <c r="Q323" s="69" t="n">
        <f aca="false">IF(T322&gt;0.5,T322*(1+Q$23)+Q$24,0)</f>
        <v>0</v>
      </c>
      <c r="R323" s="69" t="n">
        <f aca="false">MIN(R$23,Q323)</f>
        <v>0</v>
      </c>
      <c r="S323" s="69" t="n">
        <f aca="false">IF(AND(R$24=1,OR(Q$25="",$C323&gt;=Q$25)),MAX(0,MIN(Q323-R323,$D323-(G323+K323+O323))),0)</f>
        <v>0</v>
      </c>
      <c r="T323" s="69" t="n">
        <f aca="false">Q323-R323-S323</f>
        <v>0</v>
      </c>
      <c r="U323" s="69" t="n">
        <f aca="false">IF(X322&gt;0.5,X322*(1+U$23)+U$24,0)</f>
        <v>0</v>
      </c>
      <c r="V323" s="69" t="n">
        <f aca="false">MIN(V$23,U323)</f>
        <v>0</v>
      </c>
      <c r="W323" s="69" t="n">
        <f aca="false">IF(AND(V$24=1,OR(U$25="",$C323&gt;=U$25)),MAX(0,MIN(U323-V323,$D323-(G323+K323+O323+S323))),0)</f>
        <v>0</v>
      </c>
      <c r="X323" s="69" t="n">
        <f aca="false">U323-V323-W323</f>
        <v>0</v>
      </c>
      <c r="Y323" s="69" t="n">
        <f aca="false">IF(AB322&gt;0.5,AB322*(1+Y$23)+Y$24,0)</f>
        <v>0</v>
      </c>
      <c r="Z323" s="69" t="n">
        <f aca="false">MIN(Z$23,Y323)</f>
        <v>0</v>
      </c>
      <c r="AA323" s="69" t="n">
        <f aca="false">IF(AND(Z$24=1,OR(Y$25="",$C323&gt;=Y$25)),MAX(0,MIN(Y323-Z323,$D323-(G323+K323+O323+S323+W323))),0)</f>
        <v>0</v>
      </c>
      <c r="AB323" s="69" t="n">
        <f aca="false">Y323-Z323-AA323</f>
        <v>0</v>
      </c>
      <c r="AC323" s="69" t="n">
        <f aca="false">IF(AF322&gt;0.5,AF322*(1+AC$23)+AC$24,0)</f>
        <v>0</v>
      </c>
      <c r="AD323" s="69" t="n">
        <f aca="false">MIN(AD$23,AC323)</f>
        <v>0</v>
      </c>
      <c r="AE323" s="69" t="n">
        <f aca="false">IF(AND(AD$24=1,OR(AC$25="",$C323&gt;=AC$25)),MAX(0,MIN(AC323-AD323,$D323-(G323+K323+O323+S323+W323+AA323))),0)</f>
        <v>0</v>
      </c>
      <c r="AF323" s="69" t="n">
        <f aca="false">AC323-AD323-AE323</f>
        <v>0</v>
      </c>
      <c r="AG323" s="69" t="n">
        <f aca="false">IF(AJ322&gt;0.5,AJ322*(1+AG$23)+AG$24,0)</f>
        <v>0</v>
      </c>
      <c r="AH323" s="69" t="n">
        <f aca="false">MIN(AH$23,AG323)</f>
        <v>0</v>
      </c>
      <c r="AI323" s="69" t="n">
        <f aca="false">IF(AND(AH$24=1,OR(AG$25="",$C323&gt;=AG$25)),MAX(0,MIN(AG323-AH323,$D323-(G323+K323+O323+S323+W323+AA323+AE323))),0)</f>
        <v>0</v>
      </c>
      <c r="AJ323" s="69" t="n">
        <f aca="false">AG323-AH323-AI323</f>
        <v>0</v>
      </c>
      <c r="AK323" s="69" t="n">
        <f aca="false">IF(AK322&gt;0.5,AK322*(1+$E$12)+$G$12-MIN($F$12,AK322*(1+$E$12)+$G$12),0)</f>
        <v>0</v>
      </c>
      <c r="AL323" s="69" t="n">
        <f aca="false">IF(AL322&gt;0.5,AL322*(1+$E$13)+$G$13-MIN($F$13,AL322*(1+$E$13)+$G$13),0)</f>
        <v>0</v>
      </c>
      <c r="AM323" s="69" t="n">
        <f aca="false">IF(AM322&gt;0.5,AM322*(1+$E$14)+$G$14-MIN($F$14,AM322*(1+$E$14)+$G$14),0)</f>
        <v>0</v>
      </c>
      <c r="AN323" s="69" t="n">
        <f aca="false">IF(AN322&gt;0.5,AN322*(1+$E$15)+$G$15-MIN($F$15,AN322*(1+$E$15)+$G$15),0)</f>
        <v>0</v>
      </c>
      <c r="AO323" s="69" t="n">
        <f aca="false">IF(AO322&gt;0.5,AO322*(1+$E$16)+$G$16-MIN($F$16,AO322*(1+$E$16)+$G$16),0)</f>
        <v>0</v>
      </c>
      <c r="AP323" s="69" t="n">
        <f aca="false">IF(AP322&gt;0.5,AP322*(1+$E$17)+$G$17-MIN($F$17,AP322*(1+$E$17)+$G$17),0)</f>
        <v>0</v>
      </c>
      <c r="AQ323" s="69" t="n">
        <f aca="false">IF(AQ322&gt;0.5,AQ322*(1+$E$18)+$G$18-MIN($F$18,AQ322*(1+$E$18)+$G$18),0)</f>
        <v>0</v>
      </c>
      <c r="AR323" s="69" t="n">
        <f aca="false">IF(AR322&gt;0.5,AR322*(1+$E$19)+$G$19-MIN($F$19,AR322*(1+$E$19)+$G$19),0)</f>
        <v>0</v>
      </c>
      <c r="AS323" s="69" t="n">
        <f aca="false">H323+L323+P323+T323+X323+AB323+AF323+AJ323</f>
        <v>0</v>
      </c>
      <c r="AT323" s="69" t="n">
        <f aca="false">SUM(AK323:AR323)</f>
        <v>0</v>
      </c>
      <c r="AU323" s="69" t="n">
        <f aca="false">F323+G323+J323+K323+N323+O323+R323+S323+V323+W323+Z323+AA323+AD323+AE323+AH323+AI323</f>
        <v>0</v>
      </c>
    </row>
    <row r="324" customFormat="false" ht="15" hidden="false" customHeight="false" outlineLevel="0" collapsed="false">
      <c r="B324" s="0" t="n">
        <v>297</v>
      </c>
      <c r="C324" s="68" t="n">
        <f aca="false">EDATE($C$7,296)</f>
        <v>55305</v>
      </c>
      <c r="D324" s="69" t="n">
        <f aca="false">$C$8-(F324+J324+N324+R324+V324+Z324+AD324+AH324)</f>
        <v>0</v>
      </c>
      <c r="E324" s="69" t="n">
        <f aca="false">IF(H323&gt;0.5,H323*(1+E$23)+E$24,0)</f>
        <v>0</v>
      </c>
      <c r="F324" s="69" t="n">
        <f aca="false">MIN(F$23,E324)</f>
        <v>0</v>
      </c>
      <c r="G324" s="69" t="n">
        <f aca="false">IF(AND(F$24=1,OR(E$25="",$C324&gt;=E$25)),MAX(0,MIN(E324-F324,$D324-(0))),0)</f>
        <v>0</v>
      </c>
      <c r="H324" s="69" t="n">
        <f aca="false">E324-F324-G324</f>
        <v>0</v>
      </c>
      <c r="I324" s="69" t="n">
        <f aca="false">IF(L323&gt;0.5,L323*(1+I$23)+I$24,0)</f>
        <v>0</v>
      </c>
      <c r="J324" s="69" t="n">
        <f aca="false">MIN(J$23,I324)</f>
        <v>0</v>
      </c>
      <c r="K324" s="69" t="n">
        <f aca="false">IF(AND(J$24=1,OR(I$25="",$C324&gt;=I$25)),MAX(0,MIN(I324-J324,$D324-(G324))),0)</f>
        <v>0</v>
      </c>
      <c r="L324" s="69" t="n">
        <f aca="false">I324-J324-K324</f>
        <v>0</v>
      </c>
      <c r="M324" s="69" t="n">
        <f aca="false">IF(P323&gt;0.5,P323*(1+M$23)+M$24,0)</f>
        <v>0</v>
      </c>
      <c r="N324" s="69" t="n">
        <f aca="false">MIN(N$23,M324)</f>
        <v>0</v>
      </c>
      <c r="O324" s="69" t="n">
        <f aca="false">IF(AND(N$24=1,OR(M$25="",$C324&gt;=M$25)),MAX(0,MIN(M324-N324,$D324-(G324+K324))),0)</f>
        <v>0</v>
      </c>
      <c r="P324" s="69" t="n">
        <f aca="false">M324-N324-O324</f>
        <v>0</v>
      </c>
      <c r="Q324" s="69" t="n">
        <f aca="false">IF(T323&gt;0.5,T323*(1+Q$23)+Q$24,0)</f>
        <v>0</v>
      </c>
      <c r="R324" s="69" t="n">
        <f aca="false">MIN(R$23,Q324)</f>
        <v>0</v>
      </c>
      <c r="S324" s="69" t="n">
        <f aca="false">IF(AND(R$24=1,OR(Q$25="",$C324&gt;=Q$25)),MAX(0,MIN(Q324-R324,$D324-(G324+K324+O324))),0)</f>
        <v>0</v>
      </c>
      <c r="T324" s="69" t="n">
        <f aca="false">Q324-R324-S324</f>
        <v>0</v>
      </c>
      <c r="U324" s="69" t="n">
        <f aca="false">IF(X323&gt;0.5,X323*(1+U$23)+U$24,0)</f>
        <v>0</v>
      </c>
      <c r="V324" s="69" t="n">
        <f aca="false">MIN(V$23,U324)</f>
        <v>0</v>
      </c>
      <c r="W324" s="69" t="n">
        <f aca="false">IF(AND(V$24=1,OR(U$25="",$C324&gt;=U$25)),MAX(0,MIN(U324-V324,$D324-(G324+K324+O324+S324))),0)</f>
        <v>0</v>
      </c>
      <c r="X324" s="69" t="n">
        <f aca="false">U324-V324-W324</f>
        <v>0</v>
      </c>
      <c r="Y324" s="69" t="n">
        <f aca="false">IF(AB323&gt;0.5,AB323*(1+Y$23)+Y$24,0)</f>
        <v>0</v>
      </c>
      <c r="Z324" s="69" t="n">
        <f aca="false">MIN(Z$23,Y324)</f>
        <v>0</v>
      </c>
      <c r="AA324" s="69" t="n">
        <f aca="false">IF(AND(Z$24=1,OR(Y$25="",$C324&gt;=Y$25)),MAX(0,MIN(Y324-Z324,$D324-(G324+K324+O324+S324+W324))),0)</f>
        <v>0</v>
      </c>
      <c r="AB324" s="69" t="n">
        <f aca="false">Y324-Z324-AA324</f>
        <v>0</v>
      </c>
      <c r="AC324" s="69" t="n">
        <f aca="false">IF(AF323&gt;0.5,AF323*(1+AC$23)+AC$24,0)</f>
        <v>0</v>
      </c>
      <c r="AD324" s="69" t="n">
        <f aca="false">MIN(AD$23,AC324)</f>
        <v>0</v>
      </c>
      <c r="AE324" s="69" t="n">
        <f aca="false">IF(AND(AD$24=1,OR(AC$25="",$C324&gt;=AC$25)),MAX(0,MIN(AC324-AD324,$D324-(G324+K324+O324+S324+W324+AA324))),0)</f>
        <v>0</v>
      </c>
      <c r="AF324" s="69" t="n">
        <f aca="false">AC324-AD324-AE324</f>
        <v>0</v>
      </c>
      <c r="AG324" s="69" t="n">
        <f aca="false">IF(AJ323&gt;0.5,AJ323*(1+AG$23)+AG$24,0)</f>
        <v>0</v>
      </c>
      <c r="AH324" s="69" t="n">
        <f aca="false">MIN(AH$23,AG324)</f>
        <v>0</v>
      </c>
      <c r="AI324" s="69" t="n">
        <f aca="false">IF(AND(AH$24=1,OR(AG$25="",$C324&gt;=AG$25)),MAX(0,MIN(AG324-AH324,$D324-(G324+K324+O324+S324+W324+AA324+AE324))),0)</f>
        <v>0</v>
      </c>
      <c r="AJ324" s="69" t="n">
        <f aca="false">AG324-AH324-AI324</f>
        <v>0</v>
      </c>
      <c r="AK324" s="69" t="n">
        <f aca="false">IF(AK323&gt;0.5,AK323*(1+$E$12)+$G$12-MIN($F$12,AK323*(1+$E$12)+$G$12),0)</f>
        <v>0</v>
      </c>
      <c r="AL324" s="69" t="n">
        <f aca="false">IF(AL323&gt;0.5,AL323*(1+$E$13)+$G$13-MIN($F$13,AL323*(1+$E$13)+$G$13),0)</f>
        <v>0</v>
      </c>
      <c r="AM324" s="69" t="n">
        <f aca="false">IF(AM323&gt;0.5,AM323*(1+$E$14)+$G$14-MIN($F$14,AM323*(1+$E$14)+$G$14),0)</f>
        <v>0</v>
      </c>
      <c r="AN324" s="69" t="n">
        <f aca="false">IF(AN323&gt;0.5,AN323*(1+$E$15)+$G$15-MIN($F$15,AN323*(1+$E$15)+$G$15),0)</f>
        <v>0</v>
      </c>
      <c r="AO324" s="69" t="n">
        <f aca="false">IF(AO323&gt;0.5,AO323*(1+$E$16)+$G$16-MIN($F$16,AO323*(1+$E$16)+$G$16),0)</f>
        <v>0</v>
      </c>
      <c r="AP324" s="69" t="n">
        <f aca="false">IF(AP323&gt;0.5,AP323*(1+$E$17)+$G$17-MIN($F$17,AP323*(1+$E$17)+$G$17),0)</f>
        <v>0</v>
      </c>
      <c r="AQ324" s="69" t="n">
        <f aca="false">IF(AQ323&gt;0.5,AQ323*(1+$E$18)+$G$18-MIN($F$18,AQ323*(1+$E$18)+$G$18),0)</f>
        <v>0</v>
      </c>
      <c r="AR324" s="69" t="n">
        <f aca="false">IF(AR323&gt;0.5,AR323*(1+$E$19)+$G$19-MIN($F$19,AR323*(1+$E$19)+$G$19),0)</f>
        <v>0</v>
      </c>
      <c r="AS324" s="69" t="n">
        <f aca="false">H324+L324+P324+T324+X324+AB324+AF324+AJ324</f>
        <v>0</v>
      </c>
      <c r="AT324" s="69" t="n">
        <f aca="false">SUM(AK324:AR324)</f>
        <v>0</v>
      </c>
      <c r="AU324" s="69" t="n">
        <f aca="false">F324+G324+J324+K324+N324+O324+R324+S324+V324+W324+Z324+AA324+AD324+AE324+AH324+AI324</f>
        <v>0</v>
      </c>
    </row>
    <row r="325" customFormat="false" ht="15" hidden="false" customHeight="false" outlineLevel="0" collapsed="false">
      <c r="B325" s="0" t="n">
        <v>298</v>
      </c>
      <c r="C325" s="68" t="n">
        <f aca="false">EDATE($C$7,297)</f>
        <v>55335</v>
      </c>
      <c r="D325" s="69" t="n">
        <f aca="false">$C$8-(F325+J325+N325+R325+V325+Z325+AD325+AH325)</f>
        <v>0</v>
      </c>
      <c r="E325" s="69" t="n">
        <f aca="false">IF(H324&gt;0.5,H324*(1+E$23)+E$24,0)</f>
        <v>0</v>
      </c>
      <c r="F325" s="69" t="n">
        <f aca="false">MIN(F$23,E325)</f>
        <v>0</v>
      </c>
      <c r="G325" s="69" t="n">
        <f aca="false">IF(AND(F$24=1,OR(E$25="",$C325&gt;=E$25)),MAX(0,MIN(E325-F325,$D325-(0))),0)</f>
        <v>0</v>
      </c>
      <c r="H325" s="69" t="n">
        <f aca="false">E325-F325-G325</f>
        <v>0</v>
      </c>
      <c r="I325" s="69" t="n">
        <f aca="false">IF(L324&gt;0.5,L324*(1+I$23)+I$24,0)</f>
        <v>0</v>
      </c>
      <c r="J325" s="69" t="n">
        <f aca="false">MIN(J$23,I325)</f>
        <v>0</v>
      </c>
      <c r="K325" s="69" t="n">
        <f aca="false">IF(AND(J$24=1,OR(I$25="",$C325&gt;=I$25)),MAX(0,MIN(I325-J325,$D325-(G325))),0)</f>
        <v>0</v>
      </c>
      <c r="L325" s="69" t="n">
        <f aca="false">I325-J325-K325</f>
        <v>0</v>
      </c>
      <c r="M325" s="69" t="n">
        <f aca="false">IF(P324&gt;0.5,P324*(1+M$23)+M$24,0)</f>
        <v>0</v>
      </c>
      <c r="N325" s="69" t="n">
        <f aca="false">MIN(N$23,M325)</f>
        <v>0</v>
      </c>
      <c r="O325" s="69" t="n">
        <f aca="false">IF(AND(N$24=1,OR(M$25="",$C325&gt;=M$25)),MAX(0,MIN(M325-N325,$D325-(G325+K325))),0)</f>
        <v>0</v>
      </c>
      <c r="P325" s="69" t="n">
        <f aca="false">M325-N325-O325</f>
        <v>0</v>
      </c>
      <c r="Q325" s="69" t="n">
        <f aca="false">IF(T324&gt;0.5,T324*(1+Q$23)+Q$24,0)</f>
        <v>0</v>
      </c>
      <c r="R325" s="69" t="n">
        <f aca="false">MIN(R$23,Q325)</f>
        <v>0</v>
      </c>
      <c r="S325" s="69" t="n">
        <f aca="false">IF(AND(R$24=1,OR(Q$25="",$C325&gt;=Q$25)),MAX(0,MIN(Q325-R325,$D325-(G325+K325+O325))),0)</f>
        <v>0</v>
      </c>
      <c r="T325" s="69" t="n">
        <f aca="false">Q325-R325-S325</f>
        <v>0</v>
      </c>
      <c r="U325" s="69" t="n">
        <f aca="false">IF(X324&gt;0.5,X324*(1+U$23)+U$24,0)</f>
        <v>0</v>
      </c>
      <c r="V325" s="69" t="n">
        <f aca="false">MIN(V$23,U325)</f>
        <v>0</v>
      </c>
      <c r="W325" s="69" t="n">
        <f aca="false">IF(AND(V$24=1,OR(U$25="",$C325&gt;=U$25)),MAX(0,MIN(U325-V325,$D325-(G325+K325+O325+S325))),0)</f>
        <v>0</v>
      </c>
      <c r="X325" s="69" t="n">
        <f aca="false">U325-V325-W325</f>
        <v>0</v>
      </c>
      <c r="Y325" s="69" t="n">
        <f aca="false">IF(AB324&gt;0.5,AB324*(1+Y$23)+Y$24,0)</f>
        <v>0</v>
      </c>
      <c r="Z325" s="69" t="n">
        <f aca="false">MIN(Z$23,Y325)</f>
        <v>0</v>
      </c>
      <c r="AA325" s="69" t="n">
        <f aca="false">IF(AND(Z$24=1,OR(Y$25="",$C325&gt;=Y$25)),MAX(0,MIN(Y325-Z325,$D325-(G325+K325+O325+S325+W325))),0)</f>
        <v>0</v>
      </c>
      <c r="AB325" s="69" t="n">
        <f aca="false">Y325-Z325-AA325</f>
        <v>0</v>
      </c>
      <c r="AC325" s="69" t="n">
        <f aca="false">IF(AF324&gt;0.5,AF324*(1+AC$23)+AC$24,0)</f>
        <v>0</v>
      </c>
      <c r="AD325" s="69" t="n">
        <f aca="false">MIN(AD$23,AC325)</f>
        <v>0</v>
      </c>
      <c r="AE325" s="69" t="n">
        <f aca="false">IF(AND(AD$24=1,OR(AC$25="",$C325&gt;=AC$25)),MAX(0,MIN(AC325-AD325,$D325-(G325+K325+O325+S325+W325+AA325))),0)</f>
        <v>0</v>
      </c>
      <c r="AF325" s="69" t="n">
        <f aca="false">AC325-AD325-AE325</f>
        <v>0</v>
      </c>
      <c r="AG325" s="69" t="n">
        <f aca="false">IF(AJ324&gt;0.5,AJ324*(1+AG$23)+AG$24,0)</f>
        <v>0</v>
      </c>
      <c r="AH325" s="69" t="n">
        <f aca="false">MIN(AH$23,AG325)</f>
        <v>0</v>
      </c>
      <c r="AI325" s="69" t="n">
        <f aca="false">IF(AND(AH$24=1,OR(AG$25="",$C325&gt;=AG$25)),MAX(0,MIN(AG325-AH325,$D325-(G325+K325+O325+S325+W325+AA325+AE325))),0)</f>
        <v>0</v>
      </c>
      <c r="AJ325" s="69" t="n">
        <f aca="false">AG325-AH325-AI325</f>
        <v>0</v>
      </c>
      <c r="AK325" s="69" t="n">
        <f aca="false">IF(AK324&gt;0.5,AK324*(1+$E$12)+$G$12-MIN($F$12,AK324*(1+$E$12)+$G$12),0)</f>
        <v>0</v>
      </c>
      <c r="AL325" s="69" t="n">
        <f aca="false">IF(AL324&gt;0.5,AL324*(1+$E$13)+$G$13-MIN($F$13,AL324*(1+$E$13)+$G$13),0)</f>
        <v>0</v>
      </c>
      <c r="AM325" s="69" t="n">
        <f aca="false">IF(AM324&gt;0.5,AM324*(1+$E$14)+$G$14-MIN($F$14,AM324*(1+$E$14)+$G$14),0)</f>
        <v>0</v>
      </c>
      <c r="AN325" s="69" t="n">
        <f aca="false">IF(AN324&gt;0.5,AN324*(1+$E$15)+$G$15-MIN($F$15,AN324*(1+$E$15)+$G$15),0)</f>
        <v>0</v>
      </c>
      <c r="AO325" s="69" t="n">
        <f aca="false">IF(AO324&gt;0.5,AO324*(1+$E$16)+$G$16-MIN($F$16,AO324*(1+$E$16)+$G$16),0)</f>
        <v>0</v>
      </c>
      <c r="AP325" s="69" t="n">
        <f aca="false">IF(AP324&gt;0.5,AP324*(1+$E$17)+$G$17-MIN($F$17,AP324*(1+$E$17)+$G$17),0)</f>
        <v>0</v>
      </c>
      <c r="AQ325" s="69" t="n">
        <f aca="false">IF(AQ324&gt;0.5,AQ324*(1+$E$18)+$G$18-MIN($F$18,AQ324*(1+$E$18)+$G$18),0)</f>
        <v>0</v>
      </c>
      <c r="AR325" s="69" t="n">
        <f aca="false">IF(AR324&gt;0.5,AR324*(1+$E$19)+$G$19-MIN($F$19,AR324*(1+$E$19)+$G$19),0)</f>
        <v>0</v>
      </c>
      <c r="AS325" s="69" t="n">
        <f aca="false">H325+L325+P325+T325+X325+AB325+AF325+AJ325</f>
        <v>0</v>
      </c>
      <c r="AT325" s="69" t="n">
        <f aca="false">SUM(AK325:AR325)</f>
        <v>0</v>
      </c>
      <c r="AU325" s="69" t="n">
        <f aca="false">F325+G325+J325+K325+N325+O325+R325+S325+V325+W325+Z325+AA325+AD325+AE325+AH325+AI325</f>
        <v>0</v>
      </c>
    </row>
    <row r="326" customFormat="false" ht="15" hidden="false" customHeight="false" outlineLevel="0" collapsed="false">
      <c r="B326" s="0" t="n">
        <v>299</v>
      </c>
      <c r="C326" s="68" t="n">
        <f aca="false">EDATE($C$7,298)</f>
        <v>55366</v>
      </c>
      <c r="D326" s="69" t="n">
        <f aca="false">$C$8-(F326+J326+N326+R326+V326+Z326+AD326+AH326)</f>
        <v>0</v>
      </c>
      <c r="E326" s="69" t="n">
        <f aca="false">IF(H325&gt;0.5,H325*(1+E$23)+E$24,0)</f>
        <v>0</v>
      </c>
      <c r="F326" s="69" t="n">
        <f aca="false">MIN(F$23,E326)</f>
        <v>0</v>
      </c>
      <c r="G326" s="69" t="n">
        <f aca="false">IF(AND(F$24=1,OR(E$25="",$C326&gt;=E$25)),MAX(0,MIN(E326-F326,$D326-(0))),0)</f>
        <v>0</v>
      </c>
      <c r="H326" s="69" t="n">
        <f aca="false">E326-F326-G326</f>
        <v>0</v>
      </c>
      <c r="I326" s="69" t="n">
        <f aca="false">IF(L325&gt;0.5,L325*(1+I$23)+I$24,0)</f>
        <v>0</v>
      </c>
      <c r="J326" s="69" t="n">
        <f aca="false">MIN(J$23,I326)</f>
        <v>0</v>
      </c>
      <c r="K326" s="69" t="n">
        <f aca="false">IF(AND(J$24=1,OR(I$25="",$C326&gt;=I$25)),MAX(0,MIN(I326-J326,$D326-(G326))),0)</f>
        <v>0</v>
      </c>
      <c r="L326" s="69" t="n">
        <f aca="false">I326-J326-K326</f>
        <v>0</v>
      </c>
      <c r="M326" s="69" t="n">
        <f aca="false">IF(P325&gt;0.5,P325*(1+M$23)+M$24,0)</f>
        <v>0</v>
      </c>
      <c r="N326" s="69" t="n">
        <f aca="false">MIN(N$23,M326)</f>
        <v>0</v>
      </c>
      <c r="O326" s="69" t="n">
        <f aca="false">IF(AND(N$24=1,OR(M$25="",$C326&gt;=M$25)),MAX(0,MIN(M326-N326,$D326-(G326+K326))),0)</f>
        <v>0</v>
      </c>
      <c r="P326" s="69" t="n">
        <f aca="false">M326-N326-O326</f>
        <v>0</v>
      </c>
      <c r="Q326" s="69" t="n">
        <f aca="false">IF(T325&gt;0.5,T325*(1+Q$23)+Q$24,0)</f>
        <v>0</v>
      </c>
      <c r="R326" s="69" t="n">
        <f aca="false">MIN(R$23,Q326)</f>
        <v>0</v>
      </c>
      <c r="S326" s="69" t="n">
        <f aca="false">IF(AND(R$24=1,OR(Q$25="",$C326&gt;=Q$25)),MAX(0,MIN(Q326-R326,$D326-(G326+K326+O326))),0)</f>
        <v>0</v>
      </c>
      <c r="T326" s="69" t="n">
        <f aca="false">Q326-R326-S326</f>
        <v>0</v>
      </c>
      <c r="U326" s="69" t="n">
        <f aca="false">IF(X325&gt;0.5,X325*(1+U$23)+U$24,0)</f>
        <v>0</v>
      </c>
      <c r="V326" s="69" t="n">
        <f aca="false">MIN(V$23,U326)</f>
        <v>0</v>
      </c>
      <c r="W326" s="69" t="n">
        <f aca="false">IF(AND(V$24=1,OR(U$25="",$C326&gt;=U$25)),MAX(0,MIN(U326-V326,$D326-(G326+K326+O326+S326))),0)</f>
        <v>0</v>
      </c>
      <c r="X326" s="69" t="n">
        <f aca="false">U326-V326-W326</f>
        <v>0</v>
      </c>
      <c r="Y326" s="69" t="n">
        <f aca="false">IF(AB325&gt;0.5,AB325*(1+Y$23)+Y$24,0)</f>
        <v>0</v>
      </c>
      <c r="Z326" s="69" t="n">
        <f aca="false">MIN(Z$23,Y326)</f>
        <v>0</v>
      </c>
      <c r="AA326" s="69" t="n">
        <f aca="false">IF(AND(Z$24=1,OR(Y$25="",$C326&gt;=Y$25)),MAX(0,MIN(Y326-Z326,$D326-(G326+K326+O326+S326+W326))),0)</f>
        <v>0</v>
      </c>
      <c r="AB326" s="69" t="n">
        <f aca="false">Y326-Z326-AA326</f>
        <v>0</v>
      </c>
      <c r="AC326" s="69" t="n">
        <f aca="false">IF(AF325&gt;0.5,AF325*(1+AC$23)+AC$24,0)</f>
        <v>0</v>
      </c>
      <c r="AD326" s="69" t="n">
        <f aca="false">MIN(AD$23,AC326)</f>
        <v>0</v>
      </c>
      <c r="AE326" s="69" t="n">
        <f aca="false">IF(AND(AD$24=1,OR(AC$25="",$C326&gt;=AC$25)),MAX(0,MIN(AC326-AD326,$D326-(G326+K326+O326+S326+W326+AA326))),0)</f>
        <v>0</v>
      </c>
      <c r="AF326" s="69" t="n">
        <f aca="false">AC326-AD326-AE326</f>
        <v>0</v>
      </c>
      <c r="AG326" s="69" t="n">
        <f aca="false">IF(AJ325&gt;0.5,AJ325*(1+AG$23)+AG$24,0)</f>
        <v>0</v>
      </c>
      <c r="AH326" s="69" t="n">
        <f aca="false">MIN(AH$23,AG326)</f>
        <v>0</v>
      </c>
      <c r="AI326" s="69" t="n">
        <f aca="false">IF(AND(AH$24=1,OR(AG$25="",$C326&gt;=AG$25)),MAX(0,MIN(AG326-AH326,$D326-(G326+K326+O326+S326+W326+AA326+AE326))),0)</f>
        <v>0</v>
      </c>
      <c r="AJ326" s="69" t="n">
        <f aca="false">AG326-AH326-AI326</f>
        <v>0</v>
      </c>
      <c r="AK326" s="69" t="n">
        <f aca="false">IF(AK325&gt;0.5,AK325*(1+$E$12)+$G$12-MIN($F$12,AK325*(1+$E$12)+$G$12),0)</f>
        <v>0</v>
      </c>
      <c r="AL326" s="69" t="n">
        <f aca="false">IF(AL325&gt;0.5,AL325*(1+$E$13)+$G$13-MIN($F$13,AL325*(1+$E$13)+$G$13),0)</f>
        <v>0</v>
      </c>
      <c r="AM326" s="69" t="n">
        <f aca="false">IF(AM325&gt;0.5,AM325*(1+$E$14)+$G$14-MIN($F$14,AM325*(1+$E$14)+$G$14),0)</f>
        <v>0</v>
      </c>
      <c r="AN326" s="69" t="n">
        <f aca="false">IF(AN325&gt;0.5,AN325*(1+$E$15)+$G$15-MIN($F$15,AN325*(1+$E$15)+$G$15),0)</f>
        <v>0</v>
      </c>
      <c r="AO326" s="69" t="n">
        <f aca="false">IF(AO325&gt;0.5,AO325*(1+$E$16)+$G$16-MIN($F$16,AO325*(1+$E$16)+$G$16),0)</f>
        <v>0</v>
      </c>
      <c r="AP326" s="69" t="n">
        <f aca="false">IF(AP325&gt;0.5,AP325*(1+$E$17)+$G$17-MIN($F$17,AP325*(1+$E$17)+$G$17),0)</f>
        <v>0</v>
      </c>
      <c r="AQ326" s="69" t="n">
        <f aca="false">IF(AQ325&gt;0.5,AQ325*(1+$E$18)+$G$18-MIN($F$18,AQ325*(1+$E$18)+$G$18),0)</f>
        <v>0</v>
      </c>
      <c r="AR326" s="69" t="n">
        <f aca="false">IF(AR325&gt;0.5,AR325*(1+$E$19)+$G$19-MIN($F$19,AR325*(1+$E$19)+$G$19),0)</f>
        <v>0</v>
      </c>
      <c r="AS326" s="69" t="n">
        <f aca="false">H326+L326+P326+T326+X326+AB326+AF326+AJ326</f>
        <v>0</v>
      </c>
      <c r="AT326" s="69" t="n">
        <f aca="false">SUM(AK326:AR326)</f>
        <v>0</v>
      </c>
      <c r="AU326" s="69" t="n">
        <f aca="false">F326+G326+J326+K326+N326+O326+R326+S326+V326+W326+Z326+AA326+AD326+AE326+AH326+AI326</f>
        <v>0</v>
      </c>
    </row>
    <row r="327" customFormat="false" ht="15" hidden="false" customHeight="false" outlineLevel="0" collapsed="false">
      <c r="B327" s="0" t="n">
        <v>300</v>
      </c>
      <c r="C327" s="68" t="n">
        <f aca="false">EDATE($C$7,299)</f>
        <v>55397</v>
      </c>
      <c r="D327" s="69" t="n">
        <f aca="false">$C$8-(F327+J327+N327+R327+V327+Z327+AD327+AH327)</f>
        <v>0</v>
      </c>
      <c r="E327" s="69" t="n">
        <f aca="false">IF(H326&gt;0.5,H326*(1+E$23)+E$24,0)</f>
        <v>0</v>
      </c>
      <c r="F327" s="69" t="n">
        <f aca="false">MIN(F$23,E327)</f>
        <v>0</v>
      </c>
      <c r="G327" s="69" t="n">
        <f aca="false">IF(AND(F$24=1,OR(E$25="",$C327&gt;=E$25)),MAX(0,MIN(E327-F327,$D327-(0))),0)</f>
        <v>0</v>
      </c>
      <c r="H327" s="69" t="n">
        <f aca="false">E327-F327-G327</f>
        <v>0</v>
      </c>
      <c r="I327" s="69" t="n">
        <f aca="false">IF(L326&gt;0.5,L326*(1+I$23)+I$24,0)</f>
        <v>0</v>
      </c>
      <c r="J327" s="69" t="n">
        <f aca="false">MIN(J$23,I327)</f>
        <v>0</v>
      </c>
      <c r="K327" s="69" t="n">
        <f aca="false">IF(AND(J$24=1,OR(I$25="",$C327&gt;=I$25)),MAX(0,MIN(I327-J327,$D327-(G327))),0)</f>
        <v>0</v>
      </c>
      <c r="L327" s="69" t="n">
        <f aca="false">I327-J327-K327</f>
        <v>0</v>
      </c>
      <c r="M327" s="69" t="n">
        <f aca="false">IF(P326&gt;0.5,P326*(1+M$23)+M$24,0)</f>
        <v>0</v>
      </c>
      <c r="N327" s="69" t="n">
        <f aca="false">MIN(N$23,M327)</f>
        <v>0</v>
      </c>
      <c r="O327" s="69" t="n">
        <f aca="false">IF(AND(N$24=1,OR(M$25="",$C327&gt;=M$25)),MAX(0,MIN(M327-N327,$D327-(G327+K327))),0)</f>
        <v>0</v>
      </c>
      <c r="P327" s="69" t="n">
        <f aca="false">M327-N327-O327</f>
        <v>0</v>
      </c>
      <c r="Q327" s="69" t="n">
        <f aca="false">IF(T326&gt;0.5,T326*(1+Q$23)+Q$24,0)</f>
        <v>0</v>
      </c>
      <c r="R327" s="69" t="n">
        <f aca="false">MIN(R$23,Q327)</f>
        <v>0</v>
      </c>
      <c r="S327" s="69" t="n">
        <f aca="false">IF(AND(R$24=1,OR(Q$25="",$C327&gt;=Q$25)),MAX(0,MIN(Q327-R327,$D327-(G327+K327+O327))),0)</f>
        <v>0</v>
      </c>
      <c r="T327" s="69" t="n">
        <f aca="false">Q327-R327-S327</f>
        <v>0</v>
      </c>
      <c r="U327" s="69" t="n">
        <f aca="false">IF(X326&gt;0.5,X326*(1+U$23)+U$24,0)</f>
        <v>0</v>
      </c>
      <c r="V327" s="69" t="n">
        <f aca="false">MIN(V$23,U327)</f>
        <v>0</v>
      </c>
      <c r="W327" s="69" t="n">
        <f aca="false">IF(AND(V$24=1,OR(U$25="",$C327&gt;=U$25)),MAX(0,MIN(U327-V327,$D327-(G327+K327+O327+S327))),0)</f>
        <v>0</v>
      </c>
      <c r="X327" s="69" t="n">
        <f aca="false">U327-V327-W327</f>
        <v>0</v>
      </c>
      <c r="Y327" s="69" t="n">
        <f aca="false">IF(AB326&gt;0.5,AB326*(1+Y$23)+Y$24,0)</f>
        <v>0</v>
      </c>
      <c r="Z327" s="69" t="n">
        <f aca="false">MIN(Z$23,Y327)</f>
        <v>0</v>
      </c>
      <c r="AA327" s="69" t="n">
        <f aca="false">IF(AND(Z$24=1,OR(Y$25="",$C327&gt;=Y$25)),MAX(0,MIN(Y327-Z327,$D327-(G327+K327+O327+S327+W327))),0)</f>
        <v>0</v>
      </c>
      <c r="AB327" s="69" t="n">
        <f aca="false">Y327-Z327-AA327</f>
        <v>0</v>
      </c>
      <c r="AC327" s="69" t="n">
        <f aca="false">IF(AF326&gt;0.5,AF326*(1+AC$23)+AC$24,0)</f>
        <v>0</v>
      </c>
      <c r="AD327" s="69" t="n">
        <f aca="false">MIN(AD$23,AC327)</f>
        <v>0</v>
      </c>
      <c r="AE327" s="69" t="n">
        <f aca="false">IF(AND(AD$24=1,OR(AC$25="",$C327&gt;=AC$25)),MAX(0,MIN(AC327-AD327,$D327-(G327+K327+O327+S327+W327+AA327))),0)</f>
        <v>0</v>
      </c>
      <c r="AF327" s="69" t="n">
        <f aca="false">AC327-AD327-AE327</f>
        <v>0</v>
      </c>
      <c r="AG327" s="69" t="n">
        <f aca="false">IF(AJ326&gt;0.5,AJ326*(1+AG$23)+AG$24,0)</f>
        <v>0</v>
      </c>
      <c r="AH327" s="69" t="n">
        <f aca="false">MIN(AH$23,AG327)</f>
        <v>0</v>
      </c>
      <c r="AI327" s="69" t="n">
        <f aca="false">IF(AND(AH$24=1,OR(AG$25="",$C327&gt;=AG$25)),MAX(0,MIN(AG327-AH327,$D327-(G327+K327+O327+S327+W327+AA327+AE327))),0)</f>
        <v>0</v>
      </c>
      <c r="AJ327" s="69" t="n">
        <f aca="false">AG327-AH327-AI327</f>
        <v>0</v>
      </c>
      <c r="AK327" s="69" t="n">
        <f aca="false">IF(AK326&gt;0.5,AK326*(1+$E$12)+$G$12-MIN($F$12,AK326*(1+$E$12)+$G$12),0)</f>
        <v>0</v>
      </c>
      <c r="AL327" s="69" t="n">
        <f aca="false">IF(AL326&gt;0.5,AL326*(1+$E$13)+$G$13-MIN($F$13,AL326*(1+$E$13)+$G$13),0)</f>
        <v>0</v>
      </c>
      <c r="AM327" s="69" t="n">
        <f aca="false">IF(AM326&gt;0.5,AM326*(1+$E$14)+$G$14-MIN($F$14,AM326*(1+$E$14)+$G$14),0)</f>
        <v>0</v>
      </c>
      <c r="AN327" s="69" t="n">
        <f aca="false">IF(AN326&gt;0.5,AN326*(1+$E$15)+$G$15-MIN($F$15,AN326*(1+$E$15)+$G$15),0)</f>
        <v>0</v>
      </c>
      <c r="AO327" s="69" t="n">
        <f aca="false">IF(AO326&gt;0.5,AO326*(1+$E$16)+$G$16-MIN($F$16,AO326*(1+$E$16)+$G$16),0)</f>
        <v>0</v>
      </c>
      <c r="AP327" s="69" t="n">
        <f aca="false">IF(AP326&gt;0.5,AP326*(1+$E$17)+$G$17-MIN($F$17,AP326*(1+$E$17)+$G$17),0)</f>
        <v>0</v>
      </c>
      <c r="AQ327" s="69" t="n">
        <f aca="false">IF(AQ326&gt;0.5,AQ326*(1+$E$18)+$G$18-MIN($F$18,AQ326*(1+$E$18)+$G$18),0)</f>
        <v>0</v>
      </c>
      <c r="AR327" s="69" t="n">
        <f aca="false">IF(AR326&gt;0.5,AR326*(1+$E$19)+$G$19-MIN($F$19,AR326*(1+$E$19)+$G$19),0)</f>
        <v>0</v>
      </c>
      <c r="AS327" s="69" t="n">
        <f aca="false">H327+L327+P327+T327+X327+AB327+AF327+AJ327</f>
        <v>0</v>
      </c>
      <c r="AT327" s="69" t="n">
        <f aca="false">SUM(AK327:AR327)</f>
        <v>0</v>
      </c>
      <c r="AU327" s="69" t="n">
        <f aca="false">F327+G327+J327+K327+N327+O327+R327+S327+V327+W327+Z327+AA327+AD327+AE327+AH327+AI327</f>
        <v>0</v>
      </c>
    </row>
    <row r="328" customFormat="false" ht="15" hidden="false" customHeight="false" outlineLevel="0" collapsed="false">
      <c r="B328" s="0" t="n">
        <v>301</v>
      </c>
      <c r="C328" s="68" t="n">
        <f aca="false">EDATE($C$7,300)</f>
        <v>55427</v>
      </c>
      <c r="D328" s="69" t="n">
        <f aca="false">$C$8-(F328+J328+N328+R328+V328+Z328+AD328+AH328)</f>
        <v>0</v>
      </c>
      <c r="E328" s="69" t="n">
        <f aca="false">IF(H327&gt;0.5,H327*(1+E$23)+E$24,0)</f>
        <v>0</v>
      </c>
      <c r="F328" s="69" t="n">
        <f aca="false">MIN(F$23,E328)</f>
        <v>0</v>
      </c>
      <c r="G328" s="69" t="n">
        <f aca="false">IF(AND(F$24=1,OR(E$25="",$C328&gt;=E$25)),MAX(0,MIN(E328-F328,$D328-(0))),0)</f>
        <v>0</v>
      </c>
      <c r="H328" s="69" t="n">
        <f aca="false">E328-F328-G328</f>
        <v>0</v>
      </c>
      <c r="I328" s="69" t="n">
        <f aca="false">IF(L327&gt;0.5,L327*(1+I$23)+I$24,0)</f>
        <v>0</v>
      </c>
      <c r="J328" s="69" t="n">
        <f aca="false">MIN(J$23,I328)</f>
        <v>0</v>
      </c>
      <c r="K328" s="69" t="n">
        <f aca="false">IF(AND(J$24=1,OR(I$25="",$C328&gt;=I$25)),MAX(0,MIN(I328-J328,$D328-(G328))),0)</f>
        <v>0</v>
      </c>
      <c r="L328" s="69" t="n">
        <f aca="false">I328-J328-K328</f>
        <v>0</v>
      </c>
      <c r="M328" s="69" t="n">
        <f aca="false">IF(P327&gt;0.5,P327*(1+M$23)+M$24,0)</f>
        <v>0</v>
      </c>
      <c r="N328" s="69" t="n">
        <f aca="false">MIN(N$23,M328)</f>
        <v>0</v>
      </c>
      <c r="O328" s="69" t="n">
        <f aca="false">IF(AND(N$24=1,OR(M$25="",$C328&gt;=M$25)),MAX(0,MIN(M328-N328,$D328-(G328+K328))),0)</f>
        <v>0</v>
      </c>
      <c r="P328" s="69" t="n">
        <f aca="false">M328-N328-O328</f>
        <v>0</v>
      </c>
      <c r="Q328" s="69" t="n">
        <f aca="false">IF(T327&gt;0.5,T327*(1+Q$23)+Q$24,0)</f>
        <v>0</v>
      </c>
      <c r="R328" s="69" t="n">
        <f aca="false">MIN(R$23,Q328)</f>
        <v>0</v>
      </c>
      <c r="S328" s="69" t="n">
        <f aca="false">IF(AND(R$24=1,OR(Q$25="",$C328&gt;=Q$25)),MAX(0,MIN(Q328-R328,$D328-(G328+K328+O328))),0)</f>
        <v>0</v>
      </c>
      <c r="T328" s="69" t="n">
        <f aca="false">Q328-R328-S328</f>
        <v>0</v>
      </c>
      <c r="U328" s="69" t="n">
        <f aca="false">IF(X327&gt;0.5,X327*(1+U$23)+U$24,0)</f>
        <v>0</v>
      </c>
      <c r="V328" s="69" t="n">
        <f aca="false">MIN(V$23,U328)</f>
        <v>0</v>
      </c>
      <c r="W328" s="69" t="n">
        <f aca="false">IF(AND(V$24=1,OR(U$25="",$C328&gt;=U$25)),MAX(0,MIN(U328-V328,$D328-(G328+K328+O328+S328))),0)</f>
        <v>0</v>
      </c>
      <c r="X328" s="69" t="n">
        <f aca="false">U328-V328-W328</f>
        <v>0</v>
      </c>
      <c r="Y328" s="69" t="n">
        <f aca="false">IF(AB327&gt;0.5,AB327*(1+Y$23)+Y$24,0)</f>
        <v>0</v>
      </c>
      <c r="Z328" s="69" t="n">
        <f aca="false">MIN(Z$23,Y328)</f>
        <v>0</v>
      </c>
      <c r="AA328" s="69" t="n">
        <f aca="false">IF(AND(Z$24=1,OR(Y$25="",$C328&gt;=Y$25)),MAX(0,MIN(Y328-Z328,$D328-(G328+K328+O328+S328+W328))),0)</f>
        <v>0</v>
      </c>
      <c r="AB328" s="69" t="n">
        <f aca="false">Y328-Z328-AA328</f>
        <v>0</v>
      </c>
      <c r="AC328" s="69" t="n">
        <f aca="false">IF(AF327&gt;0.5,AF327*(1+AC$23)+AC$24,0)</f>
        <v>0</v>
      </c>
      <c r="AD328" s="69" t="n">
        <f aca="false">MIN(AD$23,AC328)</f>
        <v>0</v>
      </c>
      <c r="AE328" s="69" t="n">
        <f aca="false">IF(AND(AD$24=1,OR(AC$25="",$C328&gt;=AC$25)),MAX(0,MIN(AC328-AD328,$D328-(G328+K328+O328+S328+W328+AA328))),0)</f>
        <v>0</v>
      </c>
      <c r="AF328" s="69" t="n">
        <f aca="false">AC328-AD328-AE328</f>
        <v>0</v>
      </c>
      <c r="AG328" s="69" t="n">
        <f aca="false">IF(AJ327&gt;0.5,AJ327*(1+AG$23)+AG$24,0)</f>
        <v>0</v>
      </c>
      <c r="AH328" s="69" t="n">
        <f aca="false">MIN(AH$23,AG328)</f>
        <v>0</v>
      </c>
      <c r="AI328" s="69" t="n">
        <f aca="false">IF(AND(AH$24=1,OR(AG$25="",$C328&gt;=AG$25)),MAX(0,MIN(AG328-AH328,$D328-(G328+K328+O328+S328+W328+AA328+AE328))),0)</f>
        <v>0</v>
      </c>
      <c r="AJ328" s="69" t="n">
        <f aca="false">AG328-AH328-AI328</f>
        <v>0</v>
      </c>
      <c r="AK328" s="69" t="n">
        <f aca="false">IF(AK327&gt;0.5,AK327*(1+$E$12)+$G$12-MIN($F$12,AK327*(1+$E$12)+$G$12),0)</f>
        <v>0</v>
      </c>
      <c r="AL328" s="69" t="n">
        <f aca="false">IF(AL327&gt;0.5,AL327*(1+$E$13)+$G$13-MIN($F$13,AL327*(1+$E$13)+$G$13),0)</f>
        <v>0</v>
      </c>
      <c r="AM328" s="69" t="n">
        <f aca="false">IF(AM327&gt;0.5,AM327*(1+$E$14)+$G$14-MIN($F$14,AM327*(1+$E$14)+$G$14),0)</f>
        <v>0</v>
      </c>
      <c r="AN328" s="69" t="n">
        <f aca="false">IF(AN327&gt;0.5,AN327*(1+$E$15)+$G$15-MIN($F$15,AN327*(1+$E$15)+$G$15),0)</f>
        <v>0</v>
      </c>
      <c r="AO328" s="69" t="n">
        <f aca="false">IF(AO327&gt;0.5,AO327*(1+$E$16)+$G$16-MIN($F$16,AO327*(1+$E$16)+$G$16),0)</f>
        <v>0</v>
      </c>
      <c r="AP328" s="69" t="n">
        <f aca="false">IF(AP327&gt;0.5,AP327*(1+$E$17)+$G$17-MIN($F$17,AP327*(1+$E$17)+$G$17),0)</f>
        <v>0</v>
      </c>
      <c r="AQ328" s="69" t="n">
        <f aca="false">IF(AQ327&gt;0.5,AQ327*(1+$E$18)+$G$18-MIN($F$18,AQ327*(1+$E$18)+$G$18),0)</f>
        <v>0</v>
      </c>
      <c r="AR328" s="69" t="n">
        <f aca="false">IF(AR327&gt;0.5,AR327*(1+$E$19)+$G$19-MIN($F$19,AR327*(1+$E$19)+$G$19),0)</f>
        <v>0</v>
      </c>
      <c r="AS328" s="69" t="n">
        <f aca="false">H328+L328+P328+T328+X328+AB328+AF328+AJ328</f>
        <v>0</v>
      </c>
      <c r="AT328" s="69" t="n">
        <f aca="false">SUM(AK328:AR328)</f>
        <v>0</v>
      </c>
      <c r="AU328" s="69" t="n">
        <f aca="false">F328+G328+J328+K328+N328+O328+R328+S328+V328+W328+Z328+AA328+AD328+AE328+AH328+AI328</f>
        <v>0</v>
      </c>
    </row>
    <row r="329" customFormat="false" ht="15" hidden="false" customHeight="false" outlineLevel="0" collapsed="false">
      <c r="B329" s="0" t="n">
        <v>302</v>
      </c>
      <c r="C329" s="68" t="n">
        <f aca="false">EDATE($C$7,301)</f>
        <v>55458</v>
      </c>
      <c r="D329" s="69" t="n">
        <f aca="false">$C$8-(F329+J329+N329+R329+V329+Z329+AD329+AH329)</f>
        <v>0</v>
      </c>
      <c r="E329" s="69" t="n">
        <f aca="false">IF(H328&gt;0.5,H328*(1+E$23)+E$24,0)</f>
        <v>0</v>
      </c>
      <c r="F329" s="69" t="n">
        <f aca="false">MIN(F$23,E329)</f>
        <v>0</v>
      </c>
      <c r="G329" s="69" t="n">
        <f aca="false">IF(AND(F$24=1,OR(E$25="",$C329&gt;=E$25)),MAX(0,MIN(E329-F329,$D329-(0))),0)</f>
        <v>0</v>
      </c>
      <c r="H329" s="69" t="n">
        <f aca="false">E329-F329-G329</f>
        <v>0</v>
      </c>
      <c r="I329" s="69" t="n">
        <f aca="false">IF(L328&gt;0.5,L328*(1+I$23)+I$24,0)</f>
        <v>0</v>
      </c>
      <c r="J329" s="69" t="n">
        <f aca="false">MIN(J$23,I329)</f>
        <v>0</v>
      </c>
      <c r="K329" s="69" t="n">
        <f aca="false">IF(AND(J$24=1,OR(I$25="",$C329&gt;=I$25)),MAX(0,MIN(I329-J329,$D329-(G329))),0)</f>
        <v>0</v>
      </c>
      <c r="L329" s="69" t="n">
        <f aca="false">I329-J329-K329</f>
        <v>0</v>
      </c>
      <c r="M329" s="69" t="n">
        <f aca="false">IF(P328&gt;0.5,P328*(1+M$23)+M$24,0)</f>
        <v>0</v>
      </c>
      <c r="N329" s="69" t="n">
        <f aca="false">MIN(N$23,M329)</f>
        <v>0</v>
      </c>
      <c r="O329" s="69" t="n">
        <f aca="false">IF(AND(N$24=1,OR(M$25="",$C329&gt;=M$25)),MAX(0,MIN(M329-N329,$D329-(G329+K329))),0)</f>
        <v>0</v>
      </c>
      <c r="P329" s="69" t="n">
        <f aca="false">M329-N329-O329</f>
        <v>0</v>
      </c>
      <c r="Q329" s="69" t="n">
        <f aca="false">IF(T328&gt;0.5,T328*(1+Q$23)+Q$24,0)</f>
        <v>0</v>
      </c>
      <c r="R329" s="69" t="n">
        <f aca="false">MIN(R$23,Q329)</f>
        <v>0</v>
      </c>
      <c r="S329" s="69" t="n">
        <f aca="false">IF(AND(R$24=1,OR(Q$25="",$C329&gt;=Q$25)),MAX(0,MIN(Q329-R329,$D329-(G329+K329+O329))),0)</f>
        <v>0</v>
      </c>
      <c r="T329" s="69" t="n">
        <f aca="false">Q329-R329-S329</f>
        <v>0</v>
      </c>
      <c r="U329" s="69" t="n">
        <f aca="false">IF(X328&gt;0.5,X328*(1+U$23)+U$24,0)</f>
        <v>0</v>
      </c>
      <c r="V329" s="69" t="n">
        <f aca="false">MIN(V$23,U329)</f>
        <v>0</v>
      </c>
      <c r="W329" s="69" t="n">
        <f aca="false">IF(AND(V$24=1,OR(U$25="",$C329&gt;=U$25)),MAX(0,MIN(U329-V329,$D329-(G329+K329+O329+S329))),0)</f>
        <v>0</v>
      </c>
      <c r="X329" s="69" t="n">
        <f aca="false">U329-V329-W329</f>
        <v>0</v>
      </c>
      <c r="Y329" s="69" t="n">
        <f aca="false">IF(AB328&gt;0.5,AB328*(1+Y$23)+Y$24,0)</f>
        <v>0</v>
      </c>
      <c r="Z329" s="69" t="n">
        <f aca="false">MIN(Z$23,Y329)</f>
        <v>0</v>
      </c>
      <c r="AA329" s="69" t="n">
        <f aca="false">IF(AND(Z$24=1,OR(Y$25="",$C329&gt;=Y$25)),MAX(0,MIN(Y329-Z329,$D329-(G329+K329+O329+S329+W329))),0)</f>
        <v>0</v>
      </c>
      <c r="AB329" s="69" t="n">
        <f aca="false">Y329-Z329-AA329</f>
        <v>0</v>
      </c>
      <c r="AC329" s="69" t="n">
        <f aca="false">IF(AF328&gt;0.5,AF328*(1+AC$23)+AC$24,0)</f>
        <v>0</v>
      </c>
      <c r="AD329" s="69" t="n">
        <f aca="false">MIN(AD$23,AC329)</f>
        <v>0</v>
      </c>
      <c r="AE329" s="69" t="n">
        <f aca="false">IF(AND(AD$24=1,OR(AC$25="",$C329&gt;=AC$25)),MAX(0,MIN(AC329-AD329,$D329-(G329+K329+O329+S329+W329+AA329))),0)</f>
        <v>0</v>
      </c>
      <c r="AF329" s="69" t="n">
        <f aca="false">AC329-AD329-AE329</f>
        <v>0</v>
      </c>
      <c r="AG329" s="69" t="n">
        <f aca="false">IF(AJ328&gt;0.5,AJ328*(1+AG$23)+AG$24,0)</f>
        <v>0</v>
      </c>
      <c r="AH329" s="69" t="n">
        <f aca="false">MIN(AH$23,AG329)</f>
        <v>0</v>
      </c>
      <c r="AI329" s="69" t="n">
        <f aca="false">IF(AND(AH$24=1,OR(AG$25="",$C329&gt;=AG$25)),MAX(0,MIN(AG329-AH329,$D329-(G329+K329+O329+S329+W329+AA329+AE329))),0)</f>
        <v>0</v>
      </c>
      <c r="AJ329" s="69" t="n">
        <f aca="false">AG329-AH329-AI329</f>
        <v>0</v>
      </c>
      <c r="AK329" s="69" t="n">
        <f aca="false">IF(AK328&gt;0.5,AK328*(1+$E$12)+$G$12-MIN($F$12,AK328*(1+$E$12)+$G$12),0)</f>
        <v>0</v>
      </c>
      <c r="AL329" s="69" t="n">
        <f aca="false">IF(AL328&gt;0.5,AL328*(1+$E$13)+$G$13-MIN($F$13,AL328*(1+$E$13)+$G$13),0)</f>
        <v>0</v>
      </c>
      <c r="AM329" s="69" t="n">
        <f aca="false">IF(AM328&gt;0.5,AM328*(1+$E$14)+$G$14-MIN($F$14,AM328*(1+$E$14)+$G$14),0)</f>
        <v>0</v>
      </c>
      <c r="AN329" s="69" t="n">
        <f aca="false">IF(AN328&gt;0.5,AN328*(1+$E$15)+$G$15-MIN($F$15,AN328*(1+$E$15)+$G$15),0)</f>
        <v>0</v>
      </c>
      <c r="AO329" s="69" t="n">
        <f aca="false">IF(AO328&gt;0.5,AO328*(1+$E$16)+$G$16-MIN($F$16,AO328*(1+$E$16)+$G$16),0)</f>
        <v>0</v>
      </c>
      <c r="AP329" s="69" t="n">
        <f aca="false">IF(AP328&gt;0.5,AP328*(1+$E$17)+$G$17-MIN($F$17,AP328*(1+$E$17)+$G$17),0)</f>
        <v>0</v>
      </c>
      <c r="AQ329" s="69" t="n">
        <f aca="false">IF(AQ328&gt;0.5,AQ328*(1+$E$18)+$G$18-MIN($F$18,AQ328*(1+$E$18)+$G$18),0)</f>
        <v>0</v>
      </c>
      <c r="AR329" s="69" t="n">
        <f aca="false">IF(AR328&gt;0.5,AR328*(1+$E$19)+$G$19-MIN($F$19,AR328*(1+$E$19)+$G$19),0)</f>
        <v>0</v>
      </c>
      <c r="AS329" s="69" t="n">
        <f aca="false">H329+L329+P329+T329+X329+AB329+AF329+AJ329</f>
        <v>0</v>
      </c>
      <c r="AT329" s="69" t="n">
        <f aca="false">SUM(AK329:AR329)</f>
        <v>0</v>
      </c>
      <c r="AU329" s="69" t="n">
        <f aca="false">F329+G329+J329+K329+N329+O329+R329+S329+V329+W329+Z329+AA329+AD329+AE329+AH329+AI329</f>
        <v>0</v>
      </c>
    </row>
    <row r="330" customFormat="false" ht="15" hidden="false" customHeight="false" outlineLevel="0" collapsed="false">
      <c r="B330" s="0" t="n">
        <v>303</v>
      </c>
      <c r="C330" s="68" t="n">
        <f aca="false">EDATE($C$7,302)</f>
        <v>55488</v>
      </c>
      <c r="D330" s="69" t="n">
        <f aca="false">$C$8-(F330+J330+N330+R330+V330+Z330+AD330+AH330)</f>
        <v>0</v>
      </c>
      <c r="E330" s="69" t="n">
        <f aca="false">IF(H329&gt;0.5,H329*(1+E$23)+E$24,0)</f>
        <v>0</v>
      </c>
      <c r="F330" s="69" t="n">
        <f aca="false">MIN(F$23,E330)</f>
        <v>0</v>
      </c>
      <c r="G330" s="69" t="n">
        <f aca="false">IF(AND(F$24=1,OR(E$25="",$C330&gt;=E$25)),MAX(0,MIN(E330-F330,$D330-(0))),0)</f>
        <v>0</v>
      </c>
      <c r="H330" s="69" t="n">
        <f aca="false">E330-F330-G330</f>
        <v>0</v>
      </c>
      <c r="I330" s="69" t="n">
        <f aca="false">IF(L329&gt;0.5,L329*(1+I$23)+I$24,0)</f>
        <v>0</v>
      </c>
      <c r="J330" s="69" t="n">
        <f aca="false">MIN(J$23,I330)</f>
        <v>0</v>
      </c>
      <c r="K330" s="69" t="n">
        <f aca="false">IF(AND(J$24=1,OR(I$25="",$C330&gt;=I$25)),MAX(0,MIN(I330-J330,$D330-(G330))),0)</f>
        <v>0</v>
      </c>
      <c r="L330" s="69" t="n">
        <f aca="false">I330-J330-K330</f>
        <v>0</v>
      </c>
      <c r="M330" s="69" t="n">
        <f aca="false">IF(P329&gt;0.5,P329*(1+M$23)+M$24,0)</f>
        <v>0</v>
      </c>
      <c r="N330" s="69" t="n">
        <f aca="false">MIN(N$23,M330)</f>
        <v>0</v>
      </c>
      <c r="O330" s="69" t="n">
        <f aca="false">IF(AND(N$24=1,OR(M$25="",$C330&gt;=M$25)),MAX(0,MIN(M330-N330,$D330-(G330+K330))),0)</f>
        <v>0</v>
      </c>
      <c r="P330" s="69" t="n">
        <f aca="false">M330-N330-O330</f>
        <v>0</v>
      </c>
      <c r="Q330" s="69" t="n">
        <f aca="false">IF(T329&gt;0.5,T329*(1+Q$23)+Q$24,0)</f>
        <v>0</v>
      </c>
      <c r="R330" s="69" t="n">
        <f aca="false">MIN(R$23,Q330)</f>
        <v>0</v>
      </c>
      <c r="S330" s="69" t="n">
        <f aca="false">IF(AND(R$24=1,OR(Q$25="",$C330&gt;=Q$25)),MAX(0,MIN(Q330-R330,$D330-(G330+K330+O330))),0)</f>
        <v>0</v>
      </c>
      <c r="T330" s="69" t="n">
        <f aca="false">Q330-R330-S330</f>
        <v>0</v>
      </c>
      <c r="U330" s="69" t="n">
        <f aca="false">IF(X329&gt;0.5,X329*(1+U$23)+U$24,0)</f>
        <v>0</v>
      </c>
      <c r="V330" s="69" t="n">
        <f aca="false">MIN(V$23,U330)</f>
        <v>0</v>
      </c>
      <c r="W330" s="69" t="n">
        <f aca="false">IF(AND(V$24=1,OR(U$25="",$C330&gt;=U$25)),MAX(0,MIN(U330-V330,$D330-(G330+K330+O330+S330))),0)</f>
        <v>0</v>
      </c>
      <c r="X330" s="69" t="n">
        <f aca="false">U330-V330-W330</f>
        <v>0</v>
      </c>
      <c r="Y330" s="69" t="n">
        <f aca="false">IF(AB329&gt;0.5,AB329*(1+Y$23)+Y$24,0)</f>
        <v>0</v>
      </c>
      <c r="Z330" s="69" t="n">
        <f aca="false">MIN(Z$23,Y330)</f>
        <v>0</v>
      </c>
      <c r="AA330" s="69" t="n">
        <f aca="false">IF(AND(Z$24=1,OR(Y$25="",$C330&gt;=Y$25)),MAX(0,MIN(Y330-Z330,$D330-(G330+K330+O330+S330+W330))),0)</f>
        <v>0</v>
      </c>
      <c r="AB330" s="69" t="n">
        <f aca="false">Y330-Z330-AA330</f>
        <v>0</v>
      </c>
      <c r="AC330" s="69" t="n">
        <f aca="false">IF(AF329&gt;0.5,AF329*(1+AC$23)+AC$24,0)</f>
        <v>0</v>
      </c>
      <c r="AD330" s="69" t="n">
        <f aca="false">MIN(AD$23,AC330)</f>
        <v>0</v>
      </c>
      <c r="AE330" s="69" t="n">
        <f aca="false">IF(AND(AD$24=1,OR(AC$25="",$C330&gt;=AC$25)),MAX(0,MIN(AC330-AD330,$D330-(G330+K330+O330+S330+W330+AA330))),0)</f>
        <v>0</v>
      </c>
      <c r="AF330" s="69" t="n">
        <f aca="false">AC330-AD330-AE330</f>
        <v>0</v>
      </c>
      <c r="AG330" s="69" t="n">
        <f aca="false">IF(AJ329&gt;0.5,AJ329*(1+AG$23)+AG$24,0)</f>
        <v>0</v>
      </c>
      <c r="AH330" s="69" t="n">
        <f aca="false">MIN(AH$23,AG330)</f>
        <v>0</v>
      </c>
      <c r="AI330" s="69" t="n">
        <f aca="false">IF(AND(AH$24=1,OR(AG$25="",$C330&gt;=AG$25)),MAX(0,MIN(AG330-AH330,$D330-(G330+K330+O330+S330+W330+AA330+AE330))),0)</f>
        <v>0</v>
      </c>
      <c r="AJ330" s="69" t="n">
        <f aca="false">AG330-AH330-AI330</f>
        <v>0</v>
      </c>
      <c r="AK330" s="69" t="n">
        <f aca="false">IF(AK329&gt;0.5,AK329*(1+$E$12)+$G$12-MIN($F$12,AK329*(1+$E$12)+$G$12),0)</f>
        <v>0</v>
      </c>
      <c r="AL330" s="69" t="n">
        <f aca="false">IF(AL329&gt;0.5,AL329*(1+$E$13)+$G$13-MIN($F$13,AL329*(1+$E$13)+$G$13),0)</f>
        <v>0</v>
      </c>
      <c r="AM330" s="69" t="n">
        <f aca="false">IF(AM329&gt;0.5,AM329*(1+$E$14)+$G$14-MIN($F$14,AM329*(1+$E$14)+$G$14),0)</f>
        <v>0</v>
      </c>
      <c r="AN330" s="69" t="n">
        <f aca="false">IF(AN329&gt;0.5,AN329*(1+$E$15)+$G$15-MIN($F$15,AN329*(1+$E$15)+$G$15),0)</f>
        <v>0</v>
      </c>
      <c r="AO330" s="69" t="n">
        <f aca="false">IF(AO329&gt;0.5,AO329*(1+$E$16)+$G$16-MIN($F$16,AO329*(1+$E$16)+$G$16),0)</f>
        <v>0</v>
      </c>
      <c r="AP330" s="69" t="n">
        <f aca="false">IF(AP329&gt;0.5,AP329*(1+$E$17)+$G$17-MIN($F$17,AP329*(1+$E$17)+$G$17),0)</f>
        <v>0</v>
      </c>
      <c r="AQ330" s="69" t="n">
        <f aca="false">IF(AQ329&gt;0.5,AQ329*(1+$E$18)+$G$18-MIN($F$18,AQ329*(1+$E$18)+$G$18),0)</f>
        <v>0</v>
      </c>
      <c r="AR330" s="69" t="n">
        <f aca="false">IF(AR329&gt;0.5,AR329*(1+$E$19)+$G$19-MIN($F$19,AR329*(1+$E$19)+$G$19),0)</f>
        <v>0</v>
      </c>
      <c r="AS330" s="69" t="n">
        <f aca="false">H330+L330+P330+T330+X330+AB330+AF330+AJ330</f>
        <v>0</v>
      </c>
      <c r="AT330" s="69" t="n">
        <f aca="false">SUM(AK330:AR330)</f>
        <v>0</v>
      </c>
      <c r="AU330" s="69" t="n">
        <f aca="false">F330+G330+J330+K330+N330+O330+R330+S330+V330+W330+Z330+AA330+AD330+AE330+AH330+AI330</f>
        <v>0</v>
      </c>
    </row>
    <row r="331" customFormat="false" ht="15" hidden="false" customHeight="false" outlineLevel="0" collapsed="false">
      <c r="B331" s="0" t="n">
        <v>304</v>
      </c>
      <c r="C331" s="68" t="n">
        <f aca="false">EDATE($C$7,303)</f>
        <v>55519</v>
      </c>
      <c r="D331" s="69" t="n">
        <f aca="false">$C$8-(F331+J331+N331+R331+V331+Z331+AD331+AH331)</f>
        <v>0</v>
      </c>
      <c r="E331" s="69" t="n">
        <f aca="false">IF(H330&gt;0.5,H330*(1+E$23)+E$24,0)</f>
        <v>0</v>
      </c>
      <c r="F331" s="69" t="n">
        <f aca="false">MIN(F$23,E331)</f>
        <v>0</v>
      </c>
      <c r="G331" s="69" t="n">
        <f aca="false">IF(AND(F$24=1,OR(E$25="",$C331&gt;=E$25)),MAX(0,MIN(E331-F331,$D331-(0))),0)</f>
        <v>0</v>
      </c>
      <c r="H331" s="69" t="n">
        <f aca="false">E331-F331-G331</f>
        <v>0</v>
      </c>
      <c r="I331" s="69" t="n">
        <f aca="false">IF(L330&gt;0.5,L330*(1+I$23)+I$24,0)</f>
        <v>0</v>
      </c>
      <c r="J331" s="69" t="n">
        <f aca="false">MIN(J$23,I331)</f>
        <v>0</v>
      </c>
      <c r="K331" s="69" t="n">
        <f aca="false">IF(AND(J$24=1,OR(I$25="",$C331&gt;=I$25)),MAX(0,MIN(I331-J331,$D331-(G331))),0)</f>
        <v>0</v>
      </c>
      <c r="L331" s="69" t="n">
        <f aca="false">I331-J331-K331</f>
        <v>0</v>
      </c>
      <c r="M331" s="69" t="n">
        <f aca="false">IF(P330&gt;0.5,P330*(1+M$23)+M$24,0)</f>
        <v>0</v>
      </c>
      <c r="N331" s="69" t="n">
        <f aca="false">MIN(N$23,M331)</f>
        <v>0</v>
      </c>
      <c r="O331" s="69" t="n">
        <f aca="false">IF(AND(N$24=1,OR(M$25="",$C331&gt;=M$25)),MAX(0,MIN(M331-N331,$D331-(G331+K331))),0)</f>
        <v>0</v>
      </c>
      <c r="P331" s="69" t="n">
        <f aca="false">M331-N331-O331</f>
        <v>0</v>
      </c>
      <c r="Q331" s="69" t="n">
        <f aca="false">IF(T330&gt;0.5,T330*(1+Q$23)+Q$24,0)</f>
        <v>0</v>
      </c>
      <c r="R331" s="69" t="n">
        <f aca="false">MIN(R$23,Q331)</f>
        <v>0</v>
      </c>
      <c r="S331" s="69" t="n">
        <f aca="false">IF(AND(R$24=1,OR(Q$25="",$C331&gt;=Q$25)),MAX(0,MIN(Q331-R331,$D331-(G331+K331+O331))),0)</f>
        <v>0</v>
      </c>
      <c r="T331" s="69" t="n">
        <f aca="false">Q331-R331-S331</f>
        <v>0</v>
      </c>
      <c r="U331" s="69" t="n">
        <f aca="false">IF(X330&gt;0.5,X330*(1+U$23)+U$24,0)</f>
        <v>0</v>
      </c>
      <c r="V331" s="69" t="n">
        <f aca="false">MIN(V$23,U331)</f>
        <v>0</v>
      </c>
      <c r="W331" s="69" t="n">
        <f aca="false">IF(AND(V$24=1,OR(U$25="",$C331&gt;=U$25)),MAX(0,MIN(U331-V331,$D331-(G331+K331+O331+S331))),0)</f>
        <v>0</v>
      </c>
      <c r="X331" s="69" t="n">
        <f aca="false">U331-V331-W331</f>
        <v>0</v>
      </c>
      <c r="Y331" s="69" t="n">
        <f aca="false">IF(AB330&gt;0.5,AB330*(1+Y$23)+Y$24,0)</f>
        <v>0</v>
      </c>
      <c r="Z331" s="69" t="n">
        <f aca="false">MIN(Z$23,Y331)</f>
        <v>0</v>
      </c>
      <c r="AA331" s="69" t="n">
        <f aca="false">IF(AND(Z$24=1,OR(Y$25="",$C331&gt;=Y$25)),MAX(0,MIN(Y331-Z331,$D331-(G331+K331+O331+S331+W331))),0)</f>
        <v>0</v>
      </c>
      <c r="AB331" s="69" t="n">
        <f aca="false">Y331-Z331-AA331</f>
        <v>0</v>
      </c>
      <c r="AC331" s="69" t="n">
        <f aca="false">IF(AF330&gt;0.5,AF330*(1+AC$23)+AC$24,0)</f>
        <v>0</v>
      </c>
      <c r="AD331" s="69" t="n">
        <f aca="false">MIN(AD$23,AC331)</f>
        <v>0</v>
      </c>
      <c r="AE331" s="69" t="n">
        <f aca="false">IF(AND(AD$24=1,OR(AC$25="",$C331&gt;=AC$25)),MAX(0,MIN(AC331-AD331,$D331-(G331+K331+O331+S331+W331+AA331))),0)</f>
        <v>0</v>
      </c>
      <c r="AF331" s="69" t="n">
        <f aca="false">AC331-AD331-AE331</f>
        <v>0</v>
      </c>
      <c r="AG331" s="69" t="n">
        <f aca="false">IF(AJ330&gt;0.5,AJ330*(1+AG$23)+AG$24,0)</f>
        <v>0</v>
      </c>
      <c r="AH331" s="69" t="n">
        <f aca="false">MIN(AH$23,AG331)</f>
        <v>0</v>
      </c>
      <c r="AI331" s="69" t="n">
        <f aca="false">IF(AND(AH$24=1,OR(AG$25="",$C331&gt;=AG$25)),MAX(0,MIN(AG331-AH331,$D331-(G331+K331+O331+S331+W331+AA331+AE331))),0)</f>
        <v>0</v>
      </c>
      <c r="AJ331" s="69" t="n">
        <f aca="false">AG331-AH331-AI331</f>
        <v>0</v>
      </c>
      <c r="AK331" s="69" t="n">
        <f aca="false">IF(AK330&gt;0.5,AK330*(1+$E$12)+$G$12-MIN($F$12,AK330*(1+$E$12)+$G$12),0)</f>
        <v>0</v>
      </c>
      <c r="AL331" s="69" t="n">
        <f aca="false">IF(AL330&gt;0.5,AL330*(1+$E$13)+$G$13-MIN($F$13,AL330*(1+$E$13)+$G$13),0)</f>
        <v>0</v>
      </c>
      <c r="AM331" s="69" t="n">
        <f aca="false">IF(AM330&gt;0.5,AM330*(1+$E$14)+$G$14-MIN($F$14,AM330*(1+$E$14)+$G$14),0)</f>
        <v>0</v>
      </c>
      <c r="AN331" s="69" t="n">
        <f aca="false">IF(AN330&gt;0.5,AN330*(1+$E$15)+$G$15-MIN($F$15,AN330*(1+$E$15)+$G$15),0)</f>
        <v>0</v>
      </c>
      <c r="AO331" s="69" t="n">
        <f aca="false">IF(AO330&gt;0.5,AO330*(1+$E$16)+$G$16-MIN($F$16,AO330*(1+$E$16)+$G$16),0)</f>
        <v>0</v>
      </c>
      <c r="AP331" s="69" t="n">
        <f aca="false">IF(AP330&gt;0.5,AP330*(1+$E$17)+$G$17-MIN($F$17,AP330*(1+$E$17)+$G$17),0)</f>
        <v>0</v>
      </c>
      <c r="AQ331" s="69" t="n">
        <f aca="false">IF(AQ330&gt;0.5,AQ330*(1+$E$18)+$G$18-MIN($F$18,AQ330*(1+$E$18)+$G$18),0)</f>
        <v>0</v>
      </c>
      <c r="AR331" s="69" t="n">
        <f aca="false">IF(AR330&gt;0.5,AR330*(1+$E$19)+$G$19-MIN($F$19,AR330*(1+$E$19)+$G$19),0)</f>
        <v>0</v>
      </c>
      <c r="AS331" s="69" t="n">
        <f aca="false">H331+L331+P331+T331+X331+AB331+AF331+AJ331</f>
        <v>0</v>
      </c>
      <c r="AT331" s="69" t="n">
        <f aca="false">SUM(AK331:AR331)</f>
        <v>0</v>
      </c>
      <c r="AU331" s="69" t="n">
        <f aca="false">F331+G331+J331+K331+N331+O331+R331+S331+V331+W331+Z331+AA331+AD331+AE331+AH331+AI331</f>
        <v>0</v>
      </c>
    </row>
    <row r="332" customFormat="false" ht="15" hidden="false" customHeight="false" outlineLevel="0" collapsed="false">
      <c r="B332" s="0" t="n">
        <v>305</v>
      </c>
      <c r="C332" s="68" t="n">
        <f aca="false">EDATE($C$7,304)</f>
        <v>55550</v>
      </c>
      <c r="D332" s="69" t="n">
        <f aca="false">$C$8-(F332+J332+N332+R332+V332+Z332+AD332+AH332)</f>
        <v>0</v>
      </c>
      <c r="E332" s="69" t="n">
        <f aca="false">IF(H331&gt;0.5,H331*(1+E$23)+E$24,0)</f>
        <v>0</v>
      </c>
      <c r="F332" s="69" t="n">
        <f aca="false">MIN(F$23,E332)</f>
        <v>0</v>
      </c>
      <c r="G332" s="69" t="n">
        <f aca="false">IF(AND(F$24=1,OR(E$25="",$C332&gt;=E$25)),MAX(0,MIN(E332-F332,$D332-(0))),0)</f>
        <v>0</v>
      </c>
      <c r="H332" s="69" t="n">
        <f aca="false">E332-F332-G332</f>
        <v>0</v>
      </c>
      <c r="I332" s="69" t="n">
        <f aca="false">IF(L331&gt;0.5,L331*(1+I$23)+I$24,0)</f>
        <v>0</v>
      </c>
      <c r="J332" s="69" t="n">
        <f aca="false">MIN(J$23,I332)</f>
        <v>0</v>
      </c>
      <c r="K332" s="69" t="n">
        <f aca="false">IF(AND(J$24=1,OR(I$25="",$C332&gt;=I$25)),MAX(0,MIN(I332-J332,$D332-(G332))),0)</f>
        <v>0</v>
      </c>
      <c r="L332" s="69" t="n">
        <f aca="false">I332-J332-K332</f>
        <v>0</v>
      </c>
      <c r="M332" s="69" t="n">
        <f aca="false">IF(P331&gt;0.5,P331*(1+M$23)+M$24,0)</f>
        <v>0</v>
      </c>
      <c r="N332" s="69" t="n">
        <f aca="false">MIN(N$23,M332)</f>
        <v>0</v>
      </c>
      <c r="O332" s="69" t="n">
        <f aca="false">IF(AND(N$24=1,OR(M$25="",$C332&gt;=M$25)),MAX(0,MIN(M332-N332,$D332-(G332+K332))),0)</f>
        <v>0</v>
      </c>
      <c r="P332" s="69" t="n">
        <f aca="false">M332-N332-O332</f>
        <v>0</v>
      </c>
      <c r="Q332" s="69" t="n">
        <f aca="false">IF(T331&gt;0.5,T331*(1+Q$23)+Q$24,0)</f>
        <v>0</v>
      </c>
      <c r="R332" s="69" t="n">
        <f aca="false">MIN(R$23,Q332)</f>
        <v>0</v>
      </c>
      <c r="S332" s="69" t="n">
        <f aca="false">IF(AND(R$24=1,OR(Q$25="",$C332&gt;=Q$25)),MAX(0,MIN(Q332-R332,$D332-(G332+K332+O332))),0)</f>
        <v>0</v>
      </c>
      <c r="T332" s="69" t="n">
        <f aca="false">Q332-R332-S332</f>
        <v>0</v>
      </c>
      <c r="U332" s="69" t="n">
        <f aca="false">IF(X331&gt;0.5,X331*(1+U$23)+U$24,0)</f>
        <v>0</v>
      </c>
      <c r="V332" s="69" t="n">
        <f aca="false">MIN(V$23,U332)</f>
        <v>0</v>
      </c>
      <c r="W332" s="69" t="n">
        <f aca="false">IF(AND(V$24=1,OR(U$25="",$C332&gt;=U$25)),MAX(0,MIN(U332-V332,$D332-(G332+K332+O332+S332))),0)</f>
        <v>0</v>
      </c>
      <c r="X332" s="69" t="n">
        <f aca="false">U332-V332-W332</f>
        <v>0</v>
      </c>
      <c r="Y332" s="69" t="n">
        <f aca="false">IF(AB331&gt;0.5,AB331*(1+Y$23)+Y$24,0)</f>
        <v>0</v>
      </c>
      <c r="Z332" s="69" t="n">
        <f aca="false">MIN(Z$23,Y332)</f>
        <v>0</v>
      </c>
      <c r="AA332" s="69" t="n">
        <f aca="false">IF(AND(Z$24=1,OR(Y$25="",$C332&gt;=Y$25)),MAX(0,MIN(Y332-Z332,$D332-(G332+K332+O332+S332+W332))),0)</f>
        <v>0</v>
      </c>
      <c r="AB332" s="69" t="n">
        <f aca="false">Y332-Z332-AA332</f>
        <v>0</v>
      </c>
      <c r="AC332" s="69" t="n">
        <f aca="false">IF(AF331&gt;0.5,AF331*(1+AC$23)+AC$24,0)</f>
        <v>0</v>
      </c>
      <c r="AD332" s="69" t="n">
        <f aca="false">MIN(AD$23,AC332)</f>
        <v>0</v>
      </c>
      <c r="AE332" s="69" t="n">
        <f aca="false">IF(AND(AD$24=1,OR(AC$25="",$C332&gt;=AC$25)),MAX(0,MIN(AC332-AD332,$D332-(G332+K332+O332+S332+W332+AA332))),0)</f>
        <v>0</v>
      </c>
      <c r="AF332" s="69" t="n">
        <f aca="false">AC332-AD332-AE332</f>
        <v>0</v>
      </c>
      <c r="AG332" s="69" t="n">
        <f aca="false">IF(AJ331&gt;0.5,AJ331*(1+AG$23)+AG$24,0)</f>
        <v>0</v>
      </c>
      <c r="AH332" s="69" t="n">
        <f aca="false">MIN(AH$23,AG332)</f>
        <v>0</v>
      </c>
      <c r="AI332" s="69" t="n">
        <f aca="false">IF(AND(AH$24=1,OR(AG$25="",$C332&gt;=AG$25)),MAX(0,MIN(AG332-AH332,$D332-(G332+K332+O332+S332+W332+AA332+AE332))),0)</f>
        <v>0</v>
      </c>
      <c r="AJ332" s="69" t="n">
        <f aca="false">AG332-AH332-AI332</f>
        <v>0</v>
      </c>
      <c r="AK332" s="69" t="n">
        <f aca="false">IF(AK331&gt;0.5,AK331*(1+$E$12)+$G$12-MIN($F$12,AK331*(1+$E$12)+$G$12),0)</f>
        <v>0</v>
      </c>
      <c r="AL332" s="69" t="n">
        <f aca="false">IF(AL331&gt;0.5,AL331*(1+$E$13)+$G$13-MIN($F$13,AL331*(1+$E$13)+$G$13),0)</f>
        <v>0</v>
      </c>
      <c r="AM332" s="69" t="n">
        <f aca="false">IF(AM331&gt;0.5,AM331*(1+$E$14)+$G$14-MIN($F$14,AM331*(1+$E$14)+$G$14),0)</f>
        <v>0</v>
      </c>
      <c r="AN332" s="69" t="n">
        <f aca="false">IF(AN331&gt;0.5,AN331*(1+$E$15)+$G$15-MIN($F$15,AN331*(1+$E$15)+$G$15),0)</f>
        <v>0</v>
      </c>
      <c r="AO332" s="69" t="n">
        <f aca="false">IF(AO331&gt;0.5,AO331*(1+$E$16)+$G$16-MIN($F$16,AO331*(1+$E$16)+$G$16),0)</f>
        <v>0</v>
      </c>
      <c r="AP332" s="69" t="n">
        <f aca="false">IF(AP331&gt;0.5,AP331*(1+$E$17)+$G$17-MIN($F$17,AP331*(1+$E$17)+$G$17),0)</f>
        <v>0</v>
      </c>
      <c r="AQ332" s="69" t="n">
        <f aca="false">IF(AQ331&gt;0.5,AQ331*(1+$E$18)+$G$18-MIN($F$18,AQ331*(1+$E$18)+$G$18),0)</f>
        <v>0</v>
      </c>
      <c r="AR332" s="69" t="n">
        <f aca="false">IF(AR331&gt;0.5,AR331*(1+$E$19)+$G$19-MIN($F$19,AR331*(1+$E$19)+$G$19),0)</f>
        <v>0</v>
      </c>
      <c r="AS332" s="69" t="n">
        <f aca="false">H332+L332+P332+T332+X332+AB332+AF332+AJ332</f>
        <v>0</v>
      </c>
      <c r="AT332" s="69" t="n">
        <f aca="false">SUM(AK332:AR332)</f>
        <v>0</v>
      </c>
      <c r="AU332" s="69" t="n">
        <f aca="false">F332+G332+J332+K332+N332+O332+R332+S332+V332+W332+Z332+AA332+AD332+AE332+AH332+AI332</f>
        <v>0</v>
      </c>
    </row>
    <row r="333" customFormat="false" ht="15" hidden="false" customHeight="false" outlineLevel="0" collapsed="false">
      <c r="B333" s="0" t="n">
        <v>306</v>
      </c>
      <c r="C333" s="68" t="n">
        <f aca="false">EDATE($C$7,305)</f>
        <v>55579</v>
      </c>
      <c r="D333" s="69" t="n">
        <f aca="false">$C$8-(F333+J333+N333+R333+V333+Z333+AD333+AH333)</f>
        <v>0</v>
      </c>
      <c r="E333" s="69" t="n">
        <f aca="false">IF(H332&gt;0.5,H332*(1+E$23)+E$24,0)</f>
        <v>0</v>
      </c>
      <c r="F333" s="69" t="n">
        <f aca="false">MIN(F$23,E333)</f>
        <v>0</v>
      </c>
      <c r="G333" s="69" t="n">
        <f aca="false">IF(AND(F$24=1,OR(E$25="",$C333&gt;=E$25)),MAX(0,MIN(E333-F333,$D333-(0))),0)</f>
        <v>0</v>
      </c>
      <c r="H333" s="69" t="n">
        <f aca="false">E333-F333-G333</f>
        <v>0</v>
      </c>
      <c r="I333" s="69" t="n">
        <f aca="false">IF(L332&gt;0.5,L332*(1+I$23)+I$24,0)</f>
        <v>0</v>
      </c>
      <c r="J333" s="69" t="n">
        <f aca="false">MIN(J$23,I333)</f>
        <v>0</v>
      </c>
      <c r="K333" s="69" t="n">
        <f aca="false">IF(AND(J$24=1,OR(I$25="",$C333&gt;=I$25)),MAX(0,MIN(I333-J333,$D333-(G333))),0)</f>
        <v>0</v>
      </c>
      <c r="L333" s="69" t="n">
        <f aca="false">I333-J333-K333</f>
        <v>0</v>
      </c>
      <c r="M333" s="69" t="n">
        <f aca="false">IF(P332&gt;0.5,P332*(1+M$23)+M$24,0)</f>
        <v>0</v>
      </c>
      <c r="N333" s="69" t="n">
        <f aca="false">MIN(N$23,M333)</f>
        <v>0</v>
      </c>
      <c r="O333" s="69" t="n">
        <f aca="false">IF(AND(N$24=1,OR(M$25="",$C333&gt;=M$25)),MAX(0,MIN(M333-N333,$D333-(G333+K333))),0)</f>
        <v>0</v>
      </c>
      <c r="P333" s="69" t="n">
        <f aca="false">M333-N333-O333</f>
        <v>0</v>
      </c>
      <c r="Q333" s="69" t="n">
        <f aca="false">IF(T332&gt;0.5,T332*(1+Q$23)+Q$24,0)</f>
        <v>0</v>
      </c>
      <c r="R333" s="69" t="n">
        <f aca="false">MIN(R$23,Q333)</f>
        <v>0</v>
      </c>
      <c r="S333" s="69" t="n">
        <f aca="false">IF(AND(R$24=1,OR(Q$25="",$C333&gt;=Q$25)),MAX(0,MIN(Q333-R333,$D333-(G333+K333+O333))),0)</f>
        <v>0</v>
      </c>
      <c r="T333" s="69" t="n">
        <f aca="false">Q333-R333-S333</f>
        <v>0</v>
      </c>
      <c r="U333" s="69" t="n">
        <f aca="false">IF(X332&gt;0.5,X332*(1+U$23)+U$24,0)</f>
        <v>0</v>
      </c>
      <c r="V333" s="69" t="n">
        <f aca="false">MIN(V$23,U333)</f>
        <v>0</v>
      </c>
      <c r="W333" s="69" t="n">
        <f aca="false">IF(AND(V$24=1,OR(U$25="",$C333&gt;=U$25)),MAX(0,MIN(U333-V333,$D333-(G333+K333+O333+S333))),0)</f>
        <v>0</v>
      </c>
      <c r="X333" s="69" t="n">
        <f aca="false">U333-V333-W333</f>
        <v>0</v>
      </c>
      <c r="Y333" s="69" t="n">
        <f aca="false">IF(AB332&gt;0.5,AB332*(1+Y$23)+Y$24,0)</f>
        <v>0</v>
      </c>
      <c r="Z333" s="69" t="n">
        <f aca="false">MIN(Z$23,Y333)</f>
        <v>0</v>
      </c>
      <c r="AA333" s="69" t="n">
        <f aca="false">IF(AND(Z$24=1,OR(Y$25="",$C333&gt;=Y$25)),MAX(0,MIN(Y333-Z333,$D333-(G333+K333+O333+S333+W333))),0)</f>
        <v>0</v>
      </c>
      <c r="AB333" s="69" t="n">
        <f aca="false">Y333-Z333-AA333</f>
        <v>0</v>
      </c>
      <c r="AC333" s="69" t="n">
        <f aca="false">IF(AF332&gt;0.5,AF332*(1+AC$23)+AC$24,0)</f>
        <v>0</v>
      </c>
      <c r="AD333" s="69" t="n">
        <f aca="false">MIN(AD$23,AC333)</f>
        <v>0</v>
      </c>
      <c r="AE333" s="69" t="n">
        <f aca="false">IF(AND(AD$24=1,OR(AC$25="",$C333&gt;=AC$25)),MAX(0,MIN(AC333-AD333,$D333-(G333+K333+O333+S333+W333+AA333))),0)</f>
        <v>0</v>
      </c>
      <c r="AF333" s="69" t="n">
        <f aca="false">AC333-AD333-AE333</f>
        <v>0</v>
      </c>
      <c r="AG333" s="69" t="n">
        <f aca="false">IF(AJ332&gt;0.5,AJ332*(1+AG$23)+AG$24,0)</f>
        <v>0</v>
      </c>
      <c r="AH333" s="69" t="n">
        <f aca="false">MIN(AH$23,AG333)</f>
        <v>0</v>
      </c>
      <c r="AI333" s="69" t="n">
        <f aca="false">IF(AND(AH$24=1,OR(AG$25="",$C333&gt;=AG$25)),MAX(0,MIN(AG333-AH333,$D333-(G333+K333+O333+S333+W333+AA333+AE333))),0)</f>
        <v>0</v>
      </c>
      <c r="AJ333" s="69" t="n">
        <f aca="false">AG333-AH333-AI333</f>
        <v>0</v>
      </c>
      <c r="AK333" s="69" t="n">
        <f aca="false">IF(AK332&gt;0.5,AK332*(1+$E$12)+$G$12-MIN($F$12,AK332*(1+$E$12)+$G$12),0)</f>
        <v>0</v>
      </c>
      <c r="AL333" s="69" t="n">
        <f aca="false">IF(AL332&gt;0.5,AL332*(1+$E$13)+$G$13-MIN($F$13,AL332*(1+$E$13)+$G$13),0)</f>
        <v>0</v>
      </c>
      <c r="AM333" s="69" t="n">
        <f aca="false">IF(AM332&gt;0.5,AM332*(1+$E$14)+$G$14-MIN($F$14,AM332*(1+$E$14)+$G$14),0)</f>
        <v>0</v>
      </c>
      <c r="AN333" s="69" t="n">
        <f aca="false">IF(AN332&gt;0.5,AN332*(1+$E$15)+$G$15-MIN($F$15,AN332*(1+$E$15)+$G$15),0)</f>
        <v>0</v>
      </c>
      <c r="AO333" s="69" t="n">
        <f aca="false">IF(AO332&gt;0.5,AO332*(1+$E$16)+$G$16-MIN($F$16,AO332*(1+$E$16)+$G$16),0)</f>
        <v>0</v>
      </c>
      <c r="AP333" s="69" t="n">
        <f aca="false">IF(AP332&gt;0.5,AP332*(1+$E$17)+$G$17-MIN($F$17,AP332*(1+$E$17)+$G$17),0)</f>
        <v>0</v>
      </c>
      <c r="AQ333" s="69" t="n">
        <f aca="false">IF(AQ332&gt;0.5,AQ332*(1+$E$18)+$G$18-MIN($F$18,AQ332*(1+$E$18)+$G$18),0)</f>
        <v>0</v>
      </c>
      <c r="AR333" s="69" t="n">
        <f aca="false">IF(AR332&gt;0.5,AR332*(1+$E$19)+$G$19-MIN($F$19,AR332*(1+$E$19)+$G$19),0)</f>
        <v>0</v>
      </c>
      <c r="AS333" s="69" t="n">
        <f aca="false">H333+L333+P333+T333+X333+AB333+AF333+AJ333</f>
        <v>0</v>
      </c>
      <c r="AT333" s="69" t="n">
        <f aca="false">SUM(AK333:AR333)</f>
        <v>0</v>
      </c>
      <c r="AU333" s="69" t="n">
        <f aca="false">F333+G333+J333+K333+N333+O333+R333+S333+V333+W333+Z333+AA333+AD333+AE333+AH333+AI333</f>
        <v>0</v>
      </c>
    </row>
    <row r="334" customFormat="false" ht="15" hidden="false" customHeight="false" outlineLevel="0" collapsed="false">
      <c r="B334" s="0" t="n">
        <v>307</v>
      </c>
      <c r="C334" s="68" t="n">
        <f aca="false">EDATE($C$7,306)</f>
        <v>55610</v>
      </c>
      <c r="D334" s="69" t="n">
        <f aca="false">$C$8-(F334+J334+N334+R334+V334+Z334+AD334+AH334)</f>
        <v>0</v>
      </c>
      <c r="E334" s="69" t="n">
        <f aca="false">IF(H333&gt;0.5,H333*(1+E$23)+E$24,0)</f>
        <v>0</v>
      </c>
      <c r="F334" s="69" t="n">
        <f aca="false">MIN(F$23,E334)</f>
        <v>0</v>
      </c>
      <c r="G334" s="69" t="n">
        <f aca="false">IF(AND(F$24=1,OR(E$25="",$C334&gt;=E$25)),MAX(0,MIN(E334-F334,$D334-(0))),0)</f>
        <v>0</v>
      </c>
      <c r="H334" s="69" t="n">
        <f aca="false">E334-F334-G334</f>
        <v>0</v>
      </c>
      <c r="I334" s="69" t="n">
        <f aca="false">IF(L333&gt;0.5,L333*(1+I$23)+I$24,0)</f>
        <v>0</v>
      </c>
      <c r="J334" s="69" t="n">
        <f aca="false">MIN(J$23,I334)</f>
        <v>0</v>
      </c>
      <c r="K334" s="69" t="n">
        <f aca="false">IF(AND(J$24=1,OR(I$25="",$C334&gt;=I$25)),MAX(0,MIN(I334-J334,$D334-(G334))),0)</f>
        <v>0</v>
      </c>
      <c r="L334" s="69" t="n">
        <f aca="false">I334-J334-K334</f>
        <v>0</v>
      </c>
      <c r="M334" s="69" t="n">
        <f aca="false">IF(P333&gt;0.5,P333*(1+M$23)+M$24,0)</f>
        <v>0</v>
      </c>
      <c r="N334" s="69" t="n">
        <f aca="false">MIN(N$23,M334)</f>
        <v>0</v>
      </c>
      <c r="O334" s="69" t="n">
        <f aca="false">IF(AND(N$24=1,OR(M$25="",$C334&gt;=M$25)),MAX(0,MIN(M334-N334,$D334-(G334+K334))),0)</f>
        <v>0</v>
      </c>
      <c r="P334" s="69" t="n">
        <f aca="false">M334-N334-O334</f>
        <v>0</v>
      </c>
      <c r="Q334" s="69" t="n">
        <f aca="false">IF(T333&gt;0.5,T333*(1+Q$23)+Q$24,0)</f>
        <v>0</v>
      </c>
      <c r="R334" s="69" t="n">
        <f aca="false">MIN(R$23,Q334)</f>
        <v>0</v>
      </c>
      <c r="S334" s="69" t="n">
        <f aca="false">IF(AND(R$24=1,OR(Q$25="",$C334&gt;=Q$25)),MAX(0,MIN(Q334-R334,$D334-(G334+K334+O334))),0)</f>
        <v>0</v>
      </c>
      <c r="T334" s="69" t="n">
        <f aca="false">Q334-R334-S334</f>
        <v>0</v>
      </c>
      <c r="U334" s="69" t="n">
        <f aca="false">IF(X333&gt;0.5,X333*(1+U$23)+U$24,0)</f>
        <v>0</v>
      </c>
      <c r="V334" s="69" t="n">
        <f aca="false">MIN(V$23,U334)</f>
        <v>0</v>
      </c>
      <c r="W334" s="69" t="n">
        <f aca="false">IF(AND(V$24=1,OR(U$25="",$C334&gt;=U$25)),MAX(0,MIN(U334-V334,$D334-(G334+K334+O334+S334))),0)</f>
        <v>0</v>
      </c>
      <c r="X334" s="69" t="n">
        <f aca="false">U334-V334-W334</f>
        <v>0</v>
      </c>
      <c r="Y334" s="69" t="n">
        <f aca="false">IF(AB333&gt;0.5,AB333*(1+Y$23)+Y$24,0)</f>
        <v>0</v>
      </c>
      <c r="Z334" s="69" t="n">
        <f aca="false">MIN(Z$23,Y334)</f>
        <v>0</v>
      </c>
      <c r="AA334" s="69" t="n">
        <f aca="false">IF(AND(Z$24=1,OR(Y$25="",$C334&gt;=Y$25)),MAX(0,MIN(Y334-Z334,$D334-(G334+K334+O334+S334+W334))),0)</f>
        <v>0</v>
      </c>
      <c r="AB334" s="69" t="n">
        <f aca="false">Y334-Z334-AA334</f>
        <v>0</v>
      </c>
      <c r="AC334" s="69" t="n">
        <f aca="false">IF(AF333&gt;0.5,AF333*(1+AC$23)+AC$24,0)</f>
        <v>0</v>
      </c>
      <c r="AD334" s="69" t="n">
        <f aca="false">MIN(AD$23,AC334)</f>
        <v>0</v>
      </c>
      <c r="AE334" s="69" t="n">
        <f aca="false">IF(AND(AD$24=1,OR(AC$25="",$C334&gt;=AC$25)),MAX(0,MIN(AC334-AD334,$D334-(G334+K334+O334+S334+W334+AA334))),0)</f>
        <v>0</v>
      </c>
      <c r="AF334" s="69" t="n">
        <f aca="false">AC334-AD334-AE334</f>
        <v>0</v>
      </c>
      <c r="AG334" s="69" t="n">
        <f aca="false">IF(AJ333&gt;0.5,AJ333*(1+AG$23)+AG$24,0)</f>
        <v>0</v>
      </c>
      <c r="AH334" s="69" t="n">
        <f aca="false">MIN(AH$23,AG334)</f>
        <v>0</v>
      </c>
      <c r="AI334" s="69" t="n">
        <f aca="false">IF(AND(AH$24=1,OR(AG$25="",$C334&gt;=AG$25)),MAX(0,MIN(AG334-AH334,$D334-(G334+K334+O334+S334+W334+AA334+AE334))),0)</f>
        <v>0</v>
      </c>
      <c r="AJ334" s="69" t="n">
        <f aca="false">AG334-AH334-AI334</f>
        <v>0</v>
      </c>
      <c r="AK334" s="69" t="n">
        <f aca="false">IF(AK333&gt;0.5,AK333*(1+$E$12)+$G$12-MIN($F$12,AK333*(1+$E$12)+$G$12),0)</f>
        <v>0</v>
      </c>
      <c r="AL334" s="69" t="n">
        <f aca="false">IF(AL333&gt;0.5,AL333*(1+$E$13)+$G$13-MIN($F$13,AL333*(1+$E$13)+$G$13),0)</f>
        <v>0</v>
      </c>
      <c r="AM334" s="69" t="n">
        <f aca="false">IF(AM333&gt;0.5,AM333*(1+$E$14)+$G$14-MIN($F$14,AM333*(1+$E$14)+$G$14),0)</f>
        <v>0</v>
      </c>
      <c r="AN334" s="69" t="n">
        <f aca="false">IF(AN333&gt;0.5,AN333*(1+$E$15)+$G$15-MIN($F$15,AN333*(1+$E$15)+$G$15),0)</f>
        <v>0</v>
      </c>
      <c r="AO334" s="69" t="n">
        <f aca="false">IF(AO333&gt;0.5,AO333*(1+$E$16)+$G$16-MIN($F$16,AO333*(1+$E$16)+$G$16),0)</f>
        <v>0</v>
      </c>
      <c r="AP334" s="69" t="n">
        <f aca="false">IF(AP333&gt;0.5,AP333*(1+$E$17)+$G$17-MIN($F$17,AP333*(1+$E$17)+$G$17),0)</f>
        <v>0</v>
      </c>
      <c r="AQ334" s="69" t="n">
        <f aca="false">IF(AQ333&gt;0.5,AQ333*(1+$E$18)+$G$18-MIN($F$18,AQ333*(1+$E$18)+$G$18),0)</f>
        <v>0</v>
      </c>
      <c r="AR334" s="69" t="n">
        <f aca="false">IF(AR333&gt;0.5,AR333*(1+$E$19)+$G$19-MIN($F$19,AR333*(1+$E$19)+$G$19),0)</f>
        <v>0</v>
      </c>
      <c r="AS334" s="69" t="n">
        <f aca="false">H334+L334+P334+T334+X334+AB334+AF334+AJ334</f>
        <v>0</v>
      </c>
      <c r="AT334" s="69" t="n">
        <f aca="false">SUM(AK334:AR334)</f>
        <v>0</v>
      </c>
      <c r="AU334" s="69" t="n">
        <f aca="false">F334+G334+J334+K334+N334+O334+R334+S334+V334+W334+Z334+AA334+AD334+AE334+AH334+AI334</f>
        <v>0</v>
      </c>
    </row>
    <row r="335" customFormat="false" ht="15" hidden="false" customHeight="false" outlineLevel="0" collapsed="false">
      <c r="B335" s="0" t="n">
        <v>308</v>
      </c>
      <c r="C335" s="68" t="n">
        <f aca="false">EDATE($C$7,307)</f>
        <v>55640</v>
      </c>
      <c r="D335" s="69" t="n">
        <f aca="false">$C$8-(F335+J335+N335+R335+V335+Z335+AD335+AH335)</f>
        <v>0</v>
      </c>
      <c r="E335" s="69" t="n">
        <f aca="false">IF(H334&gt;0.5,H334*(1+E$23)+E$24,0)</f>
        <v>0</v>
      </c>
      <c r="F335" s="69" t="n">
        <f aca="false">MIN(F$23,E335)</f>
        <v>0</v>
      </c>
      <c r="G335" s="69" t="n">
        <f aca="false">IF(AND(F$24=1,OR(E$25="",$C335&gt;=E$25)),MAX(0,MIN(E335-F335,$D335-(0))),0)</f>
        <v>0</v>
      </c>
      <c r="H335" s="69" t="n">
        <f aca="false">E335-F335-G335</f>
        <v>0</v>
      </c>
      <c r="I335" s="69" t="n">
        <f aca="false">IF(L334&gt;0.5,L334*(1+I$23)+I$24,0)</f>
        <v>0</v>
      </c>
      <c r="J335" s="69" t="n">
        <f aca="false">MIN(J$23,I335)</f>
        <v>0</v>
      </c>
      <c r="K335" s="69" t="n">
        <f aca="false">IF(AND(J$24=1,OR(I$25="",$C335&gt;=I$25)),MAX(0,MIN(I335-J335,$D335-(G335))),0)</f>
        <v>0</v>
      </c>
      <c r="L335" s="69" t="n">
        <f aca="false">I335-J335-K335</f>
        <v>0</v>
      </c>
      <c r="M335" s="69" t="n">
        <f aca="false">IF(P334&gt;0.5,P334*(1+M$23)+M$24,0)</f>
        <v>0</v>
      </c>
      <c r="N335" s="69" t="n">
        <f aca="false">MIN(N$23,M335)</f>
        <v>0</v>
      </c>
      <c r="O335" s="69" t="n">
        <f aca="false">IF(AND(N$24=1,OR(M$25="",$C335&gt;=M$25)),MAX(0,MIN(M335-N335,$D335-(G335+K335))),0)</f>
        <v>0</v>
      </c>
      <c r="P335" s="69" t="n">
        <f aca="false">M335-N335-O335</f>
        <v>0</v>
      </c>
      <c r="Q335" s="69" t="n">
        <f aca="false">IF(T334&gt;0.5,T334*(1+Q$23)+Q$24,0)</f>
        <v>0</v>
      </c>
      <c r="R335" s="69" t="n">
        <f aca="false">MIN(R$23,Q335)</f>
        <v>0</v>
      </c>
      <c r="S335" s="69" t="n">
        <f aca="false">IF(AND(R$24=1,OR(Q$25="",$C335&gt;=Q$25)),MAX(0,MIN(Q335-R335,$D335-(G335+K335+O335))),0)</f>
        <v>0</v>
      </c>
      <c r="T335" s="69" t="n">
        <f aca="false">Q335-R335-S335</f>
        <v>0</v>
      </c>
      <c r="U335" s="69" t="n">
        <f aca="false">IF(X334&gt;0.5,X334*(1+U$23)+U$24,0)</f>
        <v>0</v>
      </c>
      <c r="V335" s="69" t="n">
        <f aca="false">MIN(V$23,U335)</f>
        <v>0</v>
      </c>
      <c r="W335" s="69" t="n">
        <f aca="false">IF(AND(V$24=1,OR(U$25="",$C335&gt;=U$25)),MAX(0,MIN(U335-V335,$D335-(G335+K335+O335+S335))),0)</f>
        <v>0</v>
      </c>
      <c r="X335" s="69" t="n">
        <f aca="false">U335-V335-W335</f>
        <v>0</v>
      </c>
      <c r="Y335" s="69" t="n">
        <f aca="false">IF(AB334&gt;0.5,AB334*(1+Y$23)+Y$24,0)</f>
        <v>0</v>
      </c>
      <c r="Z335" s="69" t="n">
        <f aca="false">MIN(Z$23,Y335)</f>
        <v>0</v>
      </c>
      <c r="AA335" s="69" t="n">
        <f aca="false">IF(AND(Z$24=1,OR(Y$25="",$C335&gt;=Y$25)),MAX(0,MIN(Y335-Z335,$D335-(G335+K335+O335+S335+W335))),0)</f>
        <v>0</v>
      </c>
      <c r="AB335" s="69" t="n">
        <f aca="false">Y335-Z335-AA335</f>
        <v>0</v>
      </c>
      <c r="AC335" s="69" t="n">
        <f aca="false">IF(AF334&gt;0.5,AF334*(1+AC$23)+AC$24,0)</f>
        <v>0</v>
      </c>
      <c r="AD335" s="69" t="n">
        <f aca="false">MIN(AD$23,AC335)</f>
        <v>0</v>
      </c>
      <c r="AE335" s="69" t="n">
        <f aca="false">IF(AND(AD$24=1,OR(AC$25="",$C335&gt;=AC$25)),MAX(0,MIN(AC335-AD335,$D335-(G335+K335+O335+S335+W335+AA335))),0)</f>
        <v>0</v>
      </c>
      <c r="AF335" s="69" t="n">
        <f aca="false">AC335-AD335-AE335</f>
        <v>0</v>
      </c>
      <c r="AG335" s="69" t="n">
        <f aca="false">IF(AJ334&gt;0.5,AJ334*(1+AG$23)+AG$24,0)</f>
        <v>0</v>
      </c>
      <c r="AH335" s="69" t="n">
        <f aca="false">MIN(AH$23,AG335)</f>
        <v>0</v>
      </c>
      <c r="AI335" s="69" t="n">
        <f aca="false">IF(AND(AH$24=1,OR(AG$25="",$C335&gt;=AG$25)),MAX(0,MIN(AG335-AH335,$D335-(G335+K335+O335+S335+W335+AA335+AE335))),0)</f>
        <v>0</v>
      </c>
      <c r="AJ335" s="69" t="n">
        <f aca="false">AG335-AH335-AI335</f>
        <v>0</v>
      </c>
      <c r="AK335" s="69" t="n">
        <f aca="false">IF(AK334&gt;0.5,AK334*(1+$E$12)+$G$12-MIN($F$12,AK334*(1+$E$12)+$G$12),0)</f>
        <v>0</v>
      </c>
      <c r="AL335" s="69" t="n">
        <f aca="false">IF(AL334&gt;0.5,AL334*(1+$E$13)+$G$13-MIN($F$13,AL334*(1+$E$13)+$G$13),0)</f>
        <v>0</v>
      </c>
      <c r="AM335" s="69" t="n">
        <f aca="false">IF(AM334&gt;0.5,AM334*(1+$E$14)+$G$14-MIN($F$14,AM334*(1+$E$14)+$G$14),0)</f>
        <v>0</v>
      </c>
      <c r="AN335" s="69" t="n">
        <f aca="false">IF(AN334&gt;0.5,AN334*(1+$E$15)+$G$15-MIN($F$15,AN334*(1+$E$15)+$G$15),0)</f>
        <v>0</v>
      </c>
      <c r="AO335" s="69" t="n">
        <f aca="false">IF(AO334&gt;0.5,AO334*(1+$E$16)+$G$16-MIN($F$16,AO334*(1+$E$16)+$G$16),0)</f>
        <v>0</v>
      </c>
      <c r="AP335" s="69" t="n">
        <f aca="false">IF(AP334&gt;0.5,AP334*(1+$E$17)+$G$17-MIN($F$17,AP334*(1+$E$17)+$G$17),0)</f>
        <v>0</v>
      </c>
      <c r="AQ335" s="69" t="n">
        <f aca="false">IF(AQ334&gt;0.5,AQ334*(1+$E$18)+$G$18-MIN($F$18,AQ334*(1+$E$18)+$G$18),0)</f>
        <v>0</v>
      </c>
      <c r="AR335" s="69" t="n">
        <f aca="false">IF(AR334&gt;0.5,AR334*(1+$E$19)+$G$19-MIN($F$19,AR334*(1+$E$19)+$G$19),0)</f>
        <v>0</v>
      </c>
      <c r="AS335" s="69" t="n">
        <f aca="false">H335+L335+P335+T335+X335+AB335+AF335+AJ335</f>
        <v>0</v>
      </c>
      <c r="AT335" s="69" t="n">
        <f aca="false">SUM(AK335:AR335)</f>
        <v>0</v>
      </c>
      <c r="AU335" s="69" t="n">
        <f aca="false">F335+G335+J335+K335+N335+O335+R335+S335+V335+W335+Z335+AA335+AD335+AE335+AH335+AI335</f>
        <v>0</v>
      </c>
    </row>
    <row r="336" customFormat="false" ht="15" hidden="false" customHeight="false" outlineLevel="0" collapsed="false">
      <c r="B336" s="0" t="n">
        <v>309</v>
      </c>
      <c r="C336" s="68" t="n">
        <f aca="false">EDATE($C$7,308)</f>
        <v>55671</v>
      </c>
      <c r="D336" s="69" t="n">
        <f aca="false">$C$8-(F336+J336+N336+R336+V336+Z336+AD336+AH336)</f>
        <v>0</v>
      </c>
      <c r="E336" s="69" t="n">
        <f aca="false">IF(H335&gt;0.5,H335*(1+E$23)+E$24,0)</f>
        <v>0</v>
      </c>
      <c r="F336" s="69" t="n">
        <f aca="false">MIN(F$23,E336)</f>
        <v>0</v>
      </c>
      <c r="G336" s="69" t="n">
        <f aca="false">IF(AND(F$24=1,OR(E$25="",$C336&gt;=E$25)),MAX(0,MIN(E336-F336,$D336-(0))),0)</f>
        <v>0</v>
      </c>
      <c r="H336" s="69" t="n">
        <f aca="false">E336-F336-G336</f>
        <v>0</v>
      </c>
      <c r="I336" s="69" t="n">
        <f aca="false">IF(L335&gt;0.5,L335*(1+I$23)+I$24,0)</f>
        <v>0</v>
      </c>
      <c r="J336" s="69" t="n">
        <f aca="false">MIN(J$23,I336)</f>
        <v>0</v>
      </c>
      <c r="K336" s="69" t="n">
        <f aca="false">IF(AND(J$24=1,OR(I$25="",$C336&gt;=I$25)),MAX(0,MIN(I336-J336,$D336-(G336))),0)</f>
        <v>0</v>
      </c>
      <c r="L336" s="69" t="n">
        <f aca="false">I336-J336-K336</f>
        <v>0</v>
      </c>
      <c r="M336" s="69" t="n">
        <f aca="false">IF(P335&gt;0.5,P335*(1+M$23)+M$24,0)</f>
        <v>0</v>
      </c>
      <c r="N336" s="69" t="n">
        <f aca="false">MIN(N$23,M336)</f>
        <v>0</v>
      </c>
      <c r="O336" s="69" t="n">
        <f aca="false">IF(AND(N$24=1,OR(M$25="",$C336&gt;=M$25)),MAX(0,MIN(M336-N336,$D336-(G336+K336))),0)</f>
        <v>0</v>
      </c>
      <c r="P336" s="69" t="n">
        <f aca="false">M336-N336-O336</f>
        <v>0</v>
      </c>
      <c r="Q336" s="69" t="n">
        <f aca="false">IF(T335&gt;0.5,T335*(1+Q$23)+Q$24,0)</f>
        <v>0</v>
      </c>
      <c r="R336" s="69" t="n">
        <f aca="false">MIN(R$23,Q336)</f>
        <v>0</v>
      </c>
      <c r="S336" s="69" t="n">
        <f aca="false">IF(AND(R$24=1,OR(Q$25="",$C336&gt;=Q$25)),MAX(0,MIN(Q336-R336,$D336-(G336+K336+O336))),0)</f>
        <v>0</v>
      </c>
      <c r="T336" s="69" t="n">
        <f aca="false">Q336-R336-S336</f>
        <v>0</v>
      </c>
      <c r="U336" s="69" t="n">
        <f aca="false">IF(X335&gt;0.5,X335*(1+U$23)+U$24,0)</f>
        <v>0</v>
      </c>
      <c r="V336" s="69" t="n">
        <f aca="false">MIN(V$23,U336)</f>
        <v>0</v>
      </c>
      <c r="W336" s="69" t="n">
        <f aca="false">IF(AND(V$24=1,OR(U$25="",$C336&gt;=U$25)),MAX(0,MIN(U336-V336,$D336-(G336+K336+O336+S336))),0)</f>
        <v>0</v>
      </c>
      <c r="X336" s="69" t="n">
        <f aca="false">U336-V336-W336</f>
        <v>0</v>
      </c>
      <c r="Y336" s="69" t="n">
        <f aca="false">IF(AB335&gt;0.5,AB335*(1+Y$23)+Y$24,0)</f>
        <v>0</v>
      </c>
      <c r="Z336" s="69" t="n">
        <f aca="false">MIN(Z$23,Y336)</f>
        <v>0</v>
      </c>
      <c r="AA336" s="69" t="n">
        <f aca="false">IF(AND(Z$24=1,OR(Y$25="",$C336&gt;=Y$25)),MAX(0,MIN(Y336-Z336,$D336-(G336+K336+O336+S336+W336))),0)</f>
        <v>0</v>
      </c>
      <c r="AB336" s="69" t="n">
        <f aca="false">Y336-Z336-AA336</f>
        <v>0</v>
      </c>
      <c r="AC336" s="69" t="n">
        <f aca="false">IF(AF335&gt;0.5,AF335*(1+AC$23)+AC$24,0)</f>
        <v>0</v>
      </c>
      <c r="AD336" s="69" t="n">
        <f aca="false">MIN(AD$23,AC336)</f>
        <v>0</v>
      </c>
      <c r="AE336" s="69" t="n">
        <f aca="false">IF(AND(AD$24=1,OR(AC$25="",$C336&gt;=AC$25)),MAX(0,MIN(AC336-AD336,$D336-(G336+K336+O336+S336+W336+AA336))),0)</f>
        <v>0</v>
      </c>
      <c r="AF336" s="69" t="n">
        <f aca="false">AC336-AD336-AE336</f>
        <v>0</v>
      </c>
      <c r="AG336" s="69" t="n">
        <f aca="false">IF(AJ335&gt;0.5,AJ335*(1+AG$23)+AG$24,0)</f>
        <v>0</v>
      </c>
      <c r="AH336" s="69" t="n">
        <f aca="false">MIN(AH$23,AG336)</f>
        <v>0</v>
      </c>
      <c r="AI336" s="69" t="n">
        <f aca="false">IF(AND(AH$24=1,OR(AG$25="",$C336&gt;=AG$25)),MAX(0,MIN(AG336-AH336,$D336-(G336+K336+O336+S336+W336+AA336+AE336))),0)</f>
        <v>0</v>
      </c>
      <c r="AJ336" s="69" t="n">
        <f aca="false">AG336-AH336-AI336</f>
        <v>0</v>
      </c>
      <c r="AK336" s="69" t="n">
        <f aca="false">IF(AK335&gt;0.5,AK335*(1+$E$12)+$G$12-MIN($F$12,AK335*(1+$E$12)+$G$12),0)</f>
        <v>0</v>
      </c>
      <c r="AL336" s="69" t="n">
        <f aca="false">IF(AL335&gt;0.5,AL335*(1+$E$13)+$G$13-MIN($F$13,AL335*(1+$E$13)+$G$13),0)</f>
        <v>0</v>
      </c>
      <c r="AM336" s="69" t="n">
        <f aca="false">IF(AM335&gt;0.5,AM335*(1+$E$14)+$G$14-MIN($F$14,AM335*(1+$E$14)+$G$14),0)</f>
        <v>0</v>
      </c>
      <c r="AN336" s="69" t="n">
        <f aca="false">IF(AN335&gt;0.5,AN335*(1+$E$15)+$G$15-MIN($F$15,AN335*(1+$E$15)+$G$15),0)</f>
        <v>0</v>
      </c>
      <c r="AO336" s="69" t="n">
        <f aca="false">IF(AO335&gt;0.5,AO335*(1+$E$16)+$G$16-MIN($F$16,AO335*(1+$E$16)+$G$16),0)</f>
        <v>0</v>
      </c>
      <c r="AP336" s="69" t="n">
        <f aca="false">IF(AP335&gt;0.5,AP335*(1+$E$17)+$G$17-MIN($F$17,AP335*(1+$E$17)+$G$17),0)</f>
        <v>0</v>
      </c>
      <c r="AQ336" s="69" t="n">
        <f aca="false">IF(AQ335&gt;0.5,AQ335*(1+$E$18)+$G$18-MIN($F$18,AQ335*(1+$E$18)+$G$18),0)</f>
        <v>0</v>
      </c>
      <c r="AR336" s="69" t="n">
        <f aca="false">IF(AR335&gt;0.5,AR335*(1+$E$19)+$G$19-MIN($F$19,AR335*(1+$E$19)+$G$19),0)</f>
        <v>0</v>
      </c>
      <c r="AS336" s="69" t="n">
        <f aca="false">H336+L336+P336+T336+X336+AB336+AF336+AJ336</f>
        <v>0</v>
      </c>
      <c r="AT336" s="69" t="n">
        <f aca="false">SUM(AK336:AR336)</f>
        <v>0</v>
      </c>
      <c r="AU336" s="69" t="n">
        <f aca="false">F336+G336+J336+K336+N336+O336+R336+S336+V336+W336+Z336+AA336+AD336+AE336+AH336+AI336</f>
        <v>0</v>
      </c>
    </row>
    <row r="337" customFormat="false" ht="15" hidden="false" customHeight="false" outlineLevel="0" collapsed="false">
      <c r="B337" s="0" t="n">
        <v>310</v>
      </c>
      <c r="C337" s="68" t="n">
        <f aca="false">EDATE($C$7,309)</f>
        <v>55701</v>
      </c>
      <c r="D337" s="69" t="n">
        <f aca="false">$C$8-(F337+J337+N337+R337+V337+Z337+AD337+AH337)</f>
        <v>0</v>
      </c>
      <c r="E337" s="69" t="n">
        <f aca="false">IF(H336&gt;0.5,H336*(1+E$23)+E$24,0)</f>
        <v>0</v>
      </c>
      <c r="F337" s="69" t="n">
        <f aca="false">MIN(F$23,E337)</f>
        <v>0</v>
      </c>
      <c r="G337" s="69" t="n">
        <f aca="false">IF(AND(F$24=1,OR(E$25="",$C337&gt;=E$25)),MAX(0,MIN(E337-F337,$D337-(0))),0)</f>
        <v>0</v>
      </c>
      <c r="H337" s="69" t="n">
        <f aca="false">E337-F337-G337</f>
        <v>0</v>
      </c>
      <c r="I337" s="69" t="n">
        <f aca="false">IF(L336&gt;0.5,L336*(1+I$23)+I$24,0)</f>
        <v>0</v>
      </c>
      <c r="J337" s="69" t="n">
        <f aca="false">MIN(J$23,I337)</f>
        <v>0</v>
      </c>
      <c r="K337" s="69" t="n">
        <f aca="false">IF(AND(J$24=1,OR(I$25="",$C337&gt;=I$25)),MAX(0,MIN(I337-J337,$D337-(G337))),0)</f>
        <v>0</v>
      </c>
      <c r="L337" s="69" t="n">
        <f aca="false">I337-J337-K337</f>
        <v>0</v>
      </c>
      <c r="M337" s="69" t="n">
        <f aca="false">IF(P336&gt;0.5,P336*(1+M$23)+M$24,0)</f>
        <v>0</v>
      </c>
      <c r="N337" s="69" t="n">
        <f aca="false">MIN(N$23,M337)</f>
        <v>0</v>
      </c>
      <c r="O337" s="69" t="n">
        <f aca="false">IF(AND(N$24=1,OR(M$25="",$C337&gt;=M$25)),MAX(0,MIN(M337-N337,$D337-(G337+K337))),0)</f>
        <v>0</v>
      </c>
      <c r="P337" s="69" t="n">
        <f aca="false">M337-N337-O337</f>
        <v>0</v>
      </c>
      <c r="Q337" s="69" t="n">
        <f aca="false">IF(T336&gt;0.5,T336*(1+Q$23)+Q$24,0)</f>
        <v>0</v>
      </c>
      <c r="R337" s="69" t="n">
        <f aca="false">MIN(R$23,Q337)</f>
        <v>0</v>
      </c>
      <c r="S337" s="69" t="n">
        <f aca="false">IF(AND(R$24=1,OR(Q$25="",$C337&gt;=Q$25)),MAX(0,MIN(Q337-R337,$D337-(G337+K337+O337))),0)</f>
        <v>0</v>
      </c>
      <c r="T337" s="69" t="n">
        <f aca="false">Q337-R337-S337</f>
        <v>0</v>
      </c>
      <c r="U337" s="69" t="n">
        <f aca="false">IF(X336&gt;0.5,X336*(1+U$23)+U$24,0)</f>
        <v>0</v>
      </c>
      <c r="V337" s="69" t="n">
        <f aca="false">MIN(V$23,U337)</f>
        <v>0</v>
      </c>
      <c r="W337" s="69" t="n">
        <f aca="false">IF(AND(V$24=1,OR(U$25="",$C337&gt;=U$25)),MAX(0,MIN(U337-V337,$D337-(G337+K337+O337+S337))),0)</f>
        <v>0</v>
      </c>
      <c r="X337" s="69" t="n">
        <f aca="false">U337-V337-W337</f>
        <v>0</v>
      </c>
      <c r="Y337" s="69" t="n">
        <f aca="false">IF(AB336&gt;0.5,AB336*(1+Y$23)+Y$24,0)</f>
        <v>0</v>
      </c>
      <c r="Z337" s="69" t="n">
        <f aca="false">MIN(Z$23,Y337)</f>
        <v>0</v>
      </c>
      <c r="AA337" s="69" t="n">
        <f aca="false">IF(AND(Z$24=1,OR(Y$25="",$C337&gt;=Y$25)),MAX(0,MIN(Y337-Z337,$D337-(G337+K337+O337+S337+W337))),0)</f>
        <v>0</v>
      </c>
      <c r="AB337" s="69" t="n">
        <f aca="false">Y337-Z337-AA337</f>
        <v>0</v>
      </c>
      <c r="AC337" s="69" t="n">
        <f aca="false">IF(AF336&gt;0.5,AF336*(1+AC$23)+AC$24,0)</f>
        <v>0</v>
      </c>
      <c r="AD337" s="69" t="n">
        <f aca="false">MIN(AD$23,AC337)</f>
        <v>0</v>
      </c>
      <c r="AE337" s="69" t="n">
        <f aca="false">IF(AND(AD$24=1,OR(AC$25="",$C337&gt;=AC$25)),MAX(0,MIN(AC337-AD337,$D337-(G337+K337+O337+S337+W337+AA337))),0)</f>
        <v>0</v>
      </c>
      <c r="AF337" s="69" t="n">
        <f aca="false">AC337-AD337-AE337</f>
        <v>0</v>
      </c>
      <c r="AG337" s="69" t="n">
        <f aca="false">IF(AJ336&gt;0.5,AJ336*(1+AG$23)+AG$24,0)</f>
        <v>0</v>
      </c>
      <c r="AH337" s="69" t="n">
        <f aca="false">MIN(AH$23,AG337)</f>
        <v>0</v>
      </c>
      <c r="AI337" s="69" t="n">
        <f aca="false">IF(AND(AH$24=1,OR(AG$25="",$C337&gt;=AG$25)),MAX(0,MIN(AG337-AH337,$D337-(G337+K337+O337+S337+W337+AA337+AE337))),0)</f>
        <v>0</v>
      </c>
      <c r="AJ337" s="69" t="n">
        <f aca="false">AG337-AH337-AI337</f>
        <v>0</v>
      </c>
      <c r="AK337" s="69" t="n">
        <f aca="false">IF(AK336&gt;0.5,AK336*(1+$E$12)+$G$12-MIN($F$12,AK336*(1+$E$12)+$G$12),0)</f>
        <v>0</v>
      </c>
      <c r="AL337" s="69" t="n">
        <f aca="false">IF(AL336&gt;0.5,AL336*(1+$E$13)+$G$13-MIN($F$13,AL336*(1+$E$13)+$G$13),0)</f>
        <v>0</v>
      </c>
      <c r="AM337" s="69" t="n">
        <f aca="false">IF(AM336&gt;0.5,AM336*(1+$E$14)+$G$14-MIN($F$14,AM336*(1+$E$14)+$G$14),0)</f>
        <v>0</v>
      </c>
      <c r="AN337" s="69" t="n">
        <f aca="false">IF(AN336&gt;0.5,AN336*(1+$E$15)+$G$15-MIN($F$15,AN336*(1+$E$15)+$G$15),0)</f>
        <v>0</v>
      </c>
      <c r="AO337" s="69" t="n">
        <f aca="false">IF(AO336&gt;0.5,AO336*(1+$E$16)+$G$16-MIN($F$16,AO336*(1+$E$16)+$G$16),0)</f>
        <v>0</v>
      </c>
      <c r="AP337" s="69" t="n">
        <f aca="false">IF(AP336&gt;0.5,AP336*(1+$E$17)+$G$17-MIN($F$17,AP336*(1+$E$17)+$G$17),0)</f>
        <v>0</v>
      </c>
      <c r="AQ337" s="69" t="n">
        <f aca="false">IF(AQ336&gt;0.5,AQ336*(1+$E$18)+$G$18-MIN($F$18,AQ336*(1+$E$18)+$G$18),0)</f>
        <v>0</v>
      </c>
      <c r="AR337" s="69" t="n">
        <f aca="false">IF(AR336&gt;0.5,AR336*(1+$E$19)+$G$19-MIN($F$19,AR336*(1+$E$19)+$G$19),0)</f>
        <v>0</v>
      </c>
      <c r="AS337" s="69" t="n">
        <f aca="false">H337+L337+P337+T337+X337+AB337+AF337+AJ337</f>
        <v>0</v>
      </c>
      <c r="AT337" s="69" t="n">
        <f aca="false">SUM(AK337:AR337)</f>
        <v>0</v>
      </c>
      <c r="AU337" s="69" t="n">
        <f aca="false">F337+G337+J337+K337+N337+O337+R337+S337+V337+W337+Z337+AA337+AD337+AE337+AH337+AI337</f>
        <v>0</v>
      </c>
    </row>
    <row r="338" customFormat="false" ht="15" hidden="false" customHeight="false" outlineLevel="0" collapsed="false">
      <c r="B338" s="0" t="n">
        <v>311</v>
      </c>
      <c r="C338" s="68" t="n">
        <f aca="false">EDATE($C$7,310)</f>
        <v>55732</v>
      </c>
      <c r="D338" s="69" t="n">
        <f aca="false">$C$8-(F338+J338+N338+R338+V338+Z338+AD338+AH338)</f>
        <v>0</v>
      </c>
      <c r="E338" s="69" t="n">
        <f aca="false">IF(H337&gt;0.5,H337*(1+E$23)+E$24,0)</f>
        <v>0</v>
      </c>
      <c r="F338" s="69" t="n">
        <f aca="false">MIN(F$23,E338)</f>
        <v>0</v>
      </c>
      <c r="G338" s="69" t="n">
        <f aca="false">IF(AND(F$24=1,OR(E$25="",$C338&gt;=E$25)),MAX(0,MIN(E338-F338,$D338-(0))),0)</f>
        <v>0</v>
      </c>
      <c r="H338" s="69" t="n">
        <f aca="false">E338-F338-G338</f>
        <v>0</v>
      </c>
      <c r="I338" s="69" t="n">
        <f aca="false">IF(L337&gt;0.5,L337*(1+I$23)+I$24,0)</f>
        <v>0</v>
      </c>
      <c r="J338" s="69" t="n">
        <f aca="false">MIN(J$23,I338)</f>
        <v>0</v>
      </c>
      <c r="K338" s="69" t="n">
        <f aca="false">IF(AND(J$24=1,OR(I$25="",$C338&gt;=I$25)),MAX(0,MIN(I338-J338,$D338-(G338))),0)</f>
        <v>0</v>
      </c>
      <c r="L338" s="69" t="n">
        <f aca="false">I338-J338-K338</f>
        <v>0</v>
      </c>
      <c r="M338" s="69" t="n">
        <f aca="false">IF(P337&gt;0.5,P337*(1+M$23)+M$24,0)</f>
        <v>0</v>
      </c>
      <c r="N338" s="69" t="n">
        <f aca="false">MIN(N$23,M338)</f>
        <v>0</v>
      </c>
      <c r="O338" s="69" t="n">
        <f aca="false">IF(AND(N$24=1,OR(M$25="",$C338&gt;=M$25)),MAX(0,MIN(M338-N338,$D338-(G338+K338))),0)</f>
        <v>0</v>
      </c>
      <c r="P338" s="69" t="n">
        <f aca="false">M338-N338-O338</f>
        <v>0</v>
      </c>
      <c r="Q338" s="69" t="n">
        <f aca="false">IF(T337&gt;0.5,T337*(1+Q$23)+Q$24,0)</f>
        <v>0</v>
      </c>
      <c r="R338" s="69" t="n">
        <f aca="false">MIN(R$23,Q338)</f>
        <v>0</v>
      </c>
      <c r="S338" s="69" t="n">
        <f aca="false">IF(AND(R$24=1,OR(Q$25="",$C338&gt;=Q$25)),MAX(0,MIN(Q338-R338,$D338-(G338+K338+O338))),0)</f>
        <v>0</v>
      </c>
      <c r="T338" s="69" t="n">
        <f aca="false">Q338-R338-S338</f>
        <v>0</v>
      </c>
      <c r="U338" s="69" t="n">
        <f aca="false">IF(X337&gt;0.5,X337*(1+U$23)+U$24,0)</f>
        <v>0</v>
      </c>
      <c r="V338" s="69" t="n">
        <f aca="false">MIN(V$23,U338)</f>
        <v>0</v>
      </c>
      <c r="W338" s="69" t="n">
        <f aca="false">IF(AND(V$24=1,OR(U$25="",$C338&gt;=U$25)),MAX(0,MIN(U338-V338,$D338-(G338+K338+O338+S338))),0)</f>
        <v>0</v>
      </c>
      <c r="X338" s="69" t="n">
        <f aca="false">U338-V338-W338</f>
        <v>0</v>
      </c>
      <c r="Y338" s="69" t="n">
        <f aca="false">IF(AB337&gt;0.5,AB337*(1+Y$23)+Y$24,0)</f>
        <v>0</v>
      </c>
      <c r="Z338" s="69" t="n">
        <f aca="false">MIN(Z$23,Y338)</f>
        <v>0</v>
      </c>
      <c r="AA338" s="69" t="n">
        <f aca="false">IF(AND(Z$24=1,OR(Y$25="",$C338&gt;=Y$25)),MAX(0,MIN(Y338-Z338,$D338-(G338+K338+O338+S338+W338))),0)</f>
        <v>0</v>
      </c>
      <c r="AB338" s="69" t="n">
        <f aca="false">Y338-Z338-AA338</f>
        <v>0</v>
      </c>
      <c r="AC338" s="69" t="n">
        <f aca="false">IF(AF337&gt;0.5,AF337*(1+AC$23)+AC$24,0)</f>
        <v>0</v>
      </c>
      <c r="AD338" s="69" t="n">
        <f aca="false">MIN(AD$23,AC338)</f>
        <v>0</v>
      </c>
      <c r="AE338" s="69" t="n">
        <f aca="false">IF(AND(AD$24=1,OR(AC$25="",$C338&gt;=AC$25)),MAX(0,MIN(AC338-AD338,$D338-(G338+K338+O338+S338+W338+AA338))),0)</f>
        <v>0</v>
      </c>
      <c r="AF338" s="69" t="n">
        <f aca="false">AC338-AD338-AE338</f>
        <v>0</v>
      </c>
      <c r="AG338" s="69" t="n">
        <f aca="false">IF(AJ337&gt;0.5,AJ337*(1+AG$23)+AG$24,0)</f>
        <v>0</v>
      </c>
      <c r="AH338" s="69" t="n">
        <f aca="false">MIN(AH$23,AG338)</f>
        <v>0</v>
      </c>
      <c r="AI338" s="69" t="n">
        <f aca="false">IF(AND(AH$24=1,OR(AG$25="",$C338&gt;=AG$25)),MAX(0,MIN(AG338-AH338,$D338-(G338+K338+O338+S338+W338+AA338+AE338))),0)</f>
        <v>0</v>
      </c>
      <c r="AJ338" s="69" t="n">
        <f aca="false">AG338-AH338-AI338</f>
        <v>0</v>
      </c>
      <c r="AK338" s="69" t="n">
        <f aca="false">IF(AK337&gt;0.5,AK337*(1+$E$12)+$G$12-MIN($F$12,AK337*(1+$E$12)+$G$12),0)</f>
        <v>0</v>
      </c>
      <c r="AL338" s="69" t="n">
        <f aca="false">IF(AL337&gt;0.5,AL337*(1+$E$13)+$G$13-MIN($F$13,AL337*(1+$E$13)+$G$13),0)</f>
        <v>0</v>
      </c>
      <c r="AM338" s="69" t="n">
        <f aca="false">IF(AM337&gt;0.5,AM337*(1+$E$14)+$G$14-MIN($F$14,AM337*(1+$E$14)+$G$14),0)</f>
        <v>0</v>
      </c>
      <c r="AN338" s="69" t="n">
        <f aca="false">IF(AN337&gt;0.5,AN337*(1+$E$15)+$G$15-MIN($F$15,AN337*(1+$E$15)+$G$15),0)</f>
        <v>0</v>
      </c>
      <c r="AO338" s="69" t="n">
        <f aca="false">IF(AO337&gt;0.5,AO337*(1+$E$16)+$G$16-MIN($F$16,AO337*(1+$E$16)+$G$16),0)</f>
        <v>0</v>
      </c>
      <c r="AP338" s="69" t="n">
        <f aca="false">IF(AP337&gt;0.5,AP337*(1+$E$17)+$G$17-MIN($F$17,AP337*(1+$E$17)+$G$17),0)</f>
        <v>0</v>
      </c>
      <c r="AQ338" s="69" t="n">
        <f aca="false">IF(AQ337&gt;0.5,AQ337*(1+$E$18)+$G$18-MIN($F$18,AQ337*(1+$E$18)+$G$18),0)</f>
        <v>0</v>
      </c>
      <c r="AR338" s="69" t="n">
        <f aca="false">IF(AR337&gt;0.5,AR337*(1+$E$19)+$G$19-MIN($F$19,AR337*(1+$E$19)+$G$19),0)</f>
        <v>0</v>
      </c>
      <c r="AS338" s="69" t="n">
        <f aca="false">H338+L338+P338+T338+X338+AB338+AF338+AJ338</f>
        <v>0</v>
      </c>
      <c r="AT338" s="69" t="n">
        <f aca="false">SUM(AK338:AR338)</f>
        <v>0</v>
      </c>
      <c r="AU338" s="69" t="n">
        <f aca="false">F338+G338+J338+K338+N338+O338+R338+S338+V338+W338+Z338+AA338+AD338+AE338+AH338+AI338</f>
        <v>0</v>
      </c>
    </row>
    <row r="339" customFormat="false" ht="15" hidden="false" customHeight="false" outlineLevel="0" collapsed="false">
      <c r="B339" s="0" t="n">
        <v>312</v>
      </c>
      <c r="C339" s="68" t="n">
        <f aca="false">EDATE($C$7,311)</f>
        <v>55763</v>
      </c>
      <c r="D339" s="69" t="n">
        <f aca="false">$C$8-(F339+J339+N339+R339+V339+Z339+AD339+AH339)</f>
        <v>0</v>
      </c>
      <c r="E339" s="69" t="n">
        <f aca="false">IF(H338&gt;0.5,H338*(1+E$23)+E$24,0)</f>
        <v>0</v>
      </c>
      <c r="F339" s="69" t="n">
        <f aca="false">MIN(F$23,E339)</f>
        <v>0</v>
      </c>
      <c r="G339" s="69" t="n">
        <f aca="false">IF(AND(F$24=1,OR(E$25="",$C339&gt;=E$25)),MAX(0,MIN(E339-F339,$D339-(0))),0)</f>
        <v>0</v>
      </c>
      <c r="H339" s="69" t="n">
        <f aca="false">E339-F339-G339</f>
        <v>0</v>
      </c>
      <c r="I339" s="69" t="n">
        <f aca="false">IF(L338&gt;0.5,L338*(1+I$23)+I$24,0)</f>
        <v>0</v>
      </c>
      <c r="J339" s="69" t="n">
        <f aca="false">MIN(J$23,I339)</f>
        <v>0</v>
      </c>
      <c r="K339" s="69" t="n">
        <f aca="false">IF(AND(J$24=1,OR(I$25="",$C339&gt;=I$25)),MAX(0,MIN(I339-J339,$D339-(G339))),0)</f>
        <v>0</v>
      </c>
      <c r="L339" s="69" t="n">
        <f aca="false">I339-J339-K339</f>
        <v>0</v>
      </c>
      <c r="M339" s="69" t="n">
        <f aca="false">IF(P338&gt;0.5,P338*(1+M$23)+M$24,0)</f>
        <v>0</v>
      </c>
      <c r="N339" s="69" t="n">
        <f aca="false">MIN(N$23,M339)</f>
        <v>0</v>
      </c>
      <c r="O339" s="69" t="n">
        <f aca="false">IF(AND(N$24=1,OR(M$25="",$C339&gt;=M$25)),MAX(0,MIN(M339-N339,$D339-(G339+K339))),0)</f>
        <v>0</v>
      </c>
      <c r="P339" s="69" t="n">
        <f aca="false">M339-N339-O339</f>
        <v>0</v>
      </c>
      <c r="Q339" s="69" t="n">
        <f aca="false">IF(T338&gt;0.5,T338*(1+Q$23)+Q$24,0)</f>
        <v>0</v>
      </c>
      <c r="R339" s="69" t="n">
        <f aca="false">MIN(R$23,Q339)</f>
        <v>0</v>
      </c>
      <c r="S339" s="69" t="n">
        <f aca="false">IF(AND(R$24=1,OR(Q$25="",$C339&gt;=Q$25)),MAX(0,MIN(Q339-R339,$D339-(G339+K339+O339))),0)</f>
        <v>0</v>
      </c>
      <c r="T339" s="69" t="n">
        <f aca="false">Q339-R339-S339</f>
        <v>0</v>
      </c>
      <c r="U339" s="69" t="n">
        <f aca="false">IF(X338&gt;0.5,X338*(1+U$23)+U$24,0)</f>
        <v>0</v>
      </c>
      <c r="V339" s="69" t="n">
        <f aca="false">MIN(V$23,U339)</f>
        <v>0</v>
      </c>
      <c r="W339" s="69" t="n">
        <f aca="false">IF(AND(V$24=1,OR(U$25="",$C339&gt;=U$25)),MAX(0,MIN(U339-V339,$D339-(G339+K339+O339+S339))),0)</f>
        <v>0</v>
      </c>
      <c r="X339" s="69" t="n">
        <f aca="false">U339-V339-W339</f>
        <v>0</v>
      </c>
      <c r="Y339" s="69" t="n">
        <f aca="false">IF(AB338&gt;0.5,AB338*(1+Y$23)+Y$24,0)</f>
        <v>0</v>
      </c>
      <c r="Z339" s="69" t="n">
        <f aca="false">MIN(Z$23,Y339)</f>
        <v>0</v>
      </c>
      <c r="AA339" s="69" t="n">
        <f aca="false">IF(AND(Z$24=1,OR(Y$25="",$C339&gt;=Y$25)),MAX(0,MIN(Y339-Z339,$D339-(G339+K339+O339+S339+W339))),0)</f>
        <v>0</v>
      </c>
      <c r="AB339" s="69" t="n">
        <f aca="false">Y339-Z339-AA339</f>
        <v>0</v>
      </c>
      <c r="AC339" s="69" t="n">
        <f aca="false">IF(AF338&gt;0.5,AF338*(1+AC$23)+AC$24,0)</f>
        <v>0</v>
      </c>
      <c r="AD339" s="69" t="n">
        <f aca="false">MIN(AD$23,AC339)</f>
        <v>0</v>
      </c>
      <c r="AE339" s="69" t="n">
        <f aca="false">IF(AND(AD$24=1,OR(AC$25="",$C339&gt;=AC$25)),MAX(0,MIN(AC339-AD339,$D339-(G339+K339+O339+S339+W339+AA339))),0)</f>
        <v>0</v>
      </c>
      <c r="AF339" s="69" t="n">
        <f aca="false">AC339-AD339-AE339</f>
        <v>0</v>
      </c>
      <c r="AG339" s="69" t="n">
        <f aca="false">IF(AJ338&gt;0.5,AJ338*(1+AG$23)+AG$24,0)</f>
        <v>0</v>
      </c>
      <c r="AH339" s="69" t="n">
        <f aca="false">MIN(AH$23,AG339)</f>
        <v>0</v>
      </c>
      <c r="AI339" s="69" t="n">
        <f aca="false">IF(AND(AH$24=1,OR(AG$25="",$C339&gt;=AG$25)),MAX(0,MIN(AG339-AH339,$D339-(G339+K339+O339+S339+W339+AA339+AE339))),0)</f>
        <v>0</v>
      </c>
      <c r="AJ339" s="69" t="n">
        <f aca="false">AG339-AH339-AI339</f>
        <v>0</v>
      </c>
      <c r="AK339" s="69" t="n">
        <f aca="false">IF(AK338&gt;0.5,AK338*(1+$E$12)+$G$12-MIN($F$12,AK338*(1+$E$12)+$G$12),0)</f>
        <v>0</v>
      </c>
      <c r="AL339" s="69" t="n">
        <f aca="false">IF(AL338&gt;0.5,AL338*(1+$E$13)+$G$13-MIN($F$13,AL338*(1+$E$13)+$G$13),0)</f>
        <v>0</v>
      </c>
      <c r="AM339" s="69" t="n">
        <f aca="false">IF(AM338&gt;0.5,AM338*(1+$E$14)+$G$14-MIN($F$14,AM338*(1+$E$14)+$G$14),0)</f>
        <v>0</v>
      </c>
      <c r="AN339" s="69" t="n">
        <f aca="false">IF(AN338&gt;0.5,AN338*(1+$E$15)+$G$15-MIN($F$15,AN338*(1+$E$15)+$G$15),0)</f>
        <v>0</v>
      </c>
      <c r="AO339" s="69" t="n">
        <f aca="false">IF(AO338&gt;0.5,AO338*(1+$E$16)+$G$16-MIN($F$16,AO338*(1+$E$16)+$G$16),0)</f>
        <v>0</v>
      </c>
      <c r="AP339" s="69" t="n">
        <f aca="false">IF(AP338&gt;0.5,AP338*(1+$E$17)+$G$17-MIN($F$17,AP338*(1+$E$17)+$G$17),0)</f>
        <v>0</v>
      </c>
      <c r="AQ339" s="69" t="n">
        <f aca="false">IF(AQ338&gt;0.5,AQ338*(1+$E$18)+$G$18-MIN($F$18,AQ338*(1+$E$18)+$G$18),0)</f>
        <v>0</v>
      </c>
      <c r="AR339" s="69" t="n">
        <f aca="false">IF(AR338&gt;0.5,AR338*(1+$E$19)+$G$19-MIN($F$19,AR338*(1+$E$19)+$G$19),0)</f>
        <v>0</v>
      </c>
      <c r="AS339" s="69" t="n">
        <f aca="false">H339+L339+P339+T339+X339+AB339+AF339+AJ339</f>
        <v>0</v>
      </c>
      <c r="AT339" s="69" t="n">
        <f aca="false">SUM(AK339:AR339)</f>
        <v>0</v>
      </c>
      <c r="AU339" s="69" t="n">
        <f aca="false">F339+G339+J339+K339+N339+O339+R339+S339+V339+W339+Z339+AA339+AD339+AE339+AH339+AI339</f>
        <v>0</v>
      </c>
    </row>
    <row r="340" customFormat="false" ht="15" hidden="false" customHeight="false" outlineLevel="0" collapsed="false">
      <c r="B340" s="0" t="n">
        <v>313</v>
      </c>
      <c r="C340" s="68" t="n">
        <f aca="false">EDATE($C$7,312)</f>
        <v>55793</v>
      </c>
      <c r="D340" s="69" t="n">
        <f aca="false">$C$8-(F340+J340+N340+R340+V340+Z340+AD340+AH340)</f>
        <v>0</v>
      </c>
      <c r="E340" s="69" t="n">
        <f aca="false">IF(H339&gt;0.5,H339*(1+E$23)+E$24,0)</f>
        <v>0</v>
      </c>
      <c r="F340" s="69" t="n">
        <f aca="false">MIN(F$23,E340)</f>
        <v>0</v>
      </c>
      <c r="G340" s="69" t="n">
        <f aca="false">IF(AND(F$24=1,OR(E$25="",$C340&gt;=E$25)),MAX(0,MIN(E340-F340,$D340-(0))),0)</f>
        <v>0</v>
      </c>
      <c r="H340" s="69" t="n">
        <f aca="false">E340-F340-G340</f>
        <v>0</v>
      </c>
      <c r="I340" s="69" t="n">
        <f aca="false">IF(L339&gt;0.5,L339*(1+I$23)+I$24,0)</f>
        <v>0</v>
      </c>
      <c r="J340" s="69" t="n">
        <f aca="false">MIN(J$23,I340)</f>
        <v>0</v>
      </c>
      <c r="K340" s="69" t="n">
        <f aca="false">IF(AND(J$24=1,OR(I$25="",$C340&gt;=I$25)),MAX(0,MIN(I340-J340,$D340-(G340))),0)</f>
        <v>0</v>
      </c>
      <c r="L340" s="69" t="n">
        <f aca="false">I340-J340-K340</f>
        <v>0</v>
      </c>
      <c r="M340" s="69" t="n">
        <f aca="false">IF(P339&gt;0.5,P339*(1+M$23)+M$24,0)</f>
        <v>0</v>
      </c>
      <c r="N340" s="69" t="n">
        <f aca="false">MIN(N$23,M340)</f>
        <v>0</v>
      </c>
      <c r="O340" s="69" t="n">
        <f aca="false">IF(AND(N$24=1,OR(M$25="",$C340&gt;=M$25)),MAX(0,MIN(M340-N340,$D340-(G340+K340))),0)</f>
        <v>0</v>
      </c>
      <c r="P340" s="69" t="n">
        <f aca="false">M340-N340-O340</f>
        <v>0</v>
      </c>
      <c r="Q340" s="69" t="n">
        <f aca="false">IF(T339&gt;0.5,T339*(1+Q$23)+Q$24,0)</f>
        <v>0</v>
      </c>
      <c r="R340" s="69" t="n">
        <f aca="false">MIN(R$23,Q340)</f>
        <v>0</v>
      </c>
      <c r="S340" s="69" t="n">
        <f aca="false">IF(AND(R$24=1,OR(Q$25="",$C340&gt;=Q$25)),MAX(0,MIN(Q340-R340,$D340-(G340+K340+O340))),0)</f>
        <v>0</v>
      </c>
      <c r="T340" s="69" t="n">
        <f aca="false">Q340-R340-S340</f>
        <v>0</v>
      </c>
      <c r="U340" s="69" t="n">
        <f aca="false">IF(X339&gt;0.5,X339*(1+U$23)+U$24,0)</f>
        <v>0</v>
      </c>
      <c r="V340" s="69" t="n">
        <f aca="false">MIN(V$23,U340)</f>
        <v>0</v>
      </c>
      <c r="W340" s="69" t="n">
        <f aca="false">IF(AND(V$24=1,OR(U$25="",$C340&gt;=U$25)),MAX(0,MIN(U340-V340,$D340-(G340+K340+O340+S340))),0)</f>
        <v>0</v>
      </c>
      <c r="X340" s="69" t="n">
        <f aca="false">U340-V340-W340</f>
        <v>0</v>
      </c>
      <c r="Y340" s="69" t="n">
        <f aca="false">IF(AB339&gt;0.5,AB339*(1+Y$23)+Y$24,0)</f>
        <v>0</v>
      </c>
      <c r="Z340" s="69" t="n">
        <f aca="false">MIN(Z$23,Y340)</f>
        <v>0</v>
      </c>
      <c r="AA340" s="69" t="n">
        <f aca="false">IF(AND(Z$24=1,OR(Y$25="",$C340&gt;=Y$25)),MAX(0,MIN(Y340-Z340,$D340-(G340+K340+O340+S340+W340))),0)</f>
        <v>0</v>
      </c>
      <c r="AB340" s="69" t="n">
        <f aca="false">Y340-Z340-AA340</f>
        <v>0</v>
      </c>
      <c r="AC340" s="69" t="n">
        <f aca="false">IF(AF339&gt;0.5,AF339*(1+AC$23)+AC$24,0)</f>
        <v>0</v>
      </c>
      <c r="AD340" s="69" t="n">
        <f aca="false">MIN(AD$23,AC340)</f>
        <v>0</v>
      </c>
      <c r="AE340" s="69" t="n">
        <f aca="false">IF(AND(AD$24=1,OR(AC$25="",$C340&gt;=AC$25)),MAX(0,MIN(AC340-AD340,$D340-(G340+K340+O340+S340+W340+AA340))),0)</f>
        <v>0</v>
      </c>
      <c r="AF340" s="69" t="n">
        <f aca="false">AC340-AD340-AE340</f>
        <v>0</v>
      </c>
      <c r="AG340" s="69" t="n">
        <f aca="false">IF(AJ339&gt;0.5,AJ339*(1+AG$23)+AG$24,0)</f>
        <v>0</v>
      </c>
      <c r="AH340" s="69" t="n">
        <f aca="false">MIN(AH$23,AG340)</f>
        <v>0</v>
      </c>
      <c r="AI340" s="69" t="n">
        <f aca="false">IF(AND(AH$24=1,OR(AG$25="",$C340&gt;=AG$25)),MAX(0,MIN(AG340-AH340,$D340-(G340+K340+O340+S340+W340+AA340+AE340))),0)</f>
        <v>0</v>
      </c>
      <c r="AJ340" s="69" t="n">
        <f aca="false">AG340-AH340-AI340</f>
        <v>0</v>
      </c>
      <c r="AK340" s="69" t="n">
        <f aca="false">IF(AK339&gt;0.5,AK339*(1+$E$12)+$G$12-MIN($F$12,AK339*(1+$E$12)+$G$12),0)</f>
        <v>0</v>
      </c>
      <c r="AL340" s="69" t="n">
        <f aca="false">IF(AL339&gt;0.5,AL339*(1+$E$13)+$G$13-MIN($F$13,AL339*(1+$E$13)+$G$13),0)</f>
        <v>0</v>
      </c>
      <c r="AM340" s="69" t="n">
        <f aca="false">IF(AM339&gt;0.5,AM339*(1+$E$14)+$G$14-MIN($F$14,AM339*(1+$E$14)+$G$14),0)</f>
        <v>0</v>
      </c>
      <c r="AN340" s="69" t="n">
        <f aca="false">IF(AN339&gt;0.5,AN339*(1+$E$15)+$G$15-MIN($F$15,AN339*(1+$E$15)+$G$15),0)</f>
        <v>0</v>
      </c>
      <c r="AO340" s="69" t="n">
        <f aca="false">IF(AO339&gt;0.5,AO339*(1+$E$16)+$G$16-MIN($F$16,AO339*(1+$E$16)+$G$16),0)</f>
        <v>0</v>
      </c>
      <c r="AP340" s="69" t="n">
        <f aca="false">IF(AP339&gt;0.5,AP339*(1+$E$17)+$G$17-MIN($F$17,AP339*(1+$E$17)+$G$17),0)</f>
        <v>0</v>
      </c>
      <c r="AQ340" s="69" t="n">
        <f aca="false">IF(AQ339&gt;0.5,AQ339*(1+$E$18)+$G$18-MIN($F$18,AQ339*(1+$E$18)+$G$18),0)</f>
        <v>0</v>
      </c>
      <c r="AR340" s="69" t="n">
        <f aca="false">IF(AR339&gt;0.5,AR339*(1+$E$19)+$G$19-MIN($F$19,AR339*(1+$E$19)+$G$19),0)</f>
        <v>0</v>
      </c>
      <c r="AS340" s="69" t="n">
        <f aca="false">H340+L340+P340+T340+X340+AB340+AF340+AJ340</f>
        <v>0</v>
      </c>
      <c r="AT340" s="69" t="n">
        <f aca="false">SUM(AK340:AR340)</f>
        <v>0</v>
      </c>
      <c r="AU340" s="69" t="n">
        <f aca="false">F340+G340+J340+K340+N340+O340+R340+S340+V340+W340+Z340+AA340+AD340+AE340+AH340+AI340</f>
        <v>0</v>
      </c>
    </row>
    <row r="341" customFormat="false" ht="15" hidden="false" customHeight="false" outlineLevel="0" collapsed="false">
      <c r="B341" s="0" t="n">
        <v>314</v>
      </c>
      <c r="C341" s="68" t="n">
        <f aca="false">EDATE($C$7,313)</f>
        <v>55824</v>
      </c>
      <c r="D341" s="69" t="n">
        <f aca="false">$C$8-(F341+J341+N341+R341+V341+Z341+AD341+AH341)</f>
        <v>0</v>
      </c>
      <c r="E341" s="69" t="n">
        <f aca="false">IF(H340&gt;0.5,H340*(1+E$23)+E$24,0)</f>
        <v>0</v>
      </c>
      <c r="F341" s="69" t="n">
        <f aca="false">MIN(F$23,E341)</f>
        <v>0</v>
      </c>
      <c r="G341" s="69" t="n">
        <f aca="false">IF(AND(F$24=1,OR(E$25="",$C341&gt;=E$25)),MAX(0,MIN(E341-F341,$D341-(0))),0)</f>
        <v>0</v>
      </c>
      <c r="H341" s="69" t="n">
        <f aca="false">E341-F341-G341</f>
        <v>0</v>
      </c>
      <c r="I341" s="69" t="n">
        <f aca="false">IF(L340&gt;0.5,L340*(1+I$23)+I$24,0)</f>
        <v>0</v>
      </c>
      <c r="J341" s="69" t="n">
        <f aca="false">MIN(J$23,I341)</f>
        <v>0</v>
      </c>
      <c r="K341" s="69" t="n">
        <f aca="false">IF(AND(J$24=1,OR(I$25="",$C341&gt;=I$25)),MAX(0,MIN(I341-J341,$D341-(G341))),0)</f>
        <v>0</v>
      </c>
      <c r="L341" s="69" t="n">
        <f aca="false">I341-J341-K341</f>
        <v>0</v>
      </c>
      <c r="M341" s="69" t="n">
        <f aca="false">IF(P340&gt;0.5,P340*(1+M$23)+M$24,0)</f>
        <v>0</v>
      </c>
      <c r="N341" s="69" t="n">
        <f aca="false">MIN(N$23,M341)</f>
        <v>0</v>
      </c>
      <c r="O341" s="69" t="n">
        <f aca="false">IF(AND(N$24=1,OR(M$25="",$C341&gt;=M$25)),MAX(0,MIN(M341-N341,$D341-(G341+K341))),0)</f>
        <v>0</v>
      </c>
      <c r="P341" s="69" t="n">
        <f aca="false">M341-N341-O341</f>
        <v>0</v>
      </c>
      <c r="Q341" s="69" t="n">
        <f aca="false">IF(T340&gt;0.5,T340*(1+Q$23)+Q$24,0)</f>
        <v>0</v>
      </c>
      <c r="R341" s="69" t="n">
        <f aca="false">MIN(R$23,Q341)</f>
        <v>0</v>
      </c>
      <c r="S341" s="69" t="n">
        <f aca="false">IF(AND(R$24=1,OR(Q$25="",$C341&gt;=Q$25)),MAX(0,MIN(Q341-R341,$D341-(G341+K341+O341))),0)</f>
        <v>0</v>
      </c>
      <c r="T341" s="69" t="n">
        <f aca="false">Q341-R341-S341</f>
        <v>0</v>
      </c>
      <c r="U341" s="69" t="n">
        <f aca="false">IF(X340&gt;0.5,X340*(1+U$23)+U$24,0)</f>
        <v>0</v>
      </c>
      <c r="V341" s="69" t="n">
        <f aca="false">MIN(V$23,U341)</f>
        <v>0</v>
      </c>
      <c r="W341" s="69" t="n">
        <f aca="false">IF(AND(V$24=1,OR(U$25="",$C341&gt;=U$25)),MAX(0,MIN(U341-V341,$D341-(G341+K341+O341+S341))),0)</f>
        <v>0</v>
      </c>
      <c r="X341" s="69" t="n">
        <f aca="false">U341-V341-W341</f>
        <v>0</v>
      </c>
      <c r="Y341" s="69" t="n">
        <f aca="false">IF(AB340&gt;0.5,AB340*(1+Y$23)+Y$24,0)</f>
        <v>0</v>
      </c>
      <c r="Z341" s="69" t="n">
        <f aca="false">MIN(Z$23,Y341)</f>
        <v>0</v>
      </c>
      <c r="AA341" s="69" t="n">
        <f aca="false">IF(AND(Z$24=1,OR(Y$25="",$C341&gt;=Y$25)),MAX(0,MIN(Y341-Z341,$D341-(G341+K341+O341+S341+W341))),0)</f>
        <v>0</v>
      </c>
      <c r="AB341" s="69" t="n">
        <f aca="false">Y341-Z341-AA341</f>
        <v>0</v>
      </c>
      <c r="AC341" s="69" t="n">
        <f aca="false">IF(AF340&gt;0.5,AF340*(1+AC$23)+AC$24,0)</f>
        <v>0</v>
      </c>
      <c r="AD341" s="69" t="n">
        <f aca="false">MIN(AD$23,AC341)</f>
        <v>0</v>
      </c>
      <c r="AE341" s="69" t="n">
        <f aca="false">IF(AND(AD$24=1,OR(AC$25="",$C341&gt;=AC$25)),MAX(0,MIN(AC341-AD341,$D341-(G341+K341+O341+S341+W341+AA341))),0)</f>
        <v>0</v>
      </c>
      <c r="AF341" s="69" t="n">
        <f aca="false">AC341-AD341-AE341</f>
        <v>0</v>
      </c>
      <c r="AG341" s="69" t="n">
        <f aca="false">IF(AJ340&gt;0.5,AJ340*(1+AG$23)+AG$24,0)</f>
        <v>0</v>
      </c>
      <c r="AH341" s="69" t="n">
        <f aca="false">MIN(AH$23,AG341)</f>
        <v>0</v>
      </c>
      <c r="AI341" s="69" t="n">
        <f aca="false">IF(AND(AH$24=1,OR(AG$25="",$C341&gt;=AG$25)),MAX(0,MIN(AG341-AH341,$D341-(G341+K341+O341+S341+W341+AA341+AE341))),0)</f>
        <v>0</v>
      </c>
      <c r="AJ341" s="69" t="n">
        <f aca="false">AG341-AH341-AI341</f>
        <v>0</v>
      </c>
      <c r="AK341" s="69" t="n">
        <f aca="false">IF(AK340&gt;0.5,AK340*(1+$E$12)+$G$12-MIN($F$12,AK340*(1+$E$12)+$G$12),0)</f>
        <v>0</v>
      </c>
      <c r="AL341" s="69" t="n">
        <f aca="false">IF(AL340&gt;0.5,AL340*(1+$E$13)+$G$13-MIN($F$13,AL340*(1+$E$13)+$G$13),0)</f>
        <v>0</v>
      </c>
      <c r="AM341" s="69" t="n">
        <f aca="false">IF(AM340&gt;0.5,AM340*(1+$E$14)+$G$14-MIN($F$14,AM340*(1+$E$14)+$G$14),0)</f>
        <v>0</v>
      </c>
      <c r="AN341" s="69" t="n">
        <f aca="false">IF(AN340&gt;0.5,AN340*(1+$E$15)+$G$15-MIN($F$15,AN340*(1+$E$15)+$G$15),0)</f>
        <v>0</v>
      </c>
      <c r="AO341" s="69" t="n">
        <f aca="false">IF(AO340&gt;0.5,AO340*(1+$E$16)+$G$16-MIN($F$16,AO340*(1+$E$16)+$G$16),0)</f>
        <v>0</v>
      </c>
      <c r="AP341" s="69" t="n">
        <f aca="false">IF(AP340&gt;0.5,AP340*(1+$E$17)+$G$17-MIN($F$17,AP340*(1+$E$17)+$G$17),0)</f>
        <v>0</v>
      </c>
      <c r="AQ341" s="69" t="n">
        <f aca="false">IF(AQ340&gt;0.5,AQ340*(1+$E$18)+$G$18-MIN($F$18,AQ340*(1+$E$18)+$G$18),0)</f>
        <v>0</v>
      </c>
      <c r="AR341" s="69" t="n">
        <f aca="false">IF(AR340&gt;0.5,AR340*(1+$E$19)+$G$19-MIN($F$19,AR340*(1+$E$19)+$G$19),0)</f>
        <v>0</v>
      </c>
      <c r="AS341" s="69" t="n">
        <f aca="false">H341+L341+P341+T341+X341+AB341+AF341+AJ341</f>
        <v>0</v>
      </c>
      <c r="AT341" s="69" t="n">
        <f aca="false">SUM(AK341:AR341)</f>
        <v>0</v>
      </c>
      <c r="AU341" s="69" t="n">
        <f aca="false">F341+G341+J341+K341+N341+O341+R341+S341+V341+W341+Z341+AA341+AD341+AE341+AH341+AI341</f>
        <v>0</v>
      </c>
    </row>
    <row r="342" customFormat="false" ht="15" hidden="false" customHeight="false" outlineLevel="0" collapsed="false">
      <c r="B342" s="0" t="n">
        <v>315</v>
      </c>
      <c r="C342" s="68" t="n">
        <f aca="false">EDATE($C$7,314)</f>
        <v>55854</v>
      </c>
      <c r="D342" s="69" t="n">
        <f aca="false">$C$8-(F342+J342+N342+R342+V342+Z342+AD342+AH342)</f>
        <v>0</v>
      </c>
      <c r="E342" s="69" t="n">
        <f aca="false">IF(H341&gt;0.5,H341*(1+E$23)+E$24,0)</f>
        <v>0</v>
      </c>
      <c r="F342" s="69" t="n">
        <f aca="false">MIN(F$23,E342)</f>
        <v>0</v>
      </c>
      <c r="G342" s="69" t="n">
        <f aca="false">IF(AND(F$24=1,OR(E$25="",$C342&gt;=E$25)),MAX(0,MIN(E342-F342,$D342-(0))),0)</f>
        <v>0</v>
      </c>
      <c r="H342" s="69" t="n">
        <f aca="false">E342-F342-G342</f>
        <v>0</v>
      </c>
      <c r="I342" s="69" t="n">
        <f aca="false">IF(L341&gt;0.5,L341*(1+I$23)+I$24,0)</f>
        <v>0</v>
      </c>
      <c r="J342" s="69" t="n">
        <f aca="false">MIN(J$23,I342)</f>
        <v>0</v>
      </c>
      <c r="K342" s="69" t="n">
        <f aca="false">IF(AND(J$24=1,OR(I$25="",$C342&gt;=I$25)),MAX(0,MIN(I342-J342,$D342-(G342))),0)</f>
        <v>0</v>
      </c>
      <c r="L342" s="69" t="n">
        <f aca="false">I342-J342-K342</f>
        <v>0</v>
      </c>
      <c r="M342" s="69" t="n">
        <f aca="false">IF(P341&gt;0.5,P341*(1+M$23)+M$24,0)</f>
        <v>0</v>
      </c>
      <c r="N342" s="69" t="n">
        <f aca="false">MIN(N$23,M342)</f>
        <v>0</v>
      </c>
      <c r="O342" s="69" t="n">
        <f aca="false">IF(AND(N$24=1,OR(M$25="",$C342&gt;=M$25)),MAX(0,MIN(M342-N342,$D342-(G342+K342))),0)</f>
        <v>0</v>
      </c>
      <c r="P342" s="69" t="n">
        <f aca="false">M342-N342-O342</f>
        <v>0</v>
      </c>
      <c r="Q342" s="69" t="n">
        <f aca="false">IF(T341&gt;0.5,T341*(1+Q$23)+Q$24,0)</f>
        <v>0</v>
      </c>
      <c r="R342" s="69" t="n">
        <f aca="false">MIN(R$23,Q342)</f>
        <v>0</v>
      </c>
      <c r="S342" s="69" t="n">
        <f aca="false">IF(AND(R$24=1,OR(Q$25="",$C342&gt;=Q$25)),MAX(0,MIN(Q342-R342,$D342-(G342+K342+O342))),0)</f>
        <v>0</v>
      </c>
      <c r="T342" s="69" t="n">
        <f aca="false">Q342-R342-S342</f>
        <v>0</v>
      </c>
      <c r="U342" s="69" t="n">
        <f aca="false">IF(X341&gt;0.5,X341*(1+U$23)+U$24,0)</f>
        <v>0</v>
      </c>
      <c r="V342" s="69" t="n">
        <f aca="false">MIN(V$23,U342)</f>
        <v>0</v>
      </c>
      <c r="W342" s="69" t="n">
        <f aca="false">IF(AND(V$24=1,OR(U$25="",$C342&gt;=U$25)),MAX(0,MIN(U342-V342,$D342-(G342+K342+O342+S342))),0)</f>
        <v>0</v>
      </c>
      <c r="X342" s="69" t="n">
        <f aca="false">U342-V342-W342</f>
        <v>0</v>
      </c>
      <c r="Y342" s="69" t="n">
        <f aca="false">IF(AB341&gt;0.5,AB341*(1+Y$23)+Y$24,0)</f>
        <v>0</v>
      </c>
      <c r="Z342" s="69" t="n">
        <f aca="false">MIN(Z$23,Y342)</f>
        <v>0</v>
      </c>
      <c r="AA342" s="69" t="n">
        <f aca="false">IF(AND(Z$24=1,OR(Y$25="",$C342&gt;=Y$25)),MAX(0,MIN(Y342-Z342,$D342-(G342+K342+O342+S342+W342))),0)</f>
        <v>0</v>
      </c>
      <c r="AB342" s="69" t="n">
        <f aca="false">Y342-Z342-AA342</f>
        <v>0</v>
      </c>
      <c r="AC342" s="69" t="n">
        <f aca="false">IF(AF341&gt;0.5,AF341*(1+AC$23)+AC$24,0)</f>
        <v>0</v>
      </c>
      <c r="AD342" s="69" t="n">
        <f aca="false">MIN(AD$23,AC342)</f>
        <v>0</v>
      </c>
      <c r="AE342" s="69" t="n">
        <f aca="false">IF(AND(AD$24=1,OR(AC$25="",$C342&gt;=AC$25)),MAX(0,MIN(AC342-AD342,$D342-(G342+K342+O342+S342+W342+AA342))),0)</f>
        <v>0</v>
      </c>
      <c r="AF342" s="69" t="n">
        <f aca="false">AC342-AD342-AE342</f>
        <v>0</v>
      </c>
      <c r="AG342" s="69" t="n">
        <f aca="false">IF(AJ341&gt;0.5,AJ341*(1+AG$23)+AG$24,0)</f>
        <v>0</v>
      </c>
      <c r="AH342" s="69" t="n">
        <f aca="false">MIN(AH$23,AG342)</f>
        <v>0</v>
      </c>
      <c r="AI342" s="69" t="n">
        <f aca="false">IF(AND(AH$24=1,OR(AG$25="",$C342&gt;=AG$25)),MAX(0,MIN(AG342-AH342,$D342-(G342+K342+O342+S342+W342+AA342+AE342))),0)</f>
        <v>0</v>
      </c>
      <c r="AJ342" s="69" t="n">
        <f aca="false">AG342-AH342-AI342</f>
        <v>0</v>
      </c>
      <c r="AK342" s="69" t="n">
        <f aca="false">IF(AK341&gt;0.5,AK341*(1+$E$12)+$G$12-MIN($F$12,AK341*(1+$E$12)+$G$12),0)</f>
        <v>0</v>
      </c>
      <c r="AL342" s="69" t="n">
        <f aca="false">IF(AL341&gt;0.5,AL341*(1+$E$13)+$G$13-MIN($F$13,AL341*(1+$E$13)+$G$13),0)</f>
        <v>0</v>
      </c>
      <c r="AM342" s="69" t="n">
        <f aca="false">IF(AM341&gt;0.5,AM341*(1+$E$14)+$G$14-MIN($F$14,AM341*(1+$E$14)+$G$14),0)</f>
        <v>0</v>
      </c>
      <c r="AN342" s="69" t="n">
        <f aca="false">IF(AN341&gt;0.5,AN341*(1+$E$15)+$G$15-MIN($F$15,AN341*(1+$E$15)+$G$15),0)</f>
        <v>0</v>
      </c>
      <c r="AO342" s="69" t="n">
        <f aca="false">IF(AO341&gt;0.5,AO341*(1+$E$16)+$G$16-MIN($F$16,AO341*(1+$E$16)+$G$16),0)</f>
        <v>0</v>
      </c>
      <c r="AP342" s="69" t="n">
        <f aca="false">IF(AP341&gt;0.5,AP341*(1+$E$17)+$G$17-MIN($F$17,AP341*(1+$E$17)+$G$17),0)</f>
        <v>0</v>
      </c>
      <c r="AQ342" s="69" t="n">
        <f aca="false">IF(AQ341&gt;0.5,AQ341*(1+$E$18)+$G$18-MIN($F$18,AQ341*(1+$E$18)+$G$18),0)</f>
        <v>0</v>
      </c>
      <c r="AR342" s="69" t="n">
        <f aca="false">IF(AR341&gt;0.5,AR341*(1+$E$19)+$G$19-MIN($F$19,AR341*(1+$E$19)+$G$19),0)</f>
        <v>0</v>
      </c>
      <c r="AS342" s="69" t="n">
        <f aca="false">H342+L342+P342+T342+X342+AB342+AF342+AJ342</f>
        <v>0</v>
      </c>
      <c r="AT342" s="69" t="n">
        <f aca="false">SUM(AK342:AR342)</f>
        <v>0</v>
      </c>
      <c r="AU342" s="69" t="n">
        <f aca="false">F342+G342+J342+K342+N342+O342+R342+S342+V342+W342+Z342+AA342+AD342+AE342+AH342+AI342</f>
        <v>0</v>
      </c>
    </row>
    <row r="343" customFormat="false" ht="15" hidden="false" customHeight="false" outlineLevel="0" collapsed="false">
      <c r="B343" s="0" t="n">
        <v>316</v>
      </c>
      <c r="C343" s="68" t="n">
        <f aca="false">EDATE($C$7,315)</f>
        <v>55885</v>
      </c>
      <c r="D343" s="69" t="n">
        <f aca="false">$C$8-(F343+J343+N343+R343+V343+Z343+AD343+AH343)</f>
        <v>0</v>
      </c>
      <c r="E343" s="69" t="n">
        <f aca="false">IF(H342&gt;0.5,H342*(1+E$23)+E$24,0)</f>
        <v>0</v>
      </c>
      <c r="F343" s="69" t="n">
        <f aca="false">MIN(F$23,E343)</f>
        <v>0</v>
      </c>
      <c r="G343" s="69" t="n">
        <f aca="false">IF(AND(F$24=1,OR(E$25="",$C343&gt;=E$25)),MAX(0,MIN(E343-F343,$D343-(0))),0)</f>
        <v>0</v>
      </c>
      <c r="H343" s="69" t="n">
        <f aca="false">E343-F343-G343</f>
        <v>0</v>
      </c>
      <c r="I343" s="69" t="n">
        <f aca="false">IF(L342&gt;0.5,L342*(1+I$23)+I$24,0)</f>
        <v>0</v>
      </c>
      <c r="J343" s="69" t="n">
        <f aca="false">MIN(J$23,I343)</f>
        <v>0</v>
      </c>
      <c r="K343" s="69" t="n">
        <f aca="false">IF(AND(J$24=1,OR(I$25="",$C343&gt;=I$25)),MAX(0,MIN(I343-J343,$D343-(G343))),0)</f>
        <v>0</v>
      </c>
      <c r="L343" s="69" t="n">
        <f aca="false">I343-J343-K343</f>
        <v>0</v>
      </c>
      <c r="M343" s="69" t="n">
        <f aca="false">IF(P342&gt;0.5,P342*(1+M$23)+M$24,0)</f>
        <v>0</v>
      </c>
      <c r="N343" s="69" t="n">
        <f aca="false">MIN(N$23,M343)</f>
        <v>0</v>
      </c>
      <c r="O343" s="69" t="n">
        <f aca="false">IF(AND(N$24=1,OR(M$25="",$C343&gt;=M$25)),MAX(0,MIN(M343-N343,$D343-(G343+K343))),0)</f>
        <v>0</v>
      </c>
      <c r="P343" s="69" t="n">
        <f aca="false">M343-N343-O343</f>
        <v>0</v>
      </c>
      <c r="Q343" s="69" t="n">
        <f aca="false">IF(T342&gt;0.5,T342*(1+Q$23)+Q$24,0)</f>
        <v>0</v>
      </c>
      <c r="R343" s="69" t="n">
        <f aca="false">MIN(R$23,Q343)</f>
        <v>0</v>
      </c>
      <c r="S343" s="69" t="n">
        <f aca="false">IF(AND(R$24=1,OR(Q$25="",$C343&gt;=Q$25)),MAX(0,MIN(Q343-R343,$D343-(G343+K343+O343))),0)</f>
        <v>0</v>
      </c>
      <c r="T343" s="69" t="n">
        <f aca="false">Q343-R343-S343</f>
        <v>0</v>
      </c>
      <c r="U343" s="69" t="n">
        <f aca="false">IF(X342&gt;0.5,X342*(1+U$23)+U$24,0)</f>
        <v>0</v>
      </c>
      <c r="V343" s="69" t="n">
        <f aca="false">MIN(V$23,U343)</f>
        <v>0</v>
      </c>
      <c r="W343" s="69" t="n">
        <f aca="false">IF(AND(V$24=1,OR(U$25="",$C343&gt;=U$25)),MAX(0,MIN(U343-V343,$D343-(G343+K343+O343+S343))),0)</f>
        <v>0</v>
      </c>
      <c r="X343" s="69" t="n">
        <f aca="false">U343-V343-W343</f>
        <v>0</v>
      </c>
      <c r="Y343" s="69" t="n">
        <f aca="false">IF(AB342&gt;0.5,AB342*(1+Y$23)+Y$24,0)</f>
        <v>0</v>
      </c>
      <c r="Z343" s="69" t="n">
        <f aca="false">MIN(Z$23,Y343)</f>
        <v>0</v>
      </c>
      <c r="AA343" s="69" t="n">
        <f aca="false">IF(AND(Z$24=1,OR(Y$25="",$C343&gt;=Y$25)),MAX(0,MIN(Y343-Z343,$D343-(G343+K343+O343+S343+W343))),0)</f>
        <v>0</v>
      </c>
      <c r="AB343" s="69" t="n">
        <f aca="false">Y343-Z343-AA343</f>
        <v>0</v>
      </c>
      <c r="AC343" s="69" t="n">
        <f aca="false">IF(AF342&gt;0.5,AF342*(1+AC$23)+AC$24,0)</f>
        <v>0</v>
      </c>
      <c r="AD343" s="69" t="n">
        <f aca="false">MIN(AD$23,AC343)</f>
        <v>0</v>
      </c>
      <c r="AE343" s="69" t="n">
        <f aca="false">IF(AND(AD$24=1,OR(AC$25="",$C343&gt;=AC$25)),MAX(0,MIN(AC343-AD343,$D343-(G343+K343+O343+S343+W343+AA343))),0)</f>
        <v>0</v>
      </c>
      <c r="AF343" s="69" t="n">
        <f aca="false">AC343-AD343-AE343</f>
        <v>0</v>
      </c>
      <c r="AG343" s="69" t="n">
        <f aca="false">IF(AJ342&gt;0.5,AJ342*(1+AG$23)+AG$24,0)</f>
        <v>0</v>
      </c>
      <c r="AH343" s="69" t="n">
        <f aca="false">MIN(AH$23,AG343)</f>
        <v>0</v>
      </c>
      <c r="AI343" s="69" t="n">
        <f aca="false">IF(AND(AH$24=1,OR(AG$25="",$C343&gt;=AG$25)),MAX(0,MIN(AG343-AH343,$D343-(G343+K343+O343+S343+W343+AA343+AE343))),0)</f>
        <v>0</v>
      </c>
      <c r="AJ343" s="69" t="n">
        <f aca="false">AG343-AH343-AI343</f>
        <v>0</v>
      </c>
      <c r="AK343" s="69" t="n">
        <f aca="false">IF(AK342&gt;0.5,AK342*(1+$E$12)+$G$12-MIN($F$12,AK342*(1+$E$12)+$G$12),0)</f>
        <v>0</v>
      </c>
      <c r="AL343" s="69" t="n">
        <f aca="false">IF(AL342&gt;0.5,AL342*(1+$E$13)+$G$13-MIN($F$13,AL342*(1+$E$13)+$G$13),0)</f>
        <v>0</v>
      </c>
      <c r="AM343" s="69" t="n">
        <f aca="false">IF(AM342&gt;0.5,AM342*(1+$E$14)+$G$14-MIN($F$14,AM342*(1+$E$14)+$G$14),0)</f>
        <v>0</v>
      </c>
      <c r="AN343" s="69" t="n">
        <f aca="false">IF(AN342&gt;0.5,AN342*(1+$E$15)+$G$15-MIN($F$15,AN342*(1+$E$15)+$G$15),0)</f>
        <v>0</v>
      </c>
      <c r="AO343" s="69" t="n">
        <f aca="false">IF(AO342&gt;0.5,AO342*(1+$E$16)+$G$16-MIN($F$16,AO342*(1+$E$16)+$G$16),0)</f>
        <v>0</v>
      </c>
      <c r="AP343" s="69" t="n">
        <f aca="false">IF(AP342&gt;0.5,AP342*(1+$E$17)+$G$17-MIN($F$17,AP342*(1+$E$17)+$G$17),0)</f>
        <v>0</v>
      </c>
      <c r="AQ343" s="69" t="n">
        <f aca="false">IF(AQ342&gt;0.5,AQ342*(1+$E$18)+$G$18-MIN($F$18,AQ342*(1+$E$18)+$G$18),0)</f>
        <v>0</v>
      </c>
      <c r="AR343" s="69" t="n">
        <f aca="false">IF(AR342&gt;0.5,AR342*(1+$E$19)+$G$19-MIN($F$19,AR342*(1+$E$19)+$G$19),0)</f>
        <v>0</v>
      </c>
      <c r="AS343" s="69" t="n">
        <f aca="false">H343+L343+P343+T343+X343+AB343+AF343+AJ343</f>
        <v>0</v>
      </c>
      <c r="AT343" s="69" t="n">
        <f aca="false">SUM(AK343:AR343)</f>
        <v>0</v>
      </c>
      <c r="AU343" s="69" t="n">
        <f aca="false">F343+G343+J343+K343+N343+O343+R343+S343+V343+W343+Z343+AA343+AD343+AE343+AH343+AI343</f>
        <v>0</v>
      </c>
    </row>
    <row r="344" customFormat="false" ht="15" hidden="false" customHeight="false" outlineLevel="0" collapsed="false">
      <c r="B344" s="0" t="n">
        <v>317</v>
      </c>
      <c r="C344" s="68" t="n">
        <f aca="false">EDATE($C$7,316)</f>
        <v>55916</v>
      </c>
      <c r="D344" s="69" t="n">
        <f aca="false">$C$8-(F344+J344+N344+R344+V344+Z344+AD344+AH344)</f>
        <v>0</v>
      </c>
      <c r="E344" s="69" t="n">
        <f aca="false">IF(H343&gt;0.5,H343*(1+E$23)+E$24,0)</f>
        <v>0</v>
      </c>
      <c r="F344" s="69" t="n">
        <f aca="false">MIN(F$23,E344)</f>
        <v>0</v>
      </c>
      <c r="G344" s="69" t="n">
        <f aca="false">IF(AND(F$24=1,OR(E$25="",$C344&gt;=E$25)),MAX(0,MIN(E344-F344,$D344-(0))),0)</f>
        <v>0</v>
      </c>
      <c r="H344" s="69" t="n">
        <f aca="false">E344-F344-G344</f>
        <v>0</v>
      </c>
      <c r="I344" s="69" t="n">
        <f aca="false">IF(L343&gt;0.5,L343*(1+I$23)+I$24,0)</f>
        <v>0</v>
      </c>
      <c r="J344" s="69" t="n">
        <f aca="false">MIN(J$23,I344)</f>
        <v>0</v>
      </c>
      <c r="K344" s="69" t="n">
        <f aca="false">IF(AND(J$24=1,OR(I$25="",$C344&gt;=I$25)),MAX(0,MIN(I344-J344,$D344-(G344))),0)</f>
        <v>0</v>
      </c>
      <c r="L344" s="69" t="n">
        <f aca="false">I344-J344-K344</f>
        <v>0</v>
      </c>
      <c r="M344" s="69" t="n">
        <f aca="false">IF(P343&gt;0.5,P343*(1+M$23)+M$24,0)</f>
        <v>0</v>
      </c>
      <c r="N344" s="69" t="n">
        <f aca="false">MIN(N$23,M344)</f>
        <v>0</v>
      </c>
      <c r="O344" s="69" t="n">
        <f aca="false">IF(AND(N$24=1,OR(M$25="",$C344&gt;=M$25)),MAX(0,MIN(M344-N344,$D344-(G344+K344))),0)</f>
        <v>0</v>
      </c>
      <c r="P344" s="69" t="n">
        <f aca="false">M344-N344-O344</f>
        <v>0</v>
      </c>
      <c r="Q344" s="69" t="n">
        <f aca="false">IF(T343&gt;0.5,T343*(1+Q$23)+Q$24,0)</f>
        <v>0</v>
      </c>
      <c r="R344" s="69" t="n">
        <f aca="false">MIN(R$23,Q344)</f>
        <v>0</v>
      </c>
      <c r="S344" s="69" t="n">
        <f aca="false">IF(AND(R$24=1,OR(Q$25="",$C344&gt;=Q$25)),MAX(0,MIN(Q344-R344,$D344-(G344+K344+O344))),0)</f>
        <v>0</v>
      </c>
      <c r="T344" s="69" t="n">
        <f aca="false">Q344-R344-S344</f>
        <v>0</v>
      </c>
      <c r="U344" s="69" t="n">
        <f aca="false">IF(X343&gt;0.5,X343*(1+U$23)+U$24,0)</f>
        <v>0</v>
      </c>
      <c r="V344" s="69" t="n">
        <f aca="false">MIN(V$23,U344)</f>
        <v>0</v>
      </c>
      <c r="W344" s="69" t="n">
        <f aca="false">IF(AND(V$24=1,OR(U$25="",$C344&gt;=U$25)),MAX(0,MIN(U344-V344,$D344-(G344+K344+O344+S344))),0)</f>
        <v>0</v>
      </c>
      <c r="X344" s="69" t="n">
        <f aca="false">U344-V344-W344</f>
        <v>0</v>
      </c>
      <c r="Y344" s="69" t="n">
        <f aca="false">IF(AB343&gt;0.5,AB343*(1+Y$23)+Y$24,0)</f>
        <v>0</v>
      </c>
      <c r="Z344" s="69" t="n">
        <f aca="false">MIN(Z$23,Y344)</f>
        <v>0</v>
      </c>
      <c r="AA344" s="69" t="n">
        <f aca="false">IF(AND(Z$24=1,OR(Y$25="",$C344&gt;=Y$25)),MAX(0,MIN(Y344-Z344,$D344-(G344+K344+O344+S344+W344))),0)</f>
        <v>0</v>
      </c>
      <c r="AB344" s="69" t="n">
        <f aca="false">Y344-Z344-AA344</f>
        <v>0</v>
      </c>
      <c r="AC344" s="69" t="n">
        <f aca="false">IF(AF343&gt;0.5,AF343*(1+AC$23)+AC$24,0)</f>
        <v>0</v>
      </c>
      <c r="AD344" s="69" t="n">
        <f aca="false">MIN(AD$23,AC344)</f>
        <v>0</v>
      </c>
      <c r="AE344" s="69" t="n">
        <f aca="false">IF(AND(AD$24=1,OR(AC$25="",$C344&gt;=AC$25)),MAX(0,MIN(AC344-AD344,$D344-(G344+K344+O344+S344+W344+AA344))),0)</f>
        <v>0</v>
      </c>
      <c r="AF344" s="69" t="n">
        <f aca="false">AC344-AD344-AE344</f>
        <v>0</v>
      </c>
      <c r="AG344" s="69" t="n">
        <f aca="false">IF(AJ343&gt;0.5,AJ343*(1+AG$23)+AG$24,0)</f>
        <v>0</v>
      </c>
      <c r="AH344" s="69" t="n">
        <f aca="false">MIN(AH$23,AG344)</f>
        <v>0</v>
      </c>
      <c r="AI344" s="69" t="n">
        <f aca="false">IF(AND(AH$24=1,OR(AG$25="",$C344&gt;=AG$25)),MAX(0,MIN(AG344-AH344,$D344-(G344+K344+O344+S344+W344+AA344+AE344))),0)</f>
        <v>0</v>
      </c>
      <c r="AJ344" s="69" t="n">
        <f aca="false">AG344-AH344-AI344</f>
        <v>0</v>
      </c>
      <c r="AK344" s="69" t="n">
        <f aca="false">IF(AK343&gt;0.5,AK343*(1+$E$12)+$G$12-MIN($F$12,AK343*(1+$E$12)+$G$12),0)</f>
        <v>0</v>
      </c>
      <c r="AL344" s="69" t="n">
        <f aca="false">IF(AL343&gt;0.5,AL343*(1+$E$13)+$G$13-MIN($F$13,AL343*(1+$E$13)+$G$13),0)</f>
        <v>0</v>
      </c>
      <c r="AM344" s="69" t="n">
        <f aca="false">IF(AM343&gt;0.5,AM343*(1+$E$14)+$G$14-MIN($F$14,AM343*(1+$E$14)+$G$14),0)</f>
        <v>0</v>
      </c>
      <c r="AN344" s="69" t="n">
        <f aca="false">IF(AN343&gt;0.5,AN343*(1+$E$15)+$G$15-MIN($F$15,AN343*(1+$E$15)+$G$15),0)</f>
        <v>0</v>
      </c>
      <c r="AO344" s="69" t="n">
        <f aca="false">IF(AO343&gt;0.5,AO343*(1+$E$16)+$G$16-MIN($F$16,AO343*(1+$E$16)+$G$16),0)</f>
        <v>0</v>
      </c>
      <c r="AP344" s="69" t="n">
        <f aca="false">IF(AP343&gt;0.5,AP343*(1+$E$17)+$G$17-MIN($F$17,AP343*(1+$E$17)+$G$17),0)</f>
        <v>0</v>
      </c>
      <c r="AQ344" s="69" t="n">
        <f aca="false">IF(AQ343&gt;0.5,AQ343*(1+$E$18)+$G$18-MIN($F$18,AQ343*(1+$E$18)+$G$18),0)</f>
        <v>0</v>
      </c>
      <c r="AR344" s="69" t="n">
        <f aca="false">IF(AR343&gt;0.5,AR343*(1+$E$19)+$G$19-MIN($F$19,AR343*(1+$E$19)+$G$19),0)</f>
        <v>0</v>
      </c>
      <c r="AS344" s="69" t="n">
        <f aca="false">H344+L344+P344+T344+X344+AB344+AF344+AJ344</f>
        <v>0</v>
      </c>
      <c r="AT344" s="69" t="n">
        <f aca="false">SUM(AK344:AR344)</f>
        <v>0</v>
      </c>
      <c r="AU344" s="69" t="n">
        <f aca="false">F344+G344+J344+K344+N344+O344+R344+S344+V344+W344+Z344+AA344+AD344+AE344+AH344+AI344</f>
        <v>0</v>
      </c>
    </row>
    <row r="345" customFormat="false" ht="15" hidden="false" customHeight="false" outlineLevel="0" collapsed="false">
      <c r="B345" s="0" t="n">
        <v>318</v>
      </c>
      <c r="C345" s="68" t="n">
        <f aca="false">EDATE($C$7,317)</f>
        <v>55944</v>
      </c>
      <c r="D345" s="69" t="n">
        <f aca="false">$C$8-(F345+J345+N345+R345+V345+Z345+AD345+AH345)</f>
        <v>0</v>
      </c>
      <c r="E345" s="69" t="n">
        <f aca="false">IF(H344&gt;0.5,H344*(1+E$23)+E$24,0)</f>
        <v>0</v>
      </c>
      <c r="F345" s="69" t="n">
        <f aca="false">MIN(F$23,E345)</f>
        <v>0</v>
      </c>
      <c r="G345" s="69" t="n">
        <f aca="false">IF(AND(F$24=1,OR(E$25="",$C345&gt;=E$25)),MAX(0,MIN(E345-F345,$D345-(0))),0)</f>
        <v>0</v>
      </c>
      <c r="H345" s="69" t="n">
        <f aca="false">E345-F345-G345</f>
        <v>0</v>
      </c>
      <c r="I345" s="69" t="n">
        <f aca="false">IF(L344&gt;0.5,L344*(1+I$23)+I$24,0)</f>
        <v>0</v>
      </c>
      <c r="J345" s="69" t="n">
        <f aca="false">MIN(J$23,I345)</f>
        <v>0</v>
      </c>
      <c r="K345" s="69" t="n">
        <f aca="false">IF(AND(J$24=1,OR(I$25="",$C345&gt;=I$25)),MAX(0,MIN(I345-J345,$D345-(G345))),0)</f>
        <v>0</v>
      </c>
      <c r="L345" s="69" t="n">
        <f aca="false">I345-J345-K345</f>
        <v>0</v>
      </c>
      <c r="M345" s="69" t="n">
        <f aca="false">IF(P344&gt;0.5,P344*(1+M$23)+M$24,0)</f>
        <v>0</v>
      </c>
      <c r="N345" s="69" t="n">
        <f aca="false">MIN(N$23,M345)</f>
        <v>0</v>
      </c>
      <c r="O345" s="69" t="n">
        <f aca="false">IF(AND(N$24=1,OR(M$25="",$C345&gt;=M$25)),MAX(0,MIN(M345-N345,$D345-(G345+K345))),0)</f>
        <v>0</v>
      </c>
      <c r="P345" s="69" t="n">
        <f aca="false">M345-N345-O345</f>
        <v>0</v>
      </c>
      <c r="Q345" s="69" t="n">
        <f aca="false">IF(T344&gt;0.5,T344*(1+Q$23)+Q$24,0)</f>
        <v>0</v>
      </c>
      <c r="R345" s="69" t="n">
        <f aca="false">MIN(R$23,Q345)</f>
        <v>0</v>
      </c>
      <c r="S345" s="69" t="n">
        <f aca="false">IF(AND(R$24=1,OR(Q$25="",$C345&gt;=Q$25)),MAX(0,MIN(Q345-R345,$D345-(G345+K345+O345))),0)</f>
        <v>0</v>
      </c>
      <c r="T345" s="69" t="n">
        <f aca="false">Q345-R345-S345</f>
        <v>0</v>
      </c>
      <c r="U345" s="69" t="n">
        <f aca="false">IF(X344&gt;0.5,X344*(1+U$23)+U$24,0)</f>
        <v>0</v>
      </c>
      <c r="V345" s="69" t="n">
        <f aca="false">MIN(V$23,U345)</f>
        <v>0</v>
      </c>
      <c r="W345" s="69" t="n">
        <f aca="false">IF(AND(V$24=1,OR(U$25="",$C345&gt;=U$25)),MAX(0,MIN(U345-V345,$D345-(G345+K345+O345+S345))),0)</f>
        <v>0</v>
      </c>
      <c r="X345" s="69" t="n">
        <f aca="false">U345-V345-W345</f>
        <v>0</v>
      </c>
      <c r="Y345" s="69" t="n">
        <f aca="false">IF(AB344&gt;0.5,AB344*(1+Y$23)+Y$24,0)</f>
        <v>0</v>
      </c>
      <c r="Z345" s="69" t="n">
        <f aca="false">MIN(Z$23,Y345)</f>
        <v>0</v>
      </c>
      <c r="AA345" s="69" t="n">
        <f aca="false">IF(AND(Z$24=1,OR(Y$25="",$C345&gt;=Y$25)),MAX(0,MIN(Y345-Z345,$D345-(G345+K345+O345+S345+W345))),0)</f>
        <v>0</v>
      </c>
      <c r="AB345" s="69" t="n">
        <f aca="false">Y345-Z345-AA345</f>
        <v>0</v>
      </c>
      <c r="AC345" s="69" t="n">
        <f aca="false">IF(AF344&gt;0.5,AF344*(1+AC$23)+AC$24,0)</f>
        <v>0</v>
      </c>
      <c r="AD345" s="69" t="n">
        <f aca="false">MIN(AD$23,AC345)</f>
        <v>0</v>
      </c>
      <c r="AE345" s="69" t="n">
        <f aca="false">IF(AND(AD$24=1,OR(AC$25="",$C345&gt;=AC$25)),MAX(0,MIN(AC345-AD345,$D345-(G345+K345+O345+S345+W345+AA345))),0)</f>
        <v>0</v>
      </c>
      <c r="AF345" s="69" t="n">
        <f aca="false">AC345-AD345-AE345</f>
        <v>0</v>
      </c>
      <c r="AG345" s="69" t="n">
        <f aca="false">IF(AJ344&gt;0.5,AJ344*(1+AG$23)+AG$24,0)</f>
        <v>0</v>
      </c>
      <c r="AH345" s="69" t="n">
        <f aca="false">MIN(AH$23,AG345)</f>
        <v>0</v>
      </c>
      <c r="AI345" s="69" t="n">
        <f aca="false">IF(AND(AH$24=1,OR(AG$25="",$C345&gt;=AG$25)),MAX(0,MIN(AG345-AH345,$D345-(G345+K345+O345+S345+W345+AA345+AE345))),0)</f>
        <v>0</v>
      </c>
      <c r="AJ345" s="69" t="n">
        <f aca="false">AG345-AH345-AI345</f>
        <v>0</v>
      </c>
      <c r="AK345" s="69" t="n">
        <f aca="false">IF(AK344&gt;0.5,AK344*(1+$E$12)+$G$12-MIN($F$12,AK344*(1+$E$12)+$G$12),0)</f>
        <v>0</v>
      </c>
      <c r="AL345" s="69" t="n">
        <f aca="false">IF(AL344&gt;0.5,AL344*(1+$E$13)+$G$13-MIN($F$13,AL344*(1+$E$13)+$G$13),0)</f>
        <v>0</v>
      </c>
      <c r="AM345" s="69" t="n">
        <f aca="false">IF(AM344&gt;0.5,AM344*(1+$E$14)+$G$14-MIN($F$14,AM344*(1+$E$14)+$G$14),0)</f>
        <v>0</v>
      </c>
      <c r="AN345" s="69" t="n">
        <f aca="false">IF(AN344&gt;0.5,AN344*(1+$E$15)+$G$15-MIN($F$15,AN344*(1+$E$15)+$G$15),0)</f>
        <v>0</v>
      </c>
      <c r="AO345" s="69" t="n">
        <f aca="false">IF(AO344&gt;0.5,AO344*(1+$E$16)+$G$16-MIN($F$16,AO344*(1+$E$16)+$G$16),0)</f>
        <v>0</v>
      </c>
      <c r="AP345" s="69" t="n">
        <f aca="false">IF(AP344&gt;0.5,AP344*(1+$E$17)+$G$17-MIN($F$17,AP344*(1+$E$17)+$G$17),0)</f>
        <v>0</v>
      </c>
      <c r="AQ345" s="69" t="n">
        <f aca="false">IF(AQ344&gt;0.5,AQ344*(1+$E$18)+$G$18-MIN($F$18,AQ344*(1+$E$18)+$G$18),0)</f>
        <v>0</v>
      </c>
      <c r="AR345" s="69" t="n">
        <f aca="false">IF(AR344&gt;0.5,AR344*(1+$E$19)+$G$19-MIN($F$19,AR344*(1+$E$19)+$G$19),0)</f>
        <v>0</v>
      </c>
      <c r="AS345" s="69" t="n">
        <f aca="false">H345+L345+P345+T345+X345+AB345+AF345+AJ345</f>
        <v>0</v>
      </c>
      <c r="AT345" s="69" t="n">
        <f aca="false">SUM(AK345:AR345)</f>
        <v>0</v>
      </c>
      <c r="AU345" s="69" t="n">
        <f aca="false">F345+G345+J345+K345+N345+O345+R345+S345+V345+W345+Z345+AA345+AD345+AE345+AH345+AI345</f>
        <v>0</v>
      </c>
    </row>
    <row r="346" customFormat="false" ht="15" hidden="false" customHeight="false" outlineLevel="0" collapsed="false">
      <c r="B346" s="0" t="n">
        <v>319</v>
      </c>
      <c r="C346" s="68" t="n">
        <f aca="false">EDATE($C$7,318)</f>
        <v>55975</v>
      </c>
      <c r="D346" s="69" t="n">
        <f aca="false">$C$8-(F346+J346+N346+R346+V346+Z346+AD346+AH346)</f>
        <v>0</v>
      </c>
      <c r="E346" s="69" t="n">
        <f aca="false">IF(H345&gt;0.5,H345*(1+E$23)+E$24,0)</f>
        <v>0</v>
      </c>
      <c r="F346" s="69" t="n">
        <f aca="false">MIN(F$23,E346)</f>
        <v>0</v>
      </c>
      <c r="G346" s="69" t="n">
        <f aca="false">IF(AND(F$24=1,OR(E$25="",$C346&gt;=E$25)),MAX(0,MIN(E346-F346,$D346-(0))),0)</f>
        <v>0</v>
      </c>
      <c r="H346" s="69" t="n">
        <f aca="false">E346-F346-G346</f>
        <v>0</v>
      </c>
      <c r="I346" s="69" t="n">
        <f aca="false">IF(L345&gt;0.5,L345*(1+I$23)+I$24,0)</f>
        <v>0</v>
      </c>
      <c r="J346" s="69" t="n">
        <f aca="false">MIN(J$23,I346)</f>
        <v>0</v>
      </c>
      <c r="K346" s="69" t="n">
        <f aca="false">IF(AND(J$24=1,OR(I$25="",$C346&gt;=I$25)),MAX(0,MIN(I346-J346,$D346-(G346))),0)</f>
        <v>0</v>
      </c>
      <c r="L346" s="69" t="n">
        <f aca="false">I346-J346-K346</f>
        <v>0</v>
      </c>
      <c r="M346" s="69" t="n">
        <f aca="false">IF(P345&gt;0.5,P345*(1+M$23)+M$24,0)</f>
        <v>0</v>
      </c>
      <c r="N346" s="69" t="n">
        <f aca="false">MIN(N$23,M346)</f>
        <v>0</v>
      </c>
      <c r="O346" s="69" t="n">
        <f aca="false">IF(AND(N$24=1,OR(M$25="",$C346&gt;=M$25)),MAX(0,MIN(M346-N346,$D346-(G346+K346))),0)</f>
        <v>0</v>
      </c>
      <c r="P346" s="69" t="n">
        <f aca="false">M346-N346-O346</f>
        <v>0</v>
      </c>
      <c r="Q346" s="69" t="n">
        <f aca="false">IF(T345&gt;0.5,T345*(1+Q$23)+Q$24,0)</f>
        <v>0</v>
      </c>
      <c r="R346" s="69" t="n">
        <f aca="false">MIN(R$23,Q346)</f>
        <v>0</v>
      </c>
      <c r="S346" s="69" t="n">
        <f aca="false">IF(AND(R$24=1,OR(Q$25="",$C346&gt;=Q$25)),MAX(0,MIN(Q346-R346,$D346-(G346+K346+O346))),0)</f>
        <v>0</v>
      </c>
      <c r="T346" s="69" t="n">
        <f aca="false">Q346-R346-S346</f>
        <v>0</v>
      </c>
      <c r="U346" s="69" t="n">
        <f aca="false">IF(X345&gt;0.5,X345*(1+U$23)+U$24,0)</f>
        <v>0</v>
      </c>
      <c r="V346" s="69" t="n">
        <f aca="false">MIN(V$23,U346)</f>
        <v>0</v>
      </c>
      <c r="W346" s="69" t="n">
        <f aca="false">IF(AND(V$24=1,OR(U$25="",$C346&gt;=U$25)),MAX(0,MIN(U346-V346,$D346-(G346+K346+O346+S346))),0)</f>
        <v>0</v>
      </c>
      <c r="X346" s="69" t="n">
        <f aca="false">U346-V346-W346</f>
        <v>0</v>
      </c>
      <c r="Y346" s="69" t="n">
        <f aca="false">IF(AB345&gt;0.5,AB345*(1+Y$23)+Y$24,0)</f>
        <v>0</v>
      </c>
      <c r="Z346" s="69" t="n">
        <f aca="false">MIN(Z$23,Y346)</f>
        <v>0</v>
      </c>
      <c r="AA346" s="69" t="n">
        <f aca="false">IF(AND(Z$24=1,OR(Y$25="",$C346&gt;=Y$25)),MAX(0,MIN(Y346-Z346,$D346-(G346+K346+O346+S346+W346))),0)</f>
        <v>0</v>
      </c>
      <c r="AB346" s="69" t="n">
        <f aca="false">Y346-Z346-AA346</f>
        <v>0</v>
      </c>
      <c r="AC346" s="69" t="n">
        <f aca="false">IF(AF345&gt;0.5,AF345*(1+AC$23)+AC$24,0)</f>
        <v>0</v>
      </c>
      <c r="AD346" s="69" t="n">
        <f aca="false">MIN(AD$23,AC346)</f>
        <v>0</v>
      </c>
      <c r="AE346" s="69" t="n">
        <f aca="false">IF(AND(AD$24=1,OR(AC$25="",$C346&gt;=AC$25)),MAX(0,MIN(AC346-AD346,$D346-(G346+K346+O346+S346+W346+AA346))),0)</f>
        <v>0</v>
      </c>
      <c r="AF346" s="69" t="n">
        <f aca="false">AC346-AD346-AE346</f>
        <v>0</v>
      </c>
      <c r="AG346" s="69" t="n">
        <f aca="false">IF(AJ345&gt;0.5,AJ345*(1+AG$23)+AG$24,0)</f>
        <v>0</v>
      </c>
      <c r="AH346" s="69" t="n">
        <f aca="false">MIN(AH$23,AG346)</f>
        <v>0</v>
      </c>
      <c r="AI346" s="69" t="n">
        <f aca="false">IF(AND(AH$24=1,OR(AG$25="",$C346&gt;=AG$25)),MAX(0,MIN(AG346-AH346,$D346-(G346+K346+O346+S346+W346+AA346+AE346))),0)</f>
        <v>0</v>
      </c>
      <c r="AJ346" s="69" t="n">
        <f aca="false">AG346-AH346-AI346</f>
        <v>0</v>
      </c>
      <c r="AK346" s="69" t="n">
        <f aca="false">IF(AK345&gt;0.5,AK345*(1+$E$12)+$G$12-MIN($F$12,AK345*(1+$E$12)+$G$12),0)</f>
        <v>0</v>
      </c>
      <c r="AL346" s="69" t="n">
        <f aca="false">IF(AL345&gt;0.5,AL345*(1+$E$13)+$G$13-MIN($F$13,AL345*(1+$E$13)+$G$13),0)</f>
        <v>0</v>
      </c>
      <c r="AM346" s="69" t="n">
        <f aca="false">IF(AM345&gt;0.5,AM345*(1+$E$14)+$G$14-MIN($F$14,AM345*(1+$E$14)+$G$14),0)</f>
        <v>0</v>
      </c>
      <c r="AN346" s="69" t="n">
        <f aca="false">IF(AN345&gt;0.5,AN345*(1+$E$15)+$G$15-MIN($F$15,AN345*(1+$E$15)+$G$15),0)</f>
        <v>0</v>
      </c>
      <c r="AO346" s="69" t="n">
        <f aca="false">IF(AO345&gt;0.5,AO345*(1+$E$16)+$G$16-MIN($F$16,AO345*(1+$E$16)+$G$16),0)</f>
        <v>0</v>
      </c>
      <c r="AP346" s="69" t="n">
        <f aca="false">IF(AP345&gt;0.5,AP345*(1+$E$17)+$G$17-MIN($F$17,AP345*(1+$E$17)+$G$17),0)</f>
        <v>0</v>
      </c>
      <c r="AQ346" s="69" t="n">
        <f aca="false">IF(AQ345&gt;0.5,AQ345*(1+$E$18)+$G$18-MIN($F$18,AQ345*(1+$E$18)+$G$18),0)</f>
        <v>0</v>
      </c>
      <c r="AR346" s="69" t="n">
        <f aca="false">IF(AR345&gt;0.5,AR345*(1+$E$19)+$G$19-MIN($F$19,AR345*(1+$E$19)+$G$19),0)</f>
        <v>0</v>
      </c>
      <c r="AS346" s="69" t="n">
        <f aca="false">H346+L346+P346+T346+X346+AB346+AF346+AJ346</f>
        <v>0</v>
      </c>
      <c r="AT346" s="69" t="n">
        <f aca="false">SUM(AK346:AR346)</f>
        <v>0</v>
      </c>
      <c r="AU346" s="69" t="n">
        <f aca="false">F346+G346+J346+K346+N346+O346+R346+S346+V346+W346+Z346+AA346+AD346+AE346+AH346+AI346</f>
        <v>0</v>
      </c>
    </row>
    <row r="347" customFormat="false" ht="15" hidden="false" customHeight="false" outlineLevel="0" collapsed="false">
      <c r="B347" s="0" t="n">
        <v>320</v>
      </c>
      <c r="C347" s="68" t="n">
        <f aca="false">EDATE($C$7,319)</f>
        <v>56005</v>
      </c>
      <c r="D347" s="69" t="n">
        <f aca="false">$C$8-(F347+J347+N347+R347+V347+Z347+AD347+AH347)</f>
        <v>0</v>
      </c>
      <c r="E347" s="69" t="n">
        <f aca="false">IF(H346&gt;0.5,H346*(1+E$23)+E$24,0)</f>
        <v>0</v>
      </c>
      <c r="F347" s="69" t="n">
        <f aca="false">MIN(F$23,E347)</f>
        <v>0</v>
      </c>
      <c r="G347" s="69" t="n">
        <f aca="false">IF(AND(F$24=1,OR(E$25="",$C347&gt;=E$25)),MAX(0,MIN(E347-F347,$D347-(0))),0)</f>
        <v>0</v>
      </c>
      <c r="H347" s="69" t="n">
        <f aca="false">E347-F347-G347</f>
        <v>0</v>
      </c>
      <c r="I347" s="69" t="n">
        <f aca="false">IF(L346&gt;0.5,L346*(1+I$23)+I$24,0)</f>
        <v>0</v>
      </c>
      <c r="J347" s="69" t="n">
        <f aca="false">MIN(J$23,I347)</f>
        <v>0</v>
      </c>
      <c r="K347" s="69" t="n">
        <f aca="false">IF(AND(J$24=1,OR(I$25="",$C347&gt;=I$25)),MAX(0,MIN(I347-J347,$D347-(G347))),0)</f>
        <v>0</v>
      </c>
      <c r="L347" s="69" t="n">
        <f aca="false">I347-J347-K347</f>
        <v>0</v>
      </c>
      <c r="M347" s="69" t="n">
        <f aca="false">IF(P346&gt;0.5,P346*(1+M$23)+M$24,0)</f>
        <v>0</v>
      </c>
      <c r="N347" s="69" t="n">
        <f aca="false">MIN(N$23,M347)</f>
        <v>0</v>
      </c>
      <c r="O347" s="69" t="n">
        <f aca="false">IF(AND(N$24=1,OR(M$25="",$C347&gt;=M$25)),MAX(0,MIN(M347-N347,$D347-(G347+K347))),0)</f>
        <v>0</v>
      </c>
      <c r="P347" s="69" t="n">
        <f aca="false">M347-N347-O347</f>
        <v>0</v>
      </c>
      <c r="Q347" s="69" t="n">
        <f aca="false">IF(T346&gt;0.5,T346*(1+Q$23)+Q$24,0)</f>
        <v>0</v>
      </c>
      <c r="R347" s="69" t="n">
        <f aca="false">MIN(R$23,Q347)</f>
        <v>0</v>
      </c>
      <c r="S347" s="69" t="n">
        <f aca="false">IF(AND(R$24=1,OR(Q$25="",$C347&gt;=Q$25)),MAX(0,MIN(Q347-R347,$D347-(G347+K347+O347))),0)</f>
        <v>0</v>
      </c>
      <c r="T347" s="69" t="n">
        <f aca="false">Q347-R347-S347</f>
        <v>0</v>
      </c>
      <c r="U347" s="69" t="n">
        <f aca="false">IF(X346&gt;0.5,X346*(1+U$23)+U$24,0)</f>
        <v>0</v>
      </c>
      <c r="V347" s="69" t="n">
        <f aca="false">MIN(V$23,U347)</f>
        <v>0</v>
      </c>
      <c r="W347" s="69" t="n">
        <f aca="false">IF(AND(V$24=1,OR(U$25="",$C347&gt;=U$25)),MAX(0,MIN(U347-V347,$D347-(G347+K347+O347+S347))),0)</f>
        <v>0</v>
      </c>
      <c r="X347" s="69" t="n">
        <f aca="false">U347-V347-W347</f>
        <v>0</v>
      </c>
      <c r="Y347" s="69" t="n">
        <f aca="false">IF(AB346&gt;0.5,AB346*(1+Y$23)+Y$24,0)</f>
        <v>0</v>
      </c>
      <c r="Z347" s="69" t="n">
        <f aca="false">MIN(Z$23,Y347)</f>
        <v>0</v>
      </c>
      <c r="AA347" s="69" t="n">
        <f aca="false">IF(AND(Z$24=1,OR(Y$25="",$C347&gt;=Y$25)),MAX(0,MIN(Y347-Z347,$D347-(G347+K347+O347+S347+W347))),0)</f>
        <v>0</v>
      </c>
      <c r="AB347" s="69" t="n">
        <f aca="false">Y347-Z347-AA347</f>
        <v>0</v>
      </c>
      <c r="AC347" s="69" t="n">
        <f aca="false">IF(AF346&gt;0.5,AF346*(1+AC$23)+AC$24,0)</f>
        <v>0</v>
      </c>
      <c r="AD347" s="69" t="n">
        <f aca="false">MIN(AD$23,AC347)</f>
        <v>0</v>
      </c>
      <c r="AE347" s="69" t="n">
        <f aca="false">IF(AND(AD$24=1,OR(AC$25="",$C347&gt;=AC$25)),MAX(0,MIN(AC347-AD347,$D347-(G347+K347+O347+S347+W347+AA347))),0)</f>
        <v>0</v>
      </c>
      <c r="AF347" s="69" t="n">
        <f aca="false">AC347-AD347-AE347</f>
        <v>0</v>
      </c>
      <c r="AG347" s="69" t="n">
        <f aca="false">IF(AJ346&gt;0.5,AJ346*(1+AG$23)+AG$24,0)</f>
        <v>0</v>
      </c>
      <c r="AH347" s="69" t="n">
        <f aca="false">MIN(AH$23,AG347)</f>
        <v>0</v>
      </c>
      <c r="AI347" s="69" t="n">
        <f aca="false">IF(AND(AH$24=1,OR(AG$25="",$C347&gt;=AG$25)),MAX(0,MIN(AG347-AH347,$D347-(G347+K347+O347+S347+W347+AA347+AE347))),0)</f>
        <v>0</v>
      </c>
      <c r="AJ347" s="69" t="n">
        <f aca="false">AG347-AH347-AI347</f>
        <v>0</v>
      </c>
      <c r="AK347" s="69" t="n">
        <f aca="false">IF(AK346&gt;0.5,AK346*(1+$E$12)+$G$12-MIN($F$12,AK346*(1+$E$12)+$G$12),0)</f>
        <v>0</v>
      </c>
      <c r="AL347" s="69" t="n">
        <f aca="false">IF(AL346&gt;0.5,AL346*(1+$E$13)+$G$13-MIN($F$13,AL346*(1+$E$13)+$G$13),0)</f>
        <v>0</v>
      </c>
      <c r="AM347" s="69" t="n">
        <f aca="false">IF(AM346&gt;0.5,AM346*(1+$E$14)+$G$14-MIN($F$14,AM346*(1+$E$14)+$G$14),0)</f>
        <v>0</v>
      </c>
      <c r="AN347" s="69" t="n">
        <f aca="false">IF(AN346&gt;0.5,AN346*(1+$E$15)+$G$15-MIN($F$15,AN346*(1+$E$15)+$G$15),0)</f>
        <v>0</v>
      </c>
      <c r="AO347" s="69" t="n">
        <f aca="false">IF(AO346&gt;0.5,AO346*(1+$E$16)+$G$16-MIN($F$16,AO346*(1+$E$16)+$G$16),0)</f>
        <v>0</v>
      </c>
      <c r="AP347" s="69" t="n">
        <f aca="false">IF(AP346&gt;0.5,AP346*(1+$E$17)+$G$17-MIN($F$17,AP346*(1+$E$17)+$G$17),0)</f>
        <v>0</v>
      </c>
      <c r="AQ347" s="69" t="n">
        <f aca="false">IF(AQ346&gt;0.5,AQ346*(1+$E$18)+$G$18-MIN($F$18,AQ346*(1+$E$18)+$G$18),0)</f>
        <v>0</v>
      </c>
      <c r="AR347" s="69" t="n">
        <f aca="false">IF(AR346&gt;0.5,AR346*(1+$E$19)+$G$19-MIN($F$19,AR346*(1+$E$19)+$G$19),0)</f>
        <v>0</v>
      </c>
      <c r="AS347" s="69" t="n">
        <f aca="false">H347+L347+P347+T347+X347+AB347+AF347+AJ347</f>
        <v>0</v>
      </c>
      <c r="AT347" s="69" t="n">
        <f aca="false">SUM(AK347:AR347)</f>
        <v>0</v>
      </c>
      <c r="AU347" s="69" t="n">
        <f aca="false">F347+G347+J347+K347+N347+O347+R347+S347+V347+W347+Z347+AA347+AD347+AE347+AH347+AI347</f>
        <v>0</v>
      </c>
    </row>
    <row r="348" customFormat="false" ht="15" hidden="false" customHeight="false" outlineLevel="0" collapsed="false">
      <c r="B348" s="0" t="n">
        <v>321</v>
      </c>
      <c r="C348" s="68" t="n">
        <f aca="false">EDATE($C$7,320)</f>
        <v>56036</v>
      </c>
      <c r="D348" s="69" t="n">
        <f aca="false">$C$8-(F348+J348+N348+R348+V348+Z348+AD348+AH348)</f>
        <v>0</v>
      </c>
      <c r="E348" s="69" t="n">
        <f aca="false">IF(H347&gt;0.5,H347*(1+E$23)+E$24,0)</f>
        <v>0</v>
      </c>
      <c r="F348" s="69" t="n">
        <f aca="false">MIN(F$23,E348)</f>
        <v>0</v>
      </c>
      <c r="G348" s="69" t="n">
        <f aca="false">IF(AND(F$24=1,OR(E$25="",$C348&gt;=E$25)),MAX(0,MIN(E348-F348,$D348-(0))),0)</f>
        <v>0</v>
      </c>
      <c r="H348" s="69" t="n">
        <f aca="false">E348-F348-G348</f>
        <v>0</v>
      </c>
      <c r="I348" s="69" t="n">
        <f aca="false">IF(L347&gt;0.5,L347*(1+I$23)+I$24,0)</f>
        <v>0</v>
      </c>
      <c r="J348" s="69" t="n">
        <f aca="false">MIN(J$23,I348)</f>
        <v>0</v>
      </c>
      <c r="K348" s="69" t="n">
        <f aca="false">IF(AND(J$24=1,OR(I$25="",$C348&gt;=I$25)),MAX(0,MIN(I348-J348,$D348-(G348))),0)</f>
        <v>0</v>
      </c>
      <c r="L348" s="69" t="n">
        <f aca="false">I348-J348-K348</f>
        <v>0</v>
      </c>
      <c r="M348" s="69" t="n">
        <f aca="false">IF(P347&gt;0.5,P347*(1+M$23)+M$24,0)</f>
        <v>0</v>
      </c>
      <c r="N348" s="69" t="n">
        <f aca="false">MIN(N$23,M348)</f>
        <v>0</v>
      </c>
      <c r="O348" s="69" t="n">
        <f aca="false">IF(AND(N$24=1,OR(M$25="",$C348&gt;=M$25)),MAX(0,MIN(M348-N348,$D348-(G348+K348))),0)</f>
        <v>0</v>
      </c>
      <c r="P348" s="69" t="n">
        <f aca="false">M348-N348-O348</f>
        <v>0</v>
      </c>
      <c r="Q348" s="69" t="n">
        <f aca="false">IF(T347&gt;0.5,T347*(1+Q$23)+Q$24,0)</f>
        <v>0</v>
      </c>
      <c r="R348" s="69" t="n">
        <f aca="false">MIN(R$23,Q348)</f>
        <v>0</v>
      </c>
      <c r="S348" s="69" t="n">
        <f aca="false">IF(AND(R$24=1,OR(Q$25="",$C348&gt;=Q$25)),MAX(0,MIN(Q348-R348,$D348-(G348+K348+O348))),0)</f>
        <v>0</v>
      </c>
      <c r="T348" s="69" t="n">
        <f aca="false">Q348-R348-S348</f>
        <v>0</v>
      </c>
      <c r="U348" s="69" t="n">
        <f aca="false">IF(X347&gt;0.5,X347*(1+U$23)+U$24,0)</f>
        <v>0</v>
      </c>
      <c r="V348" s="69" t="n">
        <f aca="false">MIN(V$23,U348)</f>
        <v>0</v>
      </c>
      <c r="W348" s="69" t="n">
        <f aca="false">IF(AND(V$24=1,OR(U$25="",$C348&gt;=U$25)),MAX(0,MIN(U348-V348,$D348-(G348+K348+O348+S348))),0)</f>
        <v>0</v>
      </c>
      <c r="X348" s="69" t="n">
        <f aca="false">U348-V348-W348</f>
        <v>0</v>
      </c>
      <c r="Y348" s="69" t="n">
        <f aca="false">IF(AB347&gt;0.5,AB347*(1+Y$23)+Y$24,0)</f>
        <v>0</v>
      </c>
      <c r="Z348" s="69" t="n">
        <f aca="false">MIN(Z$23,Y348)</f>
        <v>0</v>
      </c>
      <c r="AA348" s="69" t="n">
        <f aca="false">IF(AND(Z$24=1,OR(Y$25="",$C348&gt;=Y$25)),MAX(0,MIN(Y348-Z348,$D348-(G348+K348+O348+S348+W348))),0)</f>
        <v>0</v>
      </c>
      <c r="AB348" s="69" t="n">
        <f aca="false">Y348-Z348-AA348</f>
        <v>0</v>
      </c>
      <c r="AC348" s="69" t="n">
        <f aca="false">IF(AF347&gt;0.5,AF347*(1+AC$23)+AC$24,0)</f>
        <v>0</v>
      </c>
      <c r="AD348" s="69" t="n">
        <f aca="false">MIN(AD$23,AC348)</f>
        <v>0</v>
      </c>
      <c r="AE348" s="69" t="n">
        <f aca="false">IF(AND(AD$24=1,OR(AC$25="",$C348&gt;=AC$25)),MAX(0,MIN(AC348-AD348,$D348-(G348+K348+O348+S348+W348+AA348))),0)</f>
        <v>0</v>
      </c>
      <c r="AF348" s="69" t="n">
        <f aca="false">AC348-AD348-AE348</f>
        <v>0</v>
      </c>
      <c r="AG348" s="69" t="n">
        <f aca="false">IF(AJ347&gt;0.5,AJ347*(1+AG$23)+AG$24,0)</f>
        <v>0</v>
      </c>
      <c r="AH348" s="69" t="n">
        <f aca="false">MIN(AH$23,AG348)</f>
        <v>0</v>
      </c>
      <c r="AI348" s="69" t="n">
        <f aca="false">IF(AND(AH$24=1,OR(AG$25="",$C348&gt;=AG$25)),MAX(0,MIN(AG348-AH348,$D348-(G348+K348+O348+S348+W348+AA348+AE348))),0)</f>
        <v>0</v>
      </c>
      <c r="AJ348" s="69" t="n">
        <f aca="false">AG348-AH348-AI348</f>
        <v>0</v>
      </c>
      <c r="AK348" s="69" t="n">
        <f aca="false">IF(AK347&gt;0.5,AK347*(1+$E$12)+$G$12-MIN($F$12,AK347*(1+$E$12)+$G$12),0)</f>
        <v>0</v>
      </c>
      <c r="AL348" s="69" t="n">
        <f aca="false">IF(AL347&gt;0.5,AL347*(1+$E$13)+$G$13-MIN($F$13,AL347*(1+$E$13)+$G$13),0)</f>
        <v>0</v>
      </c>
      <c r="AM348" s="69" t="n">
        <f aca="false">IF(AM347&gt;0.5,AM347*(1+$E$14)+$G$14-MIN($F$14,AM347*(1+$E$14)+$G$14),0)</f>
        <v>0</v>
      </c>
      <c r="AN348" s="69" t="n">
        <f aca="false">IF(AN347&gt;0.5,AN347*(1+$E$15)+$G$15-MIN($F$15,AN347*(1+$E$15)+$G$15),0)</f>
        <v>0</v>
      </c>
      <c r="AO348" s="69" t="n">
        <f aca="false">IF(AO347&gt;0.5,AO347*(1+$E$16)+$G$16-MIN($F$16,AO347*(1+$E$16)+$G$16),0)</f>
        <v>0</v>
      </c>
      <c r="AP348" s="69" t="n">
        <f aca="false">IF(AP347&gt;0.5,AP347*(1+$E$17)+$G$17-MIN($F$17,AP347*(1+$E$17)+$G$17),0)</f>
        <v>0</v>
      </c>
      <c r="AQ348" s="69" t="n">
        <f aca="false">IF(AQ347&gt;0.5,AQ347*(1+$E$18)+$G$18-MIN($F$18,AQ347*(1+$E$18)+$G$18),0)</f>
        <v>0</v>
      </c>
      <c r="AR348" s="69" t="n">
        <f aca="false">IF(AR347&gt;0.5,AR347*(1+$E$19)+$G$19-MIN($F$19,AR347*(1+$E$19)+$G$19),0)</f>
        <v>0</v>
      </c>
      <c r="AS348" s="69" t="n">
        <f aca="false">H348+L348+P348+T348+X348+AB348+AF348+AJ348</f>
        <v>0</v>
      </c>
      <c r="AT348" s="69" t="n">
        <f aca="false">SUM(AK348:AR348)</f>
        <v>0</v>
      </c>
      <c r="AU348" s="69" t="n">
        <f aca="false">F348+G348+J348+K348+N348+O348+R348+S348+V348+W348+Z348+AA348+AD348+AE348+AH348+AI348</f>
        <v>0</v>
      </c>
    </row>
    <row r="349" customFormat="false" ht="15" hidden="false" customHeight="false" outlineLevel="0" collapsed="false">
      <c r="B349" s="0" t="n">
        <v>322</v>
      </c>
      <c r="C349" s="68" t="n">
        <f aca="false">EDATE($C$7,321)</f>
        <v>56066</v>
      </c>
      <c r="D349" s="69" t="n">
        <f aca="false">$C$8-(F349+J349+N349+R349+V349+Z349+AD349+AH349)</f>
        <v>0</v>
      </c>
      <c r="E349" s="69" t="n">
        <f aca="false">IF(H348&gt;0.5,H348*(1+E$23)+E$24,0)</f>
        <v>0</v>
      </c>
      <c r="F349" s="69" t="n">
        <f aca="false">MIN(F$23,E349)</f>
        <v>0</v>
      </c>
      <c r="G349" s="69" t="n">
        <f aca="false">IF(AND(F$24=1,OR(E$25="",$C349&gt;=E$25)),MAX(0,MIN(E349-F349,$D349-(0))),0)</f>
        <v>0</v>
      </c>
      <c r="H349" s="69" t="n">
        <f aca="false">E349-F349-G349</f>
        <v>0</v>
      </c>
      <c r="I349" s="69" t="n">
        <f aca="false">IF(L348&gt;0.5,L348*(1+I$23)+I$24,0)</f>
        <v>0</v>
      </c>
      <c r="J349" s="69" t="n">
        <f aca="false">MIN(J$23,I349)</f>
        <v>0</v>
      </c>
      <c r="K349" s="69" t="n">
        <f aca="false">IF(AND(J$24=1,OR(I$25="",$C349&gt;=I$25)),MAX(0,MIN(I349-J349,$D349-(G349))),0)</f>
        <v>0</v>
      </c>
      <c r="L349" s="69" t="n">
        <f aca="false">I349-J349-K349</f>
        <v>0</v>
      </c>
      <c r="M349" s="69" t="n">
        <f aca="false">IF(P348&gt;0.5,P348*(1+M$23)+M$24,0)</f>
        <v>0</v>
      </c>
      <c r="N349" s="69" t="n">
        <f aca="false">MIN(N$23,M349)</f>
        <v>0</v>
      </c>
      <c r="O349" s="69" t="n">
        <f aca="false">IF(AND(N$24=1,OR(M$25="",$C349&gt;=M$25)),MAX(0,MIN(M349-N349,$D349-(G349+K349))),0)</f>
        <v>0</v>
      </c>
      <c r="P349" s="69" t="n">
        <f aca="false">M349-N349-O349</f>
        <v>0</v>
      </c>
      <c r="Q349" s="69" t="n">
        <f aca="false">IF(T348&gt;0.5,T348*(1+Q$23)+Q$24,0)</f>
        <v>0</v>
      </c>
      <c r="R349" s="69" t="n">
        <f aca="false">MIN(R$23,Q349)</f>
        <v>0</v>
      </c>
      <c r="S349" s="69" t="n">
        <f aca="false">IF(AND(R$24=1,OR(Q$25="",$C349&gt;=Q$25)),MAX(0,MIN(Q349-R349,$D349-(G349+K349+O349))),0)</f>
        <v>0</v>
      </c>
      <c r="T349" s="69" t="n">
        <f aca="false">Q349-R349-S349</f>
        <v>0</v>
      </c>
      <c r="U349" s="69" t="n">
        <f aca="false">IF(X348&gt;0.5,X348*(1+U$23)+U$24,0)</f>
        <v>0</v>
      </c>
      <c r="V349" s="69" t="n">
        <f aca="false">MIN(V$23,U349)</f>
        <v>0</v>
      </c>
      <c r="W349" s="69" t="n">
        <f aca="false">IF(AND(V$24=1,OR(U$25="",$C349&gt;=U$25)),MAX(0,MIN(U349-V349,$D349-(G349+K349+O349+S349))),0)</f>
        <v>0</v>
      </c>
      <c r="X349" s="69" t="n">
        <f aca="false">U349-V349-W349</f>
        <v>0</v>
      </c>
      <c r="Y349" s="69" t="n">
        <f aca="false">IF(AB348&gt;0.5,AB348*(1+Y$23)+Y$24,0)</f>
        <v>0</v>
      </c>
      <c r="Z349" s="69" t="n">
        <f aca="false">MIN(Z$23,Y349)</f>
        <v>0</v>
      </c>
      <c r="AA349" s="69" t="n">
        <f aca="false">IF(AND(Z$24=1,OR(Y$25="",$C349&gt;=Y$25)),MAX(0,MIN(Y349-Z349,$D349-(G349+K349+O349+S349+W349))),0)</f>
        <v>0</v>
      </c>
      <c r="AB349" s="69" t="n">
        <f aca="false">Y349-Z349-AA349</f>
        <v>0</v>
      </c>
      <c r="AC349" s="69" t="n">
        <f aca="false">IF(AF348&gt;0.5,AF348*(1+AC$23)+AC$24,0)</f>
        <v>0</v>
      </c>
      <c r="AD349" s="69" t="n">
        <f aca="false">MIN(AD$23,AC349)</f>
        <v>0</v>
      </c>
      <c r="AE349" s="69" t="n">
        <f aca="false">IF(AND(AD$24=1,OR(AC$25="",$C349&gt;=AC$25)),MAX(0,MIN(AC349-AD349,$D349-(G349+K349+O349+S349+W349+AA349))),0)</f>
        <v>0</v>
      </c>
      <c r="AF349" s="69" t="n">
        <f aca="false">AC349-AD349-AE349</f>
        <v>0</v>
      </c>
      <c r="AG349" s="69" t="n">
        <f aca="false">IF(AJ348&gt;0.5,AJ348*(1+AG$23)+AG$24,0)</f>
        <v>0</v>
      </c>
      <c r="AH349" s="69" t="n">
        <f aca="false">MIN(AH$23,AG349)</f>
        <v>0</v>
      </c>
      <c r="AI349" s="69" t="n">
        <f aca="false">IF(AND(AH$24=1,OR(AG$25="",$C349&gt;=AG$25)),MAX(0,MIN(AG349-AH349,$D349-(G349+K349+O349+S349+W349+AA349+AE349))),0)</f>
        <v>0</v>
      </c>
      <c r="AJ349" s="69" t="n">
        <f aca="false">AG349-AH349-AI349</f>
        <v>0</v>
      </c>
      <c r="AK349" s="69" t="n">
        <f aca="false">IF(AK348&gt;0.5,AK348*(1+$E$12)+$G$12-MIN($F$12,AK348*(1+$E$12)+$G$12),0)</f>
        <v>0</v>
      </c>
      <c r="AL349" s="69" t="n">
        <f aca="false">IF(AL348&gt;0.5,AL348*(1+$E$13)+$G$13-MIN($F$13,AL348*(1+$E$13)+$G$13),0)</f>
        <v>0</v>
      </c>
      <c r="AM349" s="69" t="n">
        <f aca="false">IF(AM348&gt;0.5,AM348*(1+$E$14)+$G$14-MIN($F$14,AM348*(1+$E$14)+$G$14),0)</f>
        <v>0</v>
      </c>
      <c r="AN349" s="69" t="n">
        <f aca="false">IF(AN348&gt;0.5,AN348*(1+$E$15)+$G$15-MIN($F$15,AN348*(1+$E$15)+$G$15),0)</f>
        <v>0</v>
      </c>
      <c r="AO349" s="69" t="n">
        <f aca="false">IF(AO348&gt;0.5,AO348*(1+$E$16)+$G$16-MIN($F$16,AO348*(1+$E$16)+$G$16),0)</f>
        <v>0</v>
      </c>
      <c r="AP349" s="69" t="n">
        <f aca="false">IF(AP348&gt;0.5,AP348*(1+$E$17)+$G$17-MIN($F$17,AP348*(1+$E$17)+$G$17),0)</f>
        <v>0</v>
      </c>
      <c r="AQ349" s="69" t="n">
        <f aca="false">IF(AQ348&gt;0.5,AQ348*(1+$E$18)+$G$18-MIN($F$18,AQ348*(1+$E$18)+$G$18),0)</f>
        <v>0</v>
      </c>
      <c r="AR349" s="69" t="n">
        <f aca="false">IF(AR348&gt;0.5,AR348*(1+$E$19)+$G$19-MIN($F$19,AR348*(1+$E$19)+$G$19),0)</f>
        <v>0</v>
      </c>
      <c r="AS349" s="69" t="n">
        <f aca="false">H349+L349+P349+T349+X349+AB349+AF349+AJ349</f>
        <v>0</v>
      </c>
      <c r="AT349" s="69" t="n">
        <f aca="false">SUM(AK349:AR349)</f>
        <v>0</v>
      </c>
      <c r="AU349" s="69" t="n">
        <f aca="false">F349+G349+J349+K349+N349+O349+R349+S349+V349+W349+Z349+AA349+AD349+AE349+AH349+AI349</f>
        <v>0</v>
      </c>
    </row>
    <row r="350" customFormat="false" ht="15" hidden="false" customHeight="false" outlineLevel="0" collapsed="false">
      <c r="B350" s="0" t="n">
        <v>323</v>
      </c>
      <c r="C350" s="68" t="n">
        <f aca="false">EDATE($C$7,322)</f>
        <v>56097</v>
      </c>
      <c r="D350" s="69" t="n">
        <f aca="false">$C$8-(F350+J350+N350+R350+V350+Z350+AD350+AH350)</f>
        <v>0</v>
      </c>
      <c r="E350" s="69" t="n">
        <f aca="false">IF(H349&gt;0.5,H349*(1+E$23)+E$24,0)</f>
        <v>0</v>
      </c>
      <c r="F350" s="69" t="n">
        <f aca="false">MIN(F$23,E350)</f>
        <v>0</v>
      </c>
      <c r="G350" s="69" t="n">
        <f aca="false">IF(AND(F$24=1,OR(E$25="",$C350&gt;=E$25)),MAX(0,MIN(E350-F350,$D350-(0))),0)</f>
        <v>0</v>
      </c>
      <c r="H350" s="69" t="n">
        <f aca="false">E350-F350-G350</f>
        <v>0</v>
      </c>
      <c r="I350" s="69" t="n">
        <f aca="false">IF(L349&gt;0.5,L349*(1+I$23)+I$24,0)</f>
        <v>0</v>
      </c>
      <c r="J350" s="69" t="n">
        <f aca="false">MIN(J$23,I350)</f>
        <v>0</v>
      </c>
      <c r="K350" s="69" t="n">
        <f aca="false">IF(AND(J$24=1,OR(I$25="",$C350&gt;=I$25)),MAX(0,MIN(I350-J350,$D350-(G350))),0)</f>
        <v>0</v>
      </c>
      <c r="L350" s="69" t="n">
        <f aca="false">I350-J350-K350</f>
        <v>0</v>
      </c>
      <c r="M350" s="69" t="n">
        <f aca="false">IF(P349&gt;0.5,P349*(1+M$23)+M$24,0)</f>
        <v>0</v>
      </c>
      <c r="N350" s="69" t="n">
        <f aca="false">MIN(N$23,M350)</f>
        <v>0</v>
      </c>
      <c r="O350" s="69" t="n">
        <f aca="false">IF(AND(N$24=1,OR(M$25="",$C350&gt;=M$25)),MAX(0,MIN(M350-N350,$D350-(G350+K350))),0)</f>
        <v>0</v>
      </c>
      <c r="P350" s="69" t="n">
        <f aca="false">M350-N350-O350</f>
        <v>0</v>
      </c>
      <c r="Q350" s="69" t="n">
        <f aca="false">IF(T349&gt;0.5,T349*(1+Q$23)+Q$24,0)</f>
        <v>0</v>
      </c>
      <c r="R350" s="69" t="n">
        <f aca="false">MIN(R$23,Q350)</f>
        <v>0</v>
      </c>
      <c r="S350" s="69" t="n">
        <f aca="false">IF(AND(R$24=1,OR(Q$25="",$C350&gt;=Q$25)),MAX(0,MIN(Q350-R350,$D350-(G350+K350+O350))),0)</f>
        <v>0</v>
      </c>
      <c r="T350" s="69" t="n">
        <f aca="false">Q350-R350-S350</f>
        <v>0</v>
      </c>
      <c r="U350" s="69" t="n">
        <f aca="false">IF(X349&gt;0.5,X349*(1+U$23)+U$24,0)</f>
        <v>0</v>
      </c>
      <c r="V350" s="69" t="n">
        <f aca="false">MIN(V$23,U350)</f>
        <v>0</v>
      </c>
      <c r="W350" s="69" t="n">
        <f aca="false">IF(AND(V$24=1,OR(U$25="",$C350&gt;=U$25)),MAX(0,MIN(U350-V350,$D350-(G350+K350+O350+S350))),0)</f>
        <v>0</v>
      </c>
      <c r="X350" s="69" t="n">
        <f aca="false">U350-V350-W350</f>
        <v>0</v>
      </c>
      <c r="Y350" s="69" t="n">
        <f aca="false">IF(AB349&gt;0.5,AB349*(1+Y$23)+Y$24,0)</f>
        <v>0</v>
      </c>
      <c r="Z350" s="69" t="n">
        <f aca="false">MIN(Z$23,Y350)</f>
        <v>0</v>
      </c>
      <c r="AA350" s="69" t="n">
        <f aca="false">IF(AND(Z$24=1,OR(Y$25="",$C350&gt;=Y$25)),MAX(0,MIN(Y350-Z350,$D350-(G350+K350+O350+S350+W350))),0)</f>
        <v>0</v>
      </c>
      <c r="AB350" s="69" t="n">
        <f aca="false">Y350-Z350-AA350</f>
        <v>0</v>
      </c>
      <c r="AC350" s="69" t="n">
        <f aca="false">IF(AF349&gt;0.5,AF349*(1+AC$23)+AC$24,0)</f>
        <v>0</v>
      </c>
      <c r="AD350" s="69" t="n">
        <f aca="false">MIN(AD$23,AC350)</f>
        <v>0</v>
      </c>
      <c r="AE350" s="69" t="n">
        <f aca="false">IF(AND(AD$24=1,OR(AC$25="",$C350&gt;=AC$25)),MAX(0,MIN(AC350-AD350,$D350-(G350+K350+O350+S350+W350+AA350))),0)</f>
        <v>0</v>
      </c>
      <c r="AF350" s="69" t="n">
        <f aca="false">AC350-AD350-AE350</f>
        <v>0</v>
      </c>
      <c r="AG350" s="69" t="n">
        <f aca="false">IF(AJ349&gt;0.5,AJ349*(1+AG$23)+AG$24,0)</f>
        <v>0</v>
      </c>
      <c r="AH350" s="69" t="n">
        <f aca="false">MIN(AH$23,AG350)</f>
        <v>0</v>
      </c>
      <c r="AI350" s="69" t="n">
        <f aca="false">IF(AND(AH$24=1,OR(AG$25="",$C350&gt;=AG$25)),MAX(0,MIN(AG350-AH350,$D350-(G350+K350+O350+S350+W350+AA350+AE350))),0)</f>
        <v>0</v>
      </c>
      <c r="AJ350" s="69" t="n">
        <f aca="false">AG350-AH350-AI350</f>
        <v>0</v>
      </c>
      <c r="AK350" s="69" t="n">
        <f aca="false">IF(AK349&gt;0.5,AK349*(1+$E$12)+$G$12-MIN($F$12,AK349*(1+$E$12)+$G$12),0)</f>
        <v>0</v>
      </c>
      <c r="AL350" s="69" t="n">
        <f aca="false">IF(AL349&gt;0.5,AL349*(1+$E$13)+$G$13-MIN($F$13,AL349*(1+$E$13)+$G$13),0)</f>
        <v>0</v>
      </c>
      <c r="AM350" s="69" t="n">
        <f aca="false">IF(AM349&gt;0.5,AM349*(1+$E$14)+$G$14-MIN($F$14,AM349*(1+$E$14)+$G$14),0)</f>
        <v>0</v>
      </c>
      <c r="AN350" s="69" t="n">
        <f aca="false">IF(AN349&gt;0.5,AN349*(1+$E$15)+$G$15-MIN($F$15,AN349*(1+$E$15)+$G$15),0)</f>
        <v>0</v>
      </c>
      <c r="AO350" s="69" t="n">
        <f aca="false">IF(AO349&gt;0.5,AO349*(1+$E$16)+$G$16-MIN($F$16,AO349*(1+$E$16)+$G$16),0)</f>
        <v>0</v>
      </c>
      <c r="AP350" s="69" t="n">
        <f aca="false">IF(AP349&gt;0.5,AP349*(1+$E$17)+$G$17-MIN($F$17,AP349*(1+$E$17)+$G$17),0)</f>
        <v>0</v>
      </c>
      <c r="AQ350" s="69" t="n">
        <f aca="false">IF(AQ349&gt;0.5,AQ349*(1+$E$18)+$G$18-MIN($F$18,AQ349*(1+$E$18)+$G$18),0)</f>
        <v>0</v>
      </c>
      <c r="AR350" s="69" t="n">
        <f aca="false">IF(AR349&gt;0.5,AR349*(1+$E$19)+$G$19-MIN($F$19,AR349*(1+$E$19)+$G$19),0)</f>
        <v>0</v>
      </c>
      <c r="AS350" s="69" t="n">
        <f aca="false">H350+L350+P350+T350+X350+AB350+AF350+AJ350</f>
        <v>0</v>
      </c>
      <c r="AT350" s="69" t="n">
        <f aca="false">SUM(AK350:AR350)</f>
        <v>0</v>
      </c>
      <c r="AU350" s="69" t="n">
        <f aca="false">F350+G350+J350+K350+N350+O350+R350+S350+V350+W350+Z350+AA350+AD350+AE350+AH350+AI350</f>
        <v>0</v>
      </c>
    </row>
    <row r="351" customFormat="false" ht="15" hidden="false" customHeight="false" outlineLevel="0" collapsed="false">
      <c r="B351" s="0" t="n">
        <v>324</v>
      </c>
      <c r="C351" s="68" t="n">
        <f aca="false">EDATE($C$7,323)</f>
        <v>56128</v>
      </c>
      <c r="D351" s="69" t="n">
        <f aca="false">$C$8-(F351+J351+N351+R351+V351+Z351+AD351+AH351)</f>
        <v>0</v>
      </c>
      <c r="E351" s="69" t="n">
        <f aca="false">IF(H350&gt;0.5,H350*(1+E$23)+E$24,0)</f>
        <v>0</v>
      </c>
      <c r="F351" s="69" t="n">
        <f aca="false">MIN(F$23,E351)</f>
        <v>0</v>
      </c>
      <c r="G351" s="69" t="n">
        <f aca="false">IF(AND(F$24=1,OR(E$25="",$C351&gt;=E$25)),MAX(0,MIN(E351-F351,$D351-(0))),0)</f>
        <v>0</v>
      </c>
      <c r="H351" s="69" t="n">
        <f aca="false">E351-F351-G351</f>
        <v>0</v>
      </c>
      <c r="I351" s="69" t="n">
        <f aca="false">IF(L350&gt;0.5,L350*(1+I$23)+I$24,0)</f>
        <v>0</v>
      </c>
      <c r="J351" s="69" t="n">
        <f aca="false">MIN(J$23,I351)</f>
        <v>0</v>
      </c>
      <c r="K351" s="69" t="n">
        <f aca="false">IF(AND(J$24=1,OR(I$25="",$C351&gt;=I$25)),MAX(0,MIN(I351-J351,$D351-(G351))),0)</f>
        <v>0</v>
      </c>
      <c r="L351" s="69" t="n">
        <f aca="false">I351-J351-K351</f>
        <v>0</v>
      </c>
      <c r="M351" s="69" t="n">
        <f aca="false">IF(P350&gt;0.5,P350*(1+M$23)+M$24,0)</f>
        <v>0</v>
      </c>
      <c r="N351" s="69" t="n">
        <f aca="false">MIN(N$23,M351)</f>
        <v>0</v>
      </c>
      <c r="O351" s="69" t="n">
        <f aca="false">IF(AND(N$24=1,OR(M$25="",$C351&gt;=M$25)),MAX(0,MIN(M351-N351,$D351-(G351+K351))),0)</f>
        <v>0</v>
      </c>
      <c r="P351" s="69" t="n">
        <f aca="false">M351-N351-O351</f>
        <v>0</v>
      </c>
      <c r="Q351" s="69" t="n">
        <f aca="false">IF(T350&gt;0.5,T350*(1+Q$23)+Q$24,0)</f>
        <v>0</v>
      </c>
      <c r="R351" s="69" t="n">
        <f aca="false">MIN(R$23,Q351)</f>
        <v>0</v>
      </c>
      <c r="S351" s="69" t="n">
        <f aca="false">IF(AND(R$24=1,OR(Q$25="",$C351&gt;=Q$25)),MAX(0,MIN(Q351-R351,$D351-(G351+K351+O351))),0)</f>
        <v>0</v>
      </c>
      <c r="T351" s="69" t="n">
        <f aca="false">Q351-R351-S351</f>
        <v>0</v>
      </c>
      <c r="U351" s="69" t="n">
        <f aca="false">IF(X350&gt;0.5,X350*(1+U$23)+U$24,0)</f>
        <v>0</v>
      </c>
      <c r="V351" s="69" t="n">
        <f aca="false">MIN(V$23,U351)</f>
        <v>0</v>
      </c>
      <c r="W351" s="69" t="n">
        <f aca="false">IF(AND(V$24=1,OR(U$25="",$C351&gt;=U$25)),MAX(0,MIN(U351-V351,$D351-(G351+K351+O351+S351))),0)</f>
        <v>0</v>
      </c>
      <c r="X351" s="69" t="n">
        <f aca="false">U351-V351-W351</f>
        <v>0</v>
      </c>
      <c r="Y351" s="69" t="n">
        <f aca="false">IF(AB350&gt;0.5,AB350*(1+Y$23)+Y$24,0)</f>
        <v>0</v>
      </c>
      <c r="Z351" s="69" t="n">
        <f aca="false">MIN(Z$23,Y351)</f>
        <v>0</v>
      </c>
      <c r="AA351" s="69" t="n">
        <f aca="false">IF(AND(Z$24=1,OR(Y$25="",$C351&gt;=Y$25)),MAX(0,MIN(Y351-Z351,$D351-(G351+K351+O351+S351+W351))),0)</f>
        <v>0</v>
      </c>
      <c r="AB351" s="69" t="n">
        <f aca="false">Y351-Z351-AA351</f>
        <v>0</v>
      </c>
      <c r="AC351" s="69" t="n">
        <f aca="false">IF(AF350&gt;0.5,AF350*(1+AC$23)+AC$24,0)</f>
        <v>0</v>
      </c>
      <c r="AD351" s="69" t="n">
        <f aca="false">MIN(AD$23,AC351)</f>
        <v>0</v>
      </c>
      <c r="AE351" s="69" t="n">
        <f aca="false">IF(AND(AD$24=1,OR(AC$25="",$C351&gt;=AC$25)),MAX(0,MIN(AC351-AD351,$D351-(G351+K351+O351+S351+W351+AA351))),0)</f>
        <v>0</v>
      </c>
      <c r="AF351" s="69" t="n">
        <f aca="false">AC351-AD351-AE351</f>
        <v>0</v>
      </c>
      <c r="AG351" s="69" t="n">
        <f aca="false">IF(AJ350&gt;0.5,AJ350*(1+AG$23)+AG$24,0)</f>
        <v>0</v>
      </c>
      <c r="AH351" s="69" t="n">
        <f aca="false">MIN(AH$23,AG351)</f>
        <v>0</v>
      </c>
      <c r="AI351" s="69" t="n">
        <f aca="false">IF(AND(AH$24=1,OR(AG$25="",$C351&gt;=AG$25)),MAX(0,MIN(AG351-AH351,$D351-(G351+K351+O351+S351+W351+AA351+AE351))),0)</f>
        <v>0</v>
      </c>
      <c r="AJ351" s="69" t="n">
        <f aca="false">AG351-AH351-AI351</f>
        <v>0</v>
      </c>
      <c r="AK351" s="69" t="n">
        <f aca="false">IF(AK350&gt;0.5,AK350*(1+$E$12)+$G$12-MIN($F$12,AK350*(1+$E$12)+$G$12),0)</f>
        <v>0</v>
      </c>
      <c r="AL351" s="69" t="n">
        <f aca="false">IF(AL350&gt;0.5,AL350*(1+$E$13)+$G$13-MIN($F$13,AL350*(1+$E$13)+$G$13),0)</f>
        <v>0</v>
      </c>
      <c r="AM351" s="69" t="n">
        <f aca="false">IF(AM350&gt;0.5,AM350*(1+$E$14)+$G$14-MIN($F$14,AM350*(1+$E$14)+$G$14),0)</f>
        <v>0</v>
      </c>
      <c r="AN351" s="69" t="n">
        <f aca="false">IF(AN350&gt;0.5,AN350*(1+$E$15)+$G$15-MIN($F$15,AN350*(1+$E$15)+$G$15),0)</f>
        <v>0</v>
      </c>
      <c r="AO351" s="69" t="n">
        <f aca="false">IF(AO350&gt;0.5,AO350*(1+$E$16)+$G$16-MIN($F$16,AO350*(1+$E$16)+$G$16),0)</f>
        <v>0</v>
      </c>
      <c r="AP351" s="69" t="n">
        <f aca="false">IF(AP350&gt;0.5,AP350*(1+$E$17)+$G$17-MIN($F$17,AP350*(1+$E$17)+$G$17),0)</f>
        <v>0</v>
      </c>
      <c r="AQ351" s="69" t="n">
        <f aca="false">IF(AQ350&gt;0.5,AQ350*(1+$E$18)+$G$18-MIN($F$18,AQ350*(1+$E$18)+$G$18),0)</f>
        <v>0</v>
      </c>
      <c r="AR351" s="69" t="n">
        <f aca="false">IF(AR350&gt;0.5,AR350*(1+$E$19)+$G$19-MIN($F$19,AR350*(1+$E$19)+$G$19),0)</f>
        <v>0</v>
      </c>
      <c r="AS351" s="69" t="n">
        <f aca="false">H351+L351+P351+T351+X351+AB351+AF351+AJ351</f>
        <v>0</v>
      </c>
      <c r="AT351" s="69" t="n">
        <f aca="false">SUM(AK351:AR351)</f>
        <v>0</v>
      </c>
      <c r="AU351" s="69" t="n">
        <f aca="false">F351+G351+J351+K351+N351+O351+R351+S351+V351+W351+Z351+AA351+AD351+AE351+AH351+AI351</f>
        <v>0</v>
      </c>
    </row>
    <row r="352" customFormat="false" ht="15" hidden="false" customHeight="false" outlineLevel="0" collapsed="false">
      <c r="B352" s="0" t="n">
        <v>325</v>
      </c>
      <c r="C352" s="68" t="n">
        <f aca="false">EDATE($C$7,324)</f>
        <v>56158</v>
      </c>
      <c r="D352" s="69" t="n">
        <f aca="false">$C$8-(F352+J352+N352+R352+V352+Z352+AD352+AH352)</f>
        <v>0</v>
      </c>
      <c r="E352" s="69" t="n">
        <f aca="false">IF(H351&gt;0.5,H351*(1+E$23)+E$24,0)</f>
        <v>0</v>
      </c>
      <c r="F352" s="69" t="n">
        <f aca="false">MIN(F$23,E352)</f>
        <v>0</v>
      </c>
      <c r="G352" s="69" t="n">
        <f aca="false">IF(AND(F$24=1,OR(E$25="",$C352&gt;=E$25)),MAX(0,MIN(E352-F352,$D352-(0))),0)</f>
        <v>0</v>
      </c>
      <c r="H352" s="69" t="n">
        <f aca="false">E352-F352-G352</f>
        <v>0</v>
      </c>
      <c r="I352" s="69" t="n">
        <f aca="false">IF(L351&gt;0.5,L351*(1+I$23)+I$24,0)</f>
        <v>0</v>
      </c>
      <c r="J352" s="69" t="n">
        <f aca="false">MIN(J$23,I352)</f>
        <v>0</v>
      </c>
      <c r="K352" s="69" t="n">
        <f aca="false">IF(AND(J$24=1,OR(I$25="",$C352&gt;=I$25)),MAX(0,MIN(I352-J352,$D352-(G352))),0)</f>
        <v>0</v>
      </c>
      <c r="L352" s="69" t="n">
        <f aca="false">I352-J352-K352</f>
        <v>0</v>
      </c>
      <c r="M352" s="69" t="n">
        <f aca="false">IF(P351&gt;0.5,P351*(1+M$23)+M$24,0)</f>
        <v>0</v>
      </c>
      <c r="N352" s="69" t="n">
        <f aca="false">MIN(N$23,M352)</f>
        <v>0</v>
      </c>
      <c r="O352" s="69" t="n">
        <f aca="false">IF(AND(N$24=1,OR(M$25="",$C352&gt;=M$25)),MAX(0,MIN(M352-N352,$D352-(G352+K352))),0)</f>
        <v>0</v>
      </c>
      <c r="P352" s="69" t="n">
        <f aca="false">M352-N352-O352</f>
        <v>0</v>
      </c>
      <c r="Q352" s="69" t="n">
        <f aca="false">IF(T351&gt;0.5,T351*(1+Q$23)+Q$24,0)</f>
        <v>0</v>
      </c>
      <c r="R352" s="69" t="n">
        <f aca="false">MIN(R$23,Q352)</f>
        <v>0</v>
      </c>
      <c r="S352" s="69" t="n">
        <f aca="false">IF(AND(R$24=1,OR(Q$25="",$C352&gt;=Q$25)),MAX(0,MIN(Q352-R352,$D352-(G352+K352+O352))),0)</f>
        <v>0</v>
      </c>
      <c r="T352" s="69" t="n">
        <f aca="false">Q352-R352-S352</f>
        <v>0</v>
      </c>
      <c r="U352" s="69" t="n">
        <f aca="false">IF(X351&gt;0.5,X351*(1+U$23)+U$24,0)</f>
        <v>0</v>
      </c>
      <c r="V352" s="69" t="n">
        <f aca="false">MIN(V$23,U352)</f>
        <v>0</v>
      </c>
      <c r="W352" s="69" t="n">
        <f aca="false">IF(AND(V$24=1,OR(U$25="",$C352&gt;=U$25)),MAX(0,MIN(U352-V352,$D352-(G352+K352+O352+S352))),0)</f>
        <v>0</v>
      </c>
      <c r="X352" s="69" t="n">
        <f aca="false">U352-V352-W352</f>
        <v>0</v>
      </c>
      <c r="Y352" s="69" t="n">
        <f aca="false">IF(AB351&gt;0.5,AB351*(1+Y$23)+Y$24,0)</f>
        <v>0</v>
      </c>
      <c r="Z352" s="69" t="n">
        <f aca="false">MIN(Z$23,Y352)</f>
        <v>0</v>
      </c>
      <c r="AA352" s="69" t="n">
        <f aca="false">IF(AND(Z$24=1,OR(Y$25="",$C352&gt;=Y$25)),MAX(0,MIN(Y352-Z352,$D352-(G352+K352+O352+S352+W352))),0)</f>
        <v>0</v>
      </c>
      <c r="AB352" s="69" t="n">
        <f aca="false">Y352-Z352-AA352</f>
        <v>0</v>
      </c>
      <c r="AC352" s="69" t="n">
        <f aca="false">IF(AF351&gt;0.5,AF351*(1+AC$23)+AC$24,0)</f>
        <v>0</v>
      </c>
      <c r="AD352" s="69" t="n">
        <f aca="false">MIN(AD$23,AC352)</f>
        <v>0</v>
      </c>
      <c r="AE352" s="69" t="n">
        <f aca="false">IF(AND(AD$24=1,OR(AC$25="",$C352&gt;=AC$25)),MAX(0,MIN(AC352-AD352,$D352-(G352+K352+O352+S352+W352+AA352))),0)</f>
        <v>0</v>
      </c>
      <c r="AF352" s="69" t="n">
        <f aca="false">AC352-AD352-AE352</f>
        <v>0</v>
      </c>
      <c r="AG352" s="69" t="n">
        <f aca="false">IF(AJ351&gt;0.5,AJ351*(1+AG$23)+AG$24,0)</f>
        <v>0</v>
      </c>
      <c r="AH352" s="69" t="n">
        <f aca="false">MIN(AH$23,AG352)</f>
        <v>0</v>
      </c>
      <c r="AI352" s="69" t="n">
        <f aca="false">IF(AND(AH$24=1,OR(AG$25="",$C352&gt;=AG$25)),MAX(0,MIN(AG352-AH352,$D352-(G352+K352+O352+S352+W352+AA352+AE352))),0)</f>
        <v>0</v>
      </c>
      <c r="AJ352" s="69" t="n">
        <f aca="false">AG352-AH352-AI352</f>
        <v>0</v>
      </c>
      <c r="AK352" s="69" t="n">
        <f aca="false">IF(AK351&gt;0.5,AK351*(1+$E$12)+$G$12-MIN($F$12,AK351*(1+$E$12)+$G$12),0)</f>
        <v>0</v>
      </c>
      <c r="AL352" s="69" t="n">
        <f aca="false">IF(AL351&gt;0.5,AL351*(1+$E$13)+$G$13-MIN($F$13,AL351*(1+$E$13)+$G$13),0)</f>
        <v>0</v>
      </c>
      <c r="AM352" s="69" t="n">
        <f aca="false">IF(AM351&gt;0.5,AM351*(1+$E$14)+$G$14-MIN($F$14,AM351*(1+$E$14)+$G$14),0)</f>
        <v>0</v>
      </c>
      <c r="AN352" s="69" t="n">
        <f aca="false">IF(AN351&gt;0.5,AN351*(1+$E$15)+$G$15-MIN($F$15,AN351*(1+$E$15)+$G$15),0)</f>
        <v>0</v>
      </c>
      <c r="AO352" s="69" t="n">
        <f aca="false">IF(AO351&gt;0.5,AO351*(1+$E$16)+$G$16-MIN($F$16,AO351*(1+$E$16)+$G$16),0)</f>
        <v>0</v>
      </c>
      <c r="AP352" s="69" t="n">
        <f aca="false">IF(AP351&gt;0.5,AP351*(1+$E$17)+$G$17-MIN($F$17,AP351*(1+$E$17)+$G$17),0)</f>
        <v>0</v>
      </c>
      <c r="AQ352" s="69" t="n">
        <f aca="false">IF(AQ351&gt;0.5,AQ351*(1+$E$18)+$G$18-MIN($F$18,AQ351*(1+$E$18)+$G$18),0)</f>
        <v>0</v>
      </c>
      <c r="AR352" s="69" t="n">
        <f aca="false">IF(AR351&gt;0.5,AR351*(1+$E$19)+$G$19-MIN($F$19,AR351*(1+$E$19)+$G$19),0)</f>
        <v>0</v>
      </c>
      <c r="AS352" s="69" t="n">
        <f aca="false">H352+L352+P352+T352+X352+AB352+AF352+AJ352</f>
        <v>0</v>
      </c>
      <c r="AT352" s="69" t="n">
        <f aca="false">SUM(AK352:AR352)</f>
        <v>0</v>
      </c>
      <c r="AU352" s="69" t="n">
        <f aca="false">F352+G352+J352+K352+N352+O352+R352+S352+V352+W352+Z352+AA352+AD352+AE352+AH352+AI352</f>
        <v>0</v>
      </c>
    </row>
    <row r="353" customFormat="false" ht="15" hidden="false" customHeight="false" outlineLevel="0" collapsed="false">
      <c r="B353" s="0" t="n">
        <v>326</v>
      </c>
      <c r="C353" s="68" t="n">
        <f aca="false">EDATE($C$7,325)</f>
        <v>56189</v>
      </c>
      <c r="D353" s="69" t="n">
        <f aca="false">$C$8-(F353+J353+N353+R353+V353+Z353+AD353+AH353)</f>
        <v>0</v>
      </c>
      <c r="E353" s="69" t="n">
        <f aca="false">IF(H352&gt;0.5,H352*(1+E$23)+E$24,0)</f>
        <v>0</v>
      </c>
      <c r="F353" s="69" t="n">
        <f aca="false">MIN(F$23,E353)</f>
        <v>0</v>
      </c>
      <c r="G353" s="69" t="n">
        <f aca="false">IF(AND(F$24=1,OR(E$25="",$C353&gt;=E$25)),MAX(0,MIN(E353-F353,$D353-(0))),0)</f>
        <v>0</v>
      </c>
      <c r="H353" s="69" t="n">
        <f aca="false">E353-F353-G353</f>
        <v>0</v>
      </c>
      <c r="I353" s="69" t="n">
        <f aca="false">IF(L352&gt;0.5,L352*(1+I$23)+I$24,0)</f>
        <v>0</v>
      </c>
      <c r="J353" s="69" t="n">
        <f aca="false">MIN(J$23,I353)</f>
        <v>0</v>
      </c>
      <c r="K353" s="69" t="n">
        <f aca="false">IF(AND(J$24=1,OR(I$25="",$C353&gt;=I$25)),MAX(0,MIN(I353-J353,$D353-(G353))),0)</f>
        <v>0</v>
      </c>
      <c r="L353" s="69" t="n">
        <f aca="false">I353-J353-K353</f>
        <v>0</v>
      </c>
      <c r="M353" s="69" t="n">
        <f aca="false">IF(P352&gt;0.5,P352*(1+M$23)+M$24,0)</f>
        <v>0</v>
      </c>
      <c r="N353" s="69" t="n">
        <f aca="false">MIN(N$23,M353)</f>
        <v>0</v>
      </c>
      <c r="O353" s="69" t="n">
        <f aca="false">IF(AND(N$24=1,OR(M$25="",$C353&gt;=M$25)),MAX(0,MIN(M353-N353,$D353-(G353+K353))),0)</f>
        <v>0</v>
      </c>
      <c r="P353" s="69" t="n">
        <f aca="false">M353-N353-O353</f>
        <v>0</v>
      </c>
      <c r="Q353" s="69" t="n">
        <f aca="false">IF(T352&gt;0.5,T352*(1+Q$23)+Q$24,0)</f>
        <v>0</v>
      </c>
      <c r="R353" s="69" t="n">
        <f aca="false">MIN(R$23,Q353)</f>
        <v>0</v>
      </c>
      <c r="S353" s="69" t="n">
        <f aca="false">IF(AND(R$24=1,OR(Q$25="",$C353&gt;=Q$25)),MAX(0,MIN(Q353-R353,$D353-(G353+K353+O353))),0)</f>
        <v>0</v>
      </c>
      <c r="T353" s="69" t="n">
        <f aca="false">Q353-R353-S353</f>
        <v>0</v>
      </c>
      <c r="U353" s="69" t="n">
        <f aca="false">IF(X352&gt;0.5,X352*(1+U$23)+U$24,0)</f>
        <v>0</v>
      </c>
      <c r="V353" s="69" t="n">
        <f aca="false">MIN(V$23,U353)</f>
        <v>0</v>
      </c>
      <c r="W353" s="69" t="n">
        <f aca="false">IF(AND(V$24=1,OR(U$25="",$C353&gt;=U$25)),MAX(0,MIN(U353-V353,$D353-(G353+K353+O353+S353))),0)</f>
        <v>0</v>
      </c>
      <c r="X353" s="69" t="n">
        <f aca="false">U353-V353-W353</f>
        <v>0</v>
      </c>
      <c r="Y353" s="69" t="n">
        <f aca="false">IF(AB352&gt;0.5,AB352*(1+Y$23)+Y$24,0)</f>
        <v>0</v>
      </c>
      <c r="Z353" s="69" t="n">
        <f aca="false">MIN(Z$23,Y353)</f>
        <v>0</v>
      </c>
      <c r="AA353" s="69" t="n">
        <f aca="false">IF(AND(Z$24=1,OR(Y$25="",$C353&gt;=Y$25)),MAX(0,MIN(Y353-Z353,$D353-(G353+K353+O353+S353+W353))),0)</f>
        <v>0</v>
      </c>
      <c r="AB353" s="69" t="n">
        <f aca="false">Y353-Z353-AA353</f>
        <v>0</v>
      </c>
      <c r="AC353" s="69" t="n">
        <f aca="false">IF(AF352&gt;0.5,AF352*(1+AC$23)+AC$24,0)</f>
        <v>0</v>
      </c>
      <c r="AD353" s="69" t="n">
        <f aca="false">MIN(AD$23,AC353)</f>
        <v>0</v>
      </c>
      <c r="AE353" s="69" t="n">
        <f aca="false">IF(AND(AD$24=1,OR(AC$25="",$C353&gt;=AC$25)),MAX(0,MIN(AC353-AD353,$D353-(G353+K353+O353+S353+W353+AA353))),0)</f>
        <v>0</v>
      </c>
      <c r="AF353" s="69" t="n">
        <f aca="false">AC353-AD353-AE353</f>
        <v>0</v>
      </c>
      <c r="AG353" s="69" t="n">
        <f aca="false">IF(AJ352&gt;0.5,AJ352*(1+AG$23)+AG$24,0)</f>
        <v>0</v>
      </c>
      <c r="AH353" s="69" t="n">
        <f aca="false">MIN(AH$23,AG353)</f>
        <v>0</v>
      </c>
      <c r="AI353" s="69" t="n">
        <f aca="false">IF(AND(AH$24=1,OR(AG$25="",$C353&gt;=AG$25)),MAX(0,MIN(AG353-AH353,$D353-(G353+K353+O353+S353+W353+AA353+AE353))),0)</f>
        <v>0</v>
      </c>
      <c r="AJ353" s="69" t="n">
        <f aca="false">AG353-AH353-AI353</f>
        <v>0</v>
      </c>
      <c r="AK353" s="69" t="n">
        <f aca="false">IF(AK352&gt;0.5,AK352*(1+$E$12)+$G$12-MIN($F$12,AK352*(1+$E$12)+$G$12),0)</f>
        <v>0</v>
      </c>
      <c r="AL353" s="69" t="n">
        <f aca="false">IF(AL352&gt;0.5,AL352*(1+$E$13)+$G$13-MIN($F$13,AL352*(1+$E$13)+$G$13),0)</f>
        <v>0</v>
      </c>
      <c r="AM353" s="69" t="n">
        <f aca="false">IF(AM352&gt;0.5,AM352*(1+$E$14)+$G$14-MIN($F$14,AM352*(1+$E$14)+$G$14),0)</f>
        <v>0</v>
      </c>
      <c r="AN353" s="69" t="n">
        <f aca="false">IF(AN352&gt;0.5,AN352*(1+$E$15)+$G$15-MIN($F$15,AN352*(1+$E$15)+$G$15),0)</f>
        <v>0</v>
      </c>
      <c r="AO353" s="69" t="n">
        <f aca="false">IF(AO352&gt;0.5,AO352*(1+$E$16)+$G$16-MIN($F$16,AO352*(1+$E$16)+$G$16),0)</f>
        <v>0</v>
      </c>
      <c r="AP353" s="69" t="n">
        <f aca="false">IF(AP352&gt;0.5,AP352*(1+$E$17)+$G$17-MIN($F$17,AP352*(1+$E$17)+$G$17),0)</f>
        <v>0</v>
      </c>
      <c r="AQ353" s="69" t="n">
        <f aca="false">IF(AQ352&gt;0.5,AQ352*(1+$E$18)+$G$18-MIN($F$18,AQ352*(1+$E$18)+$G$18),0)</f>
        <v>0</v>
      </c>
      <c r="AR353" s="69" t="n">
        <f aca="false">IF(AR352&gt;0.5,AR352*(1+$E$19)+$G$19-MIN($F$19,AR352*(1+$E$19)+$G$19),0)</f>
        <v>0</v>
      </c>
      <c r="AS353" s="69" t="n">
        <f aca="false">H353+L353+P353+T353+X353+AB353+AF353+AJ353</f>
        <v>0</v>
      </c>
      <c r="AT353" s="69" t="n">
        <f aca="false">SUM(AK353:AR353)</f>
        <v>0</v>
      </c>
      <c r="AU353" s="69" t="n">
        <f aca="false">F353+G353+J353+K353+N353+O353+R353+S353+V353+W353+Z353+AA353+AD353+AE353+AH353+AI353</f>
        <v>0</v>
      </c>
    </row>
    <row r="354" customFormat="false" ht="15" hidden="false" customHeight="false" outlineLevel="0" collapsed="false">
      <c r="B354" s="0" t="n">
        <v>327</v>
      </c>
      <c r="C354" s="68" t="n">
        <f aca="false">EDATE($C$7,326)</f>
        <v>56219</v>
      </c>
      <c r="D354" s="69" t="n">
        <f aca="false">$C$8-(F354+J354+N354+R354+V354+Z354+AD354+AH354)</f>
        <v>0</v>
      </c>
      <c r="E354" s="69" t="n">
        <f aca="false">IF(H353&gt;0.5,H353*(1+E$23)+E$24,0)</f>
        <v>0</v>
      </c>
      <c r="F354" s="69" t="n">
        <f aca="false">MIN(F$23,E354)</f>
        <v>0</v>
      </c>
      <c r="G354" s="69" t="n">
        <f aca="false">IF(AND(F$24=1,OR(E$25="",$C354&gt;=E$25)),MAX(0,MIN(E354-F354,$D354-(0))),0)</f>
        <v>0</v>
      </c>
      <c r="H354" s="69" t="n">
        <f aca="false">E354-F354-G354</f>
        <v>0</v>
      </c>
      <c r="I354" s="69" t="n">
        <f aca="false">IF(L353&gt;0.5,L353*(1+I$23)+I$24,0)</f>
        <v>0</v>
      </c>
      <c r="J354" s="69" t="n">
        <f aca="false">MIN(J$23,I354)</f>
        <v>0</v>
      </c>
      <c r="K354" s="69" t="n">
        <f aca="false">IF(AND(J$24=1,OR(I$25="",$C354&gt;=I$25)),MAX(0,MIN(I354-J354,$D354-(G354))),0)</f>
        <v>0</v>
      </c>
      <c r="L354" s="69" t="n">
        <f aca="false">I354-J354-K354</f>
        <v>0</v>
      </c>
      <c r="M354" s="69" t="n">
        <f aca="false">IF(P353&gt;0.5,P353*(1+M$23)+M$24,0)</f>
        <v>0</v>
      </c>
      <c r="N354" s="69" t="n">
        <f aca="false">MIN(N$23,M354)</f>
        <v>0</v>
      </c>
      <c r="O354" s="69" t="n">
        <f aca="false">IF(AND(N$24=1,OR(M$25="",$C354&gt;=M$25)),MAX(0,MIN(M354-N354,$D354-(G354+K354))),0)</f>
        <v>0</v>
      </c>
      <c r="P354" s="69" t="n">
        <f aca="false">M354-N354-O354</f>
        <v>0</v>
      </c>
      <c r="Q354" s="69" t="n">
        <f aca="false">IF(T353&gt;0.5,T353*(1+Q$23)+Q$24,0)</f>
        <v>0</v>
      </c>
      <c r="R354" s="69" t="n">
        <f aca="false">MIN(R$23,Q354)</f>
        <v>0</v>
      </c>
      <c r="S354" s="69" t="n">
        <f aca="false">IF(AND(R$24=1,OR(Q$25="",$C354&gt;=Q$25)),MAX(0,MIN(Q354-R354,$D354-(G354+K354+O354))),0)</f>
        <v>0</v>
      </c>
      <c r="T354" s="69" t="n">
        <f aca="false">Q354-R354-S354</f>
        <v>0</v>
      </c>
      <c r="U354" s="69" t="n">
        <f aca="false">IF(X353&gt;0.5,X353*(1+U$23)+U$24,0)</f>
        <v>0</v>
      </c>
      <c r="V354" s="69" t="n">
        <f aca="false">MIN(V$23,U354)</f>
        <v>0</v>
      </c>
      <c r="W354" s="69" t="n">
        <f aca="false">IF(AND(V$24=1,OR(U$25="",$C354&gt;=U$25)),MAX(0,MIN(U354-V354,$D354-(G354+K354+O354+S354))),0)</f>
        <v>0</v>
      </c>
      <c r="X354" s="69" t="n">
        <f aca="false">U354-V354-W354</f>
        <v>0</v>
      </c>
      <c r="Y354" s="69" t="n">
        <f aca="false">IF(AB353&gt;0.5,AB353*(1+Y$23)+Y$24,0)</f>
        <v>0</v>
      </c>
      <c r="Z354" s="69" t="n">
        <f aca="false">MIN(Z$23,Y354)</f>
        <v>0</v>
      </c>
      <c r="AA354" s="69" t="n">
        <f aca="false">IF(AND(Z$24=1,OR(Y$25="",$C354&gt;=Y$25)),MAX(0,MIN(Y354-Z354,$D354-(G354+K354+O354+S354+W354))),0)</f>
        <v>0</v>
      </c>
      <c r="AB354" s="69" t="n">
        <f aca="false">Y354-Z354-AA354</f>
        <v>0</v>
      </c>
      <c r="AC354" s="69" t="n">
        <f aca="false">IF(AF353&gt;0.5,AF353*(1+AC$23)+AC$24,0)</f>
        <v>0</v>
      </c>
      <c r="AD354" s="69" t="n">
        <f aca="false">MIN(AD$23,AC354)</f>
        <v>0</v>
      </c>
      <c r="AE354" s="69" t="n">
        <f aca="false">IF(AND(AD$24=1,OR(AC$25="",$C354&gt;=AC$25)),MAX(0,MIN(AC354-AD354,$D354-(G354+K354+O354+S354+W354+AA354))),0)</f>
        <v>0</v>
      </c>
      <c r="AF354" s="69" t="n">
        <f aca="false">AC354-AD354-AE354</f>
        <v>0</v>
      </c>
      <c r="AG354" s="69" t="n">
        <f aca="false">IF(AJ353&gt;0.5,AJ353*(1+AG$23)+AG$24,0)</f>
        <v>0</v>
      </c>
      <c r="AH354" s="69" t="n">
        <f aca="false">MIN(AH$23,AG354)</f>
        <v>0</v>
      </c>
      <c r="AI354" s="69" t="n">
        <f aca="false">IF(AND(AH$24=1,OR(AG$25="",$C354&gt;=AG$25)),MAX(0,MIN(AG354-AH354,$D354-(G354+K354+O354+S354+W354+AA354+AE354))),0)</f>
        <v>0</v>
      </c>
      <c r="AJ354" s="69" t="n">
        <f aca="false">AG354-AH354-AI354</f>
        <v>0</v>
      </c>
      <c r="AK354" s="69" t="n">
        <f aca="false">IF(AK353&gt;0.5,AK353*(1+$E$12)+$G$12-MIN($F$12,AK353*(1+$E$12)+$G$12),0)</f>
        <v>0</v>
      </c>
      <c r="AL354" s="69" t="n">
        <f aca="false">IF(AL353&gt;0.5,AL353*(1+$E$13)+$G$13-MIN($F$13,AL353*(1+$E$13)+$G$13),0)</f>
        <v>0</v>
      </c>
      <c r="AM354" s="69" t="n">
        <f aca="false">IF(AM353&gt;0.5,AM353*(1+$E$14)+$G$14-MIN($F$14,AM353*(1+$E$14)+$G$14),0)</f>
        <v>0</v>
      </c>
      <c r="AN354" s="69" t="n">
        <f aca="false">IF(AN353&gt;0.5,AN353*(1+$E$15)+$G$15-MIN($F$15,AN353*(1+$E$15)+$G$15),0)</f>
        <v>0</v>
      </c>
      <c r="AO354" s="69" t="n">
        <f aca="false">IF(AO353&gt;0.5,AO353*(1+$E$16)+$G$16-MIN($F$16,AO353*(1+$E$16)+$G$16),0)</f>
        <v>0</v>
      </c>
      <c r="AP354" s="69" t="n">
        <f aca="false">IF(AP353&gt;0.5,AP353*(1+$E$17)+$G$17-MIN($F$17,AP353*(1+$E$17)+$G$17),0)</f>
        <v>0</v>
      </c>
      <c r="AQ354" s="69" t="n">
        <f aca="false">IF(AQ353&gt;0.5,AQ353*(1+$E$18)+$G$18-MIN($F$18,AQ353*(1+$E$18)+$G$18),0)</f>
        <v>0</v>
      </c>
      <c r="AR354" s="69" t="n">
        <f aca="false">IF(AR353&gt;0.5,AR353*(1+$E$19)+$G$19-MIN($F$19,AR353*(1+$E$19)+$G$19),0)</f>
        <v>0</v>
      </c>
      <c r="AS354" s="69" t="n">
        <f aca="false">H354+L354+P354+T354+X354+AB354+AF354+AJ354</f>
        <v>0</v>
      </c>
      <c r="AT354" s="69" t="n">
        <f aca="false">SUM(AK354:AR354)</f>
        <v>0</v>
      </c>
      <c r="AU354" s="69" t="n">
        <f aca="false">F354+G354+J354+K354+N354+O354+R354+S354+V354+W354+Z354+AA354+AD354+AE354+AH354+AI354</f>
        <v>0</v>
      </c>
    </row>
    <row r="355" customFormat="false" ht="15" hidden="false" customHeight="false" outlineLevel="0" collapsed="false">
      <c r="B355" s="0" t="n">
        <v>328</v>
      </c>
      <c r="C355" s="68" t="n">
        <f aca="false">EDATE($C$7,327)</f>
        <v>56250</v>
      </c>
      <c r="D355" s="69" t="n">
        <f aca="false">$C$8-(F355+J355+N355+R355+V355+Z355+AD355+AH355)</f>
        <v>0</v>
      </c>
      <c r="E355" s="69" t="n">
        <f aca="false">IF(H354&gt;0.5,H354*(1+E$23)+E$24,0)</f>
        <v>0</v>
      </c>
      <c r="F355" s="69" t="n">
        <f aca="false">MIN(F$23,E355)</f>
        <v>0</v>
      </c>
      <c r="G355" s="69" t="n">
        <f aca="false">IF(AND(F$24=1,OR(E$25="",$C355&gt;=E$25)),MAX(0,MIN(E355-F355,$D355-(0))),0)</f>
        <v>0</v>
      </c>
      <c r="H355" s="69" t="n">
        <f aca="false">E355-F355-G355</f>
        <v>0</v>
      </c>
      <c r="I355" s="69" t="n">
        <f aca="false">IF(L354&gt;0.5,L354*(1+I$23)+I$24,0)</f>
        <v>0</v>
      </c>
      <c r="J355" s="69" t="n">
        <f aca="false">MIN(J$23,I355)</f>
        <v>0</v>
      </c>
      <c r="K355" s="69" t="n">
        <f aca="false">IF(AND(J$24=1,OR(I$25="",$C355&gt;=I$25)),MAX(0,MIN(I355-J355,$D355-(G355))),0)</f>
        <v>0</v>
      </c>
      <c r="L355" s="69" t="n">
        <f aca="false">I355-J355-K355</f>
        <v>0</v>
      </c>
      <c r="M355" s="69" t="n">
        <f aca="false">IF(P354&gt;0.5,P354*(1+M$23)+M$24,0)</f>
        <v>0</v>
      </c>
      <c r="N355" s="69" t="n">
        <f aca="false">MIN(N$23,M355)</f>
        <v>0</v>
      </c>
      <c r="O355" s="69" t="n">
        <f aca="false">IF(AND(N$24=1,OR(M$25="",$C355&gt;=M$25)),MAX(0,MIN(M355-N355,$D355-(G355+K355))),0)</f>
        <v>0</v>
      </c>
      <c r="P355" s="69" t="n">
        <f aca="false">M355-N355-O355</f>
        <v>0</v>
      </c>
      <c r="Q355" s="69" t="n">
        <f aca="false">IF(T354&gt;0.5,T354*(1+Q$23)+Q$24,0)</f>
        <v>0</v>
      </c>
      <c r="R355" s="69" t="n">
        <f aca="false">MIN(R$23,Q355)</f>
        <v>0</v>
      </c>
      <c r="S355" s="69" t="n">
        <f aca="false">IF(AND(R$24=1,OR(Q$25="",$C355&gt;=Q$25)),MAX(0,MIN(Q355-R355,$D355-(G355+K355+O355))),0)</f>
        <v>0</v>
      </c>
      <c r="T355" s="69" t="n">
        <f aca="false">Q355-R355-S355</f>
        <v>0</v>
      </c>
      <c r="U355" s="69" t="n">
        <f aca="false">IF(X354&gt;0.5,X354*(1+U$23)+U$24,0)</f>
        <v>0</v>
      </c>
      <c r="V355" s="69" t="n">
        <f aca="false">MIN(V$23,U355)</f>
        <v>0</v>
      </c>
      <c r="W355" s="69" t="n">
        <f aca="false">IF(AND(V$24=1,OR(U$25="",$C355&gt;=U$25)),MAX(0,MIN(U355-V355,$D355-(G355+K355+O355+S355))),0)</f>
        <v>0</v>
      </c>
      <c r="X355" s="69" t="n">
        <f aca="false">U355-V355-W355</f>
        <v>0</v>
      </c>
      <c r="Y355" s="69" t="n">
        <f aca="false">IF(AB354&gt;0.5,AB354*(1+Y$23)+Y$24,0)</f>
        <v>0</v>
      </c>
      <c r="Z355" s="69" t="n">
        <f aca="false">MIN(Z$23,Y355)</f>
        <v>0</v>
      </c>
      <c r="AA355" s="69" t="n">
        <f aca="false">IF(AND(Z$24=1,OR(Y$25="",$C355&gt;=Y$25)),MAX(0,MIN(Y355-Z355,$D355-(G355+K355+O355+S355+W355))),0)</f>
        <v>0</v>
      </c>
      <c r="AB355" s="69" t="n">
        <f aca="false">Y355-Z355-AA355</f>
        <v>0</v>
      </c>
      <c r="AC355" s="69" t="n">
        <f aca="false">IF(AF354&gt;0.5,AF354*(1+AC$23)+AC$24,0)</f>
        <v>0</v>
      </c>
      <c r="AD355" s="69" t="n">
        <f aca="false">MIN(AD$23,AC355)</f>
        <v>0</v>
      </c>
      <c r="AE355" s="69" t="n">
        <f aca="false">IF(AND(AD$24=1,OR(AC$25="",$C355&gt;=AC$25)),MAX(0,MIN(AC355-AD355,$D355-(G355+K355+O355+S355+W355+AA355))),0)</f>
        <v>0</v>
      </c>
      <c r="AF355" s="69" t="n">
        <f aca="false">AC355-AD355-AE355</f>
        <v>0</v>
      </c>
      <c r="AG355" s="69" t="n">
        <f aca="false">IF(AJ354&gt;0.5,AJ354*(1+AG$23)+AG$24,0)</f>
        <v>0</v>
      </c>
      <c r="AH355" s="69" t="n">
        <f aca="false">MIN(AH$23,AG355)</f>
        <v>0</v>
      </c>
      <c r="AI355" s="69" t="n">
        <f aca="false">IF(AND(AH$24=1,OR(AG$25="",$C355&gt;=AG$25)),MAX(0,MIN(AG355-AH355,$D355-(G355+K355+O355+S355+W355+AA355+AE355))),0)</f>
        <v>0</v>
      </c>
      <c r="AJ355" s="69" t="n">
        <f aca="false">AG355-AH355-AI355</f>
        <v>0</v>
      </c>
      <c r="AK355" s="69" t="n">
        <f aca="false">IF(AK354&gt;0.5,AK354*(1+$E$12)+$G$12-MIN($F$12,AK354*(1+$E$12)+$G$12),0)</f>
        <v>0</v>
      </c>
      <c r="AL355" s="69" t="n">
        <f aca="false">IF(AL354&gt;0.5,AL354*(1+$E$13)+$G$13-MIN($F$13,AL354*(1+$E$13)+$G$13),0)</f>
        <v>0</v>
      </c>
      <c r="AM355" s="69" t="n">
        <f aca="false">IF(AM354&gt;0.5,AM354*(1+$E$14)+$G$14-MIN($F$14,AM354*(1+$E$14)+$G$14),0)</f>
        <v>0</v>
      </c>
      <c r="AN355" s="69" t="n">
        <f aca="false">IF(AN354&gt;0.5,AN354*(1+$E$15)+$G$15-MIN($F$15,AN354*(1+$E$15)+$G$15),0)</f>
        <v>0</v>
      </c>
      <c r="AO355" s="69" t="n">
        <f aca="false">IF(AO354&gt;0.5,AO354*(1+$E$16)+$G$16-MIN($F$16,AO354*(1+$E$16)+$G$16),0)</f>
        <v>0</v>
      </c>
      <c r="AP355" s="69" t="n">
        <f aca="false">IF(AP354&gt;0.5,AP354*(1+$E$17)+$G$17-MIN($F$17,AP354*(1+$E$17)+$G$17),0)</f>
        <v>0</v>
      </c>
      <c r="AQ355" s="69" t="n">
        <f aca="false">IF(AQ354&gt;0.5,AQ354*(1+$E$18)+$G$18-MIN($F$18,AQ354*(1+$E$18)+$G$18),0)</f>
        <v>0</v>
      </c>
      <c r="AR355" s="69" t="n">
        <f aca="false">IF(AR354&gt;0.5,AR354*(1+$E$19)+$G$19-MIN($F$19,AR354*(1+$E$19)+$G$19),0)</f>
        <v>0</v>
      </c>
      <c r="AS355" s="69" t="n">
        <f aca="false">H355+L355+P355+T355+X355+AB355+AF355+AJ355</f>
        <v>0</v>
      </c>
      <c r="AT355" s="69" t="n">
        <f aca="false">SUM(AK355:AR355)</f>
        <v>0</v>
      </c>
      <c r="AU355" s="69" t="n">
        <f aca="false">F355+G355+J355+K355+N355+O355+R355+S355+V355+W355+Z355+AA355+AD355+AE355+AH355+AI355</f>
        <v>0</v>
      </c>
    </row>
    <row r="356" customFormat="false" ht="15" hidden="false" customHeight="false" outlineLevel="0" collapsed="false">
      <c r="B356" s="0" t="n">
        <v>329</v>
      </c>
      <c r="C356" s="68" t="n">
        <f aca="false">EDATE($C$7,328)</f>
        <v>56281</v>
      </c>
      <c r="D356" s="69" t="n">
        <f aca="false">$C$8-(F356+J356+N356+R356+V356+Z356+AD356+AH356)</f>
        <v>0</v>
      </c>
      <c r="E356" s="69" t="n">
        <f aca="false">IF(H355&gt;0.5,H355*(1+E$23)+E$24,0)</f>
        <v>0</v>
      </c>
      <c r="F356" s="69" t="n">
        <f aca="false">MIN(F$23,E356)</f>
        <v>0</v>
      </c>
      <c r="G356" s="69" t="n">
        <f aca="false">IF(AND(F$24=1,OR(E$25="",$C356&gt;=E$25)),MAX(0,MIN(E356-F356,$D356-(0))),0)</f>
        <v>0</v>
      </c>
      <c r="H356" s="69" t="n">
        <f aca="false">E356-F356-G356</f>
        <v>0</v>
      </c>
      <c r="I356" s="69" t="n">
        <f aca="false">IF(L355&gt;0.5,L355*(1+I$23)+I$24,0)</f>
        <v>0</v>
      </c>
      <c r="J356" s="69" t="n">
        <f aca="false">MIN(J$23,I356)</f>
        <v>0</v>
      </c>
      <c r="K356" s="69" t="n">
        <f aca="false">IF(AND(J$24=1,OR(I$25="",$C356&gt;=I$25)),MAX(0,MIN(I356-J356,$D356-(G356))),0)</f>
        <v>0</v>
      </c>
      <c r="L356" s="69" t="n">
        <f aca="false">I356-J356-K356</f>
        <v>0</v>
      </c>
      <c r="M356" s="69" t="n">
        <f aca="false">IF(P355&gt;0.5,P355*(1+M$23)+M$24,0)</f>
        <v>0</v>
      </c>
      <c r="N356" s="69" t="n">
        <f aca="false">MIN(N$23,M356)</f>
        <v>0</v>
      </c>
      <c r="O356" s="69" t="n">
        <f aca="false">IF(AND(N$24=1,OR(M$25="",$C356&gt;=M$25)),MAX(0,MIN(M356-N356,$D356-(G356+K356))),0)</f>
        <v>0</v>
      </c>
      <c r="P356" s="69" t="n">
        <f aca="false">M356-N356-O356</f>
        <v>0</v>
      </c>
      <c r="Q356" s="69" t="n">
        <f aca="false">IF(T355&gt;0.5,T355*(1+Q$23)+Q$24,0)</f>
        <v>0</v>
      </c>
      <c r="R356" s="69" t="n">
        <f aca="false">MIN(R$23,Q356)</f>
        <v>0</v>
      </c>
      <c r="S356" s="69" t="n">
        <f aca="false">IF(AND(R$24=1,OR(Q$25="",$C356&gt;=Q$25)),MAX(0,MIN(Q356-R356,$D356-(G356+K356+O356))),0)</f>
        <v>0</v>
      </c>
      <c r="T356" s="69" t="n">
        <f aca="false">Q356-R356-S356</f>
        <v>0</v>
      </c>
      <c r="U356" s="69" t="n">
        <f aca="false">IF(X355&gt;0.5,X355*(1+U$23)+U$24,0)</f>
        <v>0</v>
      </c>
      <c r="V356" s="69" t="n">
        <f aca="false">MIN(V$23,U356)</f>
        <v>0</v>
      </c>
      <c r="W356" s="69" t="n">
        <f aca="false">IF(AND(V$24=1,OR(U$25="",$C356&gt;=U$25)),MAX(0,MIN(U356-V356,$D356-(G356+K356+O356+S356))),0)</f>
        <v>0</v>
      </c>
      <c r="X356" s="69" t="n">
        <f aca="false">U356-V356-W356</f>
        <v>0</v>
      </c>
      <c r="Y356" s="69" t="n">
        <f aca="false">IF(AB355&gt;0.5,AB355*(1+Y$23)+Y$24,0)</f>
        <v>0</v>
      </c>
      <c r="Z356" s="69" t="n">
        <f aca="false">MIN(Z$23,Y356)</f>
        <v>0</v>
      </c>
      <c r="AA356" s="69" t="n">
        <f aca="false">IF(AND(Z$24=1,OR(Y$25="",$C356&gt;=Y$25)),MAX(0,MIN(Y356-Z356,$D356-(G356+K356+O356+S356+W356))),0)</f>
        <v>0</v>
      </c>
      <c r="AB356" s="69" t="n">
        <f aca="false">Y356-Z356-AA356</f>
        <v>0</v>
      </c>
      <c r="AC356" s="69" t="n">
        <f aca="false">IF(AF355&gt;0.5,AF355*(1+AC$23)+AC$24,0)</f>
        <v>0</v>
      </c>
      <c r="AD356" s="69" t="n">
        <f aca="false">MIN(AD$23,AC356)</f>
        <v>0</v>
      </c>
      <c r="AE356" s="69" t="n">
        <f aca="false">IF(AND(AD$24=1,OR(AC$25="",$C356&gt;=AC$25)),MAX(0,MIN(AC356-AD356,$D356-(G356+K356+O356+S356+W356+AA356))),0)</f>
        <v>0</v>
      </c>
      <c r="AF356" s="69" t="n">
        <f aca="false">AC356-AD356-AE356</f>
        <v>0</v>
      </c>
      <c r="AG356" s="69" t="n">
        <f aca="false">IF(AJ355&gt;0.5,AJ355*(1+AG$23)+AG$24,0)</f>
        <v>0</v>
      </c>
      <c r="AH356" s="69" t="n">
        <f aca="false">MIN(AH$23,AG356)</f>
        <v>0</v>
      </c>
      <c r="AI356" s="69" t="n">
        <f aca="false">IF(AND(AH$24=1,OR(AG$25="",$C356&gt;=AG$25)),MAX(0,MIN(AG356-AH356,$D356-(G356+K356+O356+S356+W356+AA356+AE356))),0)</f>
        <v>0</v>
      </c>
      <c r="AJ356" s="69" t="n">
        <f aca="false">AG356-AH356-AI356</f>
        <v>0</v>
      </c>
      <c r="AK356" s="69" t="n">
        <f aca="false">IF(AK355&gt;0.5,AK355*(1+$E$12)+$G$12-MIN($F$12,AK355*(1+$E$12)+$G$12),0)</f>
        <v>0</v>
      </c>
      <c r="AL356" s="69" t="n">
        <f aca="false">IF(AL355&gt;0.5,AL355*(1+$E$13)+$G$13-MIN($F$13,AL355*(1+$E$13)+$G$13),0)</f>
        <v>0</v>
      </c>
      <c r="AM356" s="69" t="n">
        <f aca="false">IF(AM355&gt;0.5,AM355*(1+$E$14)+$G$14-MIN($F$14,AM355*(1+$E$14)+$G$14),0)</f>
        <v>0</v>
      </c>
      <c r="AN356" s="69" t="n">
        <f aca="false">IF(AN355&gt;0.5,AN355*(1+$E$15)+$G$15-MIN($F$15,AN355*(1+$E$15)+$G$15),0)</f>
        <v>0</v>
      </c>
      <c r="AO356" s="69" t="n">
        <f aca="false">IF(AO355&gt;0.5,AO355*(1+$E$16)+$G$16-MIN($F$16,AO355*(1+$E$16)+$G$16),0)</f>
        <v>0</v>
      </c>
      <c r="AP356" s="69" t="n">
        <f aca="false">IF(AP355&gt;0.5,AP355*(1+$E$17)+$G$17-MIN($F$17,AP355*(1+$E$17)+$G$17),0)</f>
        <v>0</v>
      </c>
      <c r="AQ356" s="69" t="n">
        <f aca="false">IF(AQ355&gt;0.5,AQ355*(1+$E$18)+$G$18-MIN($F$18,AQ355*(1+$E$18)+$G$18),0)</f>
        <v>0</v>
      </c>
      <c r="AR356" s="69" t="n">
        <f aca="false">IF(AR355&gt;0.5,AR355*(1+$E$19)+$G$19-MIN($F$19,AR355*(1+$E$19)+$G$19),0)</f>
        <v>0</v>
      </c>
      <c r="AS356" s="69" t="n">
        <f aca="false">H356+L356+P356+T356+X356+AB356+AF356+AJ356</f>
        <v>0</v>
      </c>
      <c r="AT356" s="69" t="n">
        <f aca="false">SUM(AK356:AR356)</f>
        <v>0</v>
      </c>
      <c r="AU356" s="69" t="n">
        <f aca="false">F356+G356+J356+K356+N356+O356+R356+S356+V356+W356+Z356+AA356+AD356+AE356+AH356+AI356</f>
        <v>0</v>
      </c>
    </row>
    <row r="357" customFormat="false" ht="15" hidden="false" customHeight="false" outlineLevel="0" collapsed="false">
      <c r="B357" s="0" t="n">
        <v>330</v>
      </c>
      <c r="C357" s="68" t="n">
        <f aca="false">EDATE($C$7,329)</f>
        <v>56309</v>
      </c>
      <c r="D357" s="69" t="n">
        <f aca="false">$C$8-(F357+J357+N357+R357+V357+Z357+AD357+AH357)</f>
        <v>0</v>
      </c>
      <c r="E357" s="69" t="n">
        <f aca="false">IF(H356&gt;0.5,H356*(1+E$23)+E$24,0)</f>
        <v>0</v>
      </c>
      <c r="F357" s="69" t="n">
        <f aca="false">MIN(F$23,E357)</f>
        <v>0</v>
      </c>
      <c r="G357" s="69" t="n">
        <f aca="false">IF(AND(F$24=1,OR(E$25="",$C357&gt;=E$25)),MAX(0,MIN(E357-F357,$D357-(0))),0)</f>
        <v>0</v>
      </c>
      <c r="H357" s="69" t="n">
        <f aca="false">E357-F357-G357</f>
        <v>0</v>
      </c>
      <c r="I357" s="69" t="n">
        <f aca="false">IF(L356&gt;0.5,L356*(1+I$23)+I$24,0)</f>
        <v>0</v>
      </c>
      <c r="J357" s="69" t="n">
        <f aca="false">MIN(J$23,I357)</f>
        <v>0</v>
      </c>
      <c r="K357" s="69" t="n">
        <f aca="false">IF(AND(J$24=1,OR(I$25="",$C357&gt;=I$25)),MAX(0,MIN(I357-J357,$D357-(G357))),0)</f>
        <v>0</v>
      </c>
      <c r="L357" s="69" t="n">
        <f aca="false">I357-J357-K357</f>
        <v>0</v>
      </c>
      <c r="M357" s="69" t="n">
        <f aca="false">IF(P356&gt;0.5,P356*(1+M$23)+M$24,0)</f>
        <v>0</v>
      </c>
      <c r="N357" s="69" t="n">
        <f aca="false">MIN(N$23,M357)</f>
        <v>0</v>
      </c>
      <c r="O357" s="69" t="n">
        <f aca="false">IF(AND(N$24=1,OR(M$25="",$C357&gt;=M$25)),MAX(0,MIN(M357-N357,$D357-(G357+K357))),0)</f>
        <v>0</v>
      </c>
      <c r="P357" s="69" t="n">
        <f aca="false">M357-N357-O357</f>
        <v>0</v>
      </c>
      <c r="Q357" s="69" t="n">
        <f aca="false">IF(T356&gt;0.5,T356*(1+Q$23)+Q$24,0)</f>
        <v>0</v>
      </c>
      <c r="R357" s="69" t="n">
        <f aca="false">MIN(R$23,Q357)</f>
        <v>0</v>
      </c>
      <c r="S357" s="69" t="n">
        <f aca="false">IF(AND(R$24=1,OR(Q$25="",$C357&gt;=Q$25)),MAX(0,MIN(Q357-R357,$D357-(G357+K357+O357))),0)</f>
        <v>0</v>
      </c>
      <c r="T357" s="69" t="n">
        <f aca="false">Q357-R357-S357</f>
        <v>0</v>
      </c>
      <c r="U357" s="69" t="n">
        <f aca="false">IF(X356&gt;0.5,X356*(1+U$23)+U$24,0)</f>
        <v>0</v>
      </c>
      <c r="V357" s="69" t="n">
        <f aca="false">MIN(V$23,U357)</f>
        <v>0</v>
      </c>
      <c r="W357" s="69" t="n">
        <f aca="false">IF(AND(V$24=1,OR(U$25="",$C357&gt;=U$25)),MAX(0,MIN(U357-V357,$D357-(G357+K357+O357+S357))),0)</f>
        <v>0</v>
      </c>
      <c r="X357" s="69" t="n">
        <f aca="false">U357-V357-W357</f>
        <v>0</v>
      </c>
      <c r="Y357" s="69" t="n">
        <f aca="false">IF(AB356&gt;0.5,AB356*(1+Y$23)+Y$24,0)</f>
        <v>0</v>
      </c>
      <c r="Z357" s="69" t="n">
        <f aca="false">MIN(Z$23,Y357)</f>
        <v>0</v>
      </c>
      <c r="AA357" s="69" t="n">
        <f aca="false">IF(AND(Z$24=1,OR(Y$25="",$C357&gt;=Y$25)),MAX(0,MIN(Y357-Z357,$D357-(G357+K357+O357+S357+W357))),0)</f>
        <v>0</v>
      </c>
      <c r="AB357" s="69" t="n">
        <f aca="false">Y357-Z357-AA357</f>
        <v>0</v>
      </c>
      <c r="AC357" s="69" t="n">
        <f aca="false">IF(AF356&gt;0.5,AF356*(1+AC$23)+AC$24,0)</f>
        <v>0</v>
      </c>
      <c r="AD357" s="69" t="n">
        <f aca="false">MIN(AD$23,AC357)</f>
        <v>0</v>
      </c>
      <c r="AE357" s="69" t="n">
        <f aca="false">IF(AND(AD$24=1,OR(AC$25="",$C357&gt;=AC$25)),MAX(0,MIN(AC357-AD357,$D357-(G357+K357+O357+S357+W357+AA357))),0)</f>
        <v>0</v>
      </c>
      <c r="AF357" s="69" t="n">
        <f aca="false">AC357-AD357-AE357</f>
        <v>0</v>
      </c>
      <c r="AG357" s="69" t="n">
        <f aca="false">IF(AJ356&gt;0.5,AJ356*(1+AG$23)+AG$24,0)</f>
        <v>0</v>
      </c>
      <c r="AH357" s="69" t="n">
        <f aca="false">MIN(AH$23,AG357)</f>
        <v>0</v>
      </c>
      <c r="AI357" s="69" t="n">
        <f aca="false">IF(AND(AH$24=1,OR(AG$25="",$C357&gt;=AG$25)),MAX(0,MIN(AG357-AH357,$D357-(G357+K357+O357+S357+W357+AA357+AE357))),0)</f>
        <v>0</v>
      </c>
      <c r="AJ357" s="69" t="n">
        <f aca="false">AG357-AH357-AI357</f>
        <v>0</v>
      </c>
      <c r="AK357" s="69" t="n">
        <f aca="false">IF(AK356&gt;0.5,AK356*(1+$E$12)+$G$12-MIN($F$12,AK356*(1+$E$12)+$G$12),0)</f>
        <v>0</v>
      </c>
      <c r="AL357" s="69" t="n">
        <f aca="false">IF(AL356&gt;0.5,AL356*(1+$E$13)+$G$13-MIN($F$13,AL356*(1+$E$13)+$G$13),0)</f>
        <v>0</v>
      </c>
      <c r="AM357" s="69" t="n">
        <f aca="false">IF(AM356&gt;0.5,AM356*(1+$E$14)+$G$14-MIN($F$14,AM356*(1+$E$14)+$G$14),0)</f>
        <v>0</v>
      </c>
      <c r="AN357" s="69" t="n">
        <f aca="false">IF(AN356&gt;0.5,AN356*(1+$E$15)+$G$15-MIN($F$15,AN356*(1+$E$15)+$G$15),0)</f>
        <v>0</v>
      </c>
      <c r="AO357" s="69" t="n">
        <f aca="false">IF(AO356&gt;0.5,AO356*(1+$E$16)+$G$16-MIN($F$16,AO356*(1+$E$16)+$G$16),0)</f>
        <v>0</v>
      </c>
      <c r="AP357" s="69" t="n">
        <f aca="false">IF(AP356&gt;0.5,AP356*(1+$E$17)+$G$17-MIN($F$17,AP356*(1+$E$17)+$G$17),0)</f>
        <v>0</v>
      </c>
      <c r="AQ357" s="69" t="n">
        <f aca="false">IF(AQ356&gt;0.5,AQ356*(1+$E$18)+$G$18-MIN($F$18,AQ356*(1+$E$18)+$G$18),0)</f>
        <v>0</v>
      </c>
      <c r="AR357" s="69" t="n">
        <f aca="false">IF(AR356&gt;0.5,AR356*(1+$E$19)+$G$19-MIN($F$19,AR356*(1+$E$19)+$G$19),0)</f>
        <v>0</v>
      </c>
      <c r="AS357" s="69" t="n">
        <f aca="false">H357+L357+P357+T357+X357+AB357+AF357+AJ357</f>
        <v>0</v>
      </c>
      <c r="AT357" s="69" t="n">
        <f aca="false">SUM(AK357:AR357)</f>
        <v>0</v>
      </c>
      <c r="AU357" s="69" t="n">
        <f aca="false">F357+G357+J357+K357+N357+O357+R357+S357+V357+W357+Z357+AA357+AD357+AE357+AH357+AI357</f>
        <v>0</v>
      </c>
    </row>
    <row r="358" customFormat="false" ht="15" hidden="false" customHeight="false" outlineLevel="0" collapsed="false">
      <c r="B358" s="0" t="n">
        <v>331</v>
      </c>
      <c r="C358" s="68" t="n">
        <f aca="false">EDATE($C$7,330)</f>
        <v>56340</v>
      </c>
      <c r="D358" s="69" t="n">
        <f aca="false">$C$8-(F358+J358+N358+R358+V358+Z358+AD358+AH358)</f>
        <v>0</v>
      </c>
      <c r="E358" s="69" t="n">
        <f aca="false">IF(H357&gt;0.5,H357*(1+E$23)+E$24,0)</f>
        <v>0</v>
      </c>
      <c r="F358" s="69" t="n">
        <f aca="false">MIN(F$23,E358)</f>
        <v>0</v>
      </c>
      <c r="G358" s="69" t="n">
        <f aca="false">IF(AND(F$24=1,OR(E$25="",$C358&gt;=E$25)),MAX(0,MIN(E358-F358,$D358-(0))),0)</f>
        <v>0</v>
      </c>
      <c r="H358" s="69" t="n">
        <f aca="false">E358-F358-G358</f>
        <v>0</v>
      </c>
      <c r="I358" s="69" t="n">
        <f aca="false">IF(L357&gt;0.5,L357*(1+I$23)+I$24,0)</f>
        <v>0</v>
      </c>
      <c r="J358" s="69" t="n">
        <f aca="false">MIN(J$23,I358)</f>
        <v>0</v>
      </c>
      <c r="K358" s="69" t="n">
        <f aca="false">IF(AND(J$24=1,OR(I$25="",$C358&gt;=I$25)),MAX(0,MIN(I358-J358,$D358-(G358))),0)</f>
        <v>0</v>
      </c>
      <c r="L358" s="69" t="n">
        <f aca="false">I358-J358-K358</f>
        <v>0</v>
      </c>
      <c r="M358" s="69" t="n">
        <f aca="false">IF(P357&gt;0.5,P357*(1+M$23)+M$24,0)</f>
        <v>0</v>
      </c>
      <c r="N358" s="69" t="n">
        <f aca="false">MIN(N$23,M358)</f>
        <v>0</v>
      </c>
      <c r="O358" s="69" t="n">
        <f aca="false">IF(AND(N$24=1,OR(M$25="",$C358&gt;=M$25)),MAX(0,MIN(M358-N358,$D358-(G358+K358))),0)</f>
        <v>0</v>
      </c>
      <c r="P358" s="69" t="n">
        <f aca="false">M358-N358-O358</f>
        <v>0</v>
      </c>
      <c r="Q358" s="69" t="n">
        <f aca="false">IF(T357&gt;0.5,T357*(1+Q$23)+Q$24,0)</f>
        <v>0</v>
      </c>
      <c r="R358" s="69" t="n">
        <f aca="false">MIN(R$23,Q358)</f>
        <v>0</v>
      </c>
      <c r="S358" s="69" t="n">
        <f aca="false">IF(AND(R$24=1,OR(Q$25="",$C358&gt;=Q$25)),MAX(0,MIN(Q358-R358,$D358-(G358+K358+O358))),0)</f>
        <v>0</v>
      </c>
      <c r="T358" s="69" t="n">
        <f aca="false">Q358-R358-S358</f>
        <v>0</v>
      </c>
      <c r="U358" s="69" t="n">
        <f aca="false">IF(X357&gt;0.5,X357*(1+U$23)+U$24,0)</f>
        <v>0</v>
      </c>
      <c r="V358" s="69" t="n">
        <f aca="false">MIN(V$23,U358)</f>
        <v>0</v>
      </c>
      <c r="W358" s="69" t="n">
        <f aca="false">IF(AND(V$24=1,OR(U$25="",$C358&gt;=U$25)),MAX(0,MIN(U358-V358,$D358-(G358+K358+O358+S358))),0)</f>
        <v>0</v>
      </c>
      <c r="X358" s="69" t="n">
        <f aca="false">U358-V358-W358</f>
        <v>0</v>
      </c>
      <c r="Y358" s="69" t="n">
        <f aca="false">IF(AB357&gt;0.5,AB357*(1+Y$23)+Y$24,0)</f>
        <v>0</v>
      </c>
      <c r="Z358" s="69" t="n">
        <f aca="false">MIN(Z$23,Y358)</f>
        <v>0</v>
      </c>
      <c r="AA358" s="69" t="n">
        <f aca="false">IF(AND(Z$24=1,OR(Y$25="",$C358&gt;=Y$25)),MAX(0,MIN(Y358-Z358,$D358-(G358+K358+O358+S358+W358))),0)</f>
        <v>0</v>
      </c>
      <c r="AB358" s="69" t="n">
        <f aca="false">Y358-Z358-AA358</f>
        <v>0</v>
      </c>
      <c r="AC358" s="69" t="n">
        <f aca="false">IF(AF357&gt;0.5,AF357*(1+AC$23)+AC$24,0)</f>
        <v>0</v>
      </c>
      <c r="AD358" s="69" t="n">
        <f aca="false">MIN(AD$23,AC358)</f>
        <v>0</v>
      </c>
      <c r="AE358" s="69" t="n">
        <f aca="false">IF(AND(AD$24=1,OR(AC$25="",$C358&gt;=AC$25)),MAX(0,MIN(AC358-AD358,$D358-(G358+K358+O358+S358+W358+AA358))),0)</f>
        <v>0</v>
      </c>
      <c r="AF358" s="69" t="n">
        <f aca="false">AC358-AD358-AE358</f>
        <v>0</v>
      </c>
      <c r="AG358" s="69" t="n">
        <f aca="false">IF(AJ357&gt;0.5,AJ357*(1+AG$23)+AG$24,0)</f>
        <v>0</v>
      </c>
      <c r="AH358" s="69" t="n">
        <f aca="false">MIN(AH$23,AG358)</f>
        <v>0</v>
      </c>
      <c r="AI358" s="69" t="n">
        <f aca="false">IF(AND(AH$24=1,OR(AG$25="",$C358&gt;=AG$25)),MAX(0,MIN(AG358-AH358,$D358-(G358+K358+O358+S358+W358+AA358+AE358))),0)</f>
        <v>0</v>
      </c>
      <c r="AJ358" s="69" t="n">
        <f aca="false">AG358-AH358-AI358</f>
        <v>0</v>
      </c>
      <c r="AK358" s="69" t="n">
        <f aca="false">IF(AK357&gt;0.5,AK357*(1+$E$12)+$G$12-MIN($F$12,AK357*(1+$E$12)+$G$12),0)</f>
        <v>0</v>
      </c>
      <c r="AL358" s="69" t="n">
        <f aca="false">IF(AL357&gt;0.5,AL357*(1+$E$13)+$G$13-MIN($F$13,AL357*(1+$E$13)+$G$13),0)</f>
        <v>0</v>
      </c>
      <c r="AM358" s="69" t="n">
        <f aca="false">IF(AM357&gt;0.5,AM357*(1+$E$14)+$G$14-MIN($F$14,AM357*(1+$E$14)+$G$14),0)</f>
        <v>0</v>
      </c>
      <c r="AN358" s="69" t="n">
        <f aca="false">IF(AN357&gt;0.5,AN357*(1+$E$15)+$G$15-MIN($F$15,AN357*(1+$E$15)+$G$15),0)</f>
        <v>0</v>
      </c>
      <c r="AO358" s="69" t="n">
        <f aca="false">IF(AO357&gt;0.5,AO357*(1+$E$16)+$G$16-MIN($F$16,AO357*(1+$E$16)+$G$16),0)</f>
        <v>0</v>
      </c>
      <c r="AP358" s="69" t="n">
        <f aca="false">IF(AP357&gt;0.5,AP357*(1+$E$17)+$G$17-MIN($F$17,AP357*(1+$E$17)+$G$17),0)</f>
        <v>0</v>
      </c>
      <c r="AQ358" s="69" t="n">
        <f aca="false">IF(AQ357&gt;0.5,AQ357*(1+$E$18)+$G$18-MIN($F$18,AQ357*(1+$E$18)+$G$18),0)</f>
        <v>0</v>
      </c>
      <c r="AR358" s="69" t="n">
        <f aca="false">IF(AR357&gt;0.5,AR357*(1+$E$19)+$G$19-MIN($F$19,AR357*(1+$E$19)+$G$19),0)</f>
        <v>0</v>
      </c>
      <c r="AS358" s="69" t="n">
        <f aca="false">H358+L358+P358+T358+X358+AB358+AF358+AJ358</f>
        <v>0</v>
      </c>
      <c r="AT358" s="69" t="n">
        <f aca="false">SUM(AK358:AR358)</f>
        <v>0</v>
      </c>
      <c r="AU358" s="69" t="n">
        <f aca="false">F358+G358+J358+K358+N358+O358+R358+S358+V358+W358+Z358+AA358+AD358+AE358+AH358+AI358</f>
        <v>0</v>
      </c>
    </row>
    <row r="359" customFormat="false" ht="15" hidden="false" customHeight="false" outlineLevel="0" collapsed="false">
      <c r="B359" s="0" t="n">
        <v>332</v>
      </c>
      <c r="C359" s="68" t="n">
        <f aca="false">EDATE($C$7,331)</f>
        <v>56370</v>
      </c>
      <c r="D359" s="69" t="n">
        <f aca="false">$C$8-(F359+J359+N359+R359+V359+Z359+AD359+AH359)</f>
        <v>0</v>
      </c>
      <c r="E359" s="69" t="n">
        <f aca="false">IF(H358&gt;0.5,H358*(1+E$23)+E$24,0)</f>
        <v>0</v>
      </c>
      <c r="F359" s="69" t="n">
        <f aca="false">MIN(F$23,E359)</f>
        <v>0</v>
      </c>
      <c r="G359" s="69" t="n">
        <f aca="false">IF(AND(F$24=1,OR(E$25="",$C359&gt;=E$25)),MAX(0,MIN(E359-F359,$D359-(0))),0)</f>
        <v>0</v>
      </c>
      <c r="H359" s="69" t="n">
        <f aca="false">E359-F359-G359</f>
        <v>0</v>
      </c>
      <c r="I359" s="69" t="n">
        <f aca="false">IF(L358&gt;0.5,L358*(1+I$23)+I$24,0)</f>
        <v>0</v>
      </c>
      <c r="J359" s="69" t="n">
        <f aca="false">MIN(J$23,I359)</f>
        <v>0</v>
      </c>
      <c r="K359" s="69" t="n">
        <f aca="false">IF(AND(J$24=1,OR(I$25="",$C359&gt;=I$25)),MAX(0,MIN(I359-J359,$D359-(G359))),0)</f>
        <v>0</v>
      </c>
      <c r="L359" s="69" t="n">
        <f aca="false">I359-J359-K359</f>
        <v>0</v>
      </c>
      <c r="M359" s="69" t="n">
        <f aca="false">IF(P358&gt;0.5,P358*(1+M$23)+M$24,0)</f>
        <v>0</v>
      </c>
      <c r="N359" s="69" t="n">
        <f aca="false">MIN(N$23,M359)</f>
        <v>0</v>
      </c>
      <c r="O359" s="69" t="n">
        <f aca="false">IF(AND(N$24=1,OR(M$25="",$C359&gt;=M$25)),MAX(0,MIN(M359-N359,$D359-(G359+K359))),0)</f>
        <v>0</v>
      </c>
      <c r="P359" s="69" t="n">
        <f aca="false">M359-N359-O359</f>
        <v>0</v>
      </c>
      <c r="Q359" s="69" t="n">
        <f aca="false">IF(T358&gt;0.5,T358*(1+Q$23)+Q$24,0)</f>
        <v>0</v>
      </c>
      <c r="R359" s="69" t="n">
        <f aca="false">MIN(R$23,Q359)</f>
        <v>0</v>
      </c>
      <c r="S359" s="69" t="n">
        <f aca="false">IF(AND(R$24=1,OR(Q$25="",$C359&gt;=Q$25)),MAX(0,MIN(Q359-R359,$D359-(G359+K359+O359))),0)</f>
        <v>0</v>
      </c>
      <c r="T359" s="69" t="n">
        <f aca="false">Q359-R359-S359</f>
        <v>0</v>
      </c>
      <c r="U359" s="69" t="n">
        <f aca="false">IF(X358&gt;0.5,X358*(1+U$23)+U$24,0)</f>
        <v>0</v>
      </c>
      <c r="V359" s="69" t="n">
        <f aca="false">MIN(V$23,U359)</f>
        <v>0</v>
      </c>
      <c r="W359" s="69" t="n">
        <f aca="false">IF(AND(V$24=1,OR(U$25="",$C359&gt;=U$25)),MAX(0,MIN(U359-V359,$D359-(G359+K359+O359+S359))),0)</f>
        <v>0</v>
      </c>
      <c r="X359" s="69" t="n">
        <f aca="false">U359-V359-W359</f>
        <v>0</v>
      </c>
      <c r="Y359" s="69" t="n">
        <f aca="false">IF(AB358&gt;0.5,AB358*(1+Y$23)+Y$24,0)</f>
        <v>0</v>
      </c>
      <c r="Z359" s="69" t="n">
        <f aca="false">MIN(Z$23,Y359)</f>
        <v>0</v>
      </c>
      <c r="AA359" s="69" t="n">
        <f aca="false">IF(AND(Z$24=1,OR(Y$25="",$C359&gt;=Y$25)),MAX(0,MIN(Y359-Z359,$D359-(G359+K359+O359+S359+W359))),0)</f>
        <v>0</v>
      </c>
      <c r="AB359" s="69" t="n">
        <f aca="false">Y359-Z359-AA359</f>
        <v>0</v>
      </c>
      <c r="AC359" s="69" t="n">
        <f aca="false">IF(AF358&gt;0.5,AF358*(1+AC$23)+AC$24,0)</f>
        <v>0</v>
      </c>
      <c r="AD359" s="69" t="n">
        <f aca="false">MIN(AD$23,AC359)</f>
        <v>0</v>
      </c>
      <c r="AE359" s="69" t="n">
        <f aca="false">IF(AND(AD$24=1,OR(AC$25="",$C359&gt;=AC$25)),MAX(0,MIN(AC359-AD359,$D359-(G359+K359+O359+S359+W359+AA359))),0)</f>
        <v>0</v>
      </c>
      <c r="AF359" s="69" t="n">
        <f aca="false">AC359-AD359-AE359</f>
        <v>0</v>
      </c>
      <c r="AG359" s="69" t="n">
        <f aca="false">IF(AJ358&gt;0.5,AJ358*(1+AG$23)+AG$24,0)</f>
        <v>0</v>
      </c>
      <c r="AH359" s="69" t="n">
        <f aca="false">MIN(AH$23,AG359)</f>
        <v>0</v>
      </c>
      <c r="AI359" s="69" t="n">
        <f aca="false">IF(AND(AH$24=1,OR(AG$25="",$C359&gt;=AG$25)),MAX(0,MIN(AG359-AH359,$D359-(G359+K359+O359+S359+W359+AA359+AE359))),0)</f>
        <v>0</v>
      </c>
      <c r="AJ359" s="69" t="n">
        <f aca="false">AG359-AH359-AI359</f>
        <v>0</v>
      </c>
      <c r="AK359" s="69" t="n">
        <f aca="false">IF(AK358&gt;0.5,AK358*(1+$E$12)+$G$12-MIN($F$12,AK358*(1+$E$12)+$G$12),0)</f>
        <v>0</v>
      </c>
      <c r="AL359" s="69" t="n">
        <f aca="false">IF(AL358&gt;0.5,AL358*(1+$E$13)+$G$13-MIN($F$13,AL358*(1+$E$13)+$G$13),0)</f>
        <v>0</v>
      </c>
      <c r="AM359" s="69" t="n">
        <f aca="false">IF(AM358&gt;0.5,AM358*(1+$E$14)+$G$14-MIN($F$14,AM358*(1+$E$14)+$G$14),0)</f>
        <v>0</v>
      </c>
      <c r="AN359" s="69" t="n">
        <f aca="false">IF(AN358&gt;0.5,AN358*(1+$E$15)+$G$15-MIN($F$15,AN358*(1+$E$15)+$G$15),0)</f>
        <v>0</v>
      </c>
      <c r="AO359" s="69" t="n">
        <f aca="false">IF(AO358&gt;0.5,AO358*(1+$E$16)+$G$16-MIN($F$16,AO358*(1+$E$16)+$G$16),0)</f>
        <v>0</v>
      </c>
      <c r="AP359" s="69" t="n">
        <f aca="false">IF(AP358&gt;0.5,AP358*(1+$E$17)+$G$17-MIN($F$17,AP358*(1+$E$17)+$G$17),0)</f>
        <v>0</v>
      </c>
      <c r="AQ359" s="69" t="n">
        <f aca="false">IF(AQ358&gt;0.5,AQ358*(1+$E$18)+$G$18-MIN($F$18,AQ358*(1+$E$18)+$G$18),0)</f>
        <v>0</v>
      </c>
      <c r="AR359" s="69" t="n">
        <f aca="false">IF(AR358&gt;0.5,AR358*(1+$E$19)+$G$19-MIN($F$19,AR358*(1+$E$19)+$G$19),0)</f>
        <v>0</v>
      </c>
      <c r="AS359" s="69" t="n">
        <f aca="false">H359+L359+P359+T359+X359+AB359+AF359+AJ359</f>
        <v>0</v>
      </c>
      <c r="AT359" s="69" t="n">
        <f aca="false">SUM(AK359:AR359)</f>
        <v>0</v>
      </c>
      <c r="AU359" s="69" t="n">
        <f aca="false">F359+G359+J359+K359+N359+O359+R359+S359+V359+W359+Z359+AA359+AD359+AE359+AH359+AI359</f>
        <v>0</v>
      </c>
    </row>
    <row r="360" customFormat="false" ht="15" hidden="false" customHeight="false" outlineLevel="0" collapsed="false">
      <c r="B360" s="0" t="n">
        <v>333</v>
      </c>
      <c r="C360" s="68" t="n">
        <f aca="false">EDATE($C$7,332)</f>
        <v>56401</v>
      </c>
      <c r="D360" s="69" t="n">
        <f aca="false">$C$8-(F360+J360+N360+R360+V360+Z360+AD360+AH360)</f>
        <v>0</v>
      </c>
      <c r="E360" s="69" t="n">
        <f aca="false">IF(H359&gt;0.5,H359*(1+E$23)+E$24,0)</f>
        <v>0</v>
      </c>
      <c r="F360" s="69" t="n">
        <f aca="false">MIN(F$23,E360)</f>
        <v>0</v>
      </c>
      <c r="G360" s="69" t="n">
        <f aca="false">IF(AND(F$24=1,OR(E$25="",$C360&gt;=E$25)),MAX(0,MIN(E360-F360,$D360-(0))),0)</f>
        <v>0</v>
      </c>
      <c r="H360" s="69" t="n">
        <f aca="false">E360-F360-G360</f>
        <v>0</v>
      </c>
      <c r="I360" s="69" t="n">
        <f aca="false">IF(L359&gt;0.5,L359*(1+I$23)+I$24,0)</f>
        <v>0</v>
      </c>
      <c r="J360" s="69" t="n">
        <f aca="false">MIN(J$23,I360)</f>
        <v>0</v>
      </c>
      <c r="K360" s="69" t="n">
        <f aca="false">IF(AND(J$24=1,OR(I$25="",$C360&gt;=I$25)),MAX(0,MIN(I360-J360,$D360-(G360))),0)</f>
        <v>0</v>
      </c>
      <c r="L360" s="69" t="n">
        <f aca="false">I360-J360-K360</f>
        <v>0</v>
      </c>
      <c r="M360" s="69" t="n">
        <f aca="false">IF(P359&gt;0.5,P359*(1+M$23)+M$24,0)</f>
        <v>0</v>
      </c>
      <c r="N360" s="69" t="n">
        <f aca="false">MIN(N$23,M360)</f>
        <v>0</v>
      </c>
      <c r="O360" s="69" t="n">
        <f aca="false">IF(AND(N$24=1,OR(M$25="",$C360&gt;=M$25)),MAX(0,MIN(M360-N360,$D360-(G360+K360))),0)</f>
        <v>0</v>
      </c>
      <c r="P360" s="69" t="n">
        <f aca="false">M360-N360-O360</f>
        <v>0</v>
      </c>
      <c r="Q360" s="69" t="n">
        <f aca="false">IF(T359&gt;0.5,T359*(1+Q$23)+Q$24,0)</f>
        <v>0</v>
      </c>
      <c r="R360" s="69" t="n">
        <f aca="false">MIN(R$23,Q360)</f>
        <v>0</v>
      </c>
      <c r="S360" s="69" t="n">
        <f aca="false">IF(AND(R$24=1,OR(Q$25="",$C360&gt;=Q$25)),MAX(0,MIN(Q360-R360,$D360-(G360+K360+O360))),0)</f>
        <v>0</v>
      </c>
      <c r="T360" s="69" t="n">
        <f aca="false">Q360-R360-S360</f>
        <v>0</v>
      </c>
      <c r="U360" s="69" t="n">
        <f aca="false">IF(X359&gt;0.5,X359*(1+U$23)+U$24,0)</f>
        <v>0</v>
      </c>
      <c r="V360" s="69" t="n">
        <f aca="false">MIN(V$23,U360)</f>
        <v>0</v>
      </c>
      <c r="W360" s="69" t="n">
        <f aca="false">IF(AND(V$24=1,OR(U$25="",$C360&gt;=U$25)),MAX(0,MIN(U360-V360,$D360-(G360+K360+O360+S360))),0)</f>
        <v>0</v>
      </c>
      <c r="X360" s="69" t="n">
        <f aca="false">U360-V360-W360</f>
        <v>0</v>
      </c>
      <c r="Y360" s="69" t="n">
        <f aca="false">IF(AB359&gt;0.5,AB359*(1+Y$23)+Y$24,0)</f>
        <v>0</v>
      </c>
      <c r="Z360" s="69" t="n">
        <f aca="false">MIN(Z$23,Y360)</f>
        <v>0</v>
      </c>
      <c r="AA360" s="69" t="n">
        <f aca="false">IF(AND(Z$24=1,OR(Y$25="",$C360&gt;=Y$25)),MAX(0,MIN(Y360-Z360,$D360-(G360+K360+O360+S360+W360))),0)</f>
        <v>0</v>
      </c>
      <c r="AB360" s="69" t="n">
        <f aca="false">Y360-Z360-AA360</f>
        <v>0</v>
      </c>
      <c r="AC360" s="69" t="n">
        <f aca="false">IF(AF359&gt;0.5,AF359*(1+AC$23)+AC$24,0)</f>
        <v>0</v>
      </c>
      <c r="AD360" s="69" t="n">
        <f aca="false">MIN(AD$23,AC360)</f>
        <v>0</v>
      </c>
      <c r="AE360" s="69" t="n">
        <f aca="false">IF(AND(AD$24=1,OR(AC$25="",$C360&gt;=AC$25)),MAX(0,MIN(AC360-AD360,$D360-(G360+K360+O360+S360+W360+AA360))),0)</f>
        <v>0</v>
      </c>
      <c r="AF360" s="69" t="n">
        <f aca="false">AC360-AD360-AE360</f>
        <v>0</v>
      </c>
      <c r="AG360" s="69" t="n">
        <f aca="false">IF(AJ359&gt;0.5,AJ359*(1+AG$23)+AG$24,0)</f>
        <v>0</v>
      </c>
      <c r="AH360" s="69" t="n">
        <f aca="false">MIN(AH$23,AG360)</f>
        <v>0</v>
      </c>
      <c r="AI360" s="69" t="n">
        <f aca="false">IF(AND(AH$24=1,OR(AG$25="",$C360&gt;=AG$25)),MAX(0,MIN(AG360-AH360,$D360-(G360+K360+O360+S360+W360+AA360+AE360))),0)</f>
        <v>0</v>
      </c>
      <c r="AJ360" s="69" t="n">
        <f aca="false">AG360-AH360-AI360</f>
        <v>0</v>
      </c>
      <c r="AK360" s="69" t="n">
        <f aca="false">IF(AK359&gt;0.5,AK359*(1+$E$12)+$G$12-MIN($F$12,AK359*(1+$E$12)+$G$12),0)</f>
        <v>0</v>
      </c>
      <c r="AL360" s="69" t="n">
        <f aca="false">IF(AL359&gt;0.5,AL359*(1+$E$13)+$G$13-MIN($F$13,AL359*(1+$E$13)+$G$13),0)</f>
        <v>0</v>
      </c>
      <c r="AM360" s="69" t="n">
        <f aca="false">IF(AM359&gt;0.5,AM359*(1+$E$14)+$G$14-MIN($F$14,AM359*(1+$E$14)+$G$14),0)</f>
        <v>0</v>
      </c>
      <c r="AN360" s="69" t="n">
        <f aca="false">IF(AN359&gt;0.5,AN359*(1+$E$15)+$G$15-MIN($F$15,AN359*(1+$E$15)+$G$15),0)</f>
        <v>0</v>
      </c>
      <c r="AO360" s="69" t="n">
        <f aca="false">IF(AO359&gt;0.5,AO359*(1+$E$16)+$G$16-MIN($F$16,AO359*(1+$E$16)+$G$16),0)</f>
        <v>0</v>
      </c>
      <c r="AP360" s="69" t="n">
        <f aca="false">IF(AP359&gt;0.5,AP359*(1+$E$17)+$G$17-MIN($F$17,AP359*(1+$E$17)+$G$17),0)</f>
        <v>0</v>
      </c>
      <c r="AQ360" s="69" t="n">
        <f aca="false">IF(AQ359&gt;0.5,AQ359*(1+$E$18)+$G$18-MIN($F$18,AQ359*(1+$E$18)+$G$18),0)</f>
        <v>0</v>
      </c>
      <c r="AR360" s="69" t="n">
        <f aca="false">IF(AR359&gt;0.5,AR359*(1+$E$19)+$G$19-MIN($F$19,AR359*(1+$E$19)+$G$19),0)</f>
        <v>0</v>
      </c>
      <c r="AS360" s="69" t="n">
        <f aca="false">H360+L360+P360+T360+X360+AB360+AF360+AJ360</f>
        <v>0</v>
      </c>
      <c r="AT360" s="69" t="n">
        <f aca="false">SUM(AK360:AR360)</f>
        <v>0</v>
      </c>
      <c r="AU360" s="69" t="n">
        <f aca="false">F360+G360+J360+K360+N360+O360+R360+S360+V360+W360+Z360+AA360+AD360+AE360+AH360+AI360</f>
        <v>0</v>
      </c>
    </row>
    <row r="361" customFormat="false" ht="15" hidden="false" customHeight="false" outlineLevel="0" collapsed="false">
      <c r="B361" s="0" t="n">
        <v>334</v>
      </c>
      <c r="C361" s="68" t="n">
        <f aca="false">EDATE($C$7,333)</f>
        <v>56431</v>
      </c>
      <c r="D361" s="69" t="n">
        <f aca="false">$C$8-(F361+J361+N361+R361+V361+Z361+AD361+AH361)</f>
        <v>0</v>
      </c>
      <c r="E361" s="69" t="n">
        <f aca="false">IF(H360&gt;0.5,H360*(1+E$23)+E$24,0)</f>
        <v>0</v>
      </c>
      <c r="F361" s="69" t="n">
        <f aca="false">MIN(F$23,E361)</f>
        <v>0</v>
      </c>
      <c r="G361" s="69" t="n">
        <f aca="false">IF(AND(F$24=1,OR(E$25="",$C361&gt;=E$25)),MAX(0,MIN(E361-F361,$D361-(0))),0)</f>
        <v>0</v>
      </c>
      <c r="H361" s="69" t="n">
        <f aca="false">E361-F361-G361</f>
        <v>0</v>
      </c>
      <c r="I361" s="69" t="n">
        <f aca="false">IF(L360&gt;0.5,L360*(1+I$23)+I$24,0)</f>
        <v>0</v>
      </c>
      <c r="J361" s="69" t="n">
        <f aca="false">MIN(J$23,I361)</f>
        <v>0</v>
      </c>
      <c r="K361" s="69" t="n">
        <f aca="false">IF(AND(J$24=1,OR(I$25="",$C361&gt;=I$25)),MAX(0,MIN(I361-J361,$D361-(G361))),0)</f>
        <v>0</v>
      </c>
      <c r="L361" s="69" t="n">
        <f aca="false">I361-J361-K361</f>
        <v>0</v>
      </c>
      <c r="M361" s="69" t="n">
        <f aca="false">IF(P360&gt;0.5,P360*(1+M$23)+M$24,0)</f>
        <v>0</v>
      </c>
      <c r="N361" s="69" t="n">
        <f aca="false">MIN(N$23,M361)</f>
        <v>0</v>
      </c>
      <c r="O361" s="69" t="n">
        <f aca="false">IF(AND(N$24=1,OR(M$25="",$C361&gt;=M$25)),MAX(0,MIN(M361-N361,$D361-(G361+K361))),0)</f>
        <v>0</v>
      </c>
      <c r="P361" s="69" t="n">
        <f aca="false">M361-N361-O361</f>
        <v>0</v>
      </c>
      <c r="Q361" s="69" t="n">
        <f aca="false">IF(T360&gt;0.5,T360*(1+Q$23)+Q$24,0)</f>
        <v>0</v>
      </c>
      <c r="R361" s="69" t="n">
        <f aca="false">MIN(R$23,Q361)</f>
        <v>0</v>
      </c>
      <c r="S361" s="69" t="n">
        <f aca="false">IF(AND(R$24=1,OR(Q$25="",$C361&gt;=Q$25)),MAX(0,MIN(Q361-R361,$D361-(G361+K361+O361))),0)</f>
        <v>0</v>
      </c>
      <c r="T361" s="69" t="n">
        <f aca="false">Q361-R361-S361</f>
        <v>0</v>
      </c>
      <c r="U361" s="69" t="n">
        <f aca="false">IF(X360&gt;0.5,X360*(1+U$23)+U$24,0)</f>
        <v>0</v>
      </c>
      <c r="V361" s="69" t="n">
        <f aca="false">MIN(V$23,U361)</f>
        <v>0</v>
      </c>
      <c r="W361" s="69" t="n">
        <f aca="false">IF(AND(V$24=1,OR(U$25="",$C361&gt;=U$25)),MAX(0,MIN(U361-V361,$D361-(G361+K361+O361+S361))),0)</f>
        <v>0</v>
      </c>
      <c r="X361" s="69" t="n">
        <f aca="false">U361-V361-W361</f>
        <v>0</v>
      </c>
      <c r="Y361" s="69" t="n">
        <f aca="false">IF(AB360&gt;0.5,AB360*(1+Y$23)+Y$24,0)</f>
        <v>0</v>
      </c>
      <c r="Z361" s="69" t="n">
        <f aca="false">MIN(Z$23,Y361)</f>
        <v>0</v>
      </c>
      <c r="AA361" s="69" t="n">
        <f aca="false">IF(AND(Z$24=1,OR(Y$25="",$C361&gt;=Y$25)),MAX(0,MIN(Y361-Z361,$D361-(G361+K361+O361+S361+W361))),0)</f>
        <v>0</v>
      </c>
      <c r="AB361" s="69" t="n">
        <f aca="false">Y361-Z361-AA361</f>
        <v>0</v>
      </c>
      <c r="AC361" s="69" t="n">
        <f aca="false">IF(AF360&gt;0.5,AF360*(1+AC$23)+AC$24,0)</f>
        <v>0</v>
      </c>
      <c r="AD361" s="69" t="n">
        <f aca="false">MIN(AD$23,AC361)</f>
        <v>0</v>
      </c>
      <c r="AE361" s="69" t="n">
        <f aca="false">IF(AND(AD$24=1,OR(AC$25="",$C361&gt;=AC$25)),MAX(0,MIN(AC361-AD361,$D361-(G361+K361+O361+S361+W361+AA361))),0)</f>
        <v>0</v>
      </c>
      <c r="AF361" s="69" t="n">
        <f aca="false">AC361-AD361-AE361</f>
        <v>0</v>
      </c>
      <c r="AG361" s="69" t="n">
        <f aca="false">IF(AJ360&gt;0.5,AJ360*(1+AG$23)+AG$24,0)</f>
        <v>0</v>
      </c>
      <c r="AH361" s="69" t="n">
        <f aca="false">MIN(AH$23,AG361)</f>
        <v>0</v>
      </c>
      <c r="AI361" s="69" t="n">
        <f aca="false">IF(AND(AH$24=1,OR(AG$25="",$C361&gt;=AG$25)),MAX(0,MIN(AG361-AH361,$D361-(G361+K361+O361+S361+W361+AA361+AE361))),0)</f>
        <v>0</v>
      </c>
      <c r="AJ361" s="69" t="n">
        <f aca="false">AG361-AH361-AI361</f>
        <v>0</v>
      </c>
      <c r="AK361" s="69" t="n">
        <f aca="false">IF(AK360&gt;0.5,AK360*(1+$E$12)+$G$12-MIN($F$12,AK360*(1+$E$12)+$G$12),0)</f>
        <v>0</v>
      </c>
      <c r="AL361" s="69" t="n">
        <f aca="false">IF(AL360&gt;0.5,AL360*(1+$E$13)+$G$13-MIN($F$13,AL360*(1+$E$13)+$G$13),0)</f>
        <v>0</v>
      </c>
      <c r="AM361" s="69" t="n">
        <f aca="false">IF(AM360&gt;0.5,AM360*(1+$E$14)+$G$14-MIN($F$14,AM360*(1+$E$14)+$G$14),0)</f>
        <v>0</v>
      </c>
      <c r="AN361" s="69" t="n">
        <f aca="false">IF(AN360&gt;0.5,AN360*(1+$E$15)+$G$15-MIN($F$15,AN360*(1+$E$15)+$G$15),0)</f>
        <v>0</v>
      </c>
      <c r="AO361" s="69" t="n">
        <f aca="false">IF(AO360&gt;0.5,AO360*(1+$E$16)+$G$16-MIN($F$16,AO360*(1+$E$16)+$G$16),0)</f>
        <v>0</v>
      </c>
      <c r="AP361" s="69" t="n">
        <f aca="false">IF(AP360&gt;0.5,AP360*(1+$E$17)+$G$17-MIN($F$17,AP360*(1+$E$17)+$G$17),0)</f>
        <v>0</v>
      </c>
      <c r="AQ361" s="69" t="n">
        <f aca="false">IF(AQ360&gt;0.5,AQ360*(1+$E$18)+$G$18-MIN($F$18,AQ360*(1+$E$18)+$G$18),0)</f>
        <v>0</v>
      </c>
      <c r="AR361" s="69" t="n">
        <f aca="false">IF(AR360&gt;0.5,AR360*(1+$E$19)+$G$19-MIN($F$19,AR360*(1+$E$19)+$G$19),0)</f>
        <v>0</v>
      </c>
      <c r="AS361" s="69" t="n">
        <f aca="false">H361+L361+P361+T361+X361+AB361+AF361+AJ361</f>
        <v>0</v>
      </c>
      <c r="AT361" s="69" t="n">
        <f aca="false">SUM(AK361:AR361)</f>
        <v>0</v>
      </c>
      <c r="AU361" s="69" t="n">
        <f aca="false">F361+G361+J361+K361+N361+O361+R361+S361+V361+W361+Z361+AA361+AD361+AE361+AH361+AI361</f>
        <v>0</v>
      </c>
    </row>
    <row r="362" customFormat="false" ht="15" hidden="false" customHeight="false" outlineLevel="0" collapsed="false">
      <c r="B362" s="0" t="n">
        <v>335</v>
      </c>
      <c r="C362" s="68" t="n">
        <f aca="false">EDATE($C$7,334)</f>
        <v>56462</v>
      </c>
      <c r="D362" s="69" t="n">
        <f aca="false">$C$8-(F362+J362+N362+R362+V362+Z362+AD362+AH362)</f>
        <v>0</v>
      </c>
      <c r="E362" s="69" t="n">
        <f aca="false">IF(H361&gt;0.5,H361*(1+E$23)+E$24,0)</f>
        <v>0</v>
      </c>
      <c r="F362" s="69" t="n">
        <f aca="false">MIN(F$23,E362)</f>
        <v>0</v>
      </c>
      <c r="G362" s="69" t="n">
        <f aca="false">IF(AND(F$24=1,OR(E$25="",$C362&gt;=E$25)),MAX(0,MIN(E362-F362,$D362-(0))),0)</f>
        <v>0</v>
      </c>
      <c r="H362" s="69" t="n">
        <f aca="false">E362-F362-G362</f>
        <v>0</v>
      </c>
      <c r="I362" s="69" t="n">
        <f aca="false">IF(L361&gt;0.5,L361*(1+I$23)+I$24,0)</f>
        <v>0</v>
      </c>
      <c r="J362" s="69" t="n">
        <f aca="false">MIN(J$23,I362)</f>
        <v>0</v>
      </c>
      <c r="K362" s="69" t="n">
        <f aca="false">IF(AND(J$24=1,OR(I$25="",$C362&gt;=I$25)),MAX(0,MIN(I362-J362,$D362-(G362))),0)</f>
        <v>0</v>
      </c>
      <c r="L362" s="69" t="n">
        <f aca="false">I362-J362-K362</f>
        <v>0</v>
      </c>
      <c r="M362" s="69" t="n">
        <f aca="false">IF(P361&gt;0.5,P361*(1+M$23)+M$24,0)</f>
        <v>0</v>
      </c>
      <c r="N362" s="69" t="n">
        <f aca="false">MIN(N$23,M362)</f>
        <v>0</v>
      </c>
      <c r="O362" s="69" t="n">
        <f aca="false">IF(AND(N$24=1,OR(M$25="",$C362&gt;=M$25)),MAX(0,MIN(M362-N362,$D362-(G362+K362))),0)</f>
        <v>0</v>
      </c>
      <c r="P362" s="69" t="n">
        <f aca="false">M362-N362-O362</f>
        <v>0</v>
      </c>
      <c r="Q362" s="69" t="n">
        <f aca="false">IF(T361&gt;0.5,T361*(1+Q$23)+Q$24,0)</f>
        <v>0</v>
      </c>
      <c r="R362" s="69" t="n">
        <f aca="false">MIN(R$23,Q362)</f>
        <v>0</v>
      </c>
      <c r="S362" s="69" t="n">
        <f aca="false">IF(AND(R$24=1,OR(Q$25="",$C362&gt;=Q$25)),MAX(0,MIN(Q362-R362,$D362-(G362+K362+O362))),0)</f>
        <v>0</v>
      </c>
      <c r="T362" s="69" t="n">
        <f aca="false">Q362-R362-S362</f>
        <v>0</v>
      </c>
      <c r="U362" s="69" t="n">
        <f aca="false">IF(X361&gt;0.5,X361*(1+U$23)+U$24,0)</f>
        <v>0</v>
      </c>
      <c r="V362" s="69" t="n">
        <f aca="false">MIN(V$23,U362)</f>
        <v>0</v>
      </c>
      <c r="W362" s="69" t="n">
        <f aca="false">IF(AND(V$24=1,OR(U$25="",$C362&gt;=U$25)),MAX(0,MIN(U362-V362,$D362-(G362+K362+O362+S362))),0)</f>
        <v>0</v>
      </c>
      <c r="X362" s="69" t="n">
        <f aca="false">U362-V362-W362</f>
        <v>0</v>
      </c>
      <c r="Y362" s="69" t="n">
        <f aca="false">IF(AB361&gt;0.5,AB361*(1+Y$23)+Y$24,0)</f>
        <v>0</v>
      </c>
      <c r="Z362" s="69" t="n">
        <f aca="false">MIN(Z$23,Y362)</f>
        <v>0</v>
      </c>
      <c r="AA362" s="69" t="n">
        <f aca="false">IF(AND(Z$24=1,OR(Y$25="",$C362&gt;=Y$25)),MAX(0,MIN(Y362-Z362,$D362-(G362+K362+O362+S362+W362))),0)</f>
        <v>0</v>
      </c>
      <c r="AB362" s="69" t="n">
        <f aca="false">Y362-Z362-AA362</f>
        <v>0</v>
      </c>
      <c r="AC362" s="69" t="n">
        <f aca="false">IF(AF361&gt;0.5,AF361*(1+AC$23)+AC$24,0)</f>
        <v>0</v>
      </c>
      <c r="AD362" s="69" t="n">
        <f aca="false">MIN(AD$23,AC362)</f>
        <v>0</v>
      </c>
      <c r="AE362" s="69" t="n">
        <f aca="false">IF(AND(AD$24=1,OR(AC$25="",$C362&gt;=AC$25)),MAX(0,MIN(AC362-AD362,$D362-(G362+K362+O362+S362+W362+AA362))),0)</f>
        <v>0</v>
      </c>
      <c r="AF362" s="69" t="n">
        <f aca="false">AC362-AD362-AE362</f>
        <v>0</v>
      </c>
      <c r="AG362" s="69" t="n">
        <f aca="false">IF(AJ361&gt;0.5,AJ361*(1+AG$23)+AG$24,0)</f>
        <v>0</v>
      </c>
      <c r="AH362" s="69" t="n">
        <f aca="false">MIN(AH$23,AG362)</f>
        <v>0</v>
      </c>
      <c r="AI362" s="69" t="n">
        <f aca="false">IF(AND(AH$24=1,OR(AG$25="",$C362&gt;=AG$25)),MAX(0,MIN(AG362-AH362,$D362-(G362+K362+O362+S362+W362+AA362+AE362))),0)</f>
        <v>0</v>
      </c>
      <c r="AJ362" s="69" t="n">
        <f aca="false">AG362-AH362-AI362</f>
        <v>0</v>
      </c>
      <c r="AK362" s="69" t="n">
        <f aca="false">IF(AK361&gt;0.5,AK361*(1+$E$12)+$G$12-MIN($F$12,AK361*(1+$E$12)+$G$12),0)</f>
        <v>0</v>
      </c>
      <c r="AL362" s="69" t="n">
        <f aca="false">IF(AL361&gt;0.5,AL361*(1+$E$13)+$G$13-MIN($F$13,AL361*(1+$E$13)+$G$13),0)</f>
        <v>0</v>
      </c>
      <c r="AM362" s="69" t="n">
        <f aca="false">IF(AM361&gt;0.5,AM361*(1+$E$14)+$G$14-MIN($F$14,AM361*(1+$E$14)+$G$14),0)</f>
        <v>0</v>
      </c>
      <c r="AN362" s="69" t="n">
        <f aca="false">IF(AN361&gt;0.5,AN361*(1+$E$15)+$G$15-MIN($F$15,AN361*(1+$E$15)+$G$15),0)</f>
        <v>0</v>
      </c>
      <c r="AO362" s="69" t="n">
        <f aca="false">IF(AO361&gt;0.5,AO361*(1+$E$16)+$G$16-MIN($F$16,AO361*(1+$E$16)+$G$16),0)</f>
        <v>0</v>
      </c>
      <c r="AP362" s="69" t="n">
        <f aca="false">IF(AP361&gt;0.5,AP361*(1+$E$17)+$G$17-MIN($F$17,AP361*(1+$E$17)+$G$17),0)</f>
        <v>0</v>
      </c>
      <c r="AQ362" s="69" t="n">
        <f aca="false">IF(AQ361&gt;0.5,AQ361*(1+$E$18)+$G$18-MIN($F$18,AQ361*(1+$E$18)+$G$18),0)</f>
        <v>0</v>
      </c>
      <c r="AR362" s="69" t="n">
        <f aca="false">IF(AR361&gt;0.5,AR361*(1+$E$19)+$G$19-MIN($F$19,AR361*(1+$E$19)+$G$19),0)</f>
        <v>0</v>
      </c>
      <c r="AS362" s="69" t="n">
        <f aca="false">H362+L362+P362+T362+X362+AB362+AF362+AJ362</f>
        <v>0</v>
      </c>
      <c r="AT362" s="69" t="n">
        <f aca="false">SUM(AK362:AR362)</f>
        <v>0</v>
      </c>
      <c r="AU362" s="69" t="n">
        <f aca="false">F362+G362+J362+K362+N362+O362+R362+S362+V362+W362+Z362+AA362+AD362+AE362+AH362+AI362</f>
        <v>0</v>
      </c>
    </row>
    <row r="363" customFormat="false" ht="15" hidden="false" customHeight="false" outlineLevel="0" collapsed="false">
      <c r="B363" s="0" t="n">
        <v>336</v>
      </c>
      <c r="C363" s="68" t="n">
        <f aca="false">EDATE($C$7,335)</f>
        <v>56493</v>
      </c>
      <c r="D363" s="69" t="n">
        <f aca="false">$C$8-(F363+J363+N363+R363+V363+Z363+AD363+AH363)</f>
        <v>0</v>
      </c>
      <c r="E363" s="69" t="n">
        <f aca="false">IF(H362&gt;0.5,H362*(1+E$23)+E$24,0)</f>
        <v>0</v>
      </c>
      <c r="F363" s="69" t="n">
        <f aca="false">MIN(F$23,E363)</f>
        <v>0</v>
      </c>
      <c r="G363" s="69" t="n">
        <f aca="false">IF(AND(F$24=1,OR(E$25="",$C363&gt;=E$25)),MAX(0,MIN(E363-F363,$D363-(0))),0)</f>
        <v>0</v>
      </c>
      <c r="H363" s="69" t="n">
        <f aca="false">E363-F363-G363</f>
        <v>0</v>
      </c>
      <c r="I363" s="69" t="n">
        <f aca="false">IF(L362&gt;0.5,L362*(1+I$23)+I$24,0)</f>
        <v>0</v>
      </c>
      <c r="J363" s="69" t="n">
        <f aca="false">MIN(J$23,I363)</f>
        <v>0</v>
      </c>
      <c r="K363" s="69" t="n">
        <f aca="false">IF(AND(J$24=1,OR(I$25="",$C363&gt;=I$25)),MAX(0,MIN(I363-J363,$D363-(G363))),0)</f>
        <v>0</v>
      </c>
      <c r="L363" s="69" t="n">
        <f aca="false">I363-J363-K363</f>
        <v>0</v>
      </c>
      <c r="M363" s="69" t="n">
        <f aca="false">IF(P362&gt;0.5,P362*(1+M$23)+M$24,0)</f>
        <v>0</v>
      </c>
      <c r="N363" s="69" t="n">
        <f aca="false">MIN(N$23,M363)</f>
        <v>0</v>
      </c>
      <c r="O363" s="69" t="n">
        <f aca="false">IF(AND(N$24=1,OR(M$25="",$C363&gt;=M$25)),MAX(0,MIN(M363-N363,$D363-(G363+K363))),0)</f>
        <v>0</v>
      </c>
      <c r="P363" s="69" t="n">
        <f aca="false">M363-N363-O363</f>
        <v>0</v>
      </c>
      <c r="Q363" s="69" t="n">
        <f aca="false">IF(T362&gt;0.5,T362*(1+Q$23)+Q$24,0)</f>
        <v>0</v>
      </c>
      <c r="R363" s="69" t="n">
        <f aca="false">MIN(R$23,Q363)</f>
        <v>0</v>
      </c>
      <c r="S363" s="69" t="n">
        <f aca="false">IF(AND(R$24=1,OR(Q$25="",$C363&gt;=Q$25)),MAX(0,MIN(Q363-R363,$D363-(G363+K363+O363))),0)</f>
        <v>0</v>
      </c>
      <c r="T363" s="69" t="n">
        <f aca="false">Q363-R363-S363</f>
        <v>0</v>
      </c>
      <c r="U363" s="69" t="n">
        <f aca="false">IF(X362&gt;0.5,X362*(1+U$23)+U$24,0)</f>
        <v>0</v>
      </c>
      <c r="V363" s="69" t="n">
        <f aca="false">MIN(V$23,U363)</f>
        <v>0</v>
      </c>
      <c r="W363" s="69" t="n">
        <f aca="false">IF(AND(V$24=1,OR(U$25="",$C363&gt;=U$25)),MAX(0,MIN(U363-V363,$D363-(G363+K363+O363+S363))),0)</f>
        <v>0</v>
      </c>
      <c r="X363" s="69" t="n">
        <f aca="false">U363-V363-W363</f>
        <v>0</v>
      </c>
      <c r="Y363" s="69" t="n">
        <f aca="false">IF(AB362&gt;0.5,AB362*(1+Y$23)+Y$24,0)</f>
        <v>0</v>
      </c>
      <c r="Z363" s="69" t="n">
        <f aca="false">MIN(Z$23,Y363)</f>
        <v>0</v>
      </c>
      <c r="AA363" s="69" t="n">
        <f aca="false">IF(AND(Z$24=1,OR(Y$25="",$C363&gt;=Y$25)),MAX(0,MIN(Y363-Z363,$D363-(G363+K363+O363+S363+W363))),0)</f>
        <v>0</v>
      </c>
      <c r="AB363" s="69" t="n">
        <f aca="false">Y363-Z363-AA363</f>
        <v>0</v>
      </c>
      <c r="AC363" s="69" t="n">
        <f aca="false">IF(AF362&gt;0.5,AF362*(1+AC$23)+AC$24,0)</f>
        <v>0</v>
      </c>
      <c r="AD363" s="69" t="n">
        <f aca="false">MIN(AD$23,AC363)</f>
        <v>0</v>
      </c>
      <c r="AE363" s="69" t="n">
        <f aca="false">IF(AND(AD$24=1,OR(AC$25="",$C363&gt;=AC$25)),MAX(0,MIN(AC363-AD363,$D363-(G363+K363+O363+S363+W363+AA363))),0)</f>
        <v>0</v>
      </c>
      <c r="AF363" s="69" t="n">
        <f aca="false">AC363-AD363-AE363</f>
        <v>0</v>
      </c>
      <c r="AG363" s="69" t="n">
        <f aca="false">IF(AJ362&gt;0.5,AJ362*(1+AG$23)+AG$24,0)</f>
        <v>0</v>
      </c>
      <c r="AH363" s="69" t="n">
        <f aca="false">MIN(AH$23,AG363)</f>
        <v>0</v>
      </c>
      <c r="AI363" s="69" t="n">
        <f aca="false">IF(AND(AH$24=1,OR(AG$25="",$C363&gt;=AG$25)),MAX(0,MIN(AG363-AH363,$D363-(G363+K363+O363+S363+W363+AA363+AE363))),0)</f>
        <v>0</v>
      </c>
      <c r="AJ363" s="69" t="n">
        <f aca="false">AG363-AH363-AI363</f>
        <v>0</v>
      </c>
      <c r="AK363" s="69" t="n">
        <f aca="false">IF(AK362&gt;0.5,AK362*(1+$E$12)+$G$12-MIN($F$12,AK362*(1+$E$12)+$G$12),0)</f>
        <v>0</v>
      </c>
      <c r="AL363" s="69" t="n">
        <f aca="false">IF(AL362&gt;0.5,AL362*(1+$E$13)+$G$13-MIN($F$13,AL362*(1+$E$13)+$G$13),0)</f>
        <v>0</v>
      </c>
      <c r="AM363" s="69" t="n">
        <f aca="false">IF(AM362&gt;0.5,AM362*(1+$E$14)+$G$14-MIN($F$14,AM362*(1+$E$14)+$G$14),0)</f>
        <v>0</v>
      </c>
      <c r="AN363" s="69" t="n">
        <f aca="false">IF(AN362&gt;0.5,AN362*(1+$E$15)+$G$15-MIN($F$15,AN362*(1+$E$15)+$G$15),0)</f>
        <v>0</v>
      </c>
      <c r="AO363" s="69" t="n">
        <f aca="false">IF(AO362&gt;0.5,AO362*(1+$E$16)+$G$16-MIN($F$16,AO362*(1+$E$16)+$G$16),0)</f>
        <v>0</v>
      </c>
      <c r="AP363" s="69" t="n">
        <f aca="false">IF(AP362&gt;0.5,AP362*(1+$E$17)+$G$17-MIN($F$17,AP362*(1+$E$17)+$G$17),0)</f>
        <v>0</v>
      </c>
      <c r="AQ363" s="69" t="n">
        <f aca="false">IF(AQ362&gt;0.5,AQ362*(1+$E$18)+$G$18-MIN($F$18,AQ362*(1+$E$18)+$G$18),0)</f>
        <v>0</v>
      </c>
      <c r="AR363" s="69" t="n">
        <f aca="false">IF(AR362&gt;0.5,AR362*(1+$E$19)+$G$19-MIN($F$19,AR362*(1+$E$19)+$G$19),0)</f>
        <v>0</v>
      </c>
      <c r="AS363" s="69" t="n">
        <f aca="false">H363+L363+P363+T363+X363+AB363+AF363+AJ363</f>
        <v>0</v>
      </c>
      <c r="AT363" s="69" t="n">
        <f aca="false">SUM(AK363:AR363)</f>
        <v>0</v>
      </c>
      <c r="AU363" s="69" t="n">
        <f aca="false">F363+G363+J363+K363+N363+O363+R363+S363+V363+W363+Z363+AA363+AD363+AE363+AH363+AI363</f>
        <v>0</v>
      </c>
    </row>
    <row r="364" customFormat="false" ht="15" hidden="false" customHeight="false" outlineLevel="0" collapsed="false">
      <c r="B364" s="0" t="n">
        <v>337</v>
      </c>
      <c r="C364" s="68" t="n">
        <f aca="false">EDATE($C$7,336)</f>
        <v>56523</v>
      </c>
      <c r="D364" s="69" t="n">
        <f aca="false">$C$8-(F364+J364+N364+R364+V364+Z364+AD364+AH364)</f>
        <v>0</v>
      </c>
      <c r="E364" s="69" t="n">
        <f aca="false">IF(H363&gt;0.5,H363*(1+E$23)+E$24,0)</f>
        <v>0</v>
      </c>
      <c r="F364" s="69" t="n">
        <f aca="false">MIN(F$23,E364)</f>
        <v>0</v>
      </c>
      <c r="G364" s="69" t="n">
        <f aca="false">IF(AND(F$24=1,OR(E$25="",$C364&gt;=E$25)),MAX(0,MIN(E364-F364,$D364-(0))),0)</f>
        <v>0</v>
      </c>
      <c r="H364" s="69" t="n">
        <f aca="false">E364-F364-G364</f>
        <v>0</v>
      </c>
      <c r="I364" s="69" t="n">
        <f aca="false">IF(L363&gt;0.5,L363*(1+I$23)+I$24,0)</f>
        <v>0</v>
      </c>
      <c r="J364" s="69" t="n">
        <f aca="false">MIN(J$23,I364)</f>
        <v>0</v>
      </c>
      <c r="K364" s="69" t="n">
        <f aca="false">IF(AND(J$24=1,OR(I$25="",$C364&gt;=I$25)),MAX(0,MIN(I364-J364,$D364-(G364))),0)</f>
        <v>0</v>
      </c>
      <c r="L364" s="69" t="n">
        <f aca="false">I364-J364-K364</f>
        <v>0</v>
      </c>
      <c r="M364" s="69" t="n">
        <f aca="false">IF(P363&gt;0.5,P363*(1+M$23)+M$24,0)</f>
        <v>0</v>
      </c>
      <c r="N364" s="69" t="n">
        <f aca="false">MIN(N$23,M364)</f>
        <v>0</v>
      </c>
      <c r="O364" s="69" t="n">
        <f aca="false">IF(AND(N$24=1,OR(M$25="",$C364&gt;=M$25)),MAX(0,MIN(M364-N364,$D364-(G364+K364))),0)</f>
        <v>0</v>
      </c>
      <c r="P364" s="69" t="n">
        <f aca="false">M364-N364-O364</f>
        <v>0</v>
      </c>
      <c r="Q364" s="69" t="n">
        <f aca="false">IF(T363&gt;0.5,T363*(1+Q$23)+Q$24,0)</f>
        <v>0</v>
      </c>
      <c r="R364" s="69" t="n">
        <f aca="false">MIN(R$23,Q364)</f>
        <v>0</v>
      </c>
      <c r="S364" s="69" t="n">
        <f aca="false">IF(AND(R$24=1,OR(Q$25="",$C364&gt;=Q$25)),MAX(0,MIN(Q364-R364,$D364-(G364+K364+O364))),0)</f>
        <v>0</v>
      </c>
      <c r="T364" s="69" t="n">
        <f aca="false">Q364-R364-S364</f>
        <v>0</v>
      </c>
      <c r="U364" s="69" t="n">
        <f aca="false">IF(X363&gt;0.5,X363*(1+U$23)+U$24,0)</f>
        <v>0</v>
      </c>
      <c r="V364" s="69" t="n">
        <f aca="false">MIN(V$23,U364)</f>
        <v>0</v>
      </c>
      <c r="W364" s="69" t="n">
        <f aca="false">IF(AND(V$24=1,OR(U$25="",$C364&gt;=U$25)),MAX(0,MIN(U364-V364,$D364-(G364+K364+O364+S364))),0)</f>
        <v>0</v>
      </c>
      <c r="X364" s="69" t="n">
        <f aca="false">U364-V364-W364</f>
        <v>0</v>
      </c>
      <c r="Y364" s="69" t="n">
        <f aca="false">IF(AB363&gt;0.5,AB363*(1+Y$23)+Y$24,0)</f>
        <v>0</v>
      </c>
      <c r="Z364" s="69" t="n">
        <f aca="false">MIN(Z$23,Y364)</f>
        <v>0</v>
      </c>
      <c r="AA364" s="69" t="n">
        <f aca="false">IF(AND(Z$24=1,OR(Y$25="",$C364&gt;=Y$25)),MAX(0,MIN(Y364-Z364,$D364-(G364+K364+O364+S364+W364))),0)</f>
        <v>0</v>
      </c>
      <c r="AB364" s="69" t="n">
        <f aca="false">Y364-Z364-AA364</f>
        <v>0</v>
      </c>
      <c r="AC364" s="69" t="n">
        <f aca="false">IF(AF363&gt;0.5,AF363*(1+AC$23)+AC$24,0)</f>
        <v>0</v>
      </c>
      <c r="AD364" s="69" t="n">
        <f aca="false">MIN(AD$23,AC364)</f>
        <v>0</v>
      </c>
      <c r="AE364" s="69" t="n">
        <f aca="false">IF(AND(AD$24=1,OR(AC$25="",$C364&gt;=AC$25)),MAX(0,MIN(AC364-AD364,$D364-(G364+K364+O364+S364+W364+AA364))),0)</f>
        <v>0</v>
      </c>
      <c r="AF364" s="69" t="n">
        <f aca="false">AC364-AD364-AE364</f>
        <v>0</v>
      </c>
      <c r="AG364" s="69" t="n">
        <f aca="false">IF(AJ363&gt;0.5,AJ363*(1+AG$23)+AG$24,0)</f>
        <v>0</v>
      </c>
      <c r="AH364" s="69" t="n">
        <f aca="false">MIN(AH$23,AG364)</f>
        <v>0</v>
      </c>
      <c r="AI364" s="69" t="n">
        <f aca="false">IF(AND(AH$24=1,OR(AG$25="",$C364&gt;=AG$25)),MAX(0,MIN(AG364-AH364,$D364-(G364+K364+O364+S364+W364+AA364+AE364))),0)</f>
        <v>0</v>
      </c>
      <c r="AJ364" s="69" t="n">
        <f aca="false">AG364-AH364-AI364</f>
        <v>0</v>
      </c>
      <c r="AK364" s="69" t="n">
        <f aca="false">IF(AK363&gt;0.5,AK363*(1+$E$12)+$G$12-MIN($F$12,AK363*(1+$E$12)+$G$12),0)</f>
        <v>0</v>
      </c>
      <c r="AL364" s="69" t="n">
        <f aca="false">IF(AL363&gt;0.5,AL363*(1+$E$13)+$G$13-MIN($F$13,AL363*(1+$E$13)+$G$13),0)</f>
        <v>0</v>
      </c>
      <c r="AM364" s="69" t="n">
        <f aca="false">IF(AM363&gt;0.5,AM363*(1+$E$14)+$G$14-MIN($F$14,AM363*(1+$E$14)+$G$14),0)</f>
        <v>0</v>
      </c>
      <c r="AN364" s="69" t="n">
        <f aca="false">IF(AN363&gt;0.5,AN363*(1+$E$15)+$G$15-MIN($F$15,AN363*(1+$E$15)+$G$15),0)</f>
        <v>0</v>
      </c>
      <c r="AO364" s="69" t="n">
        <f aca="false">IF(AO363&gt;0.5,AO363*(1+$E$16)+$G$16-MIN($F$16,AO363*(1+$E$16)+$G$16),0)</f>
        <v>0</v>
      </c>
      <c r="AP364" s="69" t="n">
        <f aca="false">IF(AP363&gt;0.5,AP363*(1+$E$17)+$G$17-MIN($F$17,AP363*(1+$E$17)+$G$17),0)</f>
        <v>0</v>
      </c>
      <c r="AQ364" s="69" t="n">
        <f aca="false">IF(AQ363&gt;0.5,AQ363*(1+$E$18)+$G$18-MIN($F$18,AQ363*(1+$E$18)+$G$18),0)</f>
        <v>0</v>
      </c>
      <c r="AR364" s="69" t="n">
        <f aca="false">IF(AR363&gt;0.5,AR363*(1+$E$19)+$G$19-MIN($F$19,AR363*(1+$E$19)+$G$19),0)</f>
        <v>0</v>
      </c>
      <c r="AS364" s="69" t="n">
        <f aca="false">H364+L364+P364+T364+X364+AB364+AF364+AJ364</f>
        <v>0</v>
      </c>
      <c r="AT364" s="69" t="n">
        <f aca="false">SUM(AK364:AR364)</f>
        <v>0</v>
      </c>
      <c r="AU364" s="69" t="n">
        <f aca="false">F364+G364+J364+K364+N364+O364+R364+S364+V364+W364+Z364+AA364+AD364+AE364+AH364+AI364</f>
        <v>0</v>
      </c>
    </row>
    <row r="365" customFormat="false" ht="15" hidden="false" customHeight="false" outlineLevel="0" collapsed="false">
      <c r="B365" s="0" t="n">
        <v>338</v>
      </c>
      <c r="C365" s="68" t="n">
        <f aca="false">EDATE($C$7,337)</f>
        <v>56554</v>
      </c>
      <c r="D365" s="69" t="n">
        <f aca="false">$C$8-(F365+J365+N365+R365+V365+Z365+AD365+AH365)</f>
        <v>0</v>
      </c>
      <c r="E365" s="69" t="n">
        <f aca="false">IF(H364&gt;0.5,H364*(1+E$23)+E$24,0)</f>
        <v>0</v>
      </c>
      <c r="F365" s="69" t="n">
        <f aca="false">MIN(F$23,E365)</f>
        <v>0</v>
      </c>
      <c r="G365" s="69" t="n">
        <f aca="false">IF(AND(F$24=1,OR(E$25="",$C365&gt;=E$25)),MAX(0,MIN(E365-F365,$D365-(0))),0)</f>
        <v>0</v>
      </c>
      <c r="H365" s="69" t="n">
        <f aca="false">E365-F365-G365</f>
        <v>0</v>
      </c>
      <c r="I365" s="69" t="n">
        <f aca="false">IF(L364&gt;0.5,L364*(1+I$23)+I$24,0)</f>
        <v>0</v>
      </c>
      <c r="J365" s="69" t="n">
        <f aca="false">MIN(J$23,I365)</f>
        <v>0</v>
      </c>
      <c r="K365" s="69" t="n">
        <f aca="false">IF(AND(J$24=1,OR(I$25="",$C365&gt;=I$25)),MAX(0,MIN(I365-J365,$D365-(G365))),0)</f>
        <v>0</v>
      </c>
      <c r="L365" s="69" t="n">
        <f aca="false">I365-J365-K365</f>
        <v>0</v>
      </c>
      <c r="M365" s="69" t="n">
        <f aca="false">IF(P364&gt;0.5,P364*(1+M$23)+M$24,0)</f>
        <v>0</v>
      </c>
      <c r="N365" s="69" t="n">
        <f aca="false">MIN(N$23,M365)</f>
        <v>0</v>
      </c>
      <c r="O365" s="69" t="n">
        <f aca="false">IF(AND(N$24=1,OR(M$25="",$C365&gt;=M$25)),MAX(0,MIN(M365-N365,$D365-(G365+K365))),0)</f>
        <v>0</v>
      </c>
      <c r="P365" s="69" t="n">
        <f aca="false">M365-N365-O365</f>
        <v>0</v>
      </c>
      <c r="Q365" s="69" t="n">
        <f aca="false">IF(T364&gt;0.5,T364*(1+Q$23)+Q$24,0)</f>
        <v>0</v>
      </c>
      <c r="R365" s="69" t="n">
        <f aca="false">MIN(R$23,Q365)</f>
        <v>0</v>
      </c>
      <c r="S365" s="69" t="n">
        <f aca="false">IF(AND(R$24=1,OR(Q$25="",$C365&gt;=Q$25)),MAX(0,MIN(Q365-R365,$D365-(G365+K365+O365))),0)</f>
        <v>0</v>
      </c>
      <c r="T365" s="69" t="n">
        <f aca="false">Q365-R365-S365</f>
        <v>0</v>
      </c>
      <c r="U365" s="69" t="n">
        <f aca="false">IF(X364&gt;0.5,X364*(1+U$23)+U$24,0)</f>
        <v>0</v>
      </c>
      <c r="V365" s="69" t="n">
        <f aca="false">MIN(V$23,U365)</f>
        <v>0</v>
      </c>
      <c r="W365" s="69" t="n">
        <f aca="false">IF(AND(V$24=1,OR(U$25="",$C365&gt;=U$25)),MAX(0,MIN(U365-V365,$D365-(G365+K365+O365+S365))),0)</f>
        <v>0</v>
      </c>
      <c r="X365" s="69" t="n">
        <f aca="false">U365-V365-W365</f>
        <v>0</v>
      </c>
      <c r="Y365" s="69" t="n">
        <f aca="false">IF(AB364&gt;0.5,AB364*(1+Y$23)+Y$24,0)</f>
        <v>0</v>
      </c>
      <c r="Z365" s="69" t="n">
        <f aca="false">MIN(Z$23,Y365)</f>
        <v>0</v>
      </c>
      <c r="AA365" s="69" t="n">
        <f aca="false">IF(AND(Z$24=1,OR(Y$25="",$C365&gt;=Y$25)),MAX(0,MIN(Y365-Z365,$D365-(G365+K365+O365+S365+W365))),0)</f>
        <v>0</v>
      </c>
      <c r="AB365" s="69" t="n">
        <f aca="false">Y365-Z365-AA365</f>
        <v>0</v>
      </c>
      <c r="AC365" s="69" t="n">
        <f aca="false">IF(AF364&gt;0.5,AF364*(1+AC$23)+AC$24,0)</f>
        <v>0</v>
      </c>
      <c r="AD365" s="69" t="n">
        <f aca="false">MIN(AD$23,AC365)</f>
        <v>0</v>
      </c>
      <c r="AE365" s="69" t="n">
        <f aca="false">IF(AND(AD$24=1,OR(AC$25="",$C365&gt;=AC$25)),MAX(0,MIN(AC365-AD365,$D365-(G365+K365+O365+S365+W365+AA365))),0)</f>
        <v>0</v>
      </c>
      <c r="AF365" s="69" t="n">
        <f aca="false">AC365-AD365-AE365</f>
        <v>0</v>
      </c>
      <c r="AG365" s="69" t="n">
        <f aca="false">IF(AJ364&gt;0.5,AJ364*(1+AG$23)+AG$24,0)</f>
        <v>0</v>
      </c>
      <c r="AH365" s="69" t="n">
        <f aca="false">MIN(AH$23,AG365)</f>
        <v>0</v>
      </c>
      <c r="AI365" s="69" t="n">
        <f aca="false">IF(AND(AH$24=1,OR(AG$25="",$C365&gt;=AG$25)),MAX(0,MIN(AG365-AH365,$D365-(G365+K365+O365+S365+W365+AA365+AE365))),0)</f>
        <v>0</v>
      </c>
      <c r="AJ365" s="69" t="n">
        <f aca="false">AG365-AH365-AI365</f>
        <v>0</v>
      </c>
      <c r="AK365" s="69" t="n">
        <f aca="false">IF(AK364&gt;0.5,AK364*(1+$E$12)+$G$12-MIN($F$12,AK364*(1+$E$12)+$G$12),0)</f>
        <v>0</v>
      </c>
      <c r="AL365" s="69" t="n">
        <f aca="false">IF(AL364&gt;0.5,AL364*(1+$E$13)+$G$13-MIN($F$13,AL364*(1+$E$13)+$G$13),0)</f>
        <v>0</v>
      </c>
      <c r="AM365" s="69" t="n">
        <f aca="false">IF(AM364&gt;0.5,AM364*(1+$E$14)+$G$14-MIN($F$14,AM364*(1+$E$14)+$G$14),0)</f>
        <v>0</v>
      </c>
      <c r="AN365" s="69" t="n">
        <f aca="false">IF(AN364&gt;0.5,AN364*(1+$E$15)+$G$15-MIN($F$15,AN364*(1+$E$15)+$G$15),0)</f>
        <v>0</v>
      </c>
      <c r="AO365" s="69" t="n">
        <f aca="false">IF(AO364&gt;0.5,AO364*(1+$E$16)+$G$16-MIN($F$16,AO364*(1+$E$16)+$G$16),0)</f>
        <v>0</v>
      </c>
      <c r="AP365" s="69" t="n">
        <f aca="false">IF(AP364&gt;0.5,AP364*(1+$E$17)+$G$17-MIN($F$17,AP364*(1+$E$17)+$G$17),0)</f>
        <v>0</v>
      </c>
      <c r="AQ365" s="69" t="n">
        <f aca="false">IF(AQ364&gt;0.5,AQ364*(1+$E$18)+$G$18-MIN($F$18,AQ364*(1+$E$18)+$G$18),0)</f>
        <v>0</v>
      </c>
      <c r="AR365" s="69" t="n">
        <f aca="false">IF(AR364&gt;0.5,AR364*(1+$E$19)+$G$19-MIN($F$19,AR364*(1+$E$19)+$G$19),0)</f>
        <v>0</v>
      </c>
      <c r="AS365" s="69" t="n">
        <f aca="false">H365+L365+P365+T365+X365+AB365+AF365+AJ365</f>
        <v>0</v>
      </c>
      <c r="AT365" s="69" t="n">
        <f aca="false">SUM(AK365:AR365)</f>
        <v>0</v>
      </c>
      <c r="AU365" s="69" t="n">
        <f aca="false">F365+G365+J365+K365+N365+O365+R365+S365+V365+W365+Z365+AA365+AD365+AE365+AH365+AI365</f>
        <v>0</v>
      </c>
    </row>
    <row r="366" customFormat="false" ht="15" hidden="false" customHeight="false" outlineLevel="0" collapsed="false">
      <c r="B366" s="0" t="n">
        <v>339</v>
      </c>
      <c r="C366" s="68" t="n">
        <f aca="false">EDATE($C$7,338)</f>
        <v>56584</v>
      </c>
      <c r="D366" s="69" t="n">
        <f aca="false">$C$8-(F366+J366+N366+R366+V366+Z366+AD366+AH366)</f>
        <v>0</v>
      </c>
      <c r="E366" s="69" t="n">
        <f aca="false">IF(H365&gt;0.5,H365*(1+E$23)+E$24,0)</f>
        <v>0</v>
      </c>
      <c r="F366" s="69" t="n">
        <f aca="false">MIN(F$23,E366)</f>
        <v>0</v>
      </c>
      <c r="G366" s="69" t="n">
        <f aca="false">IF(AND(F$24=1,OR(E$25="",$C366&gt;=E$25)),MAX(0,MIN(E366-F366,$D366-(0))),0)</f>
        <v>0</v>
      </c>
      <c r="H366" s="69" t="n">
        <f aca="false">E366-F366-G366</f>
        <v>0</v>
      </c>
      <c r="I366" s="69" t="n">
        <f aca="false">IF(L365&gt;0.5,L365*(1+I$23)+I$24,0)</f>
        <v>0</v>
      </c>
      <c r="J366" s="69" t="n">
        <f aca="false">MIN(J$23,I366)</f>
        <v>0</v>
      </c>
      <c r="K366" s="69" t="n">
        <f aca="false">IF(AND(J$24=1,OR(I$25="",$C366&gt;=I$25)),MAX(0,MIN(I366-J366,$D366-(G366))),0)</f>
        <v>0</v>
      </c>
      <c r="L366" s="69" t="n">
        <f aca="false">I366-J366-K366</f>
        <v>0</v>
      </c>
      <c r="M366" s="69" t="n">
        <f aca="false">IF(P365&gt;0.5,P365*(1+M$23)+M$24,0)</f>
        <v>0</v>
      </c>
      <c r="N366" s="69" t="n">
        <f aca="false">MIN(N$23,M366)</f>
        <v>0</v>
      </c>
      <c r="O366" s="69" t="n">
        <f aca="false">IF(AND(N$24=1,OR(M$25="",$C366&gt;=M$25)),MAX(0,MIN(M366-N366,$D366-(G366+K366))),0)</f>
        <v>0</v>
      </c>
      <c r="P366" s="69" t="n">
        <f aca="false">M366-N366-O366</f>
        <v>0</v>
      </c>
      <c r="Q366" s="69" t="n">
        <f aca="false">IF(T365&gt;0.5,T365*(1+Q$23)+Q$24,0)</f>
        <v>0</v>
      </c>
      <c r="R366" s="69" t="n">
        <f aca="false">MIN(R$23,Q366)</f>
        <v>0</v>
      </c>
      <c r="S366" s="69" t="n">
        <f aca="false">IF(AND(R$24=1,OR(Q$25="",$C366&gt;=Q$25)),MAX(0,MIN(Q366-R366,$D366-(G366+K366+O366))),0)</f>
        <v>0</v>
      </c>
      <c r="T366" s="69" t="n">
        <f aca="false">Q366-R366-S366</f>
        <v>0</v>
      </c>
      <c r="U366" s="69" t="n">
        <f aca="false">IF(X365&gt;0.5,X365*(1+U$23)+U$24,0)</f>
        <v>0</v>
      </c>
      <c r="V366" s="69" t="n">
        <f aca="false">MIN(V$23,U366)</f>
        <v>0</v>
      </c>
      <c r="W366" s="69" t="n">
        <f aca="false">IF(AND(V$24=1,OR(U$25="",$C366&gt;=U$25)),MAX(0,MIN(U366-V366,$D366-(G366+K366+O366+S366))),0)</f>
        <v>0</v>
      </c>
      <c r="X366" s="69" t="n">
        <f aca="false">U366-V366-W366</f>
        <v>0</v>
      </c>
      <c r="Y366" s="69" t="n">
        <f aca="false">IF(AB365&gt;0.5,AB365*(1+Y$23)+Y$24,0)</f>
        <v>0</v>
      </c>
      <c r="Z366" s="69" t="n">
        <f aca="false">MIN(Z$23,Y366)</f>
        <v>0</v>
      </c>
      <c r="AA366" s="69" t="n">
        <f aca="false">IF(AND(Z$24=1,OR(Y$25="",$C366&gt;=Y$25)),MAX(0,MIN(Y366-Z366,$D366-(G366+K366+O366+S366+W366))),0)</f>
        <v>0</v>
      </c>
      <c r="AB366" s="69" t="n">
        <f aca="false">Y366-Z366-AA366</f>
        <v>0</v>
      </c>
      <c r="AC366" s="69" t="n">
        <f aca="false">IF(AF365&gt;0.5,AF365*(1+AC$23)+AC$24,0)</f>
        <v>0</v>
      </c>
      <c r="AD366" s="69" t="n">
        <f aca="false">MIN(AD$23,AC366)</f>
        <v>0</v>
      </c>
      <c r="AE366" s="69" t="n">
        <f aca="false">IF(AND(AD$24=1,OR(AC$25="",$C366&gt;=AC$25)),MAX(0,MIN(AC366-AD366,$D366-(G366+K366+O366+S366+W366+AA366))),0)</f>
        <v>0</v>
      </c>
      <c r="AF366" s="69" t="n">
        <f aca="false">AC366-AD366-AE366</f>
        <v>0</v>
      </c>
      <c r="AG366" s="69" t="n">
        <f aca="false">IF(AJ365&gt;0.5,AJ365*(1+AG$23)+AG$24,0)</f>
        <v>0</v>
      </c>
      <c r="AH366" s="69" t="n">
        <f aca="false">MIN(AH$23,AG366)</f>
        <v>0</v>
      </c>
      <c r="AI366" s="69" t="n">
        <f aca="false">IF(AND(AH$24=1,OR(AG$25="",$C366&gt;=AG$25)),MAX(0,MIN(AG366-AH366,$D366-(G366+K366+O366+S366+W366+AA366+AE366))),0)</f>
        <v>0</v>
      </c>
      <c r="AJ366" s="69" t="n">
        <f aca="false">AG366-AH366-AI366</f>
        <v>0</v>
      </c>
      <c r="AK366" s="69" t="n">
        <f aca="false">IF(AK365&gt;0.5,AK365*(1+$E$12)+$G$12-MIN($F$12,AK365*(1+$E$12)+$G$12),0)</f>
        <v>0</v>
      </c>
      <c r="AL366" s="69" t="n">
        <f aca="false">IF(AL365&gt;0.5,AL365*(1+$E$13)+$G$13-MIN($F$13,AL365*(1+$E$13)+$G$13),0)</f>
        <v>0</v>
      </c>
      <c r="AM366" s="69" t="n">
        <f aca="false">IF(AM365&gt;0.5,AM365*(1+$E$14)+$G$14-MIN($F$14,AM365*(1+$E$14)+$G$14),0)</f>
        <v>0</v>
      </c>
      <c r="AN366" s="69" t="n">
        <f aca="false">IF(AN365&gt;0.5,AN365*(1+$E$15)+$G$15-MIN($F$15,AN365*(1+$E$15)+$G$15),0)</f>
        <v>0</v>
      </c>
      <c r="AO366" s="69" t="n">
        <f aca="false">IF(AO365&gt;0.5,AO365*(1+$E$16)+$G$16-MIN($F$16,AO365*(1+$E$16)+$G$16),0)</f>
        <v>0</v>
      </c>
      <c r="AP366" s="69" t="n">
        <f aca="false">IF(AP365&gt;0.5,AP365*(1+$E$17)+$G$17-MIN($F$17,AP365*(1+$E$17)+$G$17),0)</f>
        <v>0</v>
      </c>
      <c r="AQ366" s="69" t="n">
        <f aca="false">IF(AQ365&gt;0.5,AQ365*(1+$E$18)+$G$18-MIN($F$18,AQ365*(1+$E$18)+$G$18),0)</f>
        <v>0</v>
      </c>
      <c r="AR366" s="69" t="n">
        <f aca="false">IF(AR365&gt;0.5,AR365*(1+$E$19)+$G$19-MIN($F$19,AR365*(1+$E$19)+$G$19),0)</f>
        <v>0</v>
      </c>
      <c r="AS366" s="69" t="n">
        <f aca="false">H366+L366+P366+T366+X366+AB366+AF366+AJ366</f>
        <v>0</v>
      </c>
      <c r="AT366" s="69" t="n">
        <f aca="false">SUM(AK366:AR366)</f>
        <v>0</v>
      </c>
      <c r="AU366" s="69" t="n">
        <f aca="false">F366+G366+J366+K366+N366+O366+R366+S366+V366+W366+Z366+AA366+AD366+AE366+AH366+AI366</f>
        <v>0</v>
      </c>
    </row>
    <row r="367" customFormat="false" ht="15" hidden="false" customHeight="false" outlineLevel="0" collapsed="false">
      <c r="B367" s="0" t="n">
        <v>340</v>
      </c>
      <c r="C367" s="68" t="n">
        <f aca="false">EDATE($C$7,339)</f>
        <v>56615</v>
      </c>
      <c r="D367" s="69" t="n">
        <f aca="false">$C$8-(F367+J367+N367+R367+V367+Z367+AD367+AH367)</f>
        <v>0</v>
      </c>
      <c r="E367" s="69" t="n">
        <f aca="false">IF(H366&gt;0.5,H366*(1+E$23)+E$24,0)</f>
        <v>0</v>
      </c>
      <c r="F367" s="69" t="n">
        <f aca="false">MIN(F$23,E367)</f>
        <v>0</v>
      </c>
      <c r="G367" s="69" t="n">
        <f aca="false">IF(AND(F$24=1,OR(E$25="",$C367&gt;=E$25)),MAX(0,MIN(E367-F367,$D367-(0))),0)</f>
        <v>0</v>
      </c>
      <c r="H367" s="69" t="n">
        <f aca="false">E367-F367-G367</f>
        <v>0</v>
      </c>
      <c r="I367" s="69" t="n">
        <f aca="false">IF(L366&gt;0.5,L366*(1+I$23)+I$24,0)</f>
        <v>0</v>
      </c>
      <c r="J367" s="69" t="n">
        <f aca="false">MIN(J$23,I367)</f>
        <v>0</v>
      </c>
      <c r="K367" s="69" t="n">
        <f aca="false">IF(AND(J$24=1,OR(I$25="",$C367&gt;=I$25)),MAX(0,MIN(I367-J367,$D367-(G367))),0)</f>
        <v>0</v>
      </c>
      <c r="L367" s="69" t="n">
        <f aca="false">I367-J367-K367</f>
        <v>0</v>
      </c>
      <c r="M367" s="69" t="n">
        <f aca="false">IF(P366&gt;0.5,P366*(1+M$23)+M$24,0)</f>
        <v>0</v>
      </c>
      <c r="N367" s="69" t="n">
        <f aca="false">MIN(N$23,M367)</f>
        <v>0</v>
      </c>
      <c r="O367" s="69" t="n">
        <f aca="false">IF(AND(N$24=1,OR(M$25="",$C367&gt;=M$25)),MAX(0,MIN(M367-N367,$D367-(G367+K367))),0)</f>
        <v>0</v>
      </c>
      <c r="P367" s="69" t="n">
        <f aca="false">M367-N367-O367</f>
        <v>0</v>
      </c>
      <c r="Q367" s="69" t="n">
        <f aca="false">IF(T366&gt;0.5,T366*(1+Q$23)+Q$24,0)</f>
        <v>0</v>
      </c>
      <c r="R367" s="69" t="n">
        <f aca="false">MIN(R$23,Q367)</f>
        <v>0</v>
      </c>
      <c r="S367" s="69" t="n">
        <f aca="false">IF(AND(R$24=1,OR(Q$25="",$C367&gt;=Q$25)),MAX(0,MIN(Q367-R367,$D367-(G367+K367+O367))),0)</f>
        <v>0</v>
      </c>
      <c r="T367" s="69" t="n">
        <f aca="false">Q367-R367-S367</f>
        <v>0</v>
      </c>
      <c r="U367" s="69" t="n">
        <f aca="false">IF(X366&gt;0.5,X366*(1+U$23)+U$24,0)</f>
        <v>0</v>
      </c>
      <c r="V367" s="69" t="n">
        <f aca="false">MIN(V$23,U367)</f>
        <v>0</v>
      </c>
      <c r="W367" s="69" t="n">
        <f aca="false">IF(AND(V$24=1,OR(U$25="",$C367&gt;=U$25)),MAX(0,MIN(U367-V367,$D367-(G367+K367+O367+S367))),0)</f>
        <v>0</v>
      </c>
      <c r="X367" s="69" t="n">
        <f aca="false">U367-V367-W367</f>
        <v>0</v>
      </c>
      <c r="Y367" s="69" t="n">
        <f aca="false">IF(AB366&gt;0.5,AB366*(1+Y$23)+Y$24,0)</f>
        <v>0</v>
      </c>
      <c r="Z367" s="69" t="n">
        <f aca="false">MIN(Z$23,Y367)</f>
        <v>0</v>
      </c>
      <c r="AA367" s="69" t="n">
        <f aca="false">IF(AND(Z$24=1,OR(Y$25="",$C367&gt;=Y$25)),MAX(0,MIN(Y367-Z367,$D367-(G367+K367+O367+S367+W367))),0)</f>
        <v>0</v>
      </c>
      <c r="AB367" s="69" t="n">
        <f aca="false">Y367-Z367-AA367</f>
        <v>0</v>
      </c>
      <c r="AC367" s="69" t="n">
        <f aca="false">IF(AF366&gt;0.5,AF366*(1+AC$23)+AC$24,0)</f>
        <v>0</v>
      </c>
      <c r="AD367" s="69" t="n">
        <f aca="false">MIN(AD$23,AC367)</f>
        <v>0</v>
      </c>
      <c r="AE367" s="69" t="n">
        <f aca="false">IF(AND(AD$24=1,OR(AC$25="",$C367&gt;=AC$25)),MAX(0,MIN(AC367-AD367,$D367-(G367+K367+O367+S367+W367+AA367))),0)</f>
        <v>0</v>
      </c>
      <c r="AF367" s="69" t="n">
        <f aca="false">AC367-AD367-AE367</f>
        <v>0</v>
      </c>
      <c r="AG367" s="69" t="n">
        <f aca="false">IF(AJ366&gt;0.5,AJ366*(1+AG$23)+AG$24,0)</f>
        <v>0</v>
      </c>
      <c r="AH367" s="69" t="n">
        <f aca="false">MIN(AH$23,AG367)</f>
        <v>0</v>
      </c>
      <c r="AI367" s="69" t="n">
        <f aca="false">IF(AND(AH$24=1,OR(AG$25="",$C367&gt;=AG$25)),MAX(0,MIN(AG367-AH367,$D367-(G367+K367+O367+S367+W367+AA367+AE367))),0)</f>
        <v>0</v>
      </c>
      <c r="AJ367" s="69" t="n">
        <f aca="false">AG367-AH367-AI367</f>
        <v>0</v>
      </c>
      <c r="AK367" s="69" t="n">
        <f aca="false">IF(AK366&gt;0.5,AK366*(1+$E$12)+$G$12-MIN($F$12,AK366*(1+$E$12)+$G$12),0)</f>
        <v>0</v>
      </c>
      <c r="AL367" s="69" t="n">
        <f aca="false">IF(AL366&gt;0.5,AL366*(1+$E$13)+$G$13-MIN($F$13,AL366*(1+$E$13)+$G$13),0)</f>
        <v>0</v>
      </c>
      <c r="AM367" s="69" t="n">
        <f aca="false">IF(AM366&gt;0.5,AM366*(1+$E$14)+$G$14-MIN($F$14,AM366*(1+$E$14)+$G$14),0)</f>
        <v>0</v>
      </c>
      <c r="AN367" s="69" t="n">
        <f aca="false">IF(AN366&gt;0.5,AN366*(1+$E$15)+$G$15-MIN($F$15,AN366*(1+$E$15)+$G$15),0)</f>
        <v>0</v>
      </c>
      <c r="AO367" s="69" t="n">
        <f aca="false">IF(AO366&gt;0.5,AO366*(1+$E$16)+$G$16-MIN($F$16,AO366*(1+$E$16)+$G$16),0)</f>
        <v>0</v>
      </c>
      <c r="AP367" s="69" t="n">
        <f aca="false">IF(AP366&gt;0.5,AP366*(1+$E$17)+$G$17-MIN($F$17,AP366*(1+$E$17)+$G$17),0)</f>
        <v>0</v>
      </c>
      <c r="AQ367" s="69" t="n">
        <f aca="false">IF(AQ366&gt;0.5,AQ366*(1+$E$18)+$G$18-MIN($F$18,AQ366*(1+$E$18)+$G$18),0)</f>
        <v>0</v>
      </c>
      <c r="AR367" s="69" t="n">
        <f aca="false">IF(AR366&gt;0.5,AR366*(1+$E$19)+$G$19-MIN($F$19,AR366*(1+$E$19)+$G$19),0)</f>
        <v>0</v>
      </c>
      <c r="AS367" s="69" t="n">
        <f aca="false">H367+L367+P367+T367+X367+AB367+AF367+AJ367</f>
        <v>0</v>
      </c>
      <c r="AT367" s="69" t="n">
        <f aca="false">SUM(AK367:AR367)</f>
        <v>0</v>
      </c>
      <c r="AU367" s="69" t="n">
        <f aca="false">F367+G367+J367+K367+N367+O367+R367+S367+V367+W367+Z367+AA367+AD367+AE367+AH367+AI367</f>
        <v>0</v>
      </c>
    </row>
    <row r="368" customFormat="false" ht="15" hidden="false" customHeight="false" outlineLevel="0" collapsed="false">
      <c r="B368" s="0" t="n">
        <v>341</v>
      </c>
      <c r="C368" s="68" t="n">
        <f aca="false">EDATE($C$7,340)</f>
        <v>56646</v>
      </c>
      <c r="D368" s="69" t="n">
        <f aca="false">$C$8-(F368+J368+N368+R368+V368+Z368+AD368+AH368)</f>
        <v>0</v>
      </c>
      <c r="E368" s="69" t="n">
        <f aca="false">IF(H367&gt;0.5,H367*(1+E$23)+E$24,0)</f>
        <v>0</v>
      </c>
      <c r="F368" s="69" t="n">
        <f aca="false">MIN(F$23,E368)</f>
        <v>0</v>
      </c>
      <c r="G368" s="69" t="n">
        <f aca="false">IF(AND(F$24=1,OR(E$25="",$C368&gt;=E$25)),MAX(0,MIN(E368-F368,$D368-(0))),0)</f>
        <v>0</v>
      </c>
      <c r="H368" s="69" t="n">
        <f aca="false">E368-F368-G368</f>
        <v>0</v>
      </c>
      <c r="I368" s="69" t="n">
        <f aca="false">IF(L367&gt;0.5,L367*(1+I$23)+I$24,0)</f>
        <v>0</v>
      </c>
      <c r="J368" s="69" t="n">
        <f aca="false">MIN(J$23,I368)</f>
        <v>0</v>
      </c>
      <c r="K368" s="69" t="n">
        <f aca="false">IF(AND(J$24=1,OR(I$25="",$C368&gt;=I$25)),MAX(0,MIN(I368-J368,$D368-(G368))),0)</f>
        <v>0</v>
      </c>
      <c r="L368" s="69" t="n">
        <f aca="false">I368-J368-K368</f>
        <v>0</v>
      </c>
      <c r="M368" s="69" t="n">
        <f aca="false">IF(P367&gt;0.5,P367*(1+M$23)+M$24,0)</f>
        <v>0</v>
      </c>
      <c r="N368" s="69" t="n">
        <f aca="false">MIN(N$23,M368)</f>
        <v>0</v>
      </c>
      <c r="O368" s="69" t="n">
        <f aca="false">IF(AND(N$24=1,OR(M$25="",$C368&gt;=M$25)),MAX(0,MIN(M368-N368,$D368-(G368+K368))),0)</f>
        <v>0</v>
      </c>
      <c r="P368" s="69" t="n">
        <f aca="false">M368-N368-O368</f>
        <v>0</v>
      </c>
      <c r="Q368" s="69" t="n">
        <f aca="false">IF(T367&gt;0.5,T367*(1+Q$23)+Q$24,0)</f>
        <v>0</v>
      </c>
      <c r="R368" s="69" t="n">
        <f aca="false">MIN(R$23,Q368)</f>
        <v>0</v>
      </c>
      <c r="S368" s="69" t="n">
        <f aca="false">IF(AND(R$24=1,OR(Q$25="",$C368&gt;=Q$25)),MAX(0,MIN(Q368-R368,$D368-(G368+K368+O368))),0)</f>
        <v>0</v>
      </c>
      <c r="T368" s="69" t="n">
        <f aca="false">Q368-R368-S368</f>
        <v>0</v>
      </c>
      <c r="U368" s="69" t="n">
        <f aca="false">IF(X367&gt;0.5,X367*(1+U$23)+U$24,0)</f>
        <v>0</v>
      </c>
      <c r="V368" s="69" t="n">
        <f aca="false">MIN(V$23,U368)</f>
        <v>0</v>
      </c>
      <c r="W368" s="69" t="n">
        <f aca="false">IF(AND(V$24=1,OR(U$25="",$C368&gt;=U$25)),MAX(0,MIN(U368-V368,$D368-(G368+K368+O368+S368))),0)</f>
        <v>0</v>
      </c>
      <c r="X368" s="69" t="n">
        <f aca="false">U368-V368-W368</f>
        <v>0</v>
      </c>
      <c r="Y368" s="69" t="n">
        <f aca="false">IF(AB367&gt;0.5,AB367*(1+Y$23)+Y$24,0)</f>
        <v>0</v>
      </c>
      <c r="Z368" s="69" t="n">
        <f aca="false">MIN(Z$23,Y368)</f>
        <v>0</v>
      </c>
      <c r="AA368" s="69" t="n">
        <f aca="false">IF(AND(Z$24=1,OR(Y$25="",$C368&gt;=Y$25)),MAX(0,MIN(Y368-Z368,$D368-(G368+K368+O368+S368+W368))),0)</f>
        <v>0</v>
      </c>
      <c r="AB368" s="69" t="n">
        <f aca="false">Y368-Z368-AA368</f>
        <v>0</v>
      </c>
      <c r="AC368" s="69" t="n">
        <f aca="false">IF(AF367&gt;0.5,AF367*(1+AC$23)+AC$24,0)</f>
        <v>0</v>
      </c>
      <c r="AD368" s="69" t="n">
        <f aca="false">MIN(AD$23,AC368)</f>
        <v>0</v>
      </c>
      <c r="AE368" s="69" t="n">
        <f aca="false">IF(AND(AD$24=1,OR(AC$25="",$C368&gt;=AC$25)),MAX(0,MIN(AC368-AD368,$D368-(G368+K368+O368+S368+W368+AA368))),0)</f>
        <v>0</v>
      </c>
      <c r="AF368" s="69" t="n">
        <f aca="false">AC368-AD368-AE368</f>
        <v>0</v>
      </c>
      <c r="AG368" s="69" t="n">
        <f aca="false">IF(AJ367&gt;0.5,AJ367*(1+AG$23)+AG$24,0)</f>
        <v>0</v>
      </c>
      <c r="AH368" s="69" t="n">
        <f aca="false">MIN(AH$23,AG368)</f>
        <v>0</v>
      </c>
      <c r="AI368" s="69" t="n">
        <f aca="false">IF(AND(AH$24=1,OR(AG$25="",$C368&gt;=AG$25)),MAX(0,MIN(AG368-AH368,$D368-(G368+K368+O368+S368+W368+AA368+AE368))),0)</f>
        <v>0</v>
      </c>
      <c r="AJ368" s="69" t="n">
        <f aca="false">AG368-AH368-AI368</f>
        <v>0</v>
      </c>
      <c r="AK368" s="69" t="n">
        <f aca="false">IF(AK367&gt;0.5,AK367*(1+$E$12)+$G$12-MIN($F$12,AK367*(1+$E$12)+$G$12),0)</f>
        <v>0</v>
      </c>
      <c r="AL368" s="69" t="n">
        <f aca="false">IF(AL367&gt;0.5,AL367*(1+$E$13)+$G$13-MIN($F$13,AL367*(1+$E$13)+$G$13),0)</f>
        <v>0</v>
      </c>
      <c r="AM368" s="69" t="n">
        <f aca="false">IF(AM367&gt;0.5,AM367*(1+$E$14)+$G$14-MIN($F$14,AM367*(1+$E$14)+$G$14),0)</f>
        <v>0</v>
      </c>
      <c r="AN368" s="69" t="n">
        <f aca="false">IF(AN367&gt;0.5,AN367*(1+$E$15)+$G$15-MIN($F$15,AN367*(1+$E$15)+$G$15),0)</f>
        <v>0</v>
      </c>
      <c r="AO368" s="69" t="n">
        <f aca="false">IF(AO367&gt;0.5,AO367*(1+$E$16)+$G$16-MIN($F$16,AO367*(1+$E$16)+$G$16),0)</f>
        <v>0</v>
      </c>
      <c r="AP368" s="69" t="n">
        <f aca="false">IF(AP367&gt;0.5,AP367*(1+$E$17)+$G$17-MIN($F$17,AP367*(1+$E$17)+$G$17),0)</f>
        <v>0</v>
      </c>
      <c r="AQ368" s="69" t="n">
        <f aca="false">IF(AQ367&gt;0.5,AQ367*(1+$E$18)+$G$18-MIN($F$18,AQ367*(1+$E$18)+$G$18),0)</f>
        <v>0</v>
      </c>
      <c r="AR368" s="69" t="n">
        <f aca="false">IF(AR367&gt;0.5,AR367*(1+$E$19)+$G$19-MIN($F$19,AR367*(1+$E$19)+$G$19),0)</f>
        <v>0</v>
      </c>
      <c r="AS368" s="69" t="n">
        <f aca="false">H368+L368+P368+T368+X368+AB368+AF368+AJ368</f>
        <v>0</v>
      </c>
      <c r="AT368" s="69" t="n">
        <f aca="false">SUM(AK368:AR368)</f>
        <v>0</v>
      </c>
      <c r="AU368" s="69" t="n">
        <f aca="false">F368+G368+J368+K368+N368+O368+R368+S368+V368+W368+Z368+AA368+AD368+AE368+AH368+AI368</f>
        <v>0</v>
      </c>
    </row>
    <row r="369" customFormat="false" ht="15" hidden="false" customHeight="false" outlineLevel="0" collapsed="false">
      <c r="B369" s="0" t="n">
        <v>342</v>
      </c>
      <c r="C369" s="68" t="n">
        <f aca="false">EDATE($C$7,341)</f>
        <v>56674</v>
      </c>
      <c r="D369" s="69" t="n">
        <f aca="false">$C$8-(F369+J369+N369+R369+V369+Z369+AD369+AH369)</f>
        <v>0</v>
      </c>
      <c r="E369" s="69" t="n">
        <f aca="false">IF(H368&gt;0.5,H368*(1+E$23)+E$24,0)</f>
        <v>0</v>
      </c>
      <c r="F369" s="69" t="n">
        <f aca="false">MIN(F$23,E369)</f>
        <v>0</v>
      </c>
      <c r="G369" s="69" t="n">
        <f aca="false">IF(AND(F$24=1,OR(E$25="",$C369&gt;=E$25)),MAX(0,MIN(E369-F369,$D369-(0))),0)</f>
        <v>0</v>
      </c>
      <c r="H369" s="69" t="n">
        <f aca="false">E369-F369-G369</f>
        <v>0</v>
      </c>
      <c r="I369" s="69" t="n">
        <f aca="false">IF(L368&gt;0.5,L368*(1+I$23)+I$24,0)</f>
        <v>0</v>
      </c>
      <c r="J369" s="69" t="n">
        <f aca="false">MIN(J$23,I369)</f>
        <v>0</v>
      </c>
      <c r="K369" s="69" t="n">
        <f aca="false">IF(AND(J$24=1,OR(I$25="",$C369&gt;=I$25)),MAX(0,MIN(I369-J369,$D369-(G369))),0)</f>
        <v>0</v>
      </c>
      <c r="L369" s="69" t="n">
        <f aca="false">I369-J369-K369</f>
        <v>0</v>
      </c>
      <c r="M369" s="69" t="n">
        <f aca="false">IF(P368&gt;0.5,P368*(1+M$23)+M$24,0)</f>
        <v>0</v>
      </c>
      <c r="N369" s="69" t="n">
        <f aca="false">MIN(N$23,M369)</f>
        <v>0</v>
      </c>
      <c r="O369" s="69" t="n">
        <f aca="false">IF(AND(N$24=1,OR(M$25="",$C369&gt;=M$25)),MAX(0,MIN(M369-N369,$D369-(G369+K369))),0)</f>
        <v>0</v>
      </c>
      <c r="P369" s="69" t="n">
        <f aca="false">M369-N369-O369</f>
        <v>0</v>
      </c>
      <c r="Q369" s="69" t="n">
        <f aca="false">IF(T368&gt;0.5,T368*(1+Q$23)+Q$24,0)</f>
        <v>0</v>
      </c>
      <c r="R369" s="69" t="n">
        <f aca="false">MIN(R$23,Q369)</f>
        <v>0</v>
      </c>
      <c r="S369" s="69" t="n">
        <f aca="false">IF(AND(R$24=1,OR(Q$25="",$C369&gt;=Q$25)),MAX(0,MIN(Q369-R369,$D369-(G369+K369+O369))),0)</f>
        <v>0</v>
      </c>
      <c r="T369" s="69" t="n">
        <f aca="false">Q369-R369-S369</f>
        <v>0</v>
      </c>
      <c r="U369" s="69" t="n">
        <f aca="false">IF(X368&gt;0.5,X368*(1+U$23)+U$24,0)</f>
        <v>0</v>
      </c>
      <c r="V369" s="69" t="n">
        <f aca="false">MIN(V$23,U369)</f>
        <v>0</v>
      </c>
      <c r="W369" s="69" t="n">
        <f aca="false">IF(AND(V$24=1,OR(U$25="",$C369&gt;=U$25)),MAX(0,MIN(U369-V369,$D369-(G369+K369+O369+S369))),0)</f>
        <v>0</v>
      </c>
      <c r="X369" s="69" t="n">
        <f aca="false">U369-V369-W369</f>
        <v>0</v>
      </c>
      <c r="Y369" s="69" t="n">
        <f aca="false">IF(AB368&gt;0.5,AB368*(1+Y$23)+Y$24,0)</f>
        <v>0</v>
      </c>
      <c r="Z369" s="69" t="n">
        <f aca="false">MIN(Z$23,Y369)</f>
        <v>0</v>
      </c>
      <c r="AA369" s="69" t="n">
        <f aca="false">IF(AND(Z$24=1,OR(Y$25="",$C369&gt;=Y$25)),MAX(0,MIN(Y369-Z369,$D369-(G369+K369+O369+S369+W369))),0)</f>
        <v>0</v>
      </c>
      <c r="AB369" s="69" t="n">
        <f aca="false">Y369-Z369-AA369</f>
        <v>0</v>
      </c>
      <c r="AC369" s="69" t="n">
        <f aca="false">IF(AF368&gt;0.5,AF368*(1+AC$23)+AC$24,0)</f>
        <v>0</v>
      </c>
      <c r="AD369" s="69" t="n">
        <f aca="false">MIN(AD$23,AC369)</f>
        <v>0</v>
      </c>
      <c r="AE369" s="69" t="n">
        <f aca="false">IF(AND(AD$24=1,OR(AC$25="",$C369&gt;=AC$25)),MAX(0,MIN(AC369-AD369,$D369-(G369+K369+O369+S369+W369+AA369))),0)</f>
        <v>0</v>
      </c>
      <c r="AF369" s="69" t="n">
        <f aca="false">AC369-AD369-AE369</f>
        <v>0</v>
      </c>
      <c r="AG369" s="69" t="n">
        <f aca="false">IF(AJ368&gt;0.5,AJ368*(1+AG$23)+AG$24,0)</f>
        <v>0</v>
      </c>
      <c r="AH369" s="69" t="n">
        <f aca="false">MIN(AH$23,AG369)</f>
        <v>0</v>
      </c>
      <c r="AI369" s="69" t="n">
        <f aca="false">IF(AND(AH$24=1,OR(AG$25="",$C369&gt;=AG$25)),MAX(0,MIN(AG369-AH369,$D369-(G369+K369+O369+S369+W369+AA369+AE369))),0)</f>
        <v>0</v>
      </c>
      <c r="AJ369" s="69" t="n">
        <f aca="false">AG369-AH369-AI369</f>
        <v>0</v>
      </c>
      <c r="AK369" s="69" t="n">
        <f aca="false">IF(AK368&gt;0.5,AK368*(1+$E$12)+$G$12-MIN($F$12,AK368*(1+$E$12)+$G$12),0)</f>
        <v>0</v>
      </c>
      <c r="AL369" s="69" t="n">
        <f aca="false">IF(AL368&gt;0.5,AL368*(1+$E$13)+$G$13-MIN($F$13,AL368*(1+$E$13)+$G$13),0)</f>
        <v>0</v>
      </c>
      <c r="AM369" s="69" t="n">
        <f aca="false">IF(AM368&gt;0.5,AM368*(1+$E$14)+$G$14-MIN($F$14,AM368*(1+$E$14)+$G$14),0)</f>
        <v>0</v>
      </c>
      <c r="AN369" s="69" t="n">
        <f aca="false">IF(AN368&gt;0.5,AN368*(1+$E$15)+$G$15-MIN($F$15,AN368*(1+$E$15)+$G$15),0)</f>
        <v>0</v>
      </c>
      <c r="AO369" s="69" t="n">
        <f aca="false">IF(AO368&gt;0.5,AO368*(1+$E$16)+$G$16-MIN($F$16,AO368*(1+$E$16)+$G$16),0)</f>
        <v>0</v>
      </c>
      <c r="AP369" s="69" t="n">
        <f aca="false">IF(AP368&gt;0.5,AP368*(1+$E$17)+$G$17-MIN($F$17,AP368*(1+$E$17)+$G$17),0)</f>
        <v>0</v>
      </c>
      <c r="AQ369" s="69" t="n">
        <f aca="false">IF(AQ368&gt;0.5,AQ368*(1+$E$18)+$G$18-MIN($F$18,AQ368*(1+$E$18)+$G$18),0)</f>
        <v>0</v>
      </c>
      <c r="AR369" s="69" t="n">
        <f aca="false">IF(AR368&gt;0.5,AR368*(1+$E$19)+$G$19-MIN($F$19,AR368*(1+$E$19)+$G$19),0)</f>
        <v>0</v>
      </c>
      <c r="AS369" s="69" t="n">
        <f aca="false">H369+L369+P369+T369+X369+AB369+AF369+AJ369</f>
        <v>0</v>
      </c>
      <c r="AT369" s="69" t="n">
        <f aca="false">SUM(AK369:AR369)</f>
        <v>0</v>
      </c>
      <c r="AU369" s="69" t="n">
        <f aca="false">F369+G369+J369+K369+N369+O369+R369+S369+V369+W369+Z369+AA369+AD369+AE369+AH369+AI369</f>
        <v>0</v>
      </c>
    </row>
    <row r="370" customFormat="false" ht="15" hidden="false" customHeight="false" outlineLevel="0" collapsed="false">
      <c r="B370" s="0" t="n">
        <v>343</v>
      </c>
      <c r="C370" s="68" t="n">
        <f aca="false">EDATE($C$7,342)</f>
        <v>56705</v>
      </c>
      <c r="D370" s="69" t="n">
        <f aca="false">$C$8-(F370+J370+N370+R370+V370+Z370+AD370+AH370)</f>
        <v>0</v>
      </c>
      <c r="E370" s="69" t="n">
        <f aca="false">IF(H369&gt;0.5,H369*(1+E$23)+E$24,0)</f>
        <v>0</v>
      </c>
      <c r="F370" s="69" t="n">
        <f aca="false">MIN(F$23,E370)</f>
        <v>0</v>
      </c>
      <c r="G370" s="69" t="n">
        <f aca="false">IF(AND(F$24=1,OR(E$25="",$C370&gt;=E$25)),MAX(0,MIN(E370-F370,$D370-(0))),0)</f>
        <v>0</v>
      </c>
      <c r="H370" s="69" t="n">
        <f aca="false">E370-F370-G370</f>
        <v>0</v>
      </c>
      <c r="I370" s="69" t="n">
        <f aca="false">IF(L369&gt;0.5,L369*(1+I$23)+I$24,0)</f>
        <v>0</v>
      </c>
      <c r="J370" s="69" t="n">
        <f aca="false">MIN(J$23,I370)</f>
        <v>0</v>
      </c>
      <c r="K370" s="69" t="n">
        <f aca="false">IF(AND(J$24=1,OR(I$25="",$C370&gt;=I$25)),MAX(0,MIN(I370-J370,$D370-(G370))),0)</f>
        <v>0</v>
      </c>
      <c r="L370" s="69" t="n">
        <f aca="false">I370-J370-K370</f>
        <v>0</v>
      </c>
      <c r="M370" s="69" t="n">
        <f aca="false">IF(P369&gt;0.5,P369*(1+M$23)+M$24,0)</f>
        <v>0</v>
      </c>
      <c r="N370" s="69" t="n">
        <f aca="false">MIN(N$23,M370)</f>
        <v>0</v>
      </c>
      <c r="O370" s="69" t="n">
        <f aca="false">IF(AND(N$24=1,OR(M$25="",$C370&gt;=M$25)),MAX(0,MIN(M370-N370,$D370-(G370+K370))),0)</f>
        <v>0</v>
      </c>
      <c r="P370" s="69" t="n">
        <f aca="false">M370-N370-O370</f>
        <v>0</v>
      </c>
      <c r="Q370" s="69" t="n">
        <f aca="false">IF(T369&gt;0.5,T369*(1+Q$23)+Q$24,0)</f>
        <v>0</v>
      </c>
      <c r="R370" s="69" t="n">
        <f aca="false">MIN(R$23,Q370)</f>
        <v>0</v>
      </c>
      <c r="S370" s="69" t="n">
        <f aca="false">IF(AND(R$24=1,OR(Q$25="",$C370&gt;=Q$25)),MAX(0,MIN(Q370-R370,$D370-(G370+K370+O370))),0)</f>
        <v>0</v>
      </c>
      <c r="T370" s="69" t="n">
        <f aca="false">Q370-R370-S370</f>
        <v>0</v>
      </c>
      <c r="U370" s="69" t="n">
        <f aca="false">IF(X369&gt;0.5,X369*(1+U$23)+U$24,0)</f>
        <v>0</v>
      </c>
      <c r="V370" s="69" t="n">
        <f aca="false">MIN(V$23,U370)</f>
        <v>0</v>
      </c>
      <c r="W370" s="69" t="n">
        <f aca="false">IF(AND(V$24=1,OR(U$25="",$C370&gt;=U$25)),MAX(0,MIN(U370-V370,$D370-(G370+K370+O370+S370))),0)</f>
        <v>0</v>
      </c>
      <c r="X370" s="69" t="n">
        <f aca="false">U370-V370-W370</f>
        <v>0</v>
      </c>
      <c r="Y370" s="69" t="n">
        <f aca="false">IF(AB369&gt;0.5,AB369*(1+Y$23)+Y$24,0)</f>
        <v>0</v>
      </c>
      <c r="Z370" s="69" t="n">
        <f aca="false">MIN(Z$23,Y370)</f>
        <v>0</v>
      </c>
      <c r="AA370" s="69" t="n">
        <f aca="false">IF(AND(Z$24=1,OR(Y$25="",$C370&gt;=Y$25)),MAX(0,MIN(Y370-Z370,$D370-(G370+K370+O370+S370+W370))),0)</f>
        <v>0</v>
      </c>
      <c r="AB370" s="69" t="n">
        <f aca="false">Y370-Z370-AA370</f>
        <v>0</v>
      </c>
      <c r="AC370" s="69" t="n">
        <f aca="false">IF(AF369&gt;0.5,AF369*(1+AC$23)+AC$24,0)</f>
        <v>0</v>
      </c>
      <c r="AD370" s="69" t="n">
        <f aca="false">MIN(AD$23,AC370)</f>
        <v>0</v>
      </c>
      <c r="AE370" s="69" t="n">
        <f aca="false">IF(AND(AD$24=1,OR(AC$25="",$C370&gt;=AC$25)),MAX(0,MIN(AC370-AD370,$D370-(G370+K370+O370+S370+W370+AA370))),0)</f>
        <v>0</v>
      </c>
      <c r="AF370" s="69" t="n">
        <f aca="false">AC370-AD370-AE370</f>
        <v>0</v>
      </c>
      <c r="AG370" s="69" t="n">
        <f aca="false">IF(AJ369&gt;0.5,AJ369*(1+AG$23)+AG$24,0)</f>
        <v>0</v>
      </c>
      <c r="AH370" s="69" t="n">
        <f aca="false">MIN(AH$23,AG370)</f>
        <v>0</v>
      </c>
      <c r="AI370" s="69" t="n">
        <f aca="false">IF(AND(AH$24=1,OR(AG$25="",$C370&gt;=AG$25)),MAX(0,MIN(AG370-AH370,$D370-(G370+K370+O370+S370+W370+AA370+AE370))),0)</f>
        <v>0</v>
      </c>
      <c r="AJ370" s="69" t="n">
        <f aca="false">AG370-AH370-AI370</f>
        <v>0</v>
      </c>
      <c r="AK370" s="69" t="n">
        <f aca="false">IF(AK369&gt;0.5,AK369*(1+$E$12)+$G$12-MIN($F$12,AK369*(1+$E$12)+$G$12),0)</f>
        <v>0</v>
      </c>
      <c r="AL370" s="69" t="n">
        <f aca="false">IF(AL369&gt;0.5,AL369*(1+$E$13)+$G$13-MIN($F$13,AL369*(1+$E$13)+$G$13),0)</f>
        <v>0</v>
      </c>
      <c r="AM370" s="69" t="n">
        <f aca="false">IF(AM369&gt;0.5,AM369*(1+$E$14)+$G$14-MIN($F$14,AM369*(1+$E$14)+$G$14),0)</f>
        <v>0</v>
      </c>
      <c r="AN370" s="69" t="n">
        <f aca="false">IF(AN369&gt;0.5,AN369*(1+$E$15)+$G$15-MIN($F$15,AN369*(1+$E$15)+$G$15),0)</f>
        <v>0</v>
      </c>
      <c r="AO370" s="69" t="n">
        <f aca="false">IF(AO369&gt;0.5,AO369*(1+$E$16)+$G$16-MIN($F$16,AO369*(1+$E$16)+$G$16),0)</f>
        <v>0</v>
      </c>
      <c r="AP370" s="69" t="n">
        <f aca="false">IF(AP369&gt;0.5,AP369*(1+$E$17)+$G$17-MIN($F$17,AP369*(1+$E$17)+$G$17),0)</f>
        <v>0</v>
      </c>
      <c r="AQ370" s="69" t="n">
        <f aca="false">IF(AQ369&gt;0.5,AQ369*(1+$E$18)+$G$18-MIN($F$18,AQ369*(1+$E$18)+$G$18),0)</f>
        <v>0</v>
      </c>
      <c r="AR370" s="69" t="n">
        <f aca="false">IF(AR369&gt;0.5,AR369*(1+$E$19)+$G$19-MIN($F$19,AR369*(1+$E$19)+$G$19),0)</f>
        <v>0</v>
      </c>
      <c r="AS370" s="69" t="n">
        <f aca="false">H370+L370+P370+T370+X370+AB370+AF370+AJ370</f>
        <v>0</v>
      </c>
      <c r="AT370" s="69" t="n">
        <f aca="false">SUM(AK370:AR370)</f>
        <v>0</v>
      </c>
      <c r="AU370" s="69" t="n">
        <f aca="false">F370+G370+J370+K370+N370+O370+R370+S370+V370+W370+Z370+AA370+AD370+AE370+AH370+AI370</f>
        <v>0</v>
      </c>
    </row>
    <row r="371" customFormat="false" ht="15" hidden="false" customHeight="false" outlineLevel="0" collapsed="false">
      <c r="B371" s="0" t="n">
        <v>344</v>
      </c>
      <c r="C371" s="68" t="n">
        <f aca="false">EDATE($C$7,343)</f>
        <v>56735</v>
      </c>
      <c r="D371" s="69" t="n">
        <f aca="false">$C$8-(F371+J371+N371+R371+V371+Z371+AD371+AH371)</f>
        <v>0</v>
      </c>
      <c r="E371" s="69" t="n">
        <f aca="false">IF(H370&gt;0.5,H370*(1+E$23)+E$24,0)</f>
        <v>0</v>
      </c>
      <c r="F371" s="69" t="n">
        <f aca="false">MIN(F$23,E371)</f>
        <v>0</v>
      </c>
      <c r="G371" s="69" t="n">
        <f aca="false">IF(AND(F$24=1,OR(E$25="",$C371&gt;=E$25)),MAX(0,MIN(E371-F371,$D371-(0))),0)</f>
        <v>0</v>
      </c>
      <c r="H371" s="69" t="n">
        <f aca="false">E371-F371-G371</f>
        <v>0</v>
      </c>
      <c r="I371" s="69" t="n">
        <f aca="false">IF(L370&gt;0.5,L370*(1+I$23)+I$24,0)</f>
        <v>0</v>
      </c>
      <c r="J371" s="69" t="n">
        <f aca="false">MIN(J$23,I371)</f>
        <v>0</v>
      </c>
      <c r="K371" s="69" t="n">
        <f aca="false">IF(AND(J$24=1,OR(I$25="",$C371&gt;=I$25)),MAX(0,MIN(I371-J371,$D371-(G371))),0)</f>
        <v>0</v>
      </c>
      <c r="L371" s="69" t="n">
        <f aca="false">I371-J371-K371</f>
        <v>0</v>
      </c>
      <c r="M371" s="69" t="n">
        <f aca="false">IF(P370&gt;0.5,P370*(1+M$23)+M$24,0)</f>
        <v>0</v>
      </c>
      <c r="N371" s="69" t="n">
        <f aca="false">MIN(N$23,M371)</f>
        <v>0</v>
      </c>
      <c r="O371" s="69" t="n">
        <f aca="false">IF(AND(N$24=1,OR(M$25="",$C371&gt;=M$25)),MAX(0,MIN(M371-N371,$D371-(G371+K371))),0)</f>
        <v>0</v>
      </c>
      <c r="P371" s="69" t="n">
        <f aca="false">M371-N371-O371</f>
        <v>0</v>
      </c>
      <c r="Q371" s="69" t="n">
        <f aca="false">IF(T370&gt;0.5,T370*(1+Q$23)+Q$24,0)</f>
        <v>0</v>
      </c>
      <c r="R371" s="69" t="n">
        <f aca="false">MIN(R$23,Q371)</f>
        <v>0</v>
      </c>
      <c r="S371" s="69" t="n">
        <f aca="false">IF(AND(R$24=1,OR(Q$25="",$C371&gt;=Q$25)),MAX(0,MIN(Q371-R371,$D371-(G371+K371+O371))),0)</f>
        <v>0</v>
      </c>
      <c r="T371" s="69" t="n">
        <f aca="false">Q371-R371-S371</f>
        <v>0</v>
      </c>
      <c r="U371" s="69" t="n">
        <f aca="false">IF(X370&gt;0.5,X370*(1+U$23)+U$24,0)</f>
        <v>0</v>
      </c>
      <c r="V371" s="69" t="n">
        <f aca="false">MIN(V$23,U371)</f>
        <v>0</v>
      </c>
      <c r="W371" s="69" t="n">
        <f aca="false">IF(AND(V$24=1,OR(U$25="",$C371&gt;=U$25)),MAX(0,MIN(U371-V371,$D371-(G371+K371+O371+S371))),0)</f>
        <v>0</v>
      </c>
      <c r="X371" s="69" t="n">
        <f aca="false">U371-V371-W371</f>
        <v>0</v>
      </c>
      <c r="Y371" s="69" t="n">
        <f aca="false">IF(AB370&gt;0.5,AB370*(1+Y$23)+Y$24,0)</f>
        <v>0</v>
      </c>
      <c r="Z371" s="69" t="n">
        <f aca="false">MIN(Z$23,Y371)</f>
        <v>0</v>
      </c>
      <c r="AA371" s="69" t="n">
        <f aca="false">IF(AND(Z$24=1,OR(Y$25="",$C371&gt;=Y$25)),MAX(0,MIN(Y371-Z371,$D371-(G371+K371+O371+S371+W371))),0)</f>
        <v>0</v>
      </c>
      <c r="AB371" s="69" t="n">
        <f aca="false">Y371-Z371-AA371</f>
        <v>0</v>
      </c>
      <c r="AC371" s="69" t="n">
        <f aca="false">IF(AF370&gt;0.5,AF370*(1+AC$23)+AC$24,0)</f>
        <v>0</v>
      </c>
      <c r="AD371" s="69" t="n">
        <f aca="false">MIN(AD$23,AC371)</f>
        <v>0</v>
      </c>
      <c r="AE371" s="69" t="n">
        <f aca="false">IF(AND(AD$24=1,OR(AC$25="",$C371&gt;=AC$25)),MAX(0,MIN(AC371-AD371,$D371-(G371+K371+O371+S371+W371+AA371))),0)</f>
        <v>0</v>
      </c>
      <c r="AF371" s="69" t="n">
        <f aca="false">AC371-AD371-AE371</f>
        <v>0</v>
      </c>
      <c r="AG371" s="69" t="n">
        <f aca="false">IF(AJ370&gt;0.5,AJ370*(1+AG$23)+AG$24,0)</f>
        <v>0</v>
      </c>
      <c r="AH371" s="69" t="n">
        <f aca="false">MIN(AH$23,AG371)</f>
        <v>0</v>
      </c>
      <c r="AI371" s="69" t="n">
        <f aca="false">IF(AND(AH$24=1,OR(AG$25="",$C371&gt;=AG$25)),MAX(0,MIN(AG371-AH371,$D371-(G371+K371+O371+S371+W371+AA371+AE371))),0)</f>
        <v>0</v>
      </c>
      <c r="AJ371" s="69" t="n">
        <f aca="false">AG371-AH371-AI371</f>
        <v>0</v>
      </c>
      <c r="AK371" s="69" t="n">
        <f aca="false">IF(AK370&gt;0.5,AK370*(1+$E$12)+$G$12-MIN($F$12,AK370*(1+$E$12)+$G$12),0)</f>
        <v>0</v>
      </c>
      <c r="AL371" s="69" t="n">
        <f aca="false">IF(AL370&gt;0.5,AL370*(1+$E$13)+$G$13-MIN($F$13,AL370*(1+$E$13)+$G$13),0)</f>
        <v>0</v>
      </c>
      <c r="AM371" s="69" t="n">
        <f aca="false">IF(AM370&gt;0.5,AM370*(1+$E$14)+$G$14-MIN($F$14,AM370*(1+$E$14)+$G$14),0)</f>
        <v>0</v>
      </c>
      <c r="AN371" s="69" t="n">
        <f aca="false">IF(AN370&gt;0.5,AN370*(1+$E$15)+$G$15-MIN($F$15,AN370*(1+$E$15)+$G$15),0)</f>
        <v>0</v>
      </c>
      <c r="AO371" s="69" t="n">
        <f aca="false">IF(AO370&gt;0.5,AO370*(1+$E$16)+$G$16-MIN($F$16,AO370*(1+$E$16)+$G$16),0)</f>
        <v>0</v>
      </c>
      <c r="AP371" s="69" t="n">
        <f aca="false">IF(AP370&gt;0.5,AP370*(1+$E$17)+$G$17-MIN($F$17,AP370*(1+$E$17)+$G$17),0)</f>
        <v>0</v>
      </c>
      <c r="AQ371" s="69" t="n">
        <f aca="false">IF(AQ370&gt;0.5,AQ370*(1+$E$18)+$G$18-MIN($F$18,AQ370*(1+$E$18)+$G$18),0)</f>
        <v>0</v>
      </c>
      <c r="AR371" s="69" t="n">
        <f aca="false">IF(AR370&gt;0.5,AR370*(1+$E$19)+$G$19-MIN($F$19,AR370*(1+$E$19)+$G$19),0)</f>
        <v>0</v>
      </c>
      <c r="AS371" s="69" t="n">
        <f aca="false">H371+L371+P371+T371+X371+AB371+AF371+AJ371</f>
        <v>0</v>
      </c>
      <c r="AT371" s="69" t="n">
        <f aca="false">SUM(AK371:AR371)</f>
        <v>0</v>
      </c>
      <c r="AU371" s="69" t="n">
        <f aca="false">F371+G371+J371+K371+N371+O371+R371+S371+V371+W371+Z371+AA371+AD371+AE371+AH371+AI371</f>
        <v>0</v>
      </c>
    </row>
    <row r="372" customFormat="false" ht="15" hidden="false" customHeight="false" outlineLevel="0" collapsed="false">
      <c r="B372" s="0" t="n">
        <v>345</v>
      </c>
      <c r="C372" s="68" t="n">
        <f aca="false">EDATE($C$7,344)</f>
        <v>56766</v>
      </c>
      <c r="D372" s="69" t="n">
        <f aca="false">$C$8-(F372+J372+N372+R372+V372+Z372+AD372+AH372)</f>
        <v>0</v>
      </c>
      <c r="E372" s="69" t="n">
        <f aca="false">IF(H371&gt;0.5,H371*(1+E$23)+E$24,0)</f>
        <v>0</v>
      </c>
      <c r="F372" s="69" t="n">
        <f aca="false">MIN(F$23,E372)</f>
        <v>0</v>
      </c>
      <c r="G372" s="69" t="n">
        <f aca="false">IF(AND(F$24=1,OR(E$25="",$C372&gt;=E$25)),MAX(0,MIN(E372-F372,$D372-(0))),0)</f>
        <v>0</v>
      </c>
      <c r="H372" s="69" t="n">
        <f aca="false">E372-F372-G372</f>
        <v>0</v>
      </c>
      <c r="I372" s="69" t="n">
        <f aca="false">IF(L371&gt;0.5,L371*(1+I$23)+I$24,0)</f>
        <v>0</v>
      </c>
      <c r="J372" s="69" t="n">
        <f aca="false">MIN(J$23,I372)</f>
        <v>0</v>
      </c>
      <c r="K372" s="69" t="n">
        <f aca="false">IF(AND(J$24=1,OR(I$25="",$C372&gt;=I$25)),MAX(0,MIN(I372-J372,$D372-(G372))),0)</f>
        <v>0</v>
      </c>
      <c r="L372" s="69" t="n">
        <f aca="false">I372-J372-K372</f>
        <v>0</v>
      </c>
      <c r="M372" s="69" t="n">
        <f aca="false">IF(P371&gt;0.5,P371*(1+M$23)+M$24,0)</f>
        <v>0</v>
      </c>
      <c r="N372" s="69" t="n">
        <f aca="false">MIN(N$23,M372)</f>
        <v>0</v>
      </c>
      <c r="O372" s="69" t="n">
        <f aca="false">IF(AND(N$24=1,OR(M$25="",$C372&gt;=M$25)),MAX(0,MIN(M372-N372,$D372-(G372+K372))),0)</f>
        <v>0</v>
      </c>
      <c r="P372" s="69" t="n">
        <f aca="false">M372-N372-O372</f>
        <v>0</v>
      </c>
      <c r="Q372" s="69" t="n">
        <f aca="false">IF(T371&gt;0.5,T371*(1+Q$23)+Q$24,0)</f>
        <v>0</v>
      </c>
      <c r="R372" s="69" t="n">
        <f aca="false">MIN(R$23,Q372)</f>
        <v>0</v>
      </c>
      <c r="S372" s="69" t="n">
        <f aca="false">IF(AND(R$24=1,OR(Q$25="",$C372&gt;=Q$25)),MAX(0,MIN(Q372-R372,$D372-(G372+K372+O372))),0)</f>
        <v>0</v>
      </c>
      <c r="T372" s="69" t="n">
        <f aca="false">Q372-R372-S372</f>
        <v>0</v>
      </c>
      <c r="U372" s="69" t="n">
        <f aca="false">IF(X371&gt;0.5,X371*(1+U$23)+U$24,0)</f>
        <v>0</v>
      </c>
      <c r="V372" s="69" t="n">
        <f aca="false">MIN(V$23,U372)</f>
        <v>0</v>
      </c>
      <c r="W372" s="69" t="n">
        <f aca="false">IF(AND(V$24=1,OR(U$25="",$C372&gt;=U$25)),MAX(0,MIN(U372-V372,$D372-(G372+K372+O372+S372))),0)</f>
        <v>0</v>
      </c>
      <c r="X372" s="69" t="n">
        <f aca="false">U372-V372-W372</f>
        <v>0</v>
      </c>
      <c r="Y372" s="69" t="n">
        <f aca="false">IF(AB371&gt;0.5,AB371*(1+Y$23)+Y$24,0)</f>
        <v>0</v>
      </c>
      <c r="Z372" s="69" t="n">
        <f aca="false">MIN(Z$23,Y372)</f>
        <v>0</v>
      </c>
      <c r="AA372" s="69" t="n">
        <f aca="false">IF(AND(Z$24=1,OR(Y$25="",$C372&gt;=Y$25)),MAX(0,MIN(Y372-Z372,$D372-(G372+K372+O372+S372+W372))),0)</f>
        <v>0</v>
      </c>
      <c r="AB372" s="69" t="n">
        <f aca="false">Y372-Z372-AA372</f>
        <v>0</v>
      </c>
      <c r="AC372" s="69" t="n">
        <f aca="false">IF(AF371&gt;0.5,AF371*(1+AC$23)+AC$24,0)</f>
        <v>0</v>
      </c>
      <c r="AD372" s="69" t="n">
        <f aca="false">MIN(AD$23,AC372)</f>
        <v>0</v>
      </c>
      <c r="AE372" s="69" t="n">
        <f aca="false">IF(AND(AD$24=1,OR(AC$25="",$C372&gt;=AC$25)),MAX(0,MIN(AC372-AD372,$D372-(G372+K372+O372+S372+W372+AA372))),0)</f>
        <v>0</v>
      </c>
      <c r="AF372" s="69" t="n">
        <f aca="false">AC372-AD372-AE372</f>
        <v>0</v>
      </c>
      <c r="AG372" s="69" t="n">
        <f aca="false">IF(AJ371&gt;0.5,AJ371*(1+AG$23)+AG$24,0)</f>
        <v>0</v>
      </c>
      <c r="AH372" s="69" t="n">
        <f aca="false">MIN(AH$23,AG372)</f>
        <v>0</v>
      </c>
      <c r="AI372" s="69" t="n">
        <f aca="false">IF(AND(AH$24=1,OR(AG$25="",$C372&gt;=AG$25)),MAX(0,MIN(AG372-AH372,$D372-(G372+K372+O372+S372+W372+AA372+AE372))),0)</f>
        <v>0</v>
      </c>
      <c r="AJ372" s="69" t="n">
        <f aca="false">AG372-AH372-AI372</f>
        <v>0</v>
      </c>
      <c r="AK372" s="69" t="n">
        <f aca="false">IF(AK371&gt;0.5,AK371*(1+$E$12)+$G$12-MIN($F$12,AK371*(1+$E$12)+$G$12),0)</f>
        <v>0</v>
      </c>
      <c r="AL372" s="69" t="n">
        <f aca="false">IF(AL371&gt;0.5,AL371*(1+$E$13)+$G$13-MIN($F$13,AL371*(1+$E$13)+$G$13),0)</f>
        <v>0</v>
      </c>
      <c r="AM372" s="69" t="n">
        <f aca="false">IF(AM371&gt;0.5,AM371*(1+$E$14)+$G$14-MIN($F$14,AM371*(1+$E$14)+$G$14),0)</f>
        <v>0</v>
      </c>
      <c r="AN372" s="69" t="n">
        <f aca="false">IF(AN371&gt;0.5,AN371*(1+$E$15)+$G$15-MIN($F$15,AN371*(1+$E$15)+$G$15),0)</f>
        <v>0</v>
      </c>
      <c r="AO372" s="69" t="n">
        <f aca="false">IF(AO371&gt;0.5,AO371*(1+$E$16)+$G$16-MIN($F$16,AO371*(1+$E$16)+$G$16),0)</f>
        <v>0</v>
      </c>
      <c r="AP372" s="69" t="n">
        <f aca="false">IF(AP371&gt;0.5,AP371*(1+$E$17)+$G$17-MIN($F$17,AP371*(1+$E$17)+$G$17),0)</f>
        <v>0</v>
      </c>
      <c r="AQ372" s="69" t="n">
        <f aca="false">IF(AQ371&gt;0.5,AQ371*(1+$E$18)+$G$18-MIN($F$18,AQ371*(1+$E$18)+$G$18),0)</f>
        <v>0</v>
      </c>
      <c r="AR372" s="69" t="n">
        <f aca="false">IF(AR371&gt;0.5,AR371*(1+$E$19)+$G$19-MIN($F$19,AR371*(1+$E$19)+$G$19),0)</f>
        <v>0</v>
      </c>
      <c r="AS372" s="69" t="n">
        <f aca="false">H372+L372+P372+T372+X372+AB372+AF372+AJ372</f>
        <v>0</v>
      </c>
      <c r="AT372" s="69" t="n">
        <f aca="false">SUM(AK372:AR372)</f>
        <v>0</v>
      </c>
      <c r="AU372" s="69" t="n">
        <f aca="false">F372+G372+J372+K372+N372+O372+R372+S372+V372+W372+Z372+AA372+AD372+AE372+AH372+AI372</f>
        <v>0</v>
      </c>
    </row>
    <row r="373" customFormat="false" ht="15" hidden="false" customHeight="false" outlineLevel="0" collapsed="false">
      <c r="B373" s="0" t="n">
        <v>346</v>
      </c>
      <c r="C373" s="68" t="n">
        <f aca="false">EDATE($C$7,345)</f>
        <v>56796</v>
      </c>
      <c r="D373" s="69" t="n">
        <f aca="false">$C$8-(F373+J373+N373+R373+V373+Z373+AD373+AH373)</f>
        <v>0</v>
      </c>
      <c r="E373" s="69" t="n">
        <f aca="false">IF(H372&gt;0.5,H372*(1+E$23)+E$24,0)</f>
        <v>0</v>
      </c>
      <c r="F373" s="69" t="n">
        <f aca="false">MIN(F$23,E373)</f>
        <v>0</v>
      </c>
      <c r="G373" s="69" t="n">
        <f aca="false">IF(AND(F$24=1,OR(E$25="",$C373&gt;=E$25)),MAX(0,MIN(E373-F373,$D373-(0))),0)</f>
        <v>0</v>
      </c>
      <c r="H373" s="69" t="n">
        <f aca="false">E373-F373-G373</f>
        <v>0</v>
      </c>
      <c r="I373" s="69" t="n">
        <f aca="false">IF(L372&gt;0.5,L372*(1+I$23)+I$24,0)</f>
        <v>0</v>
      </c>
      <c r="J373" s="69" t="n">
        <f aca="false">MIN(J$23,I373)</f>
        <v>0</v>
      </c>
      <c r="K373" s="69" t="n">
        <f aca="false">IF(AND(J$24=1,OR(I$25="",$C373&gt;=I$25)),MAX(0,MIN(I373-J373,$D373-(G373))),0)</f>
        <v>0</v>
      </c>
      <c r="L373" s="69" t="n">
        <f aca="false">I373-J373-K373</f>
        <v>0</v>
      </c>
      <c r="M373" s="69" t="n">
        <f aca="false">IF(P372&gt;0.5,P372*(1+M$23)+M$24,0)</f>
        <v>0</v>
      </c>
      <c r="N373" s="69" t="n">
        <f aca="false">MIN(N$23,M373)</f>
        <v>0</v>
      </c>
      <c r="O373" s="69" t="n">
        <f aca="false">IF(AND(N$24=1,OR(M$25="",$C373&gt;=M$25)),MAX(0,MIN(M373-N373,$D373-(G373+K373))),0)</f>
        <v>0</v>
      </c>
      <c r="P373" s="69" t="n">
        <f aca="false">M373-N373-O373</f>
        <v>0</v>
      </c>
      <c r="Q373" s="69" t="n">
        <f aca="false">IF(T372&gt;0.5,T372*(1+Q$23)+Q$24,0)</f>
        <v>0</v>
      </c>
      <c r="R373" s="69" t="n">
        <f aca="false">MIN(R$23,Q373)</f>
        <v>0</v>
      </c>
      <c r="S373" s="69" t="n">
        <f aca="false">IF(AND(R$24=1,OR(Q$25="",$C373&gt;=Q$25)),MAX(0,MIN(Q373-R373,$D373-(G373+K373+O373))),0)</f>
        <v>0</v>
      </c>
      <c r="T373" s="69" t="n">
        <f aca="false">Q373-R373-S373</f>
        <v>0</v>
      </c>
      <c r="U373" s="69" t="n">
        <f aca="false">IF(X372&gt;0.5,X372*(1+U$23)+U$24,0)</f>
        <v>0</v>
      </c>
      <c r="V373" s="69" t="n">
        <f aca="false">MIN(V$23,U373)</f>
        <v>0</v>
      </c>
      <c r="W373" s="69" t="n">
        <f aca="false">IF(AND(V$24=1,OR(U$25="",$C373&gt;=U$25)),MAX(0,MIN(U373-V373,$D373-(G373+K373+O373+S373))),0)</f>
        <v>0</v>
      </c>
      <c r="X373" s="69" t="n">
        <f aca="false">U373-V373-W373</f>
        <v>0</v>
      </c>
      <c r="Y373" s="69" t="n">
        <f aca="false">IF(AB372&gt;0.5,AB372*(1+Y$23)+Y$24,0)</f>
        <v>0</v>
      </c>
      <c r="Z373" s="69" t="n">
        <f aca="false">MIN(Z$23,Y373)</f>
        <v>0</v>
      </c>
      <c r="AA373" s="69" t="n">
        <f aca="false">IF(AND(Z$24=1,OR(Y$25="",$C373&gt;=Y$25)),MAX(0,MIN(Y373-Z373,$D373-(G373+K373+O373+S373+W373))),0)</f>
        <v>0</v>
      </c>
      <c r="AB373" s="69" t="n">
        <f aca="false">Y373-Z373-AA373</f>
        <v>0</v>
      </c>
      <c r="AC373" s="69" t="n">
        <f aca="false">IF(AF372&gt;0.5,AF372*(1+AC$23)+AC$24,0)</f>
        <v>0</v>
      </c>
      <c r="AD373" s="69" t="n">
        <f aca="false">MIN(AD$23,AC373)</f>
        <v>0</v>
      </c>
      <c r="AE373" s="69" t="n">
        <f aca="false">IF(AND(AD$24=1,OR(AC$25="",$C373&gt;=AC$25)),MAX(0,MIN(AC373-AD373,$D373-(G373+K373+O373+S373+W373+AA373))),0)</f>
        <v>0</v>
      </c>
      <c r="AF373" s="69" t="n">
        <f aca="false">AC373-AD373-AE373</f>
        <v>0</v>
      </c>
      <c r="AG373" s="69" t="n">
        <f aca="false">IF(AJ372&gt;0.5,AJ372*(1+AG$23)+AG$24,0)</f>
        <v>0</v>
      </c>
      <c r="AH373" s="69" t="n">
        <f aca="false">MIN(AH$23,AG373)</f>
        <v>0</v>
      </c>
      <c r="AI373" s="69" t="n">
        <f aca="false">IF(AND(AH$24=1,OR(AG$25="",$C373&gt;=AG$25)),MAX(0,MIN(AG373-AH373,$D373-(G373+K373+O373+S373+W373+AA373+AE373))),0)</f>
        <v>0</v>
      </c>
      <c r="AJ373" s="69" t="n">
        <f aca="false">AG373-AH373-AI373</f>
        <v>0</v>
      </c>
      <c r="AK373" s="69" t="n">
        <f aca="false">IF(AK372&gt;0.5,AK372*(1+$E$12)+$G$12-MIN($F$12,AK372*(1+$E$12)+$G$12),0)</f>
        <v>0</v>
      </c>
      <c r="AL373" s="69" t="n">
        <f aca="false">IF(AL372&gt;0.5,AL372*(1+$E$13)+$G$13-MIN($F$13,AL372*(1+$E$13)+$G$13),0)</f>
        <v>0</v>
      </c>
      <c r="AM373" s="69" t="n">
        <f aca="false">IF(AM372&gt;0.5,AM372*(1+$E$14)+$G$14-MIN($F$14,AM372*(1+$E$14)+$G$14),0)</f>
        <v>0</v>
      </c>
      <c r="AN373" s="69" t="n">
        <f aca="false">IF(AN372&gt;0.5,AN372*(1+$E$15)+$G$15-MIN($F$15,AN372*(1+$E$15)+$G$15),0)</f>
        <v>0</v>
      </c>
      <c r="AO373" s="69" t="n">
        <f aca="false">IF(AO372&gt;0.5,AO372*(1+$E$16)+$G$16-MIN($F$16,AO372*(1+$E$16)+$G$16),0)</f>
        <v>0</v>
      </c>
      <c r="AP373" s="69" t="n">
        <f aca="false">IF(AP372&gt;0.5,AP372*(1+$E$17)+$G$17-MIN($F$17,AP372*(1+$E$17)+$G$17),0)</f>
        <v>0</v>
      </c>
      <c r="AQ373" s="69" t="n">
        <f aca="false">IF(AQ372&gt;0.5,AQ372*(1+$E$18)+$G$18-MIN($F$18,AQ372*(1+$E$18)+$G$18),0)</f>
        <v>0</v>
      </c>
      <c r="AR373" s="69" t="n">
        <f aca="false">IF(AR372&gt;0.5,AR372*(1+$E$19)+$G$19-MIN($F$19,AR372*(1+$E$19)+$G$19),0)</f>
        <v>0</v>
      </c>
      <c r="AS373" s="69" t="n">
        <f aca="false">H373+L373+P373+T373+X373+AB373+AF373+AJ373</f>
        <v>0</v>
      </c>
      <c r="AT373" s="69" t="n">
        <f aca="false">SUM(AK373:AR373)</f>
        <v>0</v>
      </c>
      <c r="AU373" s="69" t="n">
        <f aca="false">F373+G373+J373+K373+N373+O373+R373+S373+V373+W373+Z373+AA373+AD373+AE373+AH373+AI373</f>
        <v>0</v>
      </c>
    </row>
    <row r="374" customFormat="false" ht="15" hidden="false" customHeight="false" outlineLevel="0" collapsed="false">
      <c r="B374" s="0" t="n">
        <v>347</v>
      </c>
      <c r="C374" s="68" t="n">
        <f aca="false">EDATE($C$7,346)</f>
        <v>56827</v>
      </c>
      <c r="D374" s="69" t="n">
        <f aca="false">$C$8-(F374+J374+N374+R374+V374+Z374+AD374+AH374)</f>
        <v>0</v>
      </c>
      <c r="E374" s="69" t="n">
        <f aca="false">IF(H373&gt;0.5,H373*(1+E$23)+E$24,0)</f>
        <v>0</v>
      </c>
      <c r="F374" s="69" t="n">
        <f aca="false">MIN(F$23,E374)</f>
        <v>0</v>
      </c>
      <c r="G374" s="69" t="n">
        <f aca="false">IF(AND(F$24=1,OR(E$25="",$C374&gt;=E$25)),MAX(0,MIN(E374-F374,$D374-(0))),0)</f>
        <v>0</v>
      </c>
      <c r="H374" s="69" t="n">
        <f aca="false">E374-F374-G374</f>
        <v>0</v>
      </c>
      <c r="I374" s="69" t="n">
        <f aca="false">IF(L373&gt;0.5,L373*(1+I$23)+I$24,0)</f>
        <v>0</v>
      </c>
      <c r="J374" s="69" t="n">
        <f aca="false">MIN(J$23,I374)</f>
        <v>0</v>
      </c>
      <c r="K374" s="69" t="n">
        <f aca="false">IF(AND(J$24=1,OR(I$25="",$C374&gt;=I$25)),MAX(0,MIN(I374-J374,$D374-(G374))),0)</f>
        <v>0</v>
      </c>
      <c r="L374" s="69" t="n">
        <f aca="false">I374-J374-K374</f>
        <v>0</v>
      </c>
      <c r="M374" s="69" t="n">
        <f aca="false">IF(P373&gt;0.5,P373*(1+M$23)+M$24,0)</f>
        <v>0</v>
      </c>
      <c r="N374" s="69" t="n">
        <f aca="false">MIN(N$23,M374)</f>
        <v>0</v>
      </c>
      <c r="O374" s="69" t="n">
        <f aca="false">IF(AND(N$24=1,OR(M$25="",$C374&gt;=M$25)),MAX(0,MIN(M374-N374,$D374-(G374+K374))),0)</f>
        <v>0</v>
      </c>
      <c r="P374" s="69" t="n">
        <f aca="false">M374-N374-O374</f>
        <v>0</v>
      </c>
      <c r="Q374" s="69" t="n">
        <f aca="false">IF(T373&gt;0.5,T373*(1+Q$23)+Q$24,0)</f>
        <v>0</v>
      </c>
      <c r="R374" s="69" t="n">
        <f aca="false">MIN(R$23,Q374)</f>
        <v>0</v>
      </c>
      <c r="S374" s="69" t="n">
        <f aca="false">IF(AND(R$24=1,OR(Q$25="",$C374&gt;=Q$25)),MAX(0,MIN(Q374-R374,$D374-(G374+K374+O374))),0)</f>
        <v>0</v>
      </c>
      <c r="T374" s="69" t="n">
        <f aca="false">Q374-R374-S374</f>
        <v>0</v>
      </c>
      <c r="U374" s="69" t="n">
        <f aca="false">IF(X373&gt;0.5,X373*(1+U$23)+U$24,0)</f>
        <v>0</v>
      </c>
      <c r="V374" s="69" t="n">
        <f aca="false">MIN(V$23,U374)</f>
        <v>0</v>
      </c>
      <c r="W374" s="69" t="n">
        <f aca="false">IF(AND(V$24=1,OR(U$25="",$C374&gt;=U$25)),MAX(0,MIN(U374-V374,$D374-(G374+K374+O374+S374))),0)</f>
        <v>0</v>
      </c>
      <c r="X374" s="69" t="n">
        <f aca="false">U374-V374-W374</f>
        <v>0</v>
      </c>
      <c r="Y374" s="69" t="n">
        <f aca="false">IF(AB373&gt;0.5,AB373*(1+Y$23)+Y$24,0)</f>
        <v>0</v>
      </c>
      <c r="Z374" s="69" t="n">
        <f aca="false">MIN(Z$23,Y374)</f>
        <v>0</v>
      </c>
      <c r="AA374" s="69" t="n">
        <f aca="false">IF(AND(Z$24=1,OR(Y$25="",$C374&gt;=Y$25)),MAX(0,MIN(Y374-Z374,$D374-(G374+K374+O374+S374+W374))),0)</f>
        <v>0</v>
      </c>
      <c r="AB374" s="69" t="n">
        <f aca="false">Y374-Z374-AA374</f>
        <v>0</v>
      </c>
      <c r="AC374" s="69" t="n">
        <f aca="false">IF(AF373&gt;0.5,AF373*(1+AC$23)+AC$24,0)</f>
        <v>0</v>
      </c>
      <c r="AD374" s="69" t="n">
        <f aca="false">MIN(AD$23,AC374)</f>
        <v>0</v>
      </c>
      <c r="AE374" s="69" t="n">
        <f aca="false">IF(AND(AD$24=1,OR(AC$25="",$C374&gt;=AC$25)),MAX(0,MIN(AC374-AD374,$D374-(G374+K374+O374+S374+W374+AA374))),0)</f>
        <v>0</v>
      </c>
      <c r="AF374" s="69" t="n">
        <f aca="false">AC374-AD374-AE374</f>
        <v>0</v>
      </c>
      <c r="AG374" s="69" t="n">
        <f aca="false">IF(AJ373&gt;0.5,AJ373*(1+AG$23)+AG$24,0)</f>
        <v>0</v>
      </c>
      <c r="AH374" s="69" t="n">
        <f aca="false">MIN(AH$23,AG374)</f>
        <v>0</v>
      </c>
      <c r="AI374" s="69" t="n">
        <f aca="false">IF(AND(AH$24=1,OR(AG$25="",$C374&gt;=AG$25)),MAX(0,MIN(AG374-AH374,$D374-(G374+K374+O374+S374+W374+AA374+AE374))),0)</f>
        <v>0</v>
      </c>
      <c r="AJ374" s="69" t="n">
        <f aca="false">AG374-AH374-AI374</f>
        <v>0</v>
      </c>
      <c r="AK374" s="69" t="n">
        <f aca="false">IF(AK373&gt;0.5,AK373*(1+$E$12)+$G$12-MIN($F$12,AK373*(1+$E$12)+$G$12),0)</f>
        <v>0</v>
      </c>
      <c r="AL374" s="69" t="n">
        <f aca="false">IF(AL373&gt;0.5,AL373*(1+$E$13)+$G$13-MIN($F$13,AL373*(1+$E$13)+$G$13),0)</f>
        <v>0</v>
      </c>
      <c r="AM374" s="69" t="n">
        <f aca="false">IF(AM373&gt;0.5,AM373*(1+$E$14)+$G$14-MIN($F$14,AM373*(1+$E$14)+$G$14),0)</f>
        <v>0</v>
      </c>
      <c r="AN374" s="69" t="n">
        <f aca="false">IF(AN373&gt;0.5,AN373*(1+$E$15)+$G$15-MIN($F$15,AN373*(1+$E$15)+$G$15),0)</f>
        <v>0</v>
      </c>
      <c r="AO374" s="69" t="n">
        <f aca="false">IF(AO373&gt;0.5,AO373*(1+$E$16)+$G$16-MIN($F$16,AO373*(1+$E$16)+$G$16),0)</f>
        <v>0</v>
      </c>
      <c r="AP374" s="69" t="n">
        <f aca="false">IF(AP373&gt;0.5,AP373*(1+$E$17)+$G$17-MIN($F$17,AP373*(1+$E$17)+$G$17),0)</f>
        <v>0</v>
      </c>
      <c r="AQ374" s="69" t="n">
        <f aca="false">IF(AQ373&gt;0.5,AQ373*(1+$E$18)+$G$18-MIN($F$18,AQ373*(1+$E$18)+$G$18),0)</f>
        <v>0</v>
      </c>
      <c r="AR374" s="69" t="n">
        <f aca="false">IF(AR373&gt;0.5,AR373*(1+$E$19)+$G$19-MIN($F$19,AR373*(1+$E$19)+$G$19),0)</f>
        <v>0</v>
      </c>
      <c r="AS374" s="69" t="n">
        <f aca="false">H374+L374+P374+T374+X374+AB374+AF374+AJ374</f>
        <v>0</v>
      </c>
      <c r="AT374" s="69" t="n">
        <f aca="false">SUM(AK374:AR374)</f>
        <v>0</v>
      </c>
      <c r="AU374" s="69" t="n">
        <f aca="false">F374+G374+J374+K374+N374+O374+R374+S374+V374+W374+Z374+AA374+AD374+AE374+AH374+AI374</f>
        <v>0</v>
      </c>
    </row>
    <row r="375" customFormat="false" ht="15" hidden="false" customHeight="false" outlineLevel="0" collapsed="false">
      <c r="B375" s="0" t="n">
        <v>348</v>
      </c>
      <c r="C375" s="68" t="n">
        <f aca="false">EDATE($C$7,347)</f>
        <v>56858</v>
      </c>
      <c r="D375" s="69" t="n">
        <f aca="false">$C$8-(F375+J375+N375+R375+V375+Z375+AD375+AH375)</f>
        <v>0</v>
      </c>
      <c r="E375" s="69" t="n">
        <f aca="false">IF(H374&gt;0.5,H374*(1+E$23)+E$24,0)</f>
        <v>0</v>
      </c>
      <c r="F375" s="69" t="n">
        <f aca="false">MIN(F$23,E375)</f>
        <v>0</v>
      </c>
      <c r="G375" s="69" t="n">
        <f aca="false">IF(AND(F$24=1,OR(E$25="",$C375&gt;=E$25)),MAX(0,MIN(E375-F375,$D375-(0))),0)</f>
        <v>0</v>
      </c>
      <c r="H375" s="69" t="n">
        <f aca="false">E375-F375-G375</f>
        <v>0</v>
      </c>
      <c r="I375" s="69" t="n">
        <f aca="false">IF(L374&gt;0.5,L374*(1+I$23)+I$24,0)</f>
        <v>0</v>
      </c>
      <c r="J375" s="69" t="n">
        <f aca="false">MIN(J$23,I375)</f>
        <v>0</v>
      </c>
      <c r="K375" s="69" t="n">
        <f aca="false">IF(AND(J$24=1,OR(I$25="",$C375&gt;=I$25)),MAX(0,MIN(I375-J375,$D375-(G375))),0)</f>
        <v>0</v>
      </c>
      <c r="L375" s="69" t="n">
        <f aca="false">I375-J375-K375</f>
        <v>0</v>
      </c>
      <c r="M375" s="69" t="n">
        <f aca="false">IF(P374&gt;0.5,P374*(1+M$23)+M$24,0)</f>
        <v>0</v>
      </c>
      <c r="N375" s="69" t="n">
        <f aca="false">MIN(N$23,M375)</f>
        <v>0</v>
      </c>
      <c r="O375" s="69" t="n">
        <f aca="false">IF(AND(N$24=1,OR(M$25="",$C375&gt;=M$25)),MAX(0,MIN(M375-N375,$D375-(G375+K375))),0)</f>
        <v>0</v>
      </c>
      <c r="P375" s="69" t="n">
        <f aca="false">M375-N375-O375</f>
        <v>0</v>
      </c>
      <c r="Q375" s="69" t="n">
        <f aca="false">IF(T374&gt;0.5,T374*(1+Q$23)+Q$24,0)</f>
        <v>0</v>
      </c>
      <c r="R375" s="69" t="n">
        <f aca="false">MIN(R$23,Q375)</f>
        <v>0</v>
      </c>
      <c r="S375" s="69" t="n">
        <f aca="false">IF(AND(R$24=1,OR(Q$25="",$C375&gt;=Q$25)),MAX(0,MIN(Q375-R375,$D375-(G375+K375+O375))),0)</f>
        <v>0</v>
      </c>
      <c r="T375" s="69" t="n">
        <f aca="false">Q375-R375-S375</f>
        <v>0</v>
      </c>
      <c r="U375" s="69" t="n">
        <f aca="false">IF(X374&gt;0.5,X374*(1+U$23)+U$24,0)</f>
        <v>0</v>
      </c>
      <c r="V375" s="69" t="n">
        <f aca="false">MIN(V$23,U375)</f>
        <v>0</v>
      </c>
      <c r="W375" s="69" t="n">
        <f aca="false">IF(AND(V$24=1,OR(U$25="",$C375&gt;=U$25)),MAX(0,MIN(U375-V375,$D375-(G375+K375+O375+S375))),0)</f>
        <v>0</v>
      </c>
      <c r="X375" s="69" t="n">
        <f aca="false">U375-V375-W375</f>
        <v>0</v>
      </c>
      <c r="Y375" s="69" t="n">
        <f aca="false">IF(AB374&gt;0.5,AB374*(1+Y$23)+Y$24,0)</f>
        <v>0</v>
      </c>
      <c r="Z375" s="69" t="n">
        <f aca="false">MIN(Z$23,Y375)</f>
        <v>0</v>
      </c>
      <c r="AA375" s="69" t="n">
        <f aca="false">IF(AND(Z$24=1,OR(Y$25="",$C375&gt;=Y$25)),MAX(0,MIN(Y375-Z375,$D375-(G375+K375+O375+S375+W375))),0)</f>
        <v>0</v>
      </c>
      <c r="AB375" s="69" t="n">
        <f aca="false">Y375-Z375-AA375</f>
        <v>0</v>
      </c>
      <c r="AC375" s="69" t="n">
        <f aca="false">IF(AF374&gt;0.5,AF374*(1+AC$23)+AC$24,0)</f>
        <v>0</v>
      </c>
      <c r="AD375" s="69" t="n">
        <f aca="false">MIN(AD$23,AC375)</f>
        <v>0</v>
      </c>
      <c r="AE375" s="69" t="n">
        <f aca="false">IF(AND(AD$24=1,OR(AC$25="",$C375&gt;=AC$25)),MAX(0,MIN(AC375-AD375,$D375-(G375+K375+O375+S375+W375+AA375))),0)</f>
        <v>0</v>
      </c>
      <c r="AF375" s="69" t="n">
        <f aca="false">AC375-AD375-AE375</f>
        <v>0</v>
      </c>
      <c r="AG375" s="69" t="n">
        <f aca="false">IF(AJ374&gt;0.5,AJ374*(1+AG$23)+AG$24,0)</f>
        <v>0</v>
      </c>
      <c r="AH375" s="69" t="n">
        <f aca="false">MIN(AH$23,AG375)</f>
        <v>0</v>
      </c>
      <c r="AI375" s="69" t="n">
        <f aca="false">IF(AND(AH$24=1,OR(AG$25="",$C375&gt;=AG$25)),MAX(0,MIN(AG375-AH375,$D375-(G375+K375+O375+S375+W375+AA375+AE375))),0)</f>
        <v>0</v>
      </c>
      <c r="AJ375" s="69" t="n">
        <f aca="false">AG375-AH375-AI375</f>
        <v>0</v>
      </c>
      <c r="AK375" s="69" t="n">
        <f aca="false">IF(AK374&gt;0.5,AK374*(1+$E$12)+$G$12-MIN($F$12,AK374*(1+$E$12)+$G$12),0)</f>
        <v>0</v>
      </c>
      <c r="AL375" s="69" t="n">
        <f aca="false">IF(AL374&gt;0.5,AL374*(1+$E$13)+$G$13-MIN($F$13,AL374*(1+$E$13)+$G$13),0)</f>
        <v>0</v>
      </c>
      <c r="AM375" s="69" t="n">
        <f aca="false">IF(AM374&gt;0.5,AM374*(1+$E$14)+$G$14-MIN($F$14,AM374*(1+$E$14)+$G$14),0)</f>
        <v>0</v>
      </c>
      <c r="AN375" s="69" t="n">
        <f aca="false">IF(AN374&gt;0.5,AN374*(1+$E$15)+$G$15-MIN($F$15,AN374*(1+$E$15)+$G$15),0)</f>
        <v>0</v>
      </c>
      <c r="AO375" s="69" t="n">
        <f aca="false">IF(AO374&gt;0.5,AO374*(1+$E$16)+$G$16-MIN($F$16,AO374*(1+$E$16)+$G$16),0)</f>
        <v>0</v>
      </c>
      <c r="AP375" s="69" t="n">
        <f aca="false">IF(AP374&gt;0.5,AP374*(1+$E$17)+$G$17-MIN($F$17,AP374*(1+$E$17)+$G$17),0)</f>
        <v>0</v>
      </c>
      <c r="AQ375" s="69" t="n">
        <f aca="false">IF(AQ374&gt;0.5,AQ374*(1+$E$18)+$G$18-MIN($F$18,AQ374*(1+$E$18)+$G$18),0)</f>
        <v>0</v>
      </c>
      <c r="AR375" s="69" t="n">
        <f aca="false">IF(AR374&gt;0.5,AR374*(1+$E$19)+$G$19-MIN($F$19,AR374*(1+$E$19)+$G$19),0)</f>
        <v>0</v>
      </c>
      <c r="AS375" s="69" t="n">
        <f aca="false">H375+L375+P375+T375+X375+AB375+AF375+AJ375</f>
        <v>0</v>
      </c>
      <c r="AT375" s="69" t="n">
        <f aca="false">SUM(AK375:AR375)</f>
        <v>0</v>
      </c>
      <c r="AU375" s="69" t="n">
        <f aca="false">F375+G375+J375+K375+N375+O375+R375+S375+V375+W375+Z375+AA375+AD375+AE375+AH375+AI375</f>
        <v>0</v>
      </c>
    </row>
    <row r="376" customFormat="false" ht="15" hidden="false" customHeight="false" outlineLevel="0" collapsed="false">
      <c r="B376" s="0" t="n">
        <v>349</v>
      </c>
      <c r="C376" s="68" t="n">
        <f aca="false">EDATE($C$7,348)</f>
        <v>56888</v>
      </c>
      <c r="D376" s="69" t="n">
        <f aca="false">$C$8-(F376+J376+N376+R376+V376+Z376+AD376+AH376)</f>
        <v>0</v>
      </c>
      <c r="E376" s="69" t="n">
        <f aca="false">IF(H375&gt;0.5,H375*(1+E$23)+E$24,0)</f>
        <v>0</v>
      </c>
      <c r="F376" s="69" t="n">
        <f aca="false">MIN(F$23,E376)</f>
        <v>0</v>
      </c>
      <c r="G376" s="69" t="n">
        <f aca="false">IF(AND(F$24=1,OR(E$25="",$C376&gt;=E$25)),MAX(0,MIN(E376-F376,$D376-(0))),0)</f>
        <v>0</v>
      </c>
      <c r="H376" s="69" t="n">
        <f aca="false">E376-F376-G376</f>
        <v>0</v>
      </c>
      <c r="I376" s="69" t="n">
        <f aca="false">IF(L375&gt;0.5,L375*(1+I$23)+I$24,0)</f>
        <v>0</v>
      </c>
      <c r="J376" s="69" t="n">
        <f aca="false">MIN(J$23,I376)</f>
        <v>0</v>
      </c>
      <c r="K376" s="69" t="n">
        <f aca="false">IF(AND(J$24=1,OR(I$25="",$C376&gt;=I$25)),MAX(0,MIN(I376-J376,$D376-(G376))),0)</f>
        <v>0</v>
      </c>
      <c r="L376" s="69" t="n">
        <f aca="false">I376-J376-K376</f>
        <v>0</v>
      </c>
      <c r="M376" s="69" t="n">
        <f aca="false">IF(P375&gt;0.5,P375*(1+M$23)+M$24,0)</f>
        <v>0</v>
      </c>
      <c r="N376" s="69" t="n">
        <f aca="false">MIN(N$23,M376)</f>
        <v>0</v>
      </c>
      <c r="O376" s="69" t="n">
        <f aca="false">IF(AND(N$24=1,OR(M$25="",$C376&gt;=M$25)),MAX(0,MIN(M376-N376,$D376-(G376+K376))),0)</f>
        <v>0</v>
      </c>
      <c r="P376" s="69" t="n">
        <f aca="false">M376-N376-O376</f>
        <v>0</v>
      </c>
      <c r="Q376" s="69" t="n">
        <f aca="false">IF(T375&gt;0.5,T375*(1+Q$23)+Q$24,0)</f>
        <v>0</v>
      </c>
      <c r="R376" s="69" t="n">
        <f aca="false">MIN(R$23,Q376)</f>
        <v>0</v>
      </c>
      <c r="S376" s="69" t="n">
        <f aca="false">IF(AND(R$24=1,OR(Q$25="",$C376&gt;=Q$25)),MAX(0,MIN(Q376-R376,$D376-(G376+K376+O376))),0)</f>
        <v>0</v>
      </c>
      <c r="T376" s="69" t="n">
        <f aca="false">Q376-R376-S376</f>
        <v>0</v>
      </c>
      <c r="U376" s="69" t="n">
        <f aca="false">IF(X375&gt;0.5,X375*(1+U$23)+U$24,0)</f>
        <v>0</v>
      </c>
      <c r="V376" s="69" t="n">
        <f aca="false">MIN(V$23,U376)</f>
        <v>0</v>
      </c>
      <c r="W376" s="69" t="n">
        <f aca="false">IF(AND(V$24=1,OR(U$25="",$C376&gt;=U$25)),MAX(0,MIN(U376-V376,$D376-(G376+K376+O376+S376))),0)</f>
        <v>0</v>
      </c>
      <c r="X376" s="69" t="n">
        <f aca="false">U376-V376-W376</f>
        <v>0</v>
      </c>
      <c r="Y376" s="69" t="n">
        <f aca="false">IF(AB375&gt;0.5,AB375*(1+Y$23)+Y$24,0)</f>
        <v>0</v>
      </c>
      <c r="Z376" s="69" t="n">
        <f aca="false">MIN(Z$23,Y376)</f>
        <v>0</v>
      </c>
      <c r="AA376" s="69" t="n">
        <f aca="false">IF(AND(Z$24=1,OR(Y$25="",$C376&gt;=Y$25)),MAX(0,MIN(Y376-Z376,$D376-(G376+K376+O376+S376+W376))),0)</f>
        <v>0</v>
      </c>
      <c r="AB376" s="69" t="n">
        <f aca="false">Y376-Z376-AA376</f>
        <v>0</v>
      </c>
      <c r="AC376" s="69" t="n">
        <f aca="false">IF(AF375&gt;0.5,AF375*(1+AC$23)+AC$24,0)</f>
        <v>0</v>
      </c>
      <c r="AD376" s="69" t="n">
        <f aca="false">MIN(AD$23,AC376)</f>
        <v>0</v>
      </c>
      <c r="AE376" s="69" t="n">
        <f aca="false">IF(AND(AD$24=1,OR(AC$25="",$C376&gt;=AC$25)),MAX(0,MIN(AC376-AD376,$D376-(G376+K376+O376+S376+W376+AA376))),0)</f>
        <v>0</v>
      </c>
      <c r="AF376" s="69" t="n">
        <f aca="false">AC376-AD376-AE376</f>
        <v>0</v>
      </c>
      <c r="AG376" s="69" t="n">
        <f aca="false">IF(AJ375&gt;0.5,AJ375*(1+AG$23)+AG$24,0)</f>
        <v>0</v>
      </c>
      <c r="AH376" s="69" t="n">
        <f aca="false">MIN(AH$23,AG376)</f>
        <v>0</v>
      </c>
      <c r="AI376" s="69" t="n">
        <f aca="false">IF(AND(AH$24=1,OR(AG$25="",$C376&gt;=AG$25)),MAX(0,MIN(AG376-AH376,$D376-(G376+K376+O376+S376+W376+AA376+AE376))),0)</f>
        <v>0</v>
      </c>
      <c r="AJ376" s="69" t="n">
        <f aca="false">AG376-AH376-AI376</f>
        <v>0</v>
      </c>
      <c r="AK376" s="69" t="n">
        <f aca="false">IF(AK375&gt;0.5,AK375*(1+$E$12)+$G$12-MIN($F$12,AK375*(1+$E$12)+$G$12),0)</f>
        <v>0</v>
      </c>
      <c r="AL376" s="69" t="n">
        <f aca="false">IF(AL375&gt;0.5,AL375*(1+$E$13)+$G$13-MIN($F$13,AL375*(1+$E$13)+$G$13),0)</f>
        <v>0</v>
      </c>
      <c r="AM376" s="69" t="n">
        <f aca="false">IF(AM375&gt;0.5,AM375*(1+$E$14)+$G$14-MIN($F$14,AM375*(1+$E$14)+$G$14),0)</f>
        <v>0</v>
      </c>
      <c r="AN376" s="69" t="n">
        <f aca="false">IF(AN375&gt;0.5,AN375*(1+$E$15)+$G$15-MIN($F$15,AN375*(1+$E$15)+$G$15),0)</f>
        <v>0</v>
      </c>
      <c r="AO376" s="69" t="n">
        <f aca="false">IF(AO375&gt;0.5,AO375*(1+$E$16)+$G$16-MIN($F$16,AO375*(1+$E$16)+$G$16),0)</f>
        <v>0</v>
      </c>
      <c r="AP376" s="69" t="n">
        <f aca="false">IF(AP375&gt;0.5,AP375*(1+$E$17)+$G$17-MIN($F$17,AP375*(1+$E$17)+$G$17),0)</f>
        <v>0</v>
      </c>
      <c r="AQ376" s="69" t="n">
        <f aca="false">IF(AQ375&gt;0.5,AQ375*(1+$E$18)+$G$18-MIN($F$18,AQ375*(1+$E$18)+$G$18),0)</f>
        <v>0</v>
      </c>
      <c r="AR376" s="69" t="n">
        <f aca="false">IF(AR375&gt;0.5,AR375*(1+$E$19)+$G$19-MIN($F$19,AR375*(1+$E$19)+$G$19),0)</f>
        <v>0</v>
      </c>
      <c r="AS376" s="69" t="n">
        <f aca="false">H376+L376+P376+T376+X376+AB376+AF376+AJ376</f>
        <v>0</v>
      </c>
      <c r="AT376" s="69" t="n">
        <f aca="false">SUM(AK376:AR376)</f>
        <v>0</v>
      </c>
      <c r="AU376" s="69" t="n">
        <f aca="false">F376+G376+J376+K376+N376+O376+R376+S376+V376+W376+Z376+AA376+AD376+AE376+AH376+AI376</f>
        <v>0</v>
      </c>
    </row>
    <row r="377" customFormat="false" ht="15" hidden="false" customHeight="false" outlineLevel="0" collapsed="false">
      <c r="B377" s="0" t="n">
        <v>350</v>
      </c>
      <c r="C377" s="68" t="n">
        <f aca="false">EDATE($C$7,349)</f>
        <v>56919</v>
      </c>
      <c r="D377" s="69" t="n">
        <f aca="false">$C$8-(F377+J377+N377+R377+V377+Z377+AD377+AH377)</f>
        <v>0</v>
      </c>
      <c r="E377" s="69" t="n">
        <f aca="false">IF(H376&gt;0.5,H376*(1+E$23)+E$24,0)</f>
        <v>0</v>
      </c>
      <c r="F377" s="69" t="n">
        <f aca="false">MIN(F$23,E377)</f>
        <v>0</v>
      </c>
      <c r="G377" s="69" t="n">
        <f aca="false">IF(AND(F$24=1,OR(E$25="",$C377&gt;=E$25)),MAX(0,MIN(E377-F377,$D377-(0))),0)</f>
        <v>0</v>
      </c>
      <c r="H377" s="69" t="n">
        <f aca="false">E377-F377-G377</f>
        <v>0</v>
      </c>
      <c r="I377" s="69" t="n">
        <f aca="false">IF(L376&gt;0.5,L376*(1+I$23)+I$24,0)</f>
        <v>0</v>
      </c>
      <c r="J377" s="69" t="n">
        <f aca="false">MIN(J$23,I377)</f>
        <v>0</v>
      </c>
      <c r="K377" s="69" t="n">
        <f aca="false">IF(AND(J$24=1,OR(I$25="",$C377&gt;=I$25)),MAX(0,MIN(I377-J377,$D377-(G377))),0)</f>
        <v>0</v>
      </c>
      <c r="L377" s="69" t="n">
        <f aca="false">I377-J377-K377</f>
        <v>0</v>
      </c>
      <c r="M377" s="69" t="n">
        <f aca="false">IF(P376&gt;0.5,P376*(1+M$23)+M$24,0)</f>
        <v>0</v>
      </c>
      <c r="N377" s="69" t="n">
        <f aca="false">MIN(N$23,M377)</f>
        <v>0</v>
      </c>
      <c r="O377" s="69" t="n">
        <f aca="false">IF(AND(N$24=1,OR(M$25="",$C377&gt;=M$25)),MAX(0,MIN(M377-N377,$D377-(G377+K377))),0)</f>
        <v>0</v>
      </c>
      <c r="P377" s="69" t="n">
        <f aca="false">M377-N377-O377</f>
        <v>0</v>
      </c>
      <c r="Q377" s="69" t="n">
        <f aca="false">IF(T376&gt;0.5,T376*(1+Q$23)+Q$24,0)</f>
        <v>0</v>
      </c>
      <c r="R377" s="69" t="n">
        <f aca="false">MIN(R$23,Q377)</f>
        <v>0</v>
      </c>
      <c r="S377" s="69" t="n">
        <f aca="false">IF(AND(R$24=1,OR(Q$25="",$C377&gt;=Q$25)),MAX(0,MIN(Q377-R377,$D377-(G377+K377+O377))),0)</f>
        <v>0</v>
      </c>
      <c r="T377" s="69" t="n">
        <f aca="false">Q377-R377-S377</f>
        <v>0</v>
      </c>
      <c r="U377" s="69" t="n">
        <f aca="false">IF(X376&gt;0.5,X376*(1+U$23)+U$24,0)</f>
        <v>0</v>
      </c>
      <c r="V377" s="69" t="n">
        <f aca="false">MIN(V$23,U377)</f>
        <v>0</v>
      </c>
      <c r="W377" s="69" t="n">
        <f aca="false">IF(AND(V$24=1,OR(U$25="",$C377&gt;=U$25)),MAX(0,MIN(U377-V377,$D377-(G377+K377+O377+S377))),0)</f>
        <v>0</v>
      </c>
      <c r="X377" s="69" t="n">
        <f aca="false">U377-V377-W377</f>
        <v>0</v>
      </c>
      <c r="Y377" s="69" t="n">
        <f aca="false">IF(AB376&gt;0.5,AB376*(1+Y$23)+Y$24,0)</f>
        <v>0</v>
      </c>
      <c r="Z377" s="69" t="n">
        <f aca="false">MIN(Z$23,Y377)</f>
        <v>0</v>
      </c>
      <c r="AA377" s="69" t="n">
        <f aca="false">IF(AND(Z$24=1,OR(Y$25="",$C377&gt;=Y$25)),MAX(0,MIN(Y377-Z377,$D377-(G377+K377+O377+S377+W377))),0)</f>
        <v>0</v>
      </c>
      <c r="AB377" s="69" t="n">
        <f aca="false">Y377-Z377-AA377</f>
        <v>0</v>
      </c>
      <c r="AC377" s="69" t="n">
        <f aca="false">IF(AF376&gt;0.5,AF376*(1+AC$23)+AC$24,0)</f>
        <v>0</v>
      </c>
      <c r="AD377" s="69" t="n">
        <f aca="false">MIN(AD$23,AC377)</f>
        <v>0</v>
      </c>
      <c r="AE377" s="69" t="n">
        <f aca="false">IF(AND(AD$24=1,OR(AC$25="",$C377&gt;=AC$25)),MAX(0,MIN(AC377-AD377,$D377-(G377+K377+O377+S377+W377+AA377))),0)</f>
        <v>0</v>
      </c>
      <c r="AF377" s="69" t="n">
        <f aca="false">AC377-AD377-AE377</f>
        <v>0</v>
      </c>
      <c r="AG377" s="69" t="n">
        <f aca="false">IF(AJ376&gt;0.5,AJ376*(1+AG$23)+AG$24,0)</f>
        <v>0</v>
      </c>
      <c r="AH377" s="69" t="n">
        <f aca="false">MIN(AH$23,AG377)</f>
        <v>0</v>
      </c>
      <c r="AI377" s="69" t="n">
        <f aca="false">IF(AND(AH$24=1,OR(AG$25="",$C377&gt;=AG$25)),MAX(0,MIN(AG377-AH377,$D377-(G377+K377+O377+S377+W377+AA377+AE377))),0)</f>
        <v>0</v>
      </c>
      <c r="AJ377" s="69" t="n">
        <f aca="false">AG377-AH377-AI377</f>
        <v>0</v>
      </c>
      <c r="AK377" s="69" t="n">
        <f aca="false">IF(AK376&gt;0.5,AK376*(1+$E$12)+$G$12-MIN($F$12,AK376*(1+$E$12)+$G$12),0)</f>
        <v>0</v>
      </c>
      <c r="AL377" s="69" t="n">
        <f aca="false">IF(AL376&gt;0.5,AL376*(1+$E$13)+$G$13-MIN($F$13,AL376*(1+$E$13)+$G$13),0)</f>
        <v>0</v>
      </c>
      <c r="AM377" s="69" t="n">
        <f aca="false">IF(AM376&gt;0.5,AM376*(1+$E$14)+$G$14-MIN($F$14,AM376*(1+$E$14)+$G$14),0)</f>
        <v>0</v>
      </c>
      <c r="AN377" s="69" t="n">
        <f aca="false">IF(AN376&gt;0.5,AN376*(1+$E$15)+$G$15-MIN($F$15,AN376*(1+$E$15)+$G$15),0)</f>
        <v>0</v>
      </c>
      <c r="AO377" s="69" t="n">
        <f aca="false">IF(AO376&gt;0.5,AO376*(1+$E$16)+$G$16-MIN($F$16,AO376*(1+$E$16)+$G$16),0)</f>
        <v>0</v>
      </c>
      <c r="AP377" s="69" t="n">
        <f aca="false">IF(AP376&gt;0.5,AP376*(1+$E$17)+$G$17-MIN($F$17,AP376*(1+$E$17)+$G$17),0)</f>
        <v>0</v>
      </c>
      <c r="AQ377" s="69" t="n">
        <f aca="false">IF(AQ376&gt;0.5,AQ376*(1+$E$18)+$G$18-MIN($F$18,AQ376*(1+$E$18)+$G$18),0)</f>
        <v>0</v>
      </c>
      <c r="AR377" s="69" t="n">
        <f aca="false">IF(AR376&gt;0.5,AR376*(1+$E$19)+$G$19-MIN($F$19,AR376*(1+$E$19)+$G$19),0)</f>
        <v>0</v>
      </c>
      <c r="AS377" s="69" t="n">
        <f aca="false">H377+L377+P377+T377+X377+AB377+AF377+AJ377</f>
        <v>0</v>
      </c>
      <c r="AT377" s="69" t="n">
        <f aca="false">SUM(AK377:AR377)</f>
        <v>0</v>
      </c>
      <c r="AU377" s="69" t="n">
        <f aca="false">F377+G377+J377+K377+N377+O377+R377+S377+V377+W377+Z377+AA377+AD377+AE377+AH377+AI377</f>
        <v>0</v>
      </c>
    </row>
    <row r="378" customFormat="false" ht="15" hidden="false" customHeight="false" outlineLevel="0" collapsed="false">
      <c r="B378" s="0" t="n">
        <v>351</v>
      </c>
      <c r="C378" s="68" t="n">
        <f aca="false">EDATE($C$7,350)</f>
        <v>56949</v>
      </c>
      <c r="D378" s="69" t="n">
        <f aca="false">$C$8-(F378+J378+N378+R378+V378+Z378+AD378+AH378)</f>
        <v>0</v>
      </c>
      <c r="E378" s="69" t="n">
        <f aca="false">IF(H377&gt;0.5,H377*(1+E$23)+E$24,0)</f>
        <v>0</v>
      </c>
      <c r="F378" s="69" t="n">
        <f aca="false">MIN(F$23,E378)</f>
        <v>0</v>
      </c>
      <c r="G378" s="69" t="n">
        <f aca="false">IF(AND(F$24=1,OR(E$25="",$C378&gt;=E$25)),MAX(0,MIN(E378-F378,$D378-(0))),0)</f>
        <v>0</v>
      </c>
      <c r="H378" s="69" t="n">
        <f aca="false">E378-F378-G378</f>
        <v>0</v>
      </c>
      <c r="I378" s="69" t="n">
        <f aca="false">IF(L377&gt;0.5,L377*(1+I$23)+I$24,0)</f>
        <v>0</v>
      </c>
      <c r="J378" s="69" t="n">
        <f aca="false">MIN(J$23,I378)</f>
        <v>0</v>
      </c>
      <c r="K378" s="69" t="n">
        <f aca="false">IF(AND(J$24=1,OR(I$25="",$C378&gt;=I$25)),MAX(0,MIN(I378-J378,$D378-(G378))),0)</f>
        <v>0</v>
      </c>
      <c r="L378" s="69" t="n">
        <f aca="false">I378-J378-K378</f>
        <v>0</v>
      </c>
      <c r="M378" s="69" t="n">
        <f aca="false">IF(P377&gt;0.5,P377*(1+M$23)+M$24,0)</f>
        <v>0</v>
      </c>
      <c r="N378" s="69" t="n">
        <f aca="false">MIN(N$23,M378)</f>
        <v>0</v>
      </c>
      <c r="O378" s="69" t="n">
        <f aca="false">IF(AND(N$24=1,OR(M$25="",$C378&gt;=M$25)),MAX(0,MIN(M378-N378,$D378-(G378+K378))),0)</f>
        <v>0</v>
      </c>
      <c r="P378" s="69" t="n">
        <f aca="false">M378-N378-O378</f>
        <v>0</v>
      </c>
      <c r="Q378" s="69" t="n">
        <f aca="false">IF(T377&gt;0.5,T377*(1+Q$23)+Q$24,0)</f>
        <v>0</v>
      </c>
      <c r="R378" s="69" t="n">
        <f aca="false">MIN(R$23,Q378)</f>
        <v>0</v>
      </c>
      <c r="S378" s="69" t="n">
        <f aca="false">IF(AND(R$24=1,OR(Q$25="",$C378&gt;=Q$25)),MAX(0,MIN(Q378-R378,$D378-(G378+K378+O378))),0)</f>
        <v>0</v>
      </c>
      <c r="T378" s="69" t="n">
        <f aca="false">Q378-R378-S378</f>
        <v>0</v>
      </c>
      <c r="U378" s="69" t="n">
        <f aca="false">IF(X377&gt;0.5,X377*(1+U$23)+U$24,0)</f>
        <v>0</v>
      </c>
      <c r="V378" s="69" t="n">
        <f aca="false">MIN(V$23,U378)</f>
        <v>0</v>
      </c>
      <c r="W378" s="69" t="n">
        <f aca="false">IF(AND(V$24=1,OR(U$25="",$C378&gt;=U$25)),MAX(0,MIN(U378-V378,$D378-(G378+K378+O378+S378))),0)</f>
        <v>0</v>
      </c>
      <c r="X378" s="69" t="n">
        <f aca="false">U378-V378-W378</f>
        <v>0</v>
      </c>
      <c r="Y378" s="69" t="n">
        <f aca="false">IF(AB377&gt;0.5,AB377*(1+Y$23)+Y$24,0)</f>
        <v>0</v>
      </c>
      <c r="Z378" s="69" t="n">
        <f aca="false">MIN(Z$23,Y378)</f>
        <v>0</v>
      </c>
      <c r="AA378" s="69" t="n">
        <f aca="false">IF(AND(Z$24=1,OR(Y$25="",$C378&gt;=Y$25)),MAX(0,MIN(Y378-Z378,$D378-(G378+K378+O378+S378+W378))),0)</f>
        <v>0</v>
      </c>
      <c r="AB378" s="69" t="n">
        <f aca="false">Y378-Z378-AA378</f>
        <v>0</v>
      </c>
      <c r="AC378" s="69" t="n">
        <f aca="false">IF(AF377&gt;0.5,AF377*(1+AC$23)+AC$24,0)</f>
        <v>0</v>
      </c>
      <c r="AD378" s="69" t="n">
        <f aca="false">MIN(AD$23,AC378)</f>
        <v>0</v>
      </c>
      <c r="AE378" s="69" t="n">
        <f aca="false">IF(AND(AD$24=1,OR(AC$25="",$C378&gt;=AC$25)),MAX(0,MIN(AC378-AD378,$D378-(G378+K378+O378+S378+W378+AA378))),0)</f>
        <v>0</v>
      </c>
      <c r="AF378" s="69" t="n">
        <f aca="false">AC378-AD378-AE378</f>
        <v>0</v>
      </c>
      <c r="AG378" s="69" t="n">
        <f aca="false">IF(AJ377&gt;0.5,AJ377*(1+AG$23)+AG$24,0)</f>
        <v>0</v>
      </c>
      <c r="AH378" s="69" t="n">
        <f aca="false">MIN(AH$23,AG378)</f>
        <v>0</v>
      </c>
      <c r="AI378" s="69" t="n">
        <f aca="false">IF(AND(AH$24=1,OR(AG$25="",$C378&gt;=AG$25)),MAX(0,MIN(AG378-AH378,$D378-(G378+K378+O378+S378+W378+AA378+AE378))),0)</f>
        <v>0</v>
      </c>
      <c r="AJ378" s="69" t="n">
        <f aca="false">AG378-AH378-AI378</f>
        <v>0</v>
      </c>
      <c r="AK378" s="69" t="n">
        <f aca="false">IF(AK377&gt;0.5,AK377*(1+$E$12)+$G$12-MIN($F$12,AK377*(1+$E$12)+$G$12),0)</f>
        <v>0</v>
      </c>
      <c r="AL378" s="69" t="n">
        <f aca="false">IF(AL377&gt;0.5,AL377*(1+$E$13)+$G$13-MIN($F$13,AL377*(1+$E$13)+$G$13),0)</f>
        <v>0</v>
      </c>
      <c r="AM378" s="69" t="n">
        <f aca="false">IF(AM377&gt;0.5,AM377*(1+$E$14)+$G$14-MIN($F$14,AM377*(1+$E$14)+$G$14),0)</f>
        <v>0</v>
      </c>
      <c r="AN378" s="69" t="n">
        <f aca="false">IF(AN377&gt;0.5,AN377*(1+$E$15)+$G$15-MIN($F$15,AN377*(1+$E$15)+$G$15),0)</f>
        <v>0</v>
      </c>
      <c r="AO378" s="69" t="n">
        <f aca="false">IF(AO377&gt;0.5,AO377*(1+$E$16)+$G$16-MIN($F$16,AO377*(1+$E$16)+$G$16),0)</f>
        <v>0</v>
      </c>
      <c r="AP378" s="69" t="n">
        <f aca="false">IF(AP377&gt;0.5,AP377*(1+$E$17)+$G$17-MIN($F$17,AP377*(1+$E$17)+$G$17),0)</f>
        <v>0</v>
      </c>
      <c r="AQ378" s="69" t="n">
        <f aca="false">IF(AQ377&gt;0.5,AQ377*(1+$E$18)+$G$18-MIN($F$18,AQ377*(1+$E$18)+$G$18),0)</f>
        <v>0</v>
      </c>
      <c r="AR378" s="69" t="n">
        <f aca="false">IF(AR377&gt;0.5,AR377*(1+$E$19)+$G$19-MIN($F$19,AR377*(1+$E$19)+$G$19),0)</f>
        <v>0</v>
      </c>
      <c r="AS378" s="69" t="n">
        <f aca="false">H378+L378+P378+T378+X378+AB378+AF378+AJ378</f>
        <v>0</v>
      </c>
      <c r="AT378" s="69" t="n">
        <f aca="false">SUM(AK378:AR378)</f>
        <v>0</v>
      </c>
      <c r="AU378" s="69" t="n">
        <f aca="false">F378+G378+J378+K378+N378+O378+R378+S378+V378+W378+Z378+AA378+AD378+AE378+AH378+AI378</f>
        <v>0</v>
      </c>
    </row>
    <row r="379" customFormat="false" ht="15" hidden="false" customHeight="false" outlineLevel="0" collapsed="false">
      <c r="B379" s="0" t="n">
        <v>352</v>
      </c>
      <c r="C379" s="68" t="n">
        <f aca="false">EDATE($C$7,351)</f>
        <v>56980</v>
      </c>
      <c r="D379" s="69" t="n">
        <f aca="false">$C$8-(F379+J379+N379+R379+V379+Z379+AD379+AH379)</f>
        <v>0</v>
      </c>
      <c r="E379" s="69" t="n">
        <f aca="false">IF(H378&gt;0.5,H378*(1+E$23)+E$24,0)</f>
        <v>0</v>
      </c>
      <c r="F379" s="69" t="n">
        <f aca="false">MIN(F$23,E379)</f>
        <v>0</v>
      </c>
      <c r="G379" s="69" t="n">
        <f aca="false">IF(AND(F$24=1,OR(E$25="",$C379&gt;=E$25)),MAX(0,MIN(E379-F379,$D379-(0))),0)</f>
        <v>0</v>
      </c>
      <c r="H379" s="69" t="n">
        <f aca="false">E379-F379-G379</f>
        <v>0</v>
      </c>
      <c r="I379" s="69" t="n">
        <f aca="false">IF(L378&gt;0.5,L378*(1+I$23)+I$24,0)</f>
        <v>0</v>
      </c>
      <c r="J379" s="69" t="n">
        <f aca="false">MIN(J$23,I379)</f>
        <v>0</v>
      </c>
      <c r="K379" s="69" t="n">
        <f aca="false">IF(AND(J$24=1,OR(I$25="",$C379&gt;=I$25)),MAX(0,MIN(I379-J379,$D379-(G379))),0)</f>
        <v>0</v>
      </c>
      <c r="L379" s="69" t="n">
        <f aca="false">I379-J379-K379</f>
        <v>0</v>
      </c>
      <c r="M379" s="69" t="n">
        <f aca="false">IF(P378&gt;0.5,P378*(1+M$23)+M$24,0)</f>
        <v>0</v>
      </c>
      <c r="N379" s="69" t="n">
        <f aca="false">MIN(N$23,M379)</f>
        <v>0</v>
      </c>
      <c r="O379" s="69" t="n">
        <f aca="false">IF(AND(N$24=1,OR(M$25="",$C379&gt;=M$25)),MAX(0,MIN(M379-N379,$D379-(G379+K379))),0)</f>
        <v>0</v>
      </c>
      <c r="P379" s="69" t="n">
        <f aca="false">M379-N379-O379</f>
        <v>0</v>
      </c>
      <c r="Q379" s="69" t="n">
        <f aca="false">IF(T378&gt;0.5,T378*(1+Q$23)+Q$24,0)</f>
        <v>0</v>
      </c>
      <c r="R379" s="69" t="n">
        <f aca="false">MIN(R$23,Q379)</f>
        <v>0</v>
      </c>
      <c r="S379" s="69" t="n">
        <f aca="false">IF(AND(R$24=1,OR(Q$25="",$C379&gt;=Q$25)),MAX(0,MIN(Q379-R379,$D379-(G379+K379+O379))),0)</f>
        <v>0</v>
      </c>
      <c r="T379" s="69" t="n">
        <f aca="false">Q379-R379-S379</f>
        <v>0</v>
      </c>
      <c r="U379" s="69" t="n">
        <f aca="false">IF(X378&gt;0.5,X378*(1+U$23)+U$24,0)</f>
        <v>0</v>
      </c>
      <c r="V379" s="69" t="n">
        <f aca="false">MIN(V$23,U379)</f>
        <v>0</v>
      </c>
      <c r="W379" s="69" t="n">
        <f aca="false">IF(AND(V$24=1,OR(U$25="",$C379&gt;=U$25)),MAX(0,MIN(U379-V379,$D379-(G379+K379+O379+S379))),0)</f>
        <v>0</v>
      </c>
      <c r="X379" s="69" t="n">
        <f aca="false">U379-V379-W379</f>
        <v>0</v>
      </c>
      <c r="Y379" s="69" t="n">
        <f aca="false">IF(AB378&gt;0.5,AB378*(1+Y$23)+Y$24,0)</f>
        <v>0</v>
      </c>
      <c r="Z379" s="69" t="n">
        <f aca="false">MIN(Z$23,Y379)</f>
        <v>0</v>
      </c>
      <c r="AA379" s="69" t="n">
        <f aca="false">IF(AND(Z$24=1,OR(Y$25="",$C379&gt;=Y$25)),MAX(0,MIN(Y379-Z379,$D379-(G379+K379+O379+S379+W379))),0)</f>
        <v>0</v>
      </c>
      <c r="AB379" s="69" t="n">
        <f aca="false">Y379-Z379-AA379</f>
        <v>0</v>
      </c>
      <c r="AC379" s="69" t="n">
        <f aca="false">IF(AF378&gt;0.5,AF378*(1+AC$23)+AC$24,0)</f>
        <v>0</v>
      </c>
      <c r="AD379" s="69" t="n">
        <f aca="false">MIN(AD$23,AC379)</f>
        <v>0</v>
      </c>
      <c r="AE379" s="69" t="n">
        <f aca="false">IF(AND(AD$24=1,OR(AC$25="",$C379&gt;=AC$25)),MAX(0,MIN(AC379-AD379,$D379-(G379+K379+O379+S379+W379+AA379))),0)</f>
        <v>0</v>
      </c>
      <c r="AF379" s="69" t="n">
        <f aca="false">AC379-AD379-AE379</f>
        <v>0</v>
      </c>
      <c r="AG379" s="69" t="n">
        <f aca="false">IF(AJ378&gt;0.5,AJ378*(1+AG$23)+AG$24,0)</f>
        <v>0</v>
      </c>
      <c r="AH379" s="69" t="n">
        <f aca="false">MIN(AH$23,AG379)</f>
        <v>0</v>
      </c>
      <c r="AI379" s="69" t="n">
        <f aca="false">IF(AND(AH$24=1,OR(AG$25="",$C379&gt;=AG$25)),MAX(0,MIN(AG379-AH379,$D379-(G379+K379+O379+S379+W379+AA379+AE379))),0)</f>
        <v>0</v>
      </c>
      <c r="AJ379" s="69" t="n">
        <f aca="false">AG379-AH379-AI379</f>
        <v>0</v>
      </c>
      <c r="AK379" s="69" t="n">
        <f aca="false">IF(AK378&gt;0.5,AK378*(1+$E$12)+$G$12-MIN($F$12,AK378*(1+$E$12)+$G$12),0)</f>
        <v>0</v>
      </c>
      <c r="AL379" s="69" t="n">
        <f aca="false">IF(AL378&gt;0.5,AL378*(1+$E$13)+$G$13-MIN($F$13,AL378*(1+$E$13)+$G$13),0)</f>
        <v>0</v>
      </c>
      <c r="AM379" s="69" t="n">
        <f aca="false">IF(AM378&gt;0.5,AM378*(1+$E$14)+$G$14-MIN($F$14,AM378*(1+$E$14)+$G$14),0)</f>
        <v>0</v>
      </c>
      <c r="AN379" s="69" t="n">
        <f aca="false">IF(AN378&gt;0.5,AN378*(1+$E$15)+$G$15-MIN($F$15,AN378*(1+$E$15)+$G$15),0)</f>
        <v>0</v>
      </c>
      <c r="AO379" s="69" t="n">
        <f aca="false">IF(AO378&gt;0.5,AO378*(1+$E$16)+$G$16-MIN($F$16,AO378*(1+$E$16)+$G$16),0)</f>
        <v>0</v>
      </c>
      <c r="AP379" s="69" t="n">
        <f aca="false">IF(AP378&gt;0.5,AP378*(1+$E$17)+$G$17-MIN($F$17,AP378*(1+$E$17)+$G$17),0)</f>
        <v>0</v>
      </c>
      <c r="AQ379" s="69" t="n">
        <f aca="false">IF(AQ378&gt;0.5,AQ378*(1+$E$18)+$G$18-MIN($F$18,AQ378*(1+$E$18)+$G$18),0)</f>
        <v>0</v>
      </c>
      <c r="AR379" s="69" t="n">
        <f aca="false">IF(AR378&gt;0.5,AR378*(1+$E$19)+$G$19-MIN($F$19,AR378*(1+$E$19)+$G$19),0)</f>
        <v>0</v>
      </c>
      <c r="AS379" s="69" t="n">
        <f aca="false">H379+L379+P379+T379+X379+AB379+AF379+AJ379</f>
        <v>0</v>
      </c>
      <c r="AT379" s="69" t="n">
        <f aca="false">SUM(AK379:AR379)</f>
        <v>0</v>
      </c>
      <c r="AU379" s="69" t="n">
        <f aca="false">F379+G379+J379+K379+N379+O379+R379+S379+V379+W379+Z379+AA379+AD379+AE379+AH379+AI379</f>
        <v>0</v>
      </c>
    </row>
    <row r="380" customFormat="false" ht="15" hidden="false" customHeight="false" outlineLevel="0" collapsed="false">
      <c r="B380" s="0" t="n">
        <v>353</v>
      </c>
      <c r="C380" s="68" t="n">
        <f aca="false">EDATE($C$7,352)</f>
        <v>57011</v>
      </c>
      <c r="D380" s="69" t="n">
        <f aca="false">$C$8-(F380+J380+N380+R380+V380+Z380+AD380+AH380)</f>
        <v>0</v>
      </c>
      <c r="E380" s="69" t="n">
        <f aca="false">IF(H379&gt;0.5,H379*(1+E$23)+E$24,0)</f>
        <v>0</v>
      </c>
      <c r="F380" s="69" t="n">
        <f aca="false">MIN(F$23,E380)</f>
        <v>0</v>
      </c>
      <c r="G380" s="69" t="n">
        <f aca="false">IF(AND(F$24=1,OR(E$25="",$C380&gt;=E$25)),MAX(0,MIN(E380-F380,$D380-(0))),0)</f>
        <v>0</v>
      </c>
      <c r="H380" s="69" t="n">
        <f aca="false">E380-F380-G380</f>
        <v>0</v>
      </c>
      <c r="I380" s="69" t="n">
        <f aca="false">IF(L379&gt;0.5,L379*(1+I$23)+I$24,0)</f>
        <v>0</v>
      </c>
      <c r="J380" s="69" t="n">
        <f aca="false">MIN(J$23,I380)</f>
        <v>0</v>
      </c>
      <c r="K380" s="69" t="n">
        <f aca="false">IF(AND(J$24=1,OR(I$25="",$C380&gt;=I$25)),MAX(0,MIN(I380-J380,$D380-(G380))),0)</f>
        <v>0</v>
      </c>
      <c r="L380" s="69" t="n">
        <f aca="false">I380-J380-K380</f>
        <v>0</v>
      </c>
      <c r="M380" s="69" t="n">
        <f aca="false">IF(P379&gt;0.5,P379*(1+M$23)+M$24,0)</f>
        <v>0</v>
      </c>
      <c r="N380" s="69" t="n">
        <f aca="false">MIN(N$23,M380)</f>
        <v>0</v>
      </c>
      <c r="O380" s="69" t="n">
        <f aca="false">IF(AND(N$24=1,OR(M$25="",$C380&gt;=M$25)),MAX(0,MIN(M380-N380,$D380-(G380+K380))),0)</f>
        <v>0</v>
      </c>
      <c r="P380" s="69" t="n">
        <f aca="false">M380-N380-O380</f>
        <v>0</v>
      </c>
      <c r="Q380" s="69" t="n">
        <f aca="false">IF(T379&gt;0.5,T379*(1+Q$23)+Q$24,0)</f>
        <v>0</v>
      </c>
      <c r="R380" s="69" t="n">
        <f aca="false">MIN(R$23,Q380)</f>
        <v>0</v>
      </c>
      <c r="S380" s="69" t="n">
        <f aca="false">IF(AND(R$24=1,OR(Q$25="",$C380&gt;=Q$25)),MAX(0,MIN(Q380-R380,$D380-(G380+K380+O380))),0)</f>
        <v>0</v>
      </c>
      <c r="T380" s="69" t="n">
        <f aca="false">Q380-R380-S380</f>
        <v>0</v>
      </c>
      <c r="U380" s="69" t="n">
        <f aca="false">IF(X379&gt;0.5,X379*(1+U$23)+U$24,0)</f>
        <v>0</v>
      </c>
      <c r="V380" s="69" t="n">
        <f aca="false">MIN(V$23,U380)</f>
        <v>0</v>
      </c>
      <c r="W380" s="69" t="n">
        <f aca="false">IF(AND(V$24=1,OR(U$25="",$C380&gt;=U$25)),MAX(0,MIN(U380-V380,$D380-(G380+K380+O380+S380))),0)</f>
        <v>0</v>
      </c>
      <c r="X380" s="69" t="n">
        <f aca="false">U380-V380-W380</f>
        <v>0</v>
      </c>
      <c r="Y380" s="69" t="n">
        <f aca="false">IF(AB379&gt;0.5,AB379*(1+Y$23)+Y$24,0)</f>
        <v>0</v>
      </c>
      <c r="Z380" s="69" t="n">
        <f aca="false">MIN(Z$23,Y380)</f>
        <v>0</v>
      </c>
      <c r="AA380" s="69" t="n">
        <f aca="false">IF(AND(Z$24=1,OR(Y$25="",$C380&gt;=Y$25)),MAX(0,MIN(Y380-Z380,$D380-(G380+K380+O380+S380+W380))),0)</f>
        <v>0</v>
      </c>
      <c r="AB380" s="69" t="n">
        <f aca="false">Y380-Z380-AA380</f>
        <v>0</v>
      </c>
      <c r="AC380" s="69" t="n">
        <f aca="false">IF(AF379&gt;0.5,AF379*(1+AC$23)+AC$24,0)</f>
        <v>0</v>
      </c>
      <c r="AD380" s="69" t="n">
        <f aca="false">MIN(AD$23,AC380)</f>
        <v>0</v>
      </c>
      <c r="AE380" s="69" t="n">
        <f aca="false">IF(AND(AD$24=1,OR(AC$25="",$C380&gt;=AC$25)),MAX(0,MIN(AC380-AD380,$D380-(G380+K380+O380+S380+W380+AA380))),0)</f>
        <v>0</v>
      </c>
      <c r="AF380" s="69" t="n">
        <f aca="false">AC380-AD380-AE380</f>
        <v>0</v>
      </c>
      <c r="AG380" s="69" t="n">
        <f aca="false">IF(AJ379&gt;0.5,AJ379*(1+AG$23)+AG$24,0)</f>
        <v>0</v>
      </c>
      <c r="AH380" s="69" t="n">
        <f aca="false">MIN(AH$23,AG380)</f>
        <v>0</v>
      </c>
      <c r="AI380" s="69" t="n">
        <f aca="false">IF(AND(AH$24=1,OR(AG$25="",$C380&gt;=AG$25)),MAX(0,MIN(AG380-AH380,$D380-(G380+K380+O380+S380+W380+AA380+AE380))),0)</f>
        <v>0</v>
      </c>
      <c r="AJ380" s="69" t="n">
        <f aca="false">AG380-AH380-AI380</f>
        <v>0</v>
      </c>
      <c r="AK380" s="69" t="n">
        <f aca="false">IF(AK379&gt;0.5,AK379*(1+$E$12)+$G$12-MIN($F$12,AK379*(1+$E$12)+$G$12),0)</f>
        <v>0</v>
      </c>
      <c r="AL380" s="69" t="n">
        <f aca="false">IF(AL379&gt;0.5,AL379*(1+$E$13)+$G$13-MIN($F$13,AL379*(1+$E$13)+$G$13),0)</f>
        <v>0</v>
      </c>
      <c r="AM380" s="69" t="n">
        <f aca="false">IF(AM379&gt;0.5,AM379*(1+$E$14)+$G$14-MIN($F$14,AM379*(1+$E$14)+$G$14),0)</f>
        <v>0</v>
      </c>
      <c r="AN380" s="69" t="n">
        <f aca="false">IF(AN379&gt;0.5,AN379*(1+$E$15)+$G$15-MIN($F$15,AN379*(1+$E$15)+$G$15),0)</f>
        <v>0</v>
      </c>
      <c r="AO380" s="69" t="n">
        <f aca="false">IF(AO379&gt;0.5,AO379*(1+$E$16)+$G$16-MIN($F$16,AO379*(1+$E$16)+$G$16),0)</f>
        <v>0</v>
      </c>
      <c r="AP380" s="69" t="n">
        <f aca="false">IF(AP379&gt;0.5,AP379*(1+$E$17)+$G$17-MIN($F$17,AP379*(1+$E$17)+$G$17),0)</f>
        <v>0</v>
      </c>
      <c r="AQ380" s="69" t="n">
        <f aca="false">IF(AQ379&gt;0.5,AQ379*(1+$E$18)+$G$18-MIN($F$18,AQ379*(1+$E$18)+$G$18),0)</f>
        <v>0</v>
      </c>
      <c r="AR380" s="69" t="n">
        <f aca="false">IF(AR379&gt;0.5,AR379*(1+$E$19)+$G$19-MIN($F$19,AR379*(1+$E$19)+$G$19),0)</f>
        <v>0</v>
      </c>
      <c r="AS380" s="69" t="n">
        <f aca="false">H380+L380+P380+T380+X380+AB380+AF380+AJ380</f>
        <v>0</v>
      </c>
      <c r="AT380" s="69" t="n">
        <f aca="false">SUM(AK380:AR380)</f>
        <v>0</v>
      </c>
      <c r="AU380" s="69" t="n">
        <f aca="false">F380+G380+J380+K380+N380+O380+R380+S380+V380+W380+Z380+AA380+AD380+AE380+AH380+AI380</f>
        <v>0</v>
      </c>
    </row>
    <row r="381" customFormat="false" ht="15" hidden="false" customHeight="false" outlineLevel="0" collapsed="false">
      <c r="B381" s="0" t="n">
        <v>354</v>
      </c>
      <c r="C381" s="68" t="n">
        <f aca="false">EDATE($C$7,353)</f>
        <v>57040</v>
      </c>
      <c r="D381" s="69" t="n">
        <f aca="false">$C$8-(F381+J381+N381+R381+V381+Z381+AD381+AH381)</f>
        <v>0</v>
      </c>
      <c r="E381" s="69" t="n">
        <f aca="false">IF(H380&gt;0.5,H380*(1+E$23)+E$24,0)</f>
        <v>0</v>
      </c>
      <c r="F381" s="69" t="n">
        <f aca="false">MIN(F$23,E381)</f>
        <v>0</v>
      </c>
      <c r="G381" s="69" t="n">
        <f aca="false">IF(AND(F$24=1,OR(E$25="",$C381&gt;=E$25)),MAX(0,MIN(E381-F381,$D381-(0))),0)</f>
        <v>0</v>
      </c>
      <c r="H381" s="69" t="n">
        <f aca="false">E381-F381-G381</f>
        <v>0</v>
      </c>
      <c r="I381" s="69" t="n">
        <f aca="false">IF(L380&gt;0.5,L380*(1+I$23)+I$24,0)</f>
        <v>0</v>
      </c>
      <c r="J381" s="69" t="n">
        <f aca="false">MIN(J$23,I381)</f>
        <v>0</v>
      </c>
      <c r="K381" s="69" t="n">
        <f aca="false">IF(AND(J$24=1,OR(I$25="",$C381&gt;=I$25)),MAX(0,MIN(I381-J381,$D381-(G381))),0)</f>
        <v>0</v>
      </c>
      <c r="L381" s="69" t="n">
        <f aca="false">I381-J381-K381</f>
        <v>0</v>
      </c>
      <c r="M381" s="69" t="n">
        <f aca="false">IF(P380&gt;0.5,P380*(1+M$23)+M$24,0)</f>
        <v>0</v>
      </c>
      <c r="N381" s="69" t="n">
        <f aca="false">MIN(N$23,M381)</f>
        <v>0</v>
      </c>
      <c r="O381" s="69" t="n">
        <f aca="false">IF(AND(N$24=1,OR(M$25="",$C381&gt;=M$25)),MAX(0,MIN(M381-N381,$D381-(G381+K381))),0)</f>
        <v>0</v>
      </c>
      <c r="P381" s="69" t="n">
        <f aca="false">M381-N381-O381</f>
        <v>0</v>
      </c>
      <c r="Q381" s="69" t="n">
        <f aca="false">IF(T380&gt;0.5,T380*(1+Q$23)+Q$24,0)</f>
        <v>0</v>
      </c>
      <c r="R381" s="69" t="n">
        <f aca="false">MIN(R$23,Q381)</f>
        <v>0</v>
      </c>
      <c r="S381" s="69" t="n">
        <f aca="false">IF(AND(R$24=1,OR(Q$25="",$C381&gt;=Q$25)),MAX(0,MIN(Q381-R381,$D381-(G381+K381+O381))),0)</f>
        <v>0</v>
      </c>
      <c r="T381" s="69" t="n">
        <f aca="false">Q381-R381-S381</f>
        <v>0</v>
      </c>
      <c r="U381" s="69" t="n">
        <f aca="false">IF(X380&gt;0.5,X380*(1+U$23)+U$24,0)</f>
        <v>0</v>
      </c>
      <c r="V381" s="69" t="n">
        <f aca="false">MIN(V$23,U381)</f>
        <v>0</v>
      </c>
      <c r="W381" s="69" t="n">
        <f aca="false">IF(AND(V$24=1,OR(U$25="",$C381&gt;=U$25)),MAX(0,MIN(U381-V381,$D381-(G381+K381+O381+S381))),0)</f>
        <v>0</v>
      </c>
      <c r="X381" s="69" t="n">
        <f aca="false">U381-V381-W381</f>
        <v>0</v>
      </c>
      <c r="Y381" s="69" t="n">
        <f aca="false">IF(AB380&gt;0.5,AB380*(1+Y$23)+Y$24,0)</f>
        <v>0</v>
      </c>
      <c r="Z381" s="69" t="n">
        <f aca="false">MIN(Z$23,Y381)</f>
        <v>0</v>
      </c>
      <c r="AA381" s="69" t="n">
        <f aca="false">IF(AND(Z$24=1,OR(Y$25="",$C381&gt;=Y$25)),MAX(0,MIN(Y381-Z381,$D381-(G381+K381+O381+S381+W381))),0)</f>
        <v>0</v>
      </c>
      <c r="AB381" s="69" t="n">
        <f aca="false">Y381-Z381-AA381</f>
        <v>0</v>
      </c>
      <c r="AC381" s="69" t="n">
        <f aca="false">IF(AF380&gt;0.5,AF380*(1+AC$23)+AC$24,0)</f>
        <v>0</v>
      </c>
      <c r="AD381" s="69" t="n">
        <f aca="false">MIN(AD$23,AC381)</f>
        <v>0</v>
      </c>
      <c r="AE381" s="69" t="n">
        <f aca="false">IF(AND(AD$24=1,OR(AC$25="",$C381&gt;=AC$25)),MAX(0,MIN(AC381-AD381,$D381-(G381+K381+O381+S381+W381+AA381))),0)</f>
        <v>0</v>
      </c>
      <c r="AF381" s="69" t="n">
        <f aca="false">AC381-AD381-AE381</f>
        <v>0</v>
      </c>
      <c r="AG381" s="69" t="n">
        <f aca="false">IF(AJ380&gt;0.5,AJ380*(1+AG$23)+AG$24,0)</f>
        <v>0</v>
      </c>
      <c r="AH381" s="69" t="n">
        <f aca="false">MIN(AH$23,AG381)</f>
        <v>0</v>
      </c>
      <c r="AI381" s="69" t="n">
        <f aca="false">IF(AND(AH$24=1,OR(AG$25="",$C381&gt;=AG$25)),MAX(0,MIN(AG381-AH381,$D381-(G381+K381+O381+S381+W381+AA381+AE381))),0)</f>
        <v>0</v>
      </c>
      <c r="AJ381" s="69" t="n">
        <f aca="false">AG381-AH381-AI381</f>
        <v>0</v>
      </c>
      <c r="AK381" s="69" t="n">
        <f aca="false">IF(AK380&gt;0.5,AK380*(1+$E$12)+$G$12-MIN($F$12,AK380*(1+$E$12)+$G$12),0)</f>
        <v>0</v>
      </c>
      <c r="AL381" s="69" t="n">
        <f aca="false">IF(AL380&gt;0.5,AL380*(1+$E$13)+$G$13-MIN($F$13,AL380*(1+$E$13)+$G$13),0)</f>
        <v>0</v>
      </c>
      <c r="AM381" s="69" t="n">
        <f aca="false">IF(AM380&gt;0.5,AM380*(1+$E$14)+$G$14-MIN($F$14,AM380*(1+$E$14)+$G$14),0)</f>
        <v>0</v>
      </c>
      <c r="AN381" s="69" t="n">
        <f aca="false">IF(AN380&gt;0.5,AN380*(1+$E$15)+$G$15-MIN($F$15,AN380*(1+$E$15)+$G$15),0)</f>
        <v>0</v>
      </c>
      <c r="AO381" s="69" t="n">
        <f aca="false">IF(AO380&gt;0.5,AO380*(1+$E$16)+$G$16-MIN($F$16,AO380*(1+$E$16)+$G$16),0)</f>
        <v>0</v>
      </c>
      <c r="AP381" s="69" t="n">
        <f aca="false">IF(AP380&gt;0.5,AP380*(1+$E$17)+$G$17-MIN($F$17,AP380*(1+$E$17)+$G$17),0)</f>
        <v>0</v>
      </c>
      <c r="AQ381" s="69" t="n">
        <f aca="false">IF(AQ380&gt;0.5,AQ380*(1+$E$18)+$G$18-MIN($F$18,AQ380*(1+$E$18)+$G$18),0)</f>
        <v>0</v>
      </c>
      <c r="AR381" s="69" t="n">
        <f aca="false">IF(AR380&gt;0.5,AR380*(1+$E$19)+$G$19-MIN($F$19,AR380*(1+$E$19)+$G$19),0)</f>
        <v>0</v>
      </c>
      <c r="AS381" s="69" t="n">
        <f aca="false">H381+L381+P381+T381+X381+AB381+AF381+AJ381</f>
        <v>0</v>
      </c>
      <c r="AT381" s="69" t="n">
        <f aca="false">SUM(AK381:AR381)</f>
        <v>0</v>
      </c>
      <c r="AU381" s="69" t="n">
        <f aca="false">F381+G381+J381+K381+N381+O381+R381+S381+V381+W381+Z381+AA381+AD381+AE381+AH381+AI381</f>
        <v>0</v>
      </c>
    </row>
    <row r="382" customFormat="false" ht="15" hidden="false" customHeight="false" outlineLevel="0" collapsed="false">
      <c r="B382" s="0" t="n">
        <v>355</v>
      </c>
      <c r="C382" s="68" t="n">
        <f aca="false">EDATE($C$7,354)</f>
        <v>57071</v>
      </c>
      <c r="D382" s="69" t="n">
        <f aca="false">$C$8-(F382+J382+N382+R382+V382+Z382+AD382+AH382)</f>
        <v>0</v>
      </c>
      <c r="E382" s="69" t="n">
        <f aca="false">IF(H381&gt;0.5,H381*(1+E$23)+E$24,0)</f>
        <v>0</v>
      </c>
      <c r="F382" s="69" t="n">
        <f aca="false">MIN(F$23,E382)</f>
        <v>0</v>
      </c>
      <c r="G382" s="69" t="n">
        <f aca="false">IF(AND(F$24=1,OR(E$25="",$C382&gt;=E$25)),MAX(0,MIN(E382-F382,$D382-(0))),0)</f>
        <v>0</v>
      </c>
      <c r="H382" s="69" t="n">
        <f aca="false">E382-F382-G382</f>
        <v>0</v>
      </c>
      <c r="I382" s="69" t="n">
        <f aca="false">IF(L381&gt;0.5,L381*(1+I$23)+I$24,0)</f>
        <v>0</v>
      </c>
      <c r="J382" s="69" t="n">
        <f aca="false">MIN(J$23,I382)</f>
        <v>0</v>
      </c>
      <c r="K382" s="69" t="n">
        <f aca="false">IF(AND(J$24=1,OR(I$25="",$C382&gt;=I$25)),MAX(0,MIN(I382-J382,$D382-(G382))),0)</f>
        <v>0</v>
      </c>
      <c r="L382" s="69" t="n">
        <f aca="false">I382-J382-K382</f>
        <v>0</v>
      </c>
      <c r="M382" s="69" t="n">
        <f aca="false">IF(P381&gt;0.5,P381*(1+M$23)+M$24,0)</f>
        <v>0</v>
      </c>
      <c r="N382" s="69" t="n">
        <f aca="false">MIN(N$23,M382)</f>
        <v>0</v>
      </c>
      <c r="O382" s="69" t="n">
        <f aca="false">IF(AND(N$24=1,OR(M$25="",$C382&gt;=M$25)),MAX(0,MIN(M382-N382,$D382-(G382+K382))),0)</f>
        <v>0</v>
      </c>
      <c r="P382" s="69" t="n">
        <f aca="false">M382-N382-O382</f>
        <v>0</v>
      </c>
      <c r="Q382" s="69" t="n">
        <f aca="false">IF(T381&gt;0.5,T381*(1+Q$23)+Q$24,0)</f>
        <v>0</v>
      </c>
      <c r="R382" s="69" t="n">
        <f aca="false">MIN(R$23,Q382)</f>
        <v>0</v>
      </c>
      <c r="S382" s="69" t="n">
        <f aca="false">IF(AND(R$24=1,OR(Q$25="",$C382&gt;=Q$25)),MAX(0,MIN(Q382-R382,$D382-(G382+K382+O382))),0)</f>
        <v>0</v>
      </c>
      <c r="T382" s="69" t="n">
        <f aca="false">Q382-R382-S382</f>
        <v>0</v>
      </c>
      <c r="U382" s="69" t="n">
        <f aca="false">IF(X381&gt;0.5,X381*(1+U$23)+U$24,0)</f>
        <v>0</v>
      </c>
      <c r="V382" s="69" t="n">
        <f aca="false">MIN(V$23,U382)</f>
        <v>0</v>
      </c>
      <c r="W382" s="69" t="n">
        <f aca="false">IF(AND(V$24=1,OR(U$25="",$C382&gt;=U$25)),MAX(0,MIN(U382-V382,$D382-(G382+K382+O382+S382))),0)</f>
        <v>0</v>
      </c>
      <c r="X382" s="69" t="n">
        <f aca="false">U382-V382-W382</f>
        <v>0</v>
      </c>
      <c r="Y382" s="69" t="n">
        <f aca="false">IF(AB381&gt;0.5,AB381*(1+Y$23)+Y$24,0)</f>
        <v>0</v>
      </c>
      <c r="Z382" s="69" t="n">
        <f aca="false">MIN(Z$23,Y382)</f>
        <v>0</v>
      </c>
      <c r="AA382" s="69" t="n">
        <f aca="false">IF(AND(Z$24=1,OR(Y$25="",$C382&gt;=Y$25)),MAX(0,MIN(Y382-Z382,$D382-(G382+K382+O382+S382+W382))),0)</f>
        <v>0</v>
      </c>
      <c r="AB382" s="69" t="n">
        <f aca="false">Y382-Z382-AA382</f>
        <v>0</v>
      </c>
      <c r="AC382" s="69" t="n">
        <f aca="false">IF(AF381&gt;0.5,AF381*(1+AC$23)+AC$24,0)</f>
        <v>0</v>
      </c>
      <c r="AD382" s="69" t="n">
        <f aca="false">MIN(AD$23,AC382)</f>
        <v>0</v>
      </c>
      <c r="AE382" s="69" t="n">
        <f aca="false">IF(AND(AD$24=1,OR(AC$25="",$C382&gt;=AC$25)),MAX(0,MIN(AC382-AD382,$D382-(G382+K382+O382+S382+W382+AA382))),0)</f>
        <v>0</v>
      </c>
      <c r="AF382" s="69" t="n">
        <f aca="false">AC382-AD382-AE382</f>
        <v>0</v>
      </c>
      <c r="AG382" s="69" t="n">
        <f aca="false">IF(AJ381&gt;0.5,AJ381*(1+AG$23)+AG$24,0)</f>
        <v>0</v>
      </c>
      <c r="AH382" s="69" t="n">
        <f aca="false">MIN(AH$23,AG382)</f>
        <v>0</v>
      </c>
      <c r="AI382" s="69" t="n">
        <f aca="false">IF(AND(AH$24=1,OR(AG$25="",$C382&gt;=AG$25)),MAX(0,MIN(AG382-AH382,$D382-(G382+K382+O382+S382+W382+AA382+AE382))),0)</f>
        <v>0</v>
      </c>
      <c r="AJ382" s="69" t="n">
        <f aca="false">AG382-AH382-AI382</f>
        <v>0</v>
      </c>
      <c r="AK382" s="69" t="n">
        <f aca="false">IF(AK381&gt;0.5,AK381*(1+$E$12)+$G$12-MIN($F$12,AK381*(1+$E$12)+$G$12),0)</f>
        <v>0</v>
      </c>
      <c r="AL382" s="69" t="n">
        <f aca="false">IF(AL381&gt;0.5,AL381*(1+$E$13)+$G$13-MIN($F$13,AL381*(1+$E$13)+$G$13),0)</f>
        <v>0</v>
      </c>
      <c r="AM382" s="69" t="n">
        <f aca="false">IF(AM381&gt;0.5,AM381*(1+$E$14)+$G$14-MIN($F$14,AM381*(1+$E$14)+$G$14),0)</f>
        <v>0</v>
      </c>
      <c r="AN382" s="69" t="n">
        <f aca="false">IF(AN381&gt;0.5,AN381*(1+$E$15)+$G$15-MIN($F$15,AN381*(1+$E$15)+$G$15),0)</f>
        <v>0</v>
      </c>
      <c r="AO382" s="69" t="n">
        <f aca="false">IF(AO381&gt;0.5,AO381*(1+$E$16)+$G$16-MIN($F$16,AO381*(1+$E$16)+$G$16),0)</f>
        <v>0</v>
      </c>
      <c r="AP382" s="69" t="n">
        <f aca="false">IF(AP381&gt;0.5,AP381*(1+$E$17)+$G$17-MIN($F$17,AP381*(1+$E$17)+$G$17),0)</f>
        <v>0</v>
      </c>
      <c r="AQ382" s="69" t="n">
        <f aca="false">IF(AQ381&gt;0.5,AQ381*(1+$E$18)+$G$18-MIN($F$18,AQ381*(1+$E$18)+$G$18),0)</f>
        <v>0</v>
      </c>
      <c r="AR382" s="69" t="n">
        <f aca="false">IF(AR381&gt;0.5,AR381*(1+$E$19)+$G$19-MIN($F$19,AR381*(1+$E$19)+$G$19),0)</f>
        <v>0</v>
      </c>
      <c r="AS382" s="69" t="n">
        <f aca="false">H382+L382+P382+T382+X382+AB382+AF382+AJ382</f>
        <v>0</v>
      </c>
      <c r="AT382" s="69" t="n">
        <f aca="false">SUM(AK382:AR382)</f>
        <v>0</v>
      </c>
      <c r="AU382" s="69" t="n">
        <f aca="false">F382+G382+J382+K382+N382+O382+R382+S382+V382+W382+Z382+AA382+AD382+AE382+AH382+AI382</f>
        <v>0</v>
      </c>
    </row>
    <row r="383" customFormat="false" ht="15" hidden="false" customHeight="false" outlineLevel="0" collapsed="false">
      <c r="B383" s="0" t="n">
        <v>356</v>
      </c>
      <c r="C383" s="68" t="n">
        <f aca="false">EDATE($C$7,355)</f>
        <v>57101</v>
      </c>
      <c r="D383" s="69" t="n">
        <f aca="false">$C$8-(F383+J383+N383+R383+V383+Z383+AD383+AH383)</f>
        <v>0</v>
      </c>
      <c r="E383" s="69" t="n">
        <f aca="false">IF(H382&gt;0.5,H382*(1+E$23)+E$24,0)</f>
        <v>0</v>
      </c>
      <c r="F383" s="69" t="n">
        <f aca="false">MIN(F$23,E383)</f>
        <v>0</v>
      </c>
      <c r="G383" s="69" t="n">
        <f aca="false">IF(AND(F$24=1,OR(E$25="",$C383&gt;=E$25)),MAX(0,MIN(E383-F383,$D383-(0))),0)</f>
        <v>0</v>
      </c>
      <c r="H383" s="69" t="n">
        <f aca="false">E383-F383-G383</f>
        <v>0</v>
      </c>
      <c r="I383" s="69" t="n">
        <f aca="false">IF(L382&gt;0.5,L382*(1+I$23)+I$24,0)</f>
        <v>0</v>
      </c>
      <c r="J383" s="69" t="n">
        <f aca="false">MIN(J$23,I383)</f>
        <v>0</v>
      </c>
      <c r="K383" s="69" t="n">
        <f aca="false">IF(AND(J$24=1,OR(I$25="",$C383&gt;=I$25)),MAX(0,MIN(I383-J383,$D383-(G383))),0)</f>
        <v>0</v>
      </c>
      <c r="L383" s="69" t="n">
        <f aca="false">I383-J383-K383</f>
        <v>0</v>
      </c>
      <c r="M383" s="69" t="n">
        <f aca="false">IF(P382&gt;0.5,P382*(1+M$23)+M$24,0)</f>
        <v>0</v>
      </c>
      <c r="N383" s="69" t="n">
        <f aca="false">MIN(N$23,M383)</f>
        <v>0</v>
      </c>
      <c r="O383" s="69" t="n">
        <f aca="false">IF(AND(N$24=1,OR(M$25="",$C383&gt;=M$25)),MAX(0,MIN(M383-N383,$D383-(G383+K383))),0)</f>
        <v>0</v>
      </c>
      <c r="P383" s="69" t="n">
        <f aca="false">M383-N383-O383</f>
        <v>0</v>
      </c>
      <c r="Q383" s="69" t="n">
        <f aca="false">IF(T382&gt;0.5,T382*(1+Q$23)+Q$24,0)</f>
        <v>0</v>
      </c>
      <c r="R383" s="69" t="n">
        <f aca="false">MIN(R$23,Q383)</f>
        <v>0</v>
      </c>
      <c r="S383" s="69" t="n">
        <f aca="false">IF(AND(R$24=1,OR(Q$25="",$C383&gt;=Q$25)),MAX(0,MIN(Q383-R383,$D383-(G383+K383+O383))),0)</f>
        <v>0</v>
      </c>
      <c r="T383" s="69" t="n">
        <f aca="false">Q383-R383-S383</f>
        <v>0</v>
      </c>
      <c r="U383" s="69" t="n">
        <f aca="false">IF(X382&gt;0.5,X382*(1+U$23)+U$24,0)</f>
        <v>0</v>
      </c>
      <c r="V383" s="69" t="n">
        <f aca="false">MIN(V$23,U383)</f>
        <v>0</v>
      </c>
      <c r="W383" s="69" t="n">
        <f aca="false">IF(AND(V$24=1,OR(U$25="",$C383&gt;=U$25)),MAX(0,MIN(U383-V383,$D383-(G383+K383+O383+S383))),0)</f>
        <v>0</v>
      </c>
      <c r="X383" s="69" t="n">
        <f aca="false">U383-V383-W383</f>
        <v>0</v>
      </c>
      <c r="Y383" s="69" t="n">
        <f aca="false">IF(AB382&gt;0.5,AB382*(1+Y$23)+Y$24,0)</f>
        <v>0</v>
      </c>
      <c r="Z383" s="69" t="n">
        <f aca="false">MIN(Z$23,Y383)</f>
        <v>0</v>
      </c>
      <c r="AA383" s="69" t="n">
        <f aca="false">IF(AND(Z$24=1,OR(Y$25="",$C383&gt;=Y$25)),MAX(0,MIN(Y383-Z383,$D383-(G383+K383+O383+S383+W383))),0)</f>
        <v>0</v>
      </c>
      <c r="AB383" s="69" t="n">
        <f aca="false">Y383-Z383-AA383</f>
        <v>0</v>
      </c>
      <c r="AC383" s="69" t="n">
        <f aca="false">IF(AF382&gt;0.5,AF382*(1+AC$23)+AC$24,0)</f>
        <v>0</v>
      </c>
      <c r="AD383" s="69" t="n">
        <f aca="false">MIN(AD$23,AC383)</f>
        <v>0</v>
      </c>
      <c r="AE383" s="69" t="n">
        <f aca="false">IF(AND(AD$24=1,OR(AC$25="",$C383&gt;=AC$25)),MAX(0,MIN(AC383-AD383,$D383-(G383+K383+O383+S383+W383+AA383))),0)</f>
        <v>0</v>
      </c>
      <c r="AF383" s="69" t="n">
        <f aca="false">AC383-AD383-AE383</f>
        <v>0</v>
      </c>
      <c r="AG383" s="69" t="n">
        <f aca="false">IF(AJ382&gt;0.5,AJ382*(1+AG$23)+AG$24,0)</f>
        <v>0</v>
      </c>
      <c r="AH383" s="69" t="n">
        <f aca="false">MIN(AH$23,AG383)</f>
        <v>0</v>
      </c>
      <c r="AI383" s="69" t="n">
        <f aca="false">IF(AND(AH$24=1,OR(AG$25="",$C383&gt;=AG$25)),MAX(0,MIN(AG383-AH383,$D383-(G383+K383+O383+S383+W383+AA383+AE383))),0)</f>
        <v>0</v>
      </c>
      <c r="AJ383" s="69" t="n">
        <f aca="false">AG383-AH383-AI383</f>
        <v>0</v>
      </c>
      <c r="AK383" s="69" t="n">
        <f aca="false">IF(AK382&gt;0.5,AK382*(1+$E$12)+$G$12-MIN($F$12,AK382*(1+$E$12)+$G$12),0)</f>
        <v>0</v>
      </c>
      <c r="AL383" s="69" t="n">
        <f aca="false">IF(AL382&gt;0.5,AL382*(1+$E$13)+$G$13-MIN($F$13,AL382*(1+$E$13)+$G$13),0)</f>
        <v>0</v>
      </c>
      <c r="AM383" s="69" t="n">
        <f aca="false">IF(AM382&gt;0.5,AM382*(1+$E$14)+$G$14-MIN($F$14,AM382*(1+$E$14)+$G$14),0)</f>
        <v>0</v>
      </c>
      <c r="AN383" s="69" t="n">
        <f aca="false">IF(AN382&gt;0.5,AN382*(1+$E$15)+$G$15-MIN($F$15,AN382*(1+$E$15)+$G$15),0)</f>
        <v>0</v>
      </c>
      <c r="AO383" s="69" t="n">
        <f aca="false">IF(AO382&gt;0.5,AO382*(1+$E$16)+$G$16-MIN($F$16,AO382*(1+$E$16)+$G$16),0)</f>
        <v>0</v>
      </c>
      <c r="AP383" s="69" t="n">
        <f aca="false">IF(AP382&gt;0.5,AP382*(1+$E$17)+$G$17-MIN($F$17,AP382*(1+$E$17)+$G$17),0)</f>
        <v>0</v>
      </c>
      <c r="AQ383" s="69" t="n">
        <f aca="false">IF(AQ382&gt;0.5,AQ382*(1+$E$18)+$G$18-MIN($F$18,AQ382*(1+$E$18)+$G$18),0)</f>
        <v>0</v>
      </c>
      <c r="AR383" s="69" t="n">
        <f aca="false">IF(AR382&gt;0.5,AR382*(1+$E$19)+$G$19-MIN($F$19,AR382*(1+$E$19)+$G$19),0)</f>
        <v>0</v>
      </c>
      <c r="AS383" s="69" t="n">
        <f aca="false">H383+L383+P383+T383+X383+AB383+AF383+AJ383</f>
        <v>0</v>
      </c>
      <c r="AT383" s="69" t="n">
        <f aca="false">SUM(AK383:AR383)</f>
        <v>0</v>
      </c>
      <c r="AU383" s="69" t="n">
        <f aca="false">F383+G383+J383+K383+N383+O383+R383+S383+V383+W383+Z383+AA383+AD383+AE383+AH383+AI383</f>
        <v>0</v>
      </c>
    </row>
    <row r="384" customFormat="false" ht="15" hidden="false" customHeight="false" outlineLevel="0" collapsed="false">
      <c r="B384" s="0" t="n">
        <v>357</v>
      </c>
      <c r="C384" s="68" t="n">
        <f aca="false">EDATE($C$7,356)</f>
        <v>57132</v>
      </c>
      <c r="D384" s="69" t="n">
        <f aca="false">$C$8-(F384+J384+N384+R384+V384+Z384+AD384+AH384)</f>
        <v>0</v>
      </c>
      <c r="E384" s="69" t="n">
        <f aca="false">IF(H383&gt;0.5,H383*(1+E$23)+E$24,0)</f>
        <v>0</v>
      </c>
      <c r="F384" s="69" t="n">
        <f aca="false">MIN(F$23,E384)</f>
        <v>0</v>
      </c>
      <c r="G384" s="69" t="n">
        <f aca="false">IF(AND(F$24=1,OR(E$25="",$C384&gt;=E$25)),MAX(0,MIN(E384-F384,$D384-(0))),0)</f>
        <v>0</v>
      </c>
      <c r="H384" s="69" t="n">
        <f aca="false">E384-F384-G384</f>
        <v>0</v>
      </c>
      <c r="I384" s="69" t="n">
        <f aca="false">IF(L383&gt;0.5,L383*(1+I$23)+I$24,0)</f>
        <v>0</v>
      </c>
      <c r="J384" s="69" t="n">
        <f aca="false">MIN(J$23,I384)</f>
        <v>0</v>
      </c>
      <c r="K384" s="69" t="n">
        <f aca="false">IF(AND(J$24=1,OR(I$25="",$C384&gt;=I$25)),MAX(0,MIN(I384-J384,$D384-(G384))),0)</f>
        <v>0</v>
      </c>
      <c r="L384" s="69" t="n">
        <f aca="false">I384-J384-K384</f>
        <v>0</v>
      </c>
      <c r="M384" s="69" t="n">
        <f aca="false">IF(P383&gt;0.5,P383*(1+M$23)+M$24,0)</f>
        <v>0</v>
      </c>
      <c r="N384" s="69" t="n">
        <f aca="false">MIN(N$23,M384)</f>
        <v>0</v>
      </c>
      <c r="O384" s="69" t="n">
        <f aca="false">IF(AND(N$24=1,OR(M$25="",$C384&gt;=M$25)),MAX(0,MIN(M384-N384,$D384-(G384+K384))),0)</f>
        <v>0</v>
      </c>
      <c r="P384" s="69" t="n">
        <f aca="false">M384-N384-O384</f>
        <v>0</v>
      </c>
      <c r="Q384" s="69" t="n">
        <f aca="false">IF(T383&gt;0.5,T383*(1+Q$23)+Q$24,0)</f>
        <v>0</v>
      </c>
      <c r="R384" s="69" t="n">
        <f aca="false">MIN(R$23,Q384)</f>
        <v>0</v>
      </c>
      <c r="S384" s="69" t="n">
        <f aca="false">IF(AND(R$24=1,OR(Q$25="",$C384&gt;=Q$25)),MAX(0,MIN(Q384-R384,$D384-(G384+K384+O384))),0)</f>
        <v>0</v>
      </c>
      <c r="T384" s="69" t="n">
        <f aca="false">Q384-R384-S384</f>
        <v>0</v>
      </c>
      <c r="U384" s="69" t="n">
        <f aca="false">IF(X383&gt;0.5,X383*(1+U$23)+U$24,0)</f>
        <v>0</v>
      </c>
      <c r="V384" s="69" t="n">
        <f aca="false">MIN(V$23,U384)</f>
        <v>0</v>
      </c>
      <c r="W384" s="69" t="n">
        <f aca="false">IF(AND(V$24=1,OR(U$25="",$C384&gt;=U$25)),MAX(0,MIN(U384-V384,$D384-(G384+K384+O384+S384))),0)</f>
        <v>0</v>
      </c>
      <c r="X384" s="69" t="n">
        <f aca="false">U384-V384-W384</f>
        <v>0</v>
      </c>
      <c r="Y384" s="69" t="n">
        <f aca="false">IF(AB383&gt;0.5,AB383*(1+Y$23)+Y$24,0)</f>
        <v>0</v>
      </c>
      <c r="Z384" s="69" t="n">
        <f aca="false">MIN(Z$23,Y384)</f>
        <v>0</v>
      </c>
      <c r="AA384" s="69" t="n">
        <f aca="false">IF(AND(Z$24=1,OR(Y$25="",$C384&gt;=Y$25)),MAX(0,MIN(Y384-Z384,$D384-(G384+K384+O384+S384+W384))),0)</f>
        <v>0</v>
      </c>
      <c r="AB384" s="69" t="n">
        <f aca="false">Y384-Z384-AA384</f>
        <v>0</v>
      </c>
      <c r="AC384" s="69" t="n">
        <f aca="false">IF(AF383&gt;0.5,AF383*(1+AC$23)+AC$24,0)</f>
        <v>0</v>
      </c>
      <c r="AD384" s="69" t="n">
        <f aca="false">MIN(AD$23,AC384)</f>
        <v>0</v>
      </c>
      <c r="AE384" s="69" t="n">
        <f aca="false">IF(AND(AD$24=1,OR(AC$25="",$C384&gt;=AC$25)),MAX(0,MIN(AC384-AD384,$D384-(G384+K384+O384+S384+W384+AA384))),0)</f>
        <v>0</v>
      </c>
      <c r="AF384" s="69" t="n">
        <f aca="false">AC384-AD384-AE384</f>
        <v>0</v>
      </c>
      <c r="AG384" s="69" t="n">
        <f aca="false">IF(AJ383&gt;0.5,AJ383*(1+AG$23)+AG$24,0)</f>
        <v>0</v>
      </c>
      <c r="AH384" s="69" t="n">
        <f aca="false">MIN(AH$23,AG384)</f>
        <v>0</v>
      </c>
      <c r="AI384" s="69" t="n">
        <f aca="false">IF(AND(AH$24=1,OR(AG$25="",$C384&gt;=AG$25)),MAX(0,MIN(AG384-AH384,$D384-(G384+K384+O384+S384+W384+AA384+AE384))),0)</f>
        <v>0</v>
      </c>
      <c r="AJ384" s="69" t="n">
        <f aca="false">AG384-AH384-AI384</f>
        <v>0</v>
      </c>
      <c r="AK384" s="69" t="n">
        <f aca="false">IF(AK383&gt;0.5,AK383*(1+$E$12)+$G$12-MIN($F$12,AK383*(1+$E$12)+$G$12),0)</f>
        <v>0</v>
      </c>
      <c r="AL384" s="69" t="n">
        <f aca="false">IF(AL383&gt;0.5,AL383*(1+$E$13)+$G$13-MIN($F$13,AL383*(1+$E$13)+$G$13),0)</f>
        <v>0</v>
      </c>
      <c r="AM384" s="69" t="n">
        <f aca="false">IF(AM383&gt;0.5,AM383*(1+$E$14)+$G$14-MIN($F$14,AM383*(1+$E$14)+$G$14),0)</f>
        <v>0</v>
      </c>
      <c r="AN384" s="69" t="n">
        <f aca="false">IF(AN383&gt;0.5,AN383*(1+$E$15)+$G$15-MIN($F$15,AN383*(1+$E$15)+$G$15),0)</f>
        <v>0</v>
      </c>
      <c r="AO384" s="69" t="n">
        <f aca="false">IF(AO383&gt;0.5,AO383*(1+$E$16)+$G$16-MIN($F$16,AO383*(1+$E$16)+$G$16),0)</f>
        <v>0</v>
      </c>
      <c r="AP384" s="69" t="n">
        <f aca="false">IF(AP383&gt;0.5,AP383*(1+$E$17)+$G$17-MIN($F$17,AP383*(1+$E$17)+$G$17),0)</f>
        <v>0</v>
      </c>
      <c r="AQ384" s="69" t="n">
        <f aca="false">IF(AQ383&gt;0.5,AQ383*(1+$E$18)+$G$18-MIN($F$18,AQ383*(1+$E$18)+$G$18),0)</f>
        <v>0</v>
      </c>
      <c r="AR384" s="69" t="n">
        <f aca="false">IF(AR383&gt;0.5,AR383*(1+$E$19)+$G$19-MIN($F$19,AR383*(1+$E$19)+$G$19),0)</f>
        <v>0</v>
      </c>
      <c r="AS384" s="69" t="n">
        <f aca="false">H384+L384+P384+T384+X384+AB384+AF384+AJ384</f>
        <v>0</v>
      </c>
      <c r="AT384" s="69" t="n">
        <f aca="false">SUM(AK384:AR384)</f>
        <v>0</v>
      </c>
      <c r="AU384" s="69" t="n">
        <f aca="false">F384+G384+J384+K384+N384+O384+R384+S384+V384+W384+Z384+AA384+AD384+AE384+AH384+AI384</f>
        <v>0</v>
      </c>
    </row>
    <row r="385" customFormat="false" ht="15" hidden="false" customHeight="false" outlineLevel="0" collapsed="false">
      <c r="B385" s="0" t="n">
        <v>358</v>
      </c>
      <c r="C385" s="68" t="n">
        <f aca="false">EDATE($C$7,357)</f>
        <v>57162</v>
      </c>
      <c r="D385" s="69" t="n">
        <f aca="false">$C$8-(F385+J385+N385+R385+V385+Z385+AD385+AH385)</f>
        <v>0</v>
      </c>
      <c r="E385" s="69" t="n">
        <f aca="false">IF(H384&gt;0.5,H384*(1+E$23)+E$24,0)</f>
        <v>0</v>
      </c>
      <c r="F385" s="69" t="n">
        <f aca="false">MIN(F$23,E385)</f>
        <v>0</v>
      </c>
      <c r="G385" s="69" t="n">
        <f aca="false">IF(AND(F$24=1,OR(E$25="",$C385&gt;=E$25)),MAX(0,MIN(E385-F385,$D385-(0))),0)</f>
        <v>0</v>
      </c>
      <c r="H385" s="69" t="n">
        <f aca="false">E385-F385-G385</f>
        <v>0</v>
      </c>
      <c r="I385" s="69" t="n">
        <f aca="false">IF(L384&gt;0.5,L384*(1+I$23)+I$24,0)</f>
        <v>0</v>
      </c>
      <c r="J385" s="69" t="n">
        <f aca="false">MIN(J$23,I385)</f>
        <v>0</v>
      </c>
      <c r="K385" s="69" t="n">
        <f aca="false">IF(AND(J$24=1,OR(I$25="",$C385&gt;=I$25)),MAX(0,MIN(I385-J385,$D385-(G385))),0)</f>
        <v>0</v>
      </c>
      <c r="L385" s="69" t="n">
        <f aca="false">I385-J385-K385</f>
        <v>0</v>
      </c>
      <c r="M385" s="69" t="n">
        <f aca="false">IF(P384&gt;0.5,P384*(1+M$23)+M$24,0)</f>
        <v>0</v>
      </c>
      <c r="N385" s="69" t="n">
        <f aca="false">MIN(N$23,M385)</f>
        <v>0</v>
      </c>
      <c r="O385" s="69" t="n">
        <f aca="false">IF(AND(N$24=1,OR(M$25="",$C385&gt;=M$25)),MAX(0,MIN(M385-N385,$D385-(G385+K385))),0)</f>
        <v>0</v>
      </c>
      <c r="P385" s="69" t="n">
        <f aca="false">M385-N385-O385</f>
        <v>0</v>
      </c>
      <c r="Q385" s="69" t="n">
        <f aca="false">IF(T384&gt;0.5,T384*(1+Q$23)+Q$24,0)</f>
        <v>0</v>
      </c>
      <c r="R385" s="69" t="n">
        <f aca="false">MIN(R$23,Q385)</f>
        <v>0</v>
      </c>
      <c r="S385" s="69" t="n">
        <f aca="false">IF(AND(R$24=1,OR(Q$25="",$C385&gt;=Q$25)),MAX(0,MIN(Q385-R385,$D385-(G385+K385+O385))),0)</f>
        <v>0</v>
      </c>
      <c r="T385" s="69" t="n">
        <f aca="false">Q385-R385-S385</f>
        <v>0</v>
      </c>
      <c r="U385" s="69" t="n">
        <f aca="false">IF(X384&gt;0.5,X384*(1+U$23)+U$24,0)</f>
        <v>0</v>
      </c>
      <c r="V385" s="69" t="n">
        <f aca="false">MIN(V$23,U385)</f>
        <v>0</v>
      </c>
      <c r="W385" s="69" t="n">
        <f aca="false">IF(AND(V$24=1,OR(U$25="",$C385&gt;=U$25)),MAX(0,MIN(U385-V385,$D385-(G385+K385+O385+S385))),0)</f>
        <v>0</v>
      </c>
      <c r="X385" s="69" t="n">
        <f aca="false">U385-V385-W385</f>
        <v>0</v>
      </c>
      <c r="Y385" s="69" t="n">
        <f aca="false">IF(AB384&gt;0.5,AB384*(1+Y$23)+Y$24,0)</f>
        <v>0</v>
      </c>
      <c r="Z385" s="69" t="n">
        <f aca="false">MIN(Z$23,Y385)</f>
        <v>0</v>
      </c>
      <c r="AA385" s="69" t="n">
        <f aca="false">IF(AND(Z$24=1,OR(Y$25="",$C385&gt;=Y$25)),MAX(0,MIN(Y385-Z385,$D385-(G385+K385+O385+S385+W385))),0)</f>
        <v>0</v>
      </c>
      <c r="AB385" s="69" t="n">
        <f aca="false">Y385-Z385-AA385</f>
        <v>0</v>
      </c>
      <c r="AC385" s="69" t="n">
        <f aca="false">IF(AF384&gt;0.5,AF384*(1+AC$23)+AC$24,0)</f>
        <v>0</v>
      </c>
      <c r="AD385" s="69" t="n">
        <f aca="false">MIN(AD$23,AC385)</f>
        <v>0</v>
      </c>
      <c r="AE385" s="69" t="n">
        <f aca="false">IF(AND(AD$24=1,OR(AC$25="",$C385&gt;=AC$25)),MAX(0,MIN(AC385-AD385,$D385-(G385+K385+O385+S385+W385+AA385))),0)</f>
        <v>0</v>
      </c>
      <c r="AF385" s="69" t="n">
        <f aca="false">AC385-AD385-AE385</f>
        <v>0</v>
      </c>
      <c r="AG385" s="69" t="n">
        <f aca="false">IF(AJ384&gt;0.5,AJ384*(1+AG$23)+AG$24,0)</f>
        <v>0</v>
      </c>
      <c r="AH385" s="69" t="n">
        <f aca="false">MIN(AH$23,AG385)</f>
        <v>0</v>
      </c>
      <c r="AI385" s="69" t="n">
        <f aca="false">IF(AND(AH$24=1,OR(AG$25="",$C385&gt;=AG$25)),MAX(0,MIN(AG385-AH385,$D385-(G385+K385+O385+S385+W385+AA385+AE385))),0)</f>
        <v>0</v>
      </c>
      <c r="AJ385" s="69" t="n">
        <f aca="false">AG385-AH385-AI385</f>
        <v>0</v>
      </c>
      <c r="AK385" s="69" t="n">
        <f aca="false">IF(AK384&gt;0.5,AK384*(1+$E$12)+$G$12-MIN($F$12,AK384*(1+$E$12)+$G$12),0)</f>
        <v>0</v>
      </c>
      <c r="AL385" s="69" t="n">
        <f aca="false">IF(AL384&gt;0.5,AL384*(1+$E$13)+$G$13-MIN($F$13,AL384*(1+$E$13)+$G$13),0)</f>
        <v>0</v>
      </c>
      <c r="AM385" s="69" t="n">
        <f aca="false">IF(AM384&gt;0.5,AM384*(1+$E$14)+$G$14-MIN($F$14,AM384*(1+$E$14)+$G$14),0)</f>
        <v>0</v>
      </c>
      <c r="AN385" s="69" t="n">
        <f aca="false">IF(AN384&gt;0.5,AN384*(1+$E$15)+$G$15-MIN($F$15,AN384*(1+$E$15)+$G$15),0)</f>
        <v>0</v>
      </c>
      <c r="AO385" s="69" t="n">
        <f aca="false">IF(AO384&gt;0.5,AO384*(1+$E$16)+$G$16-MIN($F$16,AO384*(1+$E$16)+$G$16),0)</f>
        <v>0</v>
      </c>
      <c r="AP385" s="69" t="n">
        <f aca="false">IF(AP384&gt;0.5,AP384*(1+$E$17)+$G$17-MIN($F$17,AP384*(1+$E$17)+$G$17),0)</f>
        <v>0</v>
      </c>
      <c r="AQ385" s="69" t="n">
        <f aca="false">IF(AQ384&gt;0.5,AQ384*(1+$E$18)+$G$18-MIN($F$18,AQ384*(1+$E$18)+$G$18),0)</f>
        <v>0</v>
      </c>
      <c r="AR385" s="69" t="n">
        <f aca="false">IF(AR384&gt;0.5,AR384*(1+$E$19)+$G$19-MIN($F$19,AR384*(1+$E$19)+$G$19),0)</f>
        <v>0</v>
      </c>
      <c r="AS385" s="69" t="n">
        <f aca="false">H385+L385+P385+T385+X385+AB385+AF385+AJ385</f>
        <v>0</v>
      </c>
      <c r="AT385" s="69" t="n">
        <f aca="false">SUM(AK385:AR385)</f>
        <v>0</v>
      </c>
      <c r="AU385" s="69" t="n">
        <f aca="false">F385+G385+J385+K385+N385+O385+R385+S385+V385+W385+Z385+AA385+AD385+AE385+AH385+AI385</f>
        <v>0</v>
      </c>
    </row>
    <row r="386" customFormat="false" ht="15" hidden="false" customHeight="false" outlineLevel="0" collapsed="false">
      <c r="B386" s="0" t="n">
        <v>359</v>
      </c>
      <c r="C386" s="68" t="n">
        <f aca="false">EDATE($C$7,358)</f>
        <v>57193</v>
      </c>
      <c r="D386" s="69" t="n">
        <f aca="false">$C$8-(F386+J386+N386+R386+V386+Z386+AD386+AH386)</f>
        <v>0</v>
      </c>
      <c r="E386" s="69" t="n">
        <f aca="false">IF(H385&gt;0.5,H385*(1+E$23)+E$24,0)</f>
        <v>0</v>
      </c>
      <c r="F386" s="69" t="n">
        <f aca="false">MIN(F$23,E386)</f>
        <v>0</v>
      </c>
      <c r="G386" s="69" t="n">
        <f aca="false">IF(AND(F$24=1,OR(E$25="",$C386&gt;=E$25)),MAX(0,MIN(E386-F386,$D386-(0))),0)</f>
        <v>0</v>
      </c>
      <c r="H386" s="69" t="n">
        <f aca="false">E386-F386-G386</f>
        <v>0</v>
      </c>
      <c r="I386" s="69" t="n">
        <f aca="false">IF(L385&gt;0.5,L385*(1+I$23)+I$24,0)</f>
        <v>0</v>
      </c>
      <c r="J386" s="69" t="n">
        <f aca="false">MIN(J$23,I386)</f>
        <v>0</v>
      </c>
      <c r="K386" s="69" t="n">
        <f aca="false">IF(AND(J$24=1,OR(I$25="",$C386&gt;=I$25)),MAX(0,MIN(I386-J386,$D386-(G386))),0)</f>
        <v>0</v>
      </c>
      <c r="L386" s="69" t="n">
        <f aca="false">I386-J386-K386</f>
        <v>0</v>
      </c>
      <c r="M386" s="69" t="n">
        <f aca="false">IF(P385&gt;0.5,P385*(1+M$23)+M$24,0)</f>
        <v>0</v>
      </c>
      <c r="N386" s="69" t="n">
        <f aca="false">MIN(N$23,M386)</f>
        <v>0</v>
      </c>
      <c r="O386" s="69" t="n">
        <f aca="false">IF(AND(N$24=1,OR(M$25="",$C386&gt;=M$25)),MAX(0,MIN(M386-N386,$D386-(G386+K386))),0)</f>
        <v>0</v>
      </c>
      <c r="P386" s="69" t="n">
        <f aca="false">M386-N386-O386</f>
        <v>0</v>
      </c>
      <c r="Q386" s="69" t="n">
        <f aca="false">IF(T385&gt;0.5,T385*(1+Q$23)+Q$24,0)</f>
        <v>0</v>
      </c>
      <c r="R386" s="69" t="n">
        <f aca="false">MIN(R$23,Q386)</f>
        <v>0</v>
      </c>
      <c r="S386" s="69" t="n">
        <f aca="false">IF(AND(R$24=1,OR(Q$25="",$C386&gt;=Q$25)),MAX(0,MIN(Q386-R386,$D386-(G386+K386+O386))),0)</f>
        <v>0</v>
      </c>
      <c r="T386" s="69" t="n">
        <f aca="false">Q386-R386-S386</f>
        <v>0</v>
      </c>
      <c r="U386" s="69" t="n">
        <f aca="false">IF(X385&gt;0.5,X385*(1+U$23)+U$24,0)</f>
        <v>0</v>
      </c>
      <c r="V386" s="69" t="n">
        <f aca="false">MIN(V$23,U386)</f>
        <v>0</v>
      </c>
      <c r="W386" s="69" t="n">
        <f aca="false">IF(AND(V$24=1,OR(U$25="",$C386&gt;=U$25)),MAX(0,MIN(U386-V386,$D386-(G386+K386+O386+S386))),0)</f>
        <v>0</v>
      </c>
      <c r="X386" s="69" t="n">
        <f aca="false">U386-V386-W386</f>
        <v>0</v>
      </c>
      <c r="Y386" s="69" t="n">
        <f aca="false">IF(AB385&gt;0.5,AB385*(1+Y$23)+Y$24,0)</f>
        <v>0</v>
      </c>
      <c r="Z386" s="69" t="n">
        <f aca="false">MIN(Z$23,Y386)</f>
        <v>0</v>
      </c>
      <c r="AA386" s="69" t="n">
        <f aca="false">IF(AND(Z$24=1,OR(Y$25="",$C386&gt;=Y$25)),MAX(0,MIN(Y386-Z386,$D386-(G386+K386+O386+S386+W386))),0)</f>
        <v>0</v>
      </c>
      <c r="AB386" s="69" t="n">
        <f aca="false">Y386-Z386-AA386</f>
        <v>0</v>
      </c>
      <c r="AC386" s="69" t="n">
        <f aca="false">IF(AF385&gt;0.5,AF385*(1+AC$23)+AC$24,0)</f>
        <v>0</v>
      </c>
      <c r="AD386" s="69" t="n">
        <f aca="false">MIN(AD$23,AC386)</f>
        <v>0</v>
      </c>
      <c r="AE386" s="69" t="n">
        <f aca="false">IF(AND(AD$24=1,OR(AC$25="",$C386&gt;=AC$25)),MAX(0,MIN(AC386-AD386,$D386-(G386+K386+O386+S386+W386+AA386))),0)</f>
        <v>0</v>
      </c>
      <c r="AF386" s="69" t="n">
        <f aca="false">AC386-AD386-AE386</f>
        <v>0</v>
      </c>
      <c r="AG386" s="69" t="n">
        <f aca="false">IF(AJ385&gt;0.5,AJ385*(1+AG$23)+AG$24,0)</f>
        <v>0</v>
      </c>
      <c r="AH386" s="69" t="n">
        <f aca="false">MIN(AH$23,AG386)</f>
        <v>0</v>
      </c>
      <c r="AI386" s="69" t="n">
        <f aca="false">IF(AND(AH$24=1,OR(AG$25="",$C386&gt;=AG$25)),MAX(0,MIN(AG386-AH386,$D386-(G386+K386+O386+S386+W386+AA386+AE386))),0)</f>
        <v>0</v>
      </c>
      <c r="AJ386" s="69" t="n">
        <f aca="false">AG386-AH386-AI386</f>
        <v>0</v>
      </c>
      <c r="AK386" s="69" t="n">
        <f aca="false">IF(AK385&gt;0.5,AK385*(1+$E$12)+$G$12-MIN($F$12,AK385*(1+$E$12)+$G$12),0)</f>
        <v>0</v>
      </c>
      <c r="AL386" s="69" t="n">
        <f aca="false">IF(AL385&gt;0.5,AL385*(1+$E$13)+$G$13-MIN($F$13,AL385*(1+$E$13)+$G$13),0)</f>
        <v>0</v>
      </c>
      <c r="AM386" s="69" t="n">
        <f aca="false">IF(AM385&gt;0.5,AM385*(1+$E$14)+$G$14-MIN($F$14,AM385*(1+$E$14)+$G$14),0)</f>
        <v>0</v>
      </c>
      <c r="AN386" s="69" t="n">
        <f aca="false">IF(AN385&gt;0.5,AN385*(1+$E$15)+$G$15-MIN($F$15,AN385*(1+$E$15)+$G$15),0)</f>
        <v>0</v>
      </c>
      <c r="AO386" s="69" t="n">
        <f aca="false">IF(AO385&gt;0.5,AO385*(1+$E$16)+$G$16-MIN($F$16,AO385*(1+$E$16)+$G$16),0)</f>
        <v>0</v>
      </c>
      <c r="AP386" s="69" t="n">
        <f aca="false">IF(AP385&gt;0.5,AP385*(1+$E$17)+$G$17-MIN($F$17,AP385*(1+$E$17)+$G$17),0)</f>
        <v>0</v>
      </c>
      <c r="AQ386" s="69" t="n">
        <f aca="false">IF(AQ385&gt;0.5,AQ385*(1+$E$18)+$G$18-MIN($F$18,AQ385*(1+$E$18)+$G$18),0)</f>
        <v>0</v>
      </c>
      <c r="AR386" s="69" t="n">
        <f aca="false">IF(AR385&gt;0.5,AR385*(1+$E$19)+$G$19-MIN($F$19,AR385*(1+$E$19)+$G$19),0)</f>
        <v>0</v>
      </c>
      <c r="AS386" s="69" t="n">
        <f aca="false">H386+L386+P386+T386+X386+AB386+AF386+AJ386</f>
        <v>0</v>
      </c>
      <c r="AT386" s="69" t="n">
        <f aca="false">SUM(AK386:AR386)</f>
        <v>0</v>
      </c>
      <c r="AU386" s="69" t="n">
        <f aca="false">F386+G386+J386+K386+N386+O386+R386+S386+V386+W386+Z386+AA386+AD386+AE386+AH386+AI386</f>
        <v>0</v>
      </c>
    </row>
    <row r="387" customFormat="false" ht="15" hidden="false" customHeight="false" outlineLevel="0" collapsed="false">
      <c r="B387" s="0" t="n">
        <v>360</v>
      </c>
      <c r="C387" s="68" t="n">
        <f aca="false">EDATE($C$7,359)</f>
        <v>57224</v>
      </c>
      <c r="D387" s="69" t="n">
        <f aca="false">$C$8-(F387+J387+N387+R387+V387+Z387+AD387+AH387)</f>
        <v>0</v>
      </c>
      <c r="E387" s="69" t="n">
        <f aca="false">IF(H386&gt;0.5,H386*(1+E$23)+E$24,0)</f>
        <v>0</v>
      </c>
      <c r="F387" s="69" t="n">
        <f aca="false">MIN(F$23,E387)</f>
        <v>0</v>
      </c>
      <c r="G387" s="69" t="n">
        <f aca="false">IF(AND(F$24=1,OR(E$25="",$C387&gt;=E$25)),MAX(0,MIN(E387-F387,$D387-(0))),0)</f>
        <v>0</v>
      </c>
      <c r="H387" s="69" t="n">
        <f aca="false">E387-F387-G387</f>
        <v>0</v>
      </c>
      <c r="I387" s="69" t="n">
        <f aca="false">IF(L386&gt;0.5,L386*(1+I$23)+I$24,0)</f>
        <v>0</v>
      </c>
      <c r="J387" s="69" t="n">
        <f aca="false">MIN(J$23,I387)</f>
        <v>0</v>
      </c>
      <c r="K387" s="69" t="n">
        <f aca="false">IF(AND(J$24=1,OR(I$25="",$C387&gt;=I$25)),MAX(0,MIN(I387-J387,$D387-(G387))),0)</f>
        <v>0</v>
      </c>
      <c r="L387" s="69" t="n">
        <f aca="false">I387-J387-K387</f>
        <v>0</v>
      </c>
      <c r="M387" s="69" t="n">
        <f aca="false">IF(P386&gt;0.5,P386*(1+M$23)+M$24,0)</f>
        <v>0</v>
      </c>
      <c r="N387" s="69" t="n">
        <f aca="false">MIN(N$23,M387)</f>
        <v>0</v>
      </c>
      <c r="O387" s="69" t="n">
        <f aca="false">IF(AND(N$24=1,OR(M$25="",$C387&gt;=M$25)),MAX(0,MIN(M387-N387,$D387-(G387+K387))),0)</f>
        <v>0</v>
      </c>
      <c r="P387" s="69" t="n">
        <f aca="false">M387-N387-O387</f>
        <v>0</v>
      </c>
      <c r="Q387" s="69" t="n">
        <f aca="false">IF(T386&gt;0.5,T386*(1+Q$23)+Q$24,0)</f>
        <v>0</v>
      </c>
      <c r="R387" s="69" t="n">
        <f aca="false">MIN(R$23,Q387)</f>
        <v>0</v>
      </c>
      <c r="S387" s="69" t="n">
        <f aca="false">IF(AND(R$24=1,OR(Q$25="",$C387&gt;=Q$25)),MAX(0,MIN(Q387-R387,$D387-(G387+K387+O387))),0)</f>
        <v>0</v>
      </c>
      <c r="T387" s="69" t="n">
        <f aca="false">Q387-R387-S387</f>
        <v>0</v>
      </c>
      <c r="U387" s="69" t="n">
        <f aca="false">IF(X386&gt;0.5,X386*(1+U$23)+U$24,0)</f>
        <v>0</v>
      </c>
      <c r="V387" s="69" t="n">
        <f aca="false">MIN(V$23,U387)</f>
        <v>0</v>
      </c>
      <c r="W387" s="69" t="n">
        <f aca="false">IF(AND(V$24=1,OR(U$25="",$C387&gt;=U$25)),MAX(0,MIN(U387-V387,$D387-(G387+K387+O387+S387))),0)</f>
        <v>0</v>
      </c>
      <c r="X387" s="69" t="n">
        <f aca="false">U387-V387-W387</f>
        <v>0</v>
      </c>
      <c r="Y387" s="69" t="n">
        <f aca="false">IF(AB386&gt;0.5,AB386*(1+Y$23)+Y$24,0)</f>
        <v>0</v>
      </c>
      <c r="Z387" s="69" t="n">
        <f aca="false">MIN(Z$23,Y387)</f>
        <v>0</v>
      </c>
      <c r="AA387" s="69" t="n">
        <f aca="false">IF(AND(Z$24=1,OR(Y$25="",$C387&gt;=Y$25)),MAX(0,MIN(Y387-Z387,$D387-(G387+K387+O387+S387+W387))),0)</f>
        <v>0</v>
      </c>
      <c r="AB387" s="69" t="n">
        <f aca="false">Y387-Z387-AA387</f>
        <v>0</v>
      </c>
      <c r="AC387" s="69" t="n">
        <f aca="false">IF(AF386&gt;0.5,AF386*(1+AC$23)+AC$24,0)</f>
        <v>0</v>
      </c>
      <c r="AD387" s="69" t="n">
        <f aca="false">MIN(AD$23,AC387)</f>
        <v>0</v>
      </c>
      <c r="AE387" s="69" t="n">
        <f aca="false">IF(AND(AD$24=1,OR(AC$25="",$C387&gt;=AC$25)),MAX(0,MIN(AC387-AD387,$D387-(G387+K387+O387+S387+W387+AA387))),0)</f>
        <v>0</v>
      </c>
      <c r="AF387" s="69" t="n">
        <f aca="false">AC387-AD387-AE387</f>
        <v>0</v>
      </c>
      <c r="AG387" s="69" t="n">
        <f aca="false">IF(AJ386&gt;0.5,AJ386*(1+AG$23)+AG$24,0)</f>
        <v>0</v>
      </c>
      <c r="AH387" s="69" t="n">
        <f aca="false">MIN(AH$23,AG387)</f>
        <v>0</v>
      </c>
      <c r="AI387" s="69" t="n">
        <f aca="false">IF(AND(AH$24=1,OR(AG$25="",$C387&gt;=AG$25)),MAX(0,MIN(AG387-AH387,$D387-(G387+K387+O387+S387+W387+AA387+AE387))),0)</f>
        <v>0</v>
      </c>
      <c r="AJ387" s="69" t="n">
        <f aca="false">AG387-AH387-AI387</f>
        <v>0</v>
      </c>
      <c r="AK387" s="69" t="n">
        <f aca="false">IF(AK386&gt;0.5,AK386*(1+$E$12)+$G$12-MIN($F$12,AK386*(1+$E$12)+$G$12),0)</f>
        <v>0</v>
      </c>
      <c r="AL387" s="69" t="n">
        <f aca="false">IF(AL386&gt;0.5,AL386*(1+$E$13)+$G$13-MIN($F$13,AL386*(1+$E$13)+$G$13),0)</f>
        <v>0</v>
      </c>
      <c r="AM387" s="69" t="n">
        <f aca="false">IF(AM386&gt;0.5,AM386*(1+$E$14)+$G$14-MIN($F$14,AM386*(1+$E$14)+$G$14),0)</f>
        <v>0</v>
      </c>
      <c r="AN387" s="69" t="n">
        <f aca="false">IF(AN386&gt;0.5,AN386*(1+$E$15)+$G$15-MIN($F$15,AN386*(1+$E$15)+$G$15),0)</f>
        <v>0</v>
      </c>
      <c r="AO387" s="69" t="n">
        <f aca="false">IF(AO386&gt;0.5,AO386*(1+$E$16)+$G$16-MIN($F$16,AO386*(1+$E$16)+$G$16),0)</f>
        <v>0</v>
      </c>
      <c r="AP387" s="69" t="n">
        <f aca="false">IF(AP386&gt;0.5,AP386*(1+$E$17)+$G$17-MIN($F$17,AP386*(1+$E$17)+$G$17),0)</f>
        <v>0</v>
      </c>
      <c r="AQ387" s="69" t="n">
        <f aca="false">IF(AQ386&gt;0.5,AQ386*(1+$E$18)+$G$18-MIN($F$18,AQ386*(1+$E$18)+$G$18),0)</f>
        <v>0</v>
      </c>
      <c r="AR387" s="69" t="n">
        <f aca="false">IF(AR386&gt;0.5,AR386*(1+$E$19)+$G$19-MIN($F$19,AR386*(1+$E$19)+$G$19),0)</f>
        <v>0</v>
      </c>
      <c r="AS387" s="69" t="n">
        <f aca="false">H387+L387+P387+T387+X387+AB387+AF387+AJ387</f>
        <v>0</v>
      </c>
      <c r="AT387" s="69" t="n">
        <f aca="false">SUM(AK387:AR387)</f>
        <v>0</v>
      </c>
      <c r="AU387" s="69" t="n">
        <f aca="false">F387+G387+J387+K387+N387+O387+R387+S387+V387+W387+Z387+AA387+AD387+AE387+AH387+AI387</f>
        <v>0</v>
      </c>
    </row>
  </sheetData>
  <dataValidations count="1">
    <dataValidation allowBlank="true" error="Elige un valor de la lista." errorStyle="stop" errorTitle="Valor no válido" operator="between" showDropDown="false" showErrorMessage="true" showInputMessage="false" sqref="C5" type="list">
      <formula1>Listas!$C$2:$C$4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04A"/>
    <pageSetUpPr fitToPage="true"/>
  </sheetPr>
  <dimension ref="B1:S38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26" topLeftCell="C27" activePane="bottomRight" state="frozen"/>
      <selection pane="topLeft" activeCell="A1" activeCellId="0" sqref="A1"/>
      <selection pane="topRight" activeCell="C1" activeCellId="0" sqref="C1"/>
      <selection pane="bottomLeft" activeCell="A27" activeCellId="0" sqref="A2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4" min="3" style="0" width="15"/>
    <col collapsed="false" customWidth="true" hidden="false" outlineLevel="0" max="5" min="5" style="0" width="30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34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2" min="11" style="0" width="14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5" min="15" style="0" width="9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9" min="18" style="0" width="5"/>
  </cols>
  <sheetData>
    <row r="1" customFormat="false" ht="19.7" hidden="false" customHeight="false" outlineLevel="0" collapsed="false">
      <c r="B1" s="19" t="str">
        <f aca="false">IF(C6="","Crédito 1: sin datos","Crédito 1: "&amp;C6)</f>
        <v>Crédito 1: sin datos</v>
      </c>
    </row>
    <row r="2" customFormat="false" ht="15" hidden="false" customHeight="false" outlineLevel="0" collapsed="false">
      <c r="B2" s="20" t="s">
        <v>161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5" customFormat="false" ht="15" hidden="false" customHeight="false" outlineLevel="0" collapsed="false">
      <c r="B5" s="7" t="s">
        <v>162</v>
      </c>
      <c r="C5" s="8"/>
      <c r="E5" s="7" t="s">
        <v>163</v>
      </c>
      <c r="F5" s="8"/>
      <c r="H5" s="7" t="s">
        <v>164</v>
      </c>
      <c r="I5" s="8"/>
    </row>
    <row r="6" customFormat="false" ht="15" hidden="false" customHeight="false" outlineLevel="0" collapsed="false">
      <c r="B6" s="16" t="s">
        <v>165</v>
      </c>
      <c r="C6" s="15"/>
      <c r="E6" s="16" t="s">
        <v>166</v>
      </c>
      <c r="F6" s="16" t="str">
        <f aca="false">IF(AND(C6&lt;&gt;"",N(C9)&gt;0,ISNUMBER(C10)),"Sí","No")</f>
        <v>No</v>
      </c>
      <c r="H6" s="28" t="s">
        <v>46</v>
      </c>
      <c r="I6" s="42" t="n">
        <f aca="false">IF($F$6&lt;&gt;"Sí",0,MAX(0,$C$9-SUMIFS(L27:L386,R27:R386,1)))</f>
        <v>0</v>
      </c>
    </row>
    <row r="7" customFormat="false" ht="15" hidden="false" customHeight="false" outlineLevel="0" collapsed="false">
      <c r="B7" s="16" t="s">
        <v>167</v>
      </c>
      <c r="C7" s="15"/>
      <c r="E7" s="16" t="s">
        <v>130</v>
      </c>
      <c r="F7" s="70" t="n">
        <f aca="false">(1+N(C13))^(1/12)-1</f>
        <v>0</v>
      </c>
      <c r="H7" s="16" t="s">
        <v>168</v>
      </c>
      <c r="I7" s="71" t="n">
        <f aca="false">SUM(R27:R386)</f>
        <v>0</v>
      </c>
    </row>
    <row r="8" customFormat="false" ht="15" hidden="false" customHeight="false" outlineLevel="0" collapsed="false">
      <c r="B8" s="16" t="s">
        <v>91</v>
      </c>
      <c r="C8" s="15"/>
      <c r="E8" s="16" t="s">
        <v>169</v>
      </c>
      <c r="F8" s="70" t="n">
        <f aca="false">IF(N(C19)=0,0,F7-((1+MAX(0,N(C13)-C19))^(1/12)-1))</f>
        <v>0</v>
      </c>
      <c r="H8" s="16" t="s">
        <v>170</v>
      </c>
      <c r="I8" s="71" t="str">
        <f aca="false">IF($F$13=0,"",INDEX(B27:B386,$F$13))</f>
        <v/>
      </c>
    </row>
    <row r="9" customFormat="false" ht="15" hidden="false" customHeight="false" outlineLevel="0" collapsed="false">
      <c r="B9" s="16" t="s">
        <v>171</v>
      </c>
      <c r="C9" s="53"/>
      <c r="E9" s="16" t="s">
        <v>172</v>
      </c>
      <c r="F9" s="41" t="n">
        <f aca="false">IF(N(C14)&gt;0,C14,IF(AND(N(C12)&gt;0,N(C9)&gt;0,N(C12)-N(C11)+1&gt;0),IF(F7=0,C9/(C12-N(C11)+1),PMT(F7,C12-N(C11)+1,-C9))+N(C15),0))</f>
        <v>0</v>
      </c>
      <c r="H9" s="16" t="s">
        <v>173</v>
      </c>
      <c r="I9" s="72" t="str">
        <f aca="false">IF($F$13=0,"",INDEX(C27:C386,$F$13))</f>
        <v/>
      </c>
    </row>
    <row r="10" customFormat="false" ht="15" hidden="false" customHeight="false" outlineLevel="0" collapsed="false">
      <c r="B10" s="16" t="s">
        <v>174</v>
      </c>
      <c r="C10" s="46"/>
      <c r="E10" s="16" t="s">
        <v>175</v>
      </c>
      <c r="F10" s="71" t="str">
        <f aca="false">IF(ISNUMBER(C10),DAY(C10),"")</f>
        <v/>
      </c>
      <c r="H10" s="28" t="s">
        <v>176</v>
      </c>
      <c r="I10" s="42" t="n">
        <f aca="false">IF($F$13=0,0,INDEX(N27:N386,$F$13))</f>
        <v>0</v>
      </c>
    </row>
    <row r="11" customFormat="false" ht="15" hidden="false" customHeight="false" outlineLevel="0" collapsed="false">
      <c r="B11" s="16" t="s">
        <v>177</v>
      </c>
      <c r="C11" s="73" t="n">
        <v>1</v>
      </c>
      <c r="E11" s="16" t="s">
        <v>178</v>
      </c>
      <c r="F11" s="72" t="str">
        <f aca="false">IF(OR(C17="No",N(C18)=0,NOT(ISNUMBER(C10))),"",EDATE(C10,C18-N(C11)))</f>
        <v/>
      </c>
      <c r="H11" s="16" t="s">
        <v>49</v>
      </c>
      <c r="I11" s="71" t="n">
        <f aca="false">SUM(S27:S386)</f>
        <v>0</v>
      </c>
    </row>
    <row r="12" customFormat="false" ht="15" hidden="false" customHeight="false" outlineLevel="0" collapsed="false">
      <c r="B12" s="16" t="s">
        <v>179</v>
      </c>
      <c r="C12" s="73"/>
      <c r="E12" s="16" t="s">
        <v>100</v>
      </c>
      <c r="F12" s="72" t="n">
        <f aca="false">Datos!$C$7</f>
        <v>46290</v>
      </c>
      <c r="H12" s="16" t="s">
        <v>50</v>
      </c>
      <c r="I12" s="72" t="str">
        <f aca="false">IF($F$6&lt;&gt;"Sí","",IF(M386&gt;0.5,"Más de 360 cuotas",_xlfn.MAXIFS(C27:C386,K27:K386,"&gt;0")))</f>
        <v/>
      </c>
    </row>
    <row r="13" customFormat="false" ht="15" hidden="false" customHeight="false" outlineLevel="0" collapsed="false">
      <c r="B13" s="16" t="s">
        <v>180</v>
      </c>
      <c r="C13" s="74"/>
      <c r="E13" s="16" t="s">
        <v>181</v>
      </c>
      <c r="F13" s="71" t="n">
        <f aca="false">IFERROR(MATCH(1,S27:S386,0),0)</f>
        <v>0</v>
      </c>
      <c r="H13" s="16" t="s">
        <v>51</v>
      </c>
      <c r="I13" s="41" t="n">
        <f aca="false">SUMIFS(E27:E386,S27:S386,1)</f>
        <v>0</v>
      </c>
    </row>
    <row r="14" customFormat="false" ht="15" hidden="false" customHeight="false" outlineLevel="0" collapsed="false">
      <c r="B14" s="16" t="s">
        <v>182</v>
      </c>
      <c r="C14" s="53"/>
      <c r="E14" s="18" t="s">
        <v>183</v>
      </c>
      <c r="H14" s="16" t="s">
        <v>184</v>
      </c>
      <c r="I14" s="41" t="n">
        <f aca="false">SUMIFS(N27:N386,S27:S386,1)</f>
        <v>0</v>
      </c>
    </row>
    <row r="15" customFormat="false" ht="15" hidden="false" customHeight="false" outlineLevel="0" collapsed="false">
      <c r="B15" s="16" t="s">
        <v>185</v>
      </c>
      <c r="C15" s="53" t="n">
        <v>0</v>
      </c>
      <c r="H15" s="16" t="s">
        <v>186</v>
      </c>
      <c r="I15" s="75" t="n">
        <f aca="false">IF($F$6&lt;&gt;"Sí",0,IF(N(C16)&gt;0,1-I6/C16,IF(N(C9)&gt;0,1-I6/C9,0)))</f>
        <v>0</v>
      </c>
    </row>
    <row r="16" customFormat="false" ht="15" hidden="false" customHeight="false" outlineLevel="0" collapsed="false">
      <c r="B16" s="16" t="s">
        <v>187</v>
      </c>
      <c r="C16" s="53"/>
      <c r="H16" s="16" t="s">
        <v>188</v>
      </c>
      <c r="I16" s="75" t="str">
        <f aca="false">IF(N(C12)=0,"",(N(C11)-1+I7)/C12)</f>
        <v/>
      </c>
    </row>
    <row r="17" customFormat="false" ht="15" hidden="false" customHeight="false" outlineLevel="0" collapsed="false">
      <c r="B17" s="16" t="s">
        <v>94</v>
      </c>
      <c r="C17" s="15" t="s">
        <v>189</v>
      </c>
      <c r="H17" s="16" t="s">
        <v>42</v>
      </c>
      <c r="I17" s="71" t="n">
        <f aca="false">COUNTIFS(S27:S386,1,C27:C386,"&lt;"&amp;$F$12)</f>
        <v>0</v>
      </c>
    </row>
    <row r="18" customFormat="false" ht="15" hidden="false" customHeight="false" outlineLevel="0" collapsed="false">
      <c r="B18" s="16" t="s">
        <v>190</v>
      </c>
      <c r="C18" s="73"/>
      <c r="H18" s="16" t="s">
        <v>191</v>
      </c>
      <c r="I18" s="41" t="n">
        <f aca="false">F9</f>
        <v>0</v>
      </c>
    </row>
    <row r="19" customFormat="false" ht="15" hidden="false" customHeight="false" outlineLevel="0" collapsed="false">
      <c r="B19" s="16" t="s">
        <v>192</v>
      </c>
      <c r="C19" s="74"/>
      <c r="H19" s="28" t="s">
        <v>54</v>
      </c>
      <c r="I19" s="28" t="str">
        <f aca="false">IF(F6&lt;&gt;"Sí","Sin datos",IF(I17&gt;0,"Vencidas sin marcar",IF(I11=0,"Pagado","Al día")))</f>
        <v>Sin datos</v>
      </c>
    </row>
    <row r="20" customFormat="false" ht="15" hidden="false" customHeight="false" outlineLevel="0" collapsed="false">
      <c r="B20" s="16" t="s">
        <v>193</v>
      </c>
      <c r="C20" s="73"/>
    </row>
    <row r="21" customFormat="false" ht="15" hidden="false" customHeight="false" outlineLevel="0" collapsed="false">
      <c r="B21" s="7" t="s">
        <v>194</v>
      </c>
      <c r="C21" s="8"/>
      <c r="D21" s="8"/>
      <c r="E21" s="8"/>
      <c r="F21" s="8"/>
      <c r="G21" s="8"/>
    </row>
    <row r="22" customFormat="false" ht="15" hidden="false" customHeight="false" outlineLevel="0" collapsed="false">
      <c r="B22" s="16" t="s">
        <v>195</v>
      </c>
      <c r="C22" s="53"/>
      <c r="E22" s="16" t="s">
        <v>196</v>
      </c>
      <c r="F22" s="76" t="str">
        <f aca="false">IF(OR(I6&lt;=0,F9-N(C15)+N(C22)&lt;=0),"",IFERROR(IF(F7=0,I6/(F9-N(C15)+N(C22)),NPER(F7,-(F9-N(C15)+N(C22)),I6)),"No alcanza"))</f>
        <v/>
      </c>
      <c r="G22" s="41" t="str">
        <f aca="false">IF(OR(F22="",NOT(ISNUMBER(F22))),"",(F9-N(C15)+N(C22))*F22-I6)</f>
        <v/>
      </c>
    </row>
    <row r="23" customFormat="false" ht="15" hidden="false" customHeight="false" outlineLevel="0" collapsed="false">
      <c r="B23" s="16" t="s">
        <v>197</v>
      </c>
      <c r="C23" s="73"/>
      <c r="E23" s="16" t="s">
        <v>198</v>
      </c>
      <c r="F23" s="41" t="str">
        <f aca="false">IF(OR(N(C23)=0,I6&lt;=0),"",IF(F7=0,I6/C23,PMT(F7,C23,-I6))+N(C15))</f>
        <v/>
      </c>
      <c r="G23" s="18" t="s">
        <v>199</v>
      </c>
    </row>
    <row r="25" customFormat="false" ht="15" hidden="false" customHeight="false" outlineLevel="0" collapsed="false">
      <c r="B25" s="18" t="s">
        <v>200</v>
      </c>
    </row>
    <row r="26" customFormat="false" ht="30" hidden="false" customHeight="true" outlineLevel="0" collapsed="false">
      <c r="B26" s="9" t="s">
        <v>201</v>
      </c>
      <c r="C26" s="10" t="s">
        <v>146</v>
      </c>
      <c r="D26" s="10" t="s">
        <v>202</v>
      </c>
      <c r="E26" s="10" t="s">
        <v>203</v>
      </c>
      <c r="F26" s="10" t="s">
        <v>204</v>
      </c>
      <c r="G26" s="10" t="s">
        <v>205</v>
      </c>
      <c r="H26" s="10" t="s">
        <v>206</v>
      </c>
      <c r="I26" s="10" t="s">
        <v>207</v>
      </c>
      <c r="J26" s="10" t="s">
        <v>208</v>
      </c>
      <c r="K26" s="10" t="s">
        <v>209</v>
      </c>
      <c r="L26" s="10" t="s">
        <v>210</v>
      </c>
      <c r="M26" s="10" t="s">
        <v>211</v>
      </c>
      <c r="N26" s="10" t="s">
        <v>212</v>
      </c>
      <c r="O26" s="10" t="s">
        <v>213</v>
      </c>
      <c r="P26" s="10" t="s">
        <v>214</v>
      </c>
      <c r="Q26" s="10" t="s">
        <v>54</v>
      </c>
      <c r="R26" s="10" t="s">
        <v>215</v>
      </c>
      <c r="S26" s="10" t="s">
        <v>215</v>
      </c>
    </row>
    <row r="27" customFormat="false" ht="15" hidden="false" customHeight="false" outlineLevel="0" collapsed="false">
      <c r="B27" s="71" t="str">
        <f aca="false">IF($F$6="Sí",N($C$11)+0,"")</f>
        <v/>
      </c>
      <c r="C27" s="72" t="str">
        <f aca="false">IF(OR($F$6&lt;&gt;"Sí",D27&lt;=0.5),"",EDATE($C$10,0))</f>
        <v/>
      </c>
      <c r="D27" s="41" t="n">
        <f aca="false">IF($F$6="Sí",$C$9,0)</f>
        <v>0</v>
      </c>
      <c r="E27" s="41" t="n">
        <f aca="false">D27*$F$7</f>
        <v>0</v>
      </c>
      <c r="F27" s="41" t="n">
        <f aca="false">IF(D27&gt;0.5,N($C$15),0)</f>
        <v>0</v>
      </c>
      <c r="G27" s="41" t="n">
        <f aca="false">IF(AND(D27&gt;0.5,N($C$19)&gt;0,N(B27)&lt;=N($C$20)),D27*$F$8,0)</f>
        <v>0</v>
      </c>
      <c r="H27" s="41" t="n">
        <f aca="false">IF(D27&lt;=0.5,0,MIN(IF(N(I27)&gt;0,I27,$F$9),D27+E27+F27))</f>
        <v>0</v>
      </c>
      <c r="I27" s="77"/>
      <c r="J27" s="77"/>
      <c r="K27" s="41" t="n">
        <f aca="false">IF(D27&lt;=0.5,0,MIN(H27+N(J27),D27+E27+F27))</f>
        <v>0</v>
      </c>
      <c r="L27" s="41" t="n">
        <f aca="false">K27-E27-F27</f>
        <v>0</v>
      </c>
      <c r="M27" s="41" t="n">
        <f aca="false">D27-L27</f>
        <v>0</v>
      </c>
      <c r="N27" s="42" t="n">
        <f aca="false">K27-G27</f>
        <v>0</v>
      </c>
      <c r="O27" s="78"/>
      <c r="P27" s="79"/>
      <c r="Q27" s="16" t="str">
        <f aca="false">IF(K27=0,"",IF(R27=1,"Pagada",IF(C27&lt;$F$12,"Vencida",IF(1=$F$13,"Próxima","Pendiente"))))</f>
        <v/>
      </c>
      <c r="R27" s="62" t="n">
        <f aca="false">IF(AND(K27&gt;0,OR(O27="Sí",O27="Si")),1,0)</f>
        <v>0</v>
      </c>
      <c r="S27" s="62" t="n">
        <f aca="false">IF(AND(K27&gt;0,R27=0),1,0)</f>
        <v>0</v>
      </c>
    </row>
    <row r="28" customFormat="false" ht="15" hidden="false" customHeight="false" outlineLevel="0" collapsed="false">
      <c r="B28" s="71" t="str">
        <f aca="false">IF($F$6="Sí",N($C$11)+1,"")</f>
        <v/>
      </c>
      <c r="C28" s="72" t="str">
        <f aca="false">IF(OR($F$6&lt;&gt;"Sí",D28&lt;=0.5),"",EDATE($C$10,1))</f>
        <v/>
      </c>
      <c r="D28" s="41" t="n">
        <f aca="false">MAX(0,M27)</f>
        <v>0</v>
      </c>
      <c r="E28" s="41" t="n">
        <f aca="false">D28*$F$7</f>
        <v>0</v>
      </c>
      <c r="F28" s="41" t="n">
        <f aca="false">IF(D28&gt;0.5,N($C$15),0)</f>
        <v>0</v>
      </c>
      <c r="G28" s="41" t="n">
        <f aca="false">IF(AND(D28&gt;0.5,N($C$19)&gt;0,N(B28)&lt;=N($C$20)),D28*$F$8,0)</f>
        <v>0</v>
      </c>
      <c r="H28" s="41" t="n">
        <f aca="false">IF(D28&lt;=0.5,0,MIN(IF(N(I28)&gt;0,I28,$F$9),D28+E28+F28))</f>
        <v>0</v>
      </c>
      <c r="I28" s="77"/>
      <c r="J28" s="77"/>
      <c r="K28" s="41" t="n">
        <f aca="false">IF(D28&lt;=0.5,0,MIN(H28+N(J28),D28+E28+F28))</f>
        <v>0</v>
      </c>
      <c r="L28" s="41" t="n">
        <f aca="false">K28-E28-F28</f>
        <v>0</v>
      </c>
      <c r="M28" s="41" t="n">
        <f aca="false">D28-L28</f>
        <v>0</v>
      </c>
      <c r="N28" s="42" t="n">
        <f aca="false">K28-G28</f>
        <v>0</v>
      </c>
      <c r="O28" s="78"/>
      <c r="P28" s="79"/>
      <c r="Q28" s="16" t="str">
        <f aca="false">IF(K28=0,"",IF(R28=1,"Pagada",IF(C28&lt;$F$12,"Vencida",IF(2=$F$13,"Próxima","Pendiente"))))</f>
        <v/>
      </c>
      <c r="R28" s="62" t="n">
        <f aca="false">IF(AND(K28&gt;0,OR(O28="Sí",O28="Si")),1,0)</f>
        <v>0</v>
      </c>
      <c r="S28" s="62" t="n">
        <f aca="false">IF(AND(K28&gt;0,R28=0),1,0)</f>
        <v>0</v>
      </c>
    </row>
    <row r="29" customFormat="false" ht="15" hidden="false" customHeight="false" outlineLevel="0" collapsed="false">
      <c r="B29" s="71" t="str">
        <f aca="false">IF($F$6="Sí",N($C$11)+2,"")</f>
        <v/>
      </c>
      <c r="C29" s="72" t="str">
        <f aca="false">IF(OR($F$6&lt;&gt;"Sí",D29&lt;=0.5),"",EDATE($C$10,2))</f>
        <v/>
      </c>
      <c r="D29" s="41" t="n">
        <f aca="false">MAX(0,M28)</f>
        <v>0</v>
      </c>
      <c r="E29" s="41" t="n">
        <f aca="false">D29*$F$7</f>
        <v>0</v>
      </c>
      <c r="F29" s="41" t="n">
        <f aca="false">IF(D29&gt;0.5,N($C$15),0)</f>
        <v>0</v>
      </c>
      <c r="G29" s="41" t="n">
        <f aca="false">IF(AND(D29&gt;0.5,N($C$19)&gt;0,N(B29)&lt;=N($C$20)),D29*$F$8,0)</f>
        <v>0</v>
      </c>
      <c r="H29" s="41" t="n">
        <f aca="false">IF(D29&lt;=0.5,0,MIN(IF(N(I29)&gt;0,I29,$F$9),D29+E29+F29))</f>
        <v>0</v>
      </c>
      <c r="I29" s="77"/>
      <c r="J29" s="77"/>
      <c r="K29" s="41" t="n">
        <f aca="false">IF(D29&lt;=0.5,0,MIN(H29+N(J29),D29+E29+F29))</f>
        <v>0</v>
      </c>
      <c r="L29" s="41" t="n">
        <f aca="false">K29-E29-F29</f>
        <v>0</v>
      </c>
      <c r="M29" s="41" t="n">
        <f aca="false">D29-L29</f>
        <v>0</v>
      </c>
      <c r="N29" s="42" t="n">
        <f aca="false">K29-G29</f>
        <v>0</v>
      </c>
      <c r="O29" s="78"/>
      <c r="P29" s="79"/>
      <c r="Q29" s="16" t="str">
        <f aca="false">IF(K29=0,"",IF(R29=1,"Pagada",IF(C29&lt;$F$12,"Vencida",IF(3=$F$13,"Próxima","Pendiente"))))</f>
        <v/>
      </c>
      <c r="R29" s="62" t="n">
        <f aca="false">IF(AND(K29&gt;0,OR(O29="Sí",O29="Si")),1,0)</f>
        <v>0</v>
      </c>
      <c r="S29" s="62" t="n">
        <f aca="false">IF(AND(K29&gt;0,R29=0),1,0)</f>
        <v>0</v>
      </c>
    </row>
    <row r="30" customFormat="false" ht="15" hidden="false" customHeight="false" outlineLevel="0" collapsed="false">
      <c r="B30" s="71" t="str">
        <f aca="false">IF($F$6="Sí",N($C$11)+3,"")</f>
        <v/>
      </c>
      <c r="C30" s="72" t="str">
        <f aca="false">IF(OR($F$6&lt;&gt;"Sí",D30&lt;=0.5),"",EDATE($C$10,3))</f>
        <v/>
      </c>
      <c r="D30" s="41" t="n">
        <f aca="false">MAX(0,M29)</f>
        <v>0</v>
      </c>
      <c r="E30" s="41" t="n">
        <f aca="false">D30*$F$7</f>
        <v>0</v>
      </c>
      <c r="F30" s="41" t="n">
        <f aca="false">IF(D30&gt;0.5,N($C$15),0)</f>
        <v>0</v>
      </c>
      <c r="G30" s="41" t="n">
        <f aca="false">IF(AND(D30&gt;0.5,N($C$19)&gt;0,N(B30)&lt;=N($C$20)),D30*$F$8,0)</f>
        <v>0</v>
      </c>
      <c r="H30" s="41" t="n">
        <f aca="false">IF(D30&lt;=0.5,0,MIN(IF(N(I30)&gt;0,I30,$F$9),D30+E30+F30))</f>
        <v>0</v>
      </c>
      <c r="I30" s="77"/>
      <c r="J30" s="77"/>
      <c r="K30" s="41" t="n">
        <f aca="false">IF(D30&lt;=0.5,0,MIN(H30+N(J30),D30+E30+F30))</f>
        <v>0</v>
      </c>
      <c r="L30" s="41" t="n">
        <f aca="false">K30-E30-F30</f>
        <v>0</v>
      </c>
      <c r="M30" s="41" t="n">
        <f aca="false">D30-L30</f>
        <v>0</v>
      </c>
      <c r="N30" s="42" t="n">
        <f aca="false">K30-G30</f>
        <v>0</v>
      </c>
      <c r="O30" s="78"/>
      <c r="P30" s="79"/>
      <c r="Q30" s="16" t="str">
        <f aca="false">IF(K30=0,"",IF(R30=1,"Pagada",IF(C30&lt;$F$12,"Vencida",IF(4=$F$13,"Próxima","Pendiente"))))</f>
        <v/>
      </c>
      <c r="R30" s="62" t="n">
        <f aca="false">IF(AND(K30&gt;0,OR(O30="Sí",O30="Si")),1,0)</f>
        <v>0</v>
      </c>
      <c r="S30" s="62" t="n">
        <f aca="false">IF(AND(K30&gt;0,R30=0),1,0)</f>
        <v>0</v>
      </c>
    </row>
    <row r="31" customFormat="false" ht="15" hidden="false" customHeight="false" outlineLevel="0" collapsed="false">
      <c r="B31" s="71" t="str">
        <f aca="false">IF($F$6="Sí",N($C$11)+4,"")</f>
        <v/>
      </c>
      <c r="C31" s="72" t="str">
        <f aca="false">IF(OR($F$6&lt;&gt;"Sí",D31&lt;=0.5),"",EDATE($C$10,4))</f>
        <v/>
      </c>
      <c r="D31" s="41" t="n">
        <f aca="false">MAX(0,M30)</f>
        <v>0</v>
      </c>
      <c r="E31" s="41" t="n">
        <f aca="false">D31*$F$7</f>
        <v>0</v>
      </c>
      <c r="F31" s="41" t="n">
        <f aca="false">IF(D31&gt;0.5,N($C$15),0)</f>
        <v>0</v>
      </c>
      <c r="G31" s="41" t="n">
        <f aca="false">IF(AND(D31&gt;0.5,N($C$19)&gt;0,N(B31)&lt;=N($C$20)),D31*$F$8,0)</f>
        <v>0</v>
      </c>
      <c r="H31" s="41" t="n">
        <f aca="false">IF(D31&lt;=0.5,0,MIN(IF(N(I31)&gt;0,I31,$F$9),D31+E31+F31))</f>
        <v>0</v>
      </c>
      <c r="I31" s="77"/>
      <c r="J31" s="77"/>
      <c r="K31" s="41" t="n">
        <f aca="false">IF(D31&lt;=0.5,0,MIN(H31+N(J31),D31+E31+F31))</f>
        <v>0</v>
      </c>
      <c r="L31" s="41" t="n">
        <f aca="false">K31-E31-F31</f>
        <v>0</v>
      </c>
      <c r="M31" s="41" t="n">
        <f aca="false">D31-L31</f>
        <v>0</v>
      </c>
      <c r="N31" s="42" t="n">
        <f aca="false">K31-G31</f>
        <v>0</v>
      </c>
      <c r="O31" s="78"/>
      <c r="P31" s="79"/>
      <c r="Q31" s="16" t="str">
        <f aca="false">IF(K31=0,"",IF(R31=1,"Pagada",IF(C31&lt;$F$12,"Vencida",IF(5=$F$13,"Próxima","Pendiente"))))</f>
        <v/>
      </c>
      <c r="R31" s="62" t="n">
        <f aca="false">IF(AND(K31&gt;0,OR(O31="Sí",O31="Si")),1,0)</f>
        <v>0</v>
      </c>
      <c r="S31" s="62" t="n">
        <f aca="false">IF(AND(K31&gt;0,R31=0),1,0)</f>
        <v>0</v>
      </c>
    </row>
    <row r="32" customFormat="false" ht="15" hidden="false" customHeight="false" outlineLevel="0" collapsed="false">
      <c r="B32" s="71" t="str">
        <f aca="false">IF($F$6="Sí",N($C$11)+5,"")</f>
        <v/>
      </c>
      <c r="C32" s="72" t="str">
        <f aca="false">IF(OR($F$6&lt;&gt;"Sí",D32&lt;=0.5),"",EDATE($C$10,5))</f>
        <v/>
      </c>
      <c r="D32" s="41" t="n">
        <f aca="false">MAX(0,M31)</f>
        <v>0</v>
      </c>
      <c r="E32" s="41" t="n">
        <f aca="false">D32*$F$7</f>
        <v>0</v>
      </c>
      <c r="F32" s="41" t="n">
        <f aca="false">IF(D32&gt;0.5,N($C$15),0)</f>
        <v>0</v>
      </c>
      <c r="G32" s="41" t="n">
        <f aca="false">IF(AND(D32&gt;0.5,N($C$19)&gt;0,N(B32)&lt;=N($C$20)),D32*$F$8,0)</f>
        <v>0</v>
      </c>
      <c r="H32" s="41" t="n">
        <f aca="false">IF(D32&lt;=0.5,0,MIN(IF(N(I32)&gt;0,I32,$F$9),D32+E32+F32))</f>
        <v>0</v>
      </c>
      <c r="I32" s="77"/>
      <c r="J32" s="77"/>
      <c r="K32" s="41" t="n">
        <f aca="false">IF(D32&lt;=0.5,0,MIN(H32+N(J32),D32+E32+F32))</f>
        <v>0</v>
      </c>
      <c r="L32" s="41" t="n">
        <f aca="false">K32-E32-F32</f>
        <v>0</v>
      </c>
      <c r="M32" s="41" t="n">
        <f aca="false">D32-L32</f>
        <v>0</v>
      </c>
      <c r="N32" s="42" t="n">
        <f aca="false">K32-G32</f>
        <v>0</v>
      </c>
      <c r="O32" s="78"/>
      <c r="P32" s="79"/>
      <c r="Q32" s="16" t="str">
        <f aca="false">IF(K32=0,"",IF(R32=1,"Pagada",IF(C32&lt;$F$12,"Vencida",IF(6=$F$13,"Próxima","Pendiente"))))</f>
        <v/>
      </c>
      <c r="R32" s="62" t="n">
        <f aca="false">IF(AND(K32&gt;0,OR(O32="Sí",O32="Si")),1,0)</f>
        <v>0</v>
      </c>
      <c r="S32" s="62" t="n">
        <f aca="false">IF(AND(K32&gt;0,R32=0),1,0)</f>
        <v>0</v>
      </c>
    </row>
    <row r="33" customFormat="false" ht="15" hidden="false" customHeight="false" outlineLevel="0" collapsed="false">
      <c r="B33" s="71" t="str">
        <f aca="false">IF($F$6="Sí",N($C$11)+6,"")</f>
        <v/>
      </c>
      <c r="C33" s="72" t="str">
        <f aca="false">IF(OR($F$6&lt;&gt;"Sí",D33&lt;=0.5),"",EDATE($C$10,6))</f>
        <v/>
      </c>
      <c r="D33" s="41" t="n">
        <f aca="false">MAX(0,M32)</f>
        <v>0</v>
      </c>
      <c r="E33" s="41" t="n">
        <f aca="false">D33*$F$7</f>
        <v>0</v>
      </c>
      <c r="F33" s="41" t="n">
        <f aca="false">IF(D33&gt;0.5,N($C$15),0)</f>
        <v>0</v>
      </c>
      <c r="G33" s="41" t="n">
        <f aca="false">IF(AND(D33&gt;0.5,N($C$19)&gt;0,N(B33)&lt;=N($C$20)),D33*$F$8,0)</f>
        <v>0</v>
      </c>
      <c r="H33" s="41" t="n">
        <f aca="false">IF(D33&lt;=0.5,0,MIN(IF(N(I33)&gt;0,I33,$F$9),D33+E33+F33))</f>
        <v>0</v>
      </c>
      <c r="I33" s="77"/>
      <c r="J33" s="77"/>
      <c r="K33" s="41" t="n">
        <f aca="false">IF(D33&lt;=0.5,0,MIN(H33+N(J33),D33+E33+F33))</f>
        <v>0</v>
      </c>
      <c r="L33" s="41" t="n">
        <f aca="false">K33-E33-F33</f>
        <v>0</v>
      </c>
      <c r="M33" s="41" t="n">
        <f aca="false">D33-L33</f>
        <v>0</v>
      </c>
      <c r="N33" s="42" t="n">
        <f aca="false">K33-G33</f>
        <v>0</v>
      </c>
      <c r="O33" s="78"/>
      <c r="P33" s="79"/>
      <c r="Q33" s="16" t="str">
        <f aca="false">IF(K33=0,"",IF(R33=1,"Pagada",IF(C33&lt;$F$12,"Vencida",IF(7=$F$13,"Próxima","Pendiente"))))</f>
        <v/>
      </c>
      <c r="R33" s="62" t="n">
        <f aca="false">IF(AND(K33&gt;0,OR(O33="Sí",O33="Si")),1,0)</f>
        <v>0</v>
      </c>
      <c r="S33" s="62" t="n">
        <f aca="false">IF(AND(K33&gt;0,R33=0),1,0)</f>
        <v>0</v>
      </c>
    </row>
    <row r="34" customFormat="false" ht="15" hidden="false" customHeight="false" outlineLevel="0" collapsed="false">
      <c r="B34" s="71" t="str">
        <f aca="false">IF($F$6="Sí",N($C$11)+7,"")</f>
        <v/>
      </c>
      <c r="C34" s="72" t="str">
        <f aca="false">IF(OR($F$6&lt;&gt;"Sí",D34&lt;=0.5),"",EDATE($C$10,7))</f>
        <v/>
      </c>
      <c r="D34" s="41" t="n">
        <f aca="false">MAX(0,M33)</f>
        <v>0</v>
      </c>
      <c r="E34" s="41" t="n">
        <f aca="false">D34*$F$7</f>
        <v>0</v>
      </c>
      <c r="F34" s="41" t="n">
        <f aca="false">IF(D34&gt;0.5,N($C$15),0)</f>
        <v>0</v>
      </c>
      <c r="G34" s="41" t="n">
        <f aca="false">IF(AND(D34&gt;0.5,N($C$19)&gt;0,N(B34)&lt;=N($C$20)),D34*$F$8,0)</f>
        <v>0</v>
      </c>
      <c r="H34" s="41" t="n">
        <f aca="false">IF(D34&lt;=0.5,0,MIN(IF(N(I34)&gt;0,I34,$F$9),D34+E34+F34))</f>
        <v>0</v>
      </c>
      <c r="I34" s="77"/>
      <c r="J34" s="77"/>
      <c r="K34" s="41" t="n">
        <f aca="false">IF(D34&lt;=0.5,0,MIN(H34+N(J34),D34+E34+F34))</f>
        <v>0</v>
      </c>
      <c r="L34" s="41" t="n">
        <f aca="false">K34-E34-F34</f>
        <v>0</v>
      </c>
      <c r="M34" s="41" t="n">
        <f aca="false">D34-L34</f>
        <v>0</v>
      </c>
      <c r="N34" s="42" t="n">
        <f aca="false">K34-G34</f>
        <v>0</v>
      </c>
      <c r="O34" s="78"/>
      <c r="P34" s="79"/>
      <c r="Q34" s="16" t="str">
        <f aca="false">IF(K34=0,"",IF(R34=1,"Pagada",IF(C34&lt;$F$12,"Vencida",IF(8=$F$13,"Próxima","Pendiente"))))</f>
        <v/>
      </c>
      <c r="R34" s="62" t="n">
        <f aca="false">IF(AND(K34&gt;0,OR(O34="Sí",O34="Si")),1,0)</f>
        <v>0</v>
      </c>
      <c r="S34" s="62" t="n">
        <f aca="false">IF(AND(K34&gt;0,R34=0),1,0)</f>
        <v>0</v>
      </c>
    </row>
    <row r="35" customFormat="false" ht="15" hidden="false" customHeight="false" outlineLevel="0" collapsed="false">
      <c r="B35" s="71" t="str">
        <f aca="false">IF($F$6="Sí",N($C$11)+8,"")</f>
        <v/>
      </c>
      <c r="C35" s="72" t="str">
        <f aca="false">IF(OR($F$6&lt;&gt;"Sí",D35&lt;=0.5),"",EDATE($C$10,8))</f>
        <v/>
      </c>
      <c r="D35" s="41" t="n">
        <f aca="false">MAX(0,M34)</f>
        <v>0</v>
      </c>
      <c r="E35" s="41" t="n">
        <f aca="false">D35*$F$7</f>
        <v>0</v>
      </c>
      <c r="F35" s="41" t="n">
        <f aca="false">IF(D35&gt;0.5,N($C$15),0)</f>
        <v>0</v>
      </c>
      <c r="G35" s="41" t="n">
        <f aca="false">IF(AND(D35&gt;0.5,N($C$19)&gt;0,N(B35)&lt;=N($C$20)),D35*$F$8,0)</f>
        <v>0</v>
      </c>
      <c r="H35" s="41" t="n">
        <f aca="false">IF(D35&lt;=0.5,0,MIN(IF(N(I35)&gt;0,I35,$F$9),D35+E35+F35))</f>
        <v>0</v>
      </c>
      <c r="I35" s="77"/>
      <c r="J35" s="77"/>
      <c r="K35" s="41" t="n">
        <f aca="false">IF(D35&lt;=0.5,0,MIN(H35+N(J35),D35+E35+F35))</f>
        <v>0</v>
      </c>
      <c r="L35" s="41" t="n">
        <f aca="false">K35-E35-F35</f>
        <v>0</v>
      </c>
      <c r="M35" s="41" t="n">
        <f aca="false">D35-L35</f>
        <v>0</v>
      </c>
      <c r="N35" s="42" t="n">
        <f aca="false">K35-G35</f>
        <v>0</v>
      </c>
      <c r="O35" s="78"/>
      <c r="P35" s="79"/>
      <c r="Q35" s="16" t="str">
        <f aca="false">IF(K35=0,"",IF(R35=1,"Pagada",IF(C35&lt;$F$12,"Vencida",IF(9=$F$13,"Próxima","Pendiente"))))</f>
        <v/>
      </c>
      <c r="R35" s="62" t="n">
        <f aca="false">IF(AND(K35&gt;0,OR(O35="Sí",O35="Si")),1,0)</f>
        <v>0</v>
      </c>
      <c r="S35" s="62" t="n">
        <f aca="false">IF(AND(K35&gt;0,R35=0),1,0)</f>
        <v>0</v>
      </c>
    </row>
    <row r="36" customFormat="false" ht="15" hidden="false" customHeight="false" outlineLevel="0" collapsed="false">
      <c r="B36" s="71" t="str">
        <f aca="false">IF($F$6="Sí",N($C$11)+9,"")</f>
        <v/>
      </c>
      <c r="C36" s="72" t="str">
        <f aca="false">IF(OR($F$6&lt;&gt;"Sí",D36&lt;=0.5),"",EDATE($C$10,9))</f>
        <v/>
      </c>
      <c r="D36" s="41" t="n">
        <f aca="false">MAX(0,M35)</f>
        <v>0</v>
      </c>
      <c r="E36" s="41" t="n">
        <f aca="false">D36*$F$7</f>
        <v>0</v>
      </c>
      <c r="F36" s="41" t="n">
        <f aca="false">IF(D36&gt;0.5,N($C$15),0)</f>
        <v>0</v>
      </c>
      <c r="G36" s="41" t="n">
        <f aca="false">IF(AND(D36&gt;0.5,N($C$19)&gt;0,N(B36)&lt;=N($C$20)),D36*$F$8,0)</f>
        <v>0</v>
      </c>
      <c r="H36" s="41" t="n">
        <f aca="false">IF(D36&lt;=0.5,0,MIN(IF(N(I36)&gt;0,I36,$F$9),D36+E36+F36))</f>
        <v>0</v>
      </c>
      <c r="I36" s="77"/>
      <c r="J36" s="77"/>
      <c r="K36" s="41" t="n">
        <f aca="false">IF(D36&lt;=0.5,0,MIN(H36+N(J36),D36+E36+F36))</f>
        <v>0</v>
      </c>
      <c r="L36" s="41" t="n">
        <f aca="false">K36-E36-F36</f>
        <v>0</v>
      </c>
      <c r="M36" s="41" t="n">
        <f aca="false">D36-L36</f>
        <v>0</v>
      </c>
      <c r="N36" s="42" t="n">
        <f aca="false">K36-G36</f>
        <v>0</v>
      </c>
      <c r="O36" s="78"/>
      <c r="P36" s="79"/>
      <c r="Q36" s="16" t="str">
        <f aca="false">IF(K36=0,"",IF(R36=1,"Pagada",IF(C36&lt;$F$12,"Vencida",IF(10=$F$13,"Próxima","Pendiente"))))</f>
        <v/>
      </c>
      <c r="R36" s="62" t="n">
        <f aca="false">IF(AND(K36&gt;0,OR(O36="Sí",O36="Si")),1,0)</f>
        <v>0</v>
      </c>
      <c r="S36" s="62" t="n">
        <f aca="false">IF(AND(K36&gt;0,R36=0),1,0)</f>
        <v>0</v>
      </c>
    </row>
    <row r="37" customFormat="false" ht="15" hidden="false" customHeight="false" outlineLevel="0" collapsed="false">
      <c r="B37" s="71" t="str">
        <f aca="false">IF($F$6="Sí",N($C$11)+10,"")</f>
        <v/>
      </c>
      <c r="C37" s="72" t="str">
        <f aca="false">IF(OR($F$6&lt;&gt;"Sí",D37&lt;=0.5),"",EDATE($C$10,10))</f>
        <v/>
      </c>
      <c r="D37" s="41" t="n">
        <f aca="false">MAX(0,M36)</f>
        <v>0</v>
      </c>
      <c r="E37" s="41" t="n">
        <f aca="false">D37*$F$7</f>
        <v>0</v>
      </c>
      <c r="F37" s="41" t="n">
        <f aca="false">IF(D37&gt;0.5,N($C$15),0)</f>
        <v>0</v>
      </c>
      <c r="G37" s="41" t="n">
        <f aca="false">IF(AND(D37&gt;0.5,N($C$19)&gt;0,N(B37)&lt;=N($C$20)),D37*$F$8,0)</f>
        <v>0</v>
      </c>
      <c r="H37" s="41" t="n">
        <f aca="false">IF(D37&lt;=0.5,0,MIN(IF(N(I37)&gt;0,I37,$F$9),D37+E37+F37))</f>
        <v>0</v>
      </c>
      <c r="I37" s="77"/>
      <c r="J37" s="77"/>
      <c r="K37" s="41" t="n">
        <f aca="false">IF(D37&lt;=0.5,0,MIN(H37+N(J37),D37+E37+F37))</f>
        <v>0</v>
      </c>
      <c r="L37" s="41" t="n">
        <f aca="false">K37-E37-F37</f>
        <v>0</v>
      </c>
      <c r="M37" s="41" t="n">
        <f aca="false">D37-L37</f>
        <v>0</v>
      </c>
      <c r="N37" s="42" t="n">
        <f aca="false">K37-G37</f>
        <v>0</v>
      </c>
      <c r="O37" s="78"/>
      <c r="P37" s="79"/>
      <c r="Q37" s="16" t="str">
        <f aca="false">IF(K37=0,"",IF(R37=1,"Pagada",IF(C37&lt;$F$12,"Vencida",IF(11=$F$13,"Próxima","Pendiente"))))</f>
        <v/>
      </c>
      <c r="R37" s="62" t="n">
        <f aca="false">IF(AND(K37&gt;0,OR(O37="Sí",O37="Si")),1,0)</f>
        <v>0</v>
      </c>
      <c r="S37" s="62" t="n">
        <f aca="false">IF(AND(K37&gt;0,R37=0),1,0)</f>
        <v>0</v>
      </c>
    </row>
    <row r="38" customFormat="false" ht="15" hidden="false" customHeight="false" outlineLevel="0" collapsed="false">
      <c r="B38" s="71" t="str">
        <f aca="false">IF($F$6="Sí",N($C$11)+11,"")</f>
        <v/>
      </c>
      <c r="C38" s="72" t="str">
        <f aca="false">IF(OR($F$6&lt;&gt;"Sí",D38&lt;=0.5),"",EDATE($C$10,11))</f>
        <v/>
      </c>
      <c r="D38" s="41" t="n">
        <f aca="false">MAX(0,M37)</f>
        <v>0</v>
      </c>
      <c r="E38" s="41" t="n">
        <f aca="false">D38*$F$7</f>
        <v>0</v>
      </c>
      <c r="F38" s="41" t="n">
        <f aca="false">IF(D38&gt;0.5,N($C$15),0)</f>
        <v>0</v>
      </c>
      <c r="G38" s="41" t="n">
        <f aca="false">IF(AND(D38&gt;0.5,N($C$19)&gt;0,N(B38)&lt;=N($C$20)),D38*$F$8,0)</f>
        <v>0</v>
      </c>
      <c r="H38" s="41" t="n">
        <f aca="false">IF(D38&lt;=0.5,0,MIN(IF(N(I38)&gt;0,I38,$F$9),D38+E38+F38))</f>
        <v>0</v>
      </c>
      <c r="I38" s="77"/>
      <c r="J38" s="77"/>
      <c r="K38" s="41" t="n">
        <f aca="false">IF(D38&lt;=0.5,0,MIN(H38+N(J38),D38+E38+F38))</f>
        <v>0</v>
      </c>
      <c r="L38" s="41" t="n">
        <f aca="false">K38-E38-F38</f>
        <v>0</v>
      </c>
      <c r="M38" s="41" t="n">
        <f aca="false">D38-L38</f>
        <v>0</v>
      </c>
      <c r="N38" s="42" t="n">
        <f aca="false">K38-G38</f>
        <v>0</v>
      </c>
      <c r="O38" s="78"/>
      <c r="P38" s="79"/>
      <c r="Q38" s="16" t="str">
        <f aca="false">IF(K38=0,"",IF(R38=1,"Pagada",IF(C38&lt;$F$12,"Vencida",IF(12=$F$13,"Próxima","Pendiente"))))</f>
        <v/>
      </c>
      <c r="R38" s="62" t="n">
        <f aca="false">IF(AND(K38&gt;0,OR(O38="Sí",O38="Si")),1,0)</f>
        <v>0</v>
      </c>
      <c r="S38" s="62" t="n">
        <f aca="false">IF(AND(K38&gt;0,R38=0),1,0)</f>
        <v>0</v>
      </c>
    </row>
    <row r="39" customFormat="false" ht="15" hidden="false" customHeight="false" outlineLevel="0" collapsed="false">
      <c r="B39" s="71" t="str">
        <f aca="false">IF($F$6="Sí",N($C$11)+12,"")</f>
        <v/>
      </c>
      <c r="C39" s="72" t="str">
        <f aca="false">IF(OR($F$6&lt;&gt;"Sí",D39&lt;=0.5),"",EDATE($C$10,12))</f>
        <v/>
      </c>
      <c r="D39" s="41" t="n">
        <f aca="false">MAX(0,M38)</f>
        <v>0</v>
      </c>
      <c r="E39" s="41" t="n">
        <f aca="false">D39*$F$7</f>
        <v>0</v>
      </c>
      <c r="F39" s="41" t="n">
        <f aca="false">IF(D39&gt;0.5,N($C$15),0)</f>
        <v>0</v>
      </c>
      <c r="G39" s="41" t="n">
        <f aca="false">IF(AND(D39&gt;0.5,N($C$19)&gt;0,N(B39)&lt;=N($C$20)),D39*$F$8,0)</f>
        <v>0</v>
      </c>
      <c r="H39" s="41" t="n">
        <f aca="false">IF(D39&lt;=0.5,0,MIN(IF(N(I39)&gt;0,I39,$F$9),D39+E39+F39))</f>
        <v>0</v>
      </c>
      <c r="I39" s="77"/>
      <c r="J39" s="77"/>
      <c r="K39" s="41" t="n">
        <f aca="false">IF(D39&lt;=0.5,0,MIN(H39+N(J39),D39+E39+F39))</f>
        <v>0</v>
      </c>
      <c r="L39" s="41" t="n">
        <f aca="false">K39-E39-F39</f>
        <v>0</v>
      </c>
      <c r="M39" s="41" t="n">
        <f aca="false">D39-L39</f>
        <v>0</v>
      </c>
      <c r="N39" s="42" t="n">
        <f aca="false">K39-G39</f>
        <v>0</v>
      </c>
      <c r="O39" s="78"/>
      <c r="P39" s="79"/>
      <c r="Q39" s="16" t="str">
        <f aca="false">IF(K39=0,"",IF(R39=1,"Pagada",IF(C39&lt;$F$12,"Vencida",IF(13=$F$13,"Próxima","Pendiente"))))</f>
        <v/>
      </c>
      <c r="R39" s="62" t="n">
        <f aca="false">IF(AND(K39&gt;0,OR(O39="Sí",O39="Si")),1,0)</f>
        <v>0</v>
      </c>
      <c r="S39" s="62" t="n">
        <f aca="false">IF(AND(K39&gt;0,R39=0),1,0)</f>
        <v>0</v>
      </c>
    </row>
    <row r="40" customFormat="false" ht="15" hidden="false" customHeight="false" outlineLevel="0" collapsed="false">
      <c r="B40" s="71" t="str">
        <f aca="false">IF($F$6="Sí",N($C$11)+13,"")</f>
        <v/>
      </c>
      <c r="C40" s="72" t="str">
        <f aca="false">IF(OR($F$6&lt;&gt;"Sí",D40&lt;=0.5),"",EDATE($C$10,13))</f>
        <v/>
      </c>
      <c r="D40" s="41" t="n">
        <f aca="false">MAX(0,M39)</f>
        <v>0</v>
      </c>
      <c r="E40" s="41" t="n">
        <f aca="false">D40*$F$7</f>
        <v>0</v>
      </c>
      <c r="F40" s="41" t="n">
        <f aca="false">IF(D40&gt;0.5,N($C$15),0)</f>
        <v>0</v>
      </c>
      <c r="G40" s="41" t="n">
        <f aca="false">IF(AND(D40&gt;0.5,N($C$19)&gt;0,N(B40)&lt;=N($C$20)),D40*$F$8,0)</f>
        <v>0</v>
      </c>
      <c r="H40" s="41" t="n">
        <f aca="false">IF(D40&lt;=0.5,0,MIN(IF(N(I40)&gt;0,I40,$F$9),D40+E40+F40))</f>
        <v>0</v>
      </c>
      <c r="I40" s="77"/>
      <c r="J40" s="77"/>
      <c r="K40" s="41" t="n">
        <f aca="false">IF(D40&lt;=0.5,0,MIN(H40+N(J40),D40+E40+F40))</f>
        <v>0</v>
      </c>
      <c r="L40" s="41" t="n">
        <f aca="false">K40-E40-F40</f>
        <v>0</v>
      </c>
      <c r="M40" s="41" t="n">
        <f aca="false">D40-L40</f>
        <v>0</v>
      </c>
      <c r="N40" s="42" t="n">
        <f aca="false">K40-G40</f>
        <v>0</v>
      </c>
      <c r="O40" s="78"/>
      <c r="P40" s="79"/>
      <c r="Q40" s="16" t="str">
        <f aca="false">IF(K40=0,"",IF(R40=1,"Pagada",IF(C40&lt;$F$12,"Vencida",IF(14=$F$13,"Próxima","Pendiente"))))</f>
        <v/>
      </c>
      <c r="R40" s="62" t="n">
        <f aca="false">IF(AND(K40&gt;0,OR(O40="Sí",O40="Si")),1,0)</f>
        <v>0</v>
      </c>
      <c r="S40" s="62" t="n">
        <f aca="false">IF(AND(K40&gt;0,R40=0),1,0)</f>
        <v>0</v>
      </c>
    </row>
    <row r="41" customFormat="false" ht="15" hidden="false" customHeight="false" outlineLevel="0" collapsed="false">
      <c r="B41" s="71" t="str">
        <f aca="false">IF($F$6="Sí",N($C$11)+14,"")</f>
        <v/>
      </c>
      <c r="C41" s="72" t="str">
        <f aca="false">IF(OR($F$6&lt;&gt;"Sí",D41&lt;=0.5),"",EDATE($C$10,14))</f>
        <v/>
      </c>
      <c r="D41" s="41" t="n">
        <f aca="false">MAX(0,M40)</f>
        <v>0</v>
      </c>
      <c r="E41" s="41" t="n">
        <f aca="false">D41*$F$7</f>
        <v>0</v>
      </c>
      <c r="F41" s="41" t="n">
        <f aca="false">IF(D41&gt;0.5,N($C$15),0)</f>
        <v>0</v>
      </c>
      <c r="G41" s="41" t="n">
        <f aca="false">IF(AND(D41&gt;0.5,N($C$19)&gt;0,N(B41)&lt;=N($C$20)),D41*$F$8,0)</f>
        <v>0</v>
      </c>
      <c r="H41" s="41" t="n">
        <f aca="false">IF(D41&lt;=0.5,0,MIN(IF(N(I41)&gt;0,I41,$F$9),D41+E41+F41))</f>
        <v>0</v>
      </c>
      <c r="I41" s="77"/>
      <c r="J41" s="77"/>
      <c r="K41" s="41" t="n">
        <f aca="false">IF(D41&lt;=0.5,0,MIN(H41+N(J41),D41+E41+F41))</f>
        <v>0</v>
      </c>
      <c r="L41" s="41" t="n">
        <f aca="false">K41-E41-F41</f>
        <v>0</v>
      </c>
      <c r="M41" s="41" t="n">
        <f aca="false">D41-L41</f>
        <v>0</v>
      </c>
      <c r="N41" s="42" t="n">
        <f aca="false">K41-G41</f>
        <v>0</v>
      </c>
      <c r="O41" s="78"/>
      <c r="P41" s="79"/>
      <c r="Q41" s="16" t="str">
        <f aca="false">IF(K41=0,"",IF(R41=1,"Pagada",IF(C41&lt;$F$12,"Vencida",IF(15=$F$13,"Próxima","Pendiente"))))</f>
        <v/>
      </c>
      <c r="R41" s="62" t="n">
        <f aca="false">IF(AND(K41&gt;0,OR(O41="Sí",O41="Si")),1,0)</f>
        <v>0</v>
      </c>
      <c r="S41" s="62" t="n">
        <f aca="false">IF(AND(K41&gt;0,R41=0),1,0)</f>
        <v>0</v>
      </c>
    </row>
    <row r="42" customFormat="false" ht="15" hidden="false" customHeight="false" outlineLevel="0" collapsed="false">
      <c r="B42" s="71" t="str">
        <f aca="false">IF($F$6="Sí",N($C$11)+15,"")</f>
        <v/>
      </c>
      <c r="C42" s="72" t="str">
        <f aca="false">IF(OR($F$6&lt;&gt;"Sí",D42&lt;=0.5),"",EDATE($C$10,15))</f>
        <v/>
      </c>
      <c r="D42" s="41" t="n">
        <f aca="false">MAX(0,M41)</f>
        <v>0</v>
      </c>
      <c r="E42" s="41" t="n">
        <f aca="false">D42*$F$7</f>
        <v>0</v>
      </c>
      <c r="F42" s="41" t="n">
        <f aca="false">IF(D42&gt;0.5,N($C$15),0)</f>
        <v>0</v>
      </c>
      <c r="G42" s="41" t="n">
        <f aca="false">IF(AND(D42&gt;0.5,N($C$19)&gt;0,N(B42)&lt;=N($C$20)),D42*$F$8,0)</f>
        <v>0</v>
      </c>
      <c r="H42" s="41" t="n">
        <f aca="false">IF(D42&lt;=0.5,0,MIN(IF(N(I42)&gt;0,I42,$F$9),D42+E42+F42))</f>
        <v>0</v>
      </c>
      <c r="I42" s="77"/>
      <c r="J42" s="77"/>
      <c r="K42" s="41" t="n">
        <f aca="false">IF(D42&lt;=0.5,0,MIN(H42+N(J42),D42+E42+F42))</f>
        <v>0</v>
      </c>
      <c r="L42" s="41" t="n">
        <f aca="false">K42-E42-F42</f>
        <v>0</v>
      </c>
      <c r="M42" s="41" t="n">
        <f aca="false">D42-L42</f>
        <v>0</v>
      </c>
      <c r="N42" s="42" t="n">
        <f aca="false">K42-G42</f>
        <v>0</v>
      </c>
      <c r="O42" s="78"/>
      <c r="P42" s="79"/>
      <c r="Q42" s="16" t="str">
        <f aca="false">IF(K42=0,"",IF(R42=1,"Pagada",IF(C42&lt;$F$12,"Vencida",IF(16=$F$13,"Próxima","Pendiente"))))</f>
        <v/>
      </c>
      <c r="R42" s="62" t="n">
        <f aca="false">IF(AND(K42&gt;0,OR(O42="Sí",O42="Si")),1,0)</f>
        <v>0</v>
      </c>
      <c r="S42" s="62" t="n">
        <f aca="false">IF(AND(K42&gt;0,R42=0),1,0)</f>
        <v>0</v>
      </c>
    </row>
    <row r="43" customFormat="false" ht="15" hidden="false" customHeight="false" outlineLevel="0" collapsed="false">
      <c r="B43" s="71" t="str">
        <f aca="false">IF($F$6="Sí",N($C$11)+16,"")</f>
        <v/>
      </c>
      <c r="C43" s="72" t="str">
        <f aca="false">IF(OR($F$6&lt;&gt;"Sí",D43&lt;=0.5),"",EDATE($C$10,16))</f>
        <v/>
      </c>
      <c r="D43" s="41" t="n">
        <f aca="false">MAX(0,M42)</f>
        <v>0</v>
      </c>
      <c r="E43" s="41" t="n">
        <f aca="false">D43*$F$7</f>
        <v>0</v>
      </c>
      <c r="F43" s="41" t="n">
        <f aca="false">IF(D43&gt;0.5,N($C$15),0)</f>
        <v>0</v>
      </c>
      <c r="G43" s="41" t="n">
        <f aca="false">IF(AND(D43&gt;0.5,N($C$19)&gt;0,N(B43)&lt;=N($C$20)),D43*$F$8,0)</f>
        <v>0</v>
      </c>
      <c r="H43" s="41" t="n">
        <f aca="false">IF(D43&lt;=0.5,0,MIN(IF(N(I43)&gt;0,I43,$F$9),D43+E43+F43))</f>
        <v>0</v>
      </c>
      <c r="I43" s="77"/>
      <c r="J43" s="77"/>
      <c r="K43" s="41" t="n">
        <f aca="false">IF(D43&lt;=0.5,0,MIN(H43+N(J43),D43+E43+F43))</f>
        <v>0</v>
      </c>
      <c r="L43" s="41" t="n">
        <f aca="false">K43-E43-F43</f>
        <v>0</v>
      </c>
      <c r="M43" s="41" t="n">
        <f aca="false">D43-L43</f>
        <v>0</v>
      </c>
      <c r="N43" s="42" t="n">
        <f aca="false">K43-G43</f>
        <v>0</v>
      </c>
      <c r="O43" s="78"/>
      <c r="P43" s="79"/>
      <c r="Q43" s="16" t="str">
        <f aca="false">IF(K43=0,"",IF(R43=1,"Pagada",IF(C43&lt;$F$12,"Vencida",IF(17=$F$13,"Próxima","Pendiente"))))</f>
        <v/>
      </c>
      <c r="R43" s="62" t="n">
        <f aca="false">IF(AND(K43&gt;0,OR(O43="Sí",O43="Si")),1,0)</f>
        <v>0</v>
      </c>
      <c r="S43" s="62" t="n">
        <f aca="false">IF(AND(K43&gt;0,R43=0),1,0)</f>
        <v>0</v>
      </c>
    </row>
    <row r="44" customFormat="false" ht="15" hidden="false" customHeight="false" outlineLevel="0" collapsed="false">
      <c r="B44" s="71" t="str">
        <f aca="false">IF($F$6="Sí",N($C$11)+17,"")</f>
        <v/>
      </c>
      <c r="C44" s="72" t="str">
        <f aca="false">IF(OR($F$6&lt;&gt;"Sí",D44&lt;=0.5),"",EDATE($C$10,17))</f>
        <v/>
      </c>
      <c r="D44" s="41" t="n">
        <f aca="false">MAX(0,M43)</f>
        <v>0</v>
      </c>
      <c r="E44" s="41" t="n">
        <f aca="false">D44*$F$7</f>
        <v>0</v>
      </c>
      <c r="F44" s="41" t="n">
        <f aca="false">IF(D44&gt;0.5,N($C$15),0)</f>
        <v>0</v>
      </c>
      <c r="G44" s="41" t="n">
        <f aca="false">IF(AND(D44&gt;0.5,N($C$19)&gt;0,N(B44)&lt;=N($C$20)),D44*$F$8,0)</f>
        <v>0</v>
      </c>
      <c r="H44" s="41" t="n">
        <f aca="false">IF(D44&lt;=0.5,0,MIN(IF(N(I44)&gt;0,I44,$F$9),D44+E44+F44))</f>
        <v>0</v>
      </c>
      <c r="I44" s="77"/>
      <c r="J44" s="77"/>
      <c r="K44" s="41" t="n">
        <f aca="false">IF(D44&lt;=0.5,0,MIN(H44+N(J44),D44+E44+F44))</f>
        <v>0</v>
      </c>
      <c r="L44" s="41" t="n">
        <f aca="false">K44-E44-F44</f>
        <v>0</v>
      </c>
      <c r="M44" s="41" t="n">
        <f aca="false">D44-L44</f>
        <v>0</v>
      </c>
      <c r="N44" s="42" t="n">
        <f aca="false">K44-G44</f>
        <v>0</v>
      </c>
      <c r="O44" s="78"/>
      <c r="P44" s="79"/>
      <c r="Q44" s="16" t="str">
        <f aca="false">IF(K44=0,"",IF(R44=1,"Pagada",IF(C44&lt;$F$12,"Vencida",IF(18=$F$13,"Próxima","Pendiente"))))</f>
        <v/>
      </c>
      <c r="R44" s="62" t="n">
        <f aca="false">IF(AND(K44&gt;0,OR(O44="Sí",O44="Si")),1,0)</f>
        <v>0</v>
      </c>
      <c r="S44" s="62" t="n">
        <f aca="false">IF(AND(K44&gt;0,R44=0),1,0)</f>
        <v>0</v>
      </c>
    </row>
    <row r="45" customFormat="false" ht="15" hidden="false" customHeight="false" outlineLevel="0" collapsed="false">
      <c r="B45" s="71" t="str">
        <f aca="false">IF($F$6="Sí",N($C$11)+18,"")</f>
        <v/>
      </c>
      <c r="C45" s="72" t="str">
        <f aca="false">IF(OR($F$6&lt;&gt;"Sí",D45&lt;=0.5),"",EDATE($C$10,18))</f>
        <v/>
      </c>
      <c r="D45" s="41" t="n">
        <f aca="false">MAX(0,M44)</f>
        <v>0</v>
      </c>
      <c r="E45" s="41" t="n">
        <f aca="false">D45*$F$7</f>
        <v>0</v>
      </c>
      <c r="F45" s="41" t="n">
        <f aca="false">IF(D45&gt;0.5,N($C$15),0)</f>
        <v>0</v>
      </c>
      <c r="G45" s="41" t="n">
        <f aca="false">IF(AND(D45&gt;0.5,N($C$19)&gt;0,N(B45)&lt;=N($C$20)),D45*$F$8,0)</f>
        <v>0</v>
      </c>
      <c r="H45" s="41" t="n">
        <f aca="false">IF(D45&lt;=0.5,0,MIN(IF(N(I45)&gt;0,I45,$F$9),D45+E45+F45))</f>
        <v>0</v>
      </c>
      <c r="I45" s="77"/>
      <c r="J45" s="77"/>
      <c r="K45" s="41" t="n">
        <f aca="false">IF(D45&lt;=0.5,0,MIN(H45+N(J45),D45+E45+F45))</f>
        <v>0</v>
      </c>
      <c r="L45" s="41" t="n">
        <f aca="false">K45-E45-F45</f>
        <v>0</v>
      </c>
      <c r="M45" s="41" t="n">
        <f aca="false">D45-L45</f>
        <v>0</v>
      </c>
      <c r="N45" s="42" t="n">
        <f aca="false">K45-G45</f>
        <v>0</v>
      </c>
      <c r="O45" s="78"/>
      <c r="P45" s="79"/>
      <c r="Q45" s="16" t="str">
        <f aca="false">IF(K45=0,"",IF(R45=1,"Pagada",IF(C45&lt;$F$12,"Vencida",IF(19=$F$13,"Próxima","Pendiente"))))</f>
        <v/>
      </c>
      <c r="R45" s="62" t="n">
        <f aca="false">IF(AND(K45&gt;0,OR(O45="Sí",O45="Si")),1,0)</f>
        <v>0</v>
      </c>
      <c r="S45" s="62" t="n">
        <f aca="false">IF(AND(K45&gt;0,R45=0),1,0)</f>
        <v>0</v>
      </c>
    </row>
    <row r="46" customFormat="false" ht="15" hidden="false" customHeight="false" outlineLevel="0" collapsed="false">
      <c r="B46" s="71" t="str">
        <f aca="false">IF($F$6="Sí",N($C$11)+19,"")</f>
        <v/>
      </c>
      <c r="C46" s="72" t="str">
        <f aca="false">IF(OR($F$6&lt;&gt;"Sí",D46&lt;=0.5),"",EDATE($C$10,19))</f>
        <v/>
      </c>
      <c r="D46" s="41" t="n">
        <f aca="false">MAX(0,M45)</f>
        <v>0</v>
      </c>
      <c r="E46" s="41" t="n">
        <f aca="false">D46*$F$7</f>
        <v>0</v>
      </c>
      <c r="F46" s="41" t="n">
        <f aca="false">IF(D46&gt;0.5,N($C$15),0)</f>
        <v>0</v>
      </c>
      <c r="G46" s="41" t="n">
        <f aca="false">IF(AND(D46&gt;0.5,N($C$19)&gt;0,N(B46)&lt;=N($C$20)),D46*$F$8,0)</f>
        <v>0</v>
      </c>
      <c r="H46" s="41" t="n">
        <f aca="false">IF(D46&lt;=0.5,0,MIN(IF(N(I46)&gt;0,I46,$F$9),D46+E46+F46))</f>
        <v>0</v>
      </c>
      <c r="I46" s="77"/>
      <c r="J46" s="77"/>
      <c r="K46" s="41" t="n">
        <f aca="false">IF(D46&lt;=0.5,0,MIN(H46+N(J46),D46+E46+F46))</f>
        <v>0</v>
      </c>
      <c r="L46" s="41" t="n">
        <f aca="false">K46-E46-F46</f>
        <v>0</v>
      </c>
      <c r="M46" s="41" t="n">
        <f aca="false">D46-L46</f>
        <v>0</v>
      </c>
      <c r="N46" s="42" t="n">
        <f aca="false">K46-G46</f>
        <v>0</v>
      </c>
      <c r="O46" s="78"/>
      <c r="P46" s="79"/>
      <c r="Q46" s="16" t="str">
        <f aca="false">IF(K46=0,"",IF(R46=1,"Pagada",IF(C46&lt;$F$12,"Vencida",IF(20=$F$13,"Próxima","Pendiente"))))</f>
        <v/>
      </c>
      <c r="R46" s="62" t="n">
        <f aca="false">IF(AND(K46&gt;0,OR(O46="Sí",O46="Si")),1,0)</f>
        <v>0</v>
      </c>
      <c r="S46" s="62" t="n">
        <f aca="false">IF(AND(K46&gt;0,R46=0),1,0)</f>
        <v>0</v>
      </c>
    </row>
    <row r="47" customFormat="false" ht="15" hidden="false" customHeight="false" outlineLevel="0" collapsed="false">
      <c r="B47" s="71" t="str">
        <f aca="false">IF($F$6="Sí",N($C$11)+20,"")</f>
        <v/>
      </c>
      <c r="C47" s="72" t="str">
        <f aca="false">IF(OR($F$6&lt;&gt;"Sí",D47&lt;=0.5),"",EDATE($C$10,20))</f>
        <v/>
      </c>
      <c r="D47" s="41" t="n">
        <f aca="false">MAX(0,M46)</f>
        <v>0</v>
      </c>
      <c r="E47" s="41" t="n">
        <f aca="false">D47*$F$7</f>
        <v>0</v>
      </c>
      <c r="F47" s="41" t="n">
        <f aca="false">IF(D47&gt;0.5,N($C$15),0)</f>
        <v>0</v>
      </c>
      <c r="G47" s="41" t="n">
        <f aca="false">IF(AND(D47&gt;0.5,N($C$19)&gt;0,N(B47)&lt;=N($C$20)),D47*$F$8,0)</f>
        <v>0</v>
      </c>
      <c r="H47" s="41" t="n">
        <f aca="false">IF(D47&lt;=0.5,0,MIN(IF(N(I47)&gt;0,I47,$F$9),D47+E47+F47))</f>
        <v>0</v>
      </c>
      <c r="I47" s="77"/>
      <c r="J47" s="77"/>
      <c r="K47" s="41" t="n">
        <f aca="false">IF(D47&lt;=0.5,0,MIN(H47+N(J47),D47+E47+F47))</f>
        <v>0</v>
      </c>
      <c r="L47" s="41" t="n">
        <f aca="false">K47-E47-F47</f>
        <v>0</v>
      </c>
      <c r="M47" s="41" t="n">
        <f aca="false">D47-L47</f>
        <v>0</v>
      </c>
      <c r="N47" s="42" t="n">
        <f aca="false">K47-G47</f>
        <v>0</v>
      </c>
      <c r="O47" s="78"/>
      <c r="P47" s="79"/>
      <c r="Q47" s="16" t="str">
        <f aca="false">IF(K47=0,"",IF(R47=1,"Pagada",IF(C47&lt;$F$12,"Vencida",IF(21=$F$13,"Próxima","Pendiente"))))</f>
        <v/>
      </c>
      <c r="R47" s="62" t="n">
        <f aca="false">IF(AND(K47&gt;0,OR(O47="Sí",O47="Si")),1,0)</f>
        <v>0</v>
      </c>
      <c r="S47" s="62" t="n">
        <f aca="false">IF(AND(K47&gt;0,R47=0),1,0)</f>
        <v>0</v>
      </c>
    </row>
    <row r="48" customFormat="false" ht="15" hidden="false" customHeight="false" outlineLevel="0" collapsed="false">
      <c r="B48" s="71" t="str">
        <f aca="false">IF($F$6="Sí",N($C$11)+21,"")</f>
        <v/>
      </c>
      <c r="C48" s="72" t="str">
        <f aca="false">IF(OR($F$6&lt;&gt;"Sí",D48&lt;=0.5),"",EDATE($C$10,21))</f>
        <v/>
      </c>
      <c r="D48" s="41" t="n">
        <f aca="false">MAX(0,M47)</f>
        <v>0</v>
      </c>
      <c r="E48" s="41" t="n">
        <f aca="false">D48*$F$7</f>
        <v>0</v>
      </c>
      <c r="F48" s="41" t="n">
        <f aca="false">IF(D48&gt;0.5,N($C$15),0)</f>
        <v>0</v>
      </c>
      <c r="G48" s="41" t="n">
        <f aca="false">IF(AND(D48&gt;0.5,N($C$19)&gt;0,N(B48)&lt;=N($C$20)),D48*$F$8,0)</f>
        <v>0</v>
      </c>
      <c r="H48" s="41" t="n">
        <f aca="false">IF(D48&lt;=0.5,0,MIN(IF(N(I48)&gt;0,I48,$F$9),D48+E48+F48))</f>
        <v>0</v>
      </c>
      <c r="I48" s="77"/>
      <c r="J48" s="77"/>
      <c r="K48" s="41" t="n">
        <f aca="false">IF(D48&lt;=0.5,0,MIN(H48+N(J48),D48+E48+F48))</f>
        <v>0</v>
      </c>
      <c r="L48" s="41" t="n">
        <f aca="false">K48-E48-F48</f>
        <v>0</v>
      </c>
      <c r="M48" s="41" t="n">
        <f aca="false">D48-L48</f>
        <v>0</v>
      </c>
      <c r="N48" s="42" t="n">
        <f aca="false">K48-G48</f>
        <v>0</v>
      </c>
      <c r="O48" s="78"/>
      <c r="P48" s="79"/>
      <c r="Q48" s="16" t="str">
        <f aca="false">IF(K48=0,"",IF(R48=1,"Pagada",IF(C48&lt;$F$12,"Vencida",IF(22=$F$13,"Próxima","Pendiente"))))</f>
        <v/>
      </c>
      <c r="R48" s="62" t="n">
        <f aca="false">IF(AND(K48&gt;0,OR(O48="Sí",O48="Si")),1,0)</f>
        <v>0</v>
      </c>
      <c r="S48" s="62" t="n">
        <f aca="false">IF(AND(K48&gt;0,R48=0),1,0)</f>
        <v>0</v>
      </c>
    </row>
    <row r="49" customFormat="false" ht="15" hidden="false" customHeight="false" outlineLevel="0" collapsed="false">
      <c r="B49" s="71" t="str">
        <f aca="false">IF($F$6="Sí",N($C$11)+22,"")</f>
        <v/>
      </c>
      <c r="C49" s="72" t="str">
        <f aca="false">IF(OR($F$6&lt;&gt;"Sí",D49&lt;=0.5),"",EDATE($C$10,22))</f>
        <v/>
      </c>
      <c r="D49" s="41" t="n">
        <f aca="false">MAX(0,M48)</f>
        <v>0</v>
      </c>
      <c r="E49" s="41" t="n">
        <f aca="false">D49*$F$7</f>
        <v>0</v>
      </c>
      <c r="F49" s="41" t="n">
        <f aca="false">IF(D49&gt;0.5,N($C$15),0)</f>
        <v>0</v>
      </c>
      <c r="G49" s="41" t="n">
        <f aca="false">IF(AND(D49&gt;0.5,N($C$19)&gt;0,N(B49)&lt;=N($C$20)),D49*$F$8,0)</f>
        <v>0</v>
      </c>
      <c r="H49" s="41" t="n">
        <f aca="false">IF(D49&lt;=0.5,0,MIN(IF(N(I49)&gt;0,I49,$F$9),D49+E49+F49))</f>
        <v>0</v>
      </c>
      <c r="I49" s="77"/>
      <c r="J49" s="77"/>
      <c r="K49" s="41" t="n">
        <f aca="false">IF(D49&lt;=0.5,0,MIN(H49+N(J49),D49+E49+F49))</f>
        <v>0</v>
      </c>
      <c r="L49" s="41" t="n">
        <f aca="false">K49-E49-F49</f>
        <v>0</v>
      </c>
      <c r="M49" s="41" t="n">
        <f aca="false">D49-L49</f>
        <v>0</v>
      </c>
      <c r="N49" s="42" t="n">
        <f aca="false">K49-G49</f>
        <v>0</v>
      </c>
      <c r="O49" s="78"/>
      <c r="P49" s="79"/>
      <c r="Q49" s="16" t="str">
        <f aca="false">IF(K49=0,"",IF(R49=1,"Pagada",IF(C49&lt;$F$12,"Vencida",IF(23=$F$13,"Próxima","Pendiente"))))</f>
        <v/>
      </c>
      <c r="R49" s="62" t="n">
        <f aca="false">IF(AND(K49&gt;0,OR(O49="Sí",O49="Si")),1,0)</f>
        <v>0</v>
      </c>
      <c r="S49" s="62" t="n">
        <f aca="false">IF(AND(K49&gt;0,R49=0),1,0)</f>
        <v>0</v>
      </c>
    </row>
    <row r="50" customFormat="false" ht="15" hidden="false" customHeight="false" outlineLevel="0" collapsed="false">
      <c r="B50" s="71" t="str">
        <f aca="false">IF($F$6="Sí",N($C$11)+23,"")</f>
        <v/>
      </c>
      <c r="C50" s="72" t="str">
        <f aca="false">IF(OR($F$6&lt;&gt;"Sí",D50&lt;=0.5),"",EDATE($C$10,23))</f>
        <v/>
      </c>
      <c r="D50" s="41" t="n">
        <f aca="false">MAX(0,M49)</f>
        <v>0</v>
      </c>
      <c r="E50" s="41" t="n">
        <f aca="false">D50*$F$7</f>
        <v>0</v>
      </c>
      <c r="F50" s="41" t="n">
        <f aca="false">IF(D50&gt;0.5,N($C$15),0)</f>
        <v>0</v>
      </c>
      <c r="G50" s="41" t="n">
        <f aca="false">IF(AND(D50&gt;0.5,N($C$19)&gt;0,N(B50)&lt;=N($C$20)),D50*$F$8,0)</f>
        <v>0</v>
      </c>
      <c r="H50" s="41" t="n">
        <f aca="false">IF(D50&lt;=0.5,0,MIN(IF(N(I50)&gt;0,I50,$F$9),D50+E50+F50))</f>
        <v>0</v>
      </c>
      <c r="I50" s="77"/>
      <c r="J50" s="77"/>
      <c r="K50" s="41" t="n">
        <f aca="false">IF(D50&lt;=0.5,0,MIN(H50+N(J50),D50+E50+F50))</f>
        <v>0</v>
      </c>
      <c r="L50" s="41" t="n">
        <f aca="false">K50-E50-F50</f>
        <v>0</v>
      </c>
      <c r="M50" s="41" t="n">
        <f aca="false">D50-L50</f>
        <v>0</v>
      </c>
      <c r="N50" s="42" t="n">
        <f aca="false">K50-G50</f>
        <v>0</v>
      </c>
      <c r="O50" s="78"/>
      <c r="P50" s="79"/>
      <c r="Q50" s="16" t="str">
        <f aca="false">IF(K50=0,"",IF(R50=1,"Pagada",IF(C50&lt;$F$12,"Vencida",IF(24=$F$13,"Próxima","Pendiente"))))</f>
        <v/>
      </c>
      <c r="R50" s="62" t="n">
        <f aca="false">IF(AND(K50&gt;0,OR(O50="Sí",O50="Si")),1,0)</f>
        <v>0</v>
      </c>
      <c r="S50" s="62" t="n">
        <f aca="false">IF(AND(K50&gt;0,R50=0),1,0)</f>
        <v>0</v>
      </c>
    </row>
    <row r="51" customFormat="false" ht="15" hidden="false" customHeight="false" outlineLevel="0" collapsed="false">
      <c r="B51" s="71" t="str">
        <f aca="false">IF($F$6="Sí",N($C$11)+24,"")</f>
        <v/>
      </c>
      <c r="C51" s="72" t="str">
        <f aca="false">IF(OR($F$6&lt;&gt;"Sí",D51&lt;=0.5),"",EDATE($C$10,24))</f>
        <v/>
      </c>
      <c r="D51" s="41" t="n">
        <f aca="false">MAX(0,M50)</f>
        <v>0</v>
      </c>
      <c r="E51" s="41" t="n">
        <f aca="false">D51*$F$7</f>
        <v>0</v>
      </c>
      <c r="F51" s="41" t="n">
        <f aca="false">IF(D51&gt;0.5,N($C$15),0)</f>
        <v>0</v>
      </c>
      <c r="G51" s="41" t="n">
        <f aca="false">IF(AND(D51&gt;0.5,N($C$19)&gt;0,N(B51)&lt;=N($C$20)),D51*$F$8,0)</f>
        <v>0</v>
      </c>
      <c r="H51" s="41" t="n">
        <f aca="false">IF(D51&lt;=0.5,0,MIN(IF(N(I51)&gt;0,I51,$F$9),D51+E51+F51))</f>
        <v>0</v>
      </c>
      <c r="I51" s="77"/>
      <c r="J51" s="77"/>
      <c r="K51" s="41" t="n">
        <f aca="false">IF(D51&lt;=0.5,0,MIN(H51+N(J51),D51+E51+F51))</f>
        <v>0</v>
      </c>
      <c r="L51" s="41" t="n">
        <f aca="false">K51-E51-F51</f>
        <v>0</v>
      </c>
      <c r="M51" s="41" t="n">
        <f aca="false">D51-L51</f>
        <v>0</v>
      </c>
      <c r="N51" s="42" t="n">
        <f aca="false">K51-G51</f>
        <v>0</v>
      </c>
      <c r="O51" s="78"/>
      <c r="P51" s="79"/>
      <c r="Q51" s="16" t="str">
        <f aca="false">IF(K51=0,"",IF(R51=1,"Pagada",IF(C51&lt;$F$12,"Vencida",IF(25=$F$13,"Próxima","Pendiente"))))</f>
        <v/>
      </c>
      <c r="R51" s="62" t="n">
        <f aca="false">IF(AND(K51&gt;0,OR(O51="Sí",O51="Si")),1,0)</f>
        <v>0</v>
      </c>
      <c r="S51" s="62" t="n">
        <f aca="false">IF(AND(K51&gt;0,R51=0),1,0)</f>
        <v>0</v>
      </c>
    </row>
    <row r="52" customFormat="false" ht="15" hidden="false" customHeight="false" outlineLevel="0" collapsed="false">
      <c r="B52" s="71" t="str">
        <f aca="false">IF($F$6="Sí",N($C$11)+25,"")</f>
        <v/>
      </c>
      <c r="C52" s="72" t="str">
        <f aca="false">IF(OR($F$6&lt;&gt;"Sí",D52&lt;=0.5),"",EDATE($C$10,25))</f>
        <v/>
      </c>
      <c r="D52" s="41" t="n">
        <f aca="false">MAX(0,M51)</f>
        <v>0</v>
      </c>
      <c r="E52" s="41" t="n">
        <f aca="false">D52*$F$7</f>
        <v>0</v>
      </c>
      <c r="F52" s="41" t="n">
        <f aca="false">IF(D52&gt;0.5,N($C$15),0)</f>
        <v>0</v>
      </c>
      <c r="G52" s="41" t="n">
        <f aca="false">IF(AND(D52&gt;0.5,N($C$19)&gt;0,N(B52)&lt;=N($C$20)),D52*$F$8,0)</f>
        <v>0</v>
      </c>
      <c r="H52" s="41" t="n">
        <f aca="false">IF(D52&lt;=0.5,0,MIN(IF(N(I52)&gt;0,I52,$F$9),D52+E52+F52))</f>
        <v>0</v>
      </c>
      <c r="I52" s="77"/>
      <c r="J52" s="77"/>
      <c r="K52" s="41" t="n">
        <f aca="false">IF(D52&lt;=0.5,0,MIN(H52+N(J52),D52+E52+F52))</f>
        <v>0</v>
      </c>
      <c r="L52" s="41" t="n">
        <f aca="false">K52-E52-F52</f>
        <v>0</v>
      </c>
      <c r="M52" s="41" t="n">
        <f aca="false">D52-L52</f>
        <v>0</v>
      </c>
      <c r="N52" s="42" t="n">
        <f aca="false">K52-G52</f>
        <v>0</v>
      </c>
      <c r="O52" s="78"/>
      <c r="P52" s="79"/>
      <c r="Q52" s="16" t="str">
        <f aca="false">IF(K52=0,"",IF(R52=1,"Pagada",IF(C52&lt;$F$12,"Vencida",IF(26=$F$13,"Próxima","Pendiente"))))</f>
        <v/>
      </c>
      <c r="R52" s="62" t="n">
        <f aca="false">IF(AND(K52&gt;0,OR(O52="Sí",O52="Si")),1,0)</f>
        <v>0</v>
      </c>
      <c r="S52" s="62" t="n">
        <f aca="false">IF(AND(K52&gt;0,R52=0),1,0)</f>
        <v>0</v>
      </c>
    </row>
    <row r="53" customFormat="false" ht="15" hidden="false" customHeight="false" outlineLevel="0" collapsed="false">
      <c r="B53" s="71" t="str">
        <f aca="false">IF($F$6="Sí",N($C$11)+26,"")</f>
        <v/>
      </c>
      <c r="C53" s="72" t="str">
        <f aca="false">IF(OR($F$6&lt;&gt;"Sí",D53&lt;=0.5),"",EDATE($C$10,26))</f>
        <v/>
      </c>
      <c r="D53" s="41" t="n">
        <f aca="false">MAX(0,M52)</f>
        <v>0</v>
      </c>
      <c r="E53" s="41" t="n">
        <f aca="false">D53*$F$7</f>
        <v>0</v>
      </c>
      <c r="F53" s="41" t="n">
        <f aca="false">IF(D53&gt;0.5,N($C$15),0)</f>
        <v>0</v>
      </c>
      <c r="G53" s="41" t="n">
        <f aca="false">IF(AND(D53&gt;0.5,N($C$19)&gt;0,N(B53)&lt;=N($C$20)),D53*$F$8,0)</f>
        <v>0</v>
      </c>
      <c r="H53" s="41" t="n">
        <f aca="false">IF(D53&lt;=0.5,0,MIN(IF(N(I53)&gt;0,I53,$F$9),D53+E53+F53))</f>
        <v>0</v>
      </c>
      <c r="I53" s="77"/>
      <c r="J53" s="77"/>
      <c r="K53" s="41" t="n">
        <f aca="false">IF(D53&lt;=0.5,0,MIN(H53+N(J53),D53+E53+F53))</f>
        <v>0</v>
      </c>
      <c r="L53" s="41" t="n">
        <f aca="false">K53-E53-F53</f>
        <v>0</v>
      </c>
      <c r="M53" s="41" t="n">
        <f aca="false">D53-L53</f>
        <v>0</v>
      </c>
      <c r="N53" s="42" t="n">
        <f aca="false">K53-G53</f>
        <v>0</v>
      </c>
      <c r="O53" s="78"/>
      <c r="P53" s="79"/>
      <c r="Q53" s="16" t="str">
        <f aca="false">IF(K53=0,"",IF(R53=1,"Pagada",IF(C53&lt;$F$12,"Vencida",IF(27=$F$13,"Próxima","Pendiente"))))</f>
        <v/>
      </c>
      <c r="R53" s="62" t="n">
        <f aca="false">IF(AND(K53&gt;0,OR(O53="Sí",O53="Si")),1,0)</f>
        <v>0</v>
      </c>
      <c r="S53" s="62" t="n">
        <f aca="false">IF(AND(K53&gt;0,R53=0),1,0)</f>
        <v>0</v>
      </c>
    </row>
    <row r="54" customFormat="false" ht="15" hidden="false" customHeight="false" outlineLevel="0" collapsed="false">
      <c r="B54" s="71" t="str">
        <f aca="false">IF($F$6="Sí",N($C$11)+27,"")</f>
        <v/>
      </c>
      <c r="C54" s="72" t="str">
        <f aca="false">IF(OR($F$6&lt;&gt;"Sí",D54&lt;=0.5),"",EDATE($C$10,27))</f>
        <v/>
      </c>
      <c r="D54" s="41" t="n">
        <f aca="false">MAX(0,M53)</f>
        <v>0</v>
      </c>
      <c r="E54" s="41" t="n">
        <f aca="false">D54*$F$7</f>
        <v>0</v>
      </c>
      <c r="F54" s="41" t="n">
        <f aca="false">IF(D54&gt;0.5,N($C$15),0)</f>
        <v>0</v>
      </c>
      <c r="G54" s="41" t="n">
        <f aca="false">IF(AND(D54&gt;0.5,N($C$19)&gt;0,N(B54)&lt;=N($C$20)),D54*$F$8,0)</f>
        <v>0</v>
      </c>
      <c r="H54" s="41" t="n">
        <f aca="false">IF(D54&lt;=0.5,0,MIN(IF(N(I54)&gt;0,I54,$F$9),D54+E54+F54))</f>
        <v>0</v>
      </c>
      <c r="I54" s="77"/>
      <c r="J54" s="77"/>
      <c r="K54" s="41" t="n">
        <f aca="false">IF(D54&lt;=0.5,0,MIN(H54+N(J54),D54+E54+F54))</f>
        <v>0</v>
      </c>
      <c r="L54" s="41" t="n">
        <f aca="false">K54-E54-F54</f>
        <v>0</v>
      </c>
      <c r="M54" s="41" t="n">
        <f aca="false">D54-L54</f>
        <v>0</v>
      </c>
      <c r="N54" s="42" t="n">
        <f aca="false">K54-G54</f>
        <v>0</v>
      </c>
      <c r="O54" s="78"/>
      <c r="P54" s="79"/>
      <c r="Q54" s="16" t="str">
        <f aca="false">IF(K54=0,"",IF(R54=1,"Pagada",IF(C54&lt;$F$12,"Vencida",IF(28=$F$13,"Próxima","Pendiente"))))</f>
        <v/>
      </c>
      <c r="R54" s="62" t="n">
        <f aca="false">IF(AND(K54&gt;0,OR(O54="Sí",O54="Si")),1,0)</f>
        <v>0</v>
      </c>
      <c r="S54" s="62" t="n">
        <f aca="false">IF(AND(K54&gt;0,R54=0),1,0)</f>
        <v>0</v>
      </c>
    </row>
    <row r="55" customFormat="false" ht="15" hidden="false" customHeight="false" outlineLevel="0" collapsed="false">
      <c r="B55" s="71" t="str">
        <f aca="false">IF($F$6="Sí",N($C$11)+28,"")</f>
        <v/>
      </c>
      <c r="C55" s="72" t="str">
        <f aca="false">IF(OR($F$6&lt;&gt;"Sí",D55&lt;=0.5),"",EDATE($C$10,28))</f>
        <v/>
      </c>
      <c r="D55" s="41" t="n">
        <f aca="false">MAX(0,M54)</f>
        <v>0</v>
      </c>
      <c r="E55" s="41" t="n">
        <f aca="false">D55*$F$7</f>
        <v>0</v>
      </c>
      <c r="F55" s="41" t="n">
        <f aca="false">IF(D55&gt;0.5,N($C$15),0)</f>
        <v>0</v>
      </c>
      <c r="G55" s="41" t="n">
        <f aca="false">IF(AND(D55&gt;0.5,N($C$19)&gt;0,N(B55)&lt;=N($C$20)),D55*$F$8,0)</f>
        <v>0</v>
      </c>
      <c r="H55" s="41" t="n">
        <f aca="false">IF(D55&lt;=0.5,0,MIN(IF(N(I55)&gt;0,I55,$F$9),D55+E55+F55))</f>
        <v>0</v>
      </c>
      <c r="I55" s="77"/>
      <c r="J55" s="77"/>
      <c r="K55" s="41" t="n">
        <f aca="false">IF(D55&lt;=0.5,0,MIN(H55+N(J55),D55+E55+F55))</f>
        <v>0</v>
      </c>
      <c r="L55" s="41" t="n">
        <f aca="false">K55-E55-F55</f>
        <v>0</v>
      </c>
      <c r="M55" s="41" t="n">
        <f aca="false">D55-L55</f>
        <v>0</v>
      </c>
      <c r="N55" s="42" t="n">
        <f aca="false">K55-G55</f>
        <v>0</v>
      </c>
      <c r="O55" s="78"/>
      <c r="P55" s="79"/>
      <c r="Q55" s="16" t="str">
        <f aca="false">IF(K55=0,"",IF(R55=1,"Pagada",IF(C55&lt;$F$12,"Vencida",IF(29=$F$13,"Próxima","Pendiente"))))</f>
        <v/>
      </c>
      <c r="R55" s="62" t="n">
        <f aca="false">IF(AND(K55&gt;0,OR(O55="Sí",O55="Si")),1,0)</f>
        <v>0</v>
      </c>
      <c r="S55" s="62" t="n">
        <f aca="false">IF(AND(K55&gt;0,R55=0),1,0)</f>
        <v>0</v>
      </c>
    </row>
    <row r="56" customFormat="false" ht="15" hidden="false" customHeight="false" outlineLevel="0" collapsed="false">
      <c r="B56" s="71" t="str">
        <f aca="false">IF($F$6="Sí",N($C$11)+29,"")</f>
        <v/>
      </c>
      <c r="C56" s="72" t="str">
        <f aca="false">IF(OR($F$6&lt;&gt;"Sí",D56&lt;=0.5),"",EDATE($C$10,29))</f>
        <v/>
      </c>
      <c r="D56" s="41" t="n">
        <f aca="false">MAX(0,M55)</f>
        <v>0</v>
      </c>
      <c r="E56" s="41" t="n">
        <f aca="false">D56*$F$7</f>
        <v>0</v>
      </c>
      <c r="F56" s="41" t="n">
        <f aca="false">IF(D56&gt;0.5,N($C$15),0)</f>
        <v>0</v>
      </c>
      <c r="G56" s="41" t="n">
        <f aca="false">IF(AND(D56&gt;0.5,N($C$19)&gt;0,N(B56)&lt;=N($C$20)),D56*$F$8,0)</f>
        <v>0</v>
      </c>
      <c r="H56" s="41" t="n">
        <f aca="false">IF(D56&lt;=0.5,0,MIN(IF(N(I56)&gt;0,I56,$F$9),D56+E56+F56))</f>
        <v>0</v>
      </c>
      <c r="I56" s="77"/>
      <c r="J56" s="77"/>
      <c r="K56" s="41" t="n">
        <f aca="false">IF(D56&lt;=0.5,0,MIN(H56+N(J56),D56+E56+F56))</f>
        <v>0</v>
      </c>
      <c r="L56" s="41" t="n">
        <f aca="false">K56-E56-F56</f>
        <v>0</v>
      </c>
      <c r="M56" s="41" t="n">
        <f aca="false">D56-L56</f>
        <v>0</v>
      </c>
      <c r="N56" s="42" t="n">
        <f aca="false">K56-G56</f>
        <v>0</v>
      </c>
      <c r="O56" s="78"/>
      <c r="P56" s="79"/>
      <c r="Q56" s="16" t="str">
        <f aca="false">IF(K56=0,"",IF(R56=1,"Pagada",IF(C56&lt;$F$12,"Vencida",IF(30=$F$13,"Próxima","Pendiente"))))</f>
        <v/>
      </c>
      <c r="R56" s="62" t="n">
        <f aca="false">IF(AND(K56&gt;0,OR(O56="Sí",O56="Si")),1,0)</f>
        <v>0</v>
      </c>
      <c r="S56" s="62" t="n">
        <f aca="false">IF(AND(K56&gt;0,R56=0),1,0)</f>
        <v>0</v>
      </c>
    </row>
    <row r="57" customFormat="false" ht="15" hidden="false" customHeight="false" outlineLevel="0" collapsed="false">
      <c r="B57" s="71" t="str">
        <f aca="false">IF($F$6="Sí",N($C$11)+30,"")</f>
        <v/>
      </c>
      <c r="C57" s="72" t="str">
        <f aca="false">IF(OR($F$6&lt;&gt;"Sí",D57&lt;=0.5),"",EDATE($C$10,30))</f>
        <v/>
      </c>
      <c r="D57" s="41" t="n">
        <f aca="false">MAX(0,M56)</f>
        <v>0</v>
      </c>
      <c r="E57" s="41" t="n">
        <f aca="false">D57*$F$7</f>
        <v>0</v>
      </c>
      <c r="F57" s="41" t="n">
        <f aca="false">IF(D57&gt;0.5,N($C$15),0)</f>
        <v>0</v>
      </c>
      <c r="G57" s="41" t="n">
        <f aca="false">IF(AND(D57&gt;0.5,N($C$19)&gt;0,N(B57)&lt;=N($C$20)),D57*$F$8,0)</f>
        <v>0</v>
      </c>
      <c r="H57" s="41" t="n">
        <f aca="false">IF(D57&lt;=0.5,0,MIN(IF(N(I57)&gt;0,I57,$F$9),D57+E57+F57))</f>
        <v>0</v>
      </c>
      <c r="I57" s="77"/>
      <c r="J57" s="77"/>
      <c r="K57" s="41" t="n">
        <f aca="false">IF(D57&lt;=0.5,0,MIN(H57+N(J57),D57+E57+F57))</f>
        <v>0</v>
      </c>
      <c r="L57" s="41" t="n">
        <f aca="false">K57-E57-F57</f>
        <v>0</v>
      </c>
      <c r="M57" s="41" t="n">
        <f aca="false">D57-L57</f>
        <v>0</v>
      </c>
      <c r="N57" s="42" t="n">
        <f aca="false">K57-G57</f>
        <v>0</v>
      </c>
      <c r="O57" s="78"/>
      <c r="P57" s="79"/>
      <c r="Q57" s="16" t="str">
        <f aca="false">IF(K57=0,"",IF(R57=1,"Pagada",IF(C57&lt;$F$12,"Vencida",IF(31=$F$13,"Próxima","Pendiente"))))</f>
        <v/>
      </c>
      <c r="R57" s="62" t="n">
        <f aca="false">IF(AND(K57&gt;0,OR(O57="Sí",O57="Si")),1,0)</f>
        <v>0</v>
      </c>
      <c r="S57" s="62" t="n">
        <f aca="false">IF(AND(K57&gt;0,R57=0),1,0)</f>
        <v>0</v>
      </c>
    </row>
    <row r="58" customFormat="false" ht="15" hidden="false" customHeight="false" outlineLevel="0" collapsed="false">
      <c r="B58" s="71" t="str">
        <f aca="false">IF($F$6="Sí",N($C$11)+31,"")</f>
        <v/>
      </c>
      <c r="C58" s="72" t="str">
        <f aca="false">IF(OR($F$6&lt;&gt;"Sí",D58&lt;=0.5),"",EDATE($C$10,31))</f>
        <v/>
      </c>
      <c r="D58" s="41" t="n">
        <f aca="false">MAX(0,M57)</f>
        <v>0</v>
      </c>
      <c r="E58" s="41" t="n">
        <f aca="false">D58*$F$7</f>
        <v>0</v>
      </c>
      <c r="F58" s="41" t="n">
        <f aca="false">IF(D58&gt;0.5,N($C$15),0)</f>
        <v>0</v>
      </c>
      <c r="G58" s="41" t="n">
        <f aca="false">IF(AND(D58&gt;0.5,N($C$19)&gt;0,N(B58)&lt;=N($C$20)),D58*$F$8,0)</f>
        <v>0</v>
      </c>
      <c r="H58" s="41" t="n">
        <f aca="false">IF(D58&lt;=0.5,0,MIN(IF(N(I58)&gt;0,I58,$F$9),D58+E58+F58))</f>
        <v>0</v>
      </c>
      <c r="I58" s="77"/>
      <c r="J58" s="77"/>
      <c r="K58" s="41" t="n">
        <f aca="false">IF(D58&lt;=0.5,0,MIN(H58+N(J58),D58+E58+F58))</f>
        <v>0</v>
      </c>
      <c r="L58" s="41" t="n">
        <f aca="false">K58-E58-F58</f>
        <v>0</v>
      </c>
      <c r="M58" s="41" t="n">
        <f aca="false">D58-L58</f>
        <v>0</v>
      </c>
      <c r="N58" s="42" t="n">
        <f aca="false">K58-G58</f>
        <v>0</v>
      </c>
      <c r="O58" s="78"/>
      <c r="P58" s="79"/>
      <c r="Q58" s="16" t="str">
        <f aca="false">IF(K58=0,"",IF(R58=1,"Pagada",IF(C58&lt;$F$12,"Vencida",IF(32=$F$13,"Próxima","Pendiente"))))</f>
        <v/>
      </c>
      <c r="R58" s="62" t="n">
        <f aca="false">IF(AND(K58&gt;0,OR(O58="Sí",O58="Si")),1,0)</f>
        <v>0</v>
      </c>
      <c r="S58" s="62" t="n">
        <f aca="false">IF(AND(K58&gt;0,R58=0),1,0)</f>
        <v>0</v>
      </c>
    </row>
    <row r="59" customFormat="false" ht="15" hidden="false" customHeight="false" outlineLevel="0" collapsed="false">
      <c r="B59" s="71" t="str">
        <f aca="false">IF($F$6="Sí",N($C$11)+32,"")</f>
        <v/>
      </c>
      <c r="C59" s="72" t="str">
        <f aca="false">IF(OR($F$6&lt;&gt;"Sí",D59&lt;=0.5),"",EDATE($C$10,32))</f>
        <v/>
      </c>
      <c r="D59" s="41" t="n">
        <f aca="false">MAX(0,M58)</f>
        <v>0</v>
      </c>
      <c r="E59" s="41" t="n">
        <f aca="false">D59*$F$7</f>
        <v>0</v>
      </c>
      <c r="F59" s="41" t="n">
        <f aca="false">IF(D59&gt;0.5,N($C$15),0)</f>
        <v>0</v>
      </c>
      <c r="G59" s="41" t="n">
        <f aca="false">IF(AND(D59&gt;0.5,N($C$19)&gt;0,N(B59)&lt;=N($C$20)),D59*$F$8,0)</f>
        <v>0</v>
      </c>
      <c r="H59" s="41" t="n">
        <f aca="false">IF(D59&lt;=0.5,0,MIN(IF(N(I59)&gt;0,I59,$F$9),D59+E59+F59))</f>
        <v>0</v>
      </c>
      <c r="I59" s="77"/>
      <c r="J59" s="77"/>
      <c r="K59" s="41" t="n">
        <f aca="false">IF(D59&lt;=0.5,0,MIN(H59+N(J59),D59+E59+F59))</f>
        <v>0</v>
      </c>
      <c r="L59" s="41" t="n">
        <f aca="false">K59-E59-F59</f>
        <v>0</v>
      </c>
      <c r="M59" s="41" t="n">
        <f aca="false">D59-L59</f>
        <v>0</v>
      </c>
      <c r="N59" s="42" t="n">
        <f aca="false">K59-G59</f>
        <v>0</v>
      </c>
      <c r="O59" s="78"/>
      <c r="P59" s="79"/>
      <c r="Q59" s="16" t="str">
        <f aca="false">IF(K59=0,"",IF(R59=1,"Pagada",IF(C59&lt;$F$12,"Vencida",IF(33=$F$13,"Próxima","Pendiente"))))</f>
        <v/>
      </c>
      <c r="R59" s="62" t="n">
        <f aca="false">IF(AND(K59&gt;0,OR(O59="Sí",O59="Si")),1,0)</f>
        <v>0</v>
      </c>
      <c r="S59" s="62" t="n">
        <f aca="false">IF(AND(K59&gt;0,R59=0),1,0)</f>
        <v>0</v>
      </c>
    </row>
    <row r="60" customFormat="false" ht="15" hidden="false" customHeight="false" outlineLevel="0" collapsed="false">
      <c r="B60" s="71" t="str">
        <f aca="false">IF($F$6="Sí",N($C$11)+33,"")</f>
        <v/>
      </c>
      <c r="C60" s="72" t="str">
        <f aca="false">IF(OR($F$6&lt;&gt;"Sí",D60&lt;=0.5),"",EDATE($C$10,33))</f>
        <v/>
      </c>
      <c r="D60" s="41" t="n">
        <f aca="false">MAX(0,M59)</f>
        <v>0</v>
      </c>
      <c r="E60" s="41" t="n">
        <f aca="false">D60*$F$7</f>
        <v>0</v>
      </c>
      <c r="F60" s="41" t="n">
        <f aca="false">IF(D60&gt;0.5,N($C$15),0)</f>
        <v>0</v>
      </c>
      <c r="G60" s="41" t="n">
        <f aca="false">IF(AND(D60&gt;0.5,N($C$19)&gt;0,N(B60)&lt;=N($C$20)),D60*$F$8,0)</f>
        <v>0</v>
      </c>
      <c r="H60" s="41" t="n">
        <f aca="false">IF(D60&lt;=0.5,0,MIN(IF(N(I60)&gt;0,I60,$F$9),D60+E60+F60))</f>
        <v>0</v>
      </c>
      <c r="I60" s="77"/>
      <c r="J60" s="77"/>
      <c r="K60" s="41" t="n">
        <f aca="false">IF(D60&lt;=0.5,0,MIN(H60+N(J60),D60+E60+F60))</f>
        <v>0</v>
      </c>
      <c r="L60" s="41" t="n">
        <f aca="false">K60-E60-F60</f>
        <v>0</v>
      </c>
      <c r="M60" s="41" t="n">
        <f aca="false">D60-L60</f>
        <v>0</v>
      </c>
      <c r="N60" s="42" t="n">
        <f aca="false">K60-G60</f>
        <v>0</v>
      </c>
      <c r="O60" s="78"/>
      <c r="P60" s="79"/>
      <c r="Q60" s="16" t="str">
        <f aca="false">IF(K60=0,"",IF(R60=1,"Pagada",IF(C60&lt;$F$12,"Vencida",IF(34=$F$13,"Próxima","Pendiente"))))</f>
        <v/>
      </c>
      <c r="R60" s="62" t="n">
        <f aca="false">IF(AND(K60&gt;0,OR(O60="Sí",O60="Si")),1,0)</f>
        <v>0</v>
      </c>
      <c r="S60" s="62" t="n">
        <f aca="false">IF(AND(K60&gt;0,R60=0),1,0)</f>
        <v>0</v>
      </c>
    </row>
    <row r="61" customFormat="false" ht="15" hidden="false" customHeight="false" outlineLevel="0" collapsed="false">
      <c r="B61" s="71" t="str">
        <f aca="false">IF($F$6="Sí",N($C$11)+34,"")</f>
        <v/>
      </c>
      <c r="C61" s="72" t="str">
        <f aca="false">IF(OR($F$6&lt;&gt;"Sí",D61&lt;=0.5),"",EDATE($C$10,34))</f>
        <v/>
      </c>
      <c r="D61" s="41" t="n">
        <f aca="false">MAX(0,M60)</f>
        <v>0</v>
      </c>
      <c r="E61" s="41" t="n">
        <f aca="false">D61*$F$7</f>
        <v>0</v>
      </c>
      <c r="F61" s="41" t="n">
        <f aca="false">IF(D61&gt;0.5,N($C$15),0)</f>
        <v>0</v>
      </c>
      <c r="G61" s="41" t="n">
        <f aca="false">IF(AND(D61&gt;0.5,N($C$19)&gt;0,N(B61)&lt;=N($C$20)),D61*$F$8,0)</f>
        <v>0</v>
      </c>
      <c r="H61" s="41" t="n">
        <f aca="false">IF(D61&lt;=0.5,0,MIN(IF(N(I61)&gt;0,I61,$F$9),D61+E61+F61))</f>
        <v>0</v>
      </c>
      <c r="I61" s="77"/>
      <c r="J61" s="77"/>
      <c r="K61" s="41" t="n">
        <f aca="false">IF(D61&lt;=0.5,0,MIN(H61+N(J61),D61+E61+F61))</f>
        <v>0</v>
      </c>
      <c r="L61" s="41" t="n">
        <f aca="false">K61-E61-F61</f>
        <v>0</v>
      </c>
      <c r="M61" s="41" t="n">
        <f aca="false">D61-L61</f>
        <v>0</v>
      </c>
      <c r="N61" s="42" t="n">
        <f aca="false">K61-G61</f>
        <v>0</v>
      </c>
      <c r="O61" s="78"/>
      <c r="P61" s="79"/>
      <c r="Q61" s="16" t="str">
        <f aca="false">IF(K61=0,"",IF(R61=1,"Pagada",IF(C61&lt;$F$12,"Vencida",IF(35=$F$13,"Próxima","Pendiente"))))</f>
        <v/>
      </c>
      <c r="R61" s="62" t="n">
        <f aca="false">IF(AND(K61&gt;0,OR(O61="Sí",O61="Si")),1,0)</f>
        <v>0</v>
      </c>
      <c r="S61" s="62" t="n">
        <f aca="false">IF(AND(K61&gt;0,R61=0),1,0)</f>
        <v>0</v>
      </c>
    </row>
    <row r="62" customFormat="false" ht="15" hidden="false" customHeight="false" outlineLevel="0" collapsed="false">
      <c r="B62" s="71" t="str">
        <f aca="false">IF($F$6="Sí",N($C$11)+35,"")</f>
        <v/>
      </c>
      <c r="C62" s="72" t="str">
        <f aca="false">IF(OR($F$6&lt;&gt;"Sí",D62&lt;=0.5),"",EDATE($C$10,35))</f>
        <v/>
      </c>
      <c r="D62" s="41" t="n">
        <f aca="false">MAX(0,M61)</f>
        <v>0</v>
      </c>
      <c r="E62" s="41" t="n">
        <f aca="false">D62*$F$7</f>
        <v>0</v>
      </c>
      <c r="F62" s="41" t="n">
        <f aca="false">IF(D62&gt;0.5,N($C$15),0)</f>
        <v>0</v>
      </c>
      <c r="G62" s="41" t="n">
        <f aca="false">IF(AND(D62&gt;0.5,N($C$19)&gt;0,N(B62)&lt;=N($C$20)),D62*$F$8,0)</f>
        <v>0</v>
      </c>
      <c r="H62" s="41" t="n">
        <f aca="false">IF(D62&lt;=0.5,0,MIN(IF(N(I62)&gt;0,I62,$F$9),D62+E62+F62))</f>
        <v>0</v>
      </c>
      <c r="I62" s="77"/>
      <c r="J62" s="77"/>
      <c r="K62" s="41" t="n">
        <f aca="false">IF(D62&lt;=0.5,0,MIN(H62+N(J62),D62+E62+F62))</f>
        <v>0</v>
      </c>
      <c r="L62" s="41" t="n">
        <f aca="false">K62-E62-F62</f>
        <v>0</v>
      </c>
      <c r="M62" s="41" t="n">
        <f aca="false">D62-L62</f>
        <v>0</v>
      </c>
      <c r="N62" s="42" t="n">
        <f aca="false">K62-G62</f>
        <v>0</v>
      </c>
      <c r="O62" s="78"/>
      <c r="P62" s="79"/>
      <c r="Q62" s="16" t="str">
        <f aca="false">IF(K62=0,"",IF(R62=1,"Pagada",IF(C62&lt;$F$12,"Vencida",IF(36=$F$13,"Próxima","Pendiente"))))</f>
        <v/>
      </c>
      <c r="R62" s="62" t="n">
        <f aca="false">IF(AND(K62&gt;0,OR(O62="Sí",O62="Si")),1,0)</f>
        <v>0</v>
      </c>
      <c r="S62" s="62" t="n">
        <f aca="false">IF(AND(K62&gt;0,R62=0),1,0)</f>
        <v>0</v>
      </c>
    </row>
    <row r="63" customFormat="false" ht="15" hidden="false" customHeight="false" outlineLevel="0" collapsed="false">
      <c r="B63" s="71" t="str">
        <f aca="false">IF($F$6="Sí",N($C$11)+36,"")</f>
        <v/>
      </c>
      <c r="C63" s="72" t="str">
        <f aca="false">IF(OR($F$6&lt;&gt;"Sí",D63&lt;=0.5),"",EDATE($C$10,36))</f>
        <v/>
      </c>
      <c r="D63" s="41" t="n">
        <f aca="false">MAX(0,M62)</f>
        <v>0</v>
      </c>
      <c r="E63" s="41" t="n">
        <f aca="false">D63*$F$7</f>
        <v>0</v>
      </c>
      <c r="F63" s="41" t="n">
        <f aca="false">IF(D63&gt;0.5,N($C$15),0)</f>
        <v>0</v>
      </c>
      <c r="G63" s="41" t="n">
        <f aca="false">IF(AND(D63&gt;0.5,N($C$19)&gt;0,N(B63)&lt;=N($C$20)),D63*$F$8,0)</f>
        <v>0</v>
      </c>
      <c r="H63" s="41" t="n">
        <f aca="false">IF(D63&lt;=0.5,0,MIN(IF(N(I63)&gt;0,I63,$F$9),D63+E63+F63))</f>
        <v>0</v>
      </c>
      <c r="I63" s="77"/>
      <c r="J63" s="77"/>
      <c r="K63" s="41" t="n">
        <f aca="false">IF(D63&lt;=0.5,0,MIN(H63+N(J63),D63+E63+F63))</f>
        <v>0</v>
      </c>
      <c r="L63" s="41" t="n">
        <f aca="false">K63-E63-F63</f>
        <v>0</v>
      </c>
      <c r="M63" s="41" t="n">
        <f aca="false">D63-L63</f>
        <v>0</v>
      </c>
      <c r="N63" s="42" t="n">
        <f aca="false">K63-G63</f>
        <v>0</v>
      </c>
      <c r="O63" s="78"/>
      <c r="P63" s="79"/>
      <c r="Q63" s="16" t="str">
        <f aca="false">IF(K63=0,"",IF(R63=1,"Pagada",IF(C63&lt;$F$12,"Vencida",IF(37=$F$13,"Próxima","Pendiente"))))</f>
        <v/>
      </c>
      <c r="R63" s="62" t="n">
        <f aca="false">IF(AND(K63&gt;0,OR(O63="Sí",O63="Si")),1,0)</f>
        <v>0</v>
      </c>
      <c r="S63" s="62" t="n">
        <f aca="false">IF(AND(K63&gt;0,R63=0),1,0)</f>
        <v>0</v>
      </c>
    </row>
    <row r="64" customFormat="false" ht="15" hidden="false" customHeight="false" outlineLevel="0" collapsed="false">
      <c r="B64" s="71" t="str">
        <f aca="false">IF($F$6="Sí",N($C$11)+37,"")</f>
        <v/>
      </c>
      <c r="C64" s="72" t="str">
        <f aca="false">IF(OR($F$6&lt;&gt;"Sí",D64&lt;=0.5),"",EDATE($C$10,37))</f>
        <v/>
      </c>
      <c r="D64" s="41" t="n">
        <f aca="false">MAX(0,M63)</f>
        <v>0</v>
      </c>
      <c r="E64" s="41" t="n">
        <f aca="false">D64*$F$7</f>
        <v>0</v>
      </c>
      <c r="F64" s="41" t="n">
        <f aca="false">IF(D64&gt;0.5,N($C$15),0)</f>
        <v>0</v>
      </c>
      <c r="G64" s="41" t="n">
        <f aca="false">IF(AND(D64&gt;0.5,N($C$19)&gt;0,N(B64)&lt;=N($C$20)),D64*$F$8,0)</f>
        <v>0</v>
      </c>
      <c r="H64" s="41" t="n">
        <f aca="false">IF(D64&lt;=0.5,0,MIN(IF(N(I64)&gt;0,I64,$F$9),D64+E64+F64))</f>
        <v>0</v>
      </c>
      <c r="I64" s="77"/>
      <c r="J64" s="77"/>
      <c r="K64" s="41" t="n">
        <f aca="false">IF(D64&lt;=0.5,0,MIN(H64+N(J64),D64+E64+F64))</f>
        <v>0</v>
      </c>
      <c r="L64" s="41" t="n">
        <f aca="false">K64-E64-F64</f>
        <v>0</v>
      </c>
      <c r="M64" s="41" t="n">
        <f aca="false">D64-L64</f>
        <v>0</v>
      </c>
      <c r="N64" s="42" t="n">
        <f aca="false">K64-G64</f>
        <v>0</v>
      </c>
      <c r="O64" s="78"/>
      <c r="P64" s="79"/>
      <c r="Q64" s="16" t="str">
        <f aca="false">IF(K64=0,"",IF(R64=1,"Pagada",IF(C64&lt;$F$12,"Vencida",IF(38=$F$13,"Próxima","Pendiente"))))</f>
        <v/>
      </c>
      <c r="R64" s="62" t="n">
        <f aca="false">IF(AND(K64&gt;0,OR(O64="Sí",O64="Si")),1,0)</f>
        <v>0</v>
      </c>
      <c r="S64" s="62" t="n">
        <f aca="false">IF(AND(K64&gt;0,R64=0),1,0)</f>
        <v>0</v>
      </c>
    </row>
    <row r="65" customFormat="false" ht="15" hidden="false" customHeight="false" outlineLevel="0" collapsed="false">
      <c r="B65" s="71" t="str">
        <f aca="false">IF($F$6="Sí",N($C$11)+38,"")</f>
        <v/>
      </c>
      <c r="C65" s="72" t="str">
        <f aca="false">IF(OR($F$6&lt;&gt;"Sí",D65&lt;=0.5),"",EDATE($C$10,38))</f>
        <v/>
      </c>
      <c r="D65" s="41" t="n">
        <f aca="false">MAX(0,M64)</f>
        <v>0</v>
      </c>
      <c r="E65" s="41" t="n">
        <f aca="false">D65*$F$7</f>
        <v>0</v>
      </c>
      <c r="F65" s="41" t="n">
        <f aca="false">IF(D65&gt;0.5,N($C$15),0)</f>
        <v>0</v>
      </c>
      <c r="G65" s="41" t="n">
        <f aca="false">IF(AND(D65&gt;0.5,N($C$19)&gt;0,N(B65)&lt;=N($C$20)),D65*$F$8,0)</f>
        <v>0</v>
      </c>
      <c r="H65" s="41" t="n">
        <f aca="false">IF(D65&lt;=0.5,0,MIN(IF(N(I65)&gt;0,I65,$F$9),D65+E65+F65))</f>
        <v>0</v>
      </c>
      <c r="I65" s="77"/>
      <c r="J65" s="77"/>
      <c r="K65" s="41" t="n">
        <f aca="false">IF(D65&lt;=0.5,0,MIN(H65+N(J65),D65+E65+F65))</f>
        <v>0</v>
      </c>
      <c r="L65" s="41" t="n">
        <f aca="false">K65-E65-F65</f>
        <v>0</v>
      </c>
      <c r="M65" s="41" t="n">
        <f aca="false">D65-L65</f>
        <v>0</v>
      </c>
      <c r="N65" s="42" t="n">
        <f aca="false">K65-G65</f>
        <v>0</v>
      </c>
      <c r="O65" s="78"/>
      <c r="P65" s="79"/>
      <c r="Q65" s="16" t="str">
        <f aca="false">IF(K65=0,"",IF(R65=1,"Pagada",IF(C65&lt;$F$12,"Vencida",IF(39=$F$13,"Próxima","Pendiente"))))</f>
        <v/>
      </c>
      <c r="R65" s="62" t="n">
        <f aca="false">IF(AND(K65&gt;0,OR(O65="Sí",O65="Si")),1,0)</f>
        <v>0</v>
      </c>
      <c r="S65" s="62" t="n">
        <f aca="false">IF(AND(K65&gt;0,R65=0),1,0)</f>
        <v>0</v>
      </c>
    </row>
    <row r="66" customFormat="false" ht="15" hidden="false" customHeight="false" outlineLevel="0" collapsed="false">
      <c r="B66" s="71" t="str">
        <f aca="false">IF($F$6="Sí",N($C$11)+39,"")</f>
        <v/>
      </c>
      <c r="C66" s="72" t="str">
        <f aca="false">IF(OR($F$6&lt;&gt;"Sí",D66&lt;=0.5),"",EDATE($C$10,39))</f>
        <v/>
      </c>
      <c r="D66" s="41" t="n">
        <f aca="false">MAX(0,M65)</f>
        <v>0</v>
      </c>
      <c r="E66" s="41" t="n">
        <f aca="false">D66*$F$7</f>
        <v>0</v>
      </c>
      <c r="F66" s="41" t="n">
        <f aca="false">IF(D66&gt;0.5,N($C$15),0)</f>
        <v>0</v>
      </c>
      <c r="G66" s="41" t="n">
        <f aca="false">IF(AND(D66&gt;0.5,N($C$19)&gt;0,N(B66)&lt;=N($C$20)),D66*$F$8,0)</f>
        <v>0</v>
      </c>
      <c r="H66" s="41" t="n">
        <f aca="false">IF(D66&lt;=0.5,0,MIN(IF(N(I66)&gt;0,I66,$F$9),D66+E66+F66))</f>
        <v>0</v>
      </c>
      <c r="I66" s="77"/>
      <c r="J66" s="77"/>
      <c r="K66" s="41" t="n">
        <f aca="false">IF(D66&lt;=0.5,0,MIN(H66+N(J66),D66+E66+F66))</f>
        <v>0</v>
      </c>
      <c r="L66" s="41" t="n">
        <f aca="false">K66-E66-F66</f>
        <v>0</v>
      </c>
      <c r="M66" s="41" t="n">
        <f aca="false">D66-L66</f>
        <v>0</v>
      </c>
      <c r="N66" s="42" t="n">
        <f aca="false">K66-G66</f>
        <v>0</v>
      </c>
      <c r="O66" s="78"/>
      <c r="P66" s="79"/>
      <c r="Q66" s="16" t="str">
        <f aca="false">IF(K66=0,"",IF(R66=1,"Pagada",IF(C66&lt;$F$12,"Vencida",IF(40=$F$13,"Próxima","Pendiente"))))</f>
        <v/>
      </c>
      <c r="R66" s="62" t="n">
        <f aca="false">IF(AND(K66&gt;0,OR(O66="Sí",O66="Si")),1,0)</f>
        <v>0</v>
      </c>
      <c r="S66" s="62" t="n">
        <f aca="false">IF(AND(K66&gt;0,R66=0),1,0)</f>
        <v>0</v>
      </c>
    </row>
    <row r="67" customFormat="false" ht="15" hidden="false" customHeight="false" outlineLevel="0" collapsed="false">
      <c r="B67" s="71" t="str">
        <f aca="false">IF($F$6="Sí",N($C$11)+40,"")</f>
        <v/>
      </c>
      <c r="C67" s="72" t="str">
        <f aca="false">IF(OR($F$6&lt;&gt;"Sí",D67&lt;=0.5),"",EDATE($C$10,40))</f>
        <v/>
      </c>
      <c r="D67" s="41" t="n">
        <f aca="false">MAX(0,M66)</f>
        <v>0</v>
      </c>
      <c r="E67" s="41" t="n">
        <f aca="false">D67*$F$7</f>
        <v>0</v>
      </c>
      <c r="F67" s="41" t="n">
        <f aca="false">IF(D67&gt;0.5,N($C$15),0)</f>
        <v>0</v>
      </c>
      <c r="G67" s="41" t="n">
        <f aca="false">IF(AND(D67&gt;0.5,N($C$19)&gt;0,N(B67)&lt;=N($C$20)),D67*$F$8,0)</f>
        <v>0</v>
      </c>
      <c r="H67" s="41" t="n">
        <f aca="false">IF(D67&lt;=0.5,0,MIN(IF(N(I67)&gt;0,I67,$F$9),D67+E67+F67))</f>
        <v>0</v>
      </c>
      <c r="I67" s="77"/>
      <c r="J67" s="77"/>
      <c r="K67" s="41" t="n">
        <f aca="false">IF(D67&lt;=0.5,0,MIN(H67+N(J67),D67+E67+F67))</f>
        <v>0</v>
      </c>
      <c r="L67" s="41" t="n">
        <f aca="false">K67-E67-F67</f>
        <v>0</v>
      </c>
      <c r="M67" s="41" t="n">
        <f aca="false">D67-L67</f>
        <v>0</v>
      </c>
      <c r="N67" s="42" t="n">
        <f aca="false">K67-G67</f>
        <v>0</v>
      </c>
      <c r="O67" s="78"/>
      <c r="P67" s="79"/>
      <c r="Q67" s="16" t="str">
        <f aca="false">IF(K67=0,"",IF(R67=1,"Pagada",IF(C67&lt;$F$12,"Vencida",IF(41=$F$13,"Próxima","Pendiente"))))</f>
        <v/>
      </c>
      <c r="R67" s="62" t="n">
        <f aca="false">IF(AND(K67&gt;0,OR(O67="Sí",O67="Si")),1,0)</f>
        <v>0</v>
      </c>
      <c r="S67" s="62" t="n">
        <f aca="false">IF(AND(K67&gt;0,R67=0),1,0)</f>
        <v>0</v>
      </c>
    </row>
    <row r="68" customFormat="false" ht="15" hidden="false" customHeight="false" outlineLevel="0" collapsed="false">
      <c r="B68" s="71" t="str">
        <f aca="false">IF($F$6="Sí",N($C$11)+41,"")</f>
        <v/>
      </c>
      <c r="C68" s="72" t="str">
        <f aca="false">IF(OR($F$6&lt;&gt;"Sí",D68&lt;=0.5),"",EDATE($C$10,41))</f>
        <v/>
      </c>
      <c r="D68" s="41" t="n">
        <f aca="false">MAX(0,M67)</f>
        <v>0</v>
      </c>
      <c r="E68" s="41" t="n">
        <f aca="false">D68*$F$7</f>
        <v>0</v>
      </c>
      <c r="F68" s="41" t="n">
        <f aca="false">IF(D68&gt;0.5,N($C$15),0)</f>
        <v>0</v>
      </c>
      <c r="G68" s="41" t="n">
        <f aca="false">IF(AND(D68&gt;0.5,N($C$19)&gt;0,N(B68)&lt;=N($C$20)),D68*$F$8,0)</f>
        <v>0</v>
      </c>
      <c r="H68" s="41" t="n">
        <f aca="false">IF(D68&lt;=0.5,0,MIN(IF(N(I68)&gt;0,I68,$F$9),D68+E68+F68))</f>
        <v>0</v>
      </c>
      <c r="I68" s="77"/>
      <c r="J68" s="77"/>
      <c r="K68" s="41" t="n">
        <f aca="false">IF(D68&lt;=0.5,0,MIN(H68+N(J68),D68+E68+F68))</f>
        <v>0</v>
      </c>
      <c r="L68" s="41" t="n">
        <f aca="false">K68-E68-F68</f>
        <v>0</v>
      </c>
      <c r="M68" s="41" t="n">
        <f aca="false">D68-L68</f>
        <v>0</v>
      </c>
      <c r="N68" s="42" t="n">
        <f aca="false">K68-G68</f>
        <v>0</v>
      </c>
      <c r="O68" s="78"/>
      <c r="P68" s="79"/>
      <c r="Q68" s="16" t="str">
        <f aca="false">IF(K68=0,"",IF(R68=1,"Pagada",IF(C68&lt;$F$12,"Vencida",IF(42=$F$13,"Próxima","Pendiente"))))</f>
        <v/>
      </c>
      <c r="R68" s="62" t="n">
        <f aca="false">IF(AND(K68&gt;0,OR(O68="Sí",O68="Si")),1,0)</f>
        <v>0</v>
      </c>
      <c r="S68" s="62" t="n">
        <f aca="false">IF(AND(K68&gt;0,R68=0),1,0)</f>
        <v>0</v>
      </c>
    </row>
    <row r="69" customFormat="false" ht="15" hidden="false" customHeight="false" outlineLevel="0" collapsed="false">
      <c r="B69" s="71" t="str">
        <f aca="false">IF($F$6="Sí",N($C$11)+42,"")</f>
        <v/>
      </c>
      <c r="C69" s="72" t="str">
        <f aca="false">IF(OR($F$6&lt;&gt;"Sí",D69&lt;=0.5),"",EDATE($C$10,42))</f>
        <v/>
      </c>
      <c r="D69" s="41" t="n">
        <f aca="false">MAX(0,M68)</f>
        <v>0</v>
      </c>
      <c r="E69" s="41" t="n">
        <f aca="false">D69*$F$7</f>
        <v>0</v>
      </c>
      <c r="F69" s="41" t="n">
        <f aca="false">IF(D69&gt;0.5,N($C$15),0)</f>
        <v>0</v>
      </c>
      <c r="G69" s="41" t="n">
        <f aca="false">IF(AND(D69&gt;0.5,N($C$19)&gt;0,N(B69)&lt;=N($C$20)),D69*$F$8,0)</f>
        <v>0</v>
      </c>
      <c r="H69" s="41" t="n">
        <f aca="false">IF(D69&lt;=0.5,0,MIN(IF(N(I69)&gt;0,I69,$F$9),D69+E69+F69))</f>
        <v>0</v>
      </c>
      <c r="I69" s="77"/>
      <c r="J69" s="77"/>
      <c r="K69" s="41" t="n">
        <f aca="false">IF(D69&lt;=0.5,0,MIN(H69+N(J69),D69+E69+F69))</f>
        <v>0</v>
      </c>
      <c r="L69" s="41" t="n">
        <f aca="false">K69-E69-F69</f>
        <v>0</v>
      </c>
      <c r="M69" s="41" t="n">
        <f aca="false">D69-L69</f>
        <v>0</v>
      </c>
      <c r="N69" s="42" t="n">
        <f aca="false">K69-G69</f>
        <v>0</v>
      </c>
      <c r="O69" s="78"/>
      <c r="P69" s="79"/>
      <c r="Q69" s="16" t="str">
        <f aca="false">IF(K69=0,"",IF(R69=1,"Pagada",IF(C69&lt;$F$12,"Vencida",IF(43=$F$13,"Próxima","Pendiente"))))</f>
        <v/>
      </c>
      <c r="R69" s="62" t="n">
        <f aca="false">IF(AND(K69&gt;0,OR(O69="Sí",O69="Si")),1,0)</f>
        <v>0</v>
      </c>
      <c r="S69" s="62" t="n">
        <f aca="false">IF(AND(K69&gt;0,R69=0),1,0)</f>
        <v>0</v>
      </c>
    </row>
    <row r="70" customFormat="false" ht="15" hidden="false" customHeight="false" outlineLevel="0" collapsed="false">
      <c r="B70" s="71" t="str">
        <f aca="false">IF($F$6="Sí",N($C$11)+43,"")</f>
        <v/>
      </c>
      <c r="C70" s="72" t="str">
        <f aca="false">IF(OR($F$6&lt;&gt;"Sí",D70&lt;=0.5),"",EDATE($C$10,43))</f>
        <v/>
      </c>
      <c r="D70" s="41" t="n">
        <f aca="false">MAX(0,M69)</f>
        <v>0</v>
      </c>
      <c r="E70" s="41" t="n">
        <f aca="false">D70*$F$7</f>
        <v>0</v>
      </c>
      <c r="F70" s="41" t="n">
        <f aca="false">IF(D70&gt;0.5,N($C$15),0)</f>
        <v>0</v>
      </c>
      <c r="G70" s="41" t="n">
        <f aca="false">IF(AND(D70&gt;0.5,N($C$19)&gt;0,N(B70)&lt;=N($C$20)),D70*$F$8,0)</f>
        <v>0</v>
      </c>
      <c r="H70" s="41" t="n">
        <f aca="false">IF(D70&lt;=0.5,0,MIN(IF(N(I70)&gt;0,I70,$F$9),D70+E70+F70))</f>
        <v>0</v>
      </c>
      <c r="I70" s="77"/>
      <c r="J70" s="77"/>
      <c r="K70" s="41" t="n">
        <f aca="false">IF(D70&lt;=0.5,0,MIN(H70+N(J70),D70+E70+F70))</f>
        <v>0</v>
      </c>
      <c r="L70" s="41" t="n">
        <f aca="false">K70-E70-F70</f>
        <v>0</v>
      </c>
      <c r="M70" s="41" t="n">
        <f aca="false">D70-L70</f>
        <v>0</v>
      </c>
      <c r="N70" s="42" t="n">
        <f aca="false">K70-G70</f>
        <v>0</v>
      </c>
      <c r="O70" s="78"/>
      <c r="P70" s="79"/>
      <c r="Q70" s="16" t="str">
        <f aca="false">IF(K70=0,"",IF(R70=1,"Pagada",IF(C70&lt;$F$12,"Vencida",IF(44=$F$13,"Próxima","Pendiente"))))</f>
        <v/>
      </c>
      <c r="R70" s="62" t="n">
        <f aca="false">IF(AND(K70&gt;0,OR(O70="Sí",O70="Si")),1,0)</f>
        <v>0</v>
      </c>
      <c r="S70" s="62" t="n">
        <f aca="false">IF(AND(K70&gt;0,R70=0),1,0)</f>
        <v>0</v>
      </c>
    </row>
    <row r="71" customFormat="false" ht="15" hidden="false" customHeight="false" outlineLevel="0" collapsed="false">
      <c r="B71" s="71" t="str">
        <f aca="false">IF($F$6="Sí",N($C$11)+44,"")</f>
        <v/>
      </c>
      <c r="C71" s="72" t="str">
        <f aca="false">IF(OR($F$6&lt;&gt;"Sí",D71&lt;=0.5),"",EDATE($C$10,44))</f>
        <v/>
      </c>
      <c r="D71" s="41" t="n">
        <f aca="false">MAX(0,M70)</f>
        <v>0</v>
      </c>
      <c r="E71" s="41" t="n">
        <f aca="false">D71*$F$7</f>
        <v>0</v>
      </c>
      <c r="F71" s="41" t="n">
        <f aca="false">IF(D71&gt;0.5,N($C$15),0)</f>
        <v>0</v>
      </c>
      <c r="G71" s="41" t="n">
        <f aca="false">IF(AND(D71&gt;0.5,N($C$19)&gt;0,N(B71)&lt;=N($C$20)),D71*$F$8,0)</f>
        <v>0</v>
      </c>
      <c r="H71" s="41" t="n">
        <f aca="false">IF(D71&lt;=0.5,0,MIN(IF(N(I71)&gt;0,I71,$F$9),D71+E71+F71))</f>
        <v>0</v>
      </c>
      <c r="I71" s="77"/>
      <c r="J71" s="77"/>
      <c r="K71" s="41" t="n">
        <f aca="false">IF(D71&lt;=0.5,0,MIN(H71+N(J71),D71+E71+F71))</f>
        <v>0</v>
      </c>
      <c r="L71" s="41" t="n">
        <f aca="false">K71-E71-F71</f>
        <v>0</v>
      </c>
      <c r="M71" s="41" t="n">
        <f aca="false">D71-L71</f>
        <v>0</v>
      </c>
      <c r="N71" s="42" t="n">
        <f aca="false">K71-G71</f>
        <v>0</v>
      </c>
      <c r="O71" s="78"/>
      <c r="P71" s="79"/>
      <c r="Q71" s="16" t="str">
        <f aca="false">IF(K71=0,"",IF(R71=1,"Pagada",IF(C71&lt;$F$12,"Vencida",IF(45=$F$13,"Próxima","Pendiente"))))</f>
        <v/>
      </c>
      <c r="R71" s="62" t="n">
        <f aca="false">IF(AND(K71&gt;0,OR(O71="Sí",O71="Si")),1,0)</f>
        <v>0</v>
      </c>
      <c r="S71" s="62" t="n">
        <f aca="false">IF(AND(K71&gt;0,R71=0),1,0)</f>
        <v>0</v>
      </c>
    </row>
    <row r="72" customFormat="false" ht="15" hidden="false" customHeight="false" outlineLevel="0" collapsed="false">
      <c r="B72" s="71" t="str">
        <f aca="false">IF($F$6="Sí",N($C$11)+45,"")</f>
        <v/>
      </c>
      <c r="C72" s="72" t="str">
        <f aca="false">IF(OR($F$6&lt;&gt;"Sí",D72&lt;=0.5),"",EDATE($C$10,45))</f>
        <v/>
      </c>
      <c r="D72" s="41" t="n">
        <f aca="false">MAX(0,M71)</f>
        <v>0</v>
      </c>
      <c r="E72" s="41" t="n">
        <f aca="false">D72*$F$7</f>
        <v>0</v>
      </c>
      <c r="F72" s="41" t="n">
        <f aca="false">IF(D72&gt;0.5,N($C$15),0)</f>
        <v>0</v>
      </c>
      <c r="G72" s="41" t="n">
        <f aca="false">IF(AND(D72&gt;0.5,N($C$19)&gt;0,N(B72)&lt;=N($C$20)),D72*$F$8,0)</f>
        <v>0</v>
      </c>
      <c r="H72" s="41" t="n">
        <f aca="false">IF(D72&lt;=0.5,0,MIN(IF(N(I72)&gt;0,I72,$F$9),D72+E72+F72))</f>
        <v>0</v>
      </c>
      <c r="I72" s="77"/>
      <c r="J72" s="77"/>
      <c r="K72" s="41" t="n">
        <f aca="false">IF(D72&lt;=0.5,0,MIN(H72+N(J72),D72+E72+F72))</f>
        <v>0</v>
      </c>
      <c r="L72" s="41" t="n">
        <f aca="false">K72-E72-F72</f>
        <v>0</v>
      </c>
      <c r="M72" s="41" t="n">
        <f aca="false">D72-L72</f>
        <v>0</v>
      </c>
      <c r="N72" s="42" t="n">
        <f aca="false">K72-G72</f>
        <v>0</v>
      </c>
      <c r="O72" s="78"/>
      <c r="P72" s="79"/>
      <c r="Q72" s="16" t="str">
        <f aca="false">IF(K72=0,"",IF(R72=1,"Pagada",IF(C72&lt;$F$12,"Vencida",IF(46=$F$13,"Próxima","Pendiente"))))</f>
        <v/>
      </c>
      <c r="R72" s="62" t="n">
        <f aca="false">IF(AND(K72&gt;0,OR(O72="Sí",O72="Si")),1,0)</f>
        <v>0</v>
      </c>
      <c r="S72" s="62" t="n">
        <f aca="false">IF(AND(K72&gt;0,R72=0),1,0)</f>
        <v>0</v>
      </c>
    </row>
    <row r="73" customFormat="false" ht="15" hidden="false" customHeight="false" outlineLevel="0" collapsed="false">
      <c r="B73" s="71" t="str">
        <f aca="false">IF($F$6="Sí",N($C$11)+46,"")</f>
        <v/>
      </c>
      <c r="C73" s="72" t="str">
        <f aca="false">IF(OR($F$6&lt;&gt;"Sí",D73&lt;=0.5),"",EDATE($C$10,46))</f>
        <v/>
      </c>
      <c r="D73" s="41" t="n">
        <f aca="false">MAX(0,M72)</f>
        <v>0</v>
      </c>
      <c r="E73" s="41" t="n">
        <f aca="false">D73*$F$7</f>
        <v>0</v>
      </c>
      <c r="F73" s="41" t="n">
        <f aca="false">IF(D73&gt;0.5,N($C$15),0)</f>
        <v>0</v>
      </c>
      <c r="G73" s="41" t="n">
        <f aca="false">IF(AND(D73&gt;0.5,N($C$19)&gt;0,N(B73)&lt;=N($C$20)),D73*$F$8,0)</f>
        <v>0</v>
      </c>
      <c r="H73" s="41" t="n">
        <f aca="false">IF(D73&lt;=0.5,0,MIN(IF(N(I73)&gt;0,I73,$F$9),D73+E73+F73))</f>
        <v>0</v>
      </c>
      <c r="I73" s="77"/>
      <c r="J73" s="77"/>
      <c r="K73" s="41" t="n">
        <f aca="false">IF(D73&lt;=0.5,0,MIN(H73+N(J73),D73+E73+F73))</f>
        <v>0</v>
      </c>
      <c r="L73" s="41" t="n">
        <f aca="false">K73-E73-F73</f>
        <v>0</v>
      </c>
      <c r="M73" s="41" t="n">
        <f aca="false">D73-L73</f>
        <v>0</v>
      </c>
      <c r="N73" s="42" t="n">
        <f aca="false">K73-G73</f>
        <v>0</v>
      </c>
      <c r="O73" s="78"/>
      <c r="P73" s="79"/>
      <c r="Q73" s="16" t="str">
        <f aca="false">IF(K73=0,"",IF(R73=1,"Pagada",IF(C73&lt;$F$12,"Vencida",IF(47=$F$13,"Próxima","Pendiente"))))</f>
        <v/>
      </c>
      <c r="R73" s="62" t="n">
        <f aca="false">IF(AND(K73&gt;0,OR(O73="Sí",O73="Si")),1,0)</f>
        <v>0</v>
      </c>
      <c r="S73" s="62" t="n">
        <f aca="false">IF(AND(K73&gt;0,R73=0),1,0)</f>
        <v>0</v>
      </c>
    </row>
    <row r="74" customFormat="false" ht="15" hidden="false" customHeight="false" outlineLevel="0" collapsed="false">
      <c r="B74" s="71" t="str">
        <f aca="false">IF($F$6="Sí",N($C$11)+47,"")</f>
        <v/>
      </c>
      <c r="C74" s="72" t="str">
        <f aca="false">IF(OR($F$6&lt;&gt;"Sí",D74&lt;=0.5),"",EDATE($C$10,47))</f>
        <v/>
      </c>
      <c r="D74" s="41" t="n">
        <f aca="false">MAX(0,M73)</f>
        <v>0</v>
      </c>
      <c r="E74" s="41" t="n">
        <f aca="false">D74*$F$7</f>
        <v>0</v>
      </c>
      <c r="F74" s="41" t="n">
        <f aca="false">IF(D74&gt;0.5,N($C$15),0)</f>
        <v>0</v>
      </c>
      <c r="G74" s="41" t="n">
        <f aca="false">IF(AND(D74&gt;0.5,N($C$19)&gt;0,N(B74)&lt;=N($C$20)),D74*$F$8,0)</f>
        <v>0</v>
      </c>
      <c r="H74" s="41" t="n">
        <f aca="false">IF(D74&lt;=0.5,0,MIN(IF(N(I74)&gt;0,I74,$F$9),D74+E74+F74))</f>
        <v>0</v>
      </c>
      <c r="I74" s="77"/>
      <c r="J74" s="77"/>
      <c r="K74" s="41" t="n">
        <f aca="false">IF(D74&lt;=0.5,0,MIN(H74+N(J74),D74+E74+F74))</f>
        <v>0</v>
      </c>
      <c r="L74" s="41" t="n">
        <f aca="false">K74-E74-F74</f>
        <v>0</v>
      </c>
      <c r="M74" s="41" t="n">
        <f aca="false">D74-L74</f>
        <v>0</v>
      </c>
      <c r="N74" s="42" t="n">
        <f aca="false">K74-G74</f>
        <v>0</v>
      </c>
      <c r="O74" s="78"/>
      <c r="P74" s="79"/>
      <c r="Q74" s="16" t="str">
        <f aca="false">IF(K74=0,"",IF(R74=1,"Pagada",IF(C74&lt;$F$12,"Vencida",IF(48=$F$13,"Próxima","Pendiente"))))</f>
        <v/>
      </c>
      <c r="R74" s="62" t="n">
        <f aca="false">IF(AND(K74&gt;0,OR(O74="Sí",O74="Si")),1,0)</f>
        <v>0</v>
      </c>
      <c r="S74" s="62" t="n">
        <f aca="false">IF(AND(K74&gt;0,R74=0),1,0)</f>
        <v>0</v>
      </c>
    </row>
    <row r="75" customFormat="false" ht="15" hidden="false" customHeight="false" outlineLevel="0" collapsed="false">
      <c r="B75" s="71" t="str">
        <f aca="false">IF($F$6="Sí",N($C$11)+48,"")</f>
        <v/>
      </c>
      <c r="C75" s="72" t="str">
        <f aca="false">IF(OR($F$6&lt;&gt;"Sí",D75&lt;=0.5),"",EDATE($C$10,48))</f>
        <v/>
      </c>
      <c r="D75" s="41" t="n">
        <f aca="false">MAX(0,M74)</f>
        <v>0</v>
      </c>
      <c r="E75" s="41" t="n">
        <f aca="false">D75*$F$7</f>
        <v>0</v>
      </c>
      <c r="F75" s="41" t="n">
        <f aca="false">IF(D75&gt;0.5,N($C$15),0)</f>
        <v>0</v>
      </c>
      <c r="G75" s="41" t="n">
        <f aca="false">IF(AND(D75&gt;0.5,N($C$19)&gt;0,N(B75)&lt;=N($C$20)),D75*$F$8,0)</f>
        <v>0</v>
      </c>
      <c r="H75" s="41" t="n">
        <f aca="false">IF(D75&lt;=0.5,0,MIN(IF(N(I75)&gt;0,I75,$F$9),D75+E75+F75))</f>
        <v>0</v>
      </c>
      <c r="I75" s="77"/>
      <c r="J75" s="77"/>
      <c r="K75" s="41" t="n">
        <f aca="false">IF(D75&lt;=0.5,0,MIN(H75+N(J75),D75+E75+F75))</f>
        <v>0</v>
      </c>
      <c r="L75" s="41" t="n">
        <f aca="false">K75-E75-F75</f>
        <v>0</v>
      </c>
      <c r="M75" s="41" t="n">
        <f aca="false">D75-L75</f>
        <v>0</v>
      </c>
      <c r="N75" s="42" t="n">
        <f aca="false">K75-G75</f>
        <v>0</v>
      </c>
      <c r="O75" s="78"/>
      <c r="P75" s="79"/>
      <c r="Q75" s="16" t="str">
        <f aca="false">IF(K75=0,"",IF(R75=1,"Pagada",IF(C75&lt;$F$12,"Vencida",IF(49=$F$13,"Próxima","Pendiente"))))</f>
        <v/>
      </c>
      <c r="R75" s="62" t="n">
        <f aca="false">IF(AND(K75&gt;0,OR(O75="Sí",O75="Si")),1,0)</f>
        <v>0</v>
      </c>
      <c r="S75" s="62" t="n">
        <f aca="false">IF(AND(K75&gt;0,R75=0),1,0)</f>
        <v>0</v>
      </c>
    </row>
    <row r="76" customFormat="false" ht="15" hidden="false" customHeight="false" outlineLevel="0" collapsed="false">
      <c r="B76" s="71" t="str">
        <f aca="false">IF($F$6="Sí",N($C$11)+49,"")</f>
        <v/>
      </c>
      <c r="C76" s="72" t="str">
        <f aca="false">IF(OR($F$6&lt;&gt;"Sí",D76&lt;=0.5),"",EDATE($C$10,49))</f>
        <v/>
      </c>
      <c r="D76" s="41" t="n">
        <f aca="false">MAX(0,M75)</f>
        <v>0</v>
      </c>
      <c r="E76" s="41" t="n">
        <f aca="false">D76*$F$7</f>
        <v>0</v>
      </c>
      <c r="F76" s="41" t="n">
        <f aca="false">IF(D76&gt;0.5,N($C$15),0)</f>
        <v>0</v>
      </c>
      <c r="G76" s="41" t="n">
        <f aca="false">IF(AND(D76&gt;0.5,N($C$19)&gt;0,N(B76)&lt;=N($C$20)),D76*$F$8,0)</f>
        <v>0</v>
      </c>
      <c r="H76" s="41" t="n">
        <f aca="false">IF(D76&lt;=0.5,0,MIN(IF(N(I76)&gt;0,I76,$F$9),D76+E76+F76))</f>
        <v>0</v>
      </c>
      <c r="I76" s="77"/>
      <c r="J76" s="77"/>
      <c r="K76" s="41" t="n">
        <f aca="false">IF(D76&lt;=0.5,0,MIN(H76+N(J76),D76+E76+F76))</f>
        <v>0</v>
      </c>
      <c r="L76" s="41" t="n">
        <f aca="false">K76-E76-F76</f>
        <v>0</v>
      </c>
      <c r="M76" s="41" t="n">
        <f aca="false">D76-L76</f>
        <v>0</v>
      </c>
      <c r="N76" s="42" t="n">
        <f aca="false">K76-G76</f>
        <v>0</v>
      </c>
      <c r="O76" s="78"/>
      <c r="P76" s="79"/>
      <c r="Q76" s="16" t="str">
        <f aca="false">IF(K76=0,"",IF(R76=1,"Pagada",IF(C76&lt;$F$12,"Vencida",IF(50=$F$13,"Próxima","Pendiente"))))</f>
        <v/>
      </c>
      <c r="R76" s="62" t="n">
        <f aca="false">IF(AND(K76&gt;0,OR(O76="Sí",O76="Si")),1,0)</f>
        <v>0</v>
      </c>
      <c r="S76" s="62" t="n">
        <f aca="false">IF(AND(K76&gt;0,R76=0),1,0)</f>
        <v>0</v>
      </c>
    </row>
    <row r="77" customFormat="false" ht="15" hidden="false" customHeight="false" outlineLevel="0" collapsed="false">
      <c r="B77" s="71" t="str">
        <f aca="false">IF($F$6="Sí",N($C$11)+50,"")</f>
        <v/>
      </c>
      <c r="C77" s="72" t="str">
        <f aca="false">IF(OR($F$6&lt;&gt;"Sí",D77&lt;=0.5),"",EDATE($C$10,50))</f>
        <v/>
      </c>
      <c r="D77" s="41" t="n">
        <f aca="false">MAX(0,M76)</f>
        <v>0</v>
      </c>
      <c r="E77" s="41" t="n">
        <f aca="false">D77*$F$7</f>
        <v>0</v>
      </c>
      <c r="F77" s="41" t="n">
        <f aca="false">IF(D77&gt;0.5,N($C$15),0)</f>
        <v>0</v>
      </c>
      <c r="G77" s="41" t="n">
        <f aca="false">IF(AND(D77&gt;0.5,N($C$19)&gt;0,N(B77)&lt;=N($C$20)),D77*$F$8,0)</f>
        <v>0</v>
      </c>
      <c r="H77" s="41" t="n">
        <f aca="false">IF(D77&lt;=0.5,0,MIN(IF(N(I77)&gt;0,I77,$F$9),D77+E77+F77))</f>
        <v>0</v>
      </c>
      <c r="I77" s="77"/>
      <c r="J77" s="77"/>
      <c r="K77" s="41" t="n">
        <f aca="false">IF(D77&lt;=0.5,0,MIN(H77+N(J77),D77+E77+F77))</f>
        <v>0</v>
      </c>
      <c r="L77" s="41" t="n">
        <f aca="false">K77-E77-F77</f>
        <v>0</v>
      </c>
      <c r="M77" s="41" t="n">
        <f aca="false">D77-L77</f>
        <v>0</v>
      </c>
      <c r="N77" s="42" t="n">
        <f aca="false">K77-G77</f>
        <v>0</v>
      </c>
      <c r="O77" s="78"/>
      <c r="P77" s="79"/>
      <c r="Q77" s="16" t="str">
        <f aca="false">IF(K77=0,"",IF(R77=1,"Pagada",IF(C77&lt;$F$12,"Vencida",IF(51=$F$13,"Próxima","Pendiente"))))</f>
        <v/>
      </c>
      <c r="R77" s="62" t="n">
        <f aca="false">IF(AND(K77&gt;0,OR(O77="Sí",O77="Si")),1,0)</f>
        <v>0</v>
      </c>
      <c r="S77" s="62" t="n">
        <f aca="false">IF(AND(K77&gt;0,R77=0),1,0)</f>
        <v>0</v>
      </c>
    </row>
    <row r="78" customFormat="false" ht="15" hidden="false" customHeight="false" outlineLevel="0" collapsed="false">
      <c r="B78" s="71" t="str">
        <f aca="false">IF($F$6="Sí",N($C$11)+51,"")</f>
        <v/>
      </c>
      <c r="C78" s="72" t="str">
        <f aca="false">IF(OR($F$6&lt;&gt;"Sí",D78&lt;=0.5),"",EDATE($C$10,51))</f>
        <v/>
      </c>
      <c r="D78" s="41" t="n">
        <f aca="false">MAX(0,M77)</f>
        <v>0</v>
      </c>
      <c r="E78" s="41" t="n">
        <f aca="false">D78*$F$7</f>
        <v>0</v>
      </c>
      <c r="F78" s="41" t="n">
        <f aca="false">IF(D78&gt;0.5,N($C$15),0)</f>
        <v>0</v>
      </c>
      <c r="G78" s="41" t="n">
        <f aca="false">IF(AND(D78&gt;0.5,N($C$19)&gt;0,N(B78)&lt;=N($C$20)),D78*$F$8,0)</f>
        <v>0</v>
      </c>
      <c r="H78" s="41" t="n">
        <f aca="false">IF(D78&lt;=0.5,0,MIN(IF(N(I78)&gt;0,I78,$F$9),D78+E78+F78))</f>
        <v>0</v>
      </c>
      <c r="I78" s="77"/>
      <c r="J78" s="77"/>
      <c r="K78" s="41" t="n">
        <f aca="false">IF(D78&lt;=0.5,0,MIN(H78+N(J78),D78+E78+F78))</f>
        <v>0</v>
      </c>
      <c r="L78" s="41" t="n">
        <f aca="false">K78-E78-F78</f>
        <v>0</v>
      </c>
      <c r="M78" s="41" t="n">
        <f aca="false">D78-L78</f>
        <v>0</v>
      </c>
      <c r="N78" s="42" t="n">
        <f aca="false">K78-G78</f>
        <v>0</v>
      </c>
      <c r="O78" s="78"/>
      <c r="P78" s="79"/>
      <c r="Q78" s="16" t="str">
        <f aca="false">IF(K78=0,"",IF(R78=1,"Pagada",IF(C78&lt;$F$12,"Vencida",IF(52=$F$13,"Próxima","Pendiente"))))</f>
        <v/>
      </c>
      <c r="R78" s="62" t="n">
        <f aca="false">IF(AND(K78&gt;0,OR(O78="Sí",O78="Si")),1,0)</f>
        <v>0</v>
      </c>
      <c r="S78" s="62" t="n">
        <f aca="false">IF(AND(K78&gt;0,R78=0),1,0)</f>
        <v>0</v>
      </c>
    </row>
    <row r="79" customFormat="false" ht="15" hidden="false" customHeight="false" outlineLevel="0" collapsed="false">
      <c r="B79" s="71" t="str">
        <f aca="false">IF($F$6="Sí",N($C$11)+52,"")</f>
        <v/>
      </c>
      <c r="C79" s="72" t="str">
        <f aca="false">IF(OR($F$6&lt;&gt;"Sí",D79&lt;=0.5),"",EDATE($C$10,52))</f>
        <v/>
      </c>
      <c r="D79" s="41" t="n">
        <f aca="false">MAX(0,M78)</f>
        <v>0</v>
      </c>
      <c r="E79" s="41" t="n">
        <f aca="false">D79*$F$7</f>
        <v>0</v>
      </c>
      <c r="F79" s="41" t="n">
        <f aca="false">IF(D79&gt;0.5,N($C$15),0)</f>
        <v>0</v>
      </c>
      <c r="G79" s="41" t="n">
        <f aca="false">IF(AND(D79&gt;0.5,N($C$19)&gt;0,N(B79)&lt;=N($C$20)),D79*$F$8,0)</f>
        <v>0</v>
      </c>
      <c r="H79" s="41" t="n">
        <f aca="false">IF(D79&lt;=0.5,0,MIN(IF(N(I79)&gt;0,I79,$F$9),D79+E79+F79))</f>
        <v>0</v>
      </c>
      <c r="I79" s="77"/>
      <c r="J79" s="77"/>
      <c r="K79" s="41" t="n">
        <f aca="false">IF(D79&lt;=0.5,0,MIN(H79+N(J79),D79+E79+F79))</f>
        <v>0</v>
      </c>
      <c r="L79" s="41" t="n">
        <f aca="false">K79-E79-F79</f>
        <v>0</v>
      </c>
      <c r="M79" s="41" t="n">
        <f aca="false">D79-L79</f>
        <v>0</v>
      </c>
      <c r="N79" s="42" t="n">
        <f aca="false">K79-G79</f>
        <v>0</v>
      </c>
      <c r="O79" s="78"/>
      <c r="P79" s="79"/>
      <c r="Q79" s="16" t="str">
        <f aca="false">IF(K79=0,"",IF(R79=1,"Pagada",IF(C79&lt;$F$12,"Vencida",IF(53=$F$13,"Próxima","Pendiente"))))</f>
        <v/>
      </c>
      <c r="R79" s="62" t="n">
        <f aca="false">IF(AND(K79&gt;0,OR(O79="Sí",O79="Si")),1,0)</f>
        <v>0</v>
      </c>
      <c r="S79" s="62" t="n">
        <f aca="false">IF(AND(K79&gt;0,R79=0),1,0)</f>
        <v>0</v>
      </c>
    </row>
    <row r="80" customFormat="false" ht="15" hidden="false" customHeight="false" outlineLevel="0" collapsed="false">
      <c r="B80" s="71" t="str">
        <f aca="false">IF($F$6="Sí",N($C$11)+53,"")</f>
        <v/>
      </c>
      <c r="C80" s="72" t="str">
        <f aca="false">IF(OR($F$6&lt;&gt;"Sí",D80&lt;=0.5),"",EDATE($C$10,53))</f>
        <v/>
      </c>
      <c r="D80" s="41" t="n">
        <f aca="false">MAX(0,M79)</f>
        <v>0</v>
      </c>
      <c r="E80" s="41" t="n">
        <f aca="false">D80*$F$7</f>
        <v>0</v>
      </c>
      <c r="F80" s="41" t="n">
        <f aca="false">IF(D80&gt;0.5,N($C$15),0)</f>
        <v>0</v>
      </c>
      <c r="G80" s="41" t="n">
        <f aca="false">IF(AND(D80&gt;0.5,N($C$19)&gt;0,N(B80)&lt;=N($C$20)),D80*$F$8,0)</f>
        <v>0</v>
      </c>
      <c r="H80" s="41" t="n">
        <f aca="false">IF(D80&lt;=0.5,0,MIN(IF(N(I80)&gt;0,I80,$F$9),D80+E80+F80))</f>
        <v>0</v>
      </c>
      <c r="I80" s="77"/>
      <c r="J80" s="77"/>
      <c r="K80" s="41" t="n">
        <f aca="false">IF(D80&lt;=0.5,0,MIN(H80+N(J80),D80+E80+F80))</f>
        <v>0</v>
      </c>
      <c r="L80" s="41" t="n">
        <f aca="false">K80-E80-F80</f>
        <v>0</v>
      </c>
      <c r="M80" s="41" t="n">
        <f aca="false">D80-L80</f>
        <v>0</v>
      </c>
      <c r="N80" s="42" t="n">
        <f aca="false">K80-G80</f>
        <v>0</v>
      </c>
      <c r="O80" s="78"/>
      <c r="P80" s="79"/>
      <c r="Q80" s="16" t="str">
        <f aca="false">IF(K80=0,"",IF(R80=1,"Pagada",IF(C80&lt;$F$12,"Vencida",IF(54=$F$13,"Próxima","Pendiente"))))</f>
        <v/>
      </c>
      <c r="R80" s="62" t="n">
        <f aca="false">IF(AND(K80&gt;0,OR(O80="Sí",O80="Si")),1,0)</f>
        <v>0</v>
      </c>
      <c r="S80" s="62" t="n">
        <f aca="false">IF(AND(K80&gt;0,R80=0),1,0)</f>
        <v>0</v>
      </c>
    </row>
    <row r="81" customFormat="false" ht="15" hidden="false" customHeight="false" outlineLevel="0" collapsed="false">
      <c r="B81" s="71" t="str">
        <f aca="false">IF($F$6="Sí",N($C$11)+54,"")</f>
        <v/>
      </c>
      <c r="C81" s="72" t="str">
        <f aca="false">IF(OR($F$6&lt;&gt;"Sí",D81&lt;=0.5),"",EDATE($C$10,54))</f>
        <v/>
      </c>
      <c r="D81" s="41" t="n">
        <f aca="false">MAX(0,M80)</f>
        <v>0</v>
      </c>
      <c r="E81" s="41" t="n">
        <f aca="false">D81*$F$7</f>
        <v>0</v>
      </c>
      <c r="F81" s="41" t="n">
        <f aca="false">IF(D81&gt;0.5,N($C$15),0)</f>
        <v>0</v>
      </c>
      <c r="G81" s="41" t="n">
        <f aca="false">IF(AND(D81&gt;0.5,N($C$19)&gt;0,N(B81)&lt;=N($C$20)),D81*$F$8,0)</f>
        <v>0</v>
      </c>
      <c r="H81" s="41" t="n">
        <f aca="false">IF(D81&lt;=0.5,0,MIN(IF(N(I81)&gt;0,I81,$F$9),D81+E81+F81))</f>
        <v>0</v>
      </c>
      <c r="I81" s="77"/>
      <c r="J81" s="77"/>
      <c r="K81" s="41" t="n">
        <f aca="false">IF(D81&lt;=0.5,0,MIN(H81+N(J81),D81+E81+F81))</f>
        <v>0</v>
      </c>
      <c r="L81" s="41" t="n">
        <f aca="false">K81-E81-F81</f>
        <v>0</v>
      </c>
      <c r="M81" s="41" t="n">
        <f aca="false">D81-L81</f>
        <v>0</v>
      </c>
      <c r="N81" s="42" t="n">
        <f aca="false">K81-G81</f>
        <v>0</v>
      </c>
      <c r="O81" s="78"/>
      <c r="P81" s="79"/>
      <c r="Q81" s="16" t="str">
        <f aca="false">IF(K81=0,"",IF(R81=1,"Pagada",IF(C81&lt;$F$12,"Vencida",IF(55=$F$13,"Próxima","Pendiente"))))</f>
        <v/>
      </c>
      <c r="R81" s="62" t="n">
        <f aca="false">IF(AND(K81&gt;0,OR(O81="Sí",O81="Si")),1,0)</f>
        <v>0</v>
      </c>
      <c r="S81" s="62" t="n">
        <f aca="false">IF(AND(K81&gt;0,R81=0),1,0)</f>
        <v>0</v>
      </c>
    </row>
    <row r="82" customFormat="false" ht="15" hidden="false" customHeight="false" outlineLevel="0" collapsed="false">
      <c r="B82" s="71" t="str">
        <f aca="false">IF($F$6="Sí",N($C$11)+55,"")</f>
        <v/>
      </c>
      <c r="C82" s="72" t="str">
        <f aca="false">IF(OR($F$6&lt;&gt;"Sí",D82&lt;=0.5),"",EDATE($C$10,55))</f>
        <v/>
      </c>
      <c r="D82" s="41" t="n">
        <f aca="false">MAX(0,M81)</f>
        <v>0</v>
      </c>
      <c r="E82" s="41" t="n">
        <f aca="false">D82*$F$7</f>
        <v>0</v>
      </c>
      <c r="F82" s="41" t="n">
        <f aca="false">IF(D82&gt;0.5,N($C$15),0)</f>
        <v>0</v>
      </c>
      <c r="G82" s="41" t="n">
        <f aca="false">IF(AND(D82&gt;0.5,N($C$19)&gt;0,N(B82)&lt;=N($C$20)),D82*$F$8,0)</f>
        <v>0</v>
      </c>
      <c r="H82" s="41" t="n">
        <f aca="false">IF(D82&lt;=0.5,0,MIN(IF(N(I82)&gt;0,I82,$F$9),D82+E82+F82))</f>
        <v>0</v>
      </c>
      <c r="I82" s="77"/>
      <c r="J82" s="77"/>
      <c r="K82" s="41" t="n">
        <f aca="false">IF(D82&lt;=0.5,0,MIN(H82+N(J82),D82+E82+F82))</f>
        <v>0</v>
      </c>
      <c r="L82" s="41" t="n">
        <f aca="false">K82-E82-F82</f>
        <v>0</v>
      </c>
      <c r="M82" s="41" t="n">
        <f aca="false">D82-L82</f>
        <v>0</v>
      </c>
      <c r="N82" s="42" t="n">
        <f aca="false">K82-G82</f>
        <v>0</v>
      </c>
      <c r="O82" s="78"/>
      <c r="P82" s="79"/>
      <c r="Q82" s="16" t="str">
        <f aca="false">IF(K82=0,"",IF(R82=1,"Pagada",IF(C82&lt;$F$12,"Vencida",IF(56=$F$13,"Próxima","Pendiente"))))</f>
        <v/>
      </c>
      <c r="R82" s="62" t="n">
        <f aca="false">IF(AND(K82&gt;0,OR(O82="Sí",O82="Si")),1,0)</f>
        <v>0</v>
      </c>
      <c r="S82" s="62" t="n">
        <f aca="false">IF(AND(K82&gt;0,R82=0),1,0)</f>
        <v>0</v>
      </c>
    </row>
    <row r="83" customFormat="false" ht="15" hidden="false" customHeight="false" outlineLevel="0" collapsed="false">
      <c r="B83" s="71" t="str">
        <f aca="false">IF($F$6="Sí",N($C$11)+56,"")</f>
        <v/>
      </c>
      <c r="C83" s="72" t="str">
        <f aca="false">IF(OR($F$6&lt;&gt;"Sí",D83&lt;=0.5),"",EDATE($C$10,56))</f>
        <v/>
      </c>
      <c r="D83" s="41" t="n">
        <f aca="false">MAX(0,M82)</f>
        <v>0</v>
      </c>
      <c r="E83" s="41" t="n">
        <f aca="false">D83*$F$7</f>
        <v>0</v>
      </c>
      <c r="F83" s="41" t="n">
        <f aca="false">IF(D83&gt;0.5,N($C$15),0)</f>
        <v>0</v>
      </c>
      <c r="G83" s="41" t="n">
        <f aca="false">IF(AND(D83&gt;0.5,N($C$19)&gt;0,N(B83)&lt;=N($C$20)),D83*$F$8,0)</f>
        <v>0</v>
      </c>
      <c r="H83" s="41" t="n">
        <f aca="false">IF(D83&lt;=0.5,0,MIN(IF(N(I83)&gt;0,I83,$F$9),D83+E83+F83))</f>
        <v>0</v>
      </c>
      <c r="I83" s="77"/>
      <c r="J83" s="77"/>
      <c r="K83" s="41" t="n">
        <f aca="false">IF(D83&lt;=0.5,0,MIN(H83+N(J83),D83+E83+F83))</f>
        <v>0</v>
      </c>
      <c r="L83" s="41" t="n">
        <f aca="false">K83-E83-F83</f>
        <v>0</v>
      </c>
      <c r="M83" s="41" t="n">
        <f aca="false">D83-L83</f>
        <v>0</v>
      </c>
      <c r="N83" s="42" t="n">
        <f aca="false">K83-G83</f>
        <v>0</v>
      </c>
      <c r="O83" s="78"/>
      <c r="P83" s="79"/>
      <c r="Q83" s="16" t="str">
        <f aca="false">IF(K83=0,"",IF(R83=1,"Pagada",IF(C83&lt;$F$12,"Vencida",IF(57=$F$13,"Próxima","Pendiente"))))</f>
        <v/>
      </c>
      <c r="R83" s="62" t="n">
        <f aca="false">IF(AND(K83&gt;0,OR(O83="Sí",O83="Si")),1,0)</f>
        <v>0</v>
      </c>
      <c r="S83" s="62" t="n">
        <f aca="false">IF(AND(K83&gt;0,R83=0),1,0)</f>
        <v>0</v>
      </c>
    </row>
    <row r="84" customFormat="false" ht="15" hidden="false" customHeight="false" outlineLevel="0" collapsed="false">
      <c r="B84" s="71" t="str">
        <f aca="false">IF($F$6="Sí",N($C$11)+57,"")</f>
        <v/>
      </c>
      <c r="C84" s="72" t="str">
        <f aca="false">IF(OR($F$6&lt;&gt;"Sí",D84&lt;=0.5),"",EDATE($C$10,57))</f>
        <v/>
      </c>
      <c r="D84" s="41" t="n">
        <f aca="false">MAX(0,M83)</f>
        <v>0</v>
      </c>
      <c r="E84" s="41" t="n">
        <f aca="false">D84*$F$7</f>
        <v>0</v>
      </c>
      <c r="F84" s="41" t="n">
        <f aca="false">IF(D84&gt;0.5,N($C$15),0)</f>
        <v>0</v>
      </c>
      <c r="G84" s="41" t="n">
        <f aca="false">IF(AND(D84&gt;0.5,N($C$19)&gt;0,N(B84)&lt;=N($C$20)),D84*$F$8,0)</f>
        <v>0</v>
      </c>
      <c r="H84" s="41" t="n">
        <f aca="false">IF(D84&lt;=0.5,0,MIN(IF(N(I84)&gt;0,I84,$F$9),D84+E84+F84))</f>
        <v>0</v>
      </c>
      <c r="I84" s="77"/>
      <c r="J84" s="77"/>
      <c r="K84" s="41" t="n">
        <f aca="false">IF(D84&lt;=0.5,0,MIN(H84+N(J84),D84+E84+F84))</f>
        <v>0</v>
      </c>
      <c r="L84" s="41" t="n">
        <f aca="false">K84-E84-F84</f>
        <v>0</v>
      </c>
      <c r="M84" s="41" t="n">
        <f aca="false">D84-L84</f>
        <v>0</v>
      </c>
      <c r="N84" s="42" t="n">
        <f aca="false">K84-G84</f>
        <v>0</v>
      </c>
      <c r="O84" s="78"/>
      <c r="P84" s="79"/>
      <c r="Q84" s="16" t="str">
        <f aca="false">IF(K84=0,"",IF(R84=1,"Pagada",IF(C84&lt;$F$12,"Vencida",IF(58=$F$13,"Próxima","Pendiente"))))</f>
        <v/>
      </c>
      <c r="R84" s="62" t="n">
        <f aca="false">IF(AND(K84&gt;0,OR(O84="Sí",O84="Si")),1,0)</f>
        <v>0</v>
      </c>
      <c r="S84" s="62" t="n">
        <f aca="false">IF(AND(K84&gt;0,R84=0),1,0)</f>
        <v>0</v>
      </c>
    </row>
    <row r="85" customFormat="false" ht="15" hidden="false" customHeight="false" outlineLevel="0" collapsed="false">
      <c r="B85" s="71" t="str">
        <f aca="false">IF($F$6="Sí",N($C$11)+58,"")</f>
        <v/>
      </c>
      <c r="C85" s="72" t="str">
        <f aca="false">IF(OR($F$6&lt;&gt;"Sí",D85&lt;=0.5),"",EDATE($C$10,58))</f>
        <v/>
      </c>
      <c r="D85" s="41" t="n">
        <f aca="false">MAX(0,M84)</f>
        <v>0</v>
      </c>
      <c r="E85" s="41" t="n">
        <f aca="false">D85*$F$7</f>
        <v>0</v>
      </c>
      <c r="F85" s="41" t="n">
        <f aca="false">IF(D85&gt;0.5,N($C$15),0)</f>
        <v>0</v>
      </c>
      <c r="G85" s="41" t="n">
        <f aca="false">IF(AND(D85&gt;0.5,N($C$19)&gt;0,N(B85)&lt;=N($C$20)),D85*$F$8,0)</f>
        <v>0</v>
      </c>
      <c r="H85" s="41" t="n">
        <f aca="false">IF(D85&lt;=0.5,0,MIN(IF(N(I85)&gt;0,I85,$F$9),D85+E85+F85))</f>
        <v>0</v>
      </c>
      <c r="I85" s="77"/>
      <c r="J85" s="77"/>
      <c r="K85" s="41" t="n">
        <f aca="false">IF(D85&lt;=0.5,0,MIN(H85+N(J85),D85+E85+F85))</f>
        <v>0</v>
      </c>
      <c r="L85" s="41" t="n">
        <f aca="false">K85-E85-F85</f>
        <v>0</v>
      </c>
      <c r="M85" s="41" t="n">
        <f aca="false">D85-L85</f>
        <v>0</v>
      </c>
      <c r="N85" s="42" t="n">
        <f aca="false">K85-G85</f>
        <v>0</v>
      </c>
      <c r="O85" s="78"/>
      <c r="P85" s="79"/>
      <c r="Q85" s="16" t="str">
        <f aca="false">IF(K85=0,"",IF(R85=1,"Pagada",IF(C85&lt;$F$12,"Vencida",IF(59=$F$13,"Próxima","Pendiente"))))</f>
        <v/>
      </c>
      <c r="R85" s="62" t="n">
        <f aca="false">IF(AND(K85&gt;0,OR(O85="Sí",O85="Si")),1,0)</f>
        <v>0</v>
      </c>
      <c r="S85" s="62" t="n">
        <f aca="false">IF(AND(K85&gt;0,R85=0),1,0)</f>
        <v>0</v>
      </c>
    </row>
    <row r="86" customFormat="false" ht="15" hidden="false" customHeight="false" outlineLevel="0" collapsed="false">
      <c r="B86" s="71" t="str">
        <f aca="false">IF($F$6="Sí",N($C$11)+59,"")</f>
        <v/>
      </c>
      <c r="C86" s="72" t="str">
        <f aca="false">IF(OR($F$6&lt;&gt;"Sí",D86&lt;=0.5),"",EDATE($C$10,59))</f>
        <v/>
      </c>
      <c r="D86" s="41" t="n">
        <f aca="false">MAX(0,M85)</f>
        <v>0</v>
      </c>
      <c r="E86" s="41" t="n">
        <f aca="false">D86*$F$7</f>
        <v>0</v>
      </c>
      <c r="F86" s="41" t="n">
        <f aca="false">IF(D86&gt;0.5,N($C$15),0)</f>
        <v>0</v>
      </c>
      <c r="G86" s="41" t="n">
        <f aca="false">IF(AND(D86&gt;0.5,N($C$19)&gt;0,N(B86)&lt;=N($C$20)),D86*$F$8,0)</f>
        <v>0</v>
      </c>
      <c r="H86" s="41" t="n">
        <f aca="false">IF(D86&lt;=0.5,0,MIN(IF(N(I86)&gt;0,I86,$F$9),D86+E86+F86))</f>
        <v>0</v>
      </c>
      <c r="I86" s="77"/>
      <c r="J86" s="77"/>
      <c r="K86" s="41" t="n">
        <f aca="false">IF(D86&lt;=0.5,0,MIN(H86+N(J86),D86+E86+F86))</f>
        <v>0</v>
      </c>
      <c r="L86" s="41" t="n">
        <f aca="false">K86-E86-F86</f>
        <v>0</v>
      </c>
      <c r="M86" s="41" t="n">
        <f aca="false">D86-L86</f>
        <v>0</v>
      </c>
      <c r="N86" s="42" t="n">
        <f aca="false">K86-G86</f>
        <v>0</v>
      </c>
      <c r="O86" s="78"/>
      <c r="P86" s="79"/>
      <c r="Q86" s="16" t="str">
        <f aca="false">IF(K86=0,"",IF(R86=1,"Pagada",IF(C86&lt;$F$12,"Vencida",IF(60=$F$13,"Próxima","Pendiente"))))</f>
        <v/>
      </c>
      <c r="R86" s="62" t="n">
        <f aca="false">IF(AND(K86&gt;0,OR(O86="Sí",O86="Si")),1,0)</f>
        <v>0</v>
      </c>
      <c r="S86" s="62" t="n">
        <f aca="false">IF(AND(K86&gt;0,R86=0),1,0)</f>
        <v>0</v>
      </c>
    </row>
    <row r="87" customFormat="false" ht="15" hidden="false" customHeight="false" outlineLevel="0" collapsed="false">
      <c r="B87" s="71" t="str">
        <f aca="false">IF($F$6="Sí",N($C$11)+60,"")</f>
        <v/>
      </c>
      <c r="C87" s="72" t="str">
        <f aca="false">IF(OR($F$6&lt;&gt;"Sí",D87&lt;=0.5),"",EDATE($C$10,60))</f>
        <v/>
      </c>
      <c r="D87" s="41" t="n">
        <f aca="false">MAX(0,M86)</f>
        <v>0</v>
      </c>
      <c r="E87" s="41" t="n">
        <f aca="false">D87*$F$7</f>
        <v>0</v>
      </c>
      <c r="F87" s="41" t="n">
        <f aca="false">IF(D87&gt;0.5,N($C$15),0)</f>
        <v>0</v>
      </c>
      <c r="G87" s="41" t="n">
        <f aca="false">IF(AND(D87&gt;0.5,N($C$19)&gt;0,N(B87)&lt;=N($C$20)),D87*$F$8,0)</f>
        <v>0</v>
      </c>
      <c r="H87" s="41" t="n">
        <f aca="false">IF(D87&lt;=0.5,0,MIN(IF(N(I87)&gt;0,I87,$F$9),D87+E87+F87))</f>
        <v>0</v>
      </c>
      <c r="I87" s="77"/>
      <c r="J87" s="77"/>
      <c r="K87" s="41" t="n">
        <f aca="false">IF(D87&lt;=0.5,0,MIN(H87+N(J87),D87+E87+F87))</f>
        <v>0</v>
      </c>
      <c r="L87" s="41" t="n">
        <f aca="false">K87-E87-F87</f>
        <v>0</v>
      </c>
      <c r="M87" s="41" t="n">
        <f aca="false">D87-L87</f>
        <v>0</v>
      </c>
      <c r="N87" s="42" t="n">
        <f aca="false">K87-G87</f>
        <v>0</v>
      </c>
      <c r="O87" s="78"/>
      <c r="P87" s="79"/>
      <c r="Q87" s="16" t="str">
        <f aca="false">IF(K87=0,"",IF(R87=1,"Pagada",IF(C87&lt;$F$12,"Vencida",IF(61=$F$13,"Próxima","Pendiente"))))</f>
        <v/>
      </c>
      <c r="R87" s="62" t="n">
        <f aca="false">IF(AND(K87&gt;0,OR(O87="Sí",O87="Si")),1,0)</f>
        <v>0</v>
      </c>
      <c r="S87" s="62" t="n">
        <f aca="false">IF(AND(K87&gt;0,R87=0),1,0)</f>
        <v>0</v>
      </c>
    </row>
    <row r="88" customFormat="false" ht="15" hidden="false" customHeight="false" outlineLevel="0" collapsed="false">
      <c r="B88" s="71" t="str">
        <f aca="false">IF($F$6="Sí",N($C$11)+61,"")</f>
        <v/>
      </c>
      <c r="C88" s="72" t="str">
        <f aca="false">IF(OR($F$6&lt;&gt;"Sí",D88&lt;=0.5),"",EDATE($C$10,61))</f>
        <v/>
      </c>
      <c r="D88" s="41" t="n">
        <f aca="false">MAX(0,M87)</f>
        <v>0</v>
      </c>
      <c r="E88" s="41" t="n">
        <f aca="false">D88*$F$7</f>
        <v>0</v>
      </c>
      <c r="F88" s="41" t="n">
        <f aca="false">IF(D88&gt;0.5,N($C$15),0)</f>
        <v>0</v>
      </c>
      <c r="G88" s="41" t="n">
        <f aca="false">IF(AND(D88&gt;0.5,N($C$19)&gt;0,N(B88)&lt;=N($C$20)),D88*$F$8,0)</f>
        <v>0</v>
      </c>
      <c r="H88" s="41" t="n">
        <f aca="false">IF(D88&lt;=0.5,0,MIN(IF(N(I88)&gt;0,I88,$F$9),D88+E88+F88))</f>
        <v>0</v>
      </c>
      <c r="I88" s="77"/>
      <c r="J88" s="77"/>
      <c r="K88" s="41" t="n">
        <f aca="false">IF(D88&lt;=0.5,0,MIN(H88+N(J88),D88+E88+F88))</f>
        <v>0</v>
      </c>
      <c r="L88" s="41" t="n">
        <f aca="false">K88-E88-F88</f>
        <v>0</v>
      </c>
      <c r="M88" s="41" t="n">
        <f aca="false">D88-L88</f>
        <v>0</v>
      </c>
      <c r="N88" s="42" t="n">
        <f aca="false">K88-G88</f>
        <v>0</v>
      </c>
      <c r="O88" s="78"/>
      <c r="P88" s="79"/>
      <c r="Q88" s="16" t="str">
        <f aca="false">IF(K88=0,"",IF(R88=1,"Pagada",IF(C88&lt;$F$12,"Vencida",IF(62=$F$13,"Próxima","Pendiente"))))</f>
        <v/>
      </c>
      <c r="R88" s="62" t="n">
        <f aca="false">IF(AND(K88&gt;0,OR(O88="Sí",O88="Si")),1,0)</f>
        <v>0</v>
      </c>
      <c r="S88" s="62" t="n">
        <f aca="false">IF(AND(K88&gt;0,R88=0),1,0)</f>
        <v>0</v>
      </c>
    </row>
    <row r="89" customFormat="false" ht="15" hidden="false" customHeight="false" outlineLevel="0" collapsed="false">
      <c r="B89" s="71" t="str">
        <f aca="false">IF($F$6="Sí",N($C$11)+62,"")</f>
        <v/>
      </c>
      <c r="C89" s="72" t="str">
        <f aca="false">IF(OR($F$6&lt;&gt;"Sí",D89&lt;=0.5),"",EDATE($C$10,62))</f>
        <v/>
      </c>
      <c r="D89" s="41" t="n">
        <f aca="false">MAX(0,M88)</f>
        <v>0</v>
      </c>
      <c r="E89" s="41" t="n">
        <f aca="false">D89*$F$7</f>
        <v>0</v>
      </c>
      <c r="F89" s="41" t="n">
        <f aca="false">IF(D89&gt;0.5,N($C$15),0)</f>
        <v>0</v>
      </c>
      <c r="G89" s="41" t="n">
        <f aca="false">IF(AND(D89&gt;0.5,N($C$19)&gt;0,N(B89)&lt;=N($C$20)),D89*$F$8,0)</f>
        <v>0</v>
      </c>
      <c r="H89" s="41" t="n">
        <f aca="false">IF(D89&lt;=0.5,0,MIN(IF(N(I89)&gt;0,I89,$F$9),D89+E89+F89))</f>
        <v>0</v>
      </c>
      <c r="I89" s="77"/>
      <c r="J89" s="77"/>
      <c r="K89" s="41" t="n">
        <f aca="false">IF(D89&lt;=0.5,0,MIN(H89+N(J89),D89+E89+F89))</f>
        <v>0</v>
      </c>
      <c r="L89" s="41" t="n">
        <f aca="false">K89-E89-F89</f>
        <v>0</v>
      </c>
      <c r="M89" s="41" t="n">
        <f aca="false">D89-L89</f>
        <v>0</v>
      </c>
      <c r="N89" s="42" t="n">
        <f aca="false">K89-G89</f>
        <v>0</v>
      </c>
      <c r="O89" s="78"/>
      <c r="P89" s="79"/>
      <c r="Q89" s="16" t="str">
        <f aca="false">IF(K89=0,"",IF(R89=1,"Pagada",IF(C89&lt;$F$12,"Vencida",IF(63=$F$13,"Próxima","Pendiente"))))</f>
        <v/>
      </c>
      <c r="R89" s="62" t="n">
        <f aca="false">IF(AND(K89&gt;0,OR(O89="Sí",O89="Si")),1,0)</f>
        <v>0</v>
      </c>
      <c r="S89" s="62" t="n">
        <f aca="false">IF(AND(K89&gt;0,R89=0),1,0)</f>
        <v>0</v>
      </c>
    </row>
    <row r="90" customFormat="false" ht="15" hidden="false" customHeight="false" outlineLevel="0" collapsed="false">
      <c r="B90" s="71" t="str">
        <f aca="false">IF($F$6="Sí",N($C$11)+63,"")</f>
        <v/>
      </c>
      <c r="C90" s="72" t="str">
        <f aca="false">IF(OR($F$6&lt;&gt;"Sí",D90&lt;=0.5),"",EDATE($C$10,63))</f>
        <v/>
      </c>
      <c r="D90" s="41" t="n">
        <f aca="false">MAX(0,M89)</f>
        <v>0</v>
      </c>
      <c r="E90" s="41" t="n">
        <f aca="false">D90*$F$7</f>
        <v>0</v>
      </c>
      <c r="F90" s="41" t="n">
        <f aca="false">IF(D90&gt;0.5,N($C$15),0)</f>
        <v>0</v>
      </c>
      <c r="G90" s="41" t="n">
        <f aca="false">IF(AND(D90&gt;0.5,N($C$19)&gt;0,N(B90)&lt;=N($C$20)),D90*$F$8,0)</f>
        <v>0</v>
      </c>
      <c r="H90" s="41" t="n">
        <f aca="false">IF(D90&lt;=0.5,0,MIN(IF(N(I90)&gt;0,I90,$F$9),D90+E90+F90))</f>
        <v>0</v>
      </c>
      <c r="I90" s="77"/>
      <c r="J90" s="77"/>
      <c r="K90" s="41" t="n">
        <f aca="false">IF(D90&lt;=0.5,0,MIN(H90+N(J90),D90+E90+F90))</f>
        <v>0</v>
      </c>
      <c r="L90" s="41" t="n">
        <f aca="false">K90-E90-F90</f>
        <v>0</v>
      </c>
      <c r="M90" s="41" t="n">
        <f aca="false">D90-L90</f>
        <v>0</v>
      </c>
      <c r="N90" s="42" t="n">
        <f aca="false">K90-G90</f>
        <v>0</v>
      </c>
      <c r="O90" s="78"/>
      <c r="P90" s="79"/>
      <c r="Q90" s="16" t="str">
        <f aca="false">IF(K90=0,"",IF(R90=1,"Pagada",IF(C90&lt;$F$12,"Vencida",IF(64=$F$13,"Próxima","Pendiente"))))</f>
        <v/>
      </c>
      <c r="R90" s="62" t="n">
        <f aca="false">IF(AND(K90&gt;0,OR(O90="Sí",O90="Si")),1,0)</f>
        <v>0</v>
      </c>
      <c r="S90" s="62" t="n">
        <f aca="false">IF(AND(K90&gt;0,R90=0),1,0)</f>
        <v>0</v>
      </c>
    </row>
    <row r="91" customFormat="false" ht="15" hidden="false" customHeight="false" outlineLevel="0" collapsed="false">
      <c r="B91" s="71" t="str">
        <f aca="false">IF($F$6="Sí",N($C$11)+64,"")</f>
        <v/>
      </c>
      <c r="C91" s="72" t="str">
        <f aca="false">IF(OR($F$6&lt;&gt;"Sí",D91&lt;=0.5),"",EDATE($C$10,64))</f>
        <v/>
      </c>
      <c r="D91" s="41" t="n">
        <f aca="false">MAX(0,M90)</f>
        <v>0</v>
      </c>
      <c r="E91" s="41" t="n">
        <f aca="false">D91*$F$7</f>
        <v>0</v>
      </c>
      <c r="F91" s="41" t="n">
        <f aca="false">IF(D91&gt;0.5,N($C$15),0)</f>
        <v>0</v>
      </c>
      <c r="G91" s="41" t="n">
        <f aca="false">IF(AND(D91&gt;0.5,N($C$19)&gt;0,N(B91)&lt;=N($C$20)),D91*$F$8,0)</f>
        <v>0</v>
      </c>
      <c r="H91" s="41" t="n">
        <f aca="false">IF(D91&lt;=0.5,0,MIN(IF(N(I91)&gt;0,I91,$F$9),D91+E91+F91))</f>
        <v>0</v>
      </c>
      <c r="I91" s="77"/>
      <c r="J91" s="77"/>
      <c r="K91" s="41" t="n">
        <f aca="false">IF(D91&lt;=0.5,0,MIN(H91+N(J91),D91+E91+F91))</f>
        <v>0</v>
      </c>
      <c r="L91" s="41" t="n">
        <f aca="false">K91-E91-F91</f>
        <v>0</v>
      </c>
      <c r="M91" s="41" t="n">
        <f aca="false">D91-L91</f>
        <v>0</v>
      </c>
      <c r="N91" s="42" t="n">
        <f aca="false">K91-G91</f>
        <v>0</v>
      </c>
      <c r="O91" s="78"/>
      <c r="P91" s="79"/>
      <c r="Q91" s="16" t="str">
        <f aca="false">IF(K91=0,"",IF(R91=1,"Pagada",IF(C91&lt;$F$12,"Vencida",IF(65=$F$13,"Próxima","Pendiente"))))</f>
        <v/>
      </c>
      <c r="R91" s="62" t="n">
        <f aca="false">IF(AND(K91&gt;0,OR(O91="Sí",O91="Si")),1,0)</f>
        <v>0</v>
      </c>
      <c r="S91" s="62" t="n">
        <f aca="false">IF(AND(K91&gt;0,R91=0),1,0)</f>
        <v>0</v>
      </c>
    </row>
    <row r="92" customFormat="false" ht="15" hidden="false" customHeight="false" outlineLevel="0" collapsed="false">
      <c r="B92" s="71" t="str">
        <f aca="false">IF($F$6="Sí",N($C$11)+65,"")</f>
        <v/>
      </c>
      <c r="C92" s="72" t="str">
        <f aca="false">IF(OR($F$6&lt;&gt;"Sí",D92&lt;=0.5),"",EDATE($C$10,65))</f>
        <v/>
      </c>
      <c r="D92" s="41" t="n">
        <f aca="false">MAX(0,M91)</f>
        <v>0</v>
      </c>
      <c r="E92" s="41" t="n">
        <f aca="false">D92*$F$7</f>
        <v>0</v>
      </c>
      <c r="F92" s="41" t="n">
        <f aca="false">IF(D92&gt;0.5,N($C$15),0)</f>
        <v>0</v>
      </c>
      <c r="G92" s="41" t="n">
        <f aca="false">IF(AND(D92&gt;0.5,N($C$19)&gt;0,N(B92)&lt;=N($C$20)),D92*$F$8,0)</f>
        <v>0</v>
      </c>
      <c r="H92" s="41" t="n">
        <f aca="false">IF(D92&lt;=0.5,0,MIN(IF(N(I92)&gt;0,I92,$F$9),D92+E92+F92))</f>
        <v>0</v>
      </c>
      <c r="I92" s="77"/>
      <c r="J92" s="77"/>
      <c r="K92" s="41" t="n">
        <f aca="false">IF(D92&lt;=0.5,0,MIN(H92+N(J92),D92+E92+F92))</f>
        <v>0</v>
      </c>
      <c r="L92" s="41" t="n">
        <f aca="false">K92-E92-F92</f>
        <v>0</v>
      </c>
      <c r="M92" s="41" t="n">
        <f aca="false">D92-L92</f>
        <v>0</v>
      </c>
      <c r="N92" s="42" t="n">
        <f aca="false">K92-G92</f>
        <v>0</v>
      </c>
      <c r="O92" s="78"/>
      <c r="P92" s="79"/>
      <c r="Q92" s="16" t="str">
        <f aca="false">IF(K92=0,"",IF(R92=1,"Pagada",IF(C92&lt;$F$12,"Vencida",IF(66=$F$13,"Próxima","Pendiente"))))</f>
        <v/>
      </c>
      <c r="R92" s="62" t="n">
        <f aca="false">IF(AND(K92&gt;0,OR(O92="Sí",O92="Si")),1,0)</f>
        <v>0</v>
      </c>
      <c r="S92" s="62" t="n">
        <f aca="false">IF(AND(K92&gt;0,R92=0),1,0)</f>
        <v>0</v>
      </c>
    </row>
    <row r="93" customFormat="false" ht="15" hidden="false" customHeight="false" outlineLevel="0" collapsed="false">
      <c r="B93" s="71" t="str">
        <f aca="false">IF($F$6="Sí",N($C$11)+66,"")</f>
        <v/>
      </c>
      <c r="C93" s="72" t="str">
        <f aca="false">IF(OR($F$6&lt;&gt;"Sí",D93&lt;=0.5),"",EDATE($C$10,66))</f>
        <v/>
      </c>
      <c r="D93" s="41" t="n">
        <f aca="false">MAX(0,M92)</f>
        <v>0</v>
      </c>
      <c r="E93" s="41" t="n">
        <f aca="false">D93*$F$7</f>
        <v>0</v>
      </c>
      <c r="F93" s="41" t="n">
        <f aca="false">IF(D93&gt;0.5,N($C$15),0)</f>
        <v>0</v>
      </c>
      <c r="G93" s="41" t="n">
        <f aca="false">IF(AND(D93&gt;0.5,N($C$19)&gt;0,N(B93)&lt;=N($C$20)),D93*$F$8,0)</f>
        <v>0</v>
      </c>
      <c r="H93" s="41" t="n">
        <f aca="false">IF(D93&lt;=0.5,0,MIN(IF(N(I93)&gt;0,I93,$F$9),D93+E93+F93))</f>
        <v>0</v>
      </c>
      <c r="I93" s="77"/>
      <c r="J93" s="77"/>
      <c r="K93" s="41" t="n">
        <f aca="false">IF(D93&lt;=0.5,0,MIN(H93+N(J93),D93+E93+F93))</f>
        <v>0</v>
      </c>
      <c r="L93" s="41" t="n">
        <f aca="false">K93-E93-F93</f>
        <v>0</v>
      </c>
      <c r="M93" s="41" t="n">
        <f aca="false">D93-L93</f>
        <v>0</v>
      </c>
      <c r="N93" s="42" t="n">
        <f aca="false">K93-G93</f>
        <v>0</v>
      </c>
      <c r="O93" s="78"/>
      <c r="P93" s="79"/>
      <c r="Q93" s="16" t="str">
        <f aca="false">IF(K93=0,"",IF(R93=1,"Pagada",IF(C93&lt;$F$12,"Vencida",IF(67=$F$13,"Próxima","Pendiente"))))</f>
        <v/>
      </c>
      <c r="R93" s="62" t="n">
        <f aca="false">IF(AND(K93&gt;0,OR(O93="Sí",O93="Si")),1,0)</f>
        <v>0</v>
      </c>
      <c r="S93" s="62" t="n">
        <f aca="false">IF(AND(K93&gt;0,R93=0),1,0)</f>
        <v>0</v>
      </c>
    </row>
    <row r="94" customFormat="false" ht="15" hidden="false" customHeight="false" outlineLevel="0" collapsed="false">
      <c r="B94" s="71" t="str">
        <f aca="false">IF($F$6="Sí",N($C$11)+67,"")</f>
        <v/>
      </c>
      <c r="C94" s="72" t="str">
        <f aca="false">IF(OR($F$6&lt;&gt;"Sí",D94&lt;=0.5),"",EDATE($C$10,67))</f>
        <v/>
      </c>
      <c r="D94" s="41" t="n">
        <f aca="false">MAX(0,M93)</f>
        <v>0</v>
      </c>
      <c r="E94" s="41" t="n">
        <f aca="false">D94*$F$7</f>
        <v>0</v>
      </c>
      <c r="F94" s="41" t="n">
        <f aca="false">IF(D94&gt;0.5,N($C$15),0)</f>
        <v>0</v>
      </c>
      <c r="G94" s="41" t="n">
        <f aca="false">IF(AND(D94&gt;0.5,N($C$19)&gt;0,N(B94)&lt;=N($C$20)),D94*$F$8,0)</f>
        <v>0</v>
      </c>
      <c r="H94" s="41" t="n">
        <f aca="false">IF(D94&lt;=0.5,0,MIN(IF(N(I94)&gt;0,I94,$F$9),D94+E94+F94))</f>
        <v>0</v>
      </c>
      <c r="I94" s="77"/>
      <c r="J94" s="77"/>
      <c r="K94" s="41" t="n">
        <f aca="false">IF(D94&lt;=0.5,0,MIN(H94+N(J94),D94+E94+F94))</f>
        <v>0</v>
      </c>
      <c r="L94" s="41" t="n">
        <f aca="false">K94-E94-F94</f>
        <v>0</v>
      </c>
      <c r="M94" s="41" t="n">
        <f aca="false">D94-L94</f>
        <v>0</v>
      </c>
      <c r="N94" s="42" t="n">
        <f aca="false">K94-G94</f>
        <v>0</v>
      </c>
      <c r="O94" s="78"/>
      <c r="P94" s="79"/>
      <c r="Q94" s="16" t="str">
        <f aca="false">IF(K94=0,"",IF(R94=1,"Pagada",IF(C94&lt;$F$12,"Vencida",IF(68=$F$13,"Próxima","Pendiente"))))</f>
        <v/>
      </c>
      <c r="R94" s="62" t="n">
        <f aca="false">IF(AND(K94&gt;0,OR(O94="Sí",O94="Si")),1,0)</f>
        <v>0</v>
      </c>
      <c r="S94" s="62" t="n">
        <f aca="false">IF(AND(K94&gt;0,R94=0),1,0)</f>
        <v>0</v>
      </c>
    </row>
    <row r="95" customFormat="false" ht="15" hidden="false" customHeight="false" outlineLevel="0" collapsed="false">
      <c r="B95" s="71" t="str">
        <f aca="false">IF($F$6="Sí",N($C$11)+68,"")</f>
        <v/>
      </c>
      <c r="C95" s="72" t="str">
        <f aca="false">IF(OR($F$6&lt;&gt;"Sí",D95&lt;=0.5),"",EDATE($C$10,68))</f>
        <v/>
      </c>
      <c r="D95" s="41" t="n">
        <f aca="false">MAX(0,M94)</f>
        <v>0</v>
      </c>
      <c r="E95" s="41" t="n">
        <f aca="false">D95*$F$7</f>
        <v>0</v>
      </c>
      <c r="F95" s="41" t="n">
        <f aca="false">IF(D95&gt;0.5,N($C$15),0)</f>
        <v>0</v>
      </c>
      <c r="G95" s="41" t="n">
        <f aca="false">IF(AND(D95&gt;0.5,N($C$19)&gt;0,N(B95)&lt;=N($C$20)),D95*$F$8,0)</f>
        <v>0</v>
      </c>
      <c r="H95" s="41" t="n">
        <f aca="false">IF(D95&lt;=0.5,0,MIN(IF(N(I95)&gt;0,I95,$F$9),D95+E95+F95))</f>
        <v>0</v>
      </c>
      <c r="I95" s="77"/>
      <c r="J95" s="77"/>
      <c r="K95" s="41" t="n">
        <f aca="false">IF(D95&lt;=0.5,0,MIN(H95+N(J95),D95+E95+F95))</f>
        <v>0</v>
      </c>
      <c r="L95" s="41" t="n">
        <f aca="false">K95-E95-F95</f>
        <v>0</v>
      </c>
      <c r="M95" s="41" t="n">
        <f aca="false">D95-L95</f>
        <v>0</v>
      </c>
      <c r="N95" s="42" t="n">
        <f aca="false">K95-G95</f>
        <v>0</v>
      </c>
      <c r="O95" s="78"/>
      <c r="P95" s="79"/>
      <c r="Q95" s="16" t="str">
        <f aca="false">IF(K95=0,"",IF(R95=1,"Pagada",IF(C95&lt;$F$12,"Vencida",IF(69=$F$13,"Próxima","Pendiente"))))</f>
        <v/>
      </c>
      <c r="R95" s="62" t="n">
        <f aca="false">IF(AND(K95&gt;0,OR(O95="Sí",O95="Si")),1,0)</f>
        <v>0</v>
      </c>
      <c r="S95" s="62" t="n">
        <f aca="false">IF(AND(K95&gt;0,R95=0),1,0)</f>
        <v>0</v>
      </c>
    </row>
    <row r="96" customFormat="false" ht="15" hidden="false" customHeight="false" outlineLevel="0" collapsed="false">
      <c r="B96" s="71" t="str">
        <f aca="false">IF($F$6="Sí",N($C$11)+69,"")</f>
        <v/>
      </c>
      <c r="C96" s="72" t="str">
        <f aca="false">IF(OR($F$6&lt;&gt;"Sí",D96&lt;=0.5),"",EDATE($C$10,69))</f>
        <v/>
      </c>
      <c r="D96" s="41" t="n">
        <f aca="false">MAX(0,M95)</f>
        <v>0</v>
      </c>
      <c r="E96" s="41" t="n">
        <f aca="false">D96*$F$7</f>
        <v>0</v>
      </c>
      <c r="F96" s="41" t="n">
        <f aca="false">IF(D96&gt;0.5,N($C$15),0)</f>
        <v>0</v>
      </c>
      <c r="G96" s="41" t="n">
        <f aca="false">IF(AND(D96&gt;0.5,N($C$19)&gt;0,N(B96)&lt;=N($C$20)),D96*$F$8,0)</f>
        <v>0</v>
      </c>
      <c r="H96" s="41" t="n">
        <f aca="false">IF(D96&lt;=0.5,0,MIN(IF(N(I96)&gt;0,I96,$F$9),D96+E96+F96))</f>
        <v>0</v>
      </c>
      <c r="I96" s="77"/>
      <c r="J96" s="77"/>
      <c r="K96" s="41" t="n">
        <f aca="false">IF(D96&lt;=0.5,0,MIN(H96+N(J96),D96+E96+F96))</f>
        <v>0</v>
      </c>
      <c r="L96" s="41" t="n">
        <f aca="false">K96-E96-F96</f>
        <v>0</v>
      </c>
      <c r="M96" s="41" t="n">
        <f aca="false">D96-L96</f>
        <v>0</v>
      </c>
      <c r="N96" s="42" t="n">
        <f aca="false">K96-G96</f>
        <v>0</v>
      </c>
      <c r="O96" s="78"/>
      <c r="P96" s="79"/>
      <c r="Q96" s="16" t="str">
        <f aca="false">IF(K96=0,"",IF(R96=1,"Pagada",IF(C96&lt;$F$12,"Vencida",IF(70=$F$13,"Próxima","Pendiente"))))</f>
        <v/>
      </c>
      <c r="R96" s="62" t="n">
        <f aca="false">IF(AND(K96&gt;0,OR(O96="Sí",O96="Si")),1,0)</f>
        <v>0</v>
      </c>
      <c r="S96" s="62" t="n">
        <f aca="false">IF(AND(K96&gt;0,R96=0),1,0)</f>
        <v>0</v>
      </c>
    </row>
    <row r="97" customFormat="false" ht="15" hidden="false" customHeight="false" outlineLevel="0" collapsed="false">
      <c r="B97" s="71" t="str">
        <f aca="false">IF($F$6="Sí",N($C$11)+70,"")</f>
        <v/>
      </c>
      <c r="C97" s="72" t="str">
        <f aca="false">IF(OR($F$6&lt;&gt;"Sí",D97&lt;=0.5),"",EDATE($C$10,70))</f>
        <v/>
      </c>
      <c r="D97" s="41" t="n">
        <f aca="false">MAX(0,M96)</f>
        <v>0</v>
      </c>
      <c r="E97" s="41" t="n">
        <f aca="false">D97*$F$7</f>
        <v>0</v>
      </c>
      <c r="F97" s="41" t="n">
        <f aca="false">IF(D97&gt;0.5,N($C$15),0)</f>
        <v>0</v>
      </c>
      <c r="G97" s="41" t="n">
        <f aca="false">IF(AND(D97&gt;0.5,N($C$19)&gt;0,N(B97)&lt;=N($C$20)),D97*$F$8,0)</f>
        <v>0</v>
      </c>
      <c r="H97" s="41" t="n">
        <f aca="false">IF(D97&lt;=0.5,0,MIN(IF(N(I97)&gt;0,I97,$F$9),D97+E97+F97))</f>
        <v>0</v>
      </c>
      <c r="I97" s="77"/>
      <c r="J97" s="77"/>
      <c r="K97" s="41" t="n">
        <f aca="false">IF(D97&lt;=0.5,0,MIN(H97+N(J97),D97+E97+F97))</f>
        <v>0</v>
      </c>
      <c r="L97" s="41" t="n">
        <f aca="false">K97-E97-F97</f>
        <v>0</v>
      </c>
      <c r="M97" s="41" t="n">
        <f aca="false">D97-L97</f>
        <v>0</v>
      </c>
      <c r="N97" s="42" t="n">
        <f aca="false">K97-G97</f>
        <v>0</v>
      </c>
      <c r="O97" s="78"/>
      <c r="P97" s="79"/>
      <c r="Q97" s="16" t="str">
        <f aca="false">IF(K97=0,"",IF(R97=1,"Pagada",IF(C97&lt;$F$12,"Vencida",IF(71=$F$13,"Próxima","Pendiente"))))</f>
        <v/>
      </c>
      <c r="R97" s="62" t="n">
        <f aca="false">IF(AND(K97&gt;0,OR(O97="Sí",O97="Si")),1,0)</f>
        <v>0</v>
      </c>
      <c r="S97" s="62" t="n">
        <f aca="false">IF(AND(K97&gt;0,R97=0),1,0)</f>
        <v>0</v>
      </c>
    </row>
    <row r="98" customFormat="false" ht="15" hidden="false" customHeight="false" outlineLevel="0" collapsed="false">
      <c r="B98" s="71" t="str">
        <f aca="false">IF($F$6="Sí",N($C$11)+71,"")</f>
        <v/>
      </c>
      <c r="C98" s="72" t="str">
        <f aca="false">IF(OR($F$6&lt;&gt;"Sí",D98&lt;=0.5),"",EDATE($C$10,71))</f>
        <v/>
      </c>
      <c r="D98" s="41" t="n">
        <f aca="false">MAX(0,M97)</f>
        <v>0</v>
      </c>
      <c r="E98" s="41" t="n">
        <f aca="false">D98*$F$7</f>
        <v>0</v>
      </c>
      <c r="F98" s="41" t="n">
        <f aca="false">IF(D98&gt;0.5,N($C$15),0)</f>
        <v>0</v>
      </c>
      <c r="G98" s="41" t="n">
        <f aca="false">IF(AND(D98&gt;0.5,N($C$19)&gt;0,N(B98)&lt;=N($C$20)),D98*$F$8,0)</f>
        <v>0</v>
      </c>
      <c r="H98" s="41" t="n">
        <f aca="false">IF(D98&lt;=0.5,0,MIN(IF(N(I98)&gt;0,I98,$F$9),D98+E98+F98))</f>
        <v>0</v>
      </c>
      <c r="I98" s="77"/>
      <c r="J98" s="77"/>
      <c r="K98" s="41" t="n">
        <f aca="false">IF(D98&lt;=0.5,0,MIN(H98+N(J98),D98+E98+F98))</f>
        <v>0</v>
      </c>
      <c r="L98" s="41" t="n">
        <f aca="false">K98-E98-F98</f>
        <v>0</v>
      </c>
      <c r="M98" s="41" t="n">
        <f aca="false">D98-L98</f>
        <v>0</v>
      </c>
      <c r="N98" s="42" t="n">
        <f aca="false">K98-G98</f>
        <v>0</v>
      </c>
      <c r="O98" s="78"/>
      <c r="P98" s="79"/>
      <c r="Q98" s="16" t="str">
        <f aca="false">IF(K98=0,"",IF(R98=1,"Pagada",IF(C98&lt;$F$12,"Vencida",IF(72=$F$13,"Próxima","Pendiente"))))</f>
        <v/>
      </c>
      <c r="R98" s="62" t="n">
        <f aca="false">IF(AND(K98&gt;0,OR(O98="Sí",O98="Si")),1,0)</f>
        <v>0</v>
      </c>
      <c r="S98" s="62" t="n">
        <f aca="false">IF(AND(K98&gt;0,R98=0),1,0)</f>
        <v>0</v>
      </c>
    </row>
    <row r="99" customFormat="false" ht="15" hidden="false" customHeight="false" outlineLevel="0" collapsed="false">
      <c r="B99" s="71" t="str">
        <f aca="false">IF($F$6="Sí",N($C$11)+72,"")</f>
        <v/>
      </c>
      <c r="C99" s="72" t="str">
        <f aca="false">IF(OR($F$6&lt;&gt;"Sí",D99&lt;=0.5),"",EDATE($C$10,72))</f>
        <v/>
      </c>
      <c r="D99" s="41" t="n">
        <f aca="false">MAX(0,M98)</f>
        <v>0</v>
      </c>
      <c r="E99" s="41" t="n">
        <f aca="false">D99*$F$7</f>
        <v>0</v>
      </c>
      <c r="F99" s="41" t="n">
        <f aca="false">IF(D99&gt;0.5,N($C$15),0)</f>
        <v>0</v>
      </c>
      <c r="G99" s="41" t="n">
        <f aca="false">IF(AND(D99&gt;0.5,N($C$19)&gt;0,N(B99)&lt;=N($C$20)),D99*$F$8,0)</f>
        <v>0</v>
      </c>
      <c r="H99" s="41" t="n">
        <f aca="false">IF(D99&lt;=0.5,0,MIN(IF(N(I99)&gt;0,I99,$F$9),D99+E99+F99))</f>
        <v>0</v>
      </c>
      <c r="I99" s="77"/>
      <c r="J99" s="77"/>
      <c r="K99" s="41" t="n">
        <f aca="false">IF(D99&lt;=0.5,0,MIN(H99+N(J99),D99+E99+F99))</f>
        <v>0</v>
      </c>
      <c r="L99" s="41" t="n">
        <f aca="false">K99-E99-F99</f>
        <v>0</v>
      </c>
      <c r="M99" s="41" t="n">
        <f aca="false">D99-L99</f>
        <v>0</v>
      </c>
      <c r="N99" s="42" t="n">
        <f aca="false">K99-G99</f>
        <v>0</v>
      </c>
      <c r="O99" s="78"/>
      <c r="P99" s="79"/>
      <c r="Q99" s="16" t="str">
        <f aca="false">IF(K99=0,"",IF(R99=1,"Pagada",IF(C99&lt;$F$12,"Vencida",IF(73=$F$13,"Próxima","Pendiente"))))</f>
        <v/>
      </c>
      <c r="R99" s="62" t="n">
        <f aca="false">IF(AND(K99&gt;0,OR(O99="Sí",O99="Si")),1,0)</f>
        <v>0</v>
      </c>
      <c r="S99" s="62" t="n">
        <f aca="false">IF(AND(K99&gt;0,R99=0),1,0)</f>
        <v>0</v>
      </c>
    </row>
    <row r="100" customFormat="false" ht="15" hidden="false" customHeight="false" outlineLevel="0" collapsed="false">
      <c r="B100" s="71" t="str">
        <f aca="false">IF($F$6="Sí",N($C$11)+73,"")</f>
        <v/>
      </c>
      <c r="C100" s="72" t="str">
        <f aca="false">IF(OR($F$6&lt;&gt;"Sí",D100&lt;=0.5),"",EDATE($C$10,73))</f>
        <v/>
      </c>
      <c r="D100" s="41" t="n">
        <f aca="false">MAX(0,M99)</f>
        <v>0</v>
      </c>
      <c r="E100" s="41" t="n">
        <f aca="false">D100*$F$7</f>
        <v>0</v>
      </c>
      <c r="F100" s="41" t="n">
        <f aca="false">IF(D100&gt;0.5,N($C$15),0)</f>
        <v>0</v>
      </c>
      <c r="G100" s="41" t="n">
        <f aca="false">IF(AND(D100&gt;0.5,N($C$19)&gt;0,N(B100)&lt;=N($C$20)),D100*$F$8,0)</f>
        <v>0</v>
      </c>
      <c r="H100" s="41" t="n">
        <f aca="false">IF(D100&lt;=0.5,0,MIN(IF(N(I100)&gt;0,I100,$F$9),D100+E100+F100))</f>
        <v>0</v>
      </c>
      <c r="I100" s="77"/>
      <c r="J100" s="77"/>
      <c r="K100" s="41" t="n">
        <f aca="false">IF(D100&lt;=0.5,0,MIN(H100+N(J100),D100+E100+F100))</f>
        <v>0</v>
      </c>
      <c r="L100" s="41" t="n">
        <f aca="false">K100-E100-F100</f>
        <v>0</v>
      </c>
      <c r="M100" s="41" t="n">
        <f aca="false">D100-L100</f>
        <v>0</v>
      </c>
      <c r="N100" s="42" t="n">
        <f aca="false">K100-G100</f>
        <v>0</v>
      </c>
      <c r="O100" s="78"/>
      <c r="P100" s="79"/>
      <c r="Q100" s="16" t="str">
        <f aca="false">IF(K100=0,"",IF(R100=1,"Pagada",IF(C100&lt;$F$12,"Vencida",IF(74=$F$13,"Próxima","Pendiente"))))</f>
        <v/>
      </c>
      <c r="R100" s="62" t="n">
        <f aca="false">IF(AND(K100&gt;0,OR(O100="Sí",O100="Si")),1,0)</f>
        <v>0</v>
      </c>
      <c r="S100" s="62" t="n">
        <f aca="false">IF(AND(K100&gt;0,R100=0),1,0)</f>
        <v>0</v>
      </c>
    </row>
    <row r="101" customFormat="false" ht="15" hidden="false" customHeight="false" outlineLevel="0" collapsed="false">
      <c r="B101" s="71" t="str">
        <f aca="false">IF($F$6="Sí",N($C$11)+74,"")</f>
        <v/>
      </c>
      <c r="C101" s="72" t="str">
        <f aca="false">IF(OR($F$6&lt;&gt;"Sí",D101&lt;=0.5),"",EDATE($C$10,74))</f>
        <v/>
      </c>
      <c r="D101" s="41" t="n">
        <f aca="false">MAX(0,M100)</f>
        <v>0</v>
      </c>
      <c r="E101" s="41" t="n">
        <f aca="false">D101*$F$7</f>
        <v>0</v>
      </c>
      <c r="F101" s="41" t="n">
        <f aca="false">IF(D101&gt;0.5,N($C$15),0)</f>
        <v>0</v>
      </c>
      <c r="G101" s="41" t="n">
        <f aca="false">IF(AND(D101&gt;0.5,N($C$19)&gt;0,N(B101)&lt;=N($C$20)),D101*$F$8,0)</f>
        <v>0</v>
      </c>
      <c r="H101" s="41" t="n">
        <f aca="false">IF(D101&lt;=0.5,0,MIN(IF(N(I101)&gt;0,I101,$F$9),D101+E101+F101))</f>
        <v>0</v>
      </c>
      <c r="I101" s="77"/>
      <c r="J101" s="77"/>
      <c r="K101" s="41" t="n">
        <f aca="false">IF(D101&lt;=0.5,0,MIN(H101+N(J101),D101+E101+F101))</f>
        <v>0</v>
      </c>
      <c r="L101" s="41" t="n">
        <f aca="false">K101-E101-F101</f>
        <v>0</v>
      </c>
      <c r="M101" s="41" t="n">
        <f aca="false">D101-L101</f>
        <v>0</v>
      </c>
      <c r="N101" s="42" t="n">
        <f aca="false">K101-G101</f>
        <v>0</v>
      </c>
      <c r="O101" s="78"/>
      <c r="P101" s="79"/>
      <c r="Q101" s="16" t="str">
        <f aca="false">IF(K101=0,"",IF(R101=1,"Pagada",IF(C101&lt;$F$12,"Vencida",IF(75=$F$13,"Próxima","Pendiente"))))</f>
        <v/>
      </c>
      <c r="R101" s="62" t="n">
        <f aca="false">IF(AND(K101&gt;0,OR(O101="Sí",O101="Si")),1,0)</f>
        <v>0</v>
      </c>
      <c r="S101" s="62" t="n">
        <f aca="false">IF(AND(K101&gt;0,R101=0),1,0)</f>
        <v>0</v>
      </c>
    </row>
    <row r="102" customFormat="false" ht="15" hidden="false" customHeight="false" outlineLevel="0" collapsed="false">
      <c r="B102" s="71" t="str">
        <f aca="false">IF($F$6="Sí",N($C$11)+75,"")</f>
        <v/>
      </c>
      <c r="C102" s="72" t="str">
        <f aca="false">IF(OR($F$6&lt;&gt;"Sí",D102&lt;=0.5),"",EDATE($C$10,75))</f>
        <v/>
      </c>
      <c r="D102" s="41" t="n">
        <f aca="false">MAX(0,M101)</f>
        <v>0</v>
      </c>
      <c r="E102" s="41" t="n">
        <f aca="false">D102*$F$7</f>
        <v>0</v>
      </c>
      <c r="F102" s="41" t="n">
        <f aca="false">IF(D102&gt;0.5,N($C$15),0)</f>
        <v>0</v>
      </c>
      <c r="G102" s="41" t="n">
        <f aca="false">IF(AND(D102&gt;0.5,N($C$19)&gt;0,N(B102)&lt;=N($C$20)),D102*$F$8,0)</f>
        <v>0</v>
      </c>
      <c r="H102" s="41" t="n">
        <f aca="false">IF(D102&lt;=0.5,0,MIN(IF(N(I102)&gt;0,I102,$F$9),D102+E102+F102))</f>
        <v>0</v>
      </c>
      <c r="I102" s="77"/>
      <c r="J102" s="77"/>
      <c r="K102" s="41" t="n">
        <f aca="false">IF(D102&lt;=0.5,0,MIN(H102+N(J102),D102+E102+F102))</f>
        <v>0</v>
      </c>
      <c r="L102" s="41" t="n">
        <f aca="false">K102-E102-F102</f>
        <v>0</v>
      </c>
      <c r="M102" s="41" t="n">
        <f aca="false">D102-L102</f>
        <v>0</v>
      </c>
      <c r="N102" s="42" t="n">
        <f aca="false">K102-G102</f>
        <v>0</v>
      </c>
      <c r="O102" s="78"/>
      <c r="P102" s="79"/>
      <c r="Q102" s="16" t="str">
        <f aca="false">IF(K102=0,"",IF(R102=1,"Pagada",IF(C102&lt;$F$12,"Vencida",IF(76=$F$13,"Próxima","Pendiente"))))</f>
        <v/>
      </c>
      <c r="R102" s="62" t="n">
        <f aca="false">IF(AND(K102&gt;0,OR(O102="Sí",O102="Si")),1,0)</f>
        <v>0</v>
      </c>
      <c r="S102" s="62" t="n">
        <f aca="false">IF(AND(K102&gt;0,R102=0),1,0)</f>
        <v>0</v>
      </c>
    </row>
    <row r="103" customFormat="false" ht="15" hidden="false" customHeight="false" outlineLevel="0" collapsed="false">
      <c r="B103" s="71" t="str">
        <f aca="false">IF($F$6="Sí",N($C$11)+76,"")</f>
        <v/>
      </c>
      <c r="C103" s="72" t="str">
        <f aca="false">IF(OR($F$6&lt;&gt;"Sí",D103&lt;=0.5),"",EDATE($C$10,76))</f>
        <v/>
      </c>
      <c r="D103" s="41" t="n">
        <f aca="false">MAX(0,M102)</f>
        <v>0</v>
      </c>
      <c r="E103" s="41" t="n">
        <f aca="false">D103*$F$7</f>
        <v>0</v>
      </c>
      <c r="F103" s="41" t="n">
        <f aca="false">IF(D103&gt;0.5,N($C$15),0)</f>
        <v>0</v>
      </c>
      <c r="G103" s="41" t="n">
        <f aca="false">IF(AND(D103&gt;0.5,N($C$19)&gt;0,N(B103)&lt;=N($C$20)),D103*$F$8,0)</f>
        <v>0</v>
      </c>
      <c r="H103" s="41" t="n">
        <f aca="false">IF(D103&lt;=0.5,0,MIN(IF(N(I103)&gt;0,I103,$F$9),D103+E103+F103))</f>
        <v>0</v>
      </c>
      <c r="I103" s="77"/>
      <c r="J103" s="77"/>
      <c r="K103" s="41" t="n">
        <f aca="false">IF(D103&lt;=0.5,0,MIN(H103+N(J103),D103+E103+F103))</f>
        <v>0</v>
      </c>
      <c r="L103" s="41" t="n">
        <f aca="false">K103-E103-F103</f>
        <v>0</v>
      </c>
      <c r="M103" s="41" t="n">
        <f aca="false">D103-L103</f>
        <v>0</v>
      </c>
      <c r="N103" s="42" t="n">
        <f aca="false">K103-G103</f>
        <v>0</v>
      </c>
      <c r="O103" s="78"/>
      <c r="P103" s="79"/>
      <c r="Q103" s="16" t="str">
        <f aca="false">IF(K103=0,"",IF(R103=1,"Pagada",IF(C103&lt;$F$12,"Vencida",IF(77=$F$13,"Próxima","Pendiente"))))</f>
        <v/>
      </c>
      <c r="R103" s="62" t="n">
        <f aca="false">IF(AND(K103&gt;0,OR(O103="Sí",O103="Si")),1,0)</f>
        <v>0</v>
      </c>
      <c r="S103" s="62" t="n">
        <f aca="false">IF(AND(K103&gt;0,R103=0),1,0)</f>
        <v>0</v>
      </c>
    </row>
    <row r="104" customFormat="false" ht="15" hidden="false" customHeight="false" outlineLevel="0" collapsed="false">
      <c r="B104" s="71" t="str">
        <f aca="false">IF($F$6="Sí",N($C$11)+77,"")</f>
        <v/>
      </c>
      <c r="C104" s="72" t="str">
        <f aca="false">IF(OR($F$6&lt;&gt;"Sí",D104&lt;=0.5),"",EDATE($C$10,77))</f>
        <v/>
      </c>
      <c r="D104" s="41" t="n">
        <f aca="false">MAX(0,M103)</f>
        <v>0</v>
      </c>
      <c r="E104" s="41" t="n">
        <f aca="false">D104*$F$7</f>
        <v>0</v>
      </c>
      <c r="F104" s="41" t="n">
        <f aca="false">IF(D104&gt;0.5,N($C$15),0)</f>
        <v>0</v>
      </c>
      <c r="G104" s="41" t="n">
        <f aca="false">IF(AND(D104&gt;0.5,N($C$19)&gt;0,N(B104)&lt;=N($C$20)),D104*$F$8,0)</f>
        <v>0</v>
      </c>
      <c r="H104" s="41" t="n">
        <f aca="false">IF(D104&lt;=0.5,0,MIN(IF(N(I104)&gt;0,I104,$F$9),D104+E104+F104))</f>
        <v>0</v>
      </c>
      <c r="I104" s="77"/>
      <c r="J104" s="77"/>
      <c r="K104" s="41" t="n">
        <f aca="false">IF(D104&lt;=0.5,0,MIN(H104+N(J104),D104+E104+F104))</f>
        <v>0</v>
      </c>
      <c r="L104" s="41" t="n">
        <f aca="false">K104-E104-F104</f>
        <v>0</v>
      </c>
      <c r="M104" s="41" t="n">
        <f aca="false">D104-L104</f>
        <v>0</v>
      </c>
      <c r="N104" s="42" t="n">
        <f aca="false">K104-G104</f>
        <v>0</v>
      </c>
      <c r="O104" s="78"/>
      <c r="P104" s="79"/>
      <c r="Q104" s="16" t="str">
        <f aca="false">IF(K104=0,"",IF(R104=1,"Pagada",IF(C104&lt;$F$12,"Vencida",IF(78=$F$13,"Próxima","Pendiente"))))</f>
        <v/>
      </c>
      <c r="R104" s="62" t="n">
        <f aca="false">IF(AND(K104&gt;0,OR(O104="Sí",O104="Si")),1,0)</f>
        <v>0</v>
      </c>
      <c r="S104" s="62" t="n">
        <f aca="false">IF(AND(K104&gt;0,R104=0),1,0)</f>
        <v>0</v>
      </c>
    </row>
    <row r="105" customFormat="false" ht="15" hidden="false" customHeight="false" outlineLevel="0" collapsed="false">
      <c r="B105" s="71" t="str">
        <f aca="false">IF($F$6="Sí",N($C$11)+78,"")</f>
        <v/>
      </c>
      <c r="C105" s="72" t="str">
        <f aca="false">IF(OR($F$6&lt;&gt;"Sí",D105&lt;=0.5),"",EDATE($C$10,78))</f>
        <v/>
      </c>
      <c r="D105" s="41" t="n">
        <f aca="false">MAX(0,M104)</f>
        <v>0</v>
      </c>
      <c r="E105" s="41" t="n">
        <f aca="false">D105*$F$7</f>
        <v>0</v>
      </c>
      <c r="F105" s="41" t="n">
        <f aca="false">IF(D105&gt;0.5,N($C$15),0)</f>
        <v>0</v>
      </c>
      <c r="G105" s="41" t="n">
        <f aca="false">IF(AND(D105&gt;0.5,N($C$19)&gt;0,N(B105)&lt;=N($C$20)),D105*$F$8,0)</f>
        <v>0</v>
      </c>
      <c r="H105" s="41" t="n">
        <f aca="false">IF(D105&lt;=0.5,0,MIN(IF(N(I105)&gt;0,I105,$F$9),D105+E105+F105))</f>
        <v>0</v>
      </c>
      <c r="I105" s="77"/>
      <c r="J105" s="77"/>
      <c r="K105" s="41" t="n">
        <f aca="false">IF(D105&lt;=0.5,0,MIN(H105+N(J105),D105+E105+F105))</f>
        <v>0</v>
      </c>
      <c r="L105" s="41" t="n">
        <f aca="false">K105-E105-F105</f>
        <v>0</v>
      </c>
      <c r="M105" s="41" t="n">
        <f aca="false">D105-L105</f>
        <v>0</v>
      </c>
      <c r="N105" s="42" t="n">
        <f aca="false">K105-G105</f>
        <v>0</v>
      </c>
      <c r="O105" s="78"/>
      <c r="P105" s="79"/>
      <c r="Q105" s="16" t="str">
        <f aca="false">IF(K105=0,"",IF(R105=1,"Pagada",IF(C105&lt;$F$12,"Vencida",IF(79=$F$13,"Próxima","Pendiente"))))</f>
        <v/>
      </c>
      <c r="R105" s="62" t="n">
        <f aca="false">IF(AND(K105&gt;0,OR(O105="Sí",O105="Si")),1,0)</f>
        <v>0</v>
      </c>
      <c r="S105" s="62" t="n">
        <f aca="false">IF(AND(K105&gt;0,R105=0),1,0)</f>
        <v>0</v>
      </c>
    </row>
    <row r="106" customFormat="false" ht="15" hidden="false" customHeight="false" outlineLevel="0" collapsed="false">
      <c r="B106" s="71" t="str">
        <f aca="false">IF($F$6="Sí",N($C$11)+79,"")</f>
        <v/>
      </c>
      <c r="C106" s="72" t="str">
        <f aca="false">IF(OR($F$6&lt;&gt;"Sí",D106&lt;=0.5),"",EDATE($C$10,79))</f>
        <v/>
      </c>
      <c r="D106" s="41" t="n">
        <f aca="false">MAX(0,M105)</f>
        <v>0</v>
      </c>
      <c r="E106" s="41" t="n">
        <f aca="false">D106*$F$7</f>
        <v>0</v>
      </c>
      <c r="F106" s="41" t="n">
        <f aca="false">IF(D106&gt;0.5,N($C$15),0)</f>
        <v>0</v>
      </c>
      <c r="G106" s="41" t="n">
        <f aca="false">IF(AND(D106&gt;0.5,N($C$19)&gt;0,N(B106)&lt;=N($C$20)),D106*$F$8,0)</f>
        <v>0</v>
      </c>
      <c r="H106" s="41" t="n">
        <f aca="false">IF(D106&lt;=0.5,0,MIN(IF(N(I106)&gt;0,I106,$F$9),D106+E106+F106))</f>
        <v>0</v>
      </c>
      <c r="I106" s="77"/>
      <c r="J106" s="77"/>
      <c r="K106" s="41" t="n">
        <f aca="false">IF(D106&lt;=0.5,0,MIN(H106+N(J106),D106+E106+F106))</f>
        <v>0</v>
      </c>
      <c r="L106" s="41" t="n">
        <f aca="false">K106-E106-F106</f>
        <v>0</v>
      </c>
      <c r="M106" s="41" t="n">
        <f aca="false">D106-L106</f>
        <v>0</v>
      </c>
      <c r="N106" s="42" t="n">
        <f aca="false">K106-G106</f>
        <v>0</v>
      </c>
      <c r="O106" s="78"/>
      <c r="P106" s="79"/>
      <c r="Q106" s="16" t="str">
        <f aca="false">IF(K106=0,"",IF(R106=1,"Pagada",IF(C106&lt;$F$12,"Vencida",IF(80=$F$13,"Próxima","Pendiente"))))</f>
        <v/>
      </c>
      <c r="R106" s="62" t="n">
        <f aca="false">IF(AND(K106&gt;0,OR(O106="Sí",O106="Si")),1,0)</f>
        <v>0</v>
      </c>
      <c r="S106" s="62" t="n">
        <f aca="false">IF(AND(K106&gt;0,R106=0),1,0)</f>
        <v>0</v>
      </c>
    </row>
    <row r="107" customFormat="false" ht="15" hidden="false" customHeight="false" outlineLevel="0" collapsed="false">
      <c r="B107" s="71" t="str">
        <f aca="false">IF($F$6="Sí",N($C$11)+80,"")</f>
        <v/>
      </c>
      <c r="C107" s="72" t="str">
        <f aca="false">IF(OR($F$6&lt;&gt;"Sí",D107&lt;=0.5),"",EDATE($C$10,80))</f>
        <v/>
      </c>
      <c r="D107" s="41" t="n">
        <f aca="false">MAX(0,M106)</f>
        <v>0</v>
      </c>
      <c r="E107" s="41" t="n">
        <f aca="false">D107*$F$7</f>
        <v>0</v>
      </c>
      <c r="F107" s="41" t="n">
        <f aca="false">IF(D107&gt;0.5,N($C$15),0)</f>
        <v>0</v>
      </c>
      <c r="G107" s="41" t="n">
        <f aca="false">IF(AND(D107&gt;0.5,N($C$19)&gt;0,N(B107)&lt;=N($C$20)),D107*$F$8,0)</f>
        <v>0</v>
      </c>
      <c r="H107" s="41" t="n">
        <f aca="false">IF(D107&lt;=0.5,0,MIN(IF(N(I107)&gt;0,I107,$F$9),D107+E107+F107))</f>
        <v>0</v>
      </c>
      <c r="I107" s="77"/>
      <c r="J107" s="77"/>
      <c r="K107" s="41" t="n">
        <f aca="false">IF(D107&lt;=0.5,0,MIN(H107+N(J107),D107+E107+F107))</f>
        <v>0</v>
      </c>
      <c r="L107" s="41" t="n">
        <f aca="false">K107-E107-F107</f>
        <v>0</v>
      </c>
      <c r="M107" s="41" t="n">
        <f aca="false">D107-L107</f>
        <v>0</v>
      </c>
      <c r="N107" s="42" t="n">
        <f aca="false">K107-G107</f>
        <v>0</v>
      </c>
      <c r="O107" s="78"/>
      <c r="P107" s="79"/>
      <c r="Q107" s="16" t="str">
        <f aca="false">IF(K107=0,"",IF(R107=1,"Pagada",IF(C107&lt;$F$12,"Vencida",IF(81=$F$13,"Próxima","Pendiente"))))</f>
        <v/>
      </c>
      <c r="R107" s="62" t="n">
        <f aca="false">IF(AND(K107&gt;0,OR(O107="Sí",O107="Si")),1,0)</f>
        <v>0</v>
      </c>
      <c r="S107" s="62" t="n">
        <f aca="false">IF(AND(K107&gt;0,R107=0),1,0)</f>
        <v>0</v>
      </c>
    </row>
    <row r="108" customFormat="false" ht="15" hidden="false" customHeight="false" outlineLevel="0" collapsed="false">
      <c r="B108" s="71" t="str">
        <f aca="false">IF($F$6="Sí",N($C$11)+81,"")</f>
        <v/>
      </c>
      <c r="C108" s="72" t="str">
        <f aca="false">IF(OR($F$6&lt;&gt;"Sí",D108&lt;=0.5),"",EDATE($C$10,81))</f>
        <v/>
      </c>
      <c r="D108" s="41" t="n">
        <f aca="false">MAX(0,M107)</f>
        <v>0</v>
      </c>
      <c r="E108" s="41" t="n">
        <f aca="false">D108*$F$7</f>
        <v>0</v>
      </c>
      <c r="F108" s="41" t="n">
        <f aca="false">IF(D108&gt;0.5,N($C$15),0)</f>
        <v>0</v>
      </c>
      <c r="G108" s="41" t="n">
        <f aca="false">IF(AND(D108&gt;0.5,N($C$19)&gt;0,N(B108)&lt;=N($C$20)),D108*$F$8,0)</f>
        <v>0</v>
      </c>
      <c r="H108" s="41" t="n">
        <f aca="false">IF(D108&lt;=0.5,0,MIN(IF(N(I108)&gt;0,I108,$F$9),D108+E108+F108))</f>
        <v>0</v>
      </c>
      <c r="I108" s="77"/>
      <c r="J108" s="77"/>
      <c r="K108" s="41" t="n">
        <f aca="false">IF(D108&lt;=0.5,0,MIN(H108+N(J108),D108+E108+F108))</f>
        <v>0</v>
      </c>
      <c r="L108" s="41" t="n">
        <f aca="false">K108-E108-F108</f>
        <v>0</v>
      </c>
      <c r="M108" s="41" t="n">
        <f aca="false">D108-L108</f>
        <v>0</v>
      </c>
      <c r="N108" s="42" t="n">
        <f aca="false">K108-G108</f>
        <v>0</v>
      </c>
      <c r="O108" s="78"/>
      <c r="P108" s="79"/>
      <c r="Q108" s="16" t="str">
        <f aca="false">IF(K108=0,"",IF(R108=1,"Pagada",IF(C108&lt;$F$12,"Vencida",IF(82=$F$13,"Próxima","Pendiente"))))</f>
        <v/>
      </c>
      <c r="R108" s="62" t="n">
        <f aca="false">IF(AND(K108&gt;0,OR(O108="Sí",O108="Si")),1,0)</f>
        <v>0</v>
      </c>
      <c r="S108" s="62" t="n">
        <f aca="false">IF(AND(K108&gt;0,R108=0),1,0)</f>
        <v>0</v>
      </c>
    </row>
    <row r="109" customFormat="false" ht="15" hidden="false" customHeight="false" outlineLevel="0" collapsed="false">
      <c r="B109" s="71" t="str">
        <f aca="false">IF($F$6="Sí",N($C$11)+82,"")</f>
        <v/>
      </c>
      <c r="C109" s="72" t="str">
        <f aca="false">IF(OR($F$6&lt;&gt;"Sí",D109&lt;=0.5),"",EDATE($C$10,82))</f>
        <v/>
      </c>
      <c r="D109" s="41" t="n">
        <f aca="false">MAX(0,M108)</f>
        <v>0</v>
      </c>
      <c r="E109" s="41" t="n">
        <f aca="false">D109*$F$7</f>
        <v>0</v>
      </c>
      <c r="F109" s="41" t="n">
        <f aca="false">IF(D109&gt;0.5,N($C$15),0)</f>
        <v>0</v>
      </c>
      <c r="G109" s="41" t="n">
        <f aca="false">IF(AND(D109&gt;0.5,N($C$19)&gt;0,N(B109)&lt;=N($C$20)),D109*$F$8,0)</f>
        <v>0</v>
      </c>
      <c r="H109" s="41" t="n">
        <f aca="false">IF(D109&lt;=0.5,0,MIN(IF(N(I109)&gt;0,I109,$F$9),D109+E109+F109))</f>
        <v>0</v>
      </c>
      <c r="I109" s="77"/>
      <c r="J109" s="77"/>
      <c r="K109" s="41" t="n">
        <f aca="false">IF(D109&lt;=0.5,0,MIN(H109+N(J109),D109+E109+F109))</f>
        <v>0</v>
      </c>
      <c r="L109" s="41" t="n">
        <f aca="false">K109-E109-F109</f>
        <v>0</v>
      </c>
      <c r="M109" s="41" t="n">
        <f aca="false">D109-L109</f>
        <v>0</v>
      </c>
      <c r="N109" s="42" t="n">
        <f aca="false">K109-G109</f>
        <v>0</v>
      </c>
      <c r="O109" s="78"/>
      <c r="P109" s="79"/>
      <c r="Q109" s="16" t="str">
        <f aca="false">IF(K109=0,"",IF(R109=1,"Pagada",IF(C109&lt;$F$12,"Vencida",IF(83=$F$13,"Próxima","Pendiente"))))</f>
        <v/>
      </c>
      <c r="R109" s="62" t="n">
        <f aca="false">IF(AND(K109&gt;0,OR(O109="Sí",O109="Si")),1,0)</f>
        <v>0</v>
      </c>
      <c r="S109" s="62" t="n">
        <f aca="false">IF(AND(K109&gt;0,R109=0),1,0)</f>
        <v>0</v>
      </c>
    </row>
    <row r="110" customFormat="false" ht="15" hidden="false" customHeight="false" outlineLevel="0" collapsed="false">
      <c r="B110" s="71" t="str">
        <f aca="false">IF($F$6="Sí",N($C$11)+83,"")</f>
        <v/>
      </c>
      <c r="C110" s="72" t="str">
        <f aca="false">IF(OR($F$6&lt;&gt;"Sí",D110&lt;=0.5),"",EDATE($C$10,83))</f>
        <v/>
      </c>
      <c r="D110" s="41" t="n">
        <f aca="false">MAX(0,M109)</f>
        <v>0</v>
      </c>
      <c r="E110" s="41" t="n">
        <f aca="false">D110*$F$7</f>
        <v>0</v>
      </c>
      <c r="F110" s="41" t="n">
        <f aca="false">IF(D110&gt;0.5,N($C$15),0)</f>
        <v>0</v>
      </c>
      <c r="G110" s="41" t="n">
        <f aca="false">IF(AND(D110&gt;0.5,N($C$19)&gt;0,N(B110)&lt;=N($C$20)),D110*$F$8,0)</f>
        <v>0</v>
      </c>
      <c r="H110" s="41" t="n">
        <f aca="false">IF(D110&lt;=0.5,0,MIN(IF(N(I110)&gt;0,I110,$F$9),D110+E110+F110))</f>
        <v>0</v>
      </c>
      <c r="I110" s="77"/>
      <c r="J110" s="77"/>
      <c r="K110" s="41" t="n">
        <f aca="false">IF(D110&lt;=0.5,0,MIN(H110+N(J110),D110+E110+F110))</f>
        <v>0</v>
      </c>
      <c r="L110" s="41" t="n">
        <f aca="false">K110-E110-F110</f>
        <v>0</v>
      </c>
      <c r="M110" s="41" t="n">
        <f aca="false">D110-L110</f>
        <v>0</v>
      </c>
      <c r="N110" s="42" t="n">
        <f aca="false">K110-G110</f>
        <v>0</v>
      </c>
      <c r="O110" s="78"/>
      <c r="P110" s="79"/>
      <c r="Q110" s="16" t="str">
        <f aca="false">IF(K110=0,"",IF(R110=1,"Pagada",IF(C110&lt;$F$12,"Vencida",IF(84=$F$13,"Próxima","Pendiente"))))</f>
        <v/>
      </c>
      <c r="R110" s="62" t="n">
        <f aca="false">IF(AND(K110&gt;0,OR(O110="Sí",O110="Si")),1,0)</f>
        <v>0</v>
      </c>
      <c r="S110" s="62" t="n">
        <f aca="false">IF(AND(K110&gt;0,R110=0),1,0)</f>
        <v>0</v>
      </c>
    </row>
    <row r="111" customFormat="false" ht="15" hidden="false" customHeight="false" outlineLevel="0" collapsed="false">
      <c r="B111" s="71" t="str">
        <f aca="false">IF($F$6="Sí",N($C$11)+84,"")</f>
        <v/>
      </c>
      <c r="C111" s="72" t="str">
        <f aca="false">IF(OR($F$6&lt;&gt;"Sí",D111&lt;=0.5),"",EDATE($C$10,84))</f>
        <v/>
      </c>
      <c r="D111" s="41" t="n">
        <f aca="false">MAX(0,M110)</f>
        <v>0</v>
      </c>
      <c r="E111" s="41" t="n">
        <f aca="false">D111*$F$7</f>
        <v>0</v>
      </c>
      <c r="F111" s="41" t="n">
        <f aca="false">IF(D111&gt;0.5,N($C$15),0)</f>
        <v>0</v>
      </c>
      <c r="G111" s="41" t="n">
        <f aca="false">IF(AND(D111&gt;0.5,N($C$19)&gt;0,N(B111)&lt;=N($C$20)),D111*$F$8,0)</f>
        <v>0</v>
      </c>
      <c r="H111" s="41" t="n">
        <f aca="false">IF(D111&lt;=0.5,0,MIN(IF(N(I111)&gt;0,I111,$F$9),D111+E111+F111))</f>
        <v>0</v>
      </c>
      <c r="I111" s="77"/>
      <c r="J111" s="77"/>
      <c r="K111" s="41" t="n">
        <f aca="false">IF(D111&lt;=0.5,0,MIN(H111+N(J111),D111+E111+F111))</f>
        <v>0</v>
      </c>
      <c r="L111" s="41" t="n">
        <f aca="false">K111-E111-F111</f>
        <v>0</v>
      </c>
      <c r="M111" s="41" t="n">
        <f aca="false">D111-L111</f>
        <v>0</v>
      </c>
      <c r="N111" s="42" t="n">
        <f aca="false">K111-G111</f>
        <v>0</v>
      </c>
      <c r="O111" s="78"/>
      <c r="P111" s="79"/>
      <c r="Q111" s="16" t="str">
        <f aca="false">IF(K111=0,"",IF(R111=1,"Pagada",IF(C111&lt;$F$12,"Vencida",IF(85=$F$13,"Próxima","Pendiente"))))</f>
        <v/>
      </c>
      <c r="R111" s="62" t="n">
        <f aca="false">IF(AND(K111&gt;0,OR(O111="Sí",O111="Si")),1,0)</f>
        <v>0</v>
      </c>
      <c r="S111" s="62" t="n">
        <f aca="false">IF(AND(K111&gt;0,R111=0),1,0)</f>
        <v>0</v>
      </c>
    </row>
    <row r="112" customFormat="false" ht="15" hidden="false" customHeight="false" outlineLevel="0" collapsed="false">
      <c r="B112" s="71" t="str">
        <f aca="false">IF($F$6="Sí",N($C$11)+85,"")</f>
        <v/>
      </c>
      <c r="C112" s="72" t="str">
        <f aca="false">IF(OR($F$6&lt;&gt;"Sí",D112&lt;=0.5),"",EDATE($C$10,85))</f>
        <v/>
      </c>
      <c r="D112" s="41" t="n">
        <f aca="false">MAX(0,M111)</f>
        <v>0</v>
      </c>
      <c r="E112" s="41" t="n">
        <f aca="false">D112*$F$7</f>
        <v>0</v>
      </c>
      <c r="F112" s="41" t="n">
        <f aca="false">IF(D112&gt;0.5,N($C$15),0)</f>
        <v>0</v>
      </c>
      <c r="G112" s="41" t="n">
        <f aca="false">IF(AND(D112&gt;0.5,N($C$19)&gt;0,N(B112)&lt;=N($C$20)),D112*$F$8,0)</f>
        <v>0</v>
      </c>
      <c r="H112" s="41" t="n">
        <f aca="false">IF(D112&lt;=0.5,0,MIN(IF(N(I112)&gt;0,I112,$F$9),D112+E112+F112))</f>
        <v>0</v>
      </c>
      <c r="I112" s="77"/>
      <c r="J112" s="77"/>
      <c r="K112" s="41" t="n">
        <f aca="false">IF(D112&lt;=0.5,0,MIN(H112+N(J112),D112+E112+F112))</f>
        <v>0</v>
      </c>
      <c r="L112" s="41" t="n">
        <f aca="false">K112-E112-F112</f>
        <v>0</v>
      </c>
      <c r="M112" s="41" t="n">
        <f aca="false">D112-L112</f>
        <v>0</v>
      </c>
      <c r="N112" s="42" t="n">
        <f aca="false">K112-G112</f>
        <v>0</v>
      </c>
      <c r="O112" s="78"/>
      <c r="P112" s="79"/>
      <c r="Q112" s="16" t="str">
        <f aca="false">IF(K112=0,"",IF(R112=1,"Pagada",IF(C112&lt;$F$12,"Vencida",IF(86=$F$13,"Próxima","Pendiente"))))</f>
        <v/>
      </c>
      <c r="R112" s="62" t="n">
        <f aca="false">IF(AND(K112&gt;0,OR(O112="Sí",O112="Si")),1,0)</f>
        <v>0</v>
      </c>
      <c r="S112" s="62" t="n">
        <f aca="false">IF(AND(K112&gt;0,R112=0),1,0)</f>
        <v>0</v>
      </c>
    </row>
    <row r="113" customFormat="false" ht="15" hidden="false" customHeight="false" outlineLevel="0" collapsed="false">
      <c r="B113" s="71" t="str">
        <f aca="false">IF($F$6="Sí",N($C$11)+86,"")</f>
        <v/>
      </c>
      <c r="C113" s="72" t="str">
        <f aca="false">IF(OR($F$6&lt;&gt;"Sí",D113&lt;=0.5),"",EDATE($C$10,86))</f>
        <v/>
      </c>
      <c r="D113" s="41" t="n">
        <f aca="false">MAX(0,M112)</f>
        <v>0</v>
      </c>
      <c r="E113" s="41" t="n">
        <f aca="false">D113*$F$7</f>
        <v>0</v>
      </c>
      <c r="F113" s="41" t="n">
        <f aca="false">IF(D113&gt;0.5,N($C$15),0)</f>
        <v>0</v>
      </c>
      <c r="G113" s="41" t="n">
        <f aca="false">IF(AND(D113&gt;0.5,N($C$19)&gt;0,N(B113)&lt;=N($C$20)),D113*$F$8,0)</f>
        <v>0</v>
      </c>
      <c r="H113" s="41" t="n">
        <f aca="false">IF(D113&lt;=0.5,0,MIN(IF(N(I113)&gt;0,I113,$F$9),D113+E113+F113))</f>
        <v>0</v>
      </c>
      <c r="I113" s="77"/>
      <c r="J113" s="77"/>
      <c r="K113" s="41" t="n">
        <f aca="false">IF(D113&lt;=0.5,0,MIN(H113+N(J113),D113+E113+F113))</f>
        <v>0</v>
      </c>
      <c r="L113" s="41" t="n">
        <f aca="false">K113-E113-F113</f>
        <v>0</v>
      </c>
      <c r="M113" s="41" t="n">
        <f aca="false">D113-L113</f>
        <v>0</v>
      </c>
      <c r="N113" s="42" t="n">
        <f aca="false">K113-G113</f>
        <v>0</v>
      </c>
      <c r="O113" s="78"/>
      <c r="P113" s="79"/>
      <c r="Q113" s="16" t="str">
        <f aca="false">IF(K113=0,"",IF(R113=1,"Pagada",IF(C113&lt;$F$12,"Vencida",IF(87=$F$13,"Próxima","Pendiente"))))</f>
        <v/>
      </c>
      <c r="R113" s="62" t="n">
        <f aca="false">IF(AND(K113&gt;0,OR(O113="Sí",O113="Si")),1,0)</f>
        <v>0</v>
      </c>
      <c r="S113" s="62" t="n">
        <f aca="false">IF(AND(K113&gt;0,R113=0),1,0)</f>
        <v>0</v>
      </c>
    </row>
    <row r="114" customFormat="false" ht="15" hidden="false" customHeight="false" outlineLevel="0" collapsed="false">
      <c r="B114" s="71" t="str">
        <f aca="false">IF($F$6="Sí",N($C$11)+87,"")</f>
        <v/>
      </c>
      <c r="C114" s="72" t="str">
        <f aca="false">IF(OR($F$6&lt;&gt;"Sí",D114&lt;=0.5),"",EDATE($C$10,87))</f>
        <v/>
      </c>
      <c r="D114" s="41" t="n">
        <f aca="false">MAX(0,M113)</f>
        <v>0</v>
      </c>
      <c r="E114" s="41" t="n">
        <f aca="false">D114*$F$7</f>
        <v>0</v>
      </c>
      <c r="F114" s="41" t="n">
        <f aca="false">IF(D114&gt;0.5,N($C$15),0)</f>
        <v>0</v>
      </c>
      <c r="G114" s="41" t="n">
        <f aca="false">IF(AND(D114&gt;0.5,N($C$19)&gt;0,N(B114)&lt;=N($C$20)),D114*$F$8,0)</f>
        <v>0</v>
      </c>
      <c r="H114" s="41" t="n">
        <f aca="false">IF(D114&lt;=0.5,0,MIN(IF(N(I114)&gt;0,I114,$F$9),D114+E114+F114))</f>
        <v>0</v>
      </c>
      <c r="I114" s="77"/>
      <c r="J114" s="77"/>
      <c r="K114" s="41" t="n">
        <f aca="false">IF(D114&lt;=0.5,0,MIN(H114+N(J114),D114+E114+F114))</f>
        <v>0</v>
      </c>
      <c r="L114" s="41" t="n">
        <f aca="false">K114-E114-F114</f>
        <v>0</v>
      </c>
      <c r="M114" s="41" t="n">
        <f aca="false">D114-L114</f>
        <v>0</v>
      </c>
      <c r="N114" s="42" t="n">
        <f aca="false">K114-G114</f>
        <v>0</v>
      </c>
      <c r="O114" s="78"/>
      <c r="P114" s="79"/>
      <c r="Q114" s="16" t="str">
        <f aca="false">IF(K114=0,"",IF(R114=1,"Pagada",IF(C114&lt;$F$12,"Vencida",IF(88=$F$13,"Próxima","Pendiente"))))</f>
        <v/>
      </c>
      <c r="R114" s="62" t="n">
        <f aca="false">IF(AND(K114&gt;0,OR(O114="Sí",O114="Si")),1,0)</f>
        <v>0</v>
      </c>
      <c r="S114" s="62" t="n">
        <f aca="false">IF(AND(K114&gt;0,R114=0),1,0)</f>
        <v>0</v>
      </c>
    </row>
    <row r="115" customFormat="false" ht="15" hidden="false" customHeight="false" outlineLevel="0" collapsed="false">
      <c r="B115" s="71" t="str">
        <f aca="false">IF($F$6="Sí",N($C$11)+88,"")</f>
        <v/>
      </c>
      <c r="C115" s="72" t="str">
        <f aca="false">IF(OR($F$6&lt;&gt;"Sí",D115&lt;=0.5),"",EDATE($C$10,88))</f>
        <v/>
      </c>
      <c r="D115" s="41" t="n">
        <f aca="false">MAX(0,M114)</f>
        <v>0</v>
      </c>
      <c r="E115" s="41" t="n">
        <f aca="false">D115*$F$7</f>
        <v>0</v>
      </c>
      <c r="F115" s="41" t="n">
        <f aca="false">IF(D115&gt;0.5,N($C$15),0)</f>
        <v>0</v>
      </c>
      <c r="G115" s="41" t="n">
        <f aca="false">IF(AND(D115&gt;0.5,N($C$19)&gt;0,N(B115)&lt;=N($C$20)),D115*$F$8,0)</f>
        <v>0</v>
      </c>
      <c r="H115" s="41" t="n">
        <f aca="false">IF(D115&lt;=0.5,0,MIN(IF(N(I115)&gt;0,I115,$F$9),D115+E115+F115))</f>
        <v>0</v>
      </c>
      <c r="I115" s="77"/>
      <c r="J115" s="77"/>
      <c r="K115" s="41" t="n">
        <f aca="false">IF(D115&lt;=0.5,0,MIN(H115+N(J115),D115+E115+F115))</f>
        <v>0</v>
      </c>
      <c r="L115" s="41" t="n">
        <f aca="false">K115-E115-F115</f>
        <v>0</v>
      </c>
      <c r="M115" s="41" t="n">
        <f aca="false">D115-L115</f>
        <v>0</v>
      </c>
      <c r="N115" s="42" t="n">
        <f aca="false">K115-G115</f>
        <v>0</v>
      </c>
      <c r="O115" s="78"/>
      <c r="P115" s="79"/>
      <c r="Q115" s="16" t="str">
        <f aca="false">IF(K115=0,"",IF(R115=1,"Pagada",IF(C115&lt;$F$12,"Vencida",IF(89=$F$13,"Próxima","Pendiente"))))</f>
        <v/>
      </c>
      <c r="R115" s="62" t="n">
        <f aca="false">IF(AND(K115&gt;0,OR(O115="Sí",O115="Si")),1,0)</f>
        <v>0</v>
      </c>
      <c r="S115" s="62" t="n">
        <f aca="false">IF(AND(K115&gt;0,R115=0),1,0)</f>
        <v>0</v>
      </c>
    </row>
    <row r="116" customFormat="false" ht="15" hidden="false" customHeight="false" outlineLevel="0" collapsed="false">
      <c r="B116" s="71" t="str">
        <f aca="false">IF($F$6="Sí",N($C$11)+89,"")</f>
        <v/>
      </c>
      <c r="C116" s="72" t="str">
        <f aca="false">IF(OR($F$6&lt;&gt;"Sí",D116&lt;=0.5),"",EDATE($C$10,89))</f>
        <v/>
      </c>
      <c r="D116" s="41" t="n">
        <f aca="false">MAX(0,M115)</f>
        <v>0</v>
      </c>
      <c r="E116" s="41" t="n">
        <f aca="false">D116*$F$7</f>
        <v>0</v>
      </c>
      <c r="F116" s="41" t="n">
        <f aca="false">IF(D116&gt;0.5,N($C$15),0)</f>
        <v>0</v>
      </c>
      <c r="G116" s="41" t="n">
        <f aca="false">IF(AND(D116&gt;0.5,N($C$19)&gt;0,N(B116)&lt;=N($C$20)),D116*$F$8,0)</f>
        <v>0</v>
      </c>
      <c r="H116" s="41" t="n">
        <f aca="false">IF(D116&lt;=0.5,0,MIN(IF(N(I116)&gt;0,I116,$F$9),D116+E116+F116))</f>
        <v>0</v>
      </c>
      <c r="I116" s="77"/>
      <c r="J116" s="77"/>
      <c r="K116" s="41" t="n">
        <f aca="false">IF(D116&lt;=0.5,0,MIN(H116+N(J116),D116+E116+F116))</f>
        <v>0</v>
      </c>
      <c r="L116" s="41" t="n">
        <f aca="false">K116-E116-F116</f>
        <v>0</v>
      </c>
      <c r="M116" s="41" t="n">
        <f aca="false">D116-L116</f>
        <v>0</v>
      </c>
      <c r="N116" s="42" t="n">
        <f aca="false">K116-G116</f>
        <v>0</v>
      </c>
      <c r="O116" s="78"/>
      <c r="P116" s="79"/>
      <c r="Q116" s="16" t="str">
        <f aca="false">IF(K116=0,"",IF(R116=1,"Pagada",IF(C116&lt;$F$12,"Vencida",IF(90=$F$13,"Próxima","Pendiente"))))</f>
        <v/>
      </c>
      <c r="R116" s="62" t="n">
        <f aca="false">IF(AND(K116&gt;0,OR(O116="Sí",O116="Si")),1,0)</f>
        <v>0</v>
      </c>
      <c r="S116" s="62" t="n">
        <f aca="false">IF(AND(K116&gt;0,R116=0),1,0)</f>
        <v>0</v>
      </c>
    </row>
    <row r="117" customFormat="false" ht="15" hidden="false" customHeight="false" outlineLevel="0" collapsed="false">
      <c r="B117" s="71" t="str">
        <f aca="false">IF($F$6="Sí",N($C$11)+90,"")</f>
        <v/>
      </c>
      <c r="C117" s="72" t="str">
        <f aca="false">IF(OR($F$6&lt;&gt;"Sí",D117&lt;=0.5),"",EDATE($C$10,90))</f>
        <v/>
      </c>
      <c r="D117" s="41" t="n">
        <f aca="false">MAX(0,M116)</f>
        <v>0</v>
      </c>
      <c r="E117" s="41" t="n">
        <f aca="false">D117*$F$7</f>
        <v>0</v>
      </c>
      <c r="F117" s="41" t="n">
        <f aca="false">IF(D117&gt;0.5,N($C$15),0)</f>
        <v>0</v>
      </c>
      <c r="G117" s="41" t="n">
        <f aca="false">IF(AND(D117&gt;0.5,N($C$19)&gt;0,N(B117)&lt;=N($C$20)),D117*$F$8,0)</f>
        <v>0</v>
      </c>
      <c r="H117" s="41" t="n">
        <f aca="false">IF(D117&lt;=0.5,0,MIN(IF(N(I117)&gt;0,I117,$F$9),D117+E117+F117))</f>
        <v>0</v>
      </c>
      <c r="I117" s="77"/>
      <c r="J117" s="77"/>
      <c r="K117" s="41" t="n">
        <f aca="false">IF(D117&lt;=0.5,0,MIN(H117+N(J117),D117+E117+F117))</f>
        <v>0</v>
      </c>
      <c r="L117" s="41" t="n">
        <f aca="false">K117-E117-F117</f>
        <v>0</v>
      </c>
      <c r="M117" s="41" t="n">
        <f aca="false">D117-L117</f>
        <v>0</v>
      </c>
      <c r="N117" s="42" t="n">
        <f aca="false">K117-G117</f>
        <v>0</v>
      </c>
      <c r="O117" s="78"/>
      <c r="P117" s="79"/>
      <c r="Q117" s="16" t="str">
        <f aca="false">IF(K117=0,"",IF(R117=1,"Pagada",IF(C117&lt;$F$12,"Vencida",IF(91=$F$13,"Próxima","Pendiente"))))</f>
        <v/>
      </c>
      <c r="R117" s="62" t="n">
        <f aca="false">IF(AND(K117&gt;0,OR(O117="Sí",O117="Si")),1,0)</f>
        <v>0</v>
      </c>
      <c r="S117" s="62" t="n">
        <f aca="false">IF(AND(K117&gt;0,R117=0),1,0)</f>
        <v>0</v>
      </c>
    </row>
    <row r="118" customFormat="false" ht="15" hidden="false" customHeight="false" outlineLevel="0" collapsed="false">
      <c r="B118" s="71" t="str">
        <f aca="false">IF($F$6="Sí",N($C$11)+91,"")</f>
        <v/>
      </c>
      <c r="C118" s="72" t="str">
        <f aca="false">IF(OR($F$6&lt;&gt;"Sí",D118&lt;=0.5),"",EDATE($C$10,91))</f>
        <v/>
      </c>
      <c r="D118" s="41" t="n">
        <f aca="false">MAX(0,M117)</f>
        <v>0</v>
      </c>
      <c r="E118" s="41" t="n">
        <f aca="false">D118*$F$7</f>
        <v>0</v>
      </c>
      <c r="F118" s="41" t="n">
        <f aca="false">IF(D118&gt;0.5,N($C$15),0)</f>
        <v>0</v>
      </c>
      <c r="G118" s="41" t="n">
        <f aca="false">IF(AND(D118&gt;0.5,N($C$19)&gt;0,N(B118)&lt;=N($C$20)),D118*$F$8,0)</f>
        <v>0</v>
      </c>
      <c r="H118" s="41" t="n">
        <f aca="false">IF(D118&lt;=0.5,0,MIN(IF(N(I118)&gt;0,I118,$F$9),D118+E118+F118))</f>
        <v>0</v>
      </c>
      <c r="I118" s="77"/>
      <c r="J118" s="77"/>
      <c r="K118" s="41" t="n">
        <f aca="false">IF(D118&lt;=0.5,0,MIN(H118+N(J118),D118+E118+F118))</f>
        <v>0</v>
      </c>
      <c r="L118" s="41" t="n">
        <f aca="false">K118-E118-F118</f>
        <v>0</v>
      </c>
      <c r="M118" s="41" t="n">
        <f aca="false">D118-L118</f>
        <v>0</v>
      </c>
      <c r="N118" s="42" t="n">
        <f aca="false">K118-G118</f>
        <v>0</v>
      </c>
      <c r="O118" s="78"/>
      <c r="P118" s="79"/>
      <c r="Q118" s="16" t="str">
        <f aca="false">IF(K118=0,"",IF(R118=1,"Pagada",IF(C118&lt;$F$12,"Vencida",IF(92=$F$13,"Próxima","Pendiente"))))</f>
        <v/>
      </c>
      <c r="R118" s="62" t="n">
        <f aca="false">IF(AND(K118&gt;0,OR(O118="Sí",O118="Si")),1,0)</f>
        <v>0</v>
      </c>
      <c r="S118" s="62" t="n">
        <f aca="false">IF(AND(K118&gt;0,R118=0),1,0)</f>
        <v>0</v>
      </c>
    </row>
    <row r="119" customFormat="false" ht="15" hidden="false" customHeight="false" outlineLevel="0" collapsed="false">
      <c r="B119" s="71" t="str">
        <f aca="false">IF($F$6="Sí",N($C$11)+92,"")</f>
        <v/>
      </c>
      <c r="C119" s="72" t="str">
        <f aca="false">IF(OR($F$6&lt;&gt;"Sí",D119&lt;=0.5),"",EDATE($C$10,92))</f>
        <v/>
      </c>
      <c r="D119" s="41" t="n">
        <f aca="false">MAX(0,M118)</f>
        <v>0</v>
      </c>
      <c r="E119" s="41" t="n">
        <f aca="false">D119*$F$7</f>
        <v>0</v>
      </c>
      <c r="F119" s="41" t="n">
        <f aca="false">IF(D119&gt;0.5,N($C$15),0)</f>
        <v>0</v>
      </c>
      <c r="G119" s="41" t="n">
        <f aca="false">IF(AND(D119&gt;0.5,N($C$19)&gt;0,N(B119)&lt;=N($C$20)),D119*$F$8,0)</f>
        <v>0</v>
      </c>
      <c r="H119" s="41" t="n">
        <f aca="false">IF(D119&lt;=0.5,0,MIN(IF(N(I119)&gt;0,I119,$F$9),D119+E119+F119))</f>
        <v>0</v>
      </c>
      <c r="I119" s="77"/>
      <c r="J119" s="77"/>
      <c r="K119" s="41" t="n">
        <f aca="false">IF(D119&lt;=0.5,0,MIN(H119+N(J119),D119+E119+F119))</f>
        <v>0</v>
      </c>
      <c r="L119" s="41" t="n">
        <f aca="false">K119-E119-F119</f>
        <v>0</v>
      </c>
      <c r="M119" s="41" t="n">
        <f aca="false">D119-L119</f>
        <v>0</v>
      </c>
      <c r="N119" s="42" t="n">
        <f aca="false">K119-G119</f>
        <v>0</v>
      </c>
      <c r="O119" s="78"/>
      <c r="P119" s="79"/>
      <c r="Q119" s="16" t="str">
        <f aca="false">IF(K119=0,"",IF(R119=1,"Pagada",IF(C119&lt;$F$12,"Vencida",IF(93=$F$13,"Próxima","Pendiente"))))</f>
        <v/>
      </c>
      <c r="R119" s="62" t="n">
        <f aca="false">IF(AND(K119&gt;0,OR(O119="Sí",O119="Si")),1,0)</f>
        <v>0</v>
      </c>
      <c r="S119" s="62" t="n">
        <f aca="false">IF(AND(K119&gt;0,R119=0),1,0)</f>
        <v>0</v>
      </c>
    </row>
    <row r="120" customFormat="false" ht="15" hidden="false" customHeight="false" outlineLevel="0" collapsed="false">
      <c r="B120" s="71" t="str">
        <f aca="false">IF($F$6="Sí",N($C$11)+93,"")</f>
        <v/>
      </c>
      <c r="C120" s="72" t="str">
        <f aca="false">IF(OR($F$6&lt;&gt;"Sí",D120&lt;=0.5),"",EDATE($C$10,93))</f>
        <v/>
      </c>
      <c r="D120" s="41" t="n">
        <f aca="false">MAX(0,M119)</f>
        <v>0</v>
      </c>
      <c r="E120" s="41" t="n">
        <f aca="false">D120*$F$7</f>
        <v>0</v>
      </c>
      <c r="F120" s="41" t="n">
        <f aca="false">IF(D120&gt;0.5,N($C$15),0)</f>
        <v>0</v>
      </c>
      <c r="G120" s="41" t="n">
        <f aca="false">IF(AND(D120&gt;0.5,N($C$19)&gt;0,N(B120)&lt;=N($C$20)),D120*$F$8,0)</f>
        <v>0</v>
      </c>
      <c r="H120" s="41" t="n">
        <f aca="false">IF(D120&lt;=0.5,0,MIN(IF(N(I120)&gt;0,I120,$F$9),D120+E120+F120))</f>
        <v>0</v>
      </c>
      <c r="I120" s="77"/>
      <c r="J120" s="77"/>
      <c r="K120" s="41" t="n">
        <f aca="false">IF(D120&lt;=0.5,0,MIN(H120+N(J120),D120+E120+F120))</f>
        <v>0</v>
      </c>
      <c r="L120" s="41" t="n">
        <f aca="false">K120-E120-F120</f>
        <v>0</v>
      </c>
      <c r="M120" s="41" t="n">
        <f aca="false">D120-L120</f>
        <v>0</v>
      </c>
      <c r="N120" s="42" t="n">
        <f aca="false">K120-G120</f>
        <v>0</v>
      </c>
      <c r="O120" s="78"/>
      <c r="P120" s="79"/>
      <c r="Q120" s="16" t="str">
        <f aca="false">IF(K120=0,"",IF(R120=1,"Pagada",IF(C120&lt;$F$12,"Vencida",IF(94=$F$13,"Próxima","Pendiente"))))</f>
        <v/>
      </c>
      <c r="R120" s="62" t="n">
        <f aca="false">IF(AND(K120&gt;0,OR(O120="Sí",O120="Si")),1,0)</f>
        <v>0</v>
      </c>
      <c r="S120" s="62" t="n">
        <f aca="false">IF(AND(K120&gt;0,R120=0),1,0)</f>
        <v>0</v>
      </c>
    </row>
    <row r="121" customFormat="false" ht="15" hidden="false" customHeight="false" outlineLevel="0" collapsed="false">
      <c r="B121" s="71" t="str">
        <f aca="false">IF($F$6="Sí",N($C$11)+94,"")</f>
        <v/>
      </c>
      <c r="C121" s="72" t="str">
        <f aca="false">IF(OR($F$6&lt;&gt;"Sí",D121&lt;=0.5),"",EDATE($C$10,94))</f>
        <v/>
      </c>
      <c r="D121" s="41" t="n">
        <f aca="false">MAX(0,M120)</f>
        <v>0</v>
      </c>
      <c r="E121" s="41" t="n">
        <f aca="false">D121*$F$7</f>
        <v>0</v>
      </c>
      <c r="F121" s="41" t="n">
        <f aca="false">IF(D121&gt;0.5,N($C$15),0)</f>
        <v>0</v>
      </c>
      <c r="G121" s="41" t="n">
        <f aca="false">IF(AND(D121&gt;0.5,N($C$19)&gt;0,N(B121)&lt;=N($C$20)),D121*$F$8,0)</f>
        <v>0</v>
      </c>
      <c r="H121" s="41" t="n">
        <f aca="false">IF(D121&lt;=0.5,0,MIN(IF(N(I121)&gt;0,I121,$F$9),D121+E121+F121))</f>
        <v>0</v>
      </c>
      <c r="I121" s="77"/>
      <c r="J121" s="77"/>
      <c r="K121" s="41" t="n">
        <f aca="false">IF(D121&lt;=0.5,0,MIN(H121+N(J121),D121+E121+F121))</f>
        <v>0</v>
      </c>
      <c r="L121" s="41" t="n">
        <f aca="false">K121-E121-F121</f>
        <v>0</v>
      </c>
      <c r="M121" s="41" t="n">
        <f aca="false">D121-L121</f>
        <v>0</v>
      </c>
      <c r="N121" s="42" t="n">
        <f aca="false">K121-G121</f>
        <v>0</v>
      </c>
      <c r="O121" s="78"/>
      <c r="P121" s="79"/>
      <c r="Q121" s="16" t="str">
        <f aca="false">IF(K121=0,"",IF(R121=1,"Pagada",IF(C121&lt;$F$12,"Vencida",IF(95=$F$13,"Próxima","Pendiente"))))</f>
        <v/>
      </c>
      <c r="R121" s="62" t="n">
        <f aca="false">IF(AND(K121&gt;0,OR(O121="Sí",O121="Si")),1,0)</f>
        <v>0</v>
      </c>
      <c r="S121" s="62" t="n">
        <f aca="false">IF(AND(K121&gt;0,R121=0),1,0)</f>
        <v>0</v>
      </c>
    </row>
    <row r="122" customFormat="false" ht="15" hidden="false" customHeight="false" outlineLevel="0" collapsed="false">
      <c r="B122" s="71" t="str">
        <f aca="false">IF($F$6="Sí",N($C$11)+95,"")</f>
        <v/>
      </c>
      <c r="C122" s="72" t="str">
        <f aca="false">IF(OR($F$6&lt;&gt;"Sí",D122&lt;=0.5),"",EDATE($C$10,95))</f>
        <v/>
      </c>
      <c r="D122" s="41" t="n">
        <f aca="false">MAX(0,M121)</f>
        <v>0</v>
      </c>
      <c r="E122" s="41" t="n">
        <f aca="false">D122*$F$7</f>
        <v>0</v>
      </c>
      <c r="F122" s="41" t="n">
        <f aca="false">IF(D122&gt;0.5,N($C$15),0)</f>
        <v>0</v>
      </c>
      <c r="G122" s="41" t="n">
        <f aca="false">IF(AND(D122&gt;0.5,N($C$19)&gt;0,N(B122)&lt;=N($C$20)),D122*$F$8,0)</f>
        <v>0</v>
      </c>
      <c r="H122" s="41" t="n">
        <f aca="false">IF(D122&lt;=0.5,0,MIN(IF(N(I122)&gt;0,I122,$F$9),D122+E122+F122))</f>
        <v>0</v>
      </c>
      <c r="I122" s="77"/>
      <c r="J122" s="77"/>
      <c r="K122" s="41" t="n">
        <f aca="false">IF(D122&lt;=0.5,0,MIN(H122+N(J122),D122+E122+F122))</f>
        <v>0</v>
      </c>
      <c r="L122" s="41" t="n">
        <f aca="false">K122-E122-F122</f>
        <v>0</v>
      </c>
      <c r="M122" s="41" t="n">
        <f aca="false">D122-L122</f>
        <v>0</v>
      </c>
      <c r="N122" s="42" t="n">
        <f aca="false">K122-G122</f>
        <v>0</v>
      </c>
      <c r="O122" s="78"/>
      <c r="P122" s="79"/>
      <c r="Q122" s="16" t="str">
        <f aca="false">IF(K122=0,"",IF(R122=1,"Pagada",IF(C122&lt;$F$12,"Vencida",IF(96=$F$13,"Próxima","Pendiente"))))</f>
        <v/>
      </c>
      <c r="R122" s="62" t="n">
        <f aca="false">IF(AND(K122&gt;0,OR(O122="Sí",O122="Si")),1,0)</f>
        <v>0</v>
      </c>
      <c r="S122" s="62" t="n">
        <f aca="false">IF(AND(K122&gt;0,R122=0),1,0)</f>
        <v>0</v>
      </c>
    </row>
    <row r="123" customFormat="false" ht="15" hidden="false" customHeight="false" outlineLevel="0" collapsed="false">
      <c r="B123" s="71" t="str">
        <f aca="false">IF($F$6="Sí",N($C$11)+96,"")</f>
        <v/>
      </c>
      <c r="C123" s="72" t="str">
        <f aca="false">IF(OR($F$6&lt;&gt;"Sí",D123&lt;=0.5),"",EDATE($C$10,96))</f>
        <v/>
      </c>
      <c r="D123" s="41" t="n">
        <f aca="false">MAX(0,M122)</f>
        <v>0</v>
      </c>
      <c r="E123" s="41" t="n">
        <f aca="false">D123*$F$7</f>
        <v>0</v>
      </c>
      <c r="F123" s="41" t="n">
        <f aca="false">IF(D123&gt;0.5,N($C$15),0)</f>
        <v>0</v>
      </c>
      <c r="G123" s="41" t="n">
        <f aca="false">IF(AND(D123&gt;0.5,N($C$19)&gt;0,N(B123)&lt;=N($C$20)),D123*$F$8,0)</f>
        <v>0</v>
      </c>
      <c r="H123" s="41" t="n">
        <f aca="false">IF(D123&lt;=0.5,0,MIN(IF(N(I123)&gt;0,I123,$F$9),D123+E123+F123))</f>
        <v>0</v>
      </c>
      <c r="I123" s="77"/>
      <c r="J123" s="77"/>
      <c r="K123" s="41" t="n">
        <f aca="false">IF(D123&lt;=0.5,0,MIN(H123+N(J123),D123+E123+F123))</f>
        <v>0</v>
      </c>
      <c r="L123" s="41" t="n">
        <f aca="false">K123-E123-F123</f>
        <v>0</v>
      </c>
      <c r="M123" s="41" t="n">
        <f aca="false">D123-L123</f>
        <v>0</v>
      </c>
      <c r="N123" s="42" t="n">
        <f aca="false">K123-G123</f>
        <v>0</v>
      </c>
      <c r="O123" s="78"/>
      <c r="P123" s="79"/>
      <c r="Q123" s="16" t="str">
        <f aca="false">IF(K123=0,"",IF(R123=1,"Pagada",IF(C123&lt;$F$12,"Vencida",IF(97=$F$13,"Próxima","Pendiente"))))</f>
        <v/>
      </c>
      <c r="R123" s="62" t="n">
        <f aca="false">IF(AND(K123&gt;0,OR(O123="Sí",O123="Si")),1,0)</f>
        <v>0</v>
      </c>
      <c r="S123" s="62" t="n">
        <f aca="false">IF(AND(K123&gt;0,R123=0),1,0)</f>
        <v>0</v>
      </c>
    </row>
    <row r="124" customFormat="false" ht="15" hidden="false" customHeight="false" outlineLevel="0" collapsed="false">
      <c r="B124" s="71" t="str">
        <f aca="false">IF($F$6="Sí",N($C$11)+97,"")</f>
        <v/>
      </c>
      <c r="C124" s="72" t="str">
        <f aca="false">IF(OR($F$6&lt;&gt;"Sí",D124&lt;=0.5),"",EDATE($C$10,97))</f>
        <v/>
      </c>
      <c r="D124" s="41" t="n">
        <f aca="false">MAX(0,M123)</f>
        <v>0</v>
      </c>
      <c r="E124" s="41" t="n">
        <f aca="false">D124*$F$7</f>
        <v>0</v>
      </c>
      <c r="F124" s="41" t="n">
        <f aca="false">IF(D124&gt;0.5,N($C$15),0)</f>
        <v>0</v>
      </c>
      <c r="G124" s="41" t="n">
        <f aca="false">IF(AND(D124&gt;0.5,N($C$19)&gt;0,N(B124)&lt;=N($C$20)),D124*$F$8,0)</f>
        <v>0</v>
      </c>
      <c r="H124" s="41" t="n">
        <f aca="false">IF(D124&lt;=0.5,0,MIN(IF(N(I124)&gt;0,I124,$F$9),D124+E124+F124))</f>
        <v>0</v>
      </c>
      <c r="I124" s="77"/>
      <c r="J124" s="77"/>
      <c r="K124" s="41" t="n">
        <f aca="false">IF(D124&lt;=0.5,0,MIN(H124+N(J124),D124+E124+F124))</f>
        <v>0</v>
      </c>
      <c r="L124" s="41" t="n">
        <f aca="false">K124-E124-F124</f>
        <v>0</v>
      </c>
      <c r="M124" s="41" t="n">
        <f aca="false">D124-L124</f>
        <v>0</v>
      </c>
      <c r="N124" s="42" t="n">
        <f aca="false">K124-G124</f>
        <v>0</v>
      </c>
      <c r="O124" s="78"/>
      <c r="P124" s="79"/>
      <c r="Q124" s="16" t="str">
        <f aca="false">IF(K124=0,"",IF(R124=1,"Pagada",IF(C124&lt;$F$12,"Vencida",IF(98=$F$13,"Próxima","Pendiente"))))</f>
        <v/>
      </c>
      <c r="R124" s="62" t="n">
        <f aca="false">IF(AND(K124&gt;0,OR(O124="Sí",O124="Si")),1,0)</f>
        <v>0</v>
      </c>
      <c r="S124" s="62" t="n">
        <f aca="false">IF(AND(K124&gt;0,R124=0),1,0)</f>
        <v>0</v>
      </c>
    </row>
    <row r="125" customFormat="false" ht="15" hidden="false" customHeight="false" outlineLevel="0" collapsed="false">
      <c r="B125" s="71" t="str">
        <f aca="false">IF($F$6="Sí",N($C$11)+98,"")</f>
        <v/>
      </c>
      <c r="C125" s="72" t="str">
        <f aca="false">IF(OR($F$6&lt;&gt;"Sí",D125&lt;=0.5),"",EDATE($C$10,98))</f>
        <v/>
      </c>
      <c r="D125" s="41" t="n">
        <f aca="false">MAX(0,M124)</f>
        <v>0</v>
      </c>
      <c r="E125" s="41" t="n">
        <f aca="false">D125*$F$7</f>
        <v>0</v>
      </c>
      <c r="F125" s="41" t="n">
        <f aca="false">IF(D125&gt;0.5,N($C$15),0)</f>
        <v>0</v>
      </c>
      <c r="G125" s="41" t="n">
        <f aca="false">IF(AND(D125&gt;0.5,N($C$19)&gt;0,N(B125)&lt;=N($C$20)),D125*$F$8,0)</f>
        <v>0</v>
      </c>
      <c r="H125" s="41" t="n">
        <f aca="false">IF(D125&lt;=0.5,0,MIN(IF(N(I125)&gt;0,I125,$F$9),D125+E125+F125))</f>
        <v>0</v>
      </c>
      <c r="I125" s="77"/>
      <c r="J125" s="77"/>
      <c r="K125" s="41" t="n">
        <f aca="false">IF(D125&lt;=0.5,0,MIN(H125+N(J125),D125+E125+F125))</f>
        <v>0</v>
      </c>
      <c r="L125" s="41" t="n">
        <f aca="false">K125-E125-F125</f>
        <v>0</v>
      </c>
      <c r="M125" s="41" t="n">
        <f aca="false">D125-L125</f>
        <v>0</v>
      </c>
      <c r="N125" s="42" t="n">
        <f aca="false">K125-G125</f>
        <v>0</v>
      </c>
      <c r="O125" s="78"/>
      <c r="P125" s="79"/>
      <c r="Q125" s="16" t="str">
        <f aca="false">IF(K125=0,"",IF(R125=1,"Pagada",IF(C125&lt;$F$12,"Vencida",IF(99=$F$13,"Próxima","Pendiente"))))</f>
        <v/>
      </c>
      <c r="R125" s="62" t="n">
        <f aca="false">IF(AND(K125&gt;0,OR(O125="Sí",O125="Si")),1,0)</f>
        <v>0</v>
      </c>
      <c r="S125" s="62" t="n">
        <f aca="false">IF(AND(K125&gt;0,R125=0),1,0)</f>
        <v>0</v>
      </c>
    </row>
    <row r="126" customFormat="false" ht="15" hidden="false" customHeight="false" outlineLevel="0" collapsed="false">
      <c r="B126" s="71" t="str">
        <f aca="false">IF($F$6="Sí",N($C$11)+99,"")</f>
        <v/>
      </c>
      <c r="C126" s="72" t="str">
        <f aca="false">IF(OR($F$6&lt;&gt;"Sí",D126&lt;=0.5),"",EDATE($C$10,99))</f>
        <v/>
      </c>
      <c r="D126" s="41" t="n">
        <f aca="false">MAX(0,M125)</f>
        <v>0</v>
      </c>
      <c r="E126" s="41" t="n">
        <f aca="false">D126*$F$7</f>
        <v>0</v>
      </c>
      <c r="F126" s="41" t="n">
        <f aca="false">IF(D126&gt;0.5,N($C$15),0)</f>
        <v>0</v>
      </c>
      <c r="G126" s="41" t="n">
        <f aca="false">IF(AND(D126&gt;0.5,N($C$19)&gt;0,N(B126)&lt;=N($C$20)),D126*$F$8,0)</f>
        <v>0</v>
      </c>
      <c r="H126" s="41" t="n">
        <f aca="false">IF(D126&lt;=0.5,0,MIN(IF(N(I126)&gt;0,I126,$F$9),D126+E126+F126))</f>
        <v>0</v>
      </c>
      <c r="I126" s="77"/>
      <c r="J126" s="77"/>
      <c r="K126" s="41" t="n">
        <f aca="false">IF(D126&lt;=0.5,0,MIN(H126+N(J126),D126+E126+F126))</f>
        <v>0</v>
      </c>
      <c r="L126" s="41" t="n">
        <f aca="false">K126-E126-F126</f>
        <v>0</v>
      </c>
      <c r="M126" s="41" t="n">
        <f aca="false">D126-L126</f>
        <v>0</v>
      </c>
      <c r="N126" s="42" t="n">
        <f aca="false">K126-G126</f>
        <v>0</v>
      </c>
      <c r="O126" s="78"/>
      <c r="P126" s="79"/>
      <c r="Q126" s="16" t="str">
        <f aca="false">IF(K126=0,"",IF(R126=1,"Pagada",IF(C126&lt;$F$12,"Vencida",IF(100=$F$13,"Próxima","Pendiente"))))</f>
        <v/>
      </c>
      <c r="R126" s="62" t="n">
        <f aca="false">IF(AND(K126&gt;0,OR(O126="Sí",O126="Si")),1,0)</f>
        <v>0</v>
      </c>
      <c r="S126" s="62" t="n">
        <f aca="false">IF(AND(K126&gt;0,R126=0),1,0)</f>
        <v>0</v>
      </c>
    </row>
    <row r="127" customFormat="false" ht="15" hidden="false" customHeight="false" outlineLevel="0" collapsed="false">
      <c r="B127" s="71" t="str">
        <f aca="false">IF($F$6="Sí",N($C$11)+100,"")</f>
        <v/>
      </c>
      <c r="C127" s="72" t="str">
        <f aca="false">IF(OR($F$6&lt;&gt;"Sí",D127&lt;=0.5),"",EDATE($C$10,100))</f>
        <v/>
      </c>
      <c r="D127" s="41" t="n">
        <f aca="false">MAX(0,M126)</f>
        <v>0</v>
      </c>
      <c r="E127" s="41" t="n">
        <f aca="false">D127*$F$7</f>
        <v>0</v>
      </c>
      <c r="F127" s="41" t="n">
        <f aca="false">IF(D127&gt;0.5,N($C$15),0)</f>
        <v>0</v>
      </c>
      <c r="G127" s="41" t="n">
        <f aca="false">IF(AND(D127&gt;0.5,N($C$19)&gt;0,N(B127)&lt;=N($C$20)),D127*$F$8,0)</f>
        <v>0</v>
      </c>
      <c r="H127" s="41" t="n">
        <f aca="false">IF(D127&lt;=0.5,0,MIN(IF(N(I127)&gt;0,I127,$F$9),D127+E127+F127))</f>
        <v>0</v>
      </c>
      <c r="I127" s="77"/>
      <c r="J127" s="77"/>
      <c r="K127" s="41" t="n">
        <f aca="false">IF(D127&lt;=0.5,0,MIN(H127+N(J127),D127+E127+F127))</f>
        <v>0</v>
      </c>
      <c r="L127" s="41" t="n">
        <f aca="false">K127-E127-F127</f>
        <v>0</v>
      </c>
      <c r="M127" s="41" t="n">
        <f aca="false">D127-L127</f>
        <v>0</v>
      </c>
      <c r="N127" s="42" t="n">
        <f aca="false">K127-G127</f>
        <v>0</v>
      </c>
      <c r="O127" s="78"/>
      <c r="P127" s="79"/>
      <c r="Q127" s="16" t="str">
        <f aca="false">IF(K127=0,"",IF(R127=1,"Pagada",IF(C127&lt;$F$12,"Vencida",IF(101=$F$13,"Próxima","Pendiente"))))</f>
        <v/>
      </c>
      <c r="R127" s="62" t="n">
        <f aca="false">IF(AND(K127&gt;0,OR(O127="Sí",O127="Si")),1,0)</f>
        <v>0</v>
      </c>
      <c r="S127" s="62" t="n">
        <f aca="false">IF(AND(K127&gt;0,R127=0),1,0)</f>
        <v>0</v>
      </c>
    </row>
    <row r="128" customFormat="false" ht="15" hidden="false" customHeight="false" outlineLevel="0" collapsed="false">
      <c r="B128" s="71" t="str">
        <f aca="false">IF($F$6="Sí",N($C$11)+101,"")</f>
        <v/>
      </c>
      <c r="C128" s="72" t="str">
        <f aca="false">IF(OR($F$6&lt;&gt;"Sí",D128&lt;=0.5),"",EDATE($C$10,101))</f>
        <v/>
      </c>
      <c r="D128" s="41" t="n">
        <f aca="false">MAX(0,M127)</f>
        <v>0</v>
      </c>
      <c r="E128" s="41" t="n">
        <f aca="false">D128*$F$7</f>
        <v>0</v>
      </c>
      <c r="F128" s="41" t="n">
        <f aca="false">IF(D128&gt;0.5,N($C$15),0)</f>
        <v>0</v>
      </c>
      <c r="G128" s="41" t="n">
        <f aca="false">IF(AND(D128&gt;0.5,N($C$19)&gt;0,N(B128)&lt;=N($C$20)),D128*$F$8,0)</f>
        <v>0</v>
      </c>
      <c r="H128" s="41" t="n">
        <f aca="false">IF(D128&lt;=0.5,0,MIN(IF(N(I128)&gt;0,I128,$F$9),D128+E128+F128))</f>
        <v>0</v>
      </c>
      <c r="I128" s="77"/>
      <c r="J128" s="77"/>
      <c r="K128" s="41" t="n">
        <f aca="false">IF(D128&lt;=0.5,0,MIN(H128+N(J128),D128+E128+F128))</f>
        <v>0</v>
      </c>
      <c r="L128" s="41" t="n">
        <f aca="false">K128-E128-F128</f>
        <v>0</v>
      </c>
      <c r="M128" s="41" t="n">
        <f aca="false">D128-L128</f>
        <v>0</v>
      </c>
      <c r="N128" s="42" t="n">
        <f aca="false">K128-G128</f>
        <v>0</v>
      </c>
      <c r="O128" s="78"/>
      <c r="P128" s="79"/>
      <c r="Q128" s="16" t="str">
        <f aca="false">IF(K128=0,"",IF(R128=1,"Pagada",IF(C128&lt;$F$12,"Vencida",IF(102=$F$13,"Próxima","Pendiente"))))</f>
        <v/>
      </c>
      <c r="R128" s="62" t="n">
        <f aca="false">IF(AND(K128&gt;0,OR(O128="Sí",O128="Si")),1,0)</f>
        <v>0</v>
      </c>
      <c r="S128" s="62" t="n">
        <f aca="false">IF(AND(K128&gt;0,R128=0),1,0)</f>
        <v>0</v>
      </c>
    </row>
    <row r="129" customFormat="false" ht="15" hidden="false" customHeight="false" outlineLevel="0" collapsed="false">
      <c r="B129" s="71" t="str">
        <f aca="false">IF($F$6="Sí",N($C$11)+102,"")</f>
        <v/>
      </c>
      <c r="C129" s="72" t="str">
        <f aca="false">IF(OR($F$6&lt;&gt;"Sí",D129&lt;=0.5),"",EDATE($C$10,102))</f>
        <v/>
      </c>
      <c r="D129" s="41" t="n">
        <f aca="false">MAX(0,M128)</f>
        <v>0</v>
      </c>
      <c r="E129" s="41" t="n">
        <f aca="false">D129*$F$7</f>
        <v>0</v>
      </c>
      <c r="F129" s="41" t="n">
        <f aca="false">IF(D129&gt;0.5,N($C$15),0)</f>
        <v>0</v>
      </c>
      <c r="G129" s="41" t="n">
        <f aca="false">IF(AND(D129&gt;0.5,N($C$19)&gt;0,N(B129)&lt;=N($C$20)),D129*$F$8,0)</f>
        <v>0</v>
      </c>
      <c r="H129" s="41" t="n">
        <f aca="false">IF(D129&lt;=0.5,0,MIN(IF(N(I129)&gt;0,I129,$F$9),D129+E129+F129))</f>
        <v>0</v>
      </c>
      <c r="I129" s="77"/>
      <c r="J129" s="77"/>
      <c r="K129" s="41" t="n">
        <f aca="false">IF(D129&lt;=0.5,0,MIN(H129+N(J129),D129+E129+F129))</f>
        <v>0</v>
      </c>
      <c r="L129" s="41" t="n">
        <f aca="false">K129-E129-F129</f>
        <v>0</v>
      </c>
      <c r="M129" s="41" t="n">
        <f aca="false">D129-L129</f>
        <v>0</v>
      </c>
      <c r="N129" s="42" t="n">
        <f aca="false">K129-G129</f>
        <v>0</v>
      </c>
      <c r="O129" s="78"/>
      <c r="P129" s="79"/>
      <c r="Q129" s="16" t="str">
        <f aca="false">IF(K129=0,"",IF(R129=1,"Pagada",IF(C129&lt;$F$12,"Vencida",IF(103=$F$13,"Próxima","Pendiente"))))</f>
        <v/>
      </c>
      <c r="R129" s="62" t="n">
        <f aca="false">IF(AND(K129&gt;0,OR(O129="Sí",O129="Si")),1,0)</f>
        <v>0</v>
      </c>
      <c r="S129" s="62" t="n">
        <f aca="false">IF(AND(K129&gt;0,R129=0),1,0)</f>
        <v>0</v>
      </c>
    </row>
    <row r="130" customFormat="false" ht="15" hidden="false" customHeight="false" outlineLevel="0" collapsed="false">
      <c r="B130" s="71" t="str">
        <f aca="false">IF($F$6="Sí",N($C$11)+103,"")</f>
        <v/>
      </c>
      <c r="C130" s="72" t="str">
        <f aca="false">IF(OR($F$6&lt;&gt;"Sí",D130&lt;=0.5),"",EDATE($C$10,103))</f>
        <v/>
      </c>
      <c r="D130" s="41" t="n">
        <f aca="false">MAX(0,M129)</f>
        <v>0</v>
      </c>
      <c r="E130" s="41" t="n">
        <f aca="false">D130*$F$7</f>
        <v>0</v>
      </c>
      <c r="F130" s="41" t="n">
        <f aca="false">IF(D130&gt;0.5,N($C$15),0)</f>
        <v>0</v>
      </c>
      <c r="G130" s="41" t="n">
        <f aca="false">IF(AND(D130&gt;0.5,N($C$19)&gt;0,N(B130)&lt;=N($C$20)),D130*$F$8,0)</f>
        <v>0</v>
      </c>
      <c r="H130" s="41" t="n">
        <f aca="false">IF(D130&lt;=0.5,0,MIN(IF(N(I130)&gt;0,I130,$F$9),D130+E130+F130))</f>
        <v>0</v>
      </c>
      <c r="I130" s="77"/>
      <c r="J130" s="77"/>
      <c r="K130" s="41" t="n">
        <f aca="false">IF(D130&lt;=0.5,0,MIN(H130+N(J130),D130+E130+F130))</f>
        <v>0</v>
      </c>
      <c r="L130" s="41" t="n">
        <f aca="false">K130-E130-F130</f>
        <v>0</v>
      </c>
      <c r="M130" s="41" t="n">
        <f aca="false">D130-L130</f>
        <v>0</v>
      </c>
      <c r="N130" s="42" t="n">
        <f aca="false">K130-G130</f>
        <v>0</v>
      </c>
      <c r="O130" s="78"/>
      <c r="P130" s="79"/>
      <c r="Q130" s="16" t="str">
        <f aca="false">IF(K130=0,"",IF(R130=1,"Pagada",IF(C130&lt;$F$12,"Vencida",IF(104=$F$13,"Próxima","Pendiente"))))</f>
        <v/>
      </c>
      <c r="R130" s="62" t="n">
        <f aca="false">IF(AND(K130&gt;0,OR(O130="Sí",O130="Si")),1,0)</f>
        <v>0</v>
      </c>
      <c r="S130" s="62" t="n">
        <f aca="false">IF(AND(K130&gt;0,R130=0),1,0)</f>
        <v>0</v>
      </c>
    </row>
    <row r="131" customFormat="false" ht="15" hidden="false" customHeight="false" outlineLevel="0" collapsed="false">
      <c r="B131" s="71" t="str">
        <f aca="false">IF($F$6="Sí",N($C$11)+104,"")</f>
        <v/>
      </c>
      <c r="C131" s="72" t="str">
        <f aca="false">IF(OR($F$6&lt;&gt;"Sí",D131&lt;=0.5),"",EDATE($C$10,104))</f>
        <v/>
      </c>
      <c r="D131" s="41" t="n">
        <f aca="false">MAX(0,M130)</f>
        <v>0</v>
      </c>
      <c r="E131" s="41" t="n">
        <f aca="false">D131*$F$7</f>
        <v>0</v>
      </c>
      <c r="F131" s="41" t="n">
        <f aca="false">IF(D131&gt;0.5,N($C$15),0)</f>
        <v>0</v>
      </c>
      <c r="G131" s="41" t="n">
        <f aca="false">IF(AND(D131&gt;0.5,N($C$19)&gt;0,N(B131)&lt;=N($C$20)),D131*$F$8,0)</f>
        <v>0</v>
      </c>
      <c r="H131" s="41" t="n">
        <f aca="false">IF(D131&lt;=0.5,0,MIN(IF(N(I131)&gt;0,I131,$F$9),D131+E131+F131))</f>
        <v>0</v>
      </c>
      <c r="I131" s="77"/>
      <c r="J131" s="77"/>
      <c r="K131" s="41" t="n">
        <f aca="false">IF(D131&lt;=0.5,0,MIN(H131+N(J131),D131+E131+F131))</f>
        <v>0</v>
      </c>
      <c r="L131" s="41" t="n">
        <f aca="false">K131-E131-F131</f>
        <v>0</v>
      </c>
      <c r="M131" s="41" t="n">
        <f aca="false">D131-L131</f>
        <v>0</v>
      </c>
      <c r="N131" s="42" t="n">
        <f aca="false">K131-G131</f>
        <v>0</v>
      </c>
      <c r="O131" s="78"/>
      <c r="P131" s="79"/>
      <c r="Q131" s="16" t="str">
        <f aca="false">IF(K131=0,"",IF(R131=1,"Pagada",IF(C131&lt;$F$12,"Vencida",IF(105=$F$13,"Próxima","Pendiente"))))</f>
        <v/>
      </c>
      <c r="R131" s="62" t="n">
        <f aca="false">IF(AND(K131&gt;0,OR(O131="Sí",O131="Si")),1,0)</f>
        <v>0</v>
      </c>
      <c r="S131" s="62" t="n">
        <f aca="false">IF(AND(K131&gt;0,R131=0),1,0)</f>
        <v>0</v>
      </c>
    </row>
    <row r="132" customFormat="false" ht="15" hidden="false" customHeight="false" outlineLevel="0" collapsed="false">
      <c r="B132" s="71" t="str">
        <f aca="false">IF($F$6="Sí",N($C$11)+105,"")</f>
        <v/>
      </c>
      <c r="C132" s="72" t="str">
        <f aca="false">IF(OR($F$6&lt;&gt;"Sí",D132&lt;=0.5),"",EDATE($C$10,105))</f>
        <v/>
      </c>
      <c r="D132" s="41" t="n">
        <f aca="false">MAX(0,M131)</f>
        <v>0</v>
      </c>
      <c r="E132" s="41" t="n">
        <f aca="false">D132*$F$7</f>
        <v>0</v>
      </c>
      <c r="F132" s="41" t="n">
        <f aca="false">IF(D132&gt;0.5,N($C$15),0)</f>
        <v>0</v>
      </c>
      <c r="G132" s="41" t="n">
        <f aca="false">IF(AND(D132&gt;0.5,N($C$19)&gt;0,N(B132)&lt;=N($C$20)),D132*$F$8,0)</f>
        <v>0</v>
      </c>
      <c r="H132" s="41" t="n">
        <f aca="false">IF(D132&lt;=0.5,0,MIN(IF(N(I132)&gt;0,I132,$F$9),D132+E132+F132))</f>
        <v>0</v>
      </c>
      <c r="I132" s="77"/>
      <c r="J132" s="77"/>
      <c r="K132" s="41" t="n">
        <f aca="false">IF(D132&lt;=0.5,0,MIN(H132+N(J132),D132+E132+F132))</f>
        <v>0</v>
      </c>
      <c r="L132" s="41" t="n">
        <f aca="false">K132-E132-F132</f>
        <v>0</v>
      </c>
      <c r="M132" s="41" t="n">
        <f aca="false">D132-L132</f>
        <v>0</v>
      </c>
      <c r="N132" s="42" t="n">
        <f aca="false">K132-G132</f>
        <v>0</v>
      </c>
      <c r="O132" s="78"/>
      <c r="P132" s="79"/>
      <c r="Q132" s="16" t="str">
        <f aca="false">IF(K132=0,"",IF(R132=1,"Pagada",IF(C132&lt;$F$12,"Vencida",IF(106=$F$13,"Próxima","Pendiente"))))</f>
        <v/>
      </c>
      <c r="R132" s="62" t="n">
        <f aca="false">IF(AND(K132&gt;0,OR(O132="Sí",O132="Si")),1,0)</f>
        <v>0</v>
      </c>
      <c r="S132" s="62" t="n">
        <f aca="false">IF(AND(K132&gt;0,R132=0),1,0)</f>
        <v>0</v>
      </c>
    </row>
    <row r="133" customFormat="false" ht="15" hidden="false" customHeight="false" outlineLevel="0" collapsed="false">
      <c r="B133" s="71" t="str">
        <f aca="false">IF($F$6="Sí",N($C$11)+106,"")</f>
        <v/>
      </c>
      <c r="C133" s="72" t="str">
        <f aca="false">IF(OR($F$6&lt;&gt;"Sí",D133&lt;=0.5),"",EDATE($C$10,106))</f>
        <v/>
      </c>
      <c r="D133" s="41" t="n">
        <f aca="false">MAX(0,M132)</f>
        <v>0</v>
      </c>
      <c r="E133" s="41" t="n">
        <f aca="false">D133*$F$7</f>
        <v>0</v>
      </c>
      <c r="F133" s="41" t="n">
        <f aca="false">IF(D133&gt;0.5,N($C$15),0)</f>
        <v>0</v>
      </c>
      <c r="G133" s="41" t="n">
        <f aca="false">IF(AND(D133&gt;0.5,N($C$19)&gt;0,N(B133)&lt;=N($C$20)),D133*$F$8,0)</f>
        <v>0</v>
      </c>
      <c r="H133" s="41" t="n">
        <f aca="false">IF(D133&lt;=0.5,0,MIN(IF(N(I133)&gt;0,I133,$F$9),D133+E133+F133))</f>
        <v>0</v>
      </c>
      <c r="I133" s="77"/>
      <c r="J133" s="77"/>
      <c r="K133" s="41" t="n">
        <f aca="false">IF(D133&lt;=0.5,0,MIN(H133+N(J133),D133+E133+F133))</f>
        <v>0</v>
      </c>
      <c r="L133" s="41" t="n">
        <f aca="false">K133-E133-F133</f>
        <v>0</v>
      </c>
      <c r="M133" s="41" t="n">
        <f aca="false">D133-L133</f>
        <v>0</v>
      </c>
      <c r="N133" s="42" t="n">
        <f aca="false">K133-G133</f>
        <v>0</v>
      </c>
      <c r="O133" s="78"/>
      <c r="P133" s="79"/>
      <c r="Q133" s="16" t="str">
        <f aca="false">IF(K133=0,"",IF(R133=1,"Pagada",IF(C133&lt;$F$12,"Vencida",IF(107=$F$13,"Próxima","Pendiente"))))</f>
        <v/>
      </c>
      <c r="R133" s="62" t="n">
        <f aca="false">IF(AND(K133&gt;0,OR(O133="Sí",O133="Si")),1,0)</f>
        <v>0</v>
      </c>
      <c r="S133" s="62" t="n">
        <f aca="false">IF(AND(K133&gt;0,R133=0),1,0)</f>
        <v>0</v>
      </c>
    </row>
    <row r="134" customFormat="false" ht="15" hidden="false" customHeight="false" outlineLevel="0" collapsed="false">
      <c r="B134" s="71" t="str">
        <f aca="false">IF($F$6="Sí",N($C$11)+107,"")</f>
        <v/>
      </c>
      <c r="C134" s="72" t="str">
        <f aca="false">IF(OR($F$6&lt;&gt;"Sí",D134&lt;=0.5),"",EDATE($C$10,107))</f>
        <v/>
      </c>
      <c r="D134" s="41" t="n">
        <f aca="false">MAX(0,M133)</f>
        <v>0</v>
      </c>
      <c r="E134" s="41" t="n">
        <f aca="false">D134*$F$7</f>
        <v>0</v>
      </c>
      <c r="F134" s="41" t="n">
        <f aca="false">IF(D134&gt;0.5,N($C$15),0)</f>
        <v>0</v>
      </c>
      <c r="G134" s="41" t="n">
        <f aca="false">IF(AND(D134&gt;0.5,N($C$19)&gt;0,N(B134)&lt;=N($C$20)),D134*$F$8,0)</f>
        <v>0</v>
      </c>
      <c r="H134" s="41" t="n">
        <f aca="false">IF(D134&lt;=0.5,0,MIN(IF(N(I134)&gt;0,I134,$F$9),D134+E134+F134))</f>
        <v>0</v>
      </c>
      <c r="I134" s="77"/>
      <c r="J134" s="77"/>
      <c r="K134" s="41" t="n">
        <f aca="false">IF(D134&lt;=0.5,0,MIN(H134+N(J134),D134+E134+F134))</f>
        <v>0</v>
      </c>
      <c r="L134" s="41" t="n">
        <f aca="false">K134-E134-F134</f>
        <v>0</v>
      </c>
      <c r="M134" s="41" t="n">
        <f aca="false">D134-L134</f>
        <v>0</v>
      </c>
      <c r="N134" s="42" t="n">
        <f aca="false">K134-G134</f>
        <v>0</v>
      </c>
      <c r="O134" s="78"/>
      <c r="P134" s="79"/>
      <c r="Q134" s="16" t="str">
        <f aca="false">IF(K134=0,"",IF(R134=1,"Pagada",IF(C134&lt;$F$12,"Vencida",IF(108=$F$13,"Próxima","Pendiente"))))</f>
        <v/>
      </c>
      <c r="R134" s="62" t="n">
        <f aca="false">IF(AND(K134&gt;0,OR(O134="Sí",O134="Si")),1,0)</f>
        <v>0</v>
      </c>
      <c r="S134" s="62" t="n">
        <f aca="false">IF(AND(K134&gt;0,R134=0),1,0)</f>
        <v>0</v>
      </c>
    </row>
    <row r="135" customFormat="false" ht="15" hidden="false" customHeight="false" outlineLevel="0" collapsed="false">
      <c r="B135" s="71" t="str">
        <f aca="false">IF($F$6="Sí",N($C$11)+108,"")</f>
        <v/>
      </c>
      <c r="C135" s="72" t="str">
        <f aca="false">IF(OR($F$6&lt;&gt;"Sí",D135&lt;=0.5),"",EDATE($C$10,108))</f>
        <v/>
      </c>
      <c r="D135" s="41" t="n">
        <f aca="false">MAX(0,M134)</f>
        <v>0</v>
      </c>
      <c r="E135" s="41" t="n">
        <f aca="false">D135*$F$7</f>
        <v>0</v>
      </c>
      <c r="F135" s="41" t="n">
        <f aca="false">IF(D135&gt;0.5,N($C$15),0)</f>
        <v>0</v>
      </c>
      <c r="G135" s="41" t="n">
        <f aca="false">IF(AND(D135&gt;0.5,N($C$19)&gt;0,N(B135)&lt;=N($C$20)),D135*$F$8,0)</f>
        <v>0</v>
      </c>
      <c r="H135" s="41" t="n">
        <f aca="false">IF(D135&lt;=0.5,0,MIN(IF(N(I135)&gt;0,I135,$F$9),D135+E135+F135))</f>
        <v>0</v>
      </c>
      <c r="I135" s="77"/>
      <c r="J135" s="77"/>
      <c r="K135" s="41" t="n">
        <f aca="false">IF(D135&lt;=0.5,0,MIN(H135+N(J135),D135+E135+F135))</f>
        <v>0</v>
      </c>
      <c r="L135" s="41" t="n">
        <f aca="false">K135-E135-F135</f>
        <v>0</v>
      </c>
      <c r="M135" s="41" t="n">
        <f aca="false">D135-L135</f>
        <v>0</v>
      </c>
      <c r="N135" s="42" t="n">
        <f aca="false">K135-G135</f>
        <v>0</v>
      </c>
      <c r="O135" s="78"/>
      <c r="P135" s="79"/>
      <c r="Q135" s="16" t="str">
        <f aca="false">IF(K135=0,"",IF(R135=1,"Pagada",IF(C135&lt;$F$12,"Vencida",IF(109=$F$13,"Próxima","Pendiente"))))</f>
        <v/>
      </c>
      <c r="R135" s="62" t="n">
        <f aca="false">IF(AND(K135&gt;0,OR(O135="Sí",O135="Si")),1,0)</f>
        <v>0</v>
      </c>
      <c r="S135" s="62" t="n">
        <f aca="false">IF(AND(K135&gt;0,R135=0),1,0)</f>
        <v>0</v>
      </c>
    </row>
    <row r="136" customFormat="false" ht="15" hidden="false" customHeight="false" outlineLevel="0" collapsed="false">
      <c r="B136" s="71" t="str">
        <f aca="false">IF($F$6="Sí",N($C$11)+109,"")</f>
        <v/>
      </c>
      <c r="C136" s="72" t="str">
        <f aca="false">IF(OR($F$6&lt;&gt;"Sí",D136&lt;=0.5),"",EDATE($C$10,109))</f>
        <v/>
      </c>
      <c r="D136" s="41" t="n">
        <f aca="false">MAX(0,M135)</f>
        <v>0</v>
      </c>
      <c r="E136" s="41" t="n">
        <f aca="false">D136*$F$7</f>
        <v>0</v>
      </c>
      <c r="F136" s="41" t="n">
        <f aca="false">IF(D136&gt;0.5,N($C$15),0)</f>
        <v>0</v>
      </c>
      <c r="G136" s="41" t="n">
        <f aca="false">IF(AND(D136&gt;0.5,N($C$19)&gt;0,N(B136)&lt;=N($C$20)),D136*$F$8,0)</f>
        <v>0</v>
      </c>
      <c r="H136" s="41" t="n">
        <f aca="false">IF(D136&lt;=0.5,0,MIN(IF(N(I136)&gt;0,I136,$F$9),D136+E136+F136))</f>
        <v>0</v>
      </c>
      <c r="I136" s="77"/>
      <c r="J136" s="77"/>
      <c r="K136" s="41" t="n">
        <f aca="false">IF(D136&lt;=0.5,0,MIN(H136+N(J136),D136+E136+F136))</f>
        <v>0</v>
      </c>
      <c r="L136" s="41" t="n">
        <f aca="false">K136-E136-F136</f>
        <v>0</v>
      </c>
      <c r="M136" s="41" t="n">
        <f aca="false">D136-L136</f>
        <v>0</v>
      </c>
      <c r="N136" s="42" t="n">
        <f aca="false">K136-G136</f>
        <v>0</v>
      </c>
      <c r="O136" s="78"/>
      <c r="P136" s="79"/>
      <c r="Q136" s="16" t="str">
        <f aca="false">IF(K136=0,"",IF(R136=1,"Pagada",IF(C136&lt;$F$12,"Vencida",IF(110=$F$13,"Próxima","Pendiente"))))</f>
        <v/>
      </c>
      <c r="R136" s="62" t="n">
        <f aca="false">IF(AND(K136&gt;0,OR(O136="Sí",O136="Si")),1,0)</f>
        <v>0</v>
      </c>
      <c r="S136" s="62" t="n">
        <f aca="false">IF(AND(K136&gt;0,R136=0),1,0)</f>
        <v>0</v>
      </c>
    </row>
    <row r="137" customFormat="false" ht="15" hidden="false" customHeight="false" outlineLevel="0" collapsed="false">
      <c r="B137" s="71" t="str">
        <f aca="false">IF($F$6="Sí",N($C$11)+110,"")</f>
        <v/>
      </c>
      <c r="C137" s="72" t="str">
        <f aca="false">IF(OR($F$6&lt;&gt;"Sí",D137&lt;=0.5),"",EDATE($C$10,110))</f>
        <v/>
      </c>
      <c r="D137" s="41" t="n">
        <f aca="false">MAX(0,M136)</f>
        <v>0</v>
      </c>
      <c r="E137" s="41" t="n">
        <f aca="false">D137*$F$7</f>
        <v>0</v>
      </c>
      <c r="F137" s="41" t="n">
        <f aca="false">IF(D137&gt;0.5,N($C$15),0)</f>
        <v>0</v>
      </c>
      <c r="G137" s="41" t="n">
        <f aca="false">IF(AND(D137&gt;0.5,N($C$19)&gt;0,N(B137)&lt;=N($C$20)),D137*$F$8,0)</f>
        <v>0</v>
      </c>
      <c r="H137" s="41" t="n">
        <f aca="false">IF(D137&lt;=0.5,0,MIN(IF(N(I137)&gt;0,I137,$F$9),D137+E137+F137))</f>
        <v>0</v>
      </c>
      <c r="I137" s="77"/>
      <c r="J137" s="77"/>
      <c r="K137" s="41" t="n">
        <f aca="false">IF(D137&lt;=0.5,0,MIN(H137+N(J137),D137+E137+F137))</f>
        <v>0</v>
      </c>
      <c r="L137" s="41" t="n">
        <f aca="false">K137-E137-F137</f>
        <v>0</v>
      </c>
      <c r="M137" s="41" t="n">
        <f aca="false">D137-L137</f>
        <v>0</v>
      </c>
      <c r="N137" s="42" t="n">
        <f aca="false">K137-G137</f>
        <v>0</v>
      </c>
      <c r="O137" s="78"/>
      <c r="P137" s="79"/>
      <c r="Q137" s="16" t="str">
        <f aca="false">IF(K137=0,"",IF(R137=1,"Pagada",IF(C137&lt;$F$12,"Vencida",IF(111=$F$13,"Próxima","Pendiente"))))</f>
        <v/>
      </c>
      <c r="R137" s="62" t="n">
        <f aca="false">IF(AND(K137&gt;0,OR(O137="Sí",O137="Si")),1,0)</f>
        <v>0</v>
      </c>
      <c r="S137" s="62" t="n">
        <f aca="false">IF(AND(K137&gt;0,R137=0),1,0)</f>
        <v>0</v>
      </c>
    </row>
    <row r="138" customFormat="false" ht="15" hidden="false" customHeight="false" outlineLevel="0" collapsed="false">
      <c r="B138" s="71" t="str">
        <f aca="false">IF($F$6="Sí",N($C$11)+111,"")</f>
        <v/>
      </c>
      <c r="C138" s="72" t="str">
        <f aca="false">IF(OR($F$6&lt;&gt;"Sí",D138&lt;=0.5),"",EDATE($C$10,111))</f>
        <v/>
      </c>
      <c r="D138" s="41" t="n">
        <f aca="false">MAX(0,M137)</f>
        <v>0</v>
      </c>
      <c r="E138" s="41" t="n">
        <f aca="false">D138*$F$7</f>
        <v>0</v>
      </c>
      <c r="F138" s="41" t="n">
        <f aca="false">IF(D138&gt;0.5,N($C$15),0)</f>
        <v>0</v>
      </c>
      <c r="G138" s="41" t="n">
        <f aca="false">IF(AND(D138&gt;0.5,N($C$19)&gt;0,N(B138)&lt;=N($C$20)),D138*$F$8,0)</f>
        <v>0</v>
      </c>
      <c r="H138" s="41" t="n">
        <f aca="false">IF(D138&lt;=0.5,0,MIN(IF(N(I138)&gt;0,I138,$F$9),D138+E138+F138))</f>
        <v>0</v>
      </c>
      <c r="I138" s="77"/>
      <c r="J138" s="77"/>
      <c r="K138" s="41" t="n">
        <f aca="false">IF(D138&lt;=0.5,0,MIN(H138+N(J138),D138+E138+F138))</f>
        <v>0</v>
      </c>
      <c r="L138" s="41" t="n">
        <f aca="false">K138-E138-F138</f>
        <v>0</v>
      </c>
      <c r="M138" s="41" t="n">
        <f aca="false">D138-L138</f>
        <v>0</v>
      </c>
      <c r="N138" s="42" t="n">
        <f aca="false">K138-G138</f>
        <v>0</v>
      </c>
      <c r="O138" s="78"/>
      <c r="P138" s="79"/>
      <c r="Q138" s="16" t="str">
        <f aca="false">IF(K138=0,"",IF(R138=1,"Pagada",IF(C138&lt;$F$12,"Vencida",IF(112=$F$13,"Próxima","Pendiente"))))</f>
        <v/>
      </c>
      <c r="R138" s="62" t="n">
        <f aca="false">IF(AND(K138&gt;0,OR(O138="Sí",O138="Si")),1,0)</f>
        <v>0</v>
      </c>
      <c r="S138" s="62" t="n">
        <f aca="false">IF(AND(K138&gt;0,R138=0),1,0)</f>
        <v>0</v>
      </c>
    </row>
    <row r="139" customFormat="false" ht="15" hidden="false" customHeight="false" outlineLevel="0" collapsed="false">
      <c r="B139" s="71" t="str">
        <f aca="false">IF($F$6="Sí",N($C$11)+112,"")</f>
        <v/>
      </c>
      <c r="C139" s="72" t="str">
        <f aca="false">IF(OR($F$6&lt;&gt;"Sí",D139&lt;=0.5),"",EDATE($C$10,112))</f>
        <v/>
      </c>
      <c r="D139" s="41" t="n">
        <f aca="false">MAX(0,M138)</f>
        <v>0</v>
      </c>
      <c r="E139" s="41" t="n">
        <f aca="false">D139*$F$7</f>
        <v>0</v>
      </c>
      <c r="F139" s="41" t="n">
        <f aca="false">IF(D139&gt;0.5,N($C$15),0)</f>
        <v>0</v>
      </c>
      <c r="G139" s="41" t="n">
        <f aca="false">IF(AND(D139&gt;0.5,N($C$19)&gt;0,N(B139)&lt;=N($C$20)),D139*$F$8,0)</f>
        <v>0</v>
      </c>
      <c r="H139" s="41" t="n">
        <f aca="false">IF(D139&lt;=0.5,0,MIN(IF(N(I139)&gt;0,I139,$F$9),D139+E139+F139))</f>
        <v>0</v>
      </c>
      <c r="I139" s="77"/>
      <c r="J139" s="77"/>
      <c r="K139" s="41" t="n">
        <f aca="false">IF(D139&lt;=0.5,0,MIN(H139+N(J139),D139+E139+F139))</f>
        <v>0</v>
      </c>
      <c r="L139" s="41" t="n">
        <f aca="false">K139-E139-F139</f>
        <v>0</v>
      </c>
      <c r="M139" s="41" t="n">
        <f aca="false">D139-L139</f>
        <v>0</v>
      </c>
      <c r="N139" s="42" t="n">
        <f aca="false">K139-G139</f>
        <v>0</v>
      </c>
      <c r="O139" s="78"/>
      <c r="P139" s="79"/>
      <c r="Q139" s="16" t="str">
        <f aca="false">IF(K139=0,"",IF(R139=1,"Pagada",IF(C139&lt;$F$12,"Vencida",IF(113=$F$13,"Próxima","Pendiente"))))</f>
        <v/>
      </c>
      <c r="R139" s="62" t="n">
        <f aca="false">IF(AND(K139&gt;0,OR(O139="Sí",O139="Si")),1,0)</f>
        <v>0</v>
      </c>
      <c r="S139" s="62" t="n">
        <f aca="false">IF(AND(K139&gt;0,R139=0),1,0)</f>
        <v>0</v>
      </c>
    </row>
    <row r="140" customFormat="false" ht="15" hidden="false" customHeight="false" outlineLevel="0" collapsed="false">
      <c r="B140" s="71" t="str">
        <f aca="false">IF($F$6="Sí",N($C$11)+113,"")</f>
        <v/>
      </c>
      <c r="C140" s="72" t="str">
        <f aca="false">IF(OR($F$6&lt;&gt;"Sí",D140&lt;=0.5),"",EDATE($C$10,113))</f>
        <v/>
      </c>
      <c r="D140" s="41" t="n">
        <f aca="false">MAX(0,M139)</f>
        <v>0</v>
      </c>
      <c r="E140" s="41" t="n">
        <f aca="false">D140*$F$7</f>
        <v>0</v>
      </c>
      <c r="F140" s="41" t="n">
        <f aca="false">IF(D140&gt;0.5,N($C$15),0)</f>
        <v>0</v>
      </c>
      <c r="G140" s="41" t="n">
        <f aca="false">IF(AND(D140&gt;0.5,N($C$19)&gt;0,N(B140)&lt;=N($C$20)),D140*$F$8,0)</f>
        <v>0</v>
      </c>
      <c r="H140" s="41" t="n">
        <f aca="false">IF(D140&lt;=0.5,0,MIN(IF(N(I140)&gt;0,I140,$F$9),D140+E140+F140))</f>
        <v>0</v>
      </c>
      <c r="I140" s="77"/>
      <c r="J140" s="77"/>
      <c r="K140" s="41" t="n">
        <f aca="false">IF(D140&lt;=0.5,0,MIN(H140+N(J140),D140+E140+F140))</f>
        <v>0</v>
      </c>
      <c r="L140" s="41" t="n">
        <f aca="false">K140-E140-F140</f>
        <v>0</v>
      </c>
      <c r="M140" s="41" t="n">
        <f aca="false">D140-L140</f>
        <v>0</v>
      </c>
      <c r="N140" s="42" t="n">
        <f aca="false">K140-G140</f>
        <v>0</v>
      </c>
      <c r="O140" s="78"/>
      <c r="P140" s="79"/>
      <c r="Q140" s="16" t="str">
        <f aca="false">IF(K140=0,"",IF(R140=1,"Pagada",IF(C140&lt;$F$12,"Vencida",IF(114=$F$13,"Próxima","Pendiente"))))</f>
        <v/>
      </c>
      <c r="R140" s="62" t="n">
        <f aca="false">IF(AND(K140&gt;0,OR(O140="Sí",O140="Si")),1,0)</f>
        <v>0</v>
      </c>
      <c r="S140" s="62" t="n">
        <f aca="false">IF(AND(K140&gt;0,R140=0),1,0)</f>
        <v>0</v>
      </c>
    </row>
    <row r="141" customFormat="false" ht="15" hidden="false" customHeight="false" outlineLevel="0" collapsed="false">
      <c r="B141" s="71" t="str">
        <f aca="false">IF($F$6="Sí",N($C$11)+114,"")</f>
        <v/>
      </c>
      <c r="C141" s="72" t="str">
        <f aca="false">IF(OR($F$6&lt;&gt;"Sí",D141&lt;=0.5),"",EDATE($C$10,114))</f>
        <v/>
      </c>
      <c r="D141" s="41" t="n">
        <f aca="false">MAX(0,M140)</f>
        <v>0</v>
      </c>
      <c r="E141" s="41" t="n">
        <f aca="false">D141*$F$7</f>
        <v>0</v>
      </c>
      <c r="F141" s="41" t="n">
        <f aca="false">IF(D141&gt;0.5,N($C$15),0)</f>
        <v>0</v>
      </c>
      <c r="G141" s="41" t="n">
        <f aca="false">IF(AND(D141&gt;0.5,N($C$19)&gt;0,N(B141)&lt;=N($C$20)),D141*$F$8,0)</f>
        <v>0</v>
      </c>
      <c r="H141" s="41" t="n">
        <f aca="false">IF(D141&lt;=0.5,0,MIN(IF(N(I141)&gt;0,I141,$F$9),D141+E141+F141))</f>
        <v>0</v>
      </c>
      <c r="I141" s="77"/>
      <c r="J141" s="77"/>
      <c r="K141" s="41" t="n">
        <f aca="false">IF(D141&lt;=0.5,0,MIN(H141+N(J141),D141+E141+F141))</f>
        <v>0</v>
      </c>
      <c r="L141" s="41" t="n">
        <f aca="false">K141-E141-F141</f>
        <v>0</v>
      </c>
      <c r="M141" s="41" t="n">
        <f aca="false">D141-L141</f>
        <v>0</v>
      </c>
      <c r="N141" s="42" t="n">
        <f aca="false">K141-G141</f>
        <v>0</v>
      </c>
      <c r="O141" s="78"/>
      <c r="P141" s="79"/>
      <c r="Q141" s="16" t="str">
        <f aca="false">IF(K141=0,"",IF(R141=1,"Pagada",IF(C141&lt;$F$12,"Vencida",IF(115=$F$13,"Próxima","Pendiente"))))</f>
        <v/>
      </c>
      <c r="R141" s="62" t="n">
        <f aca="false">IF(AND(K141&gt;0,OR(O141="Sí",O141="Si")),1,0)</f>
        <v>0</v>
      </c>
      <c r="S141" s="62" t="n">
        <f aca="false">IF(AND(K141&gt;0,R141=0),1,0)</f>
        <v>0</v>
      </c>
    </row>
    <row r="142" customFormat="false" ht="15" hidden="false" customHeight="false" outlineLevel="0" collapsed="false">
      <c r="B142" s="71" t="str">
        <f aca="false">IF($F$6="Sí",N($C$11)+115,"")</f>
        <v/>
      </c>
      <c r="C142" s="72" t="str">
        <f aca="false">IF(OR($F$6&lt;&gt;"Sí",D142&lt;=0.5),"",EDATE($C$10,115))</f>
        <v/>
      </c>
      <c r="D142" s="41" t="n">
        <f aca="false">MAX(0,M141)</f>
        <v>0</v>
      </c>
      <c r="E142" s="41" t="n">
        <f aca="false">D142*$F$7</f>
        <v>0</v>
      </c>
      <c r="F142" s="41" t="n">
        <f aca="false">IF(D142&gt;0.5,N($C$15),0)</f>
        <v>0</v>
      </c>
      <c r="G142" s="41" t="n">
        <f aca="false">IF(AND(D142&gt;0.5,N($C$19)&gt;0,N(B142)&lt;=N($C$20)),D142*$F$8,0)</f>
        <v>0</v>
      </c>
      <c r="H142" s="41" t="n">
        <f aca="false">IF(D142&lt;=0.5,0,MIN(IF(N(I142)&gt;0,I142,$F$9),D142+E142+F142))</f>
        <v>0</v>
      </c>
      <c r="I142" s="77"/>
      <c r="J142" s="77"/>
      <c r="K142" s="41" t="n">
        <f aca="false">IF(D142&lt;=0.5,0,MIN(H142+N(J142),D142+E142+F142))</f>
        <v>0</v>
      </c>
      <c r="L142" s="41" t="n">
        <f aca="false">K142-E142-F142</f>
        <v>0</v>
      </c>
      <c r="M142" s="41" t="n">
        <f aca="false">D142-L142</f>
        <v>0</v>
      </c>
      <c r="N142" s="42" t="n">
        <f aca="false">K142-G142</f>
        <v>0</v>
      </c>
      <c r="O142" s="78"/>
      <c r="P142" s="79"/>
      <c r="Q142" s="16" t="str">
        <f aca="false">IF(K142=0,"",IF(R142=1,"Pagada",IF(C142&lt;$F$12,"Vencida",IF(116=$F$13,"Próxima","Pendiente"))))</f>
        <v/>
      </c>
      <c r="R142" s="62" t="n">
        <f aca="false">IF(AND(K142&gt;0,OR(O142="Sí",O142="Si")),1,0)</f>
        <v>0</v>
      </c>
      <c r="S142" s="62" t="n">
        <f aca="false">IF(AND(K142&gt;0,R142=0),1,0)</f>
        <v>0</v>
      </c>
    </row>
    <row r="143" customFormat="false" ht="15" hidden="false" customHeight="false" outlineLevel="0" collapsed="false">
      <c r="B143" s="71" t="str">
        <f aca="false">IF($F$6="Sí",N($C$11)+116,"")</f>
        <v/>
      </c>
      <c r="C143" s="72" t="str">
        <f aca="false">IF(OR($F$6&lt;&gt;"Sí",D143&lt;=0.5),"",EDATE($C$10,116))</f>
        <v/>
      </c>
      <c r="D143" s="41" t="n">
        <f aca="false">MAX(0,M142)</f>
        <v>0</v>
      </c>
      <c r="E143" s="41" t="n">
        <f aca="false">D143*$F$7</f>
        <v>0</v>
      </c>
      <c r="F143" s="41" t="n">
        <f aca="false">IF(D143&gt;0.5,N($C$15),0)</f>
        <v>0</v>
      </c>
      <c r="G143" s="41" t="n">
        <f aca="false">IF(AND(D143&gt;0.5,N($C$19)&gt;0,N(B143)&lt;=N($C$20)),D143*$F$8,0)</f>
        <v>0</v>
      </c>
      <c r="H143" s="41" t="n">
        <f aca="false">IF(D143&lt;=0.5,0,MIN(IF(N(I143)&gt;0,I143,$F$9),D143+E143+F143))</f>
        <v>0</v>
      </c>
      <c r="I143" s="77"/>
      <c r="J143" s="77"/>
      <c r="K143" s="41" t="n">
        <f aca="false">IF(D143&lt;=0.5,0,MIN(H143+N(J143),D143+E143+F143))</f>
        <v>0</v>
      </c>
      <c r="L143" s="41" t="n">
        <f aca="false">K143-E143-F143</f>
        <v>0</v>
      </c>
      <c r="M143" s="41" t="n">
        <f aca="false">D143-L143</f>
        <v>0</v>
      </c>
      <c r="N143" s="42" t="n">
        <f aca="false">K143-G143</f>
        <v>0</v>
      </c>
      <c r="O143" s="78"/>
      <c r="P143" s="79"/>
      <c r="Q143" s="16" t="str">
        <f aca="false">IF(K143=0,"",IF(R143=1,"Pagada",IF(C143&lt;$F$12,"Vencida",IF(117=$F$13,"Próxima","Pendiente"))))</f>
        <v/>
      </c>
      <c r="R143" s="62" t="n">
        <f aca="false">IF(AND(K143&gt;0,OR(O143="Sí",O143="Si")),1,0)</f>
        <v>0</v>
      </c>
      <c r="S143" s="62" t="n">
        <f aca="false">IF(AND(K143&gt;0,R143=0),1,0)</f>
        <v>0</v>
      </c>
    </row>
    <row r="144" customFormat="false" ht="15" hidden="false" customHeight="false" outlineLevel="0" collapsed="false">
      <c r="B144" s="71" t="str">
        <f aca="false">IF($F$6="Sí",N($C$11)+117,"")</f>
        <v/>
      </c>
      <c r="C144" s="72" t="str">
        <f aca="false">IF(OR($F$6&lt;&gt;"Sí",D144&lt;=0.5),"",EDATE($C$10,117))</f>
        <v/>
      </c>
      <c r="D144" s="41" t="n">
        <f aca="false">MAX(0,M143)</f>
        <v>0</v>
      </c>
      <c r="E144" s="41" t="n">
        <f aca="false">D144*$F$7</f>
        <v>0</v>
      </c>
      <c r="F144" s="41" t="n">
        <f aca="false">IF(D144&gt;0.5,N($C$15),0)</f>
        <v>0</v>
      </c>
      <c r="G144" s="41" t="n">
        <f aca="false">IF(AND(D144&gt;0.5,N($C$19)&gt;0,N(B144)&lt;=N($C$20)),D144*$F$8,0)</f>
        <v>0</v>
      </c>
      <c r="H144" s="41" t="n">
        <f aca="false">IF(D144&lt;=0.5,0,MIN(IF(N(I144)&gt;0,I144,$F$9),D144+E144+F144))</f>
        <v>0</v>
      </c>
      <c r="I144" s="77"/>
      <c r="J144" s="77"/>
      <c r="K144" s="41" t="n">
        <f aca="false">IF(D144&lt;=0.5,0,MIN(H144+N(J144),D144+E144+F144))</f>
        <v>0</v>
      </c>
      <c r="L144" s="41" t="n">
        <f aca="false">K144-E144-F144</f>
        <v>0</v>
      </c>
      <c r="M144" s="41" t="n">
        <f aca="false">D144-L144</f>
        <v>0</v>
      </c>
      <c r="N144" s="42" t="n">
        <f aca="false">K144-G144</f>
        <v>0</v>
      </c>
      <c r="O144" s="78"/>
      <c r="P144" s="79"/>
      <c r="Q144" s="16" t="str">
        <f aca="false">IF(K144=0,"",IF(R144=1,"Pagada",IF(C144&lt;$F$12,"Vencida",IF(118=$F$13,"Próxima","Pendiente"))))</f>
        <v/>
      </c>
      <c r="R144" s="62" t="n">
        <f aca="false">IF(AND(K144&gt;0,OR(O144="Sí",O144="Si")),1,0)</f>
        <v>0</v>
      </c>
      <c r="S144" s="62" t="n">
        <f aca="false">IF(AND(K144&gt;0,R144=0),1,0)</f>
        <v>0</v>
      </c>
    </row>
    <row r="145" customFormat="false" ht="15" hidden="false" customHeight="false" outlineLevel="0" collapsed="false">
      <c r="B145" s="71" t="str">
        <f aca="false">IF($F$6="Sí",N($C$11)+118,"")</f>
        <v/>
      </c>
      <c r="C145" s="72" t="str">
        <f aca="false">IF(OR($F$6&lt;&gt;"Sí",D145&lt;=0.5),"",EDATE($C$10,118))</f>
        <v/>
      </c>
      <c r="D145" s="41" t="n">
        <f aca="false">MAX(0,M144)</f>
        <v>0</v>
      </c>
      <c r="E145" s="41" t="n">
        <f aca="false">D145*$F$7</f>
        <v>0</v>
      </c>
      <c r="F145" s="41" t="n">
        <f aca="false">IF(D145&gt;0.5,N($C$15),0)</f>
        <v>0</v>
      </c>
      <c r="G145" s="41" t="n">
        <f aca="false">IF(AND(D145&gt;0.5,N($C$19)&gt;0,N(B145)&lt;=N($C$20)),D145*$F$8,0)</f>
        <v>0</v>
      </c>
      <c r="H145" s="41" t="n">
        <f aca="false">IF(D145&lt;=0.5,0,MIN(IF(N(I145)&gt;0,I145,$F$9),D145+E145+F145))</f>
        <v>0</v>
      </c>
      <c r="I145" s="77"/>
      <c r="J145" s="77"/>
      <c r="K145" s="41" t="n">
        <f aca="false">IF(D145&lt;=0.5,0,MIN(H145+N(J145),D145+E145+F145))</f>
        <v>0</v>
      </c>
      <c r="L145" s="41" t="n">
        <f aca="false">K145-E145-F145</f>
        <v>0</v>
      </c>
      <c r="M145" s="41" t="n">
        <f aca="false">D145-L145</f>
        <v>0</v>
      </c>
      <c r="N145" s="42" t="n">
        <f aca="false">K145-G145</f>
        <v>0</v>
      </c>
      <c r="O145" s="78"/>
      <c r="P145" s="79"/>
      <c r="Q145" s="16" t="str">
        <f aca="false">IF(K145=0,"",IF(R145=1,"Pagada",IF(C145&lt;$F$12,"Vencida",IF(119=$F$13,"Próxima","Pendiente"))))</f>
        <v/>
      </c>
      <c r="R145" s="62" t="n">
        <f aca="false">IF(AND(K145&gt;0,OR(O145="Sí",O145="Si")),1,0)</f>
        <v>0</v>
      </c>
      <c r="S145" s="62" t="n">
        <f aca="false">IF(AND(K145&gt;0,R145=0),1,0)</f>
        <v>0</v>
      </c>
    </row>
    <row r="146" customFormat="false" ht="15" hidden="false" customHeight="false" outlineLevel="0" collapsed="false">
      <c r="B146" s="71" t="str">
        <f aca="false">IF($F$6="Sí",N($C$11)+119,"")</f>
        <v/>
      </c>
      <c r="C146" s="72" t="str">
        <f aca="false">IF(OR($F$6&lt;&gt;"Sí",D146&lt;=0.5),"",EDATE($C$10,119))</f>
        <v/>
      </c>
      <c r="D146" s="41" t="n">
        <f aca="false">MAX(0,M145)</f>
        <v>0</v>
      </c>
      <c r="E146" s="41" t="n">
        <f aca="false">D146*$F$7</f>
        <v>0</v>
      </c>
      <c r="F146" s="41" t="n">
        <f aca="false">IF(D146&gt;0.5,N($C$15),0)</f>
        <v>0</v>
      </c>
      <c r="G146" s="41" t="n">
        <f aca="false">IF(AND(D146&gt;0.5,N($C$19)&gt;0,N(B146)&lt;=N($C$20)),D146*$F$8,0)</f>
        <v>0</v>
      </c>
      <c r="H146" s="41" t="n">
        <f aca="false">IF(D146&lt;=0.5,0,MIN(IF(N(I146)&gt;0,I146,$F$9),D146+E146+F146))</f>
        <v>0</v>
      </c>
      <c r="I146" s="77"/>
      <c r="J146" s="77"/>
      <c r="K146" s="41" t="n">
        <f aca="false">IF(D146&lt;=0.5,0,MIN(H146+N(J146),D146+E146+F146))</f>
        <v>0</v>
      </c>
      <c r="L146" s="41" t="n">
        <f aca="false">K146-E146-F146</f>
        <v>0</v>
      </c>
      <c r="M146" s="41" t="n">
        <f aca="false">D146-L146</f>
        <v>0</v>
      </c>
      <c r="N146" s="42" t="n">
        <f aca="false">K146-G146</f>
        <v>0</v>
      </c>
      <c r="O146" s="78"/>
      <c r="P146" s="79"/>
      <c r="Q146" s="16" t="str">
        <f aca="false">IF(K146=0,"",IF(R146=1,"Pagada",IF(C146&lt;$F$12,"Vencida",IF(120=$F$13,"Próxima","Pendiente"))))</f>
        <v/>
      </c>
      <c r="R146" s="62" t="n">
        <f aca="false">IF(AND(K146&gt;0,OR(O146="Sí",O146="Si")),1,0)</f>
        <v>0</v>
      </c>
      <c r="S146" s="62" t="n">
        <f aca="false">IF(AND(K146&gt;0,R146=0),1,0)</f>
        <v>0</v>
      </c>
    </row>
    <row r="147" customFormat="false" ht="15" hidden="false" customHeight="false" outlineLevel="0" collapsed="false">
      <c r="B147" s="71" t="str">
        <f aca="false">IF($F$6="Sí",N($C$11)+120,"")</f>
        <v/>
      </c>
      <c r="C147" s="72" t="str">
        <f aca="false">IF(OR($F$6&lt;&gt;"Sí",D147&lt;=0.5),"",EDATE($C$10,120))</f>
        <v/>
      </c>
      <c r="D147" s="41" t="n">
        <f aca="false">MAX(0,M146)</f>
        <v>0</v>
      </c>
      <c r="E147" s="41" t="n">
        <f aca="false">D147*$F$7</f>
        <v>0</v>
      </c>
      <c r="F147" s="41" t="n">
        <f aca="false">IF(D147&gt;0.5,N($C$15),0)</f>
        <v>0</v>
      </c>
      <c r="G147" s="41" t="n">
        <f aca="false">IF(AND(D147&gt;0.5,N($C$19)&gt;0,N(B147)&lt;=N($C$20)),D147*$F$8,0)</f>
        <v>0</v>
      </c>
      <c r="H147" s="41" t="n">
        <f aca="false">IF(D147&lt;=0.5,0,MIN(IF(N(I147)&gt;0,I147,$F$9),D147+E147+F147))</f>
        <v>0</v>
      </c>
      <c r="I147" s="77"/>
      <c r="J147" s="77"/>
      <c r="K147" s="41" t="n">
        <f aca="false">IF(D147&lt;=0.5,0,MIN(H147+N(J147),D147+E147+F147))</f>
        <v>0</v>
      </c>
      <c r="L147" s="41" t="n">
        <f aca="false">K147-E147-F147</f>
        <v>0</v>
      </c>
      <c r="M147" s="41" t="n">
        <f aca="false">D147-L147</f>
        <v>0</v>
      </c>
      <c r="N147" s="42" t="n">
        <f aca="false">K147-G147</f>
        <v>0</v>
      </c>
      <c r="O147" s="78"/>
      <c r="P147" s="79"/>
      <c r="Q147" s="16" t="str">
        <f aca="false">IF(K147=0,"",IF(R147=1,"Pagada",IF(C147&lt;$F$12,"Vencida",IF(121=$F$13,"Próxima","Pendiente"))))</f>
        <v/>
      </c>
      <c r="R147" s="62" t="n">
        <f aca="false">IF(AND(K147&gt;0,OR(O147="Sí",O147="Si")),1,0)</f>
        <v>0</v>
      </c>
      <c r="S147" s="62" t="n">
        <f aca="false">IF(AND(K147&gt;0,R147=0),1,0)</f>
        <v>0</v>
      </c>
    </row>
    <row r="148" customFormat="false" ht="15" hidden="false" customHeight="false" outlineLevel="0" collapsed="false">
      <c r="B148" s="71" t="str">
        <f aca="false">IF($F$6="Sí",N($C$11)+121,"")</f>
        <v/>
      </c>
      <c r="C148" s="72" t="str">
        <f aca="false">IF(OR($F$6&lt;&gt;"Sí",D148&lt;=0.5),"",EDATE($C$10,121))</f>
        <v/>
      </c>
      <c r="D148" s="41" t="n">
        <f aca="false">MAX(0,M147)</f>
        <v>0</v>
      </c>
      <c r="E148" s="41" t="n">
        <f aca="false">D148*$F$7</f>
        <v>0</v>
      </c>
      <c r="F148" s="41" t="n">
        <f aca="false">IF(D148&gt;0.5,N($C$15),0)</f>
        <v>0</v>
      </c>
      <c r="G148" s="41" t="n">
        <f aca="false">IF(AND(D148&gt;0.5,N($C$19)&gt;0,N(B148)&lt;=N($C$20)),D148*$F$8,0)</f>
        <v>0</v>
      </c>
      <c r="H148" s="41" t="n">
        <f aca="false">IF(D148&lt;=0.5,0,MIN(IF(N(I148)&gt;0,I148,$F$9),D148+E148+F148))</f>
        <v>0</v>
      </c>
      <c r="I148" s="77"/>
      <c r="J148" s="77"/>
      <c r="K148" s="41" t="n">
        <f aca="false">IF(D148&lt;=0.5,0,MIN(H148+N(J148),D148+E148+F148))</f>
        <v>0</v>
      </c>
      <c r="L148" s="41" t="n">
        <f aca="false">K148-E148-F148</f>
        <v>0</v>
      </c>
      <c r="M148" s="41" t="n">
        <f aca="false">D148-L148</f>
        <v>0</v>
      </c>
      <c r="N148" s="42" t="n">
        <f aca="false">K148-G148</f>
        <v>0</v>
      </c>
      <c r="O148" s="78"/>
      <c r="P148" s="79"/>
      <c r="Q148" s="16" t="str">
        <f aca="false">IF(K148=0,"",IF(R148=1,"Pagada",IF(C148&lt;$F$12,"Vencida",IF(122=$F$13,"Próxima","Pendiente"))))</f>
        <v/>
      </c>
      <c r="R148" s="62" t="n">
        <f aca="false">IF(AND(K148&gt;0,OR(O148="Sí",O148="Si")),1,0)</f>
        <v>0</v>
      </c>
      <c r="S148" s="62" t="n">
        <f aca="false">IF(AND(K148&gt;0,R148=0),1,0)</f>
        <v>0</v>
      </c>
    </row>
    <row r="149" customFormat="false" ht="15" hidden="false" customHeight="false" outlineLevel="0" collapsed="false">
      <c r="B149" s="71" t="str">
        <f aca="false">IF($F$6="Sí",N($C$11)+122,"")</f>
        <v/>
      </c>
      <c r="C149" s="72" t="str">
        <f aca="false">IF(OR($F$6&lt;&gt;"Sí",D149&lt;=0.5),"",EDATE($C$10,122))</f>
        <v/>
      </c>
      <c r="D149" s="41" t="n">
        <f aca="false">MAX(0,M148)</f>
        <v>0</v>
      </c>
      <c r="E149" s="41" t="n">
        <f aca="false">D149*$F$7</f>
        <v>0</v>
      </c>
      <c r="F149" s="41" t="n">
        <f aca="false">IF(D149&gt;0.5,N($C$15),0)</f>
        <v>0</v>
      </c>
      <c r="G149" s="41" t="n">
        <f aca="false">IF(AND(D149&gt;0.5,N($C$19)&gt;0,N(B149)&lt;=N($C$20)),D149*$F$8,0)</f>
        <v>0</v>
      </c>
      <c r="H149" s="41" t="n">
        <f aca="false">IF(D149&lt;=0.5,0,MIN(IF(N(I149)&gt;0,I149,$F$9),D149+E149+F149))</f>
        <v>0</v>
      </c>
      <c r="I149" s="77"/>
      <c r="J149" s="77"/>
      <c r="K149" s="41" t="n">
        <f aca="false">IF(D149&lt;=0.5,0,MIN(H149+N(J149),D149+E149+F149))</f>
        <v>0</v>
      </c>
      <c r="L149" s="41" t="n">
        <f aca="false">K149-E149-F149</f>
        <v>0</v>
      </c>
      <c r="M149" s="41" t="n">
        <f aca="false">D149-L149</f>
        <v>0</v>
      </c>
      <c r="N149" s="42" t="n">
        <f aca="false">K149-G149</f>
        <v>0</v>
      </c>
      <c r="O149" s="78"/>
      <c r="P149" s="79"/>
      <c r="Q149" s="16" t="str">
        <f aca="false">IF(K149=0,"",IF(R149=1,"Pagada",IF(C149&lt;$F$12,"Vencida",IF(123=$F$13,"Próxima","Pendiente"))))</f>
        <v/>
      </c>
      <c r="R149" s="62" t="n">
        <f aca="false">IF(AND(K149&gt;0,OR(O149="Sí",O149="Si")),1,0)</f>
        <v>0</v>
      </c>
      <c r="S149" s="62" t="n">
        <f aca="false">IF(AND(K149&gt;0,R149=0),1,0)</f>
        <v>0</v>
      </c>
    </row>
    <row r="150" customFormat="false" ht="15" hidden="false" customHeight="false" outlineLevel="0" collapsed="false">
      <c r="B150" s="71" t="str">
        <f aca="false">IF($F$6="Sí",N($C$11)+123,"")</f>
        <v/>
      </c>
      <c r="C150" s="72" t="str">
        <f aca="false">IF(OR($F$6&lt;&gt;"Sí",D150&lt;=0.5),"",EDATE($C$10,123))</f>
        <v/>
      </c>
      <c r="D150" s="41" t="n">
        <f aca="false">MAX(0,M149)</f>
        <v>0</v>
      </c>
      <c r="E150" s="41" t="n">
        <f aca="false">D150*$F$7</f>
        <v>0</v>
      </c>
      <c r="F150" s="41" t="n">
        <f aca="false">IF(D150&gt;0.5,N($C$15),0)</f>
        <v>0</v>
      </c>
      <c r="G150" s="41" t="n">
        <f aca="false">IF(AND(D150&gt;0.5,N($C$19)&gt;0,N(B150)&lt;=N($C$20)),D150*$F$8,0)</f>
        <v>0</v>
      </c>
      <c r="H150" s="41" t="n">
        <f aca="false">IF(D150&lt;=0.5,0,MIN(IF(N(I150)&gt;0,I150,$F$9),D150+E150+F150))</f>
        <v>0</v>
      </c>
      <c r="I150" s="77"/>
      <c r="J150" s="77"/>
      <c r="K150" s="41" t="n">
        <f aca="false">IF(D150&lt;=0.5,0,MIN(H150+N(J150),D150+E150+F150))</f>
        <v>0</v>
      </c>
      <c r="L150" s="41" t="n">
        <f aca="false">K150-E150-F150</f>
        <v>0</v>
      </c>
      <c r="M150" s="41" t="n">
        <f aca="false">D150-L150</f>
        <v>0</v>
      </c>
      <c r="N150" s="42" t="n">
        <f aca="false">K150-G150</f>
        <v>0</v>
      </c>
      <c r="O150" s="78"/>
      <c r="P150" s="79"/>
      <c r="Q150" s="16" t="str">
        <f aca="false">IF(K150=0,"",IF(R150=1,"Pagada",IF(C150&lt;$F$12,"Vencida",IF(124=$F$13,"Próxima","Pendiente"))))</f>
        <v/>
      </c>
      <c r="R150" s="62" t="n">
        <f aca="false">IF(AND(K150&gt;0,OR(O150="Sí",O150="Si")),1,0)</f>
        <v>0</v>
      </c>
      <c r="S150" s="62" t="n">
        <f aca="false">IF(AND(K150&gt;0,R150=0),1,0)</f>
        <v>0</v>
      </c>
    </row>
    <row r="151" customFormat="false" ht="15" hidden="false" customHeight="false" outlineLevel="0" collapsed="false">
      <c r="B151" s="71" t="str">
        <f aca="false">IF($F$6="Sí",N($C$11)+124,"")</f>
        <v/>
      </c>
      <c r="C151" s="72" t="str">
        <f aca="false">IF(OR($F$6&lt;&gt;"Sí",D151&lt;=0.5),"",EDATE($C$10,124))</f>
        <v/>
      </c>
      <c r="D151" s="41" t="n">
        <f aca="false">MAX(0,M150)</f>
        <v>0</v>
      </c>
      <c r="E151" s="41" t="n">
        <f aca="false">D151*$F$7</f>
        <v>0</v>
      </c>
      <c r="F151" s="41" t="n">
        <f aca="false">IF(D151&gt;0.5,N($C$15),0)</f>
        <v>0</v>
      </c>
      <c r="G151" s="41" t="n">
        <f aca="false">IF(AND(D151&gt;0.5,N($C$19)&gt;0,N(B151)&lt;=N($C$20)),D151*$F$8,0)</f>
        <v>0</v>
      </c>
      <c r="H151" s="41" t="n">
        <f aca="false">IF(D151&lt;=0.5,0,MIN(IF(N(I151)&gt;0,I151,$F$9),D151+E151+F151))</f>
        <v>0</v>
      </c>
      <c r="I151" s="77"/>
      <c r="J151" s="77"/>
      <c r="K151" s="41" t="n">
        <f aca="false">IF(D151&lt;=0.5,0,MIN(H151+N(J151),D151+E151+F151))</f>
        <v>0</v>
      </c>
      <c r="L151" s="41" t="n">
        <f aca="false">K151-E151-F151</f>
        <v>0</v>
      </c>
      <c r="M151" s="41" t="n">
        <f aca="false">D151-L151</f>
        <v>0</v>
      </c>
      <c r="N151" s="42" t="n">
        <f aca="false">K151-G151</f>
        <v>0</v>
      </c>
      <c r="O151" s="78"/>
      <c r="P151" s="79"/>
      <c r="Q151" s="16" t="str">
        <f aca="false">IF(K151=0,"",IF(R151=1,"Pagada",IF(C151&lt;$F$12,"Vencida",IF(125=$F$13,"Próxima","Pendiente"))))</f>
        <v/>
      </c>
      <c r="R151" s="62" t="n">
        <f aca="false">IF(AND(K151&gt;0,OR(O151="Sí",O151="Si")),1,0)</f>
        <v>0</v>
      </c>
      <c r="S151" s="62" t="n">
        <f aca="false">IF(AND(K151&gt;0,R151=0),1,0)</f>
        <v>0</v>
      </c>
    </row>
    <row r="152" customFormat="false" ht="15" hidden="false" customHeight="false" outlineLevel="0" collapsed="false">
      <c r="B152" s="71" t="str">
        <f aca="false">IF($F$6="Sí",N($C$11)+125,"")</f>
        <v/>
      </c>
      <c r="C152" s="72" t="str">
        <f aca="false">IF(OR($F$6&lt;&gt;"Sí",D152&lt;=0.5),"",EDATE($C$10,125))</f>
        <v/>
      </c>
      <c r="D152" s="41" t="n">
        <f aca="false">MAX(0,M151)</f>
        <v>0</v>
      </c>
      <c r="E152" s="41" t="n">
        <f aca="false">D152*$F$7</f>
        <v>0</v>
      </c>
      <c r="F152" s="41" t="n">
        <f aca="false">IF(D152&gt;0.5,N($C$15),0)</f>
        <v>0</v>
      </c>
      <c r="G152" s="41" t="n">
        <f aca="false">IF(AND(D152&gt;0.5,N($C$19)&gt;0,N(B152)&lt;=N($C$20)),D152*$F$8,0)</f>
        <v>0</v>
      </c>
      <c r="H152" s="41" t="n">
        <f aca="false">IF(D152&lt;=0.5,0,MIN(IF(N(I152)&gt;0,I152,$F$9),D152+E152+F152))</f>
        <v>0</v>
      </c>
      <c r="I152" s="77"/>
      <c r="J152" s="77"/>
      <c r="K152" s="41" t="n">
        <f aca="false">IF(D152&lt;=0.5,0,MIN(H152+N(J152),D152+E152+F152))</f>
        <v>0</v>
      </c>
      <c r="L152" s="41" t="n">
        <f aca="false">K152-E152-F152</f>
        <v>0</v>
      </c>
      <c r="M152" s="41" t="n">
        <f aca="false">D152-L152</f>
        <v>0</v>
      </c>
      <c r="N152" s="42" t="n">
        <f aca="false">K152-G152</f>
        <v>0</v>
      </c>
      <c r="O152" s="78"/>
      <c r="P152" s="79"/>
      <c r="Q152" s="16" t="str">
        <f aca="false">IF(K152=0,"",IF(R152=1,"Pagada",IF(C152&lt;$F$12,"Vencida",IF(126=$F$13,"Próxima","Pendiente"))))</f>
        <v/>
      </c>
      <c r="R152" s="62" t="n">
        <f aca="false">IF(AND(K152&gt;0,OR(O152="Sí",O152="Si")),1,0)</f>
        <v>0</v>
      </c>
      <c r="S152" s="62" t="n">
        <f aca="false">IF(AND(K152&gt;0,R152=0),1,0)</f>
        <v>0</v>
      </c>
    </row>
    <row r="153" customFormat="false" ht="15" hidden="false" customHeight="false" outlineLevel="0" collapsed="false">
      <c r="B153" s="71" t="str">
        <f aca="false">IF($F$6="Sí",N($C$11)+126,"")</f>
        <v/>
      </c>
      <c r="C153" s="72" t="str">
        <f aca="false">IF(OR($F$6&lt;&gt;"Sí",D153&lt;=0.5),"",EDATE($C$10,126))</f>
        <v/>
      </c>
      <c r="D153" s="41" t="n">
        <f aca="false">MAX(0,M152)</f>
        <v>0</v>
      </c>
      <c r="E153" s="41" t="n">
        <f aca="false">D153*$F$7</f>
        <v>0</v>
      </c>
      <c r="F153" s="41" t="n">
        <f aca="false">IF(D153&gt;0.5,N($C$15),0)</f>
        <v>0</v>
      </c>
      <c r="G153" s="41" t="n">
        <f aca="false">IF(AND(D153&gt;0.5,N($C$19)&gt;0,N(B153)&lt;=N($C$20)),D153*$F$8,0)</f>
        <v>0</v>
      </c>
      <c r="H153" s="41" t="n">
        <f aca="false">IF(D153&lt;=0.5,0,MIN(IF(N(I153)&gt;0,I153,$F$9),D153+E153+F153))</f>
        <v>0</v>
      </c>
      <c r="I153" s="77"/>
      <c r="J153" s="77"/>
      <c r="K153" s="41" t="n">
        <f aca="false">IF(D153&lt;=0.5,0,MIN(H153+N(J153),D153+E153+F153))</f>
        <v>0</v>
      </c>
      <c r="L153" s="41" t="n">
        <f aca="false">K153-E153-F153</f>
        <v>0</v>
      </c>
      <c r="M153" s="41" t="n">
        <f aca="false">D153-L153</f>
        <v>0</v>
      </c>
      <c r="N153" s="42" t="n">
        <f aca="false">K153-G153</f>
        <v>0</v>
      </c>
      <c r="O153" s="78"/>
      <c r="P153" s="79"/>
      <c r="Q153" s="16" t="str">
        <f aca="false">IF(K153=0,"",IF(R153=1,"Pagada",IF(C153&lt;$F$12,"Vencida",IF(127=$F$13,"Próxima","Pendiente"))))</f>
        <v/>
      </c>
      <c r="R153" s="62" t="n">
        <f aca="false">IF(AND(K153&gt;0,OR(O153="Sí",O153="Si")),1,0)</f>
        <v>0</v>
      </c>
      <c r="S153" s="62" t="n">
        <f aca="false">IF(AND(K153&gt;0,R153=0),1,0)</f>
        <v>0</v>
      </c>
    </row>
    <row r="154" customFormat="false" ht="15" hidden="false" customHeight="false" outlineLevel="0" collapsed="false">
      <c r="B154" s="71" t="str">
        <f aca="false">IF($F$6="Sí",N($C$11)+127,"")</f>
        <v/>
      </c>
      <c r="C154" s="72" t="str">
        <f aca="false">IF(OR($F$6&lt;&gt;"Sí",D154&lt;=0.5),"",EDATE($C$10,127))</f>
        <v/>
      </c>
      <c r="D154" s="41" t="n">
        <f aca="false">MAX(0,M153)</f>
        <v>0</v>
      </c>
      <c r="E154" s="41" t="n">
        <f aca="false">D154*$F$7</f>
        <v>0</v>
      </c>
      <c r="F154" s="41" t="n">
        <f aca="false">IF(D154&gt;0.5,N($C$15),0)</f>
        <v>0</v>
      </c>
      <c r="G154" s="41" t="n">
        <f aca="false">IF(AND(D154&gt;0.5,N($C$19)&gt;0,N(B154)&lt;=N($C$20)),D154*$F$8,0)</f>
        <v>0</v>
      </c>
      <c r="H154" s="41" t="n">
        <f aca="false">IF(D154&lt;=0.5,0,MIN(IF(N(I154)&gt;0,I154,$F$9),D154+E154+F154))</f>
        <v>0</v>
      </c>
      <c r="I154" s="77"/>
      <c r="J154" s="77"/>
      <c r="K154" s="41" t="n">
        <f aca="false">IF(D154&lt;=0.5,0,MIN(H154+N(J154),D154+E154+F154))</f>
        <v>0</v>
      </c>
      <c r="L154" s="41" t="n">
        <f aca="false">K154-E154-F154</f>
        <v>0</v>
      </c>
      <c r="M154" s="41" t="n">
        <f aca="false">D154-L154</f>
        <v>0</v>
      </c>
      <c r="N154" s="42" t="n">
        <f aca="false">K154-G154</f>
        <v>0</v>
      </c>
      <c r="O154" s="78"/>
      <c r="P154" s="79"/>
      <c r="Q154" s="16" t="str">
        <f aca="false">IF(K154=0,"",IF(R154=1,"Pagada",IF(C154&lt;$F$12,"Vencida",IF(128=$F$13,"Próxima","Pendiente"))))</f>
        <v/>
      </c>
      <c r="R154" s="62" t="n">
        <f aca="false">IF(AND(K154&gt;0,OR(O154="Sí",O154="Si")),1,0)</f>
        <v>0</v>
      </c>
      <c r="S154" s="62" t="n">
        <f aca="false">IF(AND(K154&gt;0,R154=0),1,0)</f>
        <v>0</v>
      </c>
    </row>
    <row r="155" customFormat="false" ht="15" hidden="false" customHeight="false" outlineLevel="0" collapsed="false">
      <c r="B155" s="71" t="str">
        <f aca="false">IF($F$6="Sí",N($C$11)+128,"")</f>
        <v/>
      </c>
      <c r="C155" s="72" t="str">
        <f aca="false">IF(OR($F$6&lt;&gt;"Sí",D155&lt;=0.5),"",EDATE($C$10,128))</f>
        <v/>
      </c>
      <c r="D155" s="41" t="n">
        <f aca="false">MAX(0,M154)</f>
        <v>0</v>
      </c>
      <c r="E155" s="41" t="n">
        <f aca="false">D155*$F$7</f>
        <v>0</v>
      </c>
      <c r="F155" s="41" t="n">
        <f aca="false">IF(D155&gt;0.5,N($C$15),0)</f>
        <v>0</v>
      </c>
      <c r="G155" s="41" t="n">
        <f aca="false">IF(AND(D155&gt;0.5,N($C$19)&gt;0,N(B155)&lt;=N($C$20)),D155*$F$8,0)</f>
        <v>0</v>
      </c>
      <c r="H155" s="41" t="n">
        <f aca="false">IF(D155&lt;=0.5,0,MIN(IF(N(I155)&gt;0,I155,$F$9),D155+E155+F155))</f>
        <v>0</v>
      </c>
      <c r="I155" s="77"/>
      <c r="J155" s="77"/>
      <c r="K155" s="41" t="n">
        <f aca="false">IF(D155&lt;=0.5,0,MIN(H155+N(J155),D155+E155+F155))</f>
        <v>0</v>
      </c>
      <c r="L155" s="41" t="n">
        <f aca="false">K155-E155-F155</f>
        <v>0</v>
      </c>
      <c r="M155" s="41" t="n">
        <f aca="false">D155-L155</f>
        <v>0</v>
      </c>
      <c r="N155" s="42" t="n">
        <f aca="false">K155-G155</f>
        <v>0</v>
      </c>
      <c r="O155" s="78"/>
      <c r="P155" s="79"/>
      <c r="Q155" s="16" t="str">
        <f aca="false">IF(K155=0,"",IF(R155=1,"Pagada",IF(C155&lt;$F$12,"Vencida",IF(129=$F$13,"Próxima","Pendiente"))))</f>
        <v/>
      </c>
      <c r="R155" s="62" t="n">
        <f aca="false">IF(AND(K155&gt;0,OR(O155="Sí",O155="Si")),1,0)</f>
        <v>0</v>
      </c>
      <c r="S155" s="62" t="n">
        <f aca="false">IF(AND(K155&gt;0,R155=0),1,0)</f>
        <v>0</v>
      </c>
    </row>
    <row r="156" customFormat="false" ht="15" hidden="false" customHeight="false" outlineLevel="0" collapsed="false">
      <c r="B156" s="71" t="str">
        <f aca="false">IF($F$6="Sí",N($C$11)+129,"")</f>
        <v/>
      </c>
      <c r="C156" s="72" t="str">
        <f aca="false">IF(OR($F$6&lt;&gt;"Sí",D156&lt;=0.5),"",EDATE($C$10,129))</f>
        <v/>
      </c>
      <c r="D156" s="41" t="n">
        <f aca="false">MAX(0,M155)</f>
        <v>0</v>
      </c>
      <c r="E156" s="41" t="n">
        <f aca="false">D156*$F$7</f>
        <v>0</v>
      </c>
      <c r="F156" s="41" t="n">
        <f aca="false">IF(D156&gt;0.5,N($C$15),0)</f>
        <v>0</v>
      </c>
      <c r="G156" s="41" t="n">
        <f aca="false">IF(AND(D156&gt;0.5,N($C$19)&gt;0,N(B156)&lt;=N($C$20)),D156*$F$8,0)</f>
        <v>0</v>
      </c>
      <c r="H156" s="41" t="n">
        <f aca="false">IF(D156&lt;=0.5,0,MIN(IF(N(I156)&gt;0,I156,$F$9),D156+E156+F156))</f>
        <v>0</v>
      </c>
      <c r="I156" s="77"/>
      <c r="J156" s="77"/>
      <c r="K156" s="41" t="n">
        <f aca="false">IF(D156&lt;=0.5,0,MIN(H156+N(J156),D156+E156+F156))</f>
        <v>0</v>
      </c>
      <c r="L156" s="41" t="n">
        <f aca="false">K156-E156-F156</f>
        <v>0</v>
      </c>
      <c r="M156" s="41" t="n">
        <f aca="false">D156-L156</f>
        <v>0</v>
      </c>
      <c r="N156" s="42" t="n">
        <f aca="false">K156-G156</f>
        <v>0</v>
      </c>
      <c r="O156" s="78"/>
      <c r="P156" s="79"/>
      <c r="Q156" s="16" t="str">
        <f aca="false">IF(K156=0,"",IF(R156=1,"Pagada",IF(C156&lt;$F$12,"Vencida",IF(130=$F$13,"Próxima","Pendiente"))))</f>
        <v/>
      </c>
      <c r="R156" s="62" t="n">
        <f aca="false">IF(AND(K156&gt;0,OR(O156="Sí",O156="Si")),1,0)</f>
        <v>0</v>
      </c>
      <c r="S156" s="62" t="n">
        <f aca="false">IF(AND(K156&gt;0,R156=0),1,0)</f>
        <v>0</v>
      </c>
    </row>
    <row r="157" customFormat="false" ht="15" hidden="false" customHeight="false" outlineLevel="0" collapsed="false">
      <c r="B157" s="71" t="str">
        <f aca="false">IF($F$6="Sí",N($C$11)+130,"")</f>
        <v/>
      </c>
      <c r="C157" s="72" t="str">
        <f aca="false">IF(OR($F$6&lt;&gt;"Sí",D157&lt;=0.5),"",EDATE($C$10,130))</f>
        <v/>
      </c>
      <c r="D157" s="41" t="n">
        <f aca="false">MAX(0,M156)</f>
        <v>0</v>
      </c>
      <c r="E157" s="41" t="n">
        <f aca="false">D157*$F$7</f>
        <v>0</v>
      </c>
      <c r="F157" s="41" t="n">
        <f aca="false">IF(D157&gt;0.5,N($C$15),0)</f>
        <v>0</v>
      </c>
      <c r="G157" s="41" t="n">
        <f aca="false">IF(AND(D157&gt;0.5,N($C$19)&gt;0,N(B157)&lt;=N($C$20)),D157*$F$8,0)</f>
        <v>0</v>
      </c>
      <c r="H157" s="41" t="n">
        <f aca="false">IF(D157&lt;=0.5,0,MIN(IF(N(I157)&gt;0,I157,$F$9),D157+E157+F157))</f>
        <v>0</v>
      </c>
      <c r="I157" s="77"/>
      <c r="J157" s="77"/>
      <c r="K157" s="41" t="n">
        <f aca="false">IF(D157&lt;=0.5,0,MIN(H157+N(J157),D157+E157+F157))</f>
        <v>0</v>
      </c>
      <c r="L157" s="41" t="n">
        <f aca="false">K157-E157-F157</f>
        <v>0</v>
      </c>
      <c r="M157" s="41" t="n">
        <f aca="false">D157-L157</f>
        <v>0</v>
      </c>
      <c r="N157" s="42" t="n">
        <f aca="false">K157-G157</f>
        <v>0</v>
      </c>
      <c r="O157" s="78"/>
      <c r="P157" s="79"/>
      <c r="Q157" s="16" t="str">
        <f aca="false">IF(K157=0,"",IF(R157=1,"Pagada",IF(C157&lt;$F$12,"Vencida",IF(131=$F$13,"Próxima","Pendiente"))))</f>
        <v/>
      </c>
      <c r="R157" s="62" t="n">
        <f aca="false">IF(AND(K157&gt;0,OR(O157="Sí",O157="Si")),1,0)</f>
        <v>0</v>
      </c>
      <c r="S157" s="62" t="n">
        <f aca="false">IF(AND(K157&gt;0,R157=0),1,0)</f>
        <v>0</v>
      </c>
    </row>
    <row r="158" customFormat="false" ht="15" hidden="false" customHeight="false" outlineLevel="0" collapsed="false">
      <c r="B158" s="71" t="str">
        <f aca="false">IF($F$6="Sí",N($C$11)+131,"")</f>
        <v/>
      </c>
      <c r="C158" s="72" t="str">
        <f aca="false">IF(OR($F$6&lt;&gt;"Sí",D158&lt;=0.5),"",EDATE($C$10,131))</f>
        <v/>
      </c>
      <c r="D158" s="41" t="n">
        <f aca="false">MAX(0,M157)</f>
        <v>0</v>
      </c>
      <c r="E158" s="41" t="n">
        <f aca="false">D158*$F$7</f>
        <v>0</v>
      </c>
      <c r="F158" s="41" t="n">
        <f aca="false">IF(D158&gt;0.5,N($C$15),0)</f>
        <v>0</v>
      </c>
      <c r="G158" s="41" t="n">
        <f aca="false">IF(AND(D158&gt;0.5,N($C$19)&gt;0,N(B158)&lt;=N($C$20)),D158*$F$8,0)</f>
        <v>0</v>
      </c>
      <c r="H158" s="41" t="n">
        <f aca="false">IF(D158&lt;=0.5,0,MIN(IF(N(I158)&gt;0,I158,$F$9),D158+E158+F158))</f>
        <v>0</v>
      </c>
      <c r="I158" s="77"/>
      <c r="J158" s="77"/>
      <c r="K158" s="41" t="n">
        <f aca="false">IF(D158&lt;=0.5,0,MIN(H158+N(J158),D158+E158+F158))</f>
        <v>0</v>
      </c>
      <c r="L158" s="41" t="n">
        <f aca="false">K158-E158-F158</f>
        <v>0</v>
      </c>
      <c r="M158" s="41" t="n">
        <f aca="false">D158-L158</f>
        <v>0</v>
      </c>
      <c r="N158" s="42" t="n">
        <f aca="false">K158-G158</f>
        <v>0</v>
      </c>
      <c r="O158" s="78"/>
      <c r="P158" s="79"/>
      <c r="Q158" s="16" t="str">
        <f aca="false">IF(K158=0,"",IF(R158=1,"Pagada",IF(C158&lt;$F$12,"Vencida",IF(132=$F$13,"Próxima","Pendiente"))))</f>
        <v/>
      </c>
      <c r="R158" s="62" t="n">
        <f aca="false">IF(AND(K158&gt;0,OR(O158="Sí",O158="Si")),1,0)</f>
        <v>0</v>
      </c>
      <c r="S158" s="62" t="n">
        <f aca="false">IF(AND(K158&gt;0,R158=0),1,0)</f>
        <v>0</v>
      </c>
    </row>
    <row r="159" customFormat="false" ht="15" hidden="false" customHeight="false" outlineLevel="0" collapsed="false">
      <c r="B159" s="71" t="str">
        <f aca="false">IF($F$6="Sí",N($C$11)+132,"")</f>
        <v/>
      </c>
      <c r="C159" s="72" t="str">
        <f aca="false">IF(OR($F$6&lt;&gt;"Sí",D159&lt;=0.5),"",EDATE($C$10,132))</f>
        <v/>
      </c>
      <c r="D159" s="41" t="n">
        <f aca="false">MAX(0,M158)</f>
        <v>0</v>
      </c>
      <c r="E159" s="41" t="n">
        <f aca="false">D159*$F$7</f>
        <v>0</v>
      </c>
      <c r="F159" s="41" t="n">
        <f aca="false">IF(D159&gt;0.5,N($C$15),0)</f>
        <v>0</v>
      </c>
      <c r="G159" s="41" t="n">
        <f aca="false">IF(AND(D159&gt;0.5,N($C$19)&gt;0,N(B159)&lt;=N($C$20)),D159*$F$8,0)</f>
        <v>0</v>
      </c>
      <c r="H159" s="41" t="n">
        <f aca="false">IF(D159&lt;=0.5,0,MIN(IF(N(I159)&gt;0,I159,$F$9),D159+E159+F159))</f>
        <v>0</v>
      </c>
      <c r="I159" s="77"/>
      <c r="J159" s="77"/>
      <c r="K159" s="41" t="n">
        <f aca="false">IF(D159&lt;=0.5,0,MIN(H159+N(J159),D159+E159+F159))</f>
        <v>0</v>
      </c>
      <c r="L159" s="41" t="n">
        <f aca="false">K159-E159-F159</f>
        <v>0</v>
      </c>
      <c r="M159" s="41" t="n">
        <f aca="false">D159-L159</f>
        <v>0</v>
      </c>
      <c r="N159" s="42" t="n">
        <f aca="false">K159-G159</f>
        <v>0</v>
      </c>
      <c r="O159" s="78"/>
      <c r="P159" s="79"/>
      <c r="Q159" s="16" t="str">
        <f aca="false">IF(K159=0,"",IF(R159=1,"Pagada",IF(C159&lt;$F$12,"Vencida",IF(133=$F$13,"Próxima","Pendiente"))))</f>
        <v/>
      </c>
      <c r="R159" s="62" t="n">
        <f aca="false">IF(AND(K159&gt;0,OR(O159="Sí",O159="Si")),1,0)</f>
        <v>0</v>
      </c>
      <c r="S159" s="62" t="n">
        <f aca="false">IF(AND(K159&gt;0,R159=0),1,0)</f>
        <v>0</v>
      </c>
    </row>
    <row r="160" customFormat="false" ht="15" hidden="false" customHeight="false" outlineLevel="0" collapsed="false">
      <c r="B160" s="71" t="str">
        <f aca="false">IF($F$6="Sí",N($C$11)+133,"")</f>
        <v/>
      </c>
      <c r="C160" s="72" t="str">
        <f aca="false">IF(OR($F$6&lt;&gt;"Sí",D160&lt;=0.5),"",EDATE($C$10,133))</f>
        <v/>
      </c>
      <c r="D160" s="41" t="n">
        <f aca="false">MAX(0,M159)</f>
        <v>0</v>
      </c>
      <c r="E160" s="41" t="n">
        <f aca="false">D160*$F$7</f>
        <v>0</v>
      </c>
      <c r="F160" s="41" t="n">
        <f aca="false">IF(D160&gt;0.5,N($C$15),0)</f>
        <v>0</v>
      </c>
      <c r="G160" s="41" t="n">
        <f aca="false">IF(AND(D160&gt;0.5,N($C$19)&gt;0,N(B160)&lt;=N($C$20)),D160*$F$8,0)</f>
        <v>0</v>
      </c>
      <c r="H160" s="41" t="n">
        <f aca="false">IF(D160&lt;=0.5,0,MIN(IF(N(I160)&gt;0,I160,$F$9),D160+E160+F160))</f>
        <v>0</v>
      </c>
      <c r="I160" s="77"/>
      <c r="J160" s="77"/>
      <c r="K160" s="41" t="n">
        <f aca="false">IF(D160&lt;=0.5,0,MIN(H160+N(J160),D160+E160+F160))</f>
        <v>0</v>
      </c>
      <c r="L160" s="41" t="n">
        <f aca="false">K160-E160-F160</f>
        <v>0</v>
      </c>
      <c r="M160" s="41" t="n">
        <f aca="false">D160-L160</f>
        <v>0</v>
      </c>
      <c r="N160" s="42" t="n">
        <f aca="false">K160-G160</f>
        <v>0</v>
      </c>
      <c r="O160" s="78"/>
      <c r="P160" s="79"/>
      <c r="Q160" s="16" t="str">
        <f aca="false">IF(K160=0,"",IF(R160=1,"Pagada",IF(C160&lt;$F$12,"Vencida",IF(134=$F$13,"Próxima","Pendiente"))))</f>
        <v/>
      </c>
      <c r="R160" s="62" t="n">
        <f aca="false">IF(AND(K160&gt;0,OR(O160="Sí",O160="Si")),1,0)</f>
        <v>0</v>
      </c>
      <c r="S160" s="62" t="n">
        <f aca="false">IF(AND(K160&gt;0,R160=0),1,0)</f>
        <v>0</v>
      </c>
    </row>
    <row r="161" customFormat="false" ht="15" hidden="false" customHeight="false" outlineLevel="0" collapsed="false">
      <c r="B161" s="71" t="str">
        <f aca="false">IF($F$6="Sí",N($C$11)+134,"")</f>
        <v/>
      </c>
      <c r="C161" s="72" t="str">
        <f aca="false">IF(OR($F$6&lt;&gt;"Sí",D161&lt;=0.5),"",EDATE($C$10,134))</f>
        <v/>
      </c>
      <c r="D161" s="41" t="n">
        <f aca="false">MAX(0,M160)</f>
        <v>0</v>
      </c>
      <c r="E161" s="41" t="n">
        <f aca="false">D161*$F$7</f>
        <v>0</v>
      </c>
      <c r="F161" s="41" t="n">
        <f aca="false">IF(D161&gt;0.5,N($C$15),0)</f>
        <v>0</v>
      </c>
      <c r="G161" s="41" t="n">
        <f aca="false">IF(AND(D161&gt;0.5,N($C$19)&gt;0,N(B161)&lt;=N($C$20)),D161*$F$8,0)</f>
        <v>0</v>
      </c>
      <c r="H161" s="41" t="n">
        <f aca="false">IF(D161&lt;=0.5,0,MIN(IF(N(I161)&gt;0,I161,$F$9),D161+E161+F161))</f>
        <v>0</v>
      </c>
      <c r="I161" s="77"/>
      <c r="J161" s="77"/>
      <c r="K161" s="41" t="n">
        <f aca="false">IF(D161&lt;=0.5,0,MIN(H161+N(J161),D161+E161+F161))</f>
        <v>0</v>
      </c>
      <c r="L161" s="41" t="n">
        <f aca="false">K161-E161-F161</f>
        <v>0</v>
      </c>
      <c r="M161" s="41" t="n">
        <f aca="false">D161-L161</f>
        <v>0</v>
      </c>
      <c r="N161" s="42" t="n">
        <f aca="false">K161-G161</f>
        <v>0</v>
      </c>
      <c r="O161" s="78"/>
      <c r="P161" s="79"/>
      <c r="Q161" s="16" t="str">
        <f aca="false">IF(K161=0,"",IF(R161=1,"Pagada",IF(C161&lt;$F$12,"Vencida",IF(135=$F$13,"Próxima","Pendiente"))))</f>
        <v/>
      </c>
      <c r="R161" s="62" t="n">
        <f aca="false">IF(AND(K161&gt;0,OR(O161="Sí",O161="Si")),1,0)</f>
        <v>0</v>
      </c>
      <c r="S161" s="62" t="n">
        <f aca="false">IF(AND(K161&gt;0,R161=0),1,0)</f>
        <v>0</v>
      </c>
    </row>
    <row r="162" customFormat="false" ht="15" hidden="false" customHeight="false" outlineLevel="0" collapsed="false">
      <c r="B162" s="71" t="str">
        <f aca="false">IF($F$6="Sí",N($C$11)+135,"")</f>
        <v/>
      </c>
      <c r="C162" s="72" t="str">
        <f aca="false">IF(OR($F$6&lt;&gt;"Sí",D162&lt;=0.5),"",EDATE($C$10,135))</f>
        <v/>
      </c>
      <c r="D162" s="41" t="n">
        <f aca="false">MAX(0,M161)</f>
        <v>0</v>
      </c>
      <c r="E162" s="41" t="n">
        <f aca="false">D162*$F$7</f>
        <v>0</v>
      </c>
      <c r="F162" s="41" t="n">
        <f aca="false">IF(D162&gt;0.5,N($C$15),0)</f>
        <v>0</v>
      </c>
      <c r="G162" s="41" t="n">
        <f aca="false">IF(AND(D162&gt;0.5,N($C$19)&gt;0,N(B162)&lt;=N($C$20)),D162*$F$8,0)</f>
        <v>0</v>
      </c>
      <c r="H162" s="41" t="n">
        <f aca="false">IF(D162&lt;=0.5,0,MIN(IF(N(I162)&gt;0,I162,$F$9),D162+E162+F162))</f>
        <v>0</v>
      </c>
      <c r="I162" s="77"/>
      <c r="J162" s="77"/>
      <c r="K162" s="41" t="n">
        <f aca="false">IF(D162&lt;=0.5,0,MIN(H162+N(J162),D162+E162+F162))</f>
        <v>0</v>
      </c>
      <c r="L162" s="41" t="n">
        <f aca="false">K162-E162-F162</f>
        <v>0</v>
      </c>
      <c r="M162" s="41" t="n">
        <f aca="false">D162-L162</f>
        <v>0</v>
      </c>
      <c r="N162" s="42" t="n">
        <f aca="false">K162-G162</f>
        <v>0</v>
      </c>
      <c r="O162" s="78"/>
      <c r="P162" s="79"/>
      <c r="Q162" s="16" t="str">
        <f aca="false">IF(K162=0,"",IF(R162=1,"Pagada",IF(C162&lt;$F$12,"Vencida",IF(136=$F$13,"Próxima","Pendiente"))))</f>
        <v/>
      </c>
      <c r="R162" s="62" t="n">
        <f aca="false">IF(AND(K162&gt;0,OR(O162="Sí",O162="Si")),1,0)</f>
        <v>0</v>
      </c>
      <c r="S162" s="62" t="n">
        <f aca="false">IF(AND(K162&gt;0,R162=0),1,0)</f>
        <v>0</v>
      </c>
    </row>
    <row r="163" customFormat="false" ht="15" hidden="false" customHeight="false" outlineLevel="0" collapsed="false">
      <c r="B163" s="71" t="str">
        <f aca="false">IF($F$6="Sí",N($C$11)+136,"")</f>
        <v/>
      </c>
      <c r="C163" s="72" t="str">
        <f aca="false">IF(OR($F$6&lt;&gt;"Sí",D163&lt;=0.5),"",EDATE($C$10,136))</f>
        <v/>
      </c>
      <c r="D163" s="41" t="n">
        <f aca="false">MAX(0,M162)</f>
        <v>0</v>
      </c>
      <c r="E163" s="41" t="n">
        <f aca="false">D163*$F$7</f>
        <v>0</v>
      </c>
      <c r="F163" s="41" t="n">
        <f aca="false">IF(D163&gt;0.5,N($C$15),0)</f>
        <v>0</v>
      </c>
      <c r="G163" s="41" t="n">
        <f aca="false">IF(AND(D163&gt;0.5,N($C$19)&gt;0,N(B163)&lt;=N($C$20)),D163*$F$8,0)</f>
        <v>0</v>
      </c>
      <c r="H163" s="41" t="n">
        <f aca="false">IF(D163&lt;=0.5,0,MIN(IF(N(I163)&gt;0,I163,$F$9),D163+E163+F163))</f>
        <v>0</v>
      </c>
      <c r="I163" s="77"/>
      <c r="J163" s="77"/>
      <c r="K163" s="41" t="n">
        <f aca="false">IF(D163&lt;=0.5,0,MIN(H163+N(J163),D163+E163+F163))</f>
        <v>0</v>
      </c>
      <c r="L163" s="41" t="n">
        <f aca="false">K163-E163-F163</f>
        <v>0</v>
      </c>
      <c r="M163" s="41" t="n">
        <f aca="false">D163-L163</f>
        <v>0</v>
      </c>
      <c r="N163" s="42" t="n">
        <f aca="false">K163-G163</f>
        <v>0</v>
      </c>
      <c r="O163" s="78"/>
      <c r="P163" s="79"/>
      <c r="Q163" s="16" t="str">
        <f aca="false">IF(K163=0,"",IF(R163=1,"Pagada",IF(C163&lt;$F$12,"Vencida",IF(137=$F$13,"Próxima","Pendiente"))))</f>
        <v/>
      </c>
      <c r="R163" s="62" t="n">
        <f aca="false">IF(AND(K163&gt;0,OR(O163="Sí",O163="Si")),1,0)</f>
        <v>0</v>
      </c>
      <c r="S163" s="62" t="n">
        <f aca="false">IF(AND(K163&gt;0,R163=0),1,0)</f>
        <v>0</v>
      </c>
    </row>
    <row r="164" customFormat="false" ht="15" hidden="false" customHeight="false" outlineLevel="0" collapsed="false">
      <c r="B164" s="71" t="str">
        <f aca="false">IF($F$6="Sí",N($C$11)+137,"")</f>
        <v/>
      </c>
      <c r="C164" s="72" t="str">
        <f aca="false">IF(OR($F$6&lt;&gt;"Sí",D164&lt;=0.5),"",EDATE($C$10,137))</f>
        <v/>
      </c>
      <c r="D164" s="41" t="n">
        <f aca="false">MAX(0,M163)</f>
        <v>0</v>
      </c>
      <c r="E164" s="41" t="n">
        <f aca="false">D164*$F$7</f>
        <v>0</v>
      </c>
      <c r="F164" s="41" t="n">
        <f aca="false">IF(D164&gt;0.5,N($C$15),0)</f>
        <v>0</v>
      </c>
      <c r="G164" s="41" t="n">
        <f aca="false">IF(AND(D164&gt;0.5,N($C$19)&gt;0,N(B164)&lt;=N($C$20)),D164*$F$8,0)</f>
        <v>0</v>
      </c>
      <c r="H164" s="41" t="n">
        <f aca="false">IF(D164&lt;=0.5,0,MIN(IF(N(I164)&gt;0,I164,$F$9),D164+E164+F164))</f>
        <v>0</v>
      </c>
      <c r="I164" s="77"/>
      <c r="J164" s="77"/>
      <c r="K164" s="41" t="n">
        <f aca="false">IF(D164&lt;=0.5,0,MIN(H164+N(J164),D164+E164+F164))</f>
        <v>0</v>
      </c>
      <c r="L164" s="41" t="n">
        <f aca="false">K164-E164-F164</f>
        <v>0</v>
      </c>
      <c r="M164" s="41" t="n">
        <f aca="false">D164-L164</f>
        <v>0</v>
      </c>
      <c r="N164" s="42" t="n">
        <f aca="false">K164-G164</f>
        <v>0</v>
      </c>
      <c r="O164" s="78"/>
      <c r="P164" s="79"/>
      <c r="Q164" s="16" t="str">
        <f aca="false">IF(K164=0,"",IF(R164=1,"Pagada",IF(C164&lt;$F$12,"Vencida",IF(138=$F$13,"Próxima","Pendiente"))))</f>
        <v/>
      </c>
      <c r="R164" s="62" t="n">
        <f aca="false">IF(AND(K164&gt;0,OR(O164="Sí",O164="Si")),1,0)</f>
        <v>0</v>
      </c>
      <c r="S164" s="62" t="n">
        <f aca="false">IF(AND(K164&gt;0,R164=0),1,0)</f>
        <v>0</v>
      </c>
    </row>
    <row r="165" customFormat="false" ht="15" hidden="false" customHeight="false" outlineLevel="0" collapsed="false">
      <c r="B165" s="71" t="str">
        <f aca="false">IF($F$6="Sí",N($C$11)+138,"")</f>
        <v/>
      </c>
      <c r="C165" s="72" t="str">
        <f aca="false">IF(OR($F$6&lt;&gt;"Sí",D165&lt;=0.5),"",EDATE($C$10,138))</f>
        <v/>
      </c>
      <c r="D165" s="41" t="n">
        <f aca="false">MAX(0,M164)</f>
        <v>0</v>
      </c>
      <c r="E165" s="41" t="n">
        <f aca="false">D165*$F$7</f>
        <v>0</v>
      </c>
      <c r="F165" s="41" t="n">
        <f aca="false">IF(D165&gt;0.5,N($C$15),0)</f>
        <v>0</v>
      </c>
      <c r="G165" s="41" t="n">
        <f aca="false">IF(AND(D165&gt;0.5,N($C$19)&gt;0,N(B165)&lt;=N($C$20)),D165*$F$8,0)</f>
        <v>0</v>
      </c>
      <c r="H165" s="41" t="n">
        <f aca="false">IF(D165&lt;=0.5,0,MIN(IF(N(I165)&gt;0,I165,$F$9),D165+E165+F165))</f>
        <v>0</v>
      </c>
      <c r="I165" s="77"/>
      <c r="J165" s="77"/>
      <c r="K165" s="41" t="n">
        <f aca="false">IF(D165&lt;=0.5,0,MIN(H165+N(J165),D165+E165+F165))</f>
        <v>0</v>
      </c>
      <c r="L165" s="41" t="n">
        <f aca="false">K165-E165-F165</f>
        <v>0</v>
      </c>
      <c r="M165" s="41" t="n">
        <f aca="false">D165-L165</f>
        <v>0</v>
      </c>
      <c r="N165" s="42" t="n">
        <f aca="false">K165-G165</f>
        <v>0</v>
      </c>
      <c r="O165" s="78"/>
      <c r="P165" s="79"/>
      <c r="Q165" s="16" t="str">
        <f aca="false">IF(K165=0,"",IF(R165=1,"Pagada",IF(C165&lt;$F$12,"Vencida",IF(139=$F$13,"Próxima","Pendiente"))))</f>
        <v/>
      </c>
      <c r="R165" s="62" t="n">
        <f aca="false">IF(AND(K165&gt;0,OR(O165="Sí",O165="Si")),1,0)</f>
        <v>0</v>
      </c>
      <c r="S165" s="62" t="n">
        <f aca="false">IF(AND(K165&gt;0,R165=0),1,0)</f>
        <v>0</v>
      </c>
    </row>
    <row r="166" customFormat="false" ht="15" hidden="false" customHeight="false" outlineLevel="0" collapsed="false">
      <c r="B166" s="71" t="str">
        <f aca="false">IF($F$6="Sí",N($C$11)+139,"")</f>
        <v/>
      </c>
      <c r="C166" s="72" t="str">
        <f aca="false">IF(OR($F$6&lt;&gt;"Sí",D166&lt;=0.5),"",EDATE($C$10,139))</f>
        <v/>
      </c>
      <c r="D166" s="41" t="n">
        <f aca="false">MAX(0,M165)</f>
        <v>0</v>
      </c>
      <c r="E166" s="41" t="n">
        <f aca="false">D166*$F$7</f>
        <v>0</v>
      </c>
      <c r="F166" s="41" t="n">
        <f aca="false">IF(D166&gt;0.5,N($C$15),0)</f>
        <v>0</v>
      </c>
      <c r="G166" s="41" t="n">
        <f aca="false">IF(AND(D166&gt;0.5,N($C$19)&gt;0,N(B166)&lt;=N($C$20)),D166*$F$8,0)</f>
        <v>0</v>
      </c>
      <c r="H166" s="41" t="n">
        <f aca="false">IF(D166&lt;=0.5,0,MIN(IF(N(I166)&gt;0,I166,$F$9),D166+E166+F166))</f>
        <v>0</v>
      </c>
      <c r="I166" s="77"/>
      <c r="J166" s="77"/>
      <c r="K166" s="41" t="n">
        <f aca="false">IF(D166&lt;=0.5,0,MIN(H166+N(J166),D166+E166+F166))</f>
        <v>0</v>
      </c>
      <c r="L166" s="41" t="n">
        <f aca="false">K166-E166-F166</f>
        <v>0</v>
      </c>
      <c r="M166" s="41" t="n">
        <f aca="false">D166-L166</f>
        <v>0</v>
      </c>
      <c r="N166" s="42" t="n">
        <f aca="false">K166-G166</f>
        <v>0</v>
      </c>
      <c r="O166" s="78"/>
      <c r="P166" s="79"/>
      <c r="Q166" s="16" t="str">
        <f aca="false">IF(K166=0,"",IF(R166=1,"Pagada",IF(C166&lt;$F$12,"Vencida",IF(140=$F$13,"Próxima","Pendiente"))))</f>
        <v/>
      </c>
      <c r="R166" s="62" t="n">
        <f aca="false">IF(AND(K166&gt;0,OR(O166="Sí",O166="Si")),1,0)</f>
        <v>0</v>
      </c>
      <c r="S166" s="62" t="n">
        <f aca="false">IF(AND(K166&gt;0,R166=0),1,0)</f>
        <v>0</v>
      </c>
    </row>
    <row r="167" customFormat="false" ht="15" hidden="false" customHeight="false" outlineLevel="0" collapsed="false">
      <c r="B167" s="71" t="str">
        <f aca="false">IF($F$6="Sí",N($C$11)+140,"")</f>
        <v/>
      </c>
      <c r="C167" s="72" t="str">
        <f aca="false">IF(OR($F$6&lt;&gt;"Sí",D167&lt;=0.5),"",EDATE($C$10,140))</f>
        <v/>
      </c>
      <c r="D167" s="41" t="n">
        <f aca="false">MAX(0,M166)</f>
        <v>0</v>
      </c>
      <c r="E167" s="41" t="n">
        <f aca="false">D167*$F$7</f>
        <v>0</v>
      </c>
      <c r="F167" s="41" t="n">
        <f aca="false">IF(D167&gt;0.5,N($C$15),0)</f>
        <v>0</v>
      </c>
      <c r="G167" s="41" t="n">
        <f aca="false">IF(AND(D167&gt;0.5,N($C$19)&gt;0,N(B167)&lt;=N($C$20)),D167*$F$8,0)</f>
        <v>0</v>
      </c>
      <c r="H167" s="41" t="n">
        <f aca="false">IF(D167&lt;=0.5,0,MIN(IF(N(I167)&gt;0,I167,$F$9),D167+E167+F167))</f>
        <v>0</v>
      </c>
      <c r="I167" s="77"/>
      <c r="J167" s="77"/>
      <c r="K167" s="41" t="n">
        <f aca="false">IF(D167&lt;=0.5,0,MIN(H167+N(J167),D167+E167+F167))</f>
        <v>0</v>
      </c>
      <c r="L167" s="41" t="n">
        <f aca="false">K167-E167-F167</f>
        <v>0</v>
      </c>
      <c r="M167" s="41" t="n">
        <f aca="false">D167-L167</f>
        <v>0</v>
      </c>
      <c r="N167" s="42" t="n">
        <f aca="false">K167-G167</f>
        <v>0</v>
      </c>
      <c r="O167" s="78"/>
      <c r="P167" s="79"/>
      <c r="Q167" s="16" t="str">
        <f aca="false">IF(K167=0,"",IF(R167=1,"Pagada",IF(C167&lt;$F$12,"Vencida",IF(141=$F$13,"Próxima","Pendiente"))))</f>
        <v/>
      </c>
      <c r="R167" s="62" t="n">
        <f aca="false">IF(AND(K167&gt;0,OR(O167="Sí",O167="Si")),1,0)</f>
        <v>0</v>
      </c>
      <c r="S167" s="62" t="n">
        <f aca="false">IF(AND(K167&gt;0,R167=0),1,0)</f>
        <v>0</v>
      </c>
    </row>
    <row r="168" customFormat="false" ht="15" hidden="false" customHeight="false" outlineLevel="0" collapsed="false">
      <c r="B168" s="71" t="str">
        <f aca="false">IF($F$6="Sí",N($C$11)+141,"")</f>
        <v/>
      </c>
      <c r="C168" s="72" t="str">
        <f aca="false">IF(OR($F$6&lt;&gt;"Sí",D168&lt;=0.5),"",EDATE($C$10,141))</f>
        <v/>
      </c>
      <c r="D168" s="41" t="n">
        <f aca="false">MAX(0,M167)</f>
        <v>0</v>
      </c>
      <c r="E168" s="41" t="n">
        <f aca="false">D168*$F$7</f>
        <v>0</v>
      </c>
      <c r="F168" s="41" t="n">
        <f aca="false">IF(D168&gt;0.5,N($C$15),0)</f>
        <v>0</v>
      </c>
      <c r="G168" s="41" t="n">
        <f aca="false">IF(AND(D168&gt;0.5,N($C$19)&gt;0,N(B168)&lt;=N($C$20)),D168*$F$8,0)</f>
        <v>0</v>
      </c>
      <c r="H168" s="41" t="n">
        <f aca="false">IF(D168&lt;=0.5,0,MIN(IF(N(I168)&gt;0,I168,$F$9),D168+E168+F168))</f>
        <v>0</v>
      </c>
      <c r="I168" s="77"/>
      <c r="J168" s="77"/>
      <c r="K168" s="41" t="n">
        <f aca="false">IF(D168&lt;=0.5,0,MIN(H168+N(J168),D168+E168+F168))</f>
        <v>0</v>
      </c>
      <c r="L168" s="41" t="n">
        <f aca="false">K168-E168-F168</f>
        <v>0</v>
      </c>
      <c r="M168" s="41" t="n">
        <f aca="false">D168-L168</f>
        <v>0</v>
      </c>
      <c r="N168" s="42" t="n">
        <f aca="false">K168-G168</f>
        <v>0</v>
      </c>
      <c r="O168" s="78"/>
      <c r="P168" s="79"/>
      <c r="Q168" s="16" t="str">
        <f aca="false">IF(K168=0,"",IF(R168=1,"Pagada",IF(C168&lt;$F$12,"Vencida",IF(142=$F$13,"Próxima","Pendiente"))))</f>
        <v/>
      </c>
      <c r="R168" s="62" t="n">
        <f aca="false">IF(AND(K168&gt;0,OR(O168="Sí",O168="Si")),1,0)</f>
        <v>0</v>
      </c>
      <c r="S168" s="62" t="n">
        <f aca="false">IF(AND(K168&gt;0,R168=0),1,0)</f>
        <v>0</v>
      </c>
    </row>
    <row r="169" customFormat="false" ht="15" hidden="false" customHeight="false" outlineLevel="0" collapsed="false">
      <c r="B169" s="71" t="str">
        <f aca="false">IF($F$6="Sí",N($C$11)+142,"")</f>
        <v/>
      </c>
      <c r="C169" s="72" t="str">
        <f aca="false">IF(OR($F$6&lt;&gt;"Sí",D169&lt;=0.5),"",EDATE($C$10,142))</f>
        <v/>
      </c>
      <c r="D169" s="41" t="n">
        <f aca="false">MAX(0,M168)</f>
        <v>0</v>
      </c>
      <c r="E169" s="41" t="n">
        <f aca="false">D169*$F$7</f>
        <v>0</v>
      </c>
      <c r="F169" s="41" t="n">
        <f aca="false">IF(D169&gt;0.5,N($C$15),0)</f>
        <v>0</v>
      </c>
      <c r="G169" s="41" t="n">
        <f aca="false">IF(AND(D169&gt;0.5,N($C$19)&gt;0,N(B169)&lt;=N($C$20)),D169*$F$8,0)</f>
        <v>0</v>
      </c>
      <c r="H169" s="41" t="n">
        <f aca="false">IF(D169&lt;=0.5,0,MIN(IF(N(I169)&gt;0,I169,$F$9),D169+E169+F169))</f>
        <v>0</v>
      </c>
      <c r="I169" s="77"/>
      <c r="J169" s="77"/>
      <c r="K169" s="41" t="n">
        <f aca="false">IF(D169&lt;=0.5,0,MIN(H169+N(J169),D169+E169+F169))</f>
        <v>0</v>
      </c>
      <c r="L169" s="41" t="n">
        <f aca="false">K169-E169-F169</f>
        <v>0</v>
      </c>
      <c r="M169" s="41" t="n">
        <f aca="false">D169-L169</f>
        <v>0</v>
      </c>
      <c r="N169" s="42" t="n">
        <f aca="false">K169-G169</f>
        <v>0</v>
      </c>
      <c r="O169" s="78"/>
      <c r="P169" s="79"/>
      <c r="Q169" s="16" t="str">
        <f aca="false">IF(K169=0,"",IF(R169=1,"Pagada",IF(C169&lt;$F$12,"Vencida",IF(143=$F$13,"Próxima","Pendiente"))))</f>
        <v/>
      </c>
      <c r="R169" s="62" t="n">
        <f aca="false">IF(AND(K169&gt;0,OR(O169="Sí",O169="Si")),1,0)</f>
        <v>0</v>
      </c>
      <c r="S169" s="62" t="n">
        <f aca="false">IF(AND(K169&gt;0,R169=0),1,0)</f>
        <v>0</v>
      </c>
    </row>
    <row r="170" customFormat="false" ht="15" hidden="false" customHeight="false" outlineLevel="0" collapsed="false">
      <c r="B170" s="71" t="str">
        <f aca="false">IF($F$6="Sí",N($C$11)+143,"")</f>
        <v/>
      </c>
      <c r="C170" s="72" t="str">
        <f aca="false">IF(OR($F$6&lt;&gt;"Sí",D170&lt;=0.5),"",EDATE($C$10,143))</f>
        <v/>
      </c>
      <c r="D170" s="41" t="n">
        <f aca="false">MAX(0,M169)</f>
        <v>0</v>
      </c>
      <c r="E170" s="41" t="n">
        <f aca="false">D170*$F$7</f>
        <v>0</v>
      </c>
      <c r="F170" s="41" t="n">
        <f aca="false">IF(D170&gt;0.5,N($C$15),0)</f>
        <v>0</v>
      </c>
      <c r="G170" s="41" t="n">
        <f aca="false">IF(AND(D170&gt;0.5,N($C$19)&gt;0,N(B170)&lt;=N($C$20)),D170*$F$8,0)</f>
        <v>0</v>
      </c>
      <c r="H170" s="41" t="n">
        <f aca="false">IF(D170&lt;=0.5,0,MIN(IF(N(I170)&gt;0,I170,$F$9),D170+E170+F170))</f>
        <v>0</v>
      </c>
      <c r="I170" s="77"/>
      <c r="J170" s="77"/>
      <c r="K170" s="41" t="n">
        <f aca="false">IF(D170&lt;=0.5,0,MIN(H170+N(J170),D170+E170+F170))</f>
        <v>0</v>
      </c>
      <c r="L170" s="41" t="n">
        <f aca="false">K170-E170-F170</f>
        <v>0</v>
      </c>
      <c r="M170" s="41" t="n">
        <f aca="false">D170-L170</f>
        <v>0</v>
      </c>
      <c r="N170" s="42" t="n">
        <f aca="false">K170-G170</f>
        <v>0</v>
      </c>
      <c r="O170" s="78"/>
      <c r="P170" s="79"/>
      <c r="Q170" s="16" t="str">
        <f aca="false">IF(K170=0,"",IF(R170=1,"Pagada",IF(C170&lt;$F$12,"Vencida",IF(144=$F$13,"Próxima","Pendiente"))))</f>
        <v/>
      </c>
      <c r="R170" s="62" t="n">
        <f aca="false">IF(AND(K170&gt;0,OR(O170="Sí",O170="Si")),1,0)</f>
        <v>0</v>
      </c>
      <c r="S170" s="62" t="n">
        <f aca="false">IF(AND(K170&gt;0,R170=0),1,0)</f>
        <v>0</v>
      </c>
    </row>
    <row r="171" customFormat="false" ht="15" hidden="false" customHeight="false" outlineLevel="0" collapsed="false">
      <c r="B171" s="71" t="str">
        <f aca="false">IF($F$6="Sí",N($C$11)+144,"")</f>
        <v/>
      </c>
      <c r="C171" s="72" t="str">
        <f aca="false">IF(OR($F$6&lt;&gt;"Sí",D171&lt;=0.5),"",EDATE($C$10,144))</f>
        <v/>
      </c>
      <c r="D171" s="41" t="n">
        <f aca="false">MAX(0,M170)</f>
        <v>0</v>
      </c>
      <c r="E171" s="41" t="n">
        <f aca="false">D171*$F$7</f>
        <v>0</v>
      </c>
      <c r="F171" s="41" t="n">
        <f aca="false">IF(D171&gt;0.5,N($C$15),0)</f>
        <v>0</v>
      </c>
      <c r="G171" s="41" t="n">
        <f aca="false">IF(AND(D171&gt;0.5,N($C$19)&gt;0,N(B171)&lt;=N($C$20)),D171*$F$8,0)</f>
        <v>0</v>
      </c>
      <c r="H171" s="41" t="n">
        <f aca="false">IF(D171&lt;=0.5,0,MIN(IF(N(I171)&gt;0,I171,$F$9),D171+E171+F171))</f>
        <v>0</v>
      </c>
      <c r="I171" s="77"/>
      <c r="J171" s="77"/>
      <c r="K171" s="41" t="n">
        <f aca="false">IF(D171&lt;=0.5,0,MIN(H171+N(J171),D171+E171+F171))</f>
        <v>0</v>
      </c>
      <c r="L171" s="41" t="n">
        <f aca="false">K171-E171-F171</f>
        <v>0</v>
      </c>
      <c r="M171" s="41" t="n">
        <f aca="false">D171-L171</f>
        <v>0</v>
      </c>
      <c r="N171" s="42" t="n">
        <f aca="false">K171-G171</f>
        <v>0</v>
      </c>
      <c r="O171" s="78"/>
      <c r="P171" s="79"/>
      <c r="Q171" s="16" t="str">
        <f aca="false">IF(K171=0,"",IF(R171=1,"Pagada",IF(C171&lt;$F$12,"Vencida",IF(145=$F$13,"Próxima","Pendiente"))))</f>
        <v/>
      </c>
      <c r="R171" s="62" t="n">
        <f aca="false">IF(AND(K171&gt;0,OR(O171="Sí",O171="Si")),1,0)</f>
        <v>0</v>
      </c>
      <c r="S171" s="62" t="n">
        <f aca="false">IF(AND(K171&gt;0,R171=0),1,0)</f>
        <v>0</v>
      </c>
    </row>
    <row r="172" customFormat="false" ht="15" hidden="false" customHeight="false" outlineLevel="0" collapsed="false">
      <c r="B172" s="71" t="str">
        <f aca="false">IF($F$6="Sí",N($C$11)+145,"")</f>
        <v/>
      </c>
      <c r="C172" s="72" t="str">
        <f aca="false">IF(OR($F$6&lt;&gt;"Sí",D172&lt;=0.5),"",EDATE($C$10,145))</f>
        <v/>
      </c>
      <c r="D172" s="41" t="n">
        <f aca="false">MAX(0,M171)</f>
        <v>0</v>
      </c>
      <c r="E172" s="41" t="n">
        <f aca="false">D172*$F$7</f>
        <v>0</v>
      </c>
      <c r="F172" s="41" t="n">
        <f aca="false">IF(D172&gt;0.5,N($C$15),0)</f>
        <v>0</v>
      </c>
      <c r="G172" s="41" t="n">
        <f aca="false">IF(AND(D172&gt;0.5,N($C$19)&gt;0,N(B172)&lt;=N($C$20)),D172*$F$8,0)</f>
        <v>0</v>
      </c>
      <c r="H172" s="41" t="n">
        <f aca="false">IF(D172&lt;=0.5,0,MIN(IF(N(I172)&gt;0,I172,$F$9),D172+E172+F172))</f>
        <v>0</v>
      </c>
      <c r="I172" s="77"/>
      <c r="J172" s="77"/>
      <c r="K172" s="41" t="n">
        <f aca="false">IF(D172&lt;=0.5,0,MIN(H172+N(J172),D172+E172+F172))</f>
        <v>0</v>
      </c>
      <c r="L172" s="41" t="n">
        <f aca="false">K172-E172-F172</f>
        <v>0</v>
      </c>
      <c r="M172" s="41" t="n">
        <f aca="false">D172-L172</f>
        <v>0</v>
      </c>
      <c r="N172" s="42" t="n">
        <f aca="false">K172-G172</f>
        <v>0</v>
      </c>
      <c r="O172" s="78"/>
      <c r="P172" s="79"/>
      <c r="Q172" s="16" t="str">
        <f aca="false">IF(K172=0,"",IF(R172=1,"Pagada",IF(C172&lt;$F$12,"Vencida",IF(146=$F$13,"Próxima","Pendiente"))))</f>
        <v/>
      </c>
      <c r="R172" s="62" t="n">
        <f aca="false">IF(AND(K172&gt;0,OR(O172="Sí",O172="Si")),1,0)</f>
        <v>0</v>
      </c>
      <c r="S172" s="62" t="n">
        <f aca="false">IF(AND(K172&gt;0,R172=0),1,0)</f>
        <v>0</v>
      </c>
    </row>
    <row r="173" customFormat="false" ht="15" hidden="false" customHeight="false" outlineLevel="0" collapsed="false">
      <c r="B173" s="71" t="str">
        <f aca="false">IF($F$6="Sí",N($C$11)+146,"")</f>
        <v/>
      </c>
      <c r="C173" s="72" t="str">
        <f aca="false">IF(OR($F$6&lt;&gt;"Sí",D173&lt;=0.5),"",EDATE($C$10,146))</f>
        <v/>
      </c>
      <c r="D173" s="41" t="n">
        <f aca="false">MAX(0,M172)</f>
        <v>0</v>
      </c>
      <c r="E173" s="41" t="n">
        <f aca="false">D173*$F$7</f>
        <v>0</v>
      </c>
      <c r="F173" s="41" t="n">
        <f aca="false">IF(D173&gt;0.5,N($C$15),0)</f>
        <v>0</v>
      </c>
      <c r="G173" s="41" t="n">
        <f aca="false">IF(AND(D173&gt;0.5,N($C$19)&gt;0,N(B173)&lt;=N($C$20)),D173*$F$8,0)</f>
        <v>0</v>
      </c>
      <c r="H173" s="41" t="n">
        <f aca="false">IF(D173&lt;=0.5,0,MIN(IF(N(I173)&gt;0,I173,$F$9),D173+E173+F173))</f>
        <v>0</v>
      </c>
      <c r="I173" s="77"/>
      <c r="J173" s="77"/>
      <c r="K173" s="41" t="n">
        <f aca="false">IF(D173&lt;=0.5,0,MIN(H173+N(J173),D173+E173+F173))</f>
        <v>0</v>
      </c>
      <c r="L173" s="41" t="n">
        <f aca="false">K173-E173-F173</f>
        <v>0</v>
      </c>
      <c r="M173" s="41" t="n">
        <f aca="false">D173-L173</f>
        <v>0</v>
      </c>
      <c r="N173" s="42" t="n">
        <f aca="false">K173-G173</f>
        <v>0</v>
      </c>
      <c r="O173" s="78"/>
      <c r="P173" s="79"/>
      <c r="Q173" s="16" t="str">
        <f aca="false">IF(K173=0,"",IF(R173=1,"Pagada",IF(C173&lt;$F$12,"Vencida",IF(147=$F$13,"Próxima","Pendiente"))))</f>
        <v/>
      </c>
      <c r="R173" s="62" t="n">
        <f aca="false">IF(AND(K173&gt;0,OR(O173="Sí",O173="Si")),1,0)</f>
        <v>0</v>
      </c>
      <c r="S173" s="62" t="n">
        <f aca="false">IF(AND(K173&gt;0,R173=0),1,0)</f>
        <v>0</v>
      </c>
    </row>
    <row r="174" customFormat="false" ht="15" hidden="false" customHeight="false" outlineLevel="0" collapsed="false">
      <c r="B174" s="71" t="str">
        <f aca="false">IF($F$6="Sí",N($C$11)+147,"")</f>
        <v/>
      </c>
      <c r="C174" s="72" t="str">
        <f aca="false">IF(OR($F$6&lt;&gt;"Sí",D174&lt;=0.5),"",EDATE($C$10,147))</f>
        <v/>
      </c>
      <c r="D174" s="41" t="n">
        <f aca="false">MAX(0,M173)</f>
        <v>0</v>
      </c>
      <c r="E174" s="41" t="n">
        <f aca="false">D174*$F$7</f>
        <v>0</v>
      </c>
      <c r="F174" s="41" t="n">
        <f aca="false">IF(D174&gt;0.5,N($C$15),0)</f>
        <v>0</v>
      </c>
      <c r="G174" s="41" t="n">
        <f aca="false">IF(AND(D174&gt;0.5,N($C$19)&gt;0,N(B174)&lt;=N($C$20)),D174*$F$8,0)</f>
        <v>0</v>
      </c>
      <c r="H174" s="41" t="n">
        <f aca="false">IF(D174&lt;=0.5,0,MIN(IF(N(I174)&gt;0,I174,$F$9),D174+E174+F174))</f>
        <v>0</v>
      </c>
      <c r="I174" s="77"/>
      <c r="J174" s="77"/>
      <c r="K174" s="41" t="n">
        <f aca="false">IF(D174&lt;=0.5,0,MIN(H174+N(J174),D174+E174+F174))</f>
        <v>0</v>
      </c>
      <c r="L174" s="41" t="n">
        <f aca="false">K174-E174-F174</f>
        <v>0</v>
      </c>
      <c r="M174" s="41" t="n">
        <f aca="false">D174-L174</f>
        <v>0</v>
      </c>
      <c r="N174" s="42" t="n">
        <f aca="false">K174-G174</f>
        <v>0</v>
      </c>
      <c r="O174" s="78"/>
      <c r="P174" s="79"/>
      <c r="Q174" s="16" t="str">
        <f aca="false">IF(K174=0,"",IF(R174=1,"Pagada",IF(C174&lt;$F$12,"Vencida",IF(148=$F$13,"Próxima","Pendiente"))))</f>
        <v/>
      </c>
      <c r="R174" s="62" t="n">
        <f aca="false">IF(AND(K174&gt;0,OR(O174="Sí",O174="Si")),1,0)</f>
        <v>0</v>
      </c>
      <c r="S174" s="62" t="n">
        <f aca="false">IF(AND(K174&gt;0,R174=0),1,0)</f>
        <v>0</v>
      </c>
    </row>
    <row r="175" customFormat="false" ht="15" hidden="false" customHeight="false" outlineLevel="0" collapsed="false">
      <c r="B175" s="71" t="str">
        <f aca="false">IF($F$6="Sí",N($C$11)+148,"")</f>
        <v/>
      </c>
      <c r="C175" s="72" t="str">
        <f aca="false">IF(OR($F$6&lt;&gt;"Sí",D175&lt;=0.5),"",EDATE($C$10,148))</f>
        <v/>
      </c>
      <c r="D175" s="41" t="n">
        <f aca="false">MAX(0,M174)</f>
        <v>0</v>
      </c>
      <c r="E175" s="41" t="n">
        <f aca="false">D175*$F$7</f>
        <v>0</v>
      </c>
      <c r="F175" s="41" t="n">
        <f aca="false">IF(D175&gt;0.5,N($C$15),0)</f>
        <v>0</v>
      </c>
      <c r="G175" s="41" t="n">
        <f aca="false">IF(AND(D175&gt;0.5,N($C$19)&gt;0,N(B175)&lt;=N($C$20)),D175*$F$8,0)</f>
        <v>0</v>
      </c>
      <c r="H175" s="41" t="n">
        <f aca="false">IF(D175&lt;=0.5,0,MIN(IF(N(I175)&gt;0,I175,$F$9),D175+E175+F175))</f>
        <v>0</v>
      </c>
      <c r="I175" s="77"/>
      <c r="J175" s="77"/>
      <c r="K175" s="41" t="n">
        <f aca="false">IF(D175&lt;=0.5,0,MIN(H175+N(J175),D175+E175+F175))</f>
        <v>0</v>
      </c>
      <c r="L175" s="41" t="n">
        <f aca="false">K175-E175-F175</f>
        <v>0</v>
      </c>
      <c r="M175" s="41" t="n">
        <f aca="false">D175-L175</f>
        <v>0</v>
      </c>
      <c r="N175" s="42" t="n">
        <f aca="false">K175-G175</f>
        <v>0</v>
      </c>
      <c r="O175" s="78"/>
      <c r="P175" s="79"/>
      <c r="Q175" s="16" t="str">
        <f aca="false">IF(K175=0,"",IF(R175=1,"Pagada",IF(C175&lt;$F$12,"Vencida",IF(149=$F$13,"Próxima","Pendiente"))))</f>
        <v/>
      </c>
      <c r="R175" s="62" t="n">
        <f aca="false">IF(AND(K175&gt;0,OR(O175="Sí",O175="Si")),1,0)</f>
        <v>0</v>
      </c>
      <c r="S175" s="62" t="n">
        <f aca="false">IF(AND(K175&gt;0,R175=0),1,0)</f>
        <v>0</v>
      </c>
    </row>
    <row r="176" customFormat="false" ht="15" hidden="false" customHeight="false" outlineLevel="0" collapsed="false">
      <c r="B176" s="71" t="str">
        <f aca="false">IF($F$6="Sí",N($C$11)+149,"")</f>
        <v/>
      </c>
      <c r="C176" s="72" t="str">
        <f aca="false">IF(OR($F$6&lt;&gt;"Sí",D176&lt;=0.5),"",EDATE($C$10,149))</f>
        <v/>
      </c>
      <c r="D176" s="41" t="n">
        <f aca="false">MAX(0,M175)</f>
        <v>0</v>
      </c>
      <c r="E176" s="41" t="n">
        <f aca="false">D176*$F$7</f>
        <v>0</v>
      </c>
      <c r="F176" s="41" t="n">
        <f aca="false">IF(D176&gt;0.5,N($C$15),0)</f>
        <v>0</v>
      </c>
      <c r="G176" s="41" t="n">
        <f aca="false">IF(AND(D176&gt;0.5,N($C$19)&gt;0,N(B176)&lt;=N($C$20)),D176*$F$8,0)</f>
        <v>0</v>
      </c>
      <c r="H176" s="41" t="n">
        <f aca="false">IF(D176&lt;=0.5,0,MIN(IF(N(I176)&gt;0,I176,$F$9),D176+E176+F176))</f>
        <v>0</v>
      </c>
      <c r="I176" s="77"/>
      <c r="J176" s="77"/>
      <c r="K176" s="41" t="n">
        <f aca="false">IF(D176&lt;=0.5,0,MIN(H176+N(J176),D176+E176+F176))</f>
        <v>0</v>
      </c>
      <c r="L176" s="41" t="n">
        <f aca="false">K176-E176-F176</f>
        <v>0</v>
      </c>
      <c r="M176" s="41" t="n">
        <f aca="false">D176-L176</f>
        <v>0</v>
      </c>
      <c r="N176" s="42" t="n">
        <f aca="false">K176-G176</f>
        <v>0</v>
      </c>
      <c r="O176" s="78"/>
      <c r="P176" s="79"/>
      <c r="Q176" s="16" t="str">
        <f aca="false">IF(K176=0,"",IF(R176=1,"Pagada",IF(C176&lt;$F$12,"Vencida",IF(150=$F$13,"Próxima","Pendiente"))))</f>
        <v/>
      </c>
      <c r="R176" s="62" t="n">
        <f aca="false">IF(AND(K176&gt;0,OR(O176="Sí",O176="Si")),1,0)</f>
        <v>0</v>
      </c>
      <c r="S176" s="62" t="n">
        <f aca="false">IF(AND(K176&gt;0,R176=0),1,0)</f>
        <v>0</v>
      </c>
    </row>
    <row r="177" customFormat="false" ht="15" hidden="false" customHeight="false" outlineLevel="0" collapsed="false">
      <c r="B177" s="71" t="str">
        <f aca="false">IF($F$6="Sí",N($C$11)+150,"")</f>
        <v/>
      </c>
      <c r="C177" s="72" t="str">
        <f aca="false">IF(OR($F$6&lt;&gt;"Sí",D177&lt;=0.5),"",EDATE($C$10,150))</f>
        <v/>
      </c>
      <c r="D177" s="41" t="n">
        <f aca="false">MAX(0,M176)</f>
        <v>0</v>
      </c>
      <c r="E177" s="41" t="n">
        <f aca="false">D177*$F$7</f>
        <v>0</v>
      </c>
      <c r="F177" s="41" t="n">
        <f aca="false">IF(D177&gt;0.5,N($C$15),0)</f>
        <v>0</v>
      </c>
      <c r="G177" s="41" t="n">
        <f aca="false">IF(AND(D177&gt;0.5,N($C$19)&gt;0,N(B177)&lt;=N($C$20)),D177*$F$8,0)</f>
        <v>0</v>
      </c>
      <c r="H177" s="41" t="n">
        <f aca="false">IF(D177&lt;=0.5,0,MIN(IF(N(I177)&gt;0,I177,$F$9),D177+E177+F177))</f>
        <v>0</v>
      </c>
      <c r="I177" s="77"/>
      <c r="J177" s="77"/>
      <c r="K177" s="41" t="n">
        <f aca="false">IF(D177&lt;=0.5,0,MIN(H177+N(J177),D177+E177+F177))</f>
        <v>0</v>
      </c>
      <c r="L177" s="41" t="n">
        <f aca="false">K177-E177-F177</f>
        <v>0</v>
      </c>
      <c r="M177" s="41" t="n">
        <f aca="false">D177-L177</f>
        <v>0</v>
      </c>
      <c r="N177" s="42" t="n">
        <f aca="false">K177-G177</f>
        <v>0</v>
      </c>
      <c r="O177" s="78"/>
      <c r="P177" s="79"/>
      <c r="Q177" s="16" t="str">
        <f aca="false">IF(K177=0,"",IF(R177=1,"Pagada",IF(C177&lt;$F$12,"Vencida",IF(151=$F$13,"Próxima","Pendiente"))))</f>
        <v/>
      </c>
      <c r="R177" s="62" t="n">
        <f aca="false">IF(AND(K177&gt;0,OR(O177="Sí",O177="Si")),1,0)</f>
        <v>0</v>
      </c>
      <c r="S177" s="62" t="n">
        <f aca="false">IF(AND(K177&gt;0,R177=0),1,0)</f>
        <v>0</v>
      </c>
    </row>
    <row r="178" customFormat="false" ht="15" hidden="false" customHeight="false" outlineLevel="0" collapsed="false">
      <c r="B178" s="71" t="str">
        <f aca="false">IF($F$6="Sí",N($C$11)+151,"")</f>
        <v/>
      </c>
      <c r="C178" s="72" t="str">
        <f aca="false">IF(OR($F$6&lt;&gt;"Sí",D178&lt;=0.5),"",EDATE($C$10,151))</f>
        <v/>
      </c>
      <c r="D178" s="41" t="n">
        <f aca="false">MAX(0,M177)</f>
        <v>0</v>
      </c>
      <c r="E178" s="41" t="n">
        <f aca="false">D178*$F$7</f>
        <v>0</v>
      </c>
      <c r="F178" s="41" t="n">
        <f aca="false">IF(D178&gt;0.5,N($C$15),0)</f>
        <v>0</v>
      </c>
      <c r="G178" s="41" t="n">
        <f aca="false">IF(AND(D178&gt;0.5,N($C$19)&gt;0,N(B178)&lt;=N($C$20)),D178*$F$8,0)</f>
        <v>0</v>
      </c>
      <c r="H178" s="41" t="n">
        <f aca="false">IF(D178&lt;=0.5,0,MIN(IF(N(I178)&gt;0,I178,$F$9),D178+E178+F178))</f>
        <v>0</v>
      </c>
      <c r="I178" s="77"/>
      <c r="J178" s="77"/>
      <c r="K178" s="41" t="n">
        <f aca="false">IF(D178&lt;=0.5,0,MIN(H178+N(J178),D178+E178+F178))</f>
        <v>0</v>
      </c>
      <c r="L178" s="41" t="n">
        <f aca="false">K178-E178-F178</f>
        <v>0</v>
      </c>
      <c r="M178" s="41" t="n">
        <f aca="false">D178-L178</f>
        <v>0</v>
      </c>
      <c r="N178" s="42" t="n">
        <f aca="false">K178-G178</f>
        <v>0</v>
      </c>
      <c r="O178" s="78"/>
      <c r="P178" s="79"/>
      <c r="Q178" s="16" t="str">
        <f aca="false">IF(K178=0,"",IF(R178=1,"Pagada",IF(C178&lt;$F$12,"Vencida",IF(152=$F$13,"Próxima","Pendiente"))))</f>
        <v/>
      </c>
      <c r="R178" s="62" t="n">
        <f aca="false">IF(AND(K178&gt;0,OR(O178="Sí",O178="Si")),1,0)</f>
        <v>0</v>
      </c>
      <c r="S178" s="62" t="n">
        <f aca="false">IF(AND(K178&gt;0,R178=0),1,0)</f>
        <v>0</v>
      </c>
    </row>
    <row r="179" customFormat="false" ht="15" hidden="false" customHeight="false" outlineLevel="0" collapsed="false">
      <c r="B179" s="71" t="str">
        <f aca="false">IF($F$6="Sí",N($C$11)+152,"")</f>
        <v/>
      </c>
      <c r="C179" s="72" t="str">
        <f aca="false">IF(OR($F$6&lt;&gt;"Sí",D179&lt;=0.5),"",EDATE($C$10,152))</f>
        <v/>
      </c>
      <c r="D179" s="41" t="n">
        <f aca="false">MAX(0,M178)</f>
        <v>0</v>
      </c>
      <c r="E179" s="41" t="n">
        <f aca="false">D179*$F$7</f>
        <v>0</v>
      </c>
      <c r="F179" s="41" t="n">
        <f aca="false">IF(D179&gt;0.5,N($C$15),0)</f>
        <v>0</v>
      </c>
      <c r="G179" s="41" t="n">
        <f aca="false">IF(AND(D179&gt;0.5,N($C$19)&gt;0,N(B179)&lt;=N($C$20)),D179*$F$8,0)</f>
        <v>0</v>
      </c>
      <c r="H179" s="41" t="n">
        <f aca="false">IF(D179&lt;=0.5,0,MIN(IF(N(I179)&gt;0,I179,$F$9),D179+E179+F179))</f>
        <v>0</v>
      </c>
      <c r="I179" s="77"/>
      <c r="J179" s="77"/>
      <c r="K179" s="41" t="n">
        <f aca="false">IF(D179&lt;=0.5,0,MIN(H179+N(J179),D179+E179+F179))</f>
        <v>0</v>
      </c>
      <c r="L179" s="41" t="n">
        <f aca="false">K179-E179-F179</f>
        <v>0</v>
      </c>
      <c r="M179" s="41" t="n">
        <f aca="false">D179-L179</f>
        <v>0</v>
      </c>
      <c r="N179" s="42" t="n">
        <f aca="false">K179-G179</f>
        <v>0</v>
      </c>
      <c r="O179" s="78"/>
      <c r="P179" s="79"/>
      <c r="Q179" s="16" t="str">
        <f aca="false">IF(K179=0,"",IF(R179=1,"Pagada",IF(C179&lt;$F$12,"Vencida",IF(153=$F$13,"Próxima","Pendiente"))))</f>
        <v/>
      </c>
      <c r="R179" s="62" t="n">
        <f aca="false">IF(AND(K179&gt;0,OR(O179="Sí",O179="Si")),1,0)</f>
        <v>0</v>
      </c>
      <c r="S179" s="62" t="n">
        <f aca="false">IF(AND(K179&gt;0,R179=0),1,0)</f>
        <v>0</v>
      </c>
    </row>
    <row r="180" customFormat="false" ht="15" hidden="false" customHeight="false" outlineLevel="0" collapsed="false">
      <c r="B180" s="71" t="str">
        <f aca="false">IF($F$6="Sí",N($C$11)+153,"")</f>
        <v/>
      </c>
      <c r="C180" s="72" t="str">
        <f aca="false">IF(OR($F$6&lt;&gt;"Sí",D180&lt;=0.5),"",EDATE($C$10,153))</f>
        <v/>
      </c>
      <c r="D180" s="41" t="n">
        <f aca="false">MAX(0,M179)</f>
        <v>0</v>
      </c>
      <c r="E180" s="41" t="n">
        <f aca="false">D180*$F$7</f>
        <v>0</v>
      </c>
      <c r="F180" s="41" t="n">
        <f aca="false">IF(D180&gt;0.5,N($C$15),0)</f>
        <v>0</v>
      </c>
      <c r="G180" s="41" t="n">
        <f aca="false">IF(AND(D180&gt;0.5,N($C$19)&gt;0,N(B180)&lt;=N($C$20)),D180*$F$8,0)</f>
        <v>0</v>
      </c>
      <c r="H180" s="41" t="n">
        <f aca="false">IF(D180&lt;=0.5,0,MIN(IF(N(I180)&gt;0,I180,$F$9),D180+E180+F180))</f>
        <v>0</v>
      </c>
      <c r="I180" s="77"/>
      <c r="J180" s="77"/>
      <c r="K180" s="41" t="n">
        <f aca="false">IF(D180&lt;=0.5,0,MIN(H180+N(J180),D180+E180+F180))</f>
        <v>0</v>
      </c>
      <c r="L180" s="41" t="n">
        <f aca="false">K180-E180-F180</f>
        <v>0</v>
      </c>
      <c r="M180" s="41" t="n">
        <f aca="false">D180-L180</f>
        <v>0</v>
      </c>
      <c r="N180" s="42" t="n">
        <f aca="false">K180-G180</f>
        <v>0</v>
      </c>
      <c r="O180" s="78"/>
      <c r="P180" s="79"/>
      <c r="Q180" s="16" t="str">
        <f aca="false">IF(K180=0,"",IF(R180=1,"Pagada",IF(C180&lt;$F$12,"Vencida",IF(154=$F$13,"Próxima","Pendiente"))))</f>
        <v/>
      </c>
      <c r="R180" s="62" t="n">
        <f aca="false">IF(AND(K180&gt;0,OR(O180="Sí",O180="Si")),1,0)</f>
        <v>0</v>
      </c>
      <c r="S180" s="62" t="n">
        <f aca="false">IF(AND(K180&gt;0,R180=0),1,0)</f>
        <v>0</v>
      </c>
    </row>
    <row r="181" customFormat="false" ht="15" hidden="false" customHeight="false" outlineLevel="0" collapsed="false">
      <c r="B181" s="71" t="str">
        <f aca="false">IF($F$6="Sí",N($C$11)+154,"")</f>
        <v/>
      </c>
      <c r="C181" s="72" t="str">
        <f aca="false">IF(OR($F$6&lt;&gt;"Sí",D181&lt;=0.5),"",EDATE($C$10,154))</f>
        <v/>
      </c>
      <c r="D181" s="41" t="n">
        <f aca="false">MAX(0,M180)</f>
        <v>0</v>
      </c>
      <c r="E181" s="41" t="n">
        <f aca="false">D181*$F$7</f>
        <v>0</v>
      </c>
      <c r="F181" s="41" t="n">
        <f aca="false">IF(D181&gt;0.5,N($C$15),0)</f>
        <v>0</v>
      </c>
      <c r="G181" s="41" t="n">
        <f aca="false">IF(AND(D181&gt;0.5,N($C$19)&gt;0,N(B181)&lt;=N($C$20)),D181*$F$8,0)</f>
        <v>0</v>
      </c>
      <c r="H181" s="41" t="n">
        <f aca="false">IF(D181&lt;=0.5,0,MIN(IF(N(I181)&gt;0,I181,$F$9),D181+E181+F181))</f>
        <v>0</v>
      </c>
      <c r="I181" s="77"/>
      <c r="J181" s="77"/>
      <c r="K181" s="41" t="n">
        <f aca="false">IF(D181&lt;=0.5,0,MIN(H181+N(J181),D181+E181+F181))</f>
        <v>0</v>
      </c>
      <c r="L181" s="41" t="n">
        <f aca="false">K181-E181-F181</f>
        <v>0</v>
      </c>
      <c r="M181" s="41" t="n">
        <f aca="false">D181-L181</f>
        <v>0</v>
      </c>
      <c r="N181" s="42" t="n">
        <f aca="false">K181-G181</f>
        <v>0</v>
      </c>
      <c r="O181" s="78"/>
      <c r="P181" s="79"/>
      <c r="Q181" s="16" t="str">
        <f aca="false">IF(K181=0,"",IF(R181=1,"Pagada",IF(C181&lt;$F$12,"Vencida",IF(155=$F$13,"Próxima","Pendiente"))))</f>
        <v/>
      </c>
      <c r="R181" s="62" t="n">
        <f aca="false">IF(AND(K181&gt;0,OR(O181="Sí",O181="Si")),1,0)</f>
        <v>0</v>
      </c>
      <c r="S181" s="62" t="n">
        <f aca="false">IF(AND(K181&gt;0,R181=0),1,0)</f>
        <v>0</v>
      </c>
    </row>
    <row r="182" customFormat="false" ht="15" hidden="false" customHeight="false" outlineLevel="0" collapsed="false">
      <c r="B182" s="71" t="str">
        <f aca="false">IF($F$6="Sí",N($C$11)+155,"")</f>
        <v/>
      </c>
      <c r="C182" s="72" t="str">
        <f aca="false">IF(OR($F$6&lt;&gt;"Sí",D182&lt;=0.5),"",EDATE($C$10,155))</f>
        <v/>
      </c>
      <c r="D182" s="41" t="n">
        <f aca="false">MAX(0,M181)</f>
        <v>0</v>
      </c>
      <c r="E182" s="41" t="n">
        <f aca="false">D182*$F$7</f>
        <v>0</v>
      </c>
      <c r="F182" s="41" t="n">
        <f aca="false">IF(D182&gt;0.5,N($C$15),0)</f>
        <v>0</v>
      </c>
      <c r="G182" s="41" t="n">
        <f aca="false">IF(AND(D182&gt;0.5,N($C$19)&gt;0,N(B182)&lt;=N($C$20)),D182*$F$8,0)</f>
        <v>0</v>
      </c>
      <c r="H182" s="41" t="n">
        <f aca="false">IF(D182&lt;=0.5,0,MIN(IF(N(I182)&gt;0,I182,$F$9),D182+E182+F182))</f>
        <v>0</v>
      </c>
      <c r="I182" s="77"/>
      <c r="J182" s="77"/>
      <c r="K182" s="41" t="n">
        <f aca="false">IF(D182&lt;=0.5,0,MIN(H182+N(J182),D182+E182+F182))</f>
        <v>0</v>
      </c>
      <c r="L182" s="41" t="n">
        <f aca="false">K182-E182-F182</f>
        <v>0</v>
      </c>
      <c r="M182" s="41" t="n">
        <f aca="false">D182-L182</f>
        <v>0</v>
      </c>
      <c r="N182" s="42" t="n">
        <f aca="false">K182-G182</f>
        <v>0</v>
      </c>
      <c r="O182" s="78"/>
      <c r="P182" s="79"/>
      <c r="Q182" s="16" t="str">
        <f aca="false">IF(K182=0,"",IF(R182=1,"Pagada",IF(C182&lt;$F$12,"Vencida",IF(156=$F$13,"Próxima","Pendiente"))))</f>
        <v/>
      </c>
      <c r="R182" s="62" t="n">
        <f aca="false">IF(AND(K182&gt;0,OR(O182="Sí",O182="Si")),1,0)</f>
        <v>0</v>
      </c>
      <c r="S182" s="62" t="n">
        <f aca="false">IF(AND(K182&gt;0,R182=0),1,0)</f>
        <v>0</v>
      </c>
    </row>
    <row r="183" customFormat="false" ht="15" hidden="false" customHeight="false" outlineLevel="0" collapsed="false">
      <c r="B183" s="71" t="str">
        <f aca="false">IF($F$6="Sí",N($C$11)+156,"")</f>
        <v/>
      </c>
      <c r="C183" s="72" t="str">
        <f aca="false">IF(OR($F$6&lt;&gt;"Sí",D183&lt;=0.5),"",EDATE($C$10,156))</f>
        <v/>
      </c>
      <c r="D183" s="41" t="n">
        <f aca="false">MAX(0,M182)</f>
        <v>0</v>
      </c>
      <c r="E183" s="41" t="n">
        <f aca="false">D183*$F$7</f>
        <v>0</v>
      </c>
      <c r="F183" s="41" t="n">
        <f aca="false">IF(D183&gt;0.5,N($C$15),0)</f>
        <v>0</v>
      </c>
      <c r="G183" s="41" t="n">
        <f aca="false">IF(AND(D183&gt;0.5,N($C$19)&gt;0,N(B183)&lt;=N($C$20)),D183*$F$8,0)</f>
        <v>0</v>
      </c>
      <c r="H183" s="41" t="n">
        <f aca="false">IF(D183&lt;=0.5,0,MIN(IF(N(I183)&gt;0,I183,$F$9),D183+E183+F183))</f>
        <v>0</v>
      </c>
      <c r="I183" s="77"/>
      <c r="J183" s="77"/>
      <c r="K183" s="41" t="n">
        <f aca="false">IF(D183&lt;=0.5,0,MIN(H183+N(J183),D183+E183+F183))</f>
        <v>0</v>
      </c>
      <c r="L183" s="41" t="n">
        <f aca="false">K183-E183-F183</f>
        <v>0</v>
      </c>
      <c r="M183" s="41" t="n">
        <f aca="false">D183-L183</f>
        <v>0</v>
      </c>
      <c r="N183" s="42" t="n">
        <f aca="false">K183-G183</f>
        <v>0</v>
      </c>
      <c r="O183" s="78"/>
      <c r="P183" s="79"/>
      <c r="Q183" s="16" t="str">
        <f aca="false">IF(K183=0,"",IF(R183=1,"Pagada",IF(C183&lt;$F$12,"Vencida",IF(157=$F$13,"Próxima","Pendiente"))))</f>
        <v/>
      </c>
      <c r="R183" s="62" t="n">
        <f aca="false">IF(AND(K183&gt;0,OR(O183="Sí",O183="Si")),1,0)</f>
        <v>0</v>
      </c>
      <c r="S183" s="62" t="n">
        <f aca="false">IF(AND(K183&gt;0,R183=0),1,0)</f>
        <v>0</v>
      </c>
    </row>
    <row r="184" customFormat="false" ht="15" hidden="false" customHeight="false" outlineLevel="0" collapsed="false">
      <c r="B184" s="71" t="str">
        <f aca="false">IF($F$6="Sí",N($C$11)+157,"")</f>
        <v/>
      </c>
      <c r="C184" s="72" t="str">
        <f aca="false">IF(OR($F$6&lt;&gt;"Sí",D184&lt;=0.5),"",EDATE($C$10,157))</f>
        <v/>
      </c>
      <c r="D184" s="41" t="n">
        <f aca="false">MAX(0,M183)</f>
        <v>0</v>
      </c>
      <c r="E184" s="41" t="n">
        <f aca="false">D184*$F$7</f>
        <v>0</v>
      </c>
      <c r="F184" s="41" t="n">
        <f aca="false">IF(D184&gt;0.5,N($C$15),0)</f>
        <v>0</v>
      </c>
      <c r="G184" s="41" t="n">
        <f aca="false">IF(AND(D184&gt;0.5,N($C$19)&gt;0,N(B184)&lt;=N($C$20)),D184*$F$8,0)</f>
        <v>0</v>
      </c>
      <c r="H184" s="41" t="n">
        <f aca="false">IF(D184&lt;=0.5,0,MIN(IF(N(I184)&gt;0,I184,$F$9),D184+E184+F184))</f>
        <v>0</v>
      </c>
      <c r="I184" s="77"/>
      <c r="J184" s="77"/>
      <c r="K184" s="41" t="n">
        <f aca="false">IF(D184&lt;=0.5,0,MIN(H184+N(J184),D184+E184+F184))</f>
        <v>0</v>
      </c>
      <c r="L184" s="41" t="n">
        <f aca="false">K184-E184-F184</f>
        <v>0</v>
      </c>
      <c r="M184" s="41" t="n">
        <f aca="false">D184-L184</f>
        <v>0</v>
      </c>
      <c r="N184" s="42" t="n">
        <f aca="false">K184-G184</f>
        <v>0</v>
      </c>
      <c r="O184" s="78"/>
      <c r="P184" s="79"/>
      <c r="Q184" s="16" t="str">
        <f aca="false">IF(K184=0,"",IF(R184=1,"Pagada",IF(C184&lt;$F$12,"Vencida",IF(158=$F$13,"Próxima","Pendiente"))))</f>
        <v/>
      </c>
      <c r="R184" s="62" t="n">
        <f aca="false">IF(AND(K184&gt;0,OR(O184="Sí",O184="Si")),1,0)</f>
        <v>0</v>
      </c>
      <c r="S184" s="62" t="n">
        <f aca="false">IF(AND(K184&gt;0,R184=0),1,0)</f>
        <v>0</v>
      </c>
    </row>
    <row r="185" customFormat="false" ht="15" hidden="false" customHeight="false" outlineLevel="0" collapsed="false">
      <c r="B185" s="71" t="str">
        <f aca="false">IF($F$6="Sí",N($C$11)+158,"")</f>
        <v/>
      </c>
      <c r="C185" s="72" t="str">
        <f aca="false">IF(OR($F$6&lt;&gt;"Sí",D185&lt;=0.5),"",EDATE($C$10,158))</f>
        <v/>
      </c>
      <c r="D185" s="41" t="n">
        <f aca="false">MAX(0,M184)</f>
        <v>0</v>
      </c>
      <c r="E185" s="41" t="n">
        <f aca="false">D185*$F$7</f>
        <v>0</v>
      </c>
      <c r="F185" s="41" t="n">
        <f aca="false">IF(D185&gt;0.5,N($C$15),0)</f>
        <v>0</v>
      </c>
      <c r="G185" s="41" t="n">
        <f aca="false">IF(AND(D185&gt;0.5,N($C$19)&gt;0,N(B185)&lt;=N($C$20)),D185*$F$8,0)</f>
        <v>0</v>
      </c>
      <c r="H185" s="41" t="n">
        <f aca="false">IF(D185&lt;=0.5,0,MIN(IF(N(I185)&gt;0,I185,$F$9),D185+E185+F185))</f>
        <v>0</v>
      </c>
      <c r="I185" s="77"/>
      <c r="J185" s="77"/>
      <c r="K185" s="41" t="n">
        <f aca="false">IF(D185&lt;=0.5,0,MIN(H185+N(J185),D185+E185+F185))</f>
        <v>0</v>
      </c>
      <c r="L185" s="41" t="n">
        <f aca="false">K185-E185-F185</f>
        <v>0</v>
      </c>
      <c r="M185" s="41" t="n">
        <f aca="false">D185-L185</f>
        <v>0</v>
      </c>
      <c r="N185" s="42" t="n">
        <f aca="false">K185-G185</f>
        <v>0</v>
      </c>
      <c r="O185" s="78"/>
      <c r="P185" s="79"/>
      <c r="Q185" s="16" t="str">
        <f aca="false">IF(K185=0,"",IF(R185=1,"Pagada",IF(C185&lt;$F$12,"Vencida",IF(159=$F$13,"Próxima","Pendiente"))))</f>
        <v/>
      </c>
      <c r="R185" s="62" t="n">
        <f aca="false">IF(AND(K185&gt;0,OR(O185="Sí",O185="Si")),1,0)</f>
        <v>0</v>
      </c>
      <c r="S185" s="62" t="n">
        <f aca="false">IF(AND(K185&gt;0,R185=0),1,0)</f>
        <v>0</v>
      </c>
    </row>
    <row r="186" customFormat="false" ht="15" hidden="false" customHeight="false" outlineLevel="0" collapsed="false">
      <c r="B186" s="71" t="str">
        <f aca="false">IF($F$6="Sí",N($C$11)+159,"")</f>
        <v/>
      </c>
      <c r="C186" s="72" t="str">
        <f aca="false">IF(OR($F$6&lt;&gt;"Sí",D186&lt;=0.5),"",EDATE($C$10,159))</f>
        <v/>
      </c>
      <c r="D186" s="41" t="n">
        <f aca="false">MAX(0,M185)</f>
        <v>0</v>
      </c>
      <c r="E186" s="41" t="n">
        <f aca="false">D186*$F$7</f>
        <v>0</v>
      </c>
      <c r="F186" s="41" t="n">
        <f aca="false">IF(D186&gt;0.5,N($C$15),0)</f>
        <v>0</v>
      </c>
      <c r="G186" s="41" t="n">
        <f aca="false">IF(AND(D186&gt;0.5,N($C$19)&gt;0,N(B186)&lt;=N($C$20)),D186*$F$8,0)</f>
        <v>0</v>
      </c>
      <c r="H186" s="41" t="n">
        <f aca="false">IF(D186&lt;=0.5,0,MIN(IF(N(I186)&gt;0,I186,$F$9),D186+E186+F186))</f>
        <v>0</v>
      </c>
      <c r="I186" s="77"/>
      <c r="J186" s="77"/>
      <c r="K186" s="41" t="n">
        <f aca="false">IF(D186&lt;=0.5,0,MIN(H186+N(J186),D186+E186+F186))</f>
        <v>0</v>
      </c>
      <c r="L186" s="41" t="n">
        <f aca="false">K186-E186-F186</f>
        <v>0</v>
      </c>
      <c r="M186" s="41" t="n">
        <f aca="false">D186-L186</f>
        <v>0</v>
      </c>
      <c r="N186" s="42" t="n">
        <f aca="false">K186-G186</f>
        <v>0</v>
      </c>
      <c r="O186" s="78"/>
      <c r="P186" s="79"/>
      <c r="Q186" s="16" t="str">
        <f aca="false">IF(K186=0,"",IF(R186=1,"Pagada",IF(C186&lt;$F$12,"Vencida",IF(160=$F$13,"Próxima","Pendiente"))))</f>
        <v/>
      </c>
      <c r="R186" s="62" t="n">
        <f aca="false">IF(AND(K186&gt;0,OR(O186="Sí",O186="Si")),1,0)</f>
        <v>0</v>
      </c>
      <c r="S186" s="62" t="n">
        <f aca="false">IF(AND(K186&gt;0,R186=0),1,0)</f>
        <v>0</v>
      </c>
    </row>
    <row r="187" customFormat="false" ht="15" hidden="false" customHeight="false" outlineLevel="0" collapsed="false">
      <c r="B187" s="71" t="str">
        <f aca="false">IF($F$6="Sí",N($C$11)+160,"")</f>
        <v/>
      </c>
      <c r="C187" s="72" t="str">
        <f aca="false">IF(OR($F$6&lt;&gt;"Sí",D187&lt;=0.5),"",EDATE($C$10,160))</f>
        <v/>
      </c>
      <c r="D187" s="41" t="n">
        <f aca="false">MAX(0,M186)</f>
        <v>0</v>
      </c>
      <c r="E187" s="41" t="n">
        <f aca="false">D187*$F$7</f>
        <v>0</v>
      </c>
      <c r="F187" s="41" t="n">
        <f aca="false">IF(D187&gt;0.5,N($C$15),0)</f>
        <v>0</v>
      </c>
      <c r="G187" s="41" t="n">
        <f aca="false">IF(AND(D187&gt;0.5,N($C$19)&gt;0,N(B187)&lt;=N($C$20)),D187*$F$8,0)</f>
        <v>0</v>
      </c>
      <c r="H187" s="41" t="n">
        <f aca="false">IF(D187&lt;=0.5,0,MIN(IF(N(I187)&gt;0,I187,$F$9),D187+E187+F187))</f>
        <v>0</v>
      </c>
      <c r="I187" s="77"/>
      <c r="J187" s="77"/>
      <c r="K187" s="41" t="n">
        <f aca="false">IF(D187&lt;=0.5,0,MIN(H187+N(J187),D187+E187+F187))</f>
        <v>0</v>
      </c>
      <c r="L187" s="41" t="n">
        <f aca="false">K187-E187-F187</f>
        <v>0</v>
      </c>
      <c r="M187" s="41" t="n">
        <f aca="false">D187-L187</f>
        <v>0</v>
      </c>
      <c r="N187" s="42" t="n">
        <f aca="false">K187-G187</f>
        <v>0</v>
      </c>
      <c r="O187" s="78"/>
      <c r="P187" s="79"/>
      <c r="Q187" s="16" t="str">
        <f aca="false">IF(K187=0,"",IF(R187=1,"Pagada",IF(C187&lt;$F$12,"Vencida",IF(161=$F$13,"Próxima","Pendiente"))))</f>
        <v/>
      </c>
      <c r="R187" s="62" t="n">
        <f aca="false">IF(AND(K187&gt;0,OR(O187="Sí",O187="Si")),1,0)</f>
        <v>0</v>
      </c>
      <c r="S187" s="62" t="n">
        <f aca="false">IF(AND(K187&gt;0,R187=0),1,0)</f>
        <v>0</v>
      </c>
    </row>
    <row r="188" customFormat="false" ht="15" hidden="false" customHeight="false" outlineLevel="0" collapsed="false">
      <c r="B188" s="71" t="str">
        <f aca="false">IF($F$6="Sí",N($C$11)+161,"")</f>
        <v/>
      </c>
      <c r="C188" s="72" t="str">
        <f aca="false">IF(OR($F$6&lt;&gt;"Sí",D188&lt;=0.5),"",EDATE($C$10,161))</f>
        <v/>
      </c>
      <c r="D188" s="41" t="n">
        <f aca="false">MAX(0,M187)</f>
        <v>0</v>
      </c>
      <c r="E188" s="41" t="n">
        <f aca="false">D188*$F$7</f>
        <v>0</v>
      </c>
      <c r="F188" s="41" t="n">
        <f aca="false">IF(D188&gt;0.5,N($C$15),0)</f>
        <v>0</v>
      </c>
      <c r="G188" s="41" t="n">
        <f aca="false">IF(AND(D188&gt;0.5,N($C$19)&gt;0,N(B188)&lt;=N($C$20)),D188*$F$8,0)</f>
        <v>0</v>
      </c>
      <c r="H188" s="41" t="n">
        <f aca="false">IF(D188&lt;=0.5,0,MIN(IF(N(I188)&gt;0,I188,$F$9),D188+E188+F188))</f>
        <v>0</v>
      </c>
      <c r="I188" s="77"/>
      <c r="J188" s="77"/>
      <c r="K188" s="41" t="n">
        <f aca="false">IF(D188&lt;=0.5,0,MIN(H188+N(J188),D188+E188+F188))</f>
        <v>0</v>
      </c>
      <c r="L188" s="41" t="n">
        <f aca="false">K188-E188-F188</f>
        <v>0</v>
      </c>
      <c r="M188" s="41" t="n">
        <f aca="false">D188-L188</f>
        <v>0</v>
      </c>
      <c r="N188" s="42" t="n">
        <f aca="false">K188-G188</f>
        <v>0</v>
      </c>
      <c r="O188" s="78"/>
      <c r="P188" s="79"/>
      <c r="Q188" s="16" t="str">
        <f aca="false">IF(K188=0,"",IF(R188=1,"Pagada",IF(C188&lt;$F$12,"Vencida",IF(162=$F$13,"Próxima","Pendiente"))))</f>
        <v/>
      </c>
      <c r="R188" s="62" t="n">
        <f aca="false">IF(AND(K188&gt;0,OR(O188="Sí",O188="Si")),1,0)</f>
        <v>0</v>
      </c>
      <c r="S188" s="62" t="n">
        <f aca="false">IF(AND(K188&gt;0,R188=0),1,0)</f>
        <v>0</v>
      </c>
    </row>
    <row r="189" customFormat="false" ht="15" hidden="false" customHeight="false" outlineLevel="0" collapsed="false">
      <c r="B189" s="71" t="str">
        <f aca="false">IF($F$6="Sí",N($C$11)+162,"")</f>
        <v/>
      </c>
      <c r="C189" s="72" t="str">
        <f aca="false">IF(OR($F$6&lt;&gt;"Sí",D189&lt;=0.5),"",EDATE($C$10,162))</f>
        <v/>
      </c>
      <c r="D189" s="41" t="n">
        <f aca="false">MAX(0,M188)</f>
        <v>0</v>
      </c>
      <c r="E189" s="41" t="n">
        <f aca="false">D189*$F$7</f>
        <v>0</v>
      </c>
      <c r="F189" s="41" t="n">
        <f aca="false">IF(D189&gt;0.5,N($C$15),0)</f>
        <v>0</v>
      </c>
      <c r="G189" s="41" t="n">
        <f aca="false">IF(AND(D189&gt;0.5,N($C$19)&gt;0,N(B189)&lt;=N($C$20)),D189*$F$8,0)</f>
        <v>0</v>
      </c>
      <c r="H189" s="41" t="n">
        <f aca="false">IF(D189&lt;=0.5,0,MIN(IF(N(I189)&gt;0,I189,$F$9),D189+E189+F189))</f>
        <v>0</v>
      </c>
      <c r="I189" s="77"/>
      <c r="J189" s="77"/>
      <c r="K189" s="41" t="n">
        <f aca="false">IF(D189&lt;=0.5,0,MIN(H189+N(J189),D189+E189+F189))</f>
        <v>0</v>
      </c>
      <c r="L189" s="41" t="n">
        <f aca="false">K189-E189-F189</f>
        <v>0</v>
      </c>
      <c r="M189" s="41" t="n">
        <f aca="false">D189-L189</f>
        <v>0</v>
      </c>
      <c r="N189" s="42" t="n">
        <f aca="false">K189-G189</f>
        <v>0</v>
      </c>
      <c r="O189" s="78"/>
      <c r="P189" s="79"/>
      <c r="Q189" s="16" t="str">
        <f aca="false">IF(K189=0,"",IF(R189=1,"Pagada",IF(C189&lt;$F$12,"Vencida",IF(163=$F$13,"Próxima","Pendiente"))))</f>
        <v/>
      </c>
      <c r="R189" s="62" t="n">
        <f aca="false">IF(AND(K189&gt;0,OR(O189="Sí",O189="Si")),1,0)</f>
        <v>0</v>
      </c>
      <c r="S189" s="62" t="n">
        <f aca="false">IF(AND(K189&gt;0,R189=0),1,0)</f>
        <v>0</v>
      </c>
    </row>
    <row r="190" customFormat="false" ht="15" hidden="false" customHeight="false" outlineLevel="0" collapsed="false">
      <c r="B190" s="71" t="str">
        <f aca="false">IF($F$6="Sí",N($C$11)+163,"")</f>
        <v/>
      </c>
      <c r="C190" s="72" t="str">
        <f aca="false">IF(OR($F$6&lt;&gt;"Sí",D190&lt;=0.5),"",EDATE($C$10,163))</f>
        <v/>
      </c>
      <c r="D190" s="41" t="n">
        <f aca="false">MAX(0,M189)</f>
        <v>0</v>
      </c>
      <c r="E190" s="41" t="n">
        <f aca="false">D190*$F$7</f>
        <v>0</v>
      </c>
      <c r="F190" s="41" t="n">
        <f aca="false">IF(D190&gt;0.5,N($C$15),0)</f>
        <v>0</v>
      </c>
      <c r="G190" s="41" t="n">
        <f aca="false">IF(AND(D190&gt;0.5,N($C$19)&gt;0,N(B190)&lt;=N($C$20)),D190*$F$8,0)</f>
        <v>0</v>
      </c>
      <c r="H190" s="41" t="n">
        <f aca="false">IF(D190&lt;=0.5,0,MIN(IF(N(I190)&gt;0,I190,$F$9),D190+E190+F190))</f>
        <v>0</v>
      </c>
      <c r="I190" s="77"/>
      <c r="J190" s="77"/>
      <c r="K190" s="41" t="n">
        <f aca="false">IF(D190&lt;=0.5,0,MIN(H190+N(J190),D190+E190+F190))</f>
        <v>0</v>
      </c>
      <c r="L190" s="41" t="n">
        <f aca="false">K190-E190-F190</f>
        <v>0</v>
      </c>
      <c r="M190" s="41" t="n">
        <f aca="false">D190-L190</f>
        <v>0</v>
      </c>
      <c r="N190" s="42" t="n">
        <f aca="false">K190-G190</f>
        <v>0</v>
      </c>
      <c r="O190" s="78"/>
      <c r="P190" s="79"/>
      <c r="Q190" s="16" t="str">
        <f aca="false">IF(K190=0,"",IF(R190=1,"Pagada",IF(C190&lt;$F$12,"Vencida",IF(164=$F$13,"Próxima","Pendiente"))))</f>
        <v/>
      </c>
      <c r="R190" s="62" t="n">
        <f aca="false">IF(AND(K190&gt;0,OR(O190="Sí",O190="Si")),1,0)</f>
        <v>0</v>
      </c>
      <c r="S190" s="62" t="n">
        <f aca="false">IF(AND(K190&gt;0,R190=0),1,0)</f>
        <v>0</v>
      </c>
    </row>
    <row r="191" customFormat="false" ht="15" hidden="false" customHeight="false" outlineLevel="0" collapsed="false">
      <c r="B191" s="71" t="str">
        <f aca="false">IF($F$6="Sí",N($C$11)+164,"")</f>
        <v/>
      </c>
      <c r="C191" s="72" t="str">
        <f aca="false">IF(OR($F$6&lt;&gt;"Sí",D191&lt;=0.5),"",EDATE($C$10,164))</f>
        <v/>
      </c>
      <c r="D191" s="41" t="n">
        <f aca="false">MAX(0,M190)</f>
        <v>0</v>
      </c>
      <c r="E191" s="41" t="n">
        <f aca="false">D191*$F$7</f>
        <v>0</v>
      </c>
      <c r="F191" s="41" t="n">
        <f aca="false">IF(D191&gt;0.5,N($C$15),0)</f>
        <v>0</v>
      </c>
      <c r="G191" s="41" t="n">
        <f aca="false">IF(AND(D191&gt;0.5,N($C$19)&gt;0,N(B191)&lt;=N($C$20)),D191*$F$8,0)</f>
        <v>0</v>
      </c>
      <c r="H191" s="41" t="n">
        <f aca="false">IF(D191&lt;=0.5,0,MIN(IF(N(I191)&gt;0,I191,$F$9),D191+E191+F191))</f>
        <v>0</v>
      </c>
      <c r="I191" s="77"/>
      <c r="J191" s="77"/>
      <c r="K191" s="41" t="n">
        <f aca="false">IF(D191&lt;=0.5,0,MIN(H191+N(J191),D191+E191+F191))</f>
        <v>0</v>
      </c>
      <c r="L191" s="41" t="n">
        <f aca="false">K191-E191-F191</f>
        <v>0</v>
      </c>
      <c r="M191" s="41" t="n">
        <f aca="false">D191-L191</f>
        <v>0</v>
      </c>
      <c r="N191" s="42" t="n">
        <f aca="false">K191-G191</f>
        <v>0</v>
      </c>
      <c r="O191" s="78"/>
      <c r="P191" s="79"/>
      <c r="Q191" s="16" t="str">
        <f aca="false">IF(K191=0,"",IF(R191=1,"Pagada",IF(C191&lt;$F$12,"Vencida",IF(165=$F$13,"Próxima","Pendiente"))))</f>
        <v/>
      </c>
      <c r="R191" s="62" t="n">
        <f aca="false">IF(AND(K191&gt;0,OR(O191="Sí",O191="Si")),1,0)</f>
        <v>0</v>
      </c>
      <c r="S191" s="62" t="n">
        <f aca="false">IF(AND(K191&gt;0,R191=0),1,0)</f>
        <v>0</v>
      </c>
    </row>
    <row r="192" customFormat="false" ht="15" hidden="false" customHeight="false" outlineLevel="0" collapsed="false">
      <c r="B192" s="71" t="str">
        <f aca="false">IF($F$6="Sí",N($C$11)+165,"")</f>
        <v/>
      </c>
      <c r="C192" s="72" t="str">
        <f aca="false">IF(OR($F$6&lt;&gt;"Sí",D192&lt;=0.5),"",EDATE($C$10,165))</f>
        <v/>
      </c>
      <c r="D192" s="41" t="n">
        <f aca="false">MAX(0,M191)</f>
        <v>0</v>
      </c>
      <c r="E192" s="41" t="n">
        <f aca="false">D192*$F$7</f>
        <v>0</v>
      </c>
      <c r="F192" s="41" t="n">
        <f aca="false">IF(D192&gt;0.5,N($C$15),0)</f>
        <v>0</v>
      </c>
      <c r="G192" s="41" t="n">
        <f aca="false">IF(AND(D192&gt;0.5,N($C$19)&gt;0,N(B192)&lt;=N($C$20)),D192*$F$8,0)</f>
        <v>0</v>
      </c>
      <c r="H192" s="41" t="n">
        <f aca="false">IF(D192&lt;=0.5,0,MIN(IF(N(I192)&gt;0,I192,$F$9),D192+E192+F192))</f>
        <v>0</v>
      </c>
      <c r="I192" s="77"/>
      <c r="J192" s="77"/>
      <c r="K192" s="41" t="n">
        <f aca="false">IF(D192&lt;=0.5,0,MIN(H192+N(J192),D192+E192+F192))</f>
        <v>0</v>
      </c>
      <c r="L192" s="41" t="n">
        <f aca="false">K192-E192-F192</f>
        <v>0</v>
      </c>
      <c r="M192" s="41" t="n">
        <f aca="false">D192-L192</f>
        <v>0</v>
      </c>
      <c r="N192" s="42" t="n">
        <f aca="false">K192-G192</f>
        <v>0</v>
      </c>
      <c r="O192" s="78"/>
      <c r="P192" s="79"/>
      <c r="Q192" s="16" t="str">
        <f aca="false">IF(K192=0,"",IF(R192=1,"Pagada",IF(C192&lt;$F$12,"Vencida",IF(166=$F$13,"Próxima","Pendiente"))))</f>
        <v/>
      </c>
      <c r="R192" s="62" t="n">
        <f aca="false">IF(AND(K192&gt;0,OR(O192="Sí",O192="Si")),1,0)</f>
        <v>0</v>
      </c>
      <c r="S192" s="62" t="n">
        <f aca="false">IF(AND(K192&gt;0,R192=0),1,0)</f>
        <v>0</v>
      </c>
    </row>
    <row r="193" customFormat="false" ht="15" hidden="false" customHeight="false" outlineLevel="0" collapsed="false">
      <c r="B193" s="71" t="str">
        <f aca="false">IF($F$6="Sí",N($C$11)+166,"")</f>
        <v/>
      </c>
      <c r="C193" s="72" t="str">
        <f aca="false">IF(OR($F$6&lt;&gt;"Sí",D193&lt;=0.5),"",EDATE($C$10,166))</f>
        <v/>
      </c>
      <c r="D193" s="41" t="n">
        <f aca="false">MAX(0,M192)</f>
        <v>0</v>
      </c>
      <c r="E193" s="41" t="n">
        <f aca="false">D193*$F$7</f>
        <v>0</v>
      </c>
      <c r="F193" s="41" t="n">
        <f aca="false">IF(D193&gt;0.5,N($C$15),0)</f>
        <v>0</v>
      </c>
      <c r="G193" s="41" t="n">
        <f aca="false">IF(AND(D193&gt;0.5,N($C$19)&gt;0,N(B193)&lt;=N($C$20)),D193*$F$8,0)</f>
        <v>0</v>
      </c>
      <c r="H193" s="41" t="n">
        <f aca="false">IF(D193&lt;=0.5,0,MIN(IF(N(I193)&gt;0,I193,$F$9),D193+E193+F193))</f>
        <v>0</v>
      </c>
      <c r="I193" s="77"/>
      <c r="J193" s="77"/>
      <c r="K193" s="41" t="n">
        <f aca="false">IF(D193&lt;=0.5,0,MIN(H193+N(J193),D193+E193+F193))</f>
        <v>0</v>
      </c>
      <c r="L193" s="41" t="n">
        <f aca="false">K193-E193-F193</f>
        <v>0</v>
      </c>
      <c r="M193" s="41" t="n">
        <f aca="false">D193-L193</f>
        <v>0</v>
      </c>
      <c r="N193" s="42" t="n">
        <f aca="false">K193-G193</f>
        <v>0</v>
      </c>
      <c r="O193" s="78"/>
      <c r="P193" s="79"/>
      <c r="Q193" s="16" t="str">
        <f aca="false">IF(K193=0,"",IF(R193=1,"Pagada",IF(C193&lt;$F$12,"Vencida",IF(167=$F$13,"Próxima","Pendiente"))))</f>
        <v/>
      </c>
      <c r="R193" s="62" t="n">
        <f aca="false">IF(AND(K193&gt;0,OR(O193="Sí",O193="Si")),1,0)</f>
        <v>0</v>
      </c>
      <c r="S193" s="62" t="n">
        <f aca="false">IF(AND(K193&gt;0,R193=0),1,0)</f>
        <v>0</v>
      </c>
    </row>
    <row r="194" customFormat="false" ht="15" hidden="false" customHeight="false" outlineLevel="0" collapsed="false">
      <c r="B194" s="71" t="str">
        <f aca="false">IF($F$6="Sí",N($C$11)+167,"")</f>
        <v/>
      </c>
      <c r="C194" s="72" t="str">
        <f aca="false">IF(OR($F$6&lt;&gt;"Sí",D194&lt;=0.5),"",EDATE($C$10,167))</f>
        <v/>
      </c>
      <c r="D194" s="41" t="n">
        <f aca="false">MAX(0,M193)</f>
        <v>0</v>
      </c>
      <c r="E194" s="41" t="n">
        <f aca="false">D194*$F$7</f>
        <v>0</v>
      </c>
      <c r="F194" s="41" t="n">
        <f aca="false">IF(D194&gt;0.5,N($C$15),0)</f>
        <v>0</v>
      </c>
      <c r="G194" s="41" t="n">
        <f aca="false">IF(AND(D194&gt;0.5,N($C$19)&gt;0,N(B194)&lt;=N($C$20)),D194*$F$8,0)</f>
        <v>0</v>
      </c>
      <c r="H194" s="41" t="n">
        <f aca="false">IF(D194&lt;=0.5,0,MIN(IF(N(I194)&gt;0,I194,$F$9),D194+E194+F194))</f>
        <v>0</v>
      </c>
      <c r="I194" s="77"/>
      <c r="J194" s="77"/>
      <c r="K194" s="41" t="n">
        <f aca="false">IF(D194&lt;=0.5,0,MIN(H194+N(J194),D194+E194+F194))</f>
        <v>0</v>
      </c>
      <c r="L194" s="41" t="n">
        <f aca="false">K194-E194-F194</f>
        <v>0</v>
      </c>
      <c r="M194" s="41" t="n">
        <f aca="false">D194-L194</f>
        <v>0</v>
      </c>
      <c r="N194" s="42" t="n">
        <f aca="false">K194-G194</f>
        <v>0</v>
      </c>
      <c r="O194" s="78"/>
      <c r="P194" s="79"/>
      <c r="Q194" s="16" t="str">
        <f aca="false">IF(K194=0,"",IF(R194=1,"Pagada",IF(C194&lt;$F$12,"Vencida",IF(168=$F$13,"Próxima","Pendiente"))))</f>
        <v/>
      </c>
      <c r="R194" s="62" t="n">
        <f aca="false">IF(AND(K194&gt;0,OR(O194="Sí",O194="Si")),1,0)</f>
        <v>0</v>
      </c>
      <c r="S194" s="62" t="n">
        <f aca="false">IF(AND(K194&gt;0,R194=0),1,0)</f>
        <v>0</v>
      </c>
    </row>
    <row r="195" customFormat="false" ht="15" hidden="false" customHeight="false" outlineLevel="0" collapsed="false">
      <c r="B195" s="71" t="str">
        <f aca="false">IF($F$6="Sí",N($C$11)+168,"")</f>
        <v/>
      </c>
      <c r="C195" s="72" t="str">
        <f aca="false">IF(OR($F$6&lt;&gt;"Sí",D195&lt;=0.5),"",EDATE($C$10,168))</f>
        <v/>
      </c>
      <c r="D195" s="41" t="n">
        <f aca="false">MAX(0,M194)</f>
        <v>0</v>
      </c>
      <c r="E195" s="41" t="n">
        <f aca="false">D195*$F$7</f>
        <v>0</v>
      </c>
      <c r="F195" s="41" t="n">
        <f aca="false">IF(D195&gt;0.5,N($C$15),0)</f>
        <v>0</v>
      </c>
      <c r="G195" s="41" t="n">
        <f aca="false">IF(AND(D195&gt;0.5,N($C$19)&gt;0,N(B195)&lt;=N($C$20)),D195*$F$8,0)</f>
        <v>0</v>
      </c>
      <c r="H195" s="41" t="n">
        <f aca="false">IF(D195&lt;=0.5,0,MIN(IF(N(I195)&gt;0,I195,$F$9),D195+E195+F195))</f>
        <v>0</v>
      </c>
      <c r="I195" s="77"/>
      <c r="J195" s="77"/>
      <c r="K195" s="41" t="n">
        <f aca="false">IF(D195&lt;=0.5,0,MIN(H195+N(J195),D195+E195+F195))</f>
        <v>0</v>
      </c>
      <c r="L195" s="41" t="n">
        <f aca="false">K195-E195-F195</f>
        <v>0</v>
      </c>
      <c r="M195" s="41" t="n">
        <f aca="false">D195-L195</f>
        <v>0</v>
      </c>
      <c r="N195" s="42" t="n">
        <f aca="false">K195-G195</f>
        <v>0</v>
      </c>
      <c r="O195" s="78"/>
      <c r="P195" s="79"/>
      <c r="Q195" s="16" t="str">
        <f aca="false">IF(K195=0,"",IF(R195=1,"Pagada",IF(C195&lt;$F$12,"Vencida",IF(169=$F$13,"Próxima","Pendiente"))))</f>
        <v/>
      </c>
      <c r="R195" s="62" t="n">
        <f aca="false">IF(AND(K195&gt;0,OR(O195="Sí",O195="Si")),1,0)</f>
        <v>0</v>
      </c>
      <c r="S195" s="62" t="n">
        <f aca="false">IF(AND(K195&gt;0,R195=0),1,0)</f>
        <v>0</v>
      </c>
    </row>
    <row r="196" customFormat="false" ht="15" hidden="false" customHeight="false" outlineLevel="0" collapsed="false">
      <c r="B196" s="71" t="str">
        <f aca="false">IF($F$6="Sí",N($C$11)+169,"")</f>
        <v/>
      </c>
      <c r="C196" s="72" t="str">
        <f aca="false">IF(OR($F$6&lt;&gt;"Sí",D196&lt;=0.5),"",EDATE($C$10,169))</f>
        <v/>
      </c>
      <c r="D196" s="41" t="n">
        <f aca="false">MAX(0,M195)</f>
        <v>0</v>
      </c>
      <c r="E196" s="41" t="n">
        <f aca="false">D196*$F$7</f>
        <v>0</v>
      </c>
      <c r="F196" s="41" t="n">
        <f aca="false">IF(D196&gt;0.5,N($C$15),0)</f>
        <v>0</v>
      </c>
      <c r="G196" s="41" t="n">
        <f aca="false">IF(AND(D196&gt;0.5,N($C$19)&gt;0,N(B196)&lt;=N($C$20)),D196*$F$8,0)</f>
        <v>0</v>
      </c>
      <c r="H196" s="41" t="n">
        <f aca="false">IF(D196&lt;=0.5,0,MIN(IF(N(I196)&gt;0,I196,$F$9),D196+E196+F196))</f>
        <v>0</v>
      </c>
      <c r="I196" s="77"/>
      <c r="J196" s="77"/>
      <c r="K196" s="41" t="n">
        <f aca="false">IF(D196&lt;=0.5,0,MIN(H196+N(J196),D196+E196+F196))</f>
        <v>0</v>
      </c>
      <c r="L196" s="41" t="n">
        <f aca="false">K196-E196-F196</f>
        <v>0</v>
      </c>
      <c r="M196" s="41" t="n">
        <f aca="false">D196-L196</f>
        <v>0</v>
      </c>
      <c r="N196" s="42" t="n">
        <f aca="false">K196-G196</f>
        <v>0</v>
      </c>
      <c r="O196" s="78"/>
      <c r="P196" s="79"/>
      <c r="Q196" s="16" t="str">
        <f aca="false">IF(K196=0,"",IF(R196=1,"Pagada",IF(C196&lt;$F$12,"Vencida",IF(170=$F$13,"Próxima","Pendiente"))))</f>
        <v/>
      </c>
      <c r="R196" s="62" t="n">
        <f aca="false">IF(AND(K196&gt;0,OR(O196="Sí",O196="Si")),1,0)</f>
        <v>0</v>
      </c>
      <c r="S196" s="62" t="n">
        <f aca="false">IF(AND(K196&gt;0,R196=0),1,0)</f>
        <v>0</v>
      </c>
    </row>
    <row r="197" customFormat="false" ht="15" hidden="false" customHeight="false" outlineLevel="0" collapsed="false">
      <c r="B197" s="71" t="str">
        <f aca="false">IF($F$6="Sí",N($C$11)+170,"")</f>
        <v/>
      </c>
      <c r="C197" s="72" t="str">
        <f aca="false">IF(OR($F$6&lt;&gt;"Sí",D197&lt;=0.5),"",EDATE($C$10,170))</f>
        <v/>
      </c>
      <c r="D197" s="41" t="n">
        <f aca="false">MAX(0,M196)</f>
        <v>0</v>
      </c>
      <c r="E197" s="41" t="n">
        <f aca="false">D197*$F$7</f>
        <v>0</v>
      </c>
      <c r="F197" s="41" t="n">
        <f aca="false">IF(D197&gt;0.5,N($C$15),0)</f>
        <v>0</v>
      </c>
      <c r="G197" s="41" t="n">
        <f aca="false">IF(AND(D197&gt;0.5,N($C$19)&gt;0,N(B197)&lt;=N($C$20)),D197*$F$8,0)</f>
        <v>0</v>
      </c>
      <c r="H197" s="41" t="n">
        <f aca="false">IF(D197&lt;=0.5,0,MIN(IF(N(I197)&gt;0,I197,$F$9),D197+E197+F197))</f>
        <v>0</v>
      </c>
      <c r="I197" s="77"/>
      <c r="J197" s="77"/>
      <c r="K197" s="41" t="n">
        <f aca="false">IF(D197&lt;=0.5,0,MIN(H197+N(J197),D197+E197+F197))</f>
        <v>0</v>
      </c>
      <c r="L197" s="41" t="n">
        <f aca="false">K197-E197-F197</f>
        <v>0</v>
      </c>
      <c r="M197" s="41" t="n">
        <f aca="false">D197-L197</f>
        <v>0</v>
      </c>
      <c r="N197" s="42" t="n">
        <f aca="false">K197-G197</f>
        <v>0</v>
      </c>
      <c r="O197" s="78"/>
      <c r="P197" s="79"/>
      <c r="Q197" s="16" t="str">
        <f aca="false">IF(K197=0,"",IF(R197=1,"Pagada",IF(C197&lt;$F$12,"Vencida",IF(171=$F$13,"Próxima","Pendiente"))))</f>
        <v/>
      </c>
      <c r="R197" s="62" t="n">
        <f aca="false">IF(AND(K197&gt;0,OR(O197="Sí",O197="Si")),1,0)</f>
        <v>0</v>
      </c>
      <c r="S197" s="62" t="n">
        <f aca="false">IF(AND(K197&gt;0,R197=0),1,0)</f>
        <v>0</v>
      </c>
    </row>
    <row r="198" customFormat="false" ht="15" hidden="false" customHeight="false" outlineLevel="0" collapsed="false">
      <c r="B198" s="71" t="str">
        <f aca="false">IF($F$6="Sí",N($C$11)+171,"")</f>
        <v/>
      </c>
      <c r="C198" s="72" t="str">
        <f aca="false">IF(OR($F$6&lt;&gt;"Sí",D198&lt;=0.5),"",EDATE($C$10,171))</f>
        <v/>
      </c>
      <c r="D198" s="41" t="n">
        <f aca="false">MAX(0,M197)</f>
        <v>0</v>
      </c>
      <c r="E198" s="41" t="n">
        <f aca="false">D198*$F$7</f>
        <v>0</v>
      </c>
      <c r="F198" s="41" t="n">
        <f aca="false">IF(D198&gt;0.5,N($C$15),0)</f>
        <v>0</v>
      </c>
      <c r="G198" s="41" t="n">
        <f aca="false">IF(AND(D198&gt;0.5,N($C$19)&gt;0,N(B198)&lt;=N($C$20)),D198*$F$8,0)</f>
        <v>0</v>
      </c>
      <c r="H198" s="41" t="n">
        <f aca="false">IF(D198&lt;=0.5,0,MIN(IF(N(I198)&gt;0,I198,$F$9),D198+E198+F198))</f>
        <v>0</v>
      </c>
      <c r="I198" s="77"/>
      <c r="J198" s="77"/>
      <c r="K198" s="41" t="n">
        <f aca="false">IF(D198&lt;=0.5,0,MIN(H198+N(J198),D198+E198+F198))</f>
        <v>0</v>
      </c>
      <c r="L198" s="41" t="n">
        <f aca="false">K198-E198-F198</f>
        <v>0</v>
      </c>
      <c r="M198" s="41" t="n">
        <f aca="false">D198-L198</f>
        <v>0</v>
      </c>
      <c r="N198" s="42" t="n">
        <f aca="false">K198-G198</f>
        <v>0</v>
      </c>
      <c r="O198" s="78"/>
      <c r="P198" s="79"/>
      <c r="Q198" s="16" t="str">
        <f aca="false">IF(K198=0,"",IF(R198=1,"Pagada",IF(C198&lt;$F$12,"Vencida",IF(172=$F$13,"Próxima","Pendiente"))))</f>
        <v/>
      </c>
      <c r="R198" s="62" t="n">
        <f aca="false">IF(AND(K198&gt;0,OR(O198="Sí",O198="Si")),1,0)</f>
        <v>0</v>
      </c>
      <c r="S198" s="62" t="n">
        <f aca="false">IF(AND(K198&gt;0,R198=0),1,0)</f>
        <v>0</v>
      </c>
    </row>
    <row r="199" customFormat="false" ht="15" hidden="false" customHeight="false" outlineLevel="0" collapsed="false">
      <c r="B199" s="71" t="str">
        <f aca="false">IF($F$6="Sí",N($C$11)+172,"")</f>
        <v/>
      </c>
      <c r="C199" s="72" t="str">
        <f aca="false">IF(OR($F$6&lt;&gt;"Sí",D199&lt;=0.5),"",EDATE($C$10,172))</f>
        <v/>
      </c>
      <c r="D199" s="41" t="n">
        <f aca="false">MAX(0,M198)</f>
        <v>0</v>
      </c>
      <c r="E199" s="41" t="n">
        <f aca="false">D199*$F$7</f>
        <v>0</v>
      </c>
      <c r="F199" s="41" t="n">
        <f aca="false">IF(D199&gt;0.5,N($C$15),0)</f>
        <v>0</v>
      </c>
      <c r="G199" s="41" t="n">
        <f aca="false">IF(AND(D199&gt;0.5,N($C$19)&gt;0,N(B199)&lt;=N($C$20)),D199*$F$8,0)</f>
        <v>0</v>
      </c>
      <c r="H199" s="41" t="n">
        <f aca="false">IF(D199&lt;=0.5,0,MIN(IF(N(I199)&gt;0,I199,$F$9),D199+E199+F199))</f>
        <v>0</v>
      </c>
      <c r="I199" s="77"/>
      <c r="J199" s="77"/>
      <c r="K199" s="41" t="n">
        <f aca="false">IF(D199&lt;=0.5,0,MIN(H199+N(J199),D199+E199+F199))</f>
        <v>0</v>
      </c>
      <c r="L199" s="41" t="n">
        <f aca="false">K199-E199-F199</f>
        <v>0</v>
      </c>
      <c r="M199" s="41" t="n">
        <f aca="false">D199-L199</f>
        <v>0</v>
      </c>
      <c r="N199" s="42" t="n">
        <f aca="false">K199-G199</f>
        <v>0</v>
      </c>
      <c r="O199" s="78"/>
      <c r="P199" s="79"/>
      <c r="Q199" s="16" t="str">
        <f aca="false">IF(K199=0,"",IF(R199=1,"Pagada",IF(C199&lt;$F$12,"Vencida",IF(173=$F$13,"Próxima","Pendiente"))))</f>
        <v/>
      </c>
      <c r="R199" s="62" t="n">
        <f aca="false">IF(AND(K199&gt;0,OR(O199="Sí",O199="Si")),1,0)</f>
        <v>0</v>
      </c>
      <c r="S199" s="62" t="n">
        <f aca="false">IF(AND(K199&gt;0,R199=0),1,0)</f>
        <v>0</v>
      </c>
    </row>
    <row r="200" customFormat="false" ht="15" hidden="false" customHeight="false" outlineLevel="0" collapsed="false">
      <c r="B200" s="71" t="str">
        <f aca="false">IF($F$6="Sí",N($C$11)+173,"")</f>
        <v/>
      </c>
      <c r="C200" s="72" t="str">
        <f aca="false">IF(OR($F$6&lt;&gt;"Sí",D200&lt;=0.5),"",EDATE($C$10,173))</f>
        <v/>
      </c>
      <c r="D200" s="41" t="n">
        <f aca="false">MAX(0,M199)</f>
        <v>0</v>
      </c>
      <c r="E200" s="41" t="n">
        <f aca="false">D200*$F$7</f>
        <v>0</v>
      </c>
      <c r="F200" s="41" t="n">
        <f aca="false">IF(D200&gt;0.5,N($C$15),0)</f>
        <v>0</v>
      </c>
      <c r="G200" s="41" t="n">
        <f aca="false">IF(AND(D200&gt;0.5,N($C$19)&gt;0,N(B200)&lt;=N($C$20)),D200*$F$8,0)</f>
        <v>0</v>
      </c>
      <c r="H200" s="41" t="n">
        <f aca="false">IF(D200&lt;=0.5,0,MIN(IF(N(I200)&gt;0,I200,$F$9),D200+E200+F200))</f>
        <v>0</v>
      </c>
      <c r="I200" s="77"/>
      <c r="J200" s="77"/>
      <c r="K200" s="41" t="n">
        <f aca="false">IF(D200&lt;=0.5,0,MIN(H200+N(J200),D200+E200+F200))</f>
        <v>0</v>
      </c>
      <c r="L200" s="41" t="n">
        <f aca="false">K200-E200-F200</f>
        <v>0</v>
      </c>
      <c r="M200" s="41" t="n">
        <f aca="false">D200-L200</f>
        <v>0</v>
      </c>
      <c r="N200" s="42" t="n">
        <f aca="false">K200-G200</f>
        <v>0</v>
      </c>
      <c r="O200" s="78"/>
      <c r="P200" s="79"/>
      <c r="Q200" s="16" t="str">
        <f aca="false">IF(K200=0,"",IF(R200=1,"Pagada",IF(C200&lt;$F$12,"Vencida",IF(174=$F$13,"Próxima","Pendiente"))))</f>
        <v/>
      </c>
      <c r="R200" s="62" t="n">
        <f aca="false">IF(AND(K200&gt;0,OR(O200="Sí",O200="Si")),1,0)</f>
        <v>0</v>
      </c>
      <c r="S200" s="62" t="n">
        <f aca="false">IF(AND(K200&gt;0,R200=0),1,0)</f>
        <v>0</v>
      </c>
    </row>
    <row r="201" customFormat="false" ht="15" hidden="false" customHeight="false" outlineLevel="0" collapsed="false">
      <c r="B201" s="71" t="str">
        <f aca="false">IF($F$6="Sí",N($C$11)+174,"")</f>
        <v/>
      </c>
      <c r="C201" s="72" t="str">
        <f aca="false">IF(OR($F$6&lt;&gt;"Sí",D201&lt;=0.5),"",EDATE($C$10,174))</f>
        <v/>
      </c>
      <c r="D201" s="41" t="n">
        <f aca="false">MAX(0,M200)</f>
        <v>0</v>
      </c>
      <c r="E201" s="41" t="n">
        <f aca="false">D201*$F$7</f>
        <v>0</v>
      </c>
      <c r="F201" s="41" t="n">
        <f aca="false">IF(D201&gt;0.5,N($C$15),0)</f>
        <v>0</v>
      </c>
      <c r="G201" s="41" t="n">
        <f aca="false">IF(AND(D201&gt;0.5,N($C$19)&gt;0,N(B201)&lt;=N($C$20)),D201*$F$8,0)</f>
        <v>0</v>
      </c>
      <c r="H201" s="41" t="n">
        <f aca="false">IF(D201&lt;=0.5,0,MIN(IF(N(I201)&gt;0,I201,$F$9),D201+E201+F201))</f>
        <v>0</v>
      </c>
      <c r="I201" s="77"/>
      <c r="J201" s="77"/>
      <c r="K201" s="41" t="n">
        <f aca="false">IF(D201&lt;=0.5,0,MIN(H201+N(J201),D201+E201+F201))</f>
        <v>0</v>
      </c>
      <c r="L201" s="41" t="n">
        <f aca="false">K201-E201-F201</f>
        <v>0</v>
      </c>
      <c r="M201" s="41" t="n">
        <f aca="false">D201-L201</f>
        <v>0</v>
      </c>
      <c r="N201" s="42" t="n">
        <f aca="false">K201-G201</f>
        <v>0</v>
      </c>
      <c r="O201" s="78"/>
      <c r="P201" s="79"/>
      <c r="Q201" s="16" t="str">
        <f aca="false">IF(K201=0,"",IF(R201=1,"Pagada",IF(C201&lt;$F$12,"Vencida",IF(175=$F$13,"Próxima","Pendiente"))))</f>
        <v/>
      </c>
      <c r="R201" s="62" t="n">
        <f aca="false">IF(AND(K201&gt;0,OR(O201="Sí",O201="Si")),1,0)</f>
        <v>0</v>
      </c>
      <c r="S201" s="62" t="n">
        <f aca="false">IF(AND(K201&gt;0,R201=0),1,0)</f>
        <v>0</v>
      </c>
    </row>
    <row r="202" customFormat="false" ht="15" hidden="false" customHeight="false" outlineLevel="0" collapsed="false">
      <c r="B202" s="71" t="str">
        <f aca="false">IF($F$6="Sí",N($C$11)+175,"")</f>
        <v/>
      </c>
      <c r="C202" s="72" t="str">
        <f aca="false">IF(OR($F$6&lt;&gt;"Sí",D202&lt;=0.5),"",EDATE($C$10,175))</f>
        <v/>
      </c>
      <c r="D202" s="41" t="n">
        <f aca="false">MAX(0,M201)</f>
        <v>0</v>
      </c>
      <c r="E202" s="41" t="n">
        <f aca="false">D202*$F$7</f>
        <v>0</v>
      </c>
      <c r="F202" s="41" t="n">
        <f aca="false">IF(D202&gt;0.5,N($C$15),0)</f>
        <v>0</v>
      </c>
      <c r="G202" s="41" t="n">
        <f aca="false">IF(AND(D202&gt;0.5,N($C$19)&gt;0,N(B202)&lt;=N($C$20)),D202*$F$8,0)</f>
        <v>0</v>
      </c>
      <c r="H202" s="41" t="n">
        <f aca="false">IF(D202&lt;=0.5,0,MIN(IF(N(I202)&gt;0,I202,$F$9),D202+E202+F202))</f>
        <v>0</v>
      </c>
      <c r="I202" s="77"/>
      <c r="J202" s="77"/>
      <c r="K202" s="41" t="n">
        <f aca="false">IF(D202&lt;=0.5,0,MIN(H202+N(J202),D202+E202+F202))</f>
        <v>0</v>
      </c>
      <c r="L202" s="41" t="n">
        <f aca="false">K202-E202-F202</f>
        <v>0</v>
      </c>
      <c r="M202" s="41" t="n">
        <f aca="false">D202-L202</f>
        <v>0</v>
      </c>
      <c r="N202" s="42" t="n">
        <f aca="false">K202-G202</f>
        <v>0</v>
      </c>
      <c r="O202" s="78"/>
      <c r="P202" s="79"/>
      <c r="Q202" s="16" t="str">
        <f aca="false">IF(K202=0,"",IF(R202=1,"Pagada",IF(C202&lt;$F$12,"Vencida",IF(176=$F$13,"Próxima","Pendiente"))))</f>
        <v/>
      </c>
      <c r="R202" s="62" t="n">
        <f aca="false">IF(AND(K202&gt;0,OR(O202="Sí",O202="Si")),1,0)</f>
        <v>0</v>
      </c>
      <c r="S202" s="62" t="n">
        <f aca="false">IF(AND(K202&gt;0,R202=0),1,0)</f>
        <v>0</v>
      </c>
    </row>
    <row r="203" customFormat="false" ht="15" hidden="false" customHeight="false" outlineLevel="0" collapsed="false">
      <c r="B203" s="71" t="str">
        <f aca="false">IF($F$6="Sí",N($C$11)+176,"")</f>
        <v/>
      </c>
      <c r="C203" s="72" t="str">
        <f aca="false">IF(OR($F$6&lt;&gt;"Sí",D203&lt;=0.5),"",EDATE($C$10,176))</f>
        <v/>
      </c>
      <c r="D203" s="41" t="n">
        <f aca="false">MAX(0,M202)</f>
        <v>0</v>
      </c>
      <c r="E203" s="41" t="n">
        <f aca="false">D203*$F$7</f>
        <v>0</v>
      </c>
      <c r="F203" s="41" t="n">
        <f aca="false">IF(D203&gt;0.5,N($C$15),0)</f>
        <v>0</v>
      </c>
      <c r="G203" s="41" t="n">
        <f aca="false">IF(AND(D203&gt;0.5,N($C$19)&gt;0,N(B203)&lt;=N($C$20)),D203*$F$8,0)</f>
        <v>0</v>
      </c>
      <c r="H203" s="41" t="n">
        <f aca="false">IF(D203&lt;=0.5,0,MIN(IF(N(I203)&gt;0,I203,$F$9),D203+E203+F203))</f>
        <v>0</v>
      </c>
      <c r="I203" s="77"/>
      <c r="J203" s="77"/>
      <c r="K203" s="41" t="n">
        <f aca="false">IF(D203&lt;=0.5,0,MIN(H203+N(J203),D203+E203+F203))</f>
        <v>0</v>
      </c>
      <c r="L203" s="41" t="n">
        <f aca="false">K203-E203-F203</f>
        <v>0</v>
      </c>
      <c r="M203" s="41" t="n">
        <f aca="false">D203-L203</f>
        <v>0</v>
      </c>
      <c r="N203" s="42" t="n">
        <f aca="false">K203-G203</f>
        <v>0</v>
      </c>
      <c r="O203" s="78"/>
      <c r="P203" s="79"/>
      <c r="Q203" s="16" t="str">
        <f aca="false">IF(K203=0,"",IF(R203=1,"Pagada",IF(C203&lt;$F$12,"Vencida",IF(177=$F$13,"Próxima","Pendiente"))))</f>
        <v/>
      </c>
      <c r="R203" s="62" t="n">
        <f aca="false">IF(AND(K203&gt;0,OR(O203="Sí",O203="Si")),1,0)</f>
        <v>0</v>
      </c>
      <c r="S203" s="62" t="n">
        <f aca="false">IF(AND(K203&gt;0,R203=0),1,0)</f>
        <v>0</v>
      </c>
    </row>
    <row r="204" customFormat="false" ht="15" hidden="false" customHeight="false" outlineLevel="0" collapsed="false">
      <c r="B204" s="71" t="str">
        <f aca="false">IF($F$6="Sí",N($C$11)+177,"")</f>
        <v/>
      </c>
      <c r="C204" s="72" t="str">
        <f aca="false">IF(OR($F$6&lt;&gt;"Sí",D204&lt;=0.5),"",EDATE($C$10,177))</f>
        <v/>
      </c>
      <c r="D204" s="41" t="n">
        <f aca="false">MAX(0,M203)</f>
        <v>0</v>
      </c>
      <c r="E204" s="41" t="n">
        <f aca="false">D204*$F$7</f>
        <v>0</v>
      </c>
      <c r="F204" s="41" t="n">
        <f aca="false">IF(D204&gt;0.5,N($C$15),0)</f>
        <v>0</v>
      </c>
      <c r="G204" s="41" t="n">
        <f aca="false">IF(AND(D204&gt;0.5,N($C$19)&gt;0,N(B204)&lt;=N($C$20)),D204*$F$8,0)</f>
        <v>0</v>
      </c>
      <c r="H204" s="41" t="n">
        <f aca="false">IF(D204&lt;=0.5,0,MIN(IF(N(I204)&gt;0,I204,$F$9),D204+E204+F204))</f>
        <v>0</v>
      </c>
      <c r="I204" s="77"/>
      <c r="J204" s="77"/>
      <c r="K204" s="41" t="n">
        <f aca="false">IF(D204&lt;=0.5,0,MIN(H204+N(J204),D204+E204+F204))</f>
        <v>0</v>
      </c>
      <c r="L204" s="41" t="n">
        <f aca="false">K204-E204-F204</f>
        <v>0</v>
      </c>
      <c r="M204" s="41" t="n">
        <f aca="false">D204-L204</f>
        <v>0</v>
      </c>
      <c r="N204" s="42" t="n">
        <f aca="false">K204-G204</f>
        <v>0</v>
      </c>
      <c r="O204" s="78"/>
      <c r="P204" s="79"/>
      <c r="Q204" s="16" t="str">
        <f aca="false">IF(K204=0,"",IF(R204=1,"Pagada",IF(C204&lt;$F$12,"Vencida",IF(178=$F$13,"Próxima","Pendiente"))))</f>
        <v/>
      </c>
      <c r="R204" s="62" t="n">
        <f aca="false">IF(AND(K204&gt;0,OR(O204="Sí",O204="Si")),1,0)</f>
        <v>0</v>
      </c>
      <c r="S204" s="62" t="n">
        <f aca="false">IF(AND(K204&gt;0,R204=0),1,0)</f>
        <v>0</v>
      </c>
    </row>
    <row r="205" customFormat="false" ht="15" hidden="false" customHeight="false" outlineLevel="0" collapsed="false">
      <c r="B205" s="71" t="str">
        <f aca="false">IF($F$6="Sí",N($C$11)+178,"")</f>
        <v/>
      </c>
      <c r="C205" s="72" t="str">
        <f aca="false">IF(OR($F$6&lt;&gt;"Sí",D205&lt;=0.5),"",EDATE($C$10,178))</f>
        <v/>
      </c>
      <c r="D205" s="41" t="n">
        <f aca="false">MAX(0,M204)</f>
        <v>0</v>
      </c>
      <c r="E205" s="41" t="n">
        <f aca="false">D205*$F$7</f>
        <v>0</v>
      </c>
      <c r="F205" s="41" t="n">
        <f aca="false">IF(D205&gt;0.5,N($C$15),0)</f>
        <v>0</v>
      </c>
      <c r="G205" s="41" t="n">
        <f aca="false">IF(AND(D205&gt;0.5,N($C$19)&gt;0,N(B205)&lt;=N($C$20)),D205*$F$8,0)</f>
        <v>0</v>
      </c>
      <c r="H205" s="41" t="n">
        <f aca="false">IF(D205&lt;=0.5,0,MIN(IF(N(I205)&gt;0,I205,$F$9),D205+E205+F205))</f>
        <v>0</v>
      </c>
      <c r="I205" s="77"/>
      <c r="J205" s="77"/>
      <c r="K205" s="41" t="n">
        <f aca="false">IF(D205&lt;=0.5,0,MIN(H205+N(J205),D205+E205+F205))</f>
        <v>0</v>
      </c>
      <c r="L205" s="41" t="n">
        <f aca="false">K205-E205-F205</f>
        <v>0</v>
      </c>
      <c r="M205" s="41" t="n">
        <f aca="false">D205-L205</f>
        <v>0</v>
      </c>
      <c r="N205" s="42" t="n">
        <f aca="false">K205-G205</f>
        <v>0</v>
      </c>
      <c r="O205" s="78"/>
      <c r="P205" s="79"/>
      <c r="Q205" s="16" t="str">
        <f aca="false">IF(K205=0,"",IF(R205=1,"Pagada",IF(C205&lt;$F$12,"Vencida",IF(179=$F$13,"Próxima","Pendiente"))))</f>
        <v/>
      </c>
      <c r="R205" s="62" t="n">
        <f aca="false">IF(AND(K205&gt;0,OR(O205="Sí",O205="Si")),1,0)</f>
        <v>0</v>
      </c>
      <c r="S205" s="62" t="n">
        <f aca="false">IF(AND(K205&gt;0,R205=0),1,0)</f>
        <v>0</v>
      </c>
    </row>
    <row r="206" customFormat="false" ht="15" hidden="false" customHeight="false" outlineLevel="0" collapsed="false">
      <c r="B206" s="71" t="str">
        <f aca="false">IF($F$6="Sí",N($C$11)+179,"")</f>
        <v/>
      </c>
      <c r="C206" s="72" t="str">
        <f aca="false">IF(OR($F$6&lt;&gt;"Sí",D206&lt;=0.5),"",EDATE($C$10,179))</f>
        <v/>
      </c>
      <c r="D206" s="41" t="n">
        <f aca="false">MAX(0,M205)</f>
        <v>0</v>
      </c>
      <c r="E206" s="41" t="n">
        <f aca="false">D206*$F$7</f>
        <v>0</v>
      </c>
      <c r="F206" s="41" t="n">
        <f aca="false">IF(D206&gt;0.5,N($C$15),0)</f>
        <v>0</v>
      </c>
      <c r="G206" s="41" t="n">
        <f aca="false">IF(AND(D206&gt;0.5,N($C$19)&gt;0,N(B206)&lt;=N($C$20)),D206*$F$8,0)</f>
        <v>0</v>
      </c>
      <c r="H206" s="41" t="n">
        <f aca="false">IF(D206&lt;=0.5,0,MIN(IF(N(I206)&gt;0,I206,$F$9),D206+E206+F206))</f>
        <v>0</v>
      </c>
      <c r="I206" s="77"/>
      <c r="J206" s="77"/>
      <c r="K206" s="41" t="n">
        <f aca="false">IF(D206&lt;=0.5,0,MIN(H206+N(J206),D206+E206+F206))</f>
        <v>0</v>
      </c>
      <c r="L206" s="41" t="n">
        <f aca="false">K206-E206-F206</f>
        <v>0</v>
      </c>
      <c r="M206" s="41" t="n">
        <f aca="false">D206-L206</f>
        <v>0</v>
      </c>
      <c r="N206" s="42" t="n">
        <f aca="false">K206-G206</f>
        <v>0</v>
      </c>
      <c r="O206" s="78"/>
      <c r="P206" s="79"/>
      <c r="Q206" s="16" t="str">
        <f aca="false">IF(K206=0,"",IF(R206=1,"Pagada",IF(C206&lt;$F$12,"Vencida",IF(180=$F$13,"Próxima","Pendiente"))))</f>
        <v/>
      </c>
      <c r="R206" s="62" t="n">
        <f aca="false">IF(AND(K206&gt;0,OR(O206="Sí",O206="Si")),1,0)</f>
        <v>0</v>
      </c>
      <c r="S206" s="62" t="n">
        <f aca="false">IF(AND(K206&gt;0,R206=0),1,0)</f>
        <v>0</v>
      </c>
    </row>
    <row r="207" customFormat="false" ht="15" hidden="false" customHeight="false" outlineLevel="0" collapsed="false">
      <c r="B207" s="71" t="str">
        <f aca="false">IF($F$6="Sí",N($C$11)+180,"")</f>
        <v/>
      </c>
      <c r="C207" s="72" t="str">
        <f aca="false">IF(OR($F$6&lt;&gt;"Sí",D207&lt;=0.5),"",EDATE($C$10,180))</f>
        <v/>
      </c>
      <c r="D207" s="41" t="n">
        <f aca="false">MAX(0,M206)</f>
        <v>0</v>
      </c>
      <c r="E207" s="41" t="n">
        <f aca="false">D207*$F$7</f>
        <v>0</v>
      </c>
      <c r="F207" s="41" t="n">
        <f aca="false">IF(D207&gt;0.5,N($C$15),0)</f>
        <v>0</v>
      </c>
      <c r="G207" s="41" t="n">
        <f aca="false">IF(AND(D207&gt;0.5,N($C$19)&gt;0,N(B207)&lt;=N($C$20)),D207*$F$8,0)</f>
        <v>0</v>
      </c>
      <c r="H207" s="41" t="n">
        <f aca="false">IF(D207&lt;=0.5,0,MIN(IF(N(I207)&gt;0,I207,$F$9),D207+E207+F207))</f>
        <v>0</v>
      </c>
      <c r="I207" s="77"/>
      <c r="J207" s="77"/>
      <c r="K207" s="41" t="n">
        <f aca="false">IF(D207&lt;=0.5,0,MIN(H207+N(J207),D207+E207+F207))</f>
        <v>0</v>
      </c>
      <c r="L207" s="41" t="n">
        <f aca="false">K207-E207-F207</f>
        <v>0</v>
      </c>
      <c r="M207" s="41" t="n">
        <f aca="false">D207-L207</f>
        <v>0</v>
      </c>
      <c r="N207" s="42" t="n">
        <f aca="false">K207-G207</f>
        <v>0</v>
      </c>
      <c r="O207" s="78"/>
      <c r="P207" s="79"/>
      <c r="Q207" s="16" t="str">
        <f aca="false">IF(K207=0,"",IF(R207=1,"Pagada",IF(C207&lt;$F$12,"Vencida",IF(181=$F$13,"Próxima","Pendiente"))))</f>
        <v/>
      </c>
      <c r="R207" s="62" t="n">
        <f aca="false">IF(AND(K207&gt;0,OR(O207="Sí",O207="Si")),1,0)</f>
        <v>0</v>
      </c>
      <c r="S207" s="62" t="n">
        <f aca="false">IF(AND(K207&gt;0,R207=0),1,0)</f>
        <v>0</v>
      </c>
    </row>
    <row r="208" customFormat="false" ht="15" hidden="false" customHeight="false" outlineLevel="0" collapsed="false">
      <c r="B208" s="71" t="str">
        <f aca="false">IF($F$6="Sí",N($C$11)+181,"")</f>
        <v/>
      </c>
      <c r="C208" s="72" t="str">
        <f aca="false">IF(OR($F$6&lt;&gt;"Sí",D208&lt;=0.5),"",EDATE($C$10,181))</f>
        <v/>
      </c>
      <c r="D208" s="41" t="n">
        <f aca="false">MAX(0,M207)</f>
        <v>0</v>
      </c>
      <c r="E208" s="41" t="n">
        <f aca="false">D208*$F$7</f>
        <v>0</v>
      </c>
      <c r="F208" s="41" t="n">
        <f aca="false">IF(D208&gt;0.5,N($C$15),0)</f>
        <v>0</v>
      </c>
      <c r="G208" s="41" t="n">
        <f aca="false">IF(AND(D208&gt;0.5,N($C$19)&gt;0,N(B208)&lt;=N($C$20)),D208*$F$8,0)</f>
        <v>0</v>
      </c>
      <c r="H208" s="41" t="n">
        <f aca="false">IF(D208&lt;=0.5,0,MIN(IF(N(I208)&gt;0,I208,$F$9),D208+E208+F208))</f>
        <v>0</v>
      </c>
      <c r="I208" s="77"/>
      <c r="J208" s="77"/>
      <c r="K208" s="41" t="n">
        <f aca="false">IF(D208&lt;=0.5,0,MIN(H208+N(J208),D208+E208+F208))</f>
        <v>0</v>
      </c>
      <c r="L208" s="41" t="n">
        <f aca="false">K208-E208-F208</f>
        <v>0</v>
      </c>
      <c r="M208" s="41" t="n">
        <f aca="false">D208-L208</f>
        <v>0</v>
      </c>
      <c r="N208" s="42" t="n">
        <f aca="false">K208-G208</f>
        <v>0</v>
      </c>
      <c r="O208" s="78"/>
      <c r="P208" s="79"/>
      <c r="Q208" s="16" t="str">
        <f aca="false">IF(K208=0,"",IF(R208=1,"Pagada",IF(C208&lt;$F$12,"Vencida",IF(182=$F$13,"Próxima","Pendiente"))))</f>
        <v/>
      </c>
      <c r="R208" s="62" t="n">
        <f aca="false">IF(AND(K208&gt;0,OR(O208="Sí",O208="Si")),1,0)</f>
        <v>0</v>
      </c>
      <c r="S208" s="62" t="n">
        <f aca="false">IF(AND(K208&gt;0,R208=0),1,0)</f>
        <v>0</v>
      </c>
    </row>
    <row r="209" customFormat="false" ht="15" hidden="false" customHeight="false" outlineLevel="0" collapsed="false">
      <c r="B209" s="71" t="str">
        <f aca="false">IF($F$6="Sí",N($C$11)+182,"")</f>
        <v/>
      </c>
      <c r="C209" s="72" t="str">
        <f aca="false">IF(OR($F$6&lt;&gt;"Sí",D209&lt;=0.5),"",EDATE($C$10,182))</f>
        <v/>
      </c>
      <c r="D209" s="41" t="n">
        <f aca="false">MAX(0,M208)</f>
        <v>0</v>
      </c>
      <c r="E209" s="41" t="n">
        <f aca="false">D209*$F$7</f>
        <v>0</v>
      </c>
      <c r="F209" s="41" t="n">
        <f aca="false">IF(D209&gt;0.5,N($C$15),0)</f>
        <v>0</v>
      </c>
      <c r="G209" s="41" t="n">
        <f aca="false">IF(AND(D209&gt;0.5,N($C$19)&gt;0,N(B209)&lt;=N($C$20)),D209*$F$8,0)</f>
        <v>0</v>
      </c>
      <c r="H209" s="41" t="n">
        <f aca="false">IF(D209&lt;=0.5,0,MIN(IF(N(I209)&gt;0,I209,$F$9),D209+E209+F209))</f>
        <v>0</v>
      </c>
      <c r="I209" s="77"/>
      <c r="J209" s="77"/>
      <c r="K209" s="41" t="n">
        <f aca="false">IF(D209&lt;=0.5,0,MIN(H209+N(J209),D209+E209+F209))</f>
        <v>0</v>
      </c>
      <c r="L209" s="41" t="n">
        <f aca="false">K209-E209-F209</f>
        <v>0</v>
      </c>
      <c r="M209" s="41" t="n">
        <f aca="false">D209-L209</f>
        <v>0</v>
      </c>
      <c r="N209" s="42" t="n">
        <f aca="false">K209-G209</f>
        <v>0</v>
      </c>
      <c r="O209" s="78"/>
      <c r="P209" s="79"/>
      <c r="Q209" s="16" t="str">
        <f aca="false">IF(K209=0,"",IF(R209=1,"Pagada",IF(C209&lt;$F$12,"Vencida",IF(183=$F$13,"Próxima","Pendiente"))))</f>
        <v/>
      </c>
      <c r="R209" s="62" t="n">
        <f aca="false">IF(AND(K209&gt;0,OR(O209="Sí",O209="Si")),1,0)</f>
        <v>0</v>
      </c>
      <c r="S209" s="62" t="n">
        <f aca="false">IF(AND(K209&gt;0,R209=0),1,0)</f>
        <v>0</v>
      </c>
    </row>
    <row r="210" customFormat="false" ht="15" hidden="false" customHeight="false" outlineLevel="0" collapsed="false">
      <c r="B210" s="71" t="str">
        <f aca="false">IF($F$6="Sí",N($C$11)+183,"")</f>
        <v/>
      </c>
      <c r="C210" s="72" t="str">
        <f aca="false">IF(OR($F$6&lt;&gt;"Sí",D210&lt;=0.5),"",EDATE($C$10,183))</f>
        <v/>
      </c>
      <c r="D210" s="41" t="n">
        <f aca="false">MAX(0,M209)</f>
        <v>0</v>
      </c>
      <c r="E210" s="41" t="n">
        <f aca="false">D210*$F$7</f>
        <v>0</v>
      </c>
      <c r="F210" s="41" t="n">
        <f aca="false">IF(D210&gt;0.5,N($C$15),0)</f>
        <v>0</v>
      </c>
      <c r="G210" s="41" t="n">
        <f aca="false">IF(AND(D210&gt;0.5,N($C$19)&gt;0,N(B210)&lt;=N($C$20)),D210*$F$8,0)</f>
        <v>0</v>
      </c>
      <c r="H210" s="41" t="n">
        <f aca="false">IF(D210&lt;=0.5,0,MIN(IF(N(I210)&gt;0,I210,$F$9),D210+E210+F210))</f>
        <v>0</v>
      </c>
      <c r="I210" s="77"/>
      <c r="J210" s="77"/>
      <c r="K210" s="41" t="n">
        <f aca="false">IF(D210&lt;=0.5,0,MIN(H210+N(J210),D210+E210+F210))</f>
        <v>0</v>
      </c>
      <c r="L210" s="41" t="n">
        <f aca="false">K210-E210-F210</f>
        <v>0</v>
      </c>
      <c r="M210" s="41" t="n">
        <f aca="false">D210-L210</f>
        <v>0</v>
      </c>
      <c r="N210" s="42" t="n">
        <f aca="false">K210-G210</f>
        <v>0</v>
      </c>
      <c r="O210" s="78"/>
      <c r="P210" s="79"/>
      <c r="Q210" s="16" t="str">
        <f aca="false">IF(K210=0,"",IF(R210=1,"Pagada",IF(C210&lt;$F$12,"Vencida",IF(184=$F$13,"Próxima","Pendiente"))))</f>
        <v/>
      </c>
      <c r="R210" s="62" t="n">
        <f aca="false">IF(AND(K210&gt;0,OR(O210="Sí",O210="Si")),1,0)</f>
        <v>0</v>
      </c>
      <c r="S210" s="62" t="n">
        <f aca="false">IF(AND(K210&gt;0,R210=0),1,0)</f>
        <v>0</v>
      </c>
    </row>
    <row r="211" customFormat="false" ht="15" hidden="false" customHeight="false" outlineLevel="0" collapsed="false">
      <c r="B211" s="71" t="str">
        <f aca="false">IF($F$6="Sí",N($C$11)+184,"")</f>
        <v/>
      </c>
      <c r="C211" s="72" t="str">
        <f aca="false">IF(OR($F$6&lt;&gt;"Sí",D211&lt;=0.5),"",EDATE($C$10,184))</f>
        <v/>
      </c>
      <c r="D211" s="41" t="n">
        <f aca="false">MAX(0,M210)</f>
        <v>0</v>
      </c>
      <c r="E211" s="41" t="n">
        <f aca="false">D211*$F$7</f>
        <v>0</v>
      </c>
      <c r="F211" s="41" t="n">
        <f aca="false">IF(D211&gt;0.5,N($C$15),0)</f>
        <v>0</v>
      </c>
      <c r="G211" s="41" t="n">
        <f aca="false">IF(AND(D211&gt;0.5,N($C$19)&gt;0,N(B211)&lt;=N($C$20)),D211*$F$8,0)</f>
        <v>0</v>
      </c>
      <c r="H211" s="41" t="n">
        <f aca="false">IF(D211&lt;=0.5,0,MIN(IF(N(I211)&gt;0,I211,$F$9),D211+E211+F211))</f>
        <v>0</v>
      </c>
      <c r="I211" s="77"/>
      <c r="J211" s="77"/>
      <c r="K211" s="41" t="n">
        <f aca="false">IF(D211&lt;=0.5,0,MIN(H211+N(J211),D211+E211+F211))</f>
        <v>0</v>
      </c>
      <c r="L211" s="41" t="n">
        <f aca="false">K211-E211-F211</f>
        <v>0</v>
      </c>
      <c r="M211" s="41" t="n">
        <f aca="false">D211-L211</f>
        <v>0</v>
      </c>
      <c r="N211" s="42" t="n">
        <f aca="false">K211-G211</f>
        <v>0</v>
      </c>
      <c r="O211" s="78"/>
      <c r="P211" s="79"/>
      <c r="Q211" s="16" t="str">
        <f aca="false">IF(K211=0,"",IF(R211=1,"Pagada",IF(C211&lt;$F$12,"Vencida",IF(185=$F$13,"Próxima","Pendiente"))))</f>
        <v/>
      </c>
      <c r="R211" s="62" t="n">
        <f aca="false">IF(AND(K211&gt;0,OR(O211="Sí",O211="Si")),1,0)</f>
        <v>0</v>
      </c>
      <c r="S211" s="62" t="n">
        <f aca="false">IF(AND(K211&gt;0,R211=0),1,0)</f>
        <v>0</v>
      </c>
    </row>
    <row r="212" customFormat="false" ht="15" hidden="false" customHeight="false" outlineLevel="0" collapsed="false">
      <c r="B212" s="71" t="str">
        <f aca="false">IF($F$6="Sí",N($C$11)+185,"")</f>
        <v/>
      </c>
      <c r="C212" s="72" t="str">
        <f aca="false">IF(OR($F$6&lt;&gt;"Sí",D212&lt;=0.5),"",EDATE($C$10,185))</f>
        <v/>
      </c>
      <c r="D212" s="41" t="n">
        <f aca="false">MAX(0,M211)</f>
        <v>0</v>
      </c>
      <c r="E212" s="41" t="n">
        <f aca="false">D212*$F$7</f>
        <v>0</v>
      </c>
      <c r="F212" s="41" t="n">
        <f aca="false">IF(D212&gt;0.5,N($C$15),0)</f>
        <v>0</v>
      </c>
      <c r="G212" s="41" t="n">
        <f aca="false">IF(AND(D212&gt;0.5,N($C$19)&gt;0,N(B212)&lt;=N($C$20)),D212*$F$8,0)</f>
        <v>0</v>
      </c>
      <c r="H212" s="41" t="n">
        <f aca="false">IF(D212&lt;=0.5,0,MIN(IF(N(I212)&gt;0,I212,$F$9),D212+E212+F212))</f>
        <v>0</v>
      </c>
      <c r="I212" s="77"/>
      <c r="J212" s="77"/>
      <c r="K212" s="41" t="n">
        <f aca="false">IF(D212&lt;=0.5,0,MIN(H212+N(J212),D212+E212+F212))</f>
        <v>0</v>
      </c>
      <c r="L212" s="41" t="n">
        <f aca="false">K212-E212-F212</f>
        <v>0</v>
      </c>
      <c r="M212" s="41" t="n">
        <f aca="false">D212-L212</f>
        <v>0</v>
      </c>
      <c r="N212" s="42" t="n">
        <f aca="false">K212-G212</f>
        <v>0</v>
      </c>
      <c r="O212" s="78"/>
      <c r="P212" s="79"/>
      <c r="Q212" s="16" t="str">
        <f aca="false">IF(K212=0,"",IF(R212=1,"Pagada",IF(C212&lt;$F$12,"Vencida",IF(186=$F$13,"Próxima","Pendiente"))))</f>
        <v/>
      </c>
      <c r="R212" s="62" t="n">
        <f aca="false">IF(AND(K212&gt;0,OR(O212="Sí",O212="Si")),1,0)</f>
        <v>0</v>
      </c>
      <c r="S212" s="62" t="n">
        <f aca="false">IF(AND(K212&gt;0,R212=0),1,0)</f>
        <v>0</v>
      </c>
    </row>
    <row r="213" customFormat="false" ht="15" hidden="false" customHeight="false" outlineLevel="0" collapsed="false">
      <c r="B213" s="71" t="str">
        <f aca="false">IF($F$6="Sí",N($C$11)+186,"")</f>
        <v/>
      </c>
      <c r="C213" s="72" t="str">
        <f aca="false">IF(OR($F$6&lt;&gt;"Sí",D213&lt;=0.5),"",EDATE($C$10,186))</f>
        <v/>
      </c>
      <c r="D213" s="41" t="n">
        <f aca="false">MAX(0,M212)</f>
        <v>0</v>
      </c>
      <c r="E213" s="41" t="n">
        <f aca="false">D213*$F$7</f>
        <v>0</v>
      </c>
      <c r="F213" s="41" t="n">
        <f aca="false">IF(D213&gt;0.5,N($C$15),0)</f>
        <v>0</v>
      </c>
      <c r="G213" s="41" t="n">
        <f aca="false">IF(AND(D213&gt;0.5,N($C$19)&gt;0,N(B213)&lt;=N($C$20)),D213*$F$8,0)</f>
        <v>0</v>
      </c>
      <c r="H213" s="41" t="n">
        <f aca="false">IF(D213&lt;=0.5,0,MIN(IF(N(I213)&gt;0,I213,$F$9),D213+E213+F213))</f>
        <v>0</v>
      </c>
      <c r="I213" s="77"/>
      <c r="J213" s="77"/>
      <c r="K213" s="41" t="n">
        <f aca="false">IF(D213&lt;=0.5,0,MIN(H213+N(J213),D213+E213+F213))</f>
        <v>0</v>
      </c>
      <c r="L213" s="41" t="n">
        <f aca="false">K213-E213-F213</f>
        <v>0</v>
      </c>
      <c r="M213" s="41" t="n">
        <f aca="false">D213-L213</f>
        <v>0</v>
      </c>
      <c r="N213" s="42" t="n">
        <f aca="false">K213-G213</f>
        <v>0</v>
      </c>
      <c r="O213" s="78"/>
      <c r="P213" s="79"/>
      <c r="Q213" s="16" t="str">
        <f aca="false">IF(K213=0,"",IF(R213=1,"Pagada",IF(C213&lt;$F$12,"Vencida",IF(187=$F$13,"Próxima","Pendiente"))))</f>
        <v/>
      </c>
      <c r="R213" s="62" t="n">
        <f aca="false">IF(AND(K213&gt;0,OR(O213="Sí",O213="Si")),1,0)</f>
        <v>0</v>
      </c>
      <c r="S213" s="62" t="n">
        <f aca="false">IF(AND(K213&gt;0,R213=0),1,0)</f>
        <v>0</v>
      </c>
    </row>
    <row r="214" customFormat="false" ht="15" hidden="false" customHeight="false" outlineLevel="0" collapsed="false">
      <c r="B214" s="71" t="str">
        <f aca="false">IF($F$6="Sí",N($C$11)+187,"")</f>
        <v/>
      </c>
      <c r="C214" s="72" t="str">
        <f aca="false">IF(OR($F$6&lt;&gt;"Sí",D214&lt;=0.5),"",EDATE($C$10,187))</f>
        <v/>
      </c>
      <c r="D214" s="41" t="n">
        <f aca="false">MAX(0,M213)</f>
        <v>0</v>
      </c>
      <c r="E214" s="41" t="n">
        <f aca="false">D214*$F$7</f>
        <v>0</v>
      </c>
      <c r="F214" s="41" t="n">
        <f aca="false">IF(D214&gt;0.5,N($C$15),0)</f>
        <v>0</v>
      </c>
      <c r="G214" s="41" t="n">
        <f aca="false">IF(AND(D214&gt;0.5,N($C$19)&gt;0,N(B214)&lt;=N($C$20)),D214*$F$8,0)</f>
        <v>0</v>
      </c>
      <c r="H214" s="41" t="n">
        <f aca="false">IF(D214&lt;=0.5,0,MIN(IF(N(I214)&gt;0,I214,$F$9),D214+E214+F214))</f>
        <v>0</v>
      </c>
      <c r="I214" s="77"/>
      <c r="J214" s="77"/>
      <c r="K214" s="41" t="n">
        <f aca="false">IF(D214&lt;=0.5,0,MIN(H214+N(J214),D214+E214+F214))</f>
        <v>0</v>
      </c>
      <c r="L214" s="41" t="n">
        <f aca="false">K214-E214-F214</f>
        <v>0</v>
      </c>
      <c r="M214" s="41" t="n">
        <f aca="false">D214-L214</f>
        <v>0</v>
      </c>
      <c r="N214" s="42" t="n">
        <f aca="false">K214-G214</f>
        <v>0</v>
      </c>
      <c r="O214" s="78"/>
      <c r="P214" s="79"/>
      <c r="Q214" s="16" t="str">
        <f aca="false">IF(K214=0,"",IF(R214=1,"Pagada",IF(C214&lt;$F$12,"Vencida",IF(188=$F$13,"Próxima","Pendiente"))))</f>
        <v/>
      </c>
      <c r="R214" s="62" t="n">
        <f aca="false">IF(AND(K214&gt;0,OR(O214="Sí",O214="Si")),1,0)</f>
        <v>0</v>
      </c>
      <c r="S214" s="62" t="n">
        <f aca="false">IF(AND(K214&gt;0,R214=0),1,0)</f>
        <v>0</v>
      </c>
    </row>
    <row r="215" customFormat="false" ht="15" hidden="false" customHeight="false" outlineLevel="0" collapsed="false">
      <c r="B215" s="71" t="str">
        <f aca="false">IF($F$6="Sí",N($C$11)+188,"")</f>
        <v/>
      </c>
      <c r="C215" s="72" t="str">
        <f aca="false">IF(OR($F$6&lt;&gt;"Sí",D215&lt;=0.5),"",EDATE($C$10,188))</f>
        <v/>
      </c>
      <c r="D215" s="41" t="n">
        <f aca="false">MAX(0,M214)</f>
        <v>0</v>
      </c>
      <c r="E215" s="41" t="n">
        <f aca="false">D215*$F$7</f>
        <v>0</v>
      </c>
      <c r="F215" s="41" t="n">
        <f aca="false">IF(D215&gt;0.5,N($C$15),0)</f>
        <v>0</v>
      </c>
      <c r="G215" s="41" t="n">
        <f aca="false">IF(AND(D215&gt;0.5,N($C$19)&gt;0,N(B215)&lt;=N($C$20)),D215*$F$8,0)</f>
        <v>0</v>
      </c>
      <c r="H215" s="41" t="n">
        <f aca="false">IF(D215&lt;=0.5,0,MIN(IF(N(I215)&gt;0,I215,$F$9),D215+E215+F215))</f>
        <v>0</v>
      </c>
      <c r="I215" s="77"/>
      <c r="J215" s="77"/>
      <c r="K215" s="41" t="n">
        <f aca="false">IF(D215&lt;=0.5,0,MIN(H215+N(J215),D215+E215+F215))</f>
        <v>0</v>
      </c>
      <c r="L215" s="41" t="n">
        <f aca="false">K215-E215-F215</f>
        <v>0</v>
      </c>
      <c r="M215" s="41" t="n">
        <f aca="false">D215-L215</f>
        <v>0</v>
      </c>
      <c r="N215" s="42" t="n">
        <f aca="false">K215-G215</f>
        <v>0</v>
      </c>
      <c r="O215" s="78"/>
      <c r="P215" s="79"/>
      <c r="Q215" s="16" t="str">
        <f aca="false">IF(K215=0,"",IF(R215=1,"Pagada",IF(C215&lt;$F$12,"Vencida",IF(189=$F$13,"Próxima","Pendiente"))))</f>
        <v/>
      </c>
      <c r="R215" s="62" t="n">
        <f aca="false">IF(AND(K215&gt;0,OR(O215="Sí",O215="Si")),1,0)</f>
        <v>0</v>
      </c>
      <c r="S215" s="62" t="n">
        <f aca="false">IF(AND(K215&gt;0,R215=0),1,0)</f>
        <v>0</v>
      </c>
    </row>
    <row r="216" customFormat="false" ht="15" hidden="false" customHeight="false" outlineLevel="0" collapsed="false">
      <c r="B216" s="71" t="str">
        <f aca="false">IF($F$6="Sí",N($C$11)+189,"")</f>
        <v/>
      </c>
      <c r="C216" s="72" t="str">
        <f aca="false">IF(OR($F$6&lt;&gt;"Sí",D216&lt;=0.5),"",EDATE($C$10,189))</f>
        <v/>
      </c>
      <c r="D216" s="41" t="n">
        <f aca="false">MAX(0,M215)</f>
        <v>0</v>
      </c>
      <c r="E216" s="41" t="n">
        <f aca="false">D216*$F$7</f>
        <v>0</v>
      </c>
      <c r="F216" s="41" t="n">
        <f aca="false">IF(D216&gt;0.5,N($C$15),0)</f>
        <v>0</v>
      </c>
      <c r="G216" s="41" t="n">
        <f aca="false">IF(AND(D216&gt;0.5,N($C$19)&gt;0,N(B216)&lt;=N($C$20)),D216*$F$8,0)</f>
        <v>0</v>
      </c>
      <c r="H216" s="41" t="n">
        <f aca="false">IF(D216&lt;=0.5,0,MIN(IF(N(I216)&gt;0,I216,$F$9),D216+E216+F216))</f>
        <v>0</v>
      </c>
      <c r="I216" s="77"/>
      <c r="J216" s="77"/>
      <c r="K216" s="41" t="n">
        <f aca="false">IF(D216&lt;=0.5,0,MIN(H216+N(J216),D216+E216+F216))</f>
        <v>0</v>
      </c>
      <c r="L216" s="41" t="n">
        <f aca="false">K216-E216-F216</f>
        <v>0</v>
      </c>
      <c r="M216" s="41" t="n">
        <f aca="false">D216-L216</f>
        <v>0</v>
      </c>
      <c r="N216" s="42" t="n">
        <f aca="false">K216-G216</f>
        <v>0</v>
      </c>
      <c r="O216" s="78"/>
      <c r="P216" s="79"/>
      <c r="Q216" s="16" t="str">
        <f aca="false">IF(K216=0,"",IF(R216=1,"Pagada",IF(C216&lt;$F$12,"Vencida",IF(190=$F$13,"Próxima","Pendiente"))))</f>
        <v/>
      </c>
      <c r="R216" s="62" t="n">
        <f aca="false">IF(AND(K216&gt;0,OR(O216="Sí",O216="Si")),1,0)</f>
        <v>0</v>
      </c>
      <c r="S216" s="62" t="n">
        <f aca="false">IF(AND(K216&gt;0,R216=0),1,0)</f>
        <v>0</v>
      </c>
    </row>
    <row r="217" customFormat="false" ht="15" hidden="false" customHeight="false" outlineLevel="0" collapsed="false">
      <c r="B217" s="71" t="str">
        <f aca="false">IF($F$6="Sí",N($C$11)+190,"")</f>
        <v/>
      </c>
      <c r="C217" s="72" t="str">
        <f aca="false">IF(OR($F$6&lt;&gt;"Sí",D217&lt;=0.5),"",EDATE($C$10,190))</f>
        <v/>
      </c>
      <c r="D217" s="41" t="n">
        <f aca="false">MAX(0,M216)</f>
        <v>0</v>
      </c>
      <c r="E217" s="41" t="n">
        <f aca="false">D217*$F$7</f>
        <v>0</v>
      </c>
      <c r="F217" s="41" t="n">
        <f aca="false">IF(D217&gt;0.5,N($C$15),0)</f>
        <v>0</v>
      </c>
      <c r="G217" s="41" t="n">
        <f aca="false">IF(AND(D217&gt;0.5,N($C$19)&gt;0,N(B217)&lt;=N($C$20)),D217*$F$8,0)</f>
        <v>0</v>
      </c>
      <c r="H217" s="41" t="n">
        <f aca="false">IF(D217&lt;=0.5,0,MIN(IF(N(I217)&gt;0,I217,$F$9),D217+E217+F217))</f>
        <v>0</v>
      </c>
      <c r="I217" s="77"/>
      <c r="J217" s="77"/>
      <c r="K217" s="41" t="n">
        <f aca="false">IF(D217&lt;=0.5,0,MIN(H217+N(J217),D217+E217+F217))</f>
        <v>0</v>
      </c>
      <c r="L217" s="41" t="n">
        <f aca="false">K217-E217-F217</f>
        <v>0</v>
      </c>
      <c r="M217" s="41" t="n">
        <f aca="false">D217-L217</f>
        <v>0</v>
      </c>
      <c r="N217" s="42" t="n">
        <f aca="false">K217-G217</f>
        <v>0</v>
      </c>
      <c r="O217" s="78"/>
      <c r="P217" s="79"/>
      <c r="Q217" s="16" t="str">
        <f aca="false">IF(K217=0,"",IF(R217=1,"Pagada",IF(C217&lt;$F$12,"Vencida",IF(191=$F$13,"Próxima","Pendiente"))))</f>
        <v/>
      </c>
      <c r="R217" s="62" t="n">
        <f aca="false">IF(AND(K217&gt;0,OR(O217="Sí",O217="Si")),1,0)</f>
        <v>0</v>
      </c>
      <c r="S217" s="62" t="n">
        <f aca="false">IF(AND(K217&gt;0,R217=0),1,0)</f>
        <v>0</v>
      </c>
    </row>
    <row r="218" customFormat="false" ht="15" hidden="false" customHeight="false" outlineLevel="0" collapsed="false">
      <c r="B218" s="71" t="str">
        <f aca="false">IF($F$6="Sí",N($C$11)+191,"")</f>
        <v/>
      </c>
      <c r="C218" s="72" t="str">
        <f aca="false">IF(OR($F$6&lt;&gt;"Sí",D218&lt;=0.5),"",EDATE($C$10,191))</f>
        <v/>
      </c>
      <c r="D218" s="41" t="n">
        <f aca="false">MAX(0,M217)</f>
        <v>0</v>
      </c>
      <c r="E218" s="41" t="n">
        <f aca="false">D218*$F$7</f>
        <v>0</v>
      </c>
      <c r="F218" s="41" t="n">
        <f aca="false">IF(D218&gt;0.5,N($C$15),0)</f>
        <v>0</v>
      </c>
      <c r="G218" s="41" t="n">
        <f aca="false">IF(AND(D218&gt;0.5,N($C$19)&gt;0,N(B218)&lt;=N($C$20)),D218*$F$8,0)</f>
        <v>0</v>
      </c>
      <c r="H218" s="41" t="n">
        <f aca="false">IF(D218&lt;=0.5,0,MIN(IF(N(I218)&gt;0,I218,$F$9),D218+E218+F218))</f>
        <v>0</v>
      </c>
      <c r="I218" s="77"/>
      <c r="J218" s="77"/>
      <c r="K218" s="41" t="n">
        <f aca="false">IF(D218&lt;=0.5,0,MIN(H218+N(J218),D218+E218+F218))</f>
        <v>0</v>
      </c>
      <c r="L218" s="41" t="n">
        <f aca="false">K218-E218-F218</f>
        <v>0</v>
      </c>
      <c r="M218" s="41" t="n">
        <f aca="false">D218-L218</f>
        <v>0</v>
      </c>
      <c r="N218" s="42" t="n">
        <f aca="false">K218-G218</f>
        <v>0</v>
      </c>
      <c r="O218" s="78"/>
      <c r="P218" s="79"/>
      <c r="Q218" s="16" t="str">
        <f aca="false">IF(K218=0,"",IF(R218=1,"Pagada",IF(C218&lt;$F$12,"Vencida",IF(192=$F$13,"Próxima","Pendiente"))))</f>
        <v/>
      </c>
      <c r="R218" s="62" t="n">
        <f aca="false">IF(AND(K218&gt;0,OR(O218="Sí",O218="Si")),1,0)</f>
        <v>0</v>
      </c>
      <c r="S218" s="62" t="n">
        <f aca="false">IF(AND(K218&gt;0,R218=0),1,0)</f>
        <v>0</v>
      </c>
    </row>
    <row r="219" customFormat="false" ht="15" hidden="false" customHeight="false" outlineLevel="0" collapsed="false">
      <c r="B219" s="71" t="str">
        <f aca="false">IF($F$6="Sí",N($C$11)+192,"")</f>
        <v/>
      </c>
      <c r="C219" s="72" t="str">
        <f aca="false">IF(OR($F$6&lt;&gt;"Sí",D219&lt;=0.5),"",EDATE($C$10,192))</f>
        <v/>
      </c>
      <c r="D219" s="41" t="n">
        <f aca="false">MAX(0,M218)</f>
        <v>0</v>
      </c>
      <c r="E219" s="41" t="n">
        <f aca="false">D219*$F$7</f>
        <v>0</v>
      </c>
      <c r="F219" s="41" t="n">
        <f aca="false">IF(D219&gt;0.5,N($C$15),0)</f>
        <v>0</v>
      </c>
      <c r="G219" s="41" t="n">
        <f aca="false">IF(AND(D219&gt;0.5,N($C$19)&gt;0,N(B219)&lt;=N($C$20)),D219*$F$8,0)</f>
        <v>0</v>
      </c>
      <c r="H219" s="41" t="n">
        <f aca="false">IF(D219&lt;=0.5,0,MIN(IF(N(I219)&gt;0,I219,$F$9),D219+E219+F219))</f>
        <v>0</v>
      </c>
      <c r="I219" s="77"/>
      <c r="J219" s="77"/>
      <c r="K219" s="41" t="n">
        <f aca="false">IF(D219&lt;=0.5,0,MIN(H219+N(J219),D219+E219+F219))</f>
        <v>0</v>
      </c>
      <c r="L219" s="41" t="n">
        <f aca="false">K219-E219-F219</f>
        <v>0</v>
      </c>
      <c r="M219" s="41" t="n">
        <f aca="false">D219-L219</f>
        <v>0</v>
      </c>
      <c r="N219" s="42" t="n">
        <f aca="false">K219-G219</f>
        <v>0</v>
      </c>
      <c r="O219" s="78"/>
      <c r="P219" s="79"/>
      <c r="Q219" s="16" t="str">
        <f aca="false">IF(K219=0,"",IF(R219=1,"Pagada",IF(C219&lt;$F$12,"Vencida",IF(193=$F$13,"Próxima","Pendiente"))))</f>
        <v/>
      </c>
      <c r="R219" s="62" t="n">
        <f aca="false">IF(AND(K219&gt;0,OR(O219="Sí",O219="Si")),1,0)</f>
        <v>0</v>
      </c>
      <c r="S219" s="62" t="n">
        <f aca="false">IF(AND(K219&gt;0,R219=0),1,0)</f>
        <v>0</v>
      </c>
    </row>
    <row r="220" customFormat="false" ht="15" hidden="false" customHeight="false" outlineLevel="0" collapsed="false">
      <c r="B220" s="71" t="str">
        <f aca="false">IF($F$6="Sí",N($C$11)+193,"")</f>
        <v/>
      </c>
      <c r="C220" s="72" t="str">
        <f aca="false">IF(OR($F$6&lt;&gt;"Sí",D220&lt;=0.5),"",EDATE($C$10,193))</f>
        <v/>
      </c>
      <c r="D220" s="41" t="n">
        <f aca="false">MAX(0,M219)</f>
        <v>0</v>
      </c>
      <c r="E220" s="41" t="n">
        <f aca="false">D220*$F$7</f>
        <v>0</v>
      </c>
      <c r="F220" s="41" t="n">
        <f aca="false">IF(D220&gt;0.5,N($C$15),0)</f>
        <v>0</v>
      </c>
      <c r="G220" s="41" t="n">
        <f aca="false">IF(AND(D220&gt;0.5,N($C$19)&gt;0,N(B220)&lt;=N($C$20)),D220*$F$8,0)</f>
        <v>0</v>
      </c>
      <c r="H220" s="41" t="n">
        <f aca="false">IF(D220&lt;=0.5,0,MIN(IF(N(I220)&gt;0,I220,$F$9),D220+E220+F220))</f>
        <v>0</v>
      </c>
      <c r="I220" s="77"/>
      <c r="J220" s="77"/>
      <c r="K220" s="41" t="n">
        <f aca="false">IF(D220&lt;=0.5,0,MIN(H220+N(J220),D220+E220+F220))</f>
        <v>0</v>
      </c>
      <c r="L220" s="41" t="n">
        <f aca="false">K220-E220-F220</f>
        <v>0</v>
      </c>
      <c r="M220" s="41" t="n">
        <f aca="false">D220-L220</f>
        <v>0</v>
      </c>
      <c r="N220" s="42" t="n">
        <f aca="false">K220-G220</f>
        <v>0</v>
      </c>
      <c r="O220" s="78"/>
      <c r="P220" s="79"/>
      <c r="Q220" s="16" t="str">
        <f aca="false">IF(K220=0,"",IF(R220=1,"Pagada",IF(C220&lt;$F$12,"Vencida",IF(194=$F$13,"Próxima","Pendiente"))))</f>
        <v/>
      </c>
      <c r="R220" s="62" t="n">
        <f aca="false">IF(AND(K220&gt;0,OR(O220="Sí",O220="Si")),1,0)</f>
        <v>0</v>
      </c>
      <c r="S220" s="62" t="n">
        <f aca="false">IF(AND(K220&gt;0,R220=0),1,0)</f>
        <v>0</v>
      </c>
    </row>
    <row r="221" customFormat="false" ht="15" hidden="false" customHeight="false" outlineLevel="0" collapsed="false">
      <c r="B221" s="71" t="str">
        <f aca="false">IF($F$6="Sí",N($C$11)+194,"")</f>
        <v/>
      </c>
      <c r="C221" s="72" t="str">
        <f aca="false">IF(OR($F$6&lt;&gt;"Sí",D221&lt;=0.5),"",EDATE($C$10,194))</f>
        <v/>
      </c>
      <c r="D221" s="41" t="n">
        <f aca="false">MAX(0,M220)</f>
        <v>0</v>
      </c>
      <c r="E221" s="41" t="n">
        <f aca="false">D221*$F$7</f>
        <v>0</v>
      </c>
      <c r="F221" s="41" t="n">
        <f aca="false">IF(D221&gt;0.5,N($C$15),0)</f>
        <v>0</v>
      </c>
      <c r="G221" s="41" t="n">
        <f aca="false">IF(AND(D221&gt;0.5,N($C$19)&gt;0,N(B221)&lt;=N($C$20)),D221*$F$8,0)</f>
        <v>0</v>
      </c>
      <c r="H221" s="41" t="n">
        <f aca="false">IF(D221&lt;=0.5,0,MIN(IF(N(I221)&gt;0,I221,$F$9),D221+E221+F221))</f>
        <v>0</v>
      </c>
      <c r="I221" s="77"/>
      <c r="J221" s="77"/>
      <c r="K221" s="41" t="n">
        <f aca="false">IF(D221&lt;=0.5,0,MIN(H221+N(J221),D221+E221+F221))</f>
        <v>0</v>
      </c>
      <c r="L221" s="41" t="n">
        <f aca="false">K221-E221-F221</f>
        <v>0</v>
      </c>
      <c r="M221" s="41" t="n">
        <f aca="false">D221-L221</f>
        <v>0</v>
      </c>
      <c r="N221" s="42" t="n">
        <f aca="false">K221-G221</f>
        <v>0</v>
      </c>
      <c r="O221" s="78"/>
      <c r="P221" s="79"/>
      <c r="Q221" s="16" t="str">
        <f aca="false">IF(K221=0,"",IF(R221=1,"Pagada",IF(C221&lt;$F$12,"Vencida",IF(195=$F$13,"Próxima","Pendiente"))))</f>
        <v/>
      </c>
      <c r="R221" s="62" t="n">
        <f aca="false">IF(AND(K221&gt;0,OR(O221="Sí",O221="Si")),1,0)</f>
        <v>0</v>
      </c>
      <c r="S221" s="62" t="n">
        <f aca="false">IF(AND(K221&gt;0,R221=0),1,0)</f>
        <v>0</v>
      </c>
    </row>
    <row r="222" customFormat="false" ht="15" hidden="false" customHeight="false" outlineLevel="0" collapsed="false">
      <c r="B222" s="71" t="str">
        <f aca="false">IF($F$6="Sí",N($C$11)+195,"")</f>
        <v/>
      </c>
      <c r="C222" s="72" t="str">
        <f aca="false">IF(OR($F$6&lt;&gt;"Sí",D222&lt;=0.5),"",EDATE($C$10,195))</f>
        <v/>
      </c>
      <c r="D222" s="41" t="n">
        <f aca="false">MAX(0,M221)</f>
        <v>0</v>
      </c>
      <c r="E222" s="41" t="n">
        <f aca="false">D222*$F$7</f>
        <v>0</v>
      </c>
      <c r="F222" s="41" t="n">
        <f aca="false">IF(D222&gt;0.5,N($C$15),0)</f>
        <v>0</v>
      </c>
      <c r="G222" s="41" t="n">
        <f aca="false">IF(AND(D222&gt;0.5,N($C$19)&gt;0,N(B222)&lt;=N($C$20)),D222*$F$8,0)</f>
        <v>0</v>
      </c>
      <c r="H222" s="41" t="n">
        <f aca="false">IF(D222&lt;=0.5,0,MIN(IF(N(I222)&gt;0,I222,$F$9),D222+E222+F222))</f>
        <v>0</v>
      </c>
      <c r="I222" s="77"/>
      <c r="J222" s="77"/>
      <c r="K222" s="41" t="n">
        <f aca="false">IF(D222&lt;=0.5,0,MIN(H222+N(J222),D222+E222+F222))</f>
        <v>0</v>
      </c>
      <c r="L222" s="41" t="n">
        <f aca="false">K222-E222-F222</f>
        <v>0</v>
      </c>
      <c r="M222" s="41" t="n">
        <f aca="false">D222-L222</f>
        <v>0</v>
      </c>
      <c r="N222" s="42" t="n">
        <f aca="false">K222-G222</f>
        <v>0</v>
      </c>
      <c r="O222" s="78"/>
      <c r="P222" s="79"/>
      <c r="Q222" s="16" t="str">
        <f aca="false">IF(K222=0,"",IF(R222=1,"Pagada",IF(C222&lt;$F$12,"Vencida",IF(196=$F$13,"Próxima","Pendiente"))))</f>
        <v/>
      </c>
      <c r="R222" s="62" t="n">
        <f aca="false">IF(AND(K222&gt;0,OR(O222="Sí",O222="Si")),1,0)</f>
        <v>0</v>
      </c>
      <c r="S222" s="62" t="n">
        <f aca="false">IF(AND(K222&gt;0,R222=0),1,0)</f>
        <v>0</v>
      </c>
    </row>
    <row r="223" customFormat="false" ht="15" hidden="false" customHeight="false" outlineLevel="0" collapsed="false">
      <c r="B223" s="71" t="str">
        <f aca="false">IF($F$6="Sí",N($C$11)+196,"")</f>
        <v/>
      </c>
      <c r="C223" s="72" t="str">
        <f aca="false">IF(OR($F$6&lt;&gt;"Sí",D223&lt;=0.5),"",EDATE($C$10,196))</f>
        <v/>
      </c>
      <c r="D223" s="41" t="n">
        <f aca="false">MAX(0,M222)</f>
        <v>0</v>
      </c>
      <c r="E223" s="41" t="n">
        <f aca="false">D223*$F$7</f>
        <v>0</v>
      </c>
      <c r="F223" s="41" t="n">
        <f aca="false">IF(D223&gt;0.5,N($C$15),0)</f>
        <v>0</v>
      </c>
      <c r="G223" s="41" t="n">
        <f aca="false">IF(AND(D223&gt;0.5,N($C$19)&gt;0,N(B223)&lt;=N($C$20)),D223*$F$8,0)</f>
        <v>0</v>
      </c>
      <c r="H223" s="41" t="n">
        <f aca="false">IF(D223&lt;=0.5,0,MIN(IF(N(I223)&gt;0,I223,$F$9),D223+E223+F223))</f>
        <v>0</v>
      </c>
      <c r="I223" s="77"/>
      <c r="J223" s="77"/>
      <c r="K223" s="41" t="n">
        <f aca="false">IF(D223&lt;=0.5,0,MIN(H223+N(J223),D223+E223+F223))</f>
        <v>0</v>
      </c>
      <c r="L223" s="41" t="n">
        <f aca="false">K223-E223-F223</f>
        <v>0</v>
      </c>
      <c r="M223" s="41" t="n">
        <f aca="false">D223-L223</f>
        <v>0</v>
      </c>
      <c r="N223" s="42" t="n">
        <f aca="false">K223-G223</f>
        <v>0</v>
      </c>
      <c r="O223" s="78"/>
      <c r="P223" s="79"/>
      <c r="Q223" s="16" t="str">
        <f aca="false">IF(K223=0,"",IF(R223=1,"Pagada",IF(C223&lt;$F$12,"Vencida",IF(197=$F$13,"Próxima","Pendiente"))))</f>
        <v/>
      </c>
      <c r="R223" s="62" t="n">
        <f aca="false">IF(AND(K223&gt;0,OR(O223="Sí",O223="Si")),1,0)</f>
        <v>0</v>
      </c>
      <c r="S223" s="62" t="n">
        <f aca="false">IF(AND(K223&gt;0,R223=0),1,0)</f>
        <v>0</v>
      </c>
    </row>
    <row r="224" customFormat="false" ht="15" hidden="false" customHeight="false" outlineLevel="0" collapsed="false">
      <c r="B224" s="71" t="str">
        <f aca="false">IF($F$6="Sí",N($C$11)+197,"")</f>
        <v/>
      </c>
      <c r="C224" s="72" t="str">
        <f aca="false">IF(OR($F$6&lt;&gt;"Sí",D224&lt;=0.5),"",EDATE($C$10,197))</f>
        <v/>
      </c>
      <c r="D224" s="41" t="n">
        <f aca="false">MAX(0,M223)</f>
        <v>0</v>
      </c>
      <c r="E224" s="41" t="n">
        <f aca="false">D224*$F$7</f>
        <v>0</v>
      </c>
      <c r="F224" s="41" t="n">
        <f aca="false">IF(D224&gt;0.5,N($C$15),0)</f>
        <v>0</v>
      </c>
      <c r="G224" s="41" t="n">
        <f aca="false">IF(AND(D224&gt;0.5,N($C$19)&gt;0,N(B224)&lt;=N($C$20)),D224*$F$8,0)</f>
        <v>0</v>
      </c>
      <c r="H224" s="41" t="n">
        <f aca="false">IF(D224&lt;=0.5,0,MIN(IF(N(I224)&gt;0,I224,$F$9),D224+E224+F224))</f>
        <v>0</v>
      </c>
      <c r="I224" s="77"/>
      <c r="J224" s="77"/>
      <c r="K224" s="41" t="n">
        <f aca="false">IF(D224&lt;=0.5,0,MIN(H224+N(J224),D224+E224+F224))</f>
        <v>0</v>
      </c>
      <c r="L224" s="41" t="n">
        <f aca="false">K224-E224-F224</f>
        <v>0</v>
      </c>
      <c r="M224" s="41" t="n">
        <f aca="false">D224-L224</f>
        <v>0</v>
      </c>
      <c r="N224" s="42" t="n">
        <f aca="false">K224-G224</f>
        <v>0</v>
      </c>
      <c r="O224" s="78"/>
      <c r="P224" s="79"/>
      <c r="Q224" s="16" t="str">
        <f aca="false">IF(K224=0,"",IF(R224=1,"Pagada",IF(C224&lt;$F$12,"Vencida",IF(198=$F$13,"Próxima","Pendiente"))))</f>
        <v/>
      </c>
      <c r="R224" s="62" t="n">
        <f aca="false">IF(AND(K224&gt;0,OR(O224="Sí",O224="Si")),1,0)</f>
        <v>0</v>
      </c>
      <c r="S224" s="62" t="n">
        <f aca="false">IF(AND(K224&gt;0,R224=0),1,0)</f>
        <v>0</v>
      </c>
    </row>
    <row r="225" customFormat="false" ht="15" hidden="false" customHeight="false" outlineLevel="0" collapsed="false">
      <c r="B225" s="71" t="str">
        <f aca="false">IF($F$6="Sí",N($C$11)+198,"")</f>
        <v/>
      </c>
      <c r="C225" s="72" t="str">
        <f aca="false">IF(OR($F$6&lt;&gt;"Sí",D225&lt;=0.5),"",EDATE($C$10,198))</f>
        <v/>
      </c>
      <c r="D225" s="41" t="n">
        <f aca="false">MAX(0,M224)</f>
        <v>0</v>
      </c>
      <c r="E225" s="41" t="n">
        <f aca="false">D225*$F$7</f>
        <v>0</v>
      </c>
      <c r="F225" s="41" t="n">
        <f aca="false">IF(D225&gt;0.5,N($C$15),0)</f>
        <v>0</v>
      </c>
      <c r="G225" s="41" t="n">
        <f aca="false">IF(AND(D225&gt;0.5,N($C$19)&gt;0,N(B225)&lt;=N($C$20)),D225*$F$8,0)</f>
        <v>0</v>
      </c>
      <c r="H225" s="41" t="n">
        <f aca="false">IF(D225&lt;=0.5,0,MIN(IF(N(I225)&gt;0,I225,$F$9),D225+E225+F225))</f>
        <v>0</v>
      </c>
      <c r="I225" s="77"/>
      <c r="J225" s="77"/>
      <c r="K225" s="41" t="n">
        <f aca="false">IF(D225&lt;=0.5,0,MIN(H225+N(J225),D225+E225+F225))</f>
        <v>0</v>
      </c>
      <c r="L225" s="41" t="n">
        <f aca="false">K225-E225-F225</f>
        <v>0</v>
      </c>
      <c r="M225" s="41" t="n">
        <f aca="false">D225-L225</f>
        <v>0</v>
      </c>
      <c r="N225" s="42" t="n">
        <f aca="false">K225-G225</f>
        <v>0</v>
      </c>
      <c r="O225" s="78"/>
      <c r="P225" s="79"/>
      <c r="Q225" s="16" t="str">
        <f aca="false">IF(K225=0,"",IF(R225=1,"Pagada",IF(C225&lt;$F$12,"Vencida",IF(199=$F$13,"Próxima","Pendiente"))))</f>
        <v/>
      </c>
      <c r="R225" s="62" t="n">
        <f aca="false">IF(AND(K225&gt;0,OR(O225="Sí",O225="Si")),1,0)</f>
        <v>0</v>
      </c>
      <c r="S225" s="62" t="n">
        <f aca="false">IF(AND(K225&gt;0,R225=0),1,0)</f>
        <v>0</v>
      </c>
    </row>
    <row r="226" customFormat="false" ht="15" hidden="false" customHeight="false" outlineLevel="0" collapsed="false">
      <c r="B226" s="71" t="str">
        <f aca="false">IF($F$6="Sí",N($C$11)+199,"")</f>
        <v/>
      </c>
      <c r="C226" s="72" t="str">
        <f aca="false">IF(OR($F$6&lt;&gt;"Sí",D226&lt;=0.5),"",EDATE($C$10,199))</f>
        <v/>
      </c>
      <c r="D226" s="41" t="n">
        <f aca="false">MAX(0,M225)</f>
        <v>0</v>
      </c>
      <c r="E226" s="41" t="n">
        <f aca="false">D226*$F$7</f>
        <v>0</v>
      </c>
      <c r="F226" s="41" t="n">
        <f aca="false">IF(D226&gt;0.5,N($C$15),0)</f>
        <v>0</v>
      </c>
      <c r="G226" s="41" t="n">
        <f aca="false">IF(AND(D226&gt;0.5,N($C$19)&gt;0,N(B226)&lt;=N($C$20)),D226*$F$8,0)</f>
        <v>0</v>
      </c>
      <c r="H226" s="41" t="n">
        <f aca="false">IF(D226&lt;=0.5,0,MIN(IF(N(I226)&gt;0,I226,$F$9),D226+E226+F226))</f>
        <v>0</v>
      </c>
      <c r="I226" s="77"/>
      <c r="J226" s="77"/>
      <c r="K226" s="41" t="n">
        <f aca="false">IF(D226&lt;=0.5,0,MIN(H226+N(J226),D226+E226+F226))</f>
        <v>0</v>
      </c>
      <c r="L226" s="41" t="n">
        <f aca="false">K226-E226-F226</f>
        <v>0</v>
      </c>
      <c r="M226" s="41" t="n">
        <f aca="false">D226-L226</f>
        <v>0</v>
      </c>
      <c r="N226" s="42" t="n">
        <f aca="false">K226-G226</f>
        <v>0</v>
      </c>
      <c r="O226" s="78"/>
      <c r="P226" s="79"/>
      <c r="Q226" s="16" t="str">
        <f aca="false">IF(K226=0,"",IF(R226=1,"Pagada",IF(C226&lt;$F$12,"Vencida",IF(200=$F$13,"Próxima","Pendiente"))))</f>
        <v/>
      </c>
      <c r="R226" s="62" t="n">
        <f aca="false">IF(AND(K226&gt;0,OR(O226="Sí",O226="Si")),1,0)</f>
        <v>0</v>
      </c>
      <c r="S226" s="62" t="n">
        <f aca="false">IF(AND(K226&gt;0,R226=0),1,0)</f>
        <v>0</v>
      </c>
    </row>
    <row r="227" customFormat="false" ht="15" hidden="false" customHeight="false" outlineLevel="0" collapsed="false">
      <c r="B227" s="71" t="str">
        <f aca="false">IF($F$6="Sí",N($C$11)+200,"")</f>
        <v/>
      </c>
      <c r="C227" s="72" t="str">
        <f aca="false">IF(OR($F$6&lt;&gt;"Sí",D227&lt;=0.5),"",EDATE($C$10,200))</f>
        <v/>
      </c>
      <c r="D227" s="41" t="n">
        <f aca="false">MAX(0,M226)</f>
        <v>0</v>
      </c>
      <c r="E227" s="41" t="n">
        <f aca="false">D227*$F$7</f>
        <v>0</v>
      </c>
      <c r="F227" s="41" t="n">
        <f aca="false">IF(D227&gt;0.5,N($C$15),0)</f>
        <v>0</v>
      </c>
      <c r="G227" s="41" t="n">
        <f aca="false">IF(AND(D227&gt;0.5,N($C$19)&gt;0,N(B227)&lt;=N($C$20)),D227*$F$8,0)</f>
        <v>0</v>
      </c>
      <c r="H227" s="41" t="n">
        <f aca="false">IF(D227&lt;=0.5,0,MIN(IF(N(I227)&gt;0,I227,$F$9),D227+E227+F227))</f>
        <v>0</v>
      </c>
      <c r="I227" s="77"/>
      <c r="J227" s="77"/>
      <c r="K227" s="41" t="n">
        <f aca="false">IF(D227&lt;=0.5,0,MIN(H227+N(J227),D227+E227+F227))</f>
        <v>0</v>
      </c>
      <c r="L227" s="41" t="n">
        <f aca="false">K227-E227-F227</f>
        <v>0</v>
      </c>
      <c r="M227" s="41" t="n">
        <f aca="false">D227-L227</f>
        <v>0</v>
      </c>
      <c r="N227" s="42" t="n">
        <f aca="false">K227-G227</f>
        <v>0</v>
      </c>
      <c r="O227" s="78"/>
      <c r="P227" s="79"/>
      <c r="Q227" s="16" t="str">
        <f aca="false">IF(K227=0,"",IF(R227=1,"Pagada",IF(C227&lt;$F$12,"Vencida",IF(201=$F$13,"Próxima","Pendiente"))))</f>
        <v/>
      </c>
      <c r="R227" s="62" t="n">
        <f aca="false">IF(AND(K227&gt;0,OR(O227="Sí",O227="Si")),1,0)</f>
        <v>0</v>
      </c>
      <c r="S227" s="62" t="n">
        <f aca="false">IF(AND(K227&gt;0,R227=0),1,0)</f>
        <v>0</v>
      </c>
    </row>
    <row r="228" customFormat="false" ht="15" hidden="false" customHeight="false" outlineLevel="0" collapsed="false">
      <c r="B228" s="71" t="str">
        <f aca="false">IF($F$6="Sí",N($C$11)+201,"")</f>
        <v/>
      </c>
      <c r="C228" s="72" t="str">
        <f aca="false">IF(OR($F$6&lt;&gt;"Sí",D228&lt;=0.5),"",EDATE($C$10,201))</f>
        <v/>
      </c>
      <c r="D228" s="41" t="n">
        <f aca="false">MAX(0,M227)</f>
        <v>0</v>
      </c>
      <c r="E228" s="41" t="n">
        <f aca="false">D228*$F$7</f>
        <v>0</v>
      </c>
      <c r="F228" s="41" t="n">
        <f aca="false">IF(D228&gt;0.5,N($C$15),0)</f>
        <v>0</v>
      </c>
      <c r="G228" s="41" t="n">
        <f aca="false">IF(AND(D228&gt;0.5,N($C$19)&gt;0,N(B228)&lt;=N($C$20)),D228*$F$8,0)</f>
        <v>0</v>
      </c>
      <c r="H228" s="41" t="n">
        <f aca="false">IF(D228&lt;=0.5,0,MIN(IF(N(I228)&gt;0,I228,$F$9),D228+E228+F228))</f>
        <v>0</v>
      </c>
      <c r="I228" s="77"/>
      <c r="J228" s="77"/>
      <c r="K228" s="41" t="n">
        <f aca="false">IF(D228&lt;=0.5,0,MIN(H228+N(J228),D228+E228+F228))</f>
        <v>0</v>
      </c>
      <c r="L228" s="41" t="n">
        <f aca="false">K228-E228-F228</f>
        <v>0</v>
      </c>
      <c r="M228" s="41" t="n">
        <f aca="false">D228-L228</f>
        <v>0</v>
      </c>
      <c r="N228" s="42" t="n">
        <f aca="false">K228-G228</f>
        <v>0</v>
      </c>
      <c r="O228" s="78"/>
      <c r="P228" s="79"/>
      <c r="Q228" s="16" t="str">
        <f aca="false">IF(K228=0,"",IF(R228=1,"Pagada",IF(C228&lt;$F$12,"Vencida",IF(202=$F$13,"Próxima","Pendiente"))))</f>
        <v/>
      </c>
      <c r="R228" s="62" t="n">
        <f aca="false">IF(AND(K228&gt;0,OR(O228="Sí",O228="Si")),1,0)</f>
        <v>0</v>
      </c>
      <c r="S228" s="62" t="n">
        <f aca="false">IF(AND(K228&gt;0,R228=0),1,0)</f>
        <v>0</v>
      </c>
    </row>
    <row r="229" customFormat="false" ht="15" hidden="false" customHeight="false" outlineLevel="0" collapsed="false">
      <c r="B229" s="71" t="str">
        <f aca="false">IF($F$6="Sí",N($C$11)+202,"")</f>
        <v/>
      </c>
      <c r="C229" s="72" t="str">
        <f aca="false">IF(OR($F$6&lt;&gt;"Sí",D229&lt;=0.5),"",EDATE($C$10,202))</f>
        <v/>
      </c>
      <c r="D229" s="41" t="n">
        <f aca="false">MAX(0,M228)</f>
        <v>0</v>
      </c>
      <c r="E229" s="41" t="n">
        <f aca="false">D229*$F$7</f>
        <v>0</v>
      </c>
      <c r="F229" s="41" t="n">
        <f aca="false">IF(D229&gt;0.5,N($C$15),0)</f>
        <v>0</v>
      </c>
      <c r="G229" s="41" t="n">
        <f aca="false">IF(AND(D229&gt;0.5,N($C$19)&gt;0,N(B229)&lt;=N($C$20)),D229*$F$8,0)</f>
        <v>0</v>
      </c>
      <c r="H229" s="41" t="n">
        <f aca="false">IF(D229&lt;=0.5,0,MIN(IF(N(I229)&gt;0,I229,$F$9),D229+E229+F229))</f>
        <v>0</v>
      </c>
      <c r="I229" s="77"/>
      <c r="J229" s="77"/>
      <c r="K229" s="41" t="n">
        <f aca="false">IF(D229&lt;=0.5,0,MIN(H229+N(J229),D229+E229+F229))</f>
        <v>0</v>
      </c>
      <c r="L229" s="41" t="n">
        <f aca="false">K229-E229-F229</f>
        <v>0</v>
      </c>
      <c r="M229" s="41" t="n">
        <f aca="false">D229-L229</f>
        <v>0</v>
      </c>
      <c r="N229" s="42" t="n">
        <f aca="false">K229-G229</f>
        <v>0</v>
      </c>
      <c r="O229" s="78"/>
      <c r="P229" s="79"/>
      <c r="Q229" s="16" t="str">
        <f aca="false">IF(K229=0,"",IF(R229=1,"Pagada",IF(C229&lt;$F$12,"Vencida",IF(203=$F$13,"Próxima","Pendiente"))))</f>
        <v/>
      </c>
      <c r="R229" s="62" t="n">
        <f aca="false">IF(AND(K229&gt;0,OR(O229="Sí",O229="Si")),1,0)</f>
        <v>0</v>
      </c>
      <c r="S229" s="62" t="n">
        <f aca="false">IF(AND(K229&gt;0,R229=0),1,0)</f>
        <v>0</v>
      </c>
    </row>
    <row r="230" customFormat="false" ht="15" hidden="false" customHeight="false" outlineLevel="0" collapsed="false">
      <c r="B230" s="71" t="str">
        <f aca="false">IF($F$6="Sí",N($C$11)+203,"")</f>
        <v/>
      </c>
      <c r="C230" s="72" t="str">
        <f aca="false">IF(OR($F$6&lt;&gt;"Sí",D230&lt;=0.5),"",EDATE($C$10,203))</f>
        <v/>
      </c>
      <c r="D230" s="41" t="n">
        <f aca="false">MAX(0,M229)</f>
        <v>0</v>
      </c>
      <c r="E230" s="41" t="n">
        <f aca="false">D230*$F$7</f>
        <v>0</v>
      </c>
      <c r="F230" s="41" t="n">
        <f aca="false">IF(D230&gt;0.5,N($C$15),0)</f>
        <v>0</v>
      </c>
      <c r="G230" s="41" t="n">
        <f aca="false">IF(AND(D230&gt;0.5,N($C$19)&gt;0,N(B230)&lt;=N($C$20)),D230*$F$8,0)</f>
        <v>0</v>
      </c>
      <c r="H230" s="41" t="n">
        <f aca="false">IF(D230&lt;=0.5,0,MIN(IF(N(I230)&gt;0,I230,$F$9),D230+E230+F230))</f>
        <v>0</v>
      </c>
      <c r="I230" s="77"/>
      <c r="J230" s="77"/>
      <c r="K230" s="41" t="n">
        <f aca="false">IF(D230&lt;=0.5,0,MIN(H230+N(J230),D230+E230+F230))</f>
        <v>0</v>
      </c>
      <c r="L230" s="41" t="n">
        <f aca="false">K230-E230-F230</f>
        <v>0</v>
      </c>
      <c r="M230" s="41" t="n">
        <f aca="false">D230-L230</f>
        <v>0</v>
      </c>
      <c r="N230" s="42" t="n">
        <f aca="false">K230-G230</f>
        <v>0</v>
      </c>
      <c r="O230" s="78"/>
      <c r="P230" s="79"/>
      <c r="Q230" s="16" t="str">
        <f aca="false">IF(K230=0,"",IF(R230=1,"Pagada",IF(C230&lt;$F$12,"Vencida",IF(204=$F$13,"Próxima","Pendiente"))))</f>
        <v/>
      </c>
      <c r="R230" s="62" t="n">
        <f aca="false">IF(AND(K230&gt;0,OR(O230="Sí",O230="Si")),1,0)</f>
        <v>0</v>
      </c>
      <c r="S230" s="62" t="n">
        <f aca="false">IF(AND(K230&gt;0,R230=0),1,0)</f>
        <v>0</v>
      </c>
    </row>
    <row r="231" customFormat="false" ht="15" hidden="false" customHeight="false" outlineLevel="0" collapsed="false">
      <c r="B231" s="71" t="str">
        <f aca="false">IF($F$6="Sí",N($C$11)+204,"")</f>
        <v/>
      </c>
      <c r="C231" s="72" t="str">
        <f aca="false">IF(OR($F$6&lt;&gt;"Sí",D231&lt;=0.5),"",EDATE($C$10,204))</f>
        <v/>
      </c>
      <c r="D231" s="41" t="n">
        <f aca="false">MAX(0,M230)</f>
        <v>0</v>
      </c>
      <c r="E231" s="41" t="n">
        <f aca="false">D231*$F$7</f>
        <v>0</v>
      </c>
      <c r="F231" s="41" t="n">
        <f aca="false">IF(D231&gt;0.5,N($C$15),0)</f>
        <v>0</v>
      </c>
      <c r="G231" s="41" t="n">
        <f aca="false">IF(AND(D231&gt;0.5,N($C$19)&gt;0,N(B231)&lt;=N($C$20)),D231*$F$8,0)</f>
        <v>0</v>
      </c>
      <c r="H231" s="41" t="n">
        <f aca="false">IF(D231&lt;=0.5,0,MIN(IF(N(I231)&gt;0,I231,$F$9),D231+E231+F231))</f>
        <v>0</v>
      </c>
      <c r="I231" s="77"/>
      <c r="J231" s="77"/>
      <c r="K231" s="41" t="n">
        <f aca="false">IF(D231&lt;=0.5,0,MIN(H231+N(J231),D231+E231+F231))</f>
        <v>0</v>
      </c>
      <c r="L231" s="41" t="n">
        <f aca="false">K231-E231-F231</f>
        <v>0</v>
      </c>
      <c r="M231" s="41" t="n">
        <f aca="false">D231-L231</f>
        <v>0</v>
      </c>
      <c r="N231" s="42" t="n">
        <f aca="false">K231-G231</f>
        <v>0</v>
      </c>
      <c r="O231" s="78"/>
      <c r="P231" s="79"/>
      <c r="Q231" s="16" t="str">
        <f aca="false">IF(K231=0,"",IF(R231=1,"Pagada",IF(C231&lt;$F$12,"Vencida",IF(205=$F$13,"Próxima","Pendiente"))))</f>
        <v/>
      </c>
      <c r="R231" s="62" t="n">
        <f aca="false">IF(AND(K231&gt;0,OR(O231="Sí",O231="Si")),1,0)</f>
        <v>0</v>
      </c>
      <c r="S231" s="62" t="n">
        <f aca="false">IF(AND(K231&gt;0,R231=0),1,0)</f>
        <v>0</v>
      </c>
    </row>
    <row r="232" customFormat="false" ht="15" hidden="false" customHeight="false" outlineLevel="0" collapsed="false">
      <c r="B232" s="71" t="str">
        <f aca="false">IF($F$6="Sí",N($C$11)+205,"")</f>
        <v/>
      </c>
      <c r="C232" s="72" t="str">
        <f aca="false">IF(OR($F$6&lt;&gt;"Sí",D232&lt;=0.5),"",EDATE($C$10,205))</f>
        <v/>
      </c>
      <c r="D232" s="41" t="n">
        <f aca="false">MAX(0,M231)</f>
        <v>0</v>
      </c>
      <c r="E232" s="41" t="n">
        <f aca="false">D232*$F$7</f>
        <v>0</v>
      </c>
      <c r="F232" s="41" t="n">
        <f aca="false">IF(D232&gt;0.5,N($C$15),0)</f>
        <v>0</v>
      </c>
      <c r="G232" s="41" t="n">
        <f aca="false">IF(AND(D232&gt;0.5,N($C$19)&gt;0,N(B232)&lt;=N($C$20)),D232*$F$8,0)</f>
        <v>0</v>
      </c>
      <c r="H232" s="41" t="n">
        <f aca="false">IF(D232&lt;=0.5,0,MIN(IF(N(I232)&gt;0,I232,$F$9),D232+E232+F232))</f>
        <v>0</v>
      </c>
      <c r="I232" s="77"/>
      <c r="J232" s="77"/>
      <c r="K232" s="41" t="n">
        <f aca="false">IF(D232&lt;=0.5,0,MIN(H232+N(J232),D232+E232+F232))</f>
        <v>0</v>
      </c>
      <c r="L232" s="41" t="n">
        <f aca="false">K232-E232-F232</f>
        <v>0</v>
      </c>
      <c r="M232" s="41" t="n">
        <f aca="false">D232-L232</f>
        <v>0</v>
      </c>
      <c r="N232" s="42" t="n">
        <f aca="false">K232-G232</f>
        <v>0</v>
      </c>
      <c r="O232" s="78"/>
      <c r="P232" s="79"/>
      <c r="Q232" s="16" t="str">
        <f aca="false">IF(K232=0,"",IF(R232=1,"Pagada",IF(C232&lt;$F$12,"Vencida",IF(206=$F$13,"Próxima","Pendiente"))))</f>
        <v/>
      </c>
      <c r="R232" s="62" t="n">
        <f aca="false">IF(AND(K232&gt;0,OR(O232="Sí",O232="Si")),1,0)</f>
        <v>0</v>
      </c>
      <c r="S232" s="62" t="n">
        <f aca="false">IF(AND(K232&gt;0,R232=0),1,0)</f>
        <v>0</v>
      </c>
    </row>
    <row r="233" customFormat="false" ht="15" hidden="false" customHeight="false" outlineLevel="0" collapsed="false">
      <c r="B233" s="71" t="str">
        <f aca="false">IF($F$6="Sí",N($C$11)+206,"")</f>
        <v/>
      </c>
      <c r="C233" s="72" t="str">
        <f aca="false">IF(OR($F$6&lt;&gt;"Sí",D233&lt;=0.5),"",EDATE($C$10,206))</f>
        <v/>
      </c>
      <c r="D233" s="41" t="n">
        <f aca="false">MAX(0,M232)</f>
        <v>0</v>
      </c>
      <c r="E233" s="41" t="n">
        <f aca="false">D233*$F$7</f>
        <v>0</v>
      </c>
      <c r="F233" s="41" t="n">
        <f aca="false">IF(D233&gt;0.5,N($C$15),0)</f>
        <v>0</v>
      </c>
      <c r="G233" s="41" t="n">
        <f aca="false">IF(AND(D233&gt;0.5,N($C$19)&gt;0,N(B233)&lt;=N($C$20)),D233*$F$8,0)</f>
        <v>0</v>
      </c>
      <c r="H233" s="41" t="n">
        <f aca="false">IF(D233&lt;=0.5,0,MIN(IF(N(I233)&gt;0,I233,$F$9),D233+E233+F233))</f>
        <v>0</v>
      </c>
      <c r="I233" s="77"/>
      <c r="J233" s="77"/>
      <c r="K233" s="41" t="n">
        <f aca="false">IF(D233&lt;=0.5,0,MIN(H233+N(J233),D233+E233+F233))</f>
        <v>0</v>
      </c>
      <c r="L233" s="41" t="n">
        <f aca="false">K233-E233-F233</f>
        <v>0</v>
      </c>
      <c r="M233" s="41" t="n">
        <f aca="false">D233-L233</f>
        <v>0</v>
      </c>
      <c r="N233" s="42" t="n">
        <f aca="false">K233-G233</f>
        <v>0</v>
      </c>
      <c r="O233" s="78"/>
      <c r="P233" s="79"/>
      <c r="Q233" s="16" t="str">
        <f aca="false">IF(K233=0,"",IF(R233=1,"Pagada",IF(C233&lt;$F$12,"Vencida",IF(207=$F$13,"Próxima","Pendiente"))))</f>
        <v/>
      </c>
      <c r="R233" s="62" t="n">
        <f aca="false">IF(AND(K233&gt;0,OR(O233="Sí",O233="Si")),1,0)</f>
        <v>0</v>
      </c>
      <c r="S233" s="62" t="n">
        <f aca="false">IF(AND(K233&gt;0,R233=0),1,0)</f>
        <v>0</v>
      </c>
    </row>
    <row r="234" customFormat="false" ht="15" hidden="false" customHeight="false" outlineLevel="0" collapsed="false">
      <c r="B234" s="71" t="str">
        <f aca="false">IF($F$6="Sí",N($C$11)+207,"")</f>
        <v/>
      </c>
      <c r="C234" s="72" t="str">
        <f aca="false">IF(OR($F$6&lt;&gt;"Sí",D234&lt;=0.5),"",EDATE($C$10,207))</f>
        <v/>
      </c>
      <c r="D234" s="41" t="n">
        <f aca="false">MAX(0,M233)</f>
        <v>0</v>
      </c>
      <c r="E234" s="41" t="n">
        <f aca="false">D234*$F$7</f>
        <v>0</v>
      </c>
      <c r="F234" s="41" t="n">
        <f aca="false">IF(D234&gt;0.5,N($C$15),0)</f>
        <v>0</v>
      </c>
      <c r="G234" s="41" t="n">
        <f aca="false">IF(AND(D234&gt;0.5,N($C$19)&gt;0,N(B234)&lt;=N($C$20)),D234*$F$8,0)</f>
        <v>0</v>
      </c>
      <c r="H234" s="41" t="n">
        <f aca="false">IF(D234&lt;=0.5,0,MIN(IF(N(I234)&gt;0,I234,$F$9),D234+E234+F234))</f>
        <v>0</v>
      </c>
      <c r="I234" s="77"/>
      <c r="J234" s="77"/>
      <c r="K234" s="41" t="n">
        <f aca="false">IF(D234&lt;=0.5,0,MIN(H234+N(J234),D234+E234+F234))</f>
        <v>0</v>
      </c>
      <c r="L234" s="41" t="n">
        <f aca="false">K234-E234-F234</f>
        <v>0</v>
      </c>
      <c r="M234" s="41" t="n">
        <f aca="false">D234-L234</f>
        <v>0</v>
      </c>
      <c r="N234" s="42" t="n">
        <f aca="false">K234-G234</f>
        <v>0</v>
      </c>
      <c r="O234" s="78"/>
      <c r="P234" s="79"/>
      <c r="Q234" s="16" t="str">
        <f aca="false">IF(K234=0,"",IF(R234=1,"Pagada",IF(C234&lt;$F$12,"Vencida",IF(208=$F$13,"Próxima","Pendiente"))))</f>
        <v/>
      </c>
      <c r="R234" s="62" t="n">
        <f aca="false">IF(AND(K234&gt;0,OR(O234="Sí",O234="Si")),1,0)</f>
        <v>0</v>
      </c>
      <c r="S234" s="62" t="n">
        <f aca="false">IF(AND(K234&gt;0,R234=0),1,0)</f>
        <v>0</v>
      </c>
    </row>
    <row r="235" customFormat="false" ht="15" hidden="false" customHeight="false" outlineLevel="0" collapsed="false">
      <c r="B235" s="71" t="str">
        <f aca="false">IF($F$6="Sí",N($C$11)+208,"")</f>
        <v/>
      </c>
      <c r="C235" s="72" t="str">
        <f aca="false">IF(OR($F$6&lt;&gt;"Sí",D235&lt;=0.5),"",EDATE($C$10,208))</f>
        <v/>
      </c>
      <c r="D235" s="41" t="n">
        <f aca="false">MAX(0,M234)</f>
        <v>0</v>
      </c>
      <c r="E235" s="41" t="n">
        <f aca="false">D235*$F$7</f>
        <v>0</v>
      </c>
      <c r="F235" s="41" t="n">
        <f aca="false">IF(D235&gt;0.5,N($C$15),0)</f>
        <v>0</v>
      </c>
      <c r="G235" s="41" t="n">
        <f aca="false">IF(AND(D235&gt;0.5,N($C$19)&gt;0,N(B235)&lt;=N($C$20)),D235*$F$8,0)</f>
        <v>0</v>
      </c>
      <c r="H235" s="41" t="n">
        <f aca="false">IF(D235&lt;=0.5,0,MIN(IF(N(I235)&gt;0,I235,$F$9),D235+E235+F235))</f>
        <v>0</v>
      </c>
      <c r="I235" s="77"/>
      <c r="J235" s="77"/>
      <c r="K235" s="41" t="n">
        <f aca="false">IF(D235&lt;=0.5,0,MIN(H235+N(J235),D235+E235+F235))</f>
        <v>0</v>
      </c>
      <c r="L235" s="41" t="n">
        <f aca="false">K235-E235-F235</f>
        <v>0</v>
      </c>
      <c r="M235" s="41" t="n">
        <f aca="false">D235-L235</f>
        <v>0</v>
      </c>
      <c r="N235" s="42" t="n">
        <f aca="false">K235-G235</f>
        <v>0</v>
      </c>
      <c r="O235" s="78"/>
      <c r="P235" s="79"/>
      <c r="Q235" s="16" t="str">
        <f aca="false">IF(K235=0,"",IF(R235=1,"Pagada",IF(C235&lt;$F$12,"Vencida",IF(209=$F$13,"Próxima","Pendiente"))))</f>
        <v/>
      </c>
      <c r="R235" s="62" t="n">
        <f aca="false">IF(AND(K235&gt;0,OR(O235="Sí",O235="Si")),1,0)</f>
        <v>0</v>
      </c>
      <c r="S235" s="62" t="n">
        <f aca="false">IF(AND(K235&gt;0,R235=0),1,0)</f>
        <v>0</v>
      </c>
    </row>
    <row r="236" customFormat="false" ht="15" hidden="false" customHeight="false" outlineLevel="0" collapsed="false">
      <c r="B236" s="71" t="str">
        <f aca="false">IF($F$6="Sí",N($C$11)+209,"")</f>
        <v/>
      </c>
      <c r="C236" s="72" t="str">
        <f aca="false">IF(OR($F$6&lt;&gt;"Sí",D236&lt;=0.5),"",EDATE($C$10,209))</f>
        <v/>
      </c>
      <c r="D236" s="41" t="n">
        <f aca="false">MAX(0,M235)</f>
        <v>0</v>
      </c>
      <c r="E236" s="41" t="n">
        <f aca="false">D236*$F$7</f>
        <v>0</v>
      </c>
      <c r="F236" s="41" t="n">
        <f aca="false">IF(D236&gt;0.5,N($C$15),0)</f>
        <v>0</v>
      </c>
      <c r="G236" s="41" t="n">
        <f aca="false">IF(AND(D236&gt;0.5,N($C$19)&gt;0,N(B236)&lt;=N($C$20)),D236*$F$8,0)</f>
        <v>0</v>
      </c>
      <c r="H236" s="41" t="n">
        <f aca="false">IF(D236&lt;=0.5,0,MIN(IF(N(I236)&gt;0,I236,$F$9),D236+E236+F236))</f>
        <v>0</v>
      </c>
      <c r="I236" s="77"/>
      <c r="J236" s="77"/>
      <c r="K236" s="41" t="n">
        <f aca="false">IF(D236&lt;=0.5,0,MIN(H236+N(J236),D236+E236+F236))</f>
        <v>0</v>
      </c>
      <c r="L236" s="41" t="n">
        <f aca="false">K236-E236-F236</f>
        <v>0</v>
      </c>
      <c r="M236" s="41" t="n">
        <f aca="false">D236-L236</f>
        <v>0</v>
      </c>
      <c r="N236" s="42" t="n">
        <f aca="false">K236-G236</f>
        <v>0</v>
      </c>
      <c r="O236" s="78"/>
      <c r="P236" s="79"/>
      <c r="Q236" s="16" t="str">
        <f aca="false">IF(K236=0,"",IF(R236=1,"Pagada",IF(C236&lt;$F$12,"Vencida",IF(210=$F$13,"Próxima","Pendiente"))))</f>
        <v/>
      </c>
      <c r="R236" s="62" t="n">
        <f aca="false">IF(AND(K236&gt;0,OR(O236="Sí",O236="Si")),1,0)</f>
        <v>0</v>
      </c>
      <c r="S236" s="62" t="n">
        <f aca="false">IF(AND(K236&gt;0,R236=0),1,0)</f>
        <v>0</v>
      </c>
    </row>
    <row r="237" customFormat="false" ht="15" hidden="false" customHeight="false" outlineLevel="0" collapsed="false">
      <c r="B237" s="71" t="str">
        <f aca="false">IF($F$6="Sí",N($C$11)+210,"")</f>
        <v/>
      </c>
      <c r="C237" s="72" t="str">
        <f aca="false">IF(OR($F$6&lt;&gt;"Sí",D237&lt;=0.5),"",EDATE($C$10,210))</f>
        <v/>
      </c>
      <c r="D237" s="41" t="n">
        <f aca="false">MAX(0,M236)</f>
        <v>0</v>
      </c>
      <c r="E237" s="41" t="n">
        <f aca="false">D237*$F$7</f>
        <v>0</v>
      </c>
      <c r="F237" s="41" t="n">
        <f aca="false">IF(D237&gt;0.5,N($C$15),0)</f>
        <v>0</v>
      </c>
      <c r="G237" s="41" t="n">
        <f aca="false">IF(AND(D237&gt;0.5,N($C$19)&gt;0,N(B237)&lt;=N($C$20)),D237*$F$8,0)</f>
        <v>0</v>
      </c>
      <c r="H237" s="41" t="n">
        <f aca="false">IF(D237&lt;=0.5,0,MIN(IF(N(I237)&gt;0,I237,$F$9),D237+E237+F237))</f>
        <v>0</v>
      </c>
      <c r="I237" s="77"/>
      <c r="J237" s="77"/>
      <c r="K237" s="41" t="n">
        <f aca="false">IF(D237&lt;=0.5,0,MIN(H237+N(J237),D237+E237+F237))</f>
        <v>0</v>
      </c>
      <c r="L237" s="41" t="n">
        <f aca="false">K237-E237-F237</f>
        <v>0</v>
      </c>
      <c r="M237" s="41" t="n">
        <f aca="false">D237-L237</f>
        <v>0</v>
      </c>
      <c r="N237" s="42" t="n">
        <f aca="false">K237-G237</f>
        <v>0</v>
      </c>
      <c r="O237" s="78"/>
      <c r="P237" s="79"/>
      <c r="Q237" s="16" t="str">
        <f aca="false">IF(K237=0,"",IF(R237=1,"Pagada",IF(C237&lt;$F$12,"Vencida",IF(211=$F$13,"Próxima","Pendiente"))))</f>
        <v/>
      </c>
      <c r="R237" s="62" t="n">
        <f aca="false">IF(AND(K237&gt;0,OR(O237="Sí",O237="Si")),1,0)</f>
        <v>0</v>
      </c>
      <c r="S237" s="62" t="n">
        <f aca="false">IF(AND(K237&gt;0,R237=0),1,0)</f>
        <v>0</v>
      </c>
    </row>
    <row r="238" customFormat="false" ht="15" hidden="false" customHeight="false" outlineLevel="0" collapsed="false">
      <c r="B238" s="71" t="str">
        <f aca="false">IF($F$6="Sí",N($C$11)+211,"")</f>
        <v/>
      </c>
      <c r="C238" s="72" t="str">
        <f aca="false">IF(OR($F$6&lt;&gt;"Sí",D238&lt;=0.5),"",EDATE($C$10,211))</f>
        <v/>
      </c>
      <c r="D238" s="41" t="n">
        <f aca="false">MAX(0,M237)</f>
        <v>0</v>
      </c>
      <c r="E238" s="41" t="n">
        <f aca="false">D238*$F$7</f>
        <v>0</v>
      </c>
      <c r="F238" s="41" t="n">
        <f aca="false">IF(D238&gt;0.5,N($C$15),0)</f>
        <v>0</v>
      </c>
      <c r="G238" s="41" t="n">
        <f aca="false">IF(AND(D238&gt;0.5,N($C$19)&gt;0,N(B238)&lt;=N($C$20)),D238*$F$8,0)</f>
        <v>0</v>
      </c>
      <c r="H238" s="41" t="n">
        <f aca="false">IF(D238&lt;=0.5,0,MIN(IF(N(I238)&gt;0,I238,$F$9),D238+E238+F238))</f>
        <v>0</v>
      </c>
      <c r="I238" s="77"/>
      <c r="J238" s="77"/>
      <c r="K238" s="41" t="n">
        <f aca="false">IF(D238&lt;=0.5,0,MIN(H238+N(J238),D238+E238+F238))</f>
        <v>0</v>
      </c>
      <c r="L238" s="41" t="n">
        <f aca="false">K238-E238-F238</f>
        <v>0</v>
      </c>
      <c r="M238" s="41" t="n">
        <f aca="false">D238-L238</f>
        <v>0</v>
      </c>
      <c r="N238" s="42" t="n">
        <f aca="false">K238-G238</f>
        <v>0</v>
      </c>
      <c r="O238" s="78"/>
      <c r="P238" s="79"/>
      <c r="Q238" s="16" t="str">
        <f aca="false">IF(K238=0,"",IF(R238=1,"Pagada",IF(C238&lt;$F$12,"Vencida",IF(212=$F$13,"Próxima","Pendiente"))))</f>
        <v/>
      </c>
      <c r="R238" s="62" t="n">
        <f aca="false">IF(AND(K238&gt;0,OR(O238="Sí",O238="Si")),1,0)</f>
        <v>0</v>
      </c>
      <c r="S238" s="62" t="n">
        <f aca="false">IF(AND(K238&gt;0,R238=0),1,0)</f>
        <v>0</v>
      </c>
    </row>
    <row r="239" customFormat="false" ht="15" hidden="false" customHeight="false" outlineLevel="0" collapsed="false">
      <c r="B239" s="71" t="str">
        <f aca="false">IF($F$6="Sí",N($C$11)+212,"")</f>
        <v/>
      </c>
      <c r="C239" s="72" t="str">
        <f aca="false">IF(OR($F$6&lt;&gt;"Sí",D239&lt;=0.5),"",EDATE($C$10,212))</f>
        <v/>
      </c>
      <c r="D239" s="41" t="n">
        <f aca="false">MAX(0,M238)</f>
        <v>0</v>
      </c>
      <c r="E239" s="41" t="n">
        <f aca="false">D239*$F$7</f>
        <v>0</v>
      </c>
      <c r="F239" s="41" t="n">
        <f aca="false">IF(D239&gt;0.5,N($C$15),0)</f>
        <v>0</v>
      </c>
      <c r="G239" s="41" t="n">
        <f aca="false">IF(AND(D239&gt;0.5,N($C$19)&gt;0,N(B239)&lt;=N($C$20)),D239*$F$8,0)</f>
        <v>0</v>
      </c>
      <c r="H239" s="41" t="n">
        <f aca="false">IF(D239&lt;=0.5,0,MIN(IF(N(I239)&gt;0,I239,$F$9),D239+E239+F239))</f>
        <v>0</v>
      </c>
      <c r="I239" s="77"/>
      <c r="J239" s="77"/>
      <c r="K239" s="41" t="n">
        <f aca="false">IF(D239&lt;=0.5,0,MIN(H239+N(J239),D239+E239+F239))</f>
        <v>0</v>
      </c>
      <c r="L239" s="41" t="n">
        <f aca="false">K239-E239-F239</f>
        <v>0</v>
      </c>
      <c r="M239" s="41" t="n">
        <f aca="false">D239-L239</f>
        <v>0</v>
      </c>
      <c r="N239" s="42" t="n">
        <f aca="false">K239-G239</f>
        <v>0</v>
      </c>
      <c r="O239" s="78"/>
      <c r="P239" s="79"/>
      <c r="Q239" s="16" t="str">
        <f aca="false">IF(K239=0,"",IF(R239=1,"Pagada",IF(C239&lt;$F$12,"Vencida",IF(213=$F$13,"Próxima","Pendiente"))))</f>
        <v/>
      </c>
      <c r="R239" s="62" t="n">
        <f aca="false">IF(AND(K239&gt;0,OR(O239="Sí",O239="Si")),1,0)</f>
        <v>0</v>
      </c>
      <c r="S239" s="62" t="n">
        <f aca="false">IF(AND(K239&gt;0,R239=0),1,0)</f>
        <v>0</v>
      </c>
    </row>
    <row r="240" customFormat="false" ht="15" hidden="false" customHeight="false" outlineLevel="0" collapsed="false">
      <c r="B240" s="71" t="str">
        <f aca="false">IF($F$6="Sí",N($C$11)+213,"")</f>
        <v/>
      </c>
      <c r="C240" s="72" t="str">
        <f aca="false">IF(OR($F$6&lt;&gt;"Sí",D240&lt;=0.5),"",EDATE($C$10,213))</f>
        <v/>
      </c>
      <c r="D240" s="41" t="n">
        <f aca="false">MAX(0,M239)</f>
        <v>0</v>
      </c>
      <c r="E240" s="41" t="n">
        <f aca="false">D240*$F$7</f>
        <v>0</v>
      </c>
      <c r="F240" s="41" t="n">
        <f aca="false">IF(D240&gt;0.5,N($C$15),0)</f>
        <v>0</v>
      </c>
      <c r="G240" s="41" t="n">
        <f aca="false">IF(AND(D240&gt;0.5,N($C$19)&gt;0,N(B240)&lt;=N($C$20)),D240*$F$8,0)</f>
        <v>0</v>
      </c>
      <c r="H240" s="41" t="n">
        <f aca="false">IF(D240&lt;=0.5,0,MIN(IF(N(I240)&gt;0,I240,$F$9),D240+E240+F240))</f>
        <v>0</v>
      </c>
      <c r="I240" s="77"/>
      <c r="J240" s="77"/>
      <c r="K240" s="41" t="n">
        <f aca="false">IF(D240&lt;=0.5,0,MIN(H240+N(J240),D240+E240+F240))</f>
        <v>0</v>
      </c>
      <c r="L240" s="41" t="n">
        <f aca="false">K240-E240-F240</f>
        <v>0</v>
      </c>
      <c r="M240" s="41" t="n">
        <f aca="false">D240-L240</f>
        <v>0</v>
      </c>
      <c r="N240" s="42" t="n">
        <f aca="false">K240-G240</f>
        <v>0</v>
      </c>
      <c r="O240" s="78"/>
      <c r="P240" s="79"/>
      <c r="Q240" s="16" t="str">
        <f aca="false">IF(K240=0,"",IF(R240=1,"Pagada",IF(C240&lt;$F$12,"Vencida",IF(214=$F$13,"Próxima","Pendiente"))))</f>
        <v/>
      </c>
      <c r="R240" s="62" t="n">
        <f aca="false">IF(AND(K240&gt;0,OR(O240="Sí",O240="Si")),1,0)</f>
        <v>0</v>
      </c>
      <c r="S240" s="62" t="n">
        <f aca="false">IF(AND(K240&gt;0,R240=0),1,0)</f>
        <v>0</v>
      </c>
    </row>
    <row r="241" customFormat="false" ht="15" hidden="false" customHeight="false" outlineLevel="0" collapsed="false">
      <c r="B241" s="71" t="str">
        <f aca="false">IF($F$6="Sí",N($C$11)+214,"")</f>
        <v/>
      </c>
      <c r="C241" s="72" t="str">
        <f aca="false">IF(OR($F$6&lt;&gt;"Sí",D241&lt;=0.5),"",EDATE($C$10,214))</f>
        <v/>
      </c>
      <c r="D241" s="41" t="n">
        <f aca="false">MAX(0,M240)</f>
        <v>0</v>
      </c>
      <c r="E241" s="41" t="n">
        <f aca="false">D241*$F$7</f>
        <v>0</v>
      </c>
      <c r="F241" s="41" t="n">
        <f aca="false">IF(D241&gt;0.5,N($C$15),0)</f>
        <v>0</v>
      </c>
      <c r="G241" s="41" t="n">
        <f aca="false">IF(AND(D241&gt;0.5,N($C$19)&gt;0,N(B241)&lt;=N($C$20)),D241*$F$8,0)</f>
        <v>0</v>
      </c>
      <c r="H241" s="41" t="n">
        <f aca="false">IF(D241&lt;=0.5,0,MIN(IF(N(I241)&gt;0,I241,$F$9),D241+E241+F241))</f>
        <v>0</v>
      </c>
      <c r="I241" s="77"/>
      <c r="J241" s="77"/>
      <c r="K241" s="41" t="n">
        <f aca="false">IF(D241&lt;=0.5,0,MIN(H241+N(J241),D241+E241+F241))</f>
        <v>0</v>
      </c>
      <c r="L241" s="41" t="n">
        <f aca="false">K241-E241-F241</f>
        <v>0</v>
      </c>
      <c r="M241" s="41" t="n">
        <f aca="false">D241-L241</f>
        <v>0</v>
      </c>
      <c r="N241" s="42" t="n">
        <f aca="false">K241-G241</f>
        <v>0</v>
      </c>
      <c r="O241" s="78"/>
      <c r="P241" s="79"/>
      <c r="Q241" s="16" t="str">
        <f aca="false">IF(K241=0,"",IF(R241=1,"Pagada",IF(C241&lt;$F$12,"Vencida",IF(215=$F$13,"Próxima","Pendiente"))))</f>
        <v/>
      </c>
      <c r="R241" s="62" t="n">
        <f aca="false">IF(AND(K241&gt;0,OR(O241="Sí",O241="Si")),1,0)</f>
        <v>0</v>
      </c>
      <c r="S241" s="62" t="n">
        <f aca="false">IF(AND(K241&gt;0,R241=0),1,0)</f>
        <v>0</v>
      </c>
    </row>
    <row r="242" customFormat="false" ht="15" hidden="false" customHeight="false" outlineLevel="0" collapsed="false">
      <c r="B242" s="71" t="str">
        <f aca="false">IF($F$6="Sí",N($C$11)+215,"")</f>
        <v/>
      </c>
      <c r="C242" s="72" t="str">
        <f aca="false">IF(OR($F$6&lt;&gt;"Sí",D242&lt;=0.5),"",EDATE($C$10,215))</f>
        <v/>
      </c>
      <c r="D242" s="41" t="n">
        <f aca="false">MAX(0,M241)</f>
        <v>0</v>
      </c>
      <c r="E242" s="41" t="n">
        <f aca="false">D242*$F$7</f>
        <v>0</v>
      </c>
      <c r="F242" s="41" t="n">
        <f aca="false">IF(D242&gt;0.5,N($C$15),0)</f>
        <v>0</v>
      </c>
      <c r="G242" s="41" t="n">
        <f aca="false">IF(AND(D242&gt;0.5,N($C$19)&gt;0,N(B242)&lt;=N($C$20)),D242*$F$8,0)</f>
        <v>0</v>
      </c>
      <c r="H242" s="41" t="n">
        <f aca="false">IF(D242&lt;=0.5,0,MIN(IF(N(I242)&gt;0,I242,$F$9),D242+E242+F242))</f>
        <v>0</v>
      </c>
      <c r="I242" s="77"/>
      <c r="J242" s="77"/>
      <c r="K242" s="41" t="n">
        <f aca="false">IF(D242&lt;=0.5,0,MIN(H242+N(J242),D242+E242+F242))</f>
        <v>0</v>
      </c>
      <c r="L242" s="41" t="n">
        <f aca="false">K242-E242-F242</f>
        <v>0</v>
      </c>
      <c r="M242" s="41" t="n">
        <f aca="false">D242-L242</f>
        <v>0</v>
      </c>
      <c r="N242" s="42" t="n">
        <f aca="false">K242-G242</f>
        <v>0</v>
      </c>
      <c r="O242" s="78"/>
      <c r="P242" s="79"/>
      <c r="Q242" s="16" t="str">
        <f aca="false">IF(K242=0,"",IF(R242=1,"Pagada",IF(C242&lt;$F$12,"Vencida",IF(216=$F$13,"Próxima","Pendiente"))))</f>
        <v/>
      </c>
      <c r="R242" s="62" t="n">
        <f aca="false">IF(AND(K242&gt;0,OR(O242="Sí",O242="Si")),1,0)</f>
        <v>0</v>
      </c>
      <c r="S242" s="62" t="n">
        <f aca="false">IF(AND(K242&gt;0,R242=0),1,0)</f>
        <v>0</v>
      </c>
    </row>
    <row r="243" customFormat="false" ht="15" hidden="false" customHeight="false" outlineLevel="0" collapsed="false">
      <c r="B243" s="71" t="str">
        <f aca="false">IF($F$6="Sí",N($C$11)+216,"")</f>
        <v/>
      </c>
      <c r="C243" s="72" t="str">
        <f aca="false">IF(OR($F$6&lt;&gt;"Sí",D243&lt;=0.5),"",EDATE($C$10,216))</f>
        <v/>
      </c>
      <c r="D243" s="41" t="n">
        <f aca="false">MAX(0,M242)</f>
        <v>0</v>
      </c>
      <c r="E243" s="41" t="n">
        <f aca="false">D243*$F$7</f>
        <v>0</v>
      </c>
      <c r="F243" s="41" t="n">
        <f aca="false">IF(D243&gt;0.5,N($C$15),0)</f>
        <v>0</v>
      </c>
      <c r="G243" s="41" t="n">
        <f aca="false">IF(AND(D243&gt;0.5,N($C$19)&gt;0,N(B243)&lt;=N($C$20)),D243*$F$8,0)</f>
        <v>0</v>
      </c>
      <c r="H243" s="41" t="n">
        <f aca="false">IF(D243&lt;=0.5,0,MIN(IF(N(I243)&gt;0,I243,$F$9),D243+E243+F243))</f>
        <v>0</v>
      </c>
      <c r="I243" s="77"/>
      <c r="J243" s="77"/>
      <c r="K243" s="41" t="n">
        <f aca="false">IF(D243&lt;=0.5,0,MIN(H243+N(J243),D243+E243+F243))</f>
        <v>0</v>
      </c>
      <c r="L243" s="41" t="n">
        <f aca="false">K243-E243-F243</f>
        <v>0</v>
      </c>
      <c r="M243" s="41" t="n">
        <f aca="false">D243-L243</f>
        <v>0</v>
      </c>
      <c r="N243" s="42" t="n">
        <f aca="false">K243-G243</f>
        <v>0</v>
      </c>
      <c r="O243" s="78"/>
      <c r="P243" s="79"/>
      <c r="Q243" s="16" t="str">
        <f aca="false">IF(K243=0,"",IF(R243=1,"Pagada",IF(C243&lt;$F$12,"Vencida",IF(217=$F$13,"Próxima","Pendiente"))))</f>
        <v/>
      </c>
      <c r="R243" s="62" t="n">
        <f aca="false">IF(AND(K243&gt;0,OR(O243="Sí",O243="Si")),1,0)</f>
        <v>0</v>
      </c>
      <c r="S243" s="62" t="n">
        <f aca="false">IF(AND(K243&gt;0,R243=0),1,0)</f>
        <v>0</v>
      </c>
    </row>
    <row r="244" customFormat="false" ht="15" hidden="false" customHeight="false" outlineLevel="0" collapsed="false">
      <c r="B244" s="71" t="str">
        <f aca="false">IF($F$6="Sí",N($C$11)+217,"")</f>
        <v/>
      </c>
      <c r="C244" s="72" t="str">
        <f aca="false">IF(OR($F$6&lt;&gt;"Sí",D244&lt;=0.5),"",EDATE($C$10,217))</f>
        <v/>
      </c>
      <c r="D244" s="41" t="n">
        <f aca="false">MAX(0,M243)</f>
        <v>0</v>
      </c>
      <c r="E244" s="41" t="n">
        <f aca="false">D244*$F$7</f>
        <v>0</v>
      </c>
      <c r="F244" s="41" t="n">
        <f aca="false">IF(D244&gt;0.5,N($C$15),0)</f>
        <v>0</v>
      </c>
      <c r="G244" s="41" t="n">
        <f aca="false">IF(AND(D244&gt;0.5,N($C$19)&gt;0,N(B244)&lt;=N($C$20)),D244*$F$8,0)</f>
        <v>0</v>
      </c>
      <c r="H244" s="41" t="n">
        <f aca="false">IF(D244&lt;=0.5,0,MIN(IF(N(I244)&gt;0,I244,$F$9),D244+E244+F244))</f>
        <v>0</v>
      </c>
      <c r="I244" s="77"/>
      <c r="J244" s="77"/>
      <c r="K244" s="41" t="n">
        <f aca="false">IF(D244&lt;=0.5,0,MIN(H244+N(J244),D244+E244+F244))</f>
        <v>0</v>
      </c>
      <c r="L244" s="41" t="n">
        <f aca="false">K244-E244-F244</f>
        <v>0</v>
      </c>
      <c r="M244" s="41" t="n">
        <f aca="false">D244-L244</f>
        <v>0</v>
      </c>
      <c r="N244" s="42" t="n">
        <f aca="false">K244-G244</f>
        <v>0</v>
      </c>
      <c r="O244" s="78"/>
      <c r="P244" s="79"/>
      <c r="Q244" s="16" t="str">
        <f aca="false">IF(K244=0,"",IF(R244=1,"Pagada",IF(C244&lt;$F$12,"Vencida",IF(218=$F$13,"Próxima","Pendiente"))))</f>
        <v/>
      </c>
      <c r="R244" s="62" t="n">
        <f aca="false">IF(AND(K244&gt;0,OR(O244="Sí",O244="Si")),1,0)</f>
        <v>0</v>
      </c>
      <c r="S244" s="62" t="n">
        <f aca="false">IF(AND(K244&gt;0,R244=0),1,0)</f>
        <v>0</v>
      </c>
    </row>
    <row r="245" customFormat="false" ht="15" hidden="false" customHeight="false" outlineLevel="0" collapsed="false">
      <c r="B245" s="71" t="str">
        <f aca="false">IF($F$6="Sí",N($C$11)+218,"")</f>
        <v/>
      </c>
      <c r="C245" s="72" t="str">
        <f aca="false">IF(OR($F$6&lt;&gt;"Sí",D245&lt;=0.5),"",EDATE($C$10,218))</f>
        <v/>
      </c>
      <c r="D245" s="41" t="n">
        <f aca="false">MAX(0,M244)</f>
        <v>0</v>
      </c>
      <c r="E245" s="41" t="n">
        <f aca="false">D245*$F$7</f>
        <v>0</v>
      </c>
      <c r="F245" s="41" t="n">
        <f aca="false">IF(D245&gt;0.5,N($C$15),0)</f>
        <v>0</v>
      </c>
      <c r="G245" s="41" t="n">
        <f aca="false">IF(AND(D245&gt;0.5,N($C$19)&gt;0,N(B245)&lt;=N($C$20)),D245*$F$8,0)</f>
        <v>0</v>
      </c>
      <c r="H245" s="41" t="n">
        <f aca="false">IF(D245&lt;=0.5,0,MIN(IF(N(I245)&gt;0,I245,$F$9),D245+E245+F245))</f>
        <v>0</v>
      </c>
      <c r="I245" s="77"/>
      <c r="J245" s="77"/>
      <c r="K245" s="41" t="n">
        <f aca="false">IF(D245&lt;=0.5,0,MIN(H245+N(J245),D245+E245+F245))</f>
        <v>0</v>
      </c>
      <c r="L245" s="41" t="n">
        <f aca="false">K245-E245-F245</f>
        <v>0</v>
      </c>
      <c r="M245" s="41" t="n">
        <f aca="false">D245-L245</f>
        <v>0</v>
      </c>
      <c r="N245" s="42" t="n">
        <f aca="false">K245-G245</f>
        <v>0</v>
      </c>
      <c r="O245" s="78"/>
      <c r="P245" s="79"/>
      <c r="Q245" s="16" t="str">
        <f aca="false">IF(K245=0,"",IF(R245=1,"Pagada",IF(C245&lt;$F$12,"Vencida",IF(219=$F$13,"Próxima","Pendiente"))))</f>
        <v/>
      </c>
      <c r="R245" s="62" t="n">
        <f aca="false">IF(AND(K245&gt;0,OR(O245="Sí",O245="Si")),1,0)</f>
        <v>0</v>
      </c>
      <c r="S245" s="62" t="n">
        <f aca="false">IF(AND(K245&gt;0,R245=0),1,0)</f>
        <v>0</v>
      </c>
    </row>
    <row r="246" customFormat="false" ht="15" hidden="false" customHeight="false" outlineLevel="0" collapsed="false">
      <c r="B246" s="71" t="str">
        <f aca="false">IF($F$6="Sí",N($C$11)+219,"")</f>
        <v/>
      </c>
      <c r="C246" s="72" t="str">
        <f aca="false">IF(OR($F$6&lt;&gt;"Sí",D246&lt;=0.5),"",EDATE($C$10,219))</f>
        <v/>
      </c>
      <c r="D246" s="41" t="n">
        <f aca="false">MAX(0,M245)</f>
        <v>0</v>
      </c>
      <c r="E246" s="41" t="n">
        <f aca="false">D246*$F$7</f>
        <v>0</v>
      </c>
      <c r="F246" s="41" t="n">
        <f aca="false">IF(D246&gt;0.5,N($C$15),0)</f>
        <v>0</v>
      </c>
      <c r="G246" s="41" t="n">
        <f aca="false">IF(AND(D246&gt;0.5,N($C$19)&gt;0,N(B246)&lt;=N($C$20)),D246*$F$8,0)</f>
        <v>0</v>
      </c>
      <c r="H246" s="41" t="n">
        <f aca="false">IF(D246&lt;=0.5,0,MIN(IF(N(I246)&gt;0,I246,$F$9),D246+E246+F246))</f>
        <v>0</v>
      </c>
      <c r="I246" s="77"/>
      <c r="J246" s="77"/>
      <c r="K246" s="41" t="n">
        <f aca="false">IF(D246&lt;=0.5,0,MIN(H246+N(J246),D246+E246+F246))</f>
        <v>0</v>
      </c>
      <c r="L246" s="41" t="n">
        <f aca="false">K246-E246-F246</f>
        <v>0</v>
      </c>
      <c r="M246" s="41" t="n">
        <f aca="false">D246-L246</f>
        <v>0</v>
      </c>
      <c r="N246" s="42" t="n">
        <f aca="false">K246-G246</f>
        <v>0</v>
      </c>
      <c r="O246" s="78"/>
      <c r="P246" s="79"/>
      <c r="Q246" s="16" t="str">
        <f aca="false">IF(K246=0,"",IF(R246=1,"Pagada",IF(C246&lt;$F$12,"Vencida",IF(220=$F$13,"Próxima","Pendiente"))))</f>
        <v/>
      </c>
      <c r="R246" s="62" t="n">
        <f aca="false">IF(AND(K246&gt;0,OR(O246="Sí",O246="Si")),1,0)</f>
        <v>0</v>
      </c>
      <c r="S246" s="62" t="n">
        <f aca="false">IF(AND(K246&gt;0,R246=0),1,0)</f>
        <v>0</v>
      </c>
    </row>
    <row r="247" customFormat="false" ht="15" hidden="false" customHeight="false" outlineLevel="0" collapsed="false">
      <c r="B247" s="71" t="str">
        <f aca="false">IF($F$6="Sí",N($C$11)+220,"")</f>
        <v/>
      </c>
      <c r="C247" s="72" t="str">
        <f aca="false">IF(OR($F$6&lt;&gt;"Sí",D247&lt;=0.5),"",EDATE($C$10,220))</f>
        <v/>
      </c>
      <c r="D247" s="41" t="n">
        <f aca="false">MAX(0,M246)</f>
        <v>0</v>
      </c>
      <c r="E247" s="41" t="n">
        <f aca="false">D247*$F$7</f>
        <v>0</v>
      </c>
      <c r="F247" s="41" t="n">
        <f aca="false">IF(D247&gt;0.5,N($C$15),0)</f>
        <v>0</v>
      </c>
      <c r="G247" s="41" t="n">
        <f aca="false">IF(AND(D247&gt;0.5,N($C$19)&gt;0,N(B247)&lt;=N($C$20)),D247*$F$8,0)</f>
        <v>0</v>
      </c>
      <c r="H247" s="41" t="n">
        <f aca="false">IF(D247&lt;=0.5,0,MIN(IF(N(I247)&gt;0,I247,$F$9),D247+E247+F247))</f>
        <v>0</v>
      </c>
      <c r="I247" s="77"/>
      <c r="J247" s="77"/>
      <c r="K247" s="41" t="n">
        <f aca="false">IF(D247&lt;=0.5,0,MIN(H247+N(J247),D247+E247+F247))</f>
        <v>0</v>
      </c>
      <c r="L247" s="41" t="n">
        <f aca="false">K247-E247-F247</f>
        <v>0</v>
      </c>
      <c r="M247" s="41" t="n">
        <f aca="false">D247-L247</f>
        <v>0</v>
      </c>
      <c r="N247" s="42" t="n">
        <f aca="false">K247-G247</f>
        <v>0</v>
      </c>
      <c r="O247" s="78"/>
      <c r="P247" s="79"/>
      <c r="Q247" s="16" t="str">
        <f aca="false">IF(K247=0,"",IF(R247=1,"Pagada",IF(C247&lt;$F$12,"Vencida",IF(221=$F$13,"Próxima","Pendiente"))))</f>
        <v/>
      </c>
      <c r="R247" s="62" t="n">
        <f aca="false">IF(AND(K247&gt;0,OR(O247="Sí",O247="Si")),1,0)</f>
        <v>0</v>
      </c>
      <c r="S247" s="62" t="n">
        <f aca="false">IF(AND(K247&gt;0,R247=0),1,0)</f>
        <v>0</v>
      </c>
    </row>
    <row r="248" customFormat="false" ht="15" hidden="false" customHeight="false" outlineLevel="0" collapsed="false">
      <c r="B248" s="71" t="str">
        <f aca="false">IF($F$6="Sí",N($C$11)+221,"")</f>
        <v/>
      </c>
      <c r="C248" s="72" t="str">
        <f aca="false">IF(OR($F$6&lt;&gt;"Sí",D248&lt;=0.5),"",EDATE($C$10,221))</f>
        <v/>
      </c>
      <c r="D248" s="41" t="n">
        <f aca="false">MAX(0,M247)</f>
        <v>0</v>
      </c>
      <c r="E248" s="41" t="n">
        <f aca="false">D248*$F$7</f>
        <v>0</v>
      </c>
      <c r="F248" s="41" t="n">
        <f aca="false">IF(D248&gt;0.5,N($C$15),0)</f>
        <v>0</v>
      </c>
      <c r="G248" s="41" t="n">
        <f aca="false">IF(AND(D248&gt;0.5,N($C$19)&gt;0,N(B248)&lt;=N($C$20)),D248*$F$8,0)</f>
        <v>0</v>
      </c>
      <c r="H248" s="41" t="n">
        <f aca="false">IF(D248&lt;=0.5,0,MIN(IF(N(I248)&gt;0,I248,$F$9),D248+E248+F248))</f>
        <v>0</v>
      </c>
      <c r="I248" s="77"/>
      <c r="J248" s="77"/>
      <c r="K248" s="41" t="n">
        <f aca="false">IF(D248&lt;=0.5,0,MIN(H248+N(J248),D248+E248+F248))</f>
        <v>0</v>
      </c>
      <c r="L248" s="41" t="n">
        <f aca="false">K248-E248-F248</f>
        <v>0</v>
      </c>
      <c r="M248" s="41" t="n">
        <f aca="false">D248-L248</f>
        <v>0</v>
      </c>
      <c r="N248" s="42" t="n">
        <f aca="false">K248-G248</f>
        <v>0</v>
      </c>
      <c r="O248" s="78"/>
      <c r="P248" s="79"/>
      <c r="Q248" s="16" t="str">
        <f aca="false">IF(K248=0,"",IF(R248=1,"Pagada",IF(C248&lt;$F$12,"Vencida",IF(222=$F$13,"Próxima","Pendiente"))))</f>
        <v/>
      </c>
      <c r="R248" s="62" t="n">
        <f aca="false">IF(AND(K248&gt;0,OR(O248="Sí",O248="Si")),1,0)</f>
        <v>0</v>
      </c>
      <c r="S248" s="62" t="n">
        <f aca="false">IF(AND(K248&gt;0,R248=0),1,0)</f>
        <v>0</v>
      </c>
    </row>
    <row r="249" customFormat="false" ht="15" hidden="false" customHeight="false" outlineLevel="0" collapsed="false">
      <c r="B249" s="71" t="str">
        <f aca="false">IF($F$6="Sí",N($C$11)+222,"")</f>
        <v/>
      </c>
      <c r="C249" s="72" t="str">
        <f aca="false">IF(OR($F$6&lt;&gt;"Sí",D249&lt;=0.5),"",EDATE($C$10,222))</f>
        <v/>
      </c>
      <c r="D249" s="41" t="n">
        <f aca="false">MAX(0,M248)</f>
        <v>0</v>
      </c>
      <c r="E249" s="41" t="n">
        <f aca="false">D249*$F$7</f>
        <v>0</v>
      </c>
      <c r="F249" s="41" t="n">
        <f aca="false">IF(D249&gt;0.5,N($C$15),0)</f>
        <v>0</v>
      </c>
      <c r="G249" s="41" t="n">
        <f aca="false">IF(AND(D249&gt;0.5,N($C$19)&gt;0,N(B249)&lt;=N($C$20)),D249*$F$8,0)</f>
        <v>0</v>
      </c>
      <c r="H249" s="41" t="n">
        <f aca="false">IF(D249&lt;=0.5,0,MIN(IF(N(I249)&gt;0,I249,$F$9),D249+E249+F249))</f>
        <v>0</v>
      </c>
      <c r="I249" s="77"/>
      <c r="J249" s="77"/>
      <c r="K249" s="41" t="n">
        <f aca="false">IF(D249&lt;=0.5,0,MIN(H249+N(J249),D249+E249+F249))</f>
        <v>0</v>
      </c>
      <c r="L249" s="41" t="n">
        <f aca="false">K249-E249-F249</f>
        <v>0</v>
      </c>
      <c r="M249" s="41" t="n">
        <f aca="false">D249-L249</f>
        <v>0</v>
      </c>
      <c r="N249" s="42" t="n">
        <f aca="false">K249-G249</f>
        <v>0</v>
      </c>
      <c r="O249" s="78"/>
      <c r="P249" s="79"/>
      <c r="Q249" s="16" t="str">
        <f aca="false">IF(K249=0,"",IF(R249=1,"Pagada",IF(C249&lt;$F$12,"Vencida",IF(223=$F$13,"Próxima","Pendiente"))))</f>
        <v/>
      </c>
      <c r="R249" s="62" t="n">
        <f aca="false">IF(AND(K249&gt;0,OR(O249="Sí",O249="Si")),1,0)</f>
        <v>0</v>
      </c>
      <c r="S249" s="62" t="n">
        <f aca="false">IF(AND(K249&gt;0,R249=0),1,0)</f>
        <v>0</v>
      </c>
    </row>
    <row r="250" customFormat="false" ht="15" hidden="false" customHeight="false" outlineLevel="0" collapsed="false">
      <c r="B250" s="71" t="str">
        <f aca="false">IF($F$6="Sí",N($C$11)+223,"")</f>
        <v/>
      </c>
      <c r="C250" s="72" t="str">
        <f aca="false">IF(OR($F$6&lt;&gt;"Sí",D250&lt;=0.5),"",EDATE($C$10,223))</f>
        <v/>
      </c>
      <c r="D250" s="41" t="n">
        <f aca="false">MAX(0,M249)</f>
        <v>0</v>
      </c>
      <c r="E250" s="41" t="n">
        <f aca="false">D250*$F$7</f>
        <v>0</v>
      </c>
      <c r="F250" s="41" t="n">
        <f aca="false">IF(D250&gt;0.5,N($C$15),0)</f>
        <v>0</v>
      </c>
      <c r="G250" s="41" t="n">
        <f aca="false">IF(AND(D250&gt;0.5,N($C$19)&gt;0,N(B250)&lt;=N($C$20)),D250*$F$8,0)</f>
        <v>0</v>
      </c>
      <c r="H250" s="41" t="n">
        <f aca="false">IF(D250&lt;=0.5,0,MIN(IF(N(I250)&gt;0,I250,$F$9),D250+E250+F250))</f>
        <v>0</v>
      </c>
      <c r="I250" s="77"/>
      <c r="J250" s="77"/>
      <c r="K250" s="41" t="n">
        <f aca="false">IF(D250&lt;=0.5,0,MIN(H250+N(J250),D250+E250+F250))</f>
        <v>0</v>
      </c>
      <c r="L250" s="41" t="n">
        <f aca="false">K250-E250-F250</f>
        <v>0</v>
      </c>
      <c r="M250" s="41" t="n">
        <f aca="false">D250-L250</f>
        <v>0</v>
      </c>
      <c r="N250" s="42" t="n">
        <f aca="false">K250-G250</f>
        <v>0</v>
      </c>
      <c r="O250" s="78"/>
      <c r="P250" s="79"/>
      <c r="Q250" s="16" t="str">
        <f aca="false">IF(K250=0,"",IF(R250=1,"Pagada",IF(C250&lt;$F$12,"Vencida",IF(224=$F$13,"Próxima","Pendiente"))))</f>
        <v/>
      </c>
      <c r="R250" s="62" t="n">
        <f aca="false">IF(AND(K250&gt;0,OR(O250="Sí",O250="Si")),1,0)</f>
        <v>0</v>
      </c>
      <c r="S250" s="62" t="n">
        <f aca="false">IF(AND(K250&gt;0,R250=0),1,0)</f>
        <v>0</v>
      </c>
    </row>
    <row r="251" customFormat="false" ht="15" hidden="false" customHeight="false" outlineLevel="0" collapsed="false">
      <c r="B251" s="71" t="str">
        <f aca="false">IF($F$6="Sí",N($C$11)+224,"")</f>
        <v/>
      </c>
      <c r="C251" s="72" t="str">
        <f aca="false">IF(OR($F$6&lt;&gt;"Sí",D251&lt;=0.5),"",EDATE($C$10,224))</f>
        <v/>
      </c>
      <c r="D251" s="41" t="n">
        <f aca="false">MAX(0,M250)</f>
        <v>0</v>
      </c>
      <c r="E251" s="41" t="n">
        <f aca="false">D251*$F$7</f>
        <v>0</v>
      </c>
      <c r="F251" s="41" t="n">
        <f aca="false">IF(D251&gt;0.5,N($C$15),0)</f>
        <v>0</v>
      </c>
      <c r="G251" s="41" t="n">
        <f aca="false">IF(AND(D251&gt;0.5,N($C$19)&gt;0,N(B251)&lt;=N($C$20)),D251*$F$8,0)</f>
        <v>0</v>
      </c>
      <c r="H251" s="41" t="n">
        <f aca="false">IF(D251&lt;=0.5,0,MIN(IF(N(I251)&gt;0,I251,$F$9),D251+E251+F251))</f>
        <v>0</v>
      </c>
      <c r="I251" s="77"/>
      <c r="J251" s="77"/>
      <c r="K251" s="41" t="n">
        <f aca="false">IF(D251&lt;=0.5,0,MIN(H251+N(J251),D251+E251+F251))</f>
        <v>0</v>
      </c>
      <c r="L251" s="41" t="n">
        <f aca="false">K251-E251-F251</f>
        <v>0</v>
      </c>
      <c r="M251" s="41" t="n">
        <f aca="false">D251-L251</f>
        <v>0</v>
      </c>
      <c r="N251" s="42" t="n">
        <f aca="false">K251-G251</f>
        <v>0</v>
      </c>
      <c r="O251" s="78"/>
      <c r="P251" s="79"/>
      <c r="Q251" s="16" t="str">
        <f aca="false">IF(K251=0,"",IF(R251=1,"Pagada",IF(C251&lt;$F$12,"Vencida",IF(225=$F$13,"Próxima","Pendiente"))))</f>
        <v/>
      </c>
      <c r="R251" s="62" t="n">
        <f aca="false">IF(AND(K251&gt;0,OR(O251="Sí",O251="Si")),1,0)</f>
        <v>0</v>
      </c>
      <c r="S251" s="62" t="n">
        <f aca="false">IF(AND(K251&gt;0,R251=0),1,0)</f>
        <v>0</v>
      </c>
    </row>
    <row r="252" customFormat="false" ht="15" hidden="false" customHeight="false" outlineLevel="0" collapsed="false">
      <c r="B252" s="71" t="str">
        <f aca="false">IF($F$6="Sí",N($C$11)+225,"")</f>
        <v/>
      </c>
      <c r="C252" s="72" t="str">
        <f aca="false">IF(OR($F$6&lt;&gt;"Sí",D252&lt;=0.5),"",EDATE($C$10,225))</f>
        <v/>
      </c>
      <c r="D252" s="41" t="n">
        <f aca="false">MAX(0,M251)</f>
        <v>0</v>
      </c>
      <c r="E252" s="41" t="n">
        <f aca="false">D252*$F$7</f>
        <v>0</v>
      </c>
      <c r="F252" s="41" t="n">
        <f aca="false">IF(D252&gt;0.5,N($C$15),0)</f>
        <v>0</v>
      </c>
      <c r="G252" s="41" t="n">
        <f aca="false">IF(AND(D252&gt;0.5,N($C$19)&gt;0,N(B252)&lt;=N($C$20)),D252*$F$8,0)</f>
        <v>0</v>
      </c>
      <c r="H252" s="41" t="n">
        <f aca="false">IF(D252&lt;=0.5,0,MIN(IF(N(I252)&gt;0,I252,$F$9),D252+E252+F252))</f>
        <v>0</v>
      </c>
      <c r="I252" s="77"/>
      <c r="J252" s="77"/>
      <c r="K252" s="41" t="n">
        <f aca="false">IF(D252&lt;=0.5,0,MIN(H252+N(J252),D252+E252+F252))</f>
        <v>0</v>
      </c>
      <c r="L252" s="41" t="n">
        <f aca="false">K252-E252-F252</f>
        <v>0</v>
      </c>
      <c r="M252" s="41" t="n">
        <f aca="false">D252-L252</f>
        <v>0</v>
      </c>
      <c r="N252" s="42" t="n">
        <f aca="false">K252-G252</f>
        <v>0</v>
      </c>
      <c r="O252" s="78"/>
      <c r="P252" s="79"/>
      <c r="Q252" s="16" t="str">
        <f aca="false">IF(K252=0,"",IF(R252=1,"Pagada",IF(C252&lt;$F$12,"Vencida",IF(226=$F$13,"Próxima","Pendiente"))))</f>
        <v/>
      </c>
      <c r="R252" s="62" t="n">
        <f aca="false">IF(AND(K252&gt;0,OR(O252="Sí",O252="Si")),1,0)</f>
        <v>0</v>
      </c>
      <c r="S252" s="62" t="n">
        <f aca="false">IF(AND(K252&gt;0,R252=0),1,0)</f>
        <v>0</v>
      </c>
    </row>
    <row r="253" customFormat="false" ht="15" hidden="false" customHeight="false" outlineLevel="0" collapsed="false">
      <c r="B253" s="71" t="str">
        <f aca="false">IF($F$6="Sí",N($C$11)+226,"")</f>
        <v/>
      </c>
      <c r="C253" s="72" t="str">
        <f aca="false">IF(OR($F$6&lt;&gt;"Sí",D253&lt;=0.5),"",EDATE($C$10,226))</f>
        <v/>
      </c>
      <c r="D253" s="41" t="n">
        <f aca="false">MAX(0,M252)</f>
        <v>0</v>
      </c>
      <c r="E253" s="41" t="n">
        <f aca="false">D253*$F$7</f>
        <v>0</v>
      </c>
      <c r="F253" s="41" t="n">
        <f aca="false">IF(D253&gt;0.5,N($C$15),0)</f>
        <v>0</v>
      </c>
      <c r="G253" s="41" t="n">
        <f aca="false">IF(AND(D253&gt;0.5,N($C$19)&gt;0,N(B253)&lt;=N($C$20)),D253*$F$8,0)</f>
        <v>0</v>
      </c>
      <c r="H253" s="41" t="n">
        <f aca="false">IF(D253&lt;=0.5,0,MIN(IF(N(I253)&gt;0,I253,$F$9),D253+E253+F253))</f>
        <v>0</v>
      </c>
      <c r="I253" s="77"/>
      <c r="J253" s="77"/>
      <c r="K253" s="41" t="n">
        <f aca="false">IF(D253&lt;=0.5,0,MIN(H253+N(J253),D253+E253+F253))</f>
        <v>0</v>
      </c>
      <c r="L253" s="41" t="n">
        <f aca="false">K253-E253-F253</f>
        <v>0</v>
      </c>
      <c r="M253" s="41" t="n">
        <f aca="false">D253-L253</f>
        <v>0</v>
      </c>
      <c r="N253" s="42" t="n">
        <f aca="false">K253-G253</f>
        <v>0</v>
      </c>
      <c r="O253" s="78"/>
      <c r="P253" s="79"/>
      <c r="Q253" s="16" t="str">
        <f aca="false">IF(K253=0,"",IF(R253=1,"Pagada",IF(C253&lt;$F$12,"Vencida",IF(227=$F$13,"Próxima","Pendiente"))))</f>
        <v/>
      </c>
      <c r="R253" s="62" t="n">
        <f aca="false">IF(AND(K253&gt;0,OR(O253="Sí",O253="Si")),1,0)</f>
        <v>0</v>
      </c>
      <c r="S253" s="62" t="n">
        <f aca="false">IF(AND(K253&gt;0,R253=0),1,0)</f>
        <v>0</v>
      </c>
    </row>
    <row r="254" customFormat="false" ht="15" hidden="false" customHeight="false" outlineLevel="0" collapsed="false">
      <c r="B254" s="71" t="str">
        <f aca="false">IF($F$6="Sí",N($C$11)+227,"")</f>
        <v/>
      </c>
      <c r="C254" s="72" t="str">
        <f aca="false">IF(OR($F$6&lt;&gt;"Sí",D254&lt;=0.5),"",EDATE($C$10,227))</f>
        <v/>
      </c>
      <c r="D254" s="41" t="n">
        <f aca="false">MAX(0,M253)</f>
        <v>0</v>
      </c>
      <c r="E254" s="41" t="n">
        <f aca="false">D254*$F$7</f>
        <v>0</v>
      </c>
      <c r="F254" s="41" t="n">
        <f aca="false">IF(D254&gt;0.5,N($C$15),0)</f>
        <v>0</v>
      </c>
      <c r="G254" s="41" t="n">
        <f aca="false">IF(AND(D254&gt;0.5,N($C$19)&gt;0,N(B254)&lt;=N($C$20)),D254*$F$8,0)</f>
        <v>0</v>
      </c>
      <c r="H254" s="41" t="n">
        <f aca="false">IF(D254&lt;=0.5,0,MIN(IF(N(I254)&gt;0,I254,$F$9),D254+E254+F254))</f>
        <v>0</v>
      </c>
      <c r="I254" s="77"/>
      <c r="J254" s="77"/>
      <c r="K254" s="41" t="n">
        <f aca="false">IF(D254&lt;=0.5,0,MIN(H254+N(J254),D254+E254+F254))</f>
        <v>0</v>
      </c>
      <c r="L254" s="41" t="n">
        <f aca="false">K254-E254-F254</f>
        <v>0</v>
      </c>
      <c r="M254" s="41" t="n">
        <f aca="false">D254-L254</f>
        <v>0</v>
      </c>
      <c r="N254" s="42" t="n">
        <f aca="false">K254-G254</f>
        <v>0</v>
      </c>
      <c r="O254" s="78"/>
      <c r="P254" s="79"/>
      <c r="Q254" s="16" t="str">
        <f aca="false">IF(K254=0,"",IF(R254=1,"Pagada",IF(C254&lt;$F$12,"Vencida",IF(228=$F$13,"Próxima","Pendiente"))))</f>
        <v/>
      </c>
      <c r="R254" s="62" t="n">
        <f aca="false">IF(AND(K254&gt;0,OR(O254="Sí",O254="Si")),1,0)</f>
        <v>0</v>
      </c>
      <c r="S254" s="62" t="n">
        <f aca="false">IF(AND(K254&gt;0,R254=0),1,0)</f>
        <v>0</v>
      </c>
    </row>
    <row r="255" customFormat="false" ht="15" hidden="false" customHeight="false" outlineLevel="0" collapsed="false">
      <c r="B255" s="71" t="str">
        <f aca="false">IF($F$6="Sí",N($C$11)+228,"")</f>
        <v/>
      </c>
      <c r="C255" s="72" t="str">
        <f aca="false">IF(OR($F$6&lt;&gt;"Sí",D255&lt;=0.5),"",EDATE($C$10,228))</f>
        <v/>
      </c>
      <c r="D255" s="41" t="n">
        <f aca="false">MAX(0,M254)</f>
        <v>0</v>
      </c>
      <c r="E255" s="41" t="n">
        <f aca="false">D255*$F$7</f>
        <v>0</v>
      </c>
      <c r="F255" s="41" t="n">
        <f aca="false">IF(D255&gt;0.5,N($C$15),0)</f>
        <v>0</v>
      </c>
      <c r="G255" s="41" t="n">
        <f aca="false">IF(AND(D255&gt;0.5,N($C$19)&gt;0,N(B255)&lt;=N($C$20)),D255*$F$8,0)</f>
        <v>0</v>
      </c>
      <c r="H255" s="41" t="n">
        <f aca="false">IF(D255&lt;=0.5,0,MIN(IF(N(I255)&gt;0,I255,$F$9),D255+E255+F255))</f>
        <v>0</v>
      </c>
      <c r="I255" s="77"/>
      <c r="J255" s="77"/>
      <c r="K255" s="41" t="n">
        <f aca="false">IF(D255&lt;=0.5,0,MIN(H255+N(J255),D255+E255+F255))</f>
        <v>0</v>
      </c>
      <c r="L255" s="41" t="n">
        <f aca="false">K255-E255-F255</f>
        <v>0</v>
      </c>
      <c r="M255" s="41" t="n">
        <f aca="false">D255-L255</f>
        <v>0</v>
      </c>
      <c r="N255" s="42" t="n">
        <f aca="false">K255-G255</f>
        <v>0</v>
      </c>
      <c r="O255" s="78"/>
      <c r="P255" s="79"/>
      <c r="Q255" s="16" t="str">
        <f aca="false">IF(K255=0,"",IF(R255=1,"Pagada",IF(C255&lt;$F$12,"Vencida",IF(229=$F$13,"Próxima","Pendiente"))))</f>
        <v/>
      </c>
      <c r="R255" s="62" t="n">
        <f aca="false">IF(AND(K255&gt;0,OR(O255="Sí",O255="Si")),1,0)</f>
        <v>0</v>
      </c>
      <c r="S255" s="62" t="n">
        <f aca="false">IF(AND(K255&gt;0,R255=0),1,0)</f>
        <v>0</v>
      </c>
    </row>
    <row r="256" customFormat="false" ht="15" hidden="false" customHeight="false" outlineLevel="0" collapsed="false">
      <c r="B256" s="71" t="str">
        <f aca="false">IF($F$6="Sí",N($C$11)+229,"")</f>
        <v/>
      </c>
      <c r="C256" s="72" t="str">
        <f aca="false">IF(OR($F$6&lt;&gt;"Sí",D256&lt;=0.5),"",EDATE($C$10,229))</f>
        <v/>
      </c>
      <c r="D256" s="41" t="n">
        <f aca="false">MAX(0,M255)</f>
        <v>0</v>
      </c>
      <c r="E256" s="41" t="n">
        <f aca="false">D256*$F$7</f>
        <v>0</v>
      </c>
      <c r="F256" s="41" t="n">
        <f aca="false">IF(D256&gt;0.5,N($C$15),0)</f>
        <v>0</v>
      </c>
      <c r="G256" s="41" t="n">
        <f aca="false">IF(AND(D256&gt;0.5,N($C$19)&gt;0,N(B256)&lt;=N($C$20)),D256*$F$8,0)</f>
        <v>0</v>
      </c>
      <c r="H256" s="41" t="n">
        <f aca="false">IF(D256&lt;=0.5,0,MIN(IF(N(I256)&gt;0,I256,$F$9),D256+E256+F256))</f>
        <v>0</v>
      </c>
      <c r="I256" s="77"/>
      <c r="J256" s="77"/>
      <c r="K256" s="41" t="n">
        <f aca="false">IF(D256&lt;=0.5,0,MIN(H256+N(J256),D256+E256+F256))</f>
        <v>0</v>
      </c>
      <c r="L256" s="41" t="n">
        <f aca="false">K256-E256-F256</f>
        <v>0</v>
      </c>
      <c r="M256" s="41" t="n">
        <f aca="false">D256-L256</f>
        <v>0</v>
      </c>
      <c r="N256" s="42" t="n">
        <f aca="false">K256-G256</f>
        <v>0</v>
      </c>
      <c r="O256" s="78"/>
      <c r="P256" s="79"/>
      <c r="Q256" s="16" t="str">
        <f aca="false">IF(K256=0,"",IF(R256=1,"Pagada",IF(C256&lt;$F$12,"Vencida",IF(230=$F$13,"Próxima","Pendiente"))))</f>
        <v/>
      </c>
      <c r="R256" s="62" t="n">
        <f aca="false">IF(AND(K256&gt;0,OR(O256="Sí",O256="Si")),1,0)</f>
        <v>0</v>
      </c>
      <c r="S256" s="62" t="n">
        <f aca="false">IF(AND(K256&gt;0,R256=0),1,0)</f>
        <v>0</v>
      </c>
    </row>
    <row r="257" customFormat="false" ht="15" hidden="false" customHeight="false" outlineLevel="0" collapsed="false">
      <c r="B257" s="71" t="str">
        <f aca="false">IF($F$6="Sí",N($C$11)+230,"")</f>
        <v/>
      </c>
      <c r="C257" s="72" t="str">
        <f aca="false">IF(OR($F$6&lt;&gt;"Sí",D257&lt;=0.5),"",EDATE($C$10,230))</f>
        <v/>
      </c>
      <c r="D257" s="41" t="n">
        <f aca="false">MAX(0,M256)</f>
        <v>0</v>
      </c>
      <c r="E257" s="41" t="n">
        <f aca="false">D257*$F$7</f>
        <v>0</v>
      </c>
      <c r="F257" s="41" t="n">
        <f aca="false">IF(D257&gt;0.5,N($C$15),0)</f>
        <v>0</v>
      </c>
      <c r="G257" s="41" t="n">
        <f aca="false">IF(AND(D257&gt;0.5,N($C$19)&gt;0,N(B257)&lt;=N($C$20)),D257*$F$8,0)</f>
        <v>0</v>
      </c>
      <c r="H257" s="41" t="n">
        <f aca="false">IF(D257&lt;=0.5,0,MIN(IF(N(I257)&gt;0,I257,$F$9),D257+E257+F257))</f>
        <v>0</v>
      </c>
      <c r="I257" s="77"/>
      <c r="J257" s="77"/>
      <c r="K257" s="41" t="n">
        <f aca="false">IF(D257&lt;=0.5,0,MIN(H257+N(J257),D257+E257+F257))</f>
        <v>0</v>
      </c>
      <c r="L257" s="41" t="n">
        <f aca="false">K257-E257-F257</f>
        <v>0</v>
      </c>
      <c r="M257" s="41" t="n">
        <f aca="false">D257-L257</f>
        <v>0</v>
      </c>
      <c r="N257" s="42" t="n">
        <f aca="false">K257-G257</f>
        <v>0</v>
      </c>
      <c r="O257" s="78"/>
      <c r="P257" s="79"/>
      <c r="Q257" s="16" t="str">
        <f aca="false">IF(K257=0,"",IF(R257=1,"Pagada",IF(C257&lt;$F$12,"Vencida",IF(231=$F$13,"Próxima","Pendiente"))))</f>
        <v/>
      </c>
      <c r="R257" s="62" t="n">
        <f aca="false">IF(AND(K257&gt;0,OR(O257="Sí",O257="Si")),1,0)</f>
        <v>0</v>
      </c>
      <c r="S257" s="62" t="n">
        <f aca="false">IF(AND(K257&gt;0,R257=0),1,0)</f>
        <v>0</v>
      </c>
    </row>
    <row r="258" customFormat="false" ht="15" hidden="false" customHeight="false" outlineLevel="0" collapsed="false">
      <c r="B258" s="71" t="str">
        <f aca="false">IF($F$6="Sí",N($C$11)+231,"")</f>
        <v/>
      </c>
      <c r="C258" s="72" t="str">
        <f aca="false">IF(OR($F$6&lt;&gt;"Sí",D258&lt;=0.5),"",EDATE($C$10,231))</f>
        <v/>
      </c>
      <c r="D258" s="41" t="n">
        <f aca="false">MAX(0,M257)</f>
        <v>0</v>
      </c>
      <c r="E258" s="41" t="n">
        <f aca="false">D258*$F$7</f>
        <v>0</v>
      </c>
      <c r="F258" s="41" t="n">
        <f aca="false">IF(D258&gt;0.5,N($C$15),0)</f>
        <v>0</v>
      </c>
      <c r="G258" s="41" t="n">
        <f aca="false">IF(AND(D258&gt;0.5,N($C$19)&gt;0,N(B258)&lt;=N($C$20)),D258*$F$8,0)</f>
        <v>0</v>
      </c>
      <c r="H258" s="41" t="n">
        <f aca="false">IF(D258&lt;=0.5,0,MIN(IF(N(I258)&gt;0,I258,$F$9),D258+E258+F258))</f>
        <v>0</v>
      </c>
      <c r="I258" s="77"/>
      <c r="J258" s="77"/>
      <c r="K258" s="41" t="n">
        <f aca="false">IF(D258&lt;=0.5,0,MIN(H258+N(J258),D258+E258+F258))</f>
        <v>0</v>
      </c>
      <c r="L258" s="41" t="n">
        <f aca="false">K258-E258-F258</f>
        <v>0</v>
      </c>
      <c r="M258" s="41" t="n">
        <f aca="false">D258-L258</f>
        <v>0</v>
      </c>
      <c r="N258" s="42" t="n">
        <f aca="false">K258-G258</f>
        <v>0</v>
      </c>
      <c r="O258" s="78"/>
      <c r="P258" s="79"/>
      <c r="Q258" s="16" t="str">
        <f aca="false">IF(K258=0,"",IF(R258=1,"Pagada",IF(C258&lt;$F$12,"Vencida",IF(232=$F$13,"Próxima","Pendiente"))))</f>
        <v/>
      </c>
      <c r="R258" s="62" t="n">
        <f aca="false">IF(AND(K258&gt;0,OR(O258="Sí",O258="Si")),1,0)</f>
        <v>0</v>
      </c>
      <c r="S258" s="62" t="n">
        <f aca="false">IF(AND(K258&gt;0,R258=0),1,0)</f>
        <v>0</v>
      </c>
    </row>
    <row r="259" customFormat="false" ht="15" hidden="false" customHeight="false" outlineLevel="0" collapsed="false">
      <c r="B259" s="71" t="str">
        <f aca="false">IF($F$6="Sí",N($C$11)+232,"")</f>
        <v/>
      </c>
      <c r="C259" s="72" t="str">
        <f aca="false">IF(OR($F$6&lt;&gt;"Sí",D259&lt;=0.5),"",EDATE($C$10,232))</f>
        <v/>
      </c>
      <c r="D259" s="41" t="n">
        <f aca="false">MAX(0,M258)</f>
        <v>0</v>
      </c>
      <c r="E259" s="41" t="n">
        <f aca="false">D259*$F$7</f>
        <v>0</v>
      </c>
      <c r="F259" s="41" t="n">
        <f aca="false">IF(D259&gt;0.5,N($C$15),0)</f>
        <v>0</v>
      </c>
      <c r="G259" s="41" t="n">
        <f aca="false">IF(AND(D259&gt;0.5,N($C$19)&gt;0,N(B259)&lt;=N($C$20)),D259*$F$8,0)</f>
        <v>0</v>
      </c>
      <c r="H259" s="41" t="n">
        <f aca="false">IF(D259&lt;=0.5,0,MIN(IF(N(I259)&gt;0,I259,$F$9),D259+E259+F259))</f>
        <v>0</v>
      </c>
      <c r="I259" s="77"/>
      <c r="J259" s="77"/>
      <c r="K259" s="41" t="n">
        <f aca="false">IF(D259&lt;=0.5,0,MIN(H259+N(J259),D259+E259+F259))</f>
        <v>0</v>
      </c>
      <c r="L259" s="41" t="n">
        <f aca="false">K259-E259-F259</f>
        <v>0</v>
      </c>
      <c r="M259" s="41" t="n">
        <f aca="false">D259-L259</f>
        <v>0</v>
      </c>
      <c r="N259" s="42" t="n">
        <f aca="false">K259-G259</f>
        <v>0</v>
      </c>
      <c r="O259" s="78"/>
      <c r="P259" s="79"/>
      <c r="Q259" s="16" t="str">
        <f aca="false">IF(K259=0,"",IF(R259=1,"Pagada",IF(C259&lt;$F$12,"Vencida",IF(233=$F$13,"Próxima","Pendiente"))))</f>
        <v/>
      </c>
      <c r="R259" s="62" t="n">
        <f aca="false">IF(AND(K259&gt;0,OR(O259="Sí",O259="Si")),1,0)</f>
        <v>0</v>
      </c>
      <c r="S259" s="62" t="n">
        <f aca="false">IF(AND(K259&gt;0,R259=0),1,0)</f>
        <v>0</v>
      </c>
    </row>
    <row r="260" customFormat="false" ht="15" hidden="false" customHeight="false" outlineLevel="0" collapsed="false">
      <c r="B260" s="71" t="str">
        <f aca="false">IF($F$6="Sí",N($C$11)+233,"")</f>
        <v/>
      </c>
      <c r="C260" s="72" t="str">
        <f aca="false">IF(OR($F$6&lt;&gt;"Sí",D260&lt;=0.5),"",EDATE($C$10,233))</f>
        <v/>
      </c>
      <c r="D260" s="41" t="n">
        <f aca="false">MAX(0,M259)</f>
        <v>0</v>
      </c>
      <c r="E260" s="41" t="n">
        <f aca="false">D260*$F$7</f>
        <v>0</v>
      </c>
      <c r="F260" s="41" t="n">
        <f aca="false">IF(D260&gt;0.5,N($C$15),0)</f>
        <v>0</v>
      </c>
      <c r="G260" s="41" t="n">
        <f aca="false">IF(AND(D260&gt;0.5,N($C$19)&gt;0,N(B260)&lt;=N($C$20)),D260*$F$8,0)</f>
        <v>0</v>
      </c>
      <c r="H260" s="41" t="n">
        <f aca="false">IF(D260&lt;=0.5,0,MIN(IF(N(I260)&gt;0,I260,$F$9),D260+E260+F260))</f>
        <v>0</v>
      </c>
      <c r="I260" s="77"/>
      <c r="J260" s="77"/>
      <c r="K260" s="41" t="n">
        <f aca="false">IF(D260&lt;=0.5,0,MIN(H260+N(J260),D260+E260+F260))</f>
        <v>0</v>
      </c>
      <c r="L260" s="41" t="n">
        <f aca="false">K260-E260-F260</f>
        <v>0</v>
      </c>
      <c r="M260" s="41" t="n">
        <f aca="false">D260-L260</f>
        <v>0</v>
      </c>
      <c r="N260" s="42" t="n">
        <f aca="false">K260-G260</f>
        <v>0</v>
      </c>
      <c r="O260" s="78"/>
      <c r="P260" s="79"/>
      <c r="Q260" s="16" t="str">
        <f aca="false">IF(K260=0,"",IF(R260=1,"Pagada",IF(C260&lt;$F$12,"Vencida",IF(234=$F$13,"Próxima","Pendiente"))))</f>
        <v/>
      </c>
      <c r="R260" s="62" t="n">
        <f aca="false">IF(AND(K260&gt;0,OR(O260="Sí",O260="Si")),1,0)</f>
        <v>0</v>
      </c>
      <c r="S260" s="62" t="n">
        <f aca="false">IF(AND(K260&gt;0,R260=0),1,0)</f>
        <v>0</v>
      </c>
    </row>
    <row r="261" customFormat="false" ht="15" hidden="false" customHeight="false" outlineLevel="0" collapsed="false">
      <c r="B261" s="71" t="str">
        <f aca="false">IF($F$6="Sí",N($C$11)+234,"")</f>
        <v/>
      </c>
      <c r="C261" s="72" t="str">
        <f aca="false">IF(OR($F$6&lt;&gt;"Sí",D261&lt;=0.5),"",EDATE($C$10,234))</f>
        <v/>
      </c>
      <c r="D261" s="41" t="n">
        <f aca="false">MAX(0,M260)</f>
        <v>0</v>
      </c>
      <c r="E261" s="41" t="n">
        <f aca="false">D261*$F$7</f>
        <v>0</v>
      </c>
      <c r="F261" s="41" t="n">
        <f aca="false">IF(D261&gt;0.5,N($C$15),0)</f>
        <v>0</v>
      </c>
      <c r="G261" s="41" t="n">
        <f aca="false">IF(AND(D261&gt;0.5,N($C$19)&gt;0,N(B261)&lt;=N($C$20)),D261*$F$8,0)</f>
        <v>0</v>
      </c>
      <c r="H261" s="41" t="n">
        <f aca="false">IF(D261&lt;=0.5,0,MIN(IF(N(I261)&gt;0,I261,$F$9),D261+E261+F261))</f>
        <v>0</v>
      </c>
      <c r="I261" s="77"/>
      <c r="J261" s="77"/>
      <c r="K261" s="41" t="n">
        <f aca="false">IF(D261&lt;=0.5,0,MIN(H261+N(J261),D261+E261+F261))</f>
        <v>0</v>
      </c>
      <c r="L261" s="41" t="n">
        <f aca="false">K261-E261-F261</f>
        <v>0</v>
      </c>
      <c r="M261" s="41" t="n">
        <f aca="false">D261-L261</f>
        <v>0</v>
      </c>
      <c r="N261" s="42" t="n">
        <f aca="false">K261-G261</f>
        <v>0</v>
      </c>
      <c r="O261" s="78"/>
      <c r="P261" s="79"/>
      <c r="Q261" s="16" t="str">
        <f aca="false">IF(K261=0,"",IF(R261=1,"Pagada",IF(C261&lt;$F$12,"Vencida",IF(235=$F$13,"Próxima","Pendiente"))))</f>
        <v/>
      </c>
      <c r="R261" s="62" t="n">
        <f aca="false">IF(AND(K261&gt;0,OR(O261="Sí",O261="Si")),1,0)</f>
        <v>0</v>
      </c>
      <c r="S261" s="62" t="n">
        <f aca="false">IF(AND(K261&gt;0,R261=0),1,0)</f>
        <v>0</v>
      </c>
    </row>
    <row r="262" customFormat="false" ht="15" hidden="false" customHeight="false" outlineLevel="0" collapsed="false">
      <c r="B262" s="71" t="str">
        <f aca="false">IF($F$6="Sí",N($C$11)+235,"")</f>
        <v/>
      </c>
      <c r="C262" s="72" t="str">
        <f aca="false">IF(OR($F$6&lt;&gt;"Sí",D262&lt;=0.5),"",EDATE($C$10,235))</f>
        <v/>
      </c>
      <c r="D262" s="41" t="n">
        <f aca="false">MAX(0,M261)</f>
        <v>0</v>
      </c>
      <c r="E262" s="41" t="n">
        <f aca="false">D262*$F$7</f>
        <v>0</v>
      </c>
      <c r="F262" s="41" t="n">
        <f aca="false">IF(D262&gt;0.5,N($C$15),0)</f>
        <v>0</v>
      </c>
      <c r="G262" s="41" t="n">
        <f aca="false">IF(AND(D262&gt;0.5,N($C$19)&gt;0,N(B262)&lt;=N($C$20)),D262*$F$8,0)</f>
        <v>0</v>
      </c>
      <c r="H262" s="41" t="n">
        <f aca="false">IF(D262&lt;=0.5,0,MIN(IF(N(I262)&gt;0,I262,$F$9),D262+E262+F262))</f>
        <v>0</v>
      </c>
      <c r="I262" s="77"/>
      <c r="J262" s="77"/>
      <c r="K262" s="41" t="n">
        <f aca="false">IF(D262&lt;=0.5,0,MIN(H262+N(J262),D262+E262+F262))</f>
        <v>0</v>
      </c>
      <c r="L262" s="41" t="n">
        <f aca="false">K262-E262-F262</f>
        <v>0</v>
      </c>
      <c r="M262" s="41" t="n">
        <f aca="false">D262-L262</f>
        <v>0</v>
      </c>
      <c r="N262" s="42" t="n">
        <f aca="false">K262-G262</f>
        <v>0</v>
      </c>
      <c r="O262" s="78"/>
      <c r="P262" s="79"/>
      <c r="Q262" s="16" t="str">
        <f aca="false">IF(K262=0,"",IF(R262=1,"Pagada",IF(C262&lt;$F$12,"Vencida",IF(236=$F$13,"Próxima","Pendiente"))))</f>
        <v/>
      </c>
      <c r="R262" s="62" t="n">
        <f aca="false">IF(AND(K262&gt;0,OR(O262="Sí",O262="Si")),1,0)</f>
        <v>0</v>
      </c>
      <c r="S262" s="62" t="n">
        <f aca="false">IF(AND(K262&gt;0,R262=0),1,0)</f>
        <v>0</v>
      </c>
    </row>
    <row r="263" customFormat="false" ht="15" hidden="false" customHeight="false" outlineLevel="0" collapsed="false">
      <c r="B263" s="71" t="str">
        <f aca="false">IF($F$6="Sí",N($C$11)+236,"")</f>
        <v/>
      </c>
      <c r="C263" s="72" t="str">
        <f aca="false">IF(OR($F$6&lt;&gt;"Sí",D263&lt;=0.5),"",EDATE($C$10,236))</f>
        <v/>
      </c>
      <c r="D263" s="41" t="n">
        <f aca="false">MAX(0,M262)</f>
        <v>0</v>
      </c>
      <c r="E263" s="41" t="n">
        <f aca="false">D263*$F$7</f>
        <v>0</v>
      </c>
      <c r="F263" s="41" t="n">
        <f aca="false">IF(D263&gt;0.5,N($C$15),0)</f>
        <v>0</v>
      </c>
      <c r="G263" s="41" t="n">
        <f aca="false">IF(AND(D263&gt;0.5,N($C$19)&gt;0,N(B263)&lt;=N($C$20)),D263*$F$8,0)</f>
        <v>0</v>
      </c>
      <c r="H263" s="41" t="n">
        <f aca="false">IF(D263&lt;=0.5,0,MIN(IF(N(I263)&gt;0,I263,$F$9),D263+E263+F263))</f>
        <v>0</v>
      </c>
      <c r="I263" s="77"/>
      <c r="J263" s="77"/>
      <c r="K263" s="41" t="n">
        <f aca="false">IF(D263&lt;=0.5,0,MIN(H263+N(J263),D263+E263+F263))</f>
        <v>0</v>
      </c>
      <c r="L263" s="41" t="n">
        <f aca="false">K263-E263-F263</f>
        <v>0</v>
      </c>
      <c r="M263" s="41" t="n">
        <f aca="false">D263-L263</f>
        <v>0</v>
      </c>
      <c r="N263" s="42" t="n">
        <f aca="false">K263-G263</f>
        <v>0</v>
      </c>
      <c r="O263" s="78"/>
      <c r="P263" s="79"/>
      <c r="Q263" s="16" t="str">
        <f aca="false">IF(K263=0,"",IF(R263=1,"Pagada",IF(C263&lt;$F$12,"Vencida",IF(237=$F$13,"Próxima","Pendiente"))))</f>
        <v/>
      </c>
      <c r="R263" s="62" t="n">
        <f aca="false">IF(AND(K263&gt;0,OR(O263="Sí",O263="Si")),1,0)</f>
        <v>0</v>
      </c>
      <c r="S263" s="62" t="n">
        <f aca="false">IF(AND(K263&gt;0,R263=0),1,0)</f>
        <v>0</v>
      </c>
    </row>
    <row r="264" customFormat="false" ht="15" hidden="false" customHeight="false" outlineLevel="0" collapsed="false">
      <c r="B264" s="71" t="str">
        <f aca="false">IF($F$6="Sí",N($C$11)+237,"")</f>
        <v/>
      </c>
      <c r="C264" s="72" t="str">
        <f aca="false">IF(OR($F$6&lt;&gt;"Sí",D264&lt;=0.5),"",EDATE($C$10,237))</f>
        <v/>
      </c>
      <c r="D264" s="41" t="n">
        <f aca="false">MAX(0,M263)</f>
        <v>0</v>
      </c>
      <c r="E264" s="41" t="n">
        <f aca="false">D264*$F$7</f>
        <v>0</v>
      </c>
      <c r="F264" s="41" t="n">
        <f aca="false">IF(D264&gt;0.5,N($C$15),0)</f>
        <v>0</v>
      </c>
      <c r="G264" s="41" t="n">
        <f aca="false">IF(AND(D264&gt;0.5,N($C$19)&gt;0,N(B264)&lt;=N($C$20)),D264*$F$8,0)</f>
        <v>0</v>
      </c>
      <c r="H264" s="41" t="n">
        <f aca="false">IF(D264&lt;=0.5,0,MIN(IF(N(I264)&gt;0,I264,$F$9),D264+E264+F264))</f>
        <v>0</v>
      </c>
      <c r="I264" s="77"/>
      <c r="J264" s="77"/>
      <c r="K264" s="41" t="n">
        <f aca="false">IF(D264&lt;=0.5,0,MIN(H264+N(J264),D264+E264+F264))</f>
        <v>0</v>
      </c>
      <c r="L264" s="41" t="n">
        <f aca="false">K264-E264-F264</f>
        <v>0</v>
      </c>
      <c r="M264" s="41" t="n">
        <f aca="false">D264-L264</f>
        <v>0</v>
      </c>
      <c r="N264" s="42" t="n">
        <f aca="false">K264-G264</f>
        <v>0</v>
      </c>
      <c r="O264" s="78"/>
      <c r="P264" s="79"/>
      <c r="Q264" s="16" t="str">
        <f aca="false">IF(K264=0,"",IF(R264=1,"Pagada",IF(C264&lt;$F$12,"Vencida",IF(238=$F$13,"Próxima","Pendiente"))))</f>
        <v/>
      </c>
      <c r="R264" s="62" t="n">
        <f aca="false">IF(AND(K264&gt;0,OR(O264="Sí",O264="Si")),1,0)</f>
        <v>0</v>
      </c>
      <c r="S264" s="62" t="n">
        <f aca="false">IF(AND(K264&gt;0,R264=0),1,0)</f>
        <v>0</v>
      </c>
    </row>
    <row r="265" customFormat="false" ht="15" hidden="false" customHeight="false" outlineLevel="0" collapsed="false">
      <c r="B265" s="71" t="str">
        <f aca="false">IF($F$6="Sí",N($C$11)+238,"")</f>
        <v/>
      </c>
      <c r="C265" s="72" t="str">
        <f aca="false">IF(OR($F$6&lt;&gt;"Sí",D265&lt;=0.5),"",EDATE($C$10,238))</f>
        <v/>
      </c>
      <c r="D265" s="41" t="n">
        <f aca="false">MAX(0,M264)</f>
        <v>0</v>
      </c>
      <c r="E265" s="41" t="n">
        <f aca="false">D265*$F$7</f>
        <v>0</v>
      </c>
      <c r="F265" s="41" t="n">
        <f aca="false">IF(D265&gt;0.5,N($C$15),0)</f>
        <v>0</v>
      </c>
      <c r="G265" s="41" t="n">
        <f aca="false">IF(AND(D265&gt;0.5,N($C$19)&gt;0,N(B265)&lt;=N($C$20)),D265*$F$8,0)</f>
        <v>0</v>
      </c>
      <c r="H265" s="41" t="n">
        <f aca="false">IF(D265&lt;=0.5,0,MIN(IF(N(I265)&gt;0,I265,$F$9),D265+E265+F265))</f>
        <v>0</v>
      </c>
      <c r="I265" s="77"/>
      <c r="J265" s="77"/>
      <c r="K265" s="41" t="n">
        <f aca="false">IF(D265&lt;=0.5,0,MIN(H265+N(J265),D265+E265+F265))</f>
        <v>0</v>
      </c>
      <c r="L265" s="41" t="n">
        <f aca="false">K265-E265-F265</f>
        <v>0</v>
      </c>
      <c r="M265" s="41" t="n">
        <f aca="false">D265-L265</f>
        <v>0</v>
      </c>
      <c r="N265" s="42" t="n">
        <f aca="false">K265-G265</f>
        <v>0</v>
      </c>
      <c r="O265" s="78"/>
      <c r="P265" s="79"/>
      <c r="Q265" s="16" t="str">
        <f aca="false">IF(K265=0,"",IF(R265=1,"Pagada",IF(C265&lt;$F$12,"Vencida",IF(239=$F$13,"Próxima","Pendiente"))))</f>
        <v/>
      </c>
      <c r="R265" s="62" t="n">
        <f aca="false">IF(AND(K265&gt;0,OR(O265="Sí",O265="Si")),1,0)</f>
        <v>0</v>
      </c>
      <c r="S265" s="62" t="n">
        <f aca="false">IF(AND(K265&gt;0,R265=0),1,0)</f>
        <v>0</v>
      </c>
    </row>
    <row r="266" customFormat="false" ht="15" hidden="false" customHeight="false" outlineLevel="0" collapsed="false">
      <c r="B266" s="71" t="str">
        <f aca="false">IF($F$6="Sí",N($C$11)+239,"")</f>
        <v/>
      </c>
      <c r="C266" s="72" t="str">
        <f aca="false">IF(OR($F$6&lt;&gt;"Sí",D266&lt;=0.5),"",EDATE($C$10,239))</f>
        <v/>
      </c>
      <c r="D266" s="41" t="n">
        <f aca="false">MAX(0,M265)</f>
        <v>0</v>
      </c>
      <c r="E266" s="41" t="n">
        <f aca="false">D266*$F$7</f>
        <v>0</v>
      </c>
      <c r="F266" s="41" t="n">
        <f aca="false">IF(D266&gt;0.5,N($C$15),0)</f>
        <v>0</v>
      </c>
      <c r="G266" s="41" t="n">
        <f aca="false">IF(AND(D266&gt;0.5,N($C$19)&gt;0,N(B266)&lt;=N($C$20)),D266*$F$8,0)</f>
        <v>0</v>
      </c>
      <c r="H266" s="41" t="n">
        <f aca="false">IF(D266&lt;=0.5,0,MIN(IF(N(I266)&gt;0,I266,$F$9),D266+E266+F266))</f>
        <v>0</v>
      </c>
      <c r="I266" s="77"/>
      <c r="J266" s="77"/>
      <c r="K266" s="41" t="n">
        <f aca="false">IF(D266&lt;=0.5,0,MIN(H266+N(J266),D266+E266+F266))</f>
        <v>0</v>
      </c>
      <c r="L266" s="41" t="n">
        <f aca="false">K266-E266-F266</f>
        <v>0</v>
      </c>
      <c r="M266" s="41" t="n">
        <f aca="false">D266-L266</f>
        <v>0</v>
      </c>
      <c r="N266" s="42" t="n">
        <f aca="false">K266-G266</f>
        <v>0</v>
      </c>
      <c r="O266" s="78"/>
      <c r="P266" s="79"/>
      <c r="Q266" s="16" t="str">
        <f aca="false">IF(K266=0,"",IF(R266=1,"Pagada",IF(C266&lt;$F$12,"Vencida",IF(240=$F$13,"Próxima","Pendiente"))))</f>
        <v/>
      </c>
      <c r="R266" s="62" t="n">
        <f aca="false">IF(AND(K266&gt;0,OR(O266="Sí",O266="Si")),1,0)</f>
        <v>0</v>
      </c>
      <c r="S266" s="62" t="n">
        <f aca="false">IF(AND(K266&gt;0,R266=0),1,0)</f>
        <v>0</v>
      </c>
    </row>
    <row r="267" customFormat="false" ht="15" hidden="false" customHeight="false" outlineLevel="0" collapsed="false">
      <c r="B267" s="71" t="str">
        <f aca="false">IF($F$6="Sí",N($C$11)+240,"")</f>
        <v/>
      </c>
      <c r="C267" s="72" t="str">
        <f aca="false">IF(OR($F$6&lt;&gt;"Sí",D267&lt;=0.5),"",EDATE($C$10,240))</f>
        <v/>
      </c>
      <c r="D267" s="41" t="n">
        <f aca="false">MAX(0,M266)</f>
        <v>0</v>
      </c>
      <c r="E267" s="41" t="n">
        <f aca="false">D267*$F$7</f>
        <v>0</v>
      </c>
      <c r="F267" s="41" t="n">
        <f aca="false">IF(D267&gt;0.5,N($C$15),0)</f>
        <v>0</v>
      </c>
      <c r="G267" s="41" t="n">
        <f aca="false">IF(AND(D267&gt;0.5,N($C$19)&gt;0,N(B267)&lt;=N($C$20)),D267*$F$8,0)</f>
        <v>0</v>
      </c>
      <c r="H267" s="41" t="n">
        <f aca="false">IF(D267&lt;=0.5,0,MIN(IF(N(I267)&gt;0,I267,$F$9),D267+E267+F267))</f>
        <v>0</v>
      </c>
      <c r="I267" s="77"/>
      <c r="J267" s="77"/>
      <c r="K267" s="41" t="n">
        <f aca="false">IF(D267&lt;=0.5,0,MIN(H267+N(J267),D267+E267+F267))</f>
        <v>0</v>
      </c>
      <c r="L267" s="41" t="n">
        <f aca="false">K267-E267-F267</f>
        <v>0</v>
      </c>
      <c r="M267" s="41" t="n">
        <f aca="false">D267-L267</f>
        <v>0</v>
      </c>
      <c r="N267" s="42" t="n">
        <f aca="false">K267-G267</f>
        <v>0</v>
      </c>
      <c r="O267" s="78"/>
      <c r="P267" s="79"/>
      <c r="Q267" s="16" t="str">
        <f aca="false">IF(K267=0,"",IF(R267=1,"Pagada",IF(C267&lt;$F$12,"Vencida",IF(241=$F$13,"Próxima","Pendiente"))))</f>
        <v/>
      </c>
      <c r="R267" s="62" t="n">
        <f aca="false">IF(AND(K267&gt;0,OR(O267="Sí",O267="Si")),1,0)</f>
        <v>0</v>
      </c>
      <c r="S267" s="62" t="n">
        <f aca="false">IF(AND(K267&gt;0,R267=0),1,0)</f>
        <v>0</v>
      </c>
    </row>
    <row r="268" customFormat="false" ht="15" hidden="false" customHeight="false" outlineLevel="0" collapsed="false">
      <c r="B268" s="71" t="str">
        <f aca="false">IF($F$6="Sí",N($C$11)+241,"")</f>
        <v/>
      </c>
      <c r="C268" s="72" t="str">
        <f aca="false">IF(OR($F$6&lt;&gt;"Sí",D268&lt;=0.5),"",EDATE($C$10,241))</f>
        <v/>
      </c>
      <c r="D268" s="41" t="n">
        <f aca="false">MAX(0,M267)</f>
        <v>0</v>
      </c>
      <c r="E268" s="41" t="n">
        <f aca="false">D268*$F$7</f>
        <v>0</v>
      </c>
      <c r="F268" s="41" t="n">
        <f aca="false">IF(D268&gt;0.5,N($C$15),0)</f>
        <v>0</v>
      </c>
      <c r="G268" s="41" t="n">
        <f aca="false">IF(AND(D268&gt;0.5,N($C$19)&gt;0,N(B268)&lt;=N($C$20)),D268*$F$8,0)</f>
        <v>0</v>
      </c>
      <c r="H268" s="41" t="n">
        <f aca="false">IF(D268&lt;=0.5,0,MIN(IF(N(I268)&gt;0,I268,$F$9),D268+E268+F268))</f>
        <v>0</v>
      </c>
      <c r="I268" s="77"/>
      <c r="J268" s="77"/>
      <c r="K268" s="41" t="n">
        <f aca="false">IF(D268&lt;=0.5,0,MIN(H268+N(J268),D268+E268+F268))</f>
        <v>0</v>
      </c>
      <c r="L268" s="41" t="n">
        <f aca="false">K268-E268-F268</f>
        <v>0</v>
      </c>
      <c r="M268" s="41" t="n">
        <f aca="false">D268-L268</f>
        <v>0</v>
      </c>
      <c r="N268" s="42" t="n">
        <f aca="false">K268-G268</f>
        <v>0</v>
      </c>
      <c r="O268" s="78"/>
      <c r="P268" s="79"/>
      <c r="Q268" s="16" t="str">
        <f aca="false">IF(K268=0,"",IF(R268=1,"Pagada",IF(C268&lt;$F$12,"Vencida",IF(242=$F$13,"Próxima","Pendiente"))))</f>
        <v/>
      </c>
      <c r="R268" s="62" t="n">
        <f aca="false">IF(AND(K268&gt;0,OR(O268="Sí",O268="Si")),1,0)</f>
        <v>0</v>
      </c>
      <c r="S268" s="62" t="n">
        <f aca="false">IF(AND(K268&gt;0,R268=0),1,0)</f>
        <v>0</v>
      </c>
    </row>
    <row r="269" customFormat="false" ht="15" hidden="false" customHeight="false" outlineLevel="0" collapsed="false">
      <c r="B269" s="71" t="str">
        <f aca="false">IF($F$6="Sí",N($C$11)+242,"")</f>
        <v/>
      </c>
      <c r="C269" s="72" t="str">
        <f aca="false">IF(OR($F$6&lt;&gt;"Sí",D269&lt;=0.5),"",EDATE($C$10,242))</f>
        <v/>
      </c>
      <c r="D269" s="41" t="n">
        <f aca="false">MAX(0,M268)</f>
        <v>0</v>
      </c>
      <c r="E269" s="41" t="n">
        <f aca="false">D269*$F$7</f>
        <v>0</v>
      </c>
      <c r="F269" s="41" t="n">
        <f aca="false">IF(D269&gt;0.5,N($C$15),0)</f>
        <v>0</v>
      </c>
      <c r="G269" s="41" t="n">
        <f aca="false">IF(AND(D269&gt;0.5,N($C$19)&gt;0,N(B269)&lt;=N($C$20)),D269*$F$8,0)</f>
        <v>0</v>
      </c>
      <c r="H269" s="41" t="n">
        <f aca="false">IF(D269&lt;=0.5,0,MIN(IF(N(I269)&gt;0,I269,$F$9),D269+E269+F269))</f>
        <v>0</v>
      </c>
      <c r="I269" s="77"/>
      <c r="J269" s="77"/>
      <c r="K269" s="41" t="n">
        <f aca="false">IF(D269&lt;=0.5,0,MIN(H269+N(J269),D269+E269+F269))</f>
        <v>0</v>
      </c>
      <c r="L269" s="41" t="n">
        <f aca="false">K269-E269-F269</f>
        <v>0</v>
      </c>
      <c r="M269" s="41" t="n">
        <f aca="false">D269-L269</f>
        <v>0</v>
      </c>
      <c r="N269" s="42" t="n">
        <f aca="false">K269-G269</f>
        <v>0</v>
      </c>
      <c r="O269" s="78"/>
      <c r="P269" s="79"/>
      <c r="Q269" s="16" t="str">
        <f aca="false">IF(K269=0,"",IF(R269=1,"Pagada",IF(C269&lt;$F$12,"Vencida",IF(243=$F$13,"Próxima","Pendiente"))))</f>
        <v/>
      </c>
      <c r="R269" s="62" t="n">
        <f aca="false">IF(AND(K269&gt;0,OR(O269="Sí",O269="Si")),1,0)</f>
        <v>0</v>
      </c>
      <c r="S269" s="62" t="n">
        <f aca="false">IF(AND(K269&gt;0,R269=0),1,0)</f>
        <v>0</v>
      </c>
    </row>
    <row r="270" customFormat="false" ht="15" hidden="false" customHeight="false" outlineLevel="0" collapsed="false">
      <c r="B270" s="71" t="str">
        <f aca="false">IF($F$6="Sí",N($C$11)+243,"")</f>
        <v/>
      </c>
      <c r="C270" s="72" t="str">
        <f aca="false">IF(OR($F$6&lt;&gt;"Sí",D270&lt;=0.5),"",EDATE($C$10,243))</f>
        <v/>
      </c>
      <c r="D270" s="41" t="n">
        <f aca="false">MAX(0,M269)</f>
        <v>0</v>
      </c>
      <c r="E270" s="41" t="n">
        <f aca="false">D270*$F$7</f>
        <v>0</v>
      </c>
      <c r="F270" s="41" t="n">
        <f aca="false">IF(D270&gt;0.5,N($C$15),0)</f>
        <v>0</v>
      </c>
      <c r="G270" s="41" t="n">
        <f aca="false">IF(AND(D270&gt;0.5,N($C$19)&gt;0,N(B270)&lt;=N($C$20)),D270*$F$8,0)</f>
        <v>0</v>
      </c>
      <c r="H270" s="41" t="n">
        <f aca="false">IF(D270&lt;=0.5,0,MIN(IF(N(I270)&gt;0,I270,$F$9),D270+E270+F270))</f>
        <v>0</v>
      </c>
      <c r="I270" s="77"/>
      <c r="J270" s="77"/>
      <c r="K270" s="41" t="n">
        <f aca="false">IF(D270&lt;=0.5,0,MIN(H270+N(J270),D270+E270+F270))</f>
        <v>0</v>
      </c>
      <c r="L270" s="41" t="n">
        <f aca="false">K270-E270-F270</f>
        <v>0</v>
      </c>
      <c r="M270" s="41" t="n">
        <f aca="false">D270-L270</f>
        <v>0</v>
      </c>
      <c r="N270" s="42" t="n">
        <f aca="false">K270-G270</f>
        <v>0</v>
      </c>
      <c r="O270" s="78"/>
      <c r="P270" s="79"/>
      <c r="Q270" s="16" t="str">
        <f aca="false">IF(K270=0,"",IF(R270=1,"Pagada",IF(C270&lt;$F$12,"Vencida",IF(244=$F$13,"Próxima","Pendiente"))))</f>
        <v/>
      </c>
      <c r="R270" s="62" t="n">
        <f aca="false">IF(AND(K270&gt;0,OR(O270="Sí",O270="Si")),1,0)</f>
        <v>0</v>
      </c>
      <c r="S270" s="62" t="n">
        <f aca="false">IF(AND(K270&gt;0,R270=0),1,0)</f>
        <v>0</v>
      </c>
    </row>
    <row r="271" customFormat="false" ht="15" hidden="false" customHeight="false" outlineLevel="0" collapsed="false">
      <c r="B271" s="71" t="str">
        <f aca="false">IF($F$6="Sí",N($C$11)+244,"")</f>
        <v/>
      </c>
      <c r="C271" s="72" t="str">
        <f aca="false">IF(OR($F$6&lt;&gt;"Sí",D271&lt;=0.5),"",EDATE($C$10,244))</f>
        <v/>
      </c>
      <c r="D271" s="41" t="n">
        <f aca="false">MAX(0,M270)</f>
        <v>0</v>
      </c>
      <c r="E271" s="41" t="n">
        <f aca="false">D271*$F$7</f>
        <v>0</v>
      </c>
      <c r="F271" s="41" t="n">
        <f aca="false">IF(D271&gt;0.5,N($C$15),0)</f>
        <v>0</v>
      </c>
      <c r="G271" s="41" t="n">
        <f aca="false">IF(AND(D271&gt;0.5,N($C$19)&gt;0,N(B271)&lt;=N($C$20)),D271*$F$8,0)</f>
        <v>0</v>
      </c>
      <c r="H271" s="41" t="n">
        <f aca="false">IF(D271&lt;=0.5,0,MIN(IF(N(I271)&gt;0,I271,$F$9),D271+E271+F271))</f>
        <v>0</v>
      </c>
      <c r="I271" s="77"/>
      <c r="J271" s="77"/>
      <c r="K271" s="41" t="n">
        <f aca="false">IF(D271&lt;=0.5,0,MIN(H271+N(J271),D271+E271+F271))</f>
        <v>0</v>
      </c>
      <c r="L271" s="41" t="n">
        <f aca="false">K271-E271-F271</f>
        <v>0</v>
      </c>
      <c r="M271" s="41" t="n">
        <f aca="false">D271-L271</f>
        <v>0</v>
      </c>
      <c r="N271" s="42" t="n">
        <f aca="false">K271-G271</f>
        <v>0</v>
      </c>
      <c r="O271" s="78"/>
      <c r="P271" s="79"/>
      <c r="Q271" s="16" t="str">
        <f aca="false">IF(K271=0,"",IF(R271=1,"Pagada",IF(C271&lt;$F$12,"Vencida",IF(245=$F$13,"Próxima","Pendiente"))))</f>
        <v/>
      </c>
      <c r="R271" s="62" t="n">
        <f aca="false">IF(AND(K271&gt;0,OR(O271="Sí",O271="Si")),1,0)</f>
        <v>0</v>
      </c>
      <c r="S271" s="62" t="n">
        <f aca="false">IF(AND(K271&gt;0,R271=0),1,0)</f>
        <v>0</v>
      </c>
    </row>
    <row r="272" customFormat="false" ht="15" hidden="false" customHeight="false" outlineLevel="0" collapsed="false">
      <c r="B272" s="71" t="str">
        <f aca="false">IF($F$6="Sí",N($C$11)+245,"")</f>
        <v/>
      </c>
      <c r="C272" s="72" t="str">
        <f aca="false">IF(OR($F$6&lt;&gt;"Sí",D272&lt;=0.5),"",EDATE($C$10,245))</f>
        <v/>
      </c>
      <c r="D272" s="41" t="n">
        <f aca="false">MAX(0,M271)</f>
        <v>0</v>
      </c>
      <c r="E272" s="41" t="n">
        <f aca="false">D272*$F$7</f>
        <v>0</v>
      </c>
      <c r="F272" s="41" t="n">
        <f aca="false">IF(D272&gt;0.5,N($C$15),0)</f>
        <v>0</v>
      </c>
      <c r="G272" s="41" t="n">
        <f aca="false">IF(AND(D272&gt;0.5,N($C$19)&gt;0,N(B272)&lt;=N($C$20)),D272*$F$8,0)</f>
        <v>0</v>
      </c>
      <c r="H272" s="41" t="n">
        <f aca="false">IF(D272&lt;=0.5,0,MIN(IF(N(I272)&gt;0,I272,$F$9),D272+E272+F272))</f>
        <v>0</v>
      </c>
      <c r="I272" s="77"/>
      <c r="J272" s="77"/>
      <c r="K272" s="41" t="n">
        <f aca="false">IF(D272&lt;=0.5,0,MIN(H272+N(J272),D272+E272+F272))</f>
        <v>0</v>
      </c>
      <c r="L272" s="41" t="n">
        <f aca="false">K272-E272-F272</f>
        <v>0</v>
      </c>
      <c r="M272" s="41" t="n">
        <f aca="false">D272-L272</f>
        <v>0</v>
      </c>
      <c r="N272" s="42" t="n">
        <f aca="false">K272-G272</f>
        <v>0</v>
      </c>
      <c r="O272" s="78"/>
      <c r="P272" s="79"/>
      <c r="Q272" s="16" t="str">
        <f aca="false">IF(K272=0,"",IF(R272=1,"Pagada",IF(C272&lt;$F$12,"Vencida",IF(246=$F$13,"Próxima","Pendiente"))))</f>
        <v/>
      </c>
      <c r="R272" s="62" t="n">
        <f aca="false">IF(AND(K272&gt;0,OR(O272="Sí",O272="Si")),1,0)</f>
        <v>0</v>
      </c>
      <c r="S272" s="62" t="n">
        <f aca="false">IF(AND(K272&gt;0,R272=0),1,0)</f>
        <v>0</v>
      </c>
    </row>
    <row r="273" customFormat="false" ht="15" hidden="false" customHeight="false" outlineLevel="0" collapsed="false">
      <c r="B273" s="71" t="str">
        <f aca="false">IF($F$6="Sí",N($C$11)+246,"")</f>
        <v/>
      </c>
      <c r="C273" s="72" t="str">
        <f aca="false">IF(OR($F$6&lt;&gt;"Sí",D273&lt;=0.5),"",EDATE($C$10,246))</f>
        <v/>
      </c>
      <c r="D273" s="41" t="n">
        <f aca="false">MAX(0,M272)</f>
        <v>0</v>
      </c>
      <c r="E273" s="41" t="n">
        <f aca="false">D273*$F$7</f>
        <v>0</v>
      </c>
      <c r="F273" s="41" t="n">
        <f aca="false">IF(D273&gt;0.5,N($C$15),0)</f>
        <v>0</v>
      </c>
      <c r="G273" s="41" t="n">
        <f aca="false">IF(AND(D273&gt;0.5,N($C$19)&gt;0,N(B273)&lt;=N($C$20)),D273*$F$8,0)</f>
        <v>0</v>
      </c>
      <c r="H273" s="41" t="n">
        <f aca="false">IF(D273&lt;=0.5,0,MIN(IF(N(I273)&gt;0,I273,$F$9),D273+E273+F273))</f>
        <v>0</v>
      </c>
      <c r="I273" s="77"/>
      <c r="J273" s="77"/>
      <c r="K273" s="41" t="n">
        <f aca="false">IF(D273&lt;=0.5,0,MIN(H273+N(J273),D273+E273+F273))</f>
        <v>0</v>
      </c>
      <c r="L273" s="41" t="n">
        <f aca="false">K273-E273-F273</f>
        <v>0</v>
      </c>
      <c r="M273" s="41" t="n">
        <f aca="false">D273-L273</f>
        <v>0</v>
      </c>
      <c r="N273" s="42" t="n">
        <f aca="false">K273-G273</f>
        <v>0</v>
      </c>
      <c r="O273" s="78"/>
      <c r="P273" s="79"/>
      <c r="Q273" s="16" t="str">
        <f aca="false">IF(K273=0,"",IF(R273=1,"Pagada",IF(C273&lt;$F$12,"Vencida",IF(247=$F$13,"Próxima","Pendiente"))))</f>
        <v/>
      </c>
      <c r="R273" s="62" t="n">
        <f aca="false">IF(AND(K273&gt;0,OR(O273="Sí",O273="Si")),1,0)</f>
        <v>0</v>
      </c>
      <c r="S273" s="62" t="n">
        <f aca="false">IF(AND(K273&gt;0,R273=0),1,0)</f>
        <v>0</v>
      </c>
    </row>
    <row r="274" customFormat="false" ht="15" hidden="false" customHeight="false" outlineLevel="0" collapsed="false">
      <c r="B274" s="71" t="str">
        <f aca="false">IF($F$6="Sí",N($C$11)+247,"")</f>
        <v/>
      </c>
      <c r="C274" s="72" t="str">
        <f aca="false">IF(OR($F$6&lt;&gt;"Sí",D274&lt;=0.5),"",EDATE($C$10,247))</f>
        <v/>
      </c>
      <c r="D274" s="41" t="n">
        <f aca="false">MAX(0,M273)</f>
        <v>0</v>
      </c>
      <c r="E274" s="41" t="n">
        <f aca="false">D274*$F$7</f>
        <v>0</v>
      </c>
      <c r="F274" s="41" t="n">
        <f aca="false">IF(D274&gt;0.5,N($C$15),0)</f>
        <v>0</v>
      </c>
      <c r="G274" s="41" t="n">
        <f aca="false">IF(AND(D274&gt;0.5,N($C$19)&gt;0,N(B274)&lt;=N($C$20)),D274*$F$8,0)</f>
        <v>0</v>
      </c>
      <c r="H274" s="41" t="n">
        <f aca="false">IF(D274&lt;=0.5,0,MIN(IF(N(I274)&gt;0,I274,$F$9),D274+E274+F274))</f>
        <v>0</v>
      </c>
      <c r="I274" s="77"/>
      <c r="J274" s="77"/>
      <c r="K274" s="41" t="n">
        <f aca="false">IF(D274&lt;=0.5,0,MIN(H274+N(J274),D274+E274+F274))</f>
        <v>0</v>
      </c>
      <c r="L274" s="41" t="n">
        <f aca="false">K274-E274-F274</f>
        <v>0</v>
      </c>
      <c r="M274" s="41" t="n">
        <f aca="false">D274-L274</f>
        <v>0</v>
      </c>
      <c r="N274" s="42" t="n">
        <f aca="false">K274-G274</f>
        <v>0</v>
      </c>
      <c r="O274" s="78"/>
      <c r="P274" s="79"/>
      <c r="Q274" s="16" t="str">
        <f aca="false">IF(K274=0,"",IF(R274=1,"Pagada",IF(C274&lt;$F$12,"Vencida",IF(248=$F$13,"Próxima","Pendiente"))))</f>
        <v/>
      </c>
      <c r="R274" s="62" t="n">
        <f aca="false">IF(AND(K274&gt;0,OR(O274="Sí",O274="Si")),1,0)</f>
        <v>0</v>
      </c>
      <c r="S274" s="62" t="n">
        <f aca="false">IF(AND(K274&gt;0,R274=0),1,0)</f>
        <v>0</v>
      </c>
    </row>
    <row r="275" customFormat="false" ht="15" hidden="false" customHeight="false" outlineLevel="0" collapsed="false">
      <c r="B275" s="71" t="str">
        <f aca="false">IF($F$6="Sí",N($C$11)+248,"")</f>
        <v/>
      </c>
      <c r="C275" s="72" t="str">
        <f aca="false">IF(OR($F$6&lt;&gt;"Sí",D275&lt;=0.5),"",EDATE($C$10,248))</f>
        <v/>
      </c>
      <c r="D275" s="41" t="n">
        <f aca="false">MAX(0,M274)</f>
        <v>0</v>
      </c>
      <c r="E275" s="41" t="n">
        <f aca="false">D275*$F$7</f>
        <v>0</v>
      </c>
      <c r="F275" s="41" t="n">
        <f aca="false">IF(D275&gt;0.5,N($C$15),0)</f>
        <v>0</v>
      </c>
      <c r="G275" s="41" t="n">
        <f aca="false">IF(AND(D275&gt;0.5,N($C$19)&gt;0,N(B275)&lt;=N($C$20)),D275*$F$8,0)</f>
        <v>0</v>
      </c>
      <c r="H275" s="41" t="n">
        <f aca="false">IF(D275&lt;=0.5,0,MIN(IF(N(I275)&gt;0,I275,$F$9),D275+E275+F275))</f>
        <v>0</v>
      </c>
      <c r="I275" s="77"/>
      <c r="J275" s="77"/>
      <c r="K275" s="41" t="n">
        <f aca="false">IF(D275&lt;=0.5,0,MIN(H275+N(J275),D275+E275+F275))</f>
        <v>0</v>
      </c>
      <c r="L275" s="41" t="n">
        <f aca="false">K275-E275-F275</f>
        <v>0</v>
      </c>
      <c r="M275" s="41" t="n">
        <f aca="false">D275-L275</f>
        <v>0</v>
      </c>
      <c r="N275" s="42" t="n">
        <f aca="false">K275-G275</f>
        <v>0</v>
      </c>
      <c r="O275" s="78"/>
      <c r="P275" s="79"/>
      <c r="Q275" s="16" t="str">
        <f aca="false">IF(K275=0,"",IF(R275=1,"Pagada",IF(C275&lt;$F$12,"Vencida",IF(249=$F$13,"Próxima","Pendiente"))))</f>
        <v/>
      </c>
      <c r="R275" s="62" t="n">
        <f aca="false">IF(AND(K275&gt;0,OR(O275="Sí",O275="Si")),1,0)</f>
        <v>0</v>
      </c>
      <c r="S275" s="62" t="n">
        <f aca="false">IF(AND(K275&gt;0,R275=0),1,0)</f>
        <v>0</v>
      </c>
    </row>
    <row r="276" customFormat="false" ht="15" hidden="false" customHeight="false" outlineLevel="0" collapsed="false">
      <c r="B276" s="71" t="str">
        <f aca="false">IF($F$6="Sí",N($C$11)+249,"")</f>
        <v/>
      </c>
      <c r="C276" s="72" t="str">
        <f aca="false">IF(OR($F$6&lt;&gt;"Sí",D276&lt;=0.5),"",EDATE($C$10,249))</f>
        <v/>
      </c>
      <c r="D276" s="41" t="n">
        <f aca="false">MAX(0,M275)</f>
        <v>0</v>
      </c>
      <c r="E276" s="41" t="n">
        <f aca="false">D276*$F$7</f>
        <v>0</v>
      </c>
      <c r="F276" s="41" t="n">
        <f aca="false">IF(D276&gt;0.5,N($C$15),0)</f>
        <v>0</v>
      </c>
      <c r="G276" s="41" t="n">
        <f aca="false">IF(AND(D276&gt;0.5,N($C$19)&gt;0,N(B276)&lt;=N($C$20)),D276*$F$8,0)</f>
        <v>0</v>
      </c>
      <c r="H276" s="41" t="n">
        <f aca="false">IF(D276&lt;=0.5,0,MIN(IF(N(I276)&gt;0,I276,$F$9),D276+E276+F276))</f>
        <v>0</v>
      </c>
      <c r="I276" s="77"/>
      <c r="J276" s="77"/>
      <c r="K276" s="41" t="n">
        <f aca="false">IF(D276&lt;=0.5,0,MIN(H276+N(J276),D276+E276+F276))</f>
        <v>0</v>
      </c>
      <c r="L276" s="41" t="n">
        <f aca="false">K276-E276-F276</f>
        <v>0</v>
      </c>
      <c r="M276" s="41" t="n">
        <f aca="false">D276-L276</f>
        <v>0</v>
      </c>
      <c r="N276" s="42" t="n">
        <f aca="false">K276-G276</f>
        <v>0</v>
      </c>
      <c r="O276" s="78"/>
      <c r="P276" s="79"/>
      <c r="Q276" s="16" t="str">
        <f aca="false">IF(K276=0,"",IF(R276=1,"Pagada",IF(C276&lt;$F$12,"Vencida",IF(250=$F$13,"Próxima","Pendiente"))))</f>
        <v/>
      </c>
      <c r="R276" s="62" t="n">
        <f aca="false">IF(AND(K276&gt;0,OR(O276="Sí",O276="Si")),1,0)</f>
        <v>0</v>
      </c>
      <c r="S276" s="62" t="n">
        <f aca="false">IF(AND(K276&gt;0,R276=0),1,0)</f>
        <v>0</v>
      </c>
    </row>
    <row r="277" customFormat="false" ht="15" hidden="false" customHeight="false" outlineLevel="0" collapsed="false">
      <c r="B277" s="71" t="str">
        <f aca="false">IF($F$6="Sí",N($C$11)+250,"")</f>
        <v/>
      </c>
      <c r="C277" s="72" t="str">
        <f aca="false">IF(OR($F$6&lt;&gt;"Sí",D277&lt;=0.5),"",EDATE($C$10,250))</f>
        <v/>
      </c>
      <c r="D277" s="41" t="n">
        <f aca="false">MAX(0,M276)</f>
        <v>0</v>
      </c>
      <c r="E277" s="41" t="n">
        <f aca="false">D277*$F$7</f>
        <v>0</v>
      </c>
      <c r="F277" s="41" t="n">
        <f aca="false">IF(D277&gt;0.5,N($C$15),0)</f>
        <v>0</v>
      </c>
      <c r="G277" s="41" t="n">
        <f aca="false">IF(AND(D277&gt;0.5,N($C$19)&gt;0,N(B277)&lt;=N($C$20)),D277*$F$8,0)</f>
        <v>0</v>
      </c>
      <c r="H277" s="41" t="n">
        <f aca="false">IF(D277&lt;=0.5,0,MIN(IF(N(I277)&gt;0,I277,$F$9),D277+E277+F277))</f>
        <v>0</v>
      </c>
      <c r="I277" s="77"/>
      <c r="J277" s="77"/>
      <c r="K277" s="41" t="n">
        <f aca="false">IF(D277&lt;=0.5,0,MIN(H277+N(J277),D277+E277+F277))</f>
        <v>0</v>
      </c>
      <c r="L277" s="41" t="n">
        <f aca="false">K277-E277-F277</f>
        <v>0</v>
      </c>
      <c r="M277" s="41" t="n">
        <f aca="false">D277-L277</f>
        <v>0</v>
      </c>
      <c r="N277" s="42" t="n">
        <f aca="false">K277-G277</f>
        <v>0</v>
      </c>
      <c r="O277" s="78"/>
      <c r="P277" s="79"/>
      <c r="Q277" s="16" t="str">
        <f aca="false">IF(K277=0,"",IF(R277=1,"Pagada",IF(C277&lt;$F$12,"Vencida",IF(251=$F$13,"Próxima","Pendiente"))))</f>
        <v/>
      </c>
      <c r="R277" s="62" t="n">
        <f aca="false">IF(AND(K277&gt;0,OR(O277="Sí",O277="Si")),1,0)</f>
        <v>0</v>
      </c>
      <c r="S277" s="62" t="n">
        <f aca="false">IF(AND(K277&gt;0,R277=0),1,0)</f>
        <v>0</v>
      </c>
    </row>
    <row r="278" customFormat="false" ht="15" hidden="false" customHeight="false" outlineLevel="0" collapsed="false">
      <c r="B278" s="71" t="str">
        <f aca="false">IF($F$6="Sí",N($C$11)+251,"")</f>
        <v/>
      </c>
      <c r="C278" s="72" t="str">
        <f aca="false">IF(OR($F$6&lt;&gt;"Sí",D278&lt;=0.5),"",EDATE($C$10,251))</f>
        <v/>
      </c>
      <c r="D278" s="41" t="n">
        <f aca="false">MAX(0,M277)</f>
        <v>0</v>
      </c>
      <c r="E278" s="41" t="n">
        <f aca="false">D278*$F$7</f>
        <v>0</v>
      </c>
      <c r="F278" s="41" t="n">
        <f aca="false">IF(D278&gt;0.5,N($C$15),0)</f>
        <v>0</v>
      </c>
      <c r="G278" s="41" t="n">
        <f aca="false">IF(AND(D278&gt;0.5,N($C$19)&gt;0,N(B278)&lt;=N($C$20)),D278*$F$8,0)</f>
        <v>0</v>
      </c>
      <c r="H278" s="41" t="n">
        <f aca="false">IF(D278&lt;=0.5,0,MIN(IF(N(I278)&gt;0,I278,$F$9),D278+E278+F278))</f>
        <v>0</v>
      </c>
      <c r="I278" s="77"/>
      <c r="J278" s="77"/>
      <c r="K278" s="41" t="n">
        <f aca="false">IF(D278&lt;=0.5,0,MIN(H278+N(J278),D278+E278+F278))</f>
        <v>0</v>
      </c>
      <c r="L278" s="41" t="n">
        <f aca="false">K278-E278-F278</f>
        <v>0</v>
      </c>
      <c r="M278" s="41" t="n">
        <f aca="false">D278-L278</f>
        <v>0</v>
      </c>
      <c r="N278" s="42" t="n">
        <f aca="false">K278-G278</f>
        <v>0</v>
      </c>
      <c r="O278" s="78"/>
      <c r="P278" s="79"/>
      <c r="Q278" s="16" t="str">
        <f aca="false">IF(K278=0,"",IF(R278=1,"Pagada",IF(C278&lt;$F$12,"Vencida",IF(252=$F$13,"Próxima","Pendiente"))))</f>
        <v/>
      </c>
      <c r="R278" s="62" t="n">
        <f aca="false">IF(AND(K278&gt;0,OR(O278="Sí",O278="Si")),1,0)</f>
        <v>0</v>
      </c>
      <c r="S278" s="62" t="n">
        <f aca="false">IF(AND(K278&gt;0,R278=0),1,0)</f>
        <v>0</v>
      </c>
    </row>
    <row r="279" customFormat="false" ht="15" hidden="false" customHeight="false" outlineLevel="0" collapsed="false">
      <c r="B279" s="71" t="str">
        <f aca="false">IF($F$6="Sí",N($C$11)+252,"")</f>
        <v/>
      </c>
      <c r="C279" s="72" t="str">
        <f aca="false">IF(OR($F$6&lt;&gt;"Sí",D279&lt;=0.5),"",EDATE($C$10,252))</f>
        <v/>
      </c>
      <c r="D279" s="41" t="n">
        <f aca="false">MAX(0,M278)</f>
        <v>0</v>
      </c>
      <c r="E279" s="41" t="n">
        <f aca="false">D279*$F$7</f>
        <v>0</v>
      </c>
      <c r="F279" s="41" t="n">
        <f aca="false">IF(D279&gt;0.5,N($C$15),0)</f>
        <v>0</v>
      </c>
      <c r="G279" s="41" t="n">
        <f aca="false">IF(AND(D279&gt;0.5,N($C$19)&gt;0,N(B279)&lt;=N($C$20)),D279*$F$8,0)</f>
        <v>0</v>
      </c>
      <c r="H279" s="41" t="n">
        <f aca="false">IF(D279&lt;=0.5,0,MIN(IF(N(I279)&gt;0,I279,$F$9),D279+E279+F279))</f>
        <v>0</v>
      </c>
      <c r="I279" s="77"/>
      <c r="J279" s="77"/>
      <c r="K279" s="41" t="n">
        <f aca="false">IF(D279&lt;=0.5,0,MIN(H279+N(J279),D279+E279+F279))</f>
        <v>0</v>
      </c>
      <c r="L279" s="41" t="n">
        <f aca="false">K279-E279-F279</f>
        <v>0</v>
      </c>
      <c r="M279" s="41" t="n">
        <f aca="false">D279-L279</f>
        <v>0</v>
      </c>
      <c r="N279" s="42" t="n">
        <f aca="false">K279-G279</f>
        <v>0</v>
      </c>
      <c r="O279" s="78"/>
      <c r="P279" s="79"/>
      <c r="Q279" s="16" t="str">
        <f aca="false">IF(K279=0,"",IF(R279=1,"Pagada",IF(C279&lt;$F$12,"Vencida",IF(253=$F$13,"Próxima","Pendiente"))))</f>
        <v/>
      </c>
      <c r="R279" s="62" t="n">
        <f aca="false">IF(AND(K279&gt;0,OR(O279="Sí",O279="Si")),1,0)</f>
        <v>0</v>
      </c>
      <c r="S279" s="62" t="n">
        <f aca="false">IF(AND(K279&gt;0,R279=0),1,0)</f>
        <v>0</v>
      </c>
    </row>
    <row r="280" customFormat="false" ht="15" hidden="false" customHeight="false" outlineLevel="0" collapsed="false">
      <c r="B280" s="71" t="str">
        <f aca="false">IF($F$6="Sí",N($C$11)+253,"")</f>
        <v/>
      </c>
      <c r="C280" s="72" t="str">
        <f aca="false">IF(OR($F$6&lt;&gt;"Sí",D280&lt;=0.5),"",EDATE($C$10,253))</f>
        <v/>
      </c>
      <c r="D280" s="41" t="n">
        <f aca="false">MAX(0,M279)</f>
        <v>0</v>
      </c>
      <c r="E280" s="41" t="n">
        <f aca="false">D280*$F$7</f>
        <v>0</v>
      </c>
      <c r="F280" s="41" t="n">
        <f aca="false">IF(D280&gt;0.5,N($C$15),0)</f>
        <v>0</v>
      </c>
      <c r="G280" s="41" t="n">
        <f aca="false">IF(AND(D280&gt;0.5,N($C$19)&gt;0,N(B280)&lt;=N($C$20)),D280*$F$8,0)</f>
        <v>0</v>
      </c>
      <c r="H280" s="41" t="n">
        <f aca="false">IF(D280&lt;=0.5,0,MIN(IF(N(I280)&gt;0,I280,$F$9),D280+E280+F280))</f>
        <v>0</v>
      </c>
      <c r="I280" s="77"/>
      <c r="J280" s="77"/>
      <c r="K280" s="41" t="n">
        <f aca="false">IF(D280&lt;=0.5,0,MIN(H280+N(J280),D280+E280+F280))</f>
        <v>0</v>
      </c>
      <c r="L280" s="41" t="n">
        <f aca="false">K280-E280-F280</f>
        <v>0</v>
      </c>
      <c r="M280" s="41" t="n">
        <f aca="false">D280-L280</f>
        <v>0</v>
      </c>
      <c r="N280" s="42" t="n">
        <f aca="false">K280-G280</f>
        <v>0</v>
      </c>
      <c r="O280" s="78"/>
      <c r="P280" s="79"/>
      <c r="Q280" s="16" t="str">
        <f aca="false">IF(K280=0,"",IF(R280=1,"Pagada",IF(C280&lt;$F$12,"Vencida",IF(254=$F$13,"Próxima","Pendiente"))))</f>
        <v/>
      </c>
      <c r="R280" s="62" t="n">
        <f aca="false">IF(AND(K280&gt;0,OR(O280="Sí",O280="Si")),1,0)</f>
        <v>0</v>
      </c>
      <c r="S280" s="62" t="n">
        <f aca="false">IF(AND(K280&gt;0,R280=0),1,0)</f>
        <v>0</v>
      </c>
    </row>
    <row r="281" customFormat="false" ht="15" hidden="false" customHeight="false" outlineLevel="0" collapsed="false">
      <c r="B281" s="71" t="str">
        <f aca="false">IF($F$6="Sí",N($C$11)+254,"")</f>
        <v/>
      </c>
      <c r="C281" s="72" t="str">
        <f aca="false">IF(OR($F$6&lt;&gt;"Sí",D281&lt;=0.5),"",EDATE($C$10,254))</f>
        <v/>
      </c>
      <c r="D281" s="41" t="n">
        <f aca="false">MAX(0,M280)</f>
        <v>0</v>
      </c>
      <c r="E281" s="41" t="n">
        <f aca="false">D281*$F$7</f>
        <v>0</v>
      </c>
      <c r="F281" s="41" t="n">
        <f aca="false">IF(D281&gt;0.5,N($C$15),0)</f>
        <v>0</v>
      </c>
      <c r="G281" s="41" t="n">
        <f aca="false">IF(AND(D281&gt;0.5,N($C$19)&gt;0,N(B281)&lt;=N($C$20)),D281*$F$8,0)</f>
        <v>0</v>
      </c>
      <c r="H281" s="41" t="n">
        <f aca="false">IF(D281&lt;=0.5,0,MIN(IF(N(I281)&gt;0,I281,$F$9),D281+E281+F281))</f>
        <v>0</v>
      </c>
      <c r="I281" s="77"/>
      <c r="J281" s="77"/>
      <c r="K281" s="41" t="n">
        <f aca="false">IF(D281&lt;=0.5,0,MIN(H281+N(J281),D281+E281+F281))</f>
        <v>0</v>
      </c>
      <c r="L281" s="41" t="n">
        <f aca="false">K281-E281-F281</f>
        <v>0</v>
      </c>
      <c r="M281" s="41" t="n">
        <f aca="false">D281-L281</f>
        <v>0</v>
      </c>
      <c r="N281" s="42" t="n">
        <f aca="false">K281-G281</f>
        <v>0</v>
      </c>
      <c r="O281" s="78"/>
      <c r="P281" s="79"/>
      <c r="Q281" s="16" t="str">
        <f aca="false">IF(K281=0,"",IF(R281=1,"Pagada",IF(C281&lt;$F$12,"Vencida",IF(255=$F$13,"Próxima","Pendiente"))))</f>
        <v/>
      </c>
      <c r="R281" s="62" t="n">
        <f aca="false">IF(AND(K281&gt;0,OR(O281="Sí",O281="Si")),1,0)</f>
        <v>0</v>
      </c>
      <c r="S281" s="62" t="n">
        <f aca="false">IF(AND(K281&gt;0,R281=0),1,0)</f>
        <v>0</v>
      </c>
    </row>
    <row r="282" customFormat="false" ht="15" hidden="false" customHeight="false" outlineLevel="0" collapsed="false">
      <c r="B282" s="71" t="str">
        <f aca="false">IF($F$6="Sí",N($C$11)+255,"")</f>
        <v/>
      </c>
      <c r="C282" s="72" t="str">
        <f aca="false">IF(OR($F$6&lt;&gt;"Sí",D282&lt;=0.5),"",EDATE($C$10,255))</f>
        <v/>
      </c>
      <c r="D282" s="41" t="n">
        <f aca="false">MAX(0,M281)</f>
        <v>0</v>
      </c>
      <c r="E282" s="41" t="n">
        <f aca="false">D282*$F$7</f>
        <v>0</v>
      </c>
      <c r="F282" s="41" t="n">
        <f aca="false">IF(D282&gt;0.5,N($C$15),0)</f>
        <v>0</v>
      </c>
      <c r="G282" s="41" t="n">
        <f aca="false">IF(AND(D282&gt;0.5,N($C$19)&gt;0,N(B282)&lt;=N($C$20)),D282*$F$8,0)</f>
        <v>0</v>
      </c>
      <c r="H282" s="41" t="n">
        <f aca="false">IF(D282&lt;=0.5,0,MIN(IF(N(I282)&gt;0,I282,$F$9),D282+E282+F282))</f>
        <v>0</v>
      </c>
      <c r="I282" s="77"/>
      <c r="J282" s="77"/>
      <c r="K282" s="41" t="n">
        <f aca="false">IF(D282&lt;=0.5,0,MIN(H282+N(J282),D282+E282+F282))</f>
        <v>0</v>
      </c>
      <c r="L282" s="41" t="n">
        <f aca="false">K282-E282-F282</f>
        <v>0</v>
      </c>
      <c r="M282" s="41" t="n">
        <f aca="false">D282-L282</f>
        <v>0</v>
      </c>
      <c r="N282" s="42" t="n">
        <f aca="false">K282-G282</f>
        <v>0</v>
      </c>
      <c r="O282" s="78"/>
      <c r="P282" s="79"/>
      <c r="Q282" s="16" t="str">
        <f aca="false">IF(K282=0,"",IF(R282=1,"Pagada",IF(C282&lt;$F$12,"Vencida",IF(256=$F$13,"Próxima","Pendiente"))))</f>
        <v/>
      </c>
      <c r="R282" s="62" t="n">
        <f aca="false">IF(AND(K282&gt;0,OR(O282="Sí",O282="Si")),1,0)</f>
        <v>0</v>
      </c>
      <c r="S282" s="62" t="n">
        <f aca="false">IF(AND(K282&gt;0,R282=0),1,0)</f>
        <v>0</v>
      </c>
    </row>
    <row r="283" customFormat="false" ht="15" hidden="false" customHeight="false" outlineLevel="0" collapsed="false">
      <c r="B283" s="71" t="str">
        <f aca="false">IF($F$6="Sí",N($C$11)+256,"")</f>
        <v/>
      </c>
      <c r="C283" s="72" t="str">
        <f aca="false">IF(OR($F$6&lt;&gt;"Sí",D283&lt;=0.5),"",EDATE($C$10,256))</f>
        <v/>
      </c>
      <c r="D283" s="41" t="n">
        <f aca="false">MAX(0,M282)</f>
        <v>0</v>
      </c>
      <c r="E283" s="41" t="n">
        <f aca="false">D283*$F$7</f>
        <v>0</v>
      </c>
      <c r="F283" s="41" t="n">
        <f aca="false">IF(D283&gt;0.5,N($C$15),0)</f>
        <v>0</v>
      </c>
      <c r="G283" s="41" t="n">
        <f aca="false">IF(AND(D283&gt;0.5,N($C$19)&gt;0,N(B283)&lt;=N($C$20)),D283*$F$8,0)</f>
        <v>0</v>
      </c>
      <c r="H283" s="41" t="n">
        <f aca="false">IF(D283&lt;=0.5,0,MIN(IF(N(I283)&gt;0,I283,$F$9),D283+E283+F283))</f>
        <v>0</v>
      </c>
      <c r="I283" s="77"/>
      <c r="J283" s="77"/>
      <c r="K283" s="41" t="n">
        <f aca="false">IF(D283&lt;=0.5,0,MIN(H283+N(J283),D283+E283+F283))</f>
        <v>0</v>
      </c>
      <c r="L283" s="41" t="n">
        <f aca="false">K283-E283-F283</f>
        <v>0</v>
      </c>
      <c r="M283" s="41" t="n">
        <f aca="false">D283-L283</f>
        <v>0</v>
      </c>
      <c r="N283" s="42" t="n">
        <f aca="false">K283-G283</f>
        <v>0</v>
      </c>
      <c r="O283" s="78"/>
      <c r="P283" s="79"/>
      <c r="Q283" s="16" t="str">
        <f aca="false">IF(K283=0,"",IF(R283=1,"Pagada",IF(C283&lt;$F$12,"Vencida",IF(257=$F$13,"Próxima","Pendiente"))))</f>
        <v/>
      </c>
      <c r="R283" s="62" t="n">
        <f aca="false">IF(AND(K283&gt;0,OR(O283="Sí",O283="Si")),1,0)</f>
        <v>0</v>
      </c>
      <c r="S283" s="62" t="n">
        <f aca="false">IF(AND(K283&gt;0,R283=0),1,0)</f>
        <v>0</v>
      </c>
    </row>
    <row r="284" customFormat="false" ht="15" hidden="false" customHeight="false" outlineLevel="0" collapsed="false">
      <c r="B284" s="71" t="str">
        <f aca="false">IF($F$6="Sí",N($C$11)+257,"")</f>
        <v/>
      </c>
      <c r="C284" s="72" t="str">
        <f aca="false">IF(OR($F$6&lt;&gt;"Sí",D284&lt;=0.5),"",EDATE($C$10,257))</f>
        <v/>
      </c>
      <c r="D284" s="41" t="n">
        <f aca="false">MAX(0,M283)</f>
        <v>0</v>
      </c>
      <c r="E284" s="41" t="n">
        <f aca="false">D284*$F$7</f>
        <v>0</v>
      </c>
      <c r="F284" s="41" t="n">
        <f aca="false">IF(D284&gt;0.5,N($C$15),0)</f>
        <v>0</v>
      </c>
      <c r="G284" s="41" t="n">
        <f aca="false">IF(AND(D284&gt;0.5,N($C$19)&gt;0,N(B284)&lt;=N($C$20)),D284*$F$8,0)</f>
        <v>0</v>
      </c>
      <c r="H284" s="41" t="n">
        <f aca="false">IF(D284&lt;=0.5,0,MIN(IF(N(I284)&gt;0,I284,$F$9),D284+E284+F284))</f>
        <v>0</v>
      </c>
      <c r="I284" s="77"/>
      <c r="J284" s="77"/>
      <c r="K284" s="41" t="n">
        <f aca="false">IF(D284&lt;=0.5,0,MIN(H284+N(J284),D284+E284+F284))</f>
        <v>0</v>
      </c>
      <c r="L284" s="41" t="n">
        <f aca="false">K284-E284-F284</f>
        <v>0</v>
      </c>
      <c r="M284" s="41" t="n">
        <f aca="false">D284-L284</f>
        <v>0</v>
      </c>
      <c r="N284" s="42" t="n">
        <f aca="false">K284-G284</f>
        <v>0</v>
      </c>
      <c r="O284" s="78"/>
      <c r="P284" s="79"/>
      <c r="Q284" s="16" t="str">
        <f aca="false">IF(K284=0,"",IF(R284=1,"Pagada",IF(C284&lt;$F$12,"Vencida",IF(258=$F$13,"Próxima","Pendiente"))))</f>
        <v/>
      </c>
      <c r="R284" s="62" t="n">
        <f aca="false">IF(AND(K284&gt;0,OR(O284="Sí",O284="Si")),1,0)</f>
        <v>0</v>
      </c>
      <c r="S284" s="62" t="n">
        <f aca="false">IF(AND(K284&gt;0,R284=0),1,0)</f>
        <v>0</v>
      </c>
    </row>
    <row r="285" customFormat="false" ht="15" hidden="false" customHeight="false" outlineLevel="0" collapsed="false">
      <c r="B285" s="71" t="str">
        <f aca="false">IF($F$6="Sí",N($C$11)+258,"")</f>
        <v/>
      </c>
      <c r="C285" s="72" t="str">
        <f aca="false">IF(OR($F$6&lt;&gt;"Sí",D285&lt;=0.5),"",EDATE($C$10,258))</f>
        <v/>
      </c>
      <c r="D285" s="41" t="n">
        <f aca="false">MAX(0,M284)</f>
        <v>0</v>
      </c>
      <c r="E285" s="41" t="n">
        <f aca="false">D285*$F$7</f>
        <v>0</v>
      </c>
      <c r="F285" s="41" t="n">
        <f aca="false">IF(D285&gt;0.5,N($C$15),0)</f>
        <v>0</v>
      </c>
      <c r="G285" s="41" t="n">
        <f aca="false">IF(AND(D285&gt;0.5,N($C$19)&gt;0,N(B285)&lt;=N($C$20)),D285*$F$8,0)</f>
        <v>0</v>
      </c>
      <c r="H285" s="41" t="n">
        <f aca="false">IF(D285&lt;=0.5,0,MIN(IF(N(I285)&gt;0,I285,$F$9),D285+E285+F285))</f>
        <v>0</v>
      </c>
      <c r="I285" s="77"/>
      <c r="J285" s="77"/>
      <c r="K285" s="41" t="n">
        <f aca="false">IF(D285&lt;=0.5,0,MIN(H285+N(J285),D285+E285+F285))</f>
        <v>0</v>
      </c>
      <c r="L285" s="41" t="n">
        <f aca="false">K285-E285-F285</f>
        <v>0</v>
      </c>
      <c r="M285" s="41" t="n">
        <f aca="false">D285-L285</f>
        <v>0</v>
      </c>
      <c r="N285" s="42" t="n">
        <f aca="false">K285-G285</f>
        <v>0</v>
      </c>
      <c r="O285" s="78"/>
      <c r="P285" s="79"/>
      <c r="Q285" s="16" t="str">
        <f aca="false">IF(K285=0,"",IF(R285=1,"Pagada",IF(C285&lt;$F$12,"Vencida",IF(259=$F$13,"Próxima","Pendiente"))))</f>
        <v/>
      </c>
      <c r="R285" s="62" t="n">
        <f aca="false">IF(AND(K285&gt;0,OR(O285="Sí",O285="Si")),1,0)</f>
        <v>0</v>
      </c>
      <c r="S285" s="62" t="n">
        <f aca="false">IF(AND(K285&gt;0,R285=0),1,0)</f>
        <v>0</v>
      </c>
    </row>
    <row r="286" customFormat="false" ht="15" hidden="false" customHeight="false" outlineLevel="0" collapsed="false">
      <c r="B286" s="71" t="str">
        <f aca="false">IF($F$6="Sí",N($C$11)+259,"")</f>
        <v/>
      </c>
      <c r="C286" s="72" t="str">
        <f aca="false">IF(OR($F$6&lt;&gt;"Sí",D286&lt;=0.5),"",EDATE($C$10,259))</f>
        <v/>
      </c>
      <c r="D286" s="41" t="n">
        <f aca="false">MAX(0,M285)</f>
        <v>0</v>
      </c>
      <c r="E286" s="41" t="n">
        <f aca="false">D286*$F$7</f>
        <v>0</v>
      </c>
      <c r="F286" s="41" t="n">
        <f aca="false">IF(D286&gt;0.5,N($C$15),0)</f>
        <v>0</v>
      </c>
      <c r="G286" s="41" t="n">
        <f aca="false">IF(AND(D286&gt;0.5,N($C$19)&gt;0,N(B286)&lt;=N($C$20)),D286*$F$8,0)</f>
        <v>0</v>
      </c>
      <c r="H286" s="41" t="n">
        <f aca="false">IF(D286&lt;=0.5,0,MIN(IF(N(I286)&gt;0,I286,$F$9),D286+E286+F286))</f>
        <v>0</v>
      </c>
      <c r="I286" s="77"/>
      <c r="J286" s="77"/>
      <c r="K286" s="41" t="n">
        <f aca="false">IF(D286&lt;=0.5,0,MIN(H286+N(J286),D286+E286+F286))</f>
        <v>0</v>
      </c>
      <c r="L286" s="41" t="n">
        <f aca="false">K286-E286-F286</f>
        <v>0</v>
      </c>
      <c r="M286" s="41" t="n">
        <f aca="false">D286-L286</f>
        <v>0</v>
      </c>
      <c r="N286" s="42" t="n">
        <f aca="false">K286-G286</f>
        <v>0</v>
      </c>
      <c r="O286" s="78"/>
      <c r="P286" s="79"/>
      <c r="Q286" s="16" t="str">
        <f aca="false">IF(K286=0,"",IF(R286=1,"Pagada",IF(C286&lt;$F$12,"Vencida",IF(260=$F$13,"Próxima","Pendiente"))))</f>
        <v/>
      </c>
      <c r="R286" s="62" t="n">
        <f aca="false">IF(AND(K286&gt;0,OR(O286="Sí",O286="Si")),1,0)</f>
        <v>0</v>
      </c>
      <c r="S286" s="62" t="n">
        <f aca="false">IF(AND(K286&gt;0,R286=0),1,0)</f>
        <v>0</v>
      </c>
    </row>
    <row r="287" customFormat="false" ht="15" hidden="false" customHeight="false" outlineLevel="0" collapsed="false">
      <c r="B287" s="71" t="str">
        <f aca="false">IF($F$6="Sí",N($C$11)+260,"")</f>
        <v/>
      </c>
      <c r="C287" s="72" t="str">
        <f aca="false">IF(OR($F$6&lt;&gt;"Sí",D287&lt;=0.5),"",EDATE($C$10,260))</f>
        <v/>
      </c>
      <c r="D287" s="41" t="n">
        <f aca="false">MAX(0,M286)</f>
        <v>0</v>
      </c>
      <c r="E287" s="41" t="n">
        <f aca="false">D287*$F$7</f>
        <v>0</v>
      </c>
      <c r="F287" s="41" t="n">
        <f aca="false">IF(D287&gt;0.5,N($C$15),0)</f>
        <v>0</v>
      </c>
      <c r="G287" s="41" t="n">
        <f aca="false">IF(AND(D287&gt;0.5,N($C$19)&gt;0,N(B287)&lt;=N($C$20)),D287*$F$8,0)</f>
        <v>0</v>
      </c>
      <c r="H287" s="41" t="n">
        <f aca="false">IF(D287&lt;=0.5,0,MIN(IF(N(I287)&gt;0,I287,$F$9),D287+E287+F287))</f>
        <v>0</v>
      </c>
      <c r="I287" s="77"/>
      <c r="J287" s="77"/>
      <c r="K287" s="41" t="n">
        <f aca="false">IF(D287&lt;=0.5,0,MIN(H287+N(J287),D287+E287+F287))</f>
        <v>0</v>
      </c>
      <c r="L287" s="41" t="n">
        <f aca="false">K287-E287-F287</f>
        <v>0</v>
      </c>
      <c r="M287" s="41" t="n">
        <f aca="false">D287-L287</f>
        <v>0</v>
      </c>
      <c r="N287" s="42" t="n">
        <f aca="false">K287-G287</f>
        <v>0</v>
      </c>
      <c r="O287" s="78"/>
      <c r="P287" s="79"/>
      <c r="Q287" s="16" t="str">
        <f aca="false">IF(K287=0,"",IF(R287=1,"Pagada",IF(C287&lt;$F$12,"Vencida",IF(261=$F$13,"Próxima","Pendiente"))))</f>
        <v/>
      </c>
      <c r="R287" s="62" t="n">
        <f aca="false">IF(AND(K287&gt;0,OR(O287="Sí",O287="Si")),1,0)</f>
        <v>0</v>
      </c>
      <c r="S287" s="62" t="n">
        <f aca="false">IF(AND(K287&gt;0,R287=0),1,0)</f>
        <v>0</v>
      </c>
    </row>
    <row r="288" customFormat="false" ht="15" hidden="false" customHeight="false" outlineLevel="0" collapsed="false">
      <c r="B288" s="71" t="str">
        <f aca="false">IF($F$6="Sí",N($C$11)+261,"")</f>
        <v/>
      </c>
      <c r="C288" s="72" t="str">
        <f aca="false">IF(OR($F$6&lt;&gt;"Sí",D288&lt;=0.5),"",EDATE($C$10,261))</f>
        <v/>
      </c>
      <c r="D288" s="41" t="n">
        <f aca="false">MAX(0,M287)</f>
        <v>0</v>
      </c>
      <c r="E288" s="41" t="n">
        <f aca="false">D288*$F$7</f>
        <v>0</v>
      </c>
      <c r="F288" s="41" t="n">
        <f aca="false">IF(D288&gt;0.5,N($C$15),0)</f>
        <v>0</v>
      </c>
      <c r="G288" s="41" t="n">
        <f aca="false">IF(AND(D288&gt;0.5,N($C$19)&gt;0,N(B288)&lt;=N($C$20)),D288*$F$8,0)</f>
        <v>0</v>
      </c>
      <c r="H288" s="41" t="n">
        <f aca="false">IF(D288&lt;=0.5,0,MIN(IF(N(I288)&gt;0,I288,$F$9),D288+E288+F288))</f>
        <v>0</v>
      </c>
      <c r="I288" s="77"/>
      <c r="J288" s="77"/>
      <c r="K288" s="41" t="n">
        <f aca="false">IF(D288&lt;=0.5,0,MIN(H288+N(J288),D288+E288+F288))</f>
        <v>0</v>
      </c>
      <c r="L288" s="41" t="n">
        <f aca="false">K288-E288-F288</f>
        <v>0</v>
      </c>
      <c r="M288" s="41" t="n">
        <f aca="false">D288-L288</f>
        <v>0</v>
      </c>
      <c r="N288" s="42" t="n">
        <f aca="false">K288-G288</f>
        <v>0</v>
      </c>
      <c r="O288" s="78"/>
      <c r="P288" s="79"/>
      <c r="Q288" s="16" t="str">
        <f aca="false">IF(K288=0,"",IF(R288=1,"Pagada",IF(C288&lt;$F$12,"Vencida",IF(262=$F$13,"Próxima","Pendiente"))))</f>
        <v/>
      </c>
      <c r="R288" s="62" t="n">
        <f aca="false">IF(AND(K288&gt;0,OR(O288="Sí",O288="Si")),1,0)</f>
        <v>0</v>
      </c>
      <c r="S288" s="62" t="n">
        <f aca="false">IF(AND(K288&gt;0,R288=0),1,0)</f>
        <v>0</v>
      </c>
    </row>
    <row r="289" customFormat="false" ht="15" hidden="false" customHeight="false" outlineLevel="0" collapsed="false">
      <c r="B289" s="71" t="str">
        <f aca="false">IF($F$6="Sí",N($C$11)+262,"")</f>
        <v/>
      </c>
      <c r="C289" s="72" t="str">
        <f aca="false">IF(OR($F$6&lt;&gt;"Sí",D289&lt;=0.5),"",EDATE($C$10,262))</f>
        <v/>
      </c>
      <c r="D289" s="41" t="n">
        <f aca="false">MAX(0,M288)</f>
        <v>0</v>
      </c>
      <c r="E289" s="41" t="n">
        <f aca="false">D289*$F$7</f>
        <v>0</v>
      </c>
      <c r="F289" s="41" t="n">
        <f aca="false">IF(D289&gt;0.5,N($C$15),0)</f>
        <v>0</v>
      </c>
      <c r="G289" s="41" t="n">
        <f aca="false">IF(AND(D289&gt;0.5,N($C$19)&gt;0,N(B289)&lt;=N($C$20)),D289*$F$8,0)</f>
        <v>0</v>
      </c>
      <c r="H289" s="41" t="n">
        <f aca="false">IF(D289&lt;=0.5,0,MIN(IF(N(I289)&gt;0,I289,$F$9),D289+E289+F289))</f>
        <v>0</v>
      </c>
      <c r="I289" s="77"/>
      <c r="J289" s="77"/>
      <c r="K289" s="41" t="n">
        <f aca="false">IF(D289&lt;=0.5,0,MIN(H289+N(J289),D289+E289+F289))</f>
        <v>0</v>
      </c>
      <c r="L289" s="41" t="n">
        <f aca="false">K289-E289-F289</f>
        <v>0</v>
      </c>
      <c r="M289" s="41" t="n">
        <f aca="false">D289-L289</f>
        <v>0</v>
      </c>
      <c r="N289" s="42" t="n">
        <f aca="false">K289-G289</f>
        <v>0</v>
      </c>
      <c r="O289" s="78"/>
      <c r="P289" s="79"/>
      <c r="Q289" s="16" t="str">
        <f aca="false">IF(K289=0,"",IF(R289=1,"Pagada",IF(C289&lt;$F$12,"Vencida",IF(263=$F$13,"Próxima","Pendiente"))))</f>
        <v/>
      </c>
      <c r="R289" s="62" t="n">
        <f aca="false">IF(AND(K289&gt;0,OR(O289="Sí",O289="Si")),1,0)</f>
        <v>0</v>
      </c>
      <c r="S289" s="62" t="n">
        <f aca="false">IF(AND(K289&gt;0,R289=0),1,0)</f>
        <v>0</v>
      </c>
    </row>
    <row r="290" customFormat="false" ht="15" hidden="false" customHeight="false" outlineLevel="0" collapsed="false">
      <c r="B290" s="71" t="str">
        <f aca="false">IF($F$6="Sí",N($C$11)+263,"")</f>
        <v/>
      </c>
      <c r="C290" s="72" t="str">
        <f aca="false">IF(OR($F$6&lt;&gt;"Sí",D290&lt;=0.5),"",EDATE($C$10,263))</f>
        <v/>
      </c>
      <c r="D290" s="41" t="n">
        <f aca="false">MAX(0,M289)</f>
        <v>0</v>
      </c>
      <c r="E290" s="41" t="n">
        <f aca="false">D290*$F$7</f>
        <v>0</v>
      </c>
      <c r="F290" s="41" t="n">
        <f aca="false">IF(D290&gt;0.5,N($C$15),0)</f>
        <v>0</v>
      </c>
      <c r="G290" s="41" t="n">
        <f aca="false">IF(AND(D290&gt;0.5,N($C$19)&gt;0,N(B290)&lt;=N($C$20)),D290*$F$8,0)</f>
        <v>0</v>
      </c>
      <c r="H290" s="41" t="n">
        <f aca="false">IF(D290&lt;=0.5,0,MIN(IF(N(I290)&gt;0,I290,$F$9),D290+E290+F290))</f>
        <v>0</v>
      </c>
      <c r="I290" s="77"/>
      <c r="J290" s="77"/>
      <c r="K290" s="41" t="n">
        <f aca="false">IF(D290&lt;=0.5,0,MIN(H290+N(J290),D290+E290+F290))</f>
        <v>0</v>
      </c>
      <c r="L290" s="41" t="n">
        <f aca="false">K290-E290-F290</f>
        <v>0</v>
      </c>
      <c r="M290" s="41" t="n">
        <f aca="false">D290-L290</f>
        <v>0</v>
      </c>
      <c r="N290" s="42" t="n">
        <f aca="false">K290-G290</f>
        <v>0</v>
      </c>
      <c r="O290" s="78"/>
      <c r="P290" s="79"/>
      <c r="Q290" s="16" t="str">
        <f aca="false">IF(K290=0,"",IF(R290=1,"Pagada",IF(C290&lt;$F$12,"Vencida",IF(264=$F$13,"Próxima","Pendiente"))))</f>
        <v/>
      </c>
      <c r="R290" s="62" t="n">
        <f aca="false">IF(AND(K290&gt;0,OR(O290="Sí",O290="Si")),1,0)</f>
        <v>0</v>
      </c>
      <c r="S290" s="62" t="n">
        <f aca="false">IF(AND(K290&gt;0,R290=0),1,0)</f>
        <v>0</v>
      </c>
    </row>
    <row r="291" customFormat="false" ht="15" hidden="false" customHeight="false" outlineLevel="0" collapsed="false">
      <c r="B291" s="71" t="str">
        <f aca="false">IF($F$6="Sí",N($C$11)+264,"")</f>
        <v/>
      </c>
      <c r="C291" s="72" t="str">
        <f aca="false">IF(OR($F$6&lt;&gt;"Sí",D291&lt;=0.5),"",EDATE($C$10,264))</f>
        <v/>
      </c>
      <c r="D291" s="41" t="n">
        <f aca="false">MAX(0,M290)</f>
        <v>0</v>
      </c>
      <c r="E291" s="41" t="n">
        <f aca="false">D291*$F$7</f>
        <v>0</v>
      </c>
      <c r="F291" s="41" t="n">
        <f aca="false">IF(D291&gt;0.5,N($C$15),0)</f>
        <v>0</v>
      </c>
      <c r="G291" s="41" t="n">
        <f aca="false">IF(AND(D291&gt;0.5,N($C$19)&gt;0,N(B291)&lt;=N($C$20)),D291*$F$8,0)</f>
        <v>0</v>
      </c>
      <c r="H291" s="41" t="n">
        <f aca="false">IF(D291&lt;=0.5,0,MIN(IF(N(I291)&gt;0,I291,$F$9),D291+E291+F291))</f>
        <v>0</v>
      </c>
      <c r="I291" s="77"/>
      <c r="J291" s="77"/>
      <c r="K291" s="41" t="n">
        <f aca="false">IF(D291&lt;=0.5,0,MIN(H291+N(J291),D291+E291+F291))</f>
        <v>0</v>
      </c>
      <c r="L291" s="41" t="n">
        <f aca="false">K291-E291-F291</f>
        <v>0</v>
      </c>
      <c r="M291" s="41" t="n">
        <f aca="false">D291-L291</f>
        <v>0</v>
      </c>
      <c r="N291" s="42" t="n">
        <f aca="false">K291-G291</f>
        <v>0</v>
      </c>
      <c r="O291" s="78"/>
      <c r="P291" s="79"/>
      <c r="Q291" s="16" t="str">
        <f aca="false">IF(K291=0,"",IF(R291=1,"Pagada",IF(C291&lt;$F$12,"Vencida",IF(265=$F$13,"Próxima","Pendiente"))))</f>
        <v/>
      </c>
      <c r="R291" s="62" t="n">
        <f aca="false">IF(AND(K291&gt;0,OR(O291="Sí",O291="Si")),1,0)</f>
        <v>0</v>
      </c>
      <c r="S291" s="62" t="n">
        <f aca="false">IF(AND(K291&gt;0,R291=0),1,0)</f>
        <v>0</v>
      </c>
    </row>
    <row r="292" customFormat="false" ht="15" hidden="false" customHeight="false" outlineLevel="0" collapsed="false">
      <c r="B292" s="71" t="str">
        <f aca="false">IF($F$6="Sí",N($C$11)+265,"")</f>
        <v/>
      </c>
      <c r="C292" s="72" t="str">
        <f aca="false">IF(OR($F$6&lt;&gt;"Sí",D292&lt;=0.5),"",EDATE($C$10,265))</f>
        <v/>
      </c>
      <c r="D292" s="41" t="n">
        <f aca="false">MAX(0,M291)</f>
        <v>0</v>
      </c>
      <c r="E292" s="41" t="n">
        <f aca="false">D292*$F$7</f>
        <v>0</v>
      </c>
      <c r="F292" s="41" t="n">
        <f aca="false">IF(D292&gt;0.5,N($C$15),0)</f>
        <v>0</v>
      </c>
      <c r="G292" s="41" t="n">
        <f aca="false">IF(AND(D292&gt;0.5,N($C$19)&gt;0,N(B292)&lt;=N($C$20)),D292*$F$8,0)</f>
        <v>0</v>
      </c>
      <c r="H292" s="41" t="n">
        <f aca="false">IF(D292&lt;=0.5,0,MIN(IF(N(I292)&gt;0,I292,$F$9),D292+E292+F292))</f>
        <v>0</v>
      </c>
      <c r="I292" s="77"/>
      <c r="J292" s="77"/>
      <c r="K292" s="41" t="n">
        <f aca="false">IF(D292&lt;=0.5,0,MIN(H292+N(J292),D292+E292+F292))</f>
        <v>0</v>
      </c>
      <c r="L292" s="41" t="n">
        <f aca="false">K292-E292-F292</f>
        <v>0</v>
      </c>
      <c r="M292" s="41" t="n">
        <f aca="false">D292-L292</f>
        <v>0</v>
      </c>
      <c r="N292" s="42" t="n">
        <f aca="false">K292-G292</f>
        <v>0</v>
      </c>
      <c r="O292" s="78"/>
      <c r="P292" s="79"/>
      <c r="Q292" s="16" t="str">
        <f aca="false">IF(K292=0,"",IF(R292=1,"Pagada",IF(C292&lt;$F$12,"Vencida",IF(266=$F$13,"Próxima","Pendiente"))))</f>
        <v/>
      </c>
      <c r="R292" s="62" t="n">
        <f aca="false">IF(AND(K292&gt;0,OR(O292="Sí",O292="Si")),1,0)</f>
        <v>0</v>
      </c>
      <c r="S292" s="62" t="n">
        <f aca="false">IF(AND(K292&gt;0,R292=0),1,0)</f>
        <v>0</v>
      </c>
    </row>
    <row r="293" customFormat="false" ht="15" hidden="false" customHeight="false" outlineLevel="0" collapsed="false">
      <c r="B293" s="71" t="str">
        <f aca="false">IF($F$6="Sí",N($C$11)+266,"")</f>
        <v/>
      </c>
      <c r="C293" s="72" t="str">
        <f aca="false">IF(OR($F$6&lt;&gt;"Sí",D293&lt;=0.5),"",EDATE($C$10,266))</f>
        <v/>
      </c>
      <c r="D293" s="41" t="n">
        <f aca="false">MAX(0,M292)</f>
        <v>0</v>
      </c>
      <c r="E293" s="41" t="n">
        <f aca="false">D293*$F$7</f>
        <v>0</v>
      </c>
      <c r="F293" s="41" t="n">
        <f aca="false">IF(D293&gt;0.5,N($C$15),0)</f>
        <v>0</v>
      </c>
      <c r="G293" s="41" t="n">
        <f aca="false">IF(AND(D293&gt;0.5,N($C$19)&gt;0,N(B293)&lt;=N($C$20)),D293*$F$8,0)</f>
        <v>0</v>
      </c>
      <c r="H293" s="41" t="n">
        <f aca="false">IF(D293&lt;=0.5,0,MIN(IF(N(I293)&gt;0,I293,$F$9),D293+E293+F293))</f>
        <v>0</v>
      </c>
      <c r="I293" s="77"/>
      <c r="J293" s="77"/>
      <c r="K293" s="41" t="n">
        <f aca="false">IF(D293&lt;=0.5,0,MIN(H293+N(J293),D293+E293+F293))</f>
        <v>0</v>
      </c>
      <c r="L293" s="41" t="n">
        <f aca="false">K293-E293-F293</f>
        <v>0</v>
      </c>
      <c r="M293" s="41" t="n">
        <f aca="false">D293-L293</f>
        <v>0</v>
      </c>
      <c r="N293" s="42" t="n">
        <f aca="false">K293-G293</f>
        <v>0</v>
      </c>
      <c r="O293" s="78"/>
      <c r="P293" s="79"/>
      <c r="Q293" s="16" t="str">
        <f aca="false">IF(K293=0,"",IF(R293=1,"Pagada",IF(C293&lt;$F$12,"Vencida",IF(267=$F$13,"Próxima","Pendiente"))))</f>
        <v/>
      </c>
      <c r="R293" s="62" t="n">
        <f aca="false">IF(AND(K293&gt;0,OR(O293="Sí",O293="Si")),1,0)</f>
        <v>0</v>
      </c>
      <c r="S293" s="62" t="n">
        <f aca="false">IF(AND(K293&gt;0,R293=0),1,0)</f>
        <v>0</v>
      </c>
    </row>
    <row r="294" customFormat="false" ht="15" hidden="false" customHeight="false" outlineLevel="0" collapsed="false">
      <c r="B294" s="71" t="str">
        <f aca="false">IF($F$6="Sí",N($C$11)+267,"")</f>
        <v/>
      </c>
      <c r="C294" s="72" t="str">
        <f aca="false">IF(OR($F$6&lt;&gt;"Sí",D294&lt;=0.5),"",EDATE($C$10,267))</f>
        <v/>
      </c>
      <c r="D294" s="41" t="n">
        <f aca="false">MAX(0,M293)</f>
        <v>0</v>
      </c>
      <c r="E294" s="41" t="n">
        <f aca="false">D294*$F$7</f>
        <v>0</v>
      </c>
      <c r="F294" s="41" t="n">
        <f aca="false">IF(D294&gt;0.5,N($C$15),0)</f>
        <v>0</v>
      </c>
      <c r="G294" s="41" t="n">
        <f aca="false">IF(AND(D294&gt;0.5,N($C$19)&gt;0,N(B294)&lt;=N($C$20)),D294*$F$8,0)</f>
        <v>0</v>
      </c>
      <c r="H294" s="41" t="n">
        <f aca="false">IF(D294&lt;=0.5,0,MIN(IF(N(I294)&gt;0,I294,$F$9),D294+E294+F294))</f>
        <v>0</v>
      </c>
      <c r="I294" s="77"/>
      <c r="J294" s="77"/>
      <c r="K294" s="41" t="n">
        <f aca="false">IF(D294&lt;=0.5,0,MIN(H294+N(J294),D294+E294+F294))</f>
        <v>0</v>
      </c>
      <c r="L294" s="41" t="n">
        <f aca="false">K294-E294-F294</f>
        <v>0</v>
      </c>
      <c r="M294" s="41" t="n">
        <f aca="false">D294-L294</f>
        <v>0</v>
      </c>
      <c r="N294" s="42" t="n">
        <f aca="false">K294-G294</f>
        <v>0</v>
      </c>
      <c r="O294" s="78"/>
      <c r="P294" s="79"/>
      <c r="Q294" s="16" t="str">
        <f aca="false">IF(K294=0,"",IF(R294=1,"Pagada",IF(C294&lt;$F$12,"Vencida",IF(268=$F$13,"Próxima","Pendiente"))))</f>
        <v/>
      </c>
      <c r="R294" s="62" t="n">
        <f aca="false">IF(AND(K294&gt;0,OR(O294="Sí",O294="Si")),1,0)</f>
        <v>0</v>
      </c>
      <c r="S294" s="62" t="n">
        <f aca="false">IF(AND(K294&gt;0,R294=0),1,0)</f>
        <v>0</v>
      </c>
    </row>
    <row r="295" customFormat="false" ht="15" hidden="false" customHeight="false" outlineLevel="0" collapsed="false">
      <c r="B295" s="71" t="str">
        <f aca="false">IF($F$6="Sí",N($C$11)+268,"")</f>
        <v/>
      </c>
      <c r="C295" s="72" t="str">
        <f aca="false">IF(OR($F$6&lt;&gt;"Sí",D295&lt;=0.5),"",EDATE($C$10,268))</f>
        <v/>
      </c>
      <c r="D295" s="41" t="n">
        <f aca="false">MAX(0,M294)</f>
        <v>0</v>
      </c>
      <c r="E295" s="41" t="n">
        <f aca="false">D295*$F$7</f>
        <v>0</v>
      </c>
      <c r="F295" s="41" t="n">
        <f aca="false">IF(D295&gt;0.5,N($C$15),0)</f>
        <v>0</v>
      </c>
      <c r="G295" s="41" t="n">
        <f aca="false">IF(AND(D295&gt;0.5,N($C$19)&gt;0,N(B295)&lt;=N($C$20)),D295*$F$8,0)</f>
        <v>0</v>
      </c>
      <c r="H295" s="41" t="n">
        <f aca="false">IF(D295&lt;=0.5,0,MIN(IF(N(I295)&gt;0,I295,$F$9),D295+E295+F295))</f>
        <v>0</v>
      </c>
      <c r="I295" s="77"/>
      <c r="J295" s="77"/>
      <c r="K295" s="41" t="n">
        <f aca="false">IF(D295&lt;=0.5,0,MIN(H295+N(J295),D295+E295+F295))</f>
        <v>0</v>
      </c>
      <c r="L295" s="41" t="n">
        <f aca="false">K295-E295-F295</f>
        <v>0</v>
      </c>
      <c r="M295" s="41" t="n">
        <f aca="false">D295-L295</f>
        <v>0</v>
      </c>
      <c r="N295" s="42" t="n">
        <f aca="false">K295-G295</f>
        <v>0</v>
      </c>
      <c r="O295" s="78"/>
      <c r="P295" s="79"/>
      <c r="Q295" s="16" t="str">
        <f aca="false">IF(K295=0,"",IF(R295=1,"Pagada",IF(C295&lt;$F$12,"Vencida",IF(269=$F$13,"Próxima","Pendiente"))))</f>
        <v/>
      </c>
      <c r="R295" s="62" t="n">
        <f aca="false">IF(AND(K295&gt;0,OR(O295="Sí",O295="Si")),1,0)</f>
        <v>0</v>
      </c>
      <c r="S295" s="62" t="n">
        <f aca="false">IF(AND(K295&gt;0,R295=0),1,0)</f>
        <v>0</v>
      </c>
    </row>
    <row r="296" customFormat="false" ht="15" hidden="false" customHeight="false" outlineLevel="0" collapsed="false">
      <c r="B296" s="71" t="str">
        <f aca="false">IF($F$6="Sí",N($C$11)+269,"")</f>
        <v/>
      </c>
      <c r="C296" s="72" t="str">
        <f aca="false">IF(OR($F$6&lt;&gt;"Sí",D296&lt;=0.5),"",EDATE($C$10,269))</f>
        <v/>
      </c>
      <c r="D296" s="41" t="n">
        <f aca="false">MAX(0,M295)</f>
        <v>0</v>
      </c>
      <c r="E296" s="41" t="n">
        <f aca="false">D296*$F$7</f>
        <v>0</v>
      </c>
      <c r="F296" s="41" t="n">
        <f aca="false">IF(D296&gt;0.5,N($C$15),0)</f>
        <v>0</v>
      </c>
      <c r="G296" s="41" t="n">
        <f aca="false">IF(AND(D296&gt;0.5,N($C$19)&gt;0,N(B296)&lt;=N($C$20)),D296*$F$8,0)</f>
        <v>0</v>
      </c>
      <c r="H296" s="41" t="n">
        <f aca="false">IF(D296&lt;=0.5,0,MIN(IF(N(I296)&gt;0,I296,$F$9),D296+E296+F296))</f>
        <v>0</v>
      </c>
      <c r="I296" s="77"/>
      <c r="J296" s="77"/>
      <c r="K296" s="41" t="n">
        <f aca="false">IF(D296&lt;=0.5,0,MIN(H296+N(J296),D296+E296+F296))</f>
        <v>0</v>
      </c>
      <c r="L296" s="41" t="n">
        <f aca="false">K296-E296-F296</f>
        <v>0</v>
      </c>
      <c r="M296" s="41" t="n">
        <f aca="false">D296-L296</f>
        <v>0</v>
      </c>
      <c r="N296" s="42" t="n">
        <f aca="false">K296-G296</f>
        <v>0</v>
      </c>
      <c r="O296" s="78"/>
      <c r="P296" s="79"/>
      <c r="Q296" s="16" t="str">
        <f aca="false">IF(K296=0,"",IF(R296=1,"Pagada",IF(C296&lt;$F$12,"Vencida",IF(270=$F$13,"Próxima","Pendiente"))))</f>
        <v/>
      </c>
      <c r="R296" s="62" t="n">
        <f aca="false">IF(AND(K296&gt;0,OR(O296="Sí",O296="Si")),1,0)</f>
        <v>0</v>
      </c>
      <c r="S296" s="62" t="n">
        <f aca="false">IF(AND(K296&gt;0,R296=0),1,0)</f>
        <v>0</v>
      </c>
    </row>
    <row r="297" customFormat="false" ht="15" hidden="false" customHeight="false" outlineLevel="0" collapsed="false">
      <c r="B297" s="71" t="str">
        <f aca="false">IF($F$6="Sí",N($C$11)+270,"")</f>
        <v/>
      </c>
      <c r="C297" s="72" t="str">
        <f aca="false">IF(OR($F$6&lt;&gt;"Sí",D297&lt;=0.5),"",EDATE($C$10,270))</f>
        <v/>
      </c>
      <c r="D297" s="41" t="n">
        <f aca="false">MAX(0,M296)</f>
        <v>0</v>
      </c>
      <c r="E297" s="41" t="n">
        <f aca="false">D297*$F$7</f>
        <v>0</v>
      </c>
      <c r="F297" s="41" t="n">
        <f aca="false">IF(D297&gt;0.5,N($C$15),0)</f>
        <v>0</v>
      </c>
      <c r="G297" s="41" t="n">
        <f aca="false">IF(AND(D297&gt;0.5,N($C$19)&gt;0,N(B297)&lt;=N($C$20)),D297*$F$8,0)</f>
        <v>0</v>
      </c>
      <c r="H297" s="41" t="n">
        <f aca="false">IF(D297&lt;=0.5,0,MIN(IF(N(I297)&gt;0,I297,$F$9),D297+E297+F297))</f>
        <v>0</v>
      </c>
      <c r="I297" s="77"/>
      <c r="J297" s="77"/>
      <c r="K297" s="41" t="n">
        <f aca="false">IF(D297&lt;=0.5,0,MIN(H297+N(J297),D297+E297+F297))</f>
        <v>0</v>
      </c>
      <c r="L297" s="41" t="n">
        <f aca="false">K297-E297-F297</f>
        <v>0</v>
      </c>
      <c r="M297" s="41" t="n">
        <f aca="false">D297-L297</f>
        <v>0</v>
      </c>
      <c r="N297" s="42" t="n">
        <f aca="false">K297-G297</f>
        <v>0</v>
      </c>
      <c r="O297" s="78"/>
      <c r="P297" s="79"/>
      <c r="Q297" s="16" t="str">
        <f aca="false">IF(K297=0,"",IF(R297=1,"Pagada",IF(C297&lt;$F$12,"Vencida",IF(271=$F$13,"Próxima","Pendiente"))))</f>
        <v/>
      </c>
      <c r="R297" s="62" t="n">
        <f aca="false">IF(AND(K297&gt;0,OR(O297="Sí",O297="Si")),1,0)</f>
        <v>0</v>
      </c>
      <c r="S297" s="62" t="n">
        <f aca="false">IF(AND(K297&gt;0,R297=0),1,0)</f>
        <v>0</v>
      </c>
    </row>
    <row r="298" customFormat="false" ht="15" hidden="false" customHeight="false" outlineLevel="0" collapsed="false">
      <c r="B298" s="71" t="str">
        <f aca="false">IF($F$6="Sí",N($C$11)+271,"")</f>
        <v/>
      </c>
      <c r="C298" s="72" t="str">
        <f aca="false">IF(OR($F$6&lt;&gt;"Sí",D298&lt;=0.5),"",EDATE($C$10,271))</f>
        <v/>
      </c>
      <c r="D298" s="41" t="n">
        <f aca="false">MAX(0,M297)</f>
        <v>0</v>
      </c>
      <c r="E298" s="41" t="n">
        <f aca="false">D298*$F$7</f>
        <v>0</v>
      </c>
      <c r="F298" s="41" t="n">
        <f aca="false">IF(D298&gt;0.5,N($C$15),0)</f>
        <v>0</v>
      </c>
      <c r="G298" s="41" t="n">
        <f aca="false">IF(AND(D298&gt;0.5,N($C$19)&gt;0,N(B298)&lt;=N($C$20)),D298*$F$8,0)</f>
        <v>0</v>
      </c>
      <c r="H298" s="41" t="n">
        <f aca="false">IF(D298&lt;=0.5,0,MIN(IF(N(I298)&gt;0,I298,$F$9),D298+E298+F298))</f>
        <v>0</v>
      </c>
      <c r="I298" s="77"/>
      <c r="J298" s="77"/>
      <c r="K298" s="41" t="n">
        <f aca="false">IF(D298&lt;=0.5,0,MIN(H298+N(J298),D298+E298+F298))</f>
        <v>0</v>
      </c>
      <c r="L298" s="41" t="n">
        <f aca="false">K298-E298-F298</f>
        <v>0</v>
      </c>
      <c r="M298" s="41" t="n">
        <f aca="false">D298-L298</f>
        <v>0</v>
      </c>
      <c r="N298" s="42" t="n">
        <f aca="false">K298-G298</f>
        <v>0</v>
      </c>
      <c r="O298" s="78"/>
      <c r="P298" s="79"/>
      <c r="Q298" s="16" t="str">
        <f aca="false">IF(K298=0,"",IF(R298=1,"Pagada",IF(C298&lt;$F$12,"Vencida",IF(272=$F$13,"Próxima","Pendiente"))))</f>
        <v/>
      </c>
      <c r="R298" s="62" t="n">
        <f aca="false">IF(AND(K298&gt;0,OR(O298="Sí",O298="Si")),1,0)</f>
        <v>0</v>
      </c>
      <c r="S298" s="62" t="n">
        <f aca="false">IF(AND(K298&gt;0,R298=0),1,0)</f>
        <v>0</v>
      </c>
    </row>
    <row r="299" customFormat="false" ht="15" hidden="false" customHeight="false" outlineLevel="0" collapsed="false">
      <c r="B299" s="71" t="str">
        <f aca="false">IF($F$6="Sí",N($C$11)+272,"")</f>
        <v/>
      </c>
      <c r="C299" s="72" t="str">
        <f aca="false">IF(OR($F$6&lt;&gt;"Sí",D299&lt;=0.5),"",EDATE($C$10,272))</f>
        <v/>
      </c>
      <c r="D299" s="41" t="n">
        <f aca="false">MAX(0,M298)</f>
        <v>0</v>
      </c>
      <c r="E299" s="41" t="n">
        <f aca="false">D299*$F$7</f>
        <v>0</v>
      </c>
      <c r="F299" s="41" t="n">
        <f aca="false">IF(D299&gt;0.5,N($C$15),0)</f>
        <v>0</v>
      </c>
      <c r="G299" s="41" t="n">
        <f aca="false">IF(AND(D299&gt;0.5,N($C$19)&gt;0,N(B299)&lt;=N($C$20)),D299*$F$8,0)</f>
        <v>0</v>
      </c>
      <c r="H299" s="41" t="n">
        <f aca="false">IF(D299&lt;=0.5,0,MIN(IF(N(I299)&gt;0,I299,$F$9),D299+E299+F299))</f>
        <v>0</v>
      </c>
      <c r="I299" s="77"/>
      <c r="J299" s="77"/>
      <c r="K299" s="41" t="n">
        <f aca="false">IF(D299&lt;=0.5,0,MIN(H299+N(J299),D299+E299+F299))</f>
        <v>0</v>
      </c>
      <c r="L299" s="41" t="n">
        <f aca="false">K299-E299-F299</f>
        <v>0</v>
      </c>
      <c r="M299" s="41" t="n">
        <f aca="false">D299-L299</f>
        <v>0</v>
      </c>
      <c r="N299" s="42" t="n">
        <f aca="false">K299-G299</f>
        <v>0</v>
      </c>
      <c r="O299" s="78"/>
      <c r="P299" s="79"/>
      <c r="Q299" s="16" t="str">
        <f aca="false">IF(K299=0,"",IF(R299=1,"Pagada",IF(C299&lt;$F$12,"Vencida",IF(273=$F$13,"Próxima","Pendiente"))))</f>
        <v/>
      </c>
      <c r="R299" s="62" t="n">
        <f aca="false">IF(AND(K299&gt;0,OR(O299="Sí",O299="Si")),1,0)</f>
        <v>0</v>
      </c>
      <c r="S299" s="62" t="n">
        <f aca="false">IF(AND(K299&gt;0,R299=0),1,0)</f>
        <v>0</v>
      </c>
    </row>
    <row r="300" customFormat="false" ht="15" hidden="false" customHeight="false" outlineLevel="0" collapsed="false">
      <c r="B300" s="71" t="str">
        <f aca="false">IF($F$6="Sí",N($C$11)+273,"")</f>
        <v/>
      </c>
      <c r="C300" s="72" t="str">
        <f aca="false">IF(OR($F$6&lt;&gt;"Sí",D300&lt;=0.5),"",EDATE($C$10,273))</f>
        <v/>
      </c>
      <c r="D300" s="41" t="n">
        <f aca="false">MAX(0,M299)</f>
        <v>0</v>
      </c>
      <c r="E300" s="41" t="n">
        <f aca="false">D300*$F$7</f>
        <v>0</v>
      </c>
      <c r="F300" s="41" t="n">
        <f aca="false">IF(D300&gt;0.5,N($C$15),0)</f>
        <v>0</v>
      </c>
      <c r="G300" s="41" t="n">
        <f aca="false">IF(AND(D300&gt;0.5,N($C$19)&gt;0,N(B300)&lt;=N($C$20)),D300*$F$8,0)</f>
        <v>0</v>
      </c>
      <c r="H300" s="41" t="n">
        <f aca="false">IF(D300&lt;=0.5,0,MIN(IF(N(I300)&gt;0,I300,$F$9),D300+E300+F300))</f>
        <v>0</v>
      </c>
      <c r="I300" s="77"/>
      <c r="J300" s="77"/>
      <c r="K300" s="41" t="n">
        <f aca="false">IF(D300&lt;=0.5,0,MIN(H300+N(J300),D300+E300+F300))</f>
        <v>0</v>
      </c>
      <c r="L300" s="41" t="n">
        <f aca="false">K300-E300-F300</f>
        <v>0</v>
      </c>
      <c r="M300" s="41" t="n">
        <f aca="false">D300-L300</f>
        <v>0</v>
      </c>
      <c r="N300" s="42" t="n">
        <f aca="false">K300-G300</f>
        <v>0</v>
      </c>
      <c r="O300" s="78"/>
      <c r="P300" s="79"/>
      <c r="Q300" s="16" t="str">
        <f aca="false">IF(K300=0,"",IF(R300=1,"Pagada",IF(C300&lt;$F$12,"Vencida",IF(274=$F$13,"Próxima","Pendiente"))))</f>
        <v/>
      </c>
      <c r="R300" s="62" t="n">
        <f aca="false">IF(AND(K300&gt;0,OR(O300="Sí",O300="Si")),1,0)</f>
        <v>0</v>
      </c>
      <c r="S300" s="62" t="n">
        <f aca="false">IF(AND(K300&gt;0,R300=0),1,0)</f>
        <v>0</v>
      </c>
    </row>
    <row r="301" customFormat="false" ht="15" hidden="false" customHeight="false" outlineLevel="0" collapsed="false">
      <c r="B301" s="71" t="str">
        <f aca="false">IF($F$6="Sí",N($C$11)+274,"")</f>
        <v/>
      </c>
      <c r="C301" s="72" t="str">
        <f aca="false">IF(OR($F$6&lt;&gt;"Sí",D301&lt;=0.5),"",EDATE($C$10,274))</f>
        <v/>
      </c>
      <c r="D301" s="41" t="n">
        <f aca="false">MAX(0,M300)</f>
        <v>0</v>
      </c>
      <c r="E301" s="41" t="n">
        <f aca="false">D301*$F$7</f>
        <v>0</v>
      </c>
      <c r="F301" s="41" t="n">
        <f aca="false">IF(D301&gt;0.5,N($C$15),0)</f>
        <v>0</v>
      </c>
      <c r="G301" s="41" t="n">
        <f aca="false">IF(AND(D301&gt;0.5,N($C$19)&gt;0,N(B301)&lt;=N($C$20)),D301*$F$8,0)</f>
        <v>0</v>
      </c>
      <c r="H301" s="41" t="n">
        <f aca="false">IF(D301&lt;=0.5,0,MIN(IF(N(I301)&gt;0,I301,$F$9),D301+E301+F301))</f>
        <v>0</v>
      </c>
      <c r="I301" s="77"/>
      <c r="J301" s="77"/>
      <c r="K301" s="41" t="n">
        <f aca="false">IF(D301&lt;=0.5,0,MIN(H301+N(J301),D301+E301+F301))</f>
        <v>0</v>
      </c>
      <c r="L301" s="41" t="n">
        <f aca="false">K301-E301-F301</f>
        <v>0</v>
      </c>
      <c r="M301" s="41" t="n">
        <f aca="false">D301-L301</f>
        <v>0</v>
      </c>
      <c r="N301" s="42" t="n">
        <f aca="false">K301-G301</f>
        <v>0</v>
      </c>
      <c r="O301" s="78"/>
      <c r="P301" s="79"/>
      <c r="Q301" s="16" t="str">
        <f aca="false">IF(K301=0,"",IF(R301=1,"Pagada",IF(C301&lt;$F$12,"Vencida",IF(275=$F$13,"Próxima","Pendiente"))))</f>
        <v/>
      </c>
      <c r="R301" s="62" t="n">
        <f aca="false">IF(AND(K301&gt;0,OR(O301="Sí",O301="Si")),1,0)</f>
        <v>0</v>
      </c>
      <c r="S301" s="62" t="n">
        <f aca="false">IF(AND(K301&gt;0,R301=0),1,0)</f>
        <v>0</v>
      </c>
    </row>
    <row r="302" customFormat="false" ht="15" hidden="false" customHeight="false" outlineLevel="0" collapsed="false">
      <c r="B302" s="71" t="str">
        <f aca="false">IF($F$6="Sí",N($C$11)+275,"")</f>
        <v/>
      </c>
      <c r="C302" s="72" t="str">
        <f aca="false">IF(OR($F$6&lt;&gt;"Sí",D302&lt;=0.5),"",EDATE($C$10,275))</f>
        <v/>
      </c>
      <c r="D302" s="41" t="n">
        <f aca="false">MAX(0,M301)</f>
        <v>0</v>
      </c>
      <c r="E302" s="41" t="n">
        <f aca="false">D302*$F$7</f>
        <v>0</v>
      </c>
      <c r="F302" s="41" t="n">
        <f aca="false">IF(D302&gt;0.5,N($C$15),0)</f>
        <v>0</v>
      </c>
      <c r="G302" s="41" t="n">
        <f aca="false">IF(AND(D302&gt;0.5,N($C$19)&gt;0,N(B302)&lt;=N($C$20)),D302*$F$8,0)</f>
        <v>0</v>
      </c>
      <c r="H302" s="41" t="n">
        <f aca="false">IF(D302&lt;=0.5,0,MIN(IF(N(I302)&gt;0,I302,$F$9),D302+E302+F302))</f>
        <v>0</v>
      </c>
      <c r="I302" s="77"/>
      <c r="J302" s="77"/>
      <c r="K302" s="41" t="n">
        <f aca="false">IF(D302&lt;=0.5,0,MIN(H302+N(J302),D302+E302+F302))</f>
        <v>0</v>
      </c>
      <c r="L302" s="41" t="n">
        <f aca="false">K302-E302-F302</f>
        <v>0</v>
      </c>
      <c r="M302" s="41" t="n">
        <f aca="false">D302-L302</f>
        <v>0</v>
      </c>
      <c r="N302" s="42" t="n">
        <f aca="false">K302-G302</f>
        <v>0</v>
      </c>
      <c r="O302" s="78"/>
      <c r="P302" s="79"/>
      <c r="Q302" s="16" t="str">
        <f aca="false">IF(K302=0,"",IF(R302=1,"Pagada",IF(C302&lt;$F$12,"Vencida",IF(276=$F$13,"Próxima","Pendiente"))))</f>
        <v/>
      </c>
      <c r="R302" s="62" t="n">
        <f aca="false">IF(AND(K302&gt;0,OR(O302="Sí",O302="Si")),1,0)</f>
        <v>0</v>
      </c>
      <c r="S302" s="62" t="n">
        <f aca="false">IF(AND(K302&gt;0,R302=0),1,0)</f>
        <v>0</v>
      </c>
    </row>
    <row r="303" customFormat="false" ht="15" hidden="false" customHeight="false" outlineLevel="0" collapsed="false">
      <c r="B303" s="71" t="str">
        <f aca="false">IF($F$6="Sí",N($C$11)+276,"")</f>
        <v/>
      </c>
      <c r="C303" s="72" t="str">
        <f aca="false">IF(OR($F$6&lt;&gt;"Sí",D303&lt;=0.5),"",EDATE($C$10,276))</f>
        <v/>
      </c>
      <c r="D303" s="41" t="n">
        <f aca="false">MAX(0,M302)</f>
        <v>0</v>
      </c>
      <c r="E303" s="41" t="n">
        <f aca="false">D303*$F$7</f>
        <v>0</v>
      </c>
      <c r="F303" s="41" t="n">
        <f aca="false">IF(D303&gt;0.5,N($C$15),0)</f>
        <v>0</v>
      </c>
      <c r="G303" s="41" t="n">
        <f aca="false">IF(AND(D303&gt;0.5,N($C$19)&gt;0,N(B303)&lt;=N($C$20)),D303*$F$8,0)</f>
        <v>0</v>
      </c>
      <c r="H303" s="41" t="n">
        <f aca="false">IF(D303&lt;=0.5,0,MIN(IF(N(I303)&gt;0,I303,$F$9),D303+E303+F303))</f>
        <v>0</v>
      </c>
      <c r="I303" s="77"/>
      <c r="J303" s="77"/>
      <c r="K303" s="41" t="n">
        <f aca="false">IF(D303&lt;=0.5,0,MIN(H303+N(J303),D303+E303+F303))</f>
        <v>0</v>
      </c>
      <c r="L303" s="41" t="n">
        <f aca="false">K303-E303-F303</f>
        <v>0</v>
      </c>
      <c r="M303" s="41" t="n">
        <f aca="false">D303-L303</f>
        <v>0</v>
      </c>
      <c r="N303" s="42" t="n">
        <f aca="false">K303-G303</f>
        <v>0</v>
      </c>
      <c r="O303" s="78"/>
      <c r="P303" s="79"/>
      <c r="Q303" s="16" t="str">
        <f aca="false">IF(K303=0,"",IF(R303=1,"Pagada",IF(C303&lt;$F$12,"Vencida",IF(277=$F$13,"Próxima","Pendiente"))))</f>
        <v/>
      </c>
      <c r="R303" s="62" t="n">
        <f aca="false">IF(AND(K303&gt;0,OR(O303="Sí",O303="Si")),1,0)</f>
        <v>0</v>
      </c>
      <c r="S303" s="62" t="n">
        <f aca="false">IF(AND(K303&gt;0,R303=0),1,0)</f>
        <v>0</v>
      </c>
    </row>
    <row r="304" customFormat="false" ht="15" hidden="false" customHeight="false" outlineLevel="0" collapsed="false">
      <c r="B304" s="71" t="str">
        <f aca="false">IF($F$6="Sí",N($C$11)+277,"")</f>
        <v/>
      </c>
      <c r="C304" s="72" t="str">
        <f aca="false">IF(OR($F$6&lt;&gt;"Sí",D304&lt;=0.5),"",EDATE($C$10,277))</f>
        <v/>
      </c>
      <c r="D304" s="41" t="n">
        <f aca="false">MAX(0,M303)</f>
        <v>0</v>
      </c>
      <c r="E304" s="41" t="n">
        <f aca="false">D304*$F$7</f>
        <v>0</v>
      </c>
      <c r="F304" s="41" t="n">
        <f aca="false">IF(D304&gt;0.5,N($C$15),0)</f>
        <v>0</v>
      </c>
      <c r="G304" s="41" t="n">
        <f aca="false">IF(AND(D304&gt;0.5,N($C$19)&gt;0,N(B304)&lt;=N($C$20)),D304*$F$8,0)</f>
        <v>0</v>
      </c>
      <c r="H304" s="41" t="n">
        <f aca="false">IF(D304&lt;=0.5,0,MIN(IF(N(I304)&gt;0,I304,$F$9),D304+E304+F304))</f>
        <v>0</v>
      </c>
      <c r="I304" s="77"/>
      <c r="J304" s="77"/>
      <c r="K304" s="41" t="n">
        <f aca="false">IF(D304&lt;=0.5,0,MIN(H304+N(J304),D304+E304+F304))</f>
        <v>0</v>
      </c>
      <c r="L304" s="41" t="n">
        <f aca="false">K304-E304-F304</f>
        <v>0</v>
      </c>
      <c r="M304" s="41" t="n">
        <f aca="false">D304-L304</f>
        <v>0</v>
      </c>
      <c r="N304" s="42" t="n">
        <f aca="false">K304-G304</f>
        <v>0</v>
      </c>
      <c r="O304" s="78"/>
      <c r="P304" s="79"/>
      <c r="Q304" s="16" t="str">
        <f aca="false">IF(K304=0,"",IF(R304=1,"Pagada",IF(C304&lt;$F$12,"Vencida",IF(278=$F$13,"Próxima","Pendiente"))))</f>
        <v/>
      </c>
      <c r="R304" s="62" t="n">
        <f aca="false">IF(AND(K304&gt;0,OR(O304="Sí",O304="Si")),1,0)</f>
        <v>0</v>
      </c>
      <c r="S304" s="62" t="n">
        <f aca="false">IF(AND(K304&gt;0,R304=0),1,0)</f>
        <v>0</v>
      </c>
    </row>
    <row r="305" customFormat="false" ht="15" hidden="false" customHeight="false" outlineLevel="0" collapsed="false">
      <c r="B305" s="71" t="str">
        <f aca="false">IF($F$6="Sí",N($C$11)+278,"")</f>
        <v/>
      </c>
      <c r="C305" s="72" t="str">
        <f aca="false">IF(OR($F$6&lt;&gt;"Sí",D305&lt;=0.5),"",EDATE($C$10,278))</f>
        <v/>
      </c>
      <c r="D305" s="41" t="n">
        <f aca="false">MAX(0,M304)</f>
        <v>0</v>
      </c>
      <c r="E305" s="41" t="n">
        <f aca="false">D305*$F$7</f>
        <v>0</v>
      </c>
      <c r="F305" s="41" t="n">
        <f aca="false">IF(D305&gt;0.5,N($C$15),0)</f>
        <v>0</v>
      </c>
      <c r="G305" s="41" t="n">
        <f aca="false">IF(AND(D305&gt;0.5,N($C$19)&gt;0,N(B305)&lt;=N($C$20)),D305*$F$8,0)</f>
        <v>0</v>
      </c>
      <c r="H305" s="41" t="n">
        <f aca="false">IF(D305&lt;=0.5,0,MIN(IF(N(I305)&gt;0,I305,$F$9),D305+E305+F305))</f>
        <v>0</v>
      </c>
      <c r="I305" s="77"/>
      <c r="J305" s="77"/>
      <c r="K305" s="41" t="n">
        <f aca="false">IF(D305&lt;=0.5,0,MIN(H305+N(J305),D305+E305+F305))</f>
        <v>0</v>
      </c>
      <c r="L305" s="41" t="n">
        <f aca="false">K305-E305-F305</f>
        <v>0</v>
      </c>
      <c r="M305" s="41" t="n">
        <f aca="false">D305-L305</f>
        <v>0</v>
      </c>
      <c r="N305" s="42" t="n">
        <f aca="false">K305-G305</f>
        <v>0</v>
      </c>
      <c r="O305" s="78"/>
      <c r="P305" s="79"/>
      <c r="Q305" s="16" t="str">
        <f aca="false">IF(K305=0,"",IF(R305=1,"Pagada",IF(C305&lt;$F$12,"Vencida",IF(279=$F$13,"Próxima","Pendiente"))))</f>
        <v/>
      </c>
      <c r="R305" s="62" t="n">
        <f aca="false">IF(AND(K305&gt;0,OR(O305="Sí",O305="Si")),1,0)</f>
        <v>0</v>
      </c>
      <c r="S305" s="62" t="n">
        <f aca="false">IF(AND(K305&gt;0,R305=0),1,0)</f>
        <v>0</v>
      </c>
    </row>
    <row r="306" customFormat="false" ht="15" hidden="false" customHeight="false" outlineLevel="0" collapsed="false">
      <c r="B306" s="71" t="str">
        <f aca="false">IF($F$6="Sí",N($C$11)+279,"")</f>
        <v/>
      </c>
      <c r="C306" s="72" t="str">
        <f aca="false">IF(OR($F$6&lt;&gt;"Sí",D306&lt;=0.5),"",EDATE($C$10,279))</f>
        <v/>
      </c>
      <c r="D306" s="41" t="n">
        <f aca="false">MAX(0,M305)</f>
        <v>0</v>
      </c>
      <c r="E306" s="41" t="n">
        <f aca="false">D306*$F$7</f>
        <v>0</v>
      </c>
      <c r="F306" s="41" t="n">
        <f aca="false">IF(D306&gt;0.5,N($C$15),0)</f>
        <v>0</v>
      </c>
      <c r="G306" s="41" t="n">
        <f aca="false">IF(AND(D306&gt;0.5,N($C$19)&gt;0,N(B306)&lt;=N($C$20)),D306*$F$8,0)</f>
        <v>0</v>
      </c>
      <c r="H306" s="41" t="n">
        <f aca="false">IF(D306&lt;=0.5,0,MIN(IF(N(I306)&gt;0,I306,$F$9),D306+E306+F306))</f>
        <v>0</v>
      </c>
      <c r="I306" s="77"/>
      <c r="J306" s="77"/>
      <c r="K306" s="41" t="n">
        <f aca="false">IF(D306&lt;=0.5,0,MIN(H306+N(J306),D306+E306+F306))</f>
        <v>0</v>
      </c>
      <c r="L306" s="41" t="n">
        <f aca="false">K306-E306-F306</f>
        <v>0</v>
      </c>
      <c r="M306" s="41" t="n">
        <f aca="false">D306-L306</f>
        <v>0</v>
      </c>
      <c r="N306" s="42" t="n">
        <f aca="false">K306-G306</f>
        <v>0</v>
      </c>
      <c r="O306" s="78"/>
      <c r="P306" s="79"/>
      <c r="Q306" s="16" t="str">
        <f aca="false">IF(K306=0,"",IF(R306=1,"Pagada",IF(C306&lt;$F$12,"Vencida",IF(280=$F$13,"Próxima","Pendiente"))))</f>
        <v/>
      </c>
      <c r="R306" s="62" t="n">
        <f aca="false">IF(AND(K306&gt;0,OR(O306="Sí",O306="Si")),1,0)</f>
        <v>0</v>
      </c>
      <c r="S306" s="62" t="n">
        <f aca="false">IF(AND(K306&gt;0,R306=0),1,0)</f>
        <v>0</v>
      </c>
    </row>
    <row r="307" customFormat="false" ht="15" hidden="false" customHeight="false" outlineLevel="0" collapsed="false">
      <c r="B307" s="71" t="str">
        <f aca="false">IF($F$6="Sí",N($C$11)+280,"")</f>
        <v/>
      </c>
      <c r="C307" s="72" t="str">
        <f aca="false">IF(OR($F$6&lt;&gt;"Sí",D307&lt;=0.5),"",EDATE($C$10,280))</f>
        <v/>
      </c>
      <c r="D307" s="41" t="n">
        <f aca="false">MAX(0,M306)</f>
        <v>0</v>
      </c>
      <c r="E307" s="41" t="n">
        <f aca="false">D307*$F$7</f>
        <v>0</v>
      </c>
      <c r="F307" s="41" t="n">
        <f aca="false">IF(D307&gt;0.5,N($C$15),0)</f>
        <v>0</v>
      </c>
      <c r="G307" s="41" t="n">
        <f aca="false">IF(AND(D307&gt;0.5,N($C$19)&gt;0,N(B307)&lt;=N($C$20)),D307*$F$8,0)</f>
        <v>0</v>
      </c>
      <c r="H307" s="41" t="n">
        <f aca="false">IF(D307&lt;=0.5,0,MIN(IF(N(I307)&gt;0,I307,$F$9),D307+E307+F307))</f>
        <v>0</v>
      </c>
      <c r="I307" s="77"/>
      <c r="J307" s="77"/>
      <c r="K307" s="41" t="n">
        <f aca="false">IF(D307&lt;=0.5,0,MIN(H307+N(J307),D307+E307+F307))</f>
        <v>0</v>
      </c>
      <c r="L307" s="41" t="n">
        <f aca="false">K307-E307-F307</f>
        <v>0</v>
      </c>
      <c r="M307" s="41" t="n">
        <f aca="false">D307-L307</f>
        <v>0</v>
      </c>
      <c r="N307" s="42" t="n">
        <f aca="false">K307-G307</f>
        <v>0</v>
      </c>
      <c r="O307" s="78"/>
      <c r="P307" s="79"/>
      <c r="Q307" s="16" t="str">
        <f aca="false">IF(K307=0,"",IF(R307=1,"Pagada",IF(C307&lt;$F$12,"Vencida",IF(281=$F$13,"Próxima","Pendiente"))))</f>
        <v/>
      </c>
      <c r="R307" s="62" t="n">
        <f aca="false">IF(AND(K307&gt;0,OR(O307="Sí",O307="Si")),1,0)</f>
        <v>0</v>
      </c>
      <c r="S307" s="62" t="n">
        <f aca="false">IF(AND(K307&gt;0,R307=0),1,0)</f>
        <v>0</v>
      </c>
    </row>
    <row r="308" customFormat="false" ht="15" hidden="false" customHeight="false" outlineLevel="0" collapsed="false">
      <c r="B308" s="71" t="str">
        <f aca="false">IF($F$6="Sí",N($C$11)+281,"")</f>
        <v/>
      </c>
      <c r="C308" s="72" t="str">
        <f aca="false">IF(OR($F$6&lt;&gt;"Sí",D308&lt;=0.5),"",EDATE($C$10,281))</f>
        <v/>
      </c>
      <c r="D308" s="41" t="n">
        <f aca="false">MAX(0,M307)</f>
        <v>0</v>
      </c>
      <c r="E308" s="41" t="n">
        <f aca="false">D308*$F$7</f>
        <v>0</v>
      </c>
      <c r="F308" s="41" t="n">
        <f aca="false">IF(D308&gt;0.5,N($C$15),0)</f>
        <v>0</v>
      </c>
      <c r="G308" s="41" t="n">
        <f aca="false">IF(AND(D308&gt;0.5,N($C$19)&gt;0,N(B308)&lt;=N($C$20)),D308*$F$8,0)</f>
        <v>0</v>
      </c>
      <c r="H308" s="41" t="n">
        <f aca="false">IF(D308&lt;=0.5,0,MIN(IF(N(I308)&gt;0,I308,$F$9),D308+E308+F308))</f>
        <v>0</v>
      </c>
      <c r="I308" s="77"/>
      <c r="J308" s="77"/>
      <c r="K308" s="41" t="n">
        <f aca="false">IF(D308&lt;=0.5,0,MIN(H308+N(J308),D308+E308+F308))</f>
        <v>0</v>
      </c>
      <c r="L308" s="41" t="n">
        <f aca="false">K308-E308-F308</f>
        <v>0</v>
      </c>
      <c r="M308" s="41" t="n">
        <f aca="false">D308-L308</f>
        <v>0</v>
      </c>
      <c r="N308" s="42" t="n">
        <f aca="false">K308-G308</f>
        <v>0</v>
      </c>
      <c r="O308" s="78"/>
      <c r="P308" s="79"/>
      <c r="Q308" s="16" t="str">
        <f aca="false">IF(K308=0,"",IF(R308=1,"Pagada",IF(C308&lt;$F$12,"Vencida",IF(282=$F$13,"Próxima","Pendiente"))))</f>
        <v/>
      </c>
      <c r="R308" s="62" t="n">
        <f aca="false">IF(AND(K308&gt;0,OR(O308="Sí",O308="Si")),1,0)</f>
        <v>0</v>
      </c>
      <c r="S308" s="62" t="n">
        <f aca="false">IF(AND(K308&gt;0,R308=0),1,0)</f>
        <v>0</v>
      </c>
    </row>
    <row r="309" customFormat="false" ht="15" hidden="false" customHeight="false" outlineLevel="0" collapsed="false">
      <c r="B309" s="71" t="str">
        <f aca="false">IF($F$6="Sí",N($C$11)+282,"")</f>
        <v/>
      </c>
      <c r="C309" s="72" t="str">
        <f aca="false">IF(OR($F$6&lt;&gt;"Sí",D309&lt;=0.5),"",EDATE($C$10,282))</f>
        <v/>
      </c>
      <c r="D309" s="41" t="n">
        <f aca="false">MAX(0,M308)</f>
        <v>0</v>
      </c>
      <c r="E309" s="41" t="n">
        <f aca="false">D309*$F$7</f>
        <v>0</v>
      </c>
      <c r="F309" s="41" t="n">
        <f aca="false">IF(D309&gt;0.5,N($C$15),0)</f>
        <v>0</v>
      </c>
      <c r="G309" s="41" t="n">
        <f aca="false">IF(AND(D309&gt;0.5,N($C$19)&gt;0,N(B309)&lt;=N($C$20)),D309*$F$8,0)</f>
        <v>0</v>
      </c>
      <c r="H309" s="41" t="n">
        <f aca="false">IF(D309&lt;=0.5,0,MIN(IF(N(I309)&gt;0,I309,$F$9),D309+E309+F309))</f>
        <v>0</v>
      </c>
      <c r="I309" s="77"/>
      <c r="J309" s="77"/>
      <c r="K309" s="41" t="n">
        <f aca="false">IF(D309&lt;=0.5,0,MIN(H309+N(J309),D309+E309+F309))</f>
        <v>0</v>
      </c>
      <c r="L309" s="41" t="n">
        <f aca="false">K309-E309-F309</f>
        <v>0</v>
      </c>
      <c r="M309" s="41" t="n">
        <f aca="false">D309-L309</f>
        <v>0</v>
      </c>
      <c r="N309" s="42" t="n">
        <f aca="false">K309-G309</f>
        <v>0</v>
      </c>
      <c r="O309" s="78"/>
      <c r="P309" s="79"/>
      <c r="Q309" s="16" t="str">
        <f aca="false">IF(K309=0,"",IF(R309=1,"Pagada",IF(C309&lt;$F$12,"Vencida",IF(283=$F$13,"Próxima","Pendiente"))))</f>
        <v/>
      </c>
      <c r="R309" s="62" t="n">
        <f aca="false">IF(AND(K309&gt;0,OR(O309="Sí",O309="Si")),1,0)</f>
        <v>0</v>
      </c>
      <c r="S309" s="62" t="n">
        <f aca="false">IF(AND(K309&gt;0,R309=0),1,0)</f>
        <v>0</v>
      </c>
    </row>
    <row r="310" customFormat="false" ht="15" hidden="false" customHeight="false" outlineLevel="0" collapsed="false">
      <c r="B310" s="71" t="str">
        <f aca="false">IF($F$6="Sí",N($C$11)+283,"")</f>
        <v/>
      </c>
      <c r="C310" s="72" t="str">
        <f aca="false">IF(OR($F$6&lt;&gt;"Sí",D310&lt;=0.5),"",EDATE($C$10,283))</f>
        <v/>
      </c>
      <c r="D310" s="41" t="n">
        <f aca="false">MAX(0,M309)</f>
        <v>0</v>
      </c>
      <c r="E310" s="41" t="n">
        <f aca="false">D310*$F$7</f>
        <v>0</v>
      </c>
      <c r="F310" s="41" t="n">
        <f aca="false">IF(D310&gt;0.5,N($C$15),0)</f>
        <v>0</v>
      </c>
      <c r="G310" s="41" t="n">
        <f aca="false">IF(AND(D310&gt;0.5,N($C$19)&gt;0,N(B310)&lt;=N($C$20)),D310*$F$8,0)</f>
        <v>0</v>
      </c>
      <c r="H310" s="41" t="n">
        <f aca="false">IF(D310&lt;=0.5,0,MIN(IF(N(I310)&gt;0,I310,$F$9),D310+E310+F310))</f>
        <v>0</v>
      </c>
      <c r="I310" s="77"/>
      <c r="J310" s="77"/>
      <c r="K310" s="41" t="n">
        <f aca="false">IF(D310&lt;=0.5,0,MIN(H310+N(J310),D310+E310+F310))</f>
        <v>0</v>
      </c>
      <c r="L310" s="41" t="n">
        <f aca="false">K310-E310-F310</f>
        <v>0</v>
      </c>
      <c r="M310" s="41" t="n">
        <f aca="false">D310-L310</f>
        <v>0</v>
      </c>
      <c r="N310" s="42" t="n">
        <f aca="false">K310-G310</f>
        <v>0</v>
      </c>
      <c r="O310" s="78"/>
      <c r="P310" s="79"/>
      <c r="Q310" s="16" t="str">
        <f aca="false">IF(K310=0,"",IF(R310=1,"Pagada",IF(C310&lt;$F$12,"Vencida",IF(284=$F$13,"Próxima","Pendiente"))))</f>
        <v/>
      </c>
      <c r="R310" s="62" t="n">
        <f aca="false">IF(AND(K310&gt;0,OR(O310="Sí",O310="Si")),1,0)</f>
        <v>0</v>
      </c>
      <c r="S310" s="62" t="n">
        <f aca="false">IF(AND(K310&gt;0,R310=0),1,0)</f>
        <v>0</v>
      </c>
    </row>
    <row r="311" customFormat="false" ht="15" hidden="false" customHeight="false" outlineLevel="0" collapsed="false">
      <c r="B311" s="71" t="str">
        <f aca="false">IF($F$6="Sí",N($C$11)+284,"")</f>
        <v/>
      </c>
      <c r="C311" s="72" t="str">
        <f aca="false">IF(OR($F$6&lt;&gt;"Sí",D311&lt;=0.5),"",EDATE($C$10,284))</f>
        <v/>
      </c>
      <c r="D311" s="41" t="n">
        <f aca="false">MAX(0,M310)</f>
        <v>0</v>
      </c>
      <c r="E311" s="41" t="n">
        <f aca="false">D311*$F$7</f>
        <v>0</v>
      </c>
      <c r="F311" s="41" t="n">
        <f aca="false">IF(D311&gt;0.5,N($C$15),0)</f>
        <v>0</v>
      </c>
      <c r="G311" s="41" t="n">
        <f aca="false">IF(AND(D311&gt;0.5,N($C$19)&gt;0,N(B311)&lt;=N($C$20)),D311*$F$8,0)</f>
        <v>0</v>
      </c>
      <c r="H311" s="41" t="n">
        <f aca="false">IF(D311&lt;=0.5,0,MIN(IF(N(I311)&gt;0,I311,$F$9),D311+E311+F311))</f>
        <v>0</v>
      </c>
      <c r="I311" s="77"/>
      <c r="J311" s="77"/>
      <c r="K311" s="41" t="n">
        <f aca="false">IF(D311&lt;=0.5,0,MIN(H311+N(J311),D311+E311+F311))</f>
        <v>0</v>
      </c>
      <c r="L311" s="41" t="n">
        <f aca="false">K311-E311-F311</f>
        <v>0</v>
      </c>
      <c r="M311" s="41" t="n">
        <f aca="false">D311-L311</f>
        <v>0</v>
      </c>
      <c r="N311" s="42" t="n">
        <f aca="false">K311-G311</f>
        <v>0</v>
      </c>
      <c r="O311" s="78"/>
      <c r="P311" s="79"/>
      <c r="Q311" s="16" t="str">
        <f aca="false">IF(K311=0,"",IF(R311=1,"Pagada",IF(C311&lt;$F$12,"Vencida",IF(285=$F$13,"Próxima","Pendiente"))))</f>
        <v/>
      </c>
      <c r="R311" s="62" t="n">
        <f aca="false">IF(AND(K311&gt;0,OR(O311="Sí",O311="Si")),1,0)</f>
        <v>0</v>
      </c>
      <c r="S311" s="62" t="n">
        <f aca="false">IF(AND(K311&gt;0,R311=0),1,0)</f>
        <v>0</v>
      </c>
    </row>
    <row r="312" customFormat="false" ht="15" hidden="false" customHeight="false" outlineLevel="0" collapsed="false">
      <c r="B312" s="71" t="str">
        <f aca="false">IF($F$6="Sí",N($C$11)+285,"")</f>
        <v/>
      </c>
      <c r="C312" s="72" t="str">
        <f aca="false">IF(OR($F$6&lt;&gt;"Sí",D312&lt;=0.5),"",EDATE($C$10,285))</f>
        <v/>
      </c>
      <c r="D312" s="41" t="n">
        <f aca="false">MAX(0,M311)</f>
        <v>0</v>
      </c>
      <c r="E312" s="41" t="n">
        <f aca="false">D312*$F$7</f>
        <v>0</v>
      </c>
      <c r="F312" s="41" t="n">
        <f aca="false">IF(D312&gt;0.5,N($C$15),0)</f>
        <v>0</v>
      </c>
      <c r="G312" s="41" t="n">
        <f aca="false">IF(AND(D312&gt;0.5,N($C$19)&gt;0,N(B312)&lt;=N($C$20)),D312*$F$8,0)</f>
        <v>0</v>
      </c>
      <c r="H312" s="41" t="n">
        <f aca="false">IF(D312&lt;=0.5,0,MIN(IF(N(I312)&gt;0,I312,$F$9),D312+E312+F312))</f>
        <v>0</v>
      </c>
      <c r="I312" s="77"/>
      <c r="J312" s="77"/>
      <c r="K312" s="41" t="n">
        <f aca="false">IF(D312&lt;=0.5,0,MIN(H312+N(J312),D312+E312+F312))</f>
        <v>0</v>
      </c>
      <c r="L312" s="41" t="n">
        <f aca="false">K312-E312-F312</f>
        <v>0</v>
      </c>
      <c r="M312" s="41" t="n">
        <f aca="false">D312-L312</f>
        <v>0</v>
      </c>
      <c r="N312" s="42" t="n">
        <f aca="false">K312-G312</f>
        <v>0</v>
      </c>
      <c r="O312" s="78"/>
      <c r="P312" s="79"/>
      <c r="Q312" s="16" t="str">
        <f aca="false">IF(K312=0,"",IF(R312=1,"Pagada",IF(C312&lt;$F$12,"Vencida",IF(286=$F$13,"Próxima","Pendiente"))))</f>
        <v/>
      </c>
      <c r="R312" s="62" t="n">
        <f aca="false">IF(AND(K312&gt;0,OR(O312="Sí",O312="Si")),1,0)</f>
        <v>0</v>
      </c>
      <c r="S312" s="62" t="n">
        <f aca="false">IF(AND(K312&gt;0,R312=0),1,0)</f>
        <v>0</v>
      </c>
    </row>
    <row r="313" customFormat="false" ht="15" hidden="false" customHeight="false" outlineLevel="0" collapsed="false">
      <c r="B313" s="71" t="str">
        <f aca="false">IF($F$6="Sí",N($C$11)+286,"")</f>
        <v/>
      </c>
      <c r="C313" s="72" t="str">
        <f aca="false">IF(OR($F$6&lt;&gt;"Sí",D313&lt;=0.5),"",EDATE($C$10,286))</f>
        <v/>
      </c>
      <c r="D313" s="41" t="n">
        <f aca="false">MAX(0,M312)</f>
        <v>0</v>
      </c>
      <c r="E313" s="41" t="n">
        <f aca="false">D313*$F$7</f>
        <v>0</v>
      </c>
      <c r="F313" s="41" t="n">
        <f aca="false">IF(D313&gt;0.5,N($C$15),0)</f>
        <v>0</v>
      </c>
      <c r="G313" s="41" t="n">
        <f aca="false">IF(AND(D313&gt;0.5,N($C$19)&gt;0,N(B313)&lt;=N($C$20)),D313*$F$8,0)</f>
        <v>0</v>
      </c>
      <c r="H313" s="41" t="n">
        <f aca="false">IF(D313&lt;=0.5,0,MIN(IF(N(I313)&gt;0,I313,$F$9),D313+E313+F313))</f>
        <v>0</v>
      </c>
      <c r="I313" s="77"/>
      <c r="J313" s="77"/>
      <c r="K313" s="41" t="n">
        <f aca="false">IF(D313&lt;=0.5,0,MIN(H313+N(J313),D313+E313+F313))</f>
        <v>0</v>
      </c>
      <c r="L313" s="41" t="n">
        <f aca="false">K313-E313-F313</f>
        <v>0</v>
      </c>
      <c r="M313" s="41" t="n">
        <f aca="false">D313-L313</f>
        <v>0</v>
      </c>
      <c r="N313" s="42" t="n">
        <f aca="false">K313-G313</f>
        <v>0</v>
      </c>
      <c r="O313" s="78"/>
      <c r="P313" s="79"/>
      <c r="Q313" s="16" t="str">
        <f aca="false">IF(K313=0,"",IF(R313=1,"Pagada",IF(C313&lt;$F$12,"Vencida",IF(287=$F$13,"Próxima","Pendiente"))))</f>
        <v/>
      </c>
      <c r="R313" s="62" t="n">
        <f aca="false">IF(AND(K313&gt;0,OR(O313="Sí",O313="Si")),1,0)</f>
        <v>0</v>
      </c>
      <c r="S313" s="62" t="n">
        <f aca="false">IF(AND(K313&gt;0,R313=0),1,0)</f>
        <v>0</v>
      </c>
    </row>
    <row r="314" customFormat="false" ht="15" hidden="false" customHeight="false" outlineLevel="0" collapsed="false">
      <c r="B314" s="71" t="str">
        <f aca="false">IF($F$6="Sí",N($C$11)+287,"")</f>
        <v/>
      </c>
      <c r="C314" s="72" t="str">
        <f aca="false">IF(OR($F$6&lt;&gt;"Sí",D314&lt;=0.5),"",EDATE($C$10,287))</f>
        <v/>
      </c>
      <c r="D314" s="41" t="n">
        <f aca="false">MAX(0,M313)</f>
        <v>0</v>
      </c>
      <c r="E314" s="41" t="n">
        <f aca="false">D314*$F$7</f>
        <v>0</v>
      </c>
      <c r="F314" s="41" t="n">
        <f aca="false">IF(D314&gt;0.5,N($C$15),0)</f>
        <v>0</v>
      </c>
      <c r="G314" s="41" t="n">
        <f aca="false">IF(AND(D314&gt;0.5,N($C$19)&gt;0,N(B314)&lt;=N($C$20)),D314*$F$8,0)</f>
        <v>0</v>
      </c>
      <c r="H314" s="41" t="n">
        <f aca="false">IF(D314&lt;=0.5,0,MIN(IF(N(I314)&gt;0,I314,$F$9),D314+E314+F314))</f>
        <v>0</v>
      </c>
      <c r="I314" s="77"/>
      <c r="J314" s="77"/>
      <c r="K314" s="41" t="n">
        <f aca="false">IF(D314&lt;=0.5,0,MIN(H314+N(J314),D314+E314+F314))</f>
        <v>0</v>
      </c>
      <c r="L314" s="41" t="n">
        <f aca="false">K314-E314-F314</f>
        <v>0</v>
      </c>
      <c r="M314" s="41" t="n">
        <f aca="false">D314-L314</f>
        <v>0</v>
      </c>
      <c r="N314" s="42" t="n">
        <f aca="false">K314-G314</f>
        <v>0</v>
      </c>
      <c r="O314" s="78"/>
      <c r="P314" s="79"/>
      <c r="Q314" s="16" t="str">
        <f aca="false">IF(K314=0,"",IF(R314=1,"Pagada",IF(C314&lt;$F$12,"Vencida",IF(288=$F$13,"Próxima","Pendiente"))))</f>
        <v/>
      </c>
      <c r="R314" s="62" t="n">
        <f aca="false">IF(AND(K314&gt;0,OR(O314="Sí",O314="Si")),1,0)</f>
        <v>0</v>
      </c>
      <c r="S314" s="62" t="n">
        <f aca="false">IF(AND(K314&gt;0,R314=0),1,0)</f>
        <v>0</v>
      </c>
    </row>
    <row r="315" customFormat="false" ht="15" hidden="false" customHeight="false" outlineLevel="0" collapsed="false">
      <c r="B315" s="71" t="str">
        <f aca="false">IF($F$6="Sí",N($C$11)+288,"")</f>
        <v/>
      </c>
      <c r="C315" s="72" t="str">
        <f aca="false">IF(OR($F$6&lt;&gt;"Sí",D315&lt;=0.5),"",EDATE($C$10,288))</f>
        <v/>
      </c>
      <c r="D315" s="41" t="n">
        <f aca="false">MAX(0,M314)</f>
        <v>0</v>
      </c>
      <c r="E315" s="41" t="n">
        <f aca="false">D315*$F$7</f>
        <v>0</v>
      </c>
      <c r="F315" s="41" t="n">
        <f aca="false">IF(D315&gt;0.5,N($C$15),0)</f>
        <v>0</v>
      </c>
      <c r="G315" s="41" t="n">
        <f aca="false">IF(AND(D315&gt;0.5,N($C$19)&gt;0,N(B315)&lt;=N($C$20)),D315*$F$8,0)</f>
        <v>0</v>
      </c>
      <c r="H315" s="41" t="n">
        <f aca="false">IF(D315&lt;=0.5,0,MIN(IF(N(I315)&gt;0,I315,$F$9),D315+E315+F315))</f>
        <v>0</v>
      </c>
      <c r="I315" s="77"/>
      <c r="J315" s="77"/>
      <c r="K315" s="41" t="n">
        <f aca="false">IF(D315&lt;=0.5,0,MIN(H315+N(J315),D315+E315+F315))</f>
        <v>0</v>
      </c>
      <c r="L315" s="41" t="n">
        <f aca="false">K315-E315-F315</f>
        <v>0</v>
      </c>
      <c r="M315" s="41" t="n">
        <f aca="false">D315-L315</f>
        <v>0</v>
      </c>
      <c r="N315" s="42" t="n">
        <f aca="false">K315-G315</f>
        <v>0</v>
      </c>
      <c r="O315" s="78"/>
      <c r="P315" s="79"/>
      <c r="Q315" s="16" t="str">
        <f aca="false">IF(K315=0,"",IF(R315=1,"Pagada",IF(C315&lt;$F$12,"Vencida",IF(289=$F$13,"Próxima","Pendiente"))))</f>
        <v/>
      </c>
      <c r="R315" s="62" t="n">
        <f aca="false">IF(AND(K315&gt;0,OR(O315="Sí",O315="Si")),1,0)</f>
        <v>0</v>
      </c>
      <c r="S315" s="62" t="n">
        <f aca="false">IF(AND(K315&gt;0,R315=0),1,0)</f>
        <v>0</v>
      </c>
    </row>
    <row r="316" customFormat="false" ht="15" hidden="false" customHeight="false" outlineLevel="0" collapsed="false">
      <c r="B316" s="71" t="str">
        <f aca="false">IF($F$6="Sí",N($C$11)+289,"")</f>
        <v/>
      </c>
      <c r="C316" s="72" t="str">
        <f aca="false">IF(OR($F$6&lt;&gt;"Sí",D316&lt;=0.5),"",EDATE($C$10,289))</f>
        <v/>
      </c>
      <c r="D316" s="41" t="n">
        <f aca="false">MAX(0,M315)</f>
        <v>0</v>
      </c>
      <c r="E316" s="41" t="n">
        <f aca="false">D316*$F$7</f>
        <v>0</v>
      </c>
      <c r="F316" s="41" t="n">
        <f aca="false">IF(D316&gt;0.5,N($C$15),0)</f>
        <v>0</v>
      </c>
      <c r="G316" s="41" t="n">
        <f aca="false">IF(AND(D316&gt;0.5,N($C$19)&gt;0,N(B316)&lt;=N($C$20)),D316*$F$8,0)</f>
        <v>0</v>
      </c>
      <c r="H316" s="41" t="n">
        <f aca="false">IF(D316&lt;=0.5,0,MIN(IF(N(I316)&gt;0,I316,$F$9),D316+E316+F316))</f>
        <v>0</v>
      </c>
      <c r="I316" s="77"/>
      <c r="J316" s="77"/>
      <c r="K316" s="41" t="n">
        <f aca="false">IF(D316&lt;=0.5,0,MIN(H316+N(J316),D316+E316+F316))</f>
        <v>0</v>
      </c>
      <c r="L316" s="41" t="n">
        <f aca="false">K316-E316-F316</f>
        <v>0</v>
      </c>
      <c r="M316" s="41" t="n">
        <f aca="false">D316-L316</f>
        <v>0</v>
      </c>
      <c r="N316" s="42" t="n">
        <f aca="false">K316-G316</f>
        <v>0</v>
      </c>
      <c r="O316" s="78"/>
      <c r="P316" s="79"/>
      <c r="Q316" s="16" t="str">
        <f aca="false">IF(K316=0,"",IF(R316=1,"Pagada",IF(C316&lt;$F$12,"Vencida",IF(290=$F$13,"Próxima","Pendiente"))))</f>
        <v/>
      </c>
      <c r="R316" s="62" t="n">
        <f aca="false">IF(AND(K316&gt;0,OR(O316="Sí",O316="Si")),1,0)</f>
        <v>0</v>
      </c>
      <c r="S316" s="62" t="n">
        <f aca="false">IF(AND(K316&gt;0,R316=0),1,0)</f>
        <v>0</v>
      </c>
    </row>
    <row r="317" customFormat="false" ht="15" hidden="false" customHeight="false" outlineLevel="0" collapsed="false">
      <c r="B317" s="71" t="str">
        <f aca="false">IF($F$6="Sí",N($C$11)+290,"")</f>
        <v/>
      </c>
      <c r="C317" s="72" t="str">
        <f aca="false">IF(OR($F$6&lt;&gt;"Sí",D317&lt;=0.5),"",EDATE($C$10,290))</f>
        <v/>
      </c>
      <c r="D317" s="41" t="n">
        <f aca="false">MAX(0,M316)</f>
        <v>0</v>
      </c>
      <c r="E317" s="41" t="n">
        <f aca="false">D317*$F$7</f>
        <v>0</v>
      </c>
      <c r="F317" s="41" t="n">
        <f aca="false">IF(D317&gt;0.5,N($C$15),0)</f>
        <v>0</v>
      </c>
      <c r="G317" s="41" t="n">
        <f aca="false">IF(AND(D317&gt;0.5,N($C$19)&gt;0,N(B317)&lt;=N($C$20)),D317*$F$8,0)</f>
        <v>0</v>
      </c>
      <c r="H317" s="41" t="n">
        <f aca="false">IF(D317&lt;=0.5,0,MIN(IF(N(I317)&gt;0,I317,$F$9),D317+E317+F317))</f>
        <v>0</v>
      </c>
      <c r="I317" s="77"/>
      <c r="J317" s="77"/>
      <c r="K317" s="41" t="n">
        <f aca="false">IF(D317&lt;=0.5,0,MIN(H317+N(J317),D317+E317+F317))</f>
        <v>0</v>
      </c>
      <c r="L317" s="41" t="n">
        <f aca="false">K317-E317-F317</f>
        <v>0</v>
      </c>
      <c r="M317" s="41" t="n">
        <f aca="false">D317-L317</f>
        <v>0</v>
      </c>
      <c r="N317" s="42" t="n">
        <f aca="false">K317-G317</f>
        <v>0</v>
      </c>
      <c r="O317" s="78"/>
      <c r="P317" s="79"/>
      <c r="Q317" s="16" t="str">
        <f aca="false">IF(K317=0,"",IF(R317=1,"Pagada",IF(C317&lt;$F$12,"Vencida",IF(291=$F$13,"Próxima","Pendiente"))))</f>
        <v/>
      </c>
      <c r="R317" s="62" t="n">
        <f aca="false">IF(AND(K317&gt;0,OR(O317="Sí",O317="Si")),1,0)</f>
        <v>0</v>
      </c>
      <c r="S317" s="62" t="n">
        <f aca="false">IF(AND(K317&gt;0,R317=0),1,0)</f>
        <v>0</v>
      </c>
    </row>
    <row r="318" customFormat="false" ht="15" hidden="false" customHeight="false" outlineLevel="0" collapsed="false">
      <c r="B318" s="71" t="str">
        <f aca="false">IF($F$6="Sí",N($C$11)+291,"")</f>
        <v/>
      </c>
      <c r="C318" s="72" t="str">
        <f aca="false">IF(OR($F$6&lt;&gt;"Sí",D318&lt;=0.5),"",EDATE($C$10,291))</f>
        <v/>
      </c>
      <c r="D318" s="41" t="n">
        <f aca="false">MAX(0,M317)</f>
        <v>0</v>
      </c>
      <c r="E318" s="41" t="n">
        <f aca="false">D318*$F$7</f>
        <v>0</v>
      </c>
      <c r="F318" s="41" t="n">
        <f aca="false">IF(D318&gt;0.5,N($C$15),0)</f>
        <v>0</v>
      </c>
      <c r="G318" s="41" t="n">
        <f aca="false">IF(AND(D318&gt;0.5,N($C$19)&gt;0,N(B318)&lt;=N($C$20)),D318*$F$8,0)</f>
        <v>0</v>
      </c>
      <c r="H318" s="41" t="n">
        <f aca="false">IF(D318&lt;=0.5,0,MIN(IF(N(I318)&gt;0,I318,$F$9),D318+E318+F318))</f>
        <v>0</v>
      </c>
      <c r="I318" s="77"/>
      <c r="J318" s="77"/>
      <c r="K318" s="41" t="n">
        <f aca="false">IF(D318&lt;=0.5,0,MIN(H318+N(J318),D318+E318+F318))</f>
        <v>0</v>
      </c>
      <c r="L318" s="41" t="n">
        <f aca="false">K318-E318-F318</f>
        <v>0</v>
      </c>
      <c r="M318" s="41" t="n">
        <f aca="false">D318-L318</f>
        <v>0</v>
      </c>
      <c r="N318" s="42" t="n">
        <f aca="false">K318-G318</f>
        <v>0</v>
      </c>
      <c r="O318" s="78"/>
      <c r="P318" s="79"/>
      <c r="Q318" s="16" t="str">
        <f aca="false">IF(K318=0,"",IF(R318=1,"Pagada",IF(C318&lt;$F$12,"Vencida",IF(292=$F$13,"Próxima","Pendiente"))))</f>
        <v/>
      </c>
      <c r="R318" s="62" t="n">
        <f aca="false">IF(AND(K318&gt;0,OR(O318="Sí",O318="Si")),1,0)</f>
        <v>0</v>
      </c>
      <c r="S318" s="62" t="n">
        <f aca="false">IF(AND(K318&gt;0,R318=0),1,0)</f>
        <v>0</v>
      </c>
    </row>
    <row r="319" customFormat="false" ht="15" hidden="false" customHeight="false" outlineLevel="0" collapsed="false">
      <c r="B319" s="71" t="str">
        <f aca="false">IF($F$6="Sí",N($C$11)+292,"")</f>
        <v/>
      </c>
      <c r="C319" s="72" t="str">
        <f aca="false">IF(OR($F$6&lt;&gt;"Sí",D319&lt;=0.5),"",EDATE($C$10,292))</f>
        <v/>
      </c>
      <c r="D319" s="41" t="n">
        <f aca="false">MAX(0,M318)</f>
        <v>0</v>
      </c>
      <c r="E319" s="41" t="n">
        <f aca="false">D319*$F$7</f>
        <v>0</v>
      </c>
      <c r="F319" s="41" t="n">
        <f aca="false">IF(D319&gt;0.5,N($C$15),0)</f>
        <v>0</v>
      </c>
      <c r="G319" s="41" t="n">
        <f aca="false">IF(AND(D319&gt;0.5,N($C$19)&gt;0,N(B319)&lt;=N($C$20)),D319*$F$8,0)</f>
        <v>0</v>
      </c>
      <c r="H319" s="41" t="n">
        <f aca="false">IF(D319&lt;=0.5,0,MIN(IF(N(I319)&gt;0,I319,$F$9),D319+E319+F319))</f>
        <v>0</v>
      </c>
      <c r="I319" s="77"/>
      <c r="J319" s="77"/>
      <c r="K319" s="41" t="n">
        <f aca="false">IF(D319&lt;=0.5,0,MIN(H319+N(J319),D319+E319+F319))</f>
        <v>0</v>
      </c>
      <c r="L319" s="41" t="n">
        <f aca="false">K319-E319-F319</f>
        <v>0</v>
      </c>
      <c r="M319" s="41" t="n">
        <f aca="false">D319-L319</f>
        <v>0</v>
      </c>
      <c r="N319" s="42" t="n">
        <f aca="false">K319-G319</f>
        <v>0</v>
      </c>
      <c r="O319" s="78"/>
      <c r="P319" s="79"/>
      <c r="Q319" s="16" t="str">
        <f aca="false">IF(K319=0,"",IF(R319=1,"Pagada",IF(C319&lt;$F$12,"Vencida",IF(293=$F$13,"Próxima","Pendiente"))))</f>
        <v/>
      </c>
      <c r="R319" s="62" t="n">
        <f aca="false">IF(AND(K319&gt;0,OR(O319="Sí",O319="Si")),1,0)</f>
        <v>0</v>
      </c>
      <c r="S319" s="62" t="n">
        <f aca="false">IF(AND(K319&gt;0,R319=0),1,0)</f>
        <v>0</v>
      </c>
    </row>
    <row r="320" customFormat="false" ht="15" hidden="false" customHeight="false" outlineLevel="0" collapsed="false">
      <c r="B320" s="71" t="str">
        <f aca="false">IF($F$6="Sí",N($C$11)+293,"")</f>
        <v/>
      </c>
      <c r="C320" s="72" t="str">
        <f aca="false">IF(OR($F$6&lt;&gt;"Sí",D320&lt;=0.5),"",EDATE($C$10,293))</f>
        <v/>
      </c>
      <c r="D320" s="41" t="n">
        <f aca="false">MAX(0,M319)</f>
        <v>0</v>
      </c>
      <c r="E320" s="41" t="n">
        <f aca="false">D320*$F$7</f>
        <v>0</v>
      </c>
      <c r="F320" s="41" t="n">
        <f aca="false">IF(D320&gt;0.5,N($C$15),0)</f>
        <v>0</v>
      </c>
      <c r="G320" s="41" t="n">
        <f aca="false">IF(AND(D320&gt;0.5,N($C$19)&gt;0,N(B320)&lt;=N($C$20)),D320*$F$8,0)</f>
        <v>0</v>
      </c>
      <c r="H320" s="41" t="n">
        <f aca="false">IF(D320&lt;=0.5,0,MIN(IF(N(I320)&gt;0,I320,$F$9),D320+E320+F320))</f>
        <v>0</v>
      </c>
      <c r="I320" s="77"/>
      <c r="J320" s="77"/>
      <c r="K320" s="41" t="n">
        <f aca="false">IF(D320&lt;=0.5,0,MIN(H320+N(J320),D320+E320+F320))</f>
        <v>0</v>
      </c>
      <c r="L320" s="41" t="n">
        <f aca="false">K320-E320-F320</f>
        <v>0</v>
      </c>
      <c r="M320" s="41" t="n">
        <f aca="false">D320-L320</f>
        <v>0</v>
      </c>
      <c r="N320" s="42" t="n">
        <f aca="false">K320-G320</f>
        <v>0</v>
      </c>
      <c r="O320" s="78"/>
      <c r="P320" s="79"/>
      <c r="Q320" s="16" t="str">
        <f aca="false">IF(K320=0,"",IF(R320=1,"Pagada",IF(C320&lt;$F$12,"Vencida",IF(294=$F$13,"Próxima","Pendiente"))))</f>
        <v/>
      </c>
      <c r="R320" s="62" t="n">
        <f aca="false">IF(AND(K320&gt;0,OR(O320="Sí",O320="Si")),1,0)</f>
        <v>0</v>
      </c>
      <c r="S320" s="62" t="n">
        <f aca="false">IF(AND(K320&gt;0,R320=0),1,0)</f>
        <v>0</v>
      </c>
    </row>
    <row r="321" customFormat="false" ht="15" hidden="false" customHeight="false" outlineLevel="0" collapsed="false">
      <c r="B321" s="71" t="str">
        <f aca="false">IF($F$6="Sí",N($C$11)+294,"")</f>
        <v/>
      </c>
      <c r="C321" s="72" t="str">
        <f aca="false">IF(OR($F$6&lt;&gt;"Sí",D321&lt;=0.5),"",EDATE($C$10,294))</f>
        <v/>
      </c>
      <c r="D321" s="41" t="n">
        <f aca="false">MAX(0,M320)</f>
        <v>0</v>
      </c>
      <c r="E321" s="41" t="n">
        <f aca="false">D321*$F$7</f>
        <v>0</v>
      </c>
      <c r="F321" s="41" t="n">
        <f aca="false">IF(D321&gt;0.5,N($C$15),0)</f>
        <v>0</v>
      </c>
      <c r="G321" s="41" t="n">
        <f aca="false">IF(AND(D321&gt;0.5,N($C$19)&gt;0,N(B321)&lt;=N($C$20)),D321*$F$8,0)</f>
        <v>0</v>
      </c>
      <c r="H321" s="41" t="n">
        <f aca="false">IF(D321&lt;=0.5,0,MIN(IF(N(I321)&gt;0,I321,$F$9),D321+E321+F321))</f>
        <v>0</v>
      </c>
      <c r="I321" s="77"/>
      <c r="J321" s="77"/>
      <c r="K321" s="41" t="n">
        <f aca="false">IF(D321&lt;=0.5,0,MIN(H321+N(J321),D321+E321+F321))</f>
        <v>0</v>
      </c>
      <c r="L321" s="41" t="n">
        <f aca="false">K321-E321-F321</f>
        <v>0</v>
      </c>
      <c r="M321" s="41" t="n">
        <f aca="false">D321-L321</f>
        <v>0</v>
      </c>
      <c r="N321" s="42" t="n">
        <f aca="false">K321-G321</f>
        <v>0</v>
      </c>
      <c r="O321" s="78"/>
      <c r="P321" s="79"/>
      <c r="Q321" s="16" t="str">
        <f aca="false">IF(K321=0,"",IF(R321=1,"Pagada",IF(C321&lt;$F$12,"Vencida",IF(295=$F$13,"Próxima","Pendiente"))))</f>
        <v/>
      </c>
      <c r="R321" s="62" t="n">
        <f aca="false">IF(AND(K321&gt;0,OR(O321="Sí",O321="Si")),1,0)</f>
        <v>0</v>
      </c>
      <c r="S321" s="62" t="n">
        <f aca="false">IF(AND(K321&gt;0,R321=0),1,0)</f>
        <v>0</v>
      </c>
    </row>
    <row r="322" customFormat="false" ht="15" hidden="false" customHeight="false" outlineLevel="0" collapsed="false">
      <c r="B322" s="71" t="str">
        <f aca="false">IF($F$6="Sí",N($C$11)+295,"")</f>
        <v/>
      </c>
      <c r="C322" s="72" t="str">
        <f aca="false">IF(OR($F$6&lt;&gt;"Sí",D322&lt;=0.5),"",EDATE($C$10,295))</f>
        <v/>
      </c>
      <c r="D322" s="41" t="n">
        <f aca="false">MAX(0,M321)</f>
        <v>0</v>
      </c>
      <c r="E322" s="41" t="n">
        <f aca="false">D322*$F$7</f>
        <v>0</v>
      </c>
      <c r="F322" s="41" t="n">
        <f aca="false">IF(D322&gt;0.5,N($C$15),0)</f>
        <v>0</v>
      </c>
      <c r="G322" s="41" t="n">
        <f aca="false">IF(AND(D322&gt;0.5,N($C$19)&gt;0,N(B322)&lt;=N($C$20)),D322*$F$8,0)</f>
        <v>0</v>
      </c>
      <c r="H322" s="41" t="n">
        <f aca="false">IF(D322&lt;=0.5,0,MIN(IF(N(I322)&gt;0,I322,$F$9),D322+E322+F322))</f>
        <v>0</v>
      </c>
      <c r="I322" s="77"/>
      <c r="J322" s="77"/>
      <c r="K322" s="41" t="n">
        <f aca="false">IF(D322&lt;=0.5,0,MIN(H322+N(J322),D322+E322+F322))</f>
        <v>0</v>
      </c>
      <c r="L322" s="41" t="n">
        <f aca="false">K322-E322-F322</f>
        <v>0</v>
      </c>
      <c r="M322" s="41" t="n">
        <f aca="false">D322-L322</f>
        <v>0</v>
      </c>
      <c r="N322" s="42" t="n">
        <f aca="false">K322-G322</f>
        <v>0</v>
      </c>
      <c r="O322" s="78"/>
      <c r="P322" s="79"/>
      <c r="Q322" s="16" t="str">
        <f aca="false">IF(K322=0,"",IF(R322=1,"Pagada",IF(C322&lt;$F$12,"Vencida",IF(296=$F$13,"Próxima","Pendiente"))))</f>
        <v/>
      </c>
      <c r="R322" s="62" t="n">
        <f aca="false">IF(AND(K322&gt;0,OR(O322="Sí",O322="Si")),1,0)</f>
        <v>0</v>
      </c>
      <c r="S322" s="62" t="n">
        <f aca="false">IF(AND(K322&gt;0,R322=0),1,0)</f>
        <v>0</v>
      </c>
    </row>
    <row r="323" customFormat="false" ht="15" hidden="false" customHeight="false" outlineLevel="0" collapsed="false">
      <c r="B323" s="71" t="str">
        <f aca="false">IF($F$6="Sí",N($C$11)+296,"")</f>
        <v/>
      </c>
      <c r="C323" s="72" t="str">
        <f aca="false">IF(OR($F$6&lt;&gt;"Sí",D323&lt;=0.5),"",EDATE($C$10,296))</f>
        <v/>
      </c>
      <c r="D323" s="41" t="n">
        <f aca="false">MAX(0,M322)</f>
        <v>0</v>
      </c>
      <c r="E323" s="41" t="n">
        <f aca="false">D323*$F$7</f>
        <v>0</v>
      </c>
      <c r="F323" s="41" t="n">
        <f aca="false">IF(D323&gt;0.5,N($C$15),0)</f>
        <v>0</v>
      </c>
      <c r="G323" s="41" t="n">
        <f aca="false">IF(AND(D323&gt;0.5,N($C$19)&gt;0,N(B323)&lt;=N($C$20)),D323*$F$8,0)</f>
        <v>0</v>
      </c>
      <c r="H323" s="41" t="n">
        <f aca="false">IF(D323&lt;=0.5,0,MIN(IF(N(I323)&gt;0,I323,$F$9),D323+E323+F323))</f>
        <v>0</v>
      </c>
      <c r="I323" s="77"/>
      <c r="J323" s="77"/>
      <c r="K323" s="41" t="n">
        <f aca="false">IF(D323&lt;=0.5,0,MIN(H323+N(J323),D323+E323+F323))</f>
        <v>0</v>
      </c>
      <c r="L323" s="41" t="n">
        <f aca="false">K323-E323-F323</f>
        <v>0</v>
      </c>
      <c r="M323" s="41" t="n">
        <f aca="false">D323-L323</f>
        <v>0</v>
      </c>
      <c r="N323" s="42" t="n">
        <f aca="false">K323-G323</f>
        <v>0</v>
      </c>
      <c r="O323" s="78"/>
      <c r="P323" s="79"/>
      <c r="Q323" s="16" t="str">
        <f aca="false">IF(K323=0,"",IF(R323=1,"Pagada",IF(C323&lt;$F$12,"Vencida",IF(297=$F$13,"Próxima","Pendiente"))))</f>
        <v/>
      </c>
      <c r="R323" s="62" t="n">
        <f aca="false">IF(AND(K323&gt;0,OR(O323="Sí",O323="Si")),1,0)</f>
        <v>0</v>
      </c>
      <c r="S323" s="62" t="n">
        <f aca="false">IF(AND(K323&gt;0,R323=0),1,0)</f>
        <v>0</v>
      </c>
    </row>
    <row r="324" customFormat="false" ht="15" hidden="false" customHeight="false" outlineLevel="0" collapsed="false">
      <c r="B324" s="71" t="str">
        <f aca="false">IF($F$6="Sí",N($C$11)+297,"")</f>
        <v/>
      </c>
      <c r="C324" s="72" t="str">
        <f aca="false">IF(OR($F$6&lt;&gt;"Sí",D324&lt;=0.5),"",EDATE($C$10,297))</f>
        <v/>
      </c>
      <c r="D324" s="41" t="n">
        <f aca="false">MAX(0,M323)</f>
        <v>0</v>
      </c>
      <c r="E324" s="41" t="n">
        <f aca="false">D324*$F$7</f>
        <v>0</v>
      </c>
      <c r="F324" s="41" t="n">
        <f aca="false">IF(D324&gt;0.5,N($C$15),0)</f>
        <v>0</v>
      </c>
      <c r="G324" s="41" t="n">
        <f aca="false">IF(AND(D324&gt;0.5,N($C$19)&gt;0,N(B324)&lt;=N($C$20)),D324*$F$8,0)</f>
        <v>0</v>
      </c>
      <c r="H324" s="41" t="n">
        <f aca="false">IF(D324&lt;=0.5,0,MIN(IF(N(I324)&gt;0,I324,$F$9),D324+E324+F324))</f>
        <v>0</v>
      </c>
      <c r="I324" s="77"/>
      <c r="J324" s="77"/>
      <c r="K324" s="41" t="n">
        <f aca="false">IF(D324&lt;=0.5,0,MIN(H324+N(J324),D324+E324+F324))</f>
        <v>0</v>
      </c>
      <c r="L324" s="41" t="n">
        <f aca="false">K324-E324-F324</f>
        <v>0</v>
      </c>
      <c r="M324" s="41" t="n">
        <f aca="false">D324-L324</f>
        <v>0</v>
      </c>
      <c r="N324" s="42" t="n">
        <f aca="false">K324-G324</f>
        <v>0</v>
      </c>
      <c r="O324" s="78"/>
      <c r="P324" s="79"/>
      <c r="Q324" s="16" t="str">
        <f aca="false">IF(K324=0,"",IF(R324=1,"Pagada",IF(C324&lt;$F$12,"Vencida",IF(298=$F$13,"Próxima","Pendiente"))))</f>
        <v/>
      </c>
      <c r="R324" s="62" t="n">
        <f aca="false">IF(AND(K324&gt;0,OR(O324="Sí",O324="Si")),1,0)</f>
        <v>0</v>
      </c>
      <c r="S324" s="62" t="n">
        <f aca="false">IF(AND(K324&gt;0,R324=0),1,0)</f>
        <v>0</v>
      </c>
    </row>
    <row r="325" customFormat="false" ht="15" hidden="false" customHeight="false" outlineLevel="0" collapsed="false">
      <c r="B325" s="71" t="str">
        <f aca="false">IF($F$6="Sí",N($C$11)+298,"")</f>
        <v/>
      </c>
      <c r="C325" s="72" t="str">
        <f aca="false">IF(OR($F$6&lt;&gt;"Sí",D325&lt;=0.5),"",EDATE($C$10,298))</f>
        <v/>
      </c>
      <c r="D325" s="41" t="n">
        <f aca="false">MAX(0,M324)</f>
        <v>0</v>
      </c>
      <c r="E325" s="41" t="n">
        <f aca="false">D325*$F$7</f>
        <v>0</v>
      </c>
      <c r="F325" s="41" t="n">
        <f aca="false">IF(D325&gt;0.5,N($C$15),0)</f>
        <v>0</v>
      </c>
      <c r="G325" s="41" t="n">
        <f aca="false">IF(AND(D325&gt;0.5,N($C$19)&gt;0,N(B325)&lt;=N($C$20)),D325*$F$8,0)</f>
        <v>0</v>
      </c>
      <c r="H325" s="41" t="n">
        <f aca="false">IF(D325&lt;=0.5,0,MIN(IF(N(I325)&gt;0,I325,$F$9),D325+E325+F325))</f>
        <v>0</v>
      </c>
      <c r="I325" s="77"/>
      <c r="J325" s="77"/>
      <c r="K325" s="41" t="n">
        <f aca="false">IF(D325&lt;=0.5,0,MIN(H325+N(J325),D325+E325+F325))</f>
        <v>0</v>
      </c>
      <c r="L325" s="41" t="n">
        <f aca="false">K325-E325-F325</f>
        <v>0</v>
      </c>
      <c r="M325" s="41" t="n">
        <f aca="false">D325-L325</f>
        <v>0</v>
      </c>
      <c r="N325" s="42" t="n">
        <f aca="false">K325-G325</f>
        <v>0</v>
      </c>
      <c r="O325" s="78"/>
      <c r="P325" s="79"/>
      <c r="Q325" s="16" t="str">
        <f aca="false">IF(K325=0,"",IF(R325=1,"Pagada",IF(C325&lt;$F$12,"Vencida",IF(299=$F$13,"Próxima","Pendiente"))))</f>
        <v/>
      </c>
      <c r="R325" s="62" t="n">
        <f aca="false">IF(AND(K325&gt;0,OR(O325="Sí",O325="Si")),1,0)</f>
        <v>0</v>
      </c>
      <c r="S325" s="62" t="n">
        <f aca="false">IF(AND(K325&gt;0,R325=0),1,0)</f>
        <v>0</v>
      </c>
    </row>
    <row r="326" customFormat="false" ht="15" hidden="false" customHeight="false" outlineLevel="0" collapsed="false">
      <c r="B326" s="71" t="str">
        <f aca="false">IF($F$6="Sí",N($C$11)+299,"")</f>
        <v/>
      </c>
      <c r="C326" s="72" t="str">
        <f aca="false">IF(OR($F$6&lt;&gt;"Sí",D326&lt;=0.5),"",EDATE($C$10,299))</f>
        <v/>
      </c>
      <c r="D326" s="41" t="n">
        <f aca="false">MAX(0,M325)</f>
        <v>0</v>
      </c>
      <c r="E326" s="41" t="n">
        <f aca="false">D326*$F$7</f>
        <v>0</v>
      </c>
      <c r="F326" s="41" t="n">
        <f aca="false">IF(D326&gt;0.5,N($C$15),0)</f>
        <v>0</v>
      </c>
      <c r="G326" s="41" t="n">
        <f aca="false">IF(AND(D326&gt;0.5,N($C$19)&gt;0,N(B326)&lt;=N($C$20)),D326*$F$8,0)</f>
        <v>0</v>
      </c>
      <c r="H326" s="41" t="n">
        <f aca="false">IF(D326&lt;=0.5,0,MIN(IF(N(I326)&gt;0,I326,$F$9),D326+E326+F326))</f>
        <v>0</v>
      </c>
      <c r="I326" s="77"/>
      <c r="J326" s="77"/>
      <c r="K326" s="41" t="n">
        <f aca="false">IF(D326&lt;=0.5,0,MIN(H326+N(J326),D326+E326+F326))</f>
        <v>0</v>
      </c>
      <c r="L326" s="41" t="n">
        <f aca="false">K326-E326-F326</f>
        <v>0</v>
      </c>
      <c r="M326" s="41" t="n">
        <f aca="false">D326-L326</f>
        <v>0</v>
      </c>
      <c r="N326" s="42" t="n">
        <f aca="false">K326-G326</f>
        <v>0</v>
      </c>
      <c r="O326" s="78"/>
      <c r="P326" s="79"/>
      <c r="Q326" s="16" t="str">
        <f aca="false">IF(K326=0,"",IF(R326=1,"Pagada",IF(C326&lt;$F$12,"Vencida",IF(300=$F$13,"Próxima","Pendiente"))))</f>
        <v/>
      </c>
      <c r="R326" s="62" t="n">
        <f aca="false">IF(AND(K326&gt;0,OR(O326="Sí",O326="Si")),1,0)</f>
        <v>0</v>
      </c>
      <c r="S326" s="62" t="n">
        <f aca="false">IF(AND(K326&gt;0,R326=0),1,0)</f>
        <v>0</v>
      </c>
    </row>
    <row r="327" customFormat="false" ht="15" hidden="false" customHeight="false" outlineLevel="0" collapsed="false">
      <c r="B327" s="71" t="str">
        <f aca="false">IF($F$6="Sí",N($C$11)+300,"")</f>
        <v/>
      </c>
      <c r="C327" s="72" t="str">
        <f aca="false">IF(OR($F$6&lt;&gt;"Sí",D327&lt;=0.5),"",EDATE($C$10,300))</f>
        <v/>
      </c>
      <c r="D327" s="41" t="n">
        <f aca="false">MAX(0,M326)</f>
        <v>0</v>
      </c>
      <c r="E327" s="41" t="n">
        <f aca="false">D327*$F$7</f>
        <v>0</v>
      </c>
      <c r="F327" s="41" t="n">
        <f aca="false">IF(D327&gt;0.5,N($C$15),0)</f>
        <v>0</v>
      </c>
      <c r="G327" s="41" t="n">
        <f aca="false">IF(AND(D327&gt;0.5,N($C$19)&gt;0,N(B327)&lt;=N($C$20)),D327*$F$8,0)</f>
        <v>0</v>
      </c>
      <c r="H327" s="41" t="n">
        <f aca="false">IF(D327&lt;=0.5,0,MIN(IF(N(I327)&gt;0,I327,$F$9),D327+E327+F327))</f>
        <v>0</v>
      </c>
      <c r="I327" s="77"/>
      <c r="J327" s="77"/>
      <c r="K327" s="41" t="n">
        <f aca="false">IF(D327&lt;=0.5,0,MIN(H327+N(J327),D327+E327+F327))</f>
        <v>0</v>
      </c>
      <c r="L327" s="41" t="n">
        <f aca="false">K327-E327-F327</f>
        <v>0</v>
      </c>
      <c r="M327" s="41" t="n">
        <f aca="false">D327-L327</f>
        <v>0</v>
      </c>
      <c r="N327" s="42" t="n">
        <f aca="false">K327-G327</f>
        <v>0</v>
      </c>
      <c r="O327" s="78"/>
      <c r="P327" s="79"/>
      <c r="Q327" s="16" t="str">
        <f aca="false">IF(K327=0,"",IF(R327=1,"Pagada",IF(C327&lt;$F$12,"Vencida",IF(301=$F$13,"Próxima","Pendiente"))))</f>
        <v/>
      </c>
      <c r="R327" s="62" t="n">
        <f aca="false">IF(AND(K327&gt;0,OR(O327="Sí",O327="Si")),1,0)</f>
        <v>0</v>
      </c>
      <c r="S327" s="62" t="n">
        <f aca="false">IF(AND(K327&gt;0,R327=0),1,0)</f>
        <v>0</v>
      </c>
    </row>
    <row r="328" customFormat="false" ht="15" hidden="false" customHeight="false" outlineLevel="0" collapsed="false">
      <c r="B328" s="71" t="str">
        <f aca="false">IF($F$6="Sí",N($C$11)+301,"")</f>
        <v/>
      </c>
      <c r="C328" s="72" t="str">
        <f aca="false">IF(OR($F$6&lt;&gt;"Sí",D328&lt;=0.5),"",EDATE($C$10,301))</f>
        <v/>
      </c>
      <c r="D328" s="41" t="n">
        <f aca="false">MAX(0,M327)</f>
        <v>0</v>
      </c>
      <c r="E328" s="41" t="n">
        <f aca="false">D328*$F$7</f>
        <v>0</v>
      </c>
      <c r="F328" s="41" t="n">
        <f aca="false">IF(D328&gt;0.5,N($C$15),0)</f>
        <v>0</v>
      </c>
      <c r="G328" s="41" t="n">
        <f aca="false">IF(AND(D328&gt;0.5,N($C$19)&gt;0,N(B328)&lt;=N($C$20)),D328*$F$8,0)</f>
        <v>0</v>
      </c>
      <c r="H328" s="41" t="n">
        <f aca="false">IF(D328&lt;=0.5,0,MIN(IF(N(I328)&gt;0,I328,$F$9),D328+E328+F328))</f>
        <v>0</v>
      </c>
      <c r="I328" s="77"/>
      <c r="J328" s="77"/>
      <c r="K328" s="41" t="n">
        <f aca="false">IF(D328&lt;=0.5,0,MIN(H328+N(J328),D328+E328+F328))</f>
        <v>0</v>
      </c>
      <c r="L328" s="41" t="n">
        <f aca="false">K328-E328-F328</f>
        <v>0</v>
      </c>
      <c r="M328" s="41" t="n">
        <f aca="false">D328-L328</f>
        <v>0</v>
      </c>
      <c r="N328" s="42" t="n">
        <f aca="false">K328-G328</f>
        <v>0</v>
      </c>
      <c r="O328" s="78"/>
      <c r="P328" s="79"/>
      <c r="Q328" s="16" t="str">
        <f aca="false">IF(K328=0,"",IF(R328=1,"Pagada",IF(C328&lt;$F$12,"Vencida",IF(302=$F$13,"Próxima","Pendiente"))))</f>
        <v/>
      </c>
      <c r="R328" s="62" t="n">
        <f aca="false">IF(AND(K328&gt;0,OR(O328="Sí",O328="Si")),1,0)</f>
        <v>0</v>
      </c>
      <c r="S328" s="62" t="n">
        <f aca="false">IF(AND(K328&gt;0,R328=0),1,0)</f>
        <v>0</v>
      </c>
    </row>
    <row r="329" customFormat="false" ht="15" hidden="false" customHeight="false" outlineLevel="0" collapsed="false">
      <c r="B329" s="71" t="str">
        <f aca="false">IF($F$6="Sí",N($C$11)+302,"")</f>
        <v/>
      </c>
      <c r="C329" s="72" t="str">
        <f aca="false">IF(OR($F$6&lt;&gt;"Sí",D329&lt;=0.5),"",EDATE($C$10,302))</f>
        <v/>
      </c>
      <c r="D329" s="41" t="n">
        <f aca="false">MAX(0,M328)</f>
        <v>0</v>
      </c>
      <c r="E329" s="41" t="n">
        <f aca="false">D329*$F$7</f>
        <v>0</v>
      </c>
      <c r="F329" s="41" t="n">
        <f aca="false">IF(D329&gt;0.5,N($C$15),0)</f>
        <v>0</v>
      </c>
      <c r="G329" s="41" t="n">
        <f aca="false">IF(AND(D329&gt;0.5,N($C$19)&gt;0,N(B329)&lt;=N($C$20)),D329*$F$8,0)</f>
        <v>0</v>
      </c>
      <c r="H329" s="41" t="n">
        <f aca="false">IF(D329&lt;=0.5,0,MIN(IF(N(I329)&gt;0,I329,$F$9),D329+E329+F329))</f>
        <v>0</v>
      </c>
      <c r="I329" s="77"/>
      <c r="J329" s="77"/>
      <c r="K329" s="41" t="n">
        <f aca="false">IF(D329&lt;=0.5,0,MIN(H329+N(J329),D329+E329+F329))</f>
        <v>0</v>
      </c>
      <c r="L329" s="41" t="n">
        <f aca="false">K329-E329-F329</f>
        <v>0</v>
      </c>
      <c r="M329" s="41" t="n">
        <f aca="false">D329-L329</f>
        <v>0</v>
      </c>
      <c r="N329" s="42" t="n">
        <f aca="false">K329-G329</f>
        <v>0</v>
      </c>
      <c r="O329" s="78"/>
      <c r="P329" s="79"/>
      <c r="Q329" s="16" t="str">
        <f aca="false">IF(K329=0,"",IF(R329=1,"Pagada",IF(C329&lt;$F$12,"Vencida",IF(303=$F$13,"Próxima","Pendiente"))))</f>
        <v/>
      </c>
      <c r="R329" s="62" t="n">
        <f aca="false">IF(AND(K329&gt;0,OR(O329="Sí",O329="Si")),1,0)</f>
        <v>0</v>
      </c>
      <c r="S329" s="62" t="n">
        <f aca="false">IF(AND(K329&gt;0,R329=0),1,0)</f>
        <v>0</v>
      </c>
    </row>
    <row r="330" customFormat="false" ht="15" hidden="false" customHeight="false" outlineLevel="0" collapsed="false">
      <c r="B330" s="71" t="str">
        <f aca="false">IF($F$6="Sí",N($C$11)+303,"")</f>
        <v/>
      </c>
      <c r="C330" s="72" t="str">
        <f aca="false">IF(OR($F$6&lt;&gt;"Sí",D330&lt;=0.5),"",EDATE($C$10,303))</f>
        <v/>
      </c>
      <c r="D330" s="41" t="n">
        <f aca="false">MAX(0,M329)</f>
        <v>0</v>
      </c>
      <c r="E330" s="41" t="n">
        <f aca="false">D330*$F$7</f>
        <v>0</v>
      </c>
      <c r="F330" s="41" t="n">
        <f aca="false">IF(D330&gt;0.5,N($C$15),0)</f>
        <v>0</v>
      </c>
      <c r="G330" s="41" t="n">
        <f aca="false">IF(AND(D330&gt;0.5,N($C$19)&gt;0,N(B330)&lt;=N($C$20)),D330*$F$8,0)</f>
        <v>0</v>
      </c>
      <c r="H330" s="41" t="n">
        <f aca="false">IF(D330&lt;=0.5,0,MIN(IF(N(I330)&gt;0,I330,$F$9),D330+E330+F330))</f>
        <v>0</v>
      </c>
      <c r="I330" s="77"/>
      <c r="J330" s="77"/>
      <c r="K330" s="41" t="n">
        <f aca="false">IF(D330&lt;=0.5,0,MIN(H330+N(J330),D330+E330+F330))</f>
        <v>0</v>
      </c>
      <c r="L330" s="41" t="n">
        <f aca="false">K330-E330-F330</f>
        <v>0</v>
      </c>
      <c r="M330" s="41" t="n">
        <f aca="false">D330-L330</f>
        <v>0</v>
      </c>
      <c r="N330" s="42" t="n">
        <f aca="false">K330-G330</f>
        <v>0</v>
      </c>
      <c r="O330" s="78"/>
      <c r="P330" s="79"/>
      <c r="Q330" s="16" t="str">
        <f aca="false">IF(K330=0,"",IF(R330=1,"Pagada",IF(C330&lt;$F$12,"Vencida",IF(304=$F$13,"Próxima","Pendiente"))))</f>
        <v/>
      </c>
      <c r="R330" s="62" t="n">
        <f aca="false">IF(AND(K330&gt;0,OR(O330="Sí",O330="Si")),1,0)</f>
        <v>0</v>
      </c>
      <c r="S330" s="62" t="n">
        <f aca="false">IF(AND(K330&gt;0,R330=0),1,0)</f>
        <v>0</v>
      </c>
    </row>
    <row r="331" customFormat="false" ht="15" hidden="false" customHeight="false" outlineLevel="0" collapsed="false">
      <c r="B331" s="71" t="str">
        <f aca="false">IF($F$6="Sí",N($C$11)+304,"")</f>
        <v/>
      </c>
      <c r="C331" s="72" t="str">
        <f aca="false">IF(OR($F$6&lt;&gt;"Sí",D331&lt;=0.5),"",EDATE($C$10,304))</f>
        <v/>
      </c>
      <c r="D331" s="41" t="n">
        <f aca="false">MAX(0,M330)</f>
        <v>0</v>
      </c>
      <c r="E331" s="41" t="n">
        <f aca="false">D331*$F$7</f>
        <v>0</v>
      </c>
      <c r="F331" s="41" t="n">
        <f aca="false">IF(D331&gt;0.5,N($C$15),0)</f>
        <v>0</v>
      </c>
      <c r="G331" s="41" t="n">
        <f aca="false">IF(AND(D331&gt;0.5,N($C$19)&gt;0,N(B331)&lt;=N($C$20)),D331*$F$8,0)</f>
        <v>0</v>
      </c>
      <c r="H331" s="41" t="n">
        <f aca="false">IF(D331&lt;=0.5,0,MIN(IF(N(I331)&gt;0,I331,$F$9),D331+E331+F331))</f>
        <v>0</v>
      </c>
      <c r="I331" s="77"/>
      <c r="J331" s="77"/>
      <c r="K331" s="41" t="n">
        <f aca="false">IF(D331&lt;=0.5,0,MIN(H331+N(J331),D331+E331+F331))</f>
        <v>0</v>
      </c>
      <c r="L331" s="41" t="n">
        <f aca="false">K331-E331-F331</f>
        <v>0</v>
      </c>
      <c r="M331" s="41" t="n">
        <f aca="false">D331-L331</f>
        <v>0</v>
      </c>
      <c r="N331" s="42" t="n">
        <f aca="false">K331-G331</f>
        <v>0</v>
      </c>
      <c r="O331" s="78"/>
      <c r="P331" s="79"/>
      <c r="Q331" s="16" t="str">
        <f aca="false">IF(K331=0,"",IF(R331=1,"Pagada",IF(C331&lt;$F$12,"Vencida",IF(305=$F$13,"Próxima","Pendiente"))))</f>
        <v/>
      </c>
      <c r="R331" s="62" t="n">
        <f aca="false">IF(AND(K331&gt;0,OR(O331="Sí",O331="Si")),1,0)</f>
        <v>0</v>
      </c>
      <c r="S331" s="62" t="n">
        <f aca="false">IF(AND(K331&gt;0,R331=0),1,0)</f>
        <v>0</v>
      </c>
    </row>
    <row r="332" customFormat="false" ht="15" hidden="false" customHeight="false" outlineLevel="0" collapsed="false">
      <c r="B332" s="71" t="str">
        <f aca="false">IF($F$6="Sí",N($C$11)+305,"")</f>
        <v/>
      </c>
      <c r="C332" s="72" t="str">
        <f aca="false">IF(OR($F$6&lt;&gt;"Sí",D332&lt;=0.5),"",EDATE($C$10,305))</f>
        <v/>
      </c>
      <c r="D332" s="41" t="n">
        <f aca="false">MAX(0,M331)</f>
        <v>0</v>
      </c>
      <c r="E332" s="41" t="n">
        <f aca="false">D332*$F$7</f>
        <v>0</v>
      </c>
      <c r="F332" s="41" t="n">
        <f aca="false">IF(D332&gt;0.5,N($C$15),0)</f>
        <v>0</v>
      </c>
      <c r="G332" s="41" t="n">
        <f aca="false">IF(AND(D332&gt;0.5,N($C$19)&gt;0,N(B332)&lt;=N($C$20)),D332*$F$8,0)</f>
        <v>0</v>
      </c>
      <c r="H332" s="41" t="n">
        <f aca="false">IF(D332&lt;=0.5,0,MIN(IF(N(I332)&gt;0,I332,$F$9),D332+E332+F332))</f>
        <v>0</v>
      </c>
      <c r="I332" s="77"/>
      <c r="J332" s="77"/>
      <c r="K332" s="41" t="n">
        <f aca="false">IF(D332&lt;=0.5,0,MIN(H332+N(J332),D332+E332+F332))</f>
        <v>0</v>
      </c>
      <c r="L332" s="41" t="n">
        <f aca="false">K332-E332-F332</f>
        <v>0</v>
      </c>
      <c r="M332" s="41" t="n">
        <f aca="false">D332-L332</f>
        <v>0</v>
      </c>
      <c r="N332" s="42" t="n">
        <f aca="false">K332-G332</f>
        <v>0</v>
      </c>
      <c r="O332" s="78"/>
      <c r="P332" s="79"/>
      <c r="Q332" s="16" t="str">
        <f aca="false">IF(K332=0,"",IF(R332=1,"Pagada",IF(C332&lt;$F$12,"Vencida",IF(306=$F$13,"Próxima","Pendiente"))))</f>
        <v/>
      </c>
      <c r="R332" s="62" t="n">
        <f aca="false">IF(AND(K332&gt;0,OR(O332="Sí",O332="Si")),1,0)</f>
        <v>0</v>
      </c>
      <c r="S332" s="62" t="n">
        <f aca="false">IF(AND(K332&gt;0,R332=0),1,0)</f>
        <v>0</v>
      </c>
    </row>
    <row r="333" customFormat="false" ht="15" hidden="false" customHeight="false" outlineLevel="0" collapsed="false">
      <c r="B333" s="71" t="str">
        <f aca="false">IF($F$6="Sí",N($C$11)+306,"")</f>
        <v/>
      </c>
      <c r="C333" s="72" t="str">
        <f aca="false">IF(OR($F$6&lt;&gt;"Sí",D333&lt;=0.5),"",EDATE($C$10,306))</f>
        <v/>
      </c>
      <c r="D333" s="41" t="n">
        <f aca="false">MAX(0,M332)</f>
        <v>0</v>
      </c>
      <c r="E333" s="41" t="n">
        <f aca="false">D333*$F$7</f>
        <v>0</v>
      </c>
      <c r="F333" s="41" t="n">
        <f aca="false">IF(D333&gt;0.5,N($C$15),0)</f>
        <v>0</v>
      </c>
      <c r="G333" s="41" t="n">
        <f aca="false">IF(AND(D333&gt;0.5,N($C$19)&gt;0,N(B333)&lt;=N($C$20)),D333*$F$8,0)</f>
        <v>0</v>
      </c>
      <c r="H333" s="41" t="n">
        <f aca="false">IF(D333&lt;=0.5,0,MIN(IF(N(I333)&gt;0,I333,$F$9),D333+E333+F333))</f>
        <v>0</v>
      </c>
      <c r="I333" s="77"/>
      <c r="J333" s="77"/>
      <c r="K333" s="41" t="n">
        <f aca="false">IF(D333&lt;=0.5,0,MIN(H333+N(J333),D333+E333+F333))</f>
        <v>0</v>
      </c>
      <c r="L333" s="41" t="n">
        <f aca="false">K333-E333-F333</f>
        <v>0</v>
      </c>
      <c r="M333" s="41" t="n">
        <f aca="false">D333-L333</f>
        <v>0</v>
      </c>
      <c r="N333" s="42" t="n">
        <f aca="false">K333-G333</f>
        <v>0</v>
      </c>
      <c r="O333" s="78"/>
      <c r="P333" s="79"/>
      <c r="Q333" s="16" t="str">
        <f aca="false">IF(K333=0,"",IF(R333=1,"Pagada",IF(C333&lt;$F$12,"Vencida",IF(307=$F$13,"Próxima","Pendiente"))))</f>
        <v/>
      </c>
      <c r="R333" s="62" t="n">
        <f aca="false">IF(AND(K333&gt;0,OR(O333="Sí",O333="Si")),1,0)</f>
        <v>0</v>
      </c>
      <c r="S333" s="62" t="n">
        <f aca="false">IF(AND(K333&gt;0,R333=0),1,0)</f>
        <v>0</v>
      </c>
    </row>
    <row r="334" customFormat="false" ht="15" hidden="false" customHeight="false" outlineLevel="0" collapsed="false">
      <c r="B334" s="71" t="str">
        <f aca="false">IF($F$6="Sí",N($C$11)+307,"")</f>
        <v/>
      </c>
      <c r="C334" s="72" t="str">
        <f aca="false">IF(OR($F$6&lt;&gt;"Sí",D334&lt;=0.5),"",EDATE($C$10,307))</f>
        <v/>
      </c>
      <c r="D334" s="41" t="n">
        <f aca="false">MAX(0,M333)</f>
        <v>0</v>
      </c>
      <c r="E334" s="41" t="n">
        <f aca="false">D334*$F$7</f>
        <v>0</v>
      </c>
      <c r="F334" s="41" t="n">
        <f aca="false">IF(D334&gt;0.5,N($C$15),0)</f>
        <v>0</v>
      </c>
      <c r="G334" s="41" t="n">
        <f aca="false">IF(AND(D334&gt;0.5,N($C$19)&gt;0,N(B334)&lt;=N($C$20)),D334*$F$8,0)</f>
        <v>0</v>
      </c>
      <c r="H334" s="41" t="n">
        <f aca="false">IF(D334&lt;=0.5,0,MIN(IF(N(I334)&gt;0,I334,$F$9),D334+E334+F334))</f>
        <v>0</v>
      </c>
      <c r="I334" s="77"/>
      <c r="J334" s="77"/>
      <c r="K334" s="41" t="n">
        <f aca="false">IF(D334&lt;=0.5,0,MIN(H334+N(J334),D334+E334+F334))</f>
        <v>0</v>
      </c>
      <c r="L334" s="41" t="n">
        <f aca="false">K334-E334-F334</f>
        <v>0</v>
      </c>
      <c r="M334" s="41" t="n">
        <f aca="false">D334-L334</f>
        <v>0</v>
      </c>
      <c r="N334" s="42" t="n">
        <f aca="false">K334-G334</f>
        <v>0</v>
      </c>
      <c r="O334" s="78"/>
      <c r="P334" s="79"/>
      <c r="Q334" s="16" t="str">
        <f aca="false">IF(K334=0,"",IF(R334=1,"Pagada",IF(C334&lt;$F$12,"Vencida",IF(308=$F$13,"Próxima","Pendiente"))))</f>
        <v/>
      </c>
      <c r="R334" s="62" t="n">
        <f aca="false">IF(AND(K334&gt;0,OR(O334="Sí",O334="Si")),1,0)</f>
        <v>0</v>
      </c>
      <c r="S334" s="62" t="n">
        <f aca="false">IF(AND(K334&gt;0,R334=0),1,0)</f>
        <v>0</v>
      </c>
    </row>
    <row r="335" customFormat="false" ht="15" hidden="false" customHeight="false" outlineLevel="0" collapsed="false">
      <c r="B335" s="71" t="str">
        <f aca="false">IF($F$6="Sí",N($C$11)+308,"")</f>
        <v/>
      </c>
      <c r="C335" s="72" t="str">
        <f aca="false">IF(OR($F$6&lt;&gt;"Sí",D335&lt;=0.5),"",EDATE($C$10,308))</f>
        <v/>
      </c>
      <c r="D335" s="41" t="n">
        <f aca="false">MAX(0,M334)</f>
        <v>0</v>
      </c>
      <c r="E335" s="41" t="n">
        <f aca="false">D335*$F$7</f>
        <v>0</v>
      </c>
      <c r="F335" s="41" t="n">
        <f aca="false">IF(D335&gt;0.5,N($C$15),0)</f>
        <v>0</v>
      </c>
      <c r="G335" s="41" t="n">
        <f aca="false">IF(AND(D335&gt;0.5,N($C$19)&gt;0,N(B335)&lt;=N($C$20)),D335*$F$8,0)</f>
        <v>0</v>
      </c>
      <c r="H335" s="41" t="n">
        <f aca="false">IF(D335&lt;=0.5,0,MIN(IF(N(I335)&gt;0,I335,$F$9),D335+E335+F335))</f>
        <v>0</v>
      </c>
      <c r="I335" s="77"/>
      <c r="J335" s="77"/>
      <c r="K335" s="41" t="n">
        <f aca="false">IF(D335&lt;=0.5,0,MIN(H335+N(J335),D335+E335+F335))</f>
        <v>0</v>
      </c>
      <c r="L335" s="41" t="n">
        <f aca="false">K335-E335-F335</f>
        <v>0</v>
      </c>
      <c r="M335" s="41" t="n">
        <f aca="false">D335-L335</f>
        <v>0</v>
      </c>
      <c r="N335" s="42" t="n">
        <f aca="false">K335-G335</f>
        <v>0</v>
      </c>
      <c r="O335" s="78"/>
      <c r="P335" s="79"/>
      <c r="Q335" s="16" t="str">
        <f aca="false">IF(K335=0,"",IF(R335=1,"Pagada",IF(C335&lt;$F$12,"Vencida",IF(309=$F$13,"Próxima","Pendiente"))))</f>
        <v/>
      </c>
      <c r="R335" s="62" t="n">
        <f aca="false">IF(AND(K335&gt;0,OR(O335="Sí",O335="Si")),1,0)</f>
        <v>0</v>
      </c>
      <c r="S335" s="62" t="n">
        <f aca="false">IF(AND(K335&gt;0,R335=0),1,0)</f>
        <v>0</v>
      </c>
    </row>
    <row r="336" customFormat="false" ht="15" hidden="false" customHeight="false" outlineLevel="0" collapsed="false">
      <c r="B336" s="71" t="str">
        <f aca="false">IF($F$6="Sí",N($C$11)+309,"")</f>
        <v/>
      </c>
      <c r="C336" s="72" t="str">
        <f aca="false">IF(OR($F$6&lt;&gt;"Sí",D336&lt;=0.5),"",EDATE($C$10,309))</f>
        <v/>
      </c>
      <c r="D336" s="41" t="n">
        <f aca="false">MAX(0,M335)</f>
        <v>0</v>
      </c>
      <c r="E336" s="41" t="n">
        <f aca="false">D336*$F$7</f>
        <v>0</v>
      </c>
      <c r="F336" s="41" t="n">
        <f aca="false">IF(D336&gt;0.5,N($C$15),0)</f>
        <v>0</v>
      </c>
      <c r="G336" s="41" t="n">
        <f aca="false">IF(AND(D336&gt;0.5,N($C$19)&gt;0,N(B336)&lt;=N($C$20)),D336*$F$8,0)</f>
        <v>0</v>
      </c>
      <c r="H336" s="41" t="n">
        <f aca="false">IF(D336&lt;=0.5,0,MIN(IF(N(I336)&gt;0,I336,$F$9),D336+E336+F336))</f>
        <v>0</v>
      </c>
      <c r="I336" s="77"/>
      <c r="J336" s="77"/>
      <c r="K336" s="41" t="n">
        <f aca="false">IF(D336&lt;=0.5,0,MIN(H336+N(J336),D336+E336+F336))</f>
        <v>0</v>
      </c>
      <c r="L336" s="41" t="n">
        <f aca="false">K336-E336-F336</f>
        <v>0</v>
      </c>
      <c r="M336" s="41" t="n">
        <f aca="false">D336-L336</f>
        <v>0</v>
      </c>
      <c r="N336" s="42" t="n">
        <f aca="false">K336-G336</f>
        <v>0</v>
      </c>
      <c r="O336" s="78"/>
      <c r="P336" s="79"/>
      <c r="Q336" s="16" t="str">
        <f aca="false">IF(K336=0,"",IF(R336=1,"Pagada",IF(C336&lt;$F$12,"Vencida",IF(310=$F$13,"Próxima","Pendiente"))))</f>
        <v/>
      </c>
      <c r="R336" s="62" t="n">
        <f aca="false">IF(AND(K336&gt;0,OR(O336="Sí",O336="Si")),1,0)</f>
        <v>0</v>
      </c>
      <c r="S336" s="62" t="n">
        <f aca="false">IF(AND(K336&gt;0,R336=0),1,0)</f>
        <v>0</v>
      </c>
    </row>
    <row r="337" customFormat="false" ht="15" hidden="false" customHeight="false" outlineLevel="0" collapsed="false">
      <c r="B337" s="71" t="str">
        <f aca="false">IF($F$6="Sí",N($C$11)+310,"")</f>
        <v/>
      </c>
      <c r="C337" s="72" t="str">
        <f aca="false">IF(OR($F$6&lt;&gt;"Sí",D337&lt;=0.5),"",EDATE($C$10,310))</f>
        <v/>
      </c>
      <c r="D337" s="41" t="n">
        <f aca="false">MAX(0,M336)</f>
        <v>0</v>
      </c>
      <c r="E337" s="41" t="n">
        <f aca="false">D337*$F$7</f>
        <v>0</v>
      </c>
      <c r="F337" s="41" t="n">
        <f aca="false">IF(D337&gt;0.5,N($C$15),0)</f>
        <v>0</v>
      </c>
      <c r="G337" s="41" t="n">
        <f aca="false">IF(AND(D337&gt;0.5,N($C$19)&gt;0,N(B337)&lt;=N($C$20)),D337*$F$8,0)</f>
        <v>0</v>
      </c>
      <c r="H337" s="41" t="n">
        <f aca="false">IF(D337&lt;=0.5,0,MIN(IF(N(I337)&gt;0,I337,$F$9),D337+E337+F337))</f>
        <v>0</v>
      </c>
      <c r="I337" s="77"/>
      <c r="J337" s="77"/>
      <c r="K337" s="41" t="n">
        <f aca="false">IF(D337&lt;=0.5,0,MIN(H337+N(J337),D337+E337+F337))</f>
        <v>0</v>
      </c>
      <c r="L337" s="41" t="n">
        <f aca="false">K337-E337-F337</f>
        <v>0</v>
      </c>
      <c r="M337" s="41" t="n">
        <f aca="false">D337-L337</f>
        <v>0</v>
      </c>
      <c r="N337" s="42" t="n">
        <f aca="false">K337-G337</f>
        <v>0</v>
      </c>
      <c r="O337" s="78"/>
      <c r="P337" s="79"/>
      <c r="Q337" s="16" t="str">
        <f aca="false">IF(K337=0,"",IF(R337=1,"Pagada",IF(C337&lt;$F$12,"Vencida",IF(311=$F$13,"Próxima","Pendiente"))))</f>
        <v/>
      </c>
      <c r="R337" s="62" t="n">
        <f aca="false">IF(AND(K337&gt;0,OR(O337="Sí",O337="Si")),1,0)</f>
        <v>0</v>
      </c>
      <c r="S337" s="62" t="n">
        <f aca="false">IF(AND(K337&gt;0,R337=0),1,0)</f>
        <v>0</v>
      </c>
    </row>
    <row r="338" customFormat="false" ht="15" hidden="false" customHeight="false" outlineLevel="0" collapsed="false">
      <c r="B338" s="71" t="str">
        <f aca="false">IF($F$6="Sí",N($C$11)+311,"")</f>
        <v/>
      </c>
      <c r="C338" s="72" t="str">
        <f aca="false">IF(OR($F$6&lt;&gt;"Sí",D338&lt;=0.5),"",EDATE($C$10,311))</f>
        <v/>
      </c>
      <c r="D338" s="41" t="n">
        <f aca="false">MAX(0,M337)</f>
        <v>0</v>
      </c>
      <c r="E338" s="41" t="n">
        <f aca="false">D338*$F$7</f>
        <v>0</v>
      </c>
      <c r="F338" s="41" t="n">
        <f aca="false">IF(D338&gt;0.5,N($C$15),0)</f>
        <v>0</v>
      </c>
      <c r="G338" s="41" t="n">
        <f aca="false">IF(AND(D338&gt;0.5,N($C$19)&gt;0,N(B338)&lt;=N($C$20)),D338*$F$8,0)</f>
        <v>0</v>
      </c>
      <c r="H338" s="41" t="n">
        <f aca="false">IF(D338&lt;=0.5,0,MIN(IF(N(I338)&gt;0,I338,$F$9),D338+E338+F338))</f>
        <v>0</v>
      </c>
      <c r="I338" s="77"/>
      <c r="J338" s="77"/>
      <c r="K338" s="41" t="n">
        <f aca="false">IF(D338&lt;=0.5,0,MIN(H338+N(J338),D338+E338+F338))</f>
        <v>0</v>
      </c>
      <c r="L338" s="41" t="n">
        <f aca="false">K338-E338-F338</f>
        <v>0</v>
      </c>
      <c r="M338" s="41" t="n">
        <f aca="false">D338-L338</f>
        <v>0</v>
      </c>
      <c r="N338" s="42" t="n">
        <f aca="false">K338-G338</f>
        <v>0</v>
      </c>
      <c r="O338" s="78"/>
      <c r="P338" s="79"/>
      <c r="Q338" s="16" t="str">
        <f aca="false">IF(K338=0,"",IF(R338=1,"Pagada",IF(C338&lt;$F$12,"Vencida",IF(312=$F$13,"Próxima","Pendiente"))))</f>
        <v/>
      </c>
      <c r="R338" s="62" t="n">
        <f aca="false">IF(AND(K338&gt;0,OR(O338="Sí",O338="Si")),1,0)</f>
        <v>0</v>
      </c>
      <c r="S338" s="62" t="n">
        <f aca="false">IF(AND(K338&gt;0,R338=0),1,0)</f>
        <v>0</v>
      </c>
    </row>
    <row r="339" customFormat="false" ht="15" hidden="false" customHeight="false" outlineLevel="0" collapsed="false">
      <c r="B339" s="71" t="str">
        <f aca="false">IF($F$6="Sí",N($C$11)+312,"")</f>
        <v/>
      </c>
      <c r="C339" s="72" t="str">
        <f aca="false">IF(OR($F$6&lt;&gt;"Sí",D339&lt;=0.5),"",EDATE($C$10,312))</f>
        <v/>
      </c>
      <c r="D339" s="41" t="n">
        <f aca="false">MAX(0,M338)</f>
        <v>0</v>
      </c>
      <c r="E339" s="41" t="n">
        <f aca="false">D339*$F$7</f>
        <v>0</v>
      </c>
      <c r="F339" s="41" t="n">
        <f aca="false">IF(D339&gt;0.5,N($C$15),0)</f>
        <v>0</v>
      </c>
      <c r="G339" s="41" t="n">
        <f aca="false">IF(AND(D339&gt;0.5,N($C$19)&gt;0,N(B339)&lt;=N($C$20)),D339*$F$8,0)</f>
        <v>0</v>
      </c>
      <c r="H339" s="41" t="n">
        <f aca="false">IF(D339&lt;=0.5,0,MIN(IF(N(I339)&gt;0,I339,$F$9),D339+E339+F339))</f>
        <v>0</v>
      </c>
      <c r="I339" s="77"/>
      <c r="J339" s="77"/>
      <c r="K339" s="41" t="n">
        <f aca="false">IF(D339&lt;=0.5,0,MIN(H339+N(J339),D339+E339+F339))</f>
        <v>0</v>
      </c>
      <c r="L339" s="41" t="n">
        <f aca="false">K339-E339-F339</f>
        <v>0</v>
      </c>
      <c r="M339" s="41" t="n">
        <f aca="false">D339-L339</f>
        <v>0</v>
      </c>
      <c r="N339" s="42" t="n">
        <f aca="false">K339-G339</f>
        <v>0</v>
      </c>
      <c r="O339" s="78"/>
      <c r="P339" s="79"/>
      <c r="Q339" s="16" t="str">
        <f aca="false">IF(K339=0,"",IF(R339=1,"Pagada",IF(C339&lt;$F$12,"Vencida",IF(313=$F$13,"Próxima","Pendiente"))))</f>
        <v/>
      </c>
      <c r="R339" s="62" t="n">
        <f aca="false">IF(AND(K339&gt;0,OR(O339="Sí",O339="Si")),1,0)</f>
        <v>0</v>
      </c>
      <c r="S339" s="62" t="n">
        <f aca="false">IF(AND(K339&gt;0,R339=0),1,0)</f>
        <v>0</v>
      </c>
    </row>
    <row r="340" customFormat="false" ht="15" hidden="false" customHeight="false" outlineLevel="0" collapsed="false">
      <c r="B340" s="71" t="str">
        <f aca="false">IF($F$6="Sí",N($C$11)+313,"")</f>
        <v/>
      </c>
      <c r="C340" s="72" t="str">
        <f aca="false">IF(OR($F$6&lt;&gt;"Sí",D340&lt;=0.5),"",EDATE($C$10,313))</f>
        <v/>
      </c>
      <c r="D340" s="41" t="n">
        <f aca="false">MAX(0,M339)</f>
        <v>0</v>
      </c>
      <c r="E340" s="41" t="n">
        <f aca="false">D340*$F$7</f>
        <v>0</v>
      </c>
      <c r="F340" s="41" t="n">
        <f aca="false">IF(D340&gt;0.5,N($C$15),0)</f>
        <v>0</v>
      </c>
      <c r="G340" s="41" t="n">
        <f aca="false">IF(AND(D340&gt;0.5,N($C$19)&gt;0,N(B340)&lt;=N($C$20)),D340*$F$8,0)</f>
        <v>0</v>
      </c>
      <c r="H340" s="41" t="n">
        <f aca="false">IF(D340&lt;=0.5,0,MIN(IF(N(I340)&gt;0,I340,$F$9),D340+E340+F340))</f>
        <v>0</v>
      </c>
      <c r="I340" s="77"/>
      <c r="J340" s="77"/>
      <c r="K340" s="41" t="n">
        <f aca="false">IF(D340&lt;=0.5,0,MIN(H340+N(J340),D340+E340+F340))</f>
        <v>0</v>
      </c>
      <c r="L340" s="41" t="n">
        <f aca="false">K340-E340-F340</f>
        <v>0</v>
      </c>
      <c r="M340" s="41" t="n">
        <f aca="false">D340-L340</f>
        <v>0</v>
      </c>
      <c r="N340" s="42" t="n">
        <f aca="false">K340-G340</f>
        <v>0</v>
      </c>
      <c r="O340" s="78"/>
      <c r="P340" s="79"/>
      <c r="Q340" s="16" t="str">
        <f aca="false">IF(K340=0,"",IF(R340=1,"Pagada",IF(C340&lt;$F$12,"Vencida",IF(314=$F$13,"Próxima","Pendiente"))))</f>
        <v/>
      </c>
      <c r="R340" s="62" t="n">
        <f aca="false">IF(AND(K340&gt;0,OR(O340="Sí",O340="Si")),1,0)</f>
        <v>0</v>
      </c>
      <c r="S340" s="62" t="n">
        <f aca="false">IF(AND(K340&gt;0,R340=0),1,0)</f>
        <v>0</v>
      </c>
    </row>
    <row r="341" customFormat="false" ht="15" hidden="false" customHeight="false" outlineLevel="0" collapsed="false">
      <c r="B341" s="71" t="str">
        <f aca="false">IF($F$6="Sí",N($C$11)+314,"")</f>
        <v/>
      </c>
      <c r="C341" s="72" t="str">
        <f aca="false">IF(OR($F$6&lt;&gt;"Sí",D341&lt;=0.5),"",EDATE($C$10,314))</f>
        <v/>
      </c>
      <c r="D341" s="41" t="n">
        <f aca="false">MAX(0,M340)</f>
        <v>0</v>
      </c>
      <c r="E341" s="41" t="n">
        <f aca="false">D341*$F$7</f>
        <v>0</v>
      </c>
      <c r="F341" s="41" t="n">
        <f aca="false">IF(D341&gt;0.5,N($C$15),0)</f>
        <v>0</v>
      </c>
      <c r="G341" s="41" t="n">
        <f aca="false">IF(AND(D341&gt;0.5,N($C$19)&gt;0,N(B341)&lt;=N($C$20)),D341*$F$8,0)</f>
        <v>0</v>
      </c>
      <c r="H341" s="41" t="n">
        <f aca="false">IF(D341&lt;=0.5,0,MIN(IF(N(I341)&gt;0,I341,$F$9),D341+E341+F341))</f>
        <v>0</v>
      </c>
      <c r="I341" s="77"/>
      <c r="J341" s="77"/>
      <c r="K341" s="41" t="n">
        <f aca="false">IF(D341&lt;=0.5,0,MIN(H341+N(J341),D341+E341+F341))</f>
        <v>0</v>
      </c>
      <c r="L341" s="41" t="n">
        <f aca="false">K341-E341-F341</f>
        <v>0</v>
      </c>
      <c r="M341" s="41" t="n">
        <f aca="false">D341-L341</f>
        <v>0</v>
      </c>
      <c r="N341" s="42" t="n">
        <f aca="false">K341-G341</f>
        <v>0</v>
      </c>
      <c r="O341" s="78"/>
      <c r="P341" s="79"/>
      <c r="Q341" s="16" t="str">
        <f aca="false">IF(K341=0,"",IF(R341=1,"Pagada",IF(C341&lt;$F$12,"Vencida",IF(315=$F$13,"Próxima","Pendiente"))))</f>
        <v/>
      </c>
      <c r="R341" s="62" t="n">
        <f aca="false">IF(AND(K341&gt;0,OR(O341="Sí",O341="Si")),1,0)</f>
        <v>0</v>
      </c>
      <c r="S341" s="62" t="n">
        <f aca="false">IF(AND(K341&gt;0,R341=0),1,0)</f>
        <v>0</v>
      </c>
    </row>
    <row r="342" customFormat="false" ht="15" hidden="false" customHeight="false" outlineLevel="0" collapsed="false">
      <c r="B342" s="71" t="str">
        <f aca="false">IF($F$6="Sí",N($C$11)+315,"")</f>
        <v/>
      </c>
      <c r="C342" s="72" t="str">
        <f aca="false">IF(OR($F$6&lt;&gt;"Sí",D342&lt;=0.5),"",EDATE($C$10,315))</f>
        <v/>
      </c>
      <c r="D342" s="41" t="n">
        <f aca="false">MAX(0,M341)</f>
        <v>0</v>
      </c>
      <c r="E342" s="41" t="n">
        <f aca="false">D342*$F$7</f>
        <v>0</v>
      </c>
      <c r="F342" s="41" t="n">
        <f aca="false">IF(D342&gt;0.5,N($C$15),0)</f>
        <v>0</v>
      </c>
      <c r="G342" s="41" t="n">
        <f aca="false">IF(AND(D342&gt;0.5,N($C$19)&gt;0,N(B342)&lt;=N($C$20)),D342*$F$8,0)</f>
        <v>0</v>
      </c>
      <c r="H342" s="41" t="n">
        <f aca="false">IF(D342&lt;=0.5,0,MIN(IF(N(I342)&gt;0,I342,$F$9),D342+E342+F342))</f>
        <v>0</v>
      </c>
      <c r="I342" s="77"/>
      <c r="J342" s="77"/>
      <c r="K342" s="41" t="n">
        <f aca="false">IF(D342&lt;=0.5,0,MIN(H342+N(J342),D342+E342+F342))</f>
        <v>0</v>
      </c>
      <c r="L342" s="41" t="n">
        <f aca="false">K342-E342-F342</f>
        <v>0</v>
      </c>
      <c r="M342" s="41" t="n">
        <f aca="false">D342-L342</f>
        <v>0</v>
      </c>
      <c r="N342" s="42" t="n">
        <f aca="false">K342-G342</f>
        <v>0</v>
      </c>
      <c r="O342" s="78"/>
      <c r="P342" s="79"/>
      <c r="Q342" s="16" t="str">
        <f aca="false">IF(K342=0,"",IF(R342=1,"Pagada",IF(C342&lt;$F$12,"Vencida",IF(316=$F$13,"Próxima","Pendiente"))))</f>
        <v/>
      </c>
      <c r="R342" s="62" t="n">
        <f aca="false">IF(AND(K342&gt;0,OR(O342="Sí",O342="Si")),1,0)</f>
        <v>0</v>
      </c>
      <c r="S342" s="62" t="n">
        <f aca="false">IF(AND(K342&gt;0,R342=0),1,0)</f>
        <v>0</v>
      </c>
    </row>
    <row r="343" customFormat="false" ht="15" hidden="false" customHeight="false" outlineLevel="0" collapsed="false">
      <c r="B343" s="71" t="str">
        <f aca="false">IF($F$6="Sí",N($C$11)+316,"")</f>
        <v/>
      </c>
      <c r="C343" s="72" t="str">
        <f aca="false">IF(OR($F$6&lt;&gt;"Sí",D343&lt;=0.5),"",EDATE($C$10,316))</f>
        <v/>
      </c>
      <c r="D343" s="41" t="n">
        <f aca="false">MAX(0,M342)</f>
        <v>0</v>
      </c>
      <c r="E343" s="41" t="n">
        <f aca="false">D343*$F$7</f>
        <v>0</v>
      </c>
      <c r="F343" s="41" t="n">
        <f aca="false">IF(D343&gt;0.5,N($C$15),0)</f>
        <v>0</v>
      </c>
      <c r="G343" s="41" t="n">
        <f aca="false">IF(AND(D343&gt;0.5,N($C$19)&gt;0,N(B343)&lt;=N($C$20)),D343*$F$8,0)</f>
        <v>0</v>
      </c>
      <c r="H343" s="41" t="n">
        <f aca="false">IF(D343&lt;=0.5,0,MIN(IF(N(I343)&gt;0,I343,$F$9),D343+E343+F343))</f>
        <v>0</v>
      </c>
      <c r="I343" s="77"/>
      <c r="J343" s="77"/>
      <c r="K343" s="41" t="n">
        <f aca="false">IF(D343&lt;=0.5,0,MIN(H343+N(J343),D343+E343+F343))</f>
        <v>0</v>
      </c>
      <c r="L343" s="41" t="n">
        <f aca="false">K343-E343-F343</f>
        <v>0</v>
      </c>
      <c r="M343" s="41" t="n">
        <f aca="false">D343-L343</f>
        <v>0</v>
      </c>
      <c r="N343" s="42" t="n">
        <f aca="false">K343-G343</f>
        <v>0</v>
      </c>
      <c r="O343" s="78"/>
      <c r="P343" s="79"/>
      <c r="Q343" s="16" t="str">
        <f aca="false">IF(K343=0,"",IF(R343=1,"Pagada",IF(C343&lt;$F$12,"Vencida",IF(317=$F$13,"Próxima","Pendiente"))))</f>
        <v/>
      </c>
      <c r="R343" s="62" t="n">
        <f aca="false">IF(AND(K343&gt;0,OR(O343="Sí",O343="Si")),1,0)</f>
        <v>0</v>
      </c>
      <c r="S343" s="62" t="n">
        <f aca="false">IF(AND(K343&gt;0,R343=0),1,0)</f>
        <v>0</v>
      </c>
    </row>
    <row r="344" customFormat="false" ht="15" hidden="false" customHeight="false" outlineLevel="0" collapsed="false">
      <c r="B344" s="71" t="str">
        <f aca="false">IF($F$6="Sí",N($C$11)+317,"")</f>
        <v/>
      </c>
      <c r="C344" s="72" t="str">
        <f aca="false">IF(OR($F$6&lt;&gt;"Sí",D344&lt;=0.5),"",EDATE($C$10,317))</f>
        <v/>
      </c>
      <c r="D344" s="41" t="n">
        <f aca="false">MAX(0,M343)</f>
        <v>0</v>
      </c>
      <c r="E344" s="41" t="n">
        <f aca="false">D344*$F$7</f>
        <v>0</v>
      </c>
      <c r="F344" s="41" t="n">
        <f aca="false">IF(D344&gt;0.5,N($C$15),0)</f>
        <v>0</v>
      </c>
      <c r="G344" s="41" t="n">
        <f aca="false">IF(AND(D344&gt;0.5,N($C$19)&gt;0,N(B344)&lt;=N($C$20)),D344*$F$8,0)</f>
        <v>0</v>
      </c>
      <c r="H344" s="41" t="n">
        <f aca="false">IF(D344&lt;=0.5,0,MIN(IF(N(I344)&gt;0,I344,$F$9),D344+E344+F344))</f>
        <v>0</v>
      </c>
      <c r="I344" s="77"/>
      <c r="J344" s="77"/>
      <c r="K344" s="41" t="n">
        <f aca="false">IF(D344&lt;=0.5,0,MIN(H344+N(J344),D344+E344+F344))</f>
        <v>0</v>
      </c>
      <c r="L344" s="41" t="n">
        <f aca="false">K344-E344-F344</f>
        <v>0</v>
      </c>
      <c r="M344" s="41" t="n">
        <f aca="false">D344-L344</f>
        <v>0</v>
      </c>
      <c r="N344" s="42" t="n">
        <f aca="false">K344-G344</f>
        <v>0</v>
      </c>
      <c r="O344" s="78"/>
      <c r="P344" s="79"/>
      <c r="Q344" s="16" t="str">
        <f aca="false">IF(K344=0,"",IF(R344=1,"Pagada",IF(C344&lt;$F$12,"Vencida",IF(318=$F$13,"Próxima","Pendiente"))))</f>
        <v/>
      </c>
      <c r="R344" s="62" t="n">
        <f aca="false">IF(AND(K344&gt;0,OR(O344="Sí",O344="Si")),1,0)</f>
        <v>0</v>
      </c>
      <c r="S344" s="62" t="n">
        <f aca="false">IF(AND(K344&gt;0,R344=0),1,0)</f>
        <v>0</v>
      </c>
    </row>
    <row r="345" customFormat="false" ht="15" hidden="false" customHeight="false" outlineLevel="0" collapsed="false">
      <c r="B345" s="71" t="str">
        <f aca="false">IF($F$6="Sí",N($C$11)+318,"")</f>
        <v/>
      </c>
      <c r="C345" s="72" t="str">
        <f aca="false">IF(OR($F$6&lt;&gt;"Sí",D345&lt;=0.5),"",EDATE($C$10,318))</f>
        <v/>
      </c>
      <c r="D345" s="41" t="n">
        <f aca="false">MAX(0,M344)</f>
        <v>0</v>
      </c>
      <c r="E345" s="41" t="n">
        <f aca="false">D345*$F$7</f>
        <v>0</v>
      </c>
      <c r="F345" s="41" t="n">
        <f aca="false">IF(D345&gt;0.5,N($C$15),0)</f>
        <v>0</v>
      </c>
      <c r="G345" s="41" t="n">
        <f aca="false">IF(AND(D345&gt;0.5,N($C$19)&gt;0,N(B345)&lt;=N($C$20)),D345*$F$8,0)</f>
        <v>0</v>
      </c>
      <c r="H345" s="41" t="n">
        <f aca="false">IF(D345&lt;=0.5,0,MIN(IF(N(I345)&gt;0,I345,$F$9),D345+E345+F345))</f>
        <v>0</v>
      </c>
      <c r="I345" s="77"/>
      <c r="J345" s="77"/>
      <c r="K345" s="41" t="n">
        <f aca="false">IF(D345&lt;=0.5,0,MIN(H345+N(J345),D345+E345+F345))</f>
        <v>0</v>
      </c>
      <c r="L345" s="41" t="n">
        <f aca="false">K345-E345-F345</f>
        <v>0</v>
      </c>
      <c r="M345" s="41" t="n">
        <f aca="false">D345-L345</f>
        <v>0</v>
      </c>
      <c r="N345" s="42" t="n">
        <f aca="false">K345-G345</f>
        <v>0</v>
      </c>
      <c r="O345" s="78"/>
      <c r="P345" s="79"/>
      <c r="Q345" s="16" t="str">
        <f aca="false">IF(K345=0,"",IF(R345=1,"Pagada",IF(C345&lt;$F$12,"Vencida",IF(319=$F$13,"Próxima","Pendiente"))))</f>
        <v/>
      </c>
      <c r="R345" s="62" t="n">
        <f aca="false">IF(AND(K345&gt;0,OR(O345="Sí",O345="Si")),1,0)</f>
        <v>0</v>
      </c>
      <c r="S345" s="62" t="n">
        <f aca="false">IF(AND(K345&gt;0,R345=0),1,0)</f>
        <v>0</v>
      </c>
    </row>
    <row r="346" customFormat="false" ht="15" hidden="false" customHeight="false" outlineLevel="0" collapsed="false">
      <c r="B346" s="71" t="str">
        <f aca="false">IF($F$6="Sí",N($C$11)+319,"")</f>
        <v/>
      </c>
      <c r="C346" s="72" t="str">
        <f aca="false">IF(OR($F$6&lt;&gt;"Sí",D346&lt;=0.5),"",EDATE($C$10,319))</f>
        <v/>
      </c>
      <c r="D346" s="41" t="n">
        <f aca="false">MAX(0,M345)</f>
        <v>0</v>
      </c>
      <c r="E346" s="41" t="n">
        <f aca="false">D346*$F$7</f>
        <v>0</v>
      </c>
      <c r="F346" s="41" t="n">
        <f aca="false">IF(D346&gt;0.5,N($C$15),0)</f>
        <v>0</v>
      </c>
      <c r="G346" s="41" t="n">
        <f aca="false">IF(AND(D346&gt;0.5,N($C$19)&gt;0,N(B346)&lt;=N($C$20)),D346*$F$8,0)</f>
        <v>0</v>
      </c>
      <c r="H346" s="41" t="n">
        <f aca="false">IF(D346&lt;=0.5,0,MIN(IF(N(I346)&gt;0,I346,$F$9),D346+E346+F346))</f>
        <v>0</v>
      </c>
      <c r="I346" s="77"/>
      <c r="J346" s="77"/>
      <c r="K346" s="41" t="n">
        <f aca="false">IF(D346&lt;=0.5,0,MIN(H346+N(J346),D346+E346+F346))</f>
        <v>0</v>
      </c>
      <c r="L346" s="41" t="n">
        <f aca="false">K346-E346-F346</f>
        <v>0</v>
      </c>
      <c r="M346" s="41" t="n">
        <f aca="false">D346-L346</f>
        <v>0</v>
      </c>
      <c r="N346" s="42" t="n">
        <f aca="false">K346-G346</f>
        <v>0</v>
      </c>
      <c r="O346" s="78"/>
      <c r="P346" s="79"/>
      <c r="Q346" s="16" t="str">
        <f aca="false">IF(K346=0,"",IF(R346=1,"Pagada",IF(C346&lt;$F$12,"Vencida",IF(320=$F$13,"Próxima","Pendiente"))))</f>
        <v/>
      </c>
      <c r="R346" s="62" t="n">
        <f aca="false">IF(AND(K346&gt;0,OR(O346="Sí",O346="Si")),1,0)</f>
        <v>0</v>
      </c>
      <c r="S346" s="62" t="n">
        <f aca="false">IF(AND(K346&gt;0,R346=0),1,0)</f>
        <v>0</v>
      </c>
    </row>
    <row r="347" customFormat="false" ht="15" hidden="false" customHeight="false" outlineLevel="0" collapsed="false">
      <c r="B347" s="71" t="str">
        <f aca="false">IF($F$6="Sí",N($C$11)+320,"")</f>
        <v/>
      </c>
      <c r="C347" s="72" t="str">
        <f aca="false">IF(OR($F$6&lt;&gt;"Sí",D347&lt;=0.5),"",EDATE($C$10,320))</f>
        <v/>
      </c>
      <c r="D347" s="41" t="n">
        <f aca="false">MAX(0,M346)</f>
        <v>0</v>
      </c>
      <c r="E347" s="41" t="n">
        <f aca="false">D347*$F$7</f>
        <v>0</v>
      </c>
      <c r="F347" s="41" t="n">
        <f aca="false">IF(D347&gt;0.5,N($C$15),0)</f>
        <v>0</v>
      </c>
      <c r="G347" s="41" t="n">
        <f aca="false">IF(AND(D347&gt;0.5,N($C$19)&gt;0,N(B347)&lt;=N($C$20)),D347*$F$8,0)</f>
        <v>0</v>
      </c>
      <c r="H347" s="41" t="n">
        <f aca="false">IF(D347&lt;=0.5,0,MIN(IF(N(I347)&gt;0,I347,$F$9),D347+E347+F347))</f>
        <v>0</v>
      </c>
      <c r="I347" s="77"/>
      <c r="J347" s="77"/>
      <c r="K347" s="41" t="n">
        <f aca="false">IF(D347&lt;=0.5,0,MIN(H347+N(J347),D347+E347+F347))</f>
        <v>0</v>
      </c>
      <c r="L347" s="41" t="n">
        <f aca="false">K347-E347-F347</f>
        <v>0</v>
      </c>
      <c r="M347" s="41" t="n">
        <f aca="false">D347-L347</f>
        <v>0</v>
      </c>
      <c r="N347" s="42" t="n">
        <f aca="false">K347-G347</f>
        <v>0</v>
      </c>
      <c r="O347" s="78"/>
      <c r="P347" s="79"/>
      <c r="Q347" s="16" t="str">
        <f aca="false">IF(K347=0,"",IF(R347=1,"Pagada",IF(C347&lt;$F$12,"Vencida",IF(321=$F$13,"Próxima","Pendiente"))))</f>
        <v/>
      </c>
      <c r="R347" s="62" t="n">
        <f aca="false">IF(AND(K347&gt;0,OR(O347="Sí",O347="Si")),1,0)</f>
        <v>0</v>
      </c>
      <c r="S347" s="62" t="n">
        <f aca="false">IF(AND(K347&gt;0,R347=0),1,0)</f>
        <v>0</v>
      </c>
    </row>
    <row r="348" customFormat="false" ht="15" hidden="false" customHeight="false" outlineLevel="0" collapsed="false">
      <c r="B348" s="71" t="str">
        <f aca="false">IF($F$6="Sí",N($C$11)+321,"")</f>
        <v/>
      </c>
      <c r="C348" s="72" t="str">
        <f aca="false">IF(OR($F$6&lt;&gt;"Sí",D348&lt;=0.5),"",EDATE($C$10,321))</f>
        <v/>
      </c>
      <c r="D348" s="41" t="n">
        <f aca="false">MAX(0,M347)</f>
        <v>0</v>
      </c>
      <c r="E348" s="41" t="n">
        <f aca="false">D348*$F$7</f>
        <v>0</v>
      </c>
      <c r="F348" s="41" t="n">
        <f aca="false">IF(D348&gt;0.5,N($C$15),0)</f>
        <v>0</v>
      </c>
      <c r="G348" s="41" t="n">
        <f aca="false">IF(AND(D348&gt;0.5,N($C$19)&gt;0,N(B348)&lt;=N($C$20)),D348*$F$8,0)</f>
        <v>0</v>
      </c>
      <c r="H348" s="41" t="n">
        <f aca="false">IF(D348&lt;=0.5,0,MIN(IF(N(I348)&gt;0,I348,$F$9),D348+E348+F348))</f>
        <v>0</v>
      </c>
      <c r="I348" s="77"/>
      <c r="J348" s="77"/>
      <c r="K348" s="41" t="n">
        <f aca="false">IF(D348&lt;=0.5,0,MIN(H348+N(J348),D348+E348+F348))</f>
        <v>0</v>
      </c>
      <c r="L348" s="41" t="n">
        <f aca="false">K348-E348-F348</f>
        <v>0</v>
      </c>
      <c r="M348" s="41" t="n">
        <f aca="false">D348-L348</f>
        <v>0</v>
      </c>
      <c r="N348" s="42" t="n">
        <f aca="false">K348-G348</f>
        <v>0</v>
      </c>
      <c r="O348" s="78"/>
      <c r="P348" s="79"/>
      <c r="Q348" s="16" t="str">
        <f aca="false">IF(K348=0,"",IF(R348=1,"Pagada",IF(C348&lt;$F$12,"Vencida",IF(322=$F$13,"Próxima","Pendiente"))))</f>
        <v/>
      </c>
      <c r="R348" s="62" t="n">
        <f aca="false">IF(AND(K348&gt;0,OR(O348="Sí",O348="Si")),1,0)</f>
        <v>0</v>
      </c>
      <c r="S348" s="62" t="n">
        <f aca="false">IF(AND(K348&gt;0,R348=0),1,0)</f>
        <v>0</v>
      </c>
    </row>
    <row r="349" customFormat="false" ht="15" hidden="false" customHeight="false" outlineLevel="0" collapsed="false">
      <c r="B349" s="71" t="str">
        <f aca="false">IF($F$6="Sí",N($C$11)+322,"")</f>
        <v/>
      </c>
      <c r="C349" s="72" t="str">
        <f aca="false">IF(OR($F$6&lt;&gt;"Sí",D349&lt;=0.5),"",EDATE($C$10,322))</f>
        <v/>
      </c>
      <c r="D349" s="41" t="n">
        <f aca="false">MAX(0,M348)</f>
        <v>0</v>
      </c>
      <c r="E349" s="41" t="n">
        <f aca="false">D349*$F$7</f>
        <v>0</v>
      </c>
      <c r="F349" s="41" t="n">
        <f aca="false">IF(D349&gt;0.5,N($C$15),0)</f>
        <v>0</v>
      </c>
      <c r="G349" s="41" t="n">
        <f aca="false">IF(AND(D349&gt;0.5,N($C$19)&gt;0,N(B349)&lt;=N($C$20)),D349*$F$8,0)</f>
        <v>0</v>
      </c>
      <c r="H349" s="41" t="n">
        <f aca="false">IF(D349&lt;=0.5,0,MIN(IF(N(I349)&gt;0,I349,$F$9),D349+E349+F349))</f>
        <v>0</v>
      </c>
      <c r="I349" s="77"/>
      <c r="J349" s="77"/>
      <c r="K349" s="41" t="n">
        <f aca="false">IF(D349&lt;=0.5,0,MIN(H349+N(J349),D349+E349+F349))</f>
        <v>0</v>
      </c>
      <c r="L349" s="41" t="n">
        <f aca="false">K349-E349-F349</f>
        <v>0</v>
      </c>
      <c r="M349" s="41" t="n">
        <f aca="false">D349-L349</f>
        <v>0</v>
      </c>
      <c r="N349" s="42" t="n">
        <f aca="false">K349-G349</f>
        <v>0</v>
      </c>
      <c r="O349" s="78"/>
      <c r="P349" s="79"/>
      <c r="Q349" s="16" t="str">
        <f aca="false">IF(K349=0,"",IF(R349=1,"Pagada",IF(C349&lt;$F$12,"Vencida",IF(323=$F$13,"Próxima","Pendiente"))))</f>
        <v/>
      </c>
      <c r="R349" s="62" t="n">
        <f aca="false">IF(AND(K349&gt;0,OR(O349="Sí",O349="Si")),1,0)</f>
        <v>0</v>
      </c>
      <c r="S349" s="62" t="n">
        <f aca="false">IF(AND(K349&gt;0,R349=0),1,0)</f>
        <v>0</v>
      </c>
    </row>
    <row r="350" customFormat="false" ht="15" hidden="false" customHeight="false" outlineLevel="0" collapsed="false">
      <c r="B350" s="71" t="str">
        <f aca="false">IF($F$6="Sí",N($C$11)+323,"")</f>
        <v/>
      </c>
      <c r="C350" s="72" t="str">
        <f aca="false">IF(OR($F$6&lt;&gt;"Sí",D350&lt;=0.5),"",EDATE($C$10,323))</f>
        <v/>
      </c>
      <c r="D350" s="41" t="n">
        <f aca="false">MAX(0,M349)</f>
        <v>0</v>
      </c>
      <c r="E350" s="41" t="n">
        <f aca="false">D350*$F$7</f>
        <v>0</v>
      </c>
      <c r="F350" s="41" t="n">
        <f aca="false">IF(D350&gt;0.5,N($C$15),0)</f>
        <v>0</v>
      </c>
      <c r="G350" s="41" t="n">
        <f aca="false">IF(AND(D350&gt;0.5,N($C$19)&gt;0,N(B350)&lt;=N($C$20)),D350*$F$8,0)</f>
        <v>0</v>
      </c>
      <c r="H350" s="41" t="n">
        <f aca="false">IF(D350&lt;=0.5,0,MIN(IF(N(I350)&gt;0,I350,$F$9),D350+E350+F350))</f>
        <v>0</v>
      </c>
      <c r="I350" s="77"/>
      <c r="J350" s="77"/>
      <c r="K350" s="41" t="n">
        <f aca="false">IF(D350&lt;=0.5,0,MIN(H350+N(J350),D350+E350+F350))</f>
        <v>0</v>
      </c>
      <c r="L350" s="41" t="n">
        <f aca="false">K350-E350-F350</f>
        <v>0</v>
      </c>
      <c r="M350" s="41" t="n">
        <f aca="false">D350-L350</f>
        <v>0</v>
      </c>
      <c r="N350" s="42" t="n">
        <f aca="false">K350-G350</f>
        <v>0</v>
      </c>
      <c r="O350" s="78"/>
      <c r="P350" s="79"/>
      <c r="Q350" s="16" t="str">
        <f aca="false">IF(K350=0,"",IF(R350=1,"Pagada",IF(C350&lt;$F$12,"Vencida",IF(324=$F$13,"Próxima","Pendiente"))))</f>
        <v/>
      </c>
      <c r="R350" s="62" t="n">
        <f aca="false">IF(AND(K350&gt;0,OR(O350="Sí",O350="Si")),1,0)</f>
        <v>0</v>
      </c>
      <c r="S350" s="62" t="n">
        <f aca="false">IF(AND(K350&gt;0,R350=0),1,0)</f>
        <v>0</v>
      </c>
    </row>
    <row r="351" customFormat="false" ht="15" hidden="false" customHeight="false" outlineLevel="0" collapsed="false">
      <c r="B351" s="71" t="str">
        <f aca="false">IF($F$6="Sí",N($C$11)+324,"")</f>
        <v/>
      </c>
      <c r="C351" s="72" t="str">
        <f aca="false">IF(OR($F$6&lt;&gt;"Sí",D351&lt;=0.5),"",EDATE($C$10,324))</f>
        <v/>
      </c>
      <c r="D351" s="41" t="n">
        <f aca="false">MAX(0,M350)</f>
        <v>0</v>
      </c>
      <c r="E351" s="41" t="n">
        <f aca="false">D351*$F$7</f>
        <v>0</v>
      </c>
      <c r="F351" s="41" t="n">
        <f aca="false">IF(D351&gt;0.5,N($C$15),0)</f>
        <v>0</v>
      </c>
      <c r="G351" s="41" t="n">
        <f aca="false">IF(AND(D351&gt;0.5,N($C$19)&gt;0,N(B351)&lt;=N($C$20)),D351*$F$8,0)</f>
        <v>0</v>
      </c>
      <c r="H351" s="41" t="n">
        <f aca="false">IF(D351&lt;=0.5,0,MIN(IF(N(I351)&gt;0,I351,$F$9),D351+E351+F351))</f>
        <v>0</v>
      </c>
      <c r="I351" s="77"/>
      <c r="J351" s="77"/>
      <c r="K351" s="41" t="n">
        <f aca="false">IF(D351&lt;=0.5,0,MIN(H351+N(J351),D351+E351+F351))</f>
        <v>0</v>
      </c>
      <c r="L351" s="41" t="n">
        <f aca="false">K351-E351-F351</f>
        <v>0</v>
      </c>
      <c r="M351" s="41" t="n">
        <f aca="false">D351-L351</f>
        <v>0</v>
      </c>
      <c r="N351" s="42" t="n">
        <f aca="false">K351-G351</f>
        <v>0</v>
      </c>
      <c r="O351" s="78"/>
      <c r="P351" s="79"/>
      <c r="Q351" s="16" t="str">
        <f aca="false">IF(K351=0,"",IF(R351=1,"Pagada",IF(C351&lt;$F$12,"Vencida",IF(325=$F$13,"Próxima","Pendiente"))))</f>
        <v/>
      </c>
      <c r="R351" s="62" t="n">
        <f aca="false">IF(AND(K351&gt;0,OR(O351="Sí",O351="Si")),1,0)</f>
        <v>0</v>
      </c>
      <c r="S351" s="62" t="n">
        <f aca="false">IF(AND(K351&gt;0,R351=0),1,0)</f>
        <v>0</v>
      </c>
    </row>
    <row r="352" customFormat="false" ht="15" hidden="false" customHeight="false" outlineLevel="0" collapsed="false">
      <c r="B352" s="71" t="str">
        <f aca="false">IF($F$6="Sí",N($C$11)+325,"")</f>
        <v/>
      </c>
      <c r="C352" s="72" t="str">
        <f aca="false">IF(OR($F$6&lt;&gt;"Sí",D352&lt;=0.5),"",EDATE($C$10,325))</f>
        <v/>
      </c>
      <c r="D352" s="41" t="n">
        <f aca="false">MAX(0,M351)</f>
        <v>0</v>
      </c>
      <c r="E352" s="41" t="n">
        <f aca="false">D352*$F$7</f>
        <v>0</v>
      </c>
      <c r="F352" s="41" t="n">
        <f aca="false">IF(D352&gt;0.5,N($C$15),0)</f>
        <v>0</v>
      </c>
      <c r="G352" s="41" t="n">
        <f aca="false">IF(AND(D352&gt;0.5,N($C$19)&gt;0,N(B352)&lt;=N($C$20)),D352*$F$8,0)</f>
        <v>0</v>
      </c>
      <c r="H352" s="41" t="n">
        <f aca="false">IF(D352&lt;=0.5,0,MIN(IF(N(I352)&gt;0,I352,$F$9),D352+E352+F352))</f>
        <v>0</v>
      </c>
      <c r="I352" s="77"/>
      <c r="J352" s="77"/>
      <c r="K352" s="41" t="n">
        <f aca="false">IF(D352&lt;=0.5,0,MIN(H352+N(J352),D352+E352+F352))</f>
        <v>0</v>
      </c>
      <c r="L352" s="41" t="n">
        <f aca="false">K352-E352-F352</f>
        <v>0</v>
      </c>
      <c r="M352" s="41" t="n">
        <f aca="false">D352-L352</f>
        <v>0</v>
      </c>
      <c r="N352" s="42" t="n">
        <f aca="false">K352-G352</f>
        <v>0</v>
      </c>
      <c r="O352" s="78"/>
      <c r="P352" s="79"/>
      <c r="Q352" s="16" t="str">
        <f aca="false">IF(K352=0,"",IF(R352=1,"Pagada",IF(C352&lt;$F$12,"Vencida",IF(326=$F$13,"Próxima","Pendiente"))))</f>
        <v/>
      </c>
      <c r="R352" s="62" t="n">
        <f aca="false">IF(AND(K352&gt;0,OR(O352="Sí",O352="Si")),1,0)</f>
        <v>0</v>
      </c>
      <c r="S352" s="62" t="n">
        <f aca="false">IF(AND(K352&gt;0,R352=0),1,0)</f>
        <v>0</v>
      </c>
    </row>
    <row r="353" customFormat="false" ht="15" hidden="false" customHeight="false" outlineLevel="0" collapsed="false">
      <c r="B353" s="71" t="str">
        <f aca="false">IF($F$6="Sí",N($C$11)+326,"")</f>
        <v/>
      </c>
      <c r="C353" s="72" t="str">
        <f aca="false">IF(OR($F$6&lt;&gt;"Sí",D353&lt;=0.5),"",EDATE($C$10,326))</f>
        <v/>
      </c>
      <c r="D353" s="41" t="n">
        <f aca="false">MAX(0,M352)</f>
        <v>0</v>
      </c>
      <c r="E353" s="41" t="n">
        <f aca="false">D353*$F$7</f>
        <v>0</v>
      </c>
      <c r="F353" s="41" t="n">
        <f aca="false">IF(D353&gt;0.5,N($C$15),0)</f>
        <v>0</v>
      </c>
      <c r="G353" s="41" t="n">
        <f aca="false">IF(AND(D353&gt;0.5,N($C$19)&gt;0,N(B353)&lt;=N($C$20)),D353*$F$8,0)</f>
        <v>0</v>
      </c>
      <c r="H353" s="41" t="n">
        <f aca="false">IF(D353&lt;=0.5,0,MIN(IF(N(I353)&gt;0,I353,$F$9),D353+E353+F353))</f>
        <v>0</v>
      </c>
      <c r="I353" s="77"/>
      <c r="J353" s="77"/>
      <c r="K353" s="41" t="n">
        <f aca="false">IF(D353&lt;=0.5,0,MIN(H353+N(J353),D353+E353+F353))</f>
        <v>0</v>
      </c>
      <c r="L353" s="41" t="n">
        <f aca="false">K353-E353-F353</f>
        <v>0</v>
      </c>
      <c r="M353" s="41" t="n">
        <f aca="false">D353-L353</f>
        <v>0</v>
      </c>
      <c r="N353" s="42" t="n">
        <f aca="false">K353-G353</f>
        <v>0</v>
      </c>
      <c r="O353" s="78"/>
      <c r="P353" s="79"/>
      <c r="Q353" s="16" t="str">
        <f aca="false">IF(K353=0,"",IF(R353=1,"Pagada",IF(C353&lt;$F$12,"Vencida",IF(327=$F$13,"Próxima","Pendiente"))))</f>
        <v/>
      </c>
      <c r="R353" s="62" t="n">
        <f aca="false">IF(AND(K353&gt;0,OR(O353="Sí",O353="Si")),1,0)</f>
        <v>0</v>
      </c>
      <c r="S353" s="62" t="n">
        <f aca="false">IF(AND(K353&gt;0,R353=0),1,0)</f>
        <v>0</v>
      </c>
    </row>
    <row r="354" customFormat="false" ht="15" hidden="false" customHeight="false" outlineLevel="0" collapsed="false">
      <c r="B354" s="71" t="str">
        <f aca="false">IF($F$6="Sí",N($C$11)+327,"")</f>
        <v/>
      </c>
      <c r="C354" s="72" t="str">
        <f aca="false">IF(OR($F$6&lt;&gt;"Sí",D354&lt;=0.5),"",EDATE($C$10,327))</f>
        <v/>
      </c>
      <c r="D354" s="41" t="n">
        <f aca="false">MAX(0,M353)</f>
        <v>0</v>
      </c>
      <c r="E354" s="41" t="n">
        <f aca="false">D354*$F$7</f>
        <v>0</v>
      </c>
      <c r="F354" s="41" t="n">
        <f aca="false">IF(D354&gt;0.5,N($C$15),0)</f>
        <v>0</v>
      </c>
      <c r="G354" s="41" t="n">
        <f aca="false">IF(AND(D354&gt;0.5,N($C$19)&gt;0,N(B354)&lt;=N($C$20)),D354*$F$8,0)</f>
        <v>0</v>
      </c>
      <c r="H354" s="41" t="n">
        <f aca="false">IF(D354&lt;=0.5,0,MIN(IF(N(I354)&gt;0,I354,$F$9),D354+E354+F354))</f>
        <v>0</v>
      </c>
      <c r="I354" s="77"/>
      <c r="J354" s="77"/>
      <c r="K354" s="41" t="n">
        <f aca="false">IF(D354&lt;=0.5,0,MIN(H354+N(J354),D354+E354+F354))</f>
        <v>0</v>
      </c>
      <c r="L354" s="41" t="n">
        <f aca="false">K354-E354-F354</f>
        <v>0</v>
      </c>
      <c r="M354" s="41" t="n">
        <f aca="false">D354-L354</f>
        <v>0</v>
      </c>
      <c r="N354" s="42" t="n">
        <f aca="false">K354-G354</f>
        <v>0</v>
      </c>
      <c r="O354" s="78"/>
      <c r="P354" s="79"/>
      <c r="Q354" s="16" t="str">
        <f aca="false">IF(K354=0,"",IF(R354=1,"Pagada",IF(C354&lt;$F$12,"Vencida",IF(328=$F$13,"Próxima","Pendiente"))))</f>
        <v/>
      </c>
      <c r="R354" s="62" t="n">
        <f aca="false">IF(AND(K354&gt;0,OR(O354="Sí",O354="Si")),1,0)</f>
        <v>0</v>
      </c>
      <c r="S354" s="62" t="n">
        <f aca="false">IF(AND(K354&gt;0,R354=0),1,0)</f>
        <v>0</v>
      </c>
    </row>
    <row r="355" customFormat="false" ht="15" hidden="false" customHeight="false" outlineLevel="0" collapsed="false">
      <c r="B355" s="71" t="str">
        <f aca="false">IF($F$6="Sí",N($C$11)+328,"")</f>
        <v/>
      </c>
      <c r="C355" s="72" t="str">
        <f aca="false">IF(OR($F$6&lt;&gt;"Sí",D355&lt;=0.5),"",EDATE($C$10,328))</f>
        <v/>
      </c>
      <c r="D355" s="41" t="n">
        <f aca="false">MAX(0,M354)</f>
        <v>0</v>
      </c>
      <c r="E355" s="41" t="n">
        <f aca="false">D355*$F$7</f>
        <v>0</v>
      </c>
      <c r="F355" s="41" t="n">
        <f aca="false">IF(D355&gt;0.5,N($C$15),0)</f>
        <v>0</v>
      </c>
      <c r="G355" s="41" t="n">
        <f aca="false">IF(AND(D355&gt;0.5,N($C$19)&gt;0,N(B355)&lt;=N($C$20)),D355*$F$8,0)</f>
        <v>0</v>
      </c>
      <c r="H355" s="41" t="n">
        <f aca="false">IF(D355&lt;=0.5,0,MIN(IF(N(I355)&gt;0,I355,$F$9),D355+E355+F355))</f>
        <v>0</v>
      </c>
      <c r="I355" s="77"/>
      <c r="J355" s="77"/>
      <c r="K355" s="41" t="n">
        <f aca="false">IF(D355&lt;=0.5,0,MIN(H355+N(J355),D355+E355+F355))</f>
        <v>0</v>
      </c>
      <c r="L355" s="41" t="n">
        <f aca="false">K355-E355-F355</f>
        <v>0</v>
      </c>
      <c r="M355" s="41" t="n">
        <f aca="false">D355-L355</f>
        <v>0</v>
      </c>
      <c r="N355" s="42" t="n">
        <f aca="false">K355-G355</f>
        <v>0</v>
      </c>
      <c r="O355" s="78"/>
      <c r="P355" s="79"/>
      <c r="Q355" s="16" t="str">
        <f aca="false">IF(K355=0,"",IF(R355=1,"Pagada",IF(C355&lt;$F$12,"Vencida",IF(329=$F$13,"Próxima","Pendiente"))))</f>
        <v/>
      </c>
      <c r="R355" s="62" t="n">
        <f aca="false">IF(AND(K355&gt;0,OR(O355="Sí",O355="Si")),1,0)</f>
        <v>0</v>
      </c>
      <c r="S355" s="62" t="n">
        <f aca="false">IF(AND(K355&gt;0,R355=0),1,0)</f>
        <v>0</v>
      </c>
    </row>
    <row r="356" customFormat="false" ht="15" hidden="false" customHeight="false" outlineLevel="0" collapsed="false">
      <c r="B356" s="71" t="str">
        <f aca="false">IF($F$6="Sí",N($C$11)+329,"")</f>
        <v/>
      </c>
      <c r="C356" s="72" t="str">
        <f aca="false">IF(OR($F$6&lt;&gt;"Sí",D356&lt;=0.5),"",EDATE($C$10,329))</f>
        <v/>
      </c>
      <c r="D356" s="41" t="n">
        <f aca="false">MAX(0,M355)</f>
        <v>0</v>
      </c>
      <c r="E356" s="41" t="n">
        <f aca="false">D356*$F$7</f>
        <v>0</v>
      </c>
      <c r="F356" s="41" t="n">
        <f aca="false">IF(D356&gt;0.5,N($C$15),0)</f>
        <v>0</v>
      </c>
      <c r="G356" s="41" t="n">
        <f aca="false">IF(AND(D356&gt;0.5,N($C$19)&gt;0,N(B356)&lt;=N($C$20)),D356*$F$8,0)</f>
        <v>0</v>
      </c>
      <c r="H356" s="41" t="n">
        <f aca="false">IF(D356&lt;=0.5,0,MIN(IF(N(I356)&gt;0,I356,$F$9),D356+E356+F356))</f>
        <v>0</v>
      </c>
      <c r="I356" s="77"/>
      <c r="J356" s="77"/>
      <c r="K356" s="41" t="n">
        <f aca="false">IF(D356&lt;=0.5,0,MIN(H356+N(J356),D356+E356+F356))</f>
        <v>0</v>
      </c>
      <c r="L356" s="41" t="n">
        <f aca="false">K356-E356-F356</f>
        <v>0</v>
      </c>
      <c r="M356" s="41" t="n">
        <f aca="false">D356-L356</f>
        <v>0</v>
      </c>
      <c r="N356" s="42" t="n">
        <f aca="false">K356-G356</f>
        <v>0</v>
      </c>
      <c r="O356" s="78"/>
      <c r="P356" s="79"/>
      <c r="Q356" s="16" t="str">
        <f aca="false">IF(K356=0,"",IF(R356=1,"Pagada",IF(C356&lt;$F$12,"Vencida",IF(330=$F$13,"Próxima","Pendiente"))))</f>
        <v/>
      </c>
      <c r="R356" s="62" t="n">
        <f aca="false">IF(AND(K356&gt;0,OR(O356="Sí",O356="Si")),1,0)</f>
        <v>0</v>
      </c>
      <c r="S356" s="62" t="n">
        <f aca="false">IF(AND(K356&gt;0,R356=0),1,0)</f>
        <v>0</v>
      </c>
    </row>
    <row r="357" customFormat="false" ht="15" hidden="false" customHeight="false" outlineLevel="0" collapsed="false">
      <c r="B357" s="71" t="str">
        <f aca="false">IF($F$6="Sí",N($C$11)+330,"")</f>
        <v/>
      </c>
      <c r="C357" s="72" t="str">
        <f aca="false">IF(OR($F$6&lt;&gt;"Sí",D357&lt;=0.5),"",EDATE($C$10,330))</f>
        <v/>
      </c>
      <c r="D357" s="41" t="n">
        <f aca="false">MAX(0,M356)</f>
        <v>0</v>
      </c>
      <c r="E357" s="41" t="n">
        <f aca="false">D357*$F$7</f>
        <v>0</v>
      </c>
      <c r="F357" s="41" t="n">
        <f aca="false">IF(D357&gt;0.5,N($C$15),0)</f>
        <v>0</v>
      </c>
      <c r="G357" s="41" t="n">
        <f aca="false">IF(AND(D357&gt;0.5,N($C$19)&gt;0,N(B357)&lt;=N($C$20)),D357*$F$8,0)</f>
        <v>0</v>
      </c>
      <c r="H357" s="41" t="n">
        <f aca="false">IF(D357&lt;=0.5,0,MIN(IF(N(I357)&gt;0,I357,$F$9),D357+E357+F357))</f>
        <v>0</v>
      </c>
      <c r="I357" s="77"/>
      <c r="J357" s="77"/>
      <c r="K357" s="41" t="n">
        <f aca="false">IF(D357&lt;=0.5,0,MIN(H357+N(J357),D357+E357+F357))</f>
        <v>0</v>
      </c>
      <c r="L357" s="41" t="n">
        <f aca="false">K357-E357-F357</f>
        <v>0</v>
      </c>
      <c r="M357" s="41" t="n">
        <f aca="false">D357-L357</f>
        <v>0</v>
      </c>
      <c r="N357" s="42" t="n">
        <f aca="false">K357-G357</f>
        <v>0</v>
      </c>
      <c r="O357" s="78"/>
      <c r="P357" s="79"/>
      <c r="Q357" s="16" t="str">
        <f aca="false">IF(K357=0,"",IF(R357=1,"Pagada",IF(C357&lt;$F$12,"Vencida",IF(331=$F$13,"Próxima","Pendiente"))))</f>
        <v/>
      </c>
      <c r="R357" s="62" t="n">
        <f aca="false">IF(AND(K357&gt;0,OR(O357="Sí",O357="Si")),1,0)</f>
        <v>0</v>
      </c>
      <c r="S357" s="62" t="n">
        <f aca="false">IF(AND(K357&gt;0,R357=0),1,0)</f>
        <v>0</v>
      </c>
    </row>
    <row r="358" customFormat="false" ht="15" hidden="false" customHeight="false" outlineLevel="0" collapsed="false">
      <c r="B358" s="71" t="str">
        <f aca="false">IF($F$6="Sí",N($C$11)+331,"")</f>
        <v/>
      </c>
      <c r="C358" s="72" t="str">
        <f aca="false">IF(OR($F$6&lt;&gt;"Sí",D358&lt;=0.5),"",EDATE($C$10,331))</f>
        <v/>
      </c>
      <c r="D358" s="41" t="n">
        <f aca="false">MAX(0,M357)</f>
        <v>0</v>
      </c>
      <c r="E358" s="41" t="n">
        <f aca="false">D358*$F$7</f>
        <v>0</v>
      </c>
      <c r="F358" s="41" t="n">
        <f aca="false">IF(D358&gt;0.5,N($C$15),0)</f>
        <v>0</v>
      </c>
      <c r="G358" s="41" t="n">
        <f aca="false">IF(AND(D358&gt;0.5,N($C$19)&gt;0,N(B358)&lt;=N($C$20)),D358*$F$8,0)</f>
        <v>0</v>
      </c>
      <c r="H358" s="41" t="n">
        <f aca="false">IF(D358&lt;=0.5,0,MIN(IF(N(I358)&gt;0,I358,$F$9),D358+E358+F358))</f>
        <v>0</v>
      </c>
      <c r="I358" s="77"/>
      <c r="J358" s="77"/>
      <c r="K358" s="41" t="n">
        <f aca="false">IF(D358&lt;=0.5,0,MIN(H358+N(J358),D358+E358+F358))</f>
        <v>0</v>
      </c>
      <c r="L358" s="41" t="n">
        <f aca="false">K358-E358-F358</f>
        <v>0</v>
      </c>
      <c r="M358" s="41" t="n">
        <f aca="false">D358-L358</f>
        <v>0</v>
      </c>
      <c r="N358" s="42" t="n">
        <f aca="false">K358-G358</f>
        <v>0</v>
      </c>
      <c r="O358" s="78"/>
      <c r="P358" s="79"/>
      <c r="Q358" s="16" t="str">
        <f aca="false">IF(K358=0,"",IF(R358=1,"Pagada",IF(C358&lt;$F$12,"Vencida",IF(332=$F$13,"Próxima","Pendiente"))))</f>
        <v/>
      </c>
      <c r="R358" s="62" t="n">
        <f aca="false">IF(AND(K358&gt;0,OR(O358="Sí",O358="Si")),1,0)</f>
        <v>0</v>
      </c>
      <c r="S358" s="62" t="n">
        <f aca="false">IF(AND(K358&gt;0,R358=0),1,0)</f>
        <v>0</v>
      </c>
    </row>
    <row r="359" customFormat="false" ht="15" hidden="false" customHeight="false" outlineLevel="0" collapsed="false">
      <c r="B359" s="71" t="str">
        <f aca="false">IF($F$6="Sí",N($C$11)+332,"")</f>
        <v/>
      </c>
      <c r="C359" s="72" t="str">
        <f aca="false">IF(OR($F$6&lt;&gt;"Sí",D359&lt;=0.5),"",EDATE($C$10,332))</f>
        <v/>
      </c>
      <c r="D359" s="41" t="n">
        <f aca="false">MAX(0,M358)</f>
        <v>0</v>
      </c>
      <c r="E359" s="41" t="n">
        <f aca="false">D359*$F$7</f>
        <v>0</v>
      </c>
      <c r="F359" s="41" t="n">
        <f aca="false">IF(D359&gt;0.5,N($C$15),0)</f>
        <v>0</v>
      </c>
      <c r="G359" s="41" t="n">
        <f aca="false">IF(AND(D359&gt;0.5,N($C$19)&gt;0,N(B359)&lt;=N($C$20)),D359*$F$8,0)</f>
        <v>0</v>
      </c>
      <c r="H359" s="41" t="n">
        <f aca="false">IF(D359&lt;=0.5,0,MIN(IF(N(I359)&gt;0,I359,$F$9),D359+E359+F359))</f>
        <v>0</v>
      </c>
      <c r="I359" s="77"/>
      <c r="J359" s="77"/>
      <c r="K359" s="41" t="n">
        <f aca="false">IF(D359&lt;=0.5,0,MIN(H359+N(J359),D359+E359+F359))</f>
        <v>0</v>
      </c>
      <c r="L359" s="41" t="n">
        <f aca="false">K359-E359-F359</f>
        <v>0</v>
      </c>
      <c r="M359" s="41" t="n">
        <f aca="false">D359-L359</f>
        <v>0</v>
      </c>
      <c r="N359" s="42" t="n">
        <f aca="false">K359-G359</f>
        <v>0</v>
      </c>
      <c r="O359" s="78"/>
      <c r="P359" s="79"/>
      <c r="Q359" s="16" t="str">
        <f aca="false">IF(K359=0,"",IF(R359=1,"Pagada",IF(C359&lt;$F$12,"Vencida",IF(333=$F$13,"Próxima","Pendiente"))))</f>
        <v/>
      </c>
      <c r="R359" s="62" t="n">
        <f aca="false">IF(AND(K359&gt;0,OR(O359="Sí",O359="Si")),1,0)</f>
        <v>0</v>
      </c>
      <c r="S359" s="62" t="n">
        <f aca="false">IF(AND(K359&gt;0,R359=0),1,0)</f>
        <v>0</v>
      </c>
    </row>
    <row r="360" customFormat="false" ht="15" hidden="false" customHeight="false" outlineLevel="0" collapsed="false">
      <c r="B360" s="71" t="str">
        <f aca="false">IF($F$6="Sí",N($C$11)+333,"")</f>
        <v/>
      </c>
      <c r="C360" s="72" t="str">
        <f aca="false">IF(OR($F$6&lt;&gt;"Sí",D360&lt;=0.5),"",EDATE($C$10,333))</f>
        <v/>
      </c>
      <c r="D360" s="41" t="n">
        <f aca="false">MAX(0,M359)</f>
        <v>0</v>
      </c>
      <c r="E360" s="41" t="n">
        <f aca="false">D360*$F$7</f>
        <v>0</v>
      </c>
      <c r="F360" s="41" t="n">
        <f aca="false">IF(D360&gt;0.5,N($C$15),0)</f>
        <v>0</v>
      </c>
      <c r="G360" s="41" t="n">
        <f aca="false">IF(AND(D360&gt;0.5,N($C$19)&gt;0,N(B360)&lt;=N($C$20)),D360*$F$8,0)</f>
        <v>0</v>
      </c>
      <c r="H360" s="41" t="n">
        <f aca="false">IF(D360&lt;=0.5,0,MIN(IF(N(I360)&gt;0,I360,$F$9),D360+E360+F360))</f>
        <v>0</v>
      </c>
      <c r="I360" s="77"/>
      <c r="J360" s="77"/>
      <c r="K360" s="41" t="n">
        <f aca="false">IF(D360&lt;=0.5,0,MIN(H360+N(J360),D360+E360+F360))</f>
        <v>0</v>
      </c>
      <c r="L360" s="41" t="n">
        <f aca="false">K360-E360-F360</f>
        <v>0</v>
      </c>
      <c r="M360" s="41" t="n">
        <f aca="false">D360-L360</f>
        <v>0</v>
      </c>
      <c r="N360" s="42" t="n">
        <f aca="false">K360-G360</f>
        <v>0</v>
      </c>
      <c r="O360" s="78"/>
      <c r="P360" s="79"/>
      <c r="Q360" s="16" t="str">
        <f aca="false">IF(K360=0,"",IF(R360=1,"Pagada",IF(C360&lt;$F$12,"Vencida",IF(334=$F$13,"Próxima","Pendiente"))))</f>
        <v/>
      </c>
      <c r="R360" s="62" t="n">
        <f aca="false">IF(AND(K360&gt;0,OR(O360="Sí",O360="Si")),1,0)</f>
        <v>0</v>
      </c>
      <c r="S360" s="62" t="n">
        <f aca="false">IF(AND(K360&gt;0,R360=0),1,0)</f>
        <v>0</v>
      </c>
    </row>
    <row r="361" customFormat="false" ht="15" hidden="false" customHeight="false" outlineLevel="0" collapsed="false">
      <c r="B361" s="71" t="str">
        <f aca="false">IF($F$6="Sí",N($C$11)+334,"")</f>
        <v/>
      </c>
      <c r="C361" s="72" t="str">
        <f aca="false">IF(OR($F$6&lt;&gt;"Sí",D361&lt;=0.5),"",EDATE($C$10,334))</f>
        <v/>
      </c>
      <c r="D361" s="41" t="n">
        <f aca="false">MAX(0,M360)</f>
        <v>0</v>
      </c>
      <c r="E361" s="41" t="n">
        <f aca="false">D361*$F$7</f>
        <v>0</v>
      </c>
      <c r="F361" s="41" t="n">
        <f aca="false">IF(D361&gt;0.5,N($C$15),0)</f>
        <v>0</v>
      </c>
      <c r="G361" s="41" t="n">
        <f aca="false">IF(AND(D361&gt;0.5,N($C$19)&gt;0,N(B361)&lt;=N($C$20)),D361*$F$8,0)</f>
        <v>0</v>
      </c>
      <c r="H361" s="41" t="n">
        <f aca="false">IF(D361&lt;=0.5,0,MIN(IF(N(I361)&gt;0,I361,$F$9),D361+E361+F361))</f>
        <v>0</v>
      </c>
      <c r="I361" s="77"/>
      <c r="J361" s="77"/>
      <c r="K361" s="41" t="n">
        <f aca="false">IF(D361&lt;=0.5,0,MIN(H361+N(J361),D361+E361+F361))</f>
        <v>0</v>
      </c>
      <c r="L361" s="41" t="n">
        <f aca="false">K361-E361-F361</f>
        <v>0</v>
      </c>
      <c r="M361" s="41" t="n">
        <f aca="false">D361-L361</f>
        <v>0</v>
      </c>
      <c r="N361" s="42" t="n">
        <f aca="false">K361-G361</f>
        <v>0</v>
      </c>
      <c r="O361" s="78"/>
      <c r="P361" s="79"/>
      <c r="Q361" s="16" t="str">
        <f aca="false">IF(K361=0,"",IF(R361=1,"Pagada",IF(C361&lt;$F$12,"Vencida",IF(335=$F$13,"Próxima","Pendiente"))))</f>
        <v/>
      </c>
      <c r="R361" s="62" t="n">
        <f aca="false">IF(AND(K361&gt;0,OR(O361="Sí",O361="Si")),1,0)</f>
        <v>0</v>
      </c>
      <c r="S361" s="62" t="n">
        <f aca="false">IF(AND(K361&gt;0,R361=0),1,0)</f>
        <v>0</v>
      </c>
    </row>
    <row r="362" customFormat="false" ht="15" hidden="false" customHeight="false" outlineLevel="0" collapsed="false">
      <c r="B362" s="71" t="str">
        <f aca="false">IF($F$6="Sí",N($C$11)+335,"")</f>
        <v/>
      </c>
      <c r="C362" s="72" t="str">
        <f aca="false">IF(OR($F$6&lt;&gt;"Sí",D362&lt;=0.5),"",EDATE($C$10,335))</f>
        <v/>
      </c>
      <c r="D362" s="41" t="n">
        <f aca="false">MAX(0,M361)</f>
        <v>0</v>
      </c>
      <c r="E362" s="41" t="n">
        <f aca="false">D362*$F$7</f>
        <v>0</v>
      </c>
      <c r="F362" s="41" t="n">
        <f aca="false">IF(D362&gt;0.5,N($C$15),0)</f>
        <v>0</v>
      </c>
      <c r="G362" s="41" t="n">
        <f aca="false">IF(AND(D362&gt;0.5,N($C$19)&gt;0,N(B362)&lt;=N($C$20)),D362*$F$8,0)</f>
        <v>0</v>
      </c>
      <c r="H362" s="41" t="n">
        <f aca="false">IF(D362&lt;=0.5,0,MIN(IF(N(I362)&gt;0,I362,$F$9),D362+E362+F362))</f>
        <v>0</v>
      </c>
      <c r="I362" s="77"/>
      <c r="J362" s="77"/>
      <c r="K362" s="41" t="n">
        <f aca="false">IF(D362&lt;=0.5,0,MIN(H362+N(J362),D362+E362+F362))</f>
        <v>0</v>
      </c>
      <c r="L362" s="41" t="n">
        <f aca="false">K362-E362-F362</f>
        <v>0</v>
      </c>
      <c r="M362" s="41" t="n">
        <f aca="false">D362-L362</f>
        <v>0</v>
      </c>
      <c r="N362" s="42" t="n">
        <f aca="false">K362-G362</f>
        <v>0</v>
      </c>
      <c r="O362" s="78"/>
      <c r="P362" s="79"/>
      <c r="Q362" s="16" t="str">
        <f aca="false">IF(K362=0,"",IF(R362=1,"Pagada",IF(C362&lt;$F$12,"Vencida",IF(336=$F$13,"Próxima","Pendiente"))))</f>
        <v/>
      </c>
      <c r="R362" s="62" t="n">
        <f aca="false">IF(AND(K362&gt;0,OR(O362="Sí",O362="Si")),1,0)</f>
        <v>0</v>
      </c>
      <c r="S362" s="62" t="n">
        <f aca="false">IF(AND(K362&gt;0,R362=0),1,0)</f>
        <v>0</v>
      </c>
    </row>
    <row r="363" customFormat="false" ht="15" hidden="false" customHeight="false" outlineLevel="0" collapsed="false">
      <c r="B363" s="71" t="str">
        <f aca="false">IF($F$6="Sí",N($C$11)+336,"")</f>
        <v/>
      </c>
      <c r="C363" s="72" t="str">
        <f aca="false">IF(OR($F$6&lt;&gt;"Sí",D363&lt;=0.5),"",EDATE($C$10,336))</f>
        <v/>
      </c>
      <c r="D363" s="41" t="n">
        <f aca="false">MAX(0,M362)</f>
        <v>0</v>
      </c>
      <c r="E363" s="41" t="n">
        <f aca="false">D363*$F$7</f>
        <v>0</v>
      </c>
      <c r="F363" s="41" t="n">
        <f aca="false">IF(D363&gt;0.5,N($C$15),0)</f>
        <v>0</v>
      </c>
      <c r="G363" s="41" t="n">
        <f aca="false">IF(AND(D363&gt;0.5,N($C$19)&gt;0,N(B363)&lt;=N($C$20)),D363*$F$8,0)</f>
        <v>0</v>
      </c>
      <c r="H363" s="41" t="n">
        <f aca="false">IF(D363&lt;=0.5,0,MIN(IF(N(I363)&gt;0,I363,$F$9),D363+E363+F363))</f>
        <v>0</v>
      </c>
      <c r="I363" s="77"/>
      <c r="J363" s="77"/>
      <c r="K363" s="41" t="n">
        <f aca="false">IF(D363&lt;=0.5,0,MIN(H363+N(J363),D363+E363+F363))</f>
        <v>0</v>
      </c>
      <c r="L363" s="41" t="n">
        <f aca="false">K363-E363-F363</f>
        <v>0</v>
      </c>
      <c r="M363" s="41" t="n">
        <f aca="false">D363-L363</f>
        <v>0</v>
      </c>
      <c r="N363" s="42" t="n">
        <f aca="false">K363-G363</f>
        <v>0</v>
      </c>
      <c r="O363" s="78"/>
      <c r="P363" s="79"/>
      <c r="Q363" s="16" t="str">
        <f aca="false">IF(K363=0,"",IF(R363=1,"Pagada",IF(C363&lt;$F$12,"Vencida",IF(337=$F$13,"Próxima","Pendiente"))))</f>
        <v/>
      </c>
      <c r="R363" s="62" t="n">
        <f aca="false">IF(AND(K363&gt;0,OR(O363="Sí",O363="Si")),1,0)</f>
        <v>0</v>
      </c>
      <c r="S363" s="62" t="n">
        <f aca="false">IF(AND(K363&gt;0,R363=0),1,0)</f>
        <v>0</v>
      </c>
    </row>
    <row r="364" customFormat="false" ht="15" hidden="false" customHeight="false" outlineLevel="0" collapsed="false">
      <c r="B364" s="71" t="str">
        <f aca="false">IF($F$6="Sí",N($C$11)+337,"")</f>
        <v/>
      </c>
      <c r="C364" s="72" t="str">
        <f aca="false">IF(OR($F$6&lt;&gt;"Sí",D364&lt;=0.5),"",EDATE($C$10,337))</f>
        <v/>
      </c>
      <c r="D364" s="41" t="n">
        <f aca="false">MAX(0,M363)</f>
        <v>0</v>
      </c>
      <c r="E364" s="41" t="n">
        <f aca="false">D364*$F$7</f>
        <v>0</v>
      </c>
      <c r="F364" s="41" t="n">
        <f aca="false">IF(D364&gt;0.5,N($C$15),0)</f>
        <v>0</v>
      </c>
      <c r="G364" s="41" t="n">
        <f aca="false">IF(AND(D364&gt;0.5,N($C$19)&gt;0,N(B364)&lt;=N($C$20)),D364*$F$8,0)</f>
        <v>0</v>
      </c>
      <c r="H364" s="41" t="n">
        <f aca="false">IF(D364&lt;=0.5,0,MIN(IF(N(I364)&gt;0,I364,$F$9),D364+E364+F364))</f>
        <v>0</v>
      </c>
      <c r="I364" s="77"/>
      <c r="J364" s="77"/>
      <c r="K364" s="41" t="n">
        <f aca="false">IF(D364&lt;=0.5,0,MIN(H364+N(J364),D364+E364+F364))</f>
        <v>0</v>
      </c>
      <c r="L364" s="41" t="n">
        <f aca="false">K364-E364-F364</f>
        <v>0</v>
      </c>
      <c r="M364" s="41" t="n">
        <f aca="false">D364-L364</f>
        <v>0</v>
      </c>
      <c r="N364" s="42" t="n">
        <f aca="false">K364-G364</f>
        <v>0</v>
      </c>
      <c r="O364" s="78"/>
      <c r="P364" s="79"/>
      <c r="Q364" s="16" t="str">
        <f aca="false">IF(K364=0,"",IF(R364=1,"Pagada",IF(C364&lt;$F$12,"Vencida",IF(338=$F$13,"Próxima","Pendiente"))))</f>
        <v/>
      </c>
      <c r="R364" s="62" t="n">
        <f aca="false">IF(AND(K364&gt;0,OR(O364="Sí",O364="Si")),1,0)</f>
        <v>0</v>
      </c>
      <c r="S364" s="62" t="n">
        <f aca="false">IF(AND(K364&gt;0,R364=0),1,0)</f>
        <v>0</v>
      </c>
    </row>
    <row r="365" customFormat="false" ht="15" hidden="false" customHeight="false" outlineLevel="0" collapsed="false">
      <c r="B365" s="71" t="str">
        <f aca="false">IF($F$6="Sí",N($C$11)+338,"")</f>
        <v/>
      </c>
      <c r="C365" s="72" t="str">
        <f aca="false">IF(OR($F$6&lt;&gt;"Sí",D365&lt;=0.5),"",EDATE($C$10,338))</f>
        <v/>
      </c>
      <c r="D365" s="41" t="n">
        <f aca="false">MAX(0,M364)</f>
        <v>0</v>
      </c>
      <c r="E365" s="41" t="n">
        <f aca="false">D365*$F$7</f>
        <v>0</v>
      </c>
      <c r="F365" s="41" t="n">
        <f aca="false">IF(D365&gt;0.5,N($C$15),0)</f>
        <v>0</v>
      </c>
      <c r="G365" s="41" t="n">
        <f aca="false">IF(AND(D365&gt;0.5,N($C$19)&gt;0,N(B365)&lt;=N($C$20)),D365*$F$8,0)</f>
        <v>0</v>
      </c>
      <c r="H365" s="41" t="n">
        <f aca="false">IF(D365&lt;=0.5,0,MIN(IF(N(I365)&gt;0,I365,$F$9),D365+E365+F365))</f>
        <v>0</v>
      </c>
      <c r="I365" s="77"/>
      <c r="J365" s="77"/>
      <c r="K365" s="41" t="n">
        <f aca="false">IF(D365&lt;=0.5,0,MIN(H365+N(J365),D365+E365+F365))</f>
        <v>0</v>
      </c>
      <c r="L365" s="41" t="n">
        <f aca="false">K365-E365-F365</f>
        <v>0</v>
      </c>
      <c r="M365" s="41" t="n">
        <f aca="false">D365-L365</f>
        <v>0</v>
      </c>
      <c r="N365" s="42" t="n">
        <f aca="false">K365-G365</f>
        <v>0</v>
      </c>
      <c r="O365" s="78"/>
      <c r="P365" s="79"/>
      <c r="Q365" s="16" t="str">
        <f aca="false">IF(K365=0,"",IF(R365=1,"Pagada",IF(C365&lt;$F$12,"Vencida",IF(339=$F$13,"Próxima","Pendiente"))))</f>
        <v/>
      </c>
      <c r="R365" s="62" t="n">
        <f aca="false">IF(AND(K365&gt;0,OR(O365="Sí",O365="Si")),1,0)</f>
        <v>0</v>
      </c>
      <c r="S365" s="62" t="n">
        <f aca="false">IF(AND(K365&gt;0,R365=0),1,0)</f>
        <v>0</v>
      </c>
    </row>
    <row r="366" customFormat="false" ht="15" hidden="false" customHeight="false" outlineLevel="0" collapsed="false">
      <c r="B366" s="71" t="str">
        <f aca="false">IF($F$6="Sí",N($C$11)+339,"")</f>
        <v/>
      </c>
      <c r="C366" s="72" t="str">
        <f aca="false">IF(OR($F$6&lt;&gt;"Sí",D366&lt;=0.5),"",EDATE($C$10,339))</f>
        <v/>
      </c>
      <c r="D366" s="41" t="n">
        <f aca="false">MAX(0,M365)</f>
        <v>0</v>
      </c>
      <c r="E366" s="41" t="n">
        <f aca="false">D366*$F$7</f>
        <v>0</v>
      </c>
      <c r="F366" s="41" t="n">
        <f aca="false">IF(D366&gt;0.5,N($C$15),0)</f>
        <v>0</v>
      </c>
      <c r="G366" s="41" t="n">
        <f aca="false">IF(AND(D366&gt;0.5,N($C$19)&gt;0,N(B366)&lt;=N($C$20)),D366*$F$8,0)</f>
        <v>0</v>
      </c>
      <c r="H366" s="41" t="n">
        <f aca="false">IF(D366&lt;=0.5,0,MIN(IF(N(I366)&gt;0,I366,$F$9),D366+E366+F366))</f>
        <v>0</v>
      </c>
      <c r="I366" s="77"/>
      <c r="J366" s="77"/>
      <c r="K366" s="41" t="n">
        <f aca="false">IF(D366&lt;=0.5,0,MIN(H366+N(J366),D366+E366+F366))</f>
        <v>0</v>
      </c>
      <c r="L366" s="41" t="n">
        <f aca="false">K366-E366-F366</f>
        <v>0</v>
      </c>
      <c r="M366" s="41" t="n">
        <f aca="false">D366-L366</f>
        <v>0</v>
      </c>
      <c r="N366" s="42" t="n">
        <f aca="false">K366-G366</f>
        <v>0</v>
      </c>
      <c r="O366" s="78"/>
      <c r="P366" s="79"/>
      <c r="Q366" s="16" t="str">
        <f aca="false">IF(K366=0,"",IF(R366=1,"Pagada",IF(C366&lt;$F$12,"Vencida",IF(340=$F$13,"Próxima","Pendiente"))))</f>
        <v/>
      </c>
      <c r="R366" s="62" t="n">
        <f aca="false">IF(AND(K366&gt;0,OR(O366="Sí",O366="Si")),1,0)</f>
        <v>0</v>
      </c>
      <c r="S366" s="62" t="n">
        <f aca="false">IF(AND(K366&gt;0,R366=0),1,0)</f>
        <v>0</v>
      </c>
    </row>
    <row r="367" customFormat="false" ht="15" hidden="false" customHeight="false" outlineLevel="0" collapsed="false">
      <c r="B367" s="71" t="str">
        <f aca="false">IF($F$6="Sí",N($C$11)+340,"")</f>
        <v/>
      </c>
      <c r="C367" s="72" t="str">
        <f aca="false">IF(OR($F$6&lt;&gt;"Sí",D367&lt;=0.5),"",EDATE($C$10,340))</f>
        <v/>
      </c>
      <c r="D367" s="41" t="n">
        <f aca="false">MAX(0,M366)</f>
        <v>0</v>
      </c>
      <c r="E367" s="41" t="n">
        <f aca="false">D367*$F$7</f>
        <v>0</v>
      </c>
      <c r="F367" s="41" t="n">
        <f aca="false">IF(D367&gt;0.5,N($C$15),0)</f>
        <v>0</v>
      </c>
      <c r="G367" s="41" t="n">
        <f aca="false">IF(AND(D367&gt;0.5,N($C$19)&gt;0,N(B367)&lt;=N($C$20)),D367*$F$8,0)</f>
        <v>0</v>
      </c>
      <c r="H367" s="41" t="n">
        <f aca="false">IF(D367&lt;=0.5,0,MIN(IF(N(I367)&gt;0,I367,$F$9),D367+E367+F367))</f>
        <v>0</v>
      </c>
      <c r="I367" s="77"/>
      <c r="J367" s="77"/>
      <c r="K367" s="41" t="n">
        <f aca="false">IF(D367&lt;=0.5,0,MIN(H367+N(J367),D367+E367+F367))</f>
        <v>0</v>
      </c>
      <c r="L367" s="41" t="n">
        <f aca="false">K367-E367-F367</f>
        <v>0</v>
      </c>
      <c r="M367" s="41" t="n">
        <f aca="false">D367-L367</f>
        <v>0</v>
      </c>
      <c r="N367" s="42" t="n">
        <f aca="false">K367-G367</f>
        <v>0</v>
      </c>
      <c r="O367" s="78"/>
      <c r="P367" s="79"/>
      <c r="Q367" s="16" t="str">
        <f aca="false">IF(K367=0,"",IF(R367=1,"Pagada",IF(C367&lt;$F$12,"Vencida",IF(341=$F$13,"Próxima","Pendiente"))))</f>
        <v/>
      </c>
      <c r="R367" s="62" t="n">
        <f aca="false">IF(AND(K367&gt;0,OR(O367="Sí",O367="Si")),1,0)</f>
        <v>0</v>
      </c>
      <c r="S367" s="62" t="n">
        <f aca="false">IF(AND(K367&gt;0,R367=0),1,0)</f>
        <v>0</v>
      </c>
    </row>
    <row r="368" customFormat="false" ht="15" hidden="false" customHeight="false" outlineLevel="0" collapsed="false">
      <c r="B368" s="71" t="str">
        <f aca="false">IF($F$6="Sí",N($C$11)+341,"")</f>
        <v/>
      </c>
      <c r="C368" s="72" t="str">
        <f aca="false">IF(OR($F$6&lt;&gt;"Sí",D368&lt;=0.5),"",EDATE($C$10,341))</f>
        <v/>
      </c>
      <c r="D368" s="41" t="n">
        <f aca="false">MAX(0,M367)</f>
        <v>0</v>
      </c>
      <c r="E368" s="41" t="n">
        <f aca="false">D368*$F$7</f>
        <v>0</v>
      </c>
      <c r="F368" s="41" t="n">
        <f aca="false">IF(D368&gt;0.5,N($C$15),0)</f>
        <v>0</v>
      </c>
      <c r="G368" s="41" t="n">
        <f aca="false">IF(AND(D368&gt;0.5,N($C$19)&gt;0,N(B368)&lt;=N($C$20)),D368*$F$8,0)</f>
        <v>0</v>
      </c>
      <c r="H368" s="41" t="n">
        <f aca="false">IF(D368&lt;=0.5,0,MIN(IF(N(I368)&gt;0,I368,$F$9),D368+E368+F368))</f>
        <v>0</v>
      </c>
      <c r="I368" s="77"/>
      <c r="J368" s="77"/>
      <c r="K368" s="41" t="n">
        <f aca="false">IF(D368&lt;=0.5,0,MIN(H368+N(J368),D368+E368+F368))</f>
        <v>0</v>
      </c>
      <c r="L368" s="41" t="n">
        <f aca="false">K368-E368-F368</f>
        <v>0</v>
      </c>
      <c r="M368" s="41" t="n">
        <f aca="false">D368-L368</f>
        <v>0</v>
      </c>
      <c r="N368" s="42" t="n">
        <f aca="false">K368-G368</f>
        <v>0</v>
      </c>
      <c r="O368" s="78"/>
      <c r="P368" s="79"/>
      <c r="Q368" s="16" t="str">
        <f aca="false">IF(K368=0,"",IF(R368=1,"Pagada",IF(C368&lt;$F$12,"Vencida",IF(342=$F$13,"Próxima","Pendiente"))))</f>
        <v/>
      </c>
      <c r="R368" s="62" t="n">
        <f aca="false">IF(AND(K368&gt;0,OR(O368="Sí",O368="Si")),1,0)</f>
        <v>0</v>
      </c>
      <c r="S368" s="62" t="n">
        <f aca="false">IF(AND(K368&gt;0,R368=0),1,0)</f>
        <v>0</v>
      </c>
    </row>
    <row r="369" customFormat="false" ht="15" hidden="false" customHeight="false" outlineLevel="0" collapsed="false">
      <c r="B369" s="71" t="str">
        <f aca="false">IF($F$6="Sí",N($C$11)+342,"")</f>
        <v/>
      </c>
      <c r="C369" s="72" t="str">
        <f aca="false">IF(OR($F$6&lt;&gt;"Sí",D369&lt;=0.5),"",EDATE($C$10,342))</f>
        <v/>
      </c>
      <c r="D369" s="41" t="n">
        <f aca="false">MAX(0,M368)</f>
        <v>0</v>
      </c>
      <c r="E369" s="41" t="n">
        <f aca="false">D369*$F$7</f>
        <v>0</v>
      </c>
      <c r="F369" s="41" t="n">
        <f aca="false">IF(D369&gt;0.5,N($C$15),0)</f>
        <v>0</v>
      </c>
      <c r="G369" s="41" t="n">
        <f aca="false">IF(AND(D369&gt;0.5,N($C$19)&gt;0,N(B369)&lt;=N($C$20)),D369*$F$8,0)</f>
        <v>0</v>
      </c>
      <c r="H369" s="41" t="n">
        <f aca="false">IF(D369&lt;=0.5,0,MIN(IF(N(I369)&gt;0,I369,$F$9),D369+E369+F369))</f>
        <v>0</v>
      </c>
      <c r="I369" s="77"/>
      <c r="J369" s="77"/>
      <c r="K369" s="41" t="n">
        <f aca="false">IF(D369&lt;=0.5,0,MIN(H369+N(J369),D369+E369+F369))</f>
        <v>0</v>
      </c>
      <c r="L369" s="41" t="n">
        <f aca="false">K369-E369-F369</f>
        <v>0</v>
      </c>
      <c r="M369" s="41" t="n">
        <f aca="false">D369-L369</f>
        <v>0</v>
      </c>
      <c r="N369" s="42" t="n">
        <f aca="false">K369-G369</f>
        <v>0</v>
      </c>
      <c r="O369" s="78"/>
      <c r="P369" s="79"/>
      <c r="Q369" s="16" t="str">
        <f aca="false">IF(K369=0,"",IF(R369=1,"Pagada",IF(C369&lt;$F$12,"Vencida",IF(343=$F$13,"Próxima","Pendiente"))))</f>
        <v/>
      </c>
      <c r="R369" s="62" t="n">
        <f aca="false">IF(AND(K369&gt;0,OR(O369="Sí",O369="Si")),1,0)</f>
        <v>0</v>
      </c>
      <c r="S369" s="62" t="n">
        <f aca="false">IF(AND(K369&gt;0,R369=0),1,0)</f>
        <v>0</v>
      </c>
    </row>
    <row r="370" customFormat="false" ht="15" hidden="false" customHeight="false" outlineLevel="0" collapsed="false">
      <c r="B370" s="71" t="str">
        <f aca="false">IF($F$6="Sí",N($C$11)+343,"")</f>
        <v/>
      </c>
      <c r="C370" s="72" t="str">
        <f aca="false">IF(OR($F$6&lt;&gt;"Sí",D370&lt;=0.5),"",EDATE($C$10,343))</f>
        <v/>
      </c>
      <c r="D370" s="41" t="n">
        <f aca="false">MAX(0,M369)</f>
        <v>0</v>
      </c>
      <c r="E370" s="41" t="n">
        <f aca="false">D370*$F$7</f>
        <v>0</v>
      </c>
      <c r="F370" s="41" t="n">
        <f aca="false">IF(D370&gt;0.5,N($C$15),0)</f>
        <v>0</v>
      </c>
      <c r="G370" s="41" t="n">
        <f aca="false">IF(AND(D370&gt;0.5,N($C$19)&gt;0,N(B370)&lt;=N($C$20)),D370*$F$8,0)</f>
        <v>0</v>
      </c>
      <c r="H370" s="41" t="n">
        <f aca="false">IF(D370&lt;=0.5,0,MIN(IF(N(I370)&gt;0,I370,$F$9),D370+E370+F370))</f>
        <v>0</v>
      </c>
      <c r="I370" s="77"/>
      <c r="J370" s="77"/>
      <c r="K370" s="41" t="n">
        <f aca="false">IF(D370&lt;=0.5,0,MIN(H370+N(J370),D370+E370+F370))</f>
        <v>0</v>
      </c>
      <c r="L370" s="41" t="n">
        <f aca="false">K370-E370-F370</f>
        <v>0</v>
      </c>
      <c r="M370" s="41" t="n">
        <f aca="false">D370-L370</f>
        <v>0</v>
      </c>
      <c r="N370" s="42" t="n">
        <f aca="false">K370-G370</f>
        <v>0</v>
      </c>
      <c r="O370" s="78"/>
      <c r="P370" s="79"/>
      <c r="Q370" s="16" t="str">
        <f aca="false">IF(K370=0,"",IF(R370=1,"Pagada",IF(C370&lt;$F$12,"Vencida",IF(344=$F$13,"Próxima","Pendiente"))))</f>
        <v/>
      </c>
      <c r="R370" s="62" t="n">
        <f aca="false">IF(AND(K370&gt;0,OR(O370="Sí",O370="Si")),1,0)</f>
        <v>0</v>
      </c>
      <c r="S370" s="62" t="n">
        <f aca="false">IF(AND(K370&gt;0,R370=0),1,0)</f>
        <v>0</v>
      </c>
    </row>
    <row r="371" customFormat="false" ht="15" hidden="false" customHeight="false" outlineLevel="0" collapsed="false">
      <c r="B371" s="71" t="str">
        <f aca="false">IF($F$6="Sí",N($C$11)+344,"")</f>
        <v/>
      </c>
      <c r="C371" s="72" t="str">
        <f aca="false">IF(OR($F$6&lt;&gt;"Sí",D371&lt;=0.5),"",EDATE($C$10,344))</f>
        <v/>
      </c>
      <c r="D371" s="41" t="n">
        <f aca="false">MAX(0,M370)</f>
        <v>0</v>
      </c>
      <c r="E371" s="41" t="n">
        <f aca="false">D371*$F$7</f>
        <v>0</v>
      </c>
      <c r="F371" s="41" t="n">
        <f aca="false">IF(D371&gt;0.5,N($C$15),0)</f>
        <v>0</v>
      </c>
      <c r="G371" s="41" t="n">
        <f aca="false">IF(AND(D371&gt;0.5,N($C$19)&gt;0,N(B371)&lt;=N($C$20)),D371*$F$8,0)</f>
        <v>0</v>
      </c>
      <c r="H371" s="41" t="n">
        <f aca="false">IF(D371&lt;=0.5,0,MIN(IF(N(I371)&gt;0,I371,$F$9),D371+E371+F371))</f>
        <v>0</v>
      </c>
      <c r="I371" s="77"/>
      <c r="J371" s="77"/>
      <c r="K371" s="41" t="n">
        <f aca="false">IF(D371&lt;=0.5,0,MIN(H371+N(J371),D371+E371+F371))</f>
        <v>0</v>
      </c>
      <c r="L371" s="41" t="n">
        <f aca="false">K371-E371-F371</f>
        <v>0</v>
      </c>
      <c r="M371" s="41" t="n">
        <f aca="false">D371-L371</f>
        <v>0</v>
      </c>
      <c r="N371" s="42" t="n">
        <f aca="false">K371-G371</f>
        <v>0</v>
      </c>
      <c r="O371" s="78"/>
      <c r="P371" s="79"/>
      <c r="Q371" s="16" t="str">
        <f aca="false">IF(K371=0,"",IF(R371=1,"Pagada",IF(C371&lt;$F$12,"Vencida",IF(345=$F$13,"Próxima","Pendiente"))))</f>
        <v/>
      </c>
      <c r="R371" s="62" t="n">
        <f aca="false">IF(AND(K371&gt;0,OR(O371="Sí",O371="Si")),1,0)</f>
        <v>0</v>
      </c>
      <c r="S371" s="62" t="n">
        <f aca="false">IF(AND(K371&gt;0,R371=0),1,0)</f>
        <v>0</v>
      </c>
    </row>
    <row r="372" customFormat="false" ht="15" hidden="false" customHeight="false" outlineLevel="0" collapsed="false">
      <c r="B372" s="71" t="str">
        <f aca="false">IF($F$6="Sí",N($C$11)+345,"")</f>
        <v/>
      </c>
      <c r="C372" s="72" t="str">
        <f aca="false">IF(OR($F$6&lt;&gt;"Sí",D372&lt;=0.5),"",EDATE($C$10,345))</f>
        <v/>
      </c>
      <c r="D372" s="41" t="n">
        <f aca="false">MAX(0,M371)</f>
        <v>0</v>
      </c>
      <c r="E372" s="41" t="n">
        <f aca="false">D372*$F$7</f>
        <v>0</v>
      </c>
      <c r="F372" s="41" t="n">
        <f aca="false">IF(D372&gt;0.5,N($C$15),0)</f>
        <v>0</v>
      </c>
      <c r="G372" s="41" t="n">
        <f aca="false">IF(AND(D372&gt;0.5,N($C$19)&gt;0,N(B372)&lt;=N($C$20)),D372*$F$8,0)</f>
        <v>0</v>
      </c>
      <c r="H372" s="41" t="n">
        <f aca="false">IF(D372&lt;=0.5,0,MIN(IF(N(I372)&gt;0,I372,$F$9),D372+E372+F372))</f>
        <v>0</v>
      </c>
      <c r="I372" s="77"/>
      <c r="J372" s="77"/>
      <c r="K372" s="41" t="n">
        <f aca="false">IF(D372&lt;=0.5,0,MIN(H372+N(J372),D372+E372+F372))</f>
        <v>0</v>
      </c>
      <c r="L372" s="41" t="n">
        <f aca="false">K372-E372-F372</f>
        <v>0</v>
      </c>
      <c r="M372" s="41" t="n">
        <f aca="false">D372-L372</f>
        <v>0</v>
      </c>
      <c r="N372" s="42" t="n">
        <f aca="false">K372-G372</f>
        <v>0</v>
      </c>
      <c r="O372" s="78"/>
      <c r="P372" s="79"/>
      <c r="Q372" s="16" t="str">
        <f aca="false">IF(K372=0,"",IF(R372=1,"Pagada",IF(C372&lt;$F$12,"Vencida",IF(346=$F$13,"Próxima","Pendiente"))))</f>
        <v/>
      </c>
      <c r="R372" s="62" t="n">
        <f aca="false">IF(AND(K372&gt;0,OR(O372="Sí",O372="Si")),1,0)</f>
        <v>0</v>
      </c>
      <c r="S372" s="62" t="n">
        <f aca="false">IF(AND(K372&gt;0,R372=0),1,0)</f>
        <v>0</v>
      </c>
    </row>
    <row r="373" customFormat="false" ht="15" hidden="false" customHeight="false" outlineLevel="0" collapsed="false">
      <c r="B373" s="71" t="str">
        <f aca="false">IF($F$6="Sí",N($C$11)+346,"")</f>
        <v/>
      </c>
      <c r="C373" s="72" t="str">
        <f aca="false">IF(OR($F$6&lt;&gt;"Sí",D373&lt;=0.5),"",EDATE($C$10,346))</f>
        <v/>
      </c>
      <c r="D373" s="41" t="n">
        <f aca="false">MAX(0,M372)</f>
        <v>0</v>
      </c>
      <c r="E373" s="41" t="n">
        <f aca="false">D373*$F$7</f>
        <v>0</v>
      </c>
      <c r="F373" s="41" t="n">
        <f aca="false">IF(D373&gt;0.5,N($C$15),0)</f>
        <v>0</v>
      </c>
      <c r="G373" s="41" t="n">
        <f aca="false">IF(AND(D373&gt;0.5,N($C$19)&gt;0,N(B373)&lt;=N($C$20)),D373*$F$8,0)</f>
        <v>0</v>
      </c>
      <c r="H373" s="41" t="n">
        <f aca="false">IF(D373&lt;=0.5,0,MIN(IF(N(I373)&gt;0,I373,$F$9),D373+E373+F373))</f>
        <v>0</v>
      </c>
      <c r="I373" s="77"/>
      <c r="J373" s="77"/>
      <c r="K373" s="41" t="n">
        <f aca="false">IF(D373&lt;=0.5,0,MIN(H373+N(J373),D373+E373+F373))</f>
        <v>0</v>
      </c>
      <c r="L373" s="41" t="n">
        <f aca="false">K373-E373-F373</f>
        <v>0</v>
      </c>
      <c r="M373" s="41" t="n">
        <f aca="false">D373-L373</f>
        <v>0</v>
      </c>
      <c r="N373" s="42" t="n">
        <f aca="false">K373-G373</f>
        <v>0</v>
      </c>
      <c r="O373" s="78"/>
      <c r="P373" s="79"/>
      <c r="Q373" s="16" t="str">
        <f aca="false">IF(K373=0,"",IF(R373=1,"Pagada",IF(C373&lt;$F$12,"Vencida",IF(347=$F$13,"Próxima","Pendiente"))))</f>
        <v/>
      </c>
      <c r="R373" s="62" t="n">
        <f aca="false">IF(AND(K373&gt;0,OR(O373="Sí",O373="Si")),1,0)</f>
        <v>0</v>
      </c>
      <c r="S373" s="62" t="n">
        <f aca="false">IF(AND(K373&gt;0,R373=0),1,0)</f>
        <v>0</v>
      </c>
    </row>
    <row r="374" customFormat="false" ht="15" hidden="false" customHeight="false" outlineLevel="0" collapsed="false">
      <c r="B374" s="71" t="str">
        <f aca="false">IF($F$6="Sí",N($C$11)+347,"")</f>
        <v/>
      </c>
      <c r="C374" s="72" t="str">
        <f aca="false">IF(OR($F$6&lt;&gt;"Sí",D374&lt;=0.5),"",EDATE($C$10,347))</f>
        <v/>
      </c>
      <c r="D374" s="41" t="n">
        <f aca="false">MAX(0,M373)</f>
        <v>0</v>
      </c>
      <c r="E374" s="41" t="n">
        <f aca="false">D374*$F$7</f>
        <v>0</v>
      </c>
      <c r="F374" s="41" t="n">
        <f aca="false">IF(D374&gt;0.5,N($C$15),0)</f>
        <v>0</v>
      </c>
      <c r="G374" s="41" t="n">
        <f aca="false">IF(AND(D374&gt;0.5,N($C$19)&gt;0,N(B374)&lt;=N($C$20)),D374*$F$8,0)</f>
        <v>0</v>
      </c>
      <c r="H374" s="41" t="n">
        <f aca="false">IF(D374&lt;=0.5,0,MIN(IF(N(I374)&gt;0,I374,$F$9),D374+E374+F374))</f>
        <v>0</v>
      </c>
      <c r="I374" s="77"/>
      <c r="J374" s="77"/>
      <c r="K374" s="41" t="n">
        <f aca="false">IF(D374&lt;=0.5,0,MIN(H374+N(J374),D374+E374+F374))</f>
        <v>0</v>
      </c>
      <c r="L374" s="41" t="n">
        <f aca="false">K374-E374-F374</f>
        <v>0</v>
      </c>
      <c r="M374" s="41" t="n">
        <f aca="false">D374-L374</f>
        <v>0</v>
      </c>
      <c r="N374" s="42" t="n">
        <f aca="false">K374-G374</f>
        <v>0</v>
      </c>
      <c r="O374" s="78"/>
      <c r="P374" s="79"/>
      <c r="Q374" s="16" t="str">
        <f aca="false">IF(K374=0,"",IF(R374=1,"Pagada",IF(C374&lt;$F$12,"Vencida",IF(348=$F$13,"Próxima","Pendiente"))))</f>
        <v/>
      </c>
      <c r="R374" s="62" t="n">
        <f aca="false">IF(AND(K374&gt;0,OR(O374="Sí",O374="Si")),1,0)</f>
        <v>0</v>
      </c>
      <c r="S374" s="62" t="n">
        <f aca="false">IF(AND(K374&gt;0,R374=0),1,0)</f>
        <v>0</v>
      </c>
    </row>
    <row r="375" customFormat="false" ht="15" hidden="false" customHeight="false" outlineLevel="0" collapsed="false">
      <c r="B375" s="71" t="str">
        <f aca="false">IF($F$6="Sí",N($C$11)+348,"")</f>
        <v/>
      </c>
      <c r="C375" s="72" t="str">
        <f aca="false">IF(OR($F$6&lt;&gt;"Sí",D375&lt;=0.5),"",EDATE($C$10,348))</f>
        <v/>
      </c>
      <c r="D375" s="41" t="n">
        <f aca="false">MAX(0,M374)</f>
        <v>0</v>
      </c>
      <c r="E375" s="41" t="n">
        <f aca="false">D375*$F$7</f>
        <v>0</v>
      </c>
      <c r="F375" s="41" t="n">
        <f aca="false">IF(D375&gt;0.5,N($C$15),0)</f>
        <v>0</v>
      </c>
      <c r="G375" s="41" t="n">
        <f aca="false">IF(AND(D375&gt;0.5,N($C$19)&gt;0,N(B375)&lt;=N($C$20)),D375*$F$8,0)</f>
        <v>0</v>
      </c>
      <c r="H375" s="41" t="n">
        <f aca="false">IF(D375&lt;=0.5,0,MIN(IF(N(I375)&gt;0,I375,$F$9),D375+E375+F375))</f>
        <v>0</v>
      </c>
      <c r="I375" s="77"/>
      <c r="J375" s="77"/>
      <c r="K375" s="41" t="n">
        <f aca="false">IF(D375&lt;=0.5,0,MIN(H375+N(J375),D375+E375+F375))</f>
        <v>0</v>
      </c>
      <c r="L375" s="41" t="n">
        <f aca="false">K375-E375-F375</f>
        <v>0</v>
      </c>
      <c r="M375" s="41" t="n">
        <f aca="false">D375-L375</f>
        <v>0</v>
      </c>
      <c r="N375" s="42" t="n">
        <f aca="false">K375-G375</f>
        <v>0</v>
      </c>
      <c r="O375" s="78"/>
      <c r="P375" s="79"/>
      <c r="Q375" s="16" t="str">
        <f aca="false">IF(K375=0,"",IF(R375=1,"Pagada",IF(C375&lt;$F$12,"Vencida",IF(349=$F$13,"Próxima","Pendiente"))))</f>
        <v/>
      </c>
      <c r="R375" s="62" t="n">
        <f aca="false">IF(AND(K375&gt;0,OR(O375="Sí",O375="Si")),1,0)</f>
        <v>0</v>
      </c>
      <c r="S375" s="62" t="n">
        <f aca="false">IF(AND(K375&gt;0,R375=0),1,0)</f>
        <v>0</v>
      </c>
    </row>
    <row r="376" customFormat="false" ht="15" hidden="false" customHeight="false" outlineLevel="0" collapsed="false">
      <c r="B376" s="71" t="str">
        <f aca="false">IF($F$6="Sí",N($C$11)+349,"")</f>
        <v/>
      </c>
      <c r="C376" s="72" t="str">
        <f aca="false">IF(OR($F$6&lt;&gt;"Sí",D376&lt;=0.5),"",EDATE($C$10,349))</f>
        <v/>
      </c>
      <c r="D376" s="41" t="n">
        <f aca="false">MAX(0,M375)</f>
        <v>0</v>
      </c>
      <c r="E376" s="41" t="n">
        <f aca="false">D376*$F$7</f>
        <v>0</v>
      </c>
      <c r="F376" s="41" t="n">
        <f aca="false">IF(D376&gt;0.5,N($C$15),0)</f>
        <v>0</v>
      </c>
      <c r="G376" s="41" t="n">
        <f aca="false">IF(AND(D376&gt;0.5,N($C$19)&gt;0,N(B376)&lt;=N($C$20)),D376*$F$8,0)</f>
        <v>0</v>
      </c>
      <c r="H376" s="41" t="n">
        <f aca="false">IF(D376&lt;=0.5,0,MIN(IF(N(I376)&gt;0,I376,$F$9),D376+E376+F376))</f>
        <v>0</v>
      </c>
      <c r="I376" s="77"/>
      <c r="J376" s="77"/>
      <c r="K376" s="41" t="n">
        <f aca="false">IF(D376&lt;=0.5,0,MIN(H376+N(J376),D376+E376+F376))</f>
        <v>0</v>
      </c>
      <c r="L376" s="41" t="n">
        <f aca="false">K376-E376-F376</f>
        <v>0</v>
      </c>
      <c r="M376" s="41" t="n">
        <f aca="false">D376-L376</f>
        <v>0</v>
      </c>
      <c r="N376" s="42" t="n">
        <f aca="false">K376-G376</f>
        <v>0</v>
      </c>
      <c r="O376" s="78"/>
      <c r="P376" s="79"/>
      <c r="Q376" s="16" t="str">
        <f aca="false">IF(K376=0,"",IF(R376=1,"Pagada",IF(C376&lt;$F$12,"Vencida",IF(350=$F$13,"Próxima","Pendiente"))))</f>
        <v/>
      </c>
      <c r="R376" s="62" t="n">
        <f aca="false">IF(AND(K376&gt;0,OR(O376="Sí",O376="Si")),1,0)</f>
        <v>0</v>
      </c>
      <c r="S376" s="62" t="n">
        <f aca="false">IF(AND(K376&gt;0,R376=0),1,0)</f>
        <v>0</v>
      </c>
    </row>
    <row r="377" customFormat="false" ht="15" hidden="false" customHeight="false" outlineLevel="0" collapsed="false">
      <c r="B377" s="71" t="str">
        <f aca="false">IF($F$6="Sí",N($C$11)+350,"")</f>
        <v/>
      </c>
      <c r="C377" s="72" t="str">
        <f aca="false">IF(OR($F$6&lt;&gt;"Sí",D377&lt;=0.5),"",EDATE($C$10,350))</f>
        <v/>
      </c>
      <c r="D377" s="41" t="n">
        <f aca="false">MAX(0,M376)</f>
        <v>0</v>
      </c>
      <c r="E377" s="41" t="n">
        <f aca="false">D377*$F$7</f>
        <v>0</v>
      </c>
      <c r="F377" s="41" t="n">
        <f aca="false">IF(D377&gt;0.5,N($C$15),0)</f>
        <v>0</v>
      </c>
      <c r="G377" s="41" t="n">
        <f aca="false">IF(AND(D377&gt;0.5,N($C$19)&gt;0,N(B377)&lt;=N($C$20)),D377*$F$8,0)</f>
        <v>0</v>
      </c>
      <c r="H377" s="41" t="n">
        <f aca="false">IF(D377&lt;=0.5,0,MIN(IF(N(I377)&gt;0,I377,$F$9),D377+E377+F377))</f>
        <v>0</v>
      </c>
      <c r="I377" s="77"/>
      <c r="J377" s="77"/>
      <c r="K377" s="41" t="n">
        <f aca="false">IF(D377&lt;=0.5,0,MIN(H377+N(J377),D377+E377+F377))</f>
        <v>0</v>
      </c>
      <c r="L377" s="41" t="n">
        <f aca="false">K377-E377-F377</f>
        <v>0</v>
      </c>
      <c r="M377" s="41" t="n">
        <f aca="false">D377-L377</f>
        <v>0</v>
      </c>
      <c r="N377" s="42" t="n">
        <f aca="false">K377-G377</f>
        <v>0</v>
      </c>
      <c r="O377" s="78"/>
      <c r="P377" s="79"/>
      <c r="Q377" s="16" t="str">
        <f aca="false">IF(K377=0,"",IF(R377=1,"Pagada",IF(C377&lt;$F$12,"Vencida",IF(351=$F$13,"Próxima","Pendiente"))))</f>
        <v/>
      </c>
      <c r="R377" s="62" t="n">
        <f aca="false">IF(AND(K377&gt;0,OR(O377="Sí",O377="Si")),1,0)</f>
        <v>0</v>
      </c>
      <c r="S377" s="62" t="n">
        <f aca="false">IF(AND(K377&gt;0,R377=0),1,0)</f>
        <v>0</v>
      </c>
    </row>
    <row r="378" customFormat="false" ht="15" hidden="false" customHeight="false" outlineLevel="0" collapsed="false">
      <c r="B378" s="71" t="str">
        <f aca="false">IF($F$6="Sí",N($C$11)+351,"")</f>
        <v/>
      </c>
      <c r="C378" s="72" t="str">
        <f aca="false">IF(OR($F$6&lt;&gt;"Sí",D378&lt;=0.5),"",EDATE($C$10,351))</f>
        <v/>
      </c>
      <c r="D378" s="41" t="n">
        <f aca="false">MAX(0,M377)</f>
        <v>0</v>
      </c>
      <c r="E378" s="41" t="n">
        <f aca="false">D378*$F$7</f>
        <v>0</v>
      </c>
      <c r="F378" s="41" t="n">
        <f aca="false">IF(D378&gt;0.5,N($C$15),0)</f>
        <v>0</v>
      </c>
      <c r="G378" s="41" t="n">
        <f aca="false">IF(AND(D378&gt;0.5,N($C$19)&gt;0,N(B378)&lt;=N($C$20)),D378*$F$8,0)</f>
        <v>0</v>
      </c>
      <c r="H378" s="41" t="n">
        <f aca="false">IF(D378&lt;=0.5,0,MIN(IF(N(I378)&gt;0,I378,$F$9),D378+E378+F378))</f>
        <v>0</v>
      </c>
      <c r="I378" s="77"/>
      <c r="J378" s="77"/>
      <c r="K378" s="41" t="n">
        <f aca="false">IF(D378&lt;=0.5,0,MIN(H378+N(J378),D378+E378+F378))</f>
        <v>0</v>
      </c>
      <c r="L378" s="41" t="n">
        <f aca="false">K378-E378-F378</f>
        <v>0</v>
      </c>
      <c r="M378" s="41" t="n">
        <f aca="false">D378-L378</f>
        <v>0</v>
      </c>
      <c r="N378" s="42" t="n">
        <f aca="false">K378-G378</f>
        <v>0</v>
      </c>
      <c r="O378" s="78"/>
      <c r="P378" s="79"/>
      <c r="Q378" s="16" t="str">
        <f aca="false">IF(K378=0,"",IF(R378=1,"Pagada",IF(C378&lt;$F$12,"Vencida",IF(352=$F$13,"Próxima","Pendiente"))))</f>
        <v/>
      </c>
      <c r="R378" s="62" t="n">
        <f aca="false">IF(AND(K378&gt;0,OR(O378="Sí",O378="Si")),1,0)</f>
        <v>0</v>
      </c>
      <c r="S378" s="62" t="n">
        <f aca="false">IF(AND(K378&gt;0,R378=0),1,0)</f>
        <v>0</v>
      </c>
    </row>
    <row r="379" customFormat="false" ht="15" hidden="false" customHeight="false" outlineLevel="0" collapsed="false">
      <c r="B379" s="71" t="str">
        <f aca="false">IF($F$6="Sí",N($C$11)+352,"")</f>
        <v/>
      </c>
      <c r="C379" s="72" t="str">
        <f aca="false">IF(OR($F$6&lt;&gt;"Sí",D379&lt;=0.5),"",EDATE($C$10,352))</f>
        <v/>
      </c>
      <c r="D379" s="41" t="n">
        <f aca="false">MAX(0,M378)</f>
        <v>0</v>
      </c>
      <c r="E379" s="41" t="n">
        <f aca="false">D379*$F$7</f>
        <v>0</v>
      </c>
      <c r="F379" s="41" t="n">
        <f aca="false">IF(D379&gt;0.5,N($C$15),0)</f>
        <v>0</v>
      </c>
      <c r="G379" s="41" t="n">
        <f aca="false">IF(AND(D379&gt;0.5,N($C$19)&gt;0,N(B379)&lt;=N($C$20)),D379*$F$8,0)</f>
        <v>0</v>
      </c>
      <c r="H379" s="41" t="n">
        <f aca="false">IF(D379&lt;=0.5,0,MIN(IF(N(I379)&gt;0,I379,$F$9),D379+E379+F379))</f>
        <v>0</v>
      </c>
      <c r="I379" s="77"/>
      <c r="J379" s="77"/>
      <c r="K379" s="41" t="n">
        <f aca="false">IF(D379&lt;=0.5,0,MIN(H379+N(J379),D379+E379+F379))</f>
        <v>0</v>
      </c>
      <c r="L379" s="41" t="n">
        <f aca="false">K379-E379-F379</f>
        <v>0</v>
      </c>
      <c r="M379" s="41" t="n">
        <f aca="false">D379-L379</f>
        <v>0</v>
      </c>
      <c r="N379" s="42" t="n">
        <f aca="false">K379-G379</f>
        <v>0</v>
      </c>
      <c r="O379" s="78"/>
      <c r="P379" s="79"/>
      <c r="Q379" s="16" t="str">
        <f aca="false">IF(K379=0,"",IF(R379=1,"Pagada",IF(C379&lt;$F$12,"Vencida",IF(353=$F$13,"Próxima","Pendiente"))))</f>
        <v/>
      </c>
      <c r="R379" s="62" t="n">
        <f aca="false">IF(AND(K379&gt;0,OR(O379="Sí",O379="Si")),1,0)</f>
        <v>0</v>
      </c>
      <c r="S379" s="62" t="n">
        <f aca="false">IF(AND(K379&gt;0,R379=0),1,0)</f>
        <v>0</v>
      </c>
    </row>
    <row r="380" customFormat="false" ht="15" hidden="false" customHeight="false" outlineLevel="0" collapsed="false">
      <c r="B380" s="71" t="str">
        <f aca="false">IF($F$6="Sí",N($C$11)+353,"")</f>
        <v/>
      </c>
      <c r="C380" s="72" t="str">
        <f aca="false">IF(OR($F$6&lt;&gt;"Sí",D380&lt;=0.5),"",EDATE($C$10,353))</f>
        <v/>
      </c>
      <c r="D380" s="41" t="n">
        <f aca="false">MAX(0,M379)</f>
        <v>0</v>
      </c>
      <c r="E380" s="41" t="n">
        <f aca="false">D380*$F$7</f>
        <v>0</v>
      </c>
      <c r="F380" s="41" t="n">
        <f aca="false">IF(D380&gt;0.5,N($C$15),0)</f>
        <v>0</v>
      </c>
      <c r="G380" s="41" t="n">
        <f aca="false">IF(AND(D380&gt;0.5,N($C$19)&gt;0,N(B380)&lt;=N($C$20)),D380*$F$8,0)</f>
        <v>0</v>
      </c>
      <c r="H380" s="41" t="n">
        <f aca="false">IF(D380&lt;=0.5,0,MIN(IF(N(I380)&gt;0,I380,$F$9),D380+E380+F380))</f>
        <v>0</v>
      </c>
      <c r="I380" s="77"/>
      <c r="J380" s="77"/>
      <c r="K380" s="41" t="n">
        <f aca="false">IF(D380&lt;=0.5,0,MIN(H380+N(J380),D380+E380+F380))</f>
        <v>0</v>
      </c>
      <c r="L380" s="41" t="n">
        <f aca="false">K380-E380-F380</f>
        <v>0</v>
      </c>
      <c r="M380" s="41" t="n">
        <f aca="false">D380-L380</f>
        <v>0</v>
      </c>
      <c r="N380" s="42" t="n">
        <f aca="false">K380-G380</f>
        <v>0</v>
      </c>
      <c r="O380" s="78"/>
      <c r="P380" s="79"/>
      <c r="Q380" s="16" t="str">
        <f aca="false">IF(K380=0,"",IF(R380=1,"Pagada",IF(C380&lt;$F$12,"Vencida",IF(354=$F$13,"Próxima","Pendiente"))))</f>
        <v/>
      </c>
      <c r="R380" s="62" t="n">
        <f aca="false">IF(AND(K380&gt;0,OR(O380="Sí",O380="Si")),1,0)</f>
        <v>0</v>
      </c>
      <c r="S380" s="62" t="n">
        <f aca="false">IF(AND(K380&gt;0,R380=0),1,0)</f>
        <v>0</v>
      </c>
    </row>
    <row r="381" customFormat="false" ht="15" hidden="false" customHeight="false" outlineLevel="0" collapsed="false">
      <c r="B381" s="71" t="str">
        <f aca="false">IF($F$6="Sí",N($C$11)+354,"")</f>
        <v/>
      </c>
      <c r="C381" s="72" t="str">
        <f aca="false">IF(OR($F$6&lt;&gt;"Sí",D381&lt;=0.5),"",EDATE($C$10,354))</f>
        <v/>
      </c>
      <c r="D381" s="41" t="n">
        <f aca="false">MAX(0,M380)</f>
        <v>0</v>
      </c>
      <c r="E381" s="41" t="n">
        <f aca="false">D381*$F$7</f>
        <v>0</v>
      </c>
      <c r="F381" s="41" t="n">
        <f aca="false">IF(D381&gt;0.5,N($C$15),0)</f>
        <v>0</v>
      </c>
      <c r="G381" s="41" t="n">
        <f aca="false">IF(AND(D381&gt;0.5,N($C$19)&gt;0,N(B381)&lt;=N($C$20)),D381*$F$8,0)</f>
        <v>0</v>
      </c>
      <c r="H381" s="41" t="n">
        <f aca="false">IF(D381&lt;=0.5,0,MIN(IF(N(I381)&gt;0,I381,$F$9),D381+E381+F381))</f>
        <v>0</v>
      </c>
      <c r="I381" s="77"/>
      <c r="J381" s="77"/>
      <c r="K381" s="41" t="n">
        <f aca="false">IF(D381&lt;=0.5,0,MIN(H381+N(J381),D381+E381+F381))</f>
        <v>0</v>
      </c>
      <c r="L381" s="41" t="n">
        <f aca="false">K381-E381-F381</f>
        <v>0</v>
      </c>
      <c r="M381" s="41" t="n">
        <f aca="false">D381-L381</f>
        <v>0</v>
      </c>
      <c r="N381" s="42" t="n">
        <f aca="false">K381-G381</f>
        <v>0</v>
      </c>
      <c r="O381" s="78"/>
      <c r="P381" s="79"/>
      <c r="Q381" s="16" t="str">
        <f aca="false">IF(K381=0,"",IF(R381=1,"Pagada",IF(C381&lt;$F$12,"Vencida",IF(355=$F$13,"Próxima","Pendiente"))))</f>
        <v/>
      </c>
      <c r="R381" s="62" t="n">
        <f aca="false">IF(AND(K381&gt;0,OR(O381="Sí",O381="Si")),1,0)</f>
        <v>0</v>
      </c>
      <c r="S381" s="62" t="n">
        <f aca="false">IF(AND(K381&gt;0,R381=0),1,0)</f>
        <v>0</v>
      </c>
    </row>
    <row r="382" customFormat="false" ht="15" hidden="false" customHeight="false" outlineLevel="0" collapsed="false">
      <c r="B382" s="71" t="str">
        <f aca="false">IF($F$6="Sí",N($C$11)+355,"")</f>
        <v/>
      </c>
      <c r="C382" s="72" t="str">
        <f aca="false">IF(OR($F$6&lt;&gt;"Sí",D382&lt;=0.5),"",EDATE($C$10,355))</f>
        <v/>
      </c>
      <c r="D382" s="41" t="n">
        <f aca="false">MAX(0,M381)</f>
        <v>0</v>
      </c>
      <c r="E382" s="41" t="n">
        <f aca="false">D382*$F$7</f>
        <v>0</v>
      </c>
      <c r="F382" s="41" t="n">
        <f aca="false">IF(D382&gt;0.5,N($C$15),0)</f>
        <v>0</v>
      </c>
      <c r="G382" s="41" t="n">
        <f aca="false">IF(AND(D382&gt;0.5,N($C$19)&gt;0,N(B382)&lt;=N($C$20)),D382*$F$8,0)</f>
        <v>0</v>
      </c>
      <c r="H382" s="41" t="n">
        <f aca="false">IF(D382&lt;=0.5,0,MIN(IF(N(I382)&gt;0,I382,$F$9),D382+E382+F382))</f>
        <v>0</v>
      </c>
      <c r="I382" s="77"/>
      <c r="J382" s="77"/>
      <c r="K382" s="41" t="n">
        <f aca="false">IF(D382&lt;=0.5,0,MIN(H382+N(J382),D382+E382+F382))</f>
        <v>0</v>
      </c>
      <c r="L382" s="41" t="n">
        <f aca="false">K382-E382-F382</f>
        <v>0</v>
      </c>
      <c r="M382" s="41" t="n">
        <f aca="false">D382-L382</f>
        <v>0</v>
      </c>
      <c r="N382" s="42" t="n">
        <f aca="false">K382-G382</f>
        <v>0</v>
      </c>
      <c r="O382" s="78"/>
      <c r="P382" s="79"/>
      <c r="Q382" s="16" t="str">
        <f aca="false">IF(K382=0,"",IF(R382=1,"Pagada",IF(C382&lt;$F$12,"Vencida",IF(356=$F$13,"Próxima","Pendiente"))))</f>
        <v/>
      </c>
      <c r="R382" s="62" t="n">
        <f aca="false">IF(AND(K382&gt;0,OR(O382="Sí",O382="Si")),1,0)</f>
        <v>0</v>
      </c>
      <c r="S382" s="62" t="n">
        <f aca="false">IF(AND(K382&gt;0,R382=0),1,0)</f>
        <v>0</v>
      </c>
    </row>
    <row r="383" customFormat="false" ht="15" hidden="false" customHeight="false" outlineLevel="0" collapsed="false">
      <c r="B383" s="71" t="str">
        <f aca="false">IF($F$6="Sí",N($C$11)+356,"")</f>
        <v/>
      </c>
      <c r="C383" s="72" t="str">
        <f aca="false">IF(OR($F$6&lt;&gt;"Sí",D383&lt;=0.5),"",EDATE($C$10,356))</f>
        <v/>
      </c>
      <c r="D383" s="41" t="n">
        <f aca="false">MAX(0,M382)</f>
        <v>0</v>
      </c>
      <c r="E383" s="41" t="n">
        <f aca="false">D383*$F$7</f>
        <v>0</v>
      </c>
      <c r="F383" s="41" t="n">
        <f aca="false">IF(D383&gt;0.5,N($C$15),0)</f>
        <v>0</v>
      </c>
      <c r="G383" s="41" t="n">
        <f aca="false">IF(AND(D383&gt;0.5,N($C$19)&gt;0,N(B383)&lt;=N($C$20)),D383*$F$8,0)</f>
        <v>0</v>
      </c>
      <c r="H383" s="41" t="n">
        <f aca="false">IF(D383&lt;=0.5,0,MIN(IF(N(I383)&gt;0,I383,$F$9),D383+E383+F383))</f>
        <v>0</v>
      </c>
      <c r="I383" s="77"/>
      <c r="J383" s="77"/>
      <c r="K383" s="41" t="n">
        <f aca="false">IF(D383&lt;=0.5,0,MIN(H383+N(J383),D383+E383+F383))</f>
        <v>0</v>
      </c>
      <c r="L383" s="41" t="n">
        <f aca="false">K383-E383-F383</f>
        <v>0</v>
      </c>
      <c r="M383" s="41" t="n">
        <f aca="false">D383-L383</f>
        <v>0</v>
      </c>
      <c r="N383" s="42" t="n">
        <f aca="false">K383-G383</f>
        <v>0</v>
      </c>
      <c r="O383" s="78"/>
      <c r="P383" s="79"/>
      <c r="Q383" s="16" t="str">
        <f aca="false">IF(K383=0,"",IF(R383=1,"Pagada",IF(C383&lt;$F$12,"Vencida",IF(357=$F$13,"Próxima","Pendiente"))))</f>
        <v/>
      </c>
      <c r="R383" s="62" t="n">
        <f aca="false">IF(AND(K383&gt;0,OR(O383="Sí",O383="Si")),1,0)</f>
        <v>0</v>
      </c>
      <c r="S383" s="62" t="n">
        <f aca="false">IF(AND(K383&gt;0,R383=0),1,0)</f>
        <v>0</v>
      </c>
    </row>
    <row r="384" customFormat="false" ht="15" hidden="false" customHeight="false" outlineLevel="0" collapsed="false">
      <c r="B384" s="71" t="str">
        <f aca="false">IF($F$6="Sí",N($C$11)+357,"")</f>
        <v/>
      </c>
      <c r="C384" s="72" t="str">
        <f aca="false">IF(OR($F$6&lt;&gt;"Sí",D384&lt;=0.5),"",EDATE($C$10,357))</f>
        <v/>
      </c>
      <c r="D384" s="41" t="n">
        <f aca="false">MAX(0,M383)</f>
        <v>0</v>
      </c>
      <c r="E384" s="41" t="n">
        <f aca="false">D384*$F$7</f>
        <v>0</v>
      </c>
      <c r="F384" s="41" t="n">
        <f aca="false">IF(D384&gt;0.5,N($C$15),0)</f>
        <v>0</v>
      </c>
      <c r="G384" s="41" t="n">
        <f aca="false">IF(AND(D384&gt;0.5,N($C$19)&gt;0,N(B384)&lt;=N($C$20)),D384*$F$8,0)</f>
        <v>0</v>
      </c>
      <c r="H384" s="41" t="n">
        <f aca="false">IF(D384&lt;=0.5,0,MIN(IF(N(I384)&gt;0,I384,$F$9),D384+E384+F384))</f>
        <v>0</v>
      </c>
      <c r="I384" s="77"/>
      <c r="J384" s="77"/>
      <c r="K384" s="41" t="n">
        <f aca="false">IF(D384&lt;=0.5,0,MIN(H384+N(J384),D384+E384+F384))</f>
        <v>0</v>
      </c>
      <c r="L384" s="41" t="n">
        <f aca="false">K384-E384-F384</f>
        <v>0</v>
      </c>
      <c r="M384" s="41" t="n">
        <f aca="false">D384-L384</f>
        <v>0</v>
      </c>
      <c r="N384" s="42" t="n">
        <f aca="false">K384-G384</f>
        <v>0</v>
      </c>
      <c r="O384" s="78"/>
      <c r="P384" s="79"/>
      <c r="Q384" s="16" t="str">
        <f aca="false">IF(K384=0,"",IF(R384=1,"Pagada",IF(C384&lt;$F$12,"Vencida",IF(358=$F$13,"Próxima","Pendiente"))))</f>
        <v/>
      </c>
      <c r="R384" s="62" t="n">
        <f aca="false">IF(AND(K384&gt;0,OR(O384="Sí",O384="Si")),1,0)</f>
        <v>0</v>
      </c>
      <c r="S384" s="62" t="n">
        <f aca="false">IF(AND(K384&gt;0,R384=0),1,0)</f>
        <v>0</v>
      </c>
    </row>
    <row r="385" customFormat="false" ht="15" hidden="false" customHeight="false" outlineLevel="0" collapsed="false">
      <c r="B385" s="71" t="str">
        <f aca="false">IF($F$6="Sí",N($C$11)+358,"")</f>
        <v/>
      </c>
      <c r="C385" s="72" t="str">
        <f aca="false">IF(OR($F$6&lt;&gt;"Sí",D385&lt;=0.5),"",EDATE($C$10,358))</f>
        <v/>
      </c>
      <c r="D385" s="41" t="n">
        <f aca="false">MAX(0,M384)</f>
        <v>0</v>
      </c>
      <c r="E385" s="41" t="n">
        <f aca="false">D385*$F$7</f>
        <v>0</v>
      </c>
      <c r="F385" s="41" t="n">
        <f aca="false">IF(D385&gt;0.5,N($C$15),0)</f>
        <v>0</v>
      </c>
      <c r="G385" s="41" t="n">
        <f aca="false">IF(AND(D385&gt;0.5,N($C$19)&gt;0,N(B385)&lt;=N($C$20)),D385*$F$8,0)</f>
        <v>0</v>
      </c>
      <c r="H385" s="41" t="n">
        <f aca="false">IF(D385&lt;=0.5,0,MIN(IF(N(I385)&gt;0,I385,$F$9),D385+E385+F385))</f>
        <v>0</v>
      </c>
      <c r="I385" s="77"/>
      <c r="J385" s="77"/>
      <c r="K385" s="41" t="n">
        <f aca="false">IF(D385&lt;=0.5,0,MIN(H385+N(J385),D385+E385+F385))</f>
        <v>0</v>
      </c>
      <c r="L385" s="41" t="n">
        <f aca="false">K385-E385-F385</f>
        <v>0</v>
      </c>
      <c r="M385" s="41" t="n">
        <f aca="false">D385-L385</f>
        <v>0</v>
      </c>
      <c r="N385" s="42" t="n">
        <f aca="false">K385-G385</f>
        <v>0</v>
      </c>
      <c r="O385" s="78"/>
      <c r="P385" s="79"/>
      <c r="Q385" s="16" t="str">
        <f aca="false">IF(K385=0,"",IF(R385=1,"Pagada",IF(C385&lt;$F$12,"Vencida",IF(359=$F$13,"Próxima","Pendiente"))))</f>
        <v/>
      </c>
      <c r="R385" s="62" t="n">
        <f aca="false">IF(AND(K385&gt;0,OR(O385="Sí",O385="Si")),1,0)</f>
        <v>0</v>
      </c>
      <c r="S385" s="62" t="n">
        <f aca="false">IF(AND(K385&gt;0,R385=0),1,0)</f>
        <v>0</v>
      </c>
    </row>
    <row r="386" customFormat="false" ht="15" hidden="false" customHeight="false" outlineLevel="0" collapsed="false">
      <c r="B386" s="71" t="str">
        <f aca="false">IF($F$6="Sí",N($C$11)+359,"")</f>
        <v/>
      </c>
      <c r="C386" s="72" t="str">
        <f aca="false">IF(OR($F$6&lt;&gt;"Sí",D386&lt;=0.5),"",EDATE($C$10,359))</f>
        <v/>
      </c>
      <c r="D386" s="41" t="n">
        <f aca="false">MAX(0,M385)</f>
        <v>0</v>
      </c>
      <c r="E386" s="41" t="n">
        <f aca="false">D386*$F$7</f>
        <v>0</v>
      </c>
      <c r="F386" s="41" t="n">
        <f aca="false">IF(D386&gt;0.5,N($C$15),0)</f>
        <v>0</v>
      </c>
      <c r="G386" s="41" t="n">
        <f aca="false">IF(AND(D386&gt;0.5,N($C$19)&gt;0,N(B386)&lt;=N($C$20)),D386*$F$8,0)</f>
        <v>0</v>
      </c>
      <c r="H386" s="41" t="n">
        <f aca="false">IF(D386&lt;=0.5,0,MIN(IF(N(I386)&gt;0,I386,$F$9),D386+E386+F386))</f>
        <v>0</v>
      </c>
      <c r="I386" s="77"/>
      <c r="J386" s="77"/>
      <c r="K386" s="41" t="n">
        <f aca="false">IF(D386&lt;=0.5,0,MIN(H386+N(J386),D386+E386+F386))</f>
        <v>0</v>
      </c>
      <c r="L386" s="41" t="n">
        <f aca="false">K386-E386-F386</f>
        <v>0</v>
      </c>
      <c r="M386" s="41" t="n">
        <f aca="false">D386-L386</f>
        <v>0</v>
      </c>
      <c r="N386" s="42" t="n">
        <f aca="false">K386-G386</f>
        <v>0</v>
      </c>
      <c r="O386" s="78"/>
      <c r="P386" s="79"/>
      <c r="Q386" s="16" t="str">
        <f aca="false">IF(K386=0,"",IF(R386=1,"Pagada",IF(C386&lt;$F$12,"Vencida",IF(360=$F$13,"Próxima","Pendiente"))))</f>
        <v/>
      </c>
      <c r="R386" s="62" t="n">
        <f aca="false">IF(AND(K386&gt;0,OR(O386="Sí",O386="Si")),1,0)</f>
        <v>0</v>
      </c>
      <c r="S386" s="62" t="n">
        <f aca="false">IF(AND(K386&gt;0,R386=0),1,0)</f>
        <v>0</v>
      </c>
    </row>
  </sheetData>
  <conditionalFormatting sqref="B27:Q386">
    <cfRule type="expression" priority="2" aboveAverage="0" equalAverage="0" bottom="0" percent="0" rank="0" text="" dxfId="5">
      <formula>$Q27="Pagada"</formula>
    </cfRule>
    <cfRule type="expression" priority="3" aboveAverage="0" equalAverage="0" bottom="0" percent="0" rank="0" text="" dxfId="3">
      <formula>$Q27="Vencida"</formula>
    </cfRule>
    <cfRule type="expression" priority="4" aboveAverage="0" equalAverage="0" bottom="0" percent="0" rank="0" text="" dxfId="6">
      <formula>$Q27="Próxima"</formula>
    </cfRule>
  </conditionalFormatting>
  <dataValidations count="3">
    <dataValidation allowBlank="true" error="Elige un valor de la lista." errorStyle="stop" errorTitle="Valor no válido" operator="between" showDropDown="false" showErrorMessage="true" showInputMessage="false" sqref="C8" type="list">
      <formula1>Listas!$A$2:$A$8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C17" type="list">
      <formula1>Listas!$B$2:$B$3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O27:O386" type="list">
      <formula1>Listas!$B$2:$B$3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04A"/>
    <pageSetUpPr fitToPage="true"/>
  </sheetPr>
  <dimension ref="B1:S38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26" topLeftCell="C27" activePane="bottomRight" state="frozen"/>
      <selection pane="topLeft" activeCell="A1" activeCellId="0" sqref="A1"/>
      <selection pane="topRight" activeCell="C1" activeCellId="0" sqref="C1"/>
      <selection pane="bottomLeft" activeCell="A27" activeCellId="0" sqref="A2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4" min="3" style="0" width="15"/>
    <col collapsed="false" customWidth="true" hidden="false" outlineLevel="0" max="5" min="5" style="0" width="30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34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2" min="11" style="0" width="14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5" min="15" style="0" width="9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9" min="18" style="0" width="5"/>
  </cols>
  <sheetData>
    <row r="1" customFormat="false" ht="19.7" hidden="false" customHeight="false" outlineLevel="0" collapsed="false">
      <c r="B1" s="19" t="str">
        <f aca="false">IF(C6="","Crédito 2: sin datos","Crédito 2: "&amp;C6)</f>
        <v>Crédito 2: sin datos</v>
      </c>
    </row>
    <row r="2" customFormat="false" ht="15" hidden="false" customHeight="false" outlineLevel="0" collapsed="false">
      <c r="B2" s="20" t="s">
        <v>161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5" customFormat="false" ht="15" hidden="false" customHeight="false" outlineLevel="0" collapsed="false">
      <c r="B5" s="7" t="s">
        <v>162</v>
      </c>
      <c r="C5" s="8"/>
      <c r="E5" s="7" t="s">
        <v>163</v>
      </c>
      <c r="F5" s="8"/>
      <c r="H5" s="7" t="s">
        <v>164</v>
      </c>
      <c r="I5" s="8"/>
    </row>
    <row r="6" customFormat="false" ht="15" hidden="false" customHeight="false" outlineLevel="0" collapsed="false">
      <c r="B6" s="16" t="s">
        <v>165</v>
      </c>
      <c r="C6" s="15"/>
      <c r="E6" s="16" t="s">
        <v>166</v>
      </c>
      <c r="F6" s="16" t="str">
        <f aca="false">IF(AND(C6&lt;&gt;"",N(C9)&gt;0,ISNUMBER(C10)),"Sí","No")</f>
        <v>No</v>
      </c>
      <c r="H6" s="28" t="s">
        <v>46</v>
      </c>
      <c r="I6" s="42" t="n">
        <f aca="false">IF($F$6&lt;&gt;"Sí",0,MAX(0,$C$9-SUMIFS(L27:L386,R27:R386,1)))</f>
        <v>0</v>
      </c>
    </row>
    <row r="7" customFormat="false" ht="15" hidden="false" customHeight="false" outlineLevel="0" collapsed="false">
      <c r="B7" s="16" t="s">
        <v>167</v>
      </c>
      <c r="C7" s="15"/>
      <c r="E7" s="16" t="s">
        <v>130</v>
      </c>
      <c r="F7" s="70" t="n">
        <f aca="false">(1+N(C13))^(1/12)-1</f>
        <v>0</v>
      </c>
      <c r="H7" s="16" t="s">
        <v>168</v>
      </c>
      <c r="I7" s="71" t="n">
        <f aca="false">SUM(R27:R386)</f>
        <v>0</v>
      </c>
    </row>
    <row r="8" customFormat="false" ht="15" hidden="false" customHeight="false" outlineLevel="0" collapsed="false">
      <c r="B8" s="16" t="s">
        <v>91</v>
      </c>
      <c r="C8" s="15"/>
      <c r="E8" s="16" t="s">
        <v>169</v>
      </c>
      <c r="F8" s="70" t="n">
        <f aca="false">IF(N(C19)=0,0,F7-((1+MAX(0,N(C13)-C19))^(1/12)-1))</f>
        <v>0</v>
      </c>
      <c r="H8" s="16" t="s">
        <v>170</v>
      </c>
      <c r="I8" s="71" t="str">
        <f aca="false">IF($F$13=0,"",INDEX(B27:B386,$F$13))</f>
        <v/>
      </c>
    </row>
    <row r="9" customFormat="false" ht="15" hidden="false" customHeight="false" outlineLevel="0" collapsed="false">
      <c r="B9" s="16" t="s">
        <v>171</v>
      </c>
      <c r="C9" s="53"/>
      <c r="E9" s="16" t="s">
        <v>172</v>
      </c>
      <c r="F9" s="41" t="n">
        <f aca="false">IF(N(C14)&gt;0,C14,IF(AND(N(C12)&gt;0,N(C9)&gt;0,N(C12)-N(C11)+1&gt;0),IF(F7=0,C9/(C12-N(C11)+1),PMT(F7,C12-N(C11)+1,-C9))+N(C15),0))</f>
        <v>0</v>
      </c>
      <c r="H9" s="16" t="s">
        <v>173</v>
      </c>
      <c r="I9" s="72" t="str">
        <f aca="false">IF($F$13=0,"",INDEX(C27:C386,$F$13))</f>
        <v/>
      </c>
    </row>
    <row r="10" customFormat="false" ht="15" hidden="false" customHeight="false" outlineLevel="0" collapsed="false">
      <c r="B10" s="16" t="s">
        <v>174</v>
      </c>
      <c r="C10" s="46"/>
      <c r="E10" s="16" t="s">
        <v>175</v>
      </c>
      <c r="F10" s="71" t="str">
        <f aca="false">IF(ISNUMBER(C10),DAY(C10),"")</f>
        <v/>
      </c>
      <c r="H10" s="28" t="s">
        <v>176</v>
      </c>
      <c r="I10" s="42" t="n">
        <f aca="false">IF($F$13=0,0,INDEX(N27:N386,$F$13))</f>
        <v>0</v>
      </c>
    </row>
    <row r="11" customFormat="false" ht="15" hidden="false" customHeight="false" outlineLevel="0" collapsed="false">
      <c r="B11" s="16" t="s">
        <v>177</v>
      </c>
      <c r="C11" s="73" t="n">
        <v>1</v>
      </c>
      <c r="E11" s="16" t="s">
        <v>178</v>
      </c>
      <c r="F11" s="72" t="str">
        <f aca="false">IF(OR(C17="No",N(C18)=0,NOT(ISNUMBER(C10))),"",EDATE(C10,C18-N(C11)))</f>
        <v/>
      </c>
      <c r="H11" s="16" t="s">
        <v>49</v>
      </c>
      <c r="I11" s="71" t="n">
        <f aca="false">SUM(S27:S386)</f>
        <v>0</v>
      </c>
    </row>
    <row r="12" customFormat="false" ht="15" hidden="false" customHeight="false" outlineLevel="0" collapsed="false">
      <c r="B12" s="16" t="s">
        <v>179</v>
      </c>
      <c r="C12" s="73"/>
      <c r="E12" s="16" t="s">
        <v>100</v>
      </c>
      <c r="F12" s="72" t="n">
        <f aca="false">Datos!$C$7</f>
        <v>46290</v>
      </c>
      <c r="H12" s="16" t="s">
        <v>50</v>
      </c>
      <c r="I12" s="72" t="str">
        <f aca="false">IF($F$6&lt;&gt;"Sí","",IF(M386&gt;0.5,"Más de 360 cuotas",_xlfn.MAXIFS(C27:C386,K27:K386,"&gt;0")))</f>
        <v/>
      </c>
    </row>
    <row r="13" customFormat="false" ht="15" hidden="false" customHeight="false" outlineLevel="0" collapsed="false">
      <c r="B13" s="16" t="s">
        <v>180</v>
      </c>
      <c r="C13" s="74"/>
      <c r="E13" s="16" t="s">
        <v>181</v>
      </c>
      <c r="F13" s="71" t="n">
        <f aca="false">IFERROR(MATCH(1,S27:S386,0),0)</f>
        <v>0</v>
      </c>
      <c r="H13" s="16" t="s">
        <v>51</v>
      </c>
      <c r="I13" s="41" t="n">
        <f aca="false">SUMIFS(E27:E386,S27:S386,1)</f>
        <v>0</v>
      </c>
    </row>
    <row r="14" customFormat="false" ht="15" hidden="false" customHeight="false" outlineLevel="0" collapsed="false">
      <c r="B14" s="16" t="s">
        <v>182</v>
      </c>
      <c r="C14" s="53"/>
      <c r="E14" s="18" t="s">
        <v>183</v>
      </c>
      <c r="H14" s="16" t="s">
        <v>184</v>
      </c>
      <c r="I14" s="41" t="n">
        <f aca="false">SUMIFS(N27:N386,S27:S386,1)</f>
        <v>0</v>
      </c>
    </row>
    <row r="15" customFormat="false" ht="15" hidden="false" customHeight="false" outlineLevel="0" collapsed="false">
      <c r="B15" s="16" t="s">
        <v>185</v>
      </c>
      <c r="C15" s="53" t="n">
        <v>0</v>
      </c>
      <c r="H15" s="16" t="s">
        <v>186</v>
      </c>
      <c r="I15" s="75" t="n">
        <f aca="false">IF($F$6&lt;&gt;"Sí",0,IF(N(C16)&gt;0,1-I6/C16,IF(N(C9)&gt;0,1-I6/C9,0)))</f>
        <v>0</v>
      </c>
    </row>
    <row r="16" customFormat="false" ht="15" hidden="false" customHeight="false" outlineLevel="0" collapsed="false">
      <c r="B16" s="16" t="s">
        <v>187</v>
      </c>
      <c r="C16" s="53"/>
      <c r="H16" s="16" t="s">
        <v>188</v>
      </c>
      <c r="I16" s="75" t="str">
        <f aca="false">IF(N(C12)=0,"",(N(C11)-1+I7)/C12)</f>
        <v/>
      </c>
    </row>
    <row r="17" customFormat="false" ht="15" hidden="false" customHeight="false" outlineLevel="0" collapsed="false">
      <c r="B17" s="16" t="s">
        <v>94</v>
      </c>
      <c r="C17" s="15" t="s">
        <v>189</v>
      </c>
      <c r="H17" s="16" t="s">
        <v>42</v>
      </c>
      <c r="I17" s="71" t="n">
        <f aca="false">COUNTIFS(S27:S386,1,C27:C386,"&lt;"&amp;$F$12)</f>
        <v>0</v>
      </c>
    </row>
    <row r="18" customFormat="false" ht="15" hidden="false" customHeight="false" outlineLevel="0" collapsed="false">
      <c r="B18" s="16" t="s">
        <v>190</v>
      </c>
      <c r="C18" s="73"/>
      <c r="H18" s="16" t="s">
        <v>191</v>
      </c>
      <c r="I18" s="41" t="n">
        <f aca="false">F9</f>
        <v>0</v>
      </c>
    </row>
    <row r="19" customFormat="false" ht="15" hidden="false" customHeight="false" outlineLevel="0" collapsed="false">
      <c r="B19" s="16" t="s">
        <v>192</v>
      </c>
      <c r="C19" s="74"/>
      <c r="H19" s="28" t="s">
        <v>54</v>
      </c>
      <c r="I19" s="28" t="str">
        <f aca="false">IF(F6&lt;&gt;"Sí","Sin datos",IF(I17&gt;0,"Vencidas sin marcar",IF(I11=0,"Pagado","Al día")))</f>
        <v>Sin datos</v>
      </c>
    </row>
    <row r="20" customFormat="false" ht="15" hidden="false" customHeight="false" outlineLevel="0" collapsed="false">
      <c r="B20" s="16" t="s">
        <v>193</v>
      </c>
      <c r="C20" s="73"/>
    </row>
    <row r="21" customFormat="false" ht="15" hidden="false" customHeight="false" outlineLevel="0" collapsed="false">
      <c r="B21" s="7" t="s">
        <v>194</v>
      </c>
      <c r="C21" s="8"/>
      <c r="D21" s="8"/>
      <c r="E21" s="8"/>
      <c r="F21" s="8"/>
      <c r="G21" s="8"/>
    </row>
    <row r="22" customFormat="false" ht="15" hidden="false" customHeight="false" outlineLevel="0" collapsed="false">
      <c r="B22" s="16" t="s">
        <v>195</v>
      </c>
      <c r="C22" s="53"/>
      <c r="E22" s="16" t="s">
        <v>196</v>
      </c>
      <c r="F22" s="76" t="str">
        <f aca="false">IF(OR(I6&lt;=0,F9-N(C15)+N(C22)&lt;=0),"",IFERROR(IF(F7=0,I6/(F9-N(C15)+N(C22)),NPER(F7,-(F9-N(C15)+N(C22)),I6)),"No alcanza"))</f>
        <v/>
      </c>
      <c r="G22" s="41" t="str">
        <f aca="false">IF(OR(F22="",NOT(ISNUMBER(F22))),"",(F9-N(C15)+N(C22))*F22-I6)</f>
        <v/>
      </c>
    </row>
    <row r="23" customFormat="false" ht="15" hidden="false" customHeight="false" outlineLevel="0" collapsed="false">
      <c r="B23" s="16" t="s">
        <v>197</v>
      </c>
      <c r="C23" s="73"/>
      <c r="E23" s="16" t="s">
        <v>198</v>
      </c>
      <c r="F23" s="41" t="str">
        <f aca="false">IF(OR(N(C23)=0,I6&lt;=0),"",IF(F7=0,I6/C23,PMT(F7,C23,-I6))+N(C15))</f>
        <v/>
      </c>
      <c r="G23" s="18" t="s">
        <v>199</v>
      </c>
    </row>
    <row r="25" customFormat="false" ht="15" hidden="false" customHeight="false" outlineLevel="0" collapsed="false">
      <c r="B25" s="18" t="s">
        <v>200</v>
      </c>
    </row>
    <row r="26" customFormat="false" ht="30" hidden="false" customHeight="true" outlineLevel="0" collapsed="false">
      <c r="B26" s="9" t="s">
        <v>201</v>
      </c>
      <c r="C26" s="10" t="s">
        <v>146</v>
      </c>
      <c r="D26" s="10" t="s">
        <v>202</v>
      </c>
      <c r="E26" s="10" t="s">
        <v>203</v>
      </c>
      <c r="F26" s="10" t="s">
        <v>204</v>
      </c>
      <c r="G26" s="10" t="s">
        <v>205</v>
      </c>
      <c r="H26" s="10" t="s">
        <v>206</v>
      </c>
      <c r="I26" s="10" t="s">
        <v>207</v>
      </c>
      <c r="J26" s="10" t="s">
        <v>208</v>
      </c>
      <c r="K26" s="10" t="s">
        <v>209</v>
      </c>
      <c r="L26" s="10" t="s">
        <v>210</v>
      </c>
      <c r="M26" s="10" t="s">
        <v>211</v>
      </c>
      <c r="N26" s="10" t="s">
        <v>212</v>
      </c>
      <c r="O26" s="10" t="s">
        <v>213</v>
      </c>
      <c r="P26" s="10" t="s">
        <v>214</v>
      </c>
      <c r="Q26" s="10" t="s">
        <v>54</v>
      </c>
      <c r="R26" s="10" t="s">
        <v>215</v>
      </c>
      <c r="S26" s="10" t="s">
        <v>215</v>
      </c>
    </row>
    <row r="27" customFormat="false" ht="15" hidden="false" customHeight="false" outlineLevel="0" collapsed="false">
      <c r="B27" s="71" t="str">
        <f aca="false">IF($F$6="Sí",N($C$11)+0,"")</f>
        <v/>
      </c>
      <c r="C27" s="72" t="str">
        <f aca="false">IF(OR($F$6&lt;&gt;"Sí",D27&lt;=0.5),"",EDATE($C$10,0))</f>
        <v/>
      </c>
      <c r="D27" s="41" t="n">
        <f aca="false">IF($F$6="Sí",$C$9,0)</f>
        <v>0</v>
      </c>
      <c r="E27" s="41" t="n">
        <f aca="false">D27*$F$7</f>
        <v>0</v>
      </c>
      <c r="F27" s="41" t="n">
        <f aca="false">IF(D27&gt;0.5,N($C$15),0)</f>
        <v>0</v>
      </c>
      <c r="G27" s="41" t="n">
        <f aca="false">IF(AND(D27&gt;0.5,N($C$19)&gt;0,N(B27)&lt;=N($C$20)),D27*$F$8,0)</f>
        <v>0</v>
      </c>
      <c r="H27" s="41" t="n">
        <f aca="false">IF(D27&lt;=0.5,0,MIN(IF(N(I27)&gt;0,I27,$F$9),D27+E27+F27))</f>
        <v>0</v>
      </c>
      <c r="I27" s="77"/>
      <c r="J27" s="77"/>
      <c r="K27" s="41" t="n">
        <f aca="false">IF(D27&lt;=0.5,0,MIN(H27+N(J27),D27+E27+F27))</f>
        <v>0</v>
      </c>
      <c r="L27" s="41" t="n">
        <f aca="false">K27-E27-F27</f>
        <v>0</v>
      </c>
      <c r="M27" s="41" t="n">
        <f aca="false">D27-L27</f>
        <v>0</v>
      </c>
      <c r="N27" s="42" t="n">
        <f aca="false">K27-G27</f>
        <v>0</v>
      </c>
      <c r="O27" s="78"/>
      <c r="P27" s="79"/>
      <c r="Q27" s="16" t="str">
        <f aca="false">IF(K27=0,"",IF(R27=1,"Pagada",IF(C27&lt;$F$12,"Vencida",IF(1=$F$13,"Próxima","Pendiente"))))</f>
        <v/>
      </c>
      <c r="R27" s="62" t="n">
        <f aca="false">IF(AND(K27&gt;0,OR(O27="Sí",O27="Si")),1,0)</f>
        <v>0</v>
      </c>
      <c r="S27" s="62" t="n">
        <f aca="false">IF(AND(K27&gt;0,R27=0),1,0)</f>
        <v>0</v>
      </c>
    </row>
    <row r="28" customFormat="false" ht="15" hidden="false" customHeight="false" outlineLevel="0" collapsed="false">
      <c r="B28" s="71" t="str">
        <f aca="false">IF($F$6="Sí",N($C$11)+1,"")</f>
        <v/>
      </c>
      <c r="C28" s="72" t="str">
        <f aca="false">IF(OR($F$6&lt;&gt;"Sí",D28&lt;=0.5),"",EDATE($C$10,1))</f>
        <v/>
      </c>
      <c r="D28" s="41" t="n">
        <f aca="false">MAX(0,M27)</f>
        <v>0</v>
      </c>
      <c r="E28" s="41" t="n">
        <f aca="false">D28*$F$7</f>
        <v>0</v>
      </c>
      <c r="F28" s="41" t="n">
        <f aca="false">IF(D28&gt;0.5,N($C$15),0)</f>
        <v>0</v>
      </c>
      <c r="G28" s="41" t="n">
        <f aca="false">IF(AND(D28&gt;0.5,N($C$19)&gt;0,N(B28)&lt;=N($C$20)),D28*$F$8,0)</f>
        <v>0</v>
      </c>
      <c r="H28" s="41" t="n">
        <f aca="false">IF(D28&lt;=0.5,0,MIN(IF(N(I28)&gt;0,I28,$F$9),D28+E28+F28))</f>
        <v>0</v>
      </c>
      <c r="I28" s="77"/>
      <c r="J28" s="77"/>
      <c r="K28" s="41" t="n">
        <f aca="false">IF(D28&lt;=0.5,0,MIN(H28+N(J28),D28+E28+F28))</f>
        <v>0</v>
      </c>
      <c r="L28" s="41" t="n">
        <f aca="false">K28-E28-F28</f>
        <v>0</v>
      </c>
      <c r="M28" s="41" t="n">
        <f aca="false">D28-L28</f>
        <v>0</v>
      </c>
      <c r="N28" s="42" t="n">
        <f aca="false">K28-G28</f>
        <v>0</v>
      </c>
      <c r="O28" s="78"/>
      <c r="P28" s="79"/>
      <c r="Q28" s="16" t="str">
        <f aca="false">IF(K28=0,"",IF(R28=1,"Pagada",IF(C28&lt;$F$12,"Vencida",IF(2=$F$13,"Próxima","Pendiente"))))</f>
        <v/>
      </c>
      <c r="R28" s="62" t="n">
        <f aca="false">IF(AND(K28&gt;0,OR(O28="Sí",O28="Si")),1,0)</f>
        <v>0</v>
      </c>
      <c r="S28" s="62" t="n">
        <f aca="false">IF(AND(K28&gt;0,R28=0),1,0)</f>
        <v>0</v>
      </c>
    </row>
    <row r="29" customFormat="false" ht="15" hidden="false" customHeight="false" outlineLevel="0" collapsed="false">
      <c r="B29" s="71" t="str">
        <f aca="false">IF($F$6="Sí",N($C$11)+2,"")</f>
        <v/>
      </c>
      <c r="C29" s="72" t="str">
        <f aca="false">IF(OR($F$6&lt;&gt;"Sí",D29&lt;=0.5),"",EDATE($C$10,2))</f>
        <v/>
      </c>
      <c r="D29" s="41" t="n">
        <f aca="false">MAX(0,M28)</f>
        <v>0</v>
      </c>
      <c r="E29" s="41" t="n">
        <f aca="false">D29*$F$7</f>
        <v>0</v>
      </c>
      <c r="F29" s="41" t="n">
        <f aca="false">IF(D29&gt;0.5,N($C$15),0)</f>
        <v>0</v>
      </c>
      <c r="G29" s="41" t="n">
        <f aca="false">IF(AND(D29&gt;0.5,N($C$19)&gt;0,N(B29)&lt;=N($C$20)),D29*$F$8,0)</f>
        <v>0</v>
      </c>
      <c r="H29" s="41" t="n">
        <f aca="false">IF(D29&lt;=0.5,0,MIN(IF(N(I29)&gt;0,I29,$F$9),D29+E29+F29))</f>
        <v>0</v>
      </c>
      <c r="I29" s="77"/>
      <c r="J29" s="77"/>
      <c r="K29" s="41" t="n">
        <f aca="false">IF(D29&lt;=0.5,0,MIN(H29+N(J29),D29+E29+F29))</f>
        <v>0</v>
      </c>
      <c r="L29" s="41" t="n">
        <f aca="false">K29-E29-F29</f>
        <v>0</v>
      </c>
      <c r="M29" s="41" t="n">
        <f aca="false">D29-L29</f>
        <v>0</v>
      </c>
      <c r="N29" s="42" t="n">
        <f aca="false">K29-G29</f>
        <v>0</v>
      </c>
      <c r="O29" s="78"/>
      <c r="P29" s="79"/>
      <c r="Q29" s="16" t="str">
        <f aca="false">IF(K29=0,"",IF(R29=1,"Pagada",IF(C29&lt;$F$12,"Vencida",IF(3=$F$13,"Próxima","Pendiente"))))</f>
        <v/>
      </c>
      <c r="R29" s="62" t="n">
        <f aca="false">IF(AND(K29&gt;0,OR(O29="Sí",O29="Si")),1,0)</f>
        <v>0</v>
      </c>
      <c r="S29" s="62" t="n">
        <f aca="false">IF(AND(K29&gt;0,R29=0),1,0)</f>
        <v>0</v>
      </c>
    </row>
    <row r="30" customFormat="false" ht="15" hidden="false" customHeight="false" outlineLevel="0" collapsed="false">
      <c r="B30" s="71" t="str">
        <f aca="false">IF($F$6="Sí",N($C$11)+3,"")</f>
        <v/>
      </c>
      <c r="C30" s="72" t="str">
        <f aca="false">IF(OR($F$6&lt;&gt;"Sí",D30&lt;=0.5),"",EDATE($C$10,3))</f>
        <v/>
      </c>
      <c r="D30" s="41" t="n">
        <f aca="false">MAX(0,M29)</f>
        <v>0</v>
      </c>
      <c r="E30" s="41" t="n">
        <f aca="false">D30*$F$7</f>
        <v>0</v>
      </c>
      <c r="F30" s="41" t="n">
        <f aca="false">IF(D30&gt;0.5,N($C$15),0)</f>
        <v>0</v>
      </c>
      <c r="G30" s="41" t="n">
        <f aca="false">IF(AND(D30&gt;0.5,N($C$19)&gt;0,N(B30)&lt;=N($C$20)),D30*$F$8,0)</f>
        <v>0</v>
      </c>
      <c r="H30" s="41" t="n">
        <f aca="false">IF(D30&lt;=0.5,0,MIN(IF(N(I30)&gt;0,I30,$F$9),D30+E30+F30))</f>
        <v>0</v>
      </c>
      <c r="I30" s="77"/>
      <c r="J30" s="77"/>
      <c r="K30" s="41" t="n">
        <f aca="false">IF(D30&lt;=0.5,0,MIN(H30+N(J30),D30+E30+F30))</f>
        <v>0</v>
      </c>
      <c r="L30" s="41" t="n">
        <f aca="false">K30-E30-F30</f>
        <v>0</v>
      </c>
      <c r="M30" s="41" t="n">
        <f aca="false">D30-L30</f>
        <v>0</v>
      </c>
      <c r="N30" s="42" t="n">
        <f aca="false">K30-G30</f>
        <v>0</v>
      </c>
      <c r="O30" s="78"/>
      <c r="P30" s="79"/>
      <c r="Q30" s="16" t="str">
        <f aca="false">IF(K30=0,"",IF(R30=1,"Pagada",IF(C30&lt;$F$12,"Vencida",IF(4=$F$13,"Próxima","Pendiente"))))</f>
        <v/>
      </c>
      <c r="R30" s="62" t="n">
        <f aca="false">IF(AND(K30&gt;0,OR(O30="Sí",O30="Si")),1,0)</f>
        <v>0</v>
      </c>
      <c r="S30" s="62" t="n">
        <f aca="false">IF(AND(K30&gt;0,R30=0),1,0)</f>
        <v>0</v>
      </c>
    </row>
    <row r="31" customFormat="false" ht="15" hidden="false" customHeight="false" outlineLevel="0" collapsed="false">
      <c r="B31" s="71" t="str">
        <f aca="false">IF($F$6="Sí",N($C$11)+4,"")</f>
        <v/>
      </c>
      <c r="C31" s="72" t="str">
        <f aca="false">IF(OR($F$6&lt;&gt;"Sí",D31&lt;=0.5),"",EDATE($C$10,4))</f>
        <v/>
      </c>
      <c r="D31" s="41" t="n">
        <f aca="false">MAX(0,M30)</f>
        <v>0</v>
      </c>
      <c r="E31" s="41" t="n">
        <f aca="false">D31*$F$7</f>
        <v>0</v>
      </c>
      <c r="F31" s="41" t="n">
        <f aca="false">IF(D31&gt;0.5,N($C$15),0)</f>
        <v>0</v>
      </c>
      <c r="G31" s="41" t="n">
        <f aca="false">IF(AND(D31&gt;0.5,N($C$19)&gt;0,N(B31)&lt;=N($C$20)),D31*$F$8,0)</f>
        <v>0</v>
      </c>
      <c r="H31" s="41" t="n">
        <f aca="false">IF(D31&lt;=0.5,0,MIN(IF(N(I31)&gt;0,I31,$F$9),D31+E31+F31))</f>
        <v>0</v>
      </c>
      <c r="I31" s="77"/>
      <c r="J31" s="77"/>
      <c r="K31" s="41" t="n">
        <f aca="false">IF(D31&lt;=0.5,0,MIN(H31+N(J31),D31+E31+F31))</f>
        <v>0</v>
      </c>
      <c r="L31" s="41" t="n">
        <f aca="false">K31-E31-F31</f>
        <v>0</v>
      </c>
      <c r="M31" s="41" t="n">
        <f aca="false">D31-L31</f>
        <v>0</v>
      </c>
      <c r="N31" s="42" t="n">
        <f aca="false">K31-G31</f>
        <v>0</v>
      </c>
      <c r="O31" s="78"/>
      <c r="P31" s="79"/>
      <c r="Q31" s="16" t="str">
        <f aca="false">IF(K31=0,"",IF(R31=1,"Pagada",IF(C31&lt;$F$12,"Vencida",IF(5=$F$13,"Próxima","Pendiente"))))</f>
        <v/>
      </c>
      <c r="R31" s="62" t="n">
        <f aca="false">IF(AND(K31&gt;0,OR(O31="Sí",O31="Si")),1,0)</f>
        <v>0</v>
      </c>
      <c r="S31" s="62" t="n">
        <f aca="false">IF(AND(K31&gt;0,R31=0),1,0)</f>
        <v>0</v>
      </c>
    </row>
    <row r="32" customFormat="false" ht="15" hidden="false" customHeight="false" outlineLevel="0" collapsed="false">
      <c r="B32" s="71" t="str">
        <f aca="false">IF($F$6="Sí",N($C$11)+5,"")</f>
        <v/>
      </c>
      <c r="C32" s="72" t="str">
        <f aca="false">IF(OR($F$6&lt;&gt;"Sí",D32&lt;=0.5),"",EDATE($C$10,5))</f>
        <v/>
      </c>
      <c r="D32" s="41" t="n">
        <f aca="false">MAX(0,M31)</f>
        <v>0</v>
      </c>
      <c r="E32" s="41" t="n">
        <f aca="false">D32*$F$7</f>
        <v>0</v>
      </c>
      <c r="F32" s="41" t="n">
        <f aca="false">IF(D32&gt;0.5,N($C$15),0)</f>
        <v>0</v>
      </c>
      <c r="G32" s="41" t="n">
        <f aca="false">IF(AND(D32&gt;0.5,N($C$19)&gt;0,N(B32)&lt;=N($C$20)),D32*$F$8,0)</f>
        <v>0</v>
      </c>
      <c r="H32" s="41" t="n">
        <f aca="false">IF(D32&lt;=0.5,0,MIN(IF(N(I32)&gt;0,I32,$F$9),D32+E32+F32))</f>
        <v>0</v>
      </c>
      <c r="I32" s="77"/>
      <c r="J32" s="77"/>
      <c r="K32" s="41" t="n">
        <f aca="false">IF(D32&lt;=0.5,0,MIN(H32+N(J32),D32+E32+F32))</f>
        <v>0</v>
      </c>
      <c r="L32" s="41" t="n">
        <f aca="false">K32-E32-F32</f>
        <v>0</v>
      </c>
      <c r="M32" s="41" t="n">
        <f aca="false">D32-L32</f>
        <v>0</v>
      </c>
      <c r="N32" s="42" t="n">
        <f aca="false">K32-G32</f>
        <v>0</v>
      </c>
      <c r="O32" s="78"/>
      <c r="P32" s="79"/>
      <c r="Q32" s="16" t="str">
        <f aca="false">IF(K32=0,"",IF(R32=1,"Pagada",IF(C32&lt;$F$12,"Vencida",IF(6=$F$13,"Próxima","Pendiente"))))</f>
        <v/>
      </c>
      <c r="R32" s="62" t="n">
        <f aca="false">IF(AND(K32&gt;0,OR(O32="Sí",O32="Si")),1,0)</f>
        <v>0</v>
      </c>
      <c r="S32" s="62" t="n">
        <f aca="false">IF(AND(K32&gt;0,R32=0),1,0)</f>
        <v>0</v>
      </c>
    </row>
    <row r="33" customFormat="false" ht="15" hidden="false" customHeight="false" outlineLevel="0" collapsed="false">
      <c r="B33" s="71" t="str">
        <f aca="false">IF($F$6="Sí",N($C$11)+6,"")</f>
        <v/>
      </c>
      <c r="C33" s="72" t="str">
        <f aca="false">IF(OR($F$6&lt;&gt;"Sí",D33&lt;=0.5),"",EDATE($C$10,6))</f>
        <v/>
      </c>
      <c r="D33" s="41" t="n">
        <f aca="false">MAX(0,M32)</f>
        <v>0</v>
      </c>
      <c r="E33" s="41" t="n">
        <f aca="false">D33*$F$7</f>
        <v>0</v>
      </c>
      <c r="F33" s="41" t="n">
        <f aca="false">IF(D33&gt;0.5,N($C$15),0)</f>
        <v>0</v>
      </c>
      <c r="G33" s="41" t="n">
        <f aca="false">IF(AND(D33&gt;0.5,N($C$19)&gt;0,N(B33)&lt;=N($C$20)),D33*$F$8,0)</f>
        <v>0</v>
      </c>
      <c r="H33" s="41" t="n">
        <f aca="false">IF(D33&lt;=0.5,0,MIN(IF(N(I33)&gt;0,I33,$F$9),D33+E33+F33))</f>
        <v>0</v>
      </c>
      <c r="I33" s="77"/>
      <c r="J33" s="77"/>
      <c r="K33" s="41" t="n">
        <f aca="false">IF(D33&lt;=0.5,0,MIN(H33+N(J33),D33+E33+F33))</f>
        <v>0</v>
      </c>
      <c r="L33" s="41" t="n">
        <f aca="false">K33-E33-F33</f>
        <v>0</v>
      </c>
      <c r="M33" s="41" t="n">
        <f aca="false">D33-L33</f>
        <v>0</v>
      </c>
      <c r="N33" s="42" t="n">
        <f aca="false">K33-G33</f>
        <v>0</v>
      </c>
      <c r="O33" s="78"/>
      <c r="P33" s="79"/>
      <c r="Q33" s="16" t="str">
        <f aca="false">IF(K33=0,"",IF(R33=1,"Pagada",IF(C33&lt;$F$12,"Vencida",IF(7=$F$13,"Próxima","Pendiente"))))</f>
        <v/>
      </c>
      <c r="R33" s="62" t="n">
        <f aca="false">IF(AND(K33&gt;0,OR(O33="Sí",O33="Si")),1,0)</f>
        <v>0</v>
      </c>
      <c r="S33" s="62" t="n">
        <f aca="false">IF(AND(K33&gt;0,R33=0),1,0)</f>
        <v>0</v>
      </c>
    </row>
    <row r="34" customFormat="false" ht="15" hidden="false" customHeight="false" outlineLevel="0" collapsed="false">
      <c r="B34" s="71" t="str">
        <f aca="false">IF($F$6="Sí",N($C$11)+7,"")</f>
        <v/>
      </c>
      <c r="C34" s="72" t="str">
        <f aca="false">IF(OR($F$6&lt;&gt;"Sí",D34&lt;=0.5),"",EDATE($C$10,7))</f>
        <v/>
      </c>
      <c r="D34" s="41" t="n">
        <f aca="false">MAX(0,M33)</f>
        <v>0</v>
      </c>
      <c r="E34" s="41" t="n">
        <f aca="false">D34*$F$7</f>
        <v>0</v>
      </c>
      <c r="F34" s="41" t="n">
        <f aca="false">IF(D34&gt;0.5,N($C$15),0)</f>
        <v>0</v>
      </c>
      <c r="G34" s="41" t="n">
        <f aca="false">IF(AND(D34&gt;0.5,N($C$19)&gt;0,N(B34)&lt;=N($C$20)),D34*$F$8,0)</f>
        <v>0</v>
      </c>
      <c r="H34" s="41" t="n">
        <f aca="false">IF(D34&lt;=0.5,0,MIN(IF(N(I34)&gt;0,I34,$F$9),D34+E34+F34))</f>
        <v>0</v>
      </c>
      <c r="I34" s="77"/>
      <c r="J34" s="77"/>
      <c r="K34" s="41" t="n">
        <f aca="false">IF(D34&lt;=0.5,0,MIN(H34+N(J34),D34+E34+F34))</f>
        <v>0</v>
      </c>
      <c r="L34" s="41" t="n">
        <f aca="false">K34-E34-F34</f>
        <v>0</v>
      </c>
      <c r="M34" s="41" t="n">
        <f aca="false">D34-L34</f>
        <v>0</v>
      </c>
      <c r="N34" s="42" t="n">
        <f aca="false">K34-G34</f>
        <v>0</v>
      </c>
      <c r="O34" s="78"/>
      <c r="P34" s="79"/>
      <c r="Q34" s="16" t="str">
        <f aca="false">IF(K34=0,"",IF(R34=1,"Pagada",IF(C34&lt;$F$12,"Vencida",IF(8=$F$13,"Próxima","Pendiente"))))</f>
        <v/>
      </c>
      <c r="R34" s="62" t="n">
        <f aca="false">IF(AND(K34&gt;0,OR(O34="Sí",O34="Si")),1,0)</f>
        <v>0</v>
      </c>
      <c r="S34" s="62" t="n">
        <f aca="false">IF(AND(K34&gt;0,R34=0),1,0)</f>
        <v>0</v>
      </c>
    </row>
    <row r="35" customFormat="false" ht="15" hidden="false" customHeight="false" outlineLevel="0" collapsed="false">
      <c r="B35" s="71" t="str">
        <f aca="false">IF($F$6="Sí",N($C$11)+8,"")</f>
        <v/>
      </c>
      <c r="C35" s="72" t="str">
        <f aca="false">IF(OR($F$6&lt;&gt;"Sí",D35&lt;=0.5),"",EDATE($C$10,8))</f>
        <v/>
      </c>
      <c r="D35" s="41" t="n">
        <f aca="false">MAX(0,M34)</f>
        <v>0</v>
      </c>
      <c r="E35" s="41" t="n">
        <f aca="false">D35*$F$7</f>
        <v>0</v>
      </c>
      <c r="F35" s="41" t="n">
        <f aca="false">IF(D35&gt;0.5,N($C$15),0)</f>
        <v>0</v>
      </c>
      <c r="G35" s="41" t="n">
        <f aca="false">IF(AND(D35&gt;0.5,N($C$19)&gt;0,N(B35)&lt;=N($C$20)),D35*$F$8,0)</f>
        <v>0</v>
      </c>
      <c r="H35" s="41" t="n">
        <f aca="false">IF(D35&lt;=0.5,0,MIN(IF(N(I35)&gt;0,I35,$F$9),D35+E35+F35))</f>
        <v>0</v>
      </c>
      <c r="I35" s="77"/>
      <c r="J35" s="77"/>
      <c r="K35" s="41" t="n">
        <f aca="false">IF(D35&lt;=0.5,0,MIN(H35+N(J35),D35+E35+F35))</f>
        <v>0</v>
      </c>
      <c r="L35" s="41" t="n">
        <f aca="false">K35-E35-F35</f>
        <v>0</v>
      </c>
      <c r="M35" s="41" t="n">
        <f aca="false">D35-L35</f>
        <v>0</v>
      </c>
      <c r="N35" s="42" t="n">
        <f aca="false">K35-G35</f>
        <v>0</v>
      </c>
      <c r="O35" s="78"/>
      <c r="P35" s="79"/>
      <c r="Q35" s="16" t="str">
        <f aca="false">IF(K35=0,"",IF(R35=1,"Pagada",IF(C35&lt;$F$12,"Vencida",IF(9=$F$13,"Próxima","Pendiente"))))</f>
        <v/>
      </c>
      <c r="R35" s="62" t="n">
        <f aca="false">IF(AND(K35&gt;0,OR(O35="Sí",O35="Si")),1,0)</f>
        <v>0</v>
      </c>
      <c r="S35" s="62" t="n">
        <f aca="false">IF(AND(K35&gt;0,R35=0),1,0)</f>
        <v>0</v>
      </c>
    </row>
    <row r="36" customFormat="false" ht="15" hidden="false" customHeight="false" outlineLevel="0" collapsed="false">
      <c r="B36" s="71" t="str">
        <f aca="false">IF($F$6="Sí",N($C$11)+9,"")</f>
        <v/>
      </c>
      <c r="C36" s="72" t="str">
        <f aca="false">IF(OR($F$6&lt;&gt;"Sí",D36&lt;=0.5),"",EDATE($C$10,9))</f>
        <v/>
      </c>
      <c r="D36" s="41" t="n">
        <f aca="false">MAX(0,M35)</f>
        <v>0</v>
      </c>
      <c r="E36" s="41" t="n">
        <f aca="false">D36*$F$7</f>
        <v>0</v>
      </c>
      <c r="F36" s="41" t="n">
        <f aca="false">IF(D36&gt;0.5,N($C$15),0)</f>
        <v>0</v>
      </c>
      <c r="G36" s="41" t="n">
        <f aca="false">IF(AND(D36&gt;0.5,N($C$19)&gt;0,N(B36)&lt;=N($C$20)),D36*$F$8,0)</f>
        <v>0</v>
      </c>
      <c r="H36" s="41" t="n">
        <f aca="false">IF(D36&lt;=0.5,0,MIN(IF(N(I36)&gt;0,I36,$F$9),D36+E36+F36))</f>
        <v>0</v>
      </c>
      <c r="I36" s="77"/>
      <c r="J36" s="77"/>
      <c r="K36" s="41" t="n">
        <f aca="false">IF(D36&lt;=0.5,0,MIN(H36+N(J36),D36+E36+F36))</f>
        <v>0</v>
      </c>
      <c r="L36" s="41" t="n">
        <f aca="false">K36-E36-F36</f>
        <v>0</v>
      </c>
      <c r="M36" s="41" t="n">
        <f aca="false">D36-L36</f>
        <v>0</v>
      </c>
      <c r="N36" s="42" t="n">
        <f aca="false">K36-G36</f>
        <v>0</v>
      </c>
      <c r="O36" s="78"/>
      <c r="P36" s="79"/>
      <c r="Q36" s="16" t="str">
        <f aca="false">IF(K36=0,"",IF(R36=1,"Pagada",IF(C36&lt;$F$12,"Vencida",IF(10=$F$13,"Próxima","Pendiente"))))</f>
        <v/>
      </c>
      <c r="R36" s="62" t="n">
        <f aca="false">IF(AND(K36&gt;0,OR(O36="Sí",O36="Si")),1,0)</f>
        <v>0</v>
      </c>
      <c r="S36" s="62" t="n">
        <f aca="false">IF(AND(K36&gt;0,R36=0),1,0)</f>
        <v>0</v>
      </c>
    </row>
    <row r="37" customFormat="false" ht="15" hidden="false" customHeight="false" outlineLevel="0" collapsed="false">
      <c r="B37" s="71" t="str">
        <f aca="false">IF($F$6="Sí",N($C$11)+10,"")</f>
        <v/>
      </c>
      <c r="C37" s="72" t="str">
        <f aca="false">IF(OR($F$6&lt;&gt;"Sí",D37&lt;=0.5),"",EDATE($C$10,10))</f>
        <v/>
      </c>
      <c r="D37" s="41" t="n">
        <f aca="false">MAX(0,M36)</f>
        <v>0</v>
      </c>
      <c r="E37" s="41" t="n">
        <f aca="false">D37*$F$7</f>
        <v>0</v>
      </c>
      <c r="F37" s="41" t="n">
        <f aca="false">IF(D37&gt;0.5,N($C$15),0)</f>
        <v>0</v>
      </c>
      <c r="G37" s="41" t="n">
        <f aca="false">IF(AND(D37&gt;0.5,N($C$19)&gt;0,N(B37)&lt;=N($C$20)),D37*$F$8,0)</f>
        <v>0</v>
      </c>
      <c r="H37" s="41" t="n">
        <f aca="false">IF(D37&lt;=0.5,0,MIN(IF(N(I37)&gt;0,I37,$F$9),D37+E37+F37))</f>
        <v>0</v>
      </c>
      <c r="I37" s="77"/>
      <c r="J37" s="77"/>
      <c r="K37" s="41" t="n">
        <f aca="false">IF(D37&lt;=0.5,0,MIN(H37+N(J37),D37+E37+F37))</f>
        <v>0</v>
      </c>
      <c r="L37" s="41" t="n">
        <f aca="false">K37-E37-F37</f>
        <v>0</v>
      </c>
      <c r="M37" s="41" t="n">
        <f aca="false">D37-L37</f>
        <v>0</v>
      </c>
      <c r="N37" s="42" t="n">
        <f aca="false">K37-G37</f>
        <v>0</v>
      </c>
      <c r="O37" s="78"/>
      <c r="P37" s="79"/>
      <c r="Q37" s="16" t="str">
        <f aca="false">IF(K37=0,"",IF(R37=1,"Pagada",IF(C37&lt;$F$12,"Vencida",IF(11=$F$13,"Próxima","Pendiente"))))</f>
        <v/>
      </c>
      <c r="R37" s="62" t="n">
        <f aca="false">IF(AND(K37&gt;0,OR(O37="Sí",O37="Si")),1,0)</f>
        <v>0</v>
      </c>
      <c r="S37" s="62" t="n">
        <f aca="false">IF(AND(K37&gt;0,R37=0),1,0)</f>
        <v>0</v>
      </c>
    </row>
    <row r="38" customFormat="false" ht="15" hidden="false" customHeight="false" outlineLevel="0" collapsed="false">
      <c r="B38" s="71" t="str">
        <f aca="false">IF($F$6="Sí",N($C$11)+11,"")</f>
        <v/>
      </c>
      <c r="C38" s="72" t="str">
        <f aca="false">IF(OR($F$6&lt;&gt;"Sí",D38&lt;=0.5),"",EDATE($C$10,11))</f>
        <v/>
      </c>
      <c r="D38" s="41" t="n">
        <f aca="false">MAX(0,M37)</f>
        <v>0</v>
      </c>
      <c r="E38" s="41" t="n">
        <f aca="false">D38*$F$7</f>
        <v>0</v>
      </c>
      <c r="F38" s="41" t="n">
        <f aca="false">IF(D38&gt;0.5,N($C$15),0)</f>
        <v>0</v>
      </c>
      <c r="G38" s="41" t="n">
        <f aca="false">IF(AND(D38&gt;0.5,N($C$19)&gt;0,N(B38)&lt;=N($C$20)),D38*$F$8,0)</f>
        <v>0</v>
      </c>
      <c r="H38" s="41" t="n">
        <f aca="false">IF(D38&lt;=0.5,0,MIN(IF(N(I38)&gt;0,I38,$F$9),D38+E38+F38))</f>
        <v>0</v>
      </c>
      <c r="I38" s="77"/>
      <c r="J38" s="77"/>
      <c r="K38" s="41" t="n">
        <f aca="false">IF(D38&lt;=0.5,0,MIN(H38+N(J38),D38+E38+F38))</f>
        <v>0</v>
      </c>
      <c r="L38" s="41" t="n">
        <f aca="false">K38-E38-F38</f>
        <v>0</v>
      </c>
      <c r="M38" s="41" t="n">
        <f aca="false">D38-L38</f>
        <v>0</v>
      </c>
      <c r="N38" s="42" t="n">
        <f aca="false">K38-G38</f>
        <v>0</v>
      </c>
      <c r="O38" s="78"/>
      <c r="P38" s="79"/>
      <c r="Q38" s="16" t="str">
        <f aca="false">IF(K38=0,"",IF(R38=1,"Pagada",IF(C38&lt;$F$12,"Vencida",IF(12=$F$13,"Próxima","Pendiente"))))</f>
        <v/>
      </c>
      <c r="R38" s="62" t="n">
        <f aca="false">IF(AND(K38&gt;0,OR(O38="Sí",O38="Si")),1,0)</f>
        <v>0</v>
      </c>
      <c r="S38" s="62" t="n">
        <f aca="false">IF(AND(K38&gt;0,R38=0),1,0)</f>
        <v>0</v>
      </c>
    </row>
    <row r="39" customFormat="false" ht="15" hidden="false" customHeight="false" outlineLevel="0" collapsed="false">
      <c r="B39" s="71" t="str">
        <f aca="false">IF($F$6="Sí",N($C$11)+12,"")</f>
        <v/>
      </c>
      <c r="C39" s="72" t="str">
        <f aca="false">IF(OR($F$6&lt;&gt;"Sí",D39&lt;=0.5),"",EDATE($C$10,12))</f>
        <v/>
      </c>
      <c r="D39" s="41" t="n">
        <f aca="false">MAX(0,M38)</f>
        <v>0</v>
      </c>
      <c r="E39" s="41" t="n">
        <f aca="false">D39*$F$7</f>
        <v>0</v>
      </c>
      <c r="F39" s="41" t="n">
        <f aca="false">IF(D39&gt;0.5,N($C$15),0)</f>
        <v>0</v>
      </c>
      <c r="G39" s="41" t="n">
        <f aca="false">IF(AND(D39&gt;0.5,N($C$19)&gt;0,N(B39)&lt;=N($C$20)),D39*$F$8,0)</f>
        <v>0</v>
      </c>
      <c r="H39" s="41" t="n">
        <f aca="false">IF(D39&lt;=0.5,0,MIN(IF(N(I39)&gt;0,I39,$F$9),D39+E39+F39))</f>
        <v>0</v>
      </c>
      <c r="I39" s="77"/>
      <c r="J39" s="77"/>
      <c r="K39" s="41" t="n">
        <f aca="false">IF(D39&lt;=0.5,0,MIN(H39+N(J39),D39+E39+F39))</f>
        <v>0</v>
      </c>
      <c r="L39" s="41" t="n">
        <f aca="false">K39-E39-F39</f>
        <v>0</v>
      </c>
      <c r="M39" s="41" t="n">
        <f aca="false">D39-L39</f>
        <v>0</v>
      </c>
      <c r="N39" s="42" t="n">
        <f aca="false">K39-G39</f>
        <v>0</v>
      </c>
      <c r="O39" s="78"/>
      <c r="P39" s="79"/>
      <c r="Q39" s="16" t="str">
        <f aca="false">IF(K39=0,"",IF(R39=1,"Pagada",IF(C39&lt;$F$12,"Vencida",IF(13=$F$13,"Próxima","Pendiente"))))</f>
        <v/>
      </c>
      <c r="R39" s="62" t="n">
        <f aca="false">IF(AND(K39&gt;0,OR(O39="Sí",O39="Si")),1,0)</f>
        <v>0</v>
      </c>
      <c r="S39" s="62" t="n">
        <f aca="false">IF(AND(K39&gt;0,R39=0),1,0)</f>
        <v>0</v>
      </c>
    </row>
    <row r="40" customFormat="false" ht="15" hidden="false" customHeight="false" outlineLevel="0" collapsed="false">
      <c r="B40" s="71" t="str">
        <f aca="false">IF($F$6="Sí",N($C$11)+13,"")</f>
        <v/>
      </c>
      <c r="C40" s="72" t="str">
        <f aca="false">IF(OR($F$6&lt;&gt;"Sí",D40&lt;=0.5),"",EDATE($C$10,13))</f>
        <v/>
      </c>
      <c r="D40" s="41" t="n">
        <f aca="false">MAX(0,M39)</f>
        <v>0</v>
      </c>
      <c r="E40" s="41" t="n">
        <f aca="false">D40*$F$7</f>
        <v>0</v>
      </c>
      <c r="F40" s="41" t="n">
        <f aca="false">IF(D40&gt;0.5,N($C$15),0)</f>
        <v>0</v>
      </c>
      <c r="G40" s="41" t="n">
        <f aca="false">IF(AND(D40&gt;0.5,N($C$19)&gt;0,N(B40)&lt;=N($C$20)),D40*$F$8,0)</f>
        <v>0</v>
      </c>
      <c r="H40" s="41" t="n">
        <f aca="false">IF(D40&lt;=0.5,0,MIN(IF(N(I40)&gt;0,I40,$F$9),D40+E40+F40))</f>
        <v>0</v>
      </c>
      <c r="I40" s="77"/>
      <c r="J40" s="77"/>
      <c r="K40" s="41" t="n">
        <f aca="false">IF(D40&lt;=0.5,0,MIN(H40+N(J40),D40+E40+F40))</f>
        <v>0</v>
      </c>
      <c r="L40" s="41" t="n">
        <f aca="false">K40-E40-F40</f>
        <v>0</v>
      </c>
      <c r="M40" s="41" t="n">
        <f aca="false">D40-L40</f>
        <v>0</v>
      </c>
      <c r="N40" s="42" t="n">
        <f aca="false">K40-G40</f>
        <v>0</v>
      </c>
      <c r="O40" s="78"/>
      <c r="P40" s="79"/>
      <c r="Q40" s="16" t="str">
        <f aca="false">IF(K40=0,"",IF(R40=1,"Pagada",IF(C40&lt;$F$12,"Vencida",IF(14=$F$13,"Próxima","Pendiente"))))</f>
        <v/>
      </c>
      <c r="R40" s="62" t="n">
        <f aca="false">IF(AND(K40&gt;0,OR(O40="Sí",O40="Si")),1,0)</f>
        <v>0</v>
      </c>
      <c r="S40" s="62" t="n">
        <f aca="false">IF(AND(K40&gt;0,R40=0),1,0)</f>
        <v>0</v>
      </c>
    </row>
    <row r="41" customFormat="false" ht="15" hidden="false" customHeight="false" outlineLevel="0" collapsed="false">
      <c r="B41" s="71" t="str">
        <f aca="false">IF($F$6="Sí",N($C$11)+14,"")</f>
        <v/>
      </c>
      <c r="C41" s="72" t="str">
        <f aca="false">IF(OR($F$6&lt;&gt;"Sí",D41&lt;=0.5),"",EDATE($C$10,14))</f>
        <v/>
      </c>
      <c r="D41" s="41" t="n">
        <f aca="false">MAX(0,M40)</f>
        <v>0</v>
      </c>
      <c r="E41" s="41" t="n">
        <f aca="false">D41*$F$7</f>
        <v>0</v>
      </c>
      <c r="F41" s="41" t="n">
        <f aca="false">IF(D41&gt;0.5,N($C$15),0)</f>
        <v>0</v>
      </c>
      <c r="G41" s="41" t="n">
        <f aca="false">IF(AND(D41&gt;0.5,N($C$19)&gt;0,N(B41)&lt;=N($C$20)),D41*$F$8,0)</f>
        <v>0</v>
      </c>
      <c r="H41" s="41" t="n">
        <f aca="false">IF(D41&lt;=0.5,0,MIN(IF(N(I41)&gt;0,I41,$F$9),D41+E41+F41))</f>
        <v>0</v>
      </c>
      <c r="I41" s="77"/>
      <c r="J41" s="77"/>
      <c r="K41" s="41" t="n">
        <f aca="false">IF(D41&lt;=0.5,0,MIN(H41+N(J41),D41+E41+F41))</f>
        <v>0</v>
      </c>
      <c r="L41" s="41" t="n">
        <f aca="false">K41-E41-F41</f>
        <v>0</v>
      </c>
      <c r="M41" s="41" t="n">
        <f aca="false">D41-L41</f>
        <v>0</v>
      </c>
      <c r="N41" s="42" t="n">
        <f aca="false">K41-G41</f>
        <v>0</v>
      </c>
      <c r="O41" s="78"/>
      <c r="P41" s="79"/>
      <c r="Q41" s="16" t="str">
        <f aca="false">IF(K41=0,"",IF(R41=1,"Pagada",IF(C41&lt;$F$12,"Vencida",IF(15=$F$13,"Próxima","Pendiente"))))</f>
        <v/>
      </c>
      <c r="R41" s="62" t="n">
        <f aca="false">IF(AND(K41&gt;0,OR(O41="Sí",O41="Si")),1,0)</f>
        <v>0</v>
      </c>
      <c r="S41" s="62" t="n">
        <f aca="false">IF(AND(K41&gt;0,R41=0),1,0)</f>
        <v>0</v>
      </c>
    </row>
    <row r="42" customFormat="false" ht="15" hidden="false" customHeight="false" outlineLevel="0" collapsed="false">
      <c r="B42" s="71" t="str">
        <f aca="false">IF($F$6="Sí",N($C$11)+15,"")</f>
        <v/>
      </c>
      <c r="C42" s="72" t="str">
        <f aca="false">IF(OR($F$6&lt;&gt;"Sí",D42&lt;=0.5),"",EDATE($C$10,15))</f>
        <v/>
      </c>
      <c r="D42" s="41" t="n">
        <f aca="false">MAX(0,M41)</f>
        <v>0</v>
      </c>
      <c r="E42" s="41" t="n">
        <f aca="false">D42*$F$7</f>
        <v>0</v>
      </c>
      <c r="F42" s="41" t="n">
        <f aca="false">IF(D42&gt;0.5,N($C$15),0)</f>
        <v>0</v>
      </c>
      <c r="G42" s="41" t="n">
        <f aca="false">IF(AND(D42&gt;0.5,N($C$19)&gt;0,N(B42)&lt;=N($C$20)),D42*$F$8,0)</f>
        <v>0</v>
      </c>
      <c r="H42" s="41" t="n">
        <f aca="false">IF(D42&lt;=0.5,0,MIN(IF(N(I42)&gt;0,I42,$F$9),D42+E42+F42))</f>
        <v>0</v>
      </c>
      <c r="I42" s="77"/>
      <c r="J42" s="77"/>
      <c r="K42" s="41" t="n">
        <f aca="false">IF(D42&lt;=0.5,0,MIN(H42+N(J42),D42+E42+F42))</f>
        <v>0</v>
      </c>
      <c r="L42" s="41" t="n">
        <f aca="false">K42-E42-F42</f>
        <v>0</v>
      </c>
      <c r="M42" s="41" t="n">
        <f aca="false">D42-L42</f>
        <v>0</v>
      </c>
      <c r="N42" s="42" t="n">
        <f aca="false">K42-G42</f>
        <v>0</v>
      </c>
      <c r="O42" s="78"/>
      <c r="P42" s="79"/>
      <c r="Q42" s="16" t="str">
        <f aca="false">IF(K42=0,"",IF(R42=1,"Pagada",IF(C42&lt;$F$12,"Vencida",IF(16=$F$13,"Próxima","Pendiente"))))</f>
        <v/>
      </c>
      <c r="R42" s="62" t="n">
        <f aca="false">IF(AND(K42&gt;0,OR(O42="Sí",O42="Si")),1,0)</f>
        <v>0</v>
      </c>
      <c r="S42" s="62" t="n">
        <f aca="false">IF(AND(K42&gt;0,R42=0),1,0)</f>
        <v>0</v>
      </c>
    </row>
    <row r="43" customFormat="false" ht="15" hidden="false" customHeight="false" outlineLevel="0" collapsed="false">
      <c r="B43" s="71" t="str">
        <f aca="false">IF($F$6="Sí",N($C$11)+16,"")</f>
        <v/>
      </c>
      <c r="C43" s="72" t="str">
        <f aca="false">IF(OR($F$6&lt;&gt;"Sí",D43&lt;=0.5),"",EDATE($C$10,16))</f>
        <v/>
      </c>
      <c r="D43" s="41" t="n">
        <f aca="false">MAX(0,M42)</f>
        <v>0</v>
      </c>
      <c r="E43" s="41" t="n">
        <f aca="false">D43*$F$7</f>
        <v>0</v>
      </c>
      <c r="F43" s="41" t="n">
        <f aca="false">IF(D43&gt;0.5,N($C$15),0)</f>
        <v>0</v>
      </c>
      <c r="G43" s="41" t="n">
        <f aca="false">IF(AND(D43&gt;0.5,N($C$19)&gt;0,N(B43)&lt;=N($C$20)),D43*$F$8,0)</f>
        <v>0</v>
      </c>
      <c r="H43" s="41" t="n">
        <f aca="false">IF(D43&lt;=0.5,0,MIN(IF(N(I43)&gt;0,I43,$F$9),D43+E43+F43))</f>
        <v>0</v>
      </c>
      <c r="I43" s="77"/>
      <c r="J43" s="77"/>
      <c r="K43" s="41" t="n">
        <f aca="false">IF(D43&lt;=0.5,0,MIN(H43+N(J43),D43+E43+F43))</f>
        <v>0</v>
      </c>
      <c r="L43" s="41" t="n">
        <f aca="false">K43-E43-F43</f>
        <v>0</v>
      </c>
      <c r="M43" s="41" t="n">
        <f aca="false">D43-L43</f>
        <v>0</v>
      </c>
      <c r="N43" s="42" t="n">
        <f aca="false">K43-G43</f>
        <v>0</v>
      </c>
      <c r="O43" s="78"/>
      <c r="P43" s="79"/>
      <c r="Q43" s="16" t="str">
        <f aca="false">IF(K43=0,"",IF(R43=1,"Pagada",IF(C43&lt;$F$12,"Vencida",IF(17=$F$13,"Próxima","Pendiente"))))</f>
        <v/>
      </c>
      <c r="R43" s="62" t="n">
        <f aca="false">IF(AND(K43&gt;0,OR(O43="Sí",O43="Si")),1,0)</f>
        <v>0</v>
      </c>
      <c r="S43" s="62" t="n">
        <f aca="false">IF(AND(K43&gt;0,R43=0),1,0)</f>
        <v>0</v>
      </c>
    </row>
    <row r="44" customFormat="false" ht="15" hidden="false" customHeight="false" outlineLevel="0" collapsed="false">
      <c r="B44" s="71" t="str">
        <f aca="false">IF($F$6="Sí",N($C$11)+17,"")</f>
        <v/>
      </c>
      <c r="C44" s="72" t="str">
        <f aca="false">IF(OR($F$6&lt;&gt;"Sí",D44&lt;=0.5),"",EDATE($C$10,17))</f>
        <v/>
      </c>
      <c r="D44" s="41" t="n">
        <f aca="false">MAX(0,M43)</f>
        <v>0</v>
      </c>
      <c r="E44" s="41" t="n">
        <f aca="false">D44*$F$7</f>
        <v>0</v>
      </c>
      <c r="F44" s="41" t="n">
        <f aca="false">IF(D44&gt;0.5,N($C$15),0)</f>
        <v>0</v>
      </c>
      <c r="G44" s="41" t="n">
        <f aca="false">IF(AND(D44&gt;0.5,N($C$19)&gt;0,N(B44)&lt;=N($C$20)),D44*$F$8,0)</f>
        <v>0</v>
      </c>
      <c r="H44" s="41" t="n">
        <f aca="false">IF(D44&lt;=0.5,0,MIN(IF(N(I44)&gt;0,I44,$F$9),D44+E44+F44))</f>
        <v>0</v>
      </c>
      <c r="I44" s="77"/>
      <c r="J44" s="77"/>
      <c r="K44" s="41" t="n">
        <f aca="false">IF(D44&lt;=0.5,0,MIN(H44+N(J44),D44+E44+F44))</f>
        <v>0</v>
      </c>
      <c r="L44" s="41" t="n">
        <f aca="false">K44-E44-F44</f>
        <v>0</v>
      </c>
      <c r="M44" s="41" t="n">
        <f aca="false">D44-L44</f>
        <v>0</v>
      </c>
      <c r="N44" s="42" t="n">
        <f aca="false">K44-G44</f>
        <v>0</v>
      </c>
      <c r="O44" s="78"/>
      <c r="P44" s="79"/>
      <c r="Q44" s="16" t="str">
        <f aca="false">IF(K44=0,"",IF(R44=1,"Pagada",IF(C44&lt;$F$12,"Vencida",IF(18=$F$13,"Próxima","Pendiente"))))</f>
        <v/>
      </c>
      <c r="R44" s="62" t="n">
        <f aca="false">IF(AND(K44&gt;0,OR(O44="Sí",O44="Si")),1,0)</f>
        <v>0</v>
      </c>
      <c r="S44" s="62" t="n">
        <f aca="false">IF(AND(K44&gt;0,R44=0),1,0)</f>
        <v>0</v>
      </c>
    </row>
    <row r="45" customFormat="false" ht="15" hidden="false" customHeight="false" outlineLevel="0" collapsed="false">
      <c r="B45" s="71" t="str">
        <f aca="false">IF($F$6="Sí",N($C$11)+18,"")</f>
        <v/>
      </c>
      <c r="C45" s="72" t="str">
        <f aca="false">IF(OR($F$6&lt;&gt;"Sí",D45&lt;=0.5),"",EDATE($C$10,18))</f>
        <v/>
      </c>
      <c r="D45" s="41" t="n">
        <f aca="false">MAX(0,M44)</f>
        <v>0</v>
      </c>
      <c r="E45" s="41" t="n">
        <f aca="false">D45*$F$7</f>
        <v>0</v>
      </c>
      <c r="F45" s="41" t="n">
        <f aca="false">IF(D45&gt;0.5,N($C$15),0)</f>
        <v>0</v>
      </c>
      <c r="G45" s="41" t="n">
        <f aca="false">IF(AND(D45&gt;0.5,N($C$19)&gt;0,N(B45)&lt;=N($C$20)),D45*$F$8,0)</f>
        <v>0</v>
      </c>
      <c r="H45" s="41" t="n">
        <f aca="false">IF(D45&lt;=0.5,0,MIN(IF(N(I45)&gt;0,I45,$F$9),D45+E45+F45))</f>
        <v>0</v>
      </c>
      <c r="I45" s="77"/>
      <c r="J45" s="77"/>
      <c r="K45" s="41" t="n">
        <f aca="false">IF(D45&lt;=0.5,0,MIN(H45+N(J45),D45+E45+F45))</f>
        <v>0</v>
      </c>
      <c r="L45" s="41" t="n">
        <f aca="false">K45-E45-F45</f>
        <v>0</v>
      </c>
      <c r="M45" s="41" t="n">
        <f aca="false">D45-L45</f>
        <v>0</v>
      </c>
      <c r="N45" s="42" t="n">
        <f aca="false">K45-G45</f>
        <v>0</v>
      </c>
      <c r="O45" s="78"/>
      <c r="P45" s="79"/>
      <c r="Q45" s="16" t="str">
        <f aca="false">IF(K45=0,"",IF(R45=1,"Pagada",IF(C45&lt;$F$12,"Vencida",IF(19=$F$13,"Próxima","Pendiente"))))</f>
        <v/>
      </c>
      <c r="R45" s="62" t="n">
        <f aca="false">IF(AND(K45&gt;0,OR(O45="Sí",O45="Si")),1,0)</f>
        <v>0</v>
      </c>
      <c r="S45" s="62" t="n">
        <f aca="false">IF(AND(K45&gt;0,R45=0),1,0)</f>
        <v>0</v>
      </c>
    </row>
    <row r="46" customFormat="false" ht="15" hidden="false" customHeight="false" outlineLevel="0" collapsed="false">
      <c r="B46" s="71" t="str">
        <f aca="false">IF($F$6="Sí",N($C$11)+19,"")</f>
        <v/>
      </c>
      <c r="C46" s="72" t="str">
        <f aca="false">IF(OR($F$6&lt;&gt;"Sí",D46&lt;=0.5),"",EDATE($C$10,19))</f>
        <v/>
      </c>
      <c r="D46" s="41" t="n">
        <f aca="false">MAX(0,M45)</f>
        <v>0</v>
      </c>
      <c r="E46" s="41" t="n">
        <f aca="false">D46*$F$7</f>
        <v>0</v>
      </c>
      <c r="F46" s="41" t="n">
        <f aca="false">IF(D46&gt;0.5,N($C$15),0)</f>
        <v>0</v>
      </c>
      <c r="G46" s="41" t="n">
        <f aca="false">IF(AND(D46&gt;0.5,N($C$19)&gt;0,N(B46)&lt;=N($C$20)),D46*$F$8,0)</f>
        <v>0</v>
      </c>
      <c r="H46" s="41" t="n">
        <f aca="false">IF(D46&lt;=0.5,0,MIN(IF(N(I46)&gt;0,I46,$F$9),D46+E46+F46))</f>
        <v>0</v>
      </c>
      <c r="I46" s="77"/>
      <c r="J46" s="77"/>
      <c r="K46" s="41" t="n">
        <f aca="false">IF(D46&lt;=0.5,0,MIN(H46+N(J46),D46+E46+F46))</f>
        <v>0</v>
      </c>
      <c r="L46" s="41" t="n">
        <f aca="false">K46-E46-F46</f>
        <v>0</v>
      </c>
      <c r="M46" s="41" t="n">
        <f aca="false">D46-L46</f>
        <v>0</v>
      </c>
      <c r="N46" s="42" t="n">
        <f aca="false">K46-G46</f>
        <v>0</v>
      </c>
      <c r="O46" s="78"/>
      <c r="P46" s="79"/>
      <c r="Q46" s="16" t="str">
        <f aca="false">IF(K46=0,"",IF(R46=1,"Pagada",IF(C46&lt;$F$12,"Vencida",IF(20=$F$13,"Próxima","Pendiente"))))</f>
        <v/>
      </c>
      <c r="R46" s="62" t="n">
        <f aca="false">IF(AND(K46&gt;0,OR(O46="Sí",O46="Si")),1,0)</f>
        <v>0</v>
      </c>
      <c r="S46" s="62" t="n">
        <f aca="false">IF(AND(K46&gt;0,R46=0),1,0)</f>
        <v>0</v>
      </c>
    </row>
    <row r="47" customFormat="false" ht="15" hidden="false" customHeight="false" outlineLevel="0" collapsed="false">
      <c r="B47" s="71" t="str">
        <f aca="false">IF($F$6="Sí",N($C$11)+20,"")</f>
        <v/>
      </c>
      <c r="C47" s="72" t="str">
        <f aca="false">IF(OR($F$6&lt;&gt;"Sí",D47&lt;=0.5),"",EDATE($C$10,20))</f>
        <v/>
      </c>
      <c r="D47" s="41" t="n">
        <f aca="false">MAX(0,M46)</f>
        <v>0</v>
      </c>
      <c r="E47" s="41" t="n">
        <f aca="false">D47*$F$7</f>
        <v>0</v>
      </c>
      <c r="F47" s="41" t="n">
        <f aca="false">IF(D47&gt;0.5,N($C$15),0)</f>
        <v>0</v>
      </c>
      <c r="G47" s="41" t="n">
        <f aca="false">IF(AND(D47&gt;0.5,N($C$19)&gt;0,N(B47)&lt;=N($C$20)),D47*$F$8,0)</f>
        <v>0</v>
      </c>
      <c r="H47" s="41" t="n">
        <f aca="false">IF(D47&lt;=0.5,0,MIN(IF(N(I47)&gt;0,I47,$F$9),D47+E47+F47))</f>
        <v>0</v>
      </c>
      <c r="I47" s="77"/>
      <c r="J47" s="77"/>
      <c r="K47" s="41" t="n">
        <f aca="false">IF(D47&lt;=0.5,0,MIN(H47+N(J47),D47+E47+F47))</f>
        <v>0</v>
      </c>
      <c r="L47" s="41" t="n">
        <f aca="false">K47-E47-F47</f>
        <v>0</v>
      </c>
      <c r="M47" s="41" t="n">
        <f aca="false">D47-L47</f>
        <v>0</v>
      </c>
      <c r="N47" s="42" t="n">
        <f aca="false">K47-G47</f>
        <v>0</v>
      </c>
      <c r="O47" s="78"/>
      <c r="P47" s="79"/>
      <c r="Q47" s="16" t="str">
        <f aca="false">IF(K47=0,"",IF(R47=1,"Pagada",IF(C47&lt;$F$12,"Vencida",IF(21=$F$13,"Próxima","Pendiente"))))</f>
        <v/>
      </c>
      <c r="R47" s="62" t="n">
        <f aca="false">IF(AND(K47&gt;0,OR(O47="Sí",O47="Si")),1,0)</f>
        <v>0</v>
      </c>
      <c r="S47" s="62" t="n">
        <f aca="false">IF(AND(K47&gt;0,R47=0),1,0)</f>
        <v>0</v>
      </c>
    </row>
    <row r="48" customFormat="false" ht="15" hidden="false" customHeight="false" outlineLevel="0" collapsed="false">
      <c r="B48" s="71" t="str">
        <f aca="false">IF($F$6="Sí",N($C$11)+21,"")</f>
        <v/>
      </c>
      <c r="C48" s="72" t="str">
        <f aca="false">IF(OR($F$6&lt;&gt;"Sí",D48&lt;=0.5),"",EDATE($C$10,21))</f>
        <v/>
      </c>
      <c r="D48" s="41" t="n">
        <f aca="false">MAX(0,M47)</f>
        <v>0</v>
      </c>
      <c r="E48" s="41" t="n">
        <f aca="false">D48*$F$7</f>
        <v>0</v>
      </c>
      <c r="F48" s="41" t="n">
        <f aca="false">IF(D48&gt;0.5,N($C$15),0)</f>
        <v>0</v>
      </c>
      <c r="G48" s="41" t="n">
        <f aca="false">IF(AND(D48&gt;0.5,N($C$19)&gt;0,N(B48)&lt;=N($C$20)),D48*$F$8,0)</f>
        <v>0</v>
      </c>
      <c r="H48" s="41" t="n">
        <f aca="false">IF(D48&lt;=0.5,0,MIN(IF(N(I48)&gt;0,I48,$F$9),D48+E48+F48))</f>
        <v>0</v>
      </c>
      <c r="I48" s="77"/>
      <c r="J48" s="77"/>
      <c r="K48" s="41" t="n">
        <f aca="false">IF(D48&lt;=0.5,0,MIN(H48+N(J48),D48+E48+F48))</f>
        <v>0</v>
      </c>
      <c r="L48" s="41" t="n">
        <f aca="false">K48-E48-F48</f>
        <v>0</v>
      </c>
      <c r="M48" s="41" t="n">
        <f aca="false">D48-L48</f>
        <v>0</v>
      </c>
      <c r="N48" s="42" t="n">
        <f aca="false">K48-G48</f>
        <v>0</v>
      </c>
      <c r="O48" s="78"/>
      <c r="P48" s="79"/>
      <c r="Q48" s="16" t="str">
        <f aca="false">IF(K48=0,"",IF(R48=1,"Pagada",IF(C48&lt;$F$12,"Vencida",IF(22=$F$13,"Próxima","Pendiente"))))</f>
        <v/>
      </c>
      <c r="R48" s="62" t="n">
        <f aca="false">IF(AND(K48&gt;0,OR(O48="Sí",O48="Si")),1,0)</f>
        <v>0</v>
      </c>
      <c r="S48" s="62" t="n">
        <f aca="false">IF(AND(K48&gt;0,R48=0),1,0)</f>
        <v>0</v>
      </c>
    </row>
    <row r="49" customFormat="false" ht="15" hidden="false" customHeight="false" outlineLevel="0" collapsed="false">
      <c r="B49" s="71" t="str">
        <f aca="false">IF($F$6="Sí",N($C$11)+22,"")</f>
        <v/>
      </c>
      <c r="C49" s="72" t="str">
        <f aca="false">IF(OR($F$6&lt;&gt;"Sí",D49&lt;=0.5),"",EDATE($C$10,22))</f>
        <v/>
      </c>
      <c r="D49" s="41" t="n">
        <f aca="false">MAX(0,M48)</f>
        <v>0</v>
      </c>
      <c r="E49" s="41" t="n">
        <f aca="false">D49*$F$7</f>
        <v>0</v>
      </c>
      <c r="F49" s="41" t="n">
        <f aca="false">IF(D49&gt;0.5,N($C$15),0)</f>
        <v>0</v>
      </c>
      <c r="G49" s="41" t="n">
        <f aca="false">IF(AND(D49&gt;0.5,N($C$19)&gt;0,N(B49)&lt;=N($C$20)),D49*$F$8,0)</f>
        <v>0</v>
      </c>
      <c r="H49" s="41" t="n">
        <f aca="false">IF(D49&lt;=0.5,0,MIN(IF(N(I49)&gt;0,I49,$F$9),D49+E49+F49))</f>
        <v>0</v>
      </c>
      <c r="I49" s="77"/>
      <c r="J49" s="77"/>
      <c r="K49" s="41" t="n">
        <f aca="false">IF(D49&lt;=0.5,0,MIN(H49+N(J49),D49+E49+F49))</f>
        <v>0</v>
      </c>
      <c r="L49" s="41" t="n">
        <f aca="false">K49-E49-F49</f>
        <v>0</v>
      </c>
      <c r="M49" s="41" t="n">
        <f aca="false">D49-L49</f>
        <v>0</v>
      </c>
      <c r="N49" s="42" t="n">
        <f aca="false">K49-G49</f>
        <v>0</v>
      </c>
      <c r="O49" s="78"/>
      <c r="P49" s="79"/>
      <c r="Q49" s="16" t="str">
        <f aca="false">IF(K49=0,"",IF(R49=1,"Pagada",IF(C49&lt;$F$12,"Vencida",IF(23=$F$13,"Próxima","Pendiente"))))</f>
        <v/>
      </c>
      <c r="R49" s="62" t="n">
        <f aca="false">IF(AND(K49&gt;0,OR(O49="Sí",O49="Si")),1,0)</f>
        <v>0</v>
      </c>
      <c r="S49" s="62" t="n">
        <f aca="false">IF(AND(K49&gt;0,R49=0),1,0)</f>
        <v>0</v>
      </c>
    </row>
    <row r="50" customFormat="false" ht="15" hidden="false" customHeight="false" outlineLevel="0" collapsed="false">
      <c r="B50" s="71" t="str">
        <f aca="false">IF($F$6="Sí",N($C$11)+23,"")</f>
        <v/>
      </c>
      <c r="C50" s="72" t="str">
        <f aca="false">IF(OR($F$6&lt;&gt;"Sí",D50&lt;=0.5),"",EDATE($C$10,23))</f>
        <v/>
      </c>
      <c r="D50" s="41" t="n">
        <f aca="false">MAX(0,M49)</f>
        <v>0</v>
      </c>
      <c r="E50" s="41" t="n">
        <f aca="false">D50*$F$7</f>
        <v>0</v>
      </c>
      <c r="F50" s="41" t="n">
        <f aca="false">IF(D50&gt;0.5,N($C$15),0)</f>
        <v>0</v>
      </c>
      <c r="G50" s="41" t="n">
        <f aca="false">IF(AND(D50&gt;0.5,N($C$19)&gt;0,N(B50)&lt;=N($C$20)),D50*$F$8,0)</f>
        <v>0</v>
      </c>
      <c r="H50" s="41" t="n">
        <f aca="false">IF(D50&lt;=0.5,0,MIN(IF(N(I50)&gt;0,I50,$F$9),D50+E50+F50))</f>
        <v>0</v>
      </c>
      <c r="I50" s="77"/>
      <c r="J50" s="77"/>
      <c r="K50" s="41" t="n">
        <f aca="false">IF(D50&lt;=0.5,0,MIN(H50+N(J50),D50+E50+F50))</f>
        <v>0</v>
      </c>
      <c r="L50" s="41" t="n">
        <f aca="false">K50-E50-F50</f>
        <v>0</v>
      </c>
      <c r="M50" s="41" t="n">
        <f aca="false">D50-L50</f>
        <v>0</v>
      </c>
      <c r="N50" s="42" t="n">
        <f aca="false">K50-G50</f>
        <v>0</v>
      </c>
      <c r="O50" s="78"/>
      <c r="P50" s="79"/>
      <c r="Q50" s="16" t="str">
        <f aca="false">IF(K50=0,"",IF(R50=1,"Pagada",IF(C50&lt;$F$12,"Vencida",IF(24=$F$13,"Próxima","Pendiente"))))</f>
        <v/>
      </c>
      <c r="R50" s="62" t="n">
        <f aca="false">IF(AND(K50&gt;0,OR(O50="Sí",O50="Si")),1,0)</f>
        <v>0</v>
      </c>
      <c r="S50" s="62" t="n">
        <f aca="false">IF(AND(K50&gt;0,R50=0),1,0)</f>
        <v>0</v>
      </c>
    </row>
    <row r="51" customFormat="false" ht="15" hidden="false" customHeight="false" outlineLevel="0" collapsed="false">
      <c r="B51" s="71" t="str">
        <f aca="false">IF($F$6="Sí",N($C$11)+24,"")</f>
        <v/>
      </c>
      <c r="C51" s="72" t="str">
        <f aca="false">IF(OR($F$6&lt;&gt;"Sí",D51&lt;=0.5),"",EDATE($C$10,24))</f>
        <v/>
      </c>
      <c r="D51" s="41" t="n">
        <f aca="false">MAX(0,M50)</f>
        <v>0</v>
      </c>
      <c r="E51" s="41" t="n">
        <f aca="false">D51*$F$7</f>
        <v>0</v>
      </c>
      <c r="F51" s="41" t="n">
        <f aca="false">IF(D51&gt;0.5,N($C$15),0)</f>
        <v>0</v>
      </c>
      <c r="G51" s="41" t="n">
        <f aca="false">IF(AND(D51&gt;0.5,N($C$19)&gt;0,N(B51)&lt;=N($C$20)),D51*$F$8,0)</f>
        <v>0</v>
      </c>
      <c r="H51" s="41" t="n">
        <f aca="false">IF(D51&lt;=0.5,0,MIN(IF(N(I51)&gt;0,I51,$F$9),D51+E51+F51))</f>
        <v>0</v>
      </c>
      <c r="I51" s="77"/>
      <c r="J51" s="77"/>
      <c r="K51" s="41" t="n">
        <f aca="false">IF(D51&lt;=0.5,0,MIN(H51+N(J51),D51+E51+F51))</f>
        <v>0</v>
      </c>
      <c r="L51" s="41" t="n">
        <f aca="false">K51-E51-F51</f>
        <v>0</v>
      </c>
      <c r="M51" s="41" t="n">
        <f aca="false">D51-L51</f>
        <v>0</v>
      </c>
      <c r="N51" s="42" t="n">
        <f aca="false">K51-G51</f>
        <v>0</v>
      </c>
      <c r="O51" s="78"/>
      <c r="P51" s="79"/>
      <c r="Q51" s="16" t="str">
        <f aca="false">IF(K51=0,"",IF(R51=1,"Pagada",IF(C51&lt;$F$12,"Vencida",IF(25=$F$13,"Próxima","Pendiente"))))</f>
        <v/>
      </c>
      <c r="R51" s="62" t="n">
        <f aca="false">IF(AND(K51&gt;0,OR(O51="Sí",O51="Si")),1,0)</f>
        <v>0</v>
      </c>
      <c r="S51" s="62" t="n">
        <f aca="false">IF(AND(K51&gt;0,R51=0),1,0)</f>
        <v>0</v>
      </c>
    </row>
    <row r="52" customFormat="false" ht="15" hidden="false" customHeight="false" outlineLevel="0" collapsed="false">
      <c r="B52" s="71" t="str">
        <f aca="false">IF($F$6="Sí",N($C$11)+25,"")</f>
        <v/>
      </c>
      <c r="C52" s="72" t="str">
        <f aca="false">IF(OR($F$6&lt;&gt;"Sí",D52&lt;=0.5),"",EDATE($C$10,25))</f>
        <v/>
      </c>
      <c r="D52" s="41" t="n">
        <f aca="false">MAX(0,M51)</f>
        <v>0</v>
      </c>
      <c r="E52" s="41" t="n">
        <f aca="false">D52*$F$7</f>
        <v>0</v>
      </c>
      <c r="F52" s="41" t="n">
        <f aca="false">IF(D52&gt;0.5,N($C$15),0)</f>
        <v>0</v>
      </c>
      <c r="G52" s="41" t="n">
        <f aca="false">IF(AND(D52&gt;0.5,N($C$19)&gt;0,N(B52)&lt;=N($C$20)),D52*$F$8,0)</f>
        <v>0</v>
      </c>
      <c r="H52" s="41" t="n">
        <f aca="false">IF(D52&lt;=0.5,0,MIN(IF(N(I52)&gt;0,I52,$F$9),D52+E52+F52))</f>
        <v>0</v>
      </c>
      <c r="I52" s="77"/>
      <c r="J52" s="77"/>
      <c r="K52" s="41" t="n">
        <f aca="false">IF(D52&lt;=0.5,0,MIN(H52+N(J52),D52+E52+F52))</f>
        <v>0</v>
      </c>
      <c r="L52" s="41" t="n">
        <f aca="false">K52-E52-F52</f>
        <v>0</v>
      </c>
      <c r="M52" s="41" t="n">
        <f aca="false">D52-L52</f>
        <v>0</v>
      </c>
      <c r="N52" s="42" t="n">
        <f aca="false">K52-G52</f>
        <v>0</v>
      </c>
      <c r="O52" s="78"/>
      <c r="P52" s="79"/>
      <c r="Q52" s="16" t="str">
        <f aca="false">IF(K52=0,"",IF(R52=1,"Pagada",IF(C52&lt;$F$12,"Vencida",IF(26=$F$13,"Próxima","Pendiente"))))</f>
        <v/>
      </c>
      <c r="R52" s="62" t="n">
        <f aca="false">IF(AND(K52&gt;0,OR(O52="Sí",O52="Si")),1,0)</f>
        <v>0</v>
      </c>
      <c r="S52" s="62" t="n">
        <f aca="false">IF(AND(K52&gt;0,R52=0),1,0)</f>
        <v>0</v>
      </c>
    </row>
    <row r="53" customFormat="false" ht="15" hidden="false" customHeight="false" outlineLevel="0" collapsed="false">
      <c r="B53" s="71" t="str">
        <f aca="false">IF($F$6="Sí",N($C$11)+26,"")</f>
        <v/>
      </c>
      <c r="C53" s="72" t="str">
        <f aca="false">IF(OR($F$6&lt;&gt;"Sí",D53&lt;=0.5),"",EDATE($C$10,26))</f>
        <v/>
      </c>
      <c r="D53" s="41" t="n">
        <f aca="false">MAX(0,M52)</f>
        <v>0</v>
      </c>
      <c r="E53" s="41" t="n">
        <f aca="false">D53*$F$7</f>
        <v>0</v>
      </c>
      <c r="F53" s="41" t="n">
        <f aca="false">IF(D53&gt;0.5,N($C$15),0)</f>
        <v>0</v>
      </c>
      <c r="G53" s="41" t="n">
        <f aca="false">IF(AND(D53&gt;0.5,N($C$19)&gt;0,N(B53)&lt;=N($C$20)),D53*$F$8,0)</f>
        <v>0</v>
      </c>
      <c r="H53" s="41" t="n">
        <f aca="false">IF(D53&lt;=0.5,0,MIN(IF(N(I53)&gt;0,I53,$F$9),D53+E53+F53))</f>
        <v>0</v>
      </c>
      <c r="I53" s="77"/>
      <c r="J53" s="77"/>
      <c r="K53" s="41" t="n">
        <f aca="false">IF(D53&lt;=0.5,0,MIN(H53+N(J53),D53+E53+F53))</f>
        <v>0</v>
      </c>
      <c r="L53" s="41" t="n">
        <f aca="false">K53-E53-F53</f>
        <v>0</v>
      </c>
      <c r="M53" s="41" t="n">
        <f aca="false">D53-L53</f>
        <v>0</v>
      </c>
      <c r="N53" s="42" t="n">
        <f aca="false">K53-G53</f>
        <v>0</v>
      </c>
      <c r="O53" s="78"/>
      <c r="P53" s="79"/>
      <c r="Q53" s="16" t="str">
        <f aca="false">IF(K53=0,"",IF(R53=1,"Pagada",IF(C53&lt;$F$12,"Vencida",IF(27=$F$13,"Próxima","Pendiente"))))</f>
        <v/>
      </c>
      <c r="R53" s="62" t="n">
        <f aca="false">IF(AND(K53&gt;0,OR(O53="Sí",O53="Si")),1,0)</f>
        <v>0</v>
      </c>
      <c r="S53" s="62" t="n">
        <f aca="false">IF(AND(K53&gt;0,R53=0),1,0)</f>
        <v>0</v>
      </c>
    </row>
    <row r="54" customFormat="false" ht="15" hidden="false" customHeight="false" outlineLevel="0" collapsed="false">
      <c r="B54" s="71" t="str">
        <f aca="false">IF($F$6="Sí",N($C$11)+27,"")</f>
        <v/>
      </c>
      <c r="C54" s="72" t="str">
        <f aca="false">IF(OR($F$6&lt;&gt;"Sí",D54&lt;=0.5),"",EDATE($C$10,27))</f>
        <v/>
      </c>
      <c r="D54" s="41" t="n">
        <f aca="false">MAX(0,M53)</f>
        <v>0</v>
      </c>
      <c r="E54" s="41" t="n">
        <f aca="false">D54*$F$7</f>
        <v>0</v>
      </c>
      <c r="F54" s="41" t="n">
        <f aca="false">IF(D54&gt;0.5,N($C$15),0)</f>
        <v>0</v>
      </c>
      <c r="G54" s="41" t="n">
        <f aca="false">IF(AND(D54&gt;0.5,N($C$19)&gt;0,N(B54)&lt;=N($C$20)),D54*$F$8,0)</f>
        <v>0</v>
      </c>
      <c r="H54" s="41" t="n">
        <f aca="false">IF(D54&lt;=0.5,0,MIN(IF(N(I54)&gt;0,I54,$F$9),D54+E54+F54))</f>
        <v>0</v>
      </c>
      <c r="I54" s="77"/>
      <c r="J54" s="77"/>
      <c r="K54" s="41" t="n">
        <f aca="false">IF(D54&lt;=0.5,0,MIN(H54+N(J54),D54+E54+F54))</f>
        <v>0</v>
      </c>
      <c r="L54" s="41" t="n">
        <f aca="false">K54-E54-F54</f>
        <v>0</v>
      </c>
      <c r="M54" s="41" t="n">
        <f aca="false">D54-L54</f>
        <v>0</v>
      </c>
      <c r="N54" s="42" t="n">
        <f aca="false">K54-G54</f>
        <v>0</v>
      </c>
      <c r="O54" s="78"/>
      <c r="P54" s="79"/>
      <c r="Q54" s="16" t="str">
        <f aca="false">IF(K54=0,"",IF(R54=1,"Pagada",IF(C54&lt;$F$12,"Vencida",IF(28=$F$13,"Próxima","Pendiente"))))</f>
        <v/>
      </c>
      <c r="R54" s="62" t="n">
        <f aca="false">IF(AND(K54&gt;0,OR(O54="Sí",O54="Si")),1,0)</f>
        <v>0</v>
      </c>
      <c r="S54" s="62" t="n">
        <f aca="false">IF(AND(K54&gt;0,R54=0),1,0)</f>
        <v>0</v>
      </c>
    </row>
    <row r="55" customFormat="false" ht="15" hidden="false" customHeight="false" outlineLevel="0" collapsed="false">
      <c r="B55" s="71" t="str">
        <f aca="false">IF($F$6="Sí",N($C$11)+28,"")</f>
        <v/>
      </c>
      <c r="C55" s="72" t="str">
        <f aca="false">IF(OR($F$6&lt;&gt;"Sí",D55&lt;=0.5),"",EDATE($C$10,28))</f>
        <v/>
      </c>
      <c r="D55" s="41" t="n">
        <f aca="false">MAX(0,M54)</f>
        <v>0</v>
      </c>
      <c r="E55" s="41" t="n">
        <f aca="false">D55*$F$7</f>
        <v>0</v>
      </c>
      <c r="F55" s="41" t="n">
        <f aca="false">IF(D55&gt;0.5,N($C$15),0)</f>
        <v>0</v>
      </c>
      <c r="G55" s="41" t="n">
        <f aca="false">IF(AND(D55&gt;0.5,N($C$19)&gt;0,N(B55)&lt;=N($C$20)),D55*$F$8,0)</f>
        <v>0</v>
      </c>
      <c r="H55" s="41" t="n">
        <f aca="false">IF(D55&lt;=0.5,0,MIN(IF(N(I55)&gt;0,I55,$F$9),D55+E55+F55))</f>
        <v>0</v>
      </c>
      <c r="I55" s="77"/>
      <c r="J55" s="77"/>
      <c r="K55" s="41" t="n">
        <f aca="false">IF(D55&lt;=0.5,0,MIN(H55+N(J55),D55+E55+F55))</f>
        <v>0</v>
      </c>
      <c r="L55" s="41" t="n">
        <f aca="false">K55-E55-F55</f>
        <v>0</v>
      </c>
      <c r="M55" s="41" t="n">
        <f aca="false">D55-L55</f>
        <v>0</v>
      </c>
      <c r="N55" s="42" t="n">
        <f aca="false">K55-G55</f>
        <v>0</v>
      </c>
      <c r="O55" s="78"/>
      <c r="P55" s="79"/>
      <c r="Q55" s="16" t="str">
        <f aca="false">IF(K55=0,"",IF(R55=1,"Pagada",IF(C55&lt;$F$12,"Vencida",IF(29=$F$13,"Próxima","Pendiente"))))</f>
        <v/>
      </c>
      <c r="R55" s="62" t="n">
        <f aca="false">IF(AND(K55&gt;0,OR(O55="Sí",O55="Si")),1,0)</f>
        <v>0</v>
      </c>
      <c r="S55" s="62" t="n">
        <f aca="false">IF(AND(K55&gt;0,R55=0),1,0)</f>
        <v>0</v>
      </c>
    </row>
    <row r="56" customFormat="false" ht="15" hidden="false" customHeight="false" outlineLevel="0" collapsed="false">
      <c r="B56" s="71" t="str">
        <f aca="false">IF($F$6="Sí",N($C$11)+29,"")</f>
        <v/>
      </c>
      <c r="C56" s="72" t="str">
        <f aca="false">IF(OR($F$6&lt;&gt;"Sí",D56&lt;=0.5),"",EDATE($C$10,29))</f>
        <v/>
      </c>
      <c r="D56" s="41" t="n">
        <f aca="false">MAX(0,M55)</f>
        <v>0</v>
      </c>
      <c r="E56" s="41" t="n">
        <f aca="false">D56*$F$7</f>
        <v>0</v>
      </c>
      <c r="F56" s="41" t="n">
        <f aca="false">IF(D56&gt;0.5,N($C$15),0)</f>
        <v>0</v>
      </c>
      <c r="G56" s="41" t="n">
        <f aca="false">IF(AND(D56&gt;0.5,N($C$19)&gt;0,N(B56)&lt;=N($C$20)),D56*$F$8,0)</f>
        <v>0</v>
      </c>
      <c r="H56" s="41" t="n">
        <f aca="false">IF(D56&lt;=0.5,0,MIN(IF(N(I56)&gt;0,I56,$F$9),D56+E56+F56))</f>
        <v>0</v>
      </c>
      <c r="I56" s="77"/>
      <c r="J56" s="77"/>
      <c r="K56" s="41" t="n">
        <f aca="false">IF(D56&lt;=0.5,0,MIN(H56+N(J56),D56+E56+F56))</f>
        <v>0</v>
      </c>
      <c r="L56" s="41" t="n">
        <f aca="false">K56-E56-F56</f>
        <v>0</v>
      </c>
      <c r="M56" s="41" t="n">
        <f aca="false">D56-L56</f>
        <v>0</v>
      </c>
      <c r="N56" s="42" t="n">
        <f aca="false">K56-G56</f>
        <v>0</v>
      </c>
      <c r="O56" s="78"/>
      <c r="P56" s="79"/>
      <c r="Q56" s="16" t="str">
        <f aca="false">IF(K56=0,"",IF(R56=1,"Pagada",IF(C56&lt;$F$12,"Vencida",IF(30=$F$13,"Próxima","Pendiente"))))</f>
        <v/>
      </c>
      <c r="R56" s="62" t="n">
        <f aca="false">IF(AND(K56&gt;0,OR(O56="Sí",O56="Si")),1,0)</f>
        <v>0</v>
      </c>
      <c r="S56" s="62" t="n">
        <f aca="false">IF(AND(K56&gt;0,R56=0),1,0)</f>
        <v>0</v>
      </c>
    </row>
    <row r="57" customFormat="false" ht="15" hidden="false" customHeight="false" outlineLevel="0" collapsed="false">
      <c r="B57" s="71" t="str">
        <f aca="false">IF($F$6="Sí",N($C$11)+30,"")</f>
        <v/>
      </c>
      <c r="C57" s="72" t="str">
        <f aca="false">IF(OR($F$6&lt;&gt;"Sí",D57&lt;=0.5),"",EDATE($C$10,30))</f>
        <v/>
      </c>
      <c r="D57" s="41" t="n">
        <f aca="false">MAX(0,M56)</f>
        <v>0</v>
      </c>
      <c r="E57" s="41" t="n">
        <f aca="false">D57*$F$7</f>
        <v>0</v>
      </c>
      <c r="F57" s="41" t="n">
        <f aca="false">IF(D57&gt;0.5,N($C$15),0)</f>
        <v>0</v>
      </c>
      <c r="G57" s="41" t="n">
        <f aca="false">IF(AND(D57&gt;0.5,N($C$19)&gt;0,N(B57)&lt;=N($C$20)),D57*$F$8,0)</f>
        <v>0</v>
      </c>
      <c r="H57" s="41" t="n">
        <f aca="false">IF(D57&lt;=0.5,0,MIN(IF(N(I57)&gt;0,I57,$F$9),D57+E57+F57))</f>
        <v>0</v>
      </c>
      <c r="I57" s="77"/>
      <c r="J57" s="77"/>
      <c r="K57" s="41" t="n">
        <f aca="false">IF(D57&lt;=0.5,0,MIN(H57+N(J57),D57+E57+F57))</f>
        <v>0</v>
      </c>
      <c r="L57" s="41" t="n">
        <f aca="false">K57-E57-F57</f>
        <v>0</v>
      </c>
      <c r="M57" s="41" t="n">
        <f aca="false">D57-L57</f>
        <v>0</v>
      </c>
      <c r="N57" s="42" t="n">
        <f aca="false">K57-G57</f>
        <v>0</v>
      </c>
      <c r="O57" s="78"/>
      <c r="P57" s="79"/>
      <c r="Q57" s="16" t="str">
        <f aca="false">IF(K57=0,"",IF(R57=1,"Pagada",IF(C57&lt;$F$12,"Vencida",IF(31=$F$13,"Próxima","Pendiente"))))</f>
        <v/>
      </c>
      <c r="R57" s="62" t="n">
        <f aca="false">IF(AND(K57&gt;0,OR(O57="Sí",O57="Si")),1,0)</f>
        <v>0</v>
      </c>
      <c r="S57" s="62" t="n">
        <f aca="false">IF(AND(K57&gt;0,R57=0),1,0)</f>
        <v>0</v>
      </c>
    </row>
    <row r="58" customFormat="false" ht="15" hidden="false" customHeight="false" outlineLevel="0" collapsed="false">
      <c r="B58" s="71" t="str">
        <f aca="false">IF($F$6="Sí",N($C$11)+31,"")</f>
        <v/>
      </c>
      <c r="C58" s="72" t="str">
        <f aca="false">IF(OR($F$6&lt;&gt;"Sí",D58&lt;=0.5),"",EDATE($C$10,31))</f>
        <v/>
      </c>
      <c r="D58" s="41" t="n">
        <f aca="false">MAX(0,M57)</f>
        <v>0</v>
      </c>
      <c r="E58" s="41" t="n">
        <f aca="false">D58*$F$7</f>
        <v>0</v>
      </c>
      <c r="F58" s="41" t="n">
        <f aca="false">IF(D58&gt;0.5,N($C$15),0)</f>
        <v>0</v>
      </c>
      <c r="G58" s="41" t="n">
        <f aca="false">IF(AND(D58&gt;0.5,N($C$19)&gt;0,N(B58)&lt;=N($C$20)),D58*$F$8,0)</f>
        <v>0</v>
      </c>
      <c r="H58" s="41" t="n">
        <f aca="false">IF(D58&lt;=0.5,0,MIN(IF(N(I58)&gt;0,I58,$F$9),D58+E58+F58))</f>
        <v>0</v>
      </c>
      <c r="I58" s="77"/>
      <c r="J58" s="77"/>
      <c r="K58" s="41" t="n">
        <f aca="false">IF(D58&lt;=0.5,0,MIN(H58+N(J58),D58+E58+F58))</f>
        <v>0</v>
      </c>
      <c r="L58" s="41" t="n">
        <f aca="false">K58-E58-F58</f>
        <v>0</v>
      </c>
      <c r="M58" s="41" t="n">
        <f aca="false">D58-L58</f>
        <v>0</v>
      </c>
      <c r="N58" s="42" t="n">
        <f aca="false">K58-G58</f>
        <v>0</v>
      </c>
      <c r="O58" s="78"/>
      <c r="P58" s="79"/>
      <c r="Q58" s="16" t="str">
        <f aca="false">IF(K58=0,"",IF(R58=1,"Pagada",IF(C58&lt;$F$12,"Vencida",IF(32=$F$13,"Próxima","Pendiente"))))</f>
        <v/>
      </c>
      <c r="R58" s="62" t="n">
        <f aca="false">IF(AND(K58&gt;0,OR(O58="Sí",O58="Si")),1,0)</f>
        <v>0</v>
      </c>
      <c r="S58" s="62" t="n">
        <f aca="false">IF(AND(K58&gt;0,R58=0),1,0)</f>
        <v>0</v>
      </c>
    </row>
    <row r="59" customFormat="false" ht="15" hidden="false" customHeight="false" outlineLevel="0" collapsed="false">
      <c r="B59" s="71" t="str">
        <f aca="false">IF($F$6="Sí",N($C$11)+32,"")</f>
        <v/>
      </c>
      <c r="C59" s="72" t="str">
        <f aca="false">IF(OR($F$6&lt;&gt;"Sí",D59&lt;=0.5),"",EDATE($C$10,32))</f>
        <v/>
      </c>
      <c r="D59" s="41" t="n">
        <f aca="false">MAX(0,M58)</f>
        <v>0</v>
      </c>
      <c r="E59" s="41" t="n">
        <f aca="false">D59*$F$7</f>
        <v>0</v>
      </c>
      <c r="F59" s="41" t="n">
        <f aca="false">IF(D59&gt;0.5,N($C$15),0)</f>
        <v>0</v>
      </c>
      <c r="G59" s="41" t="n">
        <f aca="false">IF(AND(D59&gt;0.5,N($C$19)&gt;0,N(B59)&lt;=N($C$20)),D59*$F$8,0)</f>
        <v>0</v>
      </c>
      <c r="H59" s="41" t="n">
        <f aca="false">IF(D59&lt;=0.5,0,MIN(IF(N(I59)&gt;0,I59,$F$9),D59+E59+F59))</f>
        <v>0</v>
      </c>
      <c r="I59" s="77"/>
      <c r="J59" s="77"/>
      <c r="K59" s="41" t="n">
        <f aca="false">IF(D59&lt;=0.5,0,MIN(H59+N(J59),D59+E59+F59))</f>
        <v>0</v>
      </c>
      <c r="L59" s="41" t="n">
        <f aca="false">K59-E59-F59</f>
        <v>0</v>
      </c>
      <c r="M59" s="41" t="n">
        <f aca="false">D59-L59</f>
        <v>0</v>
      </c>
      <c r="N59" s="42" t="n">
        <f aca="false">K59-G59</f>
        <v>0</v>
      </c>
      <c r="O59" s="78"/>
      <c r="P59" s="79"/>
      <c r="Q59" s="16" t="str">
        <f aca="false">IF(K59=0,"",IF(R59=1,"Pagada",IF(C59&lt;$F$12,"Vencida",IF(33=$F$13,"Próxima","Pendiente"))))</f>
        <v/>
      </c>
      <c r="R59" s="62" t="n">
        <f aca="false">IF(AND(K59&gt;0,OR(O59="Sí",O59="Si")),1,0)</f>
        <v>0</v>
      </c>
      <c r="S59" s="62" t="n">
        <f aca="false">IF(AND(K59&gt;0,R59=0),1,0)</f>
        <v>0</v>
      </c>
    </row>
    <row r="60" customFormat="false" ht="15" hidden="false" customHeight="false" outlineLevel="0" collapsed="false">
      <c r="B60" s="71" t="str">
        <f aca="false">IF($F$6="Sí",N($C$11)+33,"")</f>
        <v/>
      </c>
      <c r="C60" s="72" t="str">
        <f aca="false">IF(OR($F$6&lt;&gt;"Sí",D60&lt;=0.5),"",EDATE($C$10,33))</f>
        <v/>
      </c>
      <c r="D60" s="41" t="n">
        <f aca="false">MAX(0,M59)</f>
        <v>0</v>
      </c>
      <c r="E60" s="41" t="n">
        <f aca="false">D60*$F$7</f>
        <v>0</v>
      </c>
      <c r="F60" s="41" t="n">
        <f aca="false">IF(D60&gt;0.5,N($C$15),0)</f>
        <v>0</v>
      </c>
      <c r="G60" s="41" t="n">
        <f aca="false">IF(AND(D60&gt;0.5,N($C$19)&gt;0,N(B60)&lt;=N($C$20)),D60*$F$8,0)</f>
        <v>0</v>
      </c>
      <c r="H60" s="41" t="n">
        <f aca="false">IF(D60&lt;=0.5,0,MIN(IF(N(I60)&gt;0,I60,$F$9),D60+E60+F60))</f>
        <v>0</v>
      </c>
      <c r="I60" s="77"/>
      <c r="J60" s="77"/>
      <c r="K60" s="41" t="n">
        <f aca="false">IF(D60&lt;=0.5,0,MIN(H60+N(J60),D60+E60+F60))</f>
        <v>0</v>
      </c>
      <c r="L60" s="41" t="n">
        <f aca="false">K60-E60-F60</f>
        <v>0</v>
      </c>
      <c r="M60" s="41" t="n">
        <f aca="false">D60-L60</f>
        <v>0</v>
      </c>
      <c r="N60" s="42" t="n">
        <f aca="false">K60-G60</f>
        <v>0</v>
      </c>
      <c r="O60" s="78"/>
      <c r="P60" s="79"/>
      <c r="Q60" s="16" t="str">
        <f aca="false">IF(K60=0,"",IF(R60=1,"Pagada",IF(C60&lt;$F$12,"Vencida",IF(34=$F$13,"Próxima","Pendiente"))))</f>
        <v/>
      </c>
      <c r="R60" s="62" t="n">
        <f aca="false">IF(AND(K60&gt;0,OR(O60="Sí",O60="Si")),1,0)</f>
        <v>0</v>
      </c>
      <c r="S60" s="62" t="n">
        <f aca="false">IF(AND(K60&gt;0,R60=0),1,0)</f>
        <v>0</v>
      </c>
    </row>
    <row r="61" customFormat="false" ht="15" hidden="false" customHeight="false" outlineLevel="0" collapsed="false">
      <c r="B61" s="71" t="str">
        <f aca="false">IF($F$6="Sí",N($C$11)+34,"")</f>
        <v/>
      </c>
      <c r="C61" s="72" t="str">
        <f aca="false">IF(OR($F$6&lt;&gt;"Sí",D61&lt;=0.5),"",EDATE($C$10,34))</f>
        <v/>
      </c>
      <c r="D61" s="41" t="n">
        <f aca="false">MAX(0,M60)</f>
        <v>0</v>
      </c>
      <c r="E61" s="41" t="n">
        <f aca="false">D61*$F$7</f>
        <v>0</v>
      </c>
      <c r="F61" s="41" t="n">
        <f aca="false">IF(D61&gt;0.5,N($C$15),0)</f>
        <v>0</v>
      </c>
      <c r="G61" s="41" t="n">
        <f aca="false">IF(AND(D61&gt;0.5,N($C$19)&gt;0,N(B61)&lt;=N($C$20)),D61*$F$8,0)</f>
        <v>0</v>
      </c>
      <c r="H61" s="41" t="n">
        <f aca="false">IF(D61&lt;=0.5,0,MIN(IF(N(I61)&gt;0,I61,$F$9),D61+E61+F61))</f>
        <v>0</v>
      </c>
      <c r="I61" s="77"/>
      <c r="J61" s="77"/>
      <c r="K61" s="41" t="n">
        <f aca="false">IF(D61&lt;=0.5,0,MIN(H61+N(J61),D61+E61+F61))</f>
        <v>0</v>
      </c>
      <c r="L61" s="41" t="n">
        <f aca="false">K61-E61-F61</f>
        <v>0</v>
      </c>
      <c r="M61" s="41" t="n">
        <f aca="false">D61-L61</f>
        <v>0</v>
      </c>
      <c r="N61" s="42" t="n">
        <f aca="false">K61-G61</f>
        <v>0</v>
      </c>
      <c r="O61" s="78"/>
      <c r="P61" s="79"/>
      <c r="Q61" s="16" t="str">
        <f aca="false">IF(K61=0,"",IF(R61=1,"Pagada",IF(C61&lt;$F$12,"Vencida",IF(35=$F$13,"Próxima","Pendiente"))))</f>
        <v/>
      </c>
      <c r="R61" s="62" t="n">
        <f aca="false">IF(AND(K61&gt;0,OR(O61="Sí",O61="Si")),1,0)</f>
        <v>0</v>
      </c>
      <c r="S61" s="62" t="n">
        <f aca="false">IF(AND(K61&gt;0,R61=0),1,0)</f>
        <v>0</v>
      </c>
    </row>
    <row r="62" customFormat="false" ht="15" hidden="false" customHeight="false" outlineLevel="0" collapsed="false">
      <c r="B62" s="71" t="str">
        <f aca="false">IF($F$6="Sí",N($C$11)+35,"")</f>
        <v/>
      </c>
      <c r="C62" s="72" t="str">
        <f aca="false">IF(OR($F$6&lt;&gt;"Sí",D62&lt;=0.5),"",EDATE($C$10,35))</f>
        <v/>
      </c>
      <c r="D62" s="41" t="n">
        <f aca="false">MAX(0,M61)</f>
        <v>0</v>
      </c>
      <c r="E62" s="41" t="n">
        <f aca="false">D62*$F$7</f>
        <v>0</v>
      </c>
      <c r="F62" s="41" t="n">
        <f aca="false">IF(D62&gt;0.5,N($C$15),0)</f>
        <v>0</v>
      </c>
      <c r="G62" s="41" t="n">
        <f aca="false">IF(AND(D62&gt;0.5,N($C$19)&gt;0,N(B62)&lt;=N($C$20)),D62*$F$8,0)</f>
        <v>0</v>
      </c>
      <c r="H62" s="41" t="n">
        <f aca="false">IF(D62&lt;=0.5,0,MIN(IF(N(I62)&gt;0,I62,$F$9),D62+E62+F62))</f>
        <v>0</v>
      </c>
      <c r="I62" s="77"/>
      <c r="J62" s="77"/>
      <c r="K62" s="41" t="n">
        <f aca="false">IF(D62&lt;=0.5,0,MIN(H62+N(J62),D62+E62+F62))</f>
        <v>0</v>
      </c>
      <c r="L62" s="41" t="n">
        <f aca="false">K62-E62-F62</f>
        <v>0</v>
      </c>
      <c r="M62" s="41" t="n">
        <f aca="false">D62-L62</f>
        <v>0</v>
      </c>
      <c r="N62" s="42" t="n">
        <f aca="false">K62-G62</f>
        <v>0</v>
      </c>
      <c r="O62" s="78"/>
      <c r="P62" s="79"/>
      <c r="Q62" s="16" t="str">
        <f aca="false">IF(K62=0,"",IF(R62=1,"Pagada",IF(C62&lt;$F$12,"Vencida",IF(36=$F$13,"Próxima","Pendiente"))))</f>
        <v/>
      </c>
      <c r="R62" s="62" t="n">
        <f aca="false">IF(AND(K62&gt;0,OR(O62="Sí",O62="Si")),1,0)</f>
        <v>0</v>
      </c>
      <c r="S62" s="62" t="n">
        <f aca="false">IF(AND(K62&gt;0,R62=0),1,0)</f>
        <v>0</v>
      </c>
    </row>
    <row r="63" customFormat="false" ht="15" hidden="false" customHeight="false" outlineLevel="0" collapsed="false">
      <c r="B63" s="71" t="str">
        <f aca="false">IF($F$6="Sí",N($C$11)+36,"")</f>
        <v/>
      </c>
      <c r="C63" s="72" t="str">
        <f aca="false">IF(OR($F$6&lt;&gt;"Sí",D63&lt;=0.5),"",EDATE($C$10,36))</f>
        <v/>
      </c>
      <c r="D63" s="41" t="n">
        <f aca="false">MAX(0,M62)</f>
        <v>0</v>
      </c>
      <c r="E63" s="41" t="n">
        <f aca="false">D63*$F$7</f>
        <v>0</v>
      </c>
      <c r="F63" s="41" t="n">
        <f aca="false">IF(D63&gt;0.5,N($C$15),0)</f>
        <v>0</v>
      </c>
      <c r="G63" s="41" t="n">
        <f aca="false">IF(AND(D63&gt;0.5,N($C$19)&gt;0,N(B63)&lt;=N($C$20)),D63*$F$8,0)</f>
        <v>0</v>
      </c>
      <c r="H63" s="41" t="n">
        <f aca="false">IF(D63&lt;=0.5,0,MIN(IF(N(I63)&gt;0,I63,$F$9),D63+E63+F63))</f>
        <v>0</v>
      </c>
      <c r="I63" s="77"/>
      <c r="J63" s="77"/>
      <c r="K63" s="41" t="n">
        <f aca="false">IF(D63&lt;=0.5,0,MIN(H63+N(J63),D63+E63+F63))</f>
        <v>0</v>
      </c>
      <c r="L63" s="41" t="n">
        <f aca="false">K63-E63-F63</f>
        <v>0</v>
      </c>
      <c r="M63" s="41" t="n">
        <f aca="false">D63-L63</f>
        <v>0</v>
      </c>
      <c r="N63" s="42" t="n">
        <f aca="false">K63-G63</f>
        <v>0</v>
      </c>
      <c r="O63" s="78"/>
      <c r="P63" s="79"/>
      <c r="Q63" s="16" t="str">
        <f aca="false">IF(K63=0,"",IF(R63=1,"Pagada",IF(C63&lt;$F$12,"Vencida",IF(37=$F$13,"Próxima","Pendiente"))))</f>
        <v/>
      </c>
      <c r="R63" s="62" t="n">
        <f aca="false">IF(AND(K63&gt;0,OR(O63="Sí",O63="Si")),1,0)</f>
        <v>0</v>
      </c>
      <c r="S63" s="62" t="n">
        <f aca="false">IF(AND(K63&gt;0,R63=0),1,0)</f>
        <v>0</v>
      </c>
    </row>
    <row r="64" customFormat="false" ht="15" hidden="false" customHeight="false" outlineLevel="0" collapsed="false">
      <c r="B64" s="71" t="str">
        <f aca="false">IF($F$6="Sí",N($C$11)+37,"")</f>
        <v/>
      </c>
      <c r="C64" s="72" t="str">
        <f aca="false">IF(OR($F$6&lt;&gt;"Sí",D64&lt;=0.5),"",EDATE($C$10,37))</f>
        <v/>
      </c>
      <c r="D64" s="41" t="n">
        <f aca="false">MAX(0,M63)</f>
        <v>0</v>
      </c>
      <c r="E64" s="41" t="n">
        <f aca="false">D64*$F$7</f>
        <v>0</v>
      </c>
      <c r="F64" s="41" t="n">
        <f aca="false">IF(D64&gt;0.5,N($C$15),0)</f>
        <v>0</v>
      </c>
      <c r="G64" s="41" t="n">
        <f aca="false">IF(AND(D64&gt;0.5,N($C$19)&gt;0,N(B64)&lt;=N($C$20)),D64*$F$8,0)</f>
        <v>0</v>
      </c>
      <c r="H64" s="41" t="n">
        <f aca="false">IF(D64&lt;=0.5,0,MIN(IF(N(I64)&gt;0,I64,$F$9),D64+E64+F64))</f>
        <v>0</v>
      </c>
      <c r="I64" s="77"/>
      <c r="J64" s="77"/>
      <c r="K64" s="41" t="n">
        <f aca="false">IF(D64&lt;=0.5,0,MIN(H64+N(J64),D64+E64+F64))</f>
        <v>0</v>
      </c>
      <c r="L64" s="41" t="n">
        <f aca="false">K64-E64-F64</f>
        <v>0</v>
      </c>
      <c r="M64" s="41" t="n">
        <f aca="false">D64-L64</f>
        <v>0</v>
      </c>
      <c r="N64" s="42" t="n">
        <f aca="false">K64-G64</f>
        <v>0</v>
      </c>
      <c r="O64" s="78"/>
      <c r="P64" s="79"/>
      <c r="Q64" s="16" t="str">
        <f aca="false">IF(K64=0,"",IF(R64=1,"Pagada",IF(C64&lt;$F$12,"Vencida",IF(38=$F$13,"Próxima","Pendiente"))))</f>
        <v/>
      </c>
      <c r="R64" s="62" t="n">
        <f aca="false">IF(AND(K64&gt;0,OR(O64="Sí",O64="Si")),1,0)</f>
        <v>0</v>
      </c>
      <c r="S64" s="62" t="n">
        <f aca="false">IF(AND(K64&gt;0,R64=0),1,0)</f>
        <v>0</v>
      </c>
    </row>
    <row r="65" customFormat="false" ht="15" hidden="false" customHeight="false" outlineLevel="0" collapsed="false">
      <c r="B65" s="71" t="str">
        <f aca="false">IF($F$6="Sí",N($C$11)+38,"")</f>
        <v/>
      </c>
      <c r="C65" s="72" t="str">
        <f aca="false">IF(OR($F$6&lt;&gt;"Sí",D65&lt;=0.5),"",EDATE($C$10,38))</f>
        <v/>
      </c>
      <c r="D65" s="41" t="n">
        <f aca="false">MAX(0,M64)</f>
        <v>0</v>
      </c>
      <c r="E65" s="41" t="n">
        <f aca="false">D65*$F$7</f>
        <v>0</v>
      </c>
      <c r="F65" s="41" t="n">
        <f aca="false">IF(D65&gt;0.5,N($C$15),0)</f>
        <v>0</v>
      </c>
      <c r="G65" s="41" t="n">
        <f aca="false">IF(AND(D65&gt;0.5,N($C$19)&gt;0,N(B65)&lt;=N($C$20)),D65*$F$8,0)</f>
        <v>0</v>
      </c>
      <c r="H65" s="41" t="n">
        <f aca="false">IF(D65&lt;=0.5,0,MIN(IF(N(I65)&gt;0,I65,$F$9),D65+E65+F65))</f>
        <v>0</v>
      </c>
      <c r="I65" s="77"/>
      <c r="J65" s="77"/>
      <c r="K65" s="41" t="n">
        <f aca="false">IF(D65&lt;=0.5,0,MIN(H65+N(J65),D65+E65+F65))</f>
        <v>0</v>
      </c>
      <c r="L65" s="41" t="n">
        <f aca="false">K65-E65-F65</f>
        <v>0</v>
      </c>
      <c r="M65" s="41" t="n">
        <f aca="false">D65-L65</f>
        <v>0</v>
      </c>
      <c r="N65" s="42" t="n">
        <f aca="false">K65-G65</f>
        <v>0</v>
      </c>
      <c r="O65" s="78"/>
      <c r="P65" s="79"/>
      <c r="Q65" s="16" t="str">
        <f aca="false">IF(K65=0,"",IF(R65=1,"Pagada",IF(C65&lt;$F$12,"Vencida",IF(39=$F$13,"Próxima","Pendiente"))))</f>
        <v/>
      </c>
      <c r="R65" s="62" t="n">
        <f aca="false">IF(AND(K65&gt;0,OR(O65="Sí",O65="Si")),1,0)</f>
        <v>0</v>
      </c>
      <c r="S65" s="62" t="n">
        <f aca="false">IF(AND(K65&gt;0,R65=0),1,0)</f>
        <v>0</v>
      </c>
    </row>
    <row r="66" customFormat="false" ht="15" hidden="false" customHeight="false" outlineLevel="0" collapsed="false">
      <c r="B66" s="71" t="str">
        <f aca="false">IF($F$6="Sí",N($C$11)+39,"")</f>
        <v/>
      </c>
      <c r="C66" s="72" t="str">
        <f aca="false">IF(OR($F$6&lt;&gt;"Sí",D66&lt;=0.5),"",EDATE($C$10,39))</f>
        <v/>
      </c>
      <c r="D66" s="41" t="n">
        <f aca="false">MAX(0,M65)</f>
        <v>0</v>
      </c>
      <c r="E66" s="41" t="n">
        <f aca="false">D66*$F$7</f>
        <v>0</v>
      </c>
      <c r="F66" s="41" t="n">
        <f aca="false">IF(D66&gt;0.5,N($C$15),0)</f>
        <v>0</v>
      </c>
      <c r="G66" s="41" t="n">
        <f aca="false">IF(AND(D66&gt;0.5,N($C$19)&gt;0,N(B66)&lt;=N($C$20)),D66*$F$8,0)</f>
        <v>0</v>
      </c>
      <c r="H66" s="41" t="n">
        <f aca="false">IF(D66&lt;=0.5,0,MIN(IF(N(I66)&gt;0,I66,$F$9),D66+E66+F66))</f>
        <v>0</v>
      </c>
      <c r="I66" s="77"/>
      <c r="J66" s="77"/>
      <c r="K66" s="41" t="n">
        <f aca="false">IF(D66&lt;=0.5,0,MIN(H66+N(J66),D66+E66+F66))</f>
        <v>0</v>
      </c>
      <c r="L66" s="41" t="n">
        <f aca="false">K66-E66-F66</f>
        <v>0</v>
      </c>
      <c r="M66" s="41" t="n">
        <f aca="false">D66-L66</f>
        <v>0</v>
      </c>
      <c r="N66" s="42" t="n">
        <f aca="false">K66-G66</f>
        <v>0</v>
      </c>
      <c r="O66" s="78"/>
      <c r="P66" s="79"/>
      <c r="Q66" s="16" t="str">
        <f aca="false">IF(K66=0,"",IF(R66=1,"Pagada",IF(C66&lt;$F$12,"Vencida",IF(40=$F$13,"Próxima","Pendiente"))))</f>
        <v/>
      </c>
      <c r="R66" s="62" t="n">
        <f aca="false">IF(AND(K66&gt;0,OR(O66="Sí",O66="Si")),1,0)</f>
        <v>0</v>
      </c>
      <c r="S66" s="62" t="n">
        <f aca="false">IF(AND(K66&gt;0,R66=0),1,0)</f>
        <v>0</v>
      </c>
    </row>
    <row r="67" customFormat="false" ht="15" hidden="false" customHeight="false" outlineLevel="0" collapsed="false">
      <c r="B67" s="71" t="str">
        <f aca="false">IF($F$6="Sí",N($C$11)+40,"")</f>
        <v/>
      </c>
      <c r="C67" s="72" t="str">
        <f aca="false">IF(OR($F$6&lt;&gt;"Sí",D67&lt;=0.5),"",EDATE($C$10,40))</f>
        <v/>
      </c>
      <c r="D67" s="41" t="n">
        <f aca="false">MAX(0,M66)</f>
        <v>0</v>
      </c>
      <c r="E67" s="41" t="n">
        <f aca="false">D67*$F$7</f>
        <v>0</v>
      </c>
      <c r="F67" s="41" t="n">
        <f aca="false">IF(D67&gt;0.5,N($C$15),0)</f>
        <v>0</v>
      </c>
      <c r="G67" s="41" t="n">
        <f aca="false">IF(AND(D67&gt;0.5,N($C$19)&gt;0,N(B67)&lt;=N($C$20)),D67*$F$8,0)</f>
        <v>0</v>
      </c>
      <c r="H67" s="41" t="n">
        <f aca="false">IF(D67&lt;=0.5,0,MIN(IF(N(I67)&gt;0,I67,$F$9),D67+E67+F67))</f>
        <v>0</v>
      </c>
      <c r="I67" s="77"/>
      <c r="J67" s="77"/>
      <c r="K67" s="41" t="n">
        <f aca="false">IF(D67&lt;=0.5,0,MIN(H67+N(J67),D67+E67+F67))</f>
        <v>0</v>
      </c>
      <c r="L67" s="41" t="n">
        <f aca="false">K67-E67-F67</f>
        <v>0</v>
      </c>
      <c r="M67" s="41" t="n">
        <f aca="false">D67-L67</f>
        <v>0</v>
      </c>
      <c r="N67" s="42" t="n">
        <f aca="false">K67-G67</f>
        <v>0</v>
      </c>
      <c r="O67" s="78"/>
      <c r="P67" s="79"/>
      <c r="Q67" s="16" t="str">
        <f aca="false">IF(K67=0,"",IF(R67=1,"Pagada",IF(C67&lt;$F$12,"Vencida",IF(41=$F$13,"Próxima","Pendiente"))))</f>
        <v/>
      </c>
      <c r="R67" s="62" t="n">
        <f aca="false">IF(AND(K67&gt;0,OR(O67="Sí",O67="Si")),1,0)</f>
        <v>0</v>
      </c>
      <c r="S67" s="62" t="n">
        <f aca="false">IF(AND(K67&gt;0,R67=0),1,0)</f>
        <v>0</v>
      </c>
    </row>
    <row r="68" customFormat="false" ht="15" hidden="false" customHeight="false" outlineLevel="0" collapsed="false">
      <c r="B68" s="71" t="str">
        <f aca="false">IF($F$6="Sí",N($C$11)+41,"")</f>
        <v/>
      </c>
      <c r="C68" s="72" t="str">
        <f aca="false">IF(OR($F$6&lt;&gt;"Sí",D68&lt;=0.5),"",EDATE($C$10,41))</f>
        <v/>
      </c>
      <c r="D68" s="41" t="n">
        <f aca="false">MAX(0,M67)</f>
        <v>0</v>
      </c>
      <c r="E68" s="41" t="n">
        <f aca="false">D68*$F$7</f>
        <v>0</v>
      </c>
      <c r="F68" s="41" t="n">
        <f aca="false">IF(D68&gt;0.5,N($C$15),0)</f>
        <v>0</v>
      </c>
      <c r="G68" s="41" t="n">
        <f aca="false">IF(AND(D68&gt;0.5,N($C$19)&gt;0,N(B68)&lt;=N($C$20)),D68*$F$8,0)</f>
        <v>0</v>
      </c>
      <c r="H68" s="41" t="n">
        <f aca="false">IF(D68&lt;=0.5,0,MIN(IF(N(I68)&gt;0,I68,$F$9),D68+E68+F68))</f>
        <v>0</v>
      </c>
      <c r="I68" s="77"/>
      <c r="J68" s="77"/>
      <c r="K68" s="41" t="n">
        <f aca="false">IF(D68&lt;=0.5,0,MIN(H68+N(J68),D68+E68+F68))</f>
        <v>0</v>
      </c>
      <c r="L68" s="41" t="n">
        <f aca="false">K68-E68-F68</f>
        <v>0</v>
      </c>
      <c r="M68" s="41" t="n">
        <f aca="false">D68-L68</f>
        <v>0</v>
      </c>
      <c r="N68" s="42" t="n">
        <f aca="false">K68-G68</f>
        <v>0</v>
      </c>
      <c r="O68" s="78"/>
      <c r="P68" s="79"/>
      <c r="Q68" s="16" t="str">
        <f aca="false">IF(K68=0,"",IF(R68=1,"Pagada",IF(C68&lt;$F$12,"Vencida",IF(42=$F$13,"Próxima","Pendiente"))))</f>
        <v/>
      </c>
      <c r="R68" s="62" t="n">
        <f aca="false">IF(AND(K68&gt;0,OR(O68="Sí",O68="Si")),1,0)</f>
        <v>0</v>
      </c>
      <c r="S68" s="62" t="n">
        <f aca="false">IF(AND(K68&gt;0,R68=0),1,0)</f>
        <v>0</v>
      </c>
    </row>
    <row r="69" customFormat="false" ht="15" hidden="false" customHeight="false" outlineLevel="0" collapsed="false">
      <c r="B69" s="71" t="str">
        <f aca="false">IF($F$6="Sí",N($C$11)+42,"")</f>
        <v/>
      </c>
      <c r="C69" s="72" t="str">
        <f aca="false">IF(OR($F$6&lt;&gt;"Sí",D69&lt;=0.5),"",EDATE($C$10,42))</f>
        <v/>
      </c>
      <c r="D69" s="41" t="n">
        <f aca="false">MAX(0,M68)</f>
        <v>0</v>
      </c>
      <c r="E69" s="41" t="n">
        <f aca="false">D69*$F$7</f>
        <v>0</v>
      </c>
      <c r="F69" s="41" t="n">
        <f aca="false">IF(D69&gt;0.5,N($C$15),0)</f>
        <v>0</v>
      </c>
      <c r="G69" s="41" t="n">
        <f aca="false">IF(AND(D69&gt;0.5,N($C$19)&gt;0,N(B69)&lt;=N($C$20)),D69*$F$8,0)</f>
        <v>0</v>
      </c>
      <c r="H69" s="41" t="n">
        <f aca="false">IF(D69&lt;=0.5,0,MIN(IF(N(I69)&gt;0,I69,$F$9),D69+E69+F69))</f>
        <v>0</v>
      </c>
      <c r="I69" s="77"/>
      <c r="J69" s="77"/>
      <c r="K69" s="41" t="n">
        <f aca="false">IF(D69&lt;=0.5,0,MIN(H69+N(J69),D69+E69+F69))</f>
        <v>0</v>
      </c>
      <c r="L69" s="41" t="n">
        <f aca="false">K69-E69-F69</f>
        <v>0</v>
      </c>
      <c r="M69" s="41" t="n">
        <f aca="false">D69-L69</f>
        <v>0</v>
      </c>
      <c r="N69" s="42" t="n">
        <f aca="false">K69-G69</f>
        <v>0</v>
      </c>
      <c r="O69" s="78"/>
      <c r="P69" s="79"/>
      <c r="Q69" s="16" t="str">
        <f aca="false">IF(K69=0,"",IF(R69=1,"Pagada",IF(C69&lt;$F$12,"Vencida",IF(43=$F$13,"Próxima","Pendiente"))))</f>
        <v/>
      </c>
      <c r="R69" s="62" t="n">
        <f aca="false">IF(AND(K69&gt;0,OR(O69="Sí",O69="Si")),1,0)</f>
        <v>0</v>
      </c>
      <c r="S69" s="62" t="n">
        <f aca="false">IF(AND(K69&gt;0,R69=0),1,0)</f>
        <v>0</v>
      </c>
    </row>
    <row r="70" customFormat="false" ht="15" hidden="false" customHeight="false" outlineLevel="0" collapsed="false">
      <c r="B70" s="71" t="str">
        <f aca="false">IF($F$6="Sí",N($C$11)+43,"")</f>
        <v/>
      </c>
      <c r="C70" s="72" t="str">
        <f aca="false">IF(OR($F$6&lt;&gt;"Sí",D70&lt;=0.5),"",EDATE($C$10,43))</f>
        <v/>
      </c>
      <c r="D70" s="41" t="n">
        <f aca="false">MAX(0,M69)</f>
        <v>0</v>
      </c>
      <c r="E70" s="41" t="n">
        <f aca="false">D70*$F$7</f>
        <v>0</v>
      </c>
      <c r="F70" s="41" t="n">
        <f aca="false">IF(D70&gt;0.5,N($C$15),0)</f>
        <v>0</v>
      </c>
      <c r="G70" s="41" t="n">
        <f aca="false">IF(AND(D70&gt;0.5,N($C$19)&gt;0,N(B70)&lt;=N($C$20)),D70*$F$8,0)</f>
        <v>0</v>
      </c>
      <c r="H70" s="41" t="n">
        <f aca="false">IF(D70&lt;=0.5,0,MIN(IF(N(I70)&gt;0,I70,$F$9),D70+E70+F70))</f>
        <v>0</v>
      </c>
      <c r="I70" s="77"/>
      <c r="J70" s="77"/>
      <c r="K70" s="41" t="n">
        <f aca="false">IF(D70&lt;=0.5,0,MIN(H70+N(J70),D70+E70+F70))</f>
        <v>0</v>
      </c>
      <c r="L70" s="41" t="n">
        <f aca="false">K70-E70-F70</f>
        <v>0</v>
      </c>
      <c r="M70" s="41" t="n">
        <f aca="false">D70-L70</f>
        <v>0</v>
      </c>
      <c r="N70" s="42" t="n">
        <f aca="false">K70-G70</f>
        <v>0</v>
      </c>
      <c r="O70" s="78"/>
      <c r="P70" s="79"/>
      <c r="Q70" s="16" t="str">
        <f aca="false">IF(K70=0,"",IF(R70=1,"Pagada",IF(C70&lt;$F$12,"Vencida",IF(44=$F$13,"Próxima","Pendiente"))))</f>
        <v/>
      </c>
      <c r="R70" s="62" t="n">
        <f aca="false">IF(AND(K70&gt;0,OR(O70="Sí",O70="Si")),1,0)</f>
        <v>0</v>
      </c>
      <c r="S70" s="62" t="n">
        <f aca="false">IF(AND(K70&gt;0,R70=0),1,0)</f>
        <v>0</v>
      </c>
    </row>
    <row r="71" customFormat="false" ht="15" hidden="false" customHeight="false" outlineLevel="0" collapsed="false">
      <c r="B71" s="71" t="str">
        <f aca="false">IF($F$6="Sí",N($C$11)+44,"")</f>
        <v/>
      </c>
      <c r="C71" s="72" t="str">
        <f aca="false">IF(OR($F$6&lt;&gt;"Sí",D71&lt;=0.5),"",EDATE($C$10,44))</f>
        <v/>
      </c>
      <c r="D71" s="41" t="n">
        <f aca="false">MAX(0,M70)</f>
        <v>0</v>
      </c>
      <c r="E71" s="41" t="n">
        <f aca="false">D71*$F$7</f>
        <v>0</v>
      </c>
      <c r="F71" s="41" t="n">
        <f aca="false">IF(D71&gt;0.5,N($C$15),0)</f>
        <v>0</v>
      </c>
      <c r="G71" s="41" t="n">
        <f aca="false">IF(AND(D71&gt;0.5,N($C$19)&gt;0,N(B71)&lt;=N($C$20)),D71*$F$8,0)</f>
        <v>0</v>
      </c>
      <c r="H71" s="41" t="n">
        <f aca="false">IF(D71&lt;=0.5,0,MIN(IF(N(I71)&gt;0,I71,$F$9),D71+E71+F71))</f>
        <v>0</v>
      </c>
      <c r="I71" s="77"/>
      <c r="J71" s="77"/>
      <c r="K71" s="41" t="n">
        <f aca="false">IF(D71&lt;=0.5,0,MIN(H71+N(J71),D71+E71+F71))</f>
        <v>0</v>
      </c>
      <c r="L71" s="41" t="n">
        <f aca="false">K71-E71-F71</f>
        <v>0</v>
      </c>
      <c r="M71" s="41" t="n">
        <f aca="false">D71-L71</f>
        <v>0</v>
      </c>
      <c r="N71" s="42" t="n">
        <f aca="false">K71-G71</f>
        <v>0</v>
      </c>
      <c r="O71" s="78"/>
      <c r="P71" s="79"/>
      <c r="Q71" s="16" t="str">
        <f aca="false">IF(K71=0,"",IF(R71=1,"Pagada",IF(C71&lt;$F$12,"Vencida",IF(45=$F$13,"Próxima","Pendiente"))))</f>
        <v/>
      </c>
      <c r="R71" s="62" t="n">
        <f aca="false">IF(AND(K71&gt;0,OR(O71="Sí",O71="Si")),1,0)</f>
        <v>0</v>
      </c>
      <c r="S71" s="62" t="n">
        <f aca="false">IF(AND(K71&gt;0,R71=0),1,0)</f>
        <v>0</v>
      </c>
    </row>
    <row r="72" customFormat="false" ht="15" hidden="false" customHeight="false" outlineLevel="0" collapsed="false">
      <c r="B72" s="71" t="str">
        <f aca="false">IF($F$6="Sí",N($C$11)+45,"")</f>
        <v/>
      </c>
      <c r="C72" s="72" t="str">
        <f aca="false">IF(OR($F$6&lt;&gt;"Sí",D72&lt;=0.5),"",EDATE($C$10,45))</f>
        <v/>
      </c>
      <c r="D72" s="41" t="n">
        <f aca="false">MAX(0,M71)</f>
        <v>0</v>
      </c>
      <c r="E72" s="41" t="n">
        <f aca="false">D72*$F$7</f>
        <v>0</v>
      </c>
      <c r="F72" s="41" t="n">
        <f aca="false">IF(D72&gt;0.5,N($C$15),0)</f>
        <v>0</v>
      </c>
      <c r="G72" s="41" t="n">
        <f aca="false">IF(AND(D72&gt;0.5,N($C$19)&gt;0,N(B72)&lt;=N($C$20)),D72*$F$8,0)</f>
        <v>0</v>
      </c>
      <c r="H72" s="41" t="n">
        <f aca="false">IF(D72&lt;=0.5,0,MIN(IF(N(I72)&gt;0,I72,$F$9),D72+E72+F72))</f>
        <v>0</v>
      </c>
      <c r="I72" s="77"/>
      <c r="J72" s="77"/>
      <c r="K72" s="41" t="n">
        <f aca="false">IF(D72&lt;=0.5,0,MIN(H72+N(J72),D72+E72+F72))</f>
        <v>0</v>
      </c>
      <c r="L72" s="41" t="n">
        <f aca="false">K72-E72-F72</f>
        <v>0</v>
      </c>
      <c r="M72" s="41" t="n">
        <f aca="false">D72-L72</f>
        <v>0</v>
      </c>
      <c r="N72" s="42" t="n">
        <f aca="false">K72-G72</f>
        <v>0</v>
      </c>
      <c r="O72" s="78"/>
      <c r="P72" s="79"/>
      <c r="Q72" s="16" t="str">
        <f aca="false">IF(K72=0,"",IF(R72=1,"Pagada",IF(C72&lt;$F$12,"Vencida",IF(46=$F$13,"Próxima","Pendiente"))))</f>
        <v/>
      </c>
      <c r="R72" s="62" t="n">
        <f aca="false">IF(AND(K72&gt;0,OR(O72="Sí",O72="Si")),1,0)</f>
        <v>0</v>
      </c>
      <c r="S72" s="62" t="n">
        <f aca="false">IF(AND(K72&gt;0,R72=0),1,0)</f>
        <v>0</v>
      </c>
    </row>
    <row r="73" customFormat="false" ht="15" hidden="false" customHeight="false" outlineLevel="0" collapsed="false">
      <c r="B73" s="71" t="str">
        <f aca="false">IF($F$6="Sí",N($C$11)+46,"")</f>
        <v/>
      </c>
      <c r="C73" s="72" t="str">
        <f aca="false">IF(OR($F$6&lt;&gt;"Sí",D73&lt;=0.5),"",EDATE($C$10,46))</f>
        <v/>
      </c>
      <c r="D73" s="41" t="n">
        <f aca="false">MAX(0,M72)</f>
        <v>0</v>
      </c>
      <c r="E73" s="41" t="n">
        <f aca="false">D73*$F$7</f>
        <v>0</v>
      </c>
      <c r="F73" s="41" t="n">
        <f aca="false">IF(D73&gt;0.5,N($C$15),0)</f>
        <v>0</v>
      </c>
      <c r="G73" s="41" t="n">
        <f aca="false">IF(AND(D73&gt;0.5,N($C$19)&gt;0,N(B73)&lt;=N($C$20)),D73*$F$8,0)</f>
        <v>0</v>
      </c>
      <c r="H73" s="41" t="n">
        <f aca="false">IF(D73&lt;=0.5,0,MIN(IF(N(I73)&gt;0,I73,$F$9),D73+E73+F73))</f>
        <v>0</v>
      </c>
      <c r="I73" s="77"/>
      <c r="J73" s="77"/>
      <c r="K73" s="41" t="n">
        <f aca="false">IF(D73&lt;=0.5,0,MIN(H73+N(J73),D73+E73+F73))</f>
        <v>0</v>
      </c>
      <c r="L73" s="41" t="n">
        <f aca="false">K73-E73-F73</f>
        <v>0</v>
      </c>
      <c r="M73" s="41" t="n">
        <f aca="false">D73-L73</f>
        <v>0</v>
      </c>
      <c r="N73" s="42" t="n">
        <f aca="false">K73-G73</f>
        <v>0</v>
      </c>
      <c r="O73" s="78"/>
      <c r="P73" s="79"/>
      <c r="Q73" s="16" t="str">
        <f aca="false">IF(K73=0,"",IF(R73=1,"Pagada",IF(C73&lt;$F$12,"Vencida",IF(47=$F$13,"Próxima","Pendiente"))))</f>
        <v/>
      </c>
      <c r="R73" s="62" t="n">
        <f aca="false">IF(AND(K73&gt;0,OR(O73="Sí",O73="Si")),1,0)</f>
        <v>0</v>
      </c>
      <c r="S73" s="62" t="n">
        <f aca="false">IF(AND(K73&gt;0,R73=0),1,0)</f>
        <v>0</v>
      </c>
    </row>
    <row r="74" customFormat="false" ht="15" hidden="false" customHeight="false" outlineLevel="0" collapsed="false">
      <c r="B74" s="71" t="str">
        <f aca="false">IF($F$6="Sí",N($C$11)+47,"")</f>
        <v/>
      </c>
      <c r="C74" s="72" t="str">
        <f aca="false">IF(OR($F$6&lt;&gt;"Sí",D74&lt;=0.5),"",EDATE($C$10,47))</f>
        <v/>
      </c>
      <c r="D74" s="41" t="n">
        <f aca="false">MAX(0,M73)</f>
        <v>0</v>
      </c>
      <c r="E74" s="41" t="n">
        <f aca="false">D74*$F$7</f>
        <v>0</v>
      </c>
      <c r="F74" s="41" t="n">
        <f aca="false">IF(D74&gt;0.5,N($C$15),0)</f>
        <v>0</v>
      </c>
      <c r="G74" s="41" t="n">
        <f aca="false">IF(AND(D74&gt;0.5,N($C$19)&gt;0,N(B74)&lt;=N($C$20)),D74*$F$8,0)</f>
        <v>0</v>
      </c>
      <c r="H74" s="41" t="n">
        <f aca="false">IF(D74&lt;=0.5,0,MIN(IF(N(I74)&gt;0,I74,$F$9),D74+E74+F74))</f>
        <v>0</v>
      </c>
      <c r="I74" s="77"/>
      <c r="J74" s="77"/>
      <c r="K74" s="41" t="n">
        <f aca="false">IF(D74&lt;=0.5,0,MIN(H74+N(J74),D74+E74+F74))</f>
        <v>0</v>
      </c>
      <c r="L74" s="41" t="n">
        <f aca="false">K74-E74-F74</f>
        <v>0</v>
      </c>
      <c r="M74" s="41" t="n">
        <f aca="false">D74-L74</f>
        <v>0</v>
      </c>
      <c r="N74" s="42" t="n">
        <f aca="false">K74-G74</f>
        <v>0</v>
      </c>
      <c r="O74" s="78"/>
      <c r="P74" s="79"/>
      <c r="Q74" s="16" t="str">
        <f aca="false">IF(K74=0,"",IF(R74=1,"Pagada",IF(C74&lt;$F$12,"Vencida",IF(48=$F$13,"Próxima","Pendiente"))))</f>
        <v/>
      </c>
      <c r="R74" s="62" t="n">
        <f aca="false">IF(AND(K74&gt;0,OR(O74="Sí",O74="Si")),1,0)</f>
        <v>0</v>
      </c>
      <c r="S74" s="62" t="n">
        <f aca="false">IF(AND(K74&gt;0,R74=0),1,0)</f>
        <v>0</v>
      </c>
    </row>
    <row r="75" customFormat="false" ht="15" hidden="false" customHeight="false" outlineLevel="0" collapsed="false">
      <c r="B75" s="71" t="str">
        <f aca="false">IF($F$6="Sí",N($C$11)+48,"")</f>
        <v/>
      </c>
      <c r="C75" s="72" t="str">
        <f aca="false">IF(OR($F$6&lt;&gt;"Sí",D75&lt;=0.5),"",EDATE($C$10,48))</f>
        <v/>
      </c>
      <c r="D75" s="41" t="n">
        <f aca="false">MAX(0,M74)</f>
        <v>0</v>
      </c>
      <c r="E75" s="41" t="n">
        <f aca="false">D75*$F$7</f>
        <v>0</v>
      </c>
      <c r="F75" s="41" t="n">
        <f aca="false">IF(D75&gt;0.5,N($C$15),0)</f>
        <v>0</v>
      </c>
      <c r="G75" s="41" t="n">
        <f aca="false">IF(AND(D75&gt;0.5,N($C$19)&gt;0,N(B75)&lt;=N($C$20)),D75*$F$8,0)</f>
        <v>0</v>
      </c>
      <c r="H75" s="41" t="n">
        <f aca="false">IF(D75&lt;=0.5,0,MIN(IF(N(I75)&gt;0,I75,$F$9),D75+E75+F75))</f>
        <v>0</v>
      </c>
      <c r="I75" s="77"/>
      <c r="J75" s="77"/>
      <c r="K75" s="41" t="n">
        <f aca="false">IF(D75&lt;=0.5,0,MIN(H75+N(J75),D75+E75+F75))</f>
        <v>0</v>
      </c>
      <c r="L75" s="41" t="n">
        <f aca="false">K75-E75-F75</f>
        <v>0</v>
      </c>
      <c r="M75" s="41" t="n">
        <f aca="false">D75-L75</f>
        <v>0</v>
      </c>
      <c r="N75" s="42" t="n">
        <f aca="false">K75-G75</f>
        <v>0</v>
      </c>
      <c r="O75" s="78"/>
      <c r="P75" s="79"/>
      <c r="Q75" s="16" t="str">
        <f aca="false">IF(K75=0,"",IF(R75=1,"Pagada",IF(C75&lt;$F$12,"Vencida",IF(49=$F$13,"Próxima","Pendiente"))))</f>
        <v/>
      </c>
      <c r="R75" s="62" t="n">
        <f aca="false">IF(AND(K75&gt;0,OR(O75="Sí",O75="Si")),1,0)</f>
        <v>0</v>
      </c>
      <c r="S75" s="62" t="n">
        <f aca="false">IF(AND(K75&gt;0,R75=0),1,0)</f>
        <v>0</v>
      </c>
    </row>
    <row r="76" customFormat="false" ht="15" hidden="false" customHeight="false" outlineLevel="0" collapsed="false">
      <c r="B76" s="71" t="str">
        <f aca="false">IF($F$6="Sí",N($C$11)+49,"")</f>
        <v/>
      </c>
      <c r="C76" s="72" t="str">
        <f aca="false">IF(OR($F$6&lt;&gt;"Sí",D76&lt;=0.5),"",EDATE($C$10,49))</f>
        <v/>
      </c>
      <c r="D76" s="41" t="n">
        <f aca="false">MAX(0,M75)</f>
        <v>0</v>
      </c>
      <c r="E76" s="41" t="n">
        <f aca="false">D76*$F$7</f>
        <v>0</v>
      </c>
      <c r="F76" s="41" t="n">
        <f aca="false">IF(D76&gt;0.5,N($C$15),0)</f>
        <v>0</v>
      </c>
      <c r="G76" s="41" t="n">
        <f aca="false">IF(AND(D76&gt;0.5,N($C$19)&gt;0,N(B76)&lt;=N($C$20)),D76*$F$8,0)</f>
        <v>0</v>
      </c>
      <c r="H76" s="41" t="n">
        <f aca="false">IF(D76&lt;=0.5,0,MIN(IF(N(I76)&gt;0,I76,$F$9),D76+E76+F76))</f>
        <v>0</v>
      </c>
      <c r="I76" s="77"/>
      <c r="J76" s="77"/>
      <c r="K76" s="41" t="n">
        <f aca="false">IF(D76&lt;=0.5,0,MIN(H76+N(J76),D76+E76+F76))</f>
        <v>0</v>
      </c>
      <c r="L76" s="41" t="n">
        <f aca="false">K76-E76-F76</f>
        <v>0</v>
      </c>
      <c r="M76" s="41" t="n">
        <f aca="false">D76-L76</f>
        <v>0</v>
      </c>
      <c r="N76" s="42" t="n">
        <f aca="false">K76-G76</f>
        <v>0</v>
      </c>
      <c r="O76" s="78"/>
      <c r="P76" s="79"/>
      <c r="Q76" s="16" t="str">
        <f aca="false">IF(K76=0,"",IF(R76=1,"Pagada",IF(C76&lt;$F$12,"Vencida",IF(50=$F$13,"Próxima","Pendiente"))))</f>
        <v/>
      </c>
      <c r="R76" s="62" t="n">
        <f aca="false">IF(AND(K76&gt;0,OR(O76="Sí",O76="Si")),1,0)</f>
        <v>0</v>
      </c>
      <c r="S76" s="62" t="n">
        <f aca="false">IF(AND(K76&gt;0,R76=0),1,0)</f>
        <v>0</v>
      </c>
    </row>
    <row r="77" customFormat="false" ht="15" hidden="false" customHeight="false" outlineLevel="0" collapsed="false">
      <c r="B77" s="71" t="str">
        <f aca="false">IF($F$6="Sí",N($C$11)+50,"")</f>
        <v/>
      </c>
      <c r="C77" s="72" t="str">
        <f aca="false">IF(OR($F$6&lt;&gt;"Sí",D77&lt;=0.5),"",EDATE($C$10,50))</f>
        <v/>
      </c>
      <c r="D77" s="41" t="n">
        <f aca="false">MAX(0,M76)</f>
        <v>0</v>
      </c>
      <c r="E77" s="41" t="n">
        <f aca="false">D77*$F$7</f>
        <v>0</v>
      </c>
      <c r="F77" s="41" t="n">
        <f aca="false">IF(D77&gt;0.5,N($C$15),0)</f>
        <v>0</v>
      </c>
      <c r="G77" s="41" t="n">
        <f aca="false">IF(AND(D77&gt;0.5,N($C$19)&gt;0,N(B77)&lt;=N($C$20)),D77*$F$8,0)</f>
        <v>0</v>
      </c>
      <c r="H77" s="41" t="n">
        <f aca="false">IF(D77&lt;=0.5,0,MIN(IF(N(I77)&gt;0,I77,$F$9),D77+E77+F77))</f>
        <v>0</v>
      </c>
      <c r="I77" s="77"/>
      <c r="J77" s="77"/>
      <c r="K77" s="41" t="n">
        <f aca="false">IF(D77&lt;=0.5,0,MIN(H77+N(J77),D77+E77+F77))</f>
        <v>0</v>
      </c>
      <c r="L77" s="41" t="n">
        <f aca="false">K77-E77-F77</f>
        <v>0</v>
      </c>
      <c r="M77" s="41" t="n">
        <f aca="false">D77-L77</f>
        <v>0</v>
      </c>
      <c r="N77" s="42" t="n">
        <f aca="false">K77-G77</f>
        <v>0</v>
      </c>
      <c r="O77" s="78"/>
      <c r="P77" s="79"/>
      <c r="Q77" s="16" t="str">
        <f aca="false">IF(K77=0,"",IF(R77=1,"Pagada",IF(C77&lt;$F$12,"Vencida",IF(51=$F$13,"Próxima","Pendiente"))))</f>
        <v/>
      </c>
      <c r="R77" s="62" t="n">
        <f aca="false">IF(AND(K77&gt;0,OR(O77="Sí",O77="Si")),1,0)</f>
        <v>0</v>
      </c>
      <c r="S77" s="62" t="n">
        <f aca="false">IF(AND(K77&gt;0,R77=0),1,0)</f>
        <v>0</v>
      </c>
    </row>
    <row r="78" customFormat="false" ht="15" hidden="false" customHeight="false" outlineLevel="0" collapsed="false">
      <c r="B78" s="71" t="str">
        <f aca="false">IF($F$6="Sí",N($C$11)+51,"")</f>
        <v/>
      </c>
      <c r="C78" s="72" t="str">
        <f aca="false">IF(OR($F$6&lt;&gt;"Sí",D78&lt;=0.5),"",EDATE($C$10,51))</f>
        <v/>
      </c>
      <c r="D78" s="41" t="n">
        <f aca="false">MAX(0,M77)</f>
        <v>0</v>
      </c>
      <c r="E78" s="41" t="n">
        <f aca="false">D78*$F$7</f>
        <v>0</v>
      </c>
      <c r="F78" s="41" t="n">
        <f aca="false">IF(D78&gt;0.5,N($C$15),0)</f>
        <v>0</v>
      </c>
      <c r="G78" s="41" t="n">
        <f aca="false">IF(AND(D78&gt;0.5,N($C$19)&gt;0,N(B78)&lt;=N($C$20)),D78*$F$8,0)</f>
        <v>0</v>
      </c>
      <c r="H78" s="41" t="n">
        <f aca="false">IF(D78&lt;=0.5,0,MIN(IF(N(I78)&gt;0,I78,$F$9),D78+E78+F78))</f>
        <v>0</v>
      </c>
      <c r="I78" s="77"/>
      <c r="J78" s="77"/>
      <c r="K78" s="41" t="n">
        <f aca="false">IF(D78&lt;=0.5,0,MIN(H78+N(J78),D78+E78+F78))</f>
        <v>0</v>
      </c>
      <c r="L78" s="41" t="n">
        <f aca="false">K78-E78-F78</f>
        <v>0</v>
      </c>
      <c r="M78" s="41" t="n">
        <f aca="false">D78-L78</f>
        <v>0</v>
      </c>
      <c r="N78" s="42" t="n">
        <f aca="false">K78-G78</f>
        <v>0</v>
      </c>
      <c r="O78" s="78"/>
      <c r="P78" s="79"/>
      <c r="Q78" s="16" t="str">
        <f aca="false">IF(K78=0,"",IF(R78=1,"Pagada",IF(C78&lt;$F$12,"Vencida",IF(52=$F$13,"Próxima","Pendiente"))))</f>
        <v/>
      </c>
      <c r="R78" s="62" t="n">
        <f aca="false">IF(AND(K78&gt;0,OR(O78="Sí",O78="Si")),1,0)</f>
        <v>0</v>
      </c>
      <c r="S78" s="62" t="n">
        <f aca="false">IF(AND(K78&gt;0,R78=0),1,0)</f>
        <v>0</v>
      </c>
    </row>
    <row r="79" customFormat="false" ht="15" hidden="false" customHeight="false" outlineLevel="0" collapsed="false">
      <c r="B79" s="71" t="str">
        <f aca="false">IF($F$6="Sí",N($C$11)+52,"")</f>
        <v/>
      </c>
      <c r="C79" s="72" t="str">
        <f aca="false">IF(OR($F$6&lt;&gt;"Sí",D79&lt;=0.5),"",EDATE($C$10,52))</f>
        <v/>
      </c>
      <c r="D79" s="41" t="n">
        <f aca="false">MAX(0,M78)</f>
        <v>0</v>
      </c>
      <c r="E79" s="41" t="n">
        <f aca="false">D79*$F$7</f>
        <v>0</v>
      </c>
      <c r="F79" s="41" t="n">
        <f aca="false">IF(D79&gt;0.5,N($C$15),0)</f>
        <v>0</v>
      </c>
      <c r="G79" s="41" t="n">
        <f aca="false">IF(AND(D79&gt;0.5,N($C$19)&gt;0,N(B79)&lt;=N($C$20)),D79*$F$8,0)</f>
        <v>0</v>
      </c>
      <c r="H79" s="41" t="n">
        <f aca="false">IF(D79&lt;=0.5,0,MIN(IF(N(I79)&gt;0,I79,$F$9),D79+E79+F79))</f>
        <v>0</v>
      </c>
      <c r="I79" s="77"/>
      <c r="J79" s="77"/>
      <c r="K79" s="41" t="n">
        <f aca="false">IF(D79&lt;=0.5,0,MIN(H79+N(J79),D79+E79+F79))</f>
        <v>0</v>
      </c>
      <c r="L79" s="41" t="n">
        <f aca="false">K79-E79-F79</f>
        <v>0</v>
      </c>
      <c r="M79" s="41" t="n">
        <f aca="false">D79-L79</f>
        <v>0</v>
      </c>
      <c r="N79" s="42" t="n">
        <f aca="false">K79-G79</f>
        <v>0</v>
      </c>
      <c r="O79" s="78"/>
      <c r="P79" s="79"/>
      <c r="Q79" s="16" t="str">
        <f aca="false">IF(K79=0,"",IF(R79=1,"Pagada",IF(C79&lt;$F$12,"Vencida",IF(53=$F$13,"Próxima","Pendiente"))))</f>
        <v/>
      </c>
      <c r="R79" s="62" t="n">
        <f aca="false">IF(AND(K79&gt;0,OR(O79="Sí",O79="Si")),1,0)</f>
        <v>0</v>
      </c>
      <c r="S79" s="62" t="n">
        <f aca="false">IF(AND(K79&gt;0,R79=0),1,0)</f>
        <v>0</v>
      </c>
    </row>
    <row r="80" customFormat="false" ht="15" hidden="false" customHeight="false" outlineLevel="0" collapsed="false">
      <c r="B80" s="71" t="str">
        <f aca="false">IF($F$6="Sí",N($C$11)+53,"")</f>
        <v/>
      </c>
      <c r="C80" s="72" t="str">
        <f aca="false">IF(OR($F$6&lt;&gt;"Sí",D80&lt;=0.5),"",EDATE($C$10,53))</f>
        <v/>
      </c>
      <c r="D80" s="41" t="n">
        <f aca="false">MAX(0,M79)</f>
        <v>0</v>
      </c>
      <c r="E80" s="41" t="n">
        <f aca="false">D80*$F$7</f>
        <v>0</v>
      </c>
      <c r="F80" s="41" t="n">
        <f aca="false">IF(D80&gt;0.5,N($C$15),0)</f>
        <v>0</v>
      </c>
      <c r="G80" s="41" t="n">
        <f aca="false">IF(AND(D80&gt;0.5,N($C$19)&gt;0,N(B80)&lt;=N($C$20)),D80*$F$8,0)</f>
        <v>0</v>
      </c>
      <c r="H80" s="41" t="n">
        <f aca="false">IF(D80&lt;=0.5,0,MIN(IF(N(I80)&gt;0,I80,$F$9),D80+E80+F80))</f>
        <v>0</v>
      </c>
      <c r="I80" s="77"/>
      <c r="J80" s="77"/>
      <c r="K80" s="41" t="n">
        <f aca="false">IF(D80&lt;=0.5,0,MIN(H80+N(J80),D80+E80+F80))</f>
        <v>0</v>
      </c>
      <c r="L80" s="41" t="n">
        <f aca="false">K80-E80-F80</f>
        <v>0</v>
      </c>
      <c r="M80" s="41" t="n">
        <f aca="false">D80-L80</f>
        <v>0</v>
      </c>
      <c r="N80" s="42" t="n">
        <f aca="false">K80-G80</f>
        <v>0</v>
      </c>
      <c r="O80" s="78"/>
      <c r="P80" s="79"/>
      <c r="Q80" s="16" t="str">
        <f aca="false">IF(K80=0,"",IF(R80=1,"Pagada",IF(C80&lt;$F$12,"Vencida",IF(54=$F$13,"Próxima","Pendiente"))))</f>
        <v/>
      </c>
      <c r="R80" s="62" t="n">
        <f aca="false">IF(AND(K80&gt;0,OR(O80="Sí",O80="Si")),1,0)</f>
        <v>0</v>
      </c>
      <c r="S80" s="62" t="n">
        <f aca="false">IF(AND(K80&gt;0,R80=0),1,0)</f>
        <v>0</v>
      </c>
    </row>
    <row r="81" customFormat="false" ht="15" hidden="false" customHeight="false" outlineLevel="0" collapsed="false">
      <c r="B81" s="71" t="str">
        <f aca="false">IF($F$6="Sí",N($C$11)+54,"")</f>
        <v/>
      </c>
      <c r="C81" s="72" t="str">
        <f aca="false">IF(OR($F$6&lt;&gt;"Sí",D81&lt;=0.5),"",EDATE($C$10,54))</f>
        <v/>
      </c>
      <c r="D81" s="41" t="n">
        <f aca="false">MAX(0,M80)</f>
        <v>0</v>
      </c>
      <c r="E81" s="41" t="n">
        <f aca="false">D81*$F$7</f>
        <v>0</v>
      </c>
      <c r="F81" s="41" t="n">
        <f aca="false">IF(D81&gt;0.5,N($C$15),0)</f>
        <v>0</v>
      </c>
      <c r="G81" s="41" t="n">
        <f aca="false">IF(AND(D81&gt;0.5,N($C$19)&gt;0,N(B81)&lt;=N($C$20)),D81*$F$8,0)</f>
        <v>0</v>
      </c>
      <c r="H81" s="41" t="n">
        <f aca="false">IF(D81&lt;=0.5,0,MIN(IF(N(I81)&gt;0,I81,$F$9),D81+E81+F81))</f>
        <v>0</v>
      </c>
      <c r="I81" s="77"/>
      <c r="J81" s="77"/>
      <c r="K81" s="41" t="n">
        <f aca="false">IF(D81&lt;=0.5,0,MIN(H81+N(J81),D81+E81+F81))</f>
        <v>0</v>
      </c>
      <c r="L81" s="41" t="n">
        <f aca="false">K81-E81-F81</f>
        <v>0</v>
      </c>
      <c r="M81" s="41" t="n">
        <f aca="false">D81-L81</f>
        <v>0</v>
      </c>
      <c r="N81" s="42" t="n">
        <f aca="false">K81-G81</f>
        <v>0</v>
      </c>
      <c r="O81" s="78"/>
      <c r="P81" s="79"/>
      <c r="Q81" s="16" t="str">
        <f aca="false">IF(K81=0,"",IF(R81=1,"Pagada",IF(C81&lt;$F$12,"Vencida",IF(55=$F$13,"Próxima","Pendiente"))))</f>
        <v/>
      </c>
      <c r="R81" s="62" t="n">
        <f aca="false">IF(AND(K81&gt;0,OR(O81="Sí",O81="Si")),1,0)</f>
        <v>0</v>
      </c>
      <c r="S81" s="62" t="n">
        <f aca="false">IF(AND(K81&gt;0,R81=0),1,0)</f>
        <v>0</v>
      </c>
    </row>
    <row r="82" customFormat="false" ht="15" hidden="false" customHeight="false" outlineLevel="0" collapsed="false">
      <c r="B82" s="71" t="str">
        <f aca="false">IF($F$6="Sí",N($C$11)+55,"")</f>
        <v/>
      </c>
      <c r="C82" s="72" t="str">
        <f aca="false">IF(OR($F$6&lt;&gt;"Sí",D82&lt;=0.5),"",EDATE($C$10,55))</f>
        <v/>
      </c>
      <c r="D82" s="41" t="n">
        <f aca="false">MAX(0,M81)</f>
        <v>0</v>
      </c>
      <c r="E82" s="41" t="n">
        <f aca="false">D82*$F$7</f>
        <v>0</v>
      </c>
      <c r="F82" s="41" t="n">
        <f aca="false">IF(D82&gt;0.5,N($C$15),0)</f>
        <v>0</v>
      </c>
      <c r="G82" s="41" t="n">
        <f aca="false">IF(AND(D82&gt;0.5,N($C$19)&gt;0,N(B82)&lt;=N($C$20)),D82*$F$8,0)</f>
        <v>0</v>
      </c>
      <c r="H82" s="41" t="n">
        <f aca="false">IF(D82&lt;=0.5,0,MIN(IF(N(I82)&gt;0,I82,$F$9),D82+E82+F82))</f>
        <v>0</v>
      </c>
      <c r="I82" s="77"/>
      <c r="J82" s="77"/>
      <c r="K82" s="41" t="n">
        <f aca="false">IF(D82&lt;=0.5,0,MIN(H82+N(J82),D82+E82+F82))</f>
        <v>0</v>
      </c>
      <c r="L82" s="41" t="n">
        <f aca="false">K82-E82-F82</f>
        <v>0</v>
      </c>
      <c r="M82" s="41" t="n">
        <f aca="false">D82-L82</f>
        <v>0</v>
      </c>
      <c r="N82" s="42" t="n">
        <f aca="false">K82-G82</f>
        <v>0</v>
      </c>
      <c r="O82" s="78"/>
      <c r="P82" s="79"/>
      <c r="Q82" s="16" t="str">
        <f aca="false">IF(K82=0,"",IF(R82=1,"Pagada",IF(C82&lt;$F$12,"Vencida",IF(56=$F$13,"Próxima","Pendiente"))))</f>
        <v/>
      </c>
      <c r="R82" s="62" t="n">
        <f aca="false">IF(AND(K82&gt;0,OR(O82="Sí",O82="Si")),1,0)</f>
        <v>0</v>
      </c>
      <c r="S82" s="62" t="n">
        <f aca="false">IF(AND(K82&gt;0,R82=0),1,0)</f>
        <v>0</v>
      </c>
    </row>
    <row r="83" customFormat="false" ht="15" hidden="false" customHeight="false" outlineLevel="0" collapsed="false">
      <c r="B83" s="71" t="str">
        <f aca="false">IF($F$6="Sí",N($C$11)+56,"")</f>
        <v/>
      </c>
      <c r="C83" s="72" t="str">
        <f aca="false">IF(OR($F$6&lt;&gt;"Sí",D83&lt;=0.5),"",EDATE($C$10,56))</f>
        <v/>
      </c>
      <c r="D83" s="41" t="n">
        <f aca="false">MAX(0,M82)</f>
        <v>0</v>
      </c>
      <c r="E83" s="41" t="n">
        <f aca="false">D83*$F$7</f>
        <v>0</v>
      </c>
      <c r="F83" s="41" t="n">
        <f aca="false">IF(D83&gt;0.5,N($C$15),0)</f>
        <v>0</v>
      </c>
      <c r="G83" s="41" t="n">
        <f aca="false">IF(AND(D83&gt;0.5,N($C$19)&gt;0,N(B83)&lt;=N($C$20)),D83*$F$8,0)</f>
        <v>0</v>
      </c>
      <c r="H83" s="41" t="n">
        <f aca="false">IF(D83&lt;=0.5,0,MIN(IF(N(I83)&gt;0,I83,$F$9),D83+E83+F83))</f>
        <v>0</v>
      </c>
      <c r="I83" s="77"/>
      <c r="J83" s="77"/>
      <c r="K83" s="41" t="n">
        <f aca="false">IF(D83&lt;=0.5,0,MIN(H83+N(J83),D83+E83+F83))</f>
        <v>0</v>
      </c>
      <c r="L83" s="41" t="n">
        <f aca="false">K83-E83-F83</f>
        <v>0</v>
      </c>
      <c r="M83" s="41" t="n">
        <f aca="false">D83-L83</f>
        <v>0</v>
      </c>
      <c r="N83" s="42" t="n">
        <f aca="false">K83-G83</f>
        <v>0</v>
      </c>
      <c r="O83" s="78"/>
      <c r="P83" s="79"/>
      <c r="Q83" s="16" t="str">
        <f aca="false">IF(K83=0,"",IF(R83=1,"Pagada",IF(C83&lt;$F$12,"Vencida",IF(57=$F$13,"Próxima","Pendiente"))))</f>
        <v/>
      </c>
      <c r="R83" s="62" t="n">
        <f aca="false">IF(AND(K83&gt;0,OR(O83="Sí",O83="Si")),1,0)</f>
        <v>0</v>
      </c>
      <c r="S83" s="62" t="n">
        <f aca="false">IF(AND(K83&gt;0,R83=0),1,0)</f>
        <v>0</v>
      </c>
    </row>
    <row r="84" customFormat="false" ht="15" hidden="false" customHeight="false" outlineLevel="0" collapsed="false">
      <c r="B84" s="71" t="str">
        <f aca="false">IF($F$6="Sí",N($C$11)+57,"")</f>
        <v/>
      </c>
      <c r="C84" s="72" t="str">
        <f aca="false">IF(OR($F$6&lt;&gt;"Sí",D84&lt;=0.5),"",EDATE($C$10,57))</f>
        <v/>
      </c>
      <c r="D84" s="41" t="n">
        <f aca="false">MAX(0,M83)</f>
        <v>0</v>
      </c>
      <c r="E84" s="41" t="n">
        <f aca="false">D84*$F$7</f>
        <v>0</v>
      </c>
      <c r="F84" s="41" t="n">
        <f aca="false">IF(D84&gt;0.5,N($C$15),0)</f>
        <v>0</v>
      </c>
      <c r="G84" s="41" t="n">
        <f aca="false">IF(AND(D84&gt;0.5,N($C$19)&gt;0,N(B84)&lt;=N($C$20)),D84*$F$8,0)</f>
        <v>0</v>
      </c>
      <c r="H84" s="41" t="n">
        <f aca="false">IF(D84&lt;=0.5,0,MIN(IF(N(I84)&gt;0,I84,$F$9),D84+E84+F84))</f>
        <v>0</v>
      </c>
      <c r="I84" s="77"/>
      <c r="J84" s="77"/>
      <c r="K84" s="41" t="n">
        <f aca="false">IF(D84&lt;=0.5,0,MIN(H84+N(J84),D84+E84+F84))</f>
        <v>0</v>
      </c>
      <c r="L84" s="41" t="n">
        <f aca="false">K84-E84-F84</f>
        <v>0</v>
      </c>
      <c r="M84" s="41" t="n">
        <f aca="false">D84-L84</f>
        <v>0</v>
      </c>
      <c r="N84" s="42" t="n">
        <f aca="false">K84-G84</f>
        <v>0</v>
      </c>
      <c r="O84" s="78"/>
      <c r="P84" s="79"/>
      <c r="Q84" s="16" t="str">
        <f aca="false">IF(K84=0,"",IF(R84=1,"Pagada",IF(C84&lt;$F$12,"Vencida",IF(58=$F$13,"Próxima","Pendiente"))))</f>
        <v/>
      </c>
      <c r="R84" s="62" t="n">
        <f aca="false">IF(AND(K84&gt;0,OR(O84="Sí",O84="Si")),1,0)</f>
        <v>0</v>
      </c>
      <c r="S84" s="62" t="n">
        <f aca="false">IF(AND(K84&gt;0,R84=0),1,0)</f>
        <v>0</v>
      </c>
    </row>
    <row r="85" customFormat="false" ht="15" hidden="false" customHeight="false" outlineLevel="0" collapsed="false">
      <c r="B85" s="71" t="str">
        <f aca="false">IF($F$6="Sí",N($C$11)+58,"")</f>
        <v/>
      </c>
      <c r="C85" s="72" t="str">
        <f aca="false">IF(OR($F$6&lt;&gt;"Sí",D85&lt;=0.5),"",EDATE($C$10,58))</f>
        <v/>
      </c>
      <c r="D85" s="41" t="n">
        <f aca="false">MAX(0,M84)</f>
        <v>0</v>
      </c>
      <c r="E85" s="41" t="n">
        <f aca="false">D85*$F$7</f>
        <v>0</v>
      </c>
      <c r="F85" s="41" t="n">
        <f aca="false">IF(D85&gt;0.5,N($C$15),0)</f>
        <v>0</v>
      </c>
      <c r="G85" s="41" t="n">
        <f aca="false">IF(AND(D85&gt;0.5,N($C$19)&gt;0,N(B85)&lt;=N($C$20)),D85*$F$8,0)</f>
        <v>0</v>
      </c>
      <c r="H85" s="41" t="n">
        <f aca="false">IF(D85&lt;=0.5,0,MIN(IF(N(I85)&gt;0,I85,$F$9),D85+E85+F85))</f>
        <v>0</v>
      </c>
      <c r="I85" s="77"/>
      <c r="J85" s="77"/>
      <c r="K85" s="41" t="n">
        <f aca="false">IF(D85&lt;=0.5,0,MIN(H85+N(J85),D85+E85+F85))</f>
        <v>0</v>
      </c>
      <c r="L85" s="41" t="n">
        <f aca="false">K85-E85-F85</f>
        <v>0</v>
      </c>
      <c r="M85" s="41" t="n">
        <f aca="false">D85-L85</f>
        <v>0</v>
      </c>
      <c r="N85" s="42" t="n">
        <f aca="false">K85-G85</f>
        <v>0</v>
      </c>
      <c r="O85" s="78"/>
      <c r="P85" s="79"/>
      <c r="Q85" s="16" t="str">
        <f aca="false">IF(K85=0,"",IF(R85=1,"Pagada",IF(C85&lt;$F$12,"Vencida",IF(59=$F$13,"Próxima","Pendiente"))))</f>
        <v/>
      </c>
      <c r="R85" s="62" t="n">
        <f aca="false">IF(AND(K85&gt;0,OR(O85="Sí",O85="Si")),1,0)</f>
        <v>0</v>
      </c>
      <c r="S85" s="62" t="n">
        <f aca="false">IF(AND(K85&gt;0,R85=0),1,0)</f>
        <v>0</v>
      </c>
    </row>
    <row r="86" customFormat="false" ht="15" hidden="false" customHeight="false" outlineLevel="0" collapsed="false">
      <c r="B86" s="71" t="str">
        <f aca="false">IF($F$6="Sí",N($C$11)+59,"")</f>
        <v/>
      </c>
      <c r="C86" s="72" t="str">
        <f aca="false">IF(OR($F$6&lt;&gt;"Sí",D86&lt;=0.5),"",EDATE($C$10,59))</f>
        <v/>
      </c>
      <c r="D86" s="41" t="n">
        <f aca="false">MAX(0,M85)</f>
        <v>0</v>
      </c>
      <c r="E86" s="41" t="n">
        <f aca="false">D86*$F$7</f>
        <v>0</v>
      </c>
      <c r="F86" s="41" t="n">
        <f aca="false">IF(D86&gt;0.5,N($C$15),0)</f>
        <v>0</v>
      </c>
      <c r="G86" s="41" t="n">
        <f aca="false">IF(AND(D86&gt;0.5,N($C$19)&gt;0,N(B86)&lt;=N($C$20)),D86*$F$8,0)</f>
        <v>0</v>
      </c>
      <c r="H86" s="41" t="n">
        <f aca="false">IF(D86&lt;=0.5,0,MIN(IF(N(I86)&gt;0,I86,$F$9),D86+E86+F86))</f>
        <v>0</v>
      </c>
      <c r="I86" s="77"/>
      <c r="J86" s="77"/>
      <c r="K86" s="41" t="n">
        <f aca="false">IF(D86&lt;=0.5,0,MIN(H86+N(J86),D86+E86+F86))</f>
        <v>0</v>
      </c>
      <c r="L86" s="41" t="n">
        <f aca="false">K86-E86-F86</f>
        <v>0</v>
      </c>
      <c r="M86" s="41" t="n">
        <f aca="false">D86-L86</f>
        <v>0</v>
      </c>
      <c r="N86" s="42" t="n">
        <f aca="false">K86-G86</f>
        <v>0</v>
      </c>
      <c r="O86" s="78"/>
      <c r="P86" s="79"/>
      <c r="Q86" s="16" t="str">
        <f aca="false">IF(K86=0,"",IF(R86=1,"Pagada",IF(C86&lt;$F$12,"Vencida",IF(60=$F$13,"Próxima","Pendiente"))))</f>
        <v/>
      </c>
      <c r="R86" s="62" t="n">
        <f aca="false">IF(AND(K86&gt;0,OR(O86="Sí",O86="Si")),1,0)</f>
        <v>0</v>
      </c>
      <c r="S86" s="62" t="n">
        <f aca="false">IF(AND(K86&gt;0,R86=0),1,0)</f>
        <v>0</v>
      </c>
    </row>
    <row r="87" customFormat="false" ht="15" hidden="false" customHeight="false" outlineLevel="0" collapsed="false">
      <c r="B87" s="71" t="str">
        <f aca="false">IF($F$6="Sí",N($C$11)+60,"")</f>
        <v/>
      </c>
      <c r="C87" s="72" t="str">
        <f aca="false">IF(OR($F$6&lt;&gt;"Sí",D87&lt;=0.5),"",EDATE($C$10,60))</f>
        <v/>
      </c>
      <c r="D87" s="41" t="n">
        <f aca="false">MAX(0,M86)</f>
        <v>0</v>
      </c>
      <c r="E87" s="41" t="n">
        <f aca="false">D87*$F$7</f>
        <v>0</v>
      </c>
      <c r="F87" s="41" t="n">
        <f aca="false">IF(D87&gt;0.5,N($C$15),0)</f>
        <v>0</v>
      </c>
      <c r="G87" s="41" t="n">
        <f aca="false">IF(AND(D87&gt;0.5,N($C$19)&gt;0,N(B87)&lt;=N($C$20)),D87*$F$8,0)</f>
        <v>0</v>
      </c>
      <c r="H87" s="41" t="n">
        <f aca="false">IF(D87&lt;=0.5,0,MIN(IF(N(I87)&gt;0,I87,$F$9),D87+E87+F87))</f>
        <v>0</v>
      </c>
      <c r="I87" s="77"/>
      <c r="J87" s="77"/>
      <c r="K87" s="41" t="n">
        <f aca="false">IF(D87&lt;=0.5,0,MIN(H87+N(J87),D87+E87+F87))</f>
        <v>0</v>
      </c>
      <c r="L87" s="41" t="n">
        <f aca="false">K87-E87-F87</f>
        <v>0</v>
      </c>
      <c r="M87" s="41" t="n">
        <f aca="false">D87-L87</f>
        <v>0</v>
      </c>
      <c r="N87" s="42" t="n">
        <f aca="false">K87-G87</f>
        <v>0</v>
      </c>
      <c r="O87" s="78"/>
      <c r="P87" s="79"/>
      <c r="Q87" s="16" t="str">
        <f aca="false">IF(K87=0,"",IF(R87=1,"Pagada",IF(C87&lt;$F$12,"Vencida",IF(61=$F$13,"Próxima","Pendiente"))))</f>
        <v/>
      </c>
      <c r="R87" s="62" t="n">
        <f aca="false">IF(AND(K87&gt;0,OR(O87="Sí",O87="Si")),1,0)</f>
        <v>0</v>
      </c>
      <c r="S87" s="62" t="n">
        <f aca="false">IF(AND(K87&gt;0,R87=0),1,0)</f>
        <v>0</v>
      </c>
    </row>
    <row r="88" customFormat="false" ht="15" hidden="false" customHeight="false" outlineLevel="0" collapsed="false">
      <c r="B88" s="71" t="str">
        <f aca="false">IF($F$6="Sí",N($C$11)+61,"")</f>
        <v/>
      </c>
      <c r="C88" s="72" t="str">
        <f aca="false">IF(OR($F$6&lt;&gt;"Sí",D88&lt;=0.5),"",EDATE($C$10,61))</f>
        <v/>
      </c>
      <c r="D88" s="41" t="n">
        <f aca="false">MAX(0,M87)</f>
        <v>0</v>
      </c>
      <c r="E88" s="41" t="n">
        <f aca="false">D88*$F$7</f>
        <v>0</v>
      </c>
      <c r="F88" s="41" t="n">
        <f aca="false">IF(D88&gt;0.5,N($C$15),0)</f>
        <v>0</v>
      </c>
      <c r="G88" s="41" t="n">
        <f aca="false">IF(AND(D88&gt;0.5,N($C$19)&gt;0,N(B88)&lt;=N($C$20)),D88*$F$8,0)</f>
        <v>0</v>
      </c>
      <c r="H88" s="41" t="n">
        <f aca="false">IF(D88&lt;=0.5,0,MIN(IF(N(I88)&gt;0,I88,$F$9),D88+E88+F88))</f>
        <v>0</v>
      </c>
      <c r="I88" s="77"/>
      <c r="J88" s="77"/>
      <c r="K88" s="41" t="n">
        <f aca="false">IF(D88&lt;=0.5,0,MIN(H88+N(J88),D88+E88+F88))</f>
        <v>0</v>
      </c>
      <c r="L88" s="41" t="n">
        <f aca="false">K88-E88-F88</f>
        <v>0</v>
      </c>
      <c r="M88" s="41" t="n">
        <f aca="false">D88-L88</f>
        <v>0</v>
      </c>
      <c r="N88" s="42" t="n">
        <f aca="false">K88-G88</f>
        <v>0</v>
      </c>
      <c r="O88" s="78"/>
      <c r="P88" s="79"/>
      <c r="Q88" s="16" t="str">
        <f aca="false">IF(K88=0,"",IF(R88=1,"Pagada",IF(C88&lt;$F$12,"Vencida",IF(62=$F$13,"Próxima","Pendiente"))))</f>
        <v/>
      </c>
      <c r="R88" s="62" t="n">
        <f aca="false">IF(AND(K88&gt;0,OR(O88="Sí",O88="Si")),1,0)</f>
        <v>0</v>
      </c>
      <c r="S88" s="62" t="n">
        <f aca="false">IF(AND(K88&gt;0,R88=0),1,0)</f>
        <v>0</v>
      </c>
    </row>
    <row r="89" customFormat="false" ht="15" hidden="false" customHeight="false" outlineLevel="0" collapsed="false">
      <c r="B89" s="71" t="str">
        <f aca="false">IF($F$6="Sí",N($C$11)+62,"")</f>
        <v/>
      </c>
      <c r="C89" s="72" t="str">
        <f aca="false">IF(OR($F$6&lt;&gt;"Sí",D89&lt;=0.5),"",EDATE($C$10,62))</f>
        <v/>
      </c>
      <c r="D89" s="41" t="n">
        <f aca="false">MAX(0,M88)</f>
        <v>0</v>
      </c>
      <c r="E89" s="41" t="n">
        <f aca="false">D89*$F$7</f>
        <v>0</v>
      </c>
      <c r="F89" s="41" t="n">
        <f aca="false">IF(D89&gt;0.5,N($C$15),0)</f>
        <v>0</v>
      </c>
      <c r="G89" s="41" t="n">
        <f aca="false">IF(AND(D89&gt;0.5,N($C$19)&gt;0,N(B89)&lt;=N($C$20)),D89*$F$8,0)</f>
        <v>0</v>
      </c>
      <c r="H89" s="41" t="n">
        <f aca="false">IF(D89&lt;=0.5,0,MIN(IF(N(I89)&gt;0,I89,$F$9),D89+E89+F89))</f>
        <v>0</v>
      </c>
      <c r="I89" s="77"/>
      <c r="J89" s="77"/>
      <c r="K89" s="41" t="n">
        <f aca="false">IF(D89&lt;=0.5,0,MIN(H89+N(J89),D89+E89+F89))</f>
        <v>0</v>
      </c>
      <c r="L89" s="41" t="n">
        <f aca="false">K89-E89-F89</f>
        <v>0</v>
      </c>
      <c r="M89" s="41" t="n">
        <f aca="false">D89-L89</f>
        <v>0</v>
      </c>
      <c r="N89" s="42" t="n">
        <f aca="false">K89-G89</f>
        <v>0</v>
      </c>
      <c r="O89" s="78"/>
      <c r="P89" s="79"/>
      <c r="Q89" s="16" t="str">
        <f aca="false">IF(K89=0,"",IF(R89=1,"Pagada",IF(C89&lt;$F$12,"Vencida",IF(63=$F$13,"Próxima","Pendiente"))))</f>
        <v/>
      </c>
      <c r="R89" s="62" t="n">
        <f aca="false">IF(AND(K89&gt;0,OR(O89="Sí",O89="Si")),1,0)</f>
        <v>0</v>
      </c>
      <c r="S89" s="62" t="n">
        <f aca="false">IF(AND(K89&gt;0,R89=0),1,0)</f>
        <v>0</v>
      </c>
    </row>
    <row r="90" customFormat="false" ht="15" hidden="false" customHeight="false" outlineLevel="0" collapsed="false">
      <c r="B90" s="71" t="str">
        <f aca="false">IF($F$6="Sí",N($C$11)+63,"")</f>
        <v/>
      </c>
      <c r="C90" s="72" t="str">
        <f aca="false">IF(OR($F$6&lt;&gt;"Sí",D90&lt;=0.5),"",EDATE($C$10,63))</f>
        <v/>
      </c>
      <c r="D90" s="41" t="n">
        <f aca="false">MAX(0,M89)</f>
        <v>0</v>
      </c>
      <c r="E90" s="41" t="n">
        <f aca="false">D90*$F$7</f>
        <v>0</v>
      </c>
      <c r="F90" s="41" t="n">
        <f aca="false">IF(D90&gt;0.5,N($C$15),0)</f>
        <v>0</v>
      </c>
      <c r="G90" s="41" t="n">
        <f aca="false">IF(AND(D90&gt;0.5,N($C$19)&gt;0,N(B90)&lt;=N($C$20)),D90*$F$8,0)</f>
        <v>0</v>
      </c>
      <c r="H90" s="41" t="n">
        <f aca="false">IF(D90&lt;=0.5,0,MIN(IF(N(I90)&gt;0,I90,$F$9),D90+E90+F90))</f>
        <v>0</v>
      </c>
      <c r="I90" s="77"/>
      <c r="J90" s="77"/>
      <c r="K90" s="41" t="n">
        <f aca="false">IF(D90&lt;=0.5,0,MIN(H90+N(J90),D90+E90+F90))</f>
        <v>0</v>
      </c>
      <c r="L90" s="41" t="n">
        <f aca="false">K90-E90-F90</f>
        <v>0</v>
      </c>
      <c r="M90" s="41" t="n">
        <f aca="false">D90-L90</f>
        <v>0</v>
      </c>
      <c r="N90" s="42" t="n">
        <f aca="false">K90-G90</f>
        <v>0</v>
      </c>
      <c r="O90" s="78"/>
      <c r="P90" s="79"/>
      <c r="Q90" s="16" t="str">
        <f aca="false">IF(K90=0,"",IF(R90=1,"Pagada",IF(C90&lt;$F$12,"Vencida",IF(64=$F$13,"Próxima","Pendiente"))))</f>
        <v/>
      </c>
      <c r="R90" s="62" t="n">
        <f aca="false">IF(AND(K90&gt;0,OR(O90="Sí",O90="Si")),1,0)</f>
        <v>0</v>
      </c>
      <c r="S90" s="62" t="n">
        <f aca="false">IF(AND(K90&gt;0,R90=0),1,0)</f>
        <v>0</v>
      </c>
    </row>
    <row r="91" customFormat="false" ht="15" hidden="false" customHeight="false" outlineLevel="0" collapsed="false">
      <c r="B91" s="71" t="str">
        <f aca="false">IF($F$6="Sí",N($C$11)+64,"")</f>
        <v/>
      </c>
      <c r="C91" s="72" t="str">
        <f aca="false">IF(OR($F$6&lt;&gt;"Sí",D91&lt;=0.5),"",EDATE($C$10,64))</f>
        <v/>
      </c>
      <c r="D91" s="41" t="n">
        <f aca="false">MAX(0,M90)</f>
        <v>0</v>
      </c>
      <c r="E91" s="41" t="n">
        <f aca="false">D91*$F$7</f>
        <v>0</v>
      </c>
      <c r="F91" s="41" t="n">
        <f aca="false">IF(D91&gt;0.5,N($C$15),0)</f>
        <v>0</v>
      </c>
      <c r="G91" s="41" t="n">
        <f aca="false">IF(AND(D91&gt;0.5,N($C$19)&gt;0,N(B91)&lt;=N($C$20)),D91*$F$8,0)</f>
        <v>0</v>
      </c>
      <c r="H91" s="41" t="n">
        <f aca="false">IF(D91&lt;=0.5,0,MIN(IF(N(I91)&gt;0,I91,$F$9),D91+E91+F91))</f>
        <v>0</v>
      </c>
      <c r="I91" s="77"/>
      <c r="J91" s="77"/>
      <c r="K91" s="41" t="n">
        <f aca="false">IF(D91&lt;=0.5,0,MIN(H91+N(J91),D91+E91+F91))</f>
        <v>0</v>
      </c>
      <c r="L91" s="41" t="n">
        <f aca="false">K91-E91-F91</f>
        <v>0</v>
      </c>
      <c r="M91" s="41" t="n">
        <f aca="false">D91-L91</f>
        <v>0</v>
      </c>
      <c r="N91" s="42" t="n">
        <f aca="false">K91-G91</f>
        <v>0</v>
      </c>
      <c r="O91" s="78"/>
      <c r="P91" s="79"/>
      <c r="Q91" s="16" t="str">
        <f aca="false">IF(K91=0,"",IF(R91=1,"Pagada",IF(C91&lt;$F$12,"Vencida",IF(65=$F$13,"Próxima","Pendiente"))))</f>
        <v/>
      </c>
      <c r="R91" s="62" t="n">
        <f aca="false">IF(AND(K91&gt;0,OR(O91="Sí",O91="Si")),1,0)</f>
        <v>0</v>
      </c>
      <c r="S91" s="62" t="n">
        <f aca="false">IF(AND(K91&gt;0,R91=0),1,0)</f>
        <v>0</v>
      </c>
    </row>
    <row r="92" customFormat="false" ht="15" hidden="false" customHeight="false" outlineLevel="0" collapsed="false">
      <c r="B92" s="71" t="str">
        <f aca="false">IF($F$6="Sí",N($C$11)+65,"")</f>
        <v/>
      </c>
      <c r="C92" s="72" t="str">
        <f aca="false">IF(OR($F$6&lt;&gt;"Sí",D92&lt;=0.5),"",EDATE($C$10,65))</f>
        <v/>
      </c>
      <c r="D92" s="41" t="n">
        <f aca="false">MAX(0,M91)</f>
        <v>0</v>
      </c>
      <c r="E92" s="41" t="n">
        <f aca="false">D92*$F$7</f>
        <v>0</v>
      </c>
      <c r="F92" s="41" t="n">
        <f aca="false">IF(D92&gt;0.5,N($C$15),0)</f>
        <v>0</v>
      </c>
      <c r="G92" s="41" t="n">
        <f aca="false">IF(AND(D92&gt;0.5,N($C$19)&gt;0,N(B92)&lt;=N($C$20)),D92*$F$8,0)</f>
        <v>0</v>
      </c>
      <c r="H92" s="41" t="n">
        <f aca="false">IF(D92&lt;=0.5,0,MIN(IF(N(I92)&gt;0,I92,$F$9),D92+E92+F92))</f>
        <v>0</v>
      </c>
      <c r="I92" s="77"/>
      <c r="J92" s="77"/>
      <c r="K92" s="41" t="n">
        <f aca="false">IF(D92&lt;=0.5,0,MIN(H92+N(J92),D92+E92+F92))</f>
        <v>0</v>
      </c>
      <c r="L92" s="41" t="n">
        <f aca="false">K92-E92-F92</f>
        <v>0</v>
      </c>
      <c r="M92" s="41" t="n">
        <f aca="false">D92-L92</f>
        <v>0</v>
      </c>
      <c r="N92" s="42" t="n">
        <f aca="false">K92-G92</f>
        <v>0</v>
      </c>
      <c r="O92" s="78"/>
      <c r="P92" s="79"/>
      <c r="Q92" s="16" t="str">
        <f aca="false">IF(K92=0,"",IF(R92=1,"Pagada",IF(C92&lt;$F$12,"Vencida",IF(66=$F$13,"Próxima","Pendiente"))))</f>
        <v/>
      </c>
      <c r="R92" s="62" t="n">
        <f aca="false">IF(AND(K92&gt;0,OR(O92="Sí",O92="Si")),1,0)</f>
        <v>0</v>
      </c>
      <c r="S92" s="62" t="n">
        <f aca="false">IF(AND(K92&gt;0,R92=0),1,0)</f>
        <v>0</v>
      </c>
    </row>
    <row r="93" customFormat="false" ht="15" hidden="false" customHeight="false" outlineLevel="0" collapsed="false">
      <c r="B93" s="71" t="str">
        <f aca="false">IF($F$6="Sí",N($C$11)+66,"")</f>
        <v/>
      </c>
      <c r="C93" s="72" t="str">
        <f aca="false">IF(OR($F$6&lt;&gt;"Sí",D93&lt;=0.5),"",EDATE($C$10,66))</f>
        <v/>
      </c>
      <c r="D93" s="41" t="n">
        <f aca="false">MAX(0,M92)</f>
        <v>0</v>
      </c>
      <c r="E93" s="41" t="n">
        <f aca="false">D93*$F$7</f>
        <v>0</v>
      </c>
      <c r="F93" s="41" t="n">
        <f aca="false">IF(D93&gt;0.5,N($C$15),0)</f>
        <v>0</v>
      </c>
      <c r="G93" s="41" t="n">
        <f aca="false">IF(AND(D93&gt;0.5,N($C$19)&gt;0,N(B93)&lt;=N($C$20)),D93*$F$8,0)</f>
        <v>0</v>
      </c>
      <c r="H93" s="41" t="n">
        <f aca="false">IF(D93&lt;=0.5,0,MIN(IF(N(I93)&gt;0,I93,$F$9),D93+E93+F93))</f>
        <v>0</v>
      </c>
      <c r="I93" s="77"/>
      <c r="J93" s="77"/>
      <c r="K93" s="41" t="n">
        <f aca="false">IF(D93&lt;=0.5,0,MIN(H93+N(J93),D93+E93+F93))</f>
        <v>0</v>
      </c>
      <c r="L93" s="41" t="n">
        <f aca="false">K93-E93-F93</f>
        <v>0</v>
      </c>
      <c r="M93" s="41" t="n">
        <f aca="false">D93-L93</f>
        <v>0</v>
      </c>
      <c r="N93" s="42" t="n">
        <f aca="false">K93-G93</f>
        <v>0</v>
      </c>
      <c r="O93" s="78"/>
      <c r="P93" s="79"/>
      <c r="Q93" s="16" t="str">
        <f aca="false">IF(K93=0,"",IF(R93=1,"Pagada",IF(C93&lt;$F$12,"Vencida",IF(67=$F$13,"Próxima","Pendiente"))))</f>
        <v/>
      </c>
      <c r="R93" s="62" t="n">
        <f aca="false">IF(AND(K93&gt;0,OR(O93="Sí",O93="Si")),1,0)</f>
        <v>0</v>
      </c>
      <c r="S93" s="62" t="n">
        <f aca="false">IF(AND(K93&gt;0,R93=0),1,0)</f>
        <v>0</v>
      </c>
    </row>
    <row r="94" customFormat="false" ht="15" hidden="false" customHeight="false" outlineLevel="0" collapsed="false">
      <c r="B94" s="71" t="str">
        <f aca="false">IF($F$6="Sí",N($C$11)+67,"")</f>
        <v/>
      </c>
      <c r="C94" s="72" t="str">
        <f aca="false">IF(OR($F$6&lt;&gt;"Sí",D94&lt;=0.5),"",EDATE($C$10,67))</f>
        <v/>
      </c>
      <c r="D94" s="41" t="n">
        <f aca="false">MAX(0,M93)</f>
        <v>0</v>
      </c>
      <c r="E94" s="41" t="n">
        <f aca="false">D94*$F$7</f>
        <v>0</v>
      </c>
      <c r="F94" s="41" t="n">
        <f aca="false">IF(D94&gt;0.5,N($C$15),0)</f>
        <v>0</v>
      </c>
      <c r="G94" s="41" t="n">
        <f aca="false">IF(AND(D94&gt;0.5,N($C$19)&gt;0,N(B94)&lt;=N($C$20)),D94*$F$8,0)</f>
        <v>0</v>
      </c>
      <c r="H94" s="41" t="n">
        <f aca="false">IF(D94&lt;=0.5,0,MIN(IF(N(I94)&gt;0,I94,$F$9),D94+E94+F94))</f>
        <v>0</v>
      </c>
      <c r="I94" s="77"/>
      <c r="J94" s="77"/>
      <c r="K94" s="41" t="n">
        <f aca="false">IF(D94&lt;=0.5,0,MIN(H94+N(J94),D94+E94+F94))</f>
        <v>0</v>
      </c>
      <c r="L94" s="41" t="n">
        <f aca="false">K94-E94-F94</f>
        <v>0</v>
      </c>
      <c r="M94" s="41" t="n">
        <f aca="false">D94-L94</f>
        <v>0</v>
      </c>
      <c r="N94" s="42" t="n">
        <f aca="false">K94-G94</f>
        <v>0</v>
      </c>
      <c r="O94" s="78"/>
      <c r="P94" s="79"/>
      <c r="Q94" s="16" t="str">
        <f aca="false">IF(K94=0,"",IF(R94=1,"Pagada",IF(C94&lt;$F$12,"Vencida",IF(68=$F$13,"Próxima","Pendiente"))))</f>
        <v/>
      </c>
      <c r="R94" s="62" t="n">
        <f aca="false">IF(AND(K94&gt;0,OR(O94="Sí",O94="Si")),1,0)</f>
        <v>0</v>
      </c>
      <c r="S94" s="62" t="n">
        <f aca="false">IF(AND(K94&gt;0,R94=0),1,0)</f>
        <v>0</v>
      </c>
    </row>
    <row r="95" customFormat="false" ht="15" hidden="false" customHeight="false" outlineLevel="0" collapsed="false">
      <c r="B95" s="71" t="str">
        <f aca="false">IF($F$6="Sí",N($C$11)+68,"")</f>
        <v/>
      </c>
      <c r="C95" s="72" t="str">
        <f aca="false">IF(OR($F$6&lt;&gt;"Sí",D95&lt;=0.5),"",EDATE($C$10,68))</f>
        <v/>
      </c>
      <c r="D95" s="41" t="n">
        <f aca="false">MAX(0,M94)</f>
        <v>0</v>
      </c>
      <c r="E95" s="41" t="n">
        <f aca="false">D95*$F$7</f>
        <v>0</v>
      </c>
      <c r="F95" s="41" t="n">
        <f aca="false">IF(D95&gt;0.5,N($C$15),0)</f>
        <v>0</v>
      </c>
      <c r="G95" s="41" t="n">
        <f aca="false">IF(AND(D95&gt;0.5,N($C$19)&gt;0,N(B95)&lt;=N($C$20)),D95*$F$8,0)</f>
        <v>0</v>
      </c>
      <c r="H95" s="41" t="n">
        <f aca="false">IF(D95&lt;=0.5,0,MIN(IF(N(I95)&gt;0,I95,$F$9),D95+E95+F95))</f>
        <v>0</v>
      </c>
      <c r="I95" s="77"/>
      <c r="J95" s="77"/>
      <c r="K95" s="41" t="n">
        <f aca="false">IF(D95&lt;=0.5,0,MIN(H95+N(J95),D95+E95+F95))</f>
        <v>0</v>
      </c>
      <c r="L95" s="41" t="n">
        <f aca="false">K95-E95-F95</f>
        <v>0</v>
      </c>
      <c r="M95" s="41" t="n">
        <f aca="false">D95-L95</f>
        <v>0</v>
      </c>
      <c r="N95" s="42" t="n">
        <f aca="false">K95-G95</f>
        <v>0</v>
      </c>
      <c r="O95" s="78"/>
      <c r="P95" s="79"/>
      <c r="Q95" s="16" t="str">
        <f aca="false">IF(K95=0,"",IF(R95=1,"Pagada",IF(C95&lt;$F$12,"Vencida",IF(69=$F$13,"Próxima","Pendiente"))))</f>
        <v/>
      </c>
      <c r="R95" s="62" t="n">
        <f aca="false">IF(AND(K95&gt;0,OR(O95="Sí",O95="Si")),1,0)</f>
        <v>0</v>
      </c>
      <c r="S95" s="62" t="n">
        <f aca="false">IF(AND(K95&gt;0,R95=0),1,0)</f>
        <v>0</v>
      </c>
    </row>
    <row r="96" customFormat="false" ht="15" hidden="false" customHeight="false" outlineLevel="0" collapsed="false">
      <c r="B96" s="71" t="str">
        <f aca="false">IF($F$6="Sí",N($C$11)+69,"")</f>
        <v/>
      </c>
      <c r="C96" s="72" t="str">
        <f aca="false">IF(OR($F$6&lt;&gt;"Sí",D96&lt;=0.5),"",EDATE($C$10,69))</f>
        <v/>
      </c>
      <c r="D96" s="41" t="n">
        <f aca="false">MAX(0,M95)</f>
        <v>0</v>
      </c>
      <c r="E96" s="41" t="n">
        <f aca="false">D96*$F$7</f>
        <v>0</v>
      </c>
      <c r="F96" s="41" t="n">
        <f aca="false">IF(D96&gt;0.5,N($C$15),0)</f>
        <v>0</v>
      </c>
      <c r="G96" s="41" t="n">
        <f aca="false">IF(AND(D96&gt;0.5,N($C$19)&gt;0,N(B96)&lt;=N($C$20)),D96*$F$8,0)</f>
        <v>0</v>
      </c>
      <c r="H96" s="41" t="n">
        <f aca="false">IF(D96&lt;=0.5,0,MIN(IF(N(I96)&gt;0,I96,$F$9),D96+E96+F96))</f>
        <v>0</v>
      </c>
      <c r="I96" s="77"/>
      <c r="J96" s="77"/>
      <c r="K96" s="41" t="n">
        <f aca="false">IF(D96&lt;=0.5,0,MIN(H96+N(J96),D96+E96+F96))</f>
        <v>0</v>
      </c>
      <c r="L96" s="41" t="n">
        <f aca="false">K96-E96-F96</f>
        <v>0</v>
      </c>
      <c r="M96" s="41" t="n">
        <f aca="false">D96-L96</f>
        <v>0</v>
      </c>
      <c r="N96" s="42" t="n">
        <f aca="false">K96-G96</f>
        <v>0</v>
      </c>
      <c r="O96" s="78"/>
      <c r="P96" s="79"/>
      <c r="Q96" s="16" t="str">
        <f aca="false">IF(K96=0,"",IF(R96=1,"Pagada",IF(C96&lt;$F$12,"Vencida",IF(70=$F$13,"Próxima","Pendiente"))))</f>
        <v/>
      </c>
      <c r="R96" s="62" t="n">
        <f aca="false">IF(AND(K96&gt;0,OR(O96="Sí",O96="Si")),1,0)</f>
        <v>0</v>
      </c>
      <c r="S96" s="62" t="n">
        <f aca="false">IF(AND(K96&gt;0,R96=0),1,0)</f>
        <v>0</v>
      </c>
    </row>
    <row r="97" customFormat="false" ht="15" hidden="false" customHeight="false" outlineLevel="0" collapsed="false">
      <c r="B97" s="71" t="str">
        <f aca="false">IF($F$6="Sí",N($C$11)+70,"")</f>
        <v/>
      </c>
      <c r="C97" s="72" t="str">
        <f aca="false">IF(OR($F$6&lt;&gt;"Sí",D97&lt;=0.5),"",EDATE($C$10,70))</f>
        <v/>
      </c>
      <c r="D97" s="41" t="n">
        <f aca="false">MAX(0,M96)</f>
        <v>0</v>
      </c>
      <c r="E97" s="41" t="n">
        <f aca="false">D97*$F$7</f>
        <v>0</v>
      </c>
      <c r="F97" s="41" t="n">
        <f aca="false">IF(D97&gt;0.5,N($C$15),0)</f>
        <v>0</v>
      </c>
      <c r="G97" s="41" t="n">
        <f aca="false">IF(AND(D97&gt;0.5,N($C$19)&gt;0,N(B97)&lt;=N($C$20)),D97*$F$8,0)</f>
        <v>0</v>
      </c>
      <c r="H97" s="41" t="n">
        <f aca="false">IF(D97&lt;=0.5,0,MIN(IF(N(I97)&gt;0,I97,$F$9),D97+E97+F97))</f>
        <v>0</v>
      </c>
      <c r="I97" s="77"/>
      <c r="J97" s="77"/>
      <c r="K97" s="41" t="n">
        <f aca="false">IF(D97&lt;=0.5,0,MIN(H97+N(J97),D97+E97+F97))</f>
        <v>0</v>
      </c>
      <c r="L97" s="41" t="n">
        <f aca="false">K97-E97-F97</f>
        <v>0</v>
      </c>
      <c r="M97" s="41" t="n">
        <f aca="false">D97-L97</f>
        <v>0</v>
      </c>
      <c r="N97" s="42" t="n">
        <f aca="false">K97-G97</f>
        <v>0</v>
      </c>
      <c r="O97" s="78"/>
      <c r="P97" s="79"/>
      <c r="Q97" s="16" t="str">
        <f aca="false">IF(K97=0,"",IF(R97=1,"Pagada",IF(C97&lt;$F$12,"Vencida",IF(71=$F$13,"Próxima","Pendiente"))))</f>
        <v/>
      </c>
      <c r="R97" s="62" t="n">
        <f aca="false">IF(AND(K97&gt;0,OR(O97="Sí",O97="Si")),1,0)</f>
        <v>0</v>
      </c>
      <c r="S97" s="62" t="n">
        <f aca="false">IF(AND(K97&gt;0,R97=0),1,0)</f>
        <v>0</v>
      </c>
    </row>
    <row r="98" customFormat="false" ht="15" hidden="false" customHeight="false" outlineLevel="0" collapsed="false">
      <c r="B98" s="71" t="str">
        <f aca="false">IF($F$6="Sí",N($C$11)+71,"")</f>
        <v/>
      </c>
      <c r="C98" s="72" t="str">
        <f aca="false">IF(OR($F$6&lt;&gt;"Sí",D98&lt;=0.5),"",EDATE($C$10,71))</f>
        <v/>
      </c>
      <c r="D98" s="41" t="n">
        <f aca="false">MAX(0,M97)</f>
        <v>0</v>
      </c>
      <c r="E98" s="41" t="n">
        <f aca="false">D98*$F$7</f>
        <v>0</v>
      </c>
      <c r="F98" s="41" t="n">
        <f aca="false">IF(D98&gt;0.5,N($C$15),0)</f>
        <v>0</v>
      </c>
      <c r="G98" s="41" t="n">
        <f aca="false">IF(AND(D98&gt;0.5,N($C$19)&gt;0,N(B98)&lt;=N($C$20)),D98*$F$8,0)</f>
        <v>0</v>
      </c>
      <c r="H98" s="41" t="n">
        <f aca="false">IF(D98&lt;=0.5,0,MIN(IF(N(I98)&gt;0,I98,$F$9),D98+E98+F98))</f>
        <v>0</v>
      </c>
      <c r="I98" s="77"/>
      <c r="J98" s="77"/>
      <c r="K98" s="41" t="n">
        <f aca="false">IF(D98&lt;=0.5,0,MIN(H98+N(J98),D98+E98+F98))</f>
        <v>0</v>
      </c>
      <c r="L98" s="41" t="n">
        <f aca="false">K98-E98-F98</f>
        <v>0</v>
      </c>
      <c r="M98" s="41" t="n">
        <f aca="false">D98-L98</f>
        <v>0</v>
      </c>
      <c r="N98" s="42" t="n">
        <f aca="false">K98-G98</f>
        <v>0</v>
      </c>
      <c r="O98" s="78"/>
      <c r="P98" s="79"/>
      <c r="Q98" s="16" t="str">
        <f aca="false">IF(K98=0,"",IF(R98=1,"Pagada",IF(C98&lt;$F$12,"Vencida",IF(72=$F$13,"Próxima","Pendiente"))))</f>
        <v/>
      </c>
      <c r="R98" s="62" t="n">
        <f aca="false">IF(AND(K98&gt;0,OR(O98="Sí",O98="Si")),1,0)</f>
        <v>0</v>
      </c>
      <c r="S98" s="62" t="n">
        <f aca="false">IF(AND(K98&gt;0,R98=0),1,0)</f>
        <v>0</v>
      </c>
    </row>
    <row r="99" customFormat="false" ht="15" hidden="false" customHeight="false" outlineLevel="0" collapsed="false">
      <c r="B99" s="71" t="str">
        <f aca="false">IF($F$6="Sí",N($C$11)+72,"")</f>
        <v/>
      </c>
      <c r="C99" s="72" t="str">
        <f aca="false">IF(OR($F$6&lt;&gt;"Sí",D99&lt;=0.5),"",EDATE($C$10,72))</f>
        <v/>
      </c>
      <c r="D99" s="41" t="n">
        <f aca="false">MAX(0,M98)</f>
        <v>0</v>
      </c>
      <c r="E99" s="41" t="n">
        <f aca="false">D99*$F$7</f>
        <v>0</v>
      </c>
      <c r="F99" s="41" t="n">
        <f aca="false">IF(D99&gt;0.5,N($C$15),0)</f>
        <v>0</v>
      </c>
      <c r="G99" s="41" t="n">
        <f aca="false">IF(AND(D99&gt;0.5,N($C$19)&gt;0,N(B99)&lt;=N($C$20)),D99*$F$8,0)</f>
        <v>0</v>
      </c>
      <c r="H99" s="41" t="n">
        <f aca="false">IF(D99&lt;=0.5,0,MIN(IF(N(I99)&gt;0,I99,$F$9),D99+E99+F99))</f>
        <v>0</v>
      </c>
      <c r="I99" s="77"/>
      <c r="J99" s="77"/>
      <c r="K99" s="41" t="n">
        <f aca="false">IF(D99&lt;=0.5,0,MIN(H99+N(J99),D99+E99+F99))</f>
        <v>0</v>
      </c>
      <c r="L99" s="41" t="n">
        <f aca="false">K99-E99-F99</f>
        <v>0</v>
      </c>
      <c r="M99" s="41" t="n">
        <f aca="false">D99-L99</f>
        <v>0</v>
      </c>
      <c r="N99" s="42" t="n">
        <f aca="false">K99-G99</f>
        <v>0</v>
      </c>
      <c r="O99" s="78"/>
      <c r="P99" s="79"/>
      <c r="Q99" s="16" t="str">
        <f aca="false">IF(K99=0,"",IF(R99=1,"Pagada",IF(C99&lt;$F$12,"Vencida",IF(73=$F$13,"Próxima","Pendiente"))))</f>
        <v/>
      </c>
      <c r="R99" s="62" t="n">
        <f aca="false">IF(AND(K99&gt;0,OR(O99="Sí",O99="Si")),1,0)</f>
        <v>0</v>
      </c>
      <c r="S99" s="62" t="n">
        <f aca="false">IF(AND(K99&gt;0,R99=0),1,0)</f>
        <v>0</v>
      </c>
    </row>
    <row r="100" customFormat="false" ht="15" hidden="false" customHeight="false" outlineLevel="0" collapsed="false">
      <c r="B100" s="71" t="str">
        <f aca="false">IF($F$6="Sí",N($C$11)+73,"")</f>
        <v/>
      </c>
      <c r="C100" s="72" t="str">
        <f aca="false">IF(OR($F$6&lt;&gt;"Sí",D100&lt;=0.5),"",EDATE($C$10,73))</f>
        <v/>
      </c>
      <c r="D100" s="41" t="n">
        <f aca="false">MAX(0,M99)</f>
        <v>0</v>
      </c>
      <c r="E100" s="41" t="n">
        <f aca="false">D100*$F$7</f>
        <v>0</v>
      </c>
      <c r="F100" s="41" t="n">
        <f aca="false">IF(D100&gt;0.5,N($C$15),0)</f>
        <v>0</v>
      </c>
      <c r="G100" s="41" t="n">
        <f aca="false">IF(AND(D100&gt;0.5,N($C$19)&gt;0,N(B100)&lt;=N($C$20)),D100*$F$8,0)</f>
        <v>0</v>
      </c>
      <c r="H100" s="41" t="n">
        <f aca="false">IF(D100&lt;=0.5,0,MIN(IF(N(I100)&gt;0,I100,$F$9),D100+E100+F100))</f>
        <v>0</v>
      </c>
      <c r="I100" s="77"/>
      <c r="J100" s="77"/>
      <c r="K100" s="41" t="n">
        <f aca="false">IF(D100&lt;=0.5,0,MIN(H100+N(J100),D100+E100+F100))</f>
        <v>0</v>
      </c>
      <c r="L100" s="41" t="n">
        <f aca="false">K100-E100-F100</f>
        <v>0</v>
      </c>
      <c r="M100" s="41" t="n">
        <f aca="false">D100-L100</f>
        <v>0</v>
      </c>
      <c r="N100" s="42" t="n">
        <f aca="false">K100-G100</f>
        <v>0</v>
      </c>
      <c r="O100" s="78"/>
      <c r="P100" s="79"/>
      <c r="Q100" s="16" t="str">
        <f aca="false">IF(K100=0,"",IF(R100=1,"Pagada",IF(C100&lt;$F$12,"Vencida",IF(74=$F$13,"Próxima","Pendiente"))))</f>
        <v/>
      </c>
      <c r="R100" s="62" t="n">
        <f aca="false">IF(AND(K100&gt;0,OR(O100="Sí",O100="Si")),1,0)</f>
        <v>0</v>
      </c>
      <c r="S100" s="62" t="n">
        <f aca="false">IF(AND(K100&gt;0,R100=0),1,0)</f>
        <v>0</v>
      </c>
    </row>
    <row r="101" customFormat="false" ht="15" hidden="false" customHeight="false" outlineLevel="0" collapsed="false">
      <c r="B101" s="71" t="str">
        <f aca="false">IF($F$6="Sí",N($C$11)+74,"")</f>
        <v/>
      </c>
      <c r="C101" s="72" t="str">
        <f aca="false">IF(OR($F$6&lt;&gt;"Sí",D101&lt;=0.5),"",EDATE($C$10,74))</f>
        <v/>
      </c>
      <c r="D101" s="41" t="n">
        <f aca="false">MAX(0,M100)</f>
        <v>0</v>
      </c>
      <c r="E101" s="41" t="n">
        <f aca="false">D101*$F$7</f>
        <v>0</v>
      </c>
      <c r="F101" s="41" t="n">
        <f aca="false">IF(D101&gt;0.5,N($C$15),0)</f>
        <v>0</v>
      </c>
      <c r="G101" s="41" t="n">
        <f aca="false">IF(AND(D101&gt;0.5,N($C$19)&gt;0,N(B101)&lt;=N($C$20)),D101*$F$8,0)</f>
        <v>0</v>
      </c>
      <c r="H101" s="41" t="n">
        <f aca="false">IF(D101&lt;=0.5,0,MIN(IF(N(I101)&gt;0,I101,$F$9),D101+E101+F101))</f>
        <v>0</v>
      </c>
      <c r="I101" s="77"/>
      <c r="J101" s="77"/>
      <c r="K101" s="41" t="n">
        <f aca="false">IF(D101&lt;=0.5,0,MIN(H101+N(J101),D101+E101+F101))</f>
        <v>0</v>
      </c>
      <c r="L101" s="41" t="n">
        <f aca="false">K101-E101-F101</f>
        <v>0</v>
      </c>
      <c r="M101" s="41" t="n">
        <f aca="false">D101-L101</f>
        <v>0</v>
      </c>
      <c r="N101" s="42" t="n">
        <f aca="false">K101-G101</f>
        <v>0</v>
      </c>
      <c r="O101" s="78"/>
      <c r="P101" s="79"/>
      <c r="Q101" s="16" t="str">
        <f aca="false">IF(K101=0,"",IF(R101=1,"Pagada",IF(C101&lt;$F$12,"Vencida",IF(75=$F$13,"Próxima","Pendiente"))))</f>
        <v/>
      </c>
      <c r="R101" s="62" t="n">
        <f aca="false">IF(AND(K101&gt;0,OR(O101="Sí",O101="Si")),1,0)</f>
        <v>0</v>
      </c>
      <c r="S101" s="62" t="n">
        <f aca="false">IF(AND(K101&gt;0,R101=0),1,0)</f>
        <v>0</v>
      </c>
    </row>
    <row r="102" customFormat="false" ht="15" hidden="false" customHeight="false" outlineLevel="0" collapsed="false">
      <c r="B102" s="71" t="str">
        <f aca="false">IF($F$6="Sí",N($C$11)+75,"")</f>
        <v/>
      </c>
      <c r="C102" s="72" t="str">
        <f aca="false">IF(OR($F$6&lt;&gt;"Sí",D102&lt;=0.5),"",EDATE($C$10,75))</f>
        <v/>
      </c>
      <c r="D102" s="41" t="n">
        <f aca="false">MAX(0,M101)</f>
        <v>0</v>
      </c>
      <c r="E102" s="41" t="n">
        <f aca="false">D102*$F$7</f>
        <v>0</v>
      </c>
      <c r="F102" s="41" t="n">
        <f aca="false">IF(D102&gt;0.5,N($C$15),0)</f>
        <v>0</v>
      </c>
      <c r="G102" s="41" t="n">
        <f aca="false">IF(AND(D102&gt;0.5,N($C$19)&gt;0,N(B102)&lt;=N($C$20)),D102*$F$8,0)</f>
        <v>0</v>
      </c>
      <c r="H102" s="41" t="n">
        <f aca="false">IF(D102&lt;=0.5,0,MIN(IF(N(I102)&gt;0,I102,$F$9),D102+E102+F102))</f>
        <v>0</v>
      </c>
      <c r="I102" s="77"/>
      <c r="J102" s="77"/>
      <c r="K102" s="41" t="n">
        <f aca="false">IF(D102&lt;=0.5,0,MIN(H102+N(J102),D102+E102+F102))</f>
        <v>0</v>
      </c>
      <c r="L102" s="41" t="n">
        <f aca="false">K102-E102-F102</f>
        <v>0</v>
      </c>
      <c r="M102" s="41" t="n">
        <f aca="false">D102-L102</f>
        <v>0</v>
      </c>
      <c r="N102" s="42" t="n">
        <f aca="false">K102-G102</f>
        <v>0</v>
      </c>
      <c r="O102" s="78"/>
      <c r="P102" s="79"/>
      <c r="Q102" s="16" t="str">
        <f aca="false">IF(K102=0,"",IF(R102=1,"Pagada",IF(C102&lt;$F$12,"Vencida",IF(76=$F$13,"Próxima","Pendiente"))))</f>
        <v/>
      </c>
      <c r="R102" s="62" t="n">
        <f aca="false">IF(AND(K102&gt;0,OR(O102="Sí",O102="Si")),1,0)</f>
        <v>0</v>
      </c>
      <c r="S102" s="62" t="n">
        <f aca="false">IF(AND(K102&gt;0,R102=0),1,0)</f>
        <v>0</v>
      </c>
    </row>
    <row r="103" customFormat="false" ht="15" hidden="false" customHeight="false" outlineLevel="0" collapsed="false">
      <c r="B103" s="71" t="str">
        <f aca="false">IF($F$6="Sí",N($C$11)+76,"")</f>
        <v/>
      </c>
      <c r="C103" s="72" t="str">
        <f aca="false">IF(OR($F$6&lt;&gt;"Sí",D103&lt;=0.5),"",EDATE($C$10,76))</f>
        <v/>
      </c>
      <c r="D103" s="41" t="n">
        <f aca="false">MAX(0,M102)</f>
        <v>0</v>
      </c>
      <c r="E103" s="41" t="n">
        <f aca="false">D103*$F$7</f>
        <v>0</v>
      </c>
      <c r="F103" s="41" t="n">
        <f aca="false">IF(D103&gt;0.5,N($C$15),0)</f>
        <v>0</v>
      </c>
      <c r="G103" s="41" t="n">
        <f aca="false">IF(AND(D103&gt;0.5,N($C$19)&gt;0,N(B103)&lt;=N($C$20)),D103*$F$8,0)</f>
        <v>0</v>
      </c>
      <c r="H103" s="41" t="n">
        <f aca="false">IF(D103&lt;=0.5,0,MIN(IF(N(I103)&gt;0,I103,$F$9),D103+E103+F103))</f>
        <v>0</v>
      </c>
      <c r="I103" s="77"/>
      <c r="J103" s="77"/>
      <c r="K103" s="41" t="n">
        <f aca="false">IF(D103&lt;=0.5,0,MIN(H103+N(J103),D103+E103+F103))</f>
        <v>0</v>
      </c>
      <c r="L103" s="41" t="n">
        <f aca="false">K103-E103-F103</f>
        <v>0</v>
      </c>
      <c r="M103" s="41" t="n">
        <f aca="false">D103-L103</f>
        <v>0</v>
      </c>
      <c r="N103" s="42" t="n">
        <f aca="false">K103-G103</f>
        <v>0</v>
      </c>
      <c r="O103" s="78"/>
      <c r="P103" s="79"/>
      <c r="Q103" s="16" t="str">
        <f aca="false">IF(K103=0,"",IF(R103=1,"Pagada",IF(C103&lt;$F$12,"Vencida",IF(77=$F$13,"Próxima","Pendiente"))))</f>
        <v/>
      </c>
      <c r="R103" s="62" t="n">
        <f aca="false">IF(AND(K103&gt;0,OR(O103="Sí",O103="Si")),1,0)</f>
        <v>0</v>
      </c>
      <c r="S103" s="62" t="n">
        <f aca="false">IF(AND(K103&gt;0,R103=0),1,0)</f>
        <v>0</v>
      </c>
    </row>
    <row r="104" customFormat="false" ht="15" hidden="false" customHeight="false" outlineLevel="0" collapsed="false">
      <c r="B104" s="71" t="str">
        <f aca="false">IF($F$6="Sí",N($C$11)+77,"")</f>
        <v/>
      </c>
      <c r="C104" s="72" t="str">
        <f aca="false">IF(OR($F$6&lt;&gt;"Sí",D104&lt;=0.5),"",EDATE($C$10,77))</f>
        <v/>
      </c>
      <c r="D104" s="41" t="n">
        <f aca="false">MAX(0,M103)</f>
        <v>0</v>
      </c>
      <c r="E104" s="41" t="n">
        <f aca="false">D104*$F$7</f>
        <v>0</v>
      </c>
      <c r="F104" s="41" t="n">
        <f aca="false">IF(D104&gt;0.5,N($C$15),0)</f>
        <v>0</v>
      </c>
      <c r="G104" s="41" t="n">
        <f aca="false">IF(AND(D104&gt;0.5,N($C$19)&gt;0,N(B104)&lt;=N($C$20)),D104*$F$8,0)</f>
        <v>0</v>
      </c>
      <c r="H104" s="41" t="n">
        <f aca="false">IF(D104&lt;=0.5,0,MIN(IF(N(I104)&gt;0,I104,$F$9),D104+E104+F104))</f>
        <v>0</v>
      </c>
      <c r="I104" s="77"/>
      <c r="J104" s="77"/>
      <c r="K104" s="41" t="n">
        <f aca="false">IF(D104&lt;=0.5,0,MIN(H104+N(J104),D104+E104+F104))</f>
        <v>0</v>
      </c>
      <c r="L104" s="41" t="n">
        <f aca="false">K104-E104-F104</f>
        <v>0</v>
      </c>
      <c r="M104" s="41" t="n">
        <f aca="false">D104-L104</f>
        <v>0</v>
      </c>
      <c r="N104" s="42" t="n">
        <f aca="false">K104-G104</f>
        <v>0</v>
      </c>
      <c r="O104" s="78"/>
      <c r="P104" s="79"/>
      <c r="Q104" s="16" t="str">
        <f aca="false">IF(K104=0,"",IF(R104=1,"Pagada",IF(C104&lt;$F$12,"Vencida",IF(78=$F$13,"Próxima","Pendiente"))))</f>
        <v/>
      </c>
      <c r="R104" s="62" t="n">
        <f aca="false">IF(AND(K104&gt;0,OR(O104="Sí",O104="Si")),1,0)</f>
        <v>0</v>
      </c>
      <c r="S104" s="62" t="n">
        <f aca="false">IF(AND(K104&gt;0,R104=0),1,0)</f>
        <v>0</v>
      </c>
    </row>
    <row r="105" customFormat="false" ht="15" hidden="false" customHeight="false" outlineLevel="0" collapsed="false">
      <c r="B105" s="71" t="str">
        <f aca="false">IF($F$6="Sí",N($C$11)+78,"")</f>
        <v/>
      </c>
      <c r="C105" s="72" t="str">
        <f aca="false">IF(OR($F$6&lt;&gt;"Sí",D105&lt;=0.5),"",EDATE($C$10,78))</f>
        <v/>
      </c>
      <c r="D105" s="41" t="n">
        <f aca="false">MAX(0,M104)</f>
        <v>0</v>
      </c>
      <c r="E105" s="41" t="n">
        <f aca="false">D105*$F$7</f>
        <v>0</v>
      </c>
      <c r="F105" s="41" t="n">
        <f aca="false">IF(D105&gt;0.5,N($C$15),0)</f>
        <v>0</v>
      </c>
      <c r="G105" s="41" t="n">
        <f aca="false">IF(AND(D105&gt;0.5,N($C$19)&gt;0,N(B105)&lt;=N($C$20)),D105*$F$8,0)</f>
        <v>0</v>
      </c>
      <c r="H105" s="41" t="n">
        <f aca="false">IF(D105&lt;=0.5,0,MIN(IF(N(I105)&gt;0,I105,$F$9),D105+E105+F105))</f>
        <v>0</v>
      </c>
      <c r="I105" s="77"/>
      <c r="J105" s="77"/>
      <c r="K105" s="41" t="n">
        <f aca="false">IF(D105&lt;=0.5,0,MIN(H105+N(J105),D105+E105+F105))</f>
        <v>0</v>
      </c>
      <c r="L105" s="41" t="n">
        <f aca="false">K105-E105-F105</f>
        <v>0</v>
      </c>
      <c r="M105" s="41" t="n">
        <f aca="false">D105-L105</f>
        <v>0</v>
      </c>
      <c r="N105" s="42" t="n">
        <f aca="false">K105-G105</f>
        <v>0</v>
      </c>
      <c r="O105" s="78"/>
      <c r="P105" s="79"/>
      <c r="Q105" s="16" t="str">
        <f aca="false">IF(K105=0,"",IF(R105=1,"Pagada",IF(C105&lt;$F$12,"Vencida",IF(79=$F$13,"Próxima","Pendiente"))))</f>
        <v/>
      </c>
      <c r="R105" s="62" t="n">
        <f aca="false">IF(AND(K105&gt;0,OR(O105="Sí",O105="Si")),1,0)</f>
        <v>0</v>
      </c>
      <c r="S105" s="62" t="n">
        <f aca="false">IF(AND(K105&gt;0,R105=0),1,0)</f>
        <v>0</v>
      </c>
    </row>
    <row r="106" customFormat="false" ht="15" hidden="false" customHeight="false" outlineLevel="0" collapsed="false">
      <c r="B106" s="71" t="str">
        <f aca="false">IF($F$6="Sí",N($C$11)+79,"")</f>
        <v/>
      </c>
      <c r="C106" s="72" t="str">
        <f aca="false">IF(OR($F$6&lt;&gt;"Sí",D106&lt;=0.5),"",EDATE($C$10,79))</f>
        <v/>
      </c>
      <c r="D106" s="41" t="n">
        <f aca="false">MAX(0,M105)</f>
        <v>0</v>
      </c>
      <c r="E106" s="41" t="n">
        <f aca="false">D106*$F$7</f>
        <v>0</v>
      </c>
      <c r="F106" s="41" t="n">
        <f aca="false">IF(D106&gt;0.5,N($C$15),0)</f>
        <v>0</v>
      </c>
      <c r="G106" s="41" t="n">
        <f aca="false">IF(AND(D106&gt;0.5,N($C$19)&gt;0,N(B106)&lt;=N($C$20)),D106*$F$8,0)</f>
        <v>0</v>
      </c>
      <c r="H106" s="41" t="n">
        <f aca="false">IF(D106&lt;=0.5,0,MIN(IF(N(I106)&gt;0,I106,$F$9),D106+E106+F106))</f>
        <v>0</v>
      </c>
      <c r="I106" s="77"/>
      <c r="J106" s="77"/>
      <c r="K106" s="41" t="n">
        <f aca="false">IF(D106&lt;=0.5,0,MIN(H106+N(J106),D106+E106+F106))</f>
        <v>0</v>
      </c>
      <c r="L106" s="41" t="n">
        <f aca="false">K106-E106-F106</f>
        <v>0</v>
      </c>
      <c r="M106" s="41" t="n">
        <f aca="false">D106-L106</f>
        <v>0</v>
      </c>
      <c r="N106" s="42" t="n">
        <f aca="false">K106-G106</f>
        <v>0</v>
      </c>
      <c r="O106" s="78"/>
      <c r="P106" s="79"/>
      <c r="Q106" s="16" t="str">
        <f aca="false">IF(K106=0,"",IF(R106=1,"Pagada",IF(C106&lt;$F$12,"Vencida",IF(80=$F$13,"Próxima","Pendiente"))))</f>
        <v/>
      </c>
      <c r="R106" s="62" t="n">
        <f aca="false">IF(AND(K106&gt;0,OR(O106="Sí",O106="Si")),1,0)</f>
        <v>0</v>
      </c>
      <c r="S106" s="62" t="n">
        <f aca="false">IF(AND(K106&gt;0,R106=0),1,0)</f>
        <v>0</v>
      </c>
    </row>
    <row r="107" customFormat="false" ht="15" hidden="false" customHeight="false" outlineLevel="0" collapsed="false">
      <c r="B107" s="71" t="str">
        <f aca="false">IF($F$6="Sí",N($C$11)+80,"")</f>
        <v/>
      </c>
      <c r="C107" s="72" t="str">
        <f aca="false">IF(OR($F$6&lt;&gt;"Sí",D107&lt;=0.5),"",EDATE($C$10,80))</f>
        <v/>
      </c>
      <c r="D107" s="41" t="n">
        <f aca="false">MAX(0,M106)</f>
        <v>0</v>
      </c>
      <c r="E107" s="41" t="n">
        <f aca="false">D107*$F$7</f>
        <v>0</v>
      </c>
      <c r="F107" s="41" t="n">
        <f aca="false">IF(D107&gt;0.5,N($C$15),0)</f>
        <v>0</v>
      </c>
      <c r="G107" s="41" t="n">
        <f aca="false">IF(AND(D107&gt;0.5,N($C$19)&gt;0,N(B107)&lt;=N($C$20)),D107*$F$8,0)</f>
        <v>0</v>
      </c>
      <c r="H107" s="41" t="n">
        <f aca="false">IF(D107&lt;=0.5,0,MIN(IF(N(I107)&gt;0,I107,$F$9),D107+E107+F107))</f>
        <v>0</v>
      </c>
      <c r="I107" s="77"/>
      <c r="J107" s="77"/>
      <c r="K107" s="41" t="n">
        <f aca="false">IF(D107&lt;=0.5,0,MIN(H107+N(J107),D107+E107+F107))</f>
        <v>0</v>
      </c>
      <c r="L107" s="41" t="n">
        <f aca="false">K107-E107-F107</f>
        <v>0</v>
      </c>
      <c r="M107" s="41" t="n">
        <f aca="false">D107-L107</f>
        <v>0</v>
      </c>
      <c r="N107" s="42" t="n">
        <f aca="false">K107-G107</f>
        <v>0</v>
      </c>
      <c r="O107" s="78"/>
      <c r="P107" s="79"/>
      <c r="Q107" s="16" t="str">
        <f aca="false">IF(K107=0,"",IF(R107=1,"Pagada",IF(C107&lt;$F$12,"Vencida",IF(81=$F$13,"Próxima","Pendiente"))))</f>
        <v/>
      </c>
      <c r="R107" s="62" t="n">
        <f aca="false">IF(AND(K107&gt;0,OR(O107="Sí",O107="Si")),1,0)</f>
        <v>0</v>
      </c>
      <c r="S107" s="62" t="n">
        <f aca="false">IF(AND(K107&gt;0,R107=0),1,0)</f>
        <v>0</v>
      </c>
    </row>
    <row r="108" customFormat="false" ht="15" hidden="false" customHeight="false" outlineLevel="0" collapsed="false">
      <c r="B108" s="71" t="str">
        <f aca="false">IF($F$6="Sí",N($C$11)+81,"")</f>
        <v/>
      </c>
      <c r="C108" s="72" t="str">
        <f aca="false">IF(OR($F$6&lt;&gt;"Sí",D108&lt;=0.5),"",EDATE($C$10,81))</f>
        <v/>
      </c>
      <c r="D108" s="41" t="n">
        <f aca="false">MAX(0,M107)</f>
        <v>0</v>
      </c>
      <c r="E108" s="41" t="n">
        <f aca="false">D108*$F$7</f>
        <v>0</v>
      </c>
      <c r="F108" s="41" t="n">
        <f aca="false">IF(D108&gt;0.5,N($C$15),0)</f>
        <v>0</v>
      </c>
      <c r="G108" s="41" t="n">
        <f aca="false">IF(AND(D108&gt;0.5,N($C$19)&gt;0,N(B108)&lt;=N($C$20)),D108*$F$8,0)</f>
        <v>0</v>
      </c>
      <c r="H108" s="41" t="n">
        <f aca="false">IF(D108&lt;=0.5,0,MIN(IF(N(I108)&gt;0,I108,$F$9),D108+E108+F108))</f>
        <v>0</v>
      </c>
      <c r="I108" s="77"/>
      <c r="J108" s="77"/>
      <c r="K108" s="41" t="n">
        <f aca="false">IF(D108&lt;=0.5,0,MIN(H108+N(J108),D108+E108+F108))</f>
        <v>0</v>
      </c>
      <c r="L108" s="41" t="n">
        <f aca="false">K108-E108-F108</f>
        <v>0</v>
      </c>
      <c r="M108" s="41" t="n">
        <f aca="false">D108-L108</f>
        <v>0</v>
      </c>
      <c r="N108" s="42" t="n">
        <f aca="false">K108-G108</f>
        <v>0</v>
      </c>
      <c r="O108" s="78"/>
      <c r="P108" s="79"/>
      <c r="Q108" s="16" t="str">
        <f aca="false">IF(K108=0,"",IF(R108=1,"Pagada",IF(C108&lt;$F$12,"Vencida",IF(82=$F$13,"Próxima","Pendiente"))))</f>
        <v/>
      </c>
      <c r="R108" s="62" t="n">
        <f aca="false">IF(AND(K108&gt;0,OR(O108="Sí",O108="Si")),1,0)</f>
        <v>0</v>
      </c>
      <c r="S108" s="62" t="n">
        <f aca="false">IF(AND(K108&gt;0,R108=0),1,0)</f>
        <v>0</v>
      </c>
    </row>
    <row r="109" customFormat="false" ht="15" hidden="false" customHeight="false" outlineLevel="0" collapsed="false">
      <c r="B109" s="71" t="str">
        <f aca="false">IF($F$6="Sí",N($C$11)+82,"")</f>
        <v/>
      </c>
      <c r="C109" s="72" t="str">
        <f aca="false">IF(OR($F$6&lt;&gt;"Sí",D109&lt;=0.5),"",EDATE($C$10,82))</f>
        <v/>
      </c>
      <c r="D109" s="41" t="n">
        <f aca="false">MAX(0,M108)</f>
        <v>0</v>
      </c>
      <c r="E109" s="41" t="n">
        <f aca="false">D109*$F$7</f>
        <v>0</v>
      </c>
      <c r="F109" s="41" t="n">
        <f aca="false">IF(D109&gt;0.5,N($C$15),0)</f>
        <v>0</v>
      </c>
      <c r="G109" s="41" t="n">
        <f aca="false">IF(AND(D109&gt;0.5,N($C$19)&gt;0,N(B109)&lt;=N($C$20)),D109*$F$8,0)</f>
        <v>0</v>
      </c>
      <c r="H109" s="41" t="n">
        <f aca="false">IF(D109&lt;=0.5,0,MIN(IF(N(I109)&gt;0,I109,$F$9),D109+E109+F109))</f>
        <v>0</v>
      </c>
      <c r="I109" s="77"/>
      <c r="J109" s="77"/>
      <c r="K109" s="41" t="n">
        <f aca="false">IF(D109&lt;=0.5,0,MIN(H109+N(J109),D109+E109+F109))</f>
        <v>0</v>
      </c>
      <c r="L109" s="41" t="n">
        <f aca="false">K109-E109-F109</f>
        <v>0</v>
      </c>
      <c r="M109" s="41" t="n">
        <f aca="false">D109-L109</f>
        <v>0</v>
      </c>
      <c r="N109" s="42" t="n">
        <f aca="false">K109-G109</f>
        <v>0</v>
      </c>
      <c r="O109" s="78"/>
      <c r="P109" s="79"/>
      <c r="Q109" s="16" t="str">
        <f aca="false">IF(K109=0,"",IF(R109=1,"Pagada",IF(C109&lt;$F$12,"Vencida",IF(83=$F$13,"Próxima","Pendiente"))))</f>
        <v/>
      </c>
      <c r="R109" s="62" t="n">
        <f aca="false">IF(AND(K109&gt;0,OR(O109="Sí",O109="Si")),1,0)</f>
        <v>0</v>
      </c>
      <c r="S109" s="62" t="n">
        <f aca="false">IF(AND(K109&gt;0,R109=0),1,0)</f>
        <v>0</v>
      </c>
    </row>
    <row r="110" customFormat="false" ht="15" hidden="false" customHeight="false" outlineLevel="0" collapsed="false">
      <c r="B110" s="71" t="str">
        <f aca="false">IF($F$6="Sí",N($C$11)+83,"")</f>
        <v/>
      </c>
      <c r="C110" s="72" t="str">
        <f aca="false">IF(OR($F$6&lt;&gt;"Sí",D110&lt;=0.5),"",EDATE($C$10,83))</f>
        <v/>
      </c>
      <c r="D110" s="41" t="n">
        <f aca="false">MAX(0,M109)</f>
        <v>0</v>
      </c>
      <c r="E110" s="41" t="n">
        <f aca="false">D110*$F$7</f>
        <v>0</v>
      </c>
      <c r="F110" s="41" t="n">
        <f aca="false">IF(D110&gt;0.5,N($C$15),0)</f>
        <v>0</v>
      </c>
      <c r="G110" s="41" t="n">
        <f aca="false">IF(AND(D110&gt;0.5,N($C$19)&gt;0,N(B110)&lt;=N($C$20)),D110*$F$8,0)</f>
        <v>0</v>
      </c>
      <c r="H110" s="41" t="n">
        <f aca="false">IF(D110&lt;=0.5,0,MIN(IF(N(I110)&gt;0,I110,$F$9),D110+E110+F110))</f>
        <v>0</v>
      </c>
      <c r="I110" s="77"/>
      <c r="J110" s="77"/>
      <c r="K110" s="41" t="n">
        <f aca="false">IF(D110&lt;=0.5,0,MIN(H110+N(J110),D110+E110+F110))</f>
        <v>0</v>
      </c>
      <c r="L110" s="41" t="n">
        <f aca="false">K110-E110-F110</f>
        <v>0</v>
      </c>
      <c r="M110" s="41" t="n">
        <f aca="false">D110-L110</f>
        <v>0</v>
      </c>
      <c r="N110" s="42" t="n">
        <f aca="false">K110-G110</f>
        <v>0</v>
      </c>
      <c r="O110" s="78"/>
      <c r="P110" s="79"/>
      <c r="Q110" s="16" t="str">
        <f aca="false">IF(K110=0,"",IF(R110=1,"Pagada",IF(C110&lt;$F$12,"Vencida",IF(84=$F$13,"Próxima","Pendiente"))))</f>
        <v/>
      </c>
      <c r="R110" s="62" t="n">
        <f aca="false">IF(AND(K110&gt;0,OR(O110="Sí",O110="Si")),1,0)</f>
        <v>0</v>
      </c>
      <c r="S110" s="62" t="n">
        <f aca="false">IF(AND(K110&gt;0,R110=0),1,0)</f>
        <v>0</v>
      </c>
    </row>
    <row r="111" customFormat="false" ht="15" hidden="false" customHeight="false" outlineLevel="0" collapsed="false">
      <c r="B111" s="71" t="str">
        <f aca="false">IF($F$6="Sí",N($C$11)+84,"")</f>
        <v/>
      </c>
      <c r="C111" s="72" t="str">
        <f aca="false">IF(OR($F$6&lt;&gt;"Sí",D111&lt;=0.5),"",EDATE($C$10,84))</f>
        <v/>
      </c>
      <c r="D111" s="41" t="n">
        <f aca="false">MAX(0,M110)</f>
        <v>0</v>
      </c>
      <c r="E111" s="41" t="n">
        <f aca="false">D111*$F$7</f>
        <v>0</v>
      </c>
      <c r="F111" s="41" t="n">
        <f aca="false">IF(D111&gt;0.5,N($C$15),0)</f>
        <v>0</v>
      </c>
      <c r="G111" s="41" t="n">
        <f aca="false">IF(AND(D111&gt;0.5,N($C$19)&gt;0,N(B111)&lt;=N($C$20)),D111*$F$8,0)</f>
        <v>0</v>
      </c>
      <c r="H111" s="41" t="n">
        <f aca="false">IF(D111&lt;=0.5,0,MIN(IF(N(I111)&gt;0,I111,$F$9),D111+E111+F111))</f>
        <v>0</v>
      </c>
      <c r="I111" s="77"/>
      <c r="J111" s="77"/>
      <c r="K111" s="41" t="n">
        <f aca="false">IF(D111&lt;=0.5,0,MIN(H111+N(J111),D111+E111+F111))</f>
        <v>0</v>
      </c>
      <c r="L111" s="41" t="n">
        <f aca="false">K111-E111-F111</f>
        <v>0</v>
      </c>
      <c r="M111" s="41" t="n">
        <f aca="false">D111-L111</f>
        <v>0</v>
      </c>
      <c r="N111" s="42" t="n">
        <f aca="false">K111-G111</f>
        <v>0</v>
      </c>
      <c r="O111" s="78"/>
      <c r="P111" s="79"/>
      <c r="Q111" s="16" t="str">
        <f aca="false">IF(K111=0,"",IF(R111=1,"Pagada",IF(C111&lt;$F$12,"Vencida",IF(85=$F$13,"Próxima","Pendiente"))))</f>
        <v/>
      </c>
      <c r="R111" s="62" t="n">
        <f aca="false">IF(AND(K111&gt;0,OR(O111="Sí",O111="Si")),1,0)</f>
        <v>0</v>
      </c>
      <c r="S111" s="62" t="n">
        <f aca="false">IF(AND(K111&gt;0,R111=0),1,0)</f>
        <v>0</v>
      </c>
    </row>
    <row r="112" customFormat="false" ht="15" hidden="false" customHeight="false" outlineLevel="0" collapsed="false">
      <c r="B112" s="71" t="str">
        <f aca="false">IF($F$6="Sí",N($C$11)+85,"")</f>
        <v/>
      </c>
      <c r="C112" s="72" t="str">
        <f aca="false">IF(OR($F$6&lt;&gt;"Sí",D112&lt;=0.5),"",EDATE($C$10,85))</f>
        <v/>
      </c>
      <c r="D112" s="41" t="n">
        <f aca="false">MAX(0,M111)</f>
        <v>0</v>
      </c>
      <c r="E112" s="41" t="n">
        <f aca="false">D112*$F$7</f>
        <v>0</v>
      </c>
      <c r="F112" s="41" t="n">
        <f aca="false">IF(D112&gt;0.5,N($C$15),0)</f>
        <v>0</v>
      </c>
      <c r="G112" s="41" t="n">
        <f aca="false">IF(AND(D112&gt;0.5,N($C$19)&gt;0,N(B112)&lt;=N($C$20)),D112*$F$8,0)</f>
        <v>0</v>
      </c>
      <c r="H112" s="41" t="n">
        <f aca="false">IF(D112&lt;=0.5,0,MIN(IF(N(I112)&gt;0,I112,$F$9),D112+E112+F112))</f>
        <v>0</v>
      </c>
      <c r="I112" s="77"/>
      <c r="J112" s="77"/>
      <c r="K112" s="41" t="n">
        <f aca="false">IF(D112&lt;=0.5,0,MIN(H112+N(J112),D112+E112+F112))</f>
        <v>0</v>
      </c>
      <c r="L112" s="41" t="n">
        <f aca="false">K112-E112-F112</f>
        <v>0</v>
      </c>
      <c r="M112" s="41" t="n">
        <f aca="false">D112-L112</f>
        <v>0</v>
      </c>
      <c r="N112" s="42" t="n">
        <f aca="false">K112-G112</f>
        <v>0</v>
      </c>
      <c r="O112" s="78"/>
      <c r="P112" s="79"/>
      <c r="Q112" s="16" t="str">
        <f aca="false">IF(K112=0,"",IF(R112=1,"Pagada",IF(C112&lt;$F$12,"Vencida",IF(86=$F$13,"Próxima","Pendiente"))))</f>
        <v/>
      </c>
      <c r="R112" s="62" t="n">
        <f aca="false">IF(AND(K112&gt;0,OR(O112="Sí",O112="Si")),1,0)</f>
        <v>0</v>
      </c>
      <c r="S112" s="62" t="n">
        <f aca="false">IF(AND(K112&gt;0,R112=0),1,0)</f>
        <v>0</v>
      </c>
    </row>
    <row r="113" customFormat="false" ht="15" hidden="false" customHeight="false" outlineLevel="0" collapsed="false">
      <c r="B113" s="71" t="str">
        <f aca="false">IF($F$6="Sí",N($C$11)+86,"")</f>
        <v/>
      </c>
      <c r="C113" s="72" t="str">
        <f aca="false">IF(OR($F$6&lt;&gt;"Sí",D113&lt;=0.5),"",EDATE($C$10,86))</f>
        <v/>
      </c>
      <c r="D113" s="41" t="n">
        <f aca="false">MAX(0,M112)</f>
        <v>0</v>
      </c>
      <c r="E113" s="41" t="n">
        <f aca="false">D113*$F$7</f>
        <v>0</v>
      </c>
      <c r="F113" s="41" t="n">
        <f aca="false">IF(D113&gt;0.5,N($C$15),0)</f>
        <v>0</v>
      </c>
      <c r="G113" s="41" t="n">
        <f aca="false">IF(AND(D113&gt;0.5,N($C$19)&gt;0,N(B113)&lt;=N($C$20)),D113*$F$8,0)</f>
        <v>0</v>
      </c>
      <c r="H113" s="41" t="n">
        <f aca="false">IF(D113&lt;=0.5,0,MIN(IF(N(I113)&gt;0,I113,$F$9),D113+E113+F113))</f>
        <v>0</v>
      </c>
      <c r="I113" s="77"/>
      <c r="J113" s="77"/>
      <c r="K113" s="41" t="n">
        <f aca="false">IF(D113&lt;=0.5,0,MIN(H113+N(J113),D113+E113+F113))</f>
        <v>0</v>
      </c>
      <c r="L113" s="41" t="n">
        <f aca="false">K113-E113-F113</f>
        <v>0</v>
      </c>
      <c r="M113" s="41" t="n">
        <f aca="false">D113-L113</f>
        <v>0</v>
      </c>
      <c r="N113" s="42" t="n">
        <f aca="false">K113-G113</f>
        <v>0</v>
      </c>
      <c r="O113" s="78"/>
      <c r="P113" s="79"/>
      <c r="Q113" s="16" t="str">
        <f aca="false">IF(K113=0,"",IF(R113=1,"Pagada",IF(C113&lt;$F$12,"Vencida",IF(87=$F$13,"Próxima","Pendiente"))))</f>
        <v/>
      </c>
      <c r="R113" s="62" t="n">
        <f aca="false">IF(AND(K113&gt;0,OR(O113="Sí",O113="Si")),1,0)</f>
        <v>0</v>
      </c>
      <c r="S113" s="62" t="n">
        <f aca="false">IF(AND(K113&gt;0,R113=0),1,0)</f>
        <v>0</v>
      </c>
    </row>
    <row r="114" customFormat="false" ht="15" hidden="false" customHeight="false" outlineLevel="0" collapsed="false">
      <c r="B114" s="71" t="str">
        <f aca="false">IF($F$6="Sí",N($C$11)+87,"")</f>
        <v/>
      </c>
      <c r="C114" s="72" t="str">
        <f aca="false">IF(OR($F$6&lt;&gt;"Sí",D114&lt;=0.5),"",EDATE($C$10,87))</f>
        <v/>
      </c>
      <c r="D114" s="41" t="n">
        <f aca="false">MAX(0,M113)</f>
        <v>0</v>
      </c>
      <c r="E114" s="41" t="n">
        <f aca="false">D114*$F$7</f>
        <v>0</v>
      </c>
      <c r="F114" s="41" t="n">
        <f aca="false">IF(D114&gt;0.5,N($C$15),0)</f>
        <v>0</v>
      </c>
      <c r="G114" s="41" t="n">
        <f aca="false">IF(AND(D114&gt;0.5,N($C$19)&gt;0,N(B114)&lt;=N($C$20)),D114*$F$8,0)</f>
        <v>0</v>
      </c>
      <c r="H114" s="41" t="n">
        <f aca="false">IF(D114&lt;=0.5,0,MIN(IF(N(I114)&gt;0,I114,$F$9),D114+E114+F114))</f>
        <v>0</v>
      </c>
      <c r="I114" s="77"/>
      <c r="J114" s="77"/>
      <c r="K114" s="41" t="n">
        <f aca="false">IF(D114&lt;=0.5,0,MIN(H114+N(J114),D114+E114+F114))</f>
        <v>0</v>
      </c>
      <c r="L114" s="41" t="n">
        <f aca="false">K114-E114-F114</f>
        <v>0</v>
      </c>
      <c r="M114" s="41" t="n">
        <f aca="false">D114-L114</f>
        <v>0</v>
      </c>
      <c r="N114" s="42" t="n">
        <f aca="false">K114-G114</f>
        <v>0</v>
      </c>
      <c r="O114" s="78"/>
      <c r="P114" s="79"/>
      <c r="Q114" s="16" t="str">
        <f aca="false">IF(K114=0,"",IF(R114=1,"Pagada",IF(C114&lt;$F$12,"Vencida",IF(88=$F$13,"Próxima","Pendiente"))))</f>
        <v/>
      </c>
      <c r="R114" s="62" t="n">
        <f aca="false">IF(AND(K114&gt;0,OR(O114="Sí",O114="Si")),1,0)</f>
        <v>0</v>
      </c>
      <c r="S114" s="62" t="n">
        <f aca="false">IF(AND(K114&gt;0,R114=0),1,0)</f>
        <v>0</v>
      </c>
    </row>
    <row r="115" customFormat="false" ht="15" hidden="false" customHeight="false" outlineLevel="0" collapsed="false">
      <c r="B115" s="71" t="str">
        <f aca="false">IF($F$6="Sí",N($C$11)+88,"")</f>
        <v/>
      </c>
      <c r="C115" s="72" t="str">
        <f aca="false">IF(OR($F$6&lt;&gt;"Sí",D115&lt;=0.5),"",EDATE($C$10,88))</f>
        <v/>
      </c>
      <c r="D115" s="41" t="n">
        <f aca="false">MAX(0,M114)</f>
        <v>0</v>
      </c>
      <c r="E115" s="41" t="n">
        <f aca="false">D115*$F$7</f>
        <v>0</v>
      </c>
      <c r="F115" s="41" t="n">
        <f aca="false">IF(D115&gt;0.5,N($C$15),0)</f>
        <v>0</v>
      </c>
      <c r="G115" s="41" t="n">
        <f aca="false">IF(AND(D115&gt;0.5,N($C$19)&gt;0,N(B115)&lt;=N($C$20)),D115*$F$8,0)</f>
        <v>0</v>
      </c>
      <c r="H115" s="41" t="n">
        <f aca="false">IF(D115&lt;=0.5,0,MIN(IF(N(I115)&gt;0,I115,$F$9),D115+E115+F115))</f>
        <v>0</v>
      </c>
      <c r="I115" s="77"/>
      <c r="J115" s="77"/>
      <c r="K115" s="41" t="n">
        <f aca="false">IF(D115&lt;=0.5,0,MIN(H115+N(J115),D115+E115+F115))</f>
        <v>0</v>
      </c>
      <c r="L115" s="41" t="n">
        <f aca="false">K115-E115-F115</f>
        <v>0</v>
      </c>
      <c r="M115" s="41" t="n">
        <f aca="false">D115-L115</f>
        <v>0</v>
      </c>
      <c r="N115" s="42" t="n">
        <f aca="false">K115-G115</f>
        <v>0</v>
      </c>
      <c r="O115" s="78"/>
      <c r="P115" s="79"/>
      <c r="Q115" s="16" t="str">
        <f aca="false">IF(K115=0,"",IF(R115=1,"Pagada",IF(C115&lt;$F$12,"Vencida",IF(89=$F$13,"Próxima","Pendiente"))))</f>
        <v/>
      </c>
      <c r="R115" s="62" t="n">
        <f aca="false">IF(AND(K115&gt;0,OR(O115="Sí",O115="Si")),1,0)</f>
        <v>0</v>
      </c>
      <c r="S115" s="62" t="n">
        <f aca="false">IF(AND(K115&gt;0,R115=0),1,0)</f>
        <v>0</v>
      </c>
    </row>
    <row r="116" customFormat="false" ht="15" hidden="false" customHeight="false" outlineLevel="0" collapsed="false">
      <c r="B116" s="71" t="str">
        <f aca="false">IF($F$6="Sí",N($C$11)+89,"")</f>
        <v/>
      </c>
      <c r="C116" s="72" t="str">
        <f aca="false">IF(OR($F$6&lt;&gt;"Sí",D116&lt;=0.5),"",EDATE($C$10,89))</f>
        <v/>
      </c>
      <c r="D116" s="41" t="n">
        <f aca="false">MAX(0,M115)</f>
        <v>0</v>
      </c>
      <c r="E116" s="41" t="n">
        <f aca="false">D116*$F$7</f>
        <v>0</v>
      </c>
      <c r="F116" s="41" t="n">
        <f aca="false">IF(D116&gt;0.5,N($C$15),0)</f>
        <v>0</v>
      </c>
      <c r="G116" s="41" t="n">
        <f aca="false">IF(AND(D116&gt;0.5,N($C$19)&gt;0,N(B116)&lt;=N($C$20)),D116*$F$8,0)</f>
        <v>0</v>
      </c>
      <c r="H116" s="41" t="n">
        <f aca="false">IF(D116&lt;=0.5,0,MIN(IF(N(I116)&gt;0,I116,$F$9),D116+E116+F116))</f>
        <v>0</v>
      </c>
      <c r="I116" s="77"/>
      <c r="J116" s="77"/>
      <c r="K116" s="41" t="n">
        <f aca="false">IF(D116&lt;=0.5,0,MIN(H116+N(J116),D116+E116+F116))</f>
        <v>0</v>
      </c>
      <c r="L116" s="41" t="n">
        <f aca="false">K116-E116-F116</f>
        <v>0</v>
      </c>
      <c r="M116" s="41" t="n">
        <f aca="false">D116-L116</f>
        <v>0</v>
      </c>
      <c r="N116" s="42" t="n">
        <f aca="false">K116-G116</f>
        <v>0</v>
      </c>
      <c r="O116" s="78"/>
      <c r="P116" s="79"/>
      <c r="Q116" s="16" t="str">
        <f aca="false">IF(K116=0,"",IF(R116=1,"Pagada",IF(C116&lt;$F$12,"Vencida",IF(90=$F$13,"Próxima","Pendiente"))))</f>
        <v/>
      </c>
      <c r="R116" s="62" t="n">
        <f aca="false">IF(AND(K116&gt;0,OR(O116="Sí",O116="Si")),1,0)</f>
        <v>0</v>
      </c>
      <c r="S116" s="62" t="n">
        <f aca="false">IF(AND(K116&gt;0,R116=0),1,0)</f>
        <v>0</v>
      </c>
    </row>
    <row r="117" customFormat="false" ht="15" hidden="false" customHeight="false" outlineLevel="0" collapsed="false">
      <c r="B117" s="71" t="str">
        <f aca="false">IF($F$6="Sí",N($C$11)+90,"")</f>
        <v/>
      </c>
      <c r="C117" s="72" t="str">
        <f aca="false">IF(OR($F$6&lt;&gt;"Sí",D117&lt;=0.5),"",EDATE($C$10,90))</f>
        <v/>
      </c>
      <c r="D117" s="41" t="n">
        <f aca="false">MAX(0,M116)</f>
        <v>0</v>
      </c>
      <c r="E117" s="41" t="n">
        <f aca="false">D117*$F$7</f>
        <v>0</v>
      </c>
      <c r="F117" s="41" t="n">
        <f aca="false">IF(D117&gt;0.5,N($C$15),0)</f>
        <v>0</v>
      </c>
      <c r="G117" s="41" t="n">
        <f aca="false">IF(AND(D117&gt;0.5,N($C$19)&gt;0,N(B117)&lt;=N($C$20)),D117*$F$8,0)</f>
        <v>0</v>
      </c>
      <c r="H117" s="41" t="n">
        <f aca="false">IF(D117&lt;=0.5,0,MIN(IF(N(I117)&gt;0,I117,$F$9),D117+E117+F117))</f>
        <v>0</v>
      </c>
      <c r="I117" s="77"/>
      <c r="J117" s="77"/>
      <c r="K117" s="41" t="n">
        <f aca="false">IF(D117&lt;=0.5,0,MIN(H117+N(J117),D117+E117+F117))</f>
        <v>0</v>
      </c>
      <c r="L117" s="41" t="n">
        <f aca="false">K117-E117-F117</f>
        <v>0</v>
      </c>
      <c r="M117" s="41" t="n">
        <f aca="false">D117-L117</f>
        <v>0</v>
      </c>
      <c r="N117" s="42" t="n">
        <f aca="false">K117-G117</f>
        <v>0</v>
      </c>
      <c r="O117" s="78"/>
      <c r="P117" s="79"/>
      <c r="Q117" s="16" t="str">
        <f aca="false">IF(K117=0,"",IF(R117=1,"Pagada",IF(C117&lt;$F$12,"Vencida",IF(91=$F$13,"Próxima","Pendiente"))))</f>
        <v/>
      </c>
      <c r="R117" s="62" t="n">
        <f aca="false">IF(AND(K117&gt;0,OR(O117="Sí",O117="Si")),1,0)</f>
        <v>0</v>
      </c>
      <c r="S117" s="62" t="n">
        <f aca="false">IF(AND(K117&gt;0,R117=0),1,0)</f>
        <v>0</v>
      </c>
    </row>
    <row r="118" customFormat="false" ht="15" hidden="false" customHeight="false" outlineLevel="0" collapsed="false">
      <c r="B118" s="71" t="str">
        <f aca="false">IF($F$6="Sí",N($C$11)+91,"")</f>
        <v/>
      </c>
      <c r="C118" s="72" t="str">
        <f aca="false">IF(OR($F$6&lt;&gt;"Sí",D118&lt;=0.5),"",EDATE($C$10,91))</f>
        <v/>
      </c>
      <c r="D118" s="41" t="n">
        <f aca="false">MAX(0,M117)</f>
        <v>0</v>
      </c>
      <c r="E118" s="41" t="n">
        <f aca="false">D118*$F$7</f>
        <v>0</v>
      </c>
      <c r="F118" s="41" t="n">
        <f aca="false">IF(D118&gt;0.5,N($C$15),0)</f>
        <v>0</v>
      </c>
      <c r="G118" s="41" t="n">
        <f aca="false">IF(AND(D118&gt;0.5,N($C$19)&gt;0,N(B118)&lt;=N($C$20)),D118*$F$8,0)</f>
        <v>0</v>
      </c>
      <c r="H118" s="41" t="n">
        <f aca="false">IF(D118&lt;=0.5,0,MIN(IF(N(I118)&gt;0,I118,$F$9),D118+E118+F118))</f>
        <v>0</v>
      </c>
      <c r="I118" s="77"/>
      <c r="J118" s="77"/>
      <c r="K118" s="41" t="n">
        <f aca="false">IF(D118&lt;=0.5,0,MIN(H118+N(J118),D118+E118+F118))</f>
        <v>0</v>
      </c>
      <c r="L118" s="41" t="n">
        <f aca="false">K118-E118-F118</f>
        <v>0</v>
      </c>
      <c r="M118" s="41" t="n">
        <f aca="false">D118-L118</f>
        <v>0</v>
      </c>
      <c r="N118" s="42" t="n">
        <f aca="false">K118-G118</f>
        <v>0</v>
      </c>
      <c r="O118" s="78"/>
      <c r="P118" s="79"/>
      <c r="Q118" s="16" t="str">
        <f aca="false">IF(K118=0,"",IF(R118=1,"Pagada",IF(C118&lt;$F$12,"Vencida",IF(92=$F$13,"Próxima","Pendiente"))))</f>
        <v/>
      </c>
      <c r="R118" s="62" t="n">
        <f aca="false">IF(AND(K118&gt;0,OR(O118="Sí",O118="Si")),1,0)</f>
        <v>0</v>
      </c>
      <c r="S118" s="62" t="n">
        <f aca="false">IF(AND(K118&gt;0,R118=0),1,0)</f>
        <v>0</v>
      </c>
    </row>
    <row r="119" customFormat="false" ht="15" hidden="false" customHeight="false" outlineLevel="0" collapsed="false">
      <c r="B119" s="71" t="str">
        <f aca="false">IF($F$6="Sí",N($C$11)+92,"")</f>
        <v/>
      </c>
      <c r="C119" s="72" t="str">
        <f aca="false">IF(OR($F$6&lt;&gt;"Sí",D119&lt;=0.5),"",EDATE($C$10,92))</f>
        <v/>
      </c>
      <c r="D119" s="41" t="n">
        <f aca="false">MAX(0,M118)</f>
        <v>0</v>
      </c>
      <c r="E119" s="41" t="n">
        <f aca="false">D119*$F$7</f>
        <v>0</v>
      </c>
      <c r="F119" s="41" t="n">
        <f aca="false">IF(D119&gt;0.5,N($C$15),0)</f>
        <v>0</v>
      </c>
      <c r="G119" s="41" t="n">
        <f aca="false">IF(AND(D119&gt;0.5,N($C$19)&gt;0,N(B119)&lt;=N($C$20)),D119*$F$8,0)</f>
        <v>0</v>
      </c>
      <c r="H119" s="41" t="n">
        <f aca="false">IF(D119&lt;=0.5,0,MIN(IF(N(I119)&gt;0,I119,$F$9),D119+E119+F119))</f>
        <v>0</v>
      </c>
      <c r="I119" s="77"/>
      <c r="J119" s="77"/>
      <c r="K119" s="41" t="n">
        <f aca="false">IF(D119&lt;=0.5,0,MIN(H119+N(J119),D119+E119+F119))</f>
        <v>0</v>
      </c>
      <c r="L119" s="41" t="n">
        <f aca="false">K119-E119-F119</f>
        <v>0</v>
      </c>
      <c r="M119" s="41" t="n">
        <f aca="false">D119-L119</f>
        <v>0</v>
      </c>
      <c r="N119" s="42" t="n">
        <f aca="false">K119-G119</f>
        <v>0</v>
      </c>
      <c r="O119" s="78"/>
      <c r="P119" s="79"/>
      <c r="Q119" s="16" t="str">
        <f aca="false">IF(K119=0,"",IF(R119=1,"Pagada",IF(C119&lt;$F$12,"Vencida",IF(93=$F$13,"Próxima","Pendiente"))))</f>
        <v/>
      </c>
      <c r="R119" s="62" t="n">
        <f aca="false">IF(AND(K119&gt;0,OR(O119="Sí",O119="Si")),1,0)</f>
        <v>0</v>
      </c>
      <c r="S119" s="62" t="n">
        <f aca="false">IF(AND(K119&gt;0,R119=0),1,0)</f>
        <v>0</v>
      </c>
    </row>
    <row r="120" customFormat="false" ht="15" hidden="false" customHeight="false" outlineLevel="0" collapsed="false">
      <c r="B120" s="71" t="str">
        <f aca="false">IF($F$6="Sí",N($C$11)+93,"")</f>
        <v/>
      </c>
      <c r="C120" s="72" t="str">
        <f aca="false">IF(OR($F$6&lt;&gt;"Sí",D120&lt;=0.5),"",EDATE($C$10,93))</f>
        <v/>
      </c>
      <c r="D120" s="41" t="n">
        <f aca="false">MAX(0,M119)</f>
        <v>0</v>
      </c>
      <c r="E120" s="41" t="n">
        <f aca="false">D120*$F$7</f>
        <v>0</v>
      </c>
      <c r="F120" s="41" t="n">
        <f aca="false">IF(D120&gt;0.5,N($C$15),0)</f>
        <v>0</v>
      </c>
      <c r="G120" s="41" t="n">
        <f aca="false">IF(AND(D120&gt;0.5,N($C$19)&gt;0,N(B120)&lt;=N($C$20)),D120*$F$8,0)</f>
        <v>0</v>
      </c>
      <c r="H120" s="41" t="n">
        <f aca="false">IF(D120&lt;=0.5,0,MIN(IF(N(I120)&gt;0,I120,$F$9),D120+E120+F120))</f>
        <v>0</v>
      </c>
      <c r="I120" s="77"/>
      <c r="J120" s="77"/>
      <c r="K120" s="41" t="n">
        <f aca="false">IF(D120&lt;=0.5,0,MIN(H120+N(J120),D120+E120+F120))</f>
        <v>0</v>
      </c>
      <c r="L120" s="41" t="n">
        <f aca="false">K120-E120-F120</f>
        <v>0</v>
      </c>
      <c r="M120" s="41" t="n">
        <f aca="false">D120-L120</f>
        <v>0</v>
      </c>
      <c r="N120" s="42" t="n">
        <f aca="false">K120-G120</f>
        <v>0</v>
      </c>
      <c r="O120" s="78"/>
      <c r="P120" s="79"/>
      <c r="Q120" s="16" t="str">
        <f aca="false">IF(K120=0,"",IF(R120=1,"Pagada",IF(C120&lt;$F$12,"Vencida",IF(94=$F$13,"Próxima","Pendiente"))))</f>
        <v/>
      </c>
      <c r="R120" s="62" t="n">
        <f aca="false">IF(AND(K120&gt;0,OR(O120="Sí",O120="Si")),1,0)</f>
        <v>0</v>
      </c>
      <c r="S120" s="62" t="n">
        <f aca="false">IF(AND(K120&gt;0,R120=0),1,0)</f>
        <v>0</v>
      </c>
    </row>
    <row r="121" customFormat="false" ht="15" hidden="false" customHeight="false" outlineLevel="0" collapsed="false">
      <c r="B121" s="71" t="str">
        <f aca="false">IF($F$6="Sí",N($C$11)+94,"")</f>
        <v/>
      </c>
      <c r="C121" s="72" t="str">
        <f aca="false">IF(OR($F$6&lt;&gt;"Sí",D121&lt;=0.5),"",EDATE($C$10,94))</f>
        <v/>
      </c>
      <c r="D121" s="41" t="n">
        <f aca="false">MAX(0,M120)</f>
        <v>0</v>
      </c>
      <c r="E121" s="41" t="n">
        <f aca="false">D121*$F$7</f>
        <v>0</v>
      </c>
      <c r="F121" s="41" t="n">
        <f aca="false">IF(D121&gt;0.5,N($C$15),0)</f>
        <v>0</v>
      </c>
      <c r="G121" s="41" t="n">
        <f aca="false">IF(AND(D121&gt;0.5,N($C$19)&gt;0,N(B121)&lt;=N($C$20)),D121*$F$8,0)</f>
        <v>0</v>
      </c>
      <c r="H121" s="41" t="n">
        <f aca="false">IF(D121&lt;=0.5,0,MIN(IF(N(I121)&gt;0,I121,$F$9),D121+E121+F121))</f>
        <v>0</v>
      </c>
      <c r="I121" s="77"/>
      <c r="J121" s="77"/>
      <c r="K121" s="41" t="n">
        <f aca="false">IF(D121&lt;=0.5,0,MIN(H121+N(J121),D121+E121+F121))</f>
        <v>0</v>
      </c>
      <c r="L121" s="41" t="n">
        <f aca="false">K121-E121-F121</f>
        <v>0</v>
      </c>
      <c r="M121" s="41" t="n">
        <f aca="false">D121-L121</f>
        <v>0</v>
      </c>
      <c r="N121" s="42" t="n">
        <f aca="false">K121-G121</f>
        <v>0</v>
      </c>
      <c r="O121" s="78"/>
      <c r="P121" s="79"/>
      <c r="Q121" s="16" t="str">
        <f aca="false">IF(K121=0,"",IF(R121=1,"Pagada",IF(C121&lt;$F$12,"Vencida",IF(95=$F$13,"Próxima","Pendiente"))))</f>
        <v/>
      </c>
      <c r="R121" s="62" t="n">
        <f aca="false">IF(AND(K121&gt;0,OR(O121="Sí",O121="Si")),1,0)</f>
        <v>0</v>
      </c>
      <c r="S121" s="62" t="n">
        <f aca="false">IF(AND(K121&gt;0,R121=0),1,0)</f>
        <v>0</v>
      </c>
    </row>
    <row r="122" customFormat="false" ht="15" hidden="false" customHeight="false" outlineLevel="0" collapsed="false">
      <c r="B122" s="71" t="str">
        <f aca="false">IF($F$6="Sí",N($C$11)+95,"")</f>
        <v/>
      </c>
      <c r="C122" s="72" t="str">
        <f aca="false">IF(OR($F$6&lt;&gt;"Sí",D122&lt;=0.5),"",EDATE($C$10,95))</f>
        <v/>
      </c>
      <c r="D122" s="41" t="n">
        <f aca="false">MAX(0,M121)</f>
        <v>0</v>
      </c>
      <c r="E122" s="41" t="n">
        <f aca="false">D122*$F$7</f>
        <v>0</v>
      </c>
      <c r="F122" s="41" t="n">
        <f aca="false">IF(D122&gt;0.5,N($C$15),0)</f>
        <v>0</v>
      </c>
      <c r="G122" s="41" t="n">
        <f aca="false">IF(AND(D122&gt;0.5,N($C$19)&gt;0,N(B122)&lt;=N($C$20)),D122*$F$8,0)</f>
        <v>0</v>
      </c>
      <c r="H122" s="41" t="n">
        <f aca="false">IF(D122&lt;=0.5,0,MIN(IF(N(I122)&gt;0,I122,$F$9),D122+E122+F122))</f>
        <v>0</v>
      </c>
      <c r="I122" s="77"/>
      <c r="J122" s="77"/>
      <c r="K122" s="41" t="n">
        <f aca="false">IF(D122&lt;=0.5,0,MIN(H122+N(J122),D122+E122+F122))</f>
        <v>0</v>
      </c>
      <c r="L122" s="41" t="n">
        <f aca="false">K122-E122-F122</f>
        <v>0</v>
      </c>
      <c r="M122" s="41" t="n">
        <f aca="false">D122-L122</f>
        <v>0</v>
      </c>
      <c r="N122" s="42" t="n">
        <f aca="false">K122-G122</f>
        <v>0</v>
      </c>
      <c r="O122" s="78"/>
      <c r="P122" s="79"/>
      <c r="Q122" s="16" t="str">
        <f aca="false">IF(K122=0,"",IF(R122=1,"Pagada",IF(C122&lt;$F$12,"Vencida",IF(96=$F$13,"Próxima","Pendiente"))))</f>
        <v/>
      </c>
      <c r="R122" s="62" t="n">
        <f aca="false">IF(AND(K122&gt;0,OR(O122="Sí",O122="Si")),1,0)</f>
        <v>0</v>
      </c>
      <c r="S122" s="62" t="n">
        <f aca="false">IF(AND(K122&gt;0,R122=0),1,0)</f>
        <v>0</v>
      </c>
    </row>
    <row r="123" customFormat="false" ht="15" hidden="false" customHeight="false" outlineLevel="0" collapsed="false">
      <c r="B123" s="71" t="str">
        <f aca="false">IF($F$6="Sí",N($C$11)+96,"")</f>
        <v/>
      </c>
      <c r="C123" s="72" t="str">
        <f aca="false">IF(OR($F$6&lt;&gt;"Sí",D123&lt;=0.5),"",EDATE($C$10,96))</f>
        <v/>
      </c>
      <c r="D123" s="41" t="n">
        <f aca="false">MAX(0,M122)</f>
        <v>0</v>
      </c>
      <c r="E123" s="41" t="n">
        <f aca="false">D123*$F$7</f>
        <v>0</v>
      </c>
      <c r="F123" s="41" t="n">
        <f aca="false">IF(D123&gt;0.5,N($C$15),0)</f>
        <v>0</v>
      </c>
      <c r="G123" s="41" t="n">
        <f aca="false">IF(AND(D123&gt;0.5,N($C$19)&gt;0,N(B123)&lt;=N($C$20)),D123*$F$8,0)</f>
        <v>0</v>
      </c>
      <c r="H123" s="41" t="n">
        <f aca="false">IF(D123&lt;=0.5,0,MIN(IF(N(I123)&gt;0,I123,$F$9),D123+E123+F123))</f>
        <v>0</v>
      </c>
      <c r="I123" s="77"/>
      <c r="J123" s="77"/>
      <c r="K123" s="41" t="n">
        <f aca="false">IF(D123&lt;=0.5,0,MIN(H123+N(J123),D123+E123+F123))</f>
        <v>0</v>
      </c>
      <c r="L123" s="41" t="n">
        <f aca="false">K123-E123-F123</f>
        <v>0</v>
      </c>
      <c r="M123" s="41" t="n">
        <f aca="false">D123-L123</f>
        <v>0</v>
      </c>
      <c r="N123" s="42" t="n">
        <f aca="false">K123-G123</f>
        <v>0</v>
      </c>
      <c r="O123" s="78"/>
      <c r="P123" s="79"/>
      <c r="Q123" s="16" t="str">
        <f aca="false">IF(K123=0,"",IF(R123=1,"Pagada",IF(C123&lt;$F$12,"Vencida",IF(97=$F$13,"Próxima","Pendiente"))))</f>
        <v/>
      </c>
      <c r="R123" s="62" t="n">
        <f aca="false">IF(AND(K123&gt;0,OR(O123="Sí",O123="Si")),1,0)</f>
        <v>0</v>
      </c>
      <c r="S123" s="62" t="n">
        <f aca="false">IF(AND(K123&gt;0,R123=0),1,0)</f>
        <v>0</v>
      </c>
    </row>
    <row r="124" customFormat="false" ht="15" hidden="false" customHeight="false" outlineLevel="0" collapsed="false">
      <c r="B124" s="71" t="str">
        <f aca="false">IF($F$6="Sí",N($C$11)+97,"")</f>
        <v/>
      </c>
      <c r="C124" s="72" t="str">
        <f aca="false">IF(OR($F$6&lt;&gt;"Sí",D124&lt;=0.5),"",EDATE($C$10,97))</f>
        <v/>
      </c>
      <c r="D124" s="41" t="n">
        <f aca="false">MAX(0,M123)</f>
        <v>0</v>
      </c>
      <c r="E124" s="41" t="n">
        <f aca="false">D124*$F$7</f>
        <v>0</v>
      </c>
      <c r="F124" s="41" t="n">
        <f aca="false">IF(D124&gt;0.5,N($C$15),0)</f>
        <v>0</v>
      </c>
      <c r="G124" s="41" t="n">
        <f aca="false">IF(AND(D124&gt;0.5,N($C$19)&gt;0,N(B124)&lt;=N($C$20)),D124*$F$8,0)</f>
        <v>0</v>
      </c>
      <c r="H124" s="41" t="n">
        <f aca="false">IF(D124&lt;=0.5,0,MIN(IF(N(I124)&gt;0,I124,$F$9),D124+E124+F124))</f>
        <v>0</v>
      </c>
      <c r="I124" s="77"/>
      <c r="J124" s="77"/>
      <c r="K124" s="41" t="n">
        <f aca="false">IF(D124&lt;=0.5,0,MIN(H124+N(J124),D124+E124+F124))</f>
        <v>0</v>
      </c>
      <c r="L124" s="41" t="n">
        <f aca="false">K124-E124-F124</f>
        <v>0</v>
      </c>
      <c r="M124" s="41" t="n">
        <f aca="false">D124-L124</f>
        <v>0</v>
      </c>
      <c r="N124" s="42" t="n">
        <f aca="false">K124-G124</f>
        <v>0</v>
      </c>
      <c r="O124" s="78"/>
      <c r="P124" s="79"/>
      <c r="Q124" s="16" t="str">
        <f aca="false">IF(K124=0,"",IF(R124=1,"Pagada",IF(C124&lt;$F$12,"Vencida",IF(98=$F$13,"Próxima","Pendiente"))))</f>
        <v/>
      </c>
      <c r="R124" s="62" t="n">
        <f aca="false">IF(AND(K124&gt;0,OR(O124="Sí",O124="Si")),1,0)</f>
        <v>0</v>
      </c>
      <c r="S124" s="62" t="n">
        <f aca="false">IF(AND(K124&gt;0,R124=0),1,0)</f>
        <v>0</v>
      </c>
    </row>
    <row r="125" customFormat="false" ht="15" hidden="false" customHeight="false" outlineLevel="0" collapsed="false">
      <c r="B125" s="71" t="str">
        <f aca="false">IF($F$6="Sí",N($C$11)+98,"")</f>
        <v/>
      </c>
      <c r="C125" s="72" t="str">
        <f aca="false">IF(OR($F$6&lt;&gt;"Sí",D125&lt;=0.5),"",EDATE($C$10,98))</f>
        <v/>
      </c>
      <c r="D125" s="41" t="n">
        <f aca="false">MAX(0,M124)</f>
        <v>0</v>
      </c>
      <c r="E125" s="41" t="n">
        <f aca="false">D125*$F$7</f>
        <v>0</v>
      </c>
      <c r="F125" s="41" t="n">
        <f aca="false">IF(D125&gt;0.5,N($C$15),0)</f>
        <v>0</v>
      </c>
      <c r="G125" s="41" t="n">
        <f aca="false">IF(AND(D125&gt;0.5,N($C$19)&gt;0,N(B125)&lt;=N($C$20)),D125*$F$8,0)</f>
        <v>0</v>
      </c>
      <c r="H125" s="41" t="n">
        <f aca="false">IF(D125&lt;=0.5,0,MIN(IF(N(I125)&gt;0,I125,$F$9),D125+E125+F125))</f>
        <v>0</v>
      </c>
      <c r="I125" s="77"/>
      <c r="J125" s="77"/>
      <c r="K125" s="41" t="n">
        <f aca="false">IF(D125&lt;=0.5,0,MIN(H125+N(J125),D125+E125+F125))</f>
        <v>0</v>
      </c>
      <c r="L125" s="41" t="n">
        <f aca="false">K125-E125-F125</f>
        <v>0</v>
      </c>
      <c r="M125" s="41" t="n">
        <f aca="false">D125-L125</f>
        <v>0</v>
      </c>
      <c r="N125" s="42" t="n">
        <f aca="false">K125-G125</f>
        <v>0</v>
      </c>
      <c r="O125" s="78"/>
      <c r="P125" s="79"/>
      <c r="Q125" s="16" t="str">
        <f aca="false">IF(K125=0,"",IF(R125=1,"Pagada",IF(C125&lt;$F$12,"Vencida",IF(99=$F$13,"Próxima","Pendiente"))))</f>
        <v/>
      </c>
      <c r="R125" s="62" t="n">
        <f aca="false">IF(AND(K125&gt;0,OR(O125="Sí",O125="Si")),1,0)</f>
        <v>0</v>
      </c>
      <c r="S125" s="62" t="n">
        <f aca="false">IF(AND(K125&gt;0,R125=0),1,0)</f>
        <v>0</v>
      </c>
    </row>
    <row r="126" customFormat="false" ht="15" hidden="false" customHeight="false" outlineLevel="0" collapsed="false">
      <c r="B126" s="71" t="str">
        <f aca="false">IF($F$6="Sí",N($C$11)+99,"")</f>
        <v/>
      </c>
      <c r="C126" s="72" t="str">
        <f aca="false">IF(OR($F$6&lt;&gt;"Sí",D126&lt;=0.5),"",EDATE($C$10,99))</f>
        <v/>
      </c>
      <c r="D126" s="41" t="n">
        <f aca="false">MAX(0,M125)</f>
        <v>0</v>
      </c>
      <c r="E126" s="41" t="n">
        <f aca="false">D126*$F$7</f>
        <v>0</v>
      </c>
      <c r="F126" s="41" t="n">
        <f aca="false">IF(D126&gt;0.5,N($C$15),0)</f>
        <v>0</v>
      </c>
      <c r="G126" s="41" t="n">
        <f aca="false">IF(AND(D126&gt;0.5,N($C$19)&gt;0,N(B126)&lt;=N($C$20)),D126*$F$8,0)</f>
        <v>0</v>
      </c>
      <c r="H126" s="41" t="n">
        <f aca="false">IF(D126&lt;=0.5,0,MIN(IF(N(I126)&gt;0,I126,$F$9),D126+E126+F126))</f>
        <v>0</v>
      </c>
      <c r="I126" s="77"/>
      <c r="J126" s="77"/>
      <c r="K126" s="41" t="n">
        <f aca="false">IF(D126&lt;=0.5,0,MIN(H126+N(J126),D126+E126+F126))</f>
        <v>0</v>
      </c>
      <c r="L126" s="41" t="n">
        <f aca="false">K126-E126-F126</f>
        <v>0</v>
      </c>
      <c r="M126" s="41" t="n">
        <f aca="false">D126-L126</f>
        <v>0</v>
      </c>
      <c r="N126" s="42" t="n">
        <f aca="false">K126-G126</f>
        <v>0</v>
      </c>
      <c r="O126" s="78"/>
      <c r="P126" s="79"/>
      <c r="Q126" s="16" t="str">
        <f aca="false">IF(K126=0,"",IF(R126=1,"Pagada",IF(C126&lt;$F$12,"Vencida",IF(100=$F$13,"Próxima","Pendiente"))))</f>
        <v/>
      </c>
      <c r="R126" s="62" t="n">
        <f aca="false">IF(AND(K126&gt;0,OR(O126="Sí",O126="Si")),1,0)</f>
        <v>0</v>
      </c>
      <c r="S126" s="62" t="n">
        <f aca="false">IF(AND(K126&gt;0,R126=0),1,0)</f>
        <v>0</v>
      </c>
    </row>
    <row r="127" customFormat="false" ht="15" hidden="false" customHeight="false" outlineLevel="0" collapsed="false">
      <c r="B127" s="71" t="str">
        <f aca="false">IF($F$6="Sí",N($C$11)+100,"")</f>
        <v/>
      </c>
      <c r="C127" s="72" t="str">
        <f aca="false">IF(OR($F$6&lt;&gt;"Sí",D127&lt;=0.5),"",EDATE($C$10,100))</f>
        <v/>
      </c>
      <c r="D127" s="41" t="n">
        <f aca="false">MAX(0,M126)</f>
        <v>0</v>
      </c>
      <c r="E127" s="41" t="n">
        <f aca="false">D127*$F$7</f>
        <v>0</v>
      </c>
      <c r="F127" s="41" t="n">
        <f aca="false">IF(D127&gt;0.5,N($C$15),0)</f>
        <v>0</v>
      </c>
      <c r="G127" s="41" t="n">
        <f aca="false">IF(AND(D127&gt;0.5,N($C$19)&gt;0,N(B127)&lt;=N($C$20)),D127*$F$8,0)</f>
        <v>0</v>
      </c>
      <c r="H127" s="41" t="n">
        <f aca="false">IF(D127&lt;=0.5,0,MIN(IF(N(I127)&gt;0,I127,$F$9),D127+E127+F127))</f>
        <v>0</v>
      </c>
      <c r="I127" s="77"/>
      <c r="J127" s="77"/>
      <c r="K127" s="41" t="n">
        <f aca="false">IF(D127&lt;=0.5,0,MIN(H127+N(J127),D127+E127+F127))</f>
        <v>0</v>
      </c>
      <c r="L127" s="41" t="n">
        <f aca="false">K127-E127-F127</f>
        <v>0</v>
      </c>
      <c r="M127" s="41" t="n">
        <f aca="false">D127-L127</f>
        <v>0</v>
      </c>
      <c r="N127" s="42" t="n">
        <f aca="false">K127-G127</f>
        <v>0</v>
      </c>
      <c r="O127" s="78"/>
      <c r="P127" s="79"/>
      <c r="Q127" s="16" t="str">
        <f aca="false">IF(K127=0,"",IF(R127=1,"Pagada",IF(C127&lt;$F$12,"Vencida",IF(101=$F$13,"Próxima","Pendiente"))))</f>
        <v/>
      </c>
      <c r="R127" s="62" t="n">
        <f aca="false">IF(AND(K127&gt;0,OR(O127="Sí",O127="Si")),1,0)</f>
        <v>0</v>
      </c>
      <c r="S127" s="62" t="n">
        <f aca="false">IF(AND(K127&gt;0,R127=0),1,0)</f>
        <v>0</v>
      </c>
    </row>
    <row r="128" customFormat="false" ht="15" hidden="false" customHeight="false" outlineLevel="0" collapsed="false">
      <c r="B128" s="71" t="str">
        <f aca="false">IF($F$6="Sí",N($C$11)+101,"")</f>
        <v/>
      </c>
      <c r="C128" s="72" t="str">
        <f aca="false">IF(OR($F$6&lt;&gt;"Sí",D128&lt;=0.5),"",EDATE($C$10,101))</f>
        <v/>
      </c>
      <c r="D128" s="41" t="n">
        <f aca="false">MAX(0,M127)</f>
        <v>0</v>
      </c>
      <c r="E128" s="41" t="n">
        <f aca="false">D128*$F$7</f>
        <v>0</v>
      </c>
      <c r="F128" s="41" t="n">
        <f aca="false">IF(D128&gt;0.5,N($C$15),0)</f>
        <v>0</v>
      </c>
      <c r="G128" s="41" t="n">
        <f aca="false">IF(AND(D128&gt;0.5,N($C$19)&gt;0,N(B128)&lt;=N($C$20)),D128*$F$8,0)</f>
        <v>0</v>
      </c>
      <c r="H128" s="41" t="n">
        <f aca="false">IF(D128&lt;=0.5,0,MIN(IF(N(I128)&gt;0,I128,$F$9),D128+E128+F128))</f>
        <v>0</v>
      </c>
      <c r="I128" s="77"/>
      <c r="J128" s="77"/>
      <c r="K128" s="41" t="n">
        <f aca="false">IF(D128&lt;=0.5,0,MIN(H128+N(J128),D128+E128+F128))</f>
        <v>0</v>
      </c>
      <c r="L128" s="41" t="n">
        <f aca="false">K128-E128-F128</f>
        <v>0</v>
      </c>
      <c r="M128" s="41" t="n">
        <f aca="false">D128-L128</f>
        <v>0</v>
      </c>
      <c r="N128" s="42" t="n">
        <f aca="false">K128-G128</f>
        <v>0</v>
      </c>
      <c r="O128" s="78"/>
      <c r="P128" s="79"/>
      <c r="Q128" s="16" t="str">
        <f aca="false">IF(K128=0,"",IF(R128=1,"Pagada",IF(C128&lt;$F$12,"Vencida",IF(102=$F$13,"Próxima","Pendiente"))))</f>
        <v/>
      </c>
      <c r="R128" s="62" t="n">
        <f aca="false">IF(AND(K128&gt;0,OR(O128="Sí",O128="Si")),1,0)</f>
        <v>0</v>
      </c>
      <c r="S128" s="62" t="n">
        <f aca="false">IF(AND(K128&gt;0,R128=0),1,0)</f>
        <v>0</v>
      </c>
    </row>
    <row r="129" customFormat="false" ht="15" hidden="false" customHeight="false" outlineLevel="0" collapsed="false">
      <c r="B129" s="71" t="str">
        <f aca="false">IF($F$6="Sí",N($C$11)+102,"")</f>
        <v/>
      </c>
      <c r="C129" s="72" t="str">
        <f aca="false">IF(OR($F$6&lt;&gt;"Sí",D129&lt;=0.5),"",EDATE($C$10,102))</f>
        <v/>
      </c>
      <c r="D129" s="41" t="n">
        <f aca="false">MAX(0,M128)</f>
        <v>0</v>
      </c>
      <c r="E129" s="41" t="n">
        <f aca="false">D129*$F$7</f>
        <v>0</v>
      </c>
      <c r="F129" s="41" t="n">
        <f aca="false">IF(D129&gt;0.5,N($C$15),0)</f>
        <v>0</v>
      </c>
      <c r="G129" s="41" t="n">
        <f aca="false">IF(AND(D129&gt;0.5,N($C$19)&gt;0,N(B129)&lt;=N($C$20)),D129*$F$8,0)</f>
        <v>0</v>
      </c>
      <c r="H129" s="41" t="n">
        <f aca="false">IF(D129&lt;=0.5,0,MIN(IF(N(I129)&gt;0,I129,$F$9),D129+E129+F129))</f>
        <v>0</v>
      </c>
      <c r="I129" s="77"/>
      <c r="J129" s="77"/>
      <c r="K129" s="41" t="n">
        <f aca="false">IF(D129&lt;=0.5,0,MIN(H129+N(J129),D129+E129+F129))</f>
        <v>0</v>
      </c>
      <c r="L129" s="41" t="n">
        <f aca="false">K129-E129-F129</f>
        <v>0</v>
      </c>
      <c r="M129" s="41" t="n">
        <f aca="false">D129-L129</f>
        <v>0</v>
      </c>
      <c r="N129" s="42" t="n">
        <f aca="false">K129-G129</f>
        <v>0</v>
      </c>
      <c r="O129" s="78"/>
      <c r="P129" s="79"/>
      <c r="Q129" s="16" t="str">
        <f aca="false">IF(K129=0,"",IF(R129=1,"Pagada",IF(C129&lt;$F$12,"Vencida",IF(103=$F$13,"Próxima","Pendiente"))))</f>
        <v/>
      </c>
      <c r="R129" s="62" t="n">
        <f aca="false">IF(AND(K129&gt;0,OR(O129="Sí",O129="Si")),1,0)</f>
        <v>0</v>
      </c>
      <c r="S129" s="62" t="n">
        <f aca="false">IF(AND(K129&gt;0,R129=0),1,0)</f>
        <v>0</v>
      </c>
    </row>
    <row r="130" customFormat="false" ht="15" hidden="false" customHeight="false" outlineLevel="0" collapsed="false">
      <c r="B130" s="71" t="str">
        <f aca="false">IF($F$6="Sí",N($C$11)+103,"")</f>
        <v/>
      </c>
      <c r="C130" s="72" t="str">
        <f aca="false">IF(OR($F$6&lt;&gt;"Sí",D130&lt;=0.5),"",EDATE($C$10,103))</f>
        <v/>
      </c>
      <c r="D130" s="41" t="n">
        <f aca="false">MAX(0,M129)</f>
        <v>0</v>
      </c>
      <c r="E130" s="41" t="n">
        <f aca="false">D130*$F$7</f>
        <v>0</v>
      </c>
      <c r="F130" s="41" t="n">
        <f aca="false">IF(D130&gt;0.5,N($C$15),0)</f>
        <v>0</v>
      </c>
      <c r="G130" s="41" t="n">
        <f aca="false">IF(AND(D130&gt;0.5,N($C$19)&gt;0,N(B130)&lt;=N($C$20)),D130*$F$8,0)</f>
        <v>0</v>
      </c>
      <c r="H130" s="41" t="n">
        <f aca="false">IF(D130&lt;=0.5,0,MIN(IF(N(I130)&gt;0,I130,$F$9),D130+E130+F130))</f>
        <v>0</v>
      </c>
      <c r="I130" s="77"/>
      <c r="J130" s="77"/>
      <c r="K130" s="41" t="n">
        <f aca="false">IF(D130&lt;=0.5,0,MIN(H130+N(J130),D130+E130+F130))</f>
        <v>0</v>
      </c>
      <c r="L130" s="41" t="n">
        <f aca="false">K130-E130-F130</f>
        <v>0</v>
      </c>
      <c r="M130" s="41" t="n">
        <f aca="false">D130-L130</f>
        <v>0</v>
      </c>
      <c r="N130" s="42" t="n">
        <f aca="false">K130-G130</f>
        <v>0</v>
      </c>
      <c r="O130" s="78"/>
      <c r="P130" s="79"/>
      <c r="Q130" s="16" t="str">
        <f aca="false">IF(K130=0,"",IF(R130=1,"Pagada",IF(C130&lt;$F$12,"Vencida",IF(104=$F$13,"Próxima","Pendiente"))))</f>
        <v/>
      </c>
      <c r="R130" s="62" t="n">
        <f aca="false">IF(AND(K130&gt;0,OR(O130="Sí",O130="Si")),1,0)</f>
        <v>0</v>
      </c>
      <c r="S130" s="62" t="n">
        <f aca="false">IF(AND(K130&gt;0,R130=0),1,0)</f>
        <v>0</v>
      </c>
    </row>
    <row r="131" customFormat="false" ht="15" hidden="false" customHeight="false" outlineLevel="0" collapsed="false">
      <c r="B131" s="71" t="str">
        <f aca="false">IF($F$6="Sí",N($C$11)+104,"")</f>
        <v/>
      </c>
      <c r="C131" s="72" t="str">
        <f aca="false">IF(OR($F$6&lt;&gt;"Sí",D131&lt;=0.5),"",EDATE($C$10,104))</f>
        <v/>
      </c>
      <c r="D131" s="41" t="n">
        <f aca="false">MAX(0,M130)</f>
        <v>0</v>
      </c>
      <c r="E131" s="41" t="n">
        <f aca="false">D131*$F$7</f>
        <v>0</v>
      </c>
      <c r="F131" s="41" t="n">
        <f aca="false">IF(D131&gt;0.5,N($C$15),0)</f>
        <v>0</v>
      </c>
      <c r="G131" s="41" t="n">
        <f aca="false">IF(AND(D131&gt;0.5,N($C$19)&gt;0,N(B131)&lt;=N($C$20)),D131*$F$8,0)</f>
        <v>0</v>
      </c>
      <c r="H131" s="41" t="n">
        <f aca="false">IF(D131&lt;=0.5,0,MIN(IF(N(I131)&gt;0,I131,$F$9),D131+E131+F131))</f>
        <v>0</v>
      </c>
      <c r="I131" s="77"/>
      <c r="J131" s="77"/>
      <c r="K131" s="41" t="n">
        <f aca="false">IF(D131&lt;=0.5,0,MIN(H131+N(J131),D131+E131+F131))</f>
        <v>0</v>
      </c>
      <c r="L131" s="41" t="n">
        <f aca="false">K131-E131-F131</f>
        <v>0</v>
      </c>
      <c r="M131" s="41" t="n">
        <f aca="false">D131-L131</f>
        <v>0</v>
      </c>
      <c r="N131" s="42" t="n">
        <f aca="false">K131-G131</f>
        <v>0</v>
      </c>
      <c r="O131" s="78"/>
      <c r="P131" s="79"/>
      <c r="Q131" s="16" t="str">
        <f aca="false">IF(K131=0,"",IF(R131=1,"Pagada",IF(C131&lt;$F$12,"Vencida",IF(105=$F$13,"Próxima","Pendiente"))))</f>
        <v/>
      </c>
      <c r="R131" s="62" t="n">
        <f aca="false">IF(AND(K131&gt;0,OR(O131="Sí",O131="Si")),1,0)</f>
        <v>0</v>
      </c>
      <c r="S131" s="62" t="n">
        <f aca="false">IF(AND(K131&gt;0,R131=0),1,0)</f>
        <v>0</v>
      </c>
    </row>
    <row r="132" customFormat="false" ht="15" hidden="false" customHeight="false" outlineLevel="0" collapsed="false">
      <c r="B132" s="71" t="str">
        <f aca="false">IF($F$6="Sí",N($C$11)+105,"")</f>
        <v/>
      </c>
      <c r="C132" s="72" t="str">
        <f aca="false">IF(OR($F$6&lt;&gt;"Sí",D132&lt;=0.5),"",EDATE($C$10,105))</f>
        <v/>
      </c>
      <c r="D132" s="41" t="n">
        <f aca="false">MAX(0,M131)</f>
        <v>0</v>
      </c>
      <c r="E132" s="41" t="n">
        <f aca="false">D132*$F$7</f>
        <v>0</v>
      </c>
      <c r="F132" s="41" t="n">
        <f aca="false">IF(D132&gt;0.5,N($C$15),0)</f>
        <v>0</v>
      </c>
      <c r="G132" s="41" t="n">
        <f aca="false">IF(AND(D132&gt;0.5,N($C$19)&gt;0,N(B132)&lt;=N($C$20)),D132*$F$8,0)</f>
        <v>0</v>
      </c>
      <c r="H132" s="41" t="n">
        <f aca="false">IF(D132&lt;=0.5,0,MIN(IF(N(I132)&gt;0,I132,$F$9),D132+E132+F132))</f>
        <v>0</v>
      </c>
      <c r="I132" s="77"/>
      <c r="J132" s="77"/>
      <c r="K132" s="41" t="n">
        <f aca="false">IF(D132&lt;=0.5,0,MIN(H132+N(J132),D132+E132+F132))</f>
        <v>0</v>
      </c>
      <c r="L132" s="41" t="n">
        <f aca="false">K132-E132-F132</f>
        <v>0</v>
      </c>
      <c r="M132" s="41" t="n">
        <f aca="false">D132-L132</f>
        <v>0</v>
      </c>
      <c r="N132" s="42" t="n">
        <f aca="false">K132-G132</f>
        <v>0</v>
      </c>
      <c r="O132" s="78"/>
      <c r="P132" s="79"/>
      <c r="Q132" s="16" t="str">
        <f aca="false">IF(K132=0,"",IF(R132=1,"Pagada",IF(C132&lt;$F$12,"Vencida",IF(106=$F$13,"Próxima","Pendiente"))))</f>
        <v/>
      </c>
      <c r="R132" s="62" t="n">
        <f aca="false">IF(AND(K132&gt;0,OR(O132="Sí",O132="Si")),1,0)</f>
        <v>0</v>
      </c>
      <c r="S132" s="62" t="n">
        <f aca="false">IF(AND(K132&gt;0,R132=0),1,0)</f>
        <v>0</v>
      </c>
    </row>
    <row r="133" customFormat="false" ht="15" hidden="false" customHeight="false" outlineLevel="0" collapsed="false">
      <c r="B133" s="71" t="str">
        <f aca="false">IF($F$6="Sí",N($C$11)+106,"")</f>
        <v/>
      </c>
      <c r="C133" s="72" t="str">
        <f aca="false">IF(OR($F$6&lt;&gt;"Sí",D133&lt;=0.5),"",EDATE($C$10,106))</f>
        <v/>
      </c>
      <c r="D133" s="41" t="n">
        <f aca="false">MAX(0,M132)</f>
        <v>0</v>
      </c>
      <c r="E133" s="41" t="n">
        <f aca="false">D133*$F$7</f>
        <v>0</v>
      </c>
      <c r="F133" s="41" t="n">
        <f aca="false">IF(D133&gt;0.5,N($C$15),0)</f>
        <v>0</v>
      </c>
      <c r="G133" s="41" t="n">
        <f aca="false">IF(AND(D133&gt;0.5,N($C$19)&gt;0,N(B133)&lt;=N($C$20)),D133*$F$8,0)</f>
        <v>0</v>
      </c>
      <c r="H133" s="41" t="n">
        <f aca="false">IF(D133&lt;=0.5,0,MIN(IF(N(I133)&gt;0,I133,$F$9),D133+E133+F133))</f>
        <v>0</v>
      </c>
      <c r="I133" s="77"/>
      <c r="J133" s="77"/>
      <c r="K133" s="41" t="n">
        <f aca="false">IF(D133&lt;=0.5,0,MIN(H133+N(J133),D133+E133+F133))</f>
        <v>0</v>
      </c>
      <c r="L133" s="41" t="n">
        <f aca="false">K133-E133-F133</f>
        <v>0</v>
      </c>
      <c r="M133" s="41" t="n">
        <f aca="false">D133-L133</f>
        <v>0</v>
      </c>
      <c r="N133" s="42" t="n">
        <f aca="false">K133-G133</f>
        <v>0</v>
      </c>
      <c r="O133" s="78"/>
      <c r="P133" s="79"/>
      <c r="Q133" s="16" t="str">
        <f aca="false">IF(K133=0,"",IF(R133=1,"Pagada",IF(C133&lt;$F$12,"Vencida",IF(107=$F$13,"Próxima","Pendiente"))))</f>
        <v/>
      </c>
      <c r="R133" s="62" t="n">
        <f aca="false">IF(AND(K133&gt;0,OR(O133="Sí",O133="Si")),1,0)</f>
        <v>0</v>
      </c>
      <c r="S133" s="62" t="n">
        <f aca="false">IF(AND(K133&gt;0,R133=0),1,0)</f>
        <v>0</v>
      </c>
    </row>
    <row r="134" customFormat="false" ht="15" hidden="false" customHeight="false" outlineLevel="0" collapsed="false">
      <c r="B134" s="71" t="str">
        <f aca="false">IF($F$6="Sí",N($C$11)+107,"")</f>
        <v/>
      </c>
      <c r="C134" s="72" t="str">
        <f aca="false">IF(OR($F$6&lt;&gt;"Sí",D134&lt;=0.5),"",EDATE($C$10,107))</f>
        <v/>
      </c>
      <c r="D134" s="41" t="n">
        <f aca="false">MAX(0,M133)</f>
        <v>0</v>
      </c>
      <c r="E134" s="41" t="n">
        <f aca="false">D134*$F$7</f>
        <v>0</v>
      </c>
      <c r="F134" s="41" t="n">
        <f aca="false">IF(D134&gt;0.5,N($C$15),0)</f>
        <v>0</v>
      </c>
      <c r="G134" s="41" t="n">
        <f aca="false">IF(AND(D134&gt;0.5,N($C$19)&gt;0,N(B134)&lt;=N($C$20)),D134*$F$8,0)</f>
        <v>0</v>
      </c>
      <c r="H134" s="41" t="n">
        <f aca="false">IF(D134&lt;=0.5,0,MIN(IF(N(I134)&gt;0,I134,$F$9),D134+E134+F134))</f>
        <v>0</v>
      </c>
      <c r="I134" s="77"/>
      <c r="J134" s="77"/>
      <c r="K134" s="41" t="n">
        <f aca="false">IF(D134&lt;=0.5,0,MIN(H134+N(J134),D134+E134+F134))</f>
        <v>0</v>
      </c>
      <c r="L134" s="41" t="n">
        <f aca="false">K134-E134-F134</f>
        <v>0</v>
      </c>
      <c r="M134" s="41" t="n">
        <f aca="false">D134-L134</f>
        <v>0</v>
      </c>
      <c r="N134" s="42" t="n">
        <f aca="false">K134-G134</f>
        <v>0</v>
      </c>
      <c r="O134" s="78"/>
      <c r="P134" s="79"/>
      <c r="Q134" s="16" t="str">
        <f aca="false">IF(K134=0,"",IF(R134=1,"Pagada",IF(C134&lt;$F$12,"Vencida",IF(108=$F$13,"Próxima","Pendiente"))))</f>
        <v/>
      </c>
      <c r="R134" s="62" t="n">
        <f aca="false">IF(AND(K134&gt;0,OR(O134="Sí",O134="Si")),1,0)</f>
        <v>0</v>
      </c>
      <c r="S134" s="62" t="n">
        <f aca="false">IF(AND(K134&gt;0,R134=0),1,0)</f>
        <v>0</v>
      </c>
    </row>
    <row r="135" customFormat="false" ht="15" hidden="false" customHeight="false" outlineLevel="0" collapsed="false">
      <c r="B135" s="71" t="str">
        <f aca="false">IF($F$6="Sí",N($C$11)+108,"")</f>
        <v/>
      </c>
      <c r="C135" s="72" t="str">
        <f aca="false">IF(OR($F$6&lt;&gt;"Sí",D135&lt;=0.5),"",EDATE($C$10,108))</f>
        <v/>
      </c>
      <c r="D135" s="41" t="n">
        <f aca="false">MAX(0,M134)</f>
        <v>0</v>
      </c>
      <c r="E135" s="41" t="n">
        <f aca="false">D135*$F$7</f>
        <v>0</v>
      </c>
      <c r="F135" s="41" t="n">
        <f aca="false">IF(D135&gt;0.5,N($C$15),0)</f>
        <v>0</v>
      </c>
      <c r="G135" s="41" t="n">
        <f aca="false">IF(AND(D135&gt;0.5,N($C$19)&gt;0,N(B135)&lt;=N($C$20)),D135*$F$8,0)</f>
        <v>0</v>
      </c>
      <c r="H135" s="41" t="n">
        <f aca="false">IF(D135&lt;=0.5,0,MIN(IF(N(I135)&gt;0,I135,$F$9),D135+E135+F135))</f>
        <v>0</v>
      </c>
      <c r="I135" s="77"/>
      <c r="J135" s="77"/>
      <c r="K135" s="41" t="n">
        <f aca="false">IF(D135&lt;=0.5,0,MIN(H135+N(J135),D135+E135+F135))</f>
        <v>0</v>
      </c>
      <c r="L135" s="41" t="n">
        <f aca="false">K135-E135-F135</f>
        <v>0</v>
      </c>
      <c r="M135" s="41" t="n">
        <f aca="false">D135-L135</f>
        <v>0</v>
      </c>
      <c r="N135" s="42" t="n">
        <f aca="false">K135-G135</f>
        <v>0</v>
      </c>
      <c r="O135" s="78"/>
      <c r="P135" s="79"/>
      <c r="Q135" s="16" t="str">
        <f aca="false">IF(K135=0,"",IF(R135=1,"Pagada",IF(C135&lt;$F$12,"Vencida",IF(109=$F$13,"Próxima","Pendiente"))))</f>
        <v/>
      </c>
      <c r="R135" s="62" t="n">
        <f aca="false">IF(AND(K135&gt;0,OR(O135="Sí",O135="Si")),1,0)</f>
        <v>0</v>
      </c>
      <c r="S135" s="62" t="n">
        <f aca="false">IF(AND(K135&gt;0,R135=0),1,0)</f>
        <v>0</v>
      </c>
    </row>
    <row r="136" customFormat="false" ht="15" hidden="false" customHeight="false" outlineLevel="0" collapsed="false">
      <c r="B136" s="71" t="str">
        <f aca="false">IF($F$6="Sí",N($C$11)+109,"")</f>
        <v/>
      </c>
      <c r="C136" s="72" t="str">
        <f aca="false">IF(OR($F$6&lt;&gt;"Sí",D136&lt;=0.5),"",EDATE($C$10,109))</f>
        <v/>
      </c>
      <c r="D136" s="41" t="n">
        <f aca="false">MAX(0,M135)</f>
        <v>0</v>
      </c>
      <c r="E136" s="41" t="n">
        <f aca="false">D136*$F$7</f>
        <v>0</v>
      </c>
      <c r="F136" s="41" t="n">
        <f aca="false">IF(D136&gt;0.5,N($C$15),0)</f>
        <v>0</v>
      </c>
      <c r="G136" s="41" t="n">
        <f aca="false">IF(AND(D136&gt;0.5,N($C$19)&gt;0,N(B136)&lt;=N($C$20)),D136*$F$8,0)</f>
        <v>0</v>
      </c>
      <c r="H136" s="41" t="n">
        <f aca="false">IF(D136&lt;=0.5,0,MIN(IF(N(I136)&gt;0,I136,$F$9),D136+E136+F136))</f>
        <v>0</v>
      </c>
      <c r="I136" s="77"/>
      <c r="J136" s="77"/>
      <c r="K136" s="41" t="n">
        <f aca="false">IF(D136&lt;=0.5,0,MIN(H136+N(J136),D136+E136+F136))</f>
        <v>0</v>
      </c>
      <c r="L136" s="41" t="n">
        <f aca="false">K136-E136-F136</f>
        <v>0</v>
      </c>
      <c r="M136" s="41" t="n">
        <f aca="false">D136-L136</f>
        <v>0</v>
      </c>
      <c r="N136" s="42" t="n">
        <f aca="false">K136-G136</f>
        <v>0</v>
      </c>
      <c r="O136" s="78"/>
      <c r="P136" s="79"/>
      <c r="Q136" s="16" t="str">
        <f aca="false">IF(K136=0,"",IF(R136=1,"Pagada",IF(C136&lt;$F$12,"Vencida",IF(110=$F$13,"Próxima","Pendiente"))))</f>
        <v/>
      </c>
      <c r="R136" s="62" t="n">
        <f aca="false">IF(AND(K136&gt;0,OR(O136="Sí",O136="Si")),1,0)</f>
        <v>0</v>
      </c>
      <c r="S136" s="62" t="n">
        <f aca="false">IF(AND(K136&gt;0,R136=0),1,0)</f>
        <v>0</v>
      </c>
    </row>
    <row r="137" customFormat="false" ht="15" hidden="false" customHeight="false" outlineLevel="0" collapsed="false">
      <c r="B137" s="71" t="str">
        <f aca="false">IF($F$6="Sí",N($C$11)+110,"")</f>
        <v/>
      </c>
      <c r="C137" s="72" t="str">
        <f aca="false">IF(OR($F$6&lt;&gt;"Sí",D137&lt;=0.5),"",EDATE($C$10,110))</f>
        <v/>
      </c>
      <c r="D137" s="41" t="n">
        <f aca="false">MAX(0,M136)</f>
        <v>0</v>
      </c>
      <c r="E137" s="41" t="n">
        <f aca="false">D137*$F$7</f>
        <v>0</v>
      </c>
      <c r="F137" s="41" t="n">
        <f aca="false">IF(D137&gt;0.5,N($C$15),0)</f>
        <v>0</v>
      </c>
      <c r="G137" s="41" t="n">
        <f aca="false">IF(AND(D137&gt;0.5,N($C$19)&gt;0,N(B137)&lt;=N($C$20)),D137*$F$8,0)</f>
        <v>0</v>
      </c>
      <c r="H137" s="41" t="n">
        <f aca="false">IF(D137&lt;=0.5,0,MIN(IF(N(I137)&gt;0,I137,$F$9),D137+E137+F137))</f>
        <v>0</v>
      </c>
      <c r="I137" s="77"/>
      <c r="J137" s="77"/>
      <c r="K137" s="41" t="n">
        <f aca="false">IF(D137&lt;=0.5,0,MIN(H137+N(J137),D137+E137+F137))</f>
        <v>0</v>
      </c>
      <c r="L137" s="41" t="n">
        <f aca="false">K137-E137-F137</f>
        <v>0</v>
      </c>
      <c r="M137" s="41" t="n">
        <f aca="false">D137-L137</f>
        <v>0</v>
      </c>
      <c r="N137" s="42" t="n">
        <f aca="false">K137-G137</f>
        <v>0</v>
      </c>
      <c r="O137" s="78"/>
      <c r="P137" s="79"/>
      <c r="Q137" s="16" t="str">
        <f aca="false">IF(K137=0,"",IF(R137=1,"Pagada",IF(C137&lt;$F$12,"Vencida",IF(111=$F$13,"Próxima","Pendiente"))))</f>
        <v/>
      </c>
      <c r="R137" s="62" t="n">
        <f aca="false">IF(AND(K137&gt;0,OR(O137="Sí",O137="Si")),1,0)</f>
        <v>0</v>
      </c>
      <c r="S137" s="62" t="n">
        <f aca="false">IF(AND(K137&gt;0,R137=0),1,0)</f>
        <v>0</v>
      </c>
    </row>
    <row r="138" customFormat="false" ht="15" hidden="false" customHeight="false" outlineLevel="0" collapsed="false">
      <c r="B138" s="71" t="str">
        <f aca="false">IF($F$6="Sí",N($C$11)+111,"")</f>
        <v/>
      </c>
      <c r="C138" s="72" t="str">
        <f aca="false">IF(OR($F$6&lt;&gt;"Sí",D138&lt;=0.5),"",EDATE($C$10,111))</f>
        <v/>
      </c>
      <c r="D138" s="41" t="n">
        <f aca="false">MAX(0,M137)</f>
        <v>0</v>
      </c>
      <c r="E138" s="41" t="n">
        <f aca="false">D138*$F$7</f>
        <v>0</v>
      </c>
      <c r="F138" s="41" t="n">
        <f aca="false">IF(D138&gt;0.5,N($C$15),0)</f>
        <v>0</v>
      </c>
      <c r="G138" s="41" t="n">
        <f aca="false">IF(AND(D138&gt;0.5,N($C$19)&gt;0,N(B138)&lt;=N($C$20)),D138*$F$8,0)</f>
        <v>0</v>
      </c>
      <c r="H138" s="41" t="n">
        <f aca="false">IF(D138&lt;=0.5,0,MIN(IF(N(I138)&gt;0,I138,$F$9),D138+E138+F138))</f>
        <v>0</v>
      </c>
      <c r="I138" s="77"/>
      <c r="J138" s="77"/>
      <c r="K138" s="41" t="n">
        <f aca="false">IF(D138&lt;=0.5,0,MIN(H138+N(J138),D138+E138+F138))</f>
        <v>0</v>
      </c>
      <c r="L138" s="41" t="n">
        <f aca="false">K138-E138-F138</f>
        <v>0</v>
      </c>
      <c r="M138" s="41" t="n">
        <f aca="false">D138-L138</f>
        <v>0</v>
      </c>
      <c r="N138" s="42" t="n">
        <f aca="false">K138-G138</f>
        <v>0</v>
      </c>
      <c r="O138" s="78"/>
      <c r="P138" s="79"/>
      <c r="Q138" s="16" t="str">
        <f aca="false">IF(K138=0,"",IF(R138=1,"Pagada",IF(C138&lt;$F$12,"Vencida",IF(112=$F$13,"Próxima","Pendiente"))))</f>
        <v/>
      </c>
      <c r="R138" s="62" t="n">
        <f aca="false">IF(AND(K138&gt;0,OR(O138="Sí",O138="Si")),1,0)</f>
        <v>0</v>
      </c>
      <c r="S138" s="62" t="n">
        <f aca="false">IF(AND(K138&gt;0,R138=0),1,0)</f>
        <v>0</v>
      </c>
    </row>
    <row r="139" customFormat="false" ht="15" hidden="false" customHeight="false" outlineLevel="0" collapsed="false">
      <c r="B139" s="71" t="str">
        <f aca="false">IF($F$6="Sí",N($C$11)+112,"")</f>
        <v/>
      </c>
      <c r="C139" s="72" t="str">
        <f aca="false">IF(OR($F$6&lt;&gt;"Sí",D139&lt;=0.5),"",EDATE($C$10,112))</f>
        <v/>
      </c>
      <c r="D139" s="41" t="n">
        <f aca="false">MAX(0,M138)</f>
        <v>0</v>
      </c>
      <c r="E139" s="41" t="n">
        <f aca="false">D139*$F$7</f>
        <v>0</v>
      </c>
      <c r="F139" s="41" t="n">
        <f aca="false">IF(D139&gt;0.5,N($C$15),0)</f>
        <v>0</v>
      </c>
      <c r="G139" s="41" t="n">
        <f aca="false">IF(AND(D139&gt;0.5,N($C$19)&gt;0,N(B139)&lt;=N($C$20)),D139*$F$8,0)</f>
        <v>0</v>
      </c>
      <c r="H139" s="41" t="n">
        <f aca="false">IF(D139&lt;=0.5,0,MIN(IF(N(I139)&gt;0,I139,$F$9),D139+E139+F139))</f>
        <v>0</v>
      </c>
      <c r="I139" s="77"/>
      <c r="J139" s="77"/>
      <c r="K139" s="41" t="n">
        <f aca="false">IF(D139&lt;=0.5,0,MIN(H139+N(J139),D139+E139+F139))</f>
        <v>0</v>
      </c>
      <c r="L139" s="41" t="n">
        <f aca="false">K139-E139-F139</f>
        <v>0</v>
      </c>
      <c r="M139" s="41" t="n">
        <f aca="false">D139-L139</f>
        <v>0</v>
      </c>
      <c r="N139" s="42" t="n">
        <f aca="false">K139-G139</f>
        <v>0</v>
      </c>
      <c r="O139" s="78"/>
      <c r="P139" s="79"/>
      <c r="Q139" s="16" t="str">
        <f aca="false">IF(K139=0,"",IF(R139=1,"Pagada",IF(C139&lt;$F$12,"Vencida",IF(113=$F$13,"Próxima","Pendiente"))))</f>
        <v/>
      </c>
      <c r="R139" s="62" t="n">
        <f aca="false">IF(AND(K139&gt;0,OR(O139="Sí",O139="Si")),1,0)</f>
        <v>0</v>
      </c>
      <c r="S139" s="62" t="n">
        <f aca="false">IF(AND(K139&gt;0,R139=0),1,0)</f>
        <v>0</v>
      </c>
    </row>
    <row r="140" customFormat="false" ht="15" hidden="false" customHeight="false" outlineLevel="0" collapsed="false">
      <c r="B140" s="71" t="str">
        <f aca="false">IF($F$6="Sí",N($C$11)+113,"")</f>
        <v/>
      </c>
      <c r="C140" s="72" t="str">
        <f aca="false">IF(OR($F$6&lt;&gt;"Sí",D140&lt;=0.5),"",EDATE($C$10,113))</f>
        <v/>
      </c>
      <c r="D140" s="41" t="n">
        <f aca="false">MAX(0,M139)</f>
        <v>0</v>
      </c>
      <c r="E140" s="41" t="n">
        <f aca="false">D140*$F$7</f>
        <v>0</v>
      </c>
      <c r="F140" s="41" t="n">
        <f aca="false">IF(D140&gt;0.5,N($C$15),0)</f>
        <v>0</v>
      </c>
      <c r="G140" s="41" t="n">
        <f aca="false">IF(AND(D140&gt;0.5,N($C$19)&gt;0,N(B140)&lt;=N($C$20)),D140*$F$8,0)</f>
        <v>0</v>
      </c>
      <c r="H140" s="41" t="n">
        <f aca="false">IF(D140&lt;=0.5,0,MIN(IF(N(I140)&gt;0,I140,$F$9),D140+E140+F140))</f>
        <v>0</v>
      </c>
      <c r="I140" s="77"/>
      <c r="J140" s="77"/>
      <c r="K140" s="41" t="n">
        <f aca="false">IF(D140&lt;=0.5,0,MIN(H140+N(J140),D140+E140+F140))</f>
        <v>0</v>
      </c>
      <c r="L140" s="41" t="n">
        <f aca="false">K140-E140-F140</f>
        <v>0</v>
      </c>
      <c r="M140" s="41" t="n">
        <f aca="false">D140-L140</f>
        <v>0</v>
      </c>
      <c r="N140" s="42" t="n">
        <f aca="false">K140-G140</f>
        <v>0</v>
      </c>
      <c r="O140" s="78"/>
      <c r="P140" s="79"/>
      <c r="Q140" s="16" t="str">
        <f aca="false">IF(K140=0,"",IF(R140=1,"Pagada",IF(C140&lt;$F$12,"Vencida",IF(114=$F$13,"Próxima","Pendiente"))))</f>
        <v/>
      </c>
      <c r="R140" s="62" t="n">
        <f aca="false">IF(AND(K140&gt;0,OR(O140="Sí",O140="Si")),1,0)</f>
        <v>0</v>
      </c>
      <c r="S140" s="62" t="n">
        <f aca="false">IF(AND(K140&gt;0,R140=0),1,0)</f>
        <v>0</v>
      </c>
    </row>
    <row r="141" customFormat="false" ht="15" hidden="false" customHeight="false" outlineLevel="0" collapsed="false">
      <c r="B141" s="71" t="str">
        <f aca="false">IF($F$6="Sí",N($C$11)+114,"")</f>
        <v/>
      </c>
      <c r="C141" s="72" t="str">
        <f aca="false">IF(OR($F$6&lt;&gt;"Sí",D141&lt;=0.5),"",EDATE($C$10,114))</f>
        <v/>
      </c>
      <c r="D141" s="41" t="n">
        <f aca="false">MAX(0,M140)</f>
        <v>0</v>
      </c>
      <c r="E141" s="41" t="n">
        <f aca="false">D141*$F$7</f>
        <v>0</v>
      </c>
      <c r="F141" s="41" t="n">
        <f aca="false">IF(D141&gt;0.5,N($C$15),0)</f>
        <v>0</v>
      </c>
      <c r="G141" s="41" t="n">
        <f aca="false">IF(AND(D141&gt;0.5,N($C$19)&gt;0,N(B141)&lt;=N($C$20)),D141*$F$8,0)</f>
        <v>0</v>
      </c>
      <c r="H141" s="41" t="n">
        <f aca="false">IF(D141&lt;=0.5,0,MIN(IF(N(I141)&gt;0,I141,$F$9),D141+E141+F141))</f>
        <v>0</v>
      </c>
      <c r="I141" s="77"/>
      <c r="J141" s="77"/>
      <c r="K141" s="41" t="n">
        <f aca="false">IF(D141&lt;=0.5,0,MIN(H141+N(J141),D141+E141+F141))</f>
        <v>0</v>
      </c>
      <c r="L141" s="41" t="n">
        <f aca="false">K141-E141-F141</f>
        <v>0</v>
      </c>
      <c r="M141" s="41" t="n">
        <f aca="false">D141-L141</f>
        <v>0</v>
      </c>
      <c r="N141" s="42" t="n">
        <f aca="false">K141-G141</f>
        <v>0</v>
      </c>
      <c r="O141" s="78"/>
      <c r="P141" s="79"/>
      <c r="Q141" s="16" t="str">
        <f aca="false">IF(K141=0,"",IF(R141=1,"Pagada",IF(C141&lt;$F$12,"Vencida",IF(115=$F$13,"Próxima","Pendiente"))))</f>
        <v/>
      </c>
      <c r="R141" s="62" t="n">
        <f aca="false">IF(AND(K141&gt;0,OR(O141="Sí",O141="Si")),1,0)</f>
        <v>0</v>
      </c>
      <c r="S141" s="62" t="n">
        <f aca="false">IF(AND(K141&gt;0,R141=0),1,0)</f>
        <v>0</v>
      </c>
    </row>
    <row r="142" customFormat="false" ht="15" hidden="false" customHeight="false" outlineLevel="0" collapsed="false">
      <c r="B142" s="71" t="str">
        <f aca="false">IF($F$6="Sí",N($C$11)+115,"")</f>
        <v/>
      </c>
      <c r="C142" s="72" t="str">
        <f aca="false">IF(OR($F$6&lt;&gt;"Sí",D142&lt;=0.5),"",EDATE($C$10,115))</f>
        <v/>
      </c>
      <c r="D142" s="41" t="n">
        <f aca="false">MAX(0,M141)</f>
        <v>0</v>
      </c>
      <c r="E142" s="41" t="n">
        <f aca="false">D142*$F$7</f>
        <v>0</v>
      </c>
      <c r="F142" s="41" t="n">
        <f aca="false">IF(D142&gt;0.5,N($C$15),0)</f>
        <v>0</v>
      </c>
      <c r="G142" s="41" t="n">
        <f aca="false">IF(AND(D142&gt;0.5,N($C$19)&gt;0,N(B142)&lt;=N($C$20)),D142*$F$8,0)</f>
        <v>0</v>
      </c>
      <c r="H142" s="41" t="n">
        <f aca="false">IF(D142&lt;=0.5,0,MIN(IF(N(I142)&gt;0,I142,$F$9),D142+E142+F142))</f>
        <v>0</v>
      </c>
      <c r="I142" s="77"/>
      <c r="J142" s="77"/>
      <c r="K142" s="41" t="n">
        <f aca="false">IF(D142&lt;=0.5,0,MIN(H142+N(J142),D142+E142+F142))</f>
        <v>0</v>
      </c>
      <c r="L142" s="41" t="n">
        <f aca="false">K142-E142-F142</f>
        <v>0</v>
      </c>
      <c r="M142" s="41" t="n">
        <f aca="false">D142-L142</f>
        <v>0</v>
      </c>
      <c r="N142" s="42" t="n">
        <f aca="false">K142-G142</f>
        <v>0</v>
      </c>
      <c r="O142" s="78"/>
      <c r="P142" s="79"/>
      <c r="Q142" s="16" t="str">
        <f aca="false">IF(K142=0,"",IF(R142=1,"Pagada",IF(C142&lt;$F$12,"Vencida",IF(116=$F$13,"Próxima","Pendiente"))))</f>
        <v/>
      </c>
      <c r="R142" s="62" t="n">
        <f aca="false">IF(AND(K142&gt;0,OR(O142="Sí",O142="Si")),1,0)</f>
        <v>0</v>
      </c>
      <c r="S142" s="62" t="n">
        <f aca="false">IF(AND(K142&gt;0,R142=0),1,0)</f>
        <v>0</v>
      </c>
    </row>
    <row r="143" customFormat="false" ht="15" hidden="false" customHeight="false" outlineLevel="0" collapsed="false">
      <c r="B143" s="71" t="str">
        <f aca="false">IF($F$6="Sí",N($C$11)+116,"")</f>
        <v/>
      </c>
      <c r="C143" s="72" t="str">
        <f aca="false">IF(OR($F$6&lt;&gt;"Sí",D143&lt;=0.5),"",EDATE($C$10,116))</f>
        <v/>
      </c>
      <c r="D143" s="41" t="n">
        <f aca="false">MAX(0,M142)</f>
        <v>0</v>
      </c>
      <c r="E143" s="41" t="n">
        <f aca="false">D143*$F$7</f>
        <v>0</v>
      </c>
      <c r="F143" s="41" t="n">
        <f aca="false">IF(D143&gt;0.5,N($C$15),0)</f>
        <v>0</v>
      </c>
      <c r="G143" s="41" t="n">
        <f aca="false">IF(AND(D143&gt;0.5,N($C$19)&gt;0,N(B143)&lt;=N($C$20)),D143*$F$8,0)</f>
        <v>0</v>
      </c>
      <c r="H143" s="41" t="n">
        <f aca="false">IF(D143&lt;=0.5,0,MIN(IF(N(I143)&gt;0,I143,$F$9),D143+E143+F143))</f>
        <v>0</v>
      </c>
      <c r="I143" s="77"/>
      <c r="J143" s="77"/>
      <c r="K143" s="41" t="n">
        <f aca="false">IF(D143&lt;=0.5,0,MIN(H143+N(J143),D143+E143+F143))</f>
        <v>0</v>
      </c>
      <c r="L143" s="41" t="n">
        <f aca="false">K143-E143-F143</f>
        <v>0</v>
      </c>
      <c r="M143" s="41" t="n">
        <f aca="false">D143-L143</f>
        <v>0</v>
      </c>
      <c r="N143" s="42" t="n">
        <f aca="false">K143-G143</f>
        <v>0</v>
      </c>
      <c r="O143" s="78"/>
      <c r="P143" s="79"/>
      <c r="Q143" s="16" t="str">
        <f aca="false">IF(K143=0,"",IF(R143=1,"Pagada",IF(C143&lt;$F$12,"Vencida",IF(117=$F$13,"Próxima","Pendiente"))))</f>
        <v/>
      </c>
      <c r="R143" s="62" t="n">
        <f aca="false">IF(AND(K143&gt;0,OR(O143="Sí",O143="Si")),1,0)</f>
        <v>0</v>
      </c>
      <c r="S143" s="62" t="n">
        <f aca="false">IF(AND(K143&gt;0,R143=0),1,0)</f>
        <v>0</v>
      </c>
    </row>
    <row r="144" customFormat="false" ht="15" hidden="false" customHeight="false" outlineLevel="0" collapsed="false">
      <c r="B144" s="71" t="str">
        <f aca="false">IF($F$6="Sí",N($C$11)+117,"")</f>
        <v/>
      </c>
      <c r="C144" s="72" t="str">
        <f aca="false">IF(OR($F$6&lt;&gt;"Sí",D144&lt;=0.5),"",EDATE($C$10,117))</f>
        <v/>
      </c>
      <c r="D144" s="41" t="n">
        <f aca="false">MAX(0,M143)</f>
        <v>0</v>
      </c>
      <c r="E144" s="41" t="n">
        <f aca="false">D144*$F$7</f>
        <v>0</v>
      </c>
      <c r="F144" s="41" t="n">
        <f aca="false">IF(D144&gt;0.5,N($C$15),0)</f>
        <v>0</v>
      </c>
      <c r="G144" s="41" t="n">
        <f aca="false">IF(AND(D144&gt;0.5,N($C$19)&gt;0,N(B144)&lt;=N($C$20)),D144*$F$8,0)</f>
        <v>0</v>
      </c>
      <c r="H144" s="41" t="n">
        <f aca="false">IF(D144&lt;=0.5,0,MIN(IF(N(I144)&gt;0,I144,$F$9),D144+E144+F144))</f>
        <v>0</v>
      </c>
      <c r="I144" s="77"/>
      <c r="J144" s="77"/>
      <c r="K144" s="41" t="n">
        <f aca="false">IF(D144&lt;=0.5,0,MIN(H144+N(J144),D144+E144+F144))</f>
        <v>0</v>
      </c>
      <c r="L144" s="41" t="n">
        <f aca="false">K144-E144-F144</f>
        <v>0</v>
      </c>
      <c r="M144" s="41" t="n">
        <f aca="false">D144-L144</f>
        <v>0</v>
      </c>
      <c r="N144" s="42" t="n">
        <f aca="false">K144-G144</f>
        <v>0</v>
      </c>
      <c r="O144" s="78"/>
      <c r="P144" s="79"/>
      <c r="Q144" s="16" t="str">
        <f aca="false">IF(K144=0,"",IF(R144=1,"Pagada",IF(C144&lt;$F$12,"Vencida",IF(118=$F$13,"Próxima","Pendiente"))))</f>
        <v/>
      </c>
      <c r="R144" s="62" t="n">
        <f aca="false">IF(AND(K144&gt;0,OR(O144="Sí",O144="Si")),1,0)</f>
        <v>0</v>
      </c>
      <c r="S144" s="62" t="n">
        <f aca="false">IF(AND(K144&gt;0,R144=0),1,0)</f>
        <v>0</v>
      </c>
    </row>
    <row r="145" customFormat="false" ht="15" hidden="false" customHeight="false" outlineLevel="0" collapsed="false">
      <c r="B145" s="71" t="str">
        <f aca="false">IF($F$6="Sí",N($C$11)+118,"")</f>
        <v/>
      </c>
      <c r="C145" s="72" t="str">
        <f aca="false">IF(OR($F$6&lt;&gt;"Sí",D145&lt;=0.5),"",EDATE($C$10,118))</f>
        <v/>
      </c>
      <c r="D145" s="41" t="n">
        <f aca="false">MAX(0,M144)</f>
        <v>0</v>
      </c>
      <c r="E145" s="41" t="n">
        <f aca="false">D145*$F$7</f>
        <v>0</v>
      </c>
      <c r="F145" s="41" t="n">
        <f aca="false">IF(D145&gt;0.5,N($C$15),0)</f>
        <v>0</v>
      </c>
      <c r="G145" s="41" t="n">
        <f aca="false">IF(AND(D145&gt;0.5,N($C$19)&gt;0,N(B145)&lt;=N($C$20)),D145*$F$8,0)</f>
        <v>0</v>
      </c>
      <c r="H145" s="41" t="n">
        <f aca="false">IF(D145&lt;=0.5,0,MIN(IF(N(I145)&gt;0,I145,$F$9),D145+E145+F145))</f>
        <v>0</v>
      </c>
      <c r="I145" s="77"/>
      <c r="J145" s="77"/>
      <c r="K145" s="41" t="n">
        <f aca="false">IF(D145&lt;=0.5,0,MIN(H145+N(J145),D145+E145+F145))</f>
        <v>0</v>
      </c>
      <c r="L145" s="41" t="n">
        <f aca="false">K145-E145-F145</f>
        <v>0</v>
      </c>
      <c r="M145" s="41" t="n">
        <f aca="false">D145-L145</f>
        <v>0</v>
      </c>
      <c r="N145" s="42" t="n">
        <f aca="false">K145-G145</f>
        <v>0</v>
      </c>
      <c r="O145" s="78"/>
      <c r="P145" s="79"/>
      <c r="Q145" s="16" t="str">
        <f aca="false">IF(K145=0,"",IF(R145=1,"Pagada",IF(C145&lt;$F$12,"Vencida",IF(119=$F$13,"Próxima","Pendiente"))))</f>
        <v/>
      </c>
      <c r="R145" s="62" t="n">
        <f aca="false">IF(AND(K145&gt;0,OR(O145="Sí",O145="Si")),1,0)</f>
        <v>0</v>
      </c>
      <c r="S145" s="62" t="n">
        <f aca="false">IF(AND(K145&gt;0,R145=0),1,0)</f>
        <v>0</v>
      </c>
    </row>
    <row r="146" customFormat="false" ht="15" hidden="false" customHeight="false" outlineLevel="0" collapsed="false">
      <c r="B146" s="71" t="str">
        <f aca="false">IF($F$6="Sí",N($C$11)+119,"")</f>
        <v/>
      </c>
      <c r="C146" s="72" t="str">
        <f aca="false">IF(OR($F$6&lt;&gt;"Sí",D146&lt;=0.5),"",EDATE($C$10,119))</f>
        <v/>
      </c>
      <c r="D146" s="41" t="n">
        <f aca="false">MAX(0,M145)</f>
        <v>0</v>
      </c>
      <c r="E146" s="41" t="n">
        <f aca="false">D146*$F$7</f>
        <v>0</v>
      </c>
      <c r="F146" s="41" t="n">
        <f aca="false">IF(D146&gt;0.5,N($C$15),0)</f>
        <v>0</v>
      </c>
      <c r="G146" s="41" t="n">
        <f aca="false">IF(AND(D146&gt;0.5,N($C$19)&gt;0,N(B146)&lt;=N($C$20)),D146*$F$8,0)</f>
        <v>0</v>
      </c>
      <c r="H146" s="41" t="n">
        <f aca="false">IF(D146&lt;=0.5,0,MIN(IF(N(I146)&gt;0,I146,$F$9),D146+E146+F146))</f>
        <v>0</v>
      </c>
      <c r="I146" s="77"/>
      <c r="J146" s="77"/>
      <c r="K146" s="41" t="n">
        <f aca="false">IF(D146&lt;=0.5,0,MIN(H146+N(J146),D146+E146+F146))</f>
        <v>0</v>
      </c>
      <c r="L146" s="41" t="n">
        <f aca="false">K146-E146-F146</f>
        <v>0</v>
      </c>
      <c r="M146" s="41" t="n">
        <f aca="false">D146-L146</f>
        <v>0</v>
      </c>
      <c r="N146" s="42" t="n">
        <f aca="false">K146-G146</f>
        <v>0</v>
      </c>
      <c r="O146" s="78"/>
      <c r="P146" s="79"/>
      <c r="Q146" s="16" t="str">
        <f aca="false">IF(K146=0,"",IF(R146=1,"Pagada",IF(C146&lt;$F$12,"Vencida",IF(120=$F$13,"Próxima","Pendiente"))))</f>
        <v/>
      </c>
      <c r="R146" s="62" t="n">
        <f aca="false">IF(AND(K146&gt;0,OR(O146="Sí",O146="Si")),1,0)</f>
        <v>0</v>
      </c>
      <c r="S146" s="62" t="n">
        <f aca="false">IF(AND(K146&gt;0,R146=0),1,0)</f>
        <v>0</v>
      </c>
    </row>
    <row r="147" customFormat="false" ht="15" hidden="false" customHeight="false" outlineLevel="0" collapsed="false">
      <c r="B147" s="71" t="str">
        <f aca="false">IF($F$6="Sí",N($C$11)+120,"")</f>
        <v/>
      </c>
      <c r="C147" s="72" t="str">
        <f aca="false">IF(OR($F$6&lt;&gt;"Sí",D147&lt;=0.5),"",EDATE($C$10,120))</f>
        <v/>
      </c>
      <c r="D147" s="41" t="n">
        <f aca="false">MAX(0,M146)</f>
        <v>0</v>
      </c>
      <c r="E147" s="41" t="n">
        <f aca="false">D147*$F$7</f>
        <v>0</v>
      </c>
      <c r="F147" s="41" t="n">
        <f aca="false">IF(D147&gt;0.5,N($C$15),0)</f>
        <v>0</v>
      </c>
      <c r="G147" s="41" t="n">
        <f aca="false">IF(AND(D147&gt;0.5,N($C$19)&gt;0,N(B147)&lt;=N($C$20)),D147*$F$8,0)</f>
        <v>0</v>
      </c>
      <c r="H147" s="41" t="n">
        <f aca="false">IF(D147&lt;=0.5,0,MIN(IF(N(I147)&gt;0,I147,$F$9),D147+E147+F147))</f>
        <v>0</v>
      </c>
      <c r="I147" s="77"/>
      <c r="J147" s="77"/>
      <c r="K147" s="41" t="n">
        <f aca="false">IF(D147&lt;=0.5,0,MIN(H147+N(J147),D147+E147+F147))</f>
        <v>0</v>
      </c>
      <c r="L147" s="41" t="n">
        <f aca="false">K147-E147-F147</f>
        <v>0</v>
      </c>
      <c r="M147" s="41" t="n">
        <f aca="false">D147-L147</f>
        <v>0</v>
      </c>
      <c r="N147" s="42" t="n">
        <f aca="false">K147-G147</f>
        <v>0</v>
      </c>
      <c r="O147" s="78"/>
      <c r="P147" s="79"/>
      <c r="Q147" s="16" t="str">
        <f aca="false">IF(K147=0,"",IF(R147=1,"Pagada",IF(C147&lt;$F$12,"Vencida",IF(121=$F$13,"Próxima","Pendiente"))))</f>
        <v/>
      </c>
      <c r="R147" s="62" t="n">
        <f aca="false">IF(AND(K147&gt;0,OR(O147="Sí",O147="Si")),1,0)</f>
        <v>0</v>
      </c>
      <c r="S147" s="62" t="n">
        <f aca="false">IF(AND(K147&gt;0,R147=0),1,0)</f>
        <v>0</v>
      </c>
    </row>
    <row r="148" customFormat="false" ht="15" hidden="false" customHeight="false" outlineLevel="0" collapsed="false">
      <c r="B148" s="71" t="str">
        <f aca="false">IF($F$6="Sí",N($C$11)+121,"")</f>
        <v/>
      </c>
      <c r="C148" s="72" t="str">
        <f aca="false">IF(OR($F$6&lt;&gt;"Sí",D148&lt;=0.5),"",EDATE($C$10,121))</f>
        <v/>
      </c>
      <c r="D148" s="41" t="n">
        <f aca="false">MAX(0,M147)</f>
        <v>0</v>
      </c>
      <c r="E148" s="41" t="n">
        <f aca="false">D148*$F$7</f>
        <v>0</v>
      </c>
      <c r="F148" s="41" t="n">
        <f aca="false">IF(D148&gt;0.5,N($C$15),0)</f>
        <v>0</v>
      </c>
      <c r="G148" s="41" t="n">
        <f aca="false">IF(AND(D148&gt;0.5,N($C$19)&gt;0,N(B148)&lt;=N($C$20)),D148*$F$8,0)</f>
        <v>0</v>
      </c>
      <c r="H148" s="41" t="n">
        <f aca="false">IF(D148&lt;=0.5,0,MIN(IF(N(I148)&gt;0,I148,$F$9),D148+E148+F148))</f>
        <v>0</v>
      </c>
      <c r="I148" s="77"/>
      <c r="J148" s="77"/>
      <c r="K148" s="41" t="n">
        <f aca="false">IF(D148&lt;=0.5,0,MIN(H148+N(J148),D148+E148+F148))</f>
        <v>0</v>
      </c>
      <c r="L148" s="41" t="n">
        <f aca="false">K148-E148-F148</f>
        <v>0</v>
      </c>
      <c r="M148" s="41" t="n">
        <f aca="false">D148-L148</f>
        <v>0</v>
      </c>
      <c r="N148" s="42" t="n">
        <f aca="false">K148-G148</f>
        <v>0</v>
      </c>
      <c r="O148" s="78"/>
      <c r="P148" s="79"/>
      <c r="Q148" s="16" t="str">
        <f aca="false">IF(K148=0,"",IF(R148=1,"Pagada",IF(C148&lt;$F$12,"Vencida",IF(122=$F$13,"Próxima","Pendiente"))))</f>
        <v/>
      </c>
      <c r="R148" s="62" t="n">
        <f aca="false">IF(AND(K148&gt;0,OR(O148="Sí",O148="Si")),1,0)</f>
        <v>0</v>
      </c>
      <c r="S148" s="62" t="n">
        <f aca="false">IF(AND(K148&gt;0,R148=0),1,0)</f>
        <v>0</v>
      </c>
    </row>
    <row r="149" customFormat="false" ht="15" hidden="false" customHeight="false" outlineLevel="0" collapsed="false">
      <c r="B149" s="71" t="str">
        <f aca="false">IF($F$6="Sí",N($C$11)+122,"")</f>
        <v/>
      </c>
      <c r="C149" s="72" t="str">
        <f aca="false">IF(OR($F$6&lt;&gt;"Sí",D149&lt;=0.5),"",EDATE($C$10,122))</f>
        <v/>
      </c>
      <c r="D149" s="41" t="n">
        <f aca="false">MAX(0,M148)</f>
        <v>0</v>
      </c>
      <c r="E149" s="41" t="n">
        <f aca="false">D149*$F$7</f>
        <v>0</v>
      </c>
      <c r="F149" s="41" t="n">
        <f aca="false">IF(D149&gt;0.5,N($C$15),0)</f>
        <v>0</v>
      </c>
      <c r="G149" s="41" t="n">
        <f aca="false">IF(AND(D149&gt;0.5,N($C$19)&gt;0,N(B149)&lt;=N($C$20)),D149*$F$8,0)</f>
        <v>0</v>
      </c>
      <c r="H149" s="41" t="n">
        <f aca="false">IF(D149&lt;=0.5,0,MIN(IF(N(I149)&gt;0,I149,$F$9),D149+E149+F149))</f>
        <v>0</v>
      </c>
      <c r="I149" s="77"/>
      <c r="J149" s="77"/>
      <c r="K149" s="41" t="n">
        <f aca="false">IF(D149&lt;=0.5,0,MIN(H149+N(J149),D149+E149+F149))</f>
        <v>0</v>
      </c>
      <c r="L149" s="41" t="n">
        <f aca="false">K149-E149-F149</f>
        <v>0</v>
      </c>
      <c r="M149" s="41" t="n">
        <f aca="false">D149-L149</f>
        <v>0</v>
      </c>
      <c r="N149" s="42" t="n">
        <f aca="false">K149-G149</f>
        <v>0</v>
      </c>
      <c r="O149" s="78"/>
      <c r="P149" s="79"/>
      <c r="Q149" s="16" t="str">
        <f aca="false">IF(K149=0,"",IF(R149=1,"Pagada",IF(C149&lt;$F$12,"Vencida",IF(123=$F$13,"Próxima","Pendiente"))))</f>
        <v/>
      </c>
      <c r="R149" s="62" t="n">
        <f aca="false">IF(AND(K149&gt;0,OR(O149="Sí",O149="Si")),1,0)</f>
        <v>0</v>
      </c>
      <c r="S149" s="62" t="n">
        <f aca="false">IF(AND(K149&gt;0,R149=0),1,0)</f>
        <v>0</v>
      </c>
    </row>
    <row r="150" customFormat="false" ht="15" hidden="false" customHeight="false" outlineLevel="0" collapsed="false">
      <c r="B150" s="71" t="str">
        <f aca="false">IF($F$6="Sí",N($C$11)+123,"")</f>
        <v/>
      </c>
      <c r="C150" s="72" t="str">
        <f aca="false">IF(OR($F$6&lt;&gt;"Sí",D150&lt;=0.5),"",EDATE($C$10,123))</f>
        <v/>
      </c>
      <c r="D150" s="41" t="n">
        <f aca="false">MAX(0,M149)</f>
        <v>0</v>
      </c>
      <c r="E150" s="41" t="n">
        <f aca="false">D150*$F$7</f>
        <v>0</v>
      </c>
      <c r="F150" s="41" t="n">
        <f aca="false">IF(D150&gt;0.5,N($C$15),0)</f>
        <v>0</v>
      </c>
      <c r="G150" s="41" t="n">
        <f aca="false">IF(AND(D150&gt;0.5,N($C$19)&gt;0,N(B150)&lt;=N($C$20)),D150*$F$8,0)</f>
        <v>0</v>
      </c>
      <c r="H150" s="41" t="n">
        <f aca="false">IF(D150&lt;=0.5,0,MIN(IF(N(I150)&gt;0,I150,$F$9),D150+E150+F150))</f>
        <v>0</v>
      </c>
      <c r="I150" s="77"/>
      <c r="J150" s="77"/>
      <c r="K150" s="41" t="n">
        <f aca="false">IF(D150&lt;=0.5,0,MIN(H150+N(J150),D150+E150+F150))</f>
        <v>0</v>
      </c>
      <c r="L150" s="41" t="n">
        <f aca="false">K150-E150-F150</f>
        <v>0</v>
      </c>
      <c r="M150" s="41" t="n">
        <f aca="false">D150-L150</f>
        <v>0</v>
      </c>
      <c r="N150" s="42" t="n">
        <f aca="false">K150-G150</f>
        <v>0</v>
      </c>
      <c r="O150" s="78"/>
      <c r="P150" s="79"/>
      <c r="Q150" s="16" t="str">
        <f aca="false">IF(K150=0,"",IF(R150=1,"Pagada",IF(C150&lt;$F$12,"Vencida",IF(124=$F$13,"Próxima","Pendiente"))))</f>
        <v/>
      </c>
      <c r="R150" s="62" t="n">
        <f aca="false">IF(AND(K150&gt;0,OR(O150="Sí",O150="Si")),1,0)</f>
        <v>0</v>
      </c>
      <c r="S150" s="62" t="n">
        <f aca="false">IF(AND(K150&gt;0,R150=0),1,0)</f>
        <v>0</v>
      </c>
    </row>
    <row r="151" customFormat="false" ht="15" hidden="false" customHeight="false" outlineLevel="0" collapsed="false">
      <c r="B151" s="71" t="str">
        <f aca="false">IF($F$6="Sí",N($C$11)+124,"")</f>
        <v/>
      </c>
      <c r="C151" s="72" t="str">
        <f aca="false">IF(OR($F$6&lt;&gt;"Sí",D151&lt;=0.5),"",EDATE($C$10,124))</f>
        <v/>
      </c>
      <c r="D151" s="41" t="n">
        <f aca="false">MAX(0,M150)</f>
        <v>0</v>
      </c>
      <c r="E151" s="41" t="n">
        <f aca="false">D151*$F$7</f>
        <v>0</v>
      </c>
      <c r="F151" s="41" t="n">
        <f aca="false">IF(D151&gt;0.5,N($C$15),0)</f>
        <v>0</v>
      </c>
      <c r="G151" s="41" t="n">
        <f aca="false">IF(AND(D151&gt;0.5,N($C$19)&gt;0,N(B151)&lt;=N($C$20)),D151*$F$8,0)</f>
        <v>0</v>
      </c>
      <c r="H151" s="41" t="n">
        <f aca="false">IF(D151&lt;=0.5,0,MIN(IF(N(I151)&gt;0,I151,$F$9),D151+E151+F151))</f>
        <v>0</v>
      </c>
      <c r="I151" s="77"/>
      <c r="J151" s="77"/>
      <c r="K151" s="41" t="n">
        <f aca="false">IF(D151&lt;=0.5,0,MIN(H151+N(J151),D151+E151+F151))</f>
        <v>0</v>
      </c>
      <c r="L151" s="41" t="n">
        <f aca="false">K151-E151-F151</f>
        <v>0</v>
      </c>
      <c r="M151" s="41" t="n">
        <f aca="false">D151-L151</f>
        <v>0</v>
      </c>
      <c r="N151" s="42" t="n">
        <f aca="false">K151-G151</f>
        <v>0</v>
      </c>
      <c r="O151" s="78"/>
      <c r="P151" s="79"/>
      <c r="Q151" s="16" t="str">
        <f aca="false">IF(K151=0,"",IF(R151=1,"Pagada",IF(C151&lt;$F$12,"Vencida",IF(125=$F$13,"Próxima","Pendiente"))))</f>
        <v/>
      </c>
      <c r="R151" s="62" t="n">
        <f aca="false">IF(AND(K151&gt;0,OR(O151="Sí",O151="Si")),1,0)</f>
        <v>0</v>
      </c>
      <c r="S151" s="62" t="n">
        <f aca="false">IF(AND(K151&gt;0,R151=0),1,0)</f>
        <v>0</v>
      </c>
    </row>
    <row r="152" customFormat="false" ht="15" hidden="false" customHeight="false" outlineLevel="0" collapsed="false">
      <c r="B152" s="71" t="str">
        <f aca="false">IF($F$6="Sí",N($C$11)+125,"")</f>
        <v/>
      </c>
      <c r="C152" s="72" t="str">
        <f aca="false">IF(OR($F$6&lt;&gt;"Sí",D152&lt;=0.5),"",EDATE($C$10,125))</f>
        <v/>
      </c>
      <c r="D152" s="41" t="n">
        <f aca="false">MAX(0,M151)</f>
        <v>0</v>
      </c>
      <c r="E152" s="41" t="n">
        <f aca="false">D152*$F$7</f>
        <v>0</v>
      </c>
      <c r="F152" s="41" t="n">
        <f aca="false">IF(D152&gt;0.5,N($C$15),0)</f>
        <v>0</v>
      </c>
      <c r="G152" s="41" t="n">
        <f aca="false">IF(AND(D152&gt;0.5,N($C$19)&gt;0,N(B152)&lt;=N($C$20)),D152*$F$8,0)</f>
        <v>0</v>
      </c>
      <c r="H152" s="41" t="n">
        <f aca="false">IF(D152&lt;=0.5,0,MIN(IF(N(I152)&gt;0,I152,$F$9),D152+E152+F152))</f>
        <v>0</v>
      </c>
      <c r="I152" s="77"/>
      <c r="J152" s="77"/>
      <c r="K152" s="41" t="n">
        <f aca="false">IF(D152&lt;=0.5,0,MIN(H152+N(J152),D152+E152+F152))</f>
        <v>0</v>
      </c>
      <c r="L152" s="41" t="n">
        <f aca="false">K152-E152-F152</f>
        <v>0</v>
      </c>
      <c r="M152" s="41" t="n">
        <f aca="false">D152-L152</f>
        <v>0</v>
      </c>
      <c r="N152" s="42" t="n">
        <f aca="false">K152-G152</f>
        <v>0</v>
      </c>
      <c r="O152" s="78"/>
      <c r="P152" s="79"/>
      <c r="Q152" s="16" t="str">
        <f aca="false">IF(K152=0,"",IF(R152=1,"Pagada",IF(C152&lt;$F$12,"Vencida",IF(126=$F$13,"Próxima","Pendiente"))))</f>
        <v/>
      </c>
      <c r="R152" s="62" t="n">
        <f aca="false">IF(AND(K152&gt;0,OR(O152="Sí",O152="Si")),1,0)</f>
        <v>0</v>
      </c>
      <c r="S152" s="62" t="n">
        <f aca="false">IF(AND(K152&gt;0,R152=0),1,0)</f>
        <v>0</v>
      </c>
    </row>
    <row r="153" customFormat="false" ht="15" hidden="false" customHeight="false" outlineLevel="0" collapsed="false">
      <c r="B153" s="71" t="str">
        <f aca="false">IF($F$6="Sí",N($C$11)+126,"")</f>
        <v/>
      </c>
      <c r="C153" s="72" t="str">
        <f aca="false">IF(OR($F$6&lt;&gt;"Sí",D153&lt;=0.5),"",EDATE($C$10,126))</f>
        <v/>
      </c>
      <c r="D153" s="41" t="n">
        <f aca="false">MAX(0,M152)</f>
        <v>0</v>
      </c>
      <c r="E153" s="41" t="n">
        <f aca="false">D153*$F$7</f>
        <v>0</v>
      </c>
      <c r="F153" s="41" t="n">
        <f aca="false">IF(D153&gt;0.5,N($C$15),0)</f>
        <v>0</v>
      </c>
      <c r="G153" s="41" t="n">
        <f aca="false">IF(AND(D153&gt;0.5,N($C$19)&gt;0,N(B153)&lt;=N($C$20)),D153*$F$8,0)</f>
        <v>0</v>
      </c>
      <c r="H153" s="41" t="n">
        <f aca="false">IF(D153&lt;=0.5,0,MIN(IF(N(I153)&gt;0,I153,$F$9),D153+E153+F153))</f>
        <v>0</v>
      </c>
      <c r="I153" s="77"/>
      <c r="J153" s="77"/>
      <c r="K153" s="41" t="n">
        <f aca="false">IF(D153&lt;=0.5,0,MIN(H153+N(J153),D153+E153+F153))</f>
        <v>0</v>
      </c>
      <c r="L153" s="41" t="n">
        <f aca="false">K153-E153-F153</f>
        <v>0</v>
      </c>
      <c r="M153" s="41" t="n">
        <f aca="false">D153-L153</f>
        <v>0</v>
      </c>
      <c r="N153" s="42" t="n">
        <f aca="false">K153-G153</f>
        <v>0</v>
      </c>
      <c r="O153" s="78"/>
      <c r="P153" s="79"/>
      <c r="Q153" s="16" t="str">
        <f aca="false">IF(K153=0,"",IF(R153=1,"Pagada",IF(C153&lt;$F$12,"Vencida",IF(127=$F$13,"Próxima","Pendiente"))))</f>
        <v/>
      </c>
      <c r="R153" s="62" t="n">
        <f aca="false">IF(AND(K153&gt;0,OR(O153="Sí",O153="Si")),1,0)</f>
        <v>0</v>
      </c>
      <c r="S153" s="62" t="n">
        <f aca="false">IF(AND(K153&gt;0,R153=0),1,0)</f>
        <v>0</v>
      </c>
    </row>
    <row r="154" customFormat="false" ht="15" hidden="false" customHeight="false" outlineLevel="0" collapsed="false">
      <c r="B154" s="71" t="str">
        <f aca="false">IF($F$6="Sí",N($C$11)+127,"")</f>
        <v/>
      </c>
      <c r="C154" s="72" t="str">
        <f aca="false">IF(OR($F$6&lt;&gt;"Sí",D154&lt;=0.5),"",EDATE($C$10,127))</f>
        <v/>
      </c>
      <c r="D154" s="41" t="n">
        <f aca="false">MAX(0,M153)</f>
        <v>0</v>
      </c>
      <c r="E154" s="41" t="n">
        <f aca="false">D154*$F$7</f>
        <v>0</v>
      </c>
      <c r="F154" s="41" t="n">
        <f aca="false">IF(D154&gt;0.5,N($C$15),0)</f>
        <v>0</v>
      </c>
      <c r="G154" s="41" t="n">
        <f aca="false">IF(AND(D154&gt;0.5,N($C$19)&gt;0,N(B154)&lt;=N($C$20)),D154*$F$8,0)</f>
        <v>0</v>
      </c>
      <c r="H154" s="41" t="n">
        <f aca="false">IF(D154&lt;=0.5,0,MIN(IF(N(I154)&gt;0,I154,$F$9),D154+E154+F154))</f>
        <v>0</v>
      </c>
      <c r="I154" s="77"/>
      <c r="J154" s="77"/>
      <c r="K154" s="41" t="n">
        <f aca="false">IF(D154&lt;=0.5,0,MIN(H154+N(J154),D154+E154+F154))</f>
        <v>0</v>
      </c>
      <c r="L154" s="41" t="n">
        <f aca="false">K154-E154-F154</f>
        <v>0</v>
      </c>
      <c r="M154" s="41" t="n">
        <f aca="false">D154-L154</f>
        <v>0</v>
      </c>
      <c r="N154" s="42" t="n">
        <f aca="false">K154-G154</f>
        <v>0</v>
      </c>
      <c r="O154" s="78"/>
      <c r="P154" s="79"/>
      <c r="Q154" s="16" t="str">
        <f aca="false">IF(K154=0,"",IF(R154=1,"Pagada",IF(C154&lt;$F$12,"Vencida",IF(128=$F$13,"Próxima","Pendiente"))))</f>
        <v/>
      </c>
      <c r="R154" s="62" t="n">
        <f aca="false">IF(AND(K154&gt;0,OR(O154="Sí",O154="Si")),1,0)</f>
        <v>0</v>
      </c>
      <c r="S154" s="62" t="n">
        <f aca="false">IF(AND(K154&gt;0,R154=0),1,0)</f>
        <v>0</v>
      </c>
    </row>
    <row r="155" customFormat="false" ht="15" hidden="false" customHeight="false" outlineLevel="0" collapsed="false">
      <c r="B155" s="71" t="str">
        <f aca="false">IF($F$6="Sí",N($C$11)+128,"")</f>
        <v/>
      </c>
      <c r="C155" s="72" t="str">
        <f aca="false">IF(OR($F$6&lt;&gt;"Sí",D155&lt;=0.5),"",EDATE($C$10,128))</f>
        <v/>
      </c>
      <c r="D155" s="41" t="n">
        <f aca="false">MAX(0,M154)</f>
        <v>0</v>
      </c>
      <c r="E155" s="41" t="n">
        <f aca="false">D155*$F$7</f>
        <v>0</v>
      </c>
      <c r="F155" s="41" t="n">
        <f aca="false">IF(D155&gt;0.5,N($C$15),0)</f>
        <v>0</v>
      </c>
      <c r="G155" s="41" t="n">
        <f aca="false">IF(AND(D155&gt;0.5,N($C$19)&gt;0,N(B155)&lt;=N($C$20)),D155*$F$8,0)</f>
        <v>0</v>
      </c>
      <c r="H155" s="41" t="n">
        <f aca="false">IF(D155&lt;=0.5,0,MIN(IF(N(I155)&gt;0,I155,$F$9),D155+E155+F155))</f>
        <v>0</v>
      </c>
      <c r="I155" s="77"/>
      <c r="J155" s="77"/>
      <c r="K155" s="41" t="n">
        <f aca="false">IF(D155&lt;=0.5,0,MIN(H155+N(J155),D155+E155+F155))</f>
        <v>0</v>
      </c>
      <c r="L155" s="41" t="n">
        <f aca="false">K155-E155-F155</f>
        <v>0</v>
      </c>
      <c r="M155" s="41" t="n">
        <f aca="false">D155-L155</f>
        <v>0</v>
      </c>
      <c r="N155" s="42" t="n">
        <f aca="false">K155-G155</f>
        <v>0</v>
      </c>
      <c r="O155" s="78"/>
      <c r="P155" s="79"/>
      <c r="Q155" s="16" t="str">
        <f aca="false">IF(K155=0,"",IF(R155=1,"Pagada",IF(C155&lt;$F$12,"Vencida",IF(129=$F$13,"Próxima","Pendiente"))))</f>
        <v/>
      </c>
      <c r="R155" s="62" t="n">
        <f aca="false">IF(AND(K155&gt;0,OR(O155="Sí",O155="Si")),1,0)</f>
        <v>0</v>
      </c>
      <c r="S155" s="62" t="n">
        <f aca="false">IF(AND(K155&gt;0,R155=0),1,0)</f>
        <v>0</v>
      </c>
    </row>
    <row r="156" customFormat="false" ht="15" hidden="false" customHeight="false" outlineLevel="0" collapsed="false">
      <c r="B156" s="71" t="str">
        <f aca="false">IF($F$6="Sí",N($C$11)+129,"")</f>
        <v/>
      </c>
      <c r="C156" s="72" t="str">
        <f aca="false">IF(OR($F$6&lt;&gt;"Sí",D156&lt;=0.5),"",EDATE($C$10,129))</f>
        <v/>
      </c>
      <c r="D156" s="41" t="n">
        <f aca="false">MAX(0,M155)</f>
        <v>0</v>
      </c>
      <c r="E156" s="41" t="n">
        <f aca="false">D156*$F$7</f>
        <v>0</v>
      </c>
      <c r="F156" s="41" t="n">
        <f aca="false">IF(D156&gt;0.5,N($C$15),0)</f>
        <v>0</v>
      </c>
      <c r="G156" s="41" t="n">
        <f aca="false">IF(AND(D156&gt;0.5,N($C$19)&gt;0,N(B156)&lt;=N($C$20)),D156*$F$8,0)</f>
        <v>0</v>
      </c>
      <c r="H156" s="41" t="n">
        <f aca="false">IF(D156&lt;=0.5,0,MIN(IF(N(I156)&gt;0,I156,$F$9),D156+E156+F156))</f>
        <v>0</v>
      </c>
      <c r="I156" s="77"/>
      <c r="J156" s="77"/>
      <c r="K156" s="41" t="n">
        <f aca="false">IF(D156&lt;=0.5,0,MIN(H156+N(J156),D156+E156+F156))</f>
        <v>0</v>
      </c>
      <c r="L156" s="41" t="n">
        <f aca="false">K156-E156-F156</f>
        <v>0</v>
      </c>
      <c r="M156" s="41" t="n">
        <f aca="false">D156-L156</f>
        <v>0</v>
      </c>
      <c r="N156" s="42" t="n">
        <f aca="false">K156-G156</f>
        <v>0</v>
      </c>
      <c r="O156" s="78"/>
      <c r="P156" s="79"/>
      <c r="Q156" s="16" t="str">
        <f aca="false">IF(K156=0,"",IF(R156=1,"Pagada",IF(C156&lt;$F$12,"Vencida",IF(130=$F$13,"Próxima","Pendiente"))))</f>
        <v/>
      </c>
      <c r="R156" s="62" t="n">
        <f aca="false">IF(AND(K156&gt;0,OR(O156="Sí",O156="Si")),1,0)</f>
        <v>0</v>
      </c>
      <c r="S156" s="62" t="n">
        <f aca="false">IF(AND(K156&gt;0,R156=0),1,0)</f>
        <v>0</v>
      </c>
    </row>
    <row r="157" customFormat="false" ht="15" hidden="false" customHeight="false" outlineLevel="0" collapsed="false">
      <c r="B157" s="71" t="str">
        <f aca="false">IF($F$6="Sí",N($C$11)+130,"")</f>
        <v/>
      </c>
      <c r="C157" s="72" t="str">
        <f aca="false">IF(OR($F$6&lt;&gt;"Sí",D157&lt;=0.5),"",EDATE($C$10,130))</f>
        <v/>
      </c>
      <c r="D157" s="41" t="n">
        <f aca="false">MAX(0,M156)</f>
        <v>0</v>
      </c>
      <c r="E157" s="41" t="n">
        <f aca="false">D157*$F$7</f>
        <v>0</v>
      </c>
      <c r="F157" s="41" t="n">
        <f aca="false">IF(D157&gt;0.5,N($C$15),0)</f>
        <v>0</v>
      </c>
      <c r="G157" s="41" t="n">
        <f aca="false">IF(AND(D157&gt;0.5,N($C$19)&gt;0,N(B157)&lt;=N($C$20)),D157*$F$8,0)</f>
        <v>0</v>
      </c>
      <c r="H157" s="41" t="n">
        <f aca="false">IF(D157&lt;=0.5,0,MIN(IF(N(I157)&gt;0,I157,$F$9),D157+E157+F157))</f>
        <v>0</v>
      </c>
      <c r="I157" s="77"/>
      <c r="J157" s="77"/>
      <c r="K157" s="41" t="n">
        <f aca="false">IF(D157&lt;=0.5,0,MIN(H157+N(J157),D157+E157+F157))</f>
        <v>0</v>
      </c>
      <c r="L157" s="41" t="n">
        <f aca="false">K157-E157-F157</f>
        <v>0</v>
      </c>
      <c r="M157" s="41" t="n">
        <f aca="false">D157-L157</f>
        <v>0</v>
      </c>
      <c r="N157" s="42" t="n">
        <f aca="false">K157-G157</f>
        <v>0</v>
      </c>
      <c r="O157" s="78"/>
      <c r="P157" s="79"/>
      <c r="Q157" s="16" t="str">
        <f aca="false">IF(K157=0,"",IF(R157=1,"Pagada",IF(C157&lt;$F$12,"Vencida",IF(131=$F$13,"Próxima","Pendiente"))))</f>
        <v/>
      </c>
      <c r="R157" s="62" t="n">
        <f aca="false">IF(AND(K157&gt;0,OR(O157="Sí",O157="Si")),1,0)</f>
        <v>0</v>
      </c>
      <c r="S157" s="62" t="n">
        <f aca="false">IF(AND(K157&gt;0,R157=0),1,0)</f>
        <v>0</v>
      </c>
    </row>
    <row r="158" customFormat="false" ht="15" hidden="false" customHeight="false" outlineLevel="0" collapsed="false">
      <c r="B158" s="71" t="str">
        <f aca="false">IF($F$6="Sí",N($C$11)+131,"")</f>
        <v/>
      </c>
      <c r="C158" s="72" t="str">
        <f aca="false">IF(OR($F$6&lt;&gt;"Sí",D158&lt;=0.5),"",EDATE($C$10,131))</f>
        <v/>
      </c>
      <c r="D158" s="41" t="n">
        <f aca="false">MAX(0,M157)</f>
        <v>0</v>
      </c>
      <c r="E158" s="41" t="n">
        <f aca="false">D158*$F$7</f>
        <v>0</v>
      </c>
      <c r="F158" s="41" t="n">
        <f aca="false">IF(D158&gt;0.5,N($C$15),0)</f>
        <v>0</v>
      </c>
      <c r="G158" s="41" t="n">
        <f aca="false">IF(AND(D158&gt;0.5,N($C$19)&gt;0,N(B158)&lt;=N($C$20)),D158*$F$8,0)</f>
        <v>0</v>
      </c>
      <c r="H158" s="41" t="n">
        <f aca="false">IF(D158&lt;=0.5,0,MIN(IF(N(I158)&gt;0,I158,$F$9),D158+E158+F158))</f>
        <v>0</v>
      </c>
      <c r="I158" s="77"/>
      <c r="J158" s="77"/>
      <c r="K158" s="41" t="n">
        <f aca="false">IF(D158&lt;=0.5,0,MIN(H158+N(J158),D158+E158+F158))</f>
        <v>0</v>
      </c>
      <c r="L158" s="41" t="n">
        <f aca="false">K158-E158-F158</f>
        <v>0</v>
      </c>
      <c r="M158" s="41" t="n">
        <f aca="false">D158-L158</f>
        <v>0</v>
      </c>
      <c r="N158" s="42" t="n">
        <f aca="false">K158-G158</f>
        <v>0</v>
      </c>
      <c r="O158" s="78"/>
      <c r="P158" s="79"/>
      <c r="Q158" s="16" t="str">
        <f aca="false">IF(K158=0,"",IF(R158=1,"Pagada",IF(C158&lt;$F$12,"Vencida",IF(132=$F$13,"Próxima","Pendiente"))))</f>
        <v/>
      </c>
      <c r="R158" s="62" t="n">
        <f aca="false">IF(AND(K158&gt;0,OR(O158="Sí",O158="Si")),1,0)</f>
        <v>0</v>
      </c>
      <c r="S158" s="62" t="n">
        <f aca="false">IF(AND(K158&gt;0,R158=0),1,0)</f>
        <v>0</v>
      </c>
    </row>
    <row r="159" customFormat="false" ht="15" hidden="false" customHeight="false" outlineLevel="0" collapsed="false">
      <c r="B159" s="71" t="str">
        <f aca="false">IF($F$6="Sí",N($C$11)+132,"")</f>
        <v/>
      </c>
      <c r="C159" s="72" t="str">
        <f aca="false">IF(OR($F$6&lt;&gt;"Sí",D159&lt;=0.5),"",EDATE($C$10,132))</f>
        <v/>
      </c>
      <c r="D159" s="41" t="n">
        <f aca="false">MAX(0,M158)</f>
        <v>0</v>
      </c>
      <c r="E159" s="41" t="n">
        <f aca="false">D159*$F$7</f>
        <v>0</v>
      </c>
      <c r="F159" s="41" t="n">
        <f aca="false">IF(D159&gt;0.5,N($C$15),0)</f>
        <v>0</v>
      </c>
      <c r="G159" s="41" t="n">
        <f aca="false">IF(AND(D159&gt;0.5,N($C$19)&gt;0,N(B159)&lt;=N($C$20)),D159*$F$8,0)</f>
        <v>0</v>
      </c>
      <c r="H159" s="41" t="n">
        <f aca="false">IF(D159&lt;=0.5,0,MIN(IF(N(I159)&gt;0,I159,$F$9),D159+E159+F159))</f>
        <v>0</v>
      </c>
      <c r="I159" s="77"/>
      <c r="J159" s="77"/>
      <c r="K159" s="41" t="n">
        <f aca="false">IF(D159&lt;=0.5,0,MIN(H159+N(J159),D159+E159+F159))</f>
        <v>0</v>
      </c>
      <c r="L159" s="41" t="n">
        <f aca="false">K159-E159-F159</f>
        <v>0</v>
      </c>
      <c r="M159" s="41" t="n">
        <f aca="false">D159-L159</f>
        <v>0</v>
      </c>
      <c r="N159" s="42" t="n">
        <f aca="false">K159-G159</f>
        <v>0</v>
      </c>
      <c r="O159" s="78"/>
      <c r="P159" s="79"/>
      <c r="Q159" s="16" t="str">
        <f aca="false">IF(K159=0,"",IF(R159=1,"Pagada",IF(C159&lt;$F$12,"Vencida",IF(133=$F$13,"Próxima","Pendiente"))))</f>
        <v/>
      </c>
      <c r="R159" s="62" t="n">
        <f aca="false">IF(AND(K159&gt;0,OR(O159="Sí",O159="Si")),1,0)</f>
        <v>0</v>
      </c>
      <c r="S159" s="62" t="n">
        <f aca="false">IF(AND(K159&gt;0,R159=0),1,0)</f>
        <v>0</v>
      </c>
    </row>
    <row r="160" customFormat="false" ht="15" hidden="false" customHeight="false" outlineLevel="0" collapsed="false">
      <c r="B160" s="71" t="str">
        <f aca="false">IF($F$6="Sí",N($C$11)+133,"")</f>
        <v/>
      </c>
      <c r="C160" s="72" t="str">
        <f aca="false">IF(OR($F$6&lt;&gt;"Sí",D160&lt;=0.5),"",EDATE($C$10,133))</f>
        <v/>
      </c>
      <c r="D160" s="41" t="n">
        <f aca="false">MAX(0,M159)</f>
        <v>0</v>
      </c>
      <c r="E160" s="41" t="n">
        <f aca="false">D160*$F$7</f>
        <v>0</v>
      </c>
      <c r="F160" s="41" t="n">
        <f aca="false">IF(D160&gt;0.5,N($C$15),0)</f>
        <v>0</v>
      </c>
      <c r="G160" s="41" t="n">
        <f aca="false">IF(AND(D160&gt;0.5,N($C$19)&gt;0,N(B160)&lt;=N($C$20)),D160*$F$8,0)</f>
        <v>0</v>
      </c>
      <c r="H160" s="41" t="n">
        <f aca="false">IF(D160&lt;=0.5,0,MIN(IF(N(I160)&gt;0,I160,$F$9),D160+E160+F160))</f>
        <v>0</v>
      </c>
      <c r="I160" s="77"/>
      <c r="J160" s="77"/>
      <c r="K160" s="41" t="n">
        <f aca="false">IF(D160&lt;=0.5,0,MIN(H160+N(J160),D160+E160+F160))</f>
        <v>0</v>
      </c>
      <c r="L160" s="41" t="n">
        <f aca="false">K160-E160-F160</f>
        <v>0</v>
      </c>
      <c r="M160" s="41" t="n">
        <f aca="false">D160-L160</f>
        <v>0</v>
      </c>
      <c r="N160" s="42" t="n">
        <f aca="false">K160-G160</f>
        <v>0</v>
      </c>
      <c r="O160" s="78"/>
      <c r="P160" s="79"/>
      <c r="Q160" s="16" t="str">
        <f aca="false">IF(K160=0,"",IF(R160=1,"Pagada",IF(C160&lt;$F$12,"Vencida",IF(134=$F$13,"Próxima","Pendiente"))))</f>
        <v/>
      </c>
      <c r="R160" s="62" t="n">
        <f aca="false">IF(AND(K160&gt;0,OR(O160="Sí",O160="Si")),1,0)</f>
        <v>0</v>
      </c>
      <c r="S160" s="62" t="n">
        <f aca="false">IF(AND(K160&gt;0,R160=0),1,0)</f>
        <v>0</v>
      </c>
    </row>
    <row r="161" customFormat="false" ht="15" hidden="false" customHeight="false" outlineLevel="0" collapsed="false">
      <c r="B161" s="71" t="str">
        <f aca="false">IF($F$6="Sí",N($C$11)+134,"")</f>
        <v/>
      </c>
      <c r="C161" s="72" t="str">
        <f aca="false">IF(OR($F$6&lt;&gt;"Sí",D161&lt;=0.5),"",EDATE($C$10,134))</f>
        <v/>
      </c>
      <c r="D161" s="41" t="n">
        <f aca="false">MAX(0,M160)</f>
        <v>0</v>
      </c>
      <c r="E161" s="41" t="n">
        <f aca="false">D161*$F$7</f>
        <v>0</v>
      </c>
      <c r="F161" s="41" t="n">
        <f aca="false">IF(D161&gt;0.5,N($C$15),0)</f>
        <v>0</v>
      </c>
      <c r="G161" s="41" t="n">
        <f aca="false">IF(AND(D161&gt;0.5,N($C$19)&gt;0,N(B161)&lt;=N($C$20)),D161*$F$8,0)</f>
        <v>0</v>
      </c>
      <c r="H161" s="41" t="n">
        <f aca="false">IF(D161&lt;=0.5,0,MIN(IF(N(I161)&gt;0,I161,$F$9),D161+E161+F161))</f>
        <v>0</v>
      </c>
      <c r="I161" s="77"/>
      <c r="J161" s="77"/>
      <c r="K161" s="41" t="n">
        <f aca="false">IF(D161&lt;=0.5,0,MIN(H161+N(J161),D161+E161+F161))</f>
        <v>0</v>
      </c>
      <c r="L161" s="41" t="n">
        <f aca="false">K161-E161-F161</f>
        <v>0</v>
      </c>
      <c r="M161" s="41" t="n">
        <f aca="false">D161-L161</f>
        <v>0</v>
      </c>
      <c r="N161" s="42" t="n">
        <f aca="false">K161-G161</f>
        <v>0</v>
      </c>
      <c r="O161" s="78"/>
      <c r="P161" s="79"/>
      <c r="Q161" s="16" t="str">
        <f aca="false">IF(K161=0,"",IF(R161=1,"Pagada",IF(C161&lt;$F$12,"Vencida",IF(135=$F$13,"Próxima","Pendiente"))))</f>
        <v/>
      </c>
      <c r="R161" s="62" t="n">
        <f aca="false">IF(AND(K161&gt;0,OR(O161="Sí",O161="Si")),1,0)</f>
        <v>0</v>
      </c>
      <c r="S161" s="62" t="n">
        <f aca="false">IF(AND(K161&gt;0,R161=0),1,0)</f>
        <v>0</v>
      </c>
    </row>
    <row r="162" customFormat="false" ht="15" hidden="false" customHeight="false" outlineLevel="0" collapsed="false">
      <c r="B162" s="71" t="str">
        <f aca="false">IF($F$6="Sí",N($C$11)+135,"")</f>
        <v/>
      </c>
      <c r="C162" s="72" t="str">
        <f aca="false">IF(OR($F$6&lt;&gt;"Sí",D162&lt;=0.5),"",EDATE($C$10,135))</f>
        <v/>
      </c>
      <c r="D162" s="41" t="n">
        <f aca="false">MAX(0,M161)</f>
        <v>0</v>
      </c>
      <c r="E162" s="41" t="n">
        <f aca="false">D162*$F$7</f>
        <v>0</v>
      </c>
      <c r="F162" s="41" t="n">
        <f aca="false">IF(D162&gt;0.5,N($C$15),0)</f>
        <v>0</v>
      </c>
      <c r="G162" s="41" t="n">
        <f aca="false">IF(AND(D162&gt;0.5,N($C$19)&gt;0,N(B162)&lt;=N($C$20)),D162*$F$8,0)</f>
        <v>0</v>
      </c>
      <c r="H162" s="41" t="n">
        <f aca="false">IF(D162&lt;=0.5,0,MIN(IF(N(I162)&gt;0,I162,$F$9),D162+E162+F162))</f>
        <v>0</v>
      </c>
      <c r="I162" s="77"/>
      <c r="J162" s="77"/>
      <c r="K162" s="41" t="n">
        <f aca="false">IF(D162&lt;=0.5,0,MIN(H162+N(J162),D162+E162+F162))</f>
        <v>0</v>
      </c>
      <c r="L162" s="41" t="n">
        <f aca="false">K162-E162-F162</f>
        <v>0</v>
      </c>
      <c r="M162" s="41" t="n">
        <f aca="false">D162-L162</f>
        <v>0</v>
      </c>
      <c r="N162" s="42" t="n">
        <f aca="false">K162-G162</f>
        <v>0</v>
      </c>
      <c r="O162" s="78"/>
      <c r="P162" s="79"/>
      <c r="Q162" s="16" t="str">
        <f aca="false">IF(K162=0,"",IF(R162=1,"Pagada",IF(C162&lt;$F$12,"Vencida",IF(136=$F$13,"Próxima","Pendiente"))))</f>
        <v/>
      </c>
      <c r="R162" s="62" t="n">
        <f aca="false">IF(AND(K162&gt;0,OR(O162="Sí",O162="Si")),1,0)</f>
        <v>0</v>
      </c>
      <c r="S162" s="62" t="n">
        <f aca="false">IF(AND(K162&gt;0,R162=0),1,0)</f>
        <v>0</v>
      </c>
    </row>
    <row r="163" customFormat="false" ht="15" hidden="false" customHeight="false" outlineLevel="0" collapsed="false">
      <c r="B163" s="71" t="str">
        <f aca="false">IF($F$6="Sí",N($C$11)+136,"")</f>
        <v/>
      </c>
      <c r="C163" s="72" t="str">
        <f aca="false">IF(OR($F$6&lt;&gt;"Sí",D163&lt;=0.5),"",EDATE($C$10,136))</f>
        <v/>
      </c>
      <c r="D163" s="41" t="n">
        <f aca="false">MAX(0,M162)</f>
        <v>0</v>
      </c>
      <c r="E163" s="41" t="n">
        <f aca="false">D163*$F$7</f>
        <v>0</v>
      </c>
      <c r="F163" s="41" t="n">
        <f aca="false">IF(D163&gt;0.5,N($C$15),0)</f>
        <v>0</v>
      </c>
      <c r="G163" s="41" t="n">
        <f aca="false">IF(AND(D163&gt;0.5,N($C$19)&gt;0,N(B163)&lt;=N($C$20)),D163*$F$8,0)</f>
        <v>0</v>
      </c>
      <c r="H163" s="41" t="n">
        <f aca="false">IF(D163&lt;=0.5,0,MIN(IF(N(I163)&gt;0,I163,$F$9),D163+E163+F163))</f>
        <v>0</v>
      </c>
      <c r="I163" s="77"/>
      <c r="J163" s="77"/>
      <c r="K163" s="41" t="n">
        <f aca="false">IF(D163&lt;=0.5,0,MIN(H163+N(J163),D163+E163+F163))</f>
        <v>0</v>
      </c>
      <c r="L163" s="41" t="n">
        <f aca="false">K163-E163-F163</f>
        <v>0</v>
      </c>
      <c r="M163" s="41" t="n">
        <f aca="false">D163-L163</f>
        <v>0</v>
      </c>
      <c r="N163" s="42" t="n">
        <f aca="false">K163-G163</f>
        <v>0</v>
      </c>
      <c r="O163" s="78"/>
      <c r="P163" s="79"/>
      <c r="Q163" s="16" t="str">
        <f aca="false">IF(K163=0,"",IF(R163=1,"Pagada",IF(C163&lt;$F$12,"Vencida",IF(137=$F$13,"Próxima","Pendiente"))))</f>
        <v/>
      </c>
      <c r="R163" s="62" t="n">
        <f aca="false">IF(AND(K163&gt;0,OR(O163="Sí",O163="Si")),1,0)</f>
        <v>0</v>
      </c>
      <c r="S163" s="62" t="n">
        <f aca="false">IF(AND(K163&gt;0,R163=0),1,0)</f>
        <v>0</v>
      </c>
    </row>
    <row r="164" customFormat="false" ht="15" hidden="false" customHeight="false" outlineLevel="0" collapsed="false">
      <c r="B164" s="71" t="str">
        <f aca="false">IF($F$6="Sí",N($C$11)+137,"")</f>
        <v/>
      </c>
      <c r="C164" s="72" t="str">
        <f aca="false">IF(OR($F$6&lt;&gt;"Sí",D164&lt;=0.5),"",EDATE($C$10,137))</f>
        <v/>
      </c>
      <c r="D164" s="41" t="n">
        <f aca="false">MAX(0,M163)</f>
        <v>0</v>
      </c>
      <c r="E164" s="41" t="n">
        <f aca="false">D164*$F$7</f>
        <v>0</v>
      </c>
      <c r="F164" s="41" t="n">
        <f aca="false">IF(D164&gt;0.5,N($C$15),0)</f>
        <v>0</v>
      </c>
      <c r="G164" s="41" t="n">
        <f aca="false">IF(AND(D164&gt;0.5,N($C$19)&gt;0,N(B164)&lt;=N($C$20)),D164*$F$8,0)</f>
        <v>0</v>
      </c>
      <c r="H164" s="41" t="n">
        <f aca="false">IF(D164&lt;=0.5,0,MIN(IF(N(I164)&gt;0,I164,$F$9),D164+E164+F164))</f>
        <v>0</v>
      </c>
      <c r="I164" s="77"/>
      <c r="J164" s="77"/>
      <c r="K164" s="41" t="n">
        <f aca="false">IF(D164&lt;=0.5,0,MIN(H164+N(J164),D164+E164+F164))</f>
        <v>0</v>
      </c>
      <c r="L164" s="41" t="n">
        <f aca="false">K164-E164-F164</f>
        <v>0</v>
      </c>
      <c r="M164" s="41" t="n">
        <f aca="false">D164-L164</f>
        <v>0</v>
      </c>
      <c r="N164" s="42" t="n">
        <f aca="false">K164-G164</f>
        <v>0</v>
      </c>
      <c r="O164" s="78"/>
      <c r="P164" s="79"/>
      <c r="Q164" s="16" t="str">
        <f aca="false">IF(K164=0,"",IF(R164=1,"Pagada",IF(C164&lt;$F$12,"Vencida",IF(138=$F$13,"Próxima","Pendiente"))))</f>
        <v/>
      </c>
      <c r="R164" s="62" t="n">
        <f aca="false">IF(AND(K164&gt;0,OR(O164="Sí",O164="Si")),1,0)</f>
        <v>0</v>
      </c>
      <c r="S164" s="62" t="n">
        <f aca="false">IF(AND(K164&gt;0,R164=0),1,0)</f>
        <v>0</v>
      </c>
    </row>
    <row r="165" customFormat="false" ht="15" hidden="false" customHeight="false" outlineLevel="0" collapsed="false">
      <c r="B165" s="71" t="str">
        <f aca="false">IF($F$6="Sí",N($C$11)+138,"")</f>
        <v/>
      </c>
      <c r="C165" s="72" t="str">
        <f aca="false">IF(OR($F$6&lt;&gt;"Sí",D165&lt;=0.5),"",EDATE($C$10,138))</f>
        <v/>
      </c>
      <c r="D165" s="41" t="n">
        <f aca="false">MAX(0,M164)</f>
        <v>0</v>
      </c>
      <c r="E165" s="41" t="n">
        <f aca="false">D165*$F$7</f>
        <v>0</v>
      </c>
      <c r="F165" s="41" t="n">
        <f aca="false">IF(D165&gt;0.5,N($C$15),0)</f>
        <v>0</v>
      </c>
      <c r="G165" s="41" t="n">
        <f aca="false">IF(AND(D165&gt;0.5,N($C$19)&gt;0,N(B165)&lt;=N($C$20)),D165*$F$8,0)</f>
        <v>0</v>
      </c>
      <c r="H165" s="41" t="n">
        <f aca="false">IF(D165&lt;=0.5,0,MIN(IF(N(I165)&gt;0,I165,$F$9),D165+E165+F165))</f>
        <v>0</v>
      </c>
      <c r="I165" s="77"/>
      <c r="J165" s="77"/>
      <c r="K165" s="41" t="n">
        <f aca="false">IF(D165&lt;=0.5,0,MIN(H165+N(J165),D165+E165+F165))</f>
        <v>0</v>
      </c>
      <c r="L165" s="41" t="n">
        <f aca="false">K165-E165-F165</f>
        <v>0</v>
      </c>
      <c r="M165" s="41" t="n">
        <f aca="false">D165-L165</f>
        <v>0</v>
      </c>
      <c r="N165" s="42" t="n">
        <f aca="false">K165-G165</f>
        <v>0</v>
      </c>
      <c r="O165" s="78"/>
      <c r="P165" s="79"/>
      <c r="Q165" s="16" t="str">
        <f aca="false">IF(K165=0,"",IF(R165=1,"Pagada",IF(C165&lt;$F$12,"Vencida",IF(139=$F$13,"Próxima","Pendiente"))))</f>
        <v/>
      </c>
      <c r="R165" s="62" t="n">
        <f aca="false">IF(AND(K165&gt;0,OR(O165="Sí",O165="Si")),1,0)</f>
        <v>0</v>
      </c>
      <c r="S165" s="62" t="n">
        <f aca="false">IF(AND(K165&gt;0,R165=0),1,0)</f>
        <v>0</v>
      </c>
    </row>
    <row r="166" customFormat="false" ht="15" hidden="false" customHeight="false" outlineLevel="0" collapsed="false">
      <c r="B166" s="71" t="str">
        <f aca="false">IF($F$6="Sí",N($C$11)+139,"")</f>
        <v/>
      </c>
      <c r="C166" s="72" t="str">
        <f aca="false">IF(OR($F$6&lt;&gt;"Sí",D166&lt;=0.5),"",EDATE($C$10,139))</f>
        <v/>
      </c>
      <c r="D166" s="41" t="n">
        <f aca="false">MAX(0,M165)</f>
        <v>0</v>
      </c>
      <c r="E166" s="41" t="n">
        <f aca="false">D166*$F$7</f>
        <v>0</v>
      </c>
      <c r="F166" s="41" t="n">
        <f aca="false">IF(D166&gt;0.5,N($C$15),0)</f>
        <v>0</v>
      </c>
      <c r="G166" s="41" t="n">
        <f aca="false">IF(AND(D166&gt;0.5,N($C$19)&gt;0,N(B166)&lt;=N($C$20)),D166*$F$8,0)</f>
        <v>0</v>
      </c>
      <c r="H166" s="41" t="n">
        <f aca="false">IF(D166&lt;=0.5,0,MIN(IF(N(I166)&gt;0,I166,$F$9),D166+E166+F166))</f>
        <v>0</v>
      </c>
      <c r="I166" s="77"/>
      <c r="J166" s="77"/>
      <c r="K166" s="41" t="n">
        <f aca="false">IF(D166&lt;=0.5,0,MIN(H166+N(J166),D166+E166+F166))</f>
        <v>0</v>
      </c>
      <c r="L166" s="41" t="n">
        <f aca="false">K166-E166-F166</f>
        <v>0</v>
      </c>
      <c r="M166" s="41" t="n">
        <f aca="false">D166-L166</f>
        <v>0</v>
      </c>
      <c r="N166" s="42" t="n">
        <f aca="false">K166-G166</f>
        <v>0</v>
      </c>
      <c r="O166" s="78"/>
      <c r="P166" s="79"/>
      <c r="Q166" s="16" t="str">
        <f aca="false">IF(K166=0,"",IF(R166=1,"Pagada",IF(C166&lt;$F$12,"Vencida",IF(140=$F$13,"Próxima","Pendiente"))))</f>
        <v/>
      </c>
      <c r="R166" s="62" t="n">
        <f aca="false">IF(AND(K166&gt;0,OR(O166="Sí",O166="Si")),1,0)</f>
        <v>0</v>
      </c>
      <c r="S166" s="62" t="n">
        <f aca="false">IF(AND(K166&gt;0,R166=0),1,0)</f>
        <v>0</v>
      </c>
    </row>
    <row r="167" customFormat="false" ht="15" hidden="false" customHeight="false" outlineLevel="0" collapsed="false">
      <c r="B167" s="71" t="str">
        <f aca="false">IF($F$6="Sí",N($C$11)+140,"")</f>
        <v/>
      </c>
      <c r="C167" s="72" t="str">
        <f aca="false">IF(OR($F$6&lt;&gt;"Sí",D167&lt;=0.5),"",EDATE($C$10,140))</f>
        <v/>
      </c>
      <c r="D167" s="41" t="n">
        <f aca="false">MAX(0,M166)</f>
        <v>0</v>
      </c>
      <c r="E167" s="41" t="n">
        <f aca="false">D167*$F$7</f>
        <v>0</v>
      </c>
      <c r="F167" s="41" t="n">
        <f aca="false">IF(D167&gt;0.5,N($C$15),0)</f>
        <v>0</v>
      </c>
      <c r="G167" s="41" t="n">
        <f aca="false">IF(AND(D167&gt;0.5,N($C$19)&gt;0,N(B167)&lt;=N($C$20)),D167*$F$8,0)</f>
        <v>0</v>
      </c>
      <c r="H167" s="41" t="n">
        <f aca="false">IF(D167&lt;=0.5,0,MIN(IF(N(I167)&gt;0,I167,$F$9),D167+E167+F167))</f>
        <v>0</v>
      </c>
      <c r="I167" s="77"/>
      <c r="J167" s="77"/>
      <c r="K167" s="41" t="n">
        <f aca="false">IF(D167&lt;=0.5,0,MIN(H167+N(J167),D167+E167+F167))</f>
        <v>0</v>
      </c>
      <c r="L167" s="41" t="n">
        <f aca="false">K167-E167-F167</f>
        <v>0</v>
      </c>
      <c r="M167" s="41" t="n">
        <f aca="false">D167-L167</f>
        <v>0</v>
      </c>
      <c r="N167" s="42" t="n">
        <f aca="false">K167-G167</f>
        <v>0</v>
      </c>
      <c r="O167" s="78"/>
      <c r="P167" s="79"/>
      <c r="Q167" s="16" t="str">
        <f aca="false">IF(K167=0,"",IF(R167=1,"Pagada",IF(C167&lt;$F$12,"Vencida",IF(141=$F$13,"Próxima","Pendiente"))))</f>
        <v/>
      </c>
      <c r="R167" s="62" t="n">
        <f aca="false">IF(AND(K167&gt;0,OR(O167="Sí",O167="Si")),1,0)</f>
        <v>0</v>
      </c>
      <c r="S167" s="62" t="n">
        <f aca="false">IF(AND(K167&gt;0,R167=0),1,0)</f>
        <v>0</v>
      </c>
    </row>
    <row r="168" customFormat="false" ht="15" hidden="false" customHeight="false" outlineLevel="0" collapsed="false">
      <c r="B168" s="71" t="str">
        <f aca="false">IF($F$6="Sí",N($C$11)+141,"")</f>
        <v/>
      </c>
      <c r="C168" s="72" t="str">
        <f aca="false">IF(OR($F$6&lt;&gt;"Sí",D168&lt;=0.5),"",EDATE($C$10,141))</f>
        <v/>
      </c>
      <c r="D168" s="41" t="n">
        <f aca="false">MAX(0,M167)</f>
        <v>0</v>
      </c>
      <c r="E168" s="41" t="n">
        <f aca="false">D168*$F$7</f>
        <v>0</v>
      </c>
      <c r="F168" s="41" t="n">
        <f aca="false">IF(D168&gt;0.5,N($C$15),0)</f>
        <v>0</v>
      </c>
      <c r="G168" s="41" t="n">
        <f aca="false">IF(AND(D168&gt;0.5,N($C$19)&gt;0,N(B168)&lt;=N($C$20)),D168*$F$8,0)</f>
        <v>0</v>
      </c>
      <c r="H168" s="41" t="n">
        <f aca="false">IF(D168&lt;=0.5,0,MIN(IF(N(I168)&gt;0,I168,$F$9),D168+E168+F168))</f>
        <v>0</v>
      </c>
      <c r="I168" s="77"/>
      <c r="J168" s="77"/>
      <c r="K168" s="41" t="n">
        <f aca="false">IF(D168&lt;=0.5,0,MIN(H168+N(J168),D168+E168+F168))</f>
        <v>0</v>
      </c>
      <c r="L168" s="41" t="n">
        <f aca="false">K168-E168-F168</f>
        <v>0</v>
      </c>
      <c r="M168" s="41" t="n">
        <f aca="false">D168-L168</f>
        <v>0</v>
      </c>
      <c r="N168" s="42" t="n">
        <f aca="false">K168-G168</f>
        <v>0</v>
      </c>
      <c r="O168" s="78"/>
      <c r="P168" s="79"/>
      <c r="Q168" s="16" t="str">
        <f aca="false">IF(K168=0,"",IF(R168=1,"Pagada",IF(C168&lt;$F$12,"Vencida",IF(142=$F$13,"Próxima","Pendiente"))))</f>
        <v/>
      </c>
      <c r="R168" s="62" t="n">
        <f aca="false">IF(AND(K168&gt;0,OR(O168="Sí",O168="Si")),1,0)</f>
        <v>0</v>
      </c>
      <c r="S168" s="62" t="n">
        <f aca="false">IF(AND(K168&gt;0,R168=0),1,0)</f>
        <v>0</v>
      </c>
    </row>
    <row r="169" customFormat="false" ht="15" hidden="false" customHeight="false" outlineLevel="0" collapsed="false">
      <c r="B169" s="71" t="str">
        <f aca="false">IF($F$6="Sí",N($C$11)+142,"")</f>
        <v/>
      </c>
      <c r="C169" s="72" t="str">
        <f aca="false">IF(OR($F$6&lt;&gt;"Sí",D169&lt;=0.5),"",EDATE($C$10,142))</f>
        <v/>
      </c>
      <c r="D169" s="41" t="n">
        <f aca="false">MAX(0,M168)</f>
        <v>0</v>
      </c>
      <c r="E169" s="41" t="n">
        <f aca="false">D169*$F$7</f>
        <v>0</v>
      </c>
      <c r="F169" s="41" t="n">
        <f aca="false">IF(D169&gt;0.5,N($C$15),0)</f>
        <v>0</v>
      </c>
      <c r="G169" s="41" t="n">
        <f aca="false">IF(AND(D169&gt;0.5,N($C$19)&gt;0,N(B169)&lt;=N($C$20)),D169*$F$8,0)</f>
        <v>0</v>
      </c>
      <c r="H169" s="41" t="n">
        <f aca="false">IF(D169&lt;=0.5,0,MIN(IF(N(I169)&gt;0,I169,$F$9),D169+E169+F169))</f>
        <v>0</v>
      </c>
      <c r="I169" s="77"/>
      <c r="J169" s="77"/>
      <c r="K169" s="41" t="n">
        <f aca="false">IF(D169&lt;=0.5,0,MIN(H169+N(J169),D169+E169+F169))</f>
        <v>0</v>
      </c>
      <c r="L169" s="41" t="n">
        <f aca="false">K169-E169-F169</f>
        <v>0</v>
      </c>
      <c r="M169" s="41" t="n">
        <f aca="false">D169-L169</f>
        <v>0</v>
      </c>
      <c r="N169" s="42" t="n">
        <f aca="false">K169-G169</f>
        <v>0</v>
      </c>
      <c r="O169" s="78"/>
      <c r="P169" s="79"/>
      <c r="Q169" s="16" t="str">
        <f aca="false">IF(K169=0,"",IF(R169=1,"Pagada",IF(C169&lt;$F$12,"Vencida",IF(143=$F$13,"Próxima","Pendiente"))))</f>
        <v/>
      </c>
      <c r="R169" s="62" t="n">
        <f aca="false">IF(AND(K169&gt;0,OR(O169="Sí",O169="Si")),1,0)</f>
        <v>0</v>
      </c>
      <c r="S169" s="62" t="n">
        <f aca="false">IF(AND(K169&gt;0,R169=0),1,0)</f>
        <v>0</v>
      </c>
    </row>
    <row r="170" customFormat="false" ht="15" hidden="false" customHeight="false" outlineLevel="0" collapsed="false">
      <c r="B170" s="71" t="str">
        <f aca="false">IF($F$6="Sí",N($C$11)+143,"")</f>
        <v/>
      </c>
      <c r="C170" s="72" t="str">
        <f aca="false">IF(OR($F$6&lt;&gt;"Sí",D170&lt;=0.5),"",EDATE($C$10,143))</f>
        <v/>
      </c>
      <c r="D170" s="41" t="n">
        <f aca="false">MAX(0,M169)</f>
        <v>0</v>
      </c>
      <c r="E170" s="41" t="n">
        <f aca="false">D170*$F$7</f>
        <v>0</v>
      </c>
      <c r="F170" s="41" t="n">
        <f aca="false">IF(D170&gt;0.5,N($C$15),0)</f>
        <v>0</v>
      </c>
      <c r="G170" s="41" t="n">
        <f aca="false">IF(AND(D170&gt;0.5,N($C$19)&gt;0,N(B170)&lt;=N($C$20)),D170*$F$8,0)</f>
        <v>0</v>
      </c>
      <c r="H170" s="41" t="n">
        <f aca="false">IF(D170&lt;=0.5,0,MIN(IF(N(I170)&gt;0,I170,$F$9),D170+E170+F170))</f>
        <v>0</v>
      </c>
      <c r="I170" s="77"/>
      <c r="J170" s="77"/>
      <c r="K170" s="41" t="n">
        <f aca="false">IF(D170&lt;=0.5,0,MIN(H170+N(J170),D170+E170+F170))</f>
        <v>0</v>
      </c>
      <c r="L170" s="41" t="n">
        <f aca="false">K170-E170-F170</f>
        <v>0</v>
      </c>
      <c r="M170" s="41" t="n">
        <f aca="false">D170-L170</f>
        <v>0</v>
      </c>
      <c r="N170" s="42" t="n">
        <f aca="false">K170-G170</f>
        <v>0</v>
      </c>
      <c r="O170" s="78"/>
      <c r="P170" s="79"/>
      <c r="Q170" s="16" t="str">
        <f aca="false">IF(K170=0,"",IF(R170=1,"Pagada",IF(C170&lt;$F$12,"Vencida",IF(144=$F$13,"Próxima","Pendiente"))))</f>
        <v/>
      </c>
      <c r="R170" s="62" t="n">
        <f aca="false">IF(AND(K170&gt;0,OR(O170="Sí",O170="Si")),1,0)</f>
        <v>0</v>
      </c>
      <c r="S170" s="62" t="n">
        <f aca="false">IF(AND(K170&gt;0,R170=0),1,0)</f>
        <v>0</v>
      </c>
    </row>
    <row r="171" customFormat="false" ht="15" hidden="false" customHeight="false" outlineLevel="0" collapsed="false">
      <c r="B171" s="71" t="str">
        <f aca="false">IF($F$6="Sí",N($C$11)+144,"")</f>
        <v/>
      </c>
      <c r="C171" s="72" t="str">
        <f aca="false">IF(OR($F$6&lt;&gt;"Sí",D171&lt;=0.5),"",EDATE($C$10,144))</f>
        <v/>
      </c>
      <c r="D171" s="41" t="n">
        <f aca="false">MAX(0,M170)</f>
        <v>0</v>
      </c>
      <c r="E171" s="41" t="n">
        <f aca="false">D171*$F$7</f>
        <v>0</v>
      </c>
      <c r="F171" s="41" t="n">
        <f aca="false">IF(D171&gt;0.5,N($C$15),0)</f>
        <v>0</v>
      </c>
      <c r="G171" s="41" t="n">
        <f aca="false">IF(AND(D171&gt;0.5,N($C$19)&gt;0,N(B171)&lt;=N($C$20)),D171*$F$8,0)</f>
        <v>0</v>
      </c>
      <c r="H171" s="41" t="n">
        <f aca="false">IF(D171&lt;=0.5,0,MIN(IF(N(I171)&gt;0,I171,$F$9),D171+E171+F171))</f>
        <v>0</v>
      </c>
      <c r="I171" s="77"/>
      <c r="J171" s="77"/>
      <c r="K171" s="41" t="n">
        <f aca="false">IF(D171&lt;=0.5,0,MIN(H171+N(J171),D171+E171+F171))</f>
        <v>0</v>
      </c>
      <c r="L171" s="41" t="n">
        <f aca="false">K171-E171-F171</f>
        <v>0</v>
      </c>
      <c r="M171" s="41" t="n">
        <f aca="false">D171-L171</f>
        <v>0</v>
      </c>
      <c r="N171" s="42" t="n">
        <f aca="false">K171-G171</f>
        <v>0</v>
      </c>
      <c r="O171" s="78"/>
      <c r="P171" s="79"/>
      <c r="Q171" s="16" t="str">
        <f aca="false">IF(K171=0,"",IF(R171=1,"Pagada",IF(C171&lt;$F$12,"Vencida",IF(145=$F$13,"Próxima","Pendiente"))))</f>
        <v/>
      </c>
      <c r="R171" s="62" t="n">
        <f aca="false">IF(AND(K171&gt;0,OR(O171="Sí",O171="Si")),1,0)</f>
        <v>0</v>
      </c>
      <c r="S171" s="62" t="n">
        <f aca="false">IF(AND(K171&gt;0,R171=0),1,0)</f>
        <v>0</v>
      </c>
    </row>
    <row r="172" customFormat="false" ht="15" hidden="false" customHeight="false" outlineLevel="0" collapsed="false">
      <c r="B172" s="71" t="str">
        <f aca="false">IF($F$6="Sí",N($C$11)+145,"")</f>
        <v/>
      </c>
      <c r="C172" s="72" t="str">
        <f aca="false">IF(OR($F$6&lt;&gt;"Sí",D172&lt;=0.5),"",EDATE($C$10,145))</f>
        <v/>
      </c>
      <c r="D172" s="41" t="n">
        <f aca="false">MAX(0,M171)</f>
        <v>0</v>
      </c>
      <c r="E172" s="41" t="n">
        <f aca="false">D172*$F$7</f>
        <v>0</v>
      </c>
      <c r="F172" s="41" t="n">
        <f aca="false">IF(D172&gt;0.5,N($C$15),0)</f>
        <v>0</v>
      </c>
      <c r="G172" s="41" t="n">
        <f aca="false">IF(AND(D172&gt;0.5,N($C$19)&gt;0,N(B172)&lt;=N($C$20)),D172*$F$8,0)</f>
        <v>0</v>
      </c>
      <c r="H172" s="41" t="n">
        <f aca="false">IF(D172&lt;=0.5,0,MIN(IF(N(I172)&gt;0,I172,$F$9),D172+E172+F172))</f>
        <v>0</v>
      </c>
      <c r="I172" s="77"/>
      <c r="J172" s="77"/>
      <c r="K172" s="41" t="n">
        <f aca="false">IF(D172&lt;=0.5,0,MIN(H172+N(J172),D172+E172+F172))</f>
        <v>0</v>
      </c>
      <c r="L172" s="41" t="n">
        <f aca="false">K172-E172-F172</f>
        <v>0</v>
      </c>
      <c r="M172" s="41" t="n">
        <f aca="false">D172-L172</f>
        <v>0</v>
      </c>
      <c r="N172" s="42" t="n">
        <f aca="false">K172-G172</f>
        <v>0</v>
      </c>
      <c r="O172" s="78"/>
      <c r="P172" s="79"/>
      <c r="Q172" s="16" t="str">
        <f aca="false">IF(K172=0,"",IF(R172=1,"Pagada",IF(C172&lt;$F$12,"Vencida",IF(146=$F$13,"Próxima","Pendiente"))))</f>
        <v/>
      </c>
      <c r="R172" s="62" t="n">
        <f aca="false">IF(AND(K172&gt;0,OR(O172="Sí",O172="Si")),1,0)</f>
        <v>0</v>
      </c>
      <c r="S172" s="62" t="n">
        <f aca="false">IF(AND(K172&gt;0,R172=0),1,0)</f>
        <v>0</v>
      </c>
    </row>
    <row r="173" customFormat="false" ht="15" hidden="false" customHeight="false" outlineLevel="0" collapsed="false">
      <c r="B173" s="71" t="str">
        <f aca="false">IF($F$6="Sí",N($C$11)+146,"")</f>
        <v/>
      </c>
      <c r="C173" s="72" t="str">
        <f aca="false">IF(OR($F$6&lt;&gt;"Sí",D173&lt;=0.5),"",EDATE($C$10,146))</f>
        <v/>
      </c>
      <c r="D173" s="41" t="n">
        <f aca="false">MAX(0,M172)</f>
        <v>0</v>
      </c>
      <c r="E173" s="41" t="n">
        <f aca="false">D173*$F$7</f>
        <v>0</v>
      </c>
      <c r="F173" s="41" t="n">
        <f aca="false">IF(D173&gt;0.5,N($C$15),0)</f>
        <v>0</v>
      </c>
      <c r="G173" s="41" t="n">
        <f aca="false">IF(AND(D173&gt;0.5,N($C$19)&gt;0,N(B173)&lt;=N($C$20)),D173*$F$8,0)</f>
        <v>0</v>
      </c>
      <c r="H173" s="41" t="n">
        <f aca="false">IF(D173&lt;=0.5,0,MIN(IF(N(I173)&gt;0,I173,$F$9),D173+E173+F173))</f>
        <v>0</v>
      </c>
      <c r="I173" s="77"/>
      <c r="J173" s="77"/>
      <c r="K173" s="41" t="n">
        <f aca="false">IF(D173&lt;=0.5,0,MIN(H173+N(J173),D173+E173+F173))</f>
        <v>0</v>
      </c>
      <c r="L173" s="41" t="n">
        <f aca="false">K173-E173-F173</f>
        <v>0</v>
      </c>
      <c r="M173" s="41" t="n">
        <f aca="false">D173-L173</f>
        <v>0</v>
      </c>
      <c r="N173" s="42" t="n">
        <f aca="false">K173-G173</f>
        <v>0</v>
      </c>
      <c r="O173" s="78"/>
      <c r="P173" s="79"/>
      <c r="Q173" s="16" t="str">
        <f aca="false">IF(K173=0,"",IF(R173=1,"Pagada",IF(C173&lt;$F$12,"Vencida",IF(147=$F$13,"Próxima","Pendiente"))))</f>
        <v/>
      </c>
      <c r="R173" s="62" t="n">
        <f aca="false">IF(AND(K173&gt;0,OR(O173="Sí",O173="Si")),1,0)</f>
        <v>0</v>
      </c>
      <c r="S173" s="62" t="n">
        <f aca="false">IF(AND(K173&gt;0,R173=0),1,0)</f>
        <v>0</v>
      </c>
    </row>
    <row r="174" customFormat="false" ht="15" hidden="false" customHeight="false" outlineLevel="0" collapsed="false">
      <c r="B174" s="71" t="str">
        <f aca="false">IF($F$6="Sí",N($C$11)+147,"")</f>
        <v/>
      </c>
      <c r="C174" s="72" t="str">
        <f aca="false">IF(OR($F$6&lt;&gt;"Sí",D174&lt;=0.5),"",EDATE($C$10,147))</f>
        <v/>
      </c>
      <c r="D174" s="41" t="n">
        <f aca="false">MAX(0,M173)</f>
        <v>0</v>
      </c>
      <c r="E174" s="41" t="n">
        <f aca="false">D174*$F$7</f>
        <v>0</v>
      </c>
      <c r="F174" s="41" t="n">
        <f aca="false">IF(D174&gt;0.5,N($C$15),0)</f>
        <v>0</v>
      </c>
      <c r="G174" s="41" t="n">
        <f aca="false">IF(AND(D174&gt;0.5,N($C$19)&gt;0,N(B174)&lt;=N($C$20)),D174*$F$8,0)</f>
        <v>0</v>
      </c>
      <c r="H174" s="41" t="n">
        <f aca="false">IF(D174&lt;=0.5,0,MIN(IF(N(I174)&gt;0,I174,$F$9),D174+E174+F174))</f>
        <v>0</v>
      </c>
      <c r="I174" s="77"/>
      <c r="J174" s="77"/>
      <c r="K174" s="41" t="n">
        <f aca="false">IF(D174&lt;=0.5,0,MIN(H174+N(J174),D174+E174+F174))</f>
        <v>0</v>
      </c>
      <c r="L174" s="41" t="n">
        <f aca="false">K174-E174-F174</f>
        <v>0</v>
      </c>
      <c r="M174" s="41" t="n">
        <f aca="false">D174-L174</f>
        <v>0</v>
      </c>
      <c r="N174" s="42" t="n">
        <f aca="false">K174-G174</f>
        <v>0</v>
      </c>
      <c r="O174" s="78"/>
      <c r="P174" s="79"/>
      <c r="Q174" s="16" t="str">
        <f aca="false">IF(K174=0,"",IF(R174=1,"Pagada",IF(C174&lt;$F$12,"Vencida",IF(148=$F$13,"Próxima","Pendiente"))))</f>
        <v/>
      </c>
      <c r="R174" s="62" t="n">
        <f aca="false">IF(AND(K174&gt;0,OR(O174="Sí",O174="Si")),1,0)</f>
        <v>0</v>
      </c>
      <c r="S174" s="62" t="n">
        <f aca="false">IF(AND(K174&gt;0,R174=0),1,0)</f>
        <v>0</v>
      </c>
    </row>
    <row r="175" customFormat="false" ht="15" hidden="false" customHeight="false" outlineLevel="0" collapsed="false">
      <c r="B175" s="71" t="str">
        <f aca="false">IF($F$6="Sí",N($C$11)+148,"")</f>
        <v/>
      </c>
      <c r="C175" s="72" t="str">
        <f aca="false">IF(OR($F$6&lt;&gt;"Sí",D175&lt;=0.5),"",EDATE($C$10,148))</f>
        <v/>
      </c>
      <c r="D175" s="41" t="n">
        <f aca="false">MAX(0,M174)</f>
        <v>0</v>
      </c>
      <c r="E175" s="41" t="n">
        <f aca="false">D175*$F$7</f>
        <v>0</v>
      </c>
      <c r="F175" s="41" t="n">
        <f aca="false">IF(D175&gt;0.5,N($C$15),0)</f>
        <v>0</v>
      </c>
      <c r="G175" s="41" t="n">
        <f aca="false">IF(AND(D175&gt;0.5,N($C$19)&gt;0,N(B175)&lt;=N($C$20)),D175*$F$8,0)</f>
        <v>0</v>
      </c>
      <c r="H175" s="41" t="n">
        <f aca="false">IF(D175&lt;=0.5,0,MIN(IF(N(I175)&gt;0,I175,$F$9),D175+E175+F175))</f>
        <v>0</v>
      </c>
      <c r="I175" s="77"/>
      <c r="J175" s="77"/>
      <c r="K175" s="41" t="n">
        <f aca="false">IF(D175&lt;=0.5,0,MIN(H175+N(J175),D175+E175+F175))</f>
        <v>0</v>
      </c>
      <c r="L175" s="41" t="n">
        <f aca="false">K175-E175-F175</f>
        <v>0</v>
      </c>
      <c r="M175" s="41" t="n">
        <f aca="false">D175-L175</f>
        <v>0</v>
      </c>
      <c r="N175" s="42" t="n">
        <f aca="false">K175-G175</f>
        <v>0</v>
      </c>
      <c r="O175" s="78"/>
      <c r="P175" s="79"/>
      <c r="Q175" s="16" t="str">
        <f aca="false">IF(K175=0,"",IF(R175=1,"Pagada",IF(C175&lt;$F$12,"Vencida",IF(149=$F$13,"Próxima","Pendiente"))))</f>
        <v/>
      </c>
      <c r="R175" s="62" t="n">
        <f aca="false">IF(AND(K175&gt;0,OR(O175="Sí",O175="Si")),1,0)</f>
        <v>0</v>
      </c>
      <c r="S175" s="62" t="n">
        <f aca="false">IF(AND(K175&gt;0,R175=0),1,0)</f>
        <v>0</v>
      </c>
    </row>
    <row r="176" customFormat="false" ht="15" hidden="false" customHeight="false" outlineLevel="0" collapsed="false">
      <c r="B176" s="71" t="str">
        <f aca="false">IF($F$6="Sí",N($C$11)+149,"")</f>
        <v/>
      </c>
      <c r="C176" s="72" t="str">
        <f aca="false">IF(OR($F$6&lt;&gt;"Sí",D176&lt;=0.5),"",EDATE($C$10,149))</f>
        <v/>
      </c>
      <c r="D176" s="41" t="n">
        <f aca="false">MAX(0,M175)</f>
        <v>0</v>
      </c>
      <c r="E176" s="41" t="n">
        <f aca="false">D176*$F$7</f>
        <v>0</v>
      </c>
      <c r="F176" s="41" t="n">
        <f aca="false">IF(D176&gt;0.5,N($C$15),0)</f>
        <v>0</v>
      </c>
      <c r="G176" s="41" t="n">
        <f aca="false">IF(AND(D176&gt;0.5,N($C$19)&gt;0,N(B176)&lt;=N($C$20)),D176*$F$8,0)</f>
        <v>0</v>
      </c>
      <c r="H176" s="41" t="n">
        <f aca="false">IF(D176&lt;=0.5,0,MIN(IF(N(I176)&gt;0,I176,$F$9),D176+E176+F176))</f>
        <v>0</v>
      </c>
      <c r="I176" s="77"/>
      <c r="J176" s="77"/>
      <c r="K176" s="41" t="n">
        <f aca="false">IF(D176&lt;=0.5,0,MIN(H176+N(J176),D176+E176+F176))</f>
        <v>0</v>
      </c>
      <c r="L176" s="41" t="n">
        <f aca="false">K176-E176-F176</f>
        <v>0</v>
      </c>
      <c r="M176" s="41" t="n">
        <f aca="false">D176-L176</f>
        <v>0</v>
      </c>
      <c r="N176" s="42" t="n">
        <f aca="false">K176-G176</f>
        <v>0</v>
      </c>
      <c r="O176" s="78"/>
      <c r="P176" s="79"/>
      <c r="Q176" s="16" t="str">
        <f aca="false">IF(K176=0,"",IF(R176=1,"Pagada",IF(C176&lt;$F$12,"Vencida",IF(150=$F$13,"Próxima","Pendiente"))))</f>
        <v/>
      </c>
      <c r="R176" s="62" t="n">
        <f aca="false">IF(AND(K176&gt;0,OR(O176="Sí",O176="Si")),1,0)</f>
        <v>0</v>
      </c>
      <c r="S176" s="62" t="n">
        <f aca="false">IF(AND(K176&gt;0,R176=0),1,0)</f>
        <v>0</v>
      </c>
    </row>
    <row r="177" customFormat="false" ht="15" hidden="false" customHeight="false" outlineLevel="0" collapsed="false">
      <c r="B177" s="71" t="str">
        <f aca="false">IF($F$6="Sí",N($C$11)+150,"")</f>
        <v/>
      </c>
      <c r="C177" s="72" t="str">
        <f aca="false">IF(OR($F$6&lt;&gt;"Sí",D177&lt;=0.5),"",EDATE($C$10,150))</f>
        <v/>
      </c>
      <c r="D177" s="41" t="n">
        <f aca="false">MAX(0,M176)</f>
        <v>0</v>
      </c>
      <c r="E177" s="41" t="n">
        <f aca="false">D177*$F$7</f>
        <v>0</v>
      </c>
      <c r="F177" s="41" t="n">
        <f aca="false">IF(D177&gt;0.5,N($C$15),0)</f>
        <v>0</v>
      </c>
      <c r="G177" s="41" t="n">
        <f aca="false">IF(AND(D177&gt;0.5,N($C$19)&gt;0,N(B177)&lt;=N($C$20)),D177*$F$8,0)</f>
        <v>0</v>
      </c>
      <c r="H177" s="41" t="n">
        <f aca="false">IF(D177&lt;=0.5,0,MIN(IF(N(I177)&gt;0,I177,$F$9),D177+E177+F177))</f>
        <v>0</v>
      </c>
      <c r="I177" s="77"/>
      <c r="J177" s="77"/>
      <c r="K177" s="41" t="n">
        <f aca="false">IF(D177&lt;=0.5,0,MIN(H177+N(J177),D177+E177+F177))</f>
        <v>0</v>
      </c>
      <c r="L177" s="41" t="n">
        <f aca="false">K177-E177-F177</f>
        <v>0</v>
      </c>
      <c r="M177" s="41" t="n">
        <f aca="false">D177-L177</f>
        <v>0</v>
      </c>
      <c r="N177" s="42" t="n">
        <f aca="false">K177-G177</f>
        <v>0</v>
      </c>
      <c r="O177" s="78"/>
      <c r="P177" s="79"/>
      <c r="Q177" s="16" t="str">
        <f aca="false">IF(K177=0,"",IF(R177=1,"Pagada",IF(C177&lt;$F$12,"Vencida",IF(151=$F$13,"Próxima","Pendiente"))))</f>
        <v/>
      </c>
      <c r="R177" s="62" t="n">
        <f aca="false">IF(AND(K177&gt;0,OR(O177="Sí",O177="Si")),1,0)</f>
        <v>0</v>
      </c>
      <c r="S177" s="62" t="n">
        <f aca="false">IF(AND(K177&gt;0,R177=0),1,0)</f>
        <v>0</v>
      </c>
    </row>
    <row r="178" customFormat="false" ht="15" hidden="false" customHeight="false" outlineLevel="0" collapsed="false">
      <c r="B178" s="71" t="str">
        <f aca="false">IF($F$6="Sí",N($C$11)+151,"")</f>
        <v/>
      </c>
      <c r="C178" s="72" t="str">
        <f aca="false">IF(OR($F$6&lt;&gt;"Sí",D178&lt;=0.5),"",EDATE($C$10,151))</f>
        <v/>
      </c>
      <c r="D178" s="41" t="n">
        <f aca="false">MAX(0,M177)</f>
        <v>0</v>
      </c>
      <c r="E178" s="41" t="n">
        <f aca="false">D178*$F$7</f>
        <v>0</v>
      </c>
      <c r="F178" s="41" t="n">
        <f aca="false">IF(D178&gt;0.5,N($C$15),0)</f>
        <v>0</v>
      </c>
      <c r="G178" s="41" t="n">
        <f aca="false">IF(AND(D178&gt;0.5,N($C$19)&gt;0,N(B178)&lt;=N($C$20)),D178*$F$8,0)</f>
        <v>0</v>
      </c>
      <c r="H178" s="41" t="n">
        <f aca="false">IF(D178&lt;=0.5,0,MIN(IF(N(I178)&gt;0,I178,$F$9),D178+E178+F178))</f>
        <v>0</v>
      </c>
      <c r="I178" s="77"/>
      <c r="J178" s="77"/>
      <c r="K178" s="41" t="n">
        <f aca="false">IF(D178&lt;=0.5,0,MIN(H178+N(J178),D178+E178+F178))</f>
        <v>0</v>
      </c>
      <c r="L178" s="41" t="n">
        <f aca="false">K178-E178-F178</f>
        <v>0</v>
      </c>
      <c r="M178" s="41" t="n">
        <f aca="false">D178-L178</f>
        <v>0</v>
      </c>
      <c r="N178" s="42" t="n">
        <f aca="false">K178-G178</f>
        <v>0</v>
      </c>
      <c r="O178" s="78"/>
      <c r="P178" s="79"/>
      <c r="Q178" s="16" t="str">
        <f aca="false">IF(K178=0,"",IF(R178=1,"Pagada",IF(C178&lt;$F$12,"Vencida",IF(152=$F$13,"Próxima","Pendiente"))))</f>
        <v/>
      </c>
      <c r="R178" s="62" t="n">
        <f aca="false">IF(AND(K178&gt;0,OR(O178="Sí",O178="Si")),1,0)</f>
        <v>0</v>
      </c>
      <c r="S178" s="62" t="n">
        <f aca="false">IF(AND(K178&gt;0,R178=0),1,0)</f>
        <v>0</v>
      </c>
    </row>
    <row r="179" customFormat="false" ht="15" hidden="false" customHeight="false" outlineLevel="0" collapsed="false">
      <c r="B179" s="71" t="str">
        <f aca="false">IF($F$6="Sí",N($C$11)+152,"")</f>
        <v/>
      </c>
      <c r="C179" s="72" t="str">
        <f aca="false">IF(OR($F$6&lt;&gt;"Sí",D179&lt;=0.5),"",EDATE($C$10,152))</f>
        <v/>
      </c>
      <c r="D179" s="41" t="n">
        <f aca="false">MAX(0,M178)</f>
        <v>0</v>
      </c>
      <c r="E179" s="41" t="n">
        <f aca="false">D179*$F$7</f>
        <v>0</v>
      </c>
      <c r="F179" s="41" t="n">
        <f aca="false">IF(D179&gt;0.5,N($C$15),0)</f>
        <v>0</v>
      </c>
      <c r="G179" s="41" t="n">
        <f aca="false">IF(AND(D179&gt;0.5,N($C$19)&gt;0,N(B179)&lt;=N($C$20)),D179*$F$8,0)</f>
        <v>0</v>
      </c>
      <c r="H179" s="41" t="n">
        <f aca="false">IF(D179&lt;=0.5,0,MIN(IF(N(I179)&gt;0,I179,$F$9),D179+E179+F179))</f>
        <v>0</v>
      </c>
      <c r="I179" s="77"/>
      <c r="J179" s="77"/>
      <c r="K179" s="41" t="n">
        <f aca="false">IF(D179&lt;=0.5,0,MIN(H179+N(J179),D179+E179+F179))</f>
        <v>0</v>
      </c>
      <c r="L179" s="41" t="n">
        <f aca="false">K179-E179-F179</f>
        <v>0</v>
      </c>
      <c r="M179" s="41" t="n">
        <f aca="false">D179-L179</f>
        <v>0</v>
      </c>
      <c r="N179" s="42" t="n">
        <f aca="false">K179-G179</f>
        <v>0</v>
      </c>
      <c r="O179" s="78"/>
      <c r="P179" s="79"/>
      <c r="Q179" s="16" t="str">
        <f aca="false">IF(K179=0,"",IF(R179=1,"Pagada",IF(C179&lt;$F$12,"Vencida",IF(153=$F$13,"Próxima","Pendiente"))))</f>
        <v/>
      </c>
      <c r="R179" s="62" t="n">
        <f aca="false">IF(AND(K179&gt;0,OR(O179="Sí",O179="Si")),1,0)</f>
        <v>0</v>
      </c>
      <c r="S179" s="62" t="n">
        <f aca="false">IF(AND(K179&gt;0,R179=0),1,0)</f>
        <v>0</v>
      </c>
    </row>
    <row r="180" customFormat="false" ht="15" hidden="false" customHeight="false" outlineLevel="0" collapsed="false">
      <c r="B180" s="71" t="str">
        <f aca="false">IF($F$6="Sí",N($C$11)+153,"")</f>
        <v/>
      </c>
      <c r="C180" s="72" t="str">
        <f aca="false">IF(OR($F$6&lt;&gt;"Sí",D180&lt;=0.5),"",EDATE($C$10,153))</f>
        <v/>
      </c>
      <c r="D180" s="41" t="n">
        <f aca="false">MAX(0,M179)</f>
        <v>0</v>
      </c>
      <c r="E180" s="41" t="n">
        <f aca="false">D180*$F$7</f>
        <v>0</v>
      </c>
      <c r="F180" s="41" t="n">
        <f aca="false">IF(D180&gt;0.5,N($C$15),0)</f>
        <v>0</v>
      </c>
      <c r="G180" s="41" t="n">
        <f aca="false">IF(AND(D180&gt;0.5,N($C$19)&gt;0,N(B180)&lt;=N($C$20)),D180*$F$8,0)</f>
        <v>0</v>
      </c>
      <c r="H180" s="41" t="n">
        <f aca="false">IF(D180&lt;=0.5,0,MIN(IF(N(I180)&gt;0,I180,$F$9),D180+E180+F180))</f>
        <v>0</v>
      </c>
      <c r="I180" s="77"/>
      <c r="J180" s="77"/>
      <c r="K180" s="41" t="n">
        <f aca="false">IF(D180&lt;=0.5,0,MIN(H180+N(J180),D180+E180+F180))</f>
        <v>0</v>
      </c>
      <c r="L180" s="41" t="n">
        <f aca="false">K180-E180-F180</f>
        <v>0</v>
      </c>
      <c r="M180" s="41" t="n">
        <f aca="false">D180-L180</f>
        <v>0</v>
      </c>
      <c r="N180" s="42" t="n">
        <f aca="false">K180-G180</f>
        <v>0</v>
      </c>
      <c r="O180" s="78"/>
      <c r="P180" s="79"/>
      <c r="Q180" s="16" t="str">
        <f aca="false">IF(K180=0,"",IF(R180=1,"Pagada",IF(C180&lt;$F$12,"Vencida",IF(154=$F$13,"Próxima","Pendiente"))))</f>
        <v/>
      </c>
      <c r="R180" s="62" t="n">
        <f aca="false">IF(AND(K180&gt;0,OR(O180="Sí",O180="Si")),1,0)</f>
        <v>0</v>
      </c>
      <c r="S180" s="62" t="n">
        <f aca="false">IF(AND(K180&gt;0,R180=0),1,0)</f>
        <v>0</v>
      </c>
    </row>
    <row r="181" customFormat="false" ht="15" hidden="false" customHeight="false" outlineLevel="0" collapsed="false">
      <c r="B181" s="71" t="str">
        <f aca="false">IF($F$6="Sí",N($C$11)+154,"")</f>
        <v/>
      </c>
      <c r="C181" s="72" t="str">
        <f aca="false">IF(OR($F$6&lt;&gt;"Sí",D181&lt;=0.5),"",EDATE($C$10,154))</f>
        <v/>
      </c>
      <c r="D181" s="41" t="n">
        <f aca="false">MAX(0,M180)</f>
        <v>0</v>
      </c>
      <c r="E181" s="41" t="n">
        <f aca="false">D181*$F$7</f>
        <v>0</v>
      </c>
      <c r="F181" s="41" t="n">
        <f aca="false">IF(D181&gt;0.5,N($C$15),0)</f>
        <v>0</v>
      </c>
      <c r="G181" s="41" t="n">
        <f aca="false">IF(AND(D181&gt;0.5,N($C$19)&gt;0,N(B181)&lt;=N($C$20)),D181*$F$8,0)</f>
        <v>0</v>
      </c>
      <c r="H181" s="41" t="n">
        <f aca="false">IF(D181&lt;=0.5,0,MIN(IF(N(I181)&gt;0,I181,$F$9),D181+E181+F181))</f>
        <v>0</v>
      </c>
      <c r="I181" s="77"/>
      <c r="J181" s="77"/>
      <c r="K181" s="41" t="n">
        <f aca="false">IF(D181&lt;=0.5,0,MIN(H181+N(J181),D181+E181+F181))</f>
        <v>0</v>
      </c>
      <c r="L181" s="41" t="n">
        <f aca="false">K181-E181-F181</f>
        <v>0</v>
      </c>
      <c r="M181" s="41" t="n">
        <f aca="false">D181-L181</f>
        <v>0</v>
      </c>
      <c r="N181" s="42" t="n">
        <f aca="false">K181-G181</f>
        <v>0</v>
      </c>
      <c r="O181" s="78"/>
      <c r="P181" s="79"/>
      <c r="Q181" s="16" t="str">
        <f aca="false">IF(K181=0,"",IF(R181=1,"Pagada",IF(C181&lt;$F$12,"Vencida",IF(155=$F$13,"Próxima","Pendiente"))))</f>
        <v/>
      </c>
      <c r="R181" s="62" t="n">
        <f aca="false">IF(AND(K181&gt;0,OR(O181="Sí",O181="Si")),1,0)</f>
        <v>0</v>
      </c>
      <c r="S181" s="62" t="n">
        <f aca="false">IF(AND(K181&gt;0,R181=0),1,0)</f>
        <v>0</v>
      </c>
    </row>
    <row r="182" customFormat="false" ht="15" hidden="false" customHeight="false" outlineLevel="0" collapsed="false">
      <c r="B182" s="71" t="str">
        <f aca="false">IF($F$6="Sí",N($C$11)+155,"")</f>
        <v/>
      </c>
      <c r="C182" s="72" t="str">
        <f aca="false">IF(OR($F$6&lt;&gt;"Sí",D182&lt;=0.5),"",EDATE($C$10,155))</f>
        <v/>
      </c>
      <c r="D182" s="41" t="n">
        <f aca="false">MAX(0,M181)</f>
        <v>0</v>
      </c>
      <c r="E182" s="41" t="n">
        <f aca="false">D182*$F$7</f>
        <v>0</v>
      </c>
      <c r="F182" s="41" t="n">
        <f aca="false">IF(D182&gt;0.5,N($C$15),0)</f>
        <v>0</v>
      </c>
      <c r="G182" s="41" t="n">
        <f aca="false">IF(AND(D182&gt;0.5,N($C$19)&gt;0,N(B182)&lt;=N($C$20)),D182*$F$8,0)</f>
        <v>0</v>
      </c>
      <c r="H182" s="41" t="n">
        <f aca="false">IF(D182&lt;=0.5,0,MIN(IF(N(I182)&gt;0,I182,$F$9),D182+E182+F182))</f>
        <v>0</v>
      </c>
      <c r="I182" s="77"/>
      <c r="J182" s="77"/>
      <c r="K182" s="41" t="n">
        <f aca="false">IF(D182&lt;=0.5,0,MIN(H182+N(J182),D182+E182+F182))</f>
        <v>0</v>
      </c>
      <c r="L182" s="41" t="n">
        <f aca="false">K182-E182-F182</f>
        <v>0</v>
      </c>
      <c r="M182" s="41" t="n">
        <f aca="false">D182-L182</f>
        <v>0</v>
      </c>
      <c r="N182" s="42" t="n">
        <f aca="false">K182-G182</f>
        <v>0</v>
      </c>
      <c r="O182" s="78"/>
      <c r="P182" s="79"/>
      <c r="Q182" s="16" t="str">
        <f aca="false">IF(K182=0,"",IF(R182=1,"Pagada",IF(C182&lt;$F$12,"Vencida",IF(156=$F$13,"Próxima","Pendiente"))))</f>
        <v/>
      </c>
      <c r="R182" s="62" t="n">
        <f aca="false">IF(AND(K182&gt;0,OR(O182="Sí",O182="Si")),1,0)</f>
        <v>0</v>
      </c>
      <c r="S182" s="62" t="n">
        <f aca="false">IF(AND(K182&gt;0,R182=0),1,0)</f>
        <v>0</v>
      </c>
    </row>
    <row r="183" customFormat="false" ht="15" hidden="false" customHeight="false" outlineLevel="0" collapsed="false">
      <c r="B183" s="71" t="str">
        <f aca="false">IF($F$6="Sí",N($C$11)+156,"")</f>
        <v/>
      </c>
      <c r="C183" s="72" t="str">
        <f aca="false">IF(OR($F$6&lt;&gt;"Sí",D183&lt;=0.5),"",EDATE($C$10,156))</f>
        <v/>
      </c>
      <c r="D183" s="41" t="n">
        <f aca="false">MAX(0,M182)</f>
        <v>0</v>
      </c>
      <c r="E183" s="41" t="n">
        <f aca="false">D183*$F$7</f>
        <v>0</v>
      </c>
      <c r="F183" s="41" t="n">
        <f aca="false">IF(D183&gt;0.5,N($C$15),0)</f>
        <v>0</v>
      </c>
      <c r="G183" s="41" t="n">
        <f aca="false">IF(AND(D183&gt;0.5,N($C$19)&gt;0,N(B183)&lt;=N($C$20)),D183*$F$8,0)</f>
        <v>0</v>
      </c>
      <c r="H183" s="41" t="n">
        <f aca="false">IF(D183&lt;=0.5,0,MIN(IF(N(I183)&gt;0,I183,$F$9),D183+E183+F183))</f>
        <v>0</v>
      </c>
      <c r="I183" s="77"/>
      <c r="J183" s="77"/>
      <c r="K183" s="41" t="n">
        <f aca="false">IF(D183&lt;=0.5,0,MIN(H183+N(J183),D183+E183+F183))</f>
        <v>0</v>
      </c>
      <c r="L183" s="41" t="n">
        <f aca="false">K183-E183-F183</f>
        <v>0</v>
      </c>
      <c r="M183" s="41" t="n">
        <f aca="false">D183-L183</f>
        <v>0</v>
      </c>
      <c r="N183" s="42" t="n">
        <f aca="false">K183-G183</f>
        <v>0</v>
      </c>
      <c r="O183" s="78"/>
      <c r="P183" s="79"/>
      <c r="Q183" s="16" t="str">
        <f aca="false">IF(K183=0,"",IF(R183=1,"Pagada",IF(C183&lt;$F$12,"Vencida",IF(157=$F$13,"Próxima","Pendiente"))))</f>
        <v/>
      </c>
      <c r="R183" s="62" t="n">
        <f aca="false">IF(AND(K183&gt;0,OR(O183="Sí",O183="Si")),1,0)</f>
        <v>0</v>
      </c>
      <c r="S183" s="62" t="n">
        <f aca="false">IF(AND(K183&gt;0,R183=0),1,0)</f>
        <v>0</v>
      </c>
    </row>
    <row r="184" customFormat="false" ht="15" hidden="false" customHeight="false" outlineLevel="0" collapsed="false">
      <c r="B184" s="71" t="str">
        <f aca="false">IF($F$6="Sí",N($C$11)+157,"")</f>
        <v/>
      </c>
      <c r="C184" s="72" t="str">
        <f aca="false">IF(OR($F$6&lt;&gt;"Sí",D184&lt;=0.5),"",EDATE($C$10,157))</f>
        <v/>
      </c>
      <c r="D184" s="41" t="n">
        <f aca="false">MAX(0,M183)</f>
        <v>0</v>
      </c>
      <c r="E184" s="41" t="n">
        <f aca="false">D184*$F$7</f>
        <v>0</v>
      </c>
      <c r="F184" s="41" t="n">
        <f aca="false">IF(D184&gt;0.5,N($C$15),0)</f>
        <v>0</v>
      </c>
      <c r="G184" s="41" t="n">
        <f aca="false">IF(AND(D184&gt;0.5,N($C$19)&gt;0,N(B184)&lt;=N($C$20)),D184*$F$8,0)</f>
        <v>0</v>
      </c>
      <c r="H184" s="41" t="n">
        <f aca="false">IF(D184&lt;=0.5,0,MIN(IF(N(I184)&gt;0,I184,$F$9),D184+E184+F184))</f>
        <v>0</v>
      </c>
      <c r="I184" s="77"/>
      <c r="J184" s="77"/>
      <c r="K184" s="41" t="n">
        <f aca="false">IF(D184&lt;=0.5,0,MIN(H184+N(J184),D184+E184+F184))</f>
        <v>0</v>
      </c>
      <c r="L184" s="41" t="n">
        <f aca="false">K184-E184-F184</f>
        <v>0</v>
      </c>
      <c r="M184" s="41" t="n">
        <f aca="false">D184-L184</f>
        <v>0</v>
      </c>
      <c r="N184" s="42" t="n">
        <f aca="false">K184-G184</f>
        <v>0</v>
      </c>
      <c r="O184" s="78"/>
      <c r="P184" s="79"/>
      <c r="Q184" s="16" t="str">
        <f aca="false">IF(K184=0,"",IF(R184=1,"Pagada",IF(C184&lt;$F$12,"Vencida",IF(158=$F$13,"Próxima","Pendiente"))))</f>
        <v/>
      </c>
      <c r="R184" s="62" t="n">
        <f aca="false">IF(AND(K184&gt;0,OR(O184="Sí",O184="Si")),1,0)</f>
        <v>0</v>
      </c>
      <c r="S184" s="62" t="n">
        <f aca="false">IF(AND(K184&gt;0,R184=0),1,0)</f>
        <v>0</v>
      </c>
    </row>
    <row r="185" customFormat="false" ht="15" hidden="false" customHeight="false" outlineLevel="0" collapsed="false">
      <c r="B185" s="71" t="str">
        <f aca="false">IF($F$6="Sí",N($C$11)+158,"")</f>
        <v/>
      </c>
      <c r="C185" s="72" t="str">
        <f aca="false">IF(OR($F$6&lt;&gt;"Sí",D185&lt;=0.5),"",EDATE($C$10,158))</f>
        <v/>
      </c>
      <c r="D185" s="41" t="n">
        <f aca="false">MAX(0,M184)</f>
        <v>0</v>
      </c>
      <c r="E185" s="41" t="n">
        <f aca="false">D185*$F$7</f>
        <v>0</v>
      </c>
      <c r="F185" s="41" t="n">
        <f aca="false">IF(D185&gt;0.5,N($C$15),0)</f>
        <v>0</v>
      </c>
      <c r="G185" s="41" t="n">
        <f aca="false">IF(AND(D185&gt;0.5,N($C$19)&gt;0,N(B185)&lt;=N($C$20)),D185*$F$8,0)</f>
        <v>0</v>
      </c>
      <c r="H185" s="41" t="n">
        <f aca="false">IF(D185&lt;=0.5,0,MIN(IF(N(I185)&gt;0,I185,$F$9),D185+E185+F185))</f>
        <v>0</v>
      </c>
      <c r="I185" s="77"/>
      <c r="J185" s="77"/>
      <c r="K185" s="41" t="n">
        <f aca="false">IF(D185&lt;=0.5,0,MIN(H185+N(J185),D185+E185+F185))</f>
        <v>0</v>
      </c>
      <c r="L185" s="41" t="n">
        <f aca="false">K185-E185-F185</f>
        <v>0</v>
      </c>
      <c r="M185" s="41" t="n">
        <f aca="false">D185-L185</f>
        <v>0</v>
      </c>
      <c r="N185" s="42" t="n">
        <f aca="false">K185-G185</f>
        <v>0</v>
      </c>
      <c r="O185" s="78"/>
      <c r="P185" s="79"/>
      <c r="Q185" s="16" t="str">
        <f aca="false">IF(K185=0,"",IF(R185=1,"Pagada",IF(C185&lt;$F$12,"Vencida",IF(159=$F$13,"Próxima","Pendiente"))))</f>
        <v/>
      </c>
      <c r="R185" s="62" t="n">
        <f aca="false">IF(AND(K185&gt;0,OR(O185="Sí",O185="Si")),1,0)</f>
        <v>0</v>
      </c>
      <c r="S185" s="62" t="n">
        <f aca="false">IF(AND(K185&gt;0,R185=0),1,0)</f>
        <v>0</v>
      </c>
    </row>
    <row r="186" customFormat="false" ht="15" hidden="false" customHeight="false" outlineLevel="0" collapsed="false">
      <c r="B186" s="71" t="str">
        <f aca="false">IF($F$6="Sí",N($C$11)+159,"")</f>
        <v/>
      </c>
      <c r="C186" s="72" t="str">
        <f aca="false">IF(OR($F$6&lt;&gt;"Sí",D186&lt;=0.5),"",EDATE($C$10,159))</f>
        <v/>
      </c>
      <c r="D186" s="41" t="n">
        <f aca="false">MAX(0,M185)</f>
        <v>0</v>
      </c>
      <c r="E186" s="41" t="n">
        <f aca="false">D186*$F$7</f>
        <v>0</v>
      </c>
      <c r="F186" s="41" t="n">
        <f aca="false">IF(D186&gt;0.5,N($C$15),0)</f>
        <v>0</v>
      </c>
      <c r="G186" s="41" t="n">
        <f aca="false">IF(AND(D186&gt;0.5,N($C$19)&gt;0,N(B186)&lt;=N($C$20)),D186*$F$8,0)</f>
        <v>0</v>
      </c>
      <c r="H186" s="41" t="n">
        <f aca="false">IF(D186&lt;=0.5,0,MIN(IF(N(I186)&gt;0,I186,$F$9),D186+E186+F186))</f>
        <v>0</v>
      </c>
      <c r="I186" s="77"/>
      <c r="J186" s="77"/>
      <c r="K186" s="41" t="n">
        <f aca="false">IF(D186&lt;=0.5,0,MIN(H186+N(J186),D186+E186+F186))</f>
        <v>0</v>
      </c>
      <c r="L186" s="41" t="n">
        <f aca="false">K186-E186-F186</f>
        <v>0</v>
      </c>
      <c r="M186" s="41" t="n">
        <f aca="false">D186-L186</f>
        <v>0</v>
      </c>
      <c r="N186" s="42" t="n">
        <f aca="false">K186-G186</f>
        <v>0</v>
      </c>
      <c r="O186" s="78"/>
      <c r="P186" s="79"/>
      <c r="Q186" s="16" t="str">
        <f aca="false">IF(K186=0,"",IF(R186=1,"Pagada",IF(C186&lt;$F$12,"Vencida",IF(160=$F$13,"Próxima","Pendiente"))))</f>
        <v/>
      </c>
      <c r="R186" s="62" t="n">
        <f aca="false">IF(AND(K186&gt;0,OR(O186="Sí",O186="Si")),1,0)</f>
        <v>0</v>
      </c>
      <c r="S186" s="62" t="n">
        <f aca="false">IF(AND(K186&gt;0,R186=0),1,0)</f>
        <v>0</v>
      </c>
    </row>
    <row r="187" customFormat="false" ht="15" hidden="false" customHeight="false" outlineLevel="0" collapsed="false">
      <c r="B187" s="71" t="str">
        <f aca="false">IF($F$6="Sí",N($C$11)+160,"")</f>
        <v/>
      </c>
      <c r="C187" s="72" t="str">
        <f aca="false">IF(OR($F$6&lt;&gt;"Sí",D187&lt;=0.5),"",EDATE($C$10,160))</f>
        <v/>
      </c>
      <c r="D187" s="41" t="n">
        <f aca="false">MAX(0,M186)</f>
        <v>0</v>
      </c>
      <c r="E187" s="41" t="n">
        <f aca="false">D187*$F$7</f>
        <v>0</v>
      </c>
      <c r="F187" s="41" t="n">
        <f aca="false">IF(D187&gt;0.5,N($C$15),0)</f>
        <v>0</v>
      </c>
      <c r="G187" s="41" t="n">
        <f aca="false">IF(AND(D187&gt;0.5,N($C$19)&gt;0,N(B187)&lt;=N($C$20)),D187*$F$8,0)</f>
        <v>0</v>
      </c>
      <c r="H187" s="41" t="n">
        <f aca="false">IF(D187&lt;=0.5,0,MIN(IF(N(I187)&gt;0,I187,$F$9),D187+E187+F187))</f>
        <v>0</v>
      </c>
      <c r="I187" s="77"/>
      <c r="J187" s="77"/>
      <c r="K187" s="41" t="n">
        <f aca="false">IF(D187&lt;=0.5,0,MIN(H187+N(J187),D187+E187+F187))</f>
        <v>0</v>
      </c>
      <c r="L187" s="41" t="n">
        <f aca="false">K187-E187-F187</f>
        <v>0</v>
      </c>
      <c r="M187" s="41" t="n">
        <f aca="false">D187-L187</f>
        <v>0</v>
      </c>
      <c r="N187" s="42" t="n">
        <f aca="false">K187-G187</f>
        <v>0</v>
      </c>
      <c r="O187" s="78"/>
      <c r="P187" s="79"/>
      <c r="Q187" s="16" t="str">
        <f aca="false">IF(K187=0,"",IF(R187=1,"Pagada",IF(C187&lt;$F$12,"Vencida",IF(161=$F$13,"Próxima","Pendiente"))))</f>
        <v/>
      </c>
      <c r="R187" s="62" t="n">
        <f aca="false">IF(AND(K187&gt;0,OR(O187="Sí",O187="Si")),1,0)</f>
        <v>0</v>
      </c>
      <c r="S187" s="62" t="n">
        <f aca="false">IF(AND(K187&gt;0,R187=0),1,0)</f>
        <v>0</v>
      </c>
    </row>
    <row r="188" customFormat="false" ht="15" hidden="false" customHeight="false" outlineLevel="0" collapsed="false">
      <c r="B188" s="71" t="str">
        <f aca="false">IF($F$6="Sí",N($C$11)+161,"")</f>
        <v/>
      </c>
      <c r="C188" s="72" t="str">
        <f aca="false">IF(OR($F$6&lt;&gt;"Sí",D188&lt;=0.5),"",EDATE($C$10,161))</f>
        <v/>
      </c>
      <c r="D188" s="41" t="n">
        <f aca="false">MAX(0,M187)</f>
        <v>0</v>
      </c>
      <c r="E188" s="41" t="n">
        <f aca="false">D188*$F$7</f>
        <v>0</v>
      </c>
      <c r="F188" s="41" t="n">
        <f aca="false">IF(D188&gt;0.5,N($C$15),0)</f>
        <v>0</v>
      </c>
      <c r="G188" s="41" t="n">
        <f aca="false">IF(AND(D188&gt;0.5,N($C$19)&gt;0,N(B188)&lt;=N($C$20)),D188*$F$8,0)</f>
        <v>0</v>
      </c>
      <c r="H188" s="41" t="n">
        <f aca="false">IF(D188&lt;=0.5,0,MIN(IF(N(I188)&gt;0,I188,$F$9),D188+E188+F188))</f>
        <v>0</v>
      </c>
      <c r="I188" s="77"/>
      <c r="J188" s="77"/>
      <c r="K188" s="41" t="n">
        <f aca="false">IF(D188&lt;=0.5,0,MIN(H188+N(J188),D188+E188+F188))</f>
        <v>0</v>
      </c>
      <c r="L188" s="41" t="n">
        <f aca="false">K188-E188-F188</f>
        <v>0</v>
      </c>
      <c r="M188" s="41" t="n">
        <f aca="false">D188-L188</f>
        <v>0</v>
      </c>
      <c r="N188" s="42" t="n">
        <f aca="false">K188-G188</f>
        <v>0</v>
      </c>
      <c r="O188" s="78"/>
      <c r="P188" s="79"/>
      <c r="Q188" s="16" t="str">
        <f aca="false">IF(K188=0,"",IF(R188=1,"Pagada",IF(C188&lt;$F$12,"Vencida",IF(162=$F$13,"Próxima","Pendiente"))))</f>
        <v/>
      </c>
      <c r="R188" s="62" t="n">
        <f aca="false">IF(AND(K188&gt;0,OR(O188="Sí",O188="Si")),1,0)</f>
        <v>0</v>
      </c>
      <c r="S188" s="62" t="n">
        <f aca="false">IF(AND(K188&gt;0,R188=0),1,0)</f>
        <v>0</v>
      </c>
    </row>
    <row r="189" customFormat="false" ht="15" hidden="false" customHeight="false" outlineLevel="0" collapsed="false">
      <c r="B189" s="71" t="str">
        <f aca="false">IF($F$6="Sí",N($C$11)+162,"")</f>
        <v/>
      </c>
      <c r="C189" s="72" t="str">
        <f aca="false">IF(OR($F$6&lt;&gt;"Sí",D189&lt;=0.5),"",EDATE($C$10,162))</f>
        <v/>
      </c>
      <c r="D189" s="41" t="n">
        <f aca="false">MAX(0,M188)</f>
        <v>0</v>
      </c>
      <c r="E189" s="41" t="n">
        <f aca="false">D189*$F$7</f>
        <v>0</v>
      </c>
      <c r="F189" s="41" t="n">
        <f aca="false">IF(D189&gt;0.5,N($C$15),0)</f>
        <v>0</v>
      </c>
      <c r="G189" s="41" t="n">
        <f aca="false">IF(AND(D189&gt;0.5,N($C$19)&gt;0,N(B189)&lt;=N($C$20)),D189*$F$8,0)</f>
        <v>0</v>
      </c>
      <c r="H189" s="41" t="n">
        <f aca="false">IF(D189&lt;=0.5,0,MIN(IF(N(I189)&gt;0,I189,$F$9),D189+E189+F189))</f>
        <v>0</v>
      </c>
      <c r="I189" s="77"/>
      <c r="J189" s="77"/>
      <c r="K189" s="41" t="n">
        <f aca="false">IF(D189&lt;=0.5,0,MIN(H189+N(J189),D189+E189+F189))</f>
        <v>0</v>
      </c>
      <c r="L189" s="41" t="n">
        <f aca="false">K189-E189-F189</f>
        <v>0</v>
      </c>
      <c r="M189" s="41" t="n">
        <f aca="false">D189-L189</f>
        <v>0</v>
      </c>
      <c r="N189" s="42" t="n">
        <f aca="false">K189-G189</f>
        <v>0</v>
      </c>
      <c r="O189" s="78"/>
      <c r="P189" s="79"/>
      <c r="Q189" s="16" t="str">
        <f aca="false">IF(K189=0,"",IF(R189=1,"Pagada",IF(C189&lt;$F$12,"Vencida",IF(163=$F$13,"Próxima","Pendiente"))))</f>
        <v/>
      </c>
      <c r="R189" s="62" t="n">
        <f aca="false">IF(AND(K189&gt;0,OR(O189="Sí",O189="Si")),1,0)</f>
        <v>0</v>
      </c>
      <c r="S189" s="62" t="n">
        <f aca="false">IF(AND(K189&gt;0,R189=0),1,0)</f>
        <v>0</v>
      </c>
    </row>
    <row r="190" customFormat="false" ht="15" hidden="false" customHeight="false" outlineLevel="0" collapsed="false">
      <c r="B190" s="71" t="str">
        <f aca="false">IF($F$6="Sí",N($C$11)+163,"")</f>
        <v/>
      </c>
      <c r="C190" s="72" t="str">
        <f aca="false">IF(OR($F$6&lt;&gt;"Sí",D190&lt;=0.5),"",EDATE($C$10,163))</f>
        <v/>
      </c>
      <c r="D190" s="41" t="n">
        <f aca="false">MAX(0,M189)</f>
        <v>0</v>
      </c>
      <c r="E190" s="41" t="n">
        <f aca="false">D190*$F$7</f>
        <v>0</v>
      </c>
      <c r="F190" s="41" t="n">
        <f aca="false">IF(D190&gt;0.5,N($C$15),0)</f>
        <v>0</v>
      </c>
      <c r="G190" s="41" t="n">
        <f aca="false">IF(AND(D190&gt;0.5,N($C$19)&gt;0,N(B190)&lt;=N($C$20)),D190*$F$8,0)</f>
        <v>0</v>
      </c>
      <c r="H190" s="41" t="n">
        <f aca="false">IF(D190&lt;=0.5,0,MIN(IF(N(I190)&gt;0,I190,$F$9),D190+E190+F190))</f>
        <v>0</v>
      </c>
      <c r="I190" s="77"/>
      <c r="J190" s="77"/>
      <c r="K190" s="41" t="n">
        <f aca="false">IF(D190&lt;=0.5,0,MIN(H190+N(J190),D190+E190+F190))</f>
        <v>0</v>
      </c>
      <c r="L190" s="41" t="n">
        <f aca="false">K190-E190-F190</f>
        <v>0</v>
      </c>
      <c r="M190" s="41" t="n">
        <f aca="false">D190-L190</f>
        <v>0</v>
      </c>
      <c r="N190" s="42" t="n">
        <f aca="false">K190-G190</f>
        <v>0</v>
      </c>
      <c r="O190" s="78"/>
      <c r="P190" s="79"/>
      <c r="Q190" s="16" t="str">
        <f aca="false">IF(K190=0,"",IF(R190=1,"Pagada",IF(C190&lt;$F$12,"Vencida",IF(164=$F$13,"Próxima","Pendiente"))))</f>
        <v/>
      </c>
      <c r="R190" s="62" t="n">
        <f aca="false">IF(AND(K190&gt;0,OR(O190="Sí",O190="Si")),1,0)</f>
        <v>0</v>
      </c>
      <c r="S190" s="62" t="n">
        <f aca="false">IF(AND(K190&gt;0,R190=0),1,0)</f>
        <v>0</v>
      </c>
    </row>
    <row r="191" customFormat="false" ht="15" hidden="false" customHeight="false" outlineLevel="0" collapsed="false">
      <c r="B191" s="71" t="str">
        <f aca="false">IF($F$6="Sí",N($C$11)+164,"")</f>
        <v/>
      </c>
      <c r="C191" s="72" t="str">
        <f aca="false">IF(OR($F$6&lt;&gt;"Sí",D191&lt;=0.5),"",EDATE($C$10,164))</f>
        <v/>
      </c>
      <c r="D191" s="41" t="n">
        <f aca="false">MAX(0,M190)</f>
        <v>0</v>
      </c>
      <c r="E191" s="41" t="n">
        <f aca="false">D191*$F$7</f>
        <v>0</v>
      </c>
      <c r="F191" s="41" t="n">
        <f aca="false">IF(D191&gt;0.5,N($C$15),0)</f>
        <v>0</v>
      </c>
      <c r="G191" s="41" t="n">
        <f aca="false">IF(AND(D191&gt;0.5,N($C$19)&gt;0,N(B191)&lt;=N($C$20)),D191*$F$8,0)</f>
        <v>0</v>
      </c>
      <c r="H191" s="41" t="n">
        <f aca="false">IF(D191&lt;=0.5,0,MIN(IF(N(I191)&gt;0,I191,$F$9),D191+E191+F191))</f>
        <v>0</v>
      </c>
      <c r="I191" s="77"/>
      <c r="J191" s="77"/>
      <c r="K191" s="41" t="n">
        <f aca="false">IF(D191&lt;=0.5,0,MIN(H191+N(J191),D191+E191+F191))</f>
        <v>0</v>
      </c>
      <c r="L191" s="41" t="n">
        <f aca="false">K191-E191-F191</f>
        <v>0</v>
      </c>
      <c r="M191" s="41" t="n">
        <f aca="false">D191-L191</f>
        <v>0</v>
      </c>
      <c r="N191" s="42" t="n">
        <f aca="false">K191-G191</f>
        <v>0</v>
      </c>
      <c r="O191" s="78"/>
      <c r="P191" s="79"/>
      <c r="Q191" s="16" t="str">
        <f aca="false">IF(K191=0,"",IF(R191=1,"Pagada",IF(C191&lt;$F$12,"Vencida",IF(165=$F$13,"Próxima","Pendiente"))))</f>
        <v/>
      </c>
      <c r="R191" s="62" t="n">
        <f aca="false">IF(AND(K191&gt;0,OR(O191="Sí",O191="Si")),1,0)</f>
        <v>0</v>
      </c>
      <c r="S191" s="62" t="n">
        <f aca="false">IF(AND(K191&gt;0,R191=0),1,0)</f>
        <v>0</v>
      </c>
    </row>
    <row r="192" customFormat="false" ht="15" hidden="false" customHeight="false" outlineLevel="0" collapsed="false">
      <c r="B192" s="71" t="str">
        <f aca="false">IF($F$6="Sí",N($C$11)+165,"")</f>
        <v/>
      </c>
      <c r="C192" s="72" t="str">
        <f aca="false">IF(OR($F$6&lt;&gt;"Sí",D192&lt;=0.5),"",EDATE($C$10,165))</f>
        <v/>
      </c>
      <c r="D192" s="41" t="n">
        <f aca="false">MAX(0,M191)</f>
        <v>0</v>
      </c>
      <c r="E192" s="41" t="n">
        <f aca="false">D192*$F$7</f>
        <v>0</v>
      </c>
      <c r="F192" s="41" t="n">
        <f aca="false">IF(D192&gt;0.5,N($C$15),0)</f>
        <v>0</v>
      </c>
      <c r="G192" s="41" t="n">
        <f aca="false">IF(AND(D192&gt;0.5,N($C$19)&gt;0,N(B192)&lt;=N($C$20)),D192*$F$8,0)</f>
        <v>0</v>
      </c>
      <c r="H192" s="41" t="n">
        <f aca="false">IF(D192&lt;=0.5,0,MIN(IF(N(I192)&gt;0,I192,$F$9),D192+E192+F192))</f>
        <v>0</v>
      </c>
      <c r="I192" s="77"/>
      <c r="J192" s="77"/>
      <c r="K192" s="41" t="n">
        <f aca="false">IF(D192&lt;=0.5,0,MIN(H192+N(J192),D192+E192+F192))</f>
        <v>0</v>
      </c>
      <c r="L192" s="41" t="n">
        <f aca="false">K192-E192-F192</f>
        <v>0</v>
      </c>
      <c r="M192" s="41" t="n">
        <f aca="false">D192-L192</f>
        <v>0</v>
      </c>
      <c r="N192" s="42" t="n">
        <f aca="false">K192-G192</f>
        <v>0</v>
      </c>
      <c r="O192" s="78"/>
      <c r="P192" s="79"/>
      <c r="Q192" s="16" t="str">
        <f aca="false">IF(K192=0,"",IF(R192=1,"Pagada",IF(C192&lt;$F$12,"Vencida",IF(166=$F$13,"Próxima","Pendiente"))))</f>
        <v/>
      </c>
      <c r="R192" s="62" t="n">
        <f aca="false">IF(AND(K192&gt;0,OR(O192="Sí",O192="Si")),1,0)</f>
        <v>0</v>
      </c>
      <c r="S192" s="62" t="n">
        <f aca="false">IF(AND(K192&gt;0,R192=0),1,0)</f>
        <v>0</v>
      </c>
    </row>
    <row r="193" customFormat="false" ht="15" hidden="false" customHeight="false" outlineLevel="0" collapsed="false">
      <c r="B193" s="71" t="str">
        <f aca="false">IF($F$6="Sí",N($C$11)+166,"")</f>
        <v/>
      </c>
      <c r="C193" s="72" t="str">
        <f aca="false">IF(OR($F$6&lt;&gt;"Sí",D193&lt;=0.5),"",EDATE($C$10,166))</f>
        <v/>
      </c>
      <c r="D193" s="41" t="n">
        <f aca="false">MAX(0,M192)</f>
        <v>0</v>
      </c>
      <c r="E193" s="41" t="n">
        <f aca="false">D193*$F$7</f>
        <v>0</v>
      </c>
      <c r="F193" s="41" t="n">
        <f aca="false">IF(D193&gt;0.5,N($C$15),0)</f>
        <v>0</v>
      </c>
      <c r="G193" s="41" t="n">
        <f aca="false">IF(AND(D193&gt;0.5,N($C$19)&gt;0,N(B193)&lt;=N($C$20)),D193*$F$8,0)</f>
        <v>0</v>
      </c>
      <c r="H193" s="41" t="n">
        <f aca="false">IF(D193&lt;=0.5,0,MIN(IF(N(I193)&gt;0,I193,$F$9),D193+E193+F193))</f>
        <v>0</v>
      </c>
      <c r="I193" s="77"/>
      <c r="J193" s="77"/>
      <c r="K193" s="41" t="n">
        <f aca="false">IF(D193&lt;=0.5,0,MIN(H193+N(J193),D193+E193+F193))</f>
        <v>0</v>
      </c>
      <c r="L193" s="41" t="n">
        <f aca="false">K193-E193-F193</f>
        <v>0</v>
      </c>
      <c r="M193" s="41" t="n">
        <f aca="false">D193-L193</f>
        <v>0</v>
      </c>
      <c r="N193" s="42" t="n">
        <f aca="false">K193-G193</f>
        <v>0</v>
      </c>
      <c r="O193" s="78"/>
      <c r="P193" s="79"/>
      <c r="Q193" s="16" t="str">
        <f aca="false">IF(K193=0,"",IF(R193=1,"Pagada",IF(C193&lt;$F$12,"Vencida",IF(167=$F$13,"Próxima","Pendiente"))))</f>
        <v/>
      </c>
      <c r="R193" s="62" t="n">
        <f aca="false">IF(AND(K193&gt;0,OR(O193="Sí",O193="Si")),1,0)</f>
        <v>0</v>
      </c>
      <c r="S193" s="62" t="n">
        <f aca="false">IF(AND(K193&gt;0,R193=0),1,0)</f>
        <v>0</v>
      </c>
    </row>
    <row r="194" customFormat="false" ht="15" hidden="false" customHeight="false" outlineLevel="0" collapsed="false">
      <c r="B194" s="71" t="str">
        <f aca="false">IF($F$6="Sí",N($C$11)+167,"")</f>
        <v/>
      </c>
      <c r="C194" s="72" t="str">
        <f aca="false">IF(OR($F$6&lt;&gt;"Sí",D194&lt;=0.5),"",EDATE($C$10,167))</f>
        <v/>
      </c>
      <c r="D194" s="41" t="n">
        <f aca="false">MAX(0,M193)</f>
        <v>0</v>
      </c>
      <c r="E194" s="41" t="n">
        <f aca="false">D194*$F$7</f>
        <v>0</v>
      </c>
      <c r="F194" s="41" t="n">
        <f aca="false">IF(D194&gt;0.5,N($C$15),0)</f>
        <v>0</v>
      </c>
      <c r="G194" s="41" t="n">
        <f aca="false">IF(AND(D194&gt;0.5,N($C$19)&gt;0,N(B194)&lt;=N($C$20)),D194*$F$8,0)</f>
        <v>0</v>
      </c>
      <c r="H194" s="41" t="n">
        <f aca="false">IF(D194&lt;=0.5,0,MIN(IF(N(I194)&gt;0,I194,$F$9),D194+E194+F194))</f>
        <v>0</v>
      </c>
      <c r="I194" s="77"/>
      <c r="J194" s="77"/>
      <c r="K194" s="41" t="n">
        <f aca="false">IF(D194&lt;=0.5,0,MIN(H194+N(J194),D194+E194+F194))</f>
        <v>0</v>
      </c>
      <c r="L194" s="41" t="n">
        <f aca="false">K194-E194-F194</f>
        <v>0</v>
      </c>
      <c r="M194" s="41" t="n">
        <f aca="false">D194-L194</f>
        <v>0</v>
      </c>
      <c r="N194" s="42" t="n">
        <f aca="false">K194-G194</f>
        <v>0</v>
      </c>
      <c r="O194" s="78"/>
      <c r="P194" s="79"/>
      <c r="Q194" s="16" t="str">
        <f aca="false">IF(K194=0,"",IF(R194=1,"Pagada",IF(C194&lt;$F$12,"Vencida",IF(168=$F$13,"Próxima","Pendiente"))))</f>
        <v/>
      </c>
      <c r="R194" s="62" t="n">
        <f aca="false">IF(AND(K194&gt;0,OR(O194="Sí",O194="Si")),1,0)</f>
        <v>0</v>
      </c>
      <c r="S194" s="62" t="n">
        <f aca="false">IF(AND(K194&gt;0,R194=0),1,0)</f>
        <v>0</v>
      </c>
    </row>
    <row r="195" customFormat="false" ht="15" hidden="false" customHeight="false" outlineLevel="0" collapsed="false">
      <c r="B195" s="71" t="str">
        <f aca="false">IF($F$6="Sí",N($C$11)+168,"")</f>
        <v/>
      </c>
      <c r="C195" s="72" t="str">
        <f aca="false">IF(OR($F$6&lt;&gt;"Sí",D195&lt;=0.5),"",EDATE($C$10,168))</f>
        <v/>
      </c>
      <c r="D195" s="41" t="n">
        <f aca="false">MAX(0,M194)</f>
        <v>0</v>
      </c>
      <c r="E195" s="41" t="n">
        <f aca="false">D195*$F$7</f>
        <v>0</v>
      </c>
      <c r="F195" s="41" t="n">
        <f aca="false">IF(D195&gt;0.5,N($C$15),0)</f>
        <v>0</v>
      </c>
      <c r="G195" s="41" t="n">
        <f aca="false">IF(AND(D195&gt;0.5,N($C$19)&gt;0,N(B195)&lt;=N($C$20)),D195*$F$8,0)</f>
        <v>0</v>
      </c>
      <c r="H195" s="41" t="n">
        <f aca="false">IF(D195&lt;=0.5,0,MIN(IF(N(I195)&gt;0,I195,$F$9),D195+E195+F195))</f>
        <v>0</v>
      </c>
      <c r="I195" s="77"/>
      <c r="J195" s="77"/>
      <c r="K195" s="41" t="n">
        <f aca="false">IF(D195&lt;=0.5,0,MIN(H195+N(J195),D195+E195+F195))</f>
        <v>0</v>
      </c>
      <c r="L195" s="41" t="n">
        <f aca="false">K195-E195-F195</f>
        <v>0</v>
      </c>
      <c r="M195" s="41" t="n">
        <f aca="false">D195-L195</f>
        <v>0</v>
      </c>
      <c r="N195" s="42" t="n">
        <f aca="false">K195-G195</f>
        <v>0</v>
      </c>
      <c r="O195" s="78"/>
      <c r="P195" s="79"/>
      <c r="Q195" s="16" t="str">
        <f aca="false">IF(K195=0,"",IF(R195=1,"Pagada",IF(C195&lt;$F$12,"Vencida",IF(169=$F$13,"Próxima","Pendiente"))))</f>
        <v/>
      </c>
      <c r="R195" s="62" t="n">
        <f aca="false">IF(AND(K195&gt;0,OR(O195="Sí",O195="Si")),1,0)</f>
        <v>0</v>
      </c>
      <c r="S195" s="62" t="n">
        <f aca="false">IF(AND(K195&gt;0,R195=0),1,0)</f>
        <v>0</v>
      </c>
    </row>
    <row r="196" customFormat="false" ht="15" hidden="false" customHeight="false" outlineLevel="0" collapsed="false">
      <c r="B196" s="71" t="str">
        <f aca="false">IF($F$6="Sí",N($C$11)+169,"")</f>
        <v/>
      </c>
      <c r="C196" s="72" t="str">
        <f aca="false">IF(OR($F$6&lt;&gt;"Sí",D196&lt;=0.5),"",EDATE($C$10,169))</f>
        <v/>
      </c>
      <c r="D196" s="41" t="n">
        <f aca="false">MAX(0,M195)</f>
        <v>0</v>
      </c>
      <c r="E196" s="41" t="n">
        <f aca="false">D196*$F$7</f>
        <v>0</v>
      </c>
      <c r="F196" s="41" t="n">
        <f aca="false">IF(D196&gt;0.5,N($C$15),0)</f>
        <v>0</v>
      </c>
      <c r="G196" s="41" t="n">
        <f aca="false">IF(AND(D196&gt;0.5,N($C$19)&gt;0,N(B196)&lt;=N($C$20)),D196*$F$8,0)</f>
        <v>0</v>
      </c>
      <c r="H196" s="41" t="n">
        <f aca="false">IF(D196&lt;=0.5,0,MIN(IF(N(I196)&gt;0,I196,$F$9),D196+E196+F196))</f>
        <v>0</v>
      </c>
      <c r="I196" s="77"/>
      <c r="J196" s="77"/>
      <c r="K196" s="41" t="n">
        <f aca="false">IF(D196&lt;=0.5,0,MIN(H196+N(J196),D196+E196+F196))</f>
        <v>0</v>
      </c>
      <c r="L196" s="41" t="n">
        <f aca="false">K196-E196-F196</f>
        <v>0</v>
      </c>
      <c r="M196" s="41" t="n">
        <f aca="false">D196-L196</f>
        <v>0</v>
      </c>
      <c r="N196" s="42" t="n">
        <f aca="false">K196-G196</f>
        <v>0</v>
      </c>
      <c r="O196" s="78"/>
      <c r="P196" s="79"/>
      <c r="Q196" s="16" t="str">
        <f aca="false">IF(K196=0,"",IF(R196=1,"Pagada",IF(C196&lt;$F$12,"Vencida",IF(170=$F$13,"Próxima","Pendiente"))))</f>
        <v/>
      </c>
      <c r="R196" s="62" t="n">
        <f aca="false">IF(AND(K196&gt;0,OR(O196="Sí",O196="Si")),1,0)</f>
        <v>0</v>
      </c>
      <c r="S196" s="62" t="n">
        <f aca="false">IF(AND(K196&gt;0,R196=0),1,0)</f>
        <v>0</v>
      </c>
    </row>
    <row r="197" customFormat="false" ht="15" hidden="false" customHeight="false" outlineLevel="0" collapsed="false">
      <c r="B197" s="71" t="str">
        <f aca="false">IF($F$6="Sí",N($C$11)+170,"")</f>
        <v/>
      </c>
      <c r="C197" s="72" t="str">
        <f aca="false">IF(OR($F$6&lt;&gt;"Sí",D197&lt;=0.5),"",EDATE($C$10,170))</f>
        <v/>
      </c>
      <c r="D197" s="41" t="n">
        <f aca="false">MAX(0,M196)</f>
        <v>0</v>
      </c>
      <c r="E197" s="41" t="n">
        <f aca="false">D197*$F$7</f>
        <v>0</v>
      </c>
      <c r="F197" s="41" t="n">
        <f aca="false">IF(D197&gt;0.5,N($C$15),0)</f>
        <v>0</v>
      </c>
      <c r="G197" s="41" t="n">
        <f aca="false">IF(AND(D197&gt;0.5,N($C$19)&gt;0,N(B197)&lt;=N($C$20)),D197*$F$8,0)</f>
        <v>0</v>
      </c>
      <c r="H197" s="41" t="n">
        <f aca="false">IF(D197&lt;=0.5,0,MIN(IF(N(I197)&gt;0,I197,$F$9),D197+E197+F197))</f>
        <v>0</v>
      </c>
      <c r="I197" s="77"/>
      <c r="J197" s="77"/>
      <c r="K197" s="41" t="n">
        <f aca="false">IF(D197&lt;=0.5,0,MIN(H197+N(J197),D197+E197+F197))</f>
        <v>0</v>
      </c>
      <c r="L197" s="41" t="n">
        <f aca="false">K197-E197-F197</f>
        <v>0</v>
      </c>
      <c r="M197" s="41" t="n">
        <f aca="false">D197-L197</f>
        <v>0</v>
      </c>
      <c r="N197" s="42" t="n">
        <f aca="false">K197-G197</f>
        <v>0</v>
      </c>
      <c r="O197" s="78"/>
      <c r="P197" s="79"/>
      <c r="Q197" s="16" t="str">
        <f aca="false">IF(K197=0,"",IF(R197=1,"Pagada",IF(C197&lt;$F$12,"Vencida",IF(171=$F$13,"Próxima","Pendiente"))))</f>
        <v/>
      </c>
      <c r="R197" s="62" t="n">
        <f aca="false">IF(AND(K197&gt;0,OR(O197="Sí",O197="Si")),1,0)</f>
        <v>0</v>
      </c>
      <c r="S197" s="62" t="n">
        <f aca="false">IF(AND(K197&gt;0,R197=0),1,0)</f>
        <v>0</v>
      </c>
    </row>
    <row r="198" customFormat="false" ht="15" hidden="false" customHeight="false" outlineLevel="0" collapsed="false">
      <c r="B198" s="71" t="str">
        <f aca="false">IF($F$6="Sí",N($C$11)+171,"")</f>
        <v/>
      </c>
      <c r="C198" s="72" t="str">
        <f aca="false">IF(OR($F$6&lt;&gt;"Sí",D198&lt;=0.5),"",EDATE($C$10,171))</f>
        <v/>
      </c>
      <c r="D198" s="41" t="n">
        <f aca="false">MAX(0,M197)</f>
        <v>0</v>
      </c>
      <c r="E198" s="41" t="n">
        <f aca="false">D198*$F$7</f>
        <v>0</v>
      </c>
      <c r="F198" s="41" t="n">
        <f aca="false">IF(D198&gt;0.5,N($C$15),0)</f>
        <v>0</v>
      </c>
      <c r="G198" s="41" t="n">
        <f aca="false">IF(AND(D198&gt;0.5,N($C$19)&gt;0,N(B198)&lt;=N($C$20)),D198*$F$8,0)</f>
        <v>0</v>
      </c>
      <c r="H198" s="41" t="n">
        <f aca="false">IF(D198&lt;=0.5,0,MIN(IF(N(I198)&gt;0,I198,$F$9),D198+E198+F198))</f>
        <v>0</v>
      </c>
      <c r="I198" s="77"/>
      <c r="J198" s="77"/>
      <c r="K198" s="41" t="n">
        <f aca="false">IF(D198&lt;=0.5,0,MIN(H198+N(J198),D198+E198+F198))</f>
        <v>0</v>
      </c>
      <c r="L198" s="41" t="n">
        <f aca="false">K198-E198-F198</f>
        <v>0</v>
      </c>
      <c r="M198" s="41" t="n">
        <f aca="false">D198-L198</f>
        <v>0</v>
      </c>
      <c r="N198" s="42" t="n">
        <f aca="false">K198-G198</f>
        <v>0</v>
      </c>
      <c r="O198" s="78"/>
      <c r="P198" s="79"/>
      <c r="Q198" s="16" t="str">
        <f aca="false">IF(K198=0,"",IF(R198=1,"Pagada",IF(C198&lt;$F$12,"Vencida",IF(172=$F$13,"Próxima","Pendiente"))))</f>
        <v/>
      </c>
      <c r="R198" s="62" t="n">
        <f aca="false">IF(AND(K198&gt;0,OR(O198="Sí",O198="Si")),1,0)</f>
        <v>0</v>
      </c>
      <c r="S198" s="62" t="n">
        <f aca="false">IF(AND(K198&gt;0,R198=0),1,0)</f>
        <v>0</v>
      </c>
    </row>
    <row r="199" customFormat="false" ht="15" hidden="false" customHeight="false" outlineLevel="0" collapsed="false">
      <c r="B199" s="71" t="str">
        <f aca="false">IF($F$6="Sí",N($C$11)+172,"")</f>
        <v/>
      </c>
      <c r="C199" s="72" t="str">
        <f aca="false">IF(OR($F$6&lt;&gt;"Sí",D199&lt;=0.5),"",EDATE($C$10,172))</f>
        <v/>
      </c>
      <c r="D199" s="41" t="n">
        <f aca="false">MAX(0,M198)</f>
        <v>0</v>
      </c>
      <c r="E199" s="41" t="n">
        <f aca="false">D199*$F$7</f>
        <v>0</v>
      </c>
      <c r="F199" s="41" t="n">
        <f aca="false">IF(D199&gt;0.5,N($C$15),0)</f>
        <v>0</v>
      </c>
      <c r="G199" s="41" t="n">
        <f aca="false">IF(AND(D199&gt;0.5,N($C$19)&gt;0,N(B199)&lt;=N($C$20)),D199*$F$8,0)</f>
        <v>0</v>
      </c>
      <c r="H199" s="41" t="n">
        <f aca="false">IF(D199&lt;=0.5,0,MIN(IF(N(I199)&gt;0,I199,$F$9),D199+E199+F199))</f>
        <v>0</v>
      </c>
      <c r="I199" s="77"/>
      <c r="J199" s="77"/>
      <c r="K199" s="41" t="n">
        <f aca="false">IF(D199&lt;=0.5,0,MIN(H199+N(J199),D199+E199+F199))</f>
        <v>0</v>
      </c>
      <c r="L199" s="41" t="n">
        <f aca="false">K199-E199-F199</f>
        <v>0</v>
      </c>
      <c r="M199" s="41" t="n">
        <f aca="false">D199-L199</f>
        <v>0</v>
      </c>
      <c r="N199" s="42" t="n">
        <f aca="false">K199-G199</f>
        <v>0</v>
      </c>
      <c r="O199" s="78"/>
      <c r="P199" s="79"/>
      <c r="Q199" s="16" t="str">
        <f aca="false">IF(K199=0,"",IF(R199=1,"Pagada",IF(C199&lt;$F$12,"Vencida",IF(173=$F$13,"Próxima","Pendiente"))))</f>
        <v/>
      </c>
      <c r="R199" s="62" t="n">
        <f aca="false">IF(AND(K199&gt;0,OR(O199="Sí",O199="Si")),1,0)</f>
        <v>0</v>
      </c>
      <c r="S199" s="62" t="n">
        <f aca="false">IF(AND(K199&gt;0,R199=0),1,0)</f>
        <v>0</v>
      </c>
    </row>
    <row r="200" customFormat="false" ht="15" hidden="false" customHeight="false" outlineLevel="0" collapsed="false">
      <c r="B200" s="71" t="str">
        <f aca="false">IF($F$6="Sí",N($C$11)+173,"")</f>
        <v/>
      </c>
      <c r="C200" s="72" t="str">
        <f aca="false">IF(OR($F$6&lt;&gt;"Sí",D200&lt;=0.5),"",EDATE($C$10,173))</f>
        <v/>
      </c>
      <c r="D200" s="41" t="n">
        <f aca="false">MAX(0,M199)</f>
        <v>0</v>
      </c>
      <c r="E200" s="41" t="n">
        <f aca="false">D200*$F$7</f>
        <v>0</v>
      </c>
      <c r="F200" s="41" t="n">
        <f aca="false">IF(D200&gt;0.5,N($C$15),0)</f>
        <v>0</v>
      </c>
      <c r="G200" s="41" t="n">
        <f aca="false">IF(AND(D200&gt;0.5,N($C$19)&gt;0,N(B200)&lt;=N($C$20)),D200*$F$8,0)</f>
        <v>0</v>
      </c>
      <c r="H200" s="41" t="n">
        <f aca="false">IF(D200&lt;=0.5,0,MIN(IF(N(I200)&gt;0,I200,$F$9),D200+E200+F200))</f>
        <v>0</v>
      </c>
      <c r="I200" s="77"/>
      <c r="J200" s="77"/>
      <c r="K200" s="41" t="n">
        <f aca="false">IF(D200&lt;=0.5,0,MIN(H200+N(J200),D200+E200+F200))</f>
        <v>0</v>
      </c>
      <c r="L200" s="41" t="n">
        <f aca="false">K200-E200-F200</f>
        <v>0</v>
      </c>
      <c r="M200" s="41" t="n">
        <f aca="false">D200-L200</f>
        <v>0</v>
      </c>
      <c r="N200" s="42" t="n">
        <f aca="false">K200-G200</f>
        <v>0</v>
      </c>
      <c r="O200" s="78"/>
      <c r="P200" s="79"/>
      <c r="Q200" s="16" t="str">
        <f aca="false">IF(K200=0,"",IF(R200=1,"Pagada",IF(C200&lt;$F$12,"Vencida",IF(174=$F$13,"Próxima","Pendiente"))))</f>
        <v/>
      </c>
      <c r="R200" s="62" t="n">
        <f aca="false">IF(AND(K200&gt;0,OR(O200="Sí",O200="Si")),1,0)</f>
        <v>0</v>
      </c>
      <c r="S200" s="62" t="n">
        <f aca="false">IF(AND(K200&gt;0,R200=0),1,0)</f>
        <v>0</v>
      </c>
    </row>
    <row r="201" customFormat="false" ht="15" hidden="false" customHeight="false" outlineLevel="0" collapsed="false">
      <c r="B201" s="71" t="str">
        <f aca="false">IF($F$6="Sí",N($C$11)+174,"")</f>
        <v/>
      </c>
      <c r="C201" s="72" t="str">
        <f aca="false">IF(OR($F$6&lt;&gt;"Sí",D201&lt;=0.5),"",EDATE($C$10,174))</f>
        <v/>
      </c>
      <c r="D201" s="41" t="n">
        <f aca="false">MAX(0,M200)</f>
        <v>0</v>
      </c>
      <c r="E201" s="41" t="n">
        <f aca="false">D201*$F$7</f>
        <v>0</v>
      </c>
      <c r="F201" s="41" t="n">
        <f aca="false">IF(D201&gt;0.5,N($C$15),0)</f>
        <v>0</v>
      </c>
      <c r="G201" s="41" t="n">
        <f aca="false">IF(AND(D201&gt;0.5,N($C$19)&gt;0,N(B201)&lt;=N($C$20)),D201*$F$8,0)</f>
        <v>0</v>
      </c>
      <c r="H201" s="41" t="n">
        <f aca="false">IF(D201&lt;=0.5,0,MIN(IF(N(I201)&gt;0,I201,$F$9),D201+E201+F201))</f>
        <v>0</v>
      </c>
      <c r="I201" s="77"/>
      <c r="J201" s="77"/>
      <c r="K201" s="41" t="n">
        <f aca="false">IF(D201&lt;=0.5,0,MIN(H201+N(J201),D201+E201+F201))</f>
        <v>0</v>
      </c>
      <c r="L201" s="41" t="n">
        <f aca="false">K201-E201-F201</f>
        <v>0</v>
      </c>
      <c r="M201" s="41" t="n">
        <f aca="false">D201-L201</f>
        <v>0</v>
      </c>
      <c r="N201" s="42" t="n">
        <f aca="false">K201-G201</f>
        <v>0</v>
      </c>
      <c r="O201" s="78"/>
      <c r="P201" s="79"/>
      <c r="Q201" s="16" t="str">
        <f aca="false">IF(K201=0,"",IF(R201=1,"Pagada",IF(C201&lt;$F$12,"Vencida",IF(175=$F$13,"Próxima","Pendiente"))))</f>
        <v/>
      </c>
      <c r="R201" s="62" t="n">
        <f aca="false">IF(AND(K201&gt;0,OR(O201="Sí",O201="Si")),1,0)</f>
        <v>0</v>
      </c>
      <c r="S201" s="62" t="n">
        <f aca="false">IF(AND(K201&gt;0,R201=0),1,0)</f>
        <v>0</v>
      </c>
    </row>
    <row r="202" customFormat="false" ht="15" hidden="false" customHeight="false" outlineLevel="0" collapsed="false">
      <c r="B202" s="71" t="str">
        <f aca="false">IF($F$6="Sí",N($C$11)+175,"")</f>
        <v/>
      </c>
      <c r="C202" s="72" t="str">
        <f aca="false">IF(OR($F$6&lt;&gt;"Sí",D202&lt;=0.5),"",EDATE($C$10,175))</f>
        <v/>
      </c>
      <c r="D202" s="41" t="n">
        <f aca="false">MAX(0,M201)</f>
        <v>0</v>
      </c>
      <c r="E202" s="41" t="n">
        <f aca="false">D202*$F$7</f>
        <v>0</v>
      </c>
      <c r="F202" s="41" t="n">
        <f aca="false">IF(D202&gt;0.5,N($C$15),0)</f>
        <v>0</v>
      </c>
      <c r="G202" s="41" t="n">
        <f aca="false">IF(AND(D202&gt;0.5,N($C$19)&gt;0,N(B202)&lt;=N($C$20)),D202*$F$8,0)</f>
        <v>0</v>
      </c>
      <c r="H202" s="41" t="n">
        <f aca="false">IF(D202&lt;=0.5,0,MIN(IF(N(I202)&gt;0,I202,$F$9),D202+E202+F202))</f>
        <v>0</v>
      </c>
      <c r="I202" s="77"/>
      <c r="J202" s="77"/>
      <c r="K202" s="41" t="n">
        <f aca="false">IF(D202&lt;=0.5,0,MIN(H202+N(J202),D202+E202+F202))</f>
        <v>0</v>
      </c>
      <c r="L202" s="41" t="n">
        <f aca="false">K202-E202-F202</f>
        <v>0</v>
      </c>
      <c r="M202" s="41" t="n">
        <f aca="false">D202-L202</f>
        <v>0</v>
      </c>
      <c r="N202" s="42" t="n">
        <f aca="false">K202-G202</f>
        <v>0</v>
      </c>
      <c r="O202" s="78"/>
      <c r="P202" s="79"/>
      <c r="Q202" s="16" t="str">
        <f aca="false">IF(K202=0,"",IF(R202=1,"Pagada",IF(C202&lt;$F$12,"Vencida",IF(176=$F$13,"Próxima","Pendiente"))))</f>
        <v/>
      </c>
      <c r="R202" s="62" t="n">
        <f aca="false">IF(AND(K202&gt;0,OR(O202="Sí",O202="Si")),1,0)</f>
        <v>0</v>
      </c>
      <c r="S202" s="62" t="n">
        <f aca="false">IF(AND(K202&gt;0,R202=0),1,0)</f>
        <v>0</v>
      </c>
    </row>
    <row r="203" customFormat="false" ht="15" hidden="false" customHeight="false" outlineLevel="0" collapsed="false">
      <c r="B203" s="71" t="str">
        <f aca="false">IF($F$6="Sí",N($C$11)+176,"")</f>
        <v/>
      </c>
      <c r="C203" s="72" t="str">
        <f aca="false">IF(OR($F$6&lt;&gt;"Sí",D203&lt;=0.5),"",EDATE($C$10,176))</f>
        <v/>
      </c>
      <c r="D203" s="41" t="n">
        <f aca="false">MAX(0,M202)</f>
        <v>0</v>
      </c>
      <c r="E203" s="41" t="n">
        <f aca="false">D203*$F$7</f>
        <v>0</v>
      </c>
      <c r="F203" s="41" t="n">
        <f aca="false">IF(D203&gt;0.5,N($C$15),0)</f>
        <v>0</v>
      </c>
      <c r="G203" s="41" t="n">
        <f aca="false">IF(AND(D203&gt;0.5,N($C$19)&gt;0,N(B203)&lt;=N($C$20)),D203*$F$8,0)</f>
        <v>0</v>
      </c>
      <c r="H203" s="41" t="n">
        <f aca="false">IF(D203&lt;=0.5,0,MIN(IF(N(I203)&gt;0,I203,$F$9),D203+E203+F203))</f>
        <v>0</v>
      </c>
      <c r="I203" s="77"/>
      <c r="J203" s="77"/>
      <c r="K203" s="41" t="n">
        <f aca="false">IF(D203&lt;=0.5,0,MIN(H203+N(J203),D203+E203+F203))</f>
        <v>0</v>
      </c>
      <c r="L203" s="41" t="n">
        <f aca="false">K203-E203-F203</f>
        <v>0</v>
      </c>
      <c r="M203" s="41" t="n">
        <f aca="false">D203-L203</f>
        <v>0</v>
      </c>
      <c r="N203" s="42" t="n">
        <f aca="false">K203-G203</f>
        <v>0</v>
      </c>
      <c r="O203" s="78"/>
      <c r="P203" s="79"/>
      <c r="Q203" s="16" t="str">
        <f aca="false">IF(K203=0,"",IF(R203=1,"Pagada",IF(C203&lt;$F$12,"Vencida",IF(177=$F$13,"Próxima","Pendiente"))))</f>
        <v/>
      </c>
      <c r="R203" s="62" t="n">
        <f aca="false">IF(AND(K203&gt;0,OR(O203="Sí",O203="Si")),1,0)</f>
        <v>0</v>
      </c>
      <c r="S203" s="62" t="n">
        <f aca="false">IF(AND(K203&gt;0,R203=0),1,0)</f>
        <v>0</v>
      </c>
    </row>
    <row r="204" customFormat="false" ht="15" hidden="false" customHeight="false" outlineLevel="0" collapsed="false">
      <c r="B204" s="71" t="str">
        <f aca="false">IF($F$6="Sí",N($C$11)+177,"")</f>
        <v/>
      </c>
      <c r="C204" s="72" t="str">
        <f aca="false">IF(OR($F$6&lt;&gt;"Sí",D204&lt;=0.5),"",EDATE($C$10,177))</f>
        <v/>
      </c>
      <c r="D204" s="41" t="n">
        <f aca="false">MAX(0,M203)</f>
        <v>0</v>
      </c>
      <c r="E204" s="41" t="n">
        <f aca="false">D204*$F$7</f>
        <v>0</v>
      </c>
      <c r="F204" s="41" t="n">
        <f aca="false">IF(D204&gt;0.5,N($C$15),0)</f>
        <v>0</v>
      </c>
      <c r="G204" s="41" t="n">
        <f aca="false">IF(AND(D204&gt;0.5,N($C$19)&gt;0,N(B204)&lt;=N($C$20)),D204*$F$8,0)</f>
        <v>0</v>
      </c>
      <c r="H204" s="41" t="n">
        <f aca="false">IF(D204&lt;=0.5,0,MIN(IF(N(I204)&gt;0,I204,$F$9),D204+E204+F204))</f>
        <v>0</v>
      </c>
      <c r="I204" s="77"/>
      <c r="J204" s="77"/>
      <c r="K204" s="41" t="n">
        <f aca="false">IF(D204&lt;=0.5,0,MIN(H204+N(J204),D204+E204+F204))</f>
        <v>0</v>
      </c>
      <c r="L204" s="41" t="n">
        <f aca="false">K204-E204-F204</f>
        <v>0</v>
      </c>
      <c r="M204" s="41" t="n">
        <f aca="false">D204-L204</f>
        <v>0</v>
      </c>
      <c r="N204" s="42" t="n">
        <f aca="false">K204-G204</f>
        <v>0</v>
      </c>
      <c r="O204" s="78"/>
      <c r="P204" s="79"/>
      <c r="Q204" s="16" t="str">
        <f aca="false">IF(K204=0,"",IF(R204=1,"Pagada",IF(C204&lt;$F$12,"Vencida",IF(178=$F$13,"Próxima","Pendiente"))))</f>
        <v/>
      </c>
      <c r="R204" s="62" t="n">
        <f aca="false">IF(AND(K204&gt;0,OR(O204="Sí",O204="Si")),1,0)</f>
        <v>0</v>
      </c>
      <c r="S204" s="62" t="n">
        <f aca="false">IF(AND(K204&gt;0,R204=0),1,0)</f>
        <v>0</v>
      </c>
    </row>
    <row r="205" customFormat="false" ht="15" hidden="false" customHeight="false" outlineLevel="0" collapsed="false">
      <c r="B205" s="71" t="str">
        <f aca="false">IF($F$6="Sí",N($C$11)+178,"")</f>
        <v/>
      </c>
      <c r="C205" s="72" t="str">
        <f aca="false">IF(OR($F$6&lt;&gt;"Sí",D205&lt;=0.5),"",EDATE($C$10,178))</f>
        <v/>
      </c>
      <c r="D205" s="41" t="n">
        <f aca="false">MAX(0,M204)</f>
        <v>0</v>
      </c>
      <c r="E205" s="41" t="n">
        <f aca="false">D205*$F$7</f>
        <v>0</v>
      </c>
      <c r="F205" s="41" t="n">
        <f aca="false">IF(D205&gt;0.5,N($C$15),0)</f>
        <v>0</v>
      </c>
      <c r="G205" s="41" t="n">
        <f aca="false">IF(AND(D205&gt;0.5,N($C$19)&gt;0,N(B205)&lt;=N($C$20)),D205*$F$8,0)</f>
        <v>0</v>
      </c>
      <c r="H205" s="41" t="n">
        <f aca="false">IF(D205&lt;=0.5,0,MIN(IF(N(I205)&gt;0,I205,$F$9),D205+E205+F205))</f>
        <v>0</v>
      </c>
      <c r="I205" s="77"/>
      <c r="J205" s="77"/>
      <c r="K205" s="41" t="n">
        <f aca="false">IF(D205&lt;=0.5,0,MIN(H205+N(J205),D205+E205+F205))</f>
        <v>0</v>
      </c>
      <c r="L205" s="41" t="n">
        <f aca="false">K205-E205-F205</f>
        <v>0</v>
      </c>
      <c r="M205" s="41" t="n">
        <f aca="false">D205-L205</f>
        <v>0</v>
      </c>
      <c r="N205" s="42" t="n">
        <f aca="false">K205-G205</f>
        <v>0</v>
      </c>
      <c r="O205" s="78"/>
      <c r="P205" s="79"/>
      <c r="Q205" s="16" t="str">
        <f aca="false">IF(K205=0,"",IF(R205=1,"Pagada",IF(C205&lt;$F$12,"Vencida",IF(179=$F$13,"Próxima","Pendiente"))))</f>
        <v/>
      </c>
      <c r="R205" s="62" t="n">
        <f aca="false">IF(AND(K205&gt;0,OR(O205="Sí",O205="Si")),1,0)</f>
        <v>0</v>
      </c>
      <c r="S205" s="62" t="n">
        <f aca="false">IF(AND(K205&gt;0,R205=0),1,0)</f>
        <v>0</v>
      </c>
    </row>
    <row r="206" customFormat="false" ht="15" hidden="false" customHeight="false" outlineLevel="0" collapsed="false">
      <c r="B206" s="71" t="str">
        <f aca="false">IF($F$6="Sí",N($C$11)+179,"")</f>
        <v/>
      </c>
      <c r="C206" s="72" t="str">
        <f aca="false">IF(OR($F$6&lt;&gt;"Sí",D206&lt;=0.5),"",EDATE($C$10,179))</f>
        <v/>
      </c>
      <c r="D206" s="41" t="n">
        <f aca="false">MAX(0,M205)</f>
        <v>0</v>
      </c>
      <c r="E206" s="41" t="n">
        <f aca="false">D206*$F$7</f>
        <v>0</v>
      </c>
      <c r="F206" s="41" t="n">
        <f aca="false">IF(D206&gt;0.5,N($C$15),0)</f>
        <v>0</v>
      </c>
      <c r="G206" s="41" t="n">
        <f aca="false">IF(AND(D206&gt;0.5,N($C$19)&gt;0,N(B206)&lt;=N($C$20)),D206*$F$8,0)</f>
        <v>0</v>
      </c>
      <c r="H206" s="41" t="n">
        <f aca="false">IF(D206&lt;=0.5,0,MIN(IF(N(I206)&gt;0,I206,$F$9),D206+E206+F206))</f>
        <v>0</v>
      </c>
      <c r="I206" s="77"/>
      <c r="J206" s="77"/>
      <c r="K206" s="41" t="n">
        <f aca="false">IF(D206&lt;=0.5,0,MIN(H206+N(J206),D206+E206+F206))</f>
        <v>0</v>
      </c>
      <c r="L206" s="41" t="n">
        <f aca="false">K206-E206-F206</f>
        <v>0</v>
      </c>
      <c r="M206" s="41" t="n">
        <f aca="false">D206-L206</f>
        <v>0</v>
      </c>
      <c r="N206" s="42" t="n">
        <f aca="false">K206-G206</f>
        <v>0</v>
      </c>
      <c r="O206" s="78"/>
      <c r="P206" s="79"/>
      <c r="Q206" s="16" t="str">
        <f aca="false">IF(K206=0,"",IF(R206=1,"Pagada",IF(C206&lt;$F$12,"Vencida",IF(180=$F$13,"Próxima","Pendiente"))))</f>
        <v/>
      </c>
      <c r="R206" s="62" t="n">
        <f aca="false">IF(AND(K206&gt;0,OR(O206="Sí",O206="Si")),1,0)</f>
        <v>0</v>
      </c>
      <c r="S206" s="62" t="n">
        <f aca="false">IF(AND(K206&gt;0,R206=0),1,0)</f>
        <v>0</v>
      </c>
    </row>
    <row r="207" customFormat="false" ht="15" hidden="false" customHeight="false" outlineLevel="0" collapsed="false">
      <c r="B207" s="71" t="str">
        <f aca="false">IF($F$6="Sí",N($C$11)+180,"")</f>
        <v/>
      </c>
      <c r="C207" s="72" t="str">
        <f aca="false">IF(OR($F$6&lt;&gt;"Sí",D207&lt;=0.5),"",EDATE($C$10,180))</f>
        <v/>
      </c>
      <c r="D207" s="41" t="n">
        <f aca="false">MAX(0,M206)</f>
        <v>0</v>
      </c>
      <c r="E207" s="41" t="n">
        <f aca="false">D207*$F$7</f>
        <v>0</v>
      </c>
      <c r="F207" s="41" t="n">
        <f aca="false">IF(D207&gt;0.5,N($C$15),0)</f>
        <v>0</v>
      </c>
      <c r="G207" s="41" t="n">
        <f aca="false">IF(AND(D207&gt;0.5,N($C$19)&gt;0,N(B207)&lt;=N($C$20)),D207*$F$8,0)</f>
        <v>0</v>
      </c>
      <c r="H207" s="41" t="n">
        <f aca="false">IF(D207&lt;=0.5,0,MIN(IF(N(I207)&gt;0,I207,$F$9),D207+E207+F207))</f>
        <v>0</v>
      </c>
      <c r="I207" s="77"/>
      <c r="J207" s="77"/>
      <c r="K207" s="41" t="n">
        <f aca="false">IF(D207&lt;=0.5,0,MIN(H207+N(J207),D207+E207+F207))</f>
        <v>0</v>
      </c>
      <c r="L207" s="41" t="n">
        <f aca="false">K207-E207-F207</f>
        <v>0</v>
      </c>
      <c r="M207" s="41" t="n">
        <f aca="false">D207-L207</f>
        <v>0</v>
      </c>
      <c r="N207" s="42" t="n">
        <f aca="false">K207-G207</f>
        <v>0</v>
      </c>
      <c r="O207" s="78"/>
      <c r="P207" s="79"/>
      <c r="Q207" s="16" t="str">
        <f aca="false">IF(K207=0,"",IF(R207=1,"Pagada",IF(C207&lt;$F$12,"Vencida",IF(181=$F$13,"Próxima","Pendiente"))))</f>
        <v/>
      </c>
      <c r="R207" s="62" t="n">
        <f aca="false">IF(AND(K207&gt;0,OR(O207="Sí",O207="Si")),1,0)</f>
        <v>0</v>
      </c>
      <c r="S207" s="62" t="n">
        <f aca="false">IF(AND(K207&gt;0,R207=0),1,0)</f>
        <v>0</v>
      </c>
    </row>
    <row r="208" customFormat="false" ht="15" hidden="false" customHeight="false" outlineLevel="0" collapsed="false">
      <c r="B208" s="71" t="str">
        <f aca="false">IF($F$6="Sí",N($C$11)+181,"")</f>
        <v/>
      </c>
      <c r="C208" s="72" t="str">
        <f aca="false">IF(OR($F$6&lt;&gt;"Sí",D208&lt;=0.5),"",EDATE($C$10,181))</f>
        <v/>
      </c>
      <c r="D208" s="41" t="n">
        <f aca="false">MAX(0,M207)</f>
        <v>0</v>
      </c>
      <c r="E208" s="41" t="n">
        <f aca="false">D208*$F$7</f>
        <v>0</v>
      </c>
      <c r="F208" s="41" t="n">
        <f aca="false">IF(D208&gt;0.5,N($C$15),0)</f>
        <v>0</v>
      </c>
      <c r="G208" s="41" t="n">
        <f aca="false">IF(AND(D208&gt;0.5,N($C$19)&gt;0,N(B208)&lt;=N($C$20)),D208*$F$8,0)</f>
        <v>0</v>
      </c>
      <c r="H208" s="41" t="n">
        <f aca="false">IF(D208&lt;=0.5,0,MIN(IF(N(I208)&gt;0,I208,$F$9),D208+E208+F208))</f>
        <v>0</v>
      </c>
      <c r="I208" s="77"/>
      <c r="J208" s="77"/>
      <c r="K208" s="41" t="n">
        <f aca="false">IF(D208&lt;=0.5,0,MIN(H208+N(J208),D208+E208+F208))</f>
        <v>0</v>
      </c>
      <c r="L208" s="41" t="n">
        <f aca="false">K208-E208-F208</f>
        <v>0</v>
      </c>
      <c r="M208" s="41" t="n">
        <f aca="false">D208-L208</f>
        <v>0</v>
      </c>
      <c r="N208" s="42" t="n">
        <f aca="false">K208-G208</f>
        <v>0</v>
      </c>
      <c r="O208" s="78"/>
      <c r="P208" s="79"/>
      <c r="Q208" s="16" t="str">
        <f aca="false">IF(K208=0,"",IF(R208=1,"Pagada",IF(C208&lt;$F$12,"Vencida",IF(182=$F$13,"Próxima","Pendiente"))))</f>
        <v/>
      </c>
      <c r="R208" s="62" t="n">
        <f aca="false">IF(AND(K208&gt;0,OR(O208="Sí",O208="Si")),1,0)</f>
        <v>0</v>
      </c>
      <c r="S208" s="62" t="n">
        <f aca="false">IF(AND(K208&gt;0,R208=0),1,0)</f>
        <v>0</v>
      </c>
    </row>
    <row r="209" customFormat="false" ht="15" hidden="false" customHeight="false" outlineLevel="0" collapsed="false">
      <c r="B209" s="71" t="str">
        <f aca="false">IF($F$6="Sí",N($C$11)+182,"")</f>
        <v/>
      </c>
      <c r="C209" s="72" t="str">
        <f aca="false">IF(OR($F$6&lt;&gt;"Sí",D209&lt;=0.5),"",EDATE($C$10,182))</f>
        <v/>
      </c>
      <c r="D209" s="41" t="n">
        <f aca="false">MAX(0,M208)</f>
        <v>0</v>
      </c>
      <c r="E209" s="41" t="n">
        <f aca="false">D209*$F$7</f>
        <v>0</v>
      </c>
      <c r="F209" s="41" t="n">
        <f aca="false">IF(D209&gt;0.5,N($C$15),0)</f>
        <v>0</v>
      </c>
      <c r="G209" s="41" t="n">
        <f aca="false">IF(AND(D209&gt;0.5,N($C$19)&gt;0,N(B209)&lt;=N($C$20)),D209*$F$8,0)</f>
        <v>0</v>
      </c>
      <c r="H209" s="41" t="n">
        <f aca="false">IF(D209&lt;=0.5,0,MIN(IF(N(I209)&gt;0,I209,$F$9),D209+E209+F209))</f>
        <v>0</v>
      </c>
      <c r="I209" s="77"/>
      <c r="J209" s="77"/>
      <c r="K209" s="41" t="n">
        <f aca="false">IF(D209&lt;=0.5,0,MIN(H209+N(J209),D209+E209+F209))</f>
        <v>0</v>
      </c>
      <c r="L209" s="41" t="n">
        <f aca="false">K209-E209-F209</f>
        <v>0</v>
      </c>
      <c r="M209" s="41" t="n">
        <f aca="false">D209-L209</f>
        <v>0</v>
      </c>
      <c r="N209" s="42" t="n">
        <f aca="false">K209-G209</f>
        <v>0</v>
      </c>
      <c r="O209" s="78"/>
      <c r="P209" s="79"/>
      <c r="Q209" s="16" t="str">
        <f aca="false">IF(K209=0,"",IF(R209=1,"Pagada",IF(C209&lt;$F$12,"Vencida",IF(183=$F$13,"Próxima","Pendiente"))))</f>
        <v/>
      </c>
      <c r="R209" s="62" t="n">
        <f aca="false">IF(AND(K209&gt;0,OR(O209="Sí",O209="Si")),1,0)</f>
        <v>0</v>
      </c>
      <c r="S209" s="62" t="n">
        <f aca="false">IF(AND(K209&gt;0,R209=0),1,0)</f>
        <v>0</v>
      </c>
    </row>
    <row r="210" customFormat="false" ht="15" hidden="false" customHeight="false" outlineLevel="0" collapsed="false">
      <c r="B210" s="71" t="str">
        <f aca="false">IF($F$6="Sí",N($C$11)+183,"")</f>
        <v/>
      </c>
      <c r="C210" s="72" t="str">
        <f aca="false">IF(OR($F$6&lt;&gt;"Sí",D210&lt;=0.5),"",EDATE($C$10,183))</f>
        <v/>
      </c>
      <c r="D210" s="41" t="n">
        <f aca="false">MAX(0,M209)</f>
        <v>0</v>
      </c>
      <c r="E210" s="41" t="n">
        <f aca="false">D210*$F$7</f>
        <v>0</v>
      </c>
      <c r="F210" s="41" t="n">
        <f aca="false">IF(D210&gt;0.5,N($C$15),0)</f>
        <v>0</v>
      </c>
      <c r="G210" s="41" t="n">
        <f aca="false">IF(AND(D210&gt;0.5,N($C$19)&gt;0,N(B210)&lt;=N($C$20)),D210*$F$8,0)</f>
        <v>0</v>
      </c>
      <c r="H210" s="41" t="n">
        <f aca="false">IF(D210&lt;=0.5,0,MIN(IF(N(I210)&gt;0,I210,$F$9),D210+E210+F210))</f>
        <v>0</v>
      </c>
      <c r="I210" s="77"/>
      <c r="J210" s="77"/>
      <c r="K210" s="41" t="n">
        <f aca="false">IF(D210&lt;=0.5,0,MIN(H210+N(J210),D210+E210+F210))</f>
        <v>0</v>
      </c>
      <c r="L210" s="41" t="n">
        <f aca="false">K210-E210-F210</f>
        <v>0</v>
      </c>
      <c r="M210" s="41" t="n">
        <f aca="false">D210-L210</f>
        <v>0</v>
      </c>
      <c r="N210" s="42" t="n">
        <f aca="false">K210-G210</f>
        <v>0</v>
      </c>
      <c r="O210" s="78"/>
      <c r="P210" s="79"/>
      <c r="Q210" s="16" t="str">
        <f aca="false">IF(K210=0,"",IF(R210=1,"Pagada",IF(C210&lt;$F$12,"Vencida",IF(184=$F$13,"Próxima","Pendiente"))))</f>
        <v/>
      </c>
      <c r="R210" s="62" t="n">
        <f aca="false">IF(AND(K210&gt;0,OR(O210="Sí",O210="Si")),1,0)</f>
        <v>0</v>
      </c>
      <c r="S210" s="62" t="n">
        <f aca="false">IF(AND(K210&gt;0,R210=0),1,0)</f>
        <v>0</v>
      </c>
    </row>
    <row r="211" customFormat="false" ht="15" hidden="false" customHeight="false" outlineLevel="0" collapsed="false">
      <c r="B211" s="71" t="str">
        <f aca="false">IF($F$6="Sí",N($C$11)+184,"")</f>
        <v/>
      </c>
      <c r="C211" s="72" t="str">
        <f aca="false">IF(OR($F$6&lt;&gt;"Sí",D211&lt;=0.5),"",EDATE($C$10,184))</f>
        <v/>
      </c>
      <c r="D211" s="41" t="n">
        <f aca="false">MAX(0,M210)</f>
        <v>0</v>
      </c>
      <c r="E211" s="41" t="n">
        <f aca="false">D211*$F$7</f>
        <v>0</v>
      </c>
      <c r="F211" s="41" t="n">
        <f aca="false">IF(D211&gt;0.5,N($C$15),0)</f>
        <v>0</v>
      </c>
      <c r="G211" s="41" t="n">
        <f aca="false">IF(AND(D211&gt;0.5,N($C$19)&gt;0,N(B211)&lt;=N($C$20)),D211*$F$8,0)</f>
        <v>0</v>
      </c>
      <c r="H211" s="41" t="n">
        <f aca="false">IF(D211&lt;=0.5,0,MIN(IF(N(I211)&gt;0,I211,$F$9),D211+E211+F211))</f>
        <v>0</v>
      </c>
      <c r="I211" s="77"/>
      <c r="J211" s="77"/>
      <c r="K211" s="41" t="n">
        <f aca="false">IF(D211&lt;=0.5,0,MIN(H211+N(J211),D211+E211+F211))</f>
        <v>0</v>
      </c>
      <c r="L211" s="41" t="n">
        <f aca="false">K211-E211-F211</f>
        <v>0</v>
      </c>
      <c r="M211" s="41" t="n">
        <f aca="false">D211-L211</f>
        <v>0</v>
      </c>
      <c r="N211" s="42" t="n">
        <f aca="false">K211-G211</f>
        <v>0</v>
      </c>
      <c r="O211" s="78"/>
      <c r="P211" s="79"/>
      <c r="Q211" s="16" t="str">
        <f aca="false">IF(K211=0,"",IF(R211=1,"Pagada",IF(C211&lt;$F$12,"Vencida",IF(185=$F$13,"Próxima","Pendiente"))))</f>
        <v/>
      </c>
      <c r="R211" s="62" t="n">
        <f aca="false">IF(AND(K211&gt;0,OR(O211="Sí",O211="Si")),1,0)</f>
        <v>0</v>
      </c>
      <c r="S211" s="62" t="n">
        <f aca="false">IF(AND(K211&gt;0,R211=0),1,0)</f>
        <v>0</v>
      </c>
    </row>
    <row r="212" customFormat="false" ht="15" hidden="false" customHeight="false" outlineLevel="0" collapsed="false">
      <c r="B212" s="71" t="str">
        <f aca="false">IF($F$6="Sí",N($C$11)+185,"")</f>
        <v/>
      </c>
      <c r="C212" s="72" t="str">
        <f aca="false">IF(OR($F$6&lt;&gt;"Sí",D212&lt;=0.5),"",EDATE($C$10,185))</f>
        <v/>
      </c>
      <c r="D212" s="41" t="n">
        <f aca="false">MAX(0,M211)</f>
        <v>0</v>
      </c>
      <c r="E212" s="41" t="n">
        <f aca="false">D212*$F$7</f>
        <v>0</v>
      </c>
      <c r="F212" s="41" t="n">
        <f aca="false">IF(D212&gt;0.5,N($C$15),0)</f>
        <v>0</v>
      </c>
      <c r="G212" s="41" t="n">
        <f aca="false">IF(AND(D212&gt;0.5,N($C$19)&gt;0,N(B212)&lt;=N($C$20)),D212*$F$8,0)</f>
        <v>0</v>
      </c>
      <c r="H212" s="41" t="n">
        <f aca="false">IF(D212&lt;=0.5,0,MIN(IF(N(I212)&gt;0,I212,$F$9),D212+E212+F212))</f>
        <v>0</v>
      </c>
      <c r="I212" s="77"/>
      <c r="J212" s="77"/>
      <c r="K212" s="41" t="n">
        <f aca="false">IF(D212&lt;=0.5,0,MIN(H212+N(J212),D212+E212+F212))</f>
        <v>0</v>
      </c>
      <c r="L212" s="41" t="n">
        <f aca="false">K212-E212-F212</f>
        <v>0</v>
      </c>
      <c r="M212" s="41" t="n">
        <f aca="false">D212-L212</f>
        <v>0</v>
      </c>
      <c r="N212" s="42" t="n">
        <f aca="false">K212-G212</f>
        <v>0</v>
      </c>
      <c r="O212" s="78"/>
      <c r="P212" s="79"/>
      <c r="Q212" s="16" t="str">
        <f aca="false">IF(K212=0,"",IF(R212=1,"Pagada",IF(C212&lt;$F$12,"Vencida",IF(186=$F$13,"Próxima","Pendiente"))))</f>
        <v/>
      </c>
      <c r="R212" s="62" t="n">
        <f aca="false">IF(AND(K212&gt;0,OR(O212="Sí",O212="Si")),1,0)</f>
        <v>0</v>
      </c>
      <c r="S212" s="62" t="n">
        <f aca="false">IF(AND(K212&gt;0,R212=0),1,0)</f>
        <v>0</v>
      </c>
    </row>
    <row r="213" customFormat="false" ht="15" hidden="false" customHeight="false" outlineLevel="0" collapsed="false">
      <c r="B213" s="71" t="str">
        <f aca="false">IF($F$6="Sí",N($C$11)+186,"")</f>
        <v/>
      </c>
      <c r="C213" s="72" t="str">
        <f aca="false">IF(OR($F$6&lt;&gt;"Sí",D213&lt;=0.5),"",EDATE($C$10,186))</f>
        <v/>
      </c>
      <c r="D213" s="41" t="n">
        <f aca="false">MAX(0,M212)</f>
        <v>0</v>
      </c>
      <c r="E213" s="41" t="n">
        <f aca="false">D213*$F$7</f>
        <v>0</v>
      </c>
      <c r="F213" s="41" t="n">
        <f aca="false">IF(D213&gt;0.5,N($C$15),0)</f>
        <v>0</v>
      </c>
      <c r="G213" s="41" t="n">
        <f aca="false">IF(AND(D213&gt;0.5,N($C$19)&gt;0,N(B213)&lt;=N($C$20)),D213*$F$8,0)</f>
        <v>0</v>
      </c>
      <c r="H213" s="41" t="n">
        <f aca="false">IF(D213&lt;=0.5,0,MIN(IF(N(I213)&gt;0,I213,$F$9),D213+E213+F213))</f>
        <v>0</v>
      </c>
      <c r="I213" s="77"/>
      <c r="J213" s="77"/>
      <c r="K213" s="41" t="n">
        <f aca="false">IF(D213&lt;=0.5,0,MIN(H213+N(J213),D213+E213+F213))</f>
        <v>0</v>
      </c>
      <c r="L213" s="41" t="n">
        <f aca="false">K213-E213-F213</f>
        <v>0</v>
      </c>
      <c r="M213" s="41" t="n">
        <f aca="false">D213-L213</f>
        <v>0</v>
      </c>
      <c r="N213" s="42" t="n">
        <f aca="false">K213-G213</f>
        <v>0</v>
      </c>
      <c r="O213" s="78"/>
      <c r="P213" s="79"/>
      <c r="Q213" s="16" t="str">
        <f aca="false">IF(K213=0,"",IF(R213=1,"Pagada",IF(C213&lt;$F$12,"Vencida",IF(187=$F$13,"Próxima","Pendiente"))))</f>
        <v/>
      </c>
      <c r="R213" s="62" t="n">
        <f aca="false">IF(AND(K213&gt;0,OR(O213="Sí",O213="Si")),1,0)</f>
        <v>0</v>
      </c>
      <c r="S213" s="62" t="n">
        <f aca="false">IF(AND(K213&gt;0,R213=0),1,0)</f>
        <v>0</v>
      </c>
    </row>
    <row r="214" customFormat="false" ht="15" hidden="false" customHeight="false" outlineLevel="0" collapsed="false">
      <c r="B214" s="71" t="str">
        <f aca="false">IF($F$6="Sí",N($C$11)+187,"")</f>
        <v/>
      </c>
      <c r="C214" s="72" t="str">
        <f aca="false">IF(OR($F$6&lt;&gt;"Sí",D214&lt;=0.5),"",EDATE($C$10,187))</f>
        <v/>
      </c>
      <c r="D214" s="41" t="n">
        <f aca="false">MAX(0,M213)</f>
        <v>0</v>
      </c>
      <c r="E214" s="41" t="n">
        <f aca="false">D214*$F$7</f>
        <v>0</v>
      </c>
      <c r="F214" s="41" t="n">
        <f aca="false">IF(D214&gt;0.5,N($C$15),0)</f>
        <v>0</v>
      </c>
      <c r="G214" s="41" t="n">
        <f aca="false">IF(AND(D214&gt;0.5,N($C$19)&gt;0,N(B214)&lt;=N($C$20)),D214*$F$8,0)</f>
        <v>0</v>
      </c>
      <c r="H214" s="41" t="n">
        <f aca="false">IF(D214&lt;=0.5,0,MIN(IF(N(I214)&gt;0,I214,$F$9),D214+E214+F214))</f>
        <v>0</v>
      </c>
      <c r="I214" s="77"/>
      <c r="J214" s="77"/>
      <c r="K214" s="41" t="n">
        <f aca="false">IF(D214&lt;=0.5,0,MIN(H214+N(J214),D214+E214+F214))</f>
        <v>0</v>
      </c>
      <c r="L214" s="41" t="n">
        <f aca="false">K214-E214-F214</f>
        <v>0</v>
      </c>
      <c r="M214" s="41" t="n">
        <f aca="false">D214-L214</f>
        <v>0</v>
      </c>
      <c r="N214" s="42" t="n">
        <f aca="false">K214-G214</f>
        <v>0</v>
      </c>
      <c r="O214" s="78"/>
      <c r="P214" s="79"/>
      <c r="Q214" s="16" t="str">
        <f aca="false">IF(K214=0,"",IF(R214=1,"Pagada",IF(C214&lt;$F$12,"Vencida",IF(188=$F$13,"Próxima","Pendiente"))))</f>
        <v/>
      </c>
      <c r="R214" s="62" t="n">
        <f aca="false">IF(AND(K214&gt;0,OR(O214="Sí",O214="Si")),1,0)</f>
        <v>0</v>
      </c>
      <c r="S214" s="62" t="n">
        <f aca="false">IF(AND(K214&gt;0,R214=0),1,0)</f>
        <v>0</v>
      </c>
    </row>
    <row r="215" customFormat="false" ht="15" hidden="false" customHeight="false" outlineLevel="0" collapsed="false">
      <c r="B215" s="71" t="str">
        <f aca="false">IF($F$6="Sí",N($C$11)+188,"")</f>
        <v/>
      </c>
      <c r="C215" s="72" t="str">
        <f aca="false">IF(OR($F$6&lt;&gt;"Sí",D215&lt;=0.5),"",EDATE($C$10,188))</f>
        <v/>
      </c>
      <c r="D215" s="41" t="n">
        <f aca="false">MAX(0,M214)</f>
        <v>0</v>
      </c>
      <c r="E215" s="41" t="n">
        <f aca="false">D215*$F$7</f>
        <v>0</v>
      </c>
      <c r="F215" s="41" t="n">
        <f aca="false">IF(D215&gt;0.5,N($C$15),0)</f>
        <v>0</v>
      </c>
      <c r="G215" s="41" t="n">
        <f aca="false">IF(AND(D215&gt;0.5,N($C$19)&gt;0,N(B215)&lt;=N($C$20)),D215*$F$8,0)</f>
        <v>0</v>
      </c>
      <c r="H215" s="41" t="n">
        <f aca="false">IF(D215&lt;=0.5,0,MIN(IF(N(I215)&gt;0,I215,$F$9),D215+E215+F215))</f>
        <v>0</v>
      </c>
      <c r="I215" s="77"/>
      <c r="J215" s="77"/>
      <c r="K215" s="41" t="n">
        <f aca="false">IF(D215&lt;=0.5,0,MIN(H215+N(J215),D215+E215+F215))</f>
        <v>0</v>
      </c>
      <c r="L215" s="41" t="n">
        <f aca="false">K215-E215-F215</f>
        <v>0</v>
      </c>
      <c r="M215" s="41" t="n">
        <f aca="false">D215-L215</f>
        <v>0</v>
      </c>
      <c r="N215" s="42" t="n">
        <f aca="false">K215-G215</f>
        <v>0</v>
      </c>
      <c r="O215" s="78"/>
      <c r="P215" s="79"/>
      <c r="Q215" s="16" t="str">
        <f aca="false">IF(K215=0,"",IF(R215=1,"Pagada",IF(C215&lt;$F$12,"Vencida",IF(189=$F$13,"Próxima","Pendiente"))))</f>
        <v/>
      </c>
      <c r="R215" s="62" t="n">
        <f aca="false">IF(AND(K215&gt;0,OR(O215="Sí",O215="Si")),1,0)</f>
        <v>0</v>
      </c>
      <c r="S215" s="62" t="n">
        <f aca="false">IF(AND(K215&gt;0,R215=0),1,0)</f>
        <v>0</v>
      </c>
    </row>
    <row r="216" customFormat="false" ht="15" hidden="false" customHeight="false" outlineLevel="0" collapsed="false">
      <c r="B216" s="71" t="str">
        <f aca="false">IF($F$6="Sí",N($C$11)+189,"")</f>
        <v/>
      </c>
      <c r="C216" s="72" t="str">
        <f aca="false">IF(OR($F$6&lt;&gt;"Sí",D216&lt;=0.5),"",EDATE($C$10,189))</f>
        <v/>
      </c>
      <c r="D216" s="41" t="n">
        <f aca="false">MAX(0,M215)</f>
        <v>0</v>
      </c>
      <c r="E216" s="41" t="n">
        <f aca="false">D216*$F$7</f>
        <v>0</v>
      </c>
      <c r="F216" s="41" t="n">
        <f aca="false">IF(D216&gt;0.5,N($C$15),0)</f>
        <v>0</v>
      </c>
      <c r="G216" s="41" t="n">
        <f aca="false">IF(AND(D216&gt;0.5,N($C$19)&gt;0,N(B216)&lt;=N($C$20)),D216*$F$8,0)</f>
        <v>0</v>
      </c>
      <c r="H216" s="41" t="n">
        <f aca="false">IF(D216&lt;=0.5,0,MIN(IF(N(I216)&gt;0,I216,$F$9),D216+E216+F216))</f>
        <v>0</v>
      </c>
      <c r="I216" s="77"/>
      <c r="J216" s="77"/>
      <c r="K216" s="41" t="n">
        <f aca="false">IF(D216&lt;=0.5,0,MIN(H216+N(J216),D216+E216+F216))</f>
        <v>0</v>
      </c>
      <c r="L216" s="41" t="n">
        <f aca="false">K216-E216-F216</f>
        <v>0</v>
      </c>
      <c r="M216" s="41" t="n">
        <f aca="false">D216-L216</f>
        <v>0</v>
      </c>
      <c r="N216" s="42" t="n">
        <f aca="false">K216-G216</f>
        <v>0</v>
      </c>
      <c r="O216" s="78"/>
      <c r="P216" s="79"/>
      <c r="Q216" s="16" t="str">
        <f aca="false">IF(K216=0,"",IF(R216=1,"Pagada",IF(C216&lt;$F$12,"Vencida",IF(190=$F$13,"Próxima","Pendiente"))))</f>
        <v/>
      </c>
      <c r="R216" s="62" t="n">
        <f aca="false">IF(AND(K216&gt;0,OR(O216="Sí",O216="Si")),1,0)</f>
        <v>0</v>
      </c>
      <c r="S216" s="62" t="n">
        <f aca="false">IF(AND(K216&gt;0,R216=0),1,0)</f>
        <v>0</v>
      </c>
    </row>
    <row r="217" customFormat="false" ht="15" hidden="false" customHeight="false" outlineLevel="0" collapsed="false">
      <c r="B217" s="71" t="str">
        <f aca="false">IF($F$6="Sí",N($C$11)+190,"")</f>
        <v/>
      </c>
      <c r="C217" s="72" t="str">
        <f aca="false">IF(OR($F$6&lt;&gt;"Sí",D217&lt;=0.5),"",EDATE($C$10,190))</f>
        <v/>
      </c>
      <c r="D217" s="41" t="n">
        <f aca="false">MAX(0,M216)</f>
        <v>0</v>
      </c>
      <c r="E217" s="41" t="n">
        <f aca="false">D217*$F$7</f>
        <v>0</v>
      </c>
      <c r="F217" s="41" t="n">
        <f aca="false">IF(D217&gt;0.5,N($C$15),0)</f>
        <v>0</v>
      </c>
      <c r="G217" s="41" t="n">
        <f aca="false">IF(AND(D217&gt;0.5,N($C$19)&gt;0,N(B217)&lt;=N($C$20)),D217*$F$8,0)</f>
        <v>0</v>
      </c>
      <c r="H217" s="41" t="n">
        <f aca="false">IF(D217&lt;=0.5,0,MIN(IF(N(I217)&gt;0,I217,$F$9),D217+E217+F217))</f>
        <v>0</v>
      </c>
      <c r="I217" s="77"/>
      <c r="J217" s="77"/>
      <c r="K217" s="41" t="n">
        <f aca="false">IF(D217&lt;=0.5,0,MIN(H217+N(J217),D217+E217+F217))</f>
        <v>0</v>
      </c>
      <c r="L217" s="41" t="n">
        <f aca="false">K217-E217-F217</f>
        <v>0</v>
      </c>
      <c r="M217" s="41" t="n">
        <f aca="false">D217-L217</f>
        <v>0</v>
      </c>
      <c r="N217" s="42" t="n">
        <f aca="false">K217-G217</f>
        <v>0</v>
      </c>
      <c r="O217" s="78"/>
      <c r="P217" s="79"/>
      <c r="Q217" s="16" t="str">
        <f aca="false">IF(K217=0,"",IF(R217=1,"Pagada",IF(C217&lt;$F$12,"Vencida",IF(191=$F$13,"Próxima","Pendiente"))))</f>
        <v/>
      </c>
      <c r="R217" s="62" t="n">
        <f aca="false">IF(AND(K217&gt;0,OR(O217="Sí",O217="Si")),1,0)</f>
        <v>0</v>
      </c>
      <c r="S217" s="62" t="n">
        <f aca="false">IF(AND(K217&gt;0,R217=0),1,0)</f>
        <v>0</v>
      </c>
    </row>
    <row r="218" customFormat="false" ht="15" hidden="false" customHeight="false" outlineLevel="0" collapsed="false">
      <c r="B218" s="71" t="str">
        <f aca="false">IF($F$6="Sí",N($C$11)+191,"")</f>
        <v/>
      </c>
      <c r="C218" s="72" t="str">
        <f aca="false">IF(OR($F$6&lt;&gt;"Sí",D218&lt;=0.5),"",EDATE($C$10,191))</f>
        <v/>
      </c>
      <c r="D218" s="41" t="n">
        <f aca="false">MAX(0,M217)</f>
        <v>0</v>
      </c>
      <c r="E218" s="41" t="n">
        <f aca="false">D218*$F$7</f>
        <v>0</v>
      </c>
      <c r="F218" s="41" t="n">
        <f aca="false">IF(D218&gt;0.5,N($C$15),0)</f>
        <v>0</v>
      </c>
      <c r="G218" s="41" t="n">
        <f aca="false">IF(AND(D218&gt;0.5,N($C$19)&gt;0,N(B218)&lt;=N($C$20)),D218*$F$8,0)</f>
        <v>0</v>
      </c>
      <c r="H218" s="41" t="n">
        <f aca="false">IF(D218&lt;=0.5,0,MIN(IF(N(I218)&gt;0,I218,$F$9),D218+E218+F218))</f>
        <v>0</v>
      </c>
      <c r="I218" s="77"/>
      <c r="J218" s="77"/>
      <c r="K218" s="41" t="n">
        <f aca="false">IF(D218&lt;=0.5,0,MIN(H218+N(J218),D218+E218+F218))</f>
        <v>0</v>
      </c>
      <c r="L218" s="41" t="n">
        <f aca="false">K218-E218-F218</f>
        <v>0</v>
      </c>
      <c r="M218" s="41" t="n">
        <f aca="false">D218-L218</f>
        <v>0</v>
      </c>
      <c r="N218" s="42" t="n">
        <f aca="false">K218-G218</f>
        <v>0</v>
      </c>
      <c r="O218" s="78"/>
      <c r="P218" s="79"/>
      <c r="Q218" s="16" t="str">
        <f aca="false">IF(K218=0,"",IF(R218=1,"Pagada",IF(C218&lt;$F$12,"Vencida",IF(192=$F$13,"Próxima","Pendiente"))))</f>
        <v/>
      </c>
      <c r="R218" s="62" t="n">
        <f aca="false">IF(AND(K218&gt;0,OR(O218="Sí",O218="Si")),1,0)</f>
        <v>0</v>
      </c>
      <c r="S218" s="62" t="n">
        <f aca="false">IF(AND(K218&gt;0,R218=0),1,0)</f>
        <v>0</v>
      </c>
    </row>
    <row r="219" customFormat="false" ht="15" hidden="false" customHeight="false" outlineLevel="0" collapsed="false">
      <c r="B219" s="71" t="str">
        <f aca="false">IF($F$6="Sí",N($C$11)+192,"")</f>
        <v/>
      </c>
      <c r="C219" s="72" t="str">
        <f aca="false">IF(OR($F$6&lt;&gt;"Sí",D219&lt;=0.5),"",EDATE($C$10,192))</f>
        <v/>
      </c>
      <c r="D219" s="41" t="n">
        <f aca="false">MAX(0,M218)</f>
        <v>0</v>
      </c>
      <c r="E219" s="41" t="n">
        <f aca="false">D219*$F$7</f>
        <v>0</v>
      </c>
      <c r="F219" s="41" t="n">
        <f aca="false">IF(D219&gt;0.5,N($C$15),0)</f>
        <v>0</v>
      </c>
      <c r="G219" s="41" t="n">
        <f aca="false">IF(AND(D219&gt;0.5,N($C$19)&gt;0,N(B219)&lt;=N($C$20)),D219*$F$8,0)</f>
        <v>0</v>
      </c>
      <c r="H219" s="41" t="n">
        <f aca="false">IF(D219&lt;=0.5,0,MIN(IF(N(I219)&gt;0,I219,$F$9),D219+E219+F219))</f>
        <v>0</v>
      </c>
      <c r="I219" s="77"/>
      <c r="J219" s="77"/>
      <c r="K219" s="41" t="n">
        <f aca="false">IF(D219&lt;=0.5,0,MIN(H219+N(J219),D219+E219+F219))</f>
        <v>0</v>
      </c>
      <c r="L219" s="41" t="n">
        <f aca="false">K219-E219-F219</f>
        <v>0</v>
      </c>
      <c r="M219" s="41" t="n">
        <f aca="false">D219-L219</f>
        <v>0</v>
      </c>
      <c r="N219" s="42" t="n">
        <f aca="false">K219-G219</f>
        <v>0</v>
      </c>
      <c r="O219" s="78"/>
      <c r="P219" s="79"/>
      <c r="Q219" s="16" t="str">
        <f aca="false">IF(K219=0,"",IF(R219=1,"Pagada",IF(C219&lt;$F$12,"Vencida",IF(193=$F$13,"Próxima","Pendiente"))))</f>
        <v/>
      </c>
      <c r="R219" s="62" t="n">
        <f aca="false">IF(AND(K219&gt;0,OR(O219="Sí",O219="Si")),1,0)</f>
        <v>0</v>
      </c>
      <c r="S219" s="62" t="n">
        <f aca="false">IF(AND(K219&gt;0,R219=0),1,0)</f>
        <v>0</v>
      </c>
    </row>
    <row r="220" customFormat="false" ht="15" hidden="false" customHeight="false" outlineLevel="0" collapsed="false">
      <c r="B220" s="71" t="str">
        <f aca="false">IF($F$6="Sí",N($C$11)+193,"")</f>
        <v/>
      </c>
      <c r="C220" s="72" t="str">
        <f aca="false">IF(OR($F$6&lt;&gt;"Sí",D220&lt;=0.5),"",EDATE($C$10,193))</f>
        <v/>
      </c>
      <c r="D220" s="41" t="n">
        <f aca="false">MAX(0,M219)</f>
        <v>0</v>
      </c>
      <c r="E220" s="41" t="n">
        <f aca="false">D220*$F$7</f>
        <v>0</v>
      </c>
      <c r="F220" s="41" t="n">
        <f aca="false">IF(D220&gt;0.5,N($C$15),0)</f>
        <v>0</v>
      </c>
      <c r="G220" s="41" t="n">
        <f aca="false">IF(AND(D220&gt;0.5,N($C$19)&gt;0,N(B220)&lt;=N($C$20)),D220*$F$8,0)</f>
        <v>0</v>
      </c>
      <c r="H220" s="41" t="n">
        <f aca="false">IF(D220&lt;=0.5,0,MIN(IF(N(I220)&gt;0,I220,$F$9),D220+E220+F220))</f>
        <v>0</v>
      </c>
      <c r="I220" s="77"/>
      <c r="J220" s="77"/>
      <c r="K220" s="41" t="n">
        <f aca="false">IF(D220&lt;=0.5,0,MIN(H220+N(J220),D220+E220+F220))</f>
        <v>0</v>
      </c>
      <c r="L220" s="41" t="n">
        <f aca="false">K220-E220-F220</f>
        <v>0</v>
      </c>
      <c r="M220" s="41" t="n">
        <f aca="false">D220-L220</f>
        <v>0</v>
      </c>
      <c r="N220" s="42" t="n">
        <f aca="false">K220-G220</f>
        <v>0</v>
      </c>
      <c r="O220" s="78"/>
      <c r="P220" s="79"/>
      <c r="Q220" s="16" t="str">
        <f aca="false">IF(K220=0,"",IF(R220=1,"Pagada",IF(C220&lt;$F$12,"Vencida",IF(194=$F$13,"Próxima","Pendiente"))))</f>
        <v/>
      </c>
      <c r="R220" s="62" t="n">
        <f aca="false">IF(AND(K220&gt;0,OR(O220="Sí",O220="Si")),1,0)</f>
        <v>0</v>
      </c>
      <c r="S220" s="62" t="n">
        <f aca="false">IF(AND(K220&gt;0,R220=0),1,0)</f>
        <v>0</v>
      </c>
    </row>
    <row r="221" customFormat="false" ht="15" hidden="false" customHeight="false" outlineLevel="0" collapsed="false">
      <c r="B221" s="71" t="str">
        <f aca="false">IF($F$6="Sí",N($C$11)+194,"")</f>
        <v/>
      </c>
      <c r="C221" s="72" t="str">
        <f aca="false">IF(OR($F$6&lt;&gt;"Sí",D221&lt;=0.5),"",EDATE($C$10,194))</f>
        <v/>
      </c>
      <c r="D221" s="41" t="n">
        <f aca="false">MAX(0,M220)</f>
        <v>0</v>
      </c>
      <c r="E221" s="41" t="n">
        <f aca="false">D221*$F$7</f>
        <v>0</v>
      </c>
      <c r="F221" s="41" t="n">
        <f aca="false">IF(D221&gt;0.5,N($C$15),0)</f>
        <v>0</v>
      </c>
      <c r="G221" s="41" t="n">
        <f aca="false">IF(AND(D221&gt;0.5,N($C$19)&gt;0,N(B221)&lt;=N($C$20)),D221*$F$8,0)</f>
        <v>0</v>
      </c>
      <c r="H221" s="41" t="n">
        <f aca="false">IF(D221&lt;=0.5,0,MIN(IF(N(I221)&gt;0,I221,$F$9),D221+E221+F221))</f>
        <v>0</v>
      </c>
      <c r="I221" s="77"/>
      <c r="J221" s="77"/>
      <c r="K221" s="41" t="n">
        <f aca="false">IF(D221&lt;=0.5,0,MIN(H221+N(J221),D221+E221+F221))</f>
        <v>0</v>
      </c>
      <c r="L221" s="41" t="n">
        <f aca="false">K221-E221-F221</f>
        <v>0</v>
      </c>
      <c r="M221" s="41" t="n">
        <f aca="false">D221-L221</f>
        <v>0</v>
      </c>
      <c r="N221" s="42" t="n">
        <f aca="false">K221-G221</f>
        <v>0</v>
      </c>
      <c r="O221" s="78"/>
      <c r="P221" s="79"/>
      <c r="Q221" s="16" t="str">
        <f aca="false">IF(K221=0,"",IF(R221=1,"Pagada",IF(C221&lt;$F$12,"Vencida",IF(195=$F$13,"Próxima","Pendiente"))))</f>
        <v/>
      </c>
      <c r="R221" s="62" t="n">
        <f aca="false">IF(AND(K221&gt;0,OR(O221="Sí",O221="Si")),1,0)</f>
        <v>0</v>
      </c>
      <c r="S221" s="62" t="n">
        <f aca="false">IF(AND(K221&gt;0,R221=0),1,0)</f>
        <v>0</v>
      </c>
    </row>
    <row r="222" customFormat="false" ht="15" hidden="false" customHeight="false" outlineLevel="0" collapsed="false">
      <c r="B222" s="71" t="str">
        <f aca="false">IF($F$6="Sí",N($C$11)+195,"")</f>
        <v/>
      </c>
      <c r="C222" s="72" t="str">
        <f aca="false">IF(OR($F$6&lt;&gt;"Sí",D222&lt;=0.5),"",EDATE($C$10,195))</f>
        <v/>
      </c>
      <c r="D222" s="41" t="n">
        <f aca="false">MAX(0,M221)</f>
        <v>0</v>
      </c>
      <c r="E222" s="41" t="n">
        <f aca="false">D222*$F$7</f>
        <v>0</v>
      </c>
      <c r="F222" s="41" t="n">
        <f aca="false">IF(D222&gt;0.5,N($C$15),0)</f>
        <v>0</v>
      </c>
      <c r="G222" s="41" t="n">
        <f aca="false">IF(AND(D222&gt;0.5,N($C$19)&gt;0,N(B222)&lt;=N($C$20)),D222*$F$8,0)</f>
        <v>0</v>
      </c>
      <c r="H222" s="41" t="n">
        <f aca="false">IF(D222&lt;=0.5,0,MIN(IF(N(I222)&gt;0,I222,$F$9),D222+E222+F222))</f>
        <v>0</v>
      </c>
      <c r="I222" s="77"/>
      <c r="J222" s="77"/>
      <c r="K222" s="41" t="n">
        <f aca="false">IF(D222&lt;=0.5,0,MIN(H222+N(J222),D222+E222+F222))</f>
        <v>0</v>
      </c>
      <c r="L222" s="41" t="n">
        <f aca="false">K222-E222-F222</f>
        <v>0</v>
      </c>
      <c r="M222" s="41" t="n">
        <f aca="false">D222-L222</f>
        <v>0</v>
      </c>
      <c r="N222" s="42" t="n">
        <f aca="false">K222-G222</f>
        <v>0</v>
      </c>
      <c r="O222" s="78"/>
      <c r="P222" s="79"/>
      <c r="Q222" s="16" t="str">
        <f aca="false">IF(K222=0,"",IF(R222=1,"Pagada",IF(C222&lt;$F$12,"Vencida",IF(196=$F$13,"Próxima","Pendiente"))))</f>
        <v/>
      </c>
      <c r="R222" s="62" t="n">
        <f aca="false">IF(AND(K222&gt;0,OR(O222="Sí",O222="Si")),1,0)</f>
        <v>0</v>
      </c>
      <c r="S222" s="62" t="n">
        <f aca="false">IF(AND(K222&gt;0,R222=0),1,0)</f>
        <v>0</v>
      </c>
    </row>
    <row r="223" customFormat="false" ht="15" hidden="false" customHeight="false" outlineLevel="0" collapsed="false">
      <c r="B223" s="71" t="str">
        <f aca="false">IF($F$6="Sí",N($C$11)+196,"")</f>
        <v/>
      </c>
      <c r="C223" s="72" t="str">
        <f aca="false">IF(OR($F$6&lt;&gt;"Sí",D223&lt;=0.5),"",EDATE($C$10,196))</f>
        <v/>
      </c>
      <c r="D223" s="41" t="n">
        <f aca="false">MAX(0,M222)</f>
        <v>0</v>
      </c>
      <c r="E223" s="41" t="n">
        <f aca="false">D223*$F$7</f>
        <v>0</v>
      </c>
      <c r="F223" s="41" t="n">
        <f aca="false">IF(D223&gt;0.5,N($C$15),0)</f>
        <v>0</v>
      </c>
      <c r="G223" s="41" t="n">
        <f aca="false">IF(AND(D223&gt;0.5,N($C$19)&gt;0,N(B223)&lt;=N($C$20)),D223*$F$8,0)</f>
        <v>0</v>
      </c>
      <c r="H223" s="41" t="n">
        <f aca="false">IF(D223&lt;=0.5,0,MIN(IF(N(I223)&gt;0,I223,$F$9),D223+E223+F223))</f>
        <v>0</v>
      </c>
      <c r="I223" s="77"/>
      <c r="J223" s="77"/>
      <c r="K223" s="41" t="n">
        <f aca="false">IF(D223&lt;=0.5,0,MIN(H223+N(J223),D223+E223+F223))</f>
        <v>0</v>
      </c>
      <c r="L223" s="41" t="n">
        <f aca="false">K223-E223-F223</f>
        <v>0</v>
      </c>
      <c r="M223" s="41" t="n">
        <f aca="false">D223-L223</f>
        <v>0</v>
      </c>
      <c r="N223" s="42" t="n">
        <f aca="false">K223-G223</f>
        <v>0</v>
      </c>
      <c r="O223" s="78"/>
      <c r="P223" s="79"/>
      <c r="Q223" s="16" t="str">
        <f aca="false">IF(K223=0,"",IF(R223=1,"Pagada",IF(C223&lt;$F$12,"Vencida",IF(197=$F$13,"Próxima","Pendiente"))))</f>
        <v/>
      </c>
      <c r="R223" s="62" t="n">
        <f aca="false">IF(AND(K223&gt;0,OR(O223="Sí",O223="Si")),1,0)</f>
        <v>0</v>
      </c>
      <c r="S223" s="62" t="n">
        <f aca="false">IF(AND(K223&gt;0,R223=0),1,0)</f>
        <v>0</v>
      </c>
    </row>
    <row r="224" customFormat="false" ht="15" hidden="false" customHeight="false" outlineLevel="0" collapsed="false">
      <c r="B224" s="71" t="str">
        <f aca="false">IF($F$6="Sí",N($C$11)+197,"")</f>
        <v/>
      </c>
      <c r="C224" s="72" t="str">
        <f aca="false">IF(OR($F$6&lt;&gt;"Sí",D224&lt;=0.5),"",EDATE($C$10,197))</f>
        <v/>
      </c>
      <c r="D224" s="41" t="n">
        <f aca="false">MAX(0,M223)</f>
        <v>0</v>
      </c>
      <c r="E224" s="41" t="n">
        <f aca="false">D224*$F$7</f>
        <v>0</v>
      </c>
      <c r="F224" s="41" t="n">
        <f aca="false">IF(D224&gt;0.5,N($C$15),0)</f>
        <v>0</v>
      </c>
      <c r="G224" s="41" t="n">
        <f aca="false">IF(AND(D224&gt;0.5,N($C$19)&gt;0,N(B224)&lt;=N($C$20)),D224*$F$8,0)</f>
        <v>0</v>
      </c>
      <c r="H224" s="41" t="n">
        <f aca="false">IF(D224&lt;=0.5,0,MIN(IF(N(I224)&gt;0,I224,$F$9),D224+E224+F224))</f>
        <v>0</v>
      </c>
      <c r="I224" s="77"/>
      <c r="J224" s="77"/>
      <c r="K224" s="41" t="n">
        <f aca="false">IF(D224&lt;=0.5,0,MIN(H224+N(J224),D224+E224+F224))</f>
        <v>0</v>
      </c>
      <c r="L224" s="41" t="n">
        <f aca="false">K224-E224-F224</f>
        <v>0</v>
      </c>
      <c r="M224" s="41" t="n">
        <f aca="false">D224-L224</f>
        <v>0</v>
      </c>
      <c r="N224" s="42" t="n">
        <f aca="false">K224-G224</f>
        <v>0</v>
      </c>
      <c r="O224" s="78"/>
      <c r="P224" s="79"/>
      <c r="Q224" s="16" t="str">
        <f aca="false">IF(K224=0,"",IF(R224=1,"Pagada",IF(C224&lt;$F$12,"Vencida",IF(198=$F$13,"Próxima","Pendiente"))))</f>
        <v/>
      </c>
      <c r="R224" s="62" t="n">
        <f aca="false">IF(AND(K224&gt;0,OR(O224="Sí",O224="Si")),1,0)</f>
        <v>0</v>
      </c>
      <c r="S224" s="62" t="n">
        <f aca="false">IF(AND(K224&gt;0,R224=0),1,0)</f>
        <v>0</v>
      </c>
    </row>
    <row r="225" customFormat="false" ht="15" hidden="false" customHeight="false" outlineLevel="0" collapsed="false">
      <c r="B225" s="71" t="str">
        <f aca="false">IF($F$6="Sí",N($C$11)+198,"")</f>
        <v/>
      </c>
      <c r="C225" s="72" t="str">
        <f aca="false">IF(OR($F$6&lt;&gt;"Sí",D225&lt;=0.5),"",EDATE($C$10,198))</f>
        <v/>
      </c>
      <c r="D225" s="41" t="n">
        <f aca="false">MAX(0,M224)</f>
        <v>0</v>
      </c>
      <c r="E225" s="41" t="n">
        <f aca="false">D225*$F$7</f>
        <v>0</v>
      </c>
      <c r="F225" s="41" t="n">
        <f aca="false">IF(D225&gt;0.5,N($C$15),0)</f>
        <v>0</v>
      </c>
      <c r="G225" s="41" t="n">
        <f aca="false">IF(AND(D225&gt;0.5,N($C$19)&gt;0,N(B225)&lt;=N($C$20)),D225*$F$8,0)</f>
        <v>0</v>
      </c>
      <c r="H225" s="41" t="n">
        <f aca="false">IF(D225&lt;=0.5,0,MIN(IF(N(I225)&gt;0,I225,$F$9),D225+E225+F225))</f>
        <v>0</v>
      </c>
      <c r="I225" s="77"/>
      <c r="J225" s="77"/>
      <c r="K225" s="41" t="n">
        <f aca="false">IF(D225&lt;=0.5,0,MIN(H225+N(J225),D225+E225+F225))</f>
        <v>0</v>
      </c>
      <c r="L225" s="41" t="n">
        <f aca="false">K225-E225-F225</f>
        <v>0</v>
      </c>
      <c r="M225" s="41" t="n">
        <f aca="false">D225-L225</f>
        <v>0</v>
      </c>
      <c r="N225" s="42" t="n">
        <f aca="false">K225-G225</f>
        <v>0</v>
      </c>
      <c r="O225" s="78"/>
      <c r="P225" s="79"/>
      <c r="Q225" s="16" t="str">
        <f aca="false">IF(K225=0,"",IF(R225=1,"Pagada",IF(C225&lt;$F$12,"Vencida",IF(199=$F$13,"Próxima","Pendiente"))))</f>
        <v/>
      </c>
      <c r="R225" s="62" t="n">
        <f aca="false">IF(AND(K225&gt;0,OR(O225="Sí",O225="Si")),1,0)</f>
        <v>0</v>
      </c>
      <c r="S225" s="62" t="n">
        <f aca="false">IF(AND(K225&gt;0,R225=0),1,0)</f>
        <v>0</v>
      </c>
    </row>
    <row r="226" customFormat="false" ht="15" hidden="false" customHeight="false" outlineLevel="0" collapsed="false">
      <c r="B226" s="71" t="str">
        <f aca="false">IF($F$6="Sí",N($C$11)+199,"")</f>
        <v/>
      </c>
      <c r="C226" s="72" t="str">
        <f aca="false">IF(OR($F$6&lt;&gt;"Sí",D226&lt;=0.5),"",EDATE($C$10,199))</f>
        <v/>
      </c>
      <c r="D226" s="41" t="n">
        <f aca="false">MAX(0,M225)</f>
        <v>0</v>
      </c>
      <c r="E226" s="41" t="n">
        <f aca="false">D226*$F$7</f>
        <v>0</v>
      </c>
      <c r="F226" s="41" t="n">
        <f aca="false">IF(D226&gt;0.5,N($C$15),0)</f>
        <v>0</v>
      </c>
      <c r="G226" s="41" t="n">
        <f aca="false">IF(AND(D226&gt;0.5,N($C$19)&gt;0,N(B226)&lt;=N($C$20)),D226*$F$8,0)</f>
        <v>0</v>
      </c>
      <c r="H226" s="41" t="n">
        <f aca="false">IF(D226&lt;=0.5,0,MIN(IF(N(I226)&gt;0,I226,$F$9),D226+E226+F226))</f>
        <v>0</v>
      </c>
      <c r="I226" s="77"/>
      <c r="J226" s="77"/>
      <c r="K226" s="41" t="n">
        <f aca="false">IF(D226&lt;=0.5,0,MIN(H226+N(J226),D226+E226+F226))</f>
        <v>0</v>
      </c>
      <c r="L226" s="41" t="n">
        <f aca="false">K226-E226-F226</f>
        <v>0</v>
      </c>
      <c r="M226" s="41" t="n">
        <f aca="false">D226-L226</f>
        <v>0</v>
      </c>
      <c r="N226" s="42" t="n">
        <f aca="false">K226-G226</f>
        <v>0</v>
      </c>
      <c r="O226" s="78"/>
      <c r="P226" s="79"/>
      <c r="Q226" s="16" t="str">
        <f aca="false">IF(K226=0,"",IF(R226=1,"Pagada",IF(C226&lt;$F$12,"Vencida",IF(200=$F$13,"Próxima","Pendiente"))))</f>
        <v/>
      </c>
      <c r="R226" s="62" t="n">
        <f aca="false">IF(AND(K226&gt;0,OR(O226="Sí",O226="Si")),1,0)</f>
        <v>0</v>
      </c>
      <c r="S226" s="62" t="n">
        <f aca="false">IF(AND(K226&gt;0,R226=0),1,0)</f>
        <v>0</v>
      </c>
    </row>
    <row r="227" customFormat="false" ht="15" hidden="false" customHeight="false" outlineLevel="0" collapsed="false">
      <c r="B227" s="71" t="str">
        <f aca="false">IF($F$6="Sí",N($C$11)+200,"")</f>
        <v/>
      </c>
      <c r="C227" s="72" t="str">
        <f aca="false">IF(OR($F$6&lt;&gt;"Sí",D227&lt;=0.5),"",EDATE($C$10,200))</f>
        <v/>
      </c>
      <c r="D227" s="41" t="n">
        <f aca="false">MAX(0,M226)</f>
        <v>0</v>
      </c>
      <c r="E227" s="41" t="n">
        <f aca="false">D227*$F$7</f>
        <v>0</v>
      </c>
      <c r="F227" s="41" t="n">
        <f aca="false">IF(D227&gt;0.5,N($C$15),0)</f>
        <v>0</v>
      </c>
      <c r="G227" s="41" t="n">
        <f aca="false">IF(AND(D227&gt;0.5,N($C$19)&gt;0,N(B227)&lt;=N($C$20)),D227*$F$8,0)</f>
        <v>0</v>
      </c>
      <c r="H227" s="41" t="n">
        <f aca="false">IF(D227&lt;=0.5,0,MIN(IF(N(I227)&gt;0,I227,$F$9),D227+E227+F227))</f>
        <v>0</v>
      </c>
      <c r="I227" s="77"/>
      <c r="J227" s="77"/>
      <c r="K227" s="41" t="n">
        <f aca="false">IF(D227&lt;=0.5,0,MIN(H227+N(J227),D227+E227+F227))</f>
        <v>0</v>
      </c>
      <c r="L227" s="41" t="n">
        <f aca="false">K227-E227-F227</f>
        <v>0</v>
      </c>
      <c r="M227" s="41" t="n">
        <f aca="false">D227-L227</f>
        <v>0</v>
      </c>
      <c r="N227" s="42" t="n">
        <f aca="false">K227-G227</f>
        <v>0</v>
      </c>
      <c r="O227" s="78"/>
      <c r="P227" s="79"/>
      <c r="Q227" s="16" t="str">
        <f aca="false">IF(K227=0,"",IF(R227=1,"Pagada",IF(C227&lt;$F$12,"Vencida",IF(201=$F$13,"Próxima","Pendiente"))))</f>
        <v/>
      </c>
      <c r="R227" s="62" t="n">
        <f aca="false">IF(AND(K227&gt;0,OR(O227="Sí",O227="Si")),1,0)</f>
        <v>0</v>
      </c>
      <c r="S227" s="62" t="n">
        <f aca="false">IF(AND(K227&gt;0,R227=0),1,0)</f>
        <v>0</v>
      </c>
    </row>
    <row r="228" customFormat="false" ht="15" hidden="false" customHeight="false" outlineLevel="0" collapsed="false">
      <c r="B228" s="71" t="str">
        <f aca="false">IF($F$6="Sí",N($C$11)+201,"")</f>
        <v/>
      </c>
      <c r="C228" s="72" t="str">
        <f aca="false">IF(OR($F$6&lt;&gt;"Sí",D228&lt;=0.5),"",EDATE($C$10,201))</f>
        <v/>
      </c>
      <c r="D228" s="41" t="n">
        <f aca="false">MAX(0,M227)</f>
        <v>0</v>
      </c>
      <c r="E228" s="41" t="n">
        <f aca="false">D228*$F$7</f>
        <v>0</v>
      </c>
      <c r="F228" s="41" t="n">
        <f aca="false">IF(D228&gt;0.5,N($C$15),0)</f>
        <v>0</v>
      </c>
      <c r="G228" s="41" t="n">
        <f aca="false">IF(AND(D228&gt;0.5,N($C$19)&gt;0,N(B228)&lt;=N($C$20)),D228*$F$8,0)</f>
        <v>0</v>
      </c>
      <c r="H228" s="41" t="n">
        <f aca="false">IF(D228&lt;=0.5,0,MIN(IF(N(I228)&gt;0,I228,$F$9),D228+E228+F228))</f>
        <v>0</v>
      </c>
      <c r="I228" s="77"/>
      <c r="J228" s="77"/>
      <c r="K228" s="41" t="n">
        <f aca="false">IF(D228&lt;=0.5,0,MIN(H228+N(J228),D228+E228+F228))</f>
        <v>0</v>
      </c>
      <c r="L228" s="41" t="n">
        <f aca="false">K228-E228-F228</f>
        <v>0</v>
      </c>
      <c r="M228" s="41" t="n">
        <f aca="false">D228-L228</f>
        <v>0</v>
      </c>
      <c r="N228" s="42" t="n">
        <f aca="false">K228-G228</f>
        <v>0</v>
      </c>
      <c r="O228" s="78"/>
      <c r="P228" s="79"/>
      <c r="Q228" s="16" t="str">
        <f aca="false">IF(K228=0,"",IF(R228=1,"Pagada",IF(C228&lt;$F$12,"Vencida",IF(202=$F$13,"Próxima","Pendiente"))))</f>
        <v/>
      </c>
      <c r="R228" s="62" t="n">
        <f aca="false">IF(AND(K228&gt;0,OR(O228="Sí",O228="Si")),1,0)</f>
        <v>0</v>
      </c>
      <c r="S228" s="62" t="n">
        <f aca="false">IF(AND(K228&gt;0,R228=0),1,0)</f>
        <v>0</v>
      </c>
    </row>
    <row r="229" customFormat="false" ht="15" hidden="false" customHeight="false" outlineLevel="0" collapsed="false">
      <c r="B229" s="71" t="str">
        <f aca="false">IF($F$6="Sí",N($C$11)+202,"")</f>
        <v/>
      </c>
      <c r="C229" s="72" t="str">
        <f aca="false">IF(OR($F$6&lt;&gt;"Sí",D229&lt;=0.5),"",EDATE($C$10,202))</f>
        <v/>
      </c>
      <c r="D229" s="41" t="n">
        <f aca="false">MAX(0,M228)</f>
        <v>0</v>
      </c>
      <c r="E229" s="41" t="n">
        <f aca="false">D229*$F$7</f>
        <v>0</v>
      </c>
      <c r="F229" s="41" t="n">
        <f aca="false">IF(D229&gt;0.5,N($C$15),0)</f>
        <v>0</v>
      </c>
      <c r="G229" s="41" t="n">
        <f aca="false">IF(AND(D229&gt;0.5,N($C$19)&gt;0,N(B229)&lt;=N($C$20)),D229*$F$8,0)</f>
        <v>0</v>
      </c>
      <c r="H229" s="41" t="n">
        <f aca="false">IF(D229&lt;=0.5,0,MIN(IF(N(I229)&gt;0,I229,$F$9),D229+E229+F229))</f>
        <v>0</v>
      </c>
      <c r="I229" s="77"/>
      <c r="J229" s="77"/>
      <c r="K229" s="41" t="n">
        <f aca="false">IF(D229&lt;=0.5,0,MIN(H229+N(J229),D229+E229+F229))</f>
        <v>0</v>
      </c>
      <c r="L229" s="41" t="n">
        <f aca="false">K229-E229-F229</f>
        <v>0</v>
      </c>
      <c r="M229" s="41" t="n">
        <f aca="false">D229-L229</f>
        <v>0</v>
      </c>
      <c r="N229" s="42" t="n">
        <f aca="false">K229-G229</f>
        <v>0</v>
      </c>
      <c r="O229" s="78"/>
      <c r="P229" s="79"/>
      <c r="Q229" s="16" t="str">
        <f aca="false">IF(K229=0,"",IF(R229=1,"Pagada",IF(C229&lt;$F$12,"Vencida",IF(203=$F$13,"Próxima","Pendiente"))))</f>
        <v/>
      </c>
      <c r="R229" s="62" t="n">
        <f aca="false">IF(AND(K229&gt;0,OR(O229="Sí",O229="Si")),1,0)</f>
        <v>0</v>
      </c>
      <c r="S229" s="62" t="n">
        <f aca="false">IF(AND(K229&gt;0,R229=0),1,0)</f>
        <v>0</v>
      </c>
    </row>
    <row r="230" customFormat="false" ht="15" hidden="false" customHeight="false" outlineLevel="0" collapsed="false">
      <c r="B230" s="71" t="str">
        <f aca="false">IF($F$6="Sí",N($C$11)+203,"")</f>
        <v/>
      </c>
      <c r="C230" s="72" t="str">
        <f aca="false">IF(OR($F$6&lt;&gt;"Sí",D230&lt;=0.5),"",EDATE($C$10,203))</f>
        <v/>
      </c>
      <c r="D230" s="41" t="n">
        <f aca="false">MAX(0,M229)</f>
        <v>0</v>
      </c>
      <c r="E230" s="41" t="n">
        <f aca="false">D230*$F$7</f>
        <v>0</v>
      </c>
      <c r="F230" s="41" t="n">
        <f aca="false">IF(D230&gt;0.5,N($C$15),0)</f>
        <v>0</v>
      </c>
      <c r="G230" s="41" t="n">
        <f aca="false">IF(AND(D230&gt;0.5,N($C$19)&gt;0,N(B230)&lt;=N($C$20)),D230*$F$8,0)</f>
        <v>0</v>
      </c>
      <c r="H230" s="41" t="n">
        <f aca="false">IF(D230&lt;=0.5,0,MIN(IF(N(I230)&gt;0,I230,$F$9),D230+E230+F230))</f>
        <v>0</v>
      </c>
      <c r="I230" s="77"/>
      <c r="J230" s="77"/>
      <c r="K230" s="41" t="n">
        <f aca="false">IF(D230&lt;=0.5,0,MIN(H230+N(J230),D230+E230+F230))</f>
        <v>0</v>
      </c>
      <c r="L230" s="41" t="n">
        <f aca="false">K230-E230-F230</f>
        <v>0</v>
      </c>
      <c r="M230" s="41" t="n">
        <f aca="false">D230-L230</f>
        <v>0</v>
      </c>
      <c r="N230" s="42" t="n">
        <f aca="false">K230-G230</f>
        <v>0</v>
      </c>
      <c r="O230" s="78"/>
      <c r="P230" s="79"/>
      <c r="Q230" s="16" t="str">
        <f aca="false">IF(K230=0,"",IF(R230=1,"Pagada",IF(C230&lt;$F$12,"Vencida",IF(204=$F$13,"Próxima","Pendiente"))))</f>
        <v/>
      </c>
      <c r="R230" s="62" t="n">
        <f aca="false">IF(AND(K230&gt;0,OR(O230="Sí",O230="Si")),1,0)</f>
        <v>0</v>
      </c>
      <c r="S230" s="62" t="n">
        <f aca="false">IF(AND(K230&gt;0,R230=0),1,0)</f>
        <v>0</v>
      </c>
    </row>
    <row r="231" customFormat="false" ht="15" hidden="false" customHeight="false" outlineLevel="0" collapsed="false">
      <c r="B231" s="71" t="str">
        <f aca="false">IF($F$6="Sí",N($C$11)+204,"")</f>
        <v/>
      </c>
      <c r="C231" s="72" t="str">
        <f aca="false">IF(OR($F$6&lt;&gt;"Sí",D231&lt;=0.5),"",EDATE($C$10,204))</f>
        <v/>
      </c>
      <c r="D231" s="41" t="n">
        <f aca="false">MAX(0,M230)</f>
        <v>0</v>
      </c>
      <c r="E231" s="41" t="n">
        <f aca="false">D231*$F$7</f>
        <v>0</v>
      </c>
      <c r="F231" s="41" t="n">
        <f aca="false">IF(D231&gt;0.5,N($C$15),0)</f>
        <v>0</v>
      </c>
      <c r="G231" s="41" t="n">
        <f aca="false">IF(AND(D231&gt;0.5,N($C$19)&gt;0,N(B231)&lt;=N($C$20)),D231*$F$8,0)</f>
        <v>0</v>
      </c>
      <c r="H231" s="41" t="n">
        <f aca="false">IF(D231&lt;=0.5,0,MIN(IF(N(I231)&gt;0,I231,$F$9),D231+E231+F231))</f>
        <v>0</v>
      </c>
      <c r="I231" s="77"/>
      <c r="J231" s="77"/>
      <c r="K231" s="41" t="n">
        <f aca="false">IF(D231&lt;=0.5,0,MIN(H231+N(J231),D231+E231+F231))</f>
        <v>0</v>
      </c>
      <c r="L231" s="41" t="n">
        <f aca="false">K231-E231-F231</f>
        <v>0</v>
      </c>
      <c r="M231" s="41" t="n">
        <f aca="false">D231-L231</f>
        <v>0</v>
      </c>
      <c r="N231" s="42" t="n">
        <f aca="false">K231-G231</f>
        <v>0</v>
      </c>
      <c r="O231" s="78"/>
      <c r="P231" s="79"/>
      <c r="Q231" s="16" t="str">
        <f aca="false">IF(K231=0,"",IF(R231=1,"Pagada",IF(C231&lt;$F$12,"Vencida",IF(205=$F$13,"Próxima","Pendiente"))))</f>
        <v/>
      </c>
      <c r="R231" s="62" t="n">
        <f aca="false">IF(AND(K231&gt;0,OR(O231="Sí",O231="Si")),1,0)</f>
        <v>0</v>
      </c>
      <c r="S231" s="62" t="n">
        <f aca="false">IF(AND(K231&gt;0,R231=0),1,0)</f>
        <v>0</v>
      </c>
    </row>
    <row r="232" customFormat="false" ht="15" hidden="false" customHeight="false" outlineLevel="0" collapsed="false">
      <c r="B232" s="71" t="str">
        <f aca="false">IF($F$6="Sí",N($C$11)+205,"")</f>
        <v/>
      </c>
      <c r="C232" s="72" t="str">
        <f aca="false">IF(OR($F$6&lt;&gt;"Sí",D232&lt;=0.5),"",EDATE($C$10,205))</f>
        <v/>
      </c>
      <c r="D232" s="41" t="n">
        <f aca="false">MAX(0,M231)</f>
        <v>0</v>
      </c>
      <c r="E232" s="41" t="n">
        <f aca="false">D232*$F$7</f>
        <v>0</v>
      </c>
      <c r="F232" s="41" t="n">
        <f aca="false">IF(D232&gt;0.5,N($C$15),0)</f>
        <v>0</v>
      </c>
      <c r="G232" s="41" t="n">
        <f aca="false">IF(AND(D232&gt;0.5,N($C$19)&gt;0,N(B232)&lt;=N($C$20)),D232*$F$8,0)</f>
        <v>0</v>
      </c>
      <c r="H232" s="41" t="n">
        <f aca="false">IF(D232&lt;=0.5,0,MIN(IF(N(I232)&gt;0,I232,$F$9),D232+E232+F232))</f>
        <v>0</v>
      </c>
      <c r="I232" s="77"/>
      <c r="J232" s="77"/>
      <c r="K232" s="41" t="n">
        <f aca="false">IF(D232&lt;=0.5,0,MIN(H232+N(J232),D232+E232+F232))</f>
        <v>0</v>
      </c>
      <c r="L232" s="41" t="n">
        <f aca="false">K232-E232-F232</f>
        <v>0</v>
      </c>
      <c r="M232" s="41" t="n">
        <f aca="false">D232-L232</f>
        <v>0</v>
      </c>
      <c r="N232" s="42" t="n">
        <f aca="false">K232-G232</f>
        <v>0</v>
      </c>
      <c r="O232" s="78"/>
      <c r="P232" s="79"/>
      <c r="Q232" s="16" t="str">
        <f aca="false">IF(K232=0,"",IF(R232=1,"Pagada",IF(C232&lt;$F$12,"Vencida",IF(206=$F$13,"Próxima","Pendiente"))))</f>
        <v/>
      </c>
      <c r="R232" s="62" t="n">
        <f aca="false">IF(AND(K232&gt;0,OR(O232="Sí",O232="Si")),1,0)</f>
        <v>0</v>
      </c>
      <c r="S232" s="62" t="n">
        <f aca="false">IF(AND(K232&gt;0,R232=0),1,0)</f>
        <v>0</v>
      </c>
    </row>
    <row r="233" customFormat="false" ht="15" hidden="false" customHeight="false" outlineLevel="0" collapsed="false">
      <c r="B233" s="71" t="str">
        <f aca="false">IF($F$6="Sí",N($C$11)+206,"")</f>
        <v/>
      </c>
      <c r="C233" s="72" t="str">
        <f aca="false">IF(OR($F$6&lt;&gt;"Sí",D233&lt;=0.5),"",EDATE($C$10,206))</f>
        <v/>
      </c>
      <c r="D233" s="41" t="n">
        <f aca="false">MAX(0,M232)</f>
        <v>0</v>
      </c>
      <c r="E233" s="41" t="n">
        <f aca="false">D233*$F$7</f>
        <v>0</v>
      </c>
      <c r="F233" s="41" t="n">
        <f aca="false">IF(D233&gt;0.5,N($C$15),0)</f>
        <v>0</v>
      </c>
      <c r="G233" s="41" t="n">
        <f aca="false">IF(AND(D233&gt;0.5,N($C$19)&gt;0,N(B233)&lt;=N($C$20)),D233*$F$8,0)</f>
        <v>0</v>
      </c>
      <c r="H233" s="41" t="n">
        <f aca="false">IF(D233&lt;=0.5,0,MIN(IF(N(I233)&gt;0,I233,$F$9),D233+E233+F233))</f>
        <v>0</v>
      </c>
      <c r="I233" s="77"/>
      <c r="J233" s="77"/>
      <c r="K233" s="41" t="n">
        <f aca="false">IF(D233&lt;=0.5,0,MIN(H233+N(J233),D233+E233+F233))</f>
        <v>0</v>
      </c>
      <c r="L233" s="41" t="n">
        <f aca="false">K233-E233-F233</f>
        <v>0</v>
      </c>
      <c r="M233" s="41" t="n">
        <f aca="false">D233-L233</f>
        <v>0</v>
      </c>
      <c r="N233" s="42" t="n">
        <f aca="false">K233-G233</f>
        <v>0</v>
      </c>
      <c r="O233" s="78"/>
      <c r="P233" s="79"/>
      <c r="Q233" s="16" t="str">
        <f aca="false">IF(K233=0,"",IF(R233=1,"Pagada",IF(C233&lt;$F$12,"Vencida",IF(207=$F$13,"Próxima","Pendiente"))))</f>
        <v/>
      </c>
      <c r="R233" s="62" t="n">
        <f aca="false">IF(AND(K233&gt;0,OR(O233="Sí",O233="Si")),1,0)</f>
        <v>0</v>
      </c>
      <c r="S233" s="62" t="n">
        <f aca="false">IF(AND(K233&gt;0,R233=0),1,0)</f>
        <v>0</v>
      </c>
    </row>
    <row r="234" customFormat="false" ht="15" hidden="false" customHeight="false" outlineLevel="0" collapsed="false">
      <c r="B234" s="71" t="str">
        <f aca="false">IF($F$6="Sí",N($C$11)+207,"")</f>
        <v/>
      </c>
      <c r="C234" s="72" t="str">
        <f aca="false">IF(OR($F$6&lt;&gt;"Sí",D234&lt;=0.5),"",EDATE($C$10,207))</f>
        <v/>
      </c>
      <c r="D234" s="41" t="n">
        <f aca="false">MAX(0,M233)</f>
        <v>0</v>
      </c>
      <c r="E234" s="41" t="n">
        <f aca="false">D234*$F$7</f>
        <v>0</v>
      </c>
      <c r="F234" s="41" t="n">
        <f aca="false">IF(D234&gt;0.5,N($C$15),0)</f>
        <v>0</v>
      </c>
      <c r="G234" s="41" t="n">
        <f aca="false">IF(AND(D234&gt;0.5,N($C$19)&gt;0,N(B234)&lt;=N($C$20)),D234*$F$8,0)</f>
        <v>0</v>
      </c>
      <c r="H234" s="41" t="n">
        <f aca="false">IF(D234&lt;=0.5,0,MIN(IF(N(I234)&gt;0,I234,$F$9),D234+E234+F234))</f>
        <v>0</v>
      </c>
      <c r="I234" s="77"/>
      <c r="J234" s="77"/>
      <c r="K234" s="41" t="n">
        <f aca="false">IF(D234&lt;=0.5,0,MIN(H234+N(J234),D234+E234+F234))</f>
        <v>0</v>
      </c>
      <c r="L234" s="41" t="n">
        <f aca="false">K234-E234-F234</f>
        <v>0</v>
      </c>
      <c r="M234" s="41" t="n">
        <f aca="false">D234-L234</f>
        <v>0</v>
      </c>
      <c r="N234" s="42" t="n">
        <f aca="false">K234-G234</f>
        <v>0</v>
      </c>
      <c r="O234" s="78"/>
      <c r="P234" s="79"/>
      <c r="Q234" s="16" t="str">
        <f aca="false">IF(K234=0,"",IF(R234=1,"Pagada",IF(C234&lt;$F$12,"Vencida",IF(208=$F$13,"Próxima","Pendiente"))))</f>
        <v/>
      </c>
      <c r="R234" s="62" t="n">
        <f aca="false">IF(AND(K234&gt;0,OR(O234="Sí",O234="Si")),1,0)</f>
        <v>0</v>
      </c>
      <c r="S234" s="62" t="n">
        <f aca="false">IF(AND(K234&gt;0,R234=0),1,0)</f>
        <v>0</v>
      </c>
    </row>
    <row r="235" customFormat="false" ht="15" hidden="false" customHeight="false" outlineLevel="0" collapsed="false">
      <c r="B235" s="71" t="str">
        <f aca="false">IF($F$6="Sí",N($C$11)+208,"")</f>
        <v/>
      </c>
      <c r="C235" s="72" t="str">
        <f aca="false">IF(OR($F$6&lt;&gt;"Sí",D235&lt;=0.5),"",EDATE($C$10,208))</f>
        <v/>
      </c>
      <c r="D235" s="41" t="n">
        <f aca="false">MAX(0,M234)</f>
        <v>0</v>
      </c>
      <c r="E235" s="41" t="n">
        <f aca="false">D235*$F$7</f>
        <v>0</v>
      </c>
      <c r="F235" s="41" t="n">
        <f aca="false">IF(D235&gt;0.5,N($C$15),0)</f>
        <v>0</v>
      </c>
      <c r="G235" s="41" t="n">
        <f aca="false">IF(AND(D235&gt;0.5,N($C$19)&gt;0,N(B235)&lt;=N($C$20)),D235*$F$8,0)</f>
        <v>0</v>
      </c>
      <c r="H235" s="41" t="n">
        <f aca="false">IF(D235&lt;=0.5,0,MIN(IF(N(I235)&gt;0,I235,$F$9),D235+E235+F235))</f>
        <v>0</v>
      </c>
      <c r="I235" s="77"/>
      <c r="J235" s="77"/>
      <c r="K235" s="41" t="n">
        <f aca="false">IF(D235&lt;=0.5,0,MIN(H235+N(J235),D235+E235+F235))</f>
        <v>0</v>
      </c>
      <c r="L235" s="41" t="n">
        <f aca="false">K235-E235-F235</f>
        <v>0</v>
      </c>
      <c r="M235" s="41" t="n">
        <f aca="false">D235-L235</f>
        <v>0</v>
      </c>
      <c r="N235" s="42" t="n">
        <f aca="false">K235-G235</f>
        <v>0</v>
      </c>
      <c r="O235" s="78"/>
      <c r="P235" s="79"/>
      <c r="Q235" s="16" t="str">
        <f aca="false">IF(K235=0,"",IF(R235=1,"Pagada",IF(C235&lt;$F$12,"Vencida",IF(209=$F$13,"Próxima","Pendiente"))))</f>
        <v/>
      </c>
      <c r="R235" s="62" t="n">
        <f aca="false">IF(AND(K235&gt;0,OR(O235="Sí",O235="Si")),1,0)</f>
        <v>0</v>
      </c>
      <c r="S235" s="62" t="n">
        <f aca="false">IF(AND(K235&gt;0,R235=0),1,0)</f>
        <v>0</v>
      </c>
    </row>
    <row r="236" customFormat="false" ht="15" hidden="false" customHeight="false" outlineLevel="0" collapsed="false">
      <c r="B236" s="71" t="str">
        <f aca="false">IF($F$6="Sí",N($C$11)+209,"")</f>
        <v/>
      </c>
      <c r="C236" s="72" t="str">
        <f aca="false">IF(OR($F$6&lt;&gt;"Sí",D236&lt;=0.5),"",EDATE($C$10,209))</f>
        <v/>
      </c>
      <c r="D236" s="41" t="n">
        <f aca="false">MAX(0,M235)</f>
        <v>0</v>
      </c>
      <c r="E236" s="41" t="n">
        <f aca="false">D236*$F$7</f>
        <v>0</v>
      </c>
      <c r="F236" s="41" t="n">
        <f aca="false">IF(D236&gt;0.5,N($C$15),0)</f>
        <v>0</v>
      </c>
      <c r="G236" s="41" t="n">
        <f aca="false">IF(AND(D236&gt;0.5,N($C$19)&gt;0,N(B236)&lt;=N($C$20)),D236*$F$8,0)</f>
        <v>0</v>
      </c>
      <c r="H236" s="41" t="n">
        <f aca="false">IF(D236&lt;=0.5,0,MIN(IF(N(I236)&gt;0,I236,$F$9),D236+E236+F236))</f>
        <v>0</v>
      </c>
      <c r="I236" s="77"/>
      <c r="J236" s="77"/>
      <c r="K236" s="41" t="n">
        <f aca="false">IF(D236&lt;=0.5,0,MIN(H236+N(J236),D236+E236+F236))</f>
        <v>0</v>
      </c>
      <c r="L236" s="41" t="n">
        <f aca="false">K236-E236-F236</f>
        <v>0</v>
      </c>
      <c r="M236" s="41" t="n">
        <f aca="false">D236-L236</f>
        <v>0</v>
      </c>
      <c r="N236" s="42" t="n">
        <f aca="false">K236-G236</f>
        <v>0</v>
      </c>
      <c r="O236" s="78"/>
      <c r="P236" s="79"/>
      <c r="Q236" s="16" t="str">
        <f aca="false">IF(K236=0,"",IF(R236=1,"Pagada",IF(C236&lt;$F$12,"Vencida",IF(210=$F$13,"Próxima","Pendiente"))))</f>
        <v/>
      </c>
      <c r="R236" s="62" t="n">
        <f aca="false">IF(AND(K236&gt;0,OR(O236="Sí",O236="Si")),1,0)</f>
        <v>0</v>
      </c>
      <c r="S236" s="62" t="n">
        <f aca="false">IF(AND(K236&gt;0,R236=0),1,0)</f>
        <v>0</v>
      </c>
    </row>
    <row r="237" customFormat="false" ht="15" hidden="false" customHeight="false" outlineLevel="0" collapsed="false">
      <c r="B237" s="71" t="str">
        <f aca="false">IF($F$6="Sí",N($C$11)+210,"")</f>
        <v/>
      </c>
      <c r="C237" s="72" t="str">
        <f aca="false">IF(OR($F$6&lt;&gt;"Sí",D237&lt;=0.5),"",EDATE($C$10,210))</f>
        <v/>
      </c>
      <c r="D237" s="41" t="n">
        <f aca="false">MAX(0,M236)</f>
        <v>0</v>
      </c>
      <c r="E237" s="41" t="n">
        <f aca="false">D237*$F$7</f>
        <v>0</v>
      </c>
      <c r="F237" s="41" t="n">
        <f aca="false">IF(D237&gt;0.5,N($C$15),0)</f>
        <v>0</v>
      </c>
      <c r="G237" s="41" t="n">
        <f aca="false">IF(AND(D237&gt;0.5,N($C$19)&gt;0,N(B237)&lt;=N($C$20)),D237*$F$8,0)</f>
        <v>0</v>
      </c>
      <c r="H237" s="41" t="n">
        <f aca="false">IF(D237&lt;=0.5,0,MIN(IF(N(I237)&gt;0,I237,$F$9),D237+E237+F237))</f>
        <v>0</v>
      </c>
      <c r="I237" s="77"/>
      <c r="J237" s="77"/>
      <c r="K237" s="41" t="n">
        <f aca="false">IF(D237&lt;=0.5,0,MIN(H237+N(J237),D237+E237+F237))</f>
        <v>0</v>
      </c>
      <c r="L237" s="41" t="n">
        <f aca="false">K237-E237-F237</f>
        <v>0</v>
      </c>
      <c r="M237" s="41" t="n">
        <f aca="false">D237-L237</f>
        <v>0</v>
      </c>
      <c r="N237" s="42" t="n">
        <f aca="false">K237-G237</f>
        <v>0</v>
      </c>
      <c r="O237" s="78"/>
      <c r="P237" s="79"/>
      <c r="Q237" s="16" t="str">
        <f aca="false">IF(K237=0,"",IF(R237=1,"Pagada",IF(C237&lt;$F$12,"Vencida",IF(211=$F$13,"Próxima","Pendiente"))))</f>
        <v/>
      </c>
      <c r="R237" s="62" t="n">
        <f aca="false">IF(AND(K237&gt;0,OR(O237="Sí",O237="Si")),1,0)</f>
        <v>0</v>
      </c>
      <c r="S237" s="62" t="n">
        <f aca="false">IF(AND(K237&gt;0,R237=0),1,0)</f>
        <v>0</v>
      </c>
    </row>
    <row r="238" customFormat="false" ht="15" hidden="false" customHeight="false" outlineLevel="0" collapsed="false">
      <c r="B238" s="71" t="str">
        <f aca="false">IF($F$6="Sí",N($C$11)+211,"")</f>
        <v/>
      </c>
      <c r="C238" s="72" t="str">
        <f aca="false">IF(OR($F$6&lt;&gt;"Sí",D238&lt;=0.5),"",EDATE($C$10,211))</f>
        <v/>
      </c>
      <c r="D238" s="41" t="n">
        <f aca="false">MAX(0,M237)</f>
        <v>0</v>
      </c>
      <c r="E238" s="41" t="n">
        <f aca="false">D238*$F$7</f>
        <v>0</v>
      </c>
      <c r="F238" s="41" t="n">
        <f aca="false">IF(D238&gt;0.5,N($C$15),0)</f>
        <v>0</v>
      </c>
      <c r="G238" s="41" t="n">
        <f aca="false">IF(AND(D238&gt;0.5,N($C$19)&gt;0,N(B238)&lt;=N($C$20)),D238*$F$8,0)</f>
        <v>0</v>
      </c>
      <c r="H238" s="41" t="n">
        <f aca="false">IF(D238&lt;=0.5,0,MIN(IF(N(I238)&gt;0,I238,$F$9),D238+E238+F238))</f>
        <v>0</v>
      </c>
      <c r="I238" s="77"/>
      <c r="J238" s="77"/>
      <c r="K238" s="41" t="n">
        <f aca="false">IF(D238&lt;=0.5,0,MIN(H238+N(J238),D238+E238+F238))</f>
        <v>0</v>
      </c>
      <c r="L238" s="41" t="n">
        <f aca="false">K238-E238-F238</f>
        <v>0</v>
      </c>
      <c r="M238" s="41" t="n">
        <f aca="false">D238-L238</f>
        <v>0</v>
      </c>
      <c r="N238" s="42" t="n">
        <f aca="false">K238-G238</f>
        <v>0</v>
      </c>
      <c r="O238" s="78"/>
      <c r="P238" s="79"/>
      <c r="Q238" s="16" t="str">
        <f aca="false">IF(K238=0,"",IF(R238=1,"Pagada",IF(C238&lt;$F$12,"Vencida",IF(212=$F$13,"Próxima","Pendiente"))))</f>
        <v/>
      </c>
      <c r="R238" s="62" t="n">
        <f aca="false">IF(AND(K238&gt;0,OR(O238="Sí",O238="Si")),1,0)</f>
        <v>0</v>
      </c>
      <c r="S238" s="62" t="n">
        <f aca="false">IF(AND(K238&gt;0,R238=0),1,0)</f>
        <v>0</v>
      </c>
    </row>
    <row r="239" customFormat="false" ht="15" hidden="false" customHeight="false" outlineLevel="0" collapsed="false">
      <c r="B239" s="71" t="str">
        <f aca="false">IF($F$6="Sí",N($C$11)+212,"")</f>
        <v/>
      </c>
      <c r="C239" s="72" t="str">
        <f aca="false">IF(OR($F$6&lt;&gt;"Sí",D239&lt;=0.5),"",EDATE($C$10,212))</f>
        <v/>
      </c>
      <c r="D239" s="41" t="n">
        <f aca="false">MAX(0,M238)</f>
        <v>0</v>
      </c>
      <c r="E239" s="41" t="n">
        <f aca="false">D239*$F$7</f>
        <v>0</v>
      </c>
      <c r="F239" s="41" t="n">
        <f aca="false">IF(D239&gt;0.5,N($C$15),0)</f>
        <v>0</v>
      </c>
      <c r="G239" s="41" t="n">
        <f aca="false">IF(AND(D239&gt;0.5,N($C$19)&gt;0,N(B239)&lt;=N($C$20)),D239*$F$8,0)</f>
        <v>0</v>
      </c>
      <c r="H239" s="41" t="n">
        <f aca="false">IF(D239&lt;=0.5,0,MIN(IF(N(I239)&gt;0,I239,$F$9),D239+E239+F239))</f>
        <v>0</v>
      </c>
      <c r="I239" s="77"/>
      <c r="J239" s="77"/>
      <c r="K239" s="41" t="n">
        <f aca="false">IF(D239&lt;=0.5,0,MIN(H239+N(J239),D239+E239+F239))</f>
        <v>0</v>
      </c>
      <c r="L239" s="41" t="n">
        <f aca="false">K239-E239-F239</f>
        <v>0</v>
      </c>
      <c r="M239" s="41" t="n">
        <f aca="false">D239-L239</f>
        <v>0</v>
      </c>
      <c r="N239" s="42" t="n">
        <f aca="false">K239-G239</f>
        <v>0</v>
      </c>
      <c r="O239" s="78"/>
      <c r="P239" s="79"/>
      <c r="Q239" s="16" t="str">
        <f aca="false">IF(K239=0,"",IF(R239=1,"Pagada",IF(C239&lt;$F$12,"Vencida",IF(213=$F$13,"Próxima","Pendiente"))))</f>
        <v/>
      </c>
      <c r="R239" s="62" t="n">
        <f aca="false">IF(AND(K239&gt;0,OR(O239="Sí",O239="Si")),1,0)</f>
        <v>0</v>
      </c>
      <c r="S239" s="62" t="n">
        <f aca="false">IF(AND(K239&gt;0,R239=0),1,0)</f>
        <v>0</v>
      </c>
    </row>
    <row r="240" customFormat="false" ht="15" hidden="false" customHeight="false" outlineLevel="0" collapsed="false">
      <c r="B240" s="71" t="str">
        <f aca="false">IF($F$6="Sí",N($C$11)+213,"")</f>
        <v/>
      </c>
      <c r="C240" s="72" t="str">
        <f aca="false">IF(OR($F$6&lt;&gt;"Sí",D240&lt;=0.5),"",EDATE($C$10,213))</f>
        <v/>
      </c>
      <c r="D240" s="41" t="n">
        <f aca="false">MAX(0,M239)</f>
        <v>0</v>
      </c>
      <c r="E240" s="41" t="n">
        <f aca="false">D240*$F$7</f>
        <v>0</v>
      </c>
      <c r="F240" s="41" t="n">
        <f aca="false">IF(D240&gt;0.5,N($C$15),0)</f>
        <v>0</v>
      </c>
      <c r="G240" s="41" t="n">
        <f aca="false">IF(AND(D240&gt;0.5,N($C$19)&gt;0,N(B240)&lt;=N($C$20)),D240*$F$8,0)</f>
        <v>0</v>
      </c>
      <c r="H240" s="41" t="n">
        <f aca="false">IF(D240&lt;=0.5,0,MIN(IF(N(I240)&gt;0,I240,$F$9),D240+E240+F240))</f>
        <v>0</v>
      </c>
      <c r="I240" s="77"/>
      <c r="J240" s="77"/>
      <c r="K240" s="41" t="n">
        <f aca="false">IF(D240&lt;=0.5,0,MIN(H240+N(J240),D240+E240+F240))</f>
        <v>0</v>
      </c>
      <c r="L240" s="41" t="n">
        <f aca="false">K240-E240-F240</f>
        <v>0</v>
      </c>
      <c r="M240" s="41" t="n">
        <f aca="false">D240-L240</f>
        <v>0</v>
      </c>
      <c r="N240" s="42" t="n">
        <f aca="false">K240-G240</f>
        <v>0</v>
      </c>
      <c r="O240" s="78"/>
      <c r="P240" s="79"/>
      <c r="Q240" s="16" t="str">
        <f aca="false">IF(K240=0,"",IF(R240=1,"Pagada",IF(C240&lt;$F$12,"Vencida",IF(214=$F$13,"Próxima","Pendiente"))))</f>
        <v/>
      </c>
      <c r="R240" s="62" t="n">
        <f aca="false">IF(AND(K240&gt;0,OR(O240="Sí",O240="Si")),1,0)</f>
        <v>0</v>
      </c>
      <c r="S240" s="62" t="n">
        <f aca="false">IF(AND(K240&gt;0,R240=0),1,0)</f>
        <v>0</v>
      </c>
    </row>
    <row r="241" customFormat="false" ht="15" hidden="false" customHeight="false" outlineLevel="0" collapsed="false">
      <c r="B241" s="71" t="str">
        <f aca="false">IF($F$6="Sí",N($C$11)+214,"")</f>
        <v/>
      </c>
      <c r="C241" s="72" t="str">
        <f aca="false">IF(OR($F$6&lt;&gt;"Sí",D241&lt;=0.5),"",EDATE($C$10,214))</f>
        <v/>
      </c>
      <c r="D241" s="41" t="n">
        <f aca="false">MAX(0,M240)</f>
        <v>0</v>
      </c>
      <c r="E241" s="41" t="n">
        <f aca="false">D241*$F$7</f>
        <v>0</v>
      </c>
      <c r="F241" s="41" t="n">
        <f aca="false">IF(D241&gt;0.5,N($C$15),0)</f>
        <v>0</v>
      </c>
      <c r="G241" s="41" t="n">
        <f aca="false">IF(AND(D241&gt;0.5,N($C$19)&gt;0,N(B241)&lt;=N($C$20)),D241*$F$8,0)</f>
        <v>0</v>
      </c>
      <c r="H241" s="41" t="n">
        <f aca="false">IF(D241&lt;=0.5,0,MIN(IF(N(I241)&gt;0,I241,$F$9),D241+E241+F241))</f>
        <v>0</v>
      </c>
      <c r="I241" s="77"/>
      <c r="J241" s="77"/>
      <c r="K241" s="41" t="n">
        <f aca="false">IF(D241&lt;=0.5,0,MIN(H241+N(J241),D241+E241+F241))</f>
        <v>0</v>
      </c>
      <c r="L241" s="41" t="n">
        <f aca="false">K241-E241-F241</f>
        <v>0</v>
      </c>
      <c r="M241" s="41" t="n">
        <f aca="false">D241-L241</f>
        <v>0</v>
      </c>
      <c r="N241" s="42" t="n">
        <f aca="false">K241-G241</f>
        <v>0</v>
      </c>
      <c r="O241" s="78"/>
      <c r="P241" s="79"/>
      <c r="Q241" s="16" t="str">
        <f aca="false">IF(K241=0,"",IF(R241=1,"Pagada",IF(C241&lt;$F$12,"Vencida",IF(215=$F$13,"Próxima","Pendiente"))))</f>
        <v/>
      </c>
      <c r="R241" s="62" t="n">
        <f aca="false">IF(AND(K241&gt;0,OR(O241="Sí",O241="Si")),1,0)</f>
        <v>0</v>
      </c>
      <c r="S241" s="62" t="n">
        <f aca="false">IF(AND(K241&gt;0,R241=0),1,0)</f>
        <v>0</v>
      </c>
    </row>
    <row r="242" customFormat="false" ht="15" hidden="false" customHeight="false" outlineLevel="0" collapsed="false">
      <c r="B242" s="71" t="str">
        <f aca="false">IF($F$6="Sí",N($C$11)+215,"")</f>
        <v/>
      </c>
      <c r="C242" s="72" t="str">
        <f aca="false">IF(OR($F$6&lt;&gt;"Sí",D242&lt;=0.5),"",EDATE($C$10,215))</f>
        <v/>
      </c>
      <c r="D242" s="41" t="n">
        <f aca="false">MAX(0,M241)</f>
        <v>0</v>
      </c>
      <c r="E242" s="41" t="n">
        <f aca="false">D242*$F$7</f>
        <v>0</v>
      </c>
      <c r="F242" s="41" t="n">
        <f aca="false">IF(D242&gt;0.5,N($C$15),0)</f>
        <v>0</v>
      </c>
      <c r="G242" s="41" t="n">
        <f aca="false">IF(AND(D242&gt;0.5,N($C$19)&gt;0,N(B242)&lt;=N($C$20)),D242*$F$8,0)</f>
        <v>0</v>
      </c>
      <c r="H242" s="41" t="n">
        <f aca="false">IF(D242&lt;=0.5,0,MIN(IF(N(I242)&gt;0,I242,$F$9),D242+E242+F242))</f>
        <v>0</v>
      </c>
      <c r="I242" s="77"/>
      <c r="J242" s="77"/>
      <c r="K242" s="41" t="n">
        <f aca="false">IF(D242&lt;=0.5,0,MIN(H242+N(J242),D242+E242+F242))</f>
        <v>0</v>
      </c>
      <c r="L242" s="41" t="n">
        <f aca="false">K242-E242-F242</f>
        <v>0</v>
      </c>
      <c r="M242" s="41" t="n">
        <f aca="false">D242-L242</f>
        <v>0</v>
      </c>
      <c r="N242" s="42" t="n">
        <f aca="false">K242-G242</f>
        <v>0</v>
      </c>
      <c r="O242" s="78"/>
      <c r="P242" s="79"/>
      <c r="Q242" s="16" t="str">
        <f aca="false">IF(K242=0,"",IF(R242=1,"Pagada",IF(C242&lt;$F$12,"Vencida",IF(216=$F$13,"Próxima","Pendiente"))))</f>
        <v/>
      </c>
      <c r="R242" s="62" t="n">
        <f aca="false">IF(AND(K242&gt;0,OR(O242="Sí",O242="Si")),1,0)</f>
        <v>0</v>
      </c>
      <c r="S242" s="62" t="n">
        <f aca="false">IF(AND(K242&gt;0,R242=0),1,0)</f>
        <v>0</v>
      </c>
    </row>
    <row r="243" customFormat="false" ht="15" hidden="false" customHeight="false" outlineLevel="0" collapsed="false">
      <c r="B243" s="71" t="str">
        <f aca="false">IF($F$6="Sí",N($C$11)+216,"")</f>
        <v/>
      </c>
      <c r="C243" s="72" t="str">
        <f aca="false">IF(OR($F$6&lt;&gt;"Sí",D243&lt;=0.5),"",EDATE($C$10,216))</f>
        <v/>
      </c>
      <c r="D243" s="41" t="n">
        <f aca="false">MAX(0,M242)</f>
        <v>0</v>
      </c>
      <c r="E243" s="41" t="n">
        <f aca="false">D243*$F$7</f>
        <v>0</v>
      </c>
      <c r="F243" s="41" t="n">
        <f aca="false">IF(D243&gt;0.5,N($C$15),0)</f>
        <v>0</v>
      </c>
      <c r="G243" s="41" t="n">
        <f aca="false">IF(AND(D243&gt;0.5,N($C$19)&gt;0,N(B243)&lt;=N($C$20)),D243*$F$8,0)</f>
        <v>0</v>
      </c>
      <c r="H243" s="41" t="n">
        <f aca="false">IF(D243&lt;=0.5,0,MIN(IF(N(I243)&gt;0,I243,$F$9),D243+E243+F243))</f>
        <v>0</v>
      </c>
      <c r="I243" s="77"/>
      <c r="J243" s="77"/>
      <c r="K243" s="41" t="n">
        <f aca="false">IF(D243&lt;=0.5,0,MIN(H243+N(J243),D243+E243+F243))</f>
        <v>0</v>
      </c>
      <c r="L243" s="41" t="n">
        <f aca="false">K243-E243-F243</f>
        <v>0</v>
      </c>
      <c r="M243" s="41" t="n">
        <f aca="false">D243-L243</f>
        <v>0</v>
      </c>
      <c r="N243" s="42" t="n">
        <f aca="false">K243-G243</f>
        <v>0</v>
      </c>
      <c r="O243" s="78"/>
      <c r="P243" s="79"/>
      <c r="Q243" s="16" t="str">
        <f aca="false">IF(K243=0,"",IF(R243=1,"Pagada",IF(C243&lt;$F$12,"Vencida",IF(217=$F$13,"Próxima","Pendiente"))))</f>
        <v/>
      </c>
      <c r="R243" s="62" t="n">
        <f aca="false">IF(AND(K243&gt;0,OR(O243="Sí",O243="Si")),1,0)</f>
        <v>0</v>
      </c>
      <c r="S243" s="62" t="n">
        <f aca="false">IF(AND(K243&gt;0,R243=0),1,0)</f>
        <v>0</v>
      </c>
    </row>
    <row r="244" customFormat="false" ht="15" hidden="false" customHeight="false" outlineLevel="0" collapsed="false">
      <c r="B244" s="71" t="str">
        <f aca="false">IF($F$6="Sí",N($C$11)+217,"")</f>
        <v/>
      </c>
      <c r="C244" s="72" t="str">
        <f aca="false">IF(OR($F$6&lt;&gt;"Sí",D244&lt;=0.5),"",EDATE($C$10,217))</f>
        <v/>
      </c>
      <c r="D244" s="41" t="n">
        <f aca="false">MAX(0,M243)</f>
        <v>0</v>
      </c>
      <c r="E244" s="41" t="n">
        <f aca="false">D244*$F$7</f>
        <v>0</v>
      </c>
      <c r="F244" s="41" t="n">
        <f aca="false">IF(D244&gt;0.5,N($C$15),0)</f>
        <v>0</v>
      </c>
      <c r="G244" s="41" t="n">
        <f aca="false">IF(AND(D244&gt;0.5,N($C$19)&gt;0,N(B244)&lt;=N($C$20)),D244*$F$8,0)</f>
        <v>0</v>
      </c>
      <c r="H244" s="41" t="n">
        <f aca="false">IF(D244&lt;=0.5,0,MIN(IF(N(I244)&gt;0,I244,$F$9),D244+E244+F244))</f>
        <v>0</v>
      </c>
      <c r="I244" s="77"/>
      <c r="J244" s="77"/>
      <c r="K244" s="41" t="n">
        <f aca="false">IF(D244&lt;=0.5,0,MIN(H244+N(J244),D244+E244+F244))</f>
        <v>0</v>
      </c>
      <c r="L244" s="41" t="n">
        <f aca="false">K244-E244-F244</f>
        <v>0</v>
      </c>
      <c r="M244" s="41" t="n">
        <f aca="false">D244-L244</f>
        <v>0</v>
      </c>
      <c r="N244" s="42" t="n">
        <f aca="false">K244-G244</f>
        <v>0</v>
      </c>
      <c r="O244" s="78"/>
      <c r="P244" s="79"/>
      <c r="Q244" s="16" t="str">
        <f aca="false">IF(K244=0,"",IF(R244=1,"Pagada",IF(C244&lt;$F$12,"Vencida",IF(218=$F$13,"Próxima","Pendiente"))))</f>
        <v/>
      </c>
      <c r="R244" s="62" t="n">
        <f aca="false">IF(AND(K244&gt;0,OR(O244="Sí",O244="Si")),1,0)</f>
        <v>0</v>
      </c>
      <c r="S244" s="62" t="n">
        <f aca="false">IF(AND(K244&gt;0,R244=0),1,0)</f>
        <v>0</v>
      </c>
    </row>
    <row r="245" customFormat="false" ht="15" hidden="false" customHeight="false" outlineLevel="0" collapsed="false">
      <c r="B245" s="71" t="str">
        <f aca="false">IF($F$6="Sí",N($C$11)+218,"")</f>
        <v/>
      </c>
      <c r="C245" s="72" t="str">
        <f aca="false">IF(OR($F$6&lt;&gt;"Sí",D245&lt;=0.5),"",EDATE($C$10,218))</f>
        <v/>
      </c>
      <c r="D245" s="41" t="n">
        <f aca="false">MAX(0,M244)</f>
        <v>0</v>
      </c>
      <c r="E245" s="41" t="n">
        <f aca="false">D245*$F$7</f>
        <v>0</v>
      </c>
      <c r="F245" s="41" t="n">
        <f aca="false">IF(D245&gt;0.5,N($C$15),0)</f>
        <v>0</v>
      </c>
      <c r="G245" s="41" t="n">
        <f aca="false">IF(AND(D245&gt;0.5,N($C$19)&gt;0,N(B245)&lt;=N($C$20)),D245*$F$8,0)</f>
        <v>0</v>
      </c>
      <c r="H245" s="41" t="n">
        <f aca="false">IF(D245&lt;=0.5,0,MIN(IF(N(I245)&gt;0,I245,$F$9),D245+E245+F245))</f>
        <v>0</v>
      </c>
      <c r="I245" s="77"/>
      <c r="J245" s="77"/>
      <c r="K245" s="41" t="n">
        <f aca="false">IF(D245&lt;=0.5,0,MIN(H245+N(J245),D245+E245+F245))</f>
        <v>0</v>
      </c>
      <c r="L245" s="41" t="n">
        <f aca="false">K245-E245-F245</f>
        <v>0</v>
      </c>
      <c r="M245" s="41" t="n">
        <f aca="false">D245-L245</f>
        <v>0</v>
      </c>
      <c r="N245" s="42" t="n">
        <f aca="false">K245-G245</f>
        <v>0</v>
      </c>
      <c r="O245" s="78"/>
      <c r="P245" s="79"/>
      <c r="Q245" s="16" t="str">
        <f aca="false">IF(K245=0,"",IF(R245=1,"Pagada",IF(C245&lt;$F$12,"Vencida",IF(219=$F$13,"Próxima","Pendiente"))))</f>
        <v/>
      </c>
      <c r="R245" s="62" t="n">
        <f aca="false">IF(AND(K245&gt;0,OR(O245="Sí",O245="Si")),1,0)</f>
        <v>0</v>
      </c>
      <c r="S245" s="62" t="n">
        <f aca="false">IF(AND(K245&gt;0,R245=0),1,0)</f>
        <v>0</v>
      </c>
    </row>
    <row r="246" customFormat="false" ht="15" hidden="false" customHeight="false" outlineLevel="0" collapsed="false">
      <c r="B246" s="71" t="str">
        <f aca="false">IF($F$6="Sí",N($C$11)+219,"")</f>
        <v/>
      </c>
      <c r="C246" s="72" t="str">
        <f aca="false">IF(OR($F$6&lt;&gt;"Sí",D246&lt;=0.5),"",EDATE($C$10,219))</f>
        <v/>
      </c>
      <c r="D246" s="41" t="n">
        <f aca="false">MAX(0,M245)</f>
        <v>0</v>
      </c>
      <c r="E246" s="41" t="n">
        <f aca="false">D246*$F$7</f>
        <v>0</v>
      </c>
      <c r="F246" s="41" t="n">
        <f aca="false">IF(D246&gt;0.5,N($C$15),0)</f>
        <v>0</v>
      </c>
      <c r="G246" s="41" t="n">
        <f aca="false">IF(AND(D246&gt;0.5,N($C$19)&gt;0,N(B246)&lt;=N($C$20)),D246*$F$8,0)</f>
        <v>0</v>
      </c>
      <c r="H246" s="41" t="n">
        <f aca="false">IF(D246&lt;=0.5,0,MIN(IF(N(I246)&gt;0,I246,$F$9),D246+E246+F246))</f>
        <v>0</v>
      </c>
      <c r="I246" s="77"/>
      <c r="J246" s="77"/>
      <c r="K246" s="41" t="n">
        <f aca="false">IF(D246&lt;=0.5,0,MIN(H246+N(J246),D246+E246+F246))</f>
        <v>0</v>
      </c>
      <c r="L246" s="41" t="n">
        <f aca="false">K246-E246-F246</f>
        <v>0</v>
      </c>
      <c r="M246" s="41" t="n">
        <f aca="false">D246-L246</f>
        <v>0</v>
      </c>
      <c r="N246" s="42" t="n">
        <f aca="false">K246-G246</f>
        <v>0</v>
      </c>
      <c r="O246" s="78"/>
      <c r="P246" s="79"/>
      <c r="Q246" s="16" t="str">
        <f aca="false">IF(K246=0,"",IF(R246=1,"Pagada",IF(C246&lt;$F$12,"Vencida",IF(220=$F$13,"Próxima","Pendiente"))))</f>
        <v/>
      </c>
      <c r="R246" s="62" t="n">
        <f aca="false">IF(AND(K246&gt;0,OR(O246="Sí",O246="Si")),1,0)</f>
        <v>0</v>
      </c>
      <c r="S246" s="62" t="n">
        <f aca="false">IF(AND(K246&gt;0,R246=0),1,0)</f>
        <v>0</v>
      </c>
    </row>
    <row r="247" customFormat="false" ht="15" hidden="false" customHeight="false" outlineLevel="0" collapsed="false">
      <c r="B247" s="71" t="str">
        <f aca="false">IF($F$6="Sí",N($C$11)+220,"")</f>
        <v/>
      </c>
      <c r="C247" s="72" t="str">
        <f aca="false">IF(OR($F$6&lt;&gt;"Sí",D247&lt;=0.5),"",EDATE($C$10,220))</f>
        <v/>
      </c>
      <c r="D247" s="41" t="n">
        <f aca="false">MAX(0,M246)</f>
        <v>0</v>
      </c>
      <c r="E247" s="41" t="n">
        <f aca="false">D247*$F$7</f>
        <v>0</v>
      </c>
      <c r="F247" s="41" t="n">
        <f aca="false">IF(D247&gt;0.5,N($C$15),0)</f>
        <v>0</v>
      </c>
      <c r="G247" s="41" t="n">
        <f aca="false">IF(AND(D247&gt;0.5,N($C$19)&gt;0,N(B247)&lt;=N($C$20)),D247*$F$8,0)</f>
        <v>0</v>
      </c>
      <c r="H247" s="41" t="n">
        <f aca="false">IF(D247&lt;=0.5,0,MIN(IF(N(I247)&gt;0,I247,$F$9),D247+E247+F247))</f>
        <v>0</v>
      </c>
      <c r="I247" s="77"/>
      <c r="J247" s="77"/>
      <c r="K247" s="41" t="n">
        <f aca="false">IF(D247&lt;=0.5,0,MIN(H247+N(J247),D247+E247+F247))</f>
        <v>0</v>
      </c>
      <c r="L247" s="41" t="n">
        <f aca="false">K247-E247-F247</f>
        <v>0</v>
      </c>
      <c r="M247" s="41" t="n">
        <f aca="false">D247-L247</f>
        <v>0</v>
      </c>
      <c r="N247" s="42" t="n">
        <f aca="false">K247-G247</f>
        <v>0</v>
      </c>
      <c r="O247" s="78"/>
      <c r="P247" s="79"/>
      <c r="Q247" s="16" t="str">
        <f aca="false">IF(K247=0,"",IF(R247=1,"Pagada",IF(C247&lt;$F$12,"Vencida",IF(221=$F$13,"Próxima","Pendiente"))))</f>
        <v/>
      </c>
      <c r="R247" s="62" t="n">
        <f aca="false">IF(AND(K247&gt;0,OR(O247="Sí",O247="Si")),1,0)</f>
        <v>0</v>
      </c>
      <c r="S247" s="62" t="n">
        <f aca="false">IF(AND(K247&gt;0,R247=0),1,0)</f>
        <v>0</v>
      </c>
    </row>
    <row r="248" customFormat="false" ht="15" hidden="false" customHeight="false" outlineLevel="0" collapsed="false">
      <c r="B248" s="71" t="str">
        <f aca="false">IF($F$6="Sí",N($C$11)+221,"")</f>
        <v/>
      </c>
      <c r="C248" s="72" t="str">
        <f aca="false">IF(OR($F$6&lt;&gt;"Sí",D248&lt;=0.5),"",EDATE($C$10,221))</f>
        <v/>
      </c>
      <c r="D248" s="41" t="n">
        <f aca="false">MAX(0,M247)</f>
        <v>0</v>
      </c>
      <c r="E248" s="41" t="n">
        <f aca="false">D248*$F$7</f>
        <v>0</v>
      </c>
      <c r="F248" s="41" t="n">
        <f aca="false">IF(D248&gt;0.5,N($C$15),0)</f>
        <v>0</v>
      </c>
      <c r="G248" s="41" t="n">
        <f aca="false">IF(AND(D248&gt;0.5,N($C$19)&gt;0,N(B248)&lt;=N($C$20)),D248*$F$8,0)</f>
        <v>0</v>
      </c>
      <c r="H248" s="41" t="n">
        <f aca="false">IF(D248&lt;=0.5,0,MIN(IF(N(I248)&gt;0,I248,$F$9),D248+E248+F248))</f>
        <v>0</v>
      </c>
      <c r="I248" s="77"/>
      <c r="J248" s="77"/>
      <c r="K248" s="41" t="n">
        <f aca="false">IF(D248&lt;=0.5,0,MIN(H248+N(J248),D248+E248+F248))</f>
        <v>0</v>
      </c>
      <c r="L248" s="41" t="n">
        <f aca="false">K248-E248-F248</f>
        <v>0</v>
      </c>
      <c r="M248" s="41" t="n">
        <f aca="false">D248-L248</f>
        <v>0</v>
      </c>
      <c r="N248" s="42" t="n">
        <f aca="false">K248-G248</f>
        <v>0</v>
      </c>
      <c r="O248" s="78"/>
      <c r="P248" s="79"/>
      <c r="Q248" s="16" t="str">
        <f aca="false">IF(K248=0,"",IF(R248=1,"Pagada",IF(C248&lt;$F$12,"Vencida",IF(222=$F$13,"Próxima","Pendiente"))))</f>
        <v/>
      </c>
      <c r="R248" s="62" t="n">
        <f aca="false">IF(AND(K248&gt;0,OR(O248="Sí",O248="Si")),1,0)</f>
        <v>0</v>
      </c>
      <c r="S248" s="62" t="n">
        <f aca="false">IF(AND(K248&gt;0,R248=0),1,0)</f>
        <v>0</v>
      </c>
    </row>
    <row r="249" customFormat="false" ht="15" hidden="false" customHeight="false" outlineLevel="0" collapsed="false">
      <c r="B249" s="71" t="str">
        <f aca="false">IF($F$6="Sí",N($C$11)+222,"")</f>
        <v/>
      </c>
      <c r="C249" s="72" t="str">
        <f aca="false">IF(OR($F$6&lt;&gt;"Sí",D249&lt;=0.5),"",EDATE($C$10,222))</f>
        <v/>
      </c>
      <c r="D249" s="41" t="n">
        <f aca="false">MAX(0,M248)</f>
        <v>0</v>
      </c>
      <c r="E249" s="41" t="n">
        <f aca="false">D249*$F$7</f>
        <v>0</v>
      </c>
      <c r="F249" s="41" t="n">
        <f aca="false">IF(D249&gt;0.5,N($C$15),0)</f>
        <v>0</v>
      </c>
      <c r="G249" s="41" t="n">
        <f aca="false">IF(AND(D249&gt;0.5,N($C$19)&gt;0,N(B249)&lt;=N($C$20)),D249*$F$8,0)</f>
        <v>0</v>
      </c>
      <c r="H249" s="41" t="n">
        <f aca="false">IF(D249&lt;=0.5,0,MIN(IF(N(I249)&gt;0,I249,$F$9),D249+E249+F249))</f>
        <v>0</v>
      </c>
      <c r="I249" s="77"/>
      <c r="J249" s="77"/>
      <c r="K249" s="41" t="n">
        <f aca="false">IF(D249&lt;=0.5,0,MIN(H249+N(J249),D249+E249+F249))</f>
        <v>0</v>
      </c>
      <c r="L249" s="41" t="n">
        <f aca="false">K249-E249-F249</f>
        <v>0</v>
      </c>
      <c r="M249" s="41" t="n">
        <f aca="false">D249-L249</f>
        <v>0</v>
      </c>
      <c r="N249" s="42" t="n">
        <f aca="false">K249-G249</f>
        <v>0</v>
      </c>
      <c r="O249" s="78"/>
      <c r="P249" s="79"/>
      <c r="Q249" s="16" t="str">
        <f aca="false">IF(K249=0,"",IF(R249=1,"Pagada",IF(C249&lt;$F$12,"Vencida",IF(223=$F$13,"Próxima","Pendiente"))))</f>
        <v/>
      </c>
      <c r="R249" s="62" t="n">
        <f aca="false">IF(AND(K249&gt;0,OR(O249="Sí",O249="Si")),1,0)</f>
        <v>0</v>
      </c>
      <c r="S249" s="62" t="n">
        <f aca="false">IF(AND(K249&gt;0,R249=0),1,0)</f>
        <v>0</v>
      </c>
    </row>
    <row r="250" customFormat="false" ht="15" hidden="false" customHeight="false" outlineLevel="0" collapsed="false">
      <c r="B250" s="71" t="str">
        <f aca="false">IF($F$6="Sí",N($C$11)+223,"")</f>
        <v/>
      </c>
      <c r="C250" s="72" t="str">
        <f aca="false">IF(OR($F$6&lt;&gt;"Sí",D250&lt;=0.5),"",EDATE($C$10,223))</f>
        <v/>
      </c>
      <c r="D250" s="41" t="n">
        <f aca="false">MAX(0,M249)</f>
        <v>0</v>
      </c>
      <c r="E250" s="41" t="n">
        <f aca="false">D250*$F$7</f>
        <v>0</v>
      </c>
      <c r="F250" s="41" t="n">
        <f aca="false">IF(D250&gt;0.5,N($C$15),0)</f>
        <v>0</v>
      </c>
      <c r="G250" s="41" t="n">
        <f aca="false">IF(AND(D250&gt;0.5,N($C$19)&gt;0,N(B250)&lt;=N($C$20)),D250*$F$8,0)</f>
        <v>0</v>
      </c>
      <c r="H250" s="41" t="n">
        <f aca="false">IF(D250&lt;=0.5,0,MIN(IF(N(I250)&gt;0,I250,$F$9),D250+E250+F250))</f>
        <v>0</v>
      </c>
      <c r="I250" s="77"/>
      <c r="J250" s="77"/>
      <c r="K250" s="41" t="n">
        <f aca="false">IF(D250&lt;=0.5,0,MIN(H250+N(J250),D250+E250+F250))</f>
        <v>0</v>
      </c>
      <c r="L250" s="41" t="n">
        <f aca="false">K250-E250-F250</f>
        <v>0</v>
      </c>
      <c r="M250" s="41" t="n">
        <f aca="false">D250-L250</f>
        <v>0</v>
      </c>
      <c r="N250" s="42" t="n">
        <f aca="false">K250-G250</f>
        <v>0</v>
      </c>
      <c r="O250" s="78"/>
      <c r="P250" s="79"/>
      <c r="Q250" s="16" t="str">
        <f aca="false">IF(K250=0,"",IF(R250=1,"Pagada",IF(C250&lt;$F$12,"Vencida",IF(224=$F$13,"Próxima","Pendiente"))))</f>
        <v/>
      </c>
      <c r="R250" s="62" t="n">
        <f aca="false">IF(AND(K250&gt;0,OR(O250="Sí",O250="Si")),1,0)</f>
        <v>0</v>
      </c>
      <c r="S250" s="62" t="n">
        <f aca="false">IF(AND(K250&gt;0,R250=0),1,0)</f>
        <v>0</v>
      </c>
    </row>
    <row r="251" customFormat="false" ht="15" hidden="false" customHeight="false" outlineLevel="0" collapsed="false">
      <c r="B251" s="71" t="str">
        <f aca="false">IF($F$6="Sí",N($C$11)+224,"")</f>
        <v/>
      </c>
      <c r="C251" s="72" t="str">
        <f aca="false">IF(OR($F$6&lt;&gt;"Sí",D251&lt;=0.5),"",EDATE($C$10,224))</f>
        <v/>
      </c>
      <c r="D251" s="41" t="n">
        <f aca="false">MAX(0,M250)</f>
        <v>0</v>
      </c>
      <c r="E251" s="41" t="n">
        <f aca="false">D251*$F$7</f>
        <v>0</v>
      </c>
      <c r="F251" s="41" t="n">
        <f aca="false">IF(D251&gt;0.5,N($C$15),0)</f>
        <v>0</v>
      </c>
      <c r="G251" s="41" t="n">
        <f aca="false">IF(AND(D251&gt;0.5,N($C$19)&gt;0,N(B251)&lt;=N($C$20)),D251*$F$8,0)</f>
        <v>0</v>
      </c>
      <c r="H251" s="41" t="n">
        <f aca="false">IF(D251&lt;=0.5,0,MIN(IF(N(I251)&gt;0,I251,$F$9),D251+E251+F251))</f>
        <v>0</v>
      </c>
      <c r="I251" s="77"/>
      <c r="J251" s="77"/>
      <c r="K251" s="41" t="n">
        <f aca="false">IF(D251&lt;=0.5,0,MIN(H251+N(J251),D251+E251+F251))</f>
        <v>0</v>
      </c>
      <c r="L251" s="41" t="n">
        <f aca="false">K251-E251-F251</f>
        <v>0</v>
      </c>
      <c r="M251" s="41" t="n">
        <f aca="false">D251-L251</f>
        <v>0</v>
      </c>
      <c r="N251" s="42" t="n">
        <f aca="false">K251-G251</f>
        <v>0</v>
      </c>
      <c r="O251" s="78"/>
      <c r="P251" s="79"/>
      <c r="Q251" s="16" t="str">
        <f aca="false">IF(K251=0,"",IF(R251=1,"Pagada",IF(C251&lt;$F$12,"Vencida",IF(225=$F$13,"Próxima","Pendiente"))))</f>
        <v/>
      </c>
      <c r="R251" s="62" t="n">
        <f aca="false">IF(AND(K251&gt;0,OR(O251="Sí",O251="Si")),1,0)</f>
        <v>0</v>
      </c>
      <c r="S251" s="62" t="n">
        <f aca="false">IF(AND(K251&gt;0,R251=0),1,0)</f>
        <v>0</v>
      </c>
    </row>
    <row r="252" customFormat="false" ht="15" hidden="false" customHeight="false" outlineLevel="0" collapsed="false">
      <c r="B252" s="71" t="str">
        <f aca="false">IF($F$6="Sí",N($C$11)+225,"")</f>
        <v/>
      </c>
      <c r="C252" s="72" t="str">
        <f aca="false">IF(OR($F$6&lt;&gt;"Sí",D252&lt;=0.5),"",EDATE($C$10,225))</f>
        <v/>
      </c>
      <c r="D252" s="41" t="n">
        <f aca="false">MAX(0,M251)</f>
        <v>0</v>
      </c>
      <c r="E252" s="41" t="n">
        <f aca="false">D252*$F$7</f>
        <v>0</v>
      </c>
      <c r="F252" s="41" t="n">
        <f aca="false">IF(D252&gt;0.5,N($C$15),0)</f>
        <v>0</v>
      </c>
      <c r="G252" s="41" t="n">
        <f aca="false">IF(AND(D252&gt;0.5,N($C$19)&gt;0,N(B252)&lt;=N($C$20)),D252*$F$8,0)</f>
        <v>0</v>
      </c>
      <c r="H252" s="41" t="n">
        <f aca="false">IF(D252&lt;=0.5,0,MIN(IF(N(I252)&gt;0,I252,$F$9),D252+E252+F252))</f>
        <v>0</v>
      </c>
      <c r="I252" s="77"/>
      <c r="J252" s="77"/>
      <c r="K252" s="41" t="n">
        <f aca="false">IF(D252&lt;=0.5,0,MIN(H252+N(J252),D252+E252+F252))</f>
        <v>0</v>
      </c>
      <c r="L252" s="41" t="n">
        <f aca="false">K252-E252-F252</f>
        <v>0</v>
      </c>
      <c r="M252" s="41" t="n">
        <f aca="false">D252-L252</f>
        <v>0</v>
      </c>
      <c r="N252" s="42" t="n">
        <f aca="false">K252-G252</f>
        <v>0</v>
      </c>
      <c r="O252" s="78"/>
      <c r="P252" s="79"/>
      <c r="Q252" s="16" t="str">
        <f aca="false">IF(K252=0,"",IF(R252=1,"Pagada",IF(C252&lt;$F$12,"Vencida",IF(226=$F$13,"Próxima","Pendiente"))))</f>
        <v/>
      </c>
      <c r="R252" s="62" t="n">
        <f aca="false">IF(AND(K252&gt;0,OR(O252="Sí",O252="Si")),1,0)</f>
        <v>0</v>
      </c>
      <c r="S252" s="62" t="n">
        <f aca="false">IF(AND(K252&gt;0,R252=0),1,0)</f>
        <v>0</v>
      </c>
    </row>
    <row r="253" customFormat="false" ht="15" hidden="false" customHeight="false" outlineLevel="0" collapsed="false">
      <c r="B253" s="71" t="str">
        <f aca="false">IF($F$6="Sí",N($C$11)+226,"")</f>
        <v/>
      </c>
      <c r="C253" s="72" t="str">
        <f aca="false">IF(OR($F$6&lt;&gt;"Sí",D253&lt;=0.5),"",EDATE($C$10,226))</f>
        <v/>
      </c>
      <c r="D253" s="41" t="n">
        <f aca="false">MAX(0,M252)</f>
        <v>0</v>
      </c>
      <c r="E253" s="41" t="n">
        <f aca="false">D253*$F$7</f>
        <v>0</v>
      </c>
      <c r="F253" s="41" t="n">
        <f aca="false">IF(D253&gt;0.5,N($C$15),0)</f>
        <v>0</v>
      </c>
      <c r="G253" s="41" t="n">
        <f aca="false">IF(AND(D253&gt;0.5,N($C$19)&gt;0,N(B253)&lt;=N($C$20)),D253*$F$8,0)</f>
        <v>0</v>
      </c>
      <c r="H253" s="41" t="n">
        <f aca="false">IF(D253&lt;=0.5,0,MIN(IF(N(I253)&gt;0,I253,$F$9),D253+E253+F253))</f>
        <v>0</v>
      </c>
      <c r="I253" s="77"/>
      <c r="J253" s="77"/>
      <c r="K253" s="41" t="n">
        <f aca="false">IF(D253&lt;=0.5,0,MIN(H253+N(J253),D253+E253+F253))</f>
        <v>0</v>
      </c>
      <c r="L253" s="41" t="n">
        <f aca="false">K253-E253-F253</f>
        <v>0</v>
      </c>
      <c r="M253" s="41" t="n">
        <f aca="false">D253-L253</f>
        <v>0</v>
      </c>
      <c r="N253" s="42" t="n">
        <f aca="false">K253-G253</f>
        <v>0</v>
      </c>
      <c r="O253" s="78"/>
      <c r="P253" s="79"/>
      <c r="Q253" s="16" t="str">
        <f aca="false">IF(K253=0,"",IF(R253=1,"Pagada",IF(C253&lt;$F$12,"Vencida",IF(227=$F$13,"Próxima","Pendiente"))))</f>
        <v/>
      </c>
      <c r="R253" s="62" t="n">
        <f aca="false">IF(AND(K253&gt;0,OR(O253="Sí",O253="Si")),1,0)</f>
        <v>0</v>
      </c>
      <c r="S253" s="62" t="n">
        <f aca="false">IF(AND(K253&gt;0,R253=0),1,0)</f>
        <v>0</v>
      </c>
    </row>
    <row r="254" customFormat="false" ht="15" hidden="false" customHeight="false" outlineLevel="0" collapsed="false">
      <c r="B254" s="71" t="str">
        <f aca="false">IF($F$6="Sí",N($C$11)+227,"")</f>
        <v/>
      </c>
      <c r="C254" s="72" t="str">
        <f aca="false">IF(OR($F$6&lt;&gt;"Sí",D254&lt;=0.5),"",EDATE($C$10,227))</f>
        <v/>
      </c>
      <c r="D254" s="41" t="n">
        <f aca="false">MAX(0,M253)</f>
        <v>0</v>
      </c>
      <c r="E254" s="41" t="n">
        <f aca="false">D254*$F$7</f>
        <v>0</v>
      </c>
      <c r="F254" s="41" t="n">
        <f aca="false">IF(D254&gt;0.5,N($C$15),0)</f>
        <v>0</v>
      </c>
      <c r="G254" s="41" t="n">
        <f aca="false">IF(AND(D254&gt;0.5,N($C$19)&gt;0,N(B254)&lt;=N($C$20)),D254*$F$8,0)</f>
        <v>0</v>
      </c>
      <c r="H254" s="41" t="n">
        <f aca="false">IF(D254&lt;=0.5,0,MIN(IF(N(I254)&gt;0,I254,$F$9),D254+E254+F254))</f>
        <v>0</v>
      </c>
      <c r="I254" s="77"/>
      <c r="J254" s="77"/>
      <c r="K254" s="41" t="n">
        <f aca="false">IF(D254&lt;=0.5,0,MIN(H254+N(J254),D254+E254+F254))</f>
        <v>0</v>
      </c>
      <c r="L254" s="41" t="n">
        <f aca="false">K254-E254-F254</f>
        <v>0</v>
      </c>
      <c r="M254" s="41" t="n">
        <f aca="false">D254-L254</f>
        <v>0</v>
      </c>
      <c r="N254" s="42" t="n">
        <f aca="false">K254-G254</f>
        <v>0</v>
      </c>
      <c r="O254" s="78"/>
      <c r="P254" s="79"/>
      <c r="Q254" s="16" t="str">
        <f aca="false">IF(K254=0,"",IF(R254=1,"Pagada",IF(C254&lt;$F$12,"Vencida",IF(228=$F$13,"Próxima","Pendiente"))))</f>
        <v/>
      </c>
      <c r="R254" s="62" t="n">
        <f aca="false">IF(AND(K254&gt;0,OR(O254="Sí",O254="Si")),1,0)</f>
        <v>0</v>
      </c>
      <c r="S254" s="62" t="n">
        <f aca="false">IF(AND(K254&gt;0,R254=0),1,0)</f>
        <v>0</v>
      </c>
    </row>
    <row r="255" customFormat="false" ht="15" hidden="false" customHeight="false" outlineLevel="0" collapsed="false">
      <c r="B255" s="71" t="str">
        <f aca="false">IF($F$6="Sí",N($C$11)+228,"")</f>
        <v/>
      </c>
      <c r="C255" s="72" t="str">
        <f aca="false">IF(OR($F$6&lt;&gt;"Sí",D255&lt;=0.5),"",EDATE($C$10,228))</f>
        <v/>
      </c>
      <c r="D255" s="41" t="n">
        <f aca="false">MAX(0,M254)</f>
        <v>0</v>
      </c>
      <c r="E255" s="41" t="n">
        <f aca="false">D255*$F$7</f>
        <v>0</v>
      </c>
      <c r="F255" s="41" t="n">
        <f aca="false">IF(D255&gt;0.5,N($C$15),0)</f>
        <v>0</v>
      </c>
      <c r="G255" s="41" t="n">
        <f aca="false">IF(AND(D255&gt;0.5,N($C$19)&gt;0,N(B255)&lt;=N($C$20)),D255*$F$8,0)</f>
        <v>0</v>
      </c>
      <c r="H255" s="41" t="n">
        <f aca="false">IF(D255&lt;=0.5,0,MIN(IF(N(I255)&gt;0,I255,$F$9),D255+E255+F255))</f>
        <v>0</v>
      </c>
      <c r="I255" s="77"/>
      <c r="J255" s="77"/>
      <c r="K255" s="41" t="n">
        <f aca="false">IF(D255&lt;=0.5,0,MIN(H255+N(J255),D255+E255+F255))</f>
        <v>0</v>
      </c>
      <c r="L255" s="41" t="n">
        <f aca="false">K255-E255-F255</f>
        <v>0</v>
      </c>
      <c r="M255" s="41" t="n">
        <f aca="false">D255-L255</f>
        <v>0</v>
      </c>
      <c r="N255" s="42" t="n">
        <f aca="false">K255-G255</f>
        <v>0</v>
      </c>
      <c r="O255" s="78"/>
      <c r="P255" s="79"/>
      <c r="Q255" s="16" t="str">
        <f aca="false">IF(K255=0,"",IF(R255=1,"Pagada",IF(C255&lt;$F$12,"Vencida",IF(229=$F$13,"Próxima","Pendiente"))))</f>
        <v/>
      </c>
      <c r="R255" s="62" t="n">
        <f aca="false">IF(AND(K255&gt;0,OR(O255="Sí",O255="Si")),1,0)</f>
        <v>0</v>
      </c>
      <c r="S255" s="62" t="n">
        <f aca="false">IF(AND(K255&gt;0,R255=0),1,0)</f>
        <v>0</v>
      </c>
    </row>
    <row r="256" customFormat="false" ht="15" hidden="false" customHeight="false" outlineLevel="0" collapsed="false">
      <c r="B256" s="71" t="str">
        <f aca="false">IF($F$6="Sí",N($C$11)+229,"")</f>
        <v/>
      </c>
      <c r="C256" s="72" t="str">
        <f aca="false">IF(OR($F$6&lt;&gt;"Sí",D256&lt;=0.5),"",EDATE($C$10,229))</f>
        <v/>
      </c>
      <c r="D256" s="41" t="n">
        <f aca="false">MAX(0,M255)</f>
        <v>0</v>
      </c>
      <c r="E256" s="41" t="n">
        <f aca="false">D256*$F$7</f>
        <v>0</v>
      </c>
      <c r="F256" s="41" t="n">
        <f aca="false">IF(D256&gt;0.5,N($C$15),0)</f>
        <v>0</v>
      </c>
      <c r="G256" s="41" t="n">
        <f aca="false">IF(AND(D256&gt;0.5,N($C$19)&gt;0,N(B256)&lt;=N($C$20)),D256*$F$8,0)</f>
        <v>0</v>
      </c>
      <c r="H256" s="41" t="n">
        <f aca="false">IF(D256&lt;=0.5,0,MIN(IF(N(I256)&gt;0,I256,$F$9),D256+E256+F256))</f>
        <v>0</v>
      </c>
      <c r="I256" s="77"/>
      <c r="J256" s="77"/>
      <c r="K256" s="41" t="n">
        <f aca="false">IF(D256&lt;=0.5,0,MIN(H256+N(J256),D256+E256+F256))</f>
        <v>0</v>
      </c>
      <c r="L256" s="41" t="n">
        <f aca="false">K256-E256-F256</f>
        <v>0</v>
      </c>
      <c r="M256" s="41" t="n">
        <f aca="false">D256-L256</f>
        <v>0</v>
      </c>
      <c r="N256" s="42" t="n">
        <f aca="false">K256-G256</f>
        <v>0</v>
      </c>
      <c r="O256" s="78"/>
      <c r="P256" s="79"/>
      <c r="Q256" s="16" t="str">
        <f aca="false">IF(K256=0,"",IF(R256=1,"Pagada",IF(C256&lt;$F$12,"Vencida",IF(230=$F$13,"Próxima","Pendiente"))))</f>
        <v/>
      </c>
      <c r="R256" s="62" t="n">
        <f aca="false">IF(AND(K256&gt;0,OR(O256="Sí",O256="Si")),1,0)</f>
        <v>0</v>
      </c>
      <c r="S256" s="62" t="n">
        <f aca="false">IF(AND(K256&gt;0,R256=0),1,0)</f>
        <v>0</v>
      </c>
    </row>
    <row r="257" customFormat="false" ht="15" hidden="false" customHeight="false" outlineLevel="0" collapsed="false">
      <c r="B257" s="71" t="str">
        <f aca="false">IF($F$6="Sí",N($C$11)+230,"")</f>
        <v/>
      </c>
      <c r="C257" s="72" t="str">
        <f aca="false">IF(OR($F$6&lt;&gt;"Sí",D257&lt;=0.5),"",EDATE($C$10,230))</f>
        <v/>
      </c>
      <c r="D257" s="41" t="n">
        <f aca="false">MAX(0,M256)</f>
        <v>0</v>
      </c>
      <c r="E257" s="41" t="n">
        <f aca="false">D257*$F$7</f>
        <v>0</v>
      </c>
      <c r="F257" s="41" t="n">
        <f aca="false">IF(D257&gt;0.5,N($C$15),0)</f>
        <v>0</v>
      </c>
      <c r="G257" s="41" t="n">
        <f aca="false">IF(AND(D257&gt;0.5,N($C$19)&gt;0,N(B257)&lt;=N($C$20)),D257*$F$8,0)</f>
        <v>0</v>
      </c>
      <c r="H257" s="41" t="n">
        <f aca="false">IF(D257&lt;=0.5,0,MIN(IF(N(I257)&gt;0,I257,$F$9),D257+E257+F257))</f>
        <v>0</v>
      </c>
      <c r="I257" s="77"/>
      <c r="J257" s="77"/>
      <c r="K257" s="41" t="n">
        <f aca="false">IF(D257&lt;=0.5,0,MIN(H257+N(J257),D257+E257+F257))</f>
        <v>0</v>
      </c>
      <c r="L257" s="41" t="n">
        <f aca="false">K257-E257-F257</f>
        <v>0</v>
      </c>
      <c r="M257" s="41" t="n">
        <f aca="false">D257-L257</f>
        <v>0</v>
      </c>
      <c r="N257" s="42" t="n">
        <f aca="false">K257-G257</f>
        <v>0</v>
      </c>
      <c r="O257" s="78"/>
      <c r="P257" s="79"/>
      <c r="Q257" s="16" t="str">
        <f aca="false">IF(K257=0,"",IF(R257=1,"Pagada",IF(C257&lt;$F$12,"Vencida",IF(231=$F$13,"Próxima","Pendiente"))))</f>
        <v/>
      </c>
      <c r="R257" s="62" t="n">
        <f aca="false">IF(AND(K257&gt;0,OR(O257="Sí",O257="Si")),1,0)</f>
        <v>0</v>
      </c>
      <c r="S257" s="62" t="n">
        <f aca="false">IF(AND(K257&gt;0,R257=0),1,0)</f>
        <v>0</v>
      </c>
    </row>
    <row r="258" customFormat="false" ht="15" hidden="false" customHeight="false" outlineLevel="0" collapsed="false">
      <c r="B258" s="71" t="str">
        <f aca="false">IF($F$6="Sí",N($C$11)+231,"")</f>
        <v/>
      </c>
      <c r="C258" s="72" t="str">
        <f aca="false">IF(OR($F$6&lt;&gt;"Sí",D258&lt;=0.5),"",EDATE($C$10,231))</f>
        <v/>
      </c>
      <c r="D258" s="41" t="n">
        <f aca="false">MAX(0,M257)</f>
        <v>0</v>
      </c>
      <c r="E258" s="41" t="n">
        <f aca="false">D258*$F$7</f>
        <v>0</v>
      </c>
      <c r="F258" s="41" t="n">
        <f aca="false">IF(D258&gt;0.5,N($C$15),0)</f>
        <v>0</v>
      </c>
      <c r="G258" s="41" t="n">
        <f aca="false">IF(AND(D258&gt;0.5,N($C$19)&gt;0,N(B258)&lt;=N($C$20)),D258*$F$8,0)</f>
        <v>0</v>
      </c>
      <c r="H258" s="41" t="n">
        <f aca="false">IF(D258&lt;=0.5,0,MIN(IF(N(I258)&gt;0,I258,$F$9),D258+E258+F258))</f>
        <v>0</v>
      </c>
      <c r="I258" s="77"/>
      <c r="J258" s="77"/>
      <c r="K258" s="41" t="n">
        <f aca="false">IF(D258&lt;=0.5,0,MIN(H258+N(J258),D258+E258+F258))</f>
        <v>0</v>
      </c>
      <c r="L258" s="41" t="n">
        <f aca="false">K258-E258-F258</f>
        <v>0</v>
      </c>
      <c r="M258" s="41" t="n">
        <f aca="false">D258-L258</f>
        <v>0</v>
      </c>
      <c r="N258" s="42" t="n">
        <f aca="false">K258-G258</f>
        <v>0</v>
      </c>
      <c r="O258" s="78"/>
      <c r="P258" s="79"/>
      <c r="Q258" s="16" t="str">
        <f aca="false">IF(K258=0,"",IF(R258=1,"Pagada",IF(C258&lt;$F$12,"Vencida",IF(232=$F$13,"Próxima","Pendiente"))))</f>
        <v/>
      </c>
      <c r="R258" s="62" t="n">
        <f aca="false">IF(AND(K258&gt;0,OR(O258="Sí",O258="Si")),1,0)</f>
        <v>0</v>
      </c>
      <c r="S258" s="62" t="n">
        <f aca="false">IF(AND(K258&gt;0,R258=0),1,0)</f>
        <v>0</v>
      </c>
    </row>
    <row r="259" customFormat="false" ht="15" hidden="false" customHeight="false" outlineLevel="0" collapsed="false">
      <c r="B259" s="71" t="str">
        <f aca="false">IF($F$6="Sí",N($C$11)+232,"")</f>
        <v/>
      </c>
      <c r="C259" s="72" t="str">
        <f aca="false">IF(OR($F$6&lt;&gt;"Sí",D259&lt;=0.5),"",EDATE($C$10,232))</f>
        <v/>
      </c>
      <c r="D259" s="41" t="n">
        <f aca="false">MAX(0,M258)</f>
        <v>0</v>
      </c>
      <c r="E259" s="41" t="n">
        <f aca="false">D259*$F$7</f>
        <v>0</v>
      </c>
      <c r="F259" s="41" t="n">
        <f aca="false">IF(D259&gt;0.5,N($C$15),0)</f>
        <v>0</v>
      </c>
      <c r="G259" s="41" t="n">
        <f aca="false">IF(AND(D259&gt;0.5,N($C$19)&gt;0,N(B259)&lt;=N($C$20)),D259*$F$8,0)</f>
        <v>0</v>
      </c>
      <c r="H259" s="41" t="n">
        <f aca="false">IF(D259&lt;=0.5,0,MIN(IF(N(I259)&gt;0,I259,$F$9),D259+E259+F259))</f>
        <v>0</v>
      </c>
      <c r="I259" s="77"/>
      <c r="J259" s="77"/>
      <c r="K259" s="41" t="n">
        <f aca="false">IF(D259&lt;=0.5,0,MIN(H259+N(J259),D259+E259+F259))</f>
        <v>0</v>
      </c>
      <c r="L259" s="41" t="n">
        <f aca="false">K259-E259-F259</f>
        <v>0</v>
      </c>
      <c r="M259" s="41" t="n">
        <f aca="false">D259-L259</f>
        <v>0</v>
      </c>
      <c r="N259" s="42" t="n">
        <f aca="false">K259-G259</f>
        <v>0</v>
      </c>
      <c r="O259" s="78"/>
      <c r="P259" s="79"/>
      <c r="Q259" s="16" t="str">
        <f aca="false">IF(K259=0,"",IF(R259=1,"Pagada",IF(C259&lt;$F$12,"Vencida",IF(233=$F$13,"Próxima","Pendiente"))))</f>
        <v/>
      </c>
      <c r="R259" s="62" t="n">
        <f aca="false">IF(AND(K259&gt;0,OR(O259="Sí",O259="Si")),1,0)</f>
        <v>0</v>
      </c>
      <c r="S259" s="62" t="n">
        <f aca="false">IF(AND(K259&gt;0,R259=0),1,0)</f>
        <v>0</v>
      </c>
    </row>
    <row r="260" customFormat="false" ht="15" hidden="false" customHeight="false" outlineLevel="0" collapsed="false">
      <c r="B260" s="71" t="str">
        <f aca="false">IF($F$6="Sí",N($C$11)+233,"")</f>
        <v/>
      </c>
      <c r="C260" s="72" t="str">
        <f aca="false">IF(OR($F$6&lt;&gt;"Sí",D260&lt;=0.5),"",EDATE($C$10,233))</f>
        <v/>
      </c>
      <c r="D260" s="41" t="n">
        <f aca="false">MAX(0,M259)</f>
        <v>0</v>
      </c>
      <c r="E260" s="41" t="n">
        <f aca="false">D260*$F$7</f>
        <v>0</v>
      </c>
      <c r="F260" s="41" t="n">
        <f aca="false">IF(D260&gt;0.5,N($C$15),0)</f>
        <v>0</v>
      </c>
      <c r="G260" s="41" t="n">
        <f aca="false">IF(AND(D260&gt;0.5,N($C$19)&gt;0,N(B260)&lt;=N($C$20)),D260*$F$8,0)</f>
        <v>0</v>
      </c>
      <c r="H260" s="41" t="n">
        <f aca="false">IF(D260&lt;=0.5,0,MIN(IF(N(I260)&gt;0,I260,$F$9),D260+E260+F260))</f>
        <v>0</v>
      </c>
      <c r="I260" s="77"/>
      <c r="J260" s="77"/>
      <c r="K260" s="41" t="n">
        <f aca="false">IF(D260&lt;=0.5,0,MIN(H260+N(J260),D260+E260+F260))</f>
        <v>0</v>
      </c>
      <c r="L260" s="41" t="n">
        <f aca="false">K260-E260-F260</f>
        <v>0</v>
      </c>
      <c r="M260" s="41" t="n">
        <f aca="false">D260-L260</f>
        <v>0</v>
      </c>
      <c r="N260" s="42" t="n">
        <f aca="false">K260-G260</f>
        <v>0</v>
      </c>
      <c r="O260" s="78"/>
      <c r="P260" s="79"/>
      <c r="Q260" s="16" t="str">
        <f aca="false">IF(K260=0,"",IF(R260=1,"Pagada",IF(C260&lt;$F$12,"Vencida",IF(234=$F$13,"Próxima","Pendiente"))))</f>
        <v/>
      </c>
      <c r="R260" s="62" t="n">
        <f aca="false">IF(AND(K260&gt;0,OR(O260="Sí",O260="Si")),1,0)</f>
        <v>0</v>
      </c>
      <c r="S260" s="62" t="n">
        <f aca="false">IF(AND(K260&gt;0,R260=0),1,0)</f>
        <v>0</v>
      </c>
    </row>
    <row r="261" customFormat="false" ht="15" hidden="false" customHeight="false" outlineLevel="0" collapsed="false">
      <c r="B261" s="71" t="str">
        <f aca="false">IF($F$6="Sí",N($C$11)+234,"")</f>
        <v/>
      </c>
      <c r="C261" s="72" t="str">
        <f aca="false">IF(OR($F$6&lt;&gt;"Sí",D261&lt;=0.5),"",EDATE($C$10,234))</f>
        <v/>
      </c>
      <c r="D261" s="41" t="n">
        <f aca="false">MAX(0,M260)</f>
        <v>0</v>
      </c>
      <c r="E261" s="41" t="n">
        <f aca="false">D261*$F$7</f>
        <v>0</v>
      </c>
      <c r="F261" s="41" t="n">
        <f aca="false">IF(D261&gt;0.5,N($C$15),0)</f>
        <v>0</v>
      </c>
      <c r="G261" s="41" t="n">
        <f aca="false">IF(AND(D261&gt;0.5,N($C$19)&gt;0,N(B261)&lt;=N($C$20)),D261*$F$8,0)</f>
        <v>0</v>
      </c>
      <c r="H261" s="41" t="n">
        <f aca="false">IF(D261&lt;=0.5,0,MIN(IF(N(I261)&gt;0,I261,$F$9),D261+E261+F261))</f>
        <v>0</v>
      </c>
      <c r="I261" s="77"/>
      <c r="J261" s="77"/>
      <c r="K261" s="41" t="n">
        <f aca="false">IF(D261&lt;=0.5,0,MIN(H261+N(J261),D261+E261+F261))</f>
        <v>0</v>
      </c>
      <c r="L261" s="41" t="n">
        <f aca="false">K261-E261-F261</f>
        <v>0</v>
      </c>
      <c r="M261" s="41" t="n">
        <f aca="false">D261-L261</f>
        <v>0</v>
      </c>
      <c r="N261" s="42" t="n">
        <f aca="false">K261-G261</f>
        <v>0</v>
      </c>
      <c r="O261" s="78"/>
      <c r="P261" s="79"/>
      <c r="Q261" s="16" t="str">
        <f aca="false">IF(K261=0,"",IF(R261=1,"Pagada",IF(C261&lt;$F$12,"Vencida",IF(235=$F$13,"Próxima","Pendiente"))))</f>
        <v/>
      </c>
      <c r="R261" s="62" t="n">
        <f aca="false">IF(AND(K261&gt;0,OR(O261="Sí",O261="Si")),1,0)</f>
        <v>0</v>
      </c>
      <c r="S261" s="62" t="n">
        <f aca="false">IF(AND(K261&gt;0,R261=0),1,0)</f>
        <v>0</v>
      </c>
    </row>
    <row r="262" customFormat="false" ht="15" hidden="false" customHeight="false" outlineLevel="0" collapsed="false">
      <c r="B262" s="71" t="str">
        <f aca="false">IF($F$6="Sí",N($C$11)+235,"")</f>
        <v/>
      </c>
      <c r="C262" s="72" t="str">
        <f aca="false">IF(OR($F$6&lt;&gt;"Sí",D262&lt;=0.5),"",EDATE($C$10,235))</f>
        <v/>
      </c>
      <c r="D262" s="41" t="n">
        <f aca="false">MAX(0,M261)</f>
        <v>0</v>
      </c>
      <c r="E262" s="41" t="n">
        <f aca="false">D262*$F$7</f>
        <v>0</v>
      </c>
      <c r="F262" s="41" t="n">
        <f aca="false">IF(D262&gt;0.5,N($C$15),0)</f>
        <v>0</v>
      </c>
      <c r="G262" s="41" t="n">
        <f aca="false">IF(AND(D262&gt;0.5,N($C$19)&gt;0,N(B262)&lt;=N($C$20)),D262*$F$8,0)</f>
        <v>0</v>
      </c>
      <c r="H262" s="41" t="n">
        <f aca="false">IF(D262&lt;=0.5,0,MIN(IF(N(I262)&gt;0,I262,$F$9),D262+E262+F262))</f>
        <v>0</v>
      </c>
      <c r="I262" s="77"/>
      <c r="J262" s="77"/>
      <c r="K262" s="41" t="n">
        <f aca="false">IF(D262&lt;=0.5,0,MIN(H262+N(J262),D262+E262+F262))</f>
        <v>0</v>
      </c>
      <c r="L262" s="41" t="n">
        <f aca="false">K262-E262-F262</f>
        <v>0</v>
      </c>
      <c r="M262" s="41" t="n">
        <f aca="false">D262-L262</f>
        <v>0</v>
      </c>
      <c r="N262" s="42" t="n">
        <f aca="false">K262-G262</f>
        <v>0</v>
      </c>
      <c r="O262" s="78"/>
      <c r="P262" s="79"/>
      <c r="Q262" s="16" t="str">
        <f aca="false">IF(K262=0,"",IF(R262=1,"Pagada",IF(C262&lt;$F$12,"Vencida",IF(236=$F$13,"Próxima","Pendiente"))))</f>
        <v/>
      </c>
      <c r="R262" s="62" t="n">
        <f aca="false">IF(AND(K262&gt;0,OR(O262="Sí",O262="Si")),1,0)</f>
        <v>0</v>
      </c>
      <c r="S262" s="62" t="n">
        <f aca="false">IF(AND(K262&gt;0,R262=0),1,0)</f>
        <v>0</v>
      </c>
    </row>
    <row r="263" customFormat="false" ht="15" hidden="false" customHeight="false" outlineLevel="0" collapsed="false">
      <c r="B263" s="71" t="str">
        <f aca="false">IF($F$6="Sí",N($C$11)+236,"")</f>
        <v/>
      </c>
      <c r="C263" s="72" t="str">
        <f aca="false">IF(OR($F$6&lt;&gt;"Sí",D263&lt;=0.5),"",EDATE($C$10,236))</f>
        <v/>
      </c>
      <c r="D263" s="41" t="n">
        <f aca="false">MAX(0,M262)</f>
        <v>0</v>
      </c>
      <c r="E263" s="41" t="n">
        <f aca="false">D263*$F$7</f>
        <v>0</v>
      </c>
      <c r="F263" s="41" t="n">
        <f aca="false">IF(D263&gt;0.5,N($C$15),0)</f>
        <v>0</v>
      </c>
      <c r="G263" s="41" t="n">
        <f aca="false">IF(AND(D263&gt;0.5,N($C$19)&gt;0,N(B263)&lt;=N($C$20)),D263*$F$8,0)</f>
        <v>0</v>
      </c>
      <c r="H263" s="41" t="n">
        <f aca="false">IF(D263&lt;=0.5,0,MIN(IF(N(I263)&gt;0,I263,$F$9),D263+E263+F263))</f>
        <v>0</v>
      </c>
      <c r="I263" s="77"/>
      <c r="J263" s="77"/>
      <c r="K263" s="41" t="n">
        <f aca="false">IF(D263&lt;=0.5,0,MIN(H263+N(J263),D263+E263+F263))</f>
        <v>0</v>
      </c>
      <c r="L263" s="41" t="n">
        <f aca="false">K263-E263-F263</f>
        <v>0</v>
      </c>
      <c r="M263" s="41" t="n">
        <f aca="false">D263-L263</f>
        <v>0</v>
      </c>
      <c r="N263" s="42" t="n">
        <f aca="false">K263-G263</f>
        <v>0</v>
      </c>
      <c r="O263" s="78"/>
      <c r="P263" s="79"/>
      <c r="Q263" s="16" t="str">
        <f aca="false">IF(K263=0,"",IF(R263=1,"Pagada",IF(C263&lt;$F$12,"Vencida",IF(237=$F$13,"Próxima","Pendiente"))))</f>
        <v/>
      </c>
      <c r="R263" s="62" t="n">
        <f aca="false">IF(AND(K263&gt;0,OR(O263="Sí",O263="Si")),1,0)</f>
        <v>0</v>
      </c>
      <c r="S263" s="62" t="n">
        <f aca="false">IF(AND(K263&gt;0,R263=0),1,0)</f>
        <v>0</v>
      </c>
    </row>
    <row r="264" customFormat="false" ht="15" hidden="false" customHeight="false" outlineLevel="0" collapsed="false">
      <c r="B264" s="71" t="str">
        <f aca="false">IF($F$6="Sí",N($C$11)+237,"")</f>
        <v/>
      </c>
      <c r="C264" s="72" t="str">
        <f aca="false">IF(OR($F$6&lt;&gt;"Sí",D264&lt;=0.5),"",EDATE($C$10,237))</f>
        <v/>
      </c>
      <c r="D264" s="41" t="n">
        <f aca="false">MAX(0,M263)</f>
        <v>0</v>
      </c>
      <c r="E264" s="41" t="n">
        <f aca="false">D264*$F$7</f>
        <v>0</v>
      </c>
      <c r="F264" s="41" t="n">
        <f aca="false">IF(D264&gt;0.5,N($C$15),0)</f>
        <v>0</v>
      </c>
      <c r="G264" s="41" t="n">
        <f aca="false">IF(AND(D264&gt;0.5,N($C$19)&gt;0,N(B264)&lt;=N($C$20)),D264*$F$8,0)</f>
        <v>0</v>
      </c>
      <c r="H264" s="41" t="n">
        <f aca="false">IF(D264&lt;=0.5,0,MIN(IF(N(I264)&gt;0,I264,$F$9),D264+E264+F264))</f>
        <v>0</v>
      </c>
      <c r="I264" s="77"/>
      <c r="J264" s="77"/>
      <c r="K264" s="41" t="n">
        <f aca="false">IF(D264&lt;=0.5,0,MIN(H264+N(J264),D264+E264+F264))</f>
        <v>0</v>
      </c>
      <c r="L264" s="41" t="n">
        <f aca="false">K264-E264-F264</f>
        <v>0</v>
      </c>
      <c r="M264" s="41" t="n">
        <f aca="false">D264-L264</f>
        <v>0</v>
      </c>
      <c r="N264" s="42" t="n">
        <f aca="false">K264-G264</f>
        <v>0</v>
      </c>
      <c r="O264" s="78"/>
      <c r="P264" s="79"/>
      <c r="Q264" s="16" t="str">
        <f aca="false">IF(K264=0,"",IF(R264=1,"Pagada",IF(C264&lt;$F$12,"Vencida",IF(238=$F$13,"Próxima","Pendiente"))))</f>
        <v/>
      </c>
      <c r="R264" s="62" t="n">
        <f aca="false">IF(AND(K264&gt;0,OR(O264="Sí",O264="Si")),1,0)</f>
        <v>0</v>
      </c>
      <c r="S264" s="62" t="n">
        <f aca="false">IF(AND(K264&gt;0,R264=0),1,0)</f>
        <v>0</v>
      </c>
    </row>
    <row r="265" customFormat="false" ht="15" hidden="false" customHeight="false" outlineLevel="0" collapsed="false">
      <c r="B265" s="71" t="str">
        <f aca="false">IF($F$6="Sí",N($C$11)+238,"")</f>
        <v/>
      </c>
      <c r="C265" s="72" t="str">
        <f aca="false">IF(OR($F$6&lt;&gt;"Sí",D265&lt;=0.5),"",EDATE($C$10,238))</f>
        <v/>
      </c>
      <c r="D265" s="41" t="n">
        <f aca="false">MAX(0,M264)</f>
        <v>0</v>
      </c>
      <c r="E265" s="41" t="n">
        <f aca="false">D265*$F$7</f>
        <v>0</v>
      </c>
      <c r="F265" s="41" t="n">
        <f aca="false">IF(D265&gt;0.5,N($C$15),0)</f>
        <v>0</v>
      </c>
      <c r="G265" s="41" t="n">
        <f aca="false">IF(AND(D265&gt;0.5,N($C$19)&gt;0,N(B265)&lt;=N($C$20)),D265*$F$8,0)</f>
        <v>0</v>
      </c>
      <c r="H265" s="41" t="n">
        <f aca="false">IF(D265&lt;=0.5,0,MIN(IF(N(I265)&gt;0,I265,$F$9),D265+E265+F265))</f>
        <v>0</v>
      </c>
      <c r="I265" s="77"/>
      <c r="J265" s="77"/>
      <c r="K265" s="41" t="n">
        <f aca="false">IF(D265&lt;=0.5,0,MIN(H265+N(J265),D265+E265+F265))</f>
        <v>0</v>
      </c>
      <c r="L265" s="41" t="n">
        <f aca="false">K265-E265-F265</f>
        <v>0</v>
      </c>
      <c r="M265" s="41" t="n">
        <f aca="false">D265-L265</f>
        <v>0</v>
      </c>
      <c r="N265" s="42" t="n">
        <f aca="false">K265-G265</f>
        <v>0</v>
      </c>
      <c r="O265" s="78"/>
      <c r="P265" s="79"/>
      <c r="Q265" s="16" t="str">
        <f aca="false">IF(K265=0,"",IF(R265=1,"Pagada",IF(C265&lt;$F$12,"Vencida",IF(239=$F$13,"Próxima","Pendiente"))))</f>
        <v/>
      </c>
      <c r="R265" s="62" t="n">
        <f aca="false">IF(AND(K265&gt;0,OR(O265="Sí",O265="Si")),1,0)</f>
        <v>0</v>
      </c>
      <c r="S265" s="62" t="n">
        <f aca="false">IF(AND(K265&gt;0,R265=0),1,0)</f>
        <v>0</v>
      </c>
    </row>
    <row r="266" customFormat="false" ht="15" hidden="false" customHeight="false" outlineLevel="0" collapsed="false">
      <c r="B266" s="71" t="str">
        <f aca="false">IF($F$6="Sí",N($C$11)+239,"")</f>
        <v/>
      </c>
      <c r="C266" s="72" t="str">
        <f aca="false">IF(OR($F$6&lt;&gt;"Sí",D266&lt;=0.5),"",EDATE($C$10,239))</f>
        <v/>
      </c>
      <c r="D266" s="41" t="n">
        <f aca="false">MAX(0,M265)</f>
        <v>0</v>
      </c>
      <c r="E266" s="41" t="n">
        <f aca="false">D266*$F$7</f>
        <v>0</v>
      </c>
      <c r="F266" s="41" t="n">
        <f aca="false">IF(D266&gt;0.5,N($C$15),0)</f>
        <v>0</v>
      </c>
      <c r="G266" s="41" t="n">
        <f aca="false">IF(AND(D266&gt;0.5,N($C$19)&gt;0,N(B266)&lt;=N($C$20)),D266*$F$8,0)</f>
        <v>0</v>
      </c>
      <c r="H266" s="41" t="n">
        <f aca="false">IF(D266&lt;=0.5,0,MIN(IF(N(I266)&gt;0,I266,$F$9),D266+E266+F266))</f>
        <v>0</v>
      </c>
      <c r="I266" s="77"/>
      <c r="J266" s="77"/>
      <c r="K266" s="41" t="n">
        <f aca="false">IF(D266&lt;=0.5,0,MIN(H266+N(J266),D266+E266+F266))</f>
        <v>0</v>
      </c>
      <c r="L266" s="41" t="n">
        <f aca="false">K266-E266-F266</f>
        <v>0</v>
      </c>
      <c r="M266" s="41" t="n">
        <f aca="false">D266-L266</f>
        <v>0</v>
      </c>
      <c r="N266" s="42" t="n">
        <f aca="false">K266-G266</f>
        <v>0</v>
      </c>
      <c r="O266" s="78"/>
      <c r="P266" s="79"/>
      <c r="Q266" s="16" t="str">
        <f aca="false">IF(K266=0,"",IF(R266=1,"Pagada",IF(C266&lt;$F$12,"Vencida",IF(240=$F$13,"Próxima","Pendiente"))))</f>
        <v/>
      </c>
      <c r="R266" s="62" t="n">
        <f aca="false">IF(AND(K266&gt;0,OR(O266="Sí",O266="Si")),1,0)</f>
        <v>0</v>
      </c>
      <c r="S266" s="62" t="n">
        <f aca="false">IF(AND(K266&gt;0,R266=0),1,0)</f>
        <v>0</v>
      </c>
    </row>
    <row r="267" customFormat="false" ht="15" hidden="false" customHeight="false" outlineLevel="0" collapsed="false">
      <c r="B267" s="71" t="str">
        <f aca="false">IF($F$6="Sí",N($C$11)+240,"")</f>
        <v/>
      </c>
      <c r="C267" s="72" t="str">
        <f aca="false">IF(OR($F$6&lt;&gt;"Sí",D267&lt;=0.5),"",EDATE($C$10,240))</f>
        <v/>
      </c>
      <c r="D267" s="41" t="n">
        <f aca="false">MAX(0,M266)</f>
        <v>0</v>
      </c>
      <c r="E267" s="41" t="n">
        <f aca="false">D267*$F$7</f>
        <v>0</v>
      </c>
      <c r="F267" s="41" t="n">
        <f aca="false">IF(D267&gt;0.5,N($C$15),0)</f>
        <v>0</v>
      </c>
      <c r="G267" s="41" t="n">
        <f aca="false">IF(AND(D267&gt;0.5,N($C$19)&gt;0,N(B267)&lt;=N($C$20)),D267*$F$8,0)</f>
        <v>0</v>
      </c>
      <c r="H267" s="41" t="n">
        <f aca="false">IF(D267&lt;=0.5,0,MIN(IF(N(I267)&gt;0,I267,$F$9),D267+E267+F267))</f>
        <v>0</v>
      </c>
      <c r="I267" s="77"/>
      <c r="J267" s="77"/>
      <c r="K267" s="41" t="n">
        <f aca="false">IF(D267&lt;=0.5,0,MIN(H267+N(J267),D267+E267+F267))</f>
        <v>0</v>
      </c>
      <c r="L267" s="41" t="n">
        <f aca="false">K267-E267-F267</f>
        <v>0</v>
      </c>
      <c r="M267" s="41" t="n">
        <f aca="false">D267-L267</f>
        <v>0</v>
      </c>
      <c r="N267" s="42" t="n">
        <f aca="false">K267-G267</f>
        <v>0</v>
      </c>
      <c r="O267" s="78"/>
      <c r="P267" s="79"/>
      <c r="Q267" s="16" t="str">
        <f aca="false">IF(K267=0,"",IF(R267=1,"Pagada",IF(C267&lt;$F$12,"Vencida",IF(241=$F$13,"Próxima","Pendiente"))))</f>
        <v/>
      </c>
      <c r="R267" s="62" t="n">
        <f aca="false">IF(AND(K267&gt;0,OR(O267="Sí",O267="Si")),1,0)</f>
        <v>0</v>
      </c>
      <c r="S267" s="62" t="n">
        <f aca="false">IF(AND(K267&gt;0,R267=0),1,0)</f>
        <v>0</v>
      </c>
    </row>
    <row r="268" customFormat="false" ht="15" hidden="false" customHeight="false" outlineLevel="0" collapsed="false">
      <c r="B268" s="71" t="str">
        <f aca="false">IF($F$6="Sí",N($C$11)+241,"")</f>
        <v/>
      </c>
      <c r="C268" s="72" t="str">
        <f aca="false">IF(OR($F$6&lt;&gt;"Sí",D268&lt;=0.5),"",EDATE($C$10,241))</f>
        <v/>
      </c>
      <c r="D268" s="41" t="n">
        <f aca="false">MAX(0,M267)</f>
        <v>0</v>
      </c>
      <c r="E268" s="41" t="n">
        <f aca="false">D268*$F$7</f>
        <v>0</v>
      </c>
      <c r="F268" s="41" t="n">
        <f aca="false">IF(D268&gt;0.5,N($C$15),0)</f>
        <v>0</v>
      </c>
      <c r="G268" s="41" t="n">
        <f aca="false">IF(AND(D268&gt;0.5,N($C$19)&gt;0,N(B268)&lt;=N($C$20)),D268*$F$8,0)</f>
        <v>0</v>
      </c>
      <c r="H268" s="41" t="n">
        <f aca="false">IF(D268&lt;=0.5,0,MIN(IF(N(I268)&gt;0,I268,$F$9),D268+E268+F268))</f>
        <v>0</v>
      </c>
      <c r="I268" s="77"/>
      <c r="J268" s="77"/>
      <c r="K268" s="41" t="n">
        <f aca="false">IF(D268&lt;=0.5,0,MIN(H268+N(J268),D268+E268+F268))</f>
        <v>0</v>
      </c>
      <c r="L268" s="41" t="n">
        <f aca="false">K268-E268-F268</f>
        <v>0</v>
      </c>
      <c r="M268" s="41" t="n">
        <f aca="false">D268-L268</f>
        <v>0</v>
      </c>
      <c r="N268" s="42" t="n">
        <f aca="false">K268-G268</f>
        <v>0</v>
      </c>
      <c r="O268" s="78"/>
      <c r="P268" s="79"/>
      <c r="Q268" s="16" t="str">
        <f aca="false">IF(K268=0,"",IF(R268=1,"Pagada",IF(C268&lt;$F$12,"Vencida",IF(242=$F$13,"Próxima","Pendiente"))))</f>
        <v/>
      </c>
      <c r="R268" s="62" t="n">
        <f aca="false">IF(AND(K268&gt;0,OR(O268="Sí",O268="Si")),1,0)</f>
        <v>0</v>
      </c>
      <c r="S268" s="62" t="n">
        <f aca="false">IF(AND(K268&gt;0,R268=0),1,0)</f>
        <v>0</v>
      </c>
    </row>
    <row r="269" customFormat="false" ht="15" hidden="false" customHeight="false" outlineLevel="0" collapsed="false">
      <c r="B269" s="71" t="str">
        <f aca="false">IF($F$6="Sí",N($C$11)+242,"")</f>
        <v/>
      </c>
      <c r="C269" s="72" t="str">
        <f aca="false">IF(OR($F$6&lt;&gt;"Sí",D269&lt;=0.5),"",EDATE($C$10,242))</f>
        <v/>
      </c>
      <c r="D269" s="41" t="n">
        <f aca="false">MAX(0,M268)</f>
        <v>0</v>
      </c>
      <c r="E269" s="41" t="n">
        <f aca="false">D269*$F$7</f>
        <v>0</v>
      </c>
      <c r="F269" s="41" t="n">
        <f aca="false">IF(D269&gt;0.5,N($C$15),0)</f>
        <v>0</v>
      </c>
      <c r="G269" s="41" t="n">
        <f aca="false">IF(AND(D269&gt;0.5,N($C$19)&gt;0,N(B269)&lt;=N($C$20)),D269*$F$8,0)</f>
        <v>0</v>
      </c>
      <c r="H269" s="41" t="n">
        <f aca="false">IF(D269&lt;=0.5,0,MIN(IF(N(I269)&gt;0,I269,$F$9),D269+E269+F269))</f>
        <v>0</v>
      </c>
      <c r="I269" s="77"/>
      <c r="J269" s="77"/>
      <c r="K269" s="41" t="n">
        <f aca="false">IF(D269&lt;=0.5,0,MIN(H269+N(J269),D269+E269+F269))</f>
        <v>0</v>
      </c>
      <c r="L269" s="41" t="n">
        <f aca="false">K269-E269-F269</f>
        <v>0</v>
      </c>
      <c r="M269" s="41" t="n">
        <f aca="false">D269-L269</f>
        <v>0</v>
      </c>
      <c r="N269" s="42" t="n">
        <f aca="false">K269-G269</f>
        <v>0</v>
      </c>
      <c r="O269" s="78"/>
      <c r="P269" s="79"/>
      <c r="Q269" s="16" t="str">
        <f aca="false">IF(K269=0,"",IF(R269=1,"Pagada",IF(C269&lt;$F$12,"Vencida",IF(243=$F$13,"Próxima","Pendiente"))))</f>
        <v/>
      </c>
      <c r="R269" s="62" t="n">
        <f aca="false">IF(AND(K269&gt;0,OR(O269="Sí",O269="Si")),1,0)</f>
        <v>0</v>
      </c>
      <c r="S269" s="62" t="n">
        <f aca="false">IF(AND(K269&gt;0,R269=0),1,0)</f>
        <v>0</v>
      </c>
    </row>
    <row r="270" customFormat="false" ht="15" hidden="false" customHeight="false" outlineLevel="0" collapsed="false">
      <c r="B270" s="71" t="str">
        <f aca="false">IF($F$6="Sí",N($C$11)+243,"")</f>
        <v/>
      </c>
      <c r="C270" s="72" t="str">
        <f aca="false">IF(OR($F$6&lt;&gt;"Sí",D270&lt;=0.5),"",EDATE($C$10,243))</f>
        <v/>
      </c>
      <c r="D270" s="41" t="n">
        <f aca="false">MAX(0,M269)</f>
        <v>0</v>
      </c>
      <c r="E270" s="41" t="n">
        <f aca="false">D270*$F$7</f>
        <v>0</v>
      </c>
      <c r="F270" s="41" t="n">
        <f aca="false">IF(D270&gt;0.5,N($C$15),0)</f>
        <v>0</v>
      </c>
      <c r="G270" s="41" t="n">
        <f aca="false">IF(AND(D270&gt;0.5,N($C$19)&gt;0,N(B270)&lt;=N($C$20)),D270*$F$8,0)</f>
        <v>0</v>
      </c>
      <c r="H270" s="41" t="n">
        <f aca="false">IF(D270&lt;=0.5,0,MIN(IF(N(I270)&gt;0,I270,$F$9),D270+E270+F270))</f>
        <v>0</v>
      </c>
      <c r="I270" s="77"/>
      <c r="J270" s="77"/>
      <c r="K270" s="41" t="n">
        <f aca="false">IF(D270&lt;=0.5,0,MIN(H270+N(J270),D270+E270+F270))</f>
        <v>0</v>
      </c>
      <c r="L270" s="41" t="n">
        <f aca="false">K270-E270-F270</f>
        <v>0</v>
      </c>
      <c r="M270" s="41" t="n">
        <f aca="false">D270-L270</f>
        <v>0</v>
      </c>
      <c r="N270" s="42" t="n">
        <f aca="false">K270-G270</f>
        <v>0</v>
      </c>
      <c r="O270" s="78"/>
      <c r="P270" s="79"/>
      <c r="Q270" s="16" t="str">
        <f aca="false">IF(K270=0,"",IF(R270=1,"Pagada",IF(C270&lt;$F$12,"Vencida",IF(244=$F$13,"Próxima","Pendiente"))))</f>
        <v/>
      </c>
      <c r="R270" s="62" t="n">
        <f aca="false">IF(AND(K270&gt;0,OR(O270="Sí",O270="Si")),1,0)</f>
        <v>0</v>
      </c>
      <c r="S270" s="62" t="n">
        <f aca="false">IF(AND(K270&gt;0,R270=0),1,0)</f>
        <v>0</v>
      </c>
    </row>
    <row r="271" customFormat="false" ht="15" hidden="false" customHeight="false" outlineLevel="0" collapsed="false">
      <c r="B271" s="71" t="str">
        <f aca="false">IF($F$6="Sí",N($C$11)+244,"")</f>
        <v/>
      </c>
      <c r="C271" s="72" t="str">
        <f aca="false">IF(OR($F$6&lt;&gt;"Sí",D271&lt;=0.5),"",EDATE($C$10,244))</f>
        <v/>
      </c>
      <c r="D271" s="41" t="n">
        <f aca="false">MAX(0,M270)</f>
        <v>0</v>
      </c>
      <c r="E271" s="41" t="n">
        <f aca="false">D271*$F$7</f>
        <v>0</v>
      </c>
      <c r="F271" s="41" t="n">
        <f aca="false">IF(D271&gt;0.5,N($C$15),0)</f>
        <v>0</v>
      </c>
      <c r="G271" s="41" t="n">
        <f aca="false">IF(AND(D271&gt;0.5,N($C$19)&gt;0,N(B271)&lt;=N($C$20)),D271*$F$8,0)</f>
        <v>0</v>
      </c>
      <c r="H271" s="41" t="n">
        <f aca="false">IF(D271&lt;=0.5,0,MIN(IF(N(I271)&gt;0,I271,$F$9),D271+E271+F271))</f>
        <v>0</v>
      </c>
      <c r="I271" s="77"/>
      <c r="J271" s="77"/>
      <c r="K271" s="41" t="n">
        <f aca="false">IF(D271&lt;=0.5,0,MIN(H271+N(J271),D271+E271+F271))</f>
        <v>0</v>
      </c>
      <c r="L271" s="41" t="n">
        <f aca="false">K271-E271-F271</f>
        <v>0</v>
      </c>
      <c r="M271" s="41" t="n">
        <f aca="false">D271-L271</f>
        <v>0</v>
      </c>
      <c r="N271" s="42" t="n">
        <f aca="false">K271-G271</f>
        <v>0</v>
      </c>
      <c r="O271" s="78"/>
      <c r="P271" s="79"/>
      <c r="Q271" s="16" t="str">
        <f aca="false">IF(K271=0,"",IF(R271=1,"Pagada",IF(C271&lt;$F$12,"Vencida",IF(245=$F$13,"Próxima","Pendiente"))))</f>
        <v/>
      </c>
      <c r="R271" s="62" t="n">
        <f aca="false">IF(AND(K271&gt;0,OR(O271="Sí",O271="Si")),1,0)</f>
        <v>0</v>
      </c>
      <c r="S271" s="62" t="n">
        <f aca="false">IF(AND(K271&gt;0,R271=0),1,0)</f>
        <v>0</v>
      </c>
    </row>
    <row r="272" customFormat="false" ht="15" hidden="false" customHeight="false" outlineLevel="0" collapsed="false">
      <c r="B272" s="71" t="str">
        <f aca="false">IF($F$6="Sí",N($C$11)+245,"")</f>
        <v/>
      </c>
      <c r="C272" s="72" t="str">
        <f aca="false">IF(OR($F$6&lt;&gt;"Sí",D272&lt;=0.5),"",EDATE($C$10,245))</f>
        <v/>
      </c>
      <c r="D272" s="41" t="n">
        <f aca="false">MAX(0,M271)</f>
        <v>0</v>
      </c>
      <c r="E272" s="41" t="n">
        <f aca="false">D272*$F$7</f>
        <v>0</v>
      </c>
      <c r="F272" s="41" t="n">
        <f aca="false">IF(D272&gt;0.5,N($C$15),0)</f>
        <v>0</v>
      </c>
      <c r="G272" s="41" t="n">
        <f aca="false">IF(AND(D272&gt;0.5,N($C$19)&gt;0,N(B272)&lt;=N($C$20)),D272*$F$8,0)</f>
        <v>0</v>
      </c>
      <c r="H272" s="41" t="n">
        <f aca="false">IF(D272&lt;=0.5,0,MIN(IF(N(I272)&gt;0,I272,$F$9),D272+E272+F272))</f>
        <v>0</v>
      </c>
      <c r="I272" s="77"/>
      <c r="J272" s="77"/>
      <c r="K272" s="41" t="n">
        <f aca="false">IF(D272&lt;=0.5,0,MIN(H272+N(J272),D272+E272+F272))</f>
        <v>0</v>
      </c>
      <c r="L272" s="41" t="n">
        <f aca="false">K272-E272-F272</f>
        <v>0</v>
      </c>
      <c r="M272" s="41" t="n">
        <f aca="false">D272-L272</f>
        <v>0</v>
      </c>
      <c r="N272" s="42" t="n">
        <f aca="false">K272-G272</f>
        <v>0</v>
      </c>
      <c r="O272" s="78"/>
      <c r="P272" s="79"/>
      <c r="Q272" s="16" t="str">
        <f aca="false">IF(K272=0,"",IF(R272=1,"Pagada",IF(C272&lt;$F$12,"Vencida",IF(246=$F$13,"Próxima","Pendiente"))))</f>
        <v/>
      </c>
      <c r="R272" s="62" t="n">
        <f aca="false">IF(AND(K272&gt;0,OR(O272="Sí",O272="Si")),1,0)</f>
        <v>0</v>
      </c>
      <c r="S272" s="62" t="n">
        <f aca="false">IF(AND(K272&gt;0,R272=0),1,0)</f>
        <v>0</v>
      </c>
    </row>
    <row r="273" customFormat="false" ht="15" hidden="false" customHeight="false" outlineLevel="0" collapsed="false">
      <c r="B273" s="71" t="str">
        <f aca="false">IF($F$6="Sí",N($C$11)+246,"")</f>
        <v/>
      </c>
      <c r="C273" s="72" t="str">
        <f aca="false">IF(OR($F$6&lt;&gt;"Sí",D273&lt;=0.5),"",EDATE($C$10,246))</f>
        <v/>
      </c>
      <c r="D273" s="41" t="n">
        <f aca="false">MAX(0,M272)</f>
        <v>0</v>
      </c>
      <c r="E273" s="41" t="n">
        <f aca="false">D273*$F$7</f>
        <v>0</v>
      </c>
      <c r="F273" s="41" t="n">
        <f aca="false">IF(D273&gt;0.5,N($C$15),0)</f>
        <v>0</v>
      </c>
      <c r="G273" s="41" t="n">
        <f aca="false">IF(AND(D273&gt;0.5,N($C$19)&gt;0,N(B273)&lt;=N($C$20)),D273*$F$8,0)</f>
        <v>0</v>
      </c>
      <c r="H273" s="41" t="n">
        <f aca="false">IF(D273&lt;=0.5,0,MIN(IF(N(I273)&gt;0,I273,$F$9),D273+E273+F273))</f>
        <v>0</v>
      </c>
      <c r="I273" s="77"/>
      <c r="J273" s="77"/>
      <c r="K273" s="41" t="n">
        <f aca="false">IF(D273&lt;=0.5,0,MIN(H273+N(J273),D273+E273+F273))</f>
        <v>0</v>
      </c>
      <c r="L273" s="41" t="n">
        <f aca="false">K273-E273-F273</f>
        <v>0</v>
      </c>
      <c r="M273" s="41" t="n">
        <f aca="false">D273-L273</f>
        <v>0</v>
      </c>
      <c r="N273" s="42" t="n">
        <f aca="false">K273-G273</f>
        <v>0</v>
      </c>
      <c r="O273" s="78"/>
      <c r="P273" s="79"/>
      <c r="Q273" s="16" t="str">
        <f aca="false">IF(K273=0,"",IF(R273=1,"Pagada",IF(C273&lt;$F$12,"Vencida",IF(247=$F$13,"Próxima","Pendiente"))))</f>
        <v/>
      </c>
      <c r="R273" s="62" t="n">
        <f aca="false">IF(AND(K273&gt;0,OR(O273="Sí",O273="Si")),1,0)</f>
        <v>0</v>
      </c>
      <c r="S273" s="62" t="n">
        <f aca="false">IF(AND(K273&gt;0,R273=0),1,0)</f>
        <v>0</v>
      </c>
    </row>
    <row r="274" customFormat="false" ht="15" hidden="false" customHeight="false" outlineLevel="0" collapsed="false">
      <c r="B274" s="71" t="str">
        <f aca="false">IF($F$6="Sí",N($C$11)+247,"")</f>
        <v/>
      </c>
      <c r="C274" s="72" t="str">
        <f aca="false">IF(OR($F$6&lt;&gt;"Sí",D274&lt;=0.5),"",EDATE($C$10,247))</f>
        <v/>
      </c>
      <c r="D274" s="41" t="n">
        <f aca="false">MAX(0,M273)</f>
        <v>0</v>
      </c>
      <c r="E274" s="41" t="n">
        <f aca="false">D274*$F$7</f>
        <v>0</v>
      </c>
      <c r="F274" s="41" t="n">
        <f aca="false">IF(D274&gt;0.5,N($C$15),0)</f>
        <v>0</v>
      </c>
      <c r="G274" s="41" t="n">
        <f aca="false">IF(AND(D274&gt;0.5,N($C$19)&gt;0,N(B274)&lt;=N($C$20)),D274*$F$8,0)</f>
        <v>0</v>
      </c>
      <c r="H274" s="41" t="n">
        <f aca="false">IF(D274&lt;=0.5,0,MIN(IF(N(I274)&gt;0,I274,$F$9),D274+E274+F274))</f>
        <v>0</v>
      </c>
      <c r="I274" s="77"/>
      <c r="J274" s="77"/>
      <c r="K274" s="41" t="n">
        <f aca="false">IF(D274&lt;=0.5,0,MIN(H274+N(J274),D274+E274+F274))</f>
        <v>0</v>
      </c>
      <c r="L274" s="41" t="n">
        <f aca="false">K274-E274-F274</f>
        <v>0</v>
      </c>
      <c r="M274" s="41" t="n">
        <f aca="false">D274-L274</f>
        <v>0</v>
      </c>
      <c r="N274" s="42" t="n">
        <f aca="false">K274-G274</f>
        <v>0</v>
      </c>
      <c r="O274" s="78"/>
      <c r="P274" s="79"/>
      <c r="Q274" s="16" t="str">
        <f aca="false">IF(K274=0,"",IF(R274=1,"Pagada",IF(C274&lt;$F$12,"Vencida",IF(248=$F$13,"Próxima","Pendiente"))))</f>
        <v/>
      </c>
      <c r="R274" s="62" t="n">
        <f aca="false">IF(AND(K274&gt;0,OR(O274="Sí",O274="Si")),1,0)</f>
        <v>0</v>
      </c>
      <c r="S274" s="62" t="n">
        <f aca="false">IF(AND(K274&gt;0,R274=0),1,0)</f>
        <v>0</v>
      </c>
    </row>
    <row r="275" customFormat="false" ht="15" hidden="false" customHeight="false" outlineLevel="0" collapsed="false">
      <c r="B275" s="71" t="str">
        <f aca="false">IF($F$6="Sí",N($C$11)+248,"")</f>
        <v/>
      </c>
      <c r="C275" s="72" t="str">
        <f aca="false">IF(OR($F$6&lt;&gt;"Sí",D275&lt;=0.5),"",EDATE($C$10,248))</f>
        <v/>
      </c>
      <c r="D275" s="41" t="n">
        <f aca="false">MAX(0,M274)</f>
        <v>0</v>
      </c>
      <c r="E275" s="41" t="n">
        <f aca="false">D275*$F$7</f>
        <v>0</v>
      </c>
      <c r="F275" s="41" t="n">
        <f aca="false">IF(D275&gt;0.5,N($C$15),0)</f>
        <v>0</v>
      </c>
      <c r="G275" s="41" t="n">
        <f aca="false">IF(AND(D275&gt;0.5,N($C$19)&gt;0,N(B275)&lt;=N($C$20)),D275*$F$8,0)</f>
        <v>0</v>
      </c>
      <c r="H275" s="41" t="n">
        <f aca="false">IF(D275&lt;=0.5,0,MIN(IF(N(I275)&gt;0,I275,$F$9),D275+E275+F275))</f>
        <v>0</v>
      </c>
      <c r="I275" s="77"/>
      <c r="J275" s="77"/>
      <c r="K275" s="41" t="n">
        <f aca="false">IF(D275&lt;=0.5,0,MIN(H275+N(J275),D275+E275+F275))</f>
        <v>0</v>
      </c>
      <c r="L275" s="41" t="n">
        <f aca="false">K275-E275-F275</f>
        <v>0</v>
      </c>
      <c r="M275" s="41" t="n">
        <f aca="false">D275-L275</f>
        <v>0</v>
      </c>
      <c r="N275" s="42" t="n">
        <f aca="false">K275-G275</f>
        <v>0</v>
      </c>
      <c r="O275" s="78"/>
      <c r="P275" s="79"/>
      <c r="Q275" s="16" t="str">
        <f aca="false">IF(K275=0,"",IF(R275=1,"Pagada",IF(C275&lt;$F$12,"Vencida",IF(249=$F$13,"Próxima","Pendiente"))))</f>
        <v/>
      </c>
      <c r="R275" s="62" t="n">
        <f aca="false">IF(AND(K275&gt;0,OR(O275="Sí",O275="Si")),1,0)</f>
        <v>0</v>
      </c>
      <c r="S275" s="62" t="n">
        <f aca="false">IF(AND(K275&gt;0,R275=0),1,0)</f>
        <v>0</v>
      </c>
    </row>
    <row r="276" customFormat="false" ht="15" hidden="false" customHeight="false" outlineLevel="0" collapsed="false">
      <c r="B276" s="71" t="str">
        <f aca="false">IF($F$6="Sí",N($C$11)+249,"")</f>
        <v/>
      </c>
      <c r="C276" s="72" t="str">
        <f aca="false">IF(OR($F$6&lt;&gt;"Sí",D276&lt;=0.5),"",EDATE($C$10,249))</f>
        <v/>
      </c>
      <c r="D276" s="41" t="n">
        <f aca="false">MAX(0,M275)</f>
        <v>0</v>
      </c>
      <c r="E276" s="41" t="n">
        <f aca="false">D276*$F$7</f>
        <v>0</v>
      </c>
      <c r="F276" s="41" t="n">
        <f aca="false">IF(D276&gt;0.5,N($C$15),0)</f>
        <v>0</v>
      </c>
      <c r="G276" s="41" t="n">
        <f aca="false">IF(AND(D276&gt;0.5,N($C$19)&gt;0,N(B276)&lt;=N($C$20)),D276*$F$8,0)</f>
        <v>0</v>
      </c>
      <c r="H276" s="41" t="n">
        <f aca="false">IF(D276&lt;=0.5,0,MIN(IF(N(I276)&gt;0,I276,$F$9),D276+E276+F276))</f>
        <v>0</v>
      </c>
      <c r="I276" s="77"/>
      <c r="J276" s="77"/>
      <c r="K276" s="41" t="n">
        <f aca="false">IF(D276&lt;=0.5,0,MIN(H276+N(J276),D276+E276+F276))</f>
        <v>0</v>
      </c>
      <c r="L276" s="41" t="n">
        <f aca="false">K276-E276-F276</f>
        <v>0</v>
      </c>
      <c r="M276" s="41" t="n">
        <f aca="false">D276-L276</f>
        <v>0</v>
      </c>
      <c r="N276" s="42" t="n">
        <f aca="false">K276-G276</f>
        <v>0</v>
      </c>
      <c r="O276" s="78"/>
      <c r="P276" s="79"/>
      <c r="Q276" s="16" t="str">
        <f aca="false">IF(K276=0,"",IF(R276=1,"Pagada",IF(C276&lt;$F$12,"Vencida",IF(250=$F$13,"Próxima","Pendiente"))))</f>
        <v/>
      </c>
      <c r="R276" s="62" t="n">
        <f aca="false">IF(AND(K276&gt;0,OR(O276="Sí",O276="Si")),1,0)</f>
        <v>0</v>
      </c>
      <c r="S276" s="62" t="n">
        <f aca="false">IF(AND(K276&gt;0,R276=0),1,0)</f>
        <v>0</v>
      </c>
    </row>
    <row r="277" customFormat="false" ht="15" hidden="false" customHeight="false" outlineLevel="0" collapsed="false">
      <c r="B277" s="71" t="str">
        <f aca="false">IF($F$6="Sí",N($C$11)+250,"")</f>
        <v/>
      </c>
      <c r="C277" s="72" t="str">
        <f aca="false">IF(OR($F$6&lt;&gt;"Sí",D277&lt;=0.5),"",EDATE($C$10,250))</f>
        <v/>
      </c>
      <c r="D277" s="41" t="n">
        <f aca="false">MAX(0,M276)</f>
        <v>0</v>
      </c>
      <c r="E277" s="41" t="n">
        <f aca="false">D277*$F$7</f>
        <v>0</v>
      </c>
      <c r="F277" s="41" t="n">
        <f aca="false">IF(D277&gt;0.5,N($C$15),0)</f>
        <v>0</v>
      </c>
      <c r="G277" s="41" t="n">
        <f aca="false">IF(AND(D277&gt;0.5,N($C$19)&gt;0,N(B277)&lt;=N($C$20)),D277*$F$8,0)</f>
        <v>0</v>
      </c>
      <c r="H277" s="41" t="n">
        <f aca="false">IF(D277&lt;=0.5,0,MIN(IF(N(I277)&gt;0,I277,$F$9),D277+E277+F277))</f>
        <v>0</v>
      </c>
      <c r="I277" s="77"/>
      <c r="J277" s="77"/>
      <c r="K277" s="41" t="n">
        <f aca="false">IF(D277&lt;=0.5,0,MIN(H277+N(J277),D277+E277+F277))</f>
        <v>0</v>
      </c>
      <c r="L277" s="41" t="n">
        <f aca="false">K277-E277-F277</f>
        <v>0</v>
      </c>
      <c r="M277" s="41" t="n">
        <f aca="false">D277-L277</f>
        <v>0</v>
      </c>
      <c r="N277" s="42" t="n">
        <f aca="false">K277-G277</f>
        <v>0</v>
      </c>
      <c r="O277" s="78"/>
      <c r="P277" s="79"/>
      <c r="Q277" s="16" t="str">
        <f aca="false">IF(K277=0,"",IF(R277=1,"Pagada",IF(C277&lt;$F$12,"Vencida",IF(251=$F$13,"Próxima","Pendiente"))))</f>
        <v/>
      </c>
      <c r="R277" s="62" t="n">
        <f aca="false">IF(AND(K277&gt;0,OR(O277="Sí",O277="Si")),1,0)</f>
        <v>0</v>
      </c>
      <c r="S277" s="62" t="n">
        <f aca="false">IF(AND(K277&gt;0,R277=0),1,0)</f>
        <v>0</v>
      </c>
    </row>
    <row r="278" customFormat="false" ht="15" hidden="false" customHeight="false" outlineLevel="0" collapsed="false">
      <c r="B278" s="71" t="str">
        <f aca="false">IF($F$6="Sí",N($C$11)+251,"")</f>
        <v/>
      </c>
      <c r="C278" s="72" t="str">
        <f aca="false">IF(OR($F$6&lt;&gt;"Sí",D278&lt;=0.5),"",EDATE($C$10,251))</f>
        <v/>
      </c>
      <c r="D278" s="41" t="n">
        <f aca="false">MAX(0,M277)</f>
        <v>0</v>
      </c>
      <c r="E278" s="41" t="n">
        <f aca="false">D278*$F$7</f>
        <v>0</v>
      </c>
      <c r="F278" s="41" t="n">
        <f aca="false">IF(D278&gt;0.5,N($C$15),0)</f>
        <v>0</v>
      </c>
      <c r="G278" s="41" t="n">
        <f aca="false">IF(AND(D278&gt;0.5,N($C$19)&gt;0,N(B278)&lt;=N($C$20)),D278*$F$8,0)</f>
        <v>0</v>
      </c>
      <c r="H278" s="41" t="n">
        <f aca="false">IF(D278&lt;=0.5,0,MIN(IF(N(I278)&gt;0,I278,$F$9),D278+E278+F278))</f>
        <v>0</v>
      </c>
      <c r="I278" s="77"/>
      <c r="J278" s="77"/>
      <c r="K278" s="41" t="n">
        <f aca="false">IF(D278&lt;=0.5,0,MIN(H278+N(J278),D278+E278+F278))</f>
        <v>0</v>
      </c>
      <c r="L278" s="41" t="n">
        <f aca="false">K278-E278-F278</f>
        <v>0</v>
      </c>
      <c r="M278" s="41" t="n">
        <f aca="false">D278-L278</f>
        <v>0</v>
      </c>
      <c r="N278" s="42" t="n">
        <f aca="false">K278-G278</f>
        <v>0</v>
      </c>
      <c r="O278" s="78"/>
      <c r="P278" s="79"/>
      <c r="Q278" s="16" t="str">
        <f aca="false">IF(K278=0,"",IF(R278=1,"Pagada",IF(C278&lt;$F$12,"Vencida",IF(252=$F$13,"Próxima","Pendiente"))))</f>
        <v/>
      </c>
      <c r="R278" s="62" t="n">
        <f aca="false">IF(AND(K278&gt;0,OR(O278="Sí",O278="Si")),1,0)</f>
        <v>0</v>
      </c>
      <c r="S278" s="62" t="n">
        <f aca="false">IF(AND(K278&gt;0,R278=0),1,0)</f>
        <v>0</v>
      </c>
    </row>
    <row r="279" customFormat="false" ht="15" hidden="false" customHeight="false" outlineLevel="0" collapsed="false">
      <c r="B279" s="71" t="str">
        <f aca="false">IF($F$6="Sí",N($C$11)+252,"")</f>
        <v/>
      </c>
      <c r="C279" s="72" t="str">
        <f aca="false">IF(OR($F$6&lt;&gt;"Sí",D279&lt;=0.5),"",EDATE($C$10,252))</f>
        <v/>
      </c>
      <c r="D279" s="41" t="n">
        <f aca="false">MAX(0,M278)</f>
        <v>0</v>
      </c>
      <c r="E279" s="41" t="n">
        <f aca="false">D279*$F$7</f>
        <v>0</v>
      </c>
      <c r="F279" s="41" t="n">
        <f aca="false">IF(D279&gt;0.5,N($C$15),0)</f>
        <v>0</v>
      </c>
      <c r="G279" s="41" t="n">
        <f aca="false">IF(AND(D279&gt;0.5,N($C$19)&gt;0,N(B279)&lt;=N($C$20)),D279*$F$8,0)</f>
        <v>0</v>
      </c>
      <c r="H279" s="41" t="n">
        <f aca="false">IF(D279&lt;=0.5,0,MIN(IF(N(I279)&gt;0,I279,$F$9),D279+E279+F279))</f>
        <v>0</v>
      </c>
      <c r="I279" s="77"/>
      <c r="J279" s="77"/>
      <c r="K279" s="41" t="n">
        <f aca="false">IF(D279&lt;=0.5,0,MIN(H279+N(J279),D279+E279+F279))</f>
        <v>0</v>
      </c>
      <c r="L279" s="41" t="n">
        <f aca="false">K279-E279-F279</f>
        <v>0</v>
      </c>
      <c r="M279" s="41" t="n">
        <f aca="false">D279-L279</f>
        <v>0</v>
      </c>
      <c r="N279" s="42" t="n">
        <f aca="false">K279-G279</f>
        <v>0</v>
      </c>
      <c r="O279" s="78"/>
      <c r="P279" s="79"/>
      <c r="Q279" s="16" t="str">
        <f aca="false">IF(K279=0,"",IF(R279=1,"Pagada",IF(C279&lt;$F$12,"Vencida",IF(253=$F$13,"Próxima","Pendiente"))))</f>
        <v/>
      </c>
      <c r="R279" s="62" t="n">
        <f aca="false">IF(AND(K279&gt;0,OR(O279="Sí",O279="Si")),1,0)</f>
        <v>0</v>
      </c>
      <c r="S279" s="62" t="n">
        <f aca="false">IF(AND(K279&gt;0,R279=0),1,0)</f>
        <v>0</v>
      </c>
    </row>
    <row r="280" customFormat="false" ht="15" hidden="false" customHeight="false" outlineLevel="0" collapsed="false">
      <c r="B280" s="71" t="str">
        <f aca="false">IF($F$6="Sí",N($C$11)+253,"")</f>
        <v/>
      </c>
      <c r="C280" s="72" t="str">
        <f aca="false">IF(OR($F$6&lt;&gt;"Sí",D280&lt;=0.5),"",EDATE($C$10,253))</f>
        <v/>
      </c>
      <c r="D280" s="41" t="n">
        <f aca="false">MAX(0,M279)</f>
        <v>0</v>
      </c>
      <c r="E280" s="41" t="n">
        <f aca="false">D280*$F$7</f>
        <v>0</v>
      </c>
      <c r="F280" s="41" t="n">
        <f aca="false">IF(D280&gt;0.5,N($C$15),0)</f>
        <v>0</v>
      </c>
      <c r="G280" s="41" t="n">
        <f aca="false">IF(AND(D280&gt;0.5,N($C$19)&gt;0,N(B280)&lt;=N($C$20)),D280*$F$8,0)</f>
        <v>0</v>
      </c>
      <c r="H280" s="41" t="n">
        <f aca="false">IF(D280&lt;=0.5,0,MIN(IF(N(I280)&gt;0,I280,$F$9),D280+E280+F280))</f>
        <v>0</v>
      </c>
      <c r="I280" s="77"/>
      <c r="J280" s="77"/>
      <c r="K280" s="41" t="n">
        <f aca="false">IF(D280&lt;=0.5,0,MIN(H280+N(J280),D280+E280+F280))</f>
        <v>0</v>
      </c>
      <c r="L280" s="41" t="n">
        <f aca="false">K280-E280-F280</f>
        <v>0</v>
      </c>
      <c r="M280" s="41" t="n">
        <f aca="false">D280-L280</f>
        <v>0</v>
      </c>
      <c r="N280" s="42" t="n">
        <f aca="false">K280-G280</f>
        <v>0</v>
      </c>
      <c r="O280" s="78"/>
      <c r="P280" s="79"/>
      <c r="Q280" s="16" t="str">
        <f aca="false">IF(K280=0,"",IF(R280=1,"Pagada",IF(C280&lt;$F$12,"Vencida",IF(254=$F$13,"Próxima","Pendiente"))))</f>
        <v/>
      </c>
      <c r="R280" s="62" t="n">
        <f aca="false">IF(AND(K280&gt;0,OR(O280="Sí",O280="Si")),1,0)</f>
        <v>0</v>
      </c>
      <c r="S280" s="62" t="n">
        <f aca="false">IF(AND(K280&gt;0,R280=0),1,0)</f>
        <v>0</v>
      </c>
    </row>
    <row r="281" customFormat="false" ht="15" hidden="false" customHeight="false" outlineLevel="0" collapsed="false">
      <c r="B281" s="71" t="str">
        <f aca="false">IF($F$6="Sí",N($C$11)+254,"")</f>
        <v/>
      </c>
      <c r="C281" s="72" t="str">
        <f aca="false">IF(OR($F$6&lt;&gt;"Sí",D281&lt;=0.5),"",EDATE($C$10,254))</f>
        <v/>
      </c>
      <c r="D281" s="41" t="n">
        <f aca="false">MAX(0,M280)</f>
        <v>0</v>
      </c>
      <c r="E281" s="41" t="n">
        <f aca="false">D281*$F$7</f>
        <v>0</v>
      </c>
      <c r="F281" s="41" t="n">
        <f aca="false">IF(D281&gt;0.5,N($C$15),0)</f>
        <v>0</v>
      </c>
      <c r="G281" s="41" t="n">
        <f aca="false">IF(AND(D281&gt;0.5,N($C$19)&gt;0,N(B281)&lt;=N($C$20)),D281*$F$8,0)</f>
        <v>0</v>
      </c>
      <c r="H281" s="41" t="n">
        <f aca="false">IF(D281&lt;=0.5,0,MIN(IF(N(I281)&gt;0,I281,$F$9),D281+E281+F281))</f>
        <v>0</v>
      </c>
      <c r="I281" s="77"/>
      <c r="J281" s="77"/>
      <c r="K281" s="41" t="n">
        <f aca="false">IF(D281&lt;=0.5,0,MIN(H281+N(J281),D281+E281+F281))</f>
        <v>0</v>
      </c>
      <c r="L281" s="41" t="n">
        <f aca="false">K281-E281-F281</f>
        <v>0</v>
      </c>
      <c r="M281" s="41" t="n">
        <f aca="false">D281-L281</f>
        <v>0</v>
      </c>
      <c r="N281" s="42" t="n">
        <f aca="false">K281-G281</f>
        <v>0</v>
      </c>
      <c r="O281" s="78"/>
      <c r="P281" s="79"/>
      <c r="Q281" s="16" t="str">
        <f aca="false">IF(K281=0,"",IF(R281=1,"Pagada",IF(C281&lt;$F$12,"Vencida",IF(255=$F$13,"Próxima","Pendiente"))))</f>
        <v/>
      </c>
      <c r="R281" s="62" t="n">
        <f aca="false">IF(AND(K281&gt;0,OR(O281="Sí",O281="Si")),1,0)</f>
        <v>0</v>
      </c>
      <c r="S281" s="62" t="n">
        <f aca="false">IF(AND(K281&gt;0,R281=0),1,0)</f>
        <v>0</v>
      </c>
    </row>
    <row r="282" customFormat="false" ht="15" hidden="false" customHeight="false" outlineLevel="0" collapsed="false">
      <c r="B282" s="71" t="str">
        <f aca="false">IF($F$6="Sí",N($C$11)+255,"")</f>
        <v/>
      </c>
      <c r="C282" s="72" t="str">
        <f aca="false">IF(OR($F$6&lt;&gt;"Sí",D282&lt;=0.5),"",EDATE($C$10,255))</f>
        <v/>
      </c>
      <c r="D282" s="41" t="n">
        <f aca="false">MAX(0,M281)</f>
        <v>0</v>
      </c>
      <c r="E282" s="41" t="n">
        <f aca="false">D282*$F$7</f>
        <v>0</v>
      </c>
      <c r="F282" s="41" t="n">
        <f aca="false">IF(D282&gt;0.5,N($C$15),0)</f>
        <v>0</v>
      </c>
      <c r="G282" s="41" t="n">
        <f aca="false">IF(AND(D282&gt;0.5,N($C$19)&gt;0,N(B282)&lt;=N($C$20)),D282*$F$8,0)</f>
        <v>0</v>
      </c>
      <c r="H282" s="41" t="n">
        <f aca="false">IF(D282&lt;=0.5,0,MIN(IF(N(I282)&gt;0,I282,$F$9),D282+E282+F282))</f>
        <v>0</v>
      </c>
      <c r="I282" s="77"/>
      <c r="J282" s="77"/>
      <c r="K282" s="41" t="n">
        <f aca="false">IF(D282&lt;=0.5,0,MIN(H282+N(J282),D282+E282+F282))</f>
        <v>0</v>
      </c>
      <c r="L282" s="41" t="n">
        <f aca="false">K282-E282-F282</f>
        <v>0</v>
      </c>
      <c r="M282" s="41" t="n">
        <f aca="false">D282-L282</f>
        <v>0</v>
      </c>
      <c r="N282" s="42" t="n">
        <f aca="false">K282-G282</f>
        <v>0</v>
      </c>
      <c r="O282" s="78"/>
      <c r="P282" s="79"/>
      <c r="Q282" s="16" t="str">
        <f aca="false">IF(K282=0,"",IF(R282=1,"Pagada",IF(C282&lt;$F$12,"Vencida",IF(256=$F$13,"Próxima","Pendiente"))))</f>
        <v/>
      </c>
      <c r="R282" s="62" t="n">
        <f aca="false">IF(AND(K282&gt;0,OR(O282="Sí",O282="Si")),1,0)</f>
        <v>0</v>
      </c>
      <c r="S282" s="62" t="n">
        <f aca="false">IF(AND(K282&gt;0,R282=0),1,0)</f>
        <v>0</v>
      </c>
    </row>
    <row r="283" customFormat="false" ht="15" hidden="false" customHeight="false" outlineLevel="0" collapsed="false">
      <c r="B283" s="71" t="str">
        <f aca="false">IF($F$6="Sí",N($C$11)+256,"")</f>
        <v/>
      </c>
      <c r="C283" s="72" t="str">
        <f aca="false">IF(OR($F$6&lt;&gt;"Sí",D283&lt;=0.5),"",EDATE($C$10,256))</f>
        <v/>
      </c>
      <c r="D283" s="41" t="n">
        <f aca="false">MAX(0,M282)</f>
        <v>0</v>
      </c>
      <c r="E283" s="41" t="n">
        <f aca="false">D283*$F$7</f>
        <v>0</v>
      </c>
      <c r="F283" s="41" t="n">
        <f aca="false">IF(D283&gt;0.5,N($C$15),0)</f>
        <v>0</v>
      </c>
      <c r="G283" s="41" t="n">
        <f aca="false">IF(AND(D283&gt;0.5,N($C$19)&gt;0,N(B283)&lt;=N($C$20)),D283*$F$8,0)</f>
        <v>0</v>
      </c>
      <c r="H283" s="41" t="n">
        <f aca="false">IF(D283&lt;=0.5,0,MIN(IF(N(I283)&gt;0,I283,$F$9),D283+E283+F283))</f>
        <v>0</v>
      </c>
      <c r="I283" s="77"/>
      <c r="J283" s="77"/>
      <c r="K283" s="41" t="n">
        <f aca="false">IF(D283&lt;=0.5,0,MIN(H283+N(J283),D283+E283+F283))</f>
        <v>0</v>
      </c>
      <c r="L283" s="41" t="n">
        <f aca="false">K283-E283-F283</f>
        <v>0</v>
      </c>
      <c r="M283" s="41" t="n">
        <f aca="false">D283-L283</f>
        <v>0</v>
      </c>
      <c r="N283" s="42" t="n">
        <f aca="false">K283-G283</f>
        <v>0</v>
      </c>
      <c r="O283" s="78"/>
      <c r="P283" s="79"/>
      <c r="Q283" s="16" t="str">
        <f aca="false">IF(K283=0,"",IF(R283=1,"Pagada",IF(C283&lt;$F$12,"Vencida",IF(257=$F$13,"Próxima","Pendiente"))))</f>
        <v/>
      </c>
      <c r="R283" s="62" t="n">
        <f aca="false">IF(AND(K283&gt;0,OR(O283="Sí",O283="Si")),1,0)</f>
        <v>0</v>
      </c>
      <c r="S283" s="62" t="n">
        <f aca="false">IF(AND(K283&gt;0,R283=0),1,0)</f>
        <v>0</v>
      </c>
    </row>
    <row r="284" customFormat="false" ht="15" hidden="false" customHeight="false" outlineLevel="0" collapsed="false">
      <c r="B284" s="71" t="str">
        <f aca="false">IF($F$6="Sí",N($C$11)+257,"")</f>
        <v/>
      </c>
      <c r="C284" s="72" t="str">
        <f aca="false">IF(OR($F$6&lt;&gt;"Sí",D284&lt;=0.5),"",EDATE($C$10,257))</f>
        <v/>
      </c>
      <c r="D284" s="41" t="n">
        <f aca="false">MAX(0,M283)</f>
        <v>0</v>
      </c>
      <c r="E284" s="41" t="n">
        <f aca="false">D284*$F$7</f>
        <v>0</v>
      </c>
      <c r="F284" s="41" t="n">
        <f aca="false">IF(D284&gt;0.5,N($C$15),0)</f>
        <v>0</v>
      </c>
      <c r="G284" s="41" t="n">
        <f aca="false">IF(AND(D284&gt;0.5,N($C$19)&gt;0,N(B284)&lt;=N($C$20)),D284*$F$8,0)</f>
        <v>0</v>
      </c>
      <c r="H284" s="41" t="n">
        <f aca="false">IF(D284&lt;=0.5,0,MIN(IF(N(I284)&gt;0,I284,$F$9),D284+E284+F284))</f>
        <v>0</v>
      </c>
      <c r="I284" s="77"/>
      <c r="J284" s="77"/>
      <c r="K284" s="41" t="n">
        <f aca="false">IF(D284&lt;=0.5,0,MIN(H284+N(J284),D284+E284+F284))</f>
        <v>0</v>
      </c>
      <c r="L284" s="41" t="n">
        <f aca="false">K284-E284-F284</f>
        <v>0</v>
      </c>
      <c r="M284" s="41" t="n">
        <f aca="false">D284-L284</f>
        <v>0</v>
      </c>
      <c r="N284" s="42" t="n">
        <f aca="false">K284-G284</f>
        <v>0</v>
      </c>
      <c r="O284" s="78"/>
      <c r="P284" s="79"/>
      <c r="Q284" s="16" t="str">
        <f aca="false">IF(K284=0,"",IF(R284=1,"Pagada",IF(C284&lt;$F$12,"Vencida",IF(258=$F$13,"Próxima","Pendiente"))))</f>
        <v/>
      </c>
      <c r="R284" s="62" t="n">
        <f aca="false">IF(AND(K284&gt;0,OR(O284="Sí",O284="Si")),1,0)</f>
        <v>0</v>
      </c>
      <c r="S284" s="62" t="n">
        <f aca="false">IF(AND(K284&gt;0,R284=0),1,0)</f>
        <v>0</v>
      </c>
    </row>
    <row r="285" customFormat="false" ht="15" hidden="false" customHeight="false" outlineLevel="0" collapsed="false">
      <c r="B285" s="71" t="str">
        <f aca="false">IF($F$6="Sí",N($C$11)+258,"")</f>
        <v/>
      </c>
      <c r="C285" s="72" t="str">
        <f aca="false">IF(OR($F$6&lt;&gt;"Sí",D285&lt;=0.5),"",EDATE($C$10,258))</f>
        <v/>
      </c>
      <c r="D285" s="41" t="n">
        <f aca="false">MAX(0,M284)</f>
        <v>0</v>
      </c>
      <c r="E285" s="41" t="n">
        <f aca="false">D285*$F$7</f>
        <v>0</v>
      </c>
      <c r="F285" s="41" t="n">
        <f aca="false">IF(D285&gt;0.5,N($C$15),0)</f>
        <v>0</v>
      </c>
      <c r="G285" s="41" t="n">
        <f aca="false">IF(AND(D285&gt;0.5,N($C$19)&gt;0,N(B285)&lt;=N($C$20)),D285*$F$8,0)</f>
        <v>0</v>
      </c>
      <c r="H285" s="41" t="n">
        <f aca="false">IF(D285&lt;=0.5,0,MIN(IF(N(I285)&gt;0,I285,$F$9),D285+E285+F285))</f>
        <v>0</v>
      </c>
      <c r="I285" s="77"/>
      <c r="J285" s="77"/>
      <c r="K285" s="41" t="n">
        <f aca="false">IF(D285&lt;=0.5,0,MIN(H285+N(J285),D285+E285+F285))</f>
        <v>0</v>
      </c>
      <c r="L285" s="41" t="n">
        <f aca="false">K285-E285-F285</f>
        <v>0</v>
      </c>
      <c r="M285" s="41" t="n">
        <f aca="false">D285-L285</f>
        <v>0</v>
      </c>
      <c r="N285" s="42" t="n">
        <f aca="false">K285-G285</f>
        <v>0</v>
      </c>
      <c r="O285" s="78"/>
      <c r="P285" s="79"/>
      <c r="Q285" s="16" t="str">
        <f aca="false">IF(K285=0,"",IF(R285=1,"Pagada",IF(C285&lt;$F$12,"Vencida",IF(259=$F$13,"Próxima","Pendiente"))))</f>
        <v/>
      </c>
      <c r="R285" s="62" t="n">
        <f aca="false">IF(AND(K285&gt;0,OR(O285="Sí",O285="Si")),1,0)</f>
        <v>0</v>
      </c>
      <c r="S285" s="62" t="n">
        <f aca="false">IF(AND(K285&gt;0,R285=0),1,0)</f>
        <v>0</v>
      </c>
    </row>
    <row r="286" customFormat="false" ht="15" hidden="false" customHeight="false" outlineLevel="0" collapsed="false">
      <c r="B286" s="71" t="str">
        <f aca="false">IF($F$6="Sí",N($C$11)+259,"")</f>
        <v/>
      </c>
      <c r="C286" s="72" t="str">
        <f aca="false">IF(OR($F$6&lt;&gt;"Sí",D286&lt;=0.5),"",EDATE($C$10,259))</f>
        <v/>
      </c>
      <c r="D286" s="41" t="n">
        <f aca="false">MAX(0,M285)</f>
        <v>0</v>
      </c>
      <c r="E286" s="41" t="n">
        <f aca="false">D286*$F$7</f>
        <v>0</v>
      </c>
      <c r="F286" s="41" t="n">
        <f aca="false">IF(D286&gt;0.5,N($C$15),0)</f>
        <v>0</v>
      </c>
      <c r="G286" s="41" t="n">
        <f aca="false">IF(AND(D286&gt;0.5,N($C$19)&gt;0,N(B286)&lt;=N($C$20)),D286*$F$8,0)</f>
        <v>0</v>
      </c>
      <c r="H286" s="41" t="n">
        <f aca="false">IF(D286&lt;=0.5,0,MIN(IF(N(I286)&gt;0,I286,$F$9),D286+E286+F286))</f>
        <v>0</v>
      </c>
      <c r="I286" s="77"/>
      <c r="J286" s="77"/>
      <c r="K286" s="41" t="n">
        <f aca="false">IF(D286&lt;=0.5,0,MIN(H286+N(J286),D286+E286+F286))</f>
        <v>0</v>
      </c>
      <c r="L286" s="41" t="n">
        <f aca="false">K286-E286-F286</f>
        <v>0</v>
      </c>
      <c r="M286" s="41" t="n">
        <f aca="false">D286-L286</f>
        <v>0</v>
      </c>
      <c r="N286" s="42" t="n">
        <f aca="false">K286-G286</f>
        <v>0</v>
      </c>
      <c r="O286" s="78"/>
      <c r="P286" s="79"/>
      <c r="Q286" s="16" t="str">
        <f aca="false">IF(K286=0,"",IF(R286=1,"Pagada",IF(C286&lt;$F$12,"Vencida",IF(260=$F$13,"Próxima","Pendiente"))))</f>
        <v/>
      </c>
      <c r="R286" s="62" t="n">
        <f aca="false">IF(AND(K286&gt;0,OR(O286="Sí",O286="Si")),1,0)</f>
        <v>0</v>
      </c>
      <c r="S286" s="62" t="n">
        <f aca="false">IF(AND(K286&gt;0,R286=0),1,0)</f>
        <v>0</v>
      </c>
    </row>
    <row r="287" customFormat="false" ht="15" hidden="false" customHeight="false" outlineLevel="0" collapsed="false">
      <c r="B287" s="71" t="str">
        <f aca="false">IF($F$6="Sí",N($C$11)+260,"")</f>
        <v/>
      </c>
      <c r="C287" s="72" t="str">
        <f aca="false">IF(OR($F$6&lt;&gt;"Sí",D287&lt;=0.5),"",EDATE($C$10,260))</f>
        <v/>
      </c>
      <c r="D287" s="41" t="n">
        <f aca="false">MAX(0,M286)</f>
        <v>0</v>
      </c>
      <c r="E287" s="41" t="n">
        <f aca="false">D287*$F$7</f>
        <v>0</v>
      </c>
      <c r="F287" s="41" t="n">
        <f aca="false">IF(D287&gt;0.5,N($C$15),0)</f>
        <v>0</v>
      </c>
      <c r="G287" s="41" t="n">
        <f aca="false">IF(AND(D287&gt;0.5,N($C$19)&gt;0,N(B287)&lt;=N($C$20)),D287*$F$8,0)</f>
        <v>0</v>
      </c>
      <c r="H287" s="41" t="n">
        <f aca="false">IF(D287&lt;=0.5,0,MIN(IF(N(I287)&gt;0,I287,$F$9),D287+E287+F287))</f>
        <v>0</v>
      </c>
      <c r="I287" s="77"/>
      <c r="J287" s="77"/>
      <c r="K287" s="41" t="n">
        <f aca="false">IF(D287&lt;=0.5,0,MIN(H287+N(J287),D287+E287+F287))</f>
        <v>0</v>
      </c>
      <c r="L287" s="41" t="n">
        <f aca="false">K287-E287-F287</f>
        <v>0</v>
      </c>
      <c r="M287" s="41" t="n">
        <f aca="false">D287-L287</f>
        <v>0</v>
      </c>
      <c r="N287" s="42" t="n">
        <f aca="false">K287-G287</f>
        <v>0</v>
      </c>
      <c r="O287" s="78"/>
      <c r="P287" s="79"/>
      <c r="Q287" s="16" t="str">
        <f aca="false">IF(K287=0,"",IF(R287=1,"Pagada",IF(C287&lt;$F$12,"Vencida",IF(261=$F$13,"Próxima","Pendiente"))))</f>
        <v/>
      </c>
      <c r="R287" s="62" t="n">
        <f aca="false">IF(AND(K287&gt;0,OR(O287="Sí",O287="Si")),1,0)</f>
        <v>0</v>
      </c>
      <c r="S287" s="62" t="n">
        <f aca="false">IF(AND(K287&gt;0,R287=0),1,0)</f>
        <v>0</v>
      </c>
    </row>
    <row r="288" customFormat="false" ht="15" hidden="false" customHeight="false" outlineLevel="0" collapsed="false">
      <c r="B288" s="71" t="str">
        <f aca="false">IF($F$6="Sí",N($C$11)+261,"")</f>
        <v/>
      </c>
      <c r="C288" s="72" t="str">
        <f aca="false">IF(OR($F$6&lt;&gt;"Sí",D288&lt;=0.5),"",EDATE($C$10,261))</f>
        <v/>
      </c>
      <c r="D288" s="41" t="n">
        <f aca="false">MAX(0,M287)</f>
        <v>0</v>
      </c>
      <c r="E288" s="41" t="n">
        <f aca="false">D288*$F$7</f>
        <v>0</v>
      </c>
      <c r="F288" s="41" t="n">
        <f aca="false">IF(D288&gt;0.5,N($C$15),0)</f>
        <v>0</v>
      </c>
      <c r="G288" s="41" t="n">
        <f aca="false">IF(AND(D288&gt;0.5,N($C$19)&gt;0,N(B288)&lt;=N($C$20)),D288*$F$8,0)</f>
        <v>0</v>
      </c>
      <c r="H288" s="41" t="n">
        <f aca="false">IF(D288&lt;=0.5,0,MIN(IF(N(I288)&gt;0,I288,$F$9),D288+E288+F288))</f>
        <v>0</v>
      </c>
      <c r="I288" s="77"/>
      <c r="J288" s="77"/>
      <c r="K288" s="41" t="n">
        <f aca="false">IF(D288&lt;=0.5,0,MIN(H288+N(J288),D288+E288+F288))</f>
        <v>0</v>
      </c>
      <c r="L288" s="41" t="n">
        <f aca="false">K288-E288-F288</f>
        <v>0</v>
      </c>
      <c r="M288" s="41" t="n">
        <f aca="false">D288-L288</f>
        <v>0</v>
      </c>
      <c r="N288" s="42" t="n">
        <f aca="false">K288-G288</f>
        <v>0</v>
      </c>
      <c r="O288" s="78"/>
      <c r="P288" s="79"/>
      <c r="Q288" s="16" t="str">
        <f aca="false">IF(K288=0,"",IF(R288=1,"Pagada",IF(C288&lt;$F$12,"Vencida",IF(262=$F$13,"Próxima","Pendiente"))))</f>
        <v/>
      </c>
      <c r="R288" s="62" t="n">
        <f aca="false">IF(AND(K288&gt;0,OR(O288="Sí",O288="Si")),1,0)</f>
        <v>0</v>
      </c>
      <c r="S288" s="62" t="n">
        <f aca="false">IF(AND(K288&gt;0,R288=0),1,0)</f>
        <v>0</v>
      </c>
    </row>
    <row r="289" customFormat="false" ht="15" hidden="false" customHeight="false" outlineLevel="0" collapsed="false">
      <c r="B289" s="71" t="str">
        <f aca="false">IF($F$6="Sí",N($C$11)+262,"")</f>
        <v/>
      </c>
      <c r="C289" s="72" t="str">
        <f aca="false">IF(OR($F$6&lt;&gt;"Sí",D289&lt;=0.5),"",EDATE($C$10,262))</f>
        <v/>
      </c>
      <c r="D289" s="41" t="n">
        <f aca="false">MAX(0,M288)</f>
        <v>0</v>
      </c>
      <c r="E289" s="41" t="n">
        <f aca="false">D289*$F$7</f>
        <v>0</v>
      </c>
      <c r="F289" s="41" t="n">
        <f aca="false">IF(D289&gt;0.5,N($C$15),0)</f>
        <v>0</v>
      </c>
      <c r="G289" s="41" t="n">
        <f aca="false">IF(AND(D289&gt;0.5,N($C$19)&gt;0,N(B289)&lt;=N($C$20)),D289*$F$8,0)</f>
        <v>0</v>
      </c>
      <c r="H289" s="41" t="n">
        <f aca="false">IF(D289&lt;=0.5,0,MIN(IF(N(I289)&gt;0,I289,$F$9),D289+E289+F289))</f>
        <v>0</v>
      </c>
      <c r="I289" s="77"/>
      <c r="J289" s="77"/>
      <c r="K289" s="41" t="n">
        <f aca="false">IF(D289&lt;=0.5,0,MIN(H289+N(J289),D289+E289+F289))</f>
        <v>0</v>
      </c>
      <c r="L289" s="41" t="n">
        <f aca="false">K289-E289-F289</f>
        <v>0</v>
      </c>
      <c r="M289" s="41" t="n">
        <f aca="false">D289-L289</f>
        <v>0</v>
      </c>
      <c r="N289" s="42" t="n">
        <f aca="false">K289-G289</f>
        <v>0</v>
      </c>
      <c r="O289" s="78"/>
      <c r="P289" s="79"/>
      <c r="Q289" s="16" t="str">
        <f aca="false">IF(K289=0,"",IF(R289=1,"Pagada",IF(C289&lt;$F$12,"Vencida",IF(263=$F$13,"Próxima","Pendiente"))))</f>
        <v/>
      </c>
      <c r="R289" s="62" t="n">
        <f aca="false">IF(AND(K289&gt;0,OR(O289="Sí",O289="Si")),1,0)</f>
        <v>0</v>
      </c>
      <c r="S289" s="62" t="n">
        <f aca="false">IF(AND(K289&gt;0,R289=0),1,0)</f>
        <v>0</v>
      </c>
    </row>
    <row r="290" customFormat="false" ht="15" hidden="false" customHeight="false" outlineLevel="0" collapsed="false">
      <c r="B290" s="71" t="str">
        <f aca="false">IF($F$6="Sí",N($C$11)+263,"")</f>
        <v/>
      </c>
      <c r="C290" s="72" t="str">
        <f aca="false">IF(OR($F$6&lt;&gt;"Sí",D290&lt;=0.5),"",EDATE($C$10,263))</f>
        <v/>
      </c>
      <c r="D290" s="41" t="n">
        <f aca="false">MAX(0,M289)</f>
        <v>0</v>
      </c>
      <c r="E290" s="41" t="n">
        <f aca="false">D290*$F$7</f>
        <v>0</v>
      </c>
      <c r="F290" s="41" t="n">
        <f aca="false">IF(D290&gt;0.5,N($C$15),0)</f>
        <v>0</v>
      </c>
      <c r="G290" s="41" t="n">
        <f aca="false">IF(AND(D290&gt;0.5,N($C$19)&gt;0,N(B290)&lt;=N($C$20)),D290*$F$8,0)</f>
        <v>0</v>
      </c>
      <c r="H290" s="41" t="n">
        <f aca="false">IF(D290&lt;=0.5,0,MIN(IF(N(I290)&gt;0,I290,$F$9),D290+E290+F290))</f>
        <v>0</v>
      </c>
      <c r="I290" s="77"/>
      <c r="J290" s="77"/>
      <c r="K290" s="41" t="n">
        <f aca="false">IF(D290&lt;=0.5,0,MIN(H290+N(J290),D290+E290+F290))</f>
        <v>0</v>
      </c>
      <c r="L290" s="41" t="n">
        <f aca="false">K290-E290-F290</f>
        <v>0</v>
      </c>
      <c r="M290" s="41" t="n">
        <f aca="false">D290-L290</f>
        <v>0</v>
      </c>
      <c r="N290" s="42" t="n">
        <f aca="false">K290-G290</f>
        <v>0</v>
      </c>
      <c r="O290" s="78"/>
      <c r="P290" s="79"/>
      <c r="Q290" s="16" t="str">
        <f aca="false">IF(K290=0,"",IF(R290=1,"Pagada",IF(C290&lt;$F$12,"Vencida",IF(264=$F$13,"Próxima","Pendiente"))))</f>
        <v/>
      </c>
      <c r="R290" s="62" t="n">
        <f aca="false">IF(AND(K290&gt;0,OR(O290="Sí",O290="Si")),1,0)</f>
        <v>0</v>
      </c>
      <c r="S290" s="62" t="n">
        <f aca="false">IF(AND(K290&gt;0,R290=0),1,0)</f>
        <v>0</v>
      </c>
    </row>
    <row r="291" customFormat="false" ht="15" hidden="false" customHeight="false" outlineLevel="0" collapsed="false">
      <c r="B291" s="71" t="str">
        <f aca="false">IF($F$6="Sí",N($C$11)+264,"")</f>
        <v/>
      </c>
      <c r="C291" s="72" t="str">
        <f aca="false">IF(OR($F$6&lt;&gt;"Sí",D291&lt;=0.5),"",EDATE($C$10,264))</f>
        <v/>
      </c>
      <c r="D291" s="41" t="n">
        <f aca="false">MAX(0,M290)</f>
        <v>0</v>
      </c>
      <c r="E291" s="41" t="n">
        <f aca="false">D291*$F$7</f>
        <v>0</v>
      </c>
      <c r="F291" s="41" t="n">
        <f aca="false">IF(D291&gt;0.5,N($C$15),0)</f>
        <v>0</v>
      </c>
      <c r="G291" s="41" t="n">
        <f aca="false">IF(AND(D291&gt;0.5,N($C$19)&gt;0,N(B291)&lt;=N($C$20)),D291*$F$8,0)</f>
        <v>0</v>
      </c>
      <c r="H291" s="41" t="n">
        <f aca="false">IF(D291&lt;=0.5,0,MIN(IF(N(I291)&gt;0,I291,$F$9),D291+E291+F291))</f>
        <v>0</v>
      </c>
      <c r="I291" s="77"/>
      <c r="J291" s="77"/>
      <c r="K291" s="41" t="n">
        <f aca="false">IF(D291&lt;=0.5,0,MIN(H291+N(J291),D291+E291+F291))</f>
        <v>0</v>
      </c>
      <c r="L291" s="41" t="n">
        <f aca="false">K291-E291-F291</f>
        <v>0</v>
      </c>
      <c r="M291" s="41" t="n">
        <f aca="false">D291-L291</f>
        <v>0</v>
      </c>
      <c r="N291" s="42" t="n">
        <f aca="false">K291-G291</f>
        <v>0</v>
      </c>
      <c r="O291" s="78"/>
      <c r="P291" s="79"/>
      <c r="Q291" s="16" t="str">
        <f aca="false">IF(K291=0,"",IF(R291=1,"Pagada",IF(C291&lt;$F$12,"Vencida",IF(265=$F$13,"Próxima","Pendiente"))))</f>
        <v/>
      </c>
      <c r="R291" s="62" t="n">
        <f aca="false">IF(AND(K291&gt;0,OR(O291="Sí",O291="Si")),1,0)</f>
        <v>0</v>
      </c>
      <c r="S291" s="62" t="n">
        <f aca="false">IF(AND(K291&gt;0,R291=0),1,0)</f>
        <v>0</v>
      </c>
    </row>
    <row r="292" customFormat="false" ht="15" hidden="false" customHeight="false" outlineLevel="0" collapsed="false">
      <c r="B292" s="71" t="str">
        <f aca="false">IF($F$6="Sí",N($C$11)+265,"")</f>
        <v/>
      </c>
      <c r="C292" s="72" t="str">
        <f aca="false">IF(OR($F$6&lt;&gt;"Sí",D292&lt;=0.5),"",EDATE($C$10,265))</f>
        <v/>
      </c>
      <c r="D292" s="41" t="n">
        <f aca="false">MAX(0,M291)</f>
        <v>0</v>
      </c>
      <c r="E292" s="41" t="n">
        <f aca="false">D292*$F$7</f>
        <v>0</v>
      </c>
      <c r="F292" s="41" t="n">
        <f aca="false">IF(D292&gt;0.5,N($C$15),0)</f>
        <v>0</v>
      </c>
      <c r="G292" s="41" t="n">
        <f aca="false">IF(AND(D292&gt;0.5,N($C$19)&gt;0,N(B292)&lt;=N($C$20)),D292*$F$8,0)</f>
        <v>0</v>
      </c>
      <c r="H292" s="41" t="n">
        <f aca="false">IF(D292&lt;=0.5,0,MIN(IF(N(I292)&gt;0,I292,$F$9),D292+E292+F292))</f>
        <v>0</v>
      </c>
      <c r="I292" s="77"/>
      <c r="J292" s="77"/>
      <c r="K292" s="41" t="n">
        <f aca="false">IF(D292&lt;=0.5,0,MIN(H292+N(J292),D292+E292+F292))</f>
        <v>0</v>
      </c>
      <c r="L292" s="41" t="n">
        <f aca="false">K292-E292-F292</f>
        <v>0</v>
      </c>
      <c r="M292" s="41" t="n">
        <f aca="false">D292-L292</f>
        <v>0</v>
      </c>
      <c r="N292" s="42" t="n">
        <f aca="false">K292-G292</f>
        <v>0</v>
      </c>
      <c r="O292" s="78"/>
      <c r="P292" s="79"/>
      <c r="Q292" s="16" t="str">
        <f aca="false">IF(K292=0,"",IF(R292=1,"Pagada",IF(C292&lt;$F$12,"Vencida",IF(266=$F$13,"Próxima","Pendiente"))))</f>
        <v/>
      </c>
      <c r="R292" s="62" t="n">
        <f aca="false">IF(AND(K292&gt;0,OR(O292="Sí",O292="Si")),1,0)</f>
        <v>0</v>
      </c>
      <c r="S292" s="62" t="n">
        <f aca="false">IF(AND(K292&gt;0,R292=0),1,0)</f>
        <v>0</v>
      </c>
    </row>
    <row r="293" customFormat="false" ht="15" hidden="false" customHeight="false" outlineLevel="0" collapsed="false">
      <c r="B293" s="71" t="str">
        <f aca="false">IF($F$6="Sí",N($C$11)+266,"")</f>
        <v/>
      </c>
      <c r="C293" s="72" t="str">
        <f aca="false">IF(OR($F$6&lt;&gt;"Sí",D293&lt;=0.5),"",EDATE($C$10,266))</f>
        <v/>
      </c>
      <c r="D293" s="41" t="n">
        <f aca="false">MAX(0,M292)</f>
        <v>0</v>
      </c>
      <c r="E293" s="41" t="n">
        <f aca="false">D293*$F$7</f>
        <v>0</v>
      </c>
      <c r="F293" s="41" t="n">
        <f aca="false">IF(D293&gt;0.5,N($C$15),0)</f>
        <v>0</v>
      </c>
      <c r="G293" s="41" t="n">
        <f aca="false">IF(AND(D293&gt;0.5,N($C$19)&gt;0,N(B293)&lt;=N($C$20)),D293*$F$8,0)</f>
        <v>0</v>
      </c>
      <c r="H293" s="41" t="n">
        <f aca="false">IF(D293&lt;=0.5,0,MIN(IF(N(I293)&gt;0,I293,$F$9),D293+E293+F293))</f>
        <v>0</v>
      </c>
      <c r="I293" s="77"/>
      <c r="J293" s="77"/>
      <c r="K293" s="41" t="n">
        <f aca="false">IF(D293&lt;=0.5,0,MIN(H293+N(J293),D293+E293+F293))</f>
        <v>0</v>
      </c>
      <c r="L293" s="41" t="n">
        <f aca="false">K293-E293-F293</f>
        <v>0</v>
      </c>
      <c r="M293" s="41" t="n">
        <f aca="false">D293-L293</f>
        <v>0</v>
      </c>
      <c r="N293" s="42" t="n">
        <f aca="false">K293-G293</f>
        <v>0</v>
      </c>
      <c r="O293" s="78"/>
      <c r="P293" s="79"/>
      <c r="Q293" s="16" t="str">
        <f aca="false">IF(K293=0,"",IF(R293=1,"Pagada",IF(C293&lt;$F$12,"Vencida",IF(267=$F$13,"Próxima","Pendiente"))))</f>
        <v/>
      </c>
      <c r="R293" s="62" t="n">
        <f aca="false">IF(AND(K293&gt;0,OR(O293="Sí",O293="Si")),1,0)</f>
        <v>0</v>
      </c>
      <c r="S293" s="62" t="n">
        <f aca="false">IF(AND(K293&gt;0,R293=0),1,0)</f>
        <v>0</v>
      </c>
    </row>
    <row r="294" customFormat="false" ht="15" hidden="false" customHeight="false" outlineLevel="0" collapsed="false">
      <c r="B294" s="71" t="str">
        <f aca="false">IF($F$6="Sí",N($C$11)+267,"")</f>
        <v/>
      </c>
      <c r="C294" s="72" t="str">
        <f aca="false">IF(OR($F$6&lt;&gt;"Sí",D294&lt;=0.5),"",EDATE($C$10,267))</f>
        <v/>
      </c>
      <c r="D294" s="41" t="n">
        <f aca="false">MAX(0,M293)</f>
        <v>0</v>
      </c>
      <c r="E294" s="41" t="n">
        <f aca="false">D294*$F$7</f>
        <v>0</v>
      </c>
      <c r="F294" s="41" t="n">
        <f aca="false">IF(D294&gt;0.5,N($C$15),0)</f>
        <v>0</v>
      </c>
      <c r="G294" s="41" t="n">
        <f aca="false">IF(AND(D294&gt;0.5,N($C$19)&gt;0,N(B294)&lt;=N($C$20)),D294*$F$8,0)</f>
        <v>0</v>
      </c>
      <c r="H294" s="41" t="n">
        <f aca="false">IF(D294&lt;=0.5,0,MIN(IF(N(I294)&gt;0,I294,$F$9),D294+E294+F294))</f>
        <v>0</v>
      </c>
      <c r="I294" s="77"/>
      <c r="J294" s="77"/>
      <c r="K294" s="41" t="n">
        <f aca="false">IF(D294&lt;=0.5,0,MIN(H294+N(J294),D294+E294+F294))</f>
        <v>0</v>
      </c>
      <c r="L294" s="41" t="n">
        <f aca="false">K294-E294-F294</f>
        <v>0</v>
      </c>
      <c r="M294" s="41" t="n">
        <f aca="false">D294-L294</f>
        <v>0</v>
      </c>
      <c r="N294" s="42" t="n">
        <f aca="false">K294-G294</f>
        <v>0</v>
      </c>
      <c r="O294" s="78"/>
      <c r="P294" s="79"/>
      <c r="Q294" s="16" t="str">
        <f aca="false">IF(K294=0,"",IF(R294=1,"Pagada",IF(C294&lt;$F$12,"Vencida",IF(268=$F$13,"Próxima","Pendiente"))))</f>
        <v/>
      </c>
      <c r="R294" s="62" t="n">
        <f aca="false">IF(AND(K294&gt;0,OR(O294="Sí",O294="Si")),1,0)</f>
        <v>0</v>
      </c>
      <c r="S294" s="62" t="n">
        <f aca="false">IF(AND(K294&gt;0,R294=0),1,0)</f>
        <v>0</v>
      </c>
    </row>
    <row r="295" customFormat="false" ht="15" hidden="false" customHeight="false" outlineLevel="0" collapsed="false">
      <c r="B295" s="71" t="str">
        <f aca="false">IF($F$6="Sí",N($C$11)+268,"")</f>
        <v/>
      </c>
      <c r="C295" s="72" t="str">
        <f aca="false">IF(OR($F$6&lt;&gt;"Sí",D295&lt;=0.5),"",EDATE($C$10,268))</f>
        <v/>
      </c>
      <c r="D295" s="41" t="n">
        <f aca="false">MAX(0,M294)</f>
        <v>0</v>
      </c>
      <c r="E295" s="41" t="n">
        <f aca="false">D295*$F$7</f>
        <v>0</v>
      </c>
      <c r="F295" s="41" t="n">
        <f aca="false">IF(D295&gt;0.5,N($C$15),0)</f>
        <v>0</v>
      </c>
      <c r="G295" s="41" t="n">
        <f aca="false">IF(AND(D295&gt;0.5,N($C$19)&gt;0,N(B295)&lt;=N($C$20)),D295*$F$8,0)</f>
        <v>0</v>
      </c>
      <c r="H295" s="41" t="n">
        <f aca="false">IF(D295&lt;=0.5,0,MIN(IF(N(I295)&gt;0,I295,$F$9),D295+E295+F295))</f>
        <v>0</v>
      </c>
      <c r="I295" s="77"/>
      <c r="J295" s="77"/>
      <c r="K295" s="41" t="n">
        <f aca="false">IF(D295&lt;=0.5,0,MIN(H295+N(J295),D295+E295+F295))</f>
        <v>0</v>
      </c>
      <c r="L295" s="41" t="n">
        <f aca="false">K295-E295-F295</f>
        <v>0</v>
      </c>
      <c r="M295" s="41" t="n">
        <f aca="false">D295-L295</f>
        <v>0</v>
      </c>
      <c r="N295" s="42" t="n">
        <f aca="false">K295-G295</f>
        <v>0</v>
      </c>
      <c r="O295" s="78"/>
      <c r="P295" s="79"/>
      <c r="Q295" s="16" t="str">
        <f aca="false">IF(K295=0,"",IF(R295=1,"Pagada",IF(C295&lt;$F$12,"Vencida",IF(269=$F$13,"Próxima","Pendiente"))))</f>
        <v/>
      </c>
      <c r="R295" s="62" t="n">
        <f aca="false">IF(AND(K295&gt;0,OR(O295="Sí",O295="Si")),1,0)</f>
        <v>0</v>
      </c>
      <c r="S295" s="62" t="n">
        <f aca="false">IF(AND(K295&gt;0,R295=0),1,0)</f>
        <v>0</v>
      </c>
    </row>
    <row r="296" customFormat="false" ht="15" hidden="false" customHeight="false" outlineLevel="0" collapsed="false">
      <c r="B296" s="71" t="str">
        <f aca="false">IF($F$6="Sí",N($C$11)+269,"")</f>
        <v/>
      </c>
      <c r="C296" s="72" t="str">
        <f aca="false">IF(OR($F$6&lt;&gt;"Sí",D296&lt;=0.5),"",EDATE($C$10,269))</f>
        <v/>
      </c>
      <c r="D296" s="41" t="n">
        <f aca="false">MAX(0,M295)</f>
        <v>0</v>
      </c>
      <c r="E296" s="41" t="n">
        <f aca="false">D296*$F$7</f>
        <v>0</v>
      </c>
      <c r="F296" s="41" t="n">
        <f aca="false">IF(D296&gt;0.5,N($C$15),0)</f>
        <v>0</v>
      </c>
      <c r="G296" s="41" t="n">
        <f aca="false">IF(AND(D296&gt;0.5,N($C$19)&gt;0,N(B296)&lt;=N($C$20)),D296*$F$8,0)</f>
        <v>0</v>
      </c>
      <c r="H296" s="41" t="n">
        <f aca="false">IF(D296&lt;=0.5,0,MIN(IF(N(I296)&gt;0,I296,$F$9),D296+E296+F296))</f>
        <v>0</v>
      </c>
      <c r="I296" s="77"/>
      <c r="J296" s="77"/>
      <c r="K296" s="41" t="n">
        <f aca="false">IF(D296&lt;=0.5,0,MIN(H296+N(J296),D296+E296+F296))</f>
        <v>0</v>
      </c>
      <c r="L296" s="41" t="n">
        <f aca="false">K296-E296-F296</f>
        <v>0</v>
      </c>
      <c r="M296" s="41" t="n">
        <f aca="false">D296-L296</f>
        <v>0</v>
      </c>
      <c r="N296" s="42" t="n">
        <f aca="false">K296-G296</f>
        <v>0</v>
      </c>
      <c r="O296" s="78"/>
      <c r="P296" s="79"/>
      <c r="Q296" s="16" t="str">
        <f aca="false">IF(K296=0,"",IF(R296=1,"Pagada",IF(C296&lt;$F$12,"Vencida",IF(270=$F$13,"Próxima","Pendiente"))))</f>
        <v/>
      </c>
      <c r="R296" s="62" t="n">
        <f aca="false">IF(AND(K296&gt;0,OR(O296="Sí",O296="Si")),1,0)</f>
        <v>0</v>
      </c>
      <c r="S296" s="62" t="n">
        <f aca="false">IF(AND(K296&gt;0,R296=0),1,0)</f>
        <v>0</v>
      </c>
    </row>
    <row r="297" customFormat="false" ht="15" hidden="false" customHeight="false" outlineLevel="0" collapsed="false">
      <c r="B297" s="71" t="str">
        <f aca="false">IF($F$6="Sí",N($C$11)+270,"")</f>
        <v/>
      </c>
      <c r="C297" s="72" t="str">
        <f aca="false">IF(OR($F$6&lt;&gt;"Sí",D297&lt;=0.5),"",EDATE($C$10,270))</f>
        <v/>
      </c>
      <c r="D297" s="41" t="n">
        <f aca="false">MAX(0,M296)</f>
        <v>0</v>
      </c>
      <c r="E297" s="41" t="n">
        <f aca="false">D297*$F$7</f>
        <v>0</v>
      </c>
      <c r="F297" s="41" t="n">
        <f aca="false">IF(D297&gt;0.5,N($C$15),0)</f>
        <v>0</v>
      </c>
      <c r="G297" s="41" t="n">
        <f aca="false">IF(AND(D297&gt;0.5,N($C$19)&gt;0,N(B297)&lt;=N($C$20)),D297*$F$8,0)</f>
        <v>0</v>
      </c>
      <c r="H297" s="41" t="n">
        <f aca="false">IF(D297&lt;=0.5,0,MIN(IF(N(I297)&gt;0,I297,$F$9),D297+E297+F297))</f>
        <v>0</v>
      </c>
      <c r="I297" s="77"/>
      <c r="J297" s="77"/>
      <c r="K297" s="41" t="n">
        <f aca="false">IF(D297&lt;=0.5,0,MIN(H297+N(J297),D297+E297+F297))</f>
        <v>0</v>
      </c>
      <c r="L297" s="41" t="n">
        <f aca="false">K297-E297-F297</f>
        <v>0</v>
      </c>
      <c r="M297" s="41" t="n">
        <f aca="false">D297-L297</f>
        <v>0</v>
      </c>
      <c r="N297" s="42" t="n">
        <f aca="false">K297-G297</f>
        <v>0</v>
      </c>
      <c r="O297" s="78"/>
      <c r="P297" s="79"/>
      <c r="Q297" s="16" t="str">
        <f aca="false">IF(K297=0,"",IF(R297=1,"Pagada",IF(C297&lt;$F$12,"Vencida",IF(271=$F$13,"Próxima","Pendiente"))))</f>
        <v/>
      </c>
      <c r="R297" s="62" t="n">
        <f aca="false">IF(AND(K297&gt;0,OR(O297="Sí",O297="Si")),1,0)</f>
        <v>0</v>
      </c>
      <c r="S297" s="62" t="n">
        <f aca="false">IF(AND(K297&gt;0,R297=0),1,0)</f>
        <v>0</v>
      </c>
    </row>
    <row r="298" customFormat="false" ht="15" hidden="false" customHeight="false" outlineLevel="0" collapsed="false">
      <c r="B298" s="71" t="str">
        <f aca="false">IF($F$6="Sí",N($C$11)+271,"")</f>
        <v/>
      </c>
      <c r="C298" s="72" t="str">
        <f aca="false">IF(OR($F$6&lt;&gt;"Sí",D298&lt;=0.5),"",EDATE($C$10,271))</f>
        <v/>
      </c>
      <c r="D298" s="41" t="n">
        <f aca="false">MAX(0,M297)</f>
        <v>0</v>
      </c>
      <c r="E298" s="41" t="n">
        <f aca="false">D298*$F$7</f>
        <v>0</v>
      </c>
      <c r="F298" s="41" t="n">
        <f aca="false">IF(D298&gt;0.5,N($C$15),0)</f>
        <v>0</v>
      </c>
      <c r="G298" s="41" t="n">
        <f aca="false">IF(AND(D298&gt;0.5,N($C$19)&gt;0,N(B298)&lt;=N($C$20)),D298*$F$8,0)</f>
        <v>0</v>
      </c>
      <c r="H298" s="41" t="n">
        <f aca="false">IF(D298&lt;=0.5,0,MIN(IF(N(I298)&gt;0,I298,$F$9),D298+E298+F298))</f>
        <v>0</v>
      </c>
      <c r="I298" s="77"/>
      <c r="J298" s="77"/>
      <c r="K298" s="41" t="n">
        <f aca="false">IF(D298&lt;=0.5,0,MIN(H298+N(J298),D298+E298+F298))</f>
        <v>0</v>
      </c>
      <c r="L298" s="41" t="n">
        <f aca="false">K298-E298-F298</f>
        <v>0</v>
      </c>
      <c r="M298" s="41" t="n">
        <f aca="false">D298-L298</f>
        <v>0</v>
      </c>
      <c r="N298" s="42" t="n">
        <f aca="false">K298-G298</f>
        <v>0</v>
      </c>
      <c r="O298" s="78"/>
      <c r="P298" s="79"/>
      <c r="Q298" s="16" t="str">
        <f aca="false">IF(K298=0,"",IF(R298=1,"Pagada",IF(C298&lt;$F$12,"Vencida",IF(272=$F$13,"Próxima","Pendiente"))))</f>
        <v/>
      </c>
      <c r="R298" s="62" t="n">
        <f aca="false">IF(AND(K298&gt;0,OR(O298="Sí",O298="Si")),1,0)</f>
        <v>0</v>
      </c>
      <c r="S298" s="62" t="n">
        <f aca="false">IF(AND(K298&gt;0,R298=0),1,0)</f>
        <v>0</v>
      </c>
    </row>
    <row r="299" customFormat="false" ht="15" hidden="false" customHeight="false" outlineLevel="0" collapsed="false">
      <c r="B299" s="71" t="str">
        <f aca="false">IF($F$6="Sí",N($C$11)+272,"")</f>
        <v/>
      </c>
      <c r="C299" s="72" t="str">
        <f aca="false">IF(OR($F$6&lt;&gt;"Sí",D299&lt;=0.5),"",EDATE($C$10,272))</f>
        <v/>
      </c>
      <c r="D299" s="41" t="n">
        <f aca="false">MAX(0,M298)</f>
        <v>0</v>
      </c>
      <c r="E299" s="41" t="n">
        <f aca="false">D299*$F$7</f>
        <v>0</v>
      </c>
      <c r="F299" s="41" t="n">
        <f aca="false">IF(D299&gt;0.5,N($C$15),0)</f>
        <v>0</v>
      </c>
      <c r="G299" s="41" t="n">
        <f aca="false">IF(AND(D299&gt;0.5,N($C$19)&gt;0,N(B299)&lt;=N($C$20)),D299*$F$8,0)</f>
        <v>0</v>
      </c>
      <c r="H299" s="41" t="n">
        <f aca="false">IF(D299&lt;=0.5,0,MIN(IF(N(I299)&gt;0,I299,$F$9),D299+E299+F299))</f>
        <v>0</v>
      </c>
      <c r="I299" s="77"/>
      <c r="J299" s="77"/>
      <c r="K299" s="41" t="n">
        <f aca="false">IF(D299&lt;=0.5,0,MIN(H299+N(J299),D299+E299+F299))</f>
        <v>0</v>
      </c>
      <c r="L299" s="41" t="n">
        <f aca="false">K299-E299-F299</f>
        <v>0</v>
      </c>
      <c r="M299" s="41" t="n">
        <f aca="false">D299-L299</f>
        <v>0</v>
      </c>
      <c r="N299" s="42" t="n">
        <f aca="false">K299-G299</f>
        <v>0</v>
      </c>
      <c r="O299" s="78"/>
      <c r="P299" s="79"/>
      <c r="Q299" s="16" t="str">
        <f aca="false">IF(K299=0,"",IF(R299=1,"Pagada",IF(C299&lt;$F$12,"Vencida",IF(273=$F$13,"Próxima","Pendiente"))))</f>
        <v/>
      </c>
      <c r="R299" s="62" t="n">
        <f aca="false">IF(AND(K299&gt;0,OR(O299="Sí",O299="Si")),1,0)</f>
        <v>0</v>
      </c>
      <c r="S299" s="62" t="n">
        <f aca="false">IF(AND(K299&gt;0,R299=0),1,0)</f>
        <v>0</v>
      </c>
    </row>
    <row r="300" customFormat="false" ht="15" hidden="false" customHeight="false" outlineLevel="0" collapsed="false">
      <c r="B300" s="71" t="str">
        <f aca="false">IF($F$6="Sí",N($C$11)+273,"")</f>
        <v/>
      </c>
      <c r="C300" s="72" t="str">
        <f aca="false">IF(OR($F$6&lt;&gt;"Sí",D300&lt;=0.5),"",EDATE($C$10,273))</f>
        <v/>
      </c>
      <c r="D300" s="41" t="n">
        <f aca="false">MAX(0,M299)</f>
        <v>0</v>
      </c>
      <c r="E300" s="41" t="n">
        <f aca="false">D300*$F$7</f>
        <v>0</v>
      </c>
      <c r="F300" s="41" t="n">
        <f aca="false">IF(D300&gt;0.5,N($C$15),0)</f>
        <v>0</v>
      </c>
      <c r="G300" s="41" t="n">
        <f aca="false">IF(AND(D300&gt;0.5,N($C$19)&gt;0,N(B300)&lt;=N($C$20)),D300*$F$8,0)</f>
        <v>0</v>
      </c>
      <c r="H300" s="41" t="n">
        <f aca="false">IF(D300&lt;=0.5,0,MIN(IF(N(I300)&gt;0,I300,$F$9),D300+E300+F300))</f>
        <v>0</v>
      </c>
      <c r="I300" s="77"/>
      <c r="J300" s="77"/>
      <c r="K300" s="41" t="n">
        <f aca="false">IF(D300&lt;=0.5,0,MIN(H300+N(J300),D300+E300+F300))</f>
        <v>0</v>
      </c>
      <c r="L300" s="41" t="n">
        <f aca="false">K300-E300-F300</f>
        <v>0</v>
      </c>
      <c r="M300" s="41" t="n">
        <f aca="false">D300-L300</f>
        <v>0</v>
      </c>
      <c r="N300" s="42" t="n">
        <f aca="false">K300-G300</f>
        <v>0</v>
      </c>
      <c r="O300" s="78"/>
      <c r="P300" s="79"/>
      <c r="Q300" s="16" t="str">
        <f aca="false">IF(K300=0,"",IF(R300=1,"Pagada",IF(C300&lt;$F$12,"Vencida",IF(274=$F$13,"Próxima","Pendiente"))))</f>
        <v/>
      </c>
      <c r="R300" s="62" t="n">
        <f aca="false">IF(AND(K300&gt;0,OR(O300="Sí",O300="Si")),1,0)</f>
        <v>0</v>
      </c>
      <c r="S300" s="62" t="n">
        <f aca="false">IF(AND(K300&gt;0,R300=0),1,0)</f>
        <v>0</v>
      </c>
    </row>
    <row r="301" customFormat="false" ht="15" hidden="false" customHeight="false" outlineLevel="0" collapsed="false">
      <c r="B301" s="71" t="str">
        <f aca="false">IF($F$6="Sí",N($C$11)+274,"")</f>
        <v/>
      </c>
      <c r="C301" s="72" t="str">
        <f aca="false">IF(OR($F$6&lt;&gt;"Sí",D301&lt;=0.5),"",EDATE($C$10,274))</f>
        <v/>
      </c>
      <c r="D301" s="41" t="n">
        <f aca="false">MAX(0,M300)</f>
        <v>0</v>
      </c>
      <c r="E301" s="41" t="n">
        <f aca="false">D301*$F$7</f>
        <v>0</v>
      </c>
      <c r="F301" s="41" t="n">
        <f aca="false">IF(D301&gt;0.5,N($C$15),0)</f>
        <v>0</v>
      </c>
      <c r="G301" s="41" t="n">
        <f aca="false">IF(AND(D301&gt;0.5,N($C$19)&gt;0,N(B301)&lt;=N($C$20)),D301*$F$8,0)</f>
        <v>0</v>
      </c>
      <c r="H301" s="41" t="n">
        <f aca="false">IF(D301&lt;=0.5,0,MIN(IF(N(I301)&gt;0,I301,$F$9),D301+E301+F301))</f>
        <v>0</v>
      </c>
      <c r="I301" s="77"/>
      <c r="J301" s="77"/>
      <c r="K301" s="41" t="n">
        <f aca="false">IF(D301&lt;=0.5,0,MIN(H301+N(J301),D301+E301+F301))</f>
        <v>0</v>
      </c>
      <c r="L301" s="41" t="n">
        <f aca="false">K301-E301-F301</f>
        <v>0</v>
      </c>
      <c r="M301" s="41" t="n">
        <f aca="false">D301-L301</f>
        <v>0</v>
      </c>
      <c r="N301" s="42" t="n">
        <f aca="false">K301-G301</f>
        <v>0</v>
      </c>
      <c r="O301" s="78"/>
      <c r="P301" s="79"/>
      <c r="Q301" s="16" t="str">
        <f aca="false">IF(K301=0,"",IF(R301=1,"Pagada",IF(C301&lt;$F$12,"Vencida",IF(275=$F$13,"Próxima","Pendiente"))))</f>
        <v/>
      </c>
      <c r="R301" s="62" t="n">
        <f aca="false">IF(AND(K301&gt;0,OR(O301="Sí",O301="Si")),1,0)</f>
        <v>0</v>
      </c>
      <c r="S301" s="62" t="n">
        <f aca="false">IF(AND(K301&gt;0,R301=0),1,0)</f>
        <v>0</v>
      </c>
    </row>
    <row r="302" customFormat="false" ht="15" hidden="false" customHeight="false" outlineLevel="0" collapsed="false">
      <c r="B302" s="71" t="str">
        <f aca="false">IF($F$6="Sí",N($C$11)+275,"")</f>
        <v/>
      </c>
      <c r="C302" s="72" t="str">
        <f aca="false">IF(OR($F$6&lt;&gt;"Sí",D302&lt;=0.5),"",EDATE($C$10,275))</f>
        <v/>
      </c>
      <c r="D302" s="41" t="n">
        <f aca="false">MAX(0,M301)</f>
        <v>0</v>
      </c>
      <c r="E302" s="41" t="n">
        <f aca="false">D302*$F$7</f>
        <v>0</v>
      </c>
      <c r="F302" s="41" t="n">
        <f aca="false">IF(D302&gt;0.5,N($C$15),0)</f>
        <v>0</v>
      </c>
      <c r="G302" s="41" t="n">
        <f aca="false">IF(AND(D302&gt;0.5,N($C$19)&gt;0,N(B302)&lt;=N($C$20)),D302*$F$8,0)</f>
        <v>0</v>
      </c>
      <c r="H302" s="41" t="n">
        <f aca="false">IF(D302&lt;=0.5,0,MIN(IF(N(I302)&gt;0,I302,$F$9),D302+E302+F302))</f>
        <v>0</v>
      </c>
      <c r="I302" s="77"/>
      <c r="J302" s="77"/>
      <c r="K302" s="41" t="n">
        <f aca="false">IF(D302&lt;=0.5,0,MIN(H302+N(J302),D302+E302+F302))</f>
        <v>0</v>
      </c>
      <c r="L302" s="41" t="n">
        <f aca="false">K302-E302-F302</f>
        <v>0</v>
      </c>
      <c r="M302" s="41" t="n">
        <f aca="false">D302-L302</f>
        <v>0</v>
      </c>
      <c r="N302" s="42" t="n">
        <f aca="false">K302-G302</f>
        <v>0</v>
      </c>
      <c r="O302" s="78"/>
      <c r="P302" s="79"/>
      <c r="Q302" s="16" t="str">
        <f aca="false">IF(K302=0,"",IF(R302=1,"Pagada",IF(C302&lt;$F$12,"Vencida",IF(276=$F$13,"Próxima","Pendiente"))))</f>
        <v/>
      </c>
      <c r="R302" s="62" t="n">
        <f aca="false">IF(AND(K302&gt;0,OR(O302="Sí",O302="Si")),1,0)</f>
        <v>0</v>
      </c>
      <c r="S302" s="62" t="n">
        <f aca="false">IF(AND(K302&gt;0,R302=0),1,0)</f>
        <v>0</v>
      </c>
    </row>
    <row r="303" customFormat="false" ht="15" hidden="false" customHeight="false" outlineLevel="0" collapsed="false">
      <c r="B303" s="71" t="str">
        <f aca="false">IF($F$6="Sí",N($C$11)+276,"")</f>
        <v/>
      </c>
      <c r="C303" s="72" t="str">
        <f aca="false">IF(OR($F$6&lt;&gt;"Sí",D303&lt;=0.5),"",EDATE($C$10,276))</f>
        <v/>
      </c>
      <c r="D303" s="41" t="n">
        <f aca="false">MAX(0,M302)</f>
        <v>0</v>
      </c>
      <c r="E303" s="41" t="n">
        <f aca="false">D303*$F$7</f>
        <v>0</v>
      </c>
      <c r="F303" s="41" t="n">
        <f aca="false">IF(D303&gt;0.5,N($C$15),0)</f>
        <v>0</v>
      </c>
      <c r="G303" s="41" t="n">
        <f aca="false">IF(AND(D303&gt;0.5,N($C$19)&gt;0,N(B303)&lt;=N($C$20)),D303*$F$8,0)</f>
        <v>0</v>
      </c>
      <c r="H303" s="41" t="n">
        <f aca="false">IF(D303&lt;=0.5,0,MIN(IF(N(I303)&gt;0,I303,$F$9),D303+E303+F303))</f>
        <v>0</v>
      </c>
      <c r="I303" s="77"/>
      <c r="J303" s="77"/>
      <c r="K303" s="41" t="n">
        <f aca="false">IF(D303&lt;=0.5,0,MIN(H303+N(J303),D303+E303+F303))</f>
        <v>0</v>
      </c>
      <c r="L303" s="41" t="n">
        <f aca="false">K303-E303-F303</f>
        <v>0</v>
      </c>
      <c r="M303" s="41" t="n">
        <f aca="false">D303-L303</f>
        <v>0</v>
      </c>
      <c r="N303" s="42" t="n">
        <f aca="false">K303-G303</f>
        <v>0</v>
      </c>
      <c r="O303" s="78"/>
      <c r="P303" s="79"/>
      <c r="Q303" s="16" t="str">
        <f aca="false">IF(K303=0,"",IF(R303=1,"Pagada",IF(C303&lt;$F$12,"Vencida",IF(277=$F$13,"Próxima","Pendiente"))))</f>
        <v/>
      </c>
      <c r="R303" s="62" t="n">
        <f aca="false">IF(AND(K303&gt;0,OR(O303="Sí",O303="Si")),1,0)</f>
        <v>0</v>
      </c>
      <c r="S303" s="62" t="n">
        <f aca="false">IF(AND(K303&gt;0,R303=0),1,0)</f>
        <v>0</v>
      </c>
    </row>
    <row r="304" customFormat="false" ht="15" hidden="false" customHeight="false" outlineLevel="0" collapsed="false">
      <c r="B304" s="71" t="str">
        <f aca="false">IF($F$6="Sí",N($C$11)+277,"")</f>
        <v/>
      </c>
      <c r="C304" s="72" t="str">
        <f aca="false">IF(OR($F$6&lt;&gt;"Sí",D304&lt;=0.5),"",EDATE($C$10,277))</f>
        <v/>
      </c>
      <c r="D304" s="41" t="n">
        <f aca="false">MAX(0,M303)</f>
        <v>0</v>
      </c>
      <c r="E304" s="41" t="n">
        <f aca="false">D304*$F$7</f>
        <v>0</v>
      </c>
      <c r="F304" s="41" t="n">
        <f aca="false">IF(D304&gt;0.5,N($C$15),0)</f>
        <v>0</v>
      </c>
      <c r="G304" s="41" t="n">
        <f aca="false">IF(AND(D304&gt;0.5,N($C$19)&gt;0,N(B304)&lt;=N($C$20)),D304*$F$8,0)</f>
        <v>0</v>
      </c>
      <c r="H304" s="41" t="n">
        <f aca="false">IF(D304&lt;=0.5,0,MIN(IF(N(I304)&gt;0,I304,$F$9),D304+E304+F304))</f>
        <v>0</v>
      </c>
      <c r="I304" s="77"/>
      <c r="J304" s="77"/>
      <c r="K304" s="41" t="n">
        <f aca="false">IF(D304&lt;=0.5,0,MIN(H304+N(J304),D304+E304+F304))</f>
        <v>0</v>
      </c>
      <c r="L304" s="41" t="n">
        <f aca="false">K304-E304-F304</f>
        <v>0</v>
      </c>
      <c r="M304" s="41" t="n">
        <f aca="false">D304-L304</f>
        <v>0</v>
      </c>
      <c r="N304" s="42" t="n">
        <f aca="false">K304-G304</f>
        <v>0</v>
      </c>
      <c r="O304" s="78"/>
      <c r="P304" s="79"/>
      <c r="Q304" s="16" t="str">
        <f aca="false">IF(K304=0,"",IF(R304=1,"Pagada",IF(C304&lt;$F$12,"Vencida",IF(278=$F$13,"Próxima","Pendiente"))))</f>
        <v/>
      </c>
      <c r="R304" s="62" t="n">
        <f aca="false">IF(AND(K304&gt;0,OR(O304="Sí",O304="Si")),1,0)</f>
        <v>0</v>
      </c>
      <c r="S304" s="62" t="n">
        <f aca="false">IF(AND(K304&gt;0,R304=0),1,0)</f>
        <v>0</v>
      </c>
    </row>
    <row r="305" customFormat="false" ht="15" hidden="false" customHeight="false" outlineLevel="0" collapsed="false">
      <c r="B305" s="71" t="str">
        <f aca="false">IF($F$6="Sí",N($C$11)+278,"")</f>
        <v/>
      </c>
      <c r="C305" s="72" t="str">
        <f aca="false">IF(OR($F$6&lt;&gt;"Sí",D305&lt;=0.5),"",EDATE($C$10,278))</f>
        <v/>
      </c>
      <c r="D305" s="41" t="n">
        <f aca="false">MAX(0,M304)</f>
        <v>0</v>
      </c>
      <c r="E305" s="41" t="n">
        <f aca="false">D305*$F$7</f>
        <v>0</v>
      </c>
      <c r="F305" s="41" t="n">
        <f aca="false">IF(D305&gt;0.5,N($C$15),0)</f>
        <v>0</v>
      </c>
      <c r="G305" s="41" t="n">
        <f aca="false">IF(AND(D305&gt;0.5,N($C$19)&gt;0,N(B305)&lt;=N($C$20)),D305*$F$8,0)</f>
        <v>0</v>
      </c>
      <c r="H305" s="41" t="n">
        <f aca="false">IF(D305&lt;=0.5,0,MIN(IF(N(I305)&gt;0,I305,$F$9),D305+E305+F305))</f>
        <v>0</v>
      </c>
      <c r="I305" s="77"/>
      <c r="J305" s="77"/>
      <c r="K305" s="41" t="n">
        <f aca="false">IF(D305&lt;=0.5,0,MIN(H305+N(J305),D305+E305+F305))</f>
        <v>0</v>
      </c>
      <c r="L305" s="41" t="n">
        <f aca="false">K305-E305-F305</f>
        <v>0</v>
      </c>
      <c r="M305" s="41" t="n">
        <f aca="false">D305-L305</f>
        <v>0</v>
      </c>
      <c r="N305" s="42" t="n">
        <f aca="false">K305-G305</f>
        <v>0</v>
      </c>
      <c r="O305" s="78"/>
      <c r="P305" s="79"/>
      <c r="Q305" s="16" t="str">
        <f aca="false">IF(K305=0,"",IF(R305=1,"Pagada",IF(C305&lt;$F$12,"Vencida",IF(279=$F$13,"Próxima","Pendiente"))))</f>
        <v/>
      </c>
      <c r="R305" s="62" t="n">
        <f aca="false">IF(AND(K305&gt;0,OR(O305="Sí",O305="Si")),1,0)</f>
        <v>0</v>
      </c>
      <c r="S305" s="62" t="n">
        <f aca="false">IF(AND(K305&gt;0,R305=0),1,0)</f>
        <v>0</v>
      </c>
    </row>
    <row r="306" customFormat="false" ht="15" hidden="false" customHeight="false" outlineLevel="0" collapsed="false">
      <c r="B306" s="71" t="str">
        <f aca="false">IF($F$6="Sí",N($C$11)+279,"")</f>
        <v/>
      </c>
      <c r="C306" s="72" t="str">
        <f aca="false">IF(OR($F$6&lt;&gt;"Sí",D306&lt;=0.5),"",EDATE($C$10,279))</f>
        <v/>
      </c>
      <c r="D306" s="41" t="n">
        <f aca="false">MAX(0,M305)</f>
        <v>0</v>
      </c>
      <c r="E306" s="41" t="n">
        <f aca="false">D306*$F$7</f>
        <v>0</v>
      </c>
      <c r="F306" s="41" t="n">
        <f aca="false">IF(D306&gt;0.5,N($C$15),0)</f>
        <v>0</v>
      </c>
      <c r="G306" s="41" t="n">
        <f aca="false">IF(AND(D306&gt;0.5,N($C$19)&gt;0,N(B306)&lt;=N($C$20)),D306*$F$8,0)</f>
        <v>0</v>
      </c>
      <c r="H306" s="41" t="n">
        <f aca="false">IF(D306&lt;=0.5,0,MIN(IF(N(I306)&gt;0,I306,$F$9),D306+E306+F306))</f>
        <v>0</v>
      </c>
      <c r="I306" s="77"/>
      <c r="J306" s="77"/>
      <c r="K306" s="41" t="n">
        <f aca="false">IF(D306&lt;=0.5,0,MIN(H306+N(J306),D306+E306+F306))</f>
        <v>0</v>
      </c>
      <c r="L306" s="41" t="n">
        <f aca="false">K306-E306-F306</f>
        <v>0</v>
      </c>
      <c r="M306" s="41" t="n">
        <f aca="false">D306-L306</f>
        <v>0</v>
      </c>
      <c r="N306" s="42" t="n">
        <f aca="false">K306-G306</f>
        <v>0</v>
      </c>
      <c r="O306" s="78"/>
      <c r="P306" s="79"/>
      <c r="Q306" s="16" t="str">
        <f aca="false">IF(K306=0,"",IF(R306=1,"Pagada",IF(C306&lt;$F$12,"Vencida",IF(280=$F$13,"Próxima","Pendiente"))))</f>
        <v/>
      </c>
      <c r="R306" s="62" t="n">
        <f aca="false">IF(AND(K306&gt;0,OR(O306="Sí",O306="Si")),1,0)</f>
        <v>0</v>
      </c>
      <c r="S306" s="62" t="n">
        <f aca="false">IF(AND(K306&gt;0,R306=0),1,0)</f>
        <v>0</v>
      </c>
    </row>
    <row r="307" customFormat="false" ht="15" hidden="false" customHeight="false" outlineLevel="0" collapsed="false">
      <c r="B307" s="71" t="str">
        <f aca="false">IF($F$6="Sí",N($C$11)+280,"")</f>
        <v/>
      </c>
      <c r="C307" s="72" t="str">
        <f aca="false">IF(OR($F$6&lt;&gt;"Sí",D307&lt;=0.5),"",EDATE($C$10,280))</f>
        <v/>
      </c>
      <c r="D307" s="41" t="n">
        <f aca="false">MAX(0,M306)</f>
        <v>0</v>
      </c>
      <c r="E307" s="41" t="n">
        <f aca="false">D307*$F$7</f>
        <v>0</v>
      </c>
      <c r="F307" s="41" t="n">
        <f aca="false">IF(D307&gt;0.5,N($C$15),0)</f>
        <v>0</v>
      </c>
      <c r="G307" s="41" t="n">
        <f aca="false">IF(AND(D307&gt;0.5,N($C$19)&gt;0,N(B307)&lt;=N($C$20)),D307*$F$8,0)</f>
        <v>0</v>
      </c>
      <c r="H307" s="41" t="n">
        <f aca="false">IF(D307&lt;=0.5,0,MIN(IF(N(I307)&gt;0,I307,$F$9),D307+E307+F307))</f>
        <v>0</v>
      </c>
      <c r="I307" s="77"/>
      <c r="J307" s="77"/>
      <c r="K307" s="41" t="n">
        <f aca="false">IF(D307&lt;=0.5,0,MIN(H307+N(J307),D307+E307+F307))</f>
        <v>0</v>
      </c>
      <c r="L307" s="41" t="n">
        <f aca="false">K307-E307-F307</f>
        <v>0</v>
      </c>
      <c r="M307" s="41" t="n">
        <f aca="false">D307-L307</f>
        <v>0</v>
      </c>
      <c r="N307" s="42" t="n">
        <f aca="false">K307-G307</f>
        <v>0</v>
      </c>
      <c r="O307" s="78"/>
      <c r="P307" s="79"/>
      <c r="Q307" s="16" t="str">
        <f aca="false">IF(K307=0,"",IF(R307=1,"Pagada",IF(C307&lt;$F$12,"Vencida",IF(281=$F$13,"Próxima","Pendiente"))))</f>
        <v/>
      </c>
      <c r="R307" s="62" t="n">
        <f aca="false">IF(AND(K307&gt;0,OR(O307="Sí",O307="Si")),1,0)</f>
        <v>0</v>
      </c>
      <c r="S307" s="62" t="n">
        <f aca="false">IF(AND(K307&gt;0,R307=0),1,0)</f>
        <v>0</v>
      </c>
    </row>
    <row r="308" customFormat="false" ht="15" hidden="false" customHeight="false" outlineLevel="0" collapsed="false">
      <c r="B308" s="71" t="str">
        <f aca="false">IF($F$6="Sí",N($C$11)+281,"")</f>
        <v/>
      </c>
      <c r="C308" s="72" t="str">
        <f aca="false">IF(OR($F$6&lt;&gt;"Sí",D308&lt;=0.5),"",EDATE($C$10,281))</f>
        <v/>
      </c>
      <c r="D308" s="41" t="n">
        <f aca="false">MAX(0,M307)</f>
        <v>0</v>
      </c>
      <c r="E308" s="41" t="n">
        <f aca="false">D308*$F$7</f>
        <v>0</v>
      </c>
      <c r="F308" s="41" t="n">
        <f aca="false">IF(D308&gt;0.5,N($C$15),0)</f>
        <v>0</v>
      </c>
      <c r="G308" s="41" t="n">
        <f aca="false">IF(AND(D308&gt;0.5,N($C$19)&gt;0,N(B308)&lt;=N($C$20)),D308*$F$8,0)</f>
        <v>0</v>
      </c>
      <c r="H308" s="41" t="n">
        <f aca="false">IF(D308&lt;=0.5,0,MIN(IF(N(I308)&gt;0,I308,$F$9),D308+E308+F308))</f>
        <v>0</v>
      </c>
      <c r="I308" s="77"/>
      <c r="J308" s="77"/>
      <c r="K308" s="41" t="n">
        <f aca="false">IF(D308&lt;=0.5,0,MIN(H308+N(J308),D308+E308+F308))</f>
        <v>0</v>
      </c>
      <c r="L308" s="41" t="n">
        <f aca="false">K308-E308-F308</f>
        <v>0</v>
      </c>
      <c r="M308" s="41" t="n">
        <f aca="false">D308-L308</f>
        <v>0</v>
      </c>
      <c r="N308" s="42" t="n">
        <f aca="false">K308-G308</f>
        <v>0</v>
      </c>
      <c r="O308" s="78"/>
      <c r="P308" s="79"/>
      <c r="Q308" s="16" t="str">
        <f aca="false">IF(K308=0,"",IF(R308=1,"Pagada",IF(C308&lt;$F$12,"Vencida",IF(282=$F$13,"Próxima","Pendiente"))))</f>
        <v/>
      </c>
      <c r="R308" s="62" t="n">
        <f aca="false">IF(AND(K308&gt;0,OR(O308="Sí",O308="Si")),1,0)</f>
        <v>0</v>
      </c>
      <c r="S308" s="62" t="n">
        <f aca="false">IF(AND(K308&gt;0,R308=0),1,0)</f>
        <v>0</v>
      </c>
    </row>
    <row r="309" customFormat="false" ht="15" hidden="false" customHeight="false" outlineLevel="0" collapsed="false">
      <c r="B309" s="71" t="str">
        <f aca="false">IF($F$6="Sí",N($C$11)+282,"")</f>
        <v/>
      </c>
      <c r="C309" s="72" t="str">
        <f aca="false">IF(OR($F$6&lt;&gt;"Sí",D309&lt;=0.5),"",EDATE($C$10,282))</f>
        <v/>
      </c>
      <c r="D309" s="41" t="n">
        <f aca="false">MAX(0,M308)</f>
        <v>0</v>
      </c>
      <c r="E309" s="41" t="n">
        <f aca="false">D309*$F$7</f>
        <v>0</v>
      </c>
      <c r="F309" s="41" t="n">
        <f aca="false">IF(D309&gt;0.5,N($C$15),0)</f>
        <v>0</v>
      </c>
      <c r="G309" s="41" t="n">
        <f aca="false">IF(AND(D309&gt;0.5,N($C$19)&gt;0,N(B309)&lt;=N($C$20)),D309*$F$8,0)</f>
        <v>0</v>
      </c>
      <c r="H309" s="41" t="n">
        <f aca="false">IF(D309&lt;=0.5,0,MIN(IF(N(I309)&gt;0,I309,$F$9),D309+E309+F309))</f>
        <v>0</v>
      </c>
      <c r="I309" s="77"/>
      <c r="J309" s="77"/>
      <c r="K309" s="41" t="n">
        <f aca="false">IF(D309&lt;=0.5,0,MIN(H309+N(J309),D309+E309+F309))</f>
        <v>0</v>
      </c>
      <c r="L309" s="41" t="n">
        <f aca="false">K309-E309-F309</f>
        <v>0</v>
      </c>
      <c r="M309" s="41" t="n">
        <f aca="false">D309-L309</f>
        <v>0</v>
      </c>
      <c r="N309" s="42" t="n">
        <f aca="false">K309-G309</f>
        <v>0</v>
      </c>
      <c r="O309" s="78"/>
      <c r="P309" s="79"/>
      <c r="Q309" s="16" t="str">
        <f aca="false">IF(K309=0,"",IF(R309=1,"Pagada",IF(C309&lt;$F$12,"Vencida",IF(283=$F$13,"Próxima","Pendiente"))))</f>
        <v/>
      </c>
      <c r="R309" s="62" t="n">
        <f aca="false">IF(AND(K309&gt;0,OR(O309="Sí",O309="Si")),1,0)</f>
        <v>0</v>
      </c>
      <c r="S309" s="62" t="n">
        <f aca="false">IF(AND(K309&gt;0,R309=0),1,0)</f>
        <v>0</v>
      </c>
    </row>
    <row r="310" customFormat="false" ht="15" hidden="false" customHeight="false" outlineLevel="0" collapsed="false">
      <c r="B310" s="71" t="str">
        <f aca="false">IF($F$6="Sí",N($C$11)+283,"")</f>
        <v/>
      </c>
      <c r="C310" s="72" t="str">
        <f aca="false">IF(OR($F$6&lt;&gt;"Sí",D310&lt;=0.5),"",EDATE($C$10,283))</f>
        <v/>
      </c>
      <c r="D310" s="41" t="n">
        <f aca="false">MAX(0,M309)</f>
        <v>0</v>
      </c>
      <c r="E310" s="41" t="n">
        <f aca="false">D310*$F$7</f>
        <v>0</v>
      </c>
      <c r="F310" s="41" t="n">
        <f aca="false">IF(D310&gt;0.5,N($C$15),0)</f>
        <v>0</v>
      </c>
      <c r="G310" s="41" t="n">
        <f aca="false">IF(AND(D310&gt;0.5,N($C$19)&gt;0,N(B310)&lt;=N($C$20)),D310*$F$8,0)</f>
        <v>0</v>
      </c>
      <c r="H310" s="41" t="n">
        <f aca="false">IF(D310&lt;=0.5,0,MIN(IF(N(I310)&gt;0,I310,$F$9),D310+E310+F310))</f>
        <v>0</v>
      </c>
      <c r="I310" s="77"/>
      <c r="J310" s="77"/>
      <c r="K310" s="41" t="n">
        <f aca="false">IF(D310&lt;=0.5,0,MIN(H310+N(J310),D310+E310+F310))</f>
        <v>0</v>
      </c>
      <c r="L310" s="41" t="n">
        <f aca="false">K310-E310-F310</f>
        <v>0</v>
      </c>
      <c r="M310" s="41" t="n">
        <f aca="false">D310-L310</f>
        <v>0</v>
      </c>
      <c r="N310" s="42" t="n">
        <f aca="false">K310-G310</f>
        <v>0</v>
      </c>
      <c r="O310" s="78"/>
      <c r="P310" s="79"/>
      <c r="Q310" s="16" t="str">
        <f aca="false">IF(K310=0,"",IF(R310=1,"Pagada",IF(C310&lt;$F$12,"Vencida",IF(284=$F$13,"Próxima","Pendiente"))))</f>
        <v/>
      </c>
      <c r="R310" s="62" t="n">
        <f aca="false">IF(AND(K310&gt;0,OR(O310="Sí",O310="Si")),1,0)</f>
        <v>0</v>
      </c>
      <c r="S310" s="62" t="n">
        <f aca="false">IF(AND(K310&gt;0,R310=0),1,0)</f>
        <v>0</v>
      </c>
    </row>
    <row r="311" customFormat="false" ht="15" hidden="false" customHeight="false" outlineLevel="0" collapsed="false">
      <c r="B311" s="71" t="str">
        <f aca="false">IF($F$6="Sí",N($C$11)+284,"")</f>
        <v/>
      </c>
      <c r="C311" s="72" t="str">
        <f aca="false">IF(OR($F$6&lt;&gt;"Sí",D311&lt;=0.5),"",EDATE($C$10,284))</f>
        <v/>
      </c>
      <c r="D311" s="41" t="n">
        <f aca="false">MAX(0,M310)</f>
        <v>0</v>
      </c>
      <c r="E311" s="41" t="n">
        <f aca="false">D311*$F$7</f>
        <v>0</v>
      </c>
      <c r="F311" s="41" t="n">
        <f aca="false">IF(D311&gt;0.5,N($C$15),0)</f>
        <v>0</v>
      </c>
      <c r="G311" s="41" t="n">
        <f aca="false">IF(AND(D311&gt;0.5,N($C$19)&gt;0,N(B311)&lt;=N($C$20)),D311*$F$8,0)</f>
        <v>0</v>
      </c>
      <c r="H311" s="41" t="n">
        <f aca="false">IF(D311&lt;=0.5,0,MIN(IF(N(I311)&gt;0,I311,$F$9),D311+E311+F311))</f>
        <v>0</v>
      </c>
      <c r="I311" s="77"/>
      <c r="J311" s="77"/>
      <c r="K311" s="41" t="n">
        <f aca="false">IF(D311&lt;=0.5,0,MIN(H311+N(J311),D311+E311+F311))</f>
        <v>0</v>
      </c>
      <c r="L311" s="41" t="n">
        <f aca="false">K311-E311-F311</f>
        <v>0</v>
      </c>
      <c r="M311" s="41" t="n">
        <f aca="false">D311-L311</f>
        <v>0</v>
      </c>
      <c r="N311" s="42" t="n">
        <f aca="false">K311-G311</f>
        <v>0</v>
      </c>
      <c r="O311" s="78"/>
      <c r="P311" s="79"/>
      <c r="Q311" s="16" t="str">
        <f aca="false">IF(K311=0,"",IF(R311=1,"Pagada",IF(C311&lt;$F$12,"Vencida",IF(285=$F$13,"Próxima","Pendiente"))))</f>
        <v/>
      </c>
      <c r="R311" s="62" t="n">
        <f aca="false">IF(AND(K311&gt;0,OR(O311="Sí",O311="Si")),1,0)</f>
        <v>0</v>
      </c>
      <c r="S311" s="62" t="n">
        <f aca="false">IF(AND(K311&gt;0,R311=0),1,0)</f>
        <v>0</v>
      </c>
    </row>
    <row r="312" customFormat="false" ht="15" hidden="false" customHeight="false" outlineLevel="0" collapsed="false">
      <c r="B312" s="71" t="str">
        <f aca="false">IF($F$6="Sí",N($C$11)+285,"")</f>
        <v/>
      </c>
      <c r="C312" s="72" t="str">
        <f aca="false">IF(OR($F$6&lt;&gt;"Sí",D312&lt;=0.5),"",EDATE($C$10,285))</f>
        <v/>
      </c>
      <c r="D312" s="41" t="n">
        <f aca="false">MAX(0,M311)</f>
        <v>0</v>
      </c>
      <c r="E312" s="41" t="n">
        <f aca="false">D312*$F$7</f>
        <v>0</v>
      </c>
      <c r="F312" s="41" t="n">
        <f aca="false">IF(D312&gt;0.5,N($C$15),0)</f>
        <v>0</v>
      </c>
      <c r="G312" s="41" t="n">
        <f aca="false">IF(AND(D312&gt;0.5,N($C$19)&gt;0,N(B312)&lt;=N($C$20)),D312*$F$8,0)</f>
        <v>0</v>
      </c>
      <c r="H312" s="41" t="n">
        <f aca="false">IF(D312&lt;=0.5,0,MIN(IF(N(I312)&gt;0,I312,$F$9),D312+E312+F312))</f>
        <v>0</v>
      </c>
      <c r="I312" s="77"/>
      <c r="J312" s="77"/>
      <c r="K312" s="41" t="n">
        <f aca="false">IF(D312&lt;=0.5,0,MIN(H312+N(J312),D312+E312+F312))</f>
        <v>0</v>
      </c>
      <c r="L312" s="41" t="n">
        <f aca="false">K312-E312-F312</f>
        <v>0</v>
      </c>
      <c r="M312" s="41" t="n">
        <f aca="false">D312-L312</f>
        <v>0</v>
      </c>
      <c r="N312" s="42" t="n">
        <f aca="false">K312-G312</f>
        <v>0</v>
      </c>
      <c r="O312" s="78"/>
      <c r="P312" s="79"/>
      <c r="Q312" s="16" t="str">
        <f aca="false">IF(K312=0,"",IF(R312=1,"Pagada",IF(C312&lt;$F$12,"Vencida",IF(286=$F$13,"Próxima","Pendiente"))))</f>
        <v/>
      </c>
      <c r="R312" s="62" t="n">
        <f aca="false">IF(AND(K312&gt;0,OR(O312="Sí",O312="Si")),1,0)</f>
        <v>0</v>
      </c>
      <c r="S312" s="62" t="n">
        <f aca="false">IF(AND(K312&gt;0,R312=0),1,0)</f>
        <v>0</v>
      </c>
    </row>
    <row r="313" customFormat="false" ht="15" hidden="false" customHeight="false" outlineLevel="0" collapsed="false">
      <c r="B313" s="71" t="str">
        <f aca="false">IF($F$6="Sí",N($C$11)+286,"")</f>
        <v/>
      </c>
      <c r="C313" s="72" t="str">
        <f aca="false">IF(OR($F$6&lt;&gt;"Sí",D313&lt;=0.5),"",EDATE($C$10,286))</f>
        <v/>
      </c>
      <c r="D313" s="41" t="n">
        <f aca="false">MAX(0,M312)</f>
        <v>0</v>
      </c>
      <c r="E313" s="41" t="n">
        <f aca="false">D313*$F$7</f>
        <v>0</v>
      </c>
      <c r="F313" s="41" t="n">
        <f aca="false">IF(D313&gt;0.5,N($C$15),0)</f>
        <v>0</v>
      </c>
      <c r="G313" s="41" t="n">
        <f aca="false">IF(AND(D313&gt;0.5,N($C$19)&gt;0,N(B313)&lt;=N($C$20)),D313*$F$8,0)</f>
        <v>0</v>
      </c>
      <c r="H313" s="41" t="n">
        <f aca="false">IF(D313&lt;=0.5,0,MIN(IF(N(I313)&gt;0,I313,$F$9),D313+E313+F313))</f>
        <v>0</v>
      </c>
      <c r="I313" s="77"/>
      <c r="J313" s="77"/>
      <c r="K313" s="41" t="n">
        <f aca="false">IF(D313&lt;=0.5,0,MIN(H313+N(J313),D313+E313+F313))</f>
        <v>0</v>
      </c>
      <c r="L313" s="41" t="n">
        <f aca="false">K313-E313-F313</f>
        <v>0</v>
      </c>
      <c r="M313" s="41" t="n">
        <f aca="false">D313-L313</f>
        <v>0</v>
      </c>
      <c r="N313" s="42" t="n">
        <f aca="false">K313-G313</f>
        <v>0</v>
      </c>
      <c r="O313" s="78"/>
      <c r="P313" s="79"/>
      <c r="Q313" s="16" t="str">
        <f aca="false">IF(K313=0,"",IF(R313=1,"Pagada",IF(C313&lt;$F$12,"Vencida",IF(287=$F$13,"Próxima","Pendiente"))))</f>
        <v/>
      </c>
      <c r="R313" s="62" t="n">
        <f aca="false">IF(AND(K313&gt;0,OR(O313="Sí",O313="Si")),1,0)</f>
        <v>0</v>
      </c>
      <c r="S313" s="62" t="n">
        <f aca="false">IF(AND(K313&gt;0,R313=0),1,0)</f>
        <v>0</v>
      </c>
    </row>
    <row r="314" customFormat="false" ht="15" hidden="false" customHeight="false" outlineLevel="0" collapsed="false">
      <c r="B314" s="71" t="str">
        <f aca="false">IF($F$6="Sí",N($C$11)+287,"")</f>
        <v/>
      </c>
      <c r="C314" s="72" t="str">
        <f aca="false">IF(OR($F$6&lt;&gt;"Sí",D314&lt;=0.5),"",EDATE($C$10,287))</f>
        <v/>
      </c>
      <c r="D314" s="41" t="n">
        <f aca="false">MAX(0,M313)</f>
        <v>0</v>
      </c>
      <c r="E314" s="41" t="n">
        <f aca="false">D314*$F$7</f>
        <v>0</v>
      </c>
      <c r="F314" s="41" t="n">
        <f aca="false">IF(D314&gt;0.5,N($C$15),0)</f>
        <v>0</v>
      </c>
      <c r="G314" s="41" t="n">
        <f aca="false">IF(AND(D314&gt;0.5,N($C$19)&gt;0,N(B314)&lt;=N($C$20)),D314*$F$8,0)</f>
        <v>0</v>
      </c>
      <c r="H314" s="41" t="n">
        <f aca="false">IF(D314&lt;=0.5,0,MIN(IF(N(I314)&gt;0,I314,$F$9),D314+E314+F314))</f>
        <v>0</v>
      </c>
      <c r="I314" s="77"/>
      <c r="J314" s="77"/>
      <c r="K314" s="41" t="n">
        <f aca="false">IF(D314&lt;=0.5,0,MIN(H314+N(J314),D314+E314+F314))</f>
        <v>0</v>
      </c>
      <c r="L314" s="41" t="n">
        <f aca="false">K314-E314-F314</f>
        <v>0</v>
      </c>
      <c r="M314" s="41" t="n">
        <f aca="false">D314-L314</f>
        <v>0</v>
      </c>
      <c r="N314" s="42" t="n">
        <f aca="false">K314-G314</f>
        <v>0</v>
      </c>
      <c r="O314" s="78"/>
      <c r="P314" s="79"/>
      <c r="Q314" s="16" t="str">
        <f aca="false">IF(K314=0,"",IF(R314=1,"Pagada",IF(C314&lt;$F$12,"Vencida",IF(288=$F$13,"Próxima","Pendiente"))))</f>
        <v/>
      </c>
      <c r="R314" s="62" t="n">
        <f aca="false">IF(AND(K314&gt;0,OR(O314="Sí",O314="Si")),1,0)</f>
        <v>0</v>
      </c>
      <c r="S314" s="62" t="n">
        <f aca="false">IF(AND(K314&gt;0,R314=0),1,0)</f>
        <v>0</v>
      </c>
    </row>
    <row r="315" customFormat="false" ht="15" hidden="false" customHeight="false" outlineLevel="0" collapsed="false">
      <c r="B315" s="71" t="str">
        <f aca="false">IF($F$6="Sí",N($C$11)+288,"")</f>
        <v/>
      </c>
      <c r="C315" s="72" t="str">
        <f aca="false">IF(OR($F$6&lt;&gt;"Sí",D315&lt;=0.5),"",EDATE($C$10,288))</f>
        <v/>
      </c>
      <c r="D315" s="41" t="n">
        <f aca="false">MAX(0,M314)</f>
        <v>0</v>
      </c>
      <c r="E315" s="41" t="n">
        <f aca="false">D315*$F$7</f>
        <v>0</v>
      </c>
      <c r="F315" s="41" t="n">
        <f aca="false">IF(D315&gt;0.5,N($C$15),0)</f>
        <v>0</v>
      </c>
      <c r="G315" s="41" t="n">
        <f aca="false">IF(AND(D315&gt;0.5,N($C$19)&gt;0,N(B315)&lt;=N($C$20)),D315*$F$8,0)</f>
        <v>0</v>
      </c>
      <c r="H315" s="41" t="n">
        <f aca="false">IF(D315&lt;=0.5,0,MIN(IF(N(I315)&gt;0,I315,$F$9),D315+E315+F315))</f>
        <v>0</v>
      </c>
      <c r="I315" s="77"/>
      <c r="J315" s="77"/>
      <c r="K315" s="41" t="n">
        <f aca="false">IF(D315&lt;=0.5,0,MIN(H315+N(J315),D315+E315+F315))</f>
        <v>0</v>
      </c>
      <c r="L315" s="41" t="n">
        <f aca="false">K315-E315-F315</f>
        <v>0</v>
      </c>
      <c r="M315" s="41" t="n">
        <f aca="false">D315-L315</f>
        <v>0</v>
      </c>
      <c r="N315" s="42" t="n">
        <f aca="false">K315-G315</f>
        <v>0</v>
      </c>
      <c r="O315" s="78"/>
      <c r="P315" s="79"/>
      <c r="Q315" s="16" t="str">
        <f aca="false">IF(K315=0,"",IF(R315=1,"Pagada",IF(C315&lt;$F$12,"Vencida",IF(289=$F$13,"Próxima","Pendiente"))))</f>
        <v/>
      </c>
      <c r="R315" s="62" t="n">
        <f aca="false">IF(AND(K315&gt;0,OR(O315="Sí",O315="Si")),1,0)</f>
        <v>0</v>
      </c>
      <c r="S315" s="62" t="n">
        <f aca="false">IF(AND(K315&gt;0,R315=0),1,0)</f>
        <v>0</v>
      </c>
    </row>
    <row r="316" customFormat="false" ht="15" hidden="false" customHeight="false" outlineLevel="0" collapsed="false">
      <c r="B316" s="71" t="str">
        <f aca="false">IF($F$6="Sí",N($C$11)+289,"")</f>
        <v/>
      </c>
      <c r="C316" s="72" t="str">
        <f aca="false">IF(OR($F$6&lt;&gt;"Sí",D316&lt;=0.5),"",EDATE($C$10,289))</f>
        <v/>
      </c>
      <c r="D316" s="41" t="n">
        <f aca="false">MAX(0,M315)</f>
        <v>0</v>
      </c>
      <c r="E316" s="41" t="n">
        <f aca="false">D316*$F$7</f>
        <v>0</v>
      </c>
      <c r="F316" s="41" t="n">
        <f aca="false">IF(D316&gt;0.5,N($C$15),0)</f>
        <v>0</v>
      </c>
      <c r="G316" s="41" t="n">
        <f aca="false">IF(AND(D316&gt;0.5,N($C$19)&gt;0,N(B316)&lt;=N($C$20)),D316*$F$8,0)</f>
        <v>0</v>
      </c>
      <c r="H316" s="41" t="n">
        <f aca="false">IF(D316&lt;=0.5,0,MIN(IF(N(I316)&gt;0,I316,$F$9),D316+E316+F316))</f>
        <v>0</v>
      </c>
      <c r="I316" s="77"/>
      <c r="J316" s="77"/>
      <c r="K316" s="41" t="n">
        <f aca="false">IF(D316&lt;=0.5,0,MIN(H316+N(J316),D316+E316+F316))</f>
        <v>0</v>
      </c>
      <c r="L316" s="41" t="n">
        <f aca="false">K316-E316-F316</f>
        <v>0</v>
      </c>
      <c r="M316" s="41" t="n">
        <f aca="false">D316-L316</f>
        <v>0</v>
      </c>
      <c r="N316" s="42" t="n">
        <f aca="false">K316-G316</f>
        <v>0</v>
      </c>
      <c r="O316" s="78"/>
      <c r="P316" s="79"/>
      <c r="Q316" s="16" t="str">
        <f aca="false">IF(K316=0,"",IF(R316=1,"Pagada",IF(C316&lt;$F$12,"Vencida",IF(290=$F$13,"Próxima","Pendiente"))))</f>
        <v/>
      </c>
      <c r="R316" s="62" t="n">
        <f aca="false">IF(AND(K316&gt;0,OR(O316="Sí",O316="Si")),1,0)</f>
        <v>0</v>
      </c>
      <c r="S316" s="62" t="n">
        <f aca="false">IF(AND(K316&gt;0,R316=0),1,0)</f>
        <v>0</v>
      </c>
    </row>
    <row r="317" customFormat="false" ht="15" hidden="false" customHeight="false" outlineLevel="0" collapsed="false">
      <c r="B317" s="71" t="str">
        <f aca="false">IF($F$6="Sí",N($C$11)+290,"")</f>
        <v/>
      </c>
      <c r="C317" s="72" t="str">
        <f aca="false">IF(OR($F$6&lt;&gt;"Sí",D317&lt;=0.5),"",EDATE($C$10,290))</f>
        <v/>
      </c>
      <c r="D317" s="41" t="n">
        <f aca="false">MAX(0,M316)</f>
        <v>0</v>
      </c>
      <c r="E317" s="41" t="n">
        <f aca="false">D317*$F$7</f>
        <v>0</v>
      </c>
      <c r="F317" s="41" t="n">
        <f aca="false">IF(D317&gt;0.5,N($C$15),0)</f>
        <v>0</v>
      </c>
      <c r="G317" s="41" t="n">
        <f aca="false">IF(AND(D317&gt;0.5,N($C$19)&gt;0,N(B317)&lt;=N($C$20)),D317*$F$8,0)</f>
        <v>0</v>
      </c>
      <c r="H317" s="41" t="n">
        <f aca="false">IF(D317&lt;=0.5,0,MIN(IF(N(I317)&gt;0,I317,$F$9),D317+E317+F317))</f>
        <v>0</v>
      </c>
      <c r="I317" s="77"/>
      <c r="J317" s="77"/>
      <c r="K317" s="41" t="n">
        <f aca="false">IF(D317&lt;=0.5,0,MIN(H317+N(J317),D317+E317+F317))</f>
        <v>0</v>
      </c>
      <c r="L317" s="41" t="n">
        <f aca="false">K317-E317-F317</f>
        <v>0</v>
      </c>
      <c r="M317" s="41" t="n">
        <f aca="false">D317-L317</f>
        <v>0</v>
      </c>
      <c r="N317" s="42" t="n">
        <f aca="false">K317-G317</f>
        <v>0</v>
      </c>
      <c r="O317" s="78"/>
      <c r="P317" s="79"/>
      <c r="Q317" s="16" t="str">
        <f aca="false">IF(K317=0,"",IF(R317=1,"Pagada",IF(C317&lt;$F$12,"Vencida",IF(291=$F$13,"Próxima","Pendiente"))))</f>
        <v/>
      </c>
      <c r="R317" s="62" t="n">
        <f aca="false">IF(AND(K317&gt;0,OR(O317="Sí",O317="Si")),1,0)</f>
        <v>0</v>
      </c>
      <c r="S317" s="62" t="n">
        <f aca="false">IF(AND(K317&gt;0,R317=0),1,0)</f>
        <v>0</v>
      </c>
    </row>
    <row r="318" customFormat="false" ht="15" hidden="false" customHeight="false" outlineLevel="0" collapsed="false">
      <c r="B318" s="71" t="str">
        <f aca="false">IF($F$6="Sí",N($C$11)+291,"")</f>
        <v/>
      </c>
      <c r="C318" s="72" t="str">
        <f aca="false">IF(OR($F$6&lt;&gt;"Sí",D318&lt;=0.5),"",EDATE($C$10,291))</f>
        <v/>
      </c>
      <c r="D318" s="41" t="n">
        <f aca="false">MAX(0,M317)</f>
        <v>0</v>
      </c>
      <c r="E318" s="41" t="n">
        <f aca="false">D318*$F$7</f>
        <v>0</v>
      </c>
      <c r="F318" s="41" t="n">
        <f aca="false">IF(D318&gt;0.5,N($C$15),0)</f>
        <v>0</v>
      </c>
      <c r="G318" s="41" t="n">
        <f aca="false">IF(AND(D318&gt;0.5,N($C$19)&gt;0,N(B318)&lt;=N($C$20)),D318*$F$8,0)</f>
        <v>0</v>
      </c>
      <c r="H318" s="41" t="n">
        <f aca="false">IF(D318&lt;=0.5,0,MIN(IF(N(I318)&gt;0,I318,$F$9),D318+E318+F318))</f>
        <v>0</v>
      </c>
      <c r="I318" s="77"/>
      <c r="J318" s="77"/>
      <c r="K318" s="41" t="n">
        <f aca="false">IF(D318&lt;=0.5,0,MIN(H318+N(J318),D318+E318+F318))</f>
        <v>0</v>
      </c>
      <c r="L318" s="41" t="n">
        <f aca="false">K318-E318-F318</f>
        <v>0</v>
      </c>
      <c r="M318" s="41" t="n">
        <f aca="false">D318-L318</f>
        <v>0</v>
      </c>
      <c r="N318" s="42" t="n">
        <f aca="false">K318-G318</f>
        <v>0</v>
      </c>
      <c r="O318" s="78"/>
      <c r="P318" s="79"/>
      <c r="Q318" s="16" t="str">
        <f aca="false">IF(K318=0,"",IF(R318=1,"Pagada",IF(C318&lt;$F$12,"Vencida",IF(292=$F$13,"Próxima","Pendiente"))))</f>
        <v/>
      </c>
      <c r="R318" s="62" t="n">
        <f aca="false">IF(AND(K318&gt;0,OR(O318="Sí",O318="Si")),1,0)</f>
        <v>0</v>
      </c>
      <c r="S318" s="62" t="n">
        <f aca="false">IF(AND(K318&gt;0,R318=0),1,0)</f>
        <v>0</v>
      </c>
    </row>
    <row r="319" customFormat="false" ht="15" hidden="false" customHeight="false" outlineLevel="0" collapsed="false">
      <c r="B319" s="71" t="str">
        <f aca="false">IF($F$6="Sí",N($C$11)+292,"")</f>
        <v/>
      </c>
      <c r="C319" s="72" t="str">
        <f aca="false">IF(OR($F$6&lt;&gt;"Sí",D319&lt;=0.5),"",EDATE($C$10,292))</f>
        <v/>
      </c>
      <c r="D319" s="41" t="n">
        <f aca="false">MAX(0,M318)</f>
        <v>0</v>
      </c>
      <c r="E319" s="41" t="n">
        <f aca="false">D319*$F$7</f>
        <v>0</v>
      </c>
      <c r="F319" s="41" t="n">
        <f aca="false">IF(D319&gt;0.5,N($C$15),0)</f>
        <v>0</v>
      </c>
      <c r="G319" s="41" t="n">
        <f aca="false">IF(AND(D319&gt;0.5,N($C$19)&gt;0,N(B319)&lt;=N($C$20)),D319*$F$8,0)</f>
        <v>0</v>
      </c>
      <c r="H319" s="41" t="n">
        <f aca="false">IF(D319&lt;=0.5,0,MIN(IF(N(I319)&gt;0,I319,$F$9),D319+E319+F319))</f>
        <v>0</v>
      </c>
      <c r="I319" s="77"/>
      <c r="J319" s="77"/>
      <c r="K319" s="41" t="n">
        <f aca="false">IF(D319&lt;=0.5,0,MIN(H319+N(J319),D319+E319+F319))</f>
        <v>0</v>
      </c>
      <c r="L319" s="41" t="n">
        <f aca="false">K319-E319-F319</f>
        <v>0</v>
      </c>
      <c r="M319" s="41" t="n">
        <f aca="false">D319-L319</f>
        <v>0</v>
      </c>
      <c r="N319" s="42" t="n">
        <f aca="false">K319-G319</f>
        <v>0</v>
      </c>
      <c r="O319" s="78"/>
      <c r="P319" s="79"/>
      <c r="Q319" s="16" t="str">
        <f aca="false">IF(K319=0,"",IF(R319=1,"Pagada",IF(C319&lt;$F$12,"Vencida",IF(293=$F$13,"Próxima","Pendiente"))))</f>
        <v/>
      </c>
      <c r="R319" s="62" t="n">
        <f aca="false">IF(AND(K319&gt;0,OR(O319="Sí",O319="Si")),1,0)</f>
        <v>0</v>
      </c>
      <c r="S319" s="62" t="n">
        <f aca="false">IF(AND(K319&gt;0,R319=0),1,0)</f>
        <v>0</v>
      </c>
    </row>
    <row r="320" customFormat="false" ht="15" hidden="false" customHeight="false" outlineLevel="0" collapsed="false">
      <c r="B320" s="71" t="str">
        <f aca="false">IF($F$6="Sí",N($C$11)+293,"")</f>
        <v/>
      </c>
      <c r="C320" s="72" t="str">
        <f aca="false">IF(OR($F$6&lt;&gt;"Sí",D320&lt;=0.5),"",EDATE($C$10,293))</f>
        <v/>
      </c>
      <c r="D320" s="41" t="n">
        <f aca="false">MAX(0,M319)</f>
        <v>0</v>
      </c>
      <c r="E320" s="41" t="n">
        <f aca="false">D320*$F$7</f>
        <v>0</v>
      </c>
      <c r="F320" s="41" t="n">
        <f aca="false">IF(D320&gt;0.5,N($C$15),0)</f>
        <v>0</v>
      </c>
      <c r="G320" s="41" t="n">
        <f aca="false">IF(AND(D320&gt;0.5,N($C$19)&gt;0,N(B320)&lt;=N($C$20)),D320*$F$8,0)</f>
        <v>0</v>
      </c>
      <c r="H320" s="41" t="n">
        <f aca="false">IF(D320&lt;=0.5,0,MIN(IF(N(I320)&gt;0,I320,$F$9),D320+E320+F320))</f>
        <v>0</v>
      </c>
      <c r="I320" s="77"/>
      <c r="J320" s="77"/>
      <c r="K320" s="41" t="n">
        <f aca="false">IF(D320&lt;=0.5,0,MIN(H320+N(J320),D320+E320+F320))</f>
        <v>0</v>
      </c>
      <c r="L320" s="41" t="n">
        <f aca="false">K320-E320-F320</f>
        <v>0</v>
      </c>
      <c r="M320" s="41" t="n">
        <f aca="false">D320-L320</f>
        <v>0</v>
      </c>
      <c r="N320" s="42" t="n">
        <f aca="false">K320-G320</f>
        <v>0</v>
      </c>
      <c r="O320" s="78"/>
      <c r="P320" s="79"/>
      <c r="Q320" s="16" t="str">
        <f aca="false">IF(K320=0,"",IF(R320=1,"Pagada",IF(C320&lt;$F$12,"Vencida",IF(294=$F$13,"Próxima","Pendiente"))))</f>
        <v/>
      </c>
      <c r="R320" s="62" t="n">
        <f aca="false">IF(AND(K320&gt;0,OR(O320="Sí",O320="Si")),1,0)</f>
        <v>0</v>
      </c>
      <c r="S320" s="62" t="n">
        <f aca="false">IF(AND(K320&gt;0,R320=0),1,0)</f>
        <v>0</v>
      </c>
    </row>
    <row r="321" customFormat="false" ht="15" hidden="false" customHeight="false" outlineLevel="0" collapsed="false">
      <c r="B321" s="71" t="str">
        <f aca="false">IF($F$6="Sí",N($C$11)+294,"")</f>
        <v/>
      </c>
      <c r="C321" s="72" t="str">
        <f aca="false">IF(OR($F$6&lt;&gt;"Sí",D321&lt;=0.5),"",EDATE($C$10,294))</f>
        <v/>
      </c>
      <c r="D321" s="41" t="n">
        <f aca="false">MAX(0,M320)</f>
        <v>0</v>
      </c>
      <c r="E321" s="41" t="n">
        <f aca="false">D321*$F$7</f>
        <v>0</v>
      </c>
      <c r="F321" s="41" t="n">
        <f aca="false">IF(D321&gt;0.5,N($C$15),0)</f>
        <v>0</v>
      </c>
      <c r="G321" s="41" t="n">
        <f aca="false">IF(AND(D321&gt;0.5,N($C$19)&gt;0,N(B321)&lt;=N($C$20)),D321*$F$8,0)</f>
        <v>0</v>
      </c>
      <c r="H321" s="41" t="n">
        <f aca="false">IF(D321&lt;=0.5,0,MIN(IF(N(I321)&gt;0,I321,$F$9),D321+E321+F321))</f>
        <v>0</v>
      </c>
      <c r="I321" s="77"/>
      <c r="J321" s="77"/>
      <c r="K321" s="41" t="n">
        <f aca="false">IF(D321&lt;=0.5,0,MIN(H321+N(J321),D321+E321+F321))</f>
        <v>0</v>
      </c>
      <c r="L321" s="41" t="n">
        <f aca="false">K321-E321-F321</f>
        <v>0</v>
      </c>
      <c r="M321" s="41" t="n">
        <f aca="false">D321-L321</f>
        <v>0</v>
      </c>
      <c r="N321" s="42" t="n">
        <f aca="false">K321-G321</f>
        <v>0</v>
      </c>
      <c r="O321" s="78"/>
      <c r="P321" s="79"/>
      <c r="Q321" s="16" t="str">
        <f aca="false">IF(K321=0,"",IF(R321=1,"Pagada",IF(C321&lt;$F$12,"Vencida",IF(295=$F$13,"Próxima","Pendiente"))))</f>
        <v/>
      </c>
      <c r="R321" s="62" t="n">
        <f aca="false">IF(AND(K321&gt;0,OR(O321="Sí",O321="Si")),1,0)</f>
        <v>0</v>
      </c>
      <c r="S321" s="62" t="n">
        <f aca="false">IF(AND(K321&gt;0,R321=0),1,0)</f>
        <v>0</v>
      </c>
    </row>
    <row r="322" customFormat="false" ht="15" hidden="false" customHeight="false" outlineLevel="0" collapsed="false">
      <c r="B322" s="71" t="str">
        <f aca="false">IF($F$6="Sí",N($C$11)+295,"")</f>
        <v/>
      </c>
      <c r="C322" s="72" t="str">
        <f aca="false">IF(OR($F$6&lt;&gt;"Sí",D322&lt;=0.5),"",EDATE($C$10,295))</f>
        <v/>
      </c>
      <c r="D322" s="41" t="n">
        <f aca="false">MAX(0,M321)</f>
        <v>0</v>
      </c>
      <c r="E322" s="41" t="n">
        <f aca="false">D322*$F$7</f>
        <v>0</v>
      </c>
      <c r="F322" s="41" t="n">
        <f aca="false">IF(D322&gt;0.5,N($C$15),0)</f>
        <v>0</v>
      </c>
      <c r="G322" s="41" t="n">
        <f aca="false">IF(AND(D322&gt;0.5,N($C$19)&gt;0,N(B322)&lt;=N($C$20)),D322*$F$8,0)</f>
        <v>0</v>
      </c>
      <c r="H322" s="41" t="n">
        <f aca="false">IF(D322&lt;=0.5,0,MIN(IF(N(I322)&gt;0,I322,$F$9),D322+E322+F322))</f>
        <v>0</v>
      </c>
      <c r="I322" s="77"/>
      <c r="J322" s="77"/>
      <c r="K322" s="41" t="n">
        <f aca="false">IF(D322&lt;=0.5,0,MIN(H322+N(J322),D322+E322+F322))</f>
        <v>0</v>
      </c>
      <c r="L322" s="41" t="n">
        <f aca="false">K322-E322-F322</f>
        <v>0</v>
      </c>
      <c r="M322" s="41" t="n">
        <f aca="false">D322-L322</f>
        <v>0</v>
      </c>
      <c r="N322" s="42" t="n">
        <f aca="false">K322-G322</f>
        <v>0</v>
      </c>
      <c r="O322" s="78"/>
      <c r="P322" s="79"/>
      <c r="Q322" s="16" t="str">
        <f aca="false">IF(K322=0,"",IF(R322=1,"Pagada",IF(C322&lt;$F$12,"Vencida",IF(296=$F$13,"Próxima","Pendiente"))))</f>
        <v/>
      </c>
      <c r="R322" s="62" t="n">
        <f aca="false">IF(AND(K322&gt;0,OR(O322="Sí",O322="Si")),1,0)</f>
        <v>0</v>
      </c>
      <c r="S322" s="62" t="n">
        <f aca="false">IF(AND(K322&gt;0,R322=0),1,0)</f>
        <v>0</v>
      </c>
    </row>
    <row r="323" customFormat="false" ht="15" hidden="false" customHeight="false" outlineLevel="0" collapsed="false">
      <c r="B323" s="71" t="str">
        <f aca="false">IF($F$6="Sí",N($C$11)+296,"")</f>
        <v/>
      </c>
      <c r="C323" s="72" t="str">
        <f aca="false">IF(OR($F$6&lt;&gt;"Sí",D323&lt;=0.5),"",EDATE($C$10,296))</f>
        <v/>
      </c>
      <c r="D323" s="41" t="n">
        <f aca="false">MAX(0,M322)</f>
        <v>0</v>
      </c>
      <c r="E323" s="41" t="n">
        <f aca="false">D323*$F$7</f>
        <v>0</v>
      </c>
      <c r="F323" s="41" t="n">
        <f aca="false">IF(D323&gt;0.5,N($C$15),0)</f>
        <v>0</v>
      </c>
      <c r="G323" s="41" t="n">
        <f aca="false">IF(AND(D323&gt;0.5,N($C$19)&gt;0,N(B323)&lt;=N($C$20)),D323*$F$8,0)</f>
        <v>0</v>
      </c>
      <c r="H323" s="41" t="n">
        <f aca="false">IF(D323&lt;=0.5,0,MIN(IF(N(I323)&gt;0,I323,$F$9),D323+E323+F323))</f>
        <v>0</v>
      </c>
      <c r="I323" s="77"/>
      <c r="J323" s="77"/>
      <c r="K323" s="41" t="n">
        <f aca="false">IF(D323&lt;=0.5,0,MIN(H323+N(J323),D323+E323+F323))</f>
        <v>0</v>
      </c>
      <c r="L323" s="41" t="n">
        <f aca="false">K323-E323-F323</f>
        <v>0</v>
      </c>
      <c r="M323" s="41" t="n">
        <f aca="false">D323-L323</f>
        <v>0</v>
      </c>
      <c r="N323" s="42" t="n">
        <f aca="false">K323-G323</f>
        <v>0</v>
      </c>
      <c r="O323" s="78"/>
      <c r="P323" s="79"/>
      <c r="Q323" s="16" t="str">
        <f aca="false">IF(K323=0,"",IF(R323=1,"Pagada",IF(C323&lt;$F$12,"Vencida",IF(297=$F$13,"Próxima","Pendiente"))))</f>
        <v/>
      </c>
      <c r="R323" s="62" t="n">
        <f aca="false">IF(AND(K323&gt;0,OR(O323="Sí",O323="Si")),1,0)</f>
        <v>0</v>
      </c>
      <c r="S323" s="62" t="n">
        <f aca="false">IF(AND(K323&gt;0,R323=0),1,0)</f>
        <v>0</v>
      </c>
    </row>
    <row r="324" customFormat="false" ht="15" hidden="false" customHeight="false" outlineLevel="0" collapsed="false">
      <c r="B324" s="71" t="str">
        <f aca="false">IF($F$6="Sí",N($C$11)+297,"")</f>
        <v/>
      </c>
      <c r="C324" s="72" t="str">
        <f aca="false">IF(OR($F$6&lt;&gt;"Sí",D324&lt;=0.5),"",EDATE($C$10,297))</f>
        <v/>
      </c>
      <c r="D324" s="41" t="n">
        <f aca="false">MAX(0,M323)</f>
        <v>0</v>
      </c>
      <c r="E324" s="41" t="n">
        <f aca="false">D324*$F$7</f>
        <v>0</v>
      </c>
      <c r="F324" s="41" t="n">
        <f aca="false">IF(D324&gt;0.5,N($C$15),0)</f>
        <v>0</v>
      </c>
      <c r="G324" s="41" t="n">
        <f aca="false">IF(AND(D324&gt;0.5,N($C$19)&gt;0,N(B324)&lt;=N($C$20)),D324*$F$8,0)</f>
        <v>0</v>
      </c>
      <c r="H324" s="41" t="n">
        <f aca="false">IF(D324&lt;=0.5,0,MIN(IF(N(I324)&gt;0,I324,$F$9),D324+E324+F324))</f>
        <v>0</v>
      </c>
      <c r="I324" s="77"/>
      <c r="J324" s="77"/>
      <c r="K324" s="41" t="n">
        <f aca="false">IF(D324&lt;=0.5,0,MIN(H324+N(J324),D324+E324+F324))</f>
        <v>0</v>
      </c>
      <c r="L324" s="41" t="n">
        <f aca="false">K324-E324-F324</f>
        <v>0</v>
      </c>
      <c r="M324" s="41" t="n">
        <f aca="false">D324-L324</f>
        <v>0</v>
      </c>
      <c r="N324" s="42" t="n">
        <f aca="false">K324-G324</f>
        <v>0</v>
      </c>
      <c r="O324" s="78"/>
      <c r="P324" s="79"/>
      <c r="Q324" s="16" t="str">
        <f aca="false">IF(K324=0,"",IF(R324=1,"Pagada",IF(C324&lt;$F$12,"Vencida",IF(298=$F$13,"Próxima","Pendiente"))))</f>
        <v/>
      </c>
      <c r="R324" s="62" t="n">
        <f aca="false">IF(AND(K324&gt;0,OR(O324="Sí",O324="Si")),1,0)</f>
        <v>0</v>
      </c>
      <c r="S324" s="62" t="n">
        <f aca="false">IF(AND(K324&gt;0,R324=0),1,0)</f>
        <v>0</v>
      </c>
    </row>
    <row r="325" customFormat="false" ht="15" hidden="false" customHeight="false" outlineLevel="0" collapsed="false">
      <c r="B325" s="71" t="str">
        <f aca="false">IF($F$6="Sí",N($C$11)+298,"")</f>
        <v/>
      </c>
      <c r="C325" s="72" t="str">
        <f aca="false">IF(OR($F$6&lt;&gt;"Sí",D325&lt;=0.5),"",EDATE($C$10,298))</f>
        <v/>
      </c>
      <c r="D325" s="41" t="n">
        <f aca="false">MAX(0,M324)</f>
        <v>0</v>
      </c>
      <c r="E325" s="41" t="n">
        <f aca="false">D325*$F$7</f>
        <v>0</v>
      </c>
      <c r="F325" s="41" t="n">
        <f aca="false">IF(D325&gt;0.5,N($C$15),0)</f>
        <v>0</v>
      </c>
      <c r="G325" s="41" t="n">
        <f aca="false">IF(AND(D325&gt;0.5,N($C$19)&gt;0,N(B325)&lt;=N($C$20)),D325*$F$8,0)</f>
        <v>0</v>
      </c>
      <c r="H325" s="41" t="n">
        <f aca="false">IF(D325&lt;=0.5,0,MIN(IF(N(I325)&gt;0,I325,$F$9),D325+E325+F325))</f>
        <v>0</v>
      </c>
      <c r="I325" s="77"/>
      <c r="J325" s="77"/>
      <c r="K325" s="41" t="n">
        <f aca="false">IF(D325&lt;=0.5,0,MIN(H325+N(J325),D325+E325+F325))</f>
        <v>0</v>
      </c>
      <c r="L325" s="41" t="n">
        <f aca="false">K325-E325-F325</f>
        <v>0</v>
      </c>
      <c r="M325" s="41" t="n">
        <f aca="false">D325-L325</f>
        <v>0</v>
      </c>
      <c r="N325" s="42" t="n">
        <f aca="false">K325-G325</f>
        <v>0</v>
      </c>
      <c r="O325" s="78"/>
      <c r="P325" s="79"/>
      <c r="Q325" s="16" t="str">
        <f aca="false">IF(K325=0,"",IF(R325=1,"Pagada",IF(C325&lt;$F$12,"Vencida",IF(299=$F$13,"Próxima","Pendiente"))))</f>
        <v/>
      </c>
      <c r="R325" s="62" t="n">
        <f aca="false">IF(AND(K325&gt;0,OR(O325="Sí",O325="Si")),1,0)</f>
        <v>0</v>
      </c>
      <c r="S325" s="62" t="n">
        <f aca="false">IF(AND(K325&gt;0,R325=0),1,0)</f>
        <v>0</v>
      </c>
    </row>
    <row r="326" customFormat="false" ht="15" hidden="false" customHeight="false" outlineLevel="0" collapsed="false">
      <c r="B326" s="71" t="str">
        <f aca="false">IF($F$6="Sí",N($C$11)+299,"")</f>
        <v/>
      </c>
      <c r="C326" s="72" t="str">
        <f aca="false">IF(OR($F$6&lt;&gt;"Sí",D326&lt;=0.5),"",EDATE($C$10,299))</f>
        <v/>
      </c>
      <c r="D326" s="41" t="n">
        <f aca="false">MAX(0,M325)</f>
        <v>0</v>
      </c>
      <c r="E326" s="41" t="n">
        <f aca="false">D326*$F$7</f>
        <v>0</v>
      </c>
      <c r="F326" s="41" t="n">
        <f aca="false">IF(D326&gt;0.5,N($C$15),0)</f>
        <v>0</v>
      </c>
      <c r="G326" s="41" t="n">
        <f aca="false">IF(AND(D326&gt;0.5,N($C$19)&gt;0,N(B326)&lt;=N($C$20)),D326*$F$8,0)</f>
        <v>0</v>
      </c>
      <c r="H326" s="41" t="n">
        <f aca="false">IF(D326&lt;=0.5,0,MIN(IF(N(I326)&gt;0,I326,$F$9),D326+E326+F326))</f>
        <v>0</v>
      </c>
      <c r="I326" s="77"/>
      <c r="J326" s="77"/>
      <c r="K326" s="41" t="n">
        <f aca="false">IF(D326&lt;=0.5,0,MIN(H326+N(J326),D326+E326+F326))</f>
        <v>0</v>
      </c>
      <c r="L326" s="41" t="n">
        <f aca="false">K326-E326-F326</f>
        <v>0</v>
      </c>
      <c r="M326" s="41" t="n">
        <f aca="false">D326-L326</f>
        <v>0</v>
      </c>
      <c r="N326" s="42" t="n">
        <f aca="false">K326-G326</f>
        <v>0</v>
      </c>
      <c r="O326" s="78"/>
      <c r="P326" s="79"/>
      <c r="Q326" s="16" t="str">
        <f aca="false">IF(K326=0,"",IF(R326=1,"Pagada",IF(C326&lt;$F$12,"Vencida",IF(300=$F$13,"Próxima","Pendiente"))))</f>
        <v/>
      </c>
      <c r="R326" s="62" t="n">
        <f aca="false">IF(AND(K326&gt;0,OR(O326="Sí",O326="Si")),1,0)</f>
        <v>0</v>
      </c>
      <c r="S326" s="62" t="n">
        <f aca="false">IF(AND(K326&gt;0,R326=0),1,0)</f>
        <v>0</v>
      </c>
    </row>
    <row r="327" customFormat="false" ht="15" hidden="false" customHeight="false" outlineLevel="0" collapsed="false">
      <c r="B327" s="71" t="str">
        <f aca="false">IF($F$6="Sí",N($C$11)+300,"")</f>
        <v/>
      </c>
      <c r="C327" s="72" t="str">
        <f aca="false">IF(OR($F$6&lt;&gt;"Sí",D327&lt;=0.5),"",EDATE($C$10,300))</f>
        <v/>
      </c>
      <c r="D327" s="41" t="n">
        <f aca="false">MAX(0,M326)</f>
        <v>0</v>
      </c>
      <c r="E327" s="41" t="n">
        <f aca="false">D327*$F$7</f>
        <v>0</v>
      </c>
      <c r="F327" s="41" t="n">
        <f aca="false">IF(D327&gt;0.5,N($C$15),0)</f>
        <v>0</v>
      </c>
      <c r="G327" s="41" t="n">
        <f aca="false">IF(AND(D327&gt;0.5,N($C$19)&gt;0,N(B327)&lt;=N($C$20)),D327*$F$8,0)</f>
        <v>0</v>
      </c>
      <c r="H327" s="41" t="n">
        <f aca="false">IF(D327&lt;=0.5,0,MIN(IF(N(I327)&gt;0,I327,$F$9),D327+E327+F327))</f>
        <v>0</v>
      </c>
      <c r="I327" s="77"/>
      <c r="J327" s="77"/>
      <c r="K327" s="41" t="n">
        <f aca="false">IF(D327&lt;=0.5,0,MIN(H327+N(J327),D327+E327+F327))</f>
        <v>0</v>
      </c>
      <c r="L327" s="41" t="n">
        <f aca="false">K327-E327-F327</f>
        <v>0</v>
      </c>
      <c r="M327" s="41" t="n">
        <f aca="false">D327-L327</f>
        <v>0</v>
      </c>
      <c r="N327" s="42" t="n">
        <f aca="false">K327-G327</f>
        <v>0</v>
      </c>
      <c r="O327" s="78"/>
      <c r="P327" s="79"/>
      <c r="Q327" s="16" t="str">
        <f aca="false">IF(K327=0,"",IF(R327=1,"Pagada",IF(C327&lt;$F$12,"Vencida",IF(301=$F$13,"Próxima","Pendiente"))))</f>
        <v/>
      </c>
      <c r="R327" s="62" t="n">
        <f aca="false">IF(AND(K327&gt;0,OR(O327="Sí",O327="Si")),1,0)</f>
        <v>0</v>
      </c>
      <c r="S327" s="62" t="n">
        <f aca="false">IF(AND(K327&gt;0,R327=0),1,0)</f>
        <v>0</v>
      </c>
    </row>
    <row r="328" customFormat="false" ht="15" hidden="false" customHeight="false" outlineLevel="0" collapsed="false">
      <c r="B328" s="71" t="str">
        <f aca="false">IF($F$6="Sí",N($C$11)+301,"")</f>
        <v/>
      </c>
      <c r="C328" s="72" t="str">
        <f aca="false">IF(OR($F$6&lt;&gt;"Sí",D328&lt;=0.5),"",EDATE($C$10,301))</f>
        <v/>
      </c>
      <c r="D328" s="41" t="n">
        <f aca="false">MAX(0,M327)</f>
        <v>0</v>
      </c>
      <c r="E328" s="41" t="n">
        <f aca="false">D328*$F$7</f>
        <v>0</v>
      </c>
      <c r="F328" s="41" t="n">
        <f aca="false">IF(D328&gt;0.5,N($C$15),0)</f>
        <v>0</v>
      </c>
      <c r="G328" s="41" t="n">
        <f aca="false">IF(AND(D328&gt;0.5,N($C$19)&gt;0,N(B328)&lt;=N($C$20)),D328*$F$8,0)</f>
        <v>0</v>
      </c>
      <c r="H328" s="41" t="n">
        <f aca="false">IF(D328&lt;=0.5,0,MIN(IF(N(I328)&gt;0,I328,$F$9),D328+E328+F328))</f>
        <v>0</v>
      </c>
      <c r="I328" s="77"/>
      <c r="J328" s="77"/>
      <c r="K328" s="41" t="n">
        <f aca="false">IF(D328&lt;=0.5,0,MIN(H328+N(J328),D328+E328+F328))</f>
        <v>0</v>
      </c>
      <c r="L328" s="41" t="n">
        <f aca="false">K328-E328-F328</f>
        <v>0</v>
      </c>
      <c r="M328" s="41" t="n">
        <f aca="false">D328-L328</f>
        <v>0</v>
      </c>
      <c r="N328" s="42" t="n">
        <f aca="false">K328-G328</f>
        <v>0</v>
      </c>
      <c r="O328" s="78"/>
      <c r="P328" s="79"/>
      <c r="Q328" s="16" t="str">
        <f aca="false">IF(K328=0,"",IF(R328=1,"Pagada",IF(C328&lt;$F$12,"Vencida",IF(302=$F$13,"Próxima","Pendiente"))))</f>
        <v/>
      </c>
      <c r="R328" s="62" t="n">
        <f aca="false">IF(AND(K328&gt;0,OR(O328="Sí",O328="Si")),1,0)</f>
        <v>0</v>
      </c>
      <c r="S328" s="62" t="n">
        <f aca="false">IF(AND(K328&gt;0,R328=0),1,0)</f>
        <v>0</v>
      </c>
    </row>
    <row r="329" customFormat="false" ht="15" hidden="false" customHeight="false" outlineLevel="0" collapsed="false">
      <c r="B329" s="71" t="str">
        <f aca="false">IF($F$6="Sí",N($C$11)+302,"")</f>
        <v/>
      </c>
      <c r="C329" s="72" t="str">
        <f aca="false">IF(OR($F$6&lt;&gt;"Sí",D329&lt;=0.5),"",EDATE($C$10,302))</f>
        <v/>
      </c>
      <c r="D329" s="41" t="n">
        <f aca="false">MAX(0,M328)</f>
        <v>0</v>
      </c>
      <c r="E329" s="41" t="n">
        <f aca="false">D329*$F$7</f>
        <v>0</v>
      </c>
      <c r="F329" s="41" t="n">
        <f aca="false">IF(D329&gt;0.5,N($C$15),0)</f>
        <v>0</v>
      </c>
      <c r="G329" s="41" t="n">
        <f aca="false">IF(AND(D329&gt;0.5,N($C$19)&gt;0,N(B329)&lt;=N($C$20)),D329*$F$8,0)</f>
        <v>0</v>
      </c>
      <c r="H329" s="41" t="n">
        <f aca="false">IF(D329&lt;=0.5,0,MIN(IF(N(I329)&gt;0,I329,$F$9),D329+E329+F329))</f>
        <v>0</v>
      </c>
      <c r="I329" s="77"/>
      <c r="J329" s="77"/>
      <c r="K329" s="41" t="n">
        <f aca="false">IF(D329&lt;=0.5,0,MIN(H329+N(J329),D329+E329+F329))</f>
        <v>0</v>
      </c>
      <c r="L329" s="41" t="n">
        <f aca="false">K329-E329-F329</f>
        <v>0</v>
      </c>
      <c r="M329" s="41" t="n">
        <f aca="false">D329-L329</f>
        <v>0</v>
      </c>
      <c r="N329" s="42" t="n">
        <f aca="false">K329-G329</f>
        <v>0</v>
      </c>
      <c r="O329" s="78"/>
      <c r="P329" s="79"/>
      <c r="Q329" s="16" t="str">
        <f aca="false">IF(K329=0,"",IF(R329=1,"Pagada",IF(C329&lt;$F$12,"Vencida",IF(303=$F$13,"Próxima","Pendiente"))))</f>
        <v/>
      </c>
      <c r="R329" s="62" t="n">
        <f aca="false">IF(AND(K329&gt;0,OR(O329="Sí",O329="Si")),1,0)</f>
        <v>0</v>
      </c>
      <c r="S329" s="62" t="n">
        <f aca="false">IF(AND(K329&gt;0,R329=0),1,0)</f>
        <v>0</v>
      </c>
    </row>
    <row r="330" customFormat="false" ht="15" hidden="false" customHeight="false" outlineLevel="0" collapsed="false">
      <c r="B330" s="71" t="str">
        <f aca="false">IF($F$6="Sí",N($C$11)+303,"")</f>
        <v/>
      </c>
      <c r="C330" s="72" t="str">
        <f aca="false">IF(OR($F$6&lt;&gt;"Sí",D330&lt;=0.5),"",EDATE($C$10,303))</f>
        <v/>
      </c>
      <c r="D330" s="41" t="n">
        <f aca="false">MAX(0,M329)</f>
        <v>0</v>
      </c>
      <c r="E330" s="41" t="n">
        <f aca="false">D330*$F$7</f>
        <v>0</v>
      </c>
      <c r="F330" s="41" t="n">
        <f aca="false">IF(D330&gt;0.5,N($C$15),0)</f>
        <v>0</v>
      </c>
      <c r="G330" s="41" t="n">
        <f aca="false">IF(AND(D330&gt;0.5,N($C$19)&gt;0,N(B330)&lt;=N($C$20)),D330*$F$8,0)</f>
        <v>0</v>
      </c>
      <c r="H330" s="41" t="n">
        <f aca="false">IF(D330&lt;=0.5,0,MIN(IF(N(I330)&gt;0,I330,$F$9),D330+E330+F330))</f>
        <v>0</v>
      </c>
      <c r="I330" s="77"/>
      <c r="J330" s="77"/>
      <c r="K330" s="41" t="n">
        <f aca="false">IF(D330&lt;=0.5,0,MIN(H330+N(J330),D330+E330+F330))</f>
        <v>0</v>
      </c>
      <c r="L330" s="41" t="n">
        <f aca="false">K330-E330-F330</f>
        <v>0</v>
      </c>
      <c r="M330" s="41" t="n">
        <f aca="false">D330-L330</f>
        <v>0</v>
      </c>
      <c r="N330" s="42" t="n">
        <f aca="false">K330-G330</f>
        <v>0</v>
      </c>
      <c r="O330" s="78"/>
      <c r="P330" s="79"/>
      <c r="Q330" s="16" t="str">
        <f aca="false">IF(K330=0,"",IF(R330=1,"Pagada",IF(C330&lt;$F$12,"Vencida",IF(304=$F$13,"Próxima","Pendiente"))))</f>
        <v/>
      </c>
      <c r="R330" s="62" t="n">
        <f aca="false">IF(AND(K330&gt;0,OR(O330="Sí",O330="Si")),1,0)</f>
        <v>0</v>
      </c>
      <c r="S330" s="62" t="n">
        <f aca="false">IF(AND(K330&gt;0,R330=0),1,0)</f>
        <v>0</v>
      </c>
    </row>
    <row r="331" customFormat="false" ht="15" hidden="false" customHeight="false" outlineLevel="0" collapsed="false">
      <c r="B331" s="71" t="str">
        <f aca="false">IF($F$6="Sí",N($C$11)+304,"")</f>
        <v/>
      </c>
      <c r="C331" s="72" t="str">
        <f aca="false">IF(OR($F$6&lt;&gt;"Sí",D331&lt;=0.5),"",EDATE($C$10,304))</f>
        <v/>
      </c>
      <c r="D331" s="41" t="n">
        <f aca="false">MAX(0,M330)</f>
        <v>0</v>
      </c>
      <c r="E331" s="41" t="n">
        <f aca="false">D331*$F$7</f>
        <v>0</v>
      </c>
      <c r="F331" s="41" t="n">
        <f aca="false">IF(D331&gt;0.5,N($C$15),0)</f>
        <v>0</v>
      </c>
      <c r="G331" s="41" t="n">
        <f aca="false">IF(AND(D331&gt;0.5,N($C$19)&gt;0,N(B331)&lt;=N($C$20)),D331*$F$8,0)</f>
        <v>0</v>
      </c>
      <c r="H331" s="41" t="n">
        <f aca="false">IF(D331&lt;=0.5,0,MIN(IF(N(I331)&gt;0,I331,$F$9),D331+E331+F331))</f>
        <v>0</v>
      </c>
      <c r="I331" s="77"/>
      <c r="J331" s="77"/>
      <c r="K331" s="41" t="n">
        <f aca="false">IF(D331&lt;=0.5,0,MIN(H331+N(J331),D331+E331+F331))</f>
        <v>0</v>
      </c>
      <c r="L331" s="41" t="n">
        <f aca="false">K331-E331-F331</f>
        <v>0</v>
      </c>
      <c r="M331" s="41" t="n">
        <f aca="false">D331-L331</f>
        <v>0</v>
      </c>
      <c r="N331" s="42" t="n">
        <f aca="false">K331-G331</f>
        <v>0</v>
      </c>
      <c r="O331" s="78"/>
      <c r="P331" s="79"/>
      <c r="Q331" s="16" t="str">
        <f aca="false">IF(K331=0,"",IF(R331=1,"Pagada",IF(C331&lt;$F$12,"Vencida",IF(305=$F$13,"Próxima","Pendiente"))))</f>
        <v/>
      </c>
      <c r="R331" s="62" t="n">
        <f aca="false">IF(AND(K331&gt;0,OR(O331="Sí",O331="Si")),1,0)</f>
        <v>0</v>
      </c>
      <c r="S331" s="62" t="n">
        <f aca="false">IF(AND(K331&gt;0,R331=0),1,0)</f>
        <v>0</v>
      </c>
    </row>
    <row r="332" customFormat="false" ht="15" hidden="false" customHeight="false" outlineLevel="0" collapsed="false">
      <c r="B332" s="71" t="str">
        <f aca="false">IF($F$6="Sí",N($C$11)+305,"")</f>
        <v/>
      </c>
      <c r="C332" s="72" t="str">
        <f aca="false">IF(OR($F$6&lt;&gt;"Sí",D332&lt;=0.5),"",EDATE($C$10,305))</f>
        <v/>
      </c>
      <c r="D332" s="41" t="n">
        <f aca="false">MAX(0,M331)</f>
        <v>0</v>
      </c>
      <c r="E332" s="41" t="n">
        <f aca="false">D332*$F$7</f>
        <v>0</v>
      </c>
      <c r="F332" s="41" t="n">
        <f aca="false">IF(D332&gt;0.5,N($C$15),0)</f>
        <v>0</v>
      </c>
      <c r="G332" s="41" t="n">
        <f aca="false">IF(AND(D332&gt;0.5,N($C$19)&gt;0,N(B332)&lt;=N($C$20)),D332*$F$8,0)</f>
        <v>0</v>
      </c>
      <c r="H332" s="41" t="n">
        <f aca="false">IF(D332&lt;=0.5,0,MIN(IF(N(I332)&gt;0,I332,$F$9),D332+E332+F332))</f>
        <v>0</v>
      </c>
      <c r="I332" s="77"/>
      <c r="J332" s="77"/>
      <c r="K332" s="41" t="n">
        <f aca="false">IF(D332&lt;=0.5,0,MIN(H332+N(J332),D332+E332+F332))</f>
        <v>0</v>
      </c>
      <c r="L332" s="41" t="n">
        <f aca="false">K332-E332-F332</f>
        <v>0</v>
      </c>
      <c r="M332" s="41" t="n">
        <f aca="false">D332-L332</f>
        <v>0</v>
      </c>
      <c r="N332" s="42" t="n">
        <f aca="false">K332-G332</f>
        <v>0</v>
      </c>
      <c r="O332" s="78"/>
      <c r="P332" s="79"/>
      <c r="Q332" s="16" t="str">
        <f aca="false">IF(K332=0,"",IF(R332=1,"Pagada",IF(C332&lt;$F$12,"Vencida",IF(306=$F$13,"Próxima","Pendiente"))))</f>
        <v/>
      </c>
      <c r="R332" s="62" t="n">
        <f aca="false">IF(AND(K332&gt;0,OR(O332="Sí",O332="Si")),1,0)</f>
        <v>0</v>
      </c>
      <c r="S332" s="62" t="n">
        <f aca="false">IF(AND(K332&gt;0,R332=0),1,0)</f>
        <v>0</v>
      </c>
    </row>
    <row r="333" customFormat="false" ht="15" hidden="false" customHeight="false" outlineLevel="0" collapsed="false">
      <c r="B333" s="71" t="str">
        <f aca="false">IF($F$6="Sí",N($C$11)+306,"")</f>
        <v/>
      </c>
      <c r="C333" s="72" t="str">
        <f aca="false">IF(OR($F$6&lt;&gt;"Sí",D333&lt;=0.5),"",EDATE($C$10,306))</f>
        <v/>
      </c>
      <c r="D333" s="41" t="n">
        <f aca="false">MAX(0,M332)</f>
        <v>0</v>
      </c>
      <c r="E333" s="41" t="n">
        <f aca="false">D333*$F$7</f>
        <v>0</v>
      </c>
      <c r="F333" s="41" t="n">
        <f aca="false">IF(D333&gt;0.5,N($C$15),0)</f>
        <v>0</v>
      </c>
      <c r="G333" s="41" t="n">
        <f aca="false">IF(AND(D333&gt;0.5,N($C$19)&gt;0,N(B333)&lt;=N($C$20)),D333*$F$8,0)</f>
        <v>0</v>
      </c>
      <c r="H333" s="41" t="n">
        <f aca="false">IF(D333&lt;=0.5,0,MIN(IF(N(I333)&gt;0,I333,$F$9),D333+E333+F333))</f>
        <v>0</v>
      </c>
      <c r="I333" s="77"/>
      <c r="J333" s="77"/>
      <c r="K333" s="41" t="n">
        <f aca="false">IF(D333&lt;=0.5,0,MIN(H333+N(J333),D333+E333+F333))</f>
        <v>0</v>
      </c>
      <c r="L333" s="41" t="n">
        <f aca="false">K333-E333-F333</f>
        <v>0</v>
      </c>
      <c r="M333" s="41" t="n">
        <f aca="false">D333-L333</f>
        <v>0</v>
      </c>
      <c r="N333" s="42" t="n">
        <f aca="false">K333-G333</f>
        <v>0</v>
      </c>
      <c r="O333" s="78"/>
      <c r="P333" s="79"/>
      <c r="Q333" s="16" t="str">
        <f aca="false">IF(K333=0,"",IF(R333=1,"Pagada",IF(C333&lt;$F$12,"Vencida",IF(307=$F$13,"Próxima","Pendiente"))))</f>
        <v/>
      </c>
      <c r="R333" s="62" t="n">
        <f aca="false">IF(AND(K333&gt;0,OR(O333="Sí",O333="Si")),1,0)</f>
        <v>0</v>
      </c>
      <c r="S333" s="62" t="n">
        <f aca="false">IF(AND(K333&gt;0,R333=0),1,0)</f>
        <v>0</v>
      </c>
    </row>
    <row r="334" customFormat="false" ht="15" hidden="false" customHeight="false" outlineLevel="0" collapsed="false">
      <c r="B334" s="71" t="str">
        <f aca="false">IF($F$6="Sí",N($C$11)+307,"")</f>
        <v/>
      </c>
      <c r="C334" s="72" t="str">
        <f aca="false">IF(OR($F$6&lt;&gt;"Sí",D334&lt;=0.5),"",EDATE($C$10,307))</f>
        <v/>
      </c>
      <c r="D334" s="41" t="n">
        <f aca="false">MAX(0,M333)</f>
        <v>0</v>
      </c>
      <c r="E334" s="41" t="n">
        <f aca="false">D334*$F$7</f>
        <v>0</v>
      </c>
      <c r="F334" s="41" t="n">
        <f aca="false">IF(D334&gt;0.5,N($C$15),0)</f>
        <v>0</v>
      </c>
      <c r="G334" s="41" t="n">
        <f aca="false">IF(AND(D334&gt;0.5,N($C$19)&gt;0,N(B334)&lt;=N($C$20)),D334*$F$8,0)</f>
        <v>0</v>
      </c>
      <c r="H334" s="41" t="n">
        <f aca="false">IF(D334&lt;=0.5,0,MIN(IF(N(I334)&gt;0,I334,$F$9),D334+E334+F334))</f>
        <v>0</v>
      </c>
      <c r="I334" s="77"/>
      <c r="J334" s="77"/>
      <c r="K334" s="41" t="n">
        <f aca="false">IF(D334&lt;=0.5,0,MIN(H334+N(J334),D334+E334+F334))</f>
        <v>0</v>
      </c>
      <c r="L334" s="41" t="n">
        <f aca="false">K334-E334-F334</f>
        <v>0</v>
      </c>
      <c r="M334" s="41" t="n">
        <f aca="false">D334-L334</f>
        <v>0</v>
      </c>
      <c r="N334" s="42" t="n">
        <f aca="false">K334-G334</f>
        <v>0</v>
      </c>
      <c r="O334" s="78"/>
      <c r="P334" s="79"/>
      <c r="Q334" s="16" t="str">
        <f aca="false">IF(K334=0,"",IF(R334=1,"Pagada",IF(C334&lt;$F$12,"Vencida",IF(308=$F$13,"Próxima","Pendiente"))))</f>
        <v/>
      </c>
      <c r="R334" s="62" t="n">
        <f aca="false">IF(AND(K334&gt;0,OR(O334="Sí",O334="Si")),1,0)</f>
        <v>0</v>
      </c>
      <c r="S334" s="62" t="n">
        <f aca="false">IF(AND(K334&gt;0,R334=0),1,0)</f>
        <v>0</v>
      </c>
    </row>
    <row r="335" customFormat="false" ht="15" hidden="false" customHeight="false" outlineLevel="0" collapsed="false">
      <c r="B335" s="71" t="str">
        <f aca="false">IF($F$6="Sí",N($C$11)+308,"")</f>
        <v/>
      </c>
      <c r="C335" s="72" t="str">
        <f aca="false">IF(OR($F$6&lt;&gt;"Sí",D335&lt;=0.5),"",EDATE($C$10,308))</f>
        <v/>
      </c>
      <c r="D335" s="41" t="n">
        <f aca="false">MAX(0,M334)</f>
        <v>0</v>
      </c>
      <c r="E335" s="41" t="n">
        <f aca="false">D335*$F$7</f>
        <v>0</v>
      </c>
      <c r="F335" s="41" t="n">
        <f aca="false">IF(D335&gt;0.5,N($C$15),0)</f>
        <v>0</v>
      </c>
      <c r="G335" s="41" t="n">
        <f aca="false">IF(AND(D335&gt;0.5,N($C$19)&gt;0,N(B335)&lt;=N($C$20)),D335*$F$8,0)</f>
        <v>0</v>
      </c>
      <c r="H335" s="41" t="n">
        <f aca="false">IF(D335&lt;=0.5,0,MIN(IF(N(I335)&gt;0,I335,$F$9),D335+E335+F335))</f>
        <v>0</v>
      </c>
      <c r="I335" s="77"/>
      <c r="J335" s="77"/>
      <c r="K335" s="41" t="n">
        <f aca="false">IF(D335&lt;=0.5,0,MIN(H335+N(J335),D335+E335+F335))</f>
        <v>0</v>
      </c>
      <c r="L335" s="41" t="n">
        <f aca="false">K335-E335-F335</f>
        <v>0</v>
      </c>
      <c r="M335" s="41" t="n">
        <f aca="false">D335-L335</f>
        <v>0</v>
      </c>
      <c r="N335" s="42" t="n">
        <f aca="false">K335-G335</f>
        <v>0</v>
      </c>
      <c r="O335" s="78"/>
      <c r="P335" s="79"/>
      <c r="Q335" s="16" t="str">
        <f aca="false">IF(K335=0,"",IF(R335=1,"Pagada",IF(C335&lt;$F$12,"Vencida",IF(309=$F$13,"Próxima","Pendiente"))))</f>
        <v/>
      </c>
      <c r="R335" s="62" t="n">
        <f aca="false">IF(AND(K335&gt;0,OR(O335="Sí",O335="Si")),1,0)</f>
        <v>0</v>
      </c>
      <c r="S335" s="62" t="n">
        <f aca="false">IF(AND(K335&gt;0,R335=0),1,0)</f>
        <v>0</v>
      </c>
    </row>
    <row r="336" customFormat="false" ht="15" hidden="false" customHeight="false" outlineLevel="0" collapsed="false">
      <c r="B336" s="71" t="str">
        <f aca="false">IF($F$6="Sí",N($C$11)+309,"")</f>
        <v/>
      </c>
      <c r="C336" s="72" t="str">
        <f aca="false">IF(OR($F$6&lt;&gt;"Sí",D336&lt;=0.5),"",EDATE($C$10,309))</f>
        <v/>
      </c>
      <c r="D336" s="41" t="n">
        <f aca="false">MAX(0,M335)</f>
        <v>0</v>
      </c>
      <c r="E336" s="41" t="n">
        <f aca="false">D336*$F$7</f>
        <v>0</v>
      </c>
      <c r="F336" s="41" t="n">
        <f aca="false">IF(D336&gt;0.5,N($C$15),0)</f>
        <v>0</v>
      </c>
      <c r="G336" s="41" t="n">
        <f aca="false">IF(AND(D336&gt;0.5,N($C$19)&gt;0,N(B336)&lt;=N($C$20)),D336*$F$8,0)</f>
        <v>0</v>
      </c>
      <c r="H336" s="41" t="n">
        <f aca="false">IF(D336&lt;=0.5,0,MIN(IF(N(I336)&gt;0,I336,$F$9),D336+E336+F336))</f>
        <v>0</v>
      </c>
      <c r="I336" s="77"/>
      <c r="J336" s="77"/>
      <c r="K336" s="41" t="n">
        <f aca="false">IF(D336&lt;=0.5,0,MIN(H336+N(J336),D336+E336+F336))</f>
        <v>0</v>
      </c>
      <c r="L336" s="41" t="n">
        <f aca="false">K336-E336-F336</f>
        <v>0</v>
      </c>
      <c r="M336" s="41" t="n">
        <f aca="false">D336-L336</f>
        <v>0</v>
      </c>
      <c r="N336" s="42" t="n">
        <f aca="false">K336-G336</f>
        <v>0</v>
      </c>
      <c r="O336" s="78"/>
      <c r="P336" s="79"/>
      <c r="Q336" s="16" t="str">
        <f aca="false">IF(K336=0,"",IF(R336=1,"Pagada",IF(C336&lt;$F$12,"Vencida",IF(310=$F$13,"Próxima","Pendiente"))))</f>
        <v/>
      </c>
      <c r="R336" s="62" t="n">
        <f aca="false">IF(AND(K336&gt;0,OR(O336="Sí",O336="Si")),1,0)</f>
        <v>0</v>
      </c>
      <c r="S336" s="62" t="n">
        <f aca="false">IF(AND(K336&gt;0,R336=0),1,0)</f>
        <v>0</v>
      </c>
    </row>
    <row r="337" customFormat="false" ht="15" hidden="false" customHeight="false" outlineLevel="0" collapsed="false">
      <c r="B337" s="71" t="str">
        <f aca="false">IF($F$6="Sí",N($C$11)+310,"")</f>
        <v/>
      </c>
      <c r="C337" s="72" t="str">
        <f aca="false">IF(OR($F$6&lt;&gt;"Sí",D337&lt;=0.5),"",EDATE($C$10,310))</f>
        <v/>
      </c>
      <c r="D337" s="41" t="n">
        <f aca="false">MAX(0,M336)</f>
        <v>0</v>
      </c>
      <c r="E337" s="41" t="n">
        <f aca="false">D337*$F$7</f>
        <v>0</v>
      </c>
      <c r="F337" s="41" t="n">
        <f aca="false">IF(D337&gt;0.5,N($C$15),0)</f>
        <v>0</v>
      </c>
      <c r="G337" s="41" t="n">
        <f aca="false">IF(AND(D337&gt;0.5,N($C$19)&gt;0,N(B337)&lt;=N($C$20)),D337*$F$8,0)</f>
        <v>0</v>
      </c>
      <c r="H337" s="41" t="n">
        <f aca="false">IF(D337&lt;=0.5,0,MIN(IF(N(I337)&gt;0,I337,$F$9),D337+E337+F337))</f>
        <v>0</v>
      </c>
      <c r="I337" s="77"/>
      <c r="J337" s="77"/>
      <c r="K337" s="41" t="n">
        <f aca="false">IF(D337&lt;=0.5,0,MIN(H337+N(J337),D337+E337+F337))</f>
        <v>0</v>
      </c>
      <c r="L337" s="41" t="n">
        <f aca="false">K337-E337-F337</f>
        <v>0</v>
      </c>
      <c r="M337" s="41" t="n">
        <f aca="false">D337-L337</f>
        <v>0</v>
      </c>
      <c r="N337" s="42" t="n">
        <f aca="false">K337-G337</f>
        <v>0</v>
      </c>
      <c r="O337" s="78"/>
      <c r="P337" s="79"/>
      <c r="Q337" s="16" t="str">
        <f aca="false">IF(K337=0,"",IF(R337=1,"Pagada",IF(C337&lt;$F$12,"Vencida",IF(311=$F$13,"Próxima","Pendiente"))))</f>
        <v/>
      </c>
      <c r="R337" s="62" t="n">
        <f aca="false">IF(AND(K337&gt;0,OR(O337="Sí",O337="Si")),1,0)</f>
        <v>0</v>
      </c>
      <c r="S337" s="62" t="n">
        <f aca="false">IF(AND(K337&gt;0,R337=0),1,0)</f>
        <v>0</v>
      </c>
    </row>
    <row r="338" customFormat="false" ht="15" hidden="false" customHeight="false" outlineLevel="0" collapsed="false">
      <c r="B338" s="71" t="str">
        <f aca="false">IF($F$6="Sí",N($C$11)+311,"")</f>
        <v/>
      </c>
      <c r="C338" s="72" t="str">
        <f aca="false">IF(OR($F$6&lt;&gt;"Sí",D338&lt;=0.5),"",EDATE($C$10,311))</f>
        <v/>
      </c>
      <c r="D338" s="41" t="n">
        <f aca="false">MAX(0,M337)</f>
        <v>0</v>
      </c>
      <c r="E338" s="41" t="n">
        <f aca="false">D338*$F$7</f>
        <v>0</v>
      </c>
      <c r="F338" s="41" t="n">
        <f aca="false">IF(D338&gt;0.5,N($C$15),0)</f>
        <v>0</v>
      </c>
      <c r="G338" s="41" t="n">
        <f aca="false">IF(AND(D338&gt;0.5,N($C$19)&gt;0,N(B338)&lt;=N($C$20)),D338*$F$8,0)</f>
        <v>0</v>
      </c>
      <c r="H338" s="41" t="n">
        <f aca="false">IF(D338&lt;=0.5,0,MIN(IF(N(I338)&gt;0,I338,$F$9),D338+E338+F338))</f>
        <v>0</v>
      </c>
      <c r="I338" s="77"/>
      <c r="J338" s="77"/>
      <c r="K338" s="41" t="n">
        <f aca="false">IF(D338&lt;=0.5,0,MIN(H338+N(J338),D338+E338+F338))</f>
        <v>0</v>
      </c>
      <c r="L338" s="41" t="n">
        <f aca="false">K338-E338-F338</f>
        <v>0</v>
      </c>
      <c r="M338" s="41" t="n">
        <f aca="false">D338-L338</f>
        <v>0</v>
      </c>
      <c r="N338" s="42" t="n">
        <f aca="false">K338-G338</f>
        <v>0</v>
      </c>
      <c r="O338" s="78"/>
      <c r="P338" s="79"/>
      <c r="Q338" s="16" t="str">
        <f aca="false">IF(K338=0,"",IF(R338=1,"Pagada",IF(C338&lt;$F$12,"Vencida",IF(312=$F$13,"Próxima","Pendiente"))))</f>
        <v/>
      </c>
      <c r="R338" s="62" t="n">
        <f aca="false">IF(AND(K338&gt;0,OR(O338="Sí",O338="Si")),1,0)</f>
        <v>0</v>
      </c>
      <c r="S338" s="62" t="n">
        <f aca="false">IF(AND(K338&gt;0,R338=0),1,0)</f>
        <v>0</v>
      </c>
    </row>
    <row r="339" customFormat="false" ht="15" hidden="false" customHeight="false" outlineLevel="0" collapsed="false">
      <c r="B339" s="71" t="str">
        <f aca="false">IF($F$6="Sí",N($C$11)+312,"")</f>
        <v/>
      </c>
      <c r="C339" s="72" t="str">
        <f aca="false">IF(OR($F$6&lt;&gt;"Sí",D339&lt;=0.5),"",EDATE($C$10,312))</f>
        <v/>
      </c>
      <c r="D339" s="41" t="n">
        <f aca="false">MAX(0,M338)</f>
        <v>0</v>
      </c>
      <c r="E339" s="41" t="n">
        <f aca="false">D339*$F$7</f>
        <v>0</v>
      </c>
      <c r="F339" s="41" t="n">
        <f aca="false">IF(D339&gt;0.5,N($C$15),0)</f>
        <v>0</v>
      </c>
      <c r="G339" s="41" t="n">
        <f aca="false">IF(AND(D339&gt;0.5,N($C$19)&gt;0,N(B339)&lt;=N($C$20)),D339*$F$8,0)</f>
        <v>0</v>
      </c>
      <c r="H339" s="41" t="n">
        <f aca="false">IF(D339&lt;=0.5,0,MIN(IF(N(I339)&gt;0,I339,$F$9),D339+E339+F339))</f>
        <v>0</v>
      </c>
      <c r="I339" s="77"/>
      <c r="J339" s="77"/>
      <c r="K339" s="41" t="n">
        <f aca="false">IF(D339&lt;=0.5,0,MIN(H339+N(J339),D339+E339+F339))</f>
        <v>0</v>
      </c>
      <c r="L339" s="41" t="n">
        <f aca="false">K339-E339-F339</f>
        <v>0</v>
      </c>
      <c r="M339" s="41" t="n">
        <f aca="false">D339-L339</f>
        <v>0</v>
      </c>
      <c r="N339" s="42" t="n">
        <f aca="false">K339-G339</f>
        <v>0</v>
      </c>
      <c r="O339" s="78"/>
      <c r="P339" s="79"/>
      <c r="Q339" s="16" t="str">
        <f aca="false">IF(K339=0,"",IF(R339=1,"Pagada",IF(C339&lt;$F$12,"Vencida",IF(313=$F$13,"Próxima","Pendiente"))))</f>
        <v/>
      </c>
      <c r="R339" s="62" t="n">
        <f aca="false">IF(AND(K339&gt;0,OR(O339="Sí",O339="Si")),1,0)</f>
        <v>0</v>
      </c>
      <c r="S339" s="62" t="n">
        <f aca="false">IF(AND(K339&gt;0,R339=0),1,0)</f>
        <v>0</v>
      </c>
    </row>
    <row r="340" customFormat="false" ht="15" hidden="false" customHeight="false" outlineLevel="0" collapsed="false">
      <c r="B340" s="71" t="str">
        <f aca="false">IF($F$6="Sí",N($C$11)+313,"")</f>
        <v/>
      </c>
      <c r="C340" s="72" t="str">
        <f aca="false">IF(OR($F$6&lt;&gt;"Sí",D340&lt;=0.5),"",EDATE($C$10,313))</f>
        <v/>
      </c>
      <c r="D340" s="41" t="n">
        <f aca="false">MAX(0,M339)</f>
        <v>0</v>
      </c>
      <c r="E340" s="41" t="n">
        <f aca="false">D340*$F$7</f>
        <v>0</v>
      </c>
      <c r="F340" s="41" t="n">
        <f aca="false">IF(D340&gt;0.5,N($C$15),0)</f>
        <v>0</v>
      </c>
      <c r="G340" s="41" t="n">
        <f aca="false">IF(AND(D340&gt;0.5,N($C$19)&gt;0,N(B340)&lt;=N($C$20)),D340*$F$8,0)</f>
        <v>0</v>
      </c>
      <c r="H340" s="41" t="n">
        <f aca="false">IF(D340&lt;=0.5,0,MIN(IF(N(I340)&gt;0,I340,$F$9),D340+E340+F340))</f>
        <v>0</v>
      </c>
      <c r="I340" s="77"/>
      <c r="J340" s="77"/>
      <c r="K340" s="41" t="n">
        <f aca="false">IF(D340&lt;=0.5,0,MIN(H340+N(J340),D340+E340+F340))</f>
        <v>0</v>
      </c>
      <c r="L340" s="41" t="n">
        <f aca="false">K340-E340-F340</f>
        <v>0</v>
      </c>
      <c r="M340" s="41" t="n">
        <f aca="false">D340-L340</f>
        <v>0</v>
      </c>
      <c r="N340" s="42" t="n">
        <f aca="false">K340-G340</f>
        <v>0</v>
      </c>
      <c r="O340" s="78"/>
      <c r="P340" s="79"/>
      <c r="Q340" s="16" t="str">
        <f aca="false">IF(K340=0,"",IF(R340=1,"Pagada",IF(C340&lt;$F$12,"Vencida",IF(314=$F$13,"Próxima","Pendiente"))))</f>
        <v/>
      </c>
      <c r="R340" s="62" t="n">
        <f aca="false">IF(AND(K340&gt;0,OR(O340="Sí",O340="Si")),1,0)</f>
        <v>0</v>
      </c>
      <c r="S340" s="62" t="n">
        <f aca="false">IF(AND(K340&gt;0,R340=0),1,0)</f>
        <v>0</v>
      </c>
    </row>
    <row r="341" customFormat="false" ht="15" hidden="false" customHeight="false" outlineLevel="0" collapsed="false">
      <c r="B341" s="71" t="str">
        <f aca="false">IF($F$6="Sí",N($C$11)+314,"")</f>
        <v/>
      </c>
      <c r="C341" s="72" t="str">
        <f aca="false">IF(OR($F$6&lt;&gt;"Sí",D341&lt;=0.5),"",EDATE($C$10,314))</f>
        <v/>
      </c>
      <c r="D341" s="41" t="n">
        <f aca="false">MAX(0,M340)</f>
        <v>0</v>
      </c>
      <c r="E341" s="41" t="n">
        <f aca="false">D341*$F$7</f>
        <v>0</v>
      </c>
      <c r="F341" s="41" t="n">
        <f aca="false">IF(D341&gt;0.5,N($C$15),0)</f>
        <v>0</v>
      </c>
      <c r="G341" s="41" t="n">
        <f aca="false">IF(AND(D341&gt;0.5,N($C$19)&gt;0,N(B341)&lt;=N($C$20)),D341*$F$8,0)</f>
        <v>0</v>
      </c>
      <c r="H341" s="41" t="n">
        <f aca="false">IF(D341&lt;=0.5,0,MIN(IF(N(I341)&gt;0,I341,$F$9),D341+E341+F341))</f>
        <v>0</v>
      </c>
      <c r="I341" s="77"/>
      <c r="J341" s="77"/>
      <c r="K341" s="41" t="n">
        <f aca="false">IF(D341&lt;=0.5,0,MIN(H341+N(J341),D341+E341+F341))</f>
        <v>0</v>
      </c>
      <c r="L341" s="41" t="n">
        <f aca="false">K341-E341-F341</f>
        <v>0</v>
      </c>
      <c r="M341" s="41" t="n">
        <f aca="false">D341-L341</f>
        <v>0</v>
      </c>
      <c r="N341" s="42" t="n">
        <f aca="false">K341-G341</f>
        <v>0</v>
      </c>
      <c r="O341" s="78"/>
      <c r="P341" s="79"/>
      <c r="Q341" s="16" t="str">
        <f aca="false">IF(K341=0,"",IF(R341=1,"Pagada",IF(C341&lt;$F$12,"Vencida",IF(315=$F$13,"Próxima","Pendiente"))))</f>
        <v/>
      </c>
      <c r="R341" s="62" t="n">
        <f aca="false">IF(AND(K341&gt;0,OR(O341="Sí",O341="Si")),1,0)</f>
        <v>0</v>
      </c>
      <c r="S341" s="62" t="n">
        <f aca="false">IF(AND(K341&gt;0,R341=0),1,0)</f>
        <v>0</v>
      </c>
    </row>
    <row r="342" customFormat="false" ht="15" hidden="false" customHeight="false" outlineLevel="0" collapsed="false">
      <c r="B342" s="71" t="str">
        <f aca="false">IF($F$6="Sí",N($C$11)+315,"")</f>
        <v/>
      </c>
      <c r="C342" s="72" t="str">
        <f aca="false">IF(OR($F$6&lt;&gt;"Sí",D342&lt;=0.5),"",EDATE($C$10,315))</f>
        <v/>
      </c>
      <c r="D342" s="41" t="n">
        <f aca="false">MAX(0,M341)</f>
        <v>0</v>
      </c>
      <c r="E342" s="41" t="n">
        <f aca="false">D342*$F$7</f>
        <v>0</v>
      </c>
      <c r="F342" s="41" t="n">
        <f aca="false">IF(D342&gt;0.5,N($C$15),0)</f>
        <v>0</v>
      </c>
      <c r="G342" s="41" t="n">
        <f aca="false">IF(AND(D342&gt;0.5,N($C$19)&gt;0,N(B342)&lt;=N($C$20)),D342*$F$8,0)</f>
        <v>0</v>
      </c>
      <c r="H342" s="41" t="n">
        <f aca="false">IF(D342&lt;=0.5,0,MIN(IF(N(I342)&gt;0,I342,$F$9),D342+E342+F342))</f>
        <v>0</v>
      </c>
      <c r="I342" s="77"/>
      <c r="J342" s="77"/>
      <c r="K342" s="41" t="n">
        <f aca="false">IF(D342&lt;=0.5,0,MIN(H342+N(J342),D342+E342+F342))</f>
        <v>0</v>
      </c>
      <c r="L342" s="41" t="n">
        <f aca="false">K342-E342-F342</f>
        <v>0</v>
      </c>
      <c r="M342" s="41" t="n">
        <f aca="false">D342-L342</f>
        <v>0</v>
      </c>
      <c r="N342" s="42" t="n">
        <f aca="false">K342-G342</f>
        <v>0</v>
      </c>
      <c r="O342" s="78"/>
      <c r="P342" s="79"/>
      <c r="Q342" s="16" t="str">
        <f aca="false">IF(K342=0,"",IF(R342=1,"Pagada",IF(C342&lt;$F$12,"Vencida",IF(316=$F$13,"Próxima","Pendiente"))))</f>
        <v/>
      </c>
      <c r="R342" s="62" t="n">
        <f aca="false">IF(AND(K342&gt;0,OR(O342="Sí",O342="Si")),1,0)</f>
        <v>0</v>
      </c>
      <c r="S342" s="62" t="n">
        <f aca="false">IF(AND(K342&gt;0,R342=0),1,0)</f>
        <v>0</v>
      </c>
    </row>
    <row r="343" customFormat="false" ht="15" hidden="false" customHeight="false" outlineLevel="0" collapsed="false">
      <c r="B343" s="71" t="str">
        <f aca="false">IF($F$6="Sí",N($C$11)+316,"")</f>
        <v/>
      </c>
      <c r="C343" s="72" t="str">
        <f aca="false">IF(OR($F$6&lt;&gt;"Sí",D343&lt;=0.5),"",EDATE($C$10,316))</f>
        <v/>
      </c>
      <c r="D343" s="41" t="n">
        <f aca="false">MAX(0,M342)</f>
        <v>0</v>
      </c>
      <c r="E343" s="41" t="n">
        <f aca="false">D343*$F$7</f>
        <v>0</v>
      </c>
      <c r="F343" s="41" t="n">
        <f aca="false">IF(D343&gt;0.5,N($C$15),0)</f>
        <v>0</v>
      </c>
      <c r="G343" s="41" t="n">
        <f aca="false">IF(AND(D343&gt;0.5,N($C$19)&gt;0,N(B343)&lt;=N($C$20)),D343*$F$8,0)</f>
        <v>0</v>
      </c>
      <c r="H343" s="41" t="n">
        <f aca="false">IF(D343&lt;=0.5,0,MIN(IF(N(I343)&gt;0,I343,$F$9),D343+E343+F343))</f>
        <v>0</v>
      </c>
      <c r="I343" s="77"/>
      <c r="J343" s="77"/>
      <c r="K343" s="41" t="n">
        <f aca="false">IF(D343&lt;=0.5,0,MIN(H343+N(J343),D343+E343+F343))</f>
        <v>0</v>
      </c>
      <c r="L343" s="41" t="n">
        <f aca="false">K343-E343-F343</f>
        <v>0</v>
      </c>
      <c r="M343" s="41" t="n">
        <f aca="false">D343-L343</f>
        <v>0</v>
      </c>
      <c r="N343" s="42" t="n">
        <f aca="false">K343-G343</f>
        <v>0</v>
      </c>
      <c r="O343" s="78"/>
      <c r="P343" s="79"/>
      <c r="Q343" s="16" t="str">
        <f aca="false">IF(K343=0,"",IF(R343=1,"Pagada",IF(C343&lt;$F$12,"Vencida",IF(317=$F$13,"Próxima","Pendiente"))))</f>
        <v/>
      </c>
      <c r="R343" s="62" t="n">
        <f aca="false">IF(AND(K343&gt;0,OR(O343="Sí",O343="Si")),1,0)</f>
        <v>0</v>
      </c>
      <c r="S343" s="62" t="n">
        <f aca="false">IF(AND(K343&gt;0,R343=0),1,0)</f>
        <v>0</v>
      </c>
    </row>
    <row r="344" customFormat="false" ht="15" hidden="false" customHeight="false" outlineLevel="0" collapsed="false">
      <c r="B344" s="71" t="str">
        <f aca="false">IF($F$6="Sí",N($C$11)+317,"")</f>
        <v/>
      </c>
      <c r="C344" s="72" t="str">
        <f aca="false">IF(OR($F$6&lt;&gt;"Sí",D344&lt;=0.5),"",EDATE($C$10,317))</f>
        <v/>
      </c>
      <c r="D344" s="41" t="n">
        <f aca="false">MAX(0,M343)</f>
        <v>0</v>
      </c>
      <c r="E344" s="41" t="n">
        <f aca="false">D344*$F$7</f>
        <v>0</v>
      </c>
      <c r="F344" s="41" t="n">
        <f aca="false">IF(D344&gt;0.5,N($C$15),0)</f>
        <v>0</v>
      </c>
      <c r="G344" s="41" t="n">
        <f aca="false">IF(AND(D344&gt;0.5,N($C$19)&gt;0,N(B344)&lt;=N($C$20)),D344*$F$8,0)</f>
        <v>0</v>
      </c>
      <c r="H344" s="41" t="n">
        <f aca="false">IF(D344&lt;=0.5,0,MIN(IF(N(I344)&gt;0,I344,$F$9),D344+E344+F344))</f>
        <v>0</v>
      </c>
      <c r="I344" s="77"/>
      <c r="J344" s="77"/>
      <c r="K344" s="41" t="n">
        <f aca="false">IF(D344&lt;=0.5,0,MIN(H344+N(J344),D344+E344+F344))</f>
        <v>0</v>
      </c>
      <c r="L344" s="41" t="n">
        <f aca="false">K344-E344-F344</f>
        <v>0</v>
      </c>
      <c r="M344" s="41" t="n">
        <f aca="false">D344-L344</f>
        <v>0</v>
      </c>
      <c r="N344" s="42" t="n">
        <f aca="false">K344-G344</f>
        <v>0</v>
      </c>
      <c r="O344" s="78"/>
      <c r="P344" s="79"/>
      <c r="Q344" s="16" t="str">
        <f aca="false">IF(K344=0,"",IF(R344=1,"Pagada",IF(C344&lt;$F$12,"Vencida",IF(318=$F$13,"Próxima","Pendiente"))))</f>
        <v/>
      </c>
      <c r="R344" s="62" t="n">
        <f aca="false">IF(AND(K344&gt;0,OR(O344="Sí",O344="Si")),1,0)</f>
        <v>0</v>
      </c>
      <c r="S344" s="62" t="n">
        <f aca="false">IF(AND(K344&gt;0,R344=0),1,0)</f>
        <v>0</v>
      </c>
    </row>
    <row r="345" customFormat="false" ht="15" hidden="false" customHeight="false" outlineLevel="0" collapsed="false">
      <c r="B345" s="71" t="str">
        <f aca="false">IF($F$6="Sí",N($C$11)+318,"")</f>
        <v/>
      </c>
      <c r="C345" s="72" t="str">
        <f aca="false">IF(OR($F$6&lt;&gt;"Sí",D345&lt;=0.5),"",EDATE($C$10,318))</f>
        <v/>
      </c>
      <c r="D345" s="41" t="n">
        <f aca="false">MAX(0,M344)</f>
        <v>0</v>
      </c>
      <c r="E345" s="41" t="n">
        <f aca="false">D345*$F$7</f>
        <v>0</v>
      </c>
      <c r="F345" s="41" t="n">
        <f aca="false">IF(D345&gt;0.5,N($C$15),0)</f>
        <v>0</v>
      </c>
      <c r="G345" s="41" t="n">
        <f aca="false">IF(AND(D345&gt;0.5,N($C$19)&gt;0,N(B345)&lt;=N($C$20)),D345*$F$8,0)</f>
        <v>0</v>
      </c>
      <c r="H345" s="41" t="n">
        <f aca="false">IF(D345&lt;=0.5,0,MIN(IF(N(I345)&gt;0,I345,$F$9),D345+E345+F345))</f>
        <v>0</v>
      </c>
      <c r="I345" s="77"/>
      <c r="J345" s="77"/>
      <c r="K345" s="41" t="n">
        <f aca="false">IF(D345&lt;=0.5,0,MIN(H345+N(J345),D345+E345+F345))</f>
        <v>0</v>
      </c>
      <c r="L345" s="41" t="n">
        <f aca="false">K345-E345-F345</f>
        <v>0</v>
      </c>
      <c r="M345" s="41" t="n">
        <f aca="false">D345-L345</f>
        <v>0</v>
      </c>
      <c r="N345" s="42" t="n">
        <f aca="false">K345-G345</f>
        <v>0</v>
      </c>
      <c r="O345" s="78"/>
      <c r="P345" s="79"/>
      <c r="Q345" s="16" t="str">
        <f aca="false">IF(K345=0,"",IF(R345=1,"Pagada",IF(C345&lt;$F$12,"Vencida",IF(319=$F$13,"Próxima","Pendiente"))))</f>
        <v/>
      </c>
      <c r="R345" s="62" t="n">
        <f aca="false">IF(AND(K345&gt;0,OR(O345="Sí",O345="Si")),1,0)</f>
        <v>0</v>
      </c>
      <c r="S345" s="62" t="n">
        <f aca="false">IF(AND(K345&gt;0,R345=0),1,0)</f>
        <v>0</v>
      </c>
    </row>
    <row r="346" customFormat="false" ht="15" hidden="false" customHeight="false" outlineLevel="0" collapsed="false">
      <c r="B346" s="71" t="str">
        <f aca="false">IF($F$6="Sí",N($C$11)+319,"")</f>
        <v/>
      </c>
      <c r="C346" s="72" t="str">
        <f aca="false">IF(OR($F$6&lt;&gt;"Sí",D346&lt;=0.5),"",EDATE($C$10,319))</f>
        <v/>
      </c>
      <c r="D346" s="41" t="n">
        <f aca="false">MAX(0,M345)</f>
        <v>0</v>
      </c>
      <c r="E346" s="41" t="n">
        <f aca="false">D346*$F$7</f>
        <v>0</v>
      </c>
      <c r="F346" s="41" t="n">
        <f aca="false">IF(D346&gt;0.5,N($C$15),0)</f>
        <v>0</v>
      </c>
      <c r="G346" s="41" t="n">
        <f aca="false">IF(AND(D346&gt;0.5,N($C$19)&gt;0,N(B346)&lt;=N($C$20)),D346*$F$8,0)</f>
        <v>0</v>
      </c>
      <c r="H346" s="41" t="n">
        <f aca="false">IF(D346&lt;=0.5,0,MIN(IF(N(I346)&gt;0,I346,$F$9),D346+E346+F346))</f>
        <v>0</v>
      </c>
      <c r="I346" s="77"/>
      <c r="J346" s="77"/>
      <c r="K346" s="41" t="n">
        <f aca="false">IF(D346&lt;=0.5,0,MIN(H346+N(J346),D346+E346+F346))</f>
        <v>0</v>
      </c>
      <c r="L346" s="41" t="n">
        <f aca="false">K346-E346-F346</f>
        <v>0</v>
      </c>
      <c r="M346" s="41" t="n">
        <f aca="false">D346-L346</f>
        <v>0</v>
      </c>
      <c r="N346" s="42" t="n">
        <f aca="false">K346-G346</f>
        <v>0</v>
      </c>
      <c r="O346" s="78"/>
      <c r="P346" s="79"/>
      <c r="Q346" s="16" t="str">
        <f aca="false">IF(K346=0,"",IF(R346=1,"Pagada",IF(C346&lt;$F$12,"Vencida",IF(320=$F$13,"Próxima","Pendiente"))))</f>
        <v/>
      </c>
      <c r="R346" s="62" t="n">
        <f aca="false">IF(AND(K346&gt;0,OR(O346="Sí",O346="Si")),1,0)</f>
        <v>0</v>
      </c>
      <c r="S346" s="62" t="n">
        <f aca="false">IF(AND(K346&gt;0,R346=0),1,0)</f>
        <v>0</v>
      </c>
    </row>
    <row r="347" customFormat="false" ht="15" hidden="false" customHeight="false" outlineLevel="0" collapsed="false">
      <c r="B347" s="71" t="str">
        <f aca="false">IF($F$6="Sí",N($C$11)+320,"")</f>
        <v/>
      </c>
      <c r="C347" s="72" t="str">
        <f aca="false">IF(OR($F$6&lt;&gt;"Sí",D347&lt;=0.5),"",EDATE($C$10,320))</f>
        <v/>
      </c>
      <c r="D347" s="41" t="n">
        <f aca="false">MAX(0,M346)</f>
        <v>0</v>
      </c>
      <c r="E347" s="41" t="n">
        <f aca="false">D347*$F$7</f>
        <v>0</v>
      </c>
      <c r="F347" s="41" t="n">
        <f aca="false">IF(D347&gt;0.5,N($C$15),0)</f>
        <v>0</v>
      </c>
      <c r="G347" s="41" t="n">
        <f aca="false">IF(AND(D347&gt;0.5,N($C$19)&gt;0,N(B347)&lt;=N($C$20)),D347*$F$8,0)</f>
        <v>0</v>
      </c>
      <c r="H347" s="41" t="n">
        <f aca="false">IF(D347&lt;=0.5,0,MIN(IF(N(I347)&gt;0,I347,$F$9),D347+E347+F347))</f>
        <v>0</v>
      </c>
      <c r="I347" s="77"/>
      <c r="J347" s="77"/>
      <c r="K347" s="41" t="n">
        <f aca="false">IF(D347&lt;=0.5,0,MIN(H347+N(J347),D347+E347+F347))</f>
        <v>0</v>
      </c>
      <c r="L347" s="41" t="n">
        <f aca="false">K347-E347-F347</f>
        <v>0</v>
      </c>
      <c r="M347" s="41" t="n">
        <f aca="false">D347-L347</f>
        <v>0</v>
      </c>
      <c r="N347" s="42" t="n">
        <f aca="false">K347-G347</f>
        <v>0</v>
      </c>
      <c r="O347" s="78"/>
      <c r="P347" s="79"/>
      <c r="Q347" s="16" t="str">
        <f aca="false">IF(K347=0,"",IF(R347=1,"Pagada",IF(C347&lt;$F$12,"Vencida",IF(321=$F$13,"Próxima","Pendiente"))))</f>
        <v/>
      </c>
      <c r="R347" s="62" t="n">
        <f aca="false">IF(AND(K347&gt;0,OR(O347="Sí",O347="Si")),1,0)</f>
        <v>0</v>
      </c>
      <c r="S347" s="62" t="n">
        <f aca="false">IF(AND(K347&gt;0,R347=0),1,0)</f>
        <v>0</v>
      </c>
    </row>
    <row r="348" customFormat="false" ht="15" hidden="false" customHeight="false" outlineLevel="0" collapsed="false">
      <c r="B348" s="71" t="str">
        <f aca="false">IF($F$6="Sí",N($C$11)+321,"")</f>
        <v/>
      </c>
      <c r="C348" s="72" t="str">
        <f aca="false">IF(OR($F$6&lt;&gt;"Sí",D348&lt;=0.5),"",EDATE($C$10,321))</f>
        <v/>
      </c>
      <c r="D348" s="41" t="n">
        <f aca="false">MAX(0,M347)</f>
        <v>0</v>
      </c>
      <c r="E348" s="41" t="n">
        <f aca="false">D348*$F$7</f>
        <v>0</v>
      </c>
      <c r="F348" s="41" t="n">
        <f aca="false">IF(D348&gt;0.5,N($C$15),0)</f>
        <v>0</v>
      </c>
      <c r="G348" s="41" t="n">
        <f aca="false">IF(AND(D348&gt;0.5,N($C$19)&gt;0,N(B348)&lt;=N($C$20)),D348*$F$8,0)</f>
        <v>0</v>
      </c>
      <c r="H348" s="41" t="n">
        <f aca="false">IF(D348&lt;=0.5,0,MIN(IF(N(I348)&gt;0,I348,$F$9),D348+E348+F348))</f>
        <v>0</v>
      </c>
      <c r="I348" s="77"/>
      <c r="J348" s="77"/>
      <c r="K348" s="41" t="n">
        <f aca="false">IF(D348&lt;=0.5,0,MIN(H348+N(J348),D348+E348+F348))</f>
        <v>0</v>
      </c>
      <c r="L348" s="41" t="n">
        <f aca="false">K348-E348-F348</f>
        <v>0</v>
      </c>
      <c r="M348" s="41" t="n">
        <f aca="false">D348-L348</f>
        <v>0</v>
      </c>
      <c r="N348" s="42" t="n">
        <f aca="false">K348-G348</f>
        <v>0</v>
      </c>
      <c r="O348" s="78"/>
      <c r="P348" s="79"/>
      <c r="Q348" s="16" t="str">
        <f aca="false">IF(K348=0,"",IF(R348=1,"Pagada",IF(C348&lt;$F$12,"Vencida",IF(322=$F$13,"Próxima","Pendiente"))))</f>
        <v/>
      </c>
      <c r="R348" s="62" t="n">
        <f aca="false">IF(AND(K348&gt;0,OR(O348="Sí",O348="Si")),1,0)</f>
        <v>0</v>
      </c>
      <c r="S348" s="62" t="n">
        <f aca="false">IF(AND(K348&gt;0,R348=0),1,0)</f>
        <v>0</v>
      </c>
    </row>
    <row r="349" customFormat="false" ht="15" hidden="false" customHeight="false" outlineLevel="0" collapsed="false">
      <c r="B349" s="71" t="str">
        <f aca="false">IF($F$6="Sí",N($C$11)+322,"")</f>
        <v/>
      </c>
      <c r="C349" s="72" t="str">
        <f aca="false">IF(OR($F$6&lt;&gt;"Sí",D349&lt;=0.5),"",EDATE($C$10,322))</f>
        <v/>
      </c>
      <c r="D349" s="41" t="n">
        <f aca="false">MAX(0,M348)</f>
        <v>0</v>
      </c>
      <c r="E349" s="41" t="n">
        <f aca="false">D349*$F$7</f>
        <v>0</v>
      </c>
      <c r="F349" s="41" t="n">
        <f aca="false">IF(D349&gt;0.5,N($C$15),0)</f>
        <v>0</v>
      </c>
      <c r="G349" s="41" t="n">
        <f aca="false">IF(AND(D349&gt;0.5,N($C$19)&gt;0,N(B349)&lt;=N($C$20)),D349*$F$8,0)</f>
        <v>0</v>
      </c>
      <c r="H349" s="41" t="n">
        <f aca="false">IF(D349&lt;=0.5,0,MIN(IF(N(I349)&gt;0,I349,$F$9),D349+E349+F349))</f>
        <v>0</v>
      </c>
      <c r="I349" s="77"/>
      <c r="J349" s="77"/>
      <c r="K349" s="41" t="n">
        <f aca="false">IF(D349&lt;=0.5,0,MIN(H349+N(J349),D349+E349+F349))</f>
        <v>0</v>
      </c>
      <c r="L349" s="41" t="n">
        <f aca="false">K349-E349-F349</f>
        <v>0</v>
      </c>
      <c r="M349" s="41" t="n">
        <f aca="false">D349-L349</f>
        <v>0</v>
      </c>
      <c r="N349" s="42" t="n">
        <f aca="false">K349-G349</f>
        <v>0</v>
      </c>
      <c r="O349" s="78"/>
      <c r="P349" s="79"/>
      <c r="Q349" s="16" t="str">
        <f aca="false">IF(K349=0,"",IF(R349=1,"Pagada",IF(C349&lt;$F$12,"Vencida",IF(323=$F$13,"Próxima","Pendiente"))))</f>
        <v/>
      </c>
      <c r="R349" s="62" t="n">
        <f aca="false">IF(AND(K349&gt;0,OR(O349="Sí",O349="Si")),1,0)</f>
        <v>0</v>
      </c>
      <c r="S349" s="62" t="n">
        <f aca="false">IF(AND(K349&gt;0,R349=0),1,0)</f>
        <v>0</v>
      </c>
    </row>
    <row r="350" customFormat="false" ht="15" hidden="false" customHeight="false" outlineLevel="0" collapsed="false">
      <c r="B350" s="71" t="str">
        <f aca="false">IF($F$6="Sí",N($C$11)+323,"")</f>
        <v/>
      </c>
      <c r="C350" s="72" t="str">
        <f aca="false">IF(OR($F$6&lt;&gt;"Sí",D350&lt;=0.5),"",EDATE($C$10,323))</f>
        <v/>
      </c>
      <c r="D350" s="41" t="n">
        <f aca="false">MAX(0,M349)</f>
        <v>0</v>
      </c>
      <c r="E350" s="41" t="n">
        <f aca="false">D350*$F$7</f>
        <v>0</v>
      </c>
      <c r="F350" s="41" t="n">
        <f aca="false">IF(D350&gt;0.5,N($C$15),0)</f>
        <v>0</v>
      </c>
      <c r="G350" s="41" t="n">
        <f aca="false">IF(AND(D350&gt;0.5,N($C$19)&gt;0,N(B350)&lt;=N($C$20)),D350*$F$8,0)</f>
        <v>0</v>
      </c>
      <c r="H350" s="41" t="n">
        <f aca="false">IF(D350&lt;=0.5,0,MIN(IF(N(I350)&gt;0,I350,$F$9),D350+E350+F350))</f>
        <v>0</v>
      </c>
      <c r="I350" s="77"/>
      <c r="J350" s="77"/>
      <c r="K350" s="41" t="n">
        <f aca="false">IF(D350&lt;=0.5,0,MIN(H350+N(J350),D350+E350+F350))</f>
        <v>0</v>
      </c>
      <c r="L350" s="41" t="n">
        <f aca="false">K350-E350-F350</f>
        <v>0</v>
      </c>
      <c r="M350" s="41" t="n">
        <f aca="false">D350-L350</f>
        <v>0</v>
      </c>
      <c r="N350" s="42" t="n">
        <f aca="false">K350-G350</f>
        <v>0</v>
      </c>
      <c r="O350" s="78"/>
      <c r="P350" s="79"/>
      <c r="Q350" s="16" t="str">
        <f aca="false">IF(K350=0,"",IF(R350=1,"Pagada",IF(C350&lt;$F$12,"Vencida",IF(324=$F$13,"Próxima","Pendiente"))))</f>
        <v/>
      </c>
      <c r="R350" s="62" t="n">
        <f aca="false">IF(AND(K350&gt;0,OR(O350="Sí",O350="Si")),1,0)</f>
        <v>0</v>
      </c>
      <c r="S350" s="62" t="n">
        <f aca="false">IF(AND(K350&gt;0,R350=0),1,0)</f>
        <v>0</v>
      </c>
    </row>
    <row r="351" customFormat="false" ht="15" hidden="false" customHeight="false" outlineLevel="0" collapsed="false">
      <c r="B351" s="71" t="str">
        <f aca="false">IF($F$6="Sí",N($C$11)+324,"")</f>
        <v/>
      </c>
      <c r="C351" s="72" t="str">
        <f aca="false">IF(OR($F$6&lt;&gt;"Sí",D351&lt;=0.5),"",EDATE($C$10,324))</f>
        <v/>
      </c>
      <c r="D351" s="41" t="n">
        <f aca="false">MAX(0,M350)</f>
        <v>0</v>
      </c>
      <c r="E351" s="41" t="n">
        <f aca="false">D351*$F$7</f>
        <v>0</v>
      </c>
      <c r="F351" s="41" t="n">
        <f aca="false">IF(D351&gt;0.5,N($C$15),0)</f>
        <v>0</v>
      </c>
      <c r="G351" s="41" t="n">
        <f aca="false">IF(AND(D351&gt;0.5,N($C$19)&gt;0,N(B351)&lt;=N($C$20)),D351*$F$8,0)</f>
        <v>0</v>
      </c>
      <c r="H351" s="41" t="n">
        <f aca="false">IF(D351&lt;=0.5,0,MIN(IF(N(I351)&gt;0,I351,$F$9),D351+E351+F351))</f>
        <v>0</v>
      </c>
      <c r="I351" s="77"/>
      <c r="J351" s="77"/>
      <c r="K351" s="41" t="n">
        <f aca="false">IF(D351&lt;=0.5,0,MIN(H351+N(J351),D351+E351+F351))</f>
        <v>0</v>
      </c>
      <c r="L351" s="41" t="n">
        <f aca="false">K351-E351-F351</f>
        <v>0</v>
      </c>
      <c r="M351" s="41" t="n">
        <f aca="false">D351-L351</f>
        <v>0</v>
      </c>
      <c r="N351" s="42" t="n">
        <f aca="false">K351-G351</f>
        <v>0</v>
      </c>
      <c r="O351" s="78"/>
      <c r="P351" s="79"/>
      <c r="Q351" s="16" t="str">
        <f aca="false">IF(K351=0,"",IF(R351=1,"Pagada",IF(C351&lt;$F$12,"Vencida",IF(325=$F$13,"Próxima","Pendiente"))))</f>
        <v/>
      </c>
      <c r="R351" s="62" t="n">
        <f aca="false">IF(AND(K351&gt;0,OR(O351="Sí",O351="Si")),1,0)</f>
        <v>0</v>
      </c>
      <c r="S351" s="62" t="n">
        <f aca="false">IF(AND(K351&gt;0,R351=0),1,0)</f>
        <v>0</v>
      </c>
    </row>
    <row r="352" customFormat="false" ht="15" hidden="false" customHeight="false" outlineLevel="0" collapsed="false">
      <c r="B352" s="71" t="str">
        <f aca="false">IF($F$6="Sí",N($C$11)+325,"")</f>
        <v/>
      </c>
      <c r="C352" s="72" t="str">
        <f aca="false">IF(OR($F$6&lt;&gt;"Sí",D352&lt;=0.5),"",EDATE($C$10,325))</f>
        <v/>
      </c>
      <c r="D352" s="41" t="n">
        <f aca="false">MAX(0,M351)</f>
        <v>0</v>
      </c>
      <c r="E352" s="41" t="n">
        <f aca="false">D352*$F$7</f>
        <v>0</v>
      </c>
      <c r="F352" s="41" t="n">
        <f aca="false">IF(D352&gt;0.5,N($C$15),0)</f>
        <v>0</v>
      </c>
      <c r="G352" s="41" t="n">
        <f aca="false">IF(AND(D352&gt;0.5,N($C$19)&gt;0,N(B352)&lt;=N($C$20)),D352*$F$8,0)</f>
        <v>0</v>
      </c>
      <c r="H352" s="41" t="n">
        <f aca="false">IF(D352&lt;=0.5,0,MIN(IF(N(I352)&gt;0,I352,$F$9),D352+E352+F352))</f>
        <v>0</v>
      </c>
      <c r="I352" s="77"/>
      <c r="J352" s="77"/>
      <c r="K352" s="41" t="n">
        <f aca="false">IF(D352&lt;=0.5,0,MIN(H352+N(J352),D352+E352+F352))</f>
        <v>0</v>
      </c>
      <c r="L352" s="41" t="n">
        <f aca="false">K352-E352-F352</f>
        <v>0</v>
      </c>
      <c r="M352" s="41" t="n">
        <f aca="false">D352-L352</f>
        <v>0</v>
      </c>
      <c r="N352" s="42" t="n">
        <f aca="false">K352-G352</f>
        <v>0</v>
      </c>
      <c r="O352" s="78"/>
      <c r="P352" s="79"/>
      <c r="Q352" s="16" t="str">
        <f aca="false">IF(K352=0,"",IF(R352=1,"Pagada",IF(C352&lt;$F$12,"Vencida",IF(326=$F$13,"Próxima","Pendiente"))))</f>
        <v/>
      </c>
      <c r="R352" s="62" t="n">
        <f aca="false">IF(AND(K352&gt;0,OR(O352="Sí",O352="Si")),1,0)</f>
        <v>0</v>
      </c>
      <c r="S352" s="62" t="n">
        <f aca="false">IF(AND(K352&gt;0,R352=0),1,0)</f>
        <v>0</v>
      </c>
    </row>
    <row r="353" customFormat="false" ht="15" hidden="false" customHeight="false" outlineLevel="0" collapsed="false">
      <c r="B353" s="71" t="str">
        <f aca="false">IF($F$6="Sí",N($C$11)+326,"")</f>
        <v/>
      </c>
      <c r="C353" s="72" t="str">
        <f aca="false">IF(OR($F$6&lt;&gt;"Sí",D353&lt;=0.5),"",EDATE($C$10,326))</f>
        <v/>
      </c>
      <c r="D353" s="41" t="n">
        <f aca="false">MAX(0,M352)</f>
        <v>0</v>
      </c>
      <c r="E353" s="41" t="n">
        <f aca="false">D353*$F$7</f>
        <v>0</v>
      </c>
      <c r="F353" s="41" t="n">
        <f aca="false">IF(D353&gt;0.5,N($C$15),0)</f>
        <v>0</v>
      </c>
      <c r="G353" s="41" t="n">
        <f aca="false">IF(AND(D353&gt;0.5,N($C$19)&gt;0,N(B353)&lt;=N($C$20)),D353*$F$8,0)</f>
        <v>0</v>
      </c>
      <c r="H353" s="41" t="n">
        <f aca="false">IF(D353&lt;=0.5,0,MIN(IF(N(I353)&gt;0,I353,$F$9),D353+E353+F353))</f>
        <v>0</v>
      </c>
      <c r="I353" s="77"/>
      <c r="J353" s="77"/>
      <c r="K353" s="41" t="n">
        <f aca="false">IF(D353&lt;=0.5,0,MIN(H353+N(J353),D353+E353+F353))</f>
        <v>0</v>
      </c>
      <c r="L353" s="41" t="n">
        <f aca="false">K353-E353-F353</f>
        <v>0</v>
      </c>
      <c r="M353" s="41" t="n">
        <f aca="false">D353-L353</f>
        <v>0</v>
      </c>
      <c r="N353" s="42" t="n">
        <f aca="false">K353-G353</f>
        <v>0</v>
      </c>
      <c r="O353" s="78"/>
      <c r="P353" s="79"/>
      <c r="Q353" s="16" t="str">
        <f aca="false">IF(K353=0,"",IF(R353=1,"Pagada",IF(C353&lt;$F$12,"Vencida",IF(327=$F$13,"Próxima","Pendiente"))))</f>
        <v/>
      </c>
      <c r="R353" s="62" t="n">
        <f aca="false">IF(AND(K353&gt;0,OR(O353="Sí",O353="Si")),1,0)</f>
        <v>0</v>
      </c>
      <c r="S353" s="62" t="n">
        <f aca="false">IF(AND(K353&gt;0,R353=0),1,0)</f>
        <v>0</v>
      </c>
    </row>
    <row r="354" customFormat="false" ht="15" hidden="false" customHeight="false" outlineLevel="0" collapsed="false">
      <c r="B354" s="71" t="str">
        <f aca="false">IF($F$6="Sí",N($C$11)+327,"")</f>
        <v/>
      </c>
      <c r="C354" s="72" t="str">
        <f aca="false">IF(OR($F$6&lt;&gt;"Sí",D354&lt;=0.5),"",EDATE($C$10,327))</f>
        <v/>
      </c>
      <c r="D354" s="41" t="n">
        <f aca="false">MAX(0,M353)</f>
        <v>0</v>
      </c>
      <c r="E354" s="41" t="n">
        <f aca="false">D354*$F$7</f>
        <v>0</v>
      </c>
      <c r="F354" s="41" t="n">
        <f aca="false">IF(D354&gt;0.5,N($C$15),0)</f>
        <v>0</v>
      </c>
      <c r="G354" s="41" t="n">
        <f aca="false">IF(AND(D354&gt;0.5,N($C$19)&gt;0,N(B354)&lt;=N($C$20)),D354*$F$8,0)</f>
        <v>0</v>
      </c>
      <c r="H354" s="41" t="n">
        <f aca="false">IF(D354&lt;=0.5,0,MIN(IF(N(I354)&gt;0,I354,$F$9),D354+E354+F354))</f>
        <v>0</v>
      </c>
      <c r="I354" s="77"/>
      <c r="J354" s="77"/>
      <c r="K354" s="41" t="n">
        <f aca="false">IF(D354&lt;=0.5,0,MIN(H354+N(J354),D354+E354+F354))</f>
        <v>0</v>
      </c>
      <c r="L354" s="41" t="n">
        <f aca="false">K354-E354-F354</f>
        <v>0</v>
      </c>
      <c r="M354" s="41" t="n">
        <f aca="false">D354-L354</f>
        <v>0</v>
      </c>
      <c r="N354" s="42" t="n">
        <f aca="false">K354-G354</f>
        <v>0</v>
      </c>
      <c r="O354" s="78"/>
      <c r="P354" s="79"/>
      <c r="Q354" s="16" t="str">
        <f aca="false">IF(K354=0,"",IF(R354=1,"Pagada",IF(C354&lt;$F$12,"Vencida",IF(328=$F$13,"Próxima","Pendiente"))))</f>
        <v/>
      </c>
      <c r="R354" s="62" t="n">
        <f aca="false">IF(AND(K354&gt;0,OR(O354="Sí",O354="Si")),1,0)</f>
        <v>0</v>
      </c>
      <c r="S354" s="62" t="n">
        <f aca="false">IF(AND(K354&gt;0,R354=0),1,0)</f>
        <v>0</v>
      </c>
    </row>
    <row r="355" customFormat="false" ht="15" hidden="false" customHeight="false" outlineLevel="0" collapsed="false">
      <c r="B355" s="71" t="str">
        <f aca="false">IF($F$6="Sí",N($C$11)+328,"")</f>
        <v/>
      </c>
      <c r="C355" s="72" t="str">
        <f aca="false">IF(OR($F$6&lt;&gt;"Sí",D355&lt;=0.5),"",EDATE($C$10,328))</f>
        <v/>
      </c>
      <c r="D355" s="41" t="n">
        <f aca="false">MAX(0,M354)</f>
        <v>0</v>
      </c>
      <c r="E355" s="41" t="n">
        <f aca="false">D355*$F$7</f>
        <v>0</v>
      </c>
      <c r="F355" s="41" t="n">
        <f aca="false">IF(D355&gt;0.5,N($C$15),0)</f>
        <v>0</v>
      </c>
      <c r="G355" s="41" t="n">
        <f aca="false">IF(AND(D355&gt;0.5,N($C$19)&gt;0,N(B355)&lt;=N($C$20)),D355*$F$8,0)</f>
        <v>0</v>
      </c>
      <c r="H355" s="41" t="n">
        <f aca="false">IF(D355&lt;=0.5,0,MIN(IF(N(I355)&gt;0,I355,$F$9),D355+E355+F355))</f>
        <v>0</v>
      </c>
      <c r="I355" s="77"/>
      <c r="J355" s="77"/>
      <c r="K355" s="41" t="n">
        <f aca="false">IF(D355&lt;=0.5,0,MIN(H355+N(J355),D355+E355+F355))</f>
        <v>0</v>
      </c>
      <c r="L355" s="41" t="n">
        <f aca="false">K355-E355-F355</f>
        <v>0</v>
      </c>
      <c r="M355" s="41" t="n">
        <f aca="false">D355-L355</f>
        <v>0</v>
      </c>
      <c r="N355" s="42" t="n">
        <f aca="false">K355-G355</f>
        <v>0</v>
      </c>
      <c r="O355" s="78"/>
      <c r="P355" s="79"/>
      <c r="Q355" s="16" t="str">
        <f aca="false">IF(K355=0,"",IF(R355=1,"Pagada",IF(C355&lt;$F$12,"Vencida",IF(329=$F$13,"Próxima","Pendiente"))))</f>
        <v/>
      </c>
      <c r="R355" s="62" t="n">
        <f aca="false">IF(AND(K355&gt;0,OR(O355="Sí",O355="Si")),1,0)</f>
        <v>0</v>
      </c>
      <c r="S355" s="62" t="n">
        <f aca="false">IF(AND(K355&gt;0,R355=0),1,0)</f>
        <v>0</v>
      </c>
    </row>
    <row r="356" customFormat="false" ht="15" hidden="false" customHeight="false" outlineLevel="0" collapsed="false">
      <c r="B356" s="71" t="str">
        <f aca="false">IF($F$6="Sí",N($C$11)+329,"")</f>
        <v/>
      </c>
      <c r="C356" s="72" t="str">
        <f aca="false">IF(OR($F$6&lt;&gt;"Sí",D356&lt;=0.5),"",EDATE($C$10,329))</f>
        <v/>
      </c>
      <c r="D356" s="41" t="n">
        <f aca="false">MAX(0,M355)</f>
        <v>0</v>
      </c>
      <c r="E356" s="41" t="n">
        <f aca="false">D356*$F$7</f>
        <v>0</v>
      </c>
      <c r="F356" s="41" t="n">
        <f aca="false">IF(D356&gt;0.5,N($C$15),0)</f>
        <v>0</v>
      </c>
      <c r="G356" s="41" t="n">
        <f aca="false">IF(AND(D356&gt;0.5,N($C$19)&gt;0,N(B356)&lt;=N($C$20)),D356*$F$8,0)</f>
        <v>0</v>
      </c>
      <c r="H356" s="41" t="n">
        <f aca="false">IF(D356&lt;=0.5,0,MIN(IF(N(I356)&gt;0,I356,$F$9),D356+E356+F356))</f>
        <v>0</v>
      </c>
      <c r="I356" s="77"/>
      <c r="J356" s="77"/>
      <c r="K356" s="41" t="n">
        <f aca="false">IF(D356&lt;=0.5,0,MIN(H356+N(J356),D356+E356+F356))</f>
        <v>0</v>
      </c>
      <c r="L356" s="41" t="n">
        <f aca="false">K356-E356-F356</f>
        <v>0</v>
      </c>
      <c r="M356" s="41" t="n">
        <f aca="false">D356-L356</f>
        <v>0</v>
      </c>
      <c r="N356" s="42" t="n">
        <f aca="false">K356-G356</f>
        <v>0</v>
      </c>
      <c r="O356" s="78"/>
      <c r="P356" s="79"/>
      <c r="Q356" s="16" t="str">
        <f aca="false">IF(K356=0,"",IF(R356=1,"Pagada",IF(C356&lt;$F$12,"Vencida",IF(330=$F$13,"Próxima","Pendiente"))))</f>
        <v/>
      </c>
      <c r="R356" s="62" t="n">
        <f aca="false">IF(AND(K356&gt;0,OR(O356="Sí",O356="Si")),1,0)</f>
        <v>0</v>
      </c>
      <c r="S356" s="62" t="n">
        <f aca="false">IF(AND(K356&gt;0,R356=0),1,0)</f>
        <v>0</v>
      </c>
    </row>
    <row r="357" customFormat="false" ht="15" hidden="false" customHeight="false" outlineLevel="0" collapsed="false">
      <c r="B357" s="71" t="str">
        <f aca="false">IF($F$6="Sí",N($C$11)+330,"")</f>
        <v/>
      </c>
      <c r="C357" s="72" t="str">
        <f aca="false">IF(OR($F$6&lt;&gt;"Sí",D357&lt;=0.5),"",EDATE($C$10,330))</f>
        <v/>
      </c>
      <c r="D357" s="41" t="n">
        <f aca="false">MAX(0,M356)</f>
        <v>0</v>
      </c>
      <c r="E357" s="41" t="n">
        <f aca="false">D357*$F$7</f>
        <v>0</v>
      </c>
      <c r="F357" s="41" t="n">
        <f aca="false">IF(D357&gt;0.5,N($C$15),0)</f>
        <v>0</v>
      </c>
      <c r="G357" s="41" t="n">
        <f aca="false">IF(AND(D357&gt;0.5,N($C$19)&gt;0,N(B357)&lt;=N($C$20)),D357*$F$8,0)</f>
        <v>0</v>
      </c>
      <c r="H357" s="41" t="n">
        <f aca="false">IF(D357&lt;=0.5,0,MIN(IF(N(I357)&gt;0,I357,$F$9),D357+E357+F357))</f>
        <v>0</v>
      </c>
      <c r="I357" s="77"/>
      <c r="J357" s="77"/>
      <c r="K357" s="41" t="n">
        <f aca="false">IF(D357&lt;=0.5,0,MIN(H357+N(J357),D357+E357+F357))</f>
        <v>0</v>
      </c>
      <c r="L357" s="41" t="n">
        <f aca="false">K357-E357-F357</f>
        <v>0</v>
      </c>
      <c r="M357" s="41" t="n">
        <f aca="false">D357-L357</f>
        <v>0</v>
      </c>
      <c r="N357" s="42" t="n">
        <f aca="false">K357-G357</f>
        <v>0</v>
      </c>
      <c r="O357" s="78"/>
      <c r="P357" s="79"/>
      <c r="Q357" s="16" t="str">
        <f aca="false">IF(K357=0,"",IF(R357=1,"Pagada",IF(C357&lt;$F$12,"Vencida",IF(331=$F$13,"Próxima","Pendiente"))))</f>
        <v/>
      </c>
      <c r="R357" s="62" t="n">
        <f aca="false">IF(AND(K357&gt;0,OR(O357="Sí",O357="Si")),1,0)</f>
        <v>0</v>
      </c>
      <c r="S357" s="62" t="n">
        <f aca="false">IF(AND(K357&gt;0,R357=0),1,0)</f>
        <v>0</v>
      </c>
    </row>
    <row r="358" customFormat="false" ht="15" hidden="false" customHeight="false" outlineLevel="0" collapsed="false">
      <c r="B358" s="71" t="str">
        <f aca="false">IF($F$6="Sí",N($C$11)+331,"")</f>
        <v/>
      </c>
      <c r="C358" s="72" t="str">
        <f aca="false">IF(OR($F$6&lt;&gt;"Sí",D358&lt;=0.5),"",EDATE($C$10,331))</f>
        <v/>
      </c>
      <c r="D358" s="41" t="n">
        <f aca="false">MAX(0,M357)</f>
        <v>0</v>
      </c>
      <c r="E358" s="41" t="n">
        <f aca="false">D358*$F$7</f>
        <v>0</v>
      </c>
      <c r="F358" s="41" t="n">
        <f aca="false">IF(D358&gt;0.5,N($C$15),0)</f>
        <v>0</v>
      </c>
      <c r="G358" s="41" t="n">
        <f aca="false">IF(AND(D358&gt;0.5,N($C$19)&gt;0,N(B358)&lt;=N($C$20)),D358*$F$8,0)</f>
        <v>0</v>
      </c>
      <c r="H358" s="41" t="n">
        <f aca="false">IF(D358&lt;=0.5,0,MIN(IF(N(I358)&gt;0,I358,$F$9),D358+E358+F358))</f>
        <v>0</v>
      </c>
      <c r="I358" s="77"/>
      <c r="J358" s="77"/>
      <c r="K358" s="41" t="n">
        <f aca="false">IF(D358&lt;=0.5,0,MIN(H358+N(J358),D358+E358+F358))</f>
        <v>0</v>
      </c>
      <c r="L358" s="41" t="n">
        <f aca="false">K358-E358-F358</f>
        <v>0</v>
      </c>
      <c r="M358" s="41" t="n">
        <f aca="false">D358-L358</f>
        <v>0</v>
      </c>
      <c r="N358" s="42" t="n">
        <f aca="false">K358-G358</f>
        <v>0</v>
      </c>
      <c r="O358" s="78"/>
      <c r="P358" s="79"/>
      <c r="Q358" s="16" t="str">
        <f aca="false">IF(K358=0,"",IF(R358=1,"Pagada",IF(C358&lt;$F$12,"Vencida",IF(332=$F$13,"Próxima","Pendiente"))))</f>
        <v/>
      </c>
      <c r="R358" s="62" t="n">
        <f aca="false">IF(AND(K358&gt;0,OR(O358="Sí",O358="Si")),1,0)</f>
        <v>0</v>
      </c>
      <c r="S358" s="62" t="n">
        <f aca="false">IF(AND(K358&gt;0,R358=0),1,0)</f>
        <v>0</v>
      </c>
    </row>
    <row r="359" customFormat="false" ht="15" hidden="false" customHeight="false" outlineLevel="0" collapsed="false">
      <c r="B359" s="71" t="str">
        <f aca="false">IF($F$6="Sí",N($C$11)+332,"")</f>
        <v/>
      </c>
      <c r="C359" s="72" t="str">
        <f aca="false">IF(OR($F$6&lt;&gt;"Sí",D359&lt;=0.5),"",EDATE($C$10,332))</f>
        <v/>
      </c>
      <c r="D359" s="41" t="n">
        <f aca="false">MAX(0,M358)</f>
        <v>0</v>
      </c>
      <c r="E359" s="41" t="n">
        <f aca="false">D359*$F$7</f>
        <v>0</v>
      </c>
      <c r="F359" s="41" t="n">
        <f aca="false">IF(D359&gt;0.5,N($C$15),0)</f>
        <v>0</v>
      </c>
      <c r="G359" s="41" t="n">
        <f aca="false">IF(AND(D359&gt;0.5,N($C$19)&gt;0,N(B359)&lt;=N($C$20)),D359*$F$8,0)</f>
        <v>0</v>
      </c>
      <c r="H359" s="41" t="n">
        <f aca="false">IF(D359&lt;=0.5,0,MIN(IF(N(I359)&gt;0,I359,$F$9),D359+E359+F359))</f>
        <v>0</v>
      </c>
      <c r="I359" s="77"/>
      <c r="J359" s="77"/>
      <c r="K359" s="41" t="n">
        <f aca="false">IF(D359&lt;=0.5,0,MIN(H359+N(J359),D359+E359+F359))</f>
        <v>0</v>
      </c>
      <c r="L359" s="41" t="n">
        <f aca="false">K359-E359-F359</f>
        <v>0</v>
      </c>
      <c r="M359" s="41" t="n">
        <f aca="false">D359-L359</f>
        <v>0</v>
      </c>
      <c r="N359" s="42" t="n">
        <f aca="false">K359-G359</f>
        <v>0</v>
      </c>
      <c r="O359" s="78"/>
      <c r="P359" s="79"/>
      <c r="Q359" s="16" t="str">
        <f aca="false">IF(K359=0,"",IF(R359=1,"Pagada",IF(C359&lt;$F$12,"Vencida",IF(333=$F$13,"Próxima","Pendiente"))))</f>
        <v/>
      </c>
      <c r="R359" s="62" t="n">
        <f aca="false">IF(AND(K359&gt;0,OR(O359="Sí",O359="Si")),1,0)</f>
        <v>0</v>
      </c>
      <c r="S359" s="62" t="n">
        <f aca="false">IF(AND(K359&gt;0,R359=0),1,0)</f>
        <v>0</v>
      </c>
    </row>
    <row r="360" customFormat="false" ht="15" hidden="false" customHeight="false" outlineLevel="0" collapsed="false">
      <c r="B360" s="71" t="str">
        <f aca="false">IF($F$6="Sí",N($C$11)+333,"")</f>
        <v/>
      </c>
      <c r="C360" s="72" t="str">
        <f aca="false">IF(OR($F$6&lt;&gt;"Sí",D360&lt;=0.5),"",EDATE($C$10,333))</f>
        <v/>
      </c>
      <c r="D360" s="41" t="n">
        <f aca="false">MAX(0,M359)</f>
        <v>0</v>
      </c>
      <c r="E360" s="41" t="n">
        <f aca="false">D360*$F$7</f>
        <v>0</v>
      </c>
      <c r="F360" s="41" t="n">
        <f aca="false">IF(D360&gt;0.5,N($C$15),0)</f>
        <v>0</v>
      </c>
      <c r="G360" s="41" t="n">
        <f aca="false">IF(AND(D360&gt;0.5,N($C$19)&gt;0,N(B360)&lt;=N($C$20)),D360*$F$8,0)</f>
        <v>0</v>
      </c>
      <c r="H360" s="41" t="n">
        <f aca="false">IF(D360&lt;=0.5,0,MIN(IF(N(I360)&gt;0,I360,$F$9),D360+E360+F360))</f>
        <v>0</v>
      </c>
      <c r="I360" s="77"/>
      <c r="J360" s="77"/>
      <c r="K360" s="41" t="n">
        <f aca="false">IF(D360&lt;=0.5,0,MIN(H360+N(J360),D360+E360+F360))</f>
        <v>0</v>
      </c>
      <c r="L360" s="41" t="n">
        <f aca="false">K360-E360-F360</f>
        <v>0</v>
      </c>
      <c r="M360" s="41" t="n">
        <f aca="false">D360-L360</f>
        <v>0</v>
      </c>
      <c r="N360" s="42" t="n">
        <f aca="false">K360-G360</f>
        <v>0</v>
      </c>
      <c r="O360" s="78"/>
      <c r="P360" s="79"/>
      <c r="Q360" s="16" t="str">
        <f aca="false">IF(K360=0,"",IF(R360=1,"Pagada",IF(C360&lt;$F$12,"Vencida",IF(334=$F$13,"Próxima","Pendiente"))))</f>
        <v/>
      </c>
      <c r="R360" s="62" t="n">
        <f aca="false">IF(AND(K360&gt;0,OR(O360="Sí",O360="Si")),1,0)</f>
        <v>0</v>
      </c>
      <c r="S360" s="62" t="n">
        <f aca="false">IF(AND(K360&gt;0,R360=0),1,0)</f>
        <v>0</v>
      </c>
    </row>
    <row r="361" customFormat="false" ht="15" hidden="false" customHeight="false" outlineLevel="0" collapsed="false">
      <c r="B361" s="71" t="str">
        <f aca="false">IF($F$6="Sí",N($C$11)+334,"")</f>
        <v/>
      </c>
      <c r="C361" s="72" t="str">
        <f aca="false">IF(OR($F$6&lt;&gt;"Sí",D361&lt;=0.5),"",EDATE($C$10,334))</f>
        <v/>
      </c>
      <c r="D361" s="41" t="n">
        <f aca="false">MAX(0,M360)</f>
        <v>0</v>
      </c>
      <c r="E361" s="41" t="n">
        <f aca="false">D361*$F$7</f>
        <v>0</v>
      </c>
      <c r="F361" s="41" t="n">
        <f aca="false">IF(D361&gt;0.5,N($C$15),0)</f>
        <v>0</v>
      </c>
      <c r="G361" s="41" t="n">
        <f aca="false">IF(AND(D361&gt;0.5,N($C$19)&gt;0,N(B361)&lt;=N($C$20)),D361*$F$8,0)</f>
        <v>0</v>
      </c>
      <c r="H361" s="41" t="n">
        <f aca="false">IF(D361&lt;=0.5,0,MIN(IF(N(I361)&gt;0,I361,$F$9),D361+E361+F361))</f>
        <v>0</v>
      </c>
      <c r="I361" s="77"/>
      <c r="J361" s="77"/>
      <c r="K361" s="41" t="n">
        <f aca="false">IF(D361&lt;=0.5,0,MIN(H361+N(J361),D361+E361+F361))</f>
        <v>0</v>
      </c>
      <c r="L361" s="41" t="n">
        <f aca="false">K361-E361-F361</f>
        <v>0</v>
      </c>
      <c r="M361" s="41" t="n">
        <f aca="false">D361-L361</f>
        <v>0</v>
      </c>
      <c r="N361" s="42" t="n">
        <f aca="false">K361-G361</f>
        <v>0</v>
      </c>
      <c r="O361" s="78"/>
      <c r="P361" s="79"/>
      <c r="Q361" s="16" t="str">
        <f aca="false">IF(K361=0,"",IF(R361=1,"Pagada",IF(C361&lt;$F$12,"Vencida",IF(335=$F$13,"Próxima","Pendiente"))))</f>
        <v/>
      </c>
      <c r="R361" s="62" t="n">
        <f aca="false">IF(AND(K361&gt;0,OR(O361="Sí",O361="Si")),1,0)</f>
        <v>0</v>
      </c>
      <c r="S361" s="62" t="n">
        <f aca="false">IF(AND(K361&gt;0,R361=0),1,0)</f>
        <v>0</v>
      </c>
    </row>
    <row r="362" customFormat="false" ht="15" hidden="false" customHeight="false" outlineLevel="0" collapsed="false">
      <c r="B362" s="71" t="str">
        <f aca="false">IF($F$6="Sí",N($C$11)+335,"")</f>
        <v/>
      </c>
      <c r="C362" s="72" t="str">
        <f aca="false">IF(OR($F$6&lt;&gt;"Sí",D362&lt;=0.5),"",EDATE($C$10,335))</f>
        <v/>
      </c>
      <c r="D362" s="41" t="n">
        <f aca="false">MAX(0,M361)</f>
        <v>0</v>
      </c>
      <c r="E362" s="41" t="n">
        <f aca="false">D362*$F$7</f>
        <v>0</v>
      </c>
      <c r="F362" s="41" t="n">
        <f aca="false">IF(D362&gt;0.5,N($C$15),0)</f>
        <v>0</v>
      </c>
      <c r="G362" s="41" t="n">
        <f aca="false">IF(AND(D362&gt;0.5,N($C$19)&gt;0,N(B362)&lt;=N($C$20)),D362*$F$8,0)</f>
        <v>0</v>
      </c>
      <c r="H362" s="41" t="n">
        <f aca="false">IF(D362&lt;=0.5,0,MIN(IF(N(I362)&gt;0,I362,$F$9),D362+E362+F362))</f>
        <v>0</v>
      </c>
      <c r="I362" s="77"/>
      <c r="J362" s="77"/>
      <c r="K362" s="41" t="n">
        <f aca="false">IF(D362&lt;=0.5,0,MIN(H362+N(J362),D362+E362+F362))</f>
        <v>0</v>
      </c>
      <c r="L362" s="41" t="n">
        <f aca="false">K362-E362-F362</f>
        <v>0</v>
      </c>
      <c r="M362" s="41" t="n">
        <f aca="false">D362-L362</f>
        <v>0</v>
      </c>
      <c r="N362" s="42" t="n">
        <f aca="false">K362-G362</f>
        <v>0</v>
      </c>
      <c r="O362" s="78"/>
      <c r="P362" s="79"/>
      <c r="Q362" s="16" t="str">
        <f aca="false">IF(K362=0,"",IF(R362=1,"Pagada",IF(C362&lt;$F$12,"Vencida",IF(336=$F$13,"Próxima","Pendiente"))))</f>
        <v/>
      </c>
      <c r="R362" s="62" t="n">
        <f aca="false">IF(AND(K362&gt;0,OR(O362="Sí",O362="Si")),1,0)</f>
        <v>0</v>
      </c>
      <c r="S362" s="62" t="n">
        <f aca="false">IF(AND(K362&gt;0,R362=0),1,0)</f>
        <v>0</v>
      </c>
    </row>
    <row r="363" customFormat="false" ht="15" hidden="false" customHeight="false" outlineLevel="0" collapsed="false">
      <c r="B363" s="71" t="str">
        <f aca="false">IF($F$6="Sí",N($C$11)+336,"")</f>
        <v/>
      </c>
      <c r="C363" s="72" t="str">
        <f aca="false">IF(OR($F$6&lt;&gt;"Sí",D363&lt;=0.5),"",EDATE($C$10,336))</f>
        <v/>
      </c>
      <c r="D363" s="41" t="n">
        <f aca="false">MAX(0,M362)</f>
        <v>0</v>
      </c>
      <c r="E363" s="41" t="n">
        <f aca="false">D363*$F$7</f>
        <v>0</v>
      </c>
      <c r="F363" s="41" t="n">
        <f aca="false">IF(D363&gt;0.5,N($C$15),0)</f>
        <v>0</v>
      </c>
      <c r="G363" s="41" t="n">
        <f aca="false">IF(AND(D363&gt;0.5,N($C$19)&gt;0,N(B363)&lt;=N($C$20)),D363*$F$8,0)</f>
        <v>0</v>
      </c>
      <c r="H363" s="41" t="n">
        <f aca="false">IF(D363&lt;=0.5,0,MIN(IF(N(I363)&gt;0,I363,$F$9),D363+E363+F363))</f>
        <v>0</v>
      </c>
      <c r="I363" s="77"/>
      <c r="J363" s="77"/>
      <c r="K363" s="41" t="n">
        <f aca="false">IF(D363&lt;=0.5,0,MIN(H363+N(J363),D363+E363+F363))</f>
        <v>0</v>
      </c>
      <c r="L363" s="41" t="n">
        <f aca="false">K363-E363-F363</f>
        <v>0</v>
      </c>
      <c r="M363" s="41" t="n">
        <f aca="false">D363-L363</f>
        <v>0</v>
      </c>
      <c r="N363" s="42" t="n">
        <f aca="false">K363-G363</f>
        <v>0</v>
      </c>
      <c r="O363" s="78"/>
      <c r="P363" s="79"/>
      <c r="Q363" s="16" t="str">
        <f aca="false">IF(K363=0,"",IF(R363=1,"Pagada",IF(C363&lt;$F$12,"Vencida",IF(337=$F$13,"Próxima","Pendiente"))))</f>
        <v/>
      </c>
      <c r="R363" s="62" t="n">
        <f aca="false">IF(AND(K363&gt;0,OR(O363="Sí",O363="Si")),1,0)</f>
        <v>0</v>
      </c>
      <c r="S363" s="62" t="n">
        <f aca="false">IF(AND(K363&gt;0,R363=0),1,0)</f>
        <v>0</v>
      </c>
    </row>
    <row r="364" customFormat="false" ht="15" hidden="false" customHeight="false" outlineLevel="0" collapsed="false">
      <c r="B364" s="71" t="str">
        <f aca="false">IF($F$6="Sí",N($C$11)+337,"")</f>
        <v/>
      </c>
      <c r="C364" s="72" t="str">
        <f aca="false">IF(OR($F$6&lt;&gt;"Sí",D364&lt;=0.5),"",EDATE($C$10,337))</f>
        <v/>
      </c>
      <c r="D364" s="41" t="n">
        <f aca="false">MAX(0,M363)</f>
        <v>0</v>
      </c>
      <c r="E364" s="41" t="n">
        <f aca="false">D364*$F$7</f>
        <v>0</v>
      </c>
      <c r="F364" s="41" t="n">
        <f aca="false">IF(D364&gt;0.5,N($C$15),0)</f>
        <v>0</v>
      </c>
      <c r="G364" s="41" t="n">
        <f aca="false">IF(AND(D364&gt;0.5,N($C$19)&gt;0,N(B364)&lt;=N($C$20)),D364*$F$8,0)</f>
        <v>0</v>
      </c>
      <c r="H364" s="41" t="n">
        <f aca="false">IF(D364&lt;=0.5,0,MIN(IF(N(I364)&gt;0,I364,$F$9),D364+E364+F364))</f>
        <v>0</v>
      </c>
      <c r="I364" s="77"/>
      <c r="J364" s="77"/>
      <c r="K364" s="41" t="n">
        <f aca="false">IF(D364&lt;=0.5,0,MIN(H364+N(J364),D364+E364+F364))</f>
        <v>0</v>
      </c>
      <c r="L364" s="41" t="n">
        <f aca="false">K364-E364-F364</f>
        <v>0</v>
      </c>
      <c r="M364" s="41" t="n">
        <f aca="false">D364-L364</f>
        <v>0</v>
      </c>
      <c r="N364" s="42" t="n">
        <f aca="false">K364-G364</f>
        <v>0</v>
      </c>
      <c r="O364" s="78"/>
      <c r="P364" s="79"/>
      <c r="Q364" s="16" t="str">
        <f aca="false">IF(K364=0,"",IF(R364=1,"Pagada",IF(C364&lt;$F$12,"Vencida",IF(338=$F$13,"Próxima","Pendiente"))))</f>
        <v/>
      </c>
      <c r="R364" s="62" t="n">
        <f aca="false">IF(AND(K364&gt;0,OR(O364="Sí",O364="Si")),1,0)</f>
        <v>0</v>
      </c>
      <c r="S364" s="62" t="n">
        <f aca="false">IF(AND(K364&gt;0,R364=0),1,0)</f>
        <v>0</v>
      </c>
    </row>
    <row r="365" customFormat="false" ht="15" hidden="false" customHeight="false" outlineLevel="0" collapsed="false">
      <c r="B365" s="71" t="str">
        <f aca="false">IF($F$6="Sí",N($C$11)+338,"")</f>
        <v/>
      </c>
      <c r="C365" s="72" t="str">
        <f aca="false">IF(OR($F$6&lt;&gt;"Sí",D365&lt;=0.5),"",EDATE($C$10,338))</f>
        <v/>
      </c>
      <c r="D365" s="41" t="n">
        <f aca="false">MAX(0,M364)</f>
        <v>0</v>
      </c>
      <c r="E365" s="41" t="n">
        <f aca="false">D365*$F$7</f>
        <v>0</v>
      </c>
      <c r="F365" s="41" t="n">
        <f aca="false">IF(D365&gt;0.5,N($C$15),0)</f>
        <v>0</v>
      </c>
      <c r="G365" s="41" t="n">
        <f aca="false">IF(AND(D365&gt;0.5,N($C$19)&gt;0,N(B365)&lt;=N($C$20)),D365*$F$8,0)</f>
        <v>0</v>
      </c>
      <c r="H365" s="41" t="n">
        <f aca="false">IF(D365&lt;=0.5,0,MIN(IF(N(I365)&gt;0,I365,$F$9),D365+E365+F365))</f>
        <v>0</v>
      </c>
      <c r="I365" s="77"/>
      <c r="J365" s="77"/>
      <c r="K365" s="41" t="n">
        <f aca="false">IF(D365&lt;=0.5,0,MIN(H365+N(J365),D365+E365+F365))</f>
        <v>0</v>
      </c>
      <c r="L365" s="41" t="n">
        <f aca="false">K365-E365-F365</f>
        <v>0</v>
      </c>
      <c r="M365" s="41" t="n">
        <f aca="false">D365-L365</f>
        <v>0</v>
      </c>
      <c r="N365" s="42" t="n">
        <f aca="false">K365-G365</f>
        <v>0</v>
      </c>
      <c r="O365" s="78"/>
      <c r="P365" s="79"/>
      <c r="Q365" s="16" t="str">
        <f aca="false">IF(K365=0,"",IF(R365=1,"Pagada",IF(C365&lt;$F$12,"Vencida",IF(339=$F$13,"Próxima","Pendiente"))))</f>
        <v/>
      </c>
      <c r="R365" s="62" t="n">
        <f aca="false">IF(AND(K365&gt;0,OR(O365="Sí",O365="Si")),1,0)</f>
        <v>0</v>
      </c>
      <c r="S365" s="62" t="n">
        <f aca="false">IF(AND(K365&gt;0,R365=0),1,0)</f>
        <v>0</v>
      </c>
    </row>
    <row r="366" customFormat="false" ht="15" hidden="false" customHeight="false" outlineLevel="0" collapsed="false">
      <c r="B366" s="71" t="str">
        <f aca="false">IF($F$6="Sí",N($C$11)+339,"")</f>
        <v/>
      </c>
      <c r="C366" s="72" t="str">
        <f aca="false">IF(OR($F$6&lt;&gt;"Sí",D366&lt;=0.5),"",EDATE($C$10,339))</f>
        <v/>
      </c>
      <c r="D366" s="41" t="n">
        <f aca="false">MAX(0,M365)</f>
        <v>0</v>
      </c>
      <c r="E366" s="41" t="n">
        <f aca="false">D366*$F$7</f>
        <v>0</v>
      </c>
      <c r="F366" s="41" t="n">
        <f aca="false">IF(D366&gt;0.5,N($C$15),0)</f>
        <v>0</v>
      </c>
      <c r="G366" s="41" t="n">
        <f aca="false">IF(AND(D366&gt;0.5,N($C$19)&gt;0,N(B366)&lt;=N($C$20)),D366*$F$8,0)</f>
        <v>0</v>
      </c>
      <c r="H366" s="41" t="n">
        <f aca="false">IF(D366&lt;=0.5,0,MIN(IF(N(I366)&gt;0,I366,$F$9),D366+E366+F366))</f>
        <v>0</v>
      </c>
      <c r="I366" s="77"/>
      <c r="J366" s="77"/>
      <c r="K366" s="41" t="n">
        <f aca="false">IF(D366&lt;=0.5,0,MIN(H366+N(J366),D366+E366+F366))</f>
        <v>0</v>
      </c>
      <c r="L366" s="41" t="n">
        <f aca="false">K366-E366-F366</f>
        <v>0</v>
      </c>
      <c r="M366" s="41" t="n">
        <f aca="false">D366-L366</f>
        <v>0</v>
      </c>
      <c r="N366" s="42" t="n">
        <f aca="false">K366-G366</f>
        <v>0</v>
      </c>
      <c r="O366" s="78"/>
      <c r="P366" s="79"/>
      <c r="Q366" s="16" t="str">
        <f aca="false">IF(K366=0,"",IF(R366=1,"Pagada",IF(C366&lt;$F$12,"Vencida",IF(340=$F$13,"Próxima","Pendiente"))))</f>
        <v/>
      </c>
      <c r="R366" s="62" t="n">
        <f aca="false">IF(AND(K366&gt;0,OR(O366="Sí",O366="Si")),1,0)</f>
        <v>0</v>
      </c>
      <c r="S366" s="62" t="n">
        <f aca="false">IF(AND(K366&gt;0,R366=0),1,0)</f>
        <v>0</v>
      </c>
    </row>
    <row r="367" customFormat="false" ht="15" hidden="false" customHeight="false" outlineLevel="0" collapsed="false">
      <c r="B367" s="71" t="str">
        <f aca="false">IF($F$6="Sí",N($C$11)+340,"")</f>
        <v/>
      </c>
      <c r="C367" s="72" t="str">
        <f aca="false">IF(OR($F$6&lt;&gt;"Sí",D367&lt;=0.5),"",EDATE($C$10,340))</f>
        <v/>
      </c>
      <c r="D367" s="41" t="n">
        <f aca="false">MAX(0,M366)</f>
        <v>0</v>
      </c>
      <c r="E367" s="41" t="n">
        <f aca="false">D367*$F$7</f>
        <v>0</v>
      </c>
      <c r="F367" s="41" t="n">
        <f aca="false">IF(D367&gt;0.5,N($C$15),0)</f>
        <v>0</v>
      </c>
      <c r="G367" s="41" t="n">
        <f aca="false">IF(AND(D367&gt;0.5,N($C$19)&gt;0,N(B367)&lt;=N($C$20)),D367*$F$8,0)</f>
        <v>0</v>
      </c>
      <c r="H367" s="41" t="n">
        <f aca="false">IF(D367&lt;=0.5,0,MIN(IF(N(I367)&gt;0,I367,$F$9),D367+E367+F367))</f>
        <v>0</v>
      </c>
      <c r="I367" s="77"/>
      <c r="J367" s="77"/>
      <c r="K367" s="41" t="n">
        <f aca="false">IF(D367&lt;=0.5,0,MIN(H367+N(J367),D367+E367+F367))</f>
        <v>0</v>
      </c>
      <c r="L367" s="41" t="n">
        <f aca="false">K367-E367-F367</f>
        <v>0</v>
      </c>
      <c r="M367" s="41" t="n">
        <f aca="false">D367-L367</f>
        <v>0</v>
      </c>
      <c r="N367" s="42" t="n">
        <f aca="false">K367-G367</f>
        <v>0</v>
      </c>
      <c r="O367" s="78"/>
      <c r="P367" s="79"/>
      <c r="Q367" s="16" t="str">
        <f aca="false">IF(K367=0,"",IF(R367=1,"Pagada",IF(C367&lt;$F$12,"Vencida",IF(341=$F$13,"Próxima","Pendiente"))))</f>
        <v/>
      </c>
      <c r="R367" s="62" t="n">
        <f aca="false">IF(AND(K367&gt;0,OR(O367="Sí",O367="Si")),1,0)</f>
        <v>0</v>
      </c>
      <c r="S367" s="62" t="n">
        <f aca="false">IF(AND(K367&gt;0,R367=0),1,0)</f>
        <v>0</v>
      </c>
    </row>
    <row r="368" customFormat="false" ht="15" hidden="false" customHeight="false" outlineLevel="0" collapsed="false">
      <c r="B368" s="71" t="str">
        <f aca="false">IF($F$6="Sí",N($C$11)+341,"")</f>
        <v/>
      </c>
      <c r="C368" s="72" t="str">
        <f aca="false">IF(OR($F$6&lt;&gt;"Sí",D368&lt;=0.5),"",EDATE($C$10,341))</f>
        <v/>
      </c>
      <c r="D368" s="41" t="n">
        <f aca="false">MAX(0,M367)</f>
        <v>0</v>
      </c>
      <c r="E368" s="41" t="n">
        <f aca="false">D368*$F$7</f>
        <v>0</v>
      </c>
      <c r="F368" s="41" t="n">
        <f aca="false">IF(D368&gt;0.5,N($C$15),0)</f>
        <v>0</v>
      </c>
      <c r="G368" s="41" t="n">
        <f aca="false">IF(AND(D368&gt;0.5,N($C$19)&gt;0,N(B368)&lt;=N($C$20)),D368*$F$8,0)</f>
        <v>0</v>
      </c>
      <c r="H368" s="41" t="n">
        <f aca="false">IF(D368&lt;=0.5,0,MIN(IF(N(I368)&gt;0,I368,$F$9),D368+E368+F368))</f>
        <v>0</v>
      </c>
      <c r="I368" s="77"/>
      <c r="J368" s="77"/>
      <c r="K368" s="41" t="n">
        <f aca="false">IF(D368&lt;=0.5,0,MIN(H368+N(J368),D368+E368+F368))</f>
        <v>0</v>
      </c>
      <c r="L368" s="41" t="n">
        <f aca="false">K368-E368-F368</f>
        <v>0</v>
      </c>
      <c r="M368" s="41" t="n">
        <f aca="false">D368-L368</f>
        <v>0</v>
      </c>
      <c r="N368" s="42" t="n">
        <f aca="false">K368-G368</f>
        <v>0</v>
      </c>
      <c r="O368" s="78"/>
      <c r="P368" s="79"/>
      <c r="Q368" s="16" t="str">
        <f aca="false">IF(K368=0,"",IF(R368=1,"Pagada",IF(C368&lt;$F$12,"Vencida",IF(342=$F$13,"Próxima","Pendiente"))))</f>
        <v/>
      </c>
      <c r="R368" s="62" t="n">
        <f aca="false">IF(AND(K368&gt;0,OR(O368="Sí",O368="Si")),1,0)</f>
        <v>0</v>
      </c>
      <c r="S368" s="62" t="n">
        <f aca="false">IF(AND(K368&gt;0,R368=0),1,0)</f>
        <v>0</v>
      </c>
    </row>
    <row r="369" customFormat="false" ht="15" hidden="false" customHeight="false" outlineLevel="0" collapsed="false">
      <c r="B369" s="71" t="str">
        <f aca="false">IF($F$6="Sí",N($C$11)+342,"")</f>
        <v/>
      </c>
      <c r="C369" s="72" t="str">
        <f aca="false">IF(OR($F$6&lt;&gt;"Sí",D369&lt;=0.5),"",EDATE($C$10,342))</f>
        <v/>
      </c>
      <c r="D369" s="41" t="n">
        <f aca="false">MAX(0,M368)</f>
        <v>0</v>
      </c>
      <c r="E369" s="41" t="n">
        <f aca="false">D369*$F$7</f>
        <v>0</v>
      </c>
      <c r="F369" s="41" t="n">
        <f aca="false">IF(D369&gt;0.5,N($C$15),0)</f>
        <v>0</v>
      </c>
      <c r="G369" s="41" t="n">
        <f aca="false">IF(AND(D369&gt;0.5,N($C$19)&gt;0,N(B369)&lt;=N($C$20)),D369*$F$8,0)</f>
        <v>0</v>
      </c>
      <c r="H369" s="41" t="n">
        <f aca="false">IF(D369&lt;=0.5,0,MIN(IF(N(I369)&gt;0,I369,$F$9),D369+E369+F369))</f>
        <v>0</v>
      </c>
      <c r="I369" s="77"/>
      <c r="J369" s="77"/>
      <c r="K369" s="41" t="n">
        <f aca="false">IF(D369&lt;=0.5,0,MIN(H369+N(J369),D369+E369+F369))</f>
        <v>0</v>
      </c>
      <c r="L369" s="41" t="n">
        <f aca="false">K369-E369-F369</f>
        <v>0</v>
      </c>
      <c r="M369" s="41" t="n">
        <f aca="false">D369-L369</f>
        <v>0</v>
      </c>
      <c r="N369" s="42" t="n">
        <f aca="false">K369-G369</f>
        <v>0</v>
      </c>
      <c r="O369" s="78"/>
      <c r="P369" s="79"/>
      <c r="Q369" s="16" t="str">
        <f aca="false">IF(K369=0,"",IF(R369=1,"Pagada",IF(C369&lt;$F$12,"Vencida",IF(343=$F$13,"Próxima","Pendiente"))))</f>
        <v/>
      </c>
      <c r="R369" s="62" t="n">
        <f aca="false">IF(AND(K369&gt;0,OR(O369="Sí",O369="Si")),1,0)</f>
        <v>0</v>
      </c>
      <c r="S369" s="62" t="n">
        <f aca="false">IF(AND(K369&gt;0,R369=0),1,0)</f>
        <v>0</v>
      </c>
    </row>
    <row r="370" customFormat="false" ht="15" hidden="false" customHeight="false" outlineLevel="0" collapsed="false">
      <c r="B370" s="71" t="str">
        <f aca="false">IF($F$6="Sí",N($C$11)+343,"")</f>
        <v/>
      </c>
      <c r="C370" s="72" t="str">
        <f aca="false">IF(OR($F$6&lt;&gt;"Sí",D370&lt;=0.5),"",EDATE($C$10,343))</f>
        <v/>
      </c>
      <c r="D370" s="41" t="n">
        <f aca="false">MAX(0,M369)</f>
        <v>0</v>
      </c>
      <c r="E370" s="41" t="n">
        <f aca="false">D370*$F$7</f>
        <v>0</v>
      </c>
      <c r="F370" s="41" t="n">
        <f aca="false">IF(D370&gt;0.5,N($C$15),0)</f>
        <v>0</v>
      </c>
      <c r="G370" s="41" t="n">
        <f aca="false">IF(AND(D370&gt;0.5,N($C$19)&gt;0,N(B370)&lt;=N($C$20)),D370*$F$8,0)</f>
        <v>0</v>
      </c>
      <c r="H370" s="41" t="n">
        <f aca="false">IF(D370&lt;=0.5,0,MIN(IF(N(I370)&gt;0,I370,$F$9),D370+E370+F370))</f>
        <v>0</v>
      </c>
      <c r="I370" s="77"/>
      <c r="J370" s="77"/>
      <c r="K370" s="41" t="n">
        <f aca="false">IF(D370&lt;=0.5,0,MIN(H370+N(J370),D370+E370+F370))</f>
        <v>0</v>
      </c>
      <c r="L370" s="41" t="n">
        <f aca="false">K370-E370-F370</f>
        <v>0</v>
      </c>
      <c r="M370" s="41" t="n">
        <f aca="false">D370-L370</f>
        <v>0</v>
      </c>
      <c r="N370" s="42" t="n">
        <f aca="false">K370-G370</f>
        <v>0</v>
      </c>
      <c r="O370" s="78"/>
      <c r="P370" s="79"/>
      <c r="Q370" s="16" t="str">
        <f aca="false">IF(K370=0,"",IF(R370=1,"Pagada",IF(C370&lt;$F$12,"Vencida",IF(344=$F$13,"Próxima","Pendiente"))))</f>
        <v/>
      </c>
      <c r="R370" s="62" t="n">
        <f aca="false">IF(AND(K370&gt;0,OR(O370="Sí",O370="Si")),1,0)</f>
        <v>0</v>
      </c>
      <c r="S370" s="62" t="n">
        <f aca="false">IF(AND(K370&gt;0,R370=0),1,0)</f>
        <v>0</v>
      </c>
    </row>
    <row r="371" customFormat="false" ht="15" hidden="false" customHeight="false" outlineLevel="0" collapsed="false">
      <c r="B371" s="71" t="str">
        <f aca="false">IF($F$6="Sí",N($C$11)+344,"")</f>
        <v/>
      </c>
      <c r="C371" s="72" t="str">
        <f aca="false">IF(OR($F$6&lt;&gt;"Sí",D371&lt;=0.5),"",EDATE($C$10,344))</f>
        <v/>
      </c>
      <c r="D371" s="41" t="n">
        <f aca="false">MAX(0,M370)</f>
        <v>0</v>
      </c>
      <c r="E371" s="41" t="n">
        <f aca="false">D371*$F$7</f>
        <v>0</v>
      </c>
      <c r="F371" s="41" t="n">
        <f aca="false">IF(D371&gt;0.5,N($C$15),0)</f>
        <v>0</v>
      </c>
      <c r="G371" s="41" t="n">
        <f aca="false">IF(AND(D371&gt;0.5,N($C$19)&gt;0,N(B371)&lt;=N($C$20)),D371*$F$8,0)</f>
        <v>0</v>
      </c>
      <c r="H371" s="41" t="n">
        <f aca="false">IF(D371&lt;=0.5,0,MIN(IF(N(I371)&gt;0,I371,$F$9),D371+E371+F371))</f>
        <v>0</v>
      </c>
      <c r="I371" s="77"/>
      <c r="J371" s="77"/>
      <c r="K371" s="41" t="n">
        <f aca="false">IF(D371&lt;=0.5,0,MIN(H371+N(J371),D371+E371+F371))</f>
        <v>0</v>
      </c>
      <c r="L371" s="41" t="n">
        <f aca="false">K371-E371-F371</f>
        <v>0</v>
      </c>
      <c r="M371" s="41" t="n">
        <f aca="false">D371-L371</f>
        <v>0</v>
      </c>
      <c r="N371" s="42" t="n">
        <f aca="false">K371-G371</f>
        <v>0</v>
      </c>
      <c r="O371" s="78"/>
      <c r="P371" s="79"/>
      <c r="Q371" s="16" t="str">
        <f aca="false">IF(K371=0,"",IF(R371=1,"Pagada",IF(C371&lt;$F$12,"Vencida",IF(345=$F$13,"Próxima","Pendiente"))))</f>
        <v/>
      </c>
      <c r="R371" s="62" t="n">
        <f aca="false">IF(AND(K371&gt;0,OR(O371="Sí",O371="Si")),1,0)</f>
        <v>0</v>
      </c>
      <c r="S371" s="62" t="n">
        <f aca="false">IF(AND(K371&gt;0,R371=0),1,0)</f>
        <v>0</v>
      </c>
    </row>
    <row r="372" customFormat="false" ht="15" hidden="false" customHeight="false" outlineLevel="0" collapsed="false">
      <c r="B372" s="71" t="str">
        <f aca="false">IF($F$6="Sí",N($C$11)+345,"")</f>
        <v/>
      </c>
      <c r="C372" s="72" t="str">
        <f aca="false">IF(OR($F$6&lt;&gt;"Sí",D372&lt;=0.5),"",EDATE($C$10,345))</f>
        <v/>
      </c>
      <c r="D372" s="41" t="n">
        <f aca="false">MAX(0,M371)</f>
        <v>0</v>
      </c>
      <c r="E372" s="41" t="n">
        <f aca="false">D372*$F$7</f>
        <v>0</v>
      </c>
      <c r="F372" s="41" t="n">
        <f aca="false">IF(D372&gt;0.5,N($C$15),0)</f>
        <v>0</v>
      </c>
      <c r="G372" s="41" t="n">
        <f aca="false">IF(AND(D372&gt;0.5,N($C$19)&gt;0,N(B372)&lt;=N($C$20)),D372*$F$8,0)</f>
        <v>0</v>
      </c>
      <c r="H372" s="41" t="n">
        <f aca="false">IF(D372&lt;=0.5,0,MIN(IF(N(I372)&gt;0,I372,$F$9),D372+E372+F372))</f>
        <v>0</v>
      </c>
      <c r="I372" s="77"/>
      <c r="J372" s="77"/>
      <c r="K372" s="41" t="n">
        <f aca="false">IF(D372&lt;=0.5,0,MIN(H372+N(J372),D372+E372+F372))</f>
        <v>0</v>
      </c>
      <c r="L372" s="41" t="n">
        <f aca="false">K372-E372-F372</f>
        <v>0</v>
      </c>
      <c r="M372" s="41" t="n">
        <f aca="false">D372-L372</f>
        <v>0</v>
      </c>
      <c r="N372" s="42" t="n">
        <f aca="false">K372-G372</f>
        <v>0</v>
      </c>
      <c r="O372" s="78"/>
      <c r="P372" s="79"/>
      <c r="Q372" s="16" t="str">
        <f aca="false">IF(K372=0,"",IF(R372=1,"Pagada",IF(C372&lt;$F$12,"Vencida",IF(346=$F$13,"Próxima","Pendiente"))))</f>
        <v/>
      </c>
      <c r="R372" s="62" t="n">
        <f aca="false">IF(AND(K372&gt;0,OR(O372="Sí",O372="Si")),1,0)</f>
        <v>0</v>
      </c>
      <c r="S372" s="62" t="n">
        <f aca="false">IF(AND(K372&gt;0,R372=0),1,0)</f>
        <v>0</v>
      </c>
    </row>
    <row r="373" customFormat="false" ht="15" hidden="false" customHeight="false" outlineLevel="0" collapsed="false">
      <c r="B373" s="71" t="str">
        <f aca="false">IF($F$6="Sí",N($C$11)+346,"")</f>
        <v/>
      </c>
      <c r="C373" s="72" t="str">
        <f aca="false">IF(OR($F$6&lt;&gt;"Sí",D373&lt;=0.5),"",EDATE($C$10,346))</f>
        <v/>
      </c>
      <c r="D373" s="41" t="n">
        <f aca="false">MAX(0,M372)</f>
        <v>0</v>
      </c>
      <c r="E373" s="41" t="n">
        <f aca="false">D373*$F$7</f>
        <v>0</v>
      </c>
      <c r="F373" s="41" t="n">
        <f aca="false">IF(D373&gt;0.5,N($C$15),0)</f>
        <v>0</v>
      </c>
      <c r="G373" s="41" t="n">
        <f aca="false">IF(AND(D373&gt;0.5,N($C$19)&gt;0,N(B373)&lt;=N($C$20)),D373*$F$8,0)</f>
        <v>0</v>
      </c>
      <c r="H373" s="41" t="n">
        <f aca="false">IF(D373&lt;=0.5,0,MIN(IF(N(I373)&gt;0,I373,$F$9),D373+E373+F373))</f>
        <v>0</v>
      </c>
      <c r="I373" s="77"/>
      <c r="J373" s="77"/>
      <c r="K373" s="41" t="n">
        <f aca="false">IF(D373&lt;=0.5,0,MIN(H373+N(J373),D373+E373+F373))</f>
        <v>0</v>
      </c>
      <c r="L373" s="41" t="n">
        <f aca="false">K373-E373-F373</f>
        <v>0</v>
      </c>
      <c r="M373" s="41" t="n">
        <f aca="false">D373-L373</f>
        <v>0</v>
      </c>
      <c r="N373" s="42" t="n">
        <f aca="false">K373-G373</f>
        <v>0</v>
      </c>
      <c r="O373" s="78"/>
      <c r="P373" s="79"/>
      <c r="Q373" s="16" t="str">
        <f aca="false">IF(K373=0,"",IF(R373=1,"Pagada",IF(C373&lt;$F$12,"Vencida",IF(347=$F$13,"Próxima","Pendiente"))))</f>
        <v/>
      </c>
      <c r="R373" s="62" t="n">
        <f aca="false">IF(AND(K373&gt;0,OR(O373="Sí",O373="Si")),1,0)</f>
        <v>0</v>
      </c>
      <c r="S373" s="62" t="n">
        <f aca="false">IF(AND(K373&gt;0,R373=0),1,0)</f>
        <v>0</v>
      </c>
    </row>
    <row r="374" customFormat="false" ht="15" hidden="false" customHeight="false" outlineLevel="0" collapsed="false">
      <c r="B374" s="71" t="str">
        <f aca="false">IF($F$6="Sí",N($C$11)+347,"")</f>
        <v/>
      </c>
      <c r="C374" s="72" t="str">
        <f aca="false">IF(OR($F$6&lt;&gt;"Sí",D374&lt;=0.5),"",EDATE($C$10,347))</f>
        <v/>
      </c>
      <c r="D374" s="41" t="n">
        <f aca="false">MAX(0,M373)</f>
        <v>0</v>
      </c>
      <c r="E374" s="41" t="n">
        <f aca="false">D374*$F$7</f>
        <v>0</v>
      </c>
      <c r="F374" s="41" t="n">
        <f aca="false">IF(D374&gt;0.5,N($C$15),0)</f>
        <v>0</v>
      </c>
      <c r="G374" s="41" t="n">
        <f aca="false">IF(AND(D374&gt;0.5,N($C$19)&gt;0,N(B374)&lt;=N($C$20)),D374*$F$8,0)</f>
        <v>0</v>
      </c>
      <c r="H374" s="41" t="n">
        <f aca="false">IF(D374&lt;=0.5,0,MIN(IF(N(I374)&gt;0,I374,$F$9),D374+E374+F374))</f>
        <v>0</v>
      </c>
      <c r="I374" s="77"/>
      <c r="J374" s="77"/>
      <c r="K374" s="41" t="n">
        <f aca="false">IF(D374&lt;=0.5,0,MIN(H374+N(J374),D374+E374+F374))</f>
        <v>0</v>
      </c>
      <c r="L374" s="41" t="n">
        <f aca="false">K374-E374-F374</f>
        <v>0</v>
      </c>
      <c r="M374" s="41" t="n">
        <f aca="false">D374-L374</f>
        <v>0</v>
      </c>
      <c r="N374" s="42" t="n">
        <f aca="false">K374-G374</f>
        <v>0</v>
      </c>
      <c r="O374" s="78"/>
      <c r="P374" s="79"/>
      <c r="Q374" s="16" t="str">
        <f aca="false">IF(K374=0,"",IF(R374=1,"Pagada",IF(C374&lt;$F$12,"Vencida",IF(348=$F$13,"Próxima","Pendiente"))))</f>
        <v/>
      </c>
      <c r="R374" s="62" t="n">
        <f aca="false">IF(AND(K374&gt;0,OR(O374="Sí",O374="Si")),1,0)</f>
        <v>0</v>
      </c>
      <c r="S374" s="62" t="n">
        <f aca="false">IF(AND(K374&gt;0,R374=0),1,0)</f>
        <v>0</v>
      </c>
    </row>
    <row r="375" customFormat="false" ht="15" hidden="false" customHeight="false" outlineLevel="0" collapsed="false">
      <c r="B375" s="71" t="str">
        <f aca="false">IF($F$6="Sí",N($C$11)+348,"")</f>
        <v/>
      </c>
      <c r="C375" s="72" t="str">
        <f aca="false">IF(OR($F$6&lt;&gt;"Sí",D375&lt;=0.5),"",EDATE($C$10,348))</f>
        <v/>
      </c>
      <c r="D375" s="41" t="n">
        <f aca="false">MAX(0,M374)</f>
        <v>0</v>
      </c>
      <c r="E375" s="41" t="n">
        <f aca="false">D375*$F$7</f>
        <v>0</v>
      </c>
      <c r="F375" s="41" t="n">
        <f aca="false">IF(D375&gt;0.5,N($C$15),0)</f>
        <v>0</v>
      </c>
      <c r="G375" s="41" t="n">
        <f aca="false">IF(AND(D375&gt;0.5,N($C$19)&gt;0,N(B375)&lt;=N($C$20)),D375*$F$8,0)</f>
        <v>0</v>
      </c>
      <c r="H375" s="41" t="n">
        <f aca="false">IF(D375&lt;=0.5,0,MIN(IF(N(I375)&gt;0,I375,$F$9),D375+E375+F375))</f>
        <v>0</v>
      </c>
      <c r="I375" s="77"/>
      <c r="J375" s="77"/>
      <c r="K375" s="41" t="n">
        <f aca="false">IF(D375&lt;=0.5,0,MIN(H375+N(J375),D375+E375+F375))</f>
        <v>0</v>
      </c>
      <c r="L375" s="41" t="n">
        <f aca="false">K375-E375-F375</f>
        <v>0</v>
      </c>
      <c r="M375" s="41" t="n">
        <f aca="false">D375-L375</f>
        <v>0</v>
      </c>
      <c r="N375" s="42" t="n">
        <f aca="false">K375-G375</f>
        <v>0</v>
      </c>
      <c r="O375" s="78"/>
      <c r="P375" s="79"/>
      <c r="Q375" s="16" t="str">
        <f aca="false">IF(K375=0,"",IF(R375=1,"Pagada",IF(C375&lt;$F$12,"Vencida",IF(349=$F$13,"Próxima","Pendiente"))))</f>
        <v/>
      </c>
      <c r="R375" s="62" t="n">
        <f aca="false">IF(AND(K375&gt;0,OR(O375="Sí",O375="Si")),1,0)</f>
        <v>0</v>
      </c>
      <c r="S375" s="62" t="n">
        <f aca="false">IF(AND(K375&gt;0,R375=0),1,0)</f>
        <v>0</v>
      </c>
    </row>
    <row r="376" customFormat="false" ht="15" hidden="false" customHeight="false" outlineLevel="0" collapsed="false">
      <c r="B376" s="71" t="str">
        <f aca="false">IF($F$6="Sí",N($C$11)+349,"")</f>
        <v/>
      </c>
      <c r="C376" s="72" t="str">
        <f aca="false">IF(OR($F$6&lt;&gt;"Sí",D376&lt;=0.5),"",EDATE($C$10,349))</f>
        <v/>
      </c>
      <c r="D376" s="41" t="n">
        <f aca="false">MAX(0,M375)</f>
        <v>0</v>
      </c>
      <c r="E376" s="41" t="n">
        <f aca="false">D376*$F$7</f>
        <v>0</v>
      </c>
      <c r="F376" s="41" t="n">
        <f aca="false">IF(D376&gt;0.5,N($C$15),0)</f>
        <v>0</v>
      </c>
      <c r="G376" s="41" t="n">
        <f aca="false">IF(AND(D376&gt;0.5,N($C$19)&gt;0,N(B376)&lt;=N($C$20)),D376*$F$8,0)</f>
        <v>0</v>
      </c>
      <c r="H376" s="41" t="n">
        <f aca="false">IF(D376&lt;=0.5,0,MIN(IF(N(I376)&gt;0,I376,$F$9),D376+E376+F376))</f>
        <v>0</v>
      </c>
      <c r="I376" s="77"/>
      <c r="J376" s="77"/>
      <c r="K376" s="41" t="n">
        <f aca="false">IF(D376&lt;=0.5,0,MIN(H376+N(J376),D376+E376+F376))</f>
        <v>0</v>
      </c>
      <c r="L376" s="41" t="n">
        <f aca="false">K376-E376-F376</f>
        <v>0</v>
      </c>
      <c r="M376" s="41" t="n">
        <f aca="false">D376-L376</f>
        <v>0</v>
      </c>
      <c r="N376" s="42" t="n">
        <f aca="false">K376-G376</f>
        <v>0</v>
      </c>
      <c r="O376" s="78"/>
      <c r="P376" s="79"/>
      <c r="Q376" s="16" t="str">
        <f aca="false">IF(K376=0,"",IF(R376=1,"Pagada",IF(C376&lt;$F$12,"Vencida",IF(350=$F$13,"Próxima","Pendiente"))))</f>
        <v/>
      </c>
      <c r="R376" s="62" t="n">
        <f aca="false">IF(AND(K376&gt;0,OR(O376="Sí",O376="Si")),1,0)</f>
        <v>0</v>
      </c>
      <c r="S376" s="62" t="n">
        <f aca="false">IF(AND(K376&gt;0,R376=0),1,0)</f>
        <v>0</v>
      </c>
    </row>
    <row r="377" customFormat="false" ht="15" hidden="false" customHeight="false" outlineLevel="0" collapsed="false">
      <c r="B377" s="71" t="str">
        <f aca="false">IF($F$6="Sí",N($C$11)+350,"")</f>
        <v/>
      </c>
      <c r="C377" s="72" t="str">
        <f aca="false">IF(OR($F$6&lt;&gt;"Sí",D377&lt;=0.5),"",EDATE($C$10,350))</f>
        <v/>
      </c>
      <c r="D377" s="41" t="n">
        <f aca="false">MAX(0,M376)</f>
        <v>0</v>
      </c>
      <c r="E377" s="41" t="n">
        <f aca="false">D377*$F$7</f>
        <v>0</v>
      </c>
      <c r="F377" s="41" t="n">
        <f aca="false">IF(D377&gt;0.5,N($C$15),0)</f>
        <v>0</v>
      </c>
      <c r="G377" s="41" t="n">
        <f aca="false">IF(AND(D377&gt;0.5,N($C$19)&gt;0,N(B377)&lt;=N($C$20)),D377*$F$8,0)</f>
        <v>0</v>
      </c>
      <c r="H377" s="41" t="n">
        <f aca="false">IF(D377&lt;=0.5,0,MIN(IF(N(I377)&gt;0,I377,$F$9),D377+E377+F377))</f>
        <v>0</v>
      </c>
      <c r="I377" s="77"/>
      <c r="J377" s="77"/>
      <c r="K377" s="41" t="n">
        <f aca="false">IF(D377&lt;=0.5,0,MIN(H377+N(J377),D377+E377+F377))</f>
        <v>0</v>
      </c>
      <c r="L377" s="41" t="n">
        <f aca="false">K377-E377-F377</f>
        <v>0</v>
      </c>
      <c r="M377" s="41" t="n">
        <f aca="false">D377-L377</f>
        <v>0</v>
      </c>
      <c r="N377" s="42" t="n">
        <f aca="false">K377-G377</f>
        <v>0</v>
      </c>
      <c r="O377" s="78"/>
      <c r="P377" s="79"/>
      <c r="Q377" s="16" t="str">
        <f aca="false">IF(K377=0,"",IF(R377=1,"Pagada",IF(C377&lt;$F$12,"Vencida",IF(351=$F$13,"Próxima","Pendiente"))))</f>
        <v/>
      </c>
      <c r="R377" s="62" t="n">
        <f aca="false">IF(AND(K377&gt;0,OR(O377="Sí",O377="Si")),1,0)</f>
        <v>0</v>
      </c>
      <c r="S377" s="62" t="n">
        <f aca="false">IF(AND(K377&gt;0,R377=0),1,0)</f>
        <v>0</v>
      </c>
    </row>
    <row r="378" customFormat="false" ht="15" hidden="false" customHeight="false" outlineLevel="0" collapsed="false">
      <c r="B378" s="71" t="str">
        <f aca="false">IF($F$6="Sí",N($C$11)+351,"")</f>
        <v/>
      </c>
      <c r="C378" s="72" t="str">
        <f aca="false">IF(OR($F$6&lt;&gt;"Sí",D378&lt;=0.5),"",EDATE($C$10,351))</f>
        <v/>
      </c>
      <c r="D378" s="41" t="n">
        <f aca="false">MAX(0,M377)</f>
        <v>0</v>
      </c>
      <c r="E378" s="41" t="n">
        <f aca="false">D378*$F$7</f>
        <v>0</v>
      </c>
      <c r="F378" s="41" t="n">
        <f aca="false">IF(D378&gt;0.5,N($C$15),0)</f>
        <v>0</v>
      </c>
      <c r="G378" s="41" t="n">
        <f aca="false">IF(AND(D378&gt;0.5,N($C$19)&gt;0,N(B378)&lt;=N($C$20)),D378*$F$8,0)</f>
        <v>0</v>
      </c>
      <c r="H378" s="41" t="n">
        <f aca="false">IF(D378&lt;=0.5,0,MIN(IF(N(I378)&gt;0,I378,$F$9),D378+E378+F378))</f>
        <v>0</v>
      </c>
      <c r="I378" s="77"/>
      <c r="J378" s="77"/>
      <c r="K378" s="41" t="n">
        <f aca="false">IF(D378&lt;=0.5,0,MIN(H378+N(J378),D378+E378+F378))</f>
        <v>0</v>
      </c>
      <c r="L378" s="41" t="n">
        <f aca="false">K378-E378-F378</f>
        <v>0</v>
      </c>
      <c r="M378" s="41" t="n">
        <f aca="false">D378-L378</f>
        <v>0</v>
      </c>
      <c r="N378" s="42" t="n">
        <f aca="false">K378-G378</f>
        <v>0</v>
      </c>
      <c r="O378" s="78"/>
      <c r="P378" s="79"/>
      <c r="Q378" s="16" t="str">
        <f aca="false">IF(K378=0,"",IF(R378=1,"Pagada",IF(C378&lt;$F$12,"Vencida",IF(352=$F$13,"Próxima","Pendiente"))))</f>
        <v/>
      </c>
      <c r="R378" s="62" t="n">
        <f aca="false">IF(AND(K378&gt;0,OR(O378="Sí",O378="Si")),1,0)</f>
        <v>0</v>
      </c>
      <c r="S378" s="62" t="n">
        <f aca="false">IF(AND(K378&gt;0,R378=0),1,0)</f>
        <v>0</v>
      </c>
    </row>
    <row r="379" customFormat="false" ht="15" hidden="false" customHeight="false" outlineLevel="0" collapsed="false">
      <c r="B379" s="71" t="str">
        <f aca="false">IF($F$6="Sí",N($C$11)+352,"")</f>
        <v/>
      </c>
      <c r="C379" s="72" t="str">
        <f aca="false">IF(OR($F$6&lt;&gt;"Sí",D379&lt;=0.5),"",EDATE($C$10,352))</f>
        <v/>
      </c>
      <c r="D379" s="41" t="n">
        <f aca="false">MAX(0,M378)</f>
        <v>0</v>
      </c>
      <c r="E379" s="41" t="n">
        <f aca="false">D379*$F$7</f>
        <v>0</v>
      </c>
      <c r="F379" s="41" t="n">
        <f aca="false">IF(D379&gt;0.5,N($C$15),0)</f>
        <v>0</v>
      </c>
      <c r="G379" s="41" t="n">
        <f aca="false">IF(AND(D379&gt;0.5,N($C$19)&gt;0,N(B379)&lt;=N($C$20)),D379*$F$8,0)</f>
        <v>0</v>
      </c>
      <c r="H379" s="41" t="n">
        <f aca="false">IF(D379&lt;=0.5,0,MIN(IF(N(I379)&gt;0,I379,$F$9),D379+E379+F379))</f>
        <v>0</v>
      </c>
      <c r="I379" s="77"/>
      <c r="J379" s="77"/>
      <c r="K379" s="41" t="n">
        <f aca="false">IF(D379&lt;=0.5,0,MIN(H379+N(J379),D379+E379+F379))</f>
        <v>0</v>
      </c>
      <c r="L379" s="41" t="n">
        <f aca="false">K379-E379-F379</f>
        <v>0</v>
      </c>
      <c r="M379" s="41" t="n">
        <f aca="false">D379-L379</f>
        <v>0</v>
      </c>
      <c r="N379" s="42" t="n">
        <f aca="false">K379-G379</f>
        <v>0</v>
      </c>
      <c r="O379" s="78"/>
      <c r="P379" s="79"/>
      <c r="Q379" s="16" t="str">
        <f aca="false">IF(K379=0,"",IF(R379=1,"Pagada",IF(C379&lt;$F$12,"Vencida",IF(353=$F$13,"Próxima","Pendiente"))))</f>
        <v/>
      </c>
      <c r="R379" s="62" t="n">
        <f aca="false">IF(AND(K379&gt;0,OR(O379="Sí",O379="Si")),1,0)</f>
        <v>0</v>
      </c>
      <c r="S379" s="62" t="n">
        <f aca="false">IF(AND(K379&gt;0,R379=0),1,0)</f>
        <v>0</v>
      </c>
    </row>
    <row r="380" customFormat="false" ht="15" hidden="false" customHeight="false" outlineLevel="0" collapsed="false">
      <c r="B380" s="71" t="str">
        <f aca="false">IF($F$6="Sí",N($C$11)+353,"")</f>
        <v/>
      </c>
      <c r="C380" s="72" t="str">
        <f aca="false">IF(OR($F$6&lt;&gt;"Sí",D380&lt;=0.5),"",EDATE($C$10,353))</f>
        <v/>
      </c>
      <c r="D380" s="41" t="n">
        <f aca="false">MAX(0,M379)</f>
        <v>0</v>
      </c>
      <c r="E380" s="41" t="n">
        <f aca="false">D380*$F$7</f>
        <v>0</v>
      </c>
      <c r="F380" s="41" t="n">
        <f aca="false">IF(D380&gt;0.5,N($C$15),0)</f>
        <v>0</v>
      </c>
      <c r="G380" s="41" t="n">
        <f aca="false">IF(AND(D380&gt;0.5,N($C$19)&gt;0,N(B380)&lt;=N($C$20)),D380*$F$8,0)</f>
        <v>0</v>
      </c>
      <c r="H380" s="41" t="n">
        <f aca="false">IF(D380&lt;=0.5,0,MIN(IF(N(I380)&gt;0,I380,$F$9),D380+E380+F380))</f>
        <v>0</v>
      </c>
      <c r="I380" s="77"/>
      <c r="J380" s="77"/>
      <c r="K380" s="41" t="n">
        <f aca="false">IF(D380&lt;=0.5,0,MIN(H380+N(J380),D380+E380+F380))</f>
        <v>0</v>
      </c>
      <c r="L380" s="41" t="n">
        <f aca="false">K380-E380-F380</f>
        <v>0</v>
      </c>
      <c r="M380" s="41" t="n">
        <f aca="false">D380-L380</f>
        <v>0</v>
      </c>
      <c r="N380" s="42" t="n">
        <f aca="false">K380-G380</f>
        <v>0</v>
      </c>
      <c r="O380" s="78"/>
      <c r="P380" s="79"/>
      <c r="Q380" s="16" t="str">
        <f aca="false">IF(K380=0,"",IF(R380=1,"Pagada",IF(C380&lt;$F$12,"Vencida",IF(354=$F$13,"Próxima","Pendiente"))))</f>
        <v/>
      </c>
      <c r="R380" s="62" t="n">
        <f aca="false">IF(AND(K380&gt;0,OR(O380="Sí",O380="Si")),1,0)</f>
        <v>0</v>
      </c>
      <c r="S380" s="62" t="n">
        <f aca="false">IF(AND(K380&gt;0,R380=0),1,0)</f>
        <v>0</v>
      </c>
    </row>
    <row r="381" customFormat="false" ht="15" hidden="false" customHeight="false" outlineLevel="0" collapsed="false">
      <c r="B381" s="71" t="str">
        <f aca="false">IF($F$6="Sí",N($C$11)+354,"")</f>
        <v/>
      </c>
      <c r="C381" s="72" t="str">
        <f aca="false">IF(OR($F$6&lt;&gt;"Sí",D381&lt;=0.5),"",EDATE($C$10,354))</f>
        <v/>
      </c>
      <c r="D381" s="41" t="n">
        <f aca="false">MAX(0,M380)</f>
        <v>0</v>
      </c>
      <c r="E381" s="41" t="n">
        <f aca="false">D381*$F$7</f>
        <v>0</v>
      </c>
      <c r="F381" s="41" t="n">
        <f aca="false">IF(D381&gt;0.5,N($C$15),0)</f>
        <v>0</v>
      </c>
      <c r="G381" s="41" t="n">
        <f aca="false">IF(AND(D381&gt;0.5,N($C$19)&gt;0,N(B381)&lt;=N($C$20)),D381*$F$8,0)</f>
        <v>0</v>
      </c>
      <c r="H381" s="41" t="n">
        <f aca="false">IF(D381&lt;=0.5,0,MIN(IF(N(I381)&gt;0,I381,$F$9),D381+E381+F381))</f>
        <v>0</v>
      </c>
      <c r="I381" s="77"/>
      <c r="J381" s="77"/>
      <c r="K381" s="41" t="n">
        <f aca="false">IF(D381&lt;=0.5,0,MIN(H381+N(J381),D381+E381+F381))</f>
        <v>0</v>
      </c>
      <c r="L381" s="41" t="n">
        <f aca="false">K381-E381-F381</f>
        <v>0</v>
      </c>
      <c r="M381" s="41" t="n">
        <f aca="false">D381-L381</f>
        <v>0</v>
      </c>
      <c r="N381" s="42" t="n">
        <f aca="false">K381-G381</f>
        <v>0</v>
      </c>
      <c r="O381" s="78"/>
      <c r="P381" s="79"/>
      <c r="Q381" s="16" t="str">
        <f aca="false">IF(K381=0,"",IF(R381=1,"Pagada",IF(C381&lt;$F$12,"Vencida",IF(355=$F$13,"Próxima","Pendiente"))))</f>
        <v/>
      </c>
      <c r="R381" s="62" t="n">
        <f aca="false">IF(AND(K381&gt;0,OR(O381="Sí",O381="Si")),1,0)</f>
        <v>0</v>
      </c>
      <c r="S381" s="62" t="n">
        <f aca="false">IF(AND(K381&gt;0,R381=0),1,0)</f>
        <v>0</v>
      </c>
    </row>
    <row r="382" customFormat="false" ht="15" hidden="false" customHeight="false" outlineLevel="0" collapsed="false">
      <c r="B382" s="71" t="str">
        <f aca="false">IF($F$6="Sí",N($C$11)+355,"")</f>
        <v/>
      </c>
      <c r="C382" s="72" t="str">
        <f aca="false">IF(OR($F$6&lt;&gt;"Sí",D382&lt;=0.5),"",EDATE($C$10,355))</f>
        <v/>
      </c>
      <c r="D382" s="41" t="n">
        <f aca="false">MAX(0,M381)</f>
        <v>0</v>
      </c>
      <c r="E382" s="41" t="n">
        <f aca="false">D382*$F$7</f>
        <v>0</v>
      </c>
      <c r="F382" s="41" t="n">
        <f aca="false">IF(D382&gt;0.5,N($C$15),0)</f>
        <v>0</v>
      </c>
      <c r="G382" s="41" t="n">
        <f aca="false">IF(AND(D382&gt;0.5,N($C$19)&gt;0,N(B382)&lt;=N($C$20)),D382*$F$8,0)</f>
        <v>0</v>
      </c>
      <c r="H382" s="41" t="n">
        <f aca="false">IF(D382&lt;=0.5,0,MIN(IF(N(I382)&gt;0,I382,$F$9),D382+E382+F382))</f>
        <v>0</v>
      </c>
      <c r="I382" s="77"/>
      <c r="J382" s="77"/>
      <c r="K382" s="41" t="n">
        <f aca="false">IF(D382&lt;=0.5,0,MIN(H382+N(J382),D382+E382+F382))</f>
        <v>0</v>
      </c>
      <c r="L382" s="41" t="n">
        <f aca="false">K382-E382-F382</f>
        <v>0</v>
      </c>
      <c r="M382" s="41" t="n">
        <f aca="false">D382-L382</f>
        <v>0</v>
      </c>
      <c r="N382" s="42" t="n">
        <f aca="false">K382-G382</f>
        <v>0</v>
      </c>
      <c r="O382" s="78"/>
      <c r="P382" s="79"/>
      <c r="Q382" s="16" t="str">
        <f aca="false">IF(K382=0,"",IF(R382=1,"Pagada",IF(C382&lt;$F$12,"Vencida",IF(356=$F$13,"Próxima","Pendiente"))))</f>
        <v/>
      </c>
      <c r="R382" s="62" t="n">
        <f aca="false">IF(AND(K382&gt;0,OR(O382="Sí",O382="Si")),1,0)</f>
        <v>0</v>
      </c>
      <c r="S382" s="62" t="n">
        <f aca="false">IF(AND(K382&gt;0,R382=0),1,0)</f>
        <v>0</v>
      </c>
    </row>
    <row r="383" customFormat="false" ht="15" hidden="false" customHeight="false" outlineLevel="0" collapsed="false">
      <c r="B383" s="71" t="str">
        <f aca="false">IF($F$6="Sí",N($C$11)+356,"")</f>
        <v/>
      </c>
      <c r="C383" s="72" t="str">
        <f aca="false">IF(OR($F$6&lt;&gt;"Sí",D383&lt;=0.5),"",EDATE($C$10,356))</f>
        <v/>
      </c>
      <c r="D383" s="41" t="n">
        <f aca="false">MAX(0,M382)</f>
        <v>0</v>
      </c>
      <c r="E383" s="41" t="n">
        <f aca="false">D383*$F$7</f>
        <v>0</v>
      </c>
      <c r="F383" s="41" t="n">
        <f aca="false">IF(D383&gt;0.5,N($C$15),0)</f>
        <v>0</v>
      </c>
      <c r="G383" s="41" t="n">
        <f aca="false">IF(AND(D383&gt;0.5,N($C$19)&gt;0,N(B383)&lt;=N($C$20)),D383*$F$8,0)</f>
        <v>0</v>
      </c>
      <c r="H383" s="41" t="n">
        <f aca="false">IF(D383&lt;=0.5,0,MIN(IF(N(I383)&gt;0,I383,$F$9),D383+E383+F383))</f>
        <v>0</v>
      </c>
      <c r="I383" s="77"/>
      <c r="J383" s="77"/>
      <c r="K383" s="41" t="n">
        <f aca="false">IF(D383&lt;=0.5,0,MIN(H383+N(J383),D383+E383+F383))</f>
        <v>0</v>
      </c>
      <c r="L383" s="41" t="n">
        <f aca="false">K383-E383-F383</f>
        <v>0</v>
      </c>
      <c r="M383" s="41" t="n">
        <f aca="false">D383-L383</f>
        <v>0</v>
      </c>
      <c r="N383" s="42" t="n">
        <f aca="false">K383-G383</f>
        <v>0</v>
      </c>
      <c r="O383" s="78"/>
      <c r="P383" s="79"/>
      <c r="Q383" s="16" t="str">
        <f aca="false">IF(K383=0,"",IF(R383=1,"Pagada",IF(C383&lt;$F$12,"Vencida",IF(357=$F$13,"Próxima","Pendiente"))))</f>
        <v/>
      </c>
      <c r="R383" s="62" t="n">
        <f aca="false">IF(AND(K383&gt;0,OR(O383="Sí",O383="Si")),1,0)</f>
        <v>0</v>
      </c>
      <c r="S383" s="62" t="n">
        <f aca="false">IF(AND(K383&gt;0,R383=0),1,0)</f>
        <v>0</v>
      </c>
    </row>
    <row r="384" customFormat="false" ht="15" hidden="false" customHeight="false" outlineLevel="0" collapsed="false">
      <c r="B384" s="71" t="str">
        <f aca="false">IF($F$6="Sí",N($C$11)+357,"")</f>
        <v/>
      </c>
      <c r="C384" s="72" t="str">
        <f aca="false">IF(OR($F$6&lt;&gt;"Sí",D384&lt;=0.5),"",EDATE($C$10,357))</f>
        <v/>
      </c>
      <c r="D384" s="41" t="n">
        <f aca="false">MAX(0,M383)</f>
        <v>0</v>
      </c>
      <c r="E384" s="41" t="n">
        <f aca="false">D384*$F$7</f>
        <v>0</v>
      </c>
      <c r="F384" s="41" t="n">
        <f aca="false">IF(D384&gt;0.5,N($C$15),0)</f>
        <v>0</v>
      </c>
      <c r="G384" s="41" t="n">
        <f aca="false">IF(AND(D384&gt;0.5,N($C$19)&gt;0,N(B384)&lt;=N($C$20)),D384*$F$8,0)</f>
        <v>0</v>
      </c>
      <c r="H384" s="41" t="n">
        <f aca="false">IF(D384&lt;=0.5,0,MIN(IF(N(I384)&gt;0,I384,$F$9),D384+E384+F384))</f>
        <v>0</v>
      </c>
      <c r="I384" s="77"/>
      <c r="J384" s="77"/>
      <c r="K384" s="41" t="n">
        <f aca="false">IF(D384&lt;=0.5,0,MIN(H384+N(J384),D384+E384+F384))</f>
        <v>0</v>
      </c>
      <c r="L384" s="41" t="n">
        <f aca="false">K384-E384-F384</f>
        <v>0</v>
      </c>
      <c r="M384" s="41" t="n">
        <f aca="false">D384-L384</f>
        <v>0</v>
      </c>
      <c r="N384" s="42" t="n">
        <f aca="false">K384-G384</f>
        <v>0</v>
      </c>
      <c r="O384" s="78"/>
      <c r="P384" s="79"/>
      <c r="Q384" s="16" t="str">
        <f aca="false">IF(K384=0,"",IF(R384=1,"Pagada",IF(C384&lt;$F$12,"Vencida",IF(358=$F$13,"Próxima","Pendiente"))))</f>
        <v/>
      </c>
      <c r="R384" s="62" t="n">
        <f aca="false">IF(AND(K384&gt;0,OR(O384="Sí",O384="Si")),1,0)</f>
        <v>0</v>
      </c>
      <c r="S384" s="62" t="n">
        <f aca="false">IF(AND(K384&gt;0,R384=0),1,0)</f>
        <v>0</v>
      </c>
    </row>
    <row r="385" customFormat="false" ht="15" hidden="false" customHeight="false" outlineLevel="0" collapsed="false">
      <c r="B385" s="71" t="str">
        <f aca="false">IF($F$6="Sí",N($C$11)+358,"")</f>
        <v/>
      </c>
      <c r="C385" s="72" t="str">
        <f aca="false">IF(OR($F$6&lt;&gt;"Sí",D385&lt;=0.5),"",EDATE($C$10,358))</f>
        <v/>
      </c>
      <c r="D385" s="41" t="n">
        <f aca="false">MAX(0,M384)</f>
        <v>0</v>
      </c>
      <c r="E385" s="41" t="n">
        <f aca="false">D385*$F$7</f>
        <v>0</v>
      </c>
      <c r="F385" s="41" t="n">
        <f aca="false">IF(D385&gt;0.5,N($C$15),0)</f>
        <v>0</v>
      </c>
      <c r="G385" s="41" t="n">
        <f aca="false">IF(AND(D385&gt;0.5,N($C$19)&gt;0,N(B385)&lt;=N($C$20)),D385*$F$8,0)</f>
        <v>0</v>
      </c>
      <c r="H385" s="41" t="n">
        <f aca="false">IF(D385&lt;=0.5,0,MIN(IF(N(I385)&gt;0,I385,$F$9),D385+E385+F385))</f>
        <v>0</v>
      </c>
      <c r="I385" s="77"/>
      <c r="J385" s="77"/>
      <c r="K385" s="41" t="n">
        <f aca="false">IF(D385&lt;=0.5,0,MIN(H385+N(J385),D385+E385+F385))</f>
        <v>0</v>
      </c>
      <c r="L385" s="41" t="n">
        <f aca="false">K385-E385-F385</f>
        <v>0</v>
      </c>
      <c r="M385" s="41" t="n">
        <f aca="false">D385-L385</f>
        <v>0</v>
      </c>
      <c r="N385" s="42" t="n">
        <f aca="false">K385-G385</f>
        <v>0</v>
      </c>
      <c r="O385" s="78"/>
      <c r="P385" s="79"/>
      <c r="Q385" s="16" t="str">
        <f aca="false">IF(K385=0,"",IF(R385=1,"Pagada",IF(C385&lt;$F$12,"Vencida",IF(359=$F$13,"Próxima","Pendiente"))))</f>
        <v/>
      </c>
      <c r="R385" s="62" t="n">
        <f aca="false">IF(AND(K385&gt;0,OR(O385="Sí",O385="Si")),1,0)</f>
        <v>0</v>
      </c>
      <c r="S385" s="62" t="n">
        <f aca="false">IF(AND(K385&gt;0,R385=0),1,0)</f>
        <v>0</v>
      </c>
    </row>
    <row r="386" customFormat="false" ht="15" hidden="false" customHeight="false" outlineLevel="0" collapsed="false">
      <c r="B386" s="71" t="str">
        <f aca="false">IF($F$6="Sí",N($C$11)+359,"")</f>
        <v/>
      </c>
      <c r="C386" s="72" t="str">
        <f aca="false">IF(OR($F$6&lt;&gt;"Sí",D386&lt;=0.5),"",EDATE($C$10,359))</f>
        <v/>
      </c>
      <c r="D386" s="41" t="n">
        <f aca="false">MAX(0,M385)</f>
        <v>0</v>
      </c>
      <c r="E386" s="41" t="n">
        <f aca="false">D386*$F$7</f>
        <v>0</v>
      </c>
      <c r="F386" s="41" t="n">
        <f aca="false">IF(D386&gt;0.5,N($C$15),0)</f>
        <v>0</v>
      </c>
      <c r="G386" s="41" t="n">
        <f aca="false">IF(AND(D386&gt;0.5,N($C$19)&gt;0,N(B386)&lt;=N($C$20)),D386*$F$8,0)</f>
        <v>0</v>
      </c>
      <c r="H386" s="41" t="n">
        <f aca="false">IF(D386&lt;=0.5,0,MIN(IF(N(I386)&gt;0,I386,$F$9),D386+E386+F386))</f>
        <v>0</v>
      </c>
      <c r="I386" s="77"/>
      <c r="J386" s="77"/>
      <c r="K386" s="41" t="n">
        <f aca="false">IF(D386&lt;=0.5,0,MIN(H386+N(J386),D386+E386+F386))</f>
        <v>0</v>
      </c>
      <c r="L386" s="41" t="n">
        <f aca="false">K386-E386-F386</f>
        <v>0</v>
      </c>
      <c r="M386" s="41" t="n">
        <f aca="false">D386-L386</f>
        <v>0</v>
      </c>
      <c r="N386" s="42" t="n">
        <f aca="false">K386-G386</f>
        <v>0</v>
      </c>
      <c r="O386" s="78"/>
      <c r="P386" s="79"/>
      <c r="Q386" s="16" t="str">
        <f aca="false">IF(K386=0,"",IF(R386=1,"Pagada",IF(C386&lt;$F$12,"Vencida",IF(360=$F$13,"Próxima","Pendiente"))))</f>
        <v/>
      </c>
      <c r="R386" s="62" t="n">
        <f aca="false">IF(AND(K386&gt;0,OR(O386="Sí",O386="Si")),1,0)</f>
        <v>0</v>
      </c>
      <c r="S386" s="62" t="n">
        <f aca="false">IF(AND(K386&gt;0,R386=0),1,0)</f>
        <v>0</v>
      </c>
    </row>
  </sheetData>
  <conditionalFormatting sqref="B27:Q386">
    <cfRule type="expression" priority="2" aboveAverage="0" equalAverage="0" bottom="0" percent="0" rank="0" text="" dxfId="5">
      <formula>$Q27="Pagada"</formula>
    </cfRule>
    <cfRule type="expression" priority="3" aboveAverage="0" equalAverage="0" bottom="0" percent="0" rank="0" text="" dxfId="3">
      <formula>$Q27="Vencida"</formula>
    </cfRule>
    <cfRule type="expression" priority="4" aboveAverage="0" equalAverage="0" bottom="0" percent="0" rank="0" text="" dxfId="6">
      <formula>$Q27="Próxima"</formula>
    </cfRule>
  </conditionalFormatting>
  <dataValidations count="3">
    <dataValidation allowBlank="true" error="Elige un valor de la lista." errorStyle="stop" errorTitle="Valor no válido" operator="between" showDropDown="false" showErrorMessage="true" showInputMessage="false" sqref="C8" type="list">
      <formula1>Listas!$A$2:$A$8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C17" type="list">
      <formula1>Listas!$B$2:$B$3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O27:O386" type="list">
      <formula1>Listas!$B$2:$B$3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04A"/>
    <pageSetUpPr fitToPage="true"/>
  </sheetPr>
  <dimension ref="B1:S38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26" topLeftCell="C27" activePane="bottomRight" state="frozen"/>
      <selection pane="topLeft" activeCell="A1" activeCellId="0" sqref="A1"/>
      <selection pane="topRight" activeCell="C1" activeCellId="0" sqref="C1"/>
      <selection pane="bottomLeft" activeCell="A27" activeCellId="0" sqref="A2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4" min="3" style="0" width="15"/>
    <col collapsed="false" customWidth="true" hidden="false" outlineLevel="0" max="5" min="5" style="0" width="30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34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2" min="11" style="0" width="14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5" min="15" style="0" width="9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9" min="18" style="0" width="5"/>
  </cols>
  <sheetData>
    <row r="1" customFormat="false" ht="19.7" hidden="false" customHeight="false" outlineLevel="0" collapsed="false">
      <c r="B1" s="19" t="str">
        <f aca="false">IF(C6="","Crédito 3: sin datos","Crédito 3: "&amp;C6)</f>
        <v>Crédito 3: sin datos</v>
      </c>
    </row>
    <row r="2" customFormat="false" ht="15" hidden="false" customHeight="false" outlineLevel="0" collapsed="false">
      <c r="B2" s="20" t="s">
        <v>161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5" customFormat="false" ht="15" hidden="false" customHeight="false" outlineLevel="0" collapsed="false">
      <c r="B5" s="7" t="s">
        <v>162</v>
      </c>
      <c r="C5" s="8"/>
      <c r="E5" s="7" t="s">
        <v>163</v>
      </c>
      <c r="F5" s="8"/>
      <c r="H5" s="7" t="s">
        <v>164</v>
      </c>
      <c r="I5" s="8"/>
    </row>
    <row r="6" customFormat="false" ht="15" hidden="false" customHeight="false" outlineLevel="0" collapsed="false">
      <c r="B6" s="16" t="s">
        <v>165</v>
      </c>
      <c r="C6" s="15"/>
      <c r="E6" s="16" t="s">
        <v>166</v>
      </c>
      <c r="F6" s="16" t="str">
        <f aca="false">IF(AND(C6&lt;&gt;"",N(C9)&gt;0,ISNUMBER(C10)),"Sí","No")</f>
        <v>No</v>
      </c>
      <c r="H6" s="28" t="s">
        <v>46</v>
      </c>
      <c r="I6" s="42" t="n">
        <f aca="false">IF($F$6&lt;&gt;"Sí",0,MAX(0,$C$9-SUMIFS(L27:L386,R27:R386,1)))</f>
        <v>0</v>
      </c>
    </row>
    <row r="7" customFormat="false" ht="15" hidden="false" customHeight="false" outlineLevel="0" collapsed="false">
      <c r="B7" s="16" t="s">
        <v>167</v>
      </c>
      <c r="C7" s="15"/>
      <c r="E7" s="16" t="s">
        <v>130</v>
      </c>
      <c r="F7" s="70" t="n">
        <f aca="false">(1+N(C13))^(1/12)-1</f>
        <v>0</v>
      </c>
      <c r="H7" s="16" t="s">
        <v>168</v>
      </c>
      <c r="I7" s="71" t="n">
        <f aca="false">SUM(R27:R386)</f>
        <v>0</v>
      </c>
    </row>
    <row r="8" customFormat="false" ht="15" hidden="false" customHeight="false" outlineLevel="0" collapsed="false">
      <c r="B8" s="16" t="s">
        <v>91</v>
      </c>
      <c r="C8" s="15"/>
      <c r="E8" s="16" t="s">
        <v>169</v>
      </c>
      <c r="F8" s="70" t="n">
        <f aca="false">IF(N(C19)=0,0,F7-((1+MAX(0,N(C13)-C19))^(1/12)-1))</f>
        <v>0</v>
      </c>
      <c r="H8" s="16" t="s">
        <v>170</v>
      </c>
      <c r="I8" s="71" t="str">
        <f aca="false">IF($F$13=0,"",INDEX(B27:B386,$F$13))</f>
        <v/>
      </c>
    </row>
    <row r="9" customFormat="false" ht="15" hidden="false" customHeight="false" outlineLevel="0" collapsed="false">
      <c r="B9" s="16" t="s">
        <v>171</v>
      </c>
      <c r="C9" s="53"/>
      <c r="E9" s="16" t="s">
        <v>172</v>
      </c>
      <c r="F9" s="41" t="n">
        <f aca="false">IF(N(C14)&gt;0,C14,IF(AND(N(C12)&gt;0,N(C9)&gt;0,N(C12)-N(C11)+1&gt;0),IF(F7=0,C9/(C12-N(C11)+1),PMT(F7,C12-N(C11)+1,-C9))+N(C15),0))</f>
        <v>0</v>
      </c>
      <c r="H9" s="16" t="s">
        <v>173</v>
      </c>
      <c r="I9" s="72" t="str">
        <f aca="false">IF($F$13=0,"",INDEX(C27:C386,$F$13))</f>
        <v/>
      </c>
    </row>
    <row r="10" customFormat="false" ht="15" hidden="false" customHeight="false" outlineLevel="0" collapsed="false">
      <c r="B10" s="16" t="s">
        <v>174</v>
      </c>
      <c r="C10" s="46"/>
      <c r="E10" s="16" t="s">
        <v>175</v>
      </c>
      <c r="F10" s="71" t="str">
        <f aca="false">IF(ISNUMBER(C10),DAY(C10),"")</f>
        <v/>
      </c>
      <c r="H10" s="28" t="s">
        <v>176</v>
      </c>
      <c r="I10" s="42" t="n">
        <f aca="false">IF($F$13=0,0,INDEX(N27:N386,$F$13))</f>
        <v>0</v>
      </c>
    </row>
    <row r="11" customFormat="false" ht="15" hidden="false" customHeight="false" outlineLevel="0" collapsed="false">
      <c r="B11" s="16" t="s">
        <v>177</v>
      </c>
      <c r="C11" s="73" t="n">
        <v>1</v>
      </c>
      <c r="E11" s="16" t="s">
        <v>178</v>
      </c>
      <c r="F11" s="72" t="str">
        <f aca="false">IF(OR(C17="No",N(C18)=0,NOT(ISNUMBER(C10))),"",EDATE(C10,C18-N(C11)))</f>
        <v/>
      </c>
      <c r="H11" s="16" t="s">
        <v>49</v>
      </c>
      <c r="I11" s="71" t="n">
        <f aca="false">SUM(S27:S386)</f>
        <v>0</v>
      </c>
    </row>
    <row r="12" customFormat="false" ht="15" hidden="false" customHeight="false" outlineLevel="0" collapsed="false">
      <c r="B12" s="16" t="s">
        <v>179</v>
      </c>
      <c r="C12" s="73"/>
      <c r="E12" s="16" t="s">
        <v>100</v>
      </c>
      <c r="F12" s="72" t="n">
        <f aca="false">Datos!$C$7</f>
        <v>46290</v>
      </c>
      <c r="H12" s="16" t="s">
        <v>50</v>
      </c>
      <c r="I12" s="72" t="str">
        <f aca="false">IF($F$6&lt;&gt;"Sí","",IF(M386&gt;0.5,"Más de 360 cuotas",_xlfn.MAXIFS(C27:C386,K27:K386,"&gt;0")))</f>
        <v/>
      </c>
    </row>
    <row r="13" customFormat="false" ht="15" hidden="false" customHeight="false" outlineLevel="0" collapsed="false">
      <c r="B13" s="16" t="s">
        <v>180</v>
      </c>
      <c r="C13" s="74"/>
      <c r="E13" s="16" t="s">
        <v>181</v>
      </c>
      <c r="F13" s="71" t="n">
        <f aca="false">IFERROR(MATCH(1,S27:S386,0),0)</f>
        <v>0</v>
      </c>
      <c r="H13" s="16" t="s">
        <v>51</v>
      </c>
      <c r="I13" s="41" t="n">
        <f aca="false">SUMIFS(E27:E386,S27:S386,1)</f>
        <v>0</v>
      </c>
    </row>
    <row r="14" customFormat="false" ht="15" hidden="false" customHeight="false" outlineLevel="0" collapsed="false">
      <c r="B14" s="16" t="s">
        <v>182</v>
      </c>
      <c r="C14" s="53"/>
      <c r="E14" s="18" t="s">
        <v>183</v>
      </c>
      <c r="H14" s="16" t="s">
        <v>184</v>
      </c>
      <c r="I14" s="41" t="n">
        <f aca="false">SUMIFS(N27:N386,S27:S386,1)</f>
        <v>0</v>
      </c>
    </row>
    <row r="15" customFormat="false" ht="15" hidden="false" customHeight="false" outlineLevel="0" collapsed="false">
      <c r="B15" s="16" t="s">
        <v>185</v>
      </c>
      <c r="C15" s="53" t="n">
        <v>0</v>
      </c>
      <c r="H15" s="16" t="s">
        <v>186</v>
      </c>
      <c r="I15" s="75" t="n">
        <f aca="false">IF($F$6&lt;&gt;"Sí",0,IF(N(C16)&gt;0,1-I6/C16,IF(N(C9)&gt;0,1-I6/C9,0)))</f>
        <v>0</v>
      </c>
    </row>
    <row r="16" customFormat="false" ht="15" hidden="false" customHeight="false" outlineLevel="0" collapsed="false">
      <c r="B16" s="16" t="s">
        <v>187</v>
      </c>
      <c r="C16" s="53"/>
      <c r="H16" s="16" t="s">
        <v>188</v>
      </c>
      <c r="I16" s="75" t="str">
        <f aca="false">IF(N(C12)=0,"",(N(C11)-1+I7)/C12)</f>
        <v/>
      </c>
    </row>
    <row r="17" customFormat="false" ht="15" hidden="false" customHeight="false" outlineLevel="0" collapsed="false">
      <c r="B17" s="16" t="s">
        <v>94</v>
      </c>
      <c r="C17" s="15" t="s">
        <v>189</v>
      </c>
      <c r="H17" s="16" t="s">
        <v>42</v>
      </c>
      <c r="I17" s="71" t="n">
        <f aca="false">COUNTIFS(S27:S386,1,C27:C386,"&lt;"&amp;$F$12)</f>
        <v>0</v>
      </c>
    </row>
    <row r="18" customFormat="false" ht="15" hidden="false" customHeight="false" outlineLevel="0" collapsed="false">
      <c r="B18" s="16" t="s">
        <v>190</v>
      </c>
      <c r="C18" s="73"/>
      <c r="H18" s="16" t="s">
        <v>191</v>
      </c>
      <c r="I18" s="41" t="n">
        <f aca="false">F9</f>
        <v>0</v>
      </c>
    </row>
    <row r="19" customFormat="false" ht="15" hidden="false" customHeight="false" outlineLevel="0" collapsed="false">
      <c r="B19" s="16" t="s">
        <v>192</v>
      </c>
      <c r="C19" s="74"/>
      <c r="H19" s="28" t="s">
        <v>54</v>
      </c>
      <c r="I19" s="28" t="str">
        <f aca="false">IF(F6&lt;&gt;"Sí","Sin datos",IF(I17&gt;0,"Vencidas sin marcar",IF(I11=0,"Pagado","Al día")))</f>
        <v>Sin datos</v>
      </c>
    </row>
    <row r="20" customFormat="false" ht="15" hidden="false" customHeight="false" outlineLevel="0" collapsed="false">
      <c r="B20" s="16" t="s">
        <v>193</v>
      </c>
      <c r="C20" s="73"/>
    </row>
    <row r="21" customFormat="false" ht="15" hidden="false" customHeight="false" outlineLevel="0" collapsed="false">
      <c r="B21" s="7" t="s">
        <v>194</v>
      </c>
      <c r="C21" s="8"/>
      <c r="D21" s="8"/>
      <c r="E21" s="8"/>
      <c r="F21" s="8"/>
      <c r="G21" s="8"/>
    </row>
    <row r="22" customFormat="false" ht="15" hidden="false" customHeight="false" outlineLevel="0" collapsed="false">
      <c r="B22" s="16" t="s">
        <v>195</v>
      </c>
      <c r="C22" s="53"/>
      <c r="E22" s="16" t="s">
        <v>196</v>
      </c>
      <c r="F22" s="76" t="str">
        <f aca="false">IF(OR(I6&lt;=0,F9-N(C15)+N(C22)&lt;=0),"",IFERROR(IF(F7=0,I6/(F9-N(C15)+N(C22)),NPER(F7,-(F9-N(C15)+N(C22)),I6)),"No alcanza"))</f>
        <v/>
      </c>
      <c r="G22" s="41" t="str">
        <f aca="false">IF(OR(F22="",NOT(ISNUMBER(F22))),"",(F9-N(C15)+N(C22))*F22-I6)</f>
        <v/>
      </c>
    </row>
    <row r="23" customFormat="false" ht="15" hidden="false" customHeight="false" outlineLevel="0" collapsed="false">
      <c r="B23" s="16" t="s">
        <v>197</v>
      </c>
      <c r="C23" s="73"/>
      <c r="E23" s="16" t="s">
        <v>198</v>
      </c>
      <c r="F23" s="41" t="str">
        <f aca="false">IF(OR(N(C23)=0,I6&lt;=0),"",IF(F7=0,I6/C23,PMT(F7,C23,-I6))+N(C15))</f>
        <v/>
      </c>
      <c r="G23" s="18" t="s">
        <v>199</v>
      </c>
    </row>
    <row r="25" customFormat="false" ht="15" hidden="false" customHeight="false" outlineLevel="0" collapsed="false">
      <c r="B25" s="18" t="s">
        <v>200</v>
      </c>
    </row>
    <row r="26" customFormat="false" ht="30" hidden="false" customHeight="true" outlineLevel="0" collapsed="false">
      <c r="B26" s="9" t="s">
        <v>201</v>
      </c>
      <c r="C26" s="10" t="s">
        <v>146</v>
      </c>
      <c r="D26" s="10" t="s">
        <v>202</v>
      </c>
      <c r="E26" s="10" t="s">
        <v>203</v>
      </c>
      <c r="F26" s="10" t="s">
        <v>204</v>
      </c>
      <c r="G26" s="10" t="s">
        <v>205</v>
      </c>
      <c r="H26" s="10" t="s">
        <v>206</v>
      </c>
      <c r="I26" s="10" t="s">
        <v>207</v>
      </c>
      <c r="J26" s="10" t="s">
        <v>208</v>
      </c>
      <c r="K26" s="10" t="s">
        <v>209</v>
      </c>
      <c r="L26" s="10" t="s">
        <v>210</v>
      </c>
      <c r="M26" s="10" t="s">
        <v>211</v>
      </c>
      <c r="N26" s="10" t="s">
        <v>212</v>
      </c>
      <c r="O26" s="10" t="s">
        <v>213</v>
      </c>
      <c r="P26" s="10" t="s">
        <v>214</v>
      </c>
      <c r="Q26" s="10" t="s">
        <v>54</v>
      </c>
      <c r="R26" s="10" t="s">
        <v>215</v>
      </c>
      <c r="S26" s="10" t="s">
        <v>215</v>
      </c>
    </row>
    <row r="27" customFormat="false" ht="15" hidden="false" customHeight="false" outlineLevel="0" collapsed="false">
      <c r="B27" s="71" t="str">
        <f aca="false">IF($F$6="Sí",N($C$11)+0,"")</f>
        <v/>
      </c>
      <c r="C27" s="72" t="str">
        <f aca="false">IF(OR($F$6&lt;&gt;"Sí",D27&lt;=0.5),"",EDATE($C$10,0))</f>
        <v/>
      </c>
      <c r="D27" s="41" t="n">
        <f aca="false">IF($F$6="Sí",$C$9,0)</f>
        <v>0</v>
      </c>
      <c r="E27" s="41" t="n">
        <f aca="false">D27*$F$7</f>
        <v>0</v>
      </c>
      <c r="F27" s="41" t="n">
        <f aca="false">IF(D27&gt;0.5,N($C$15),0)</f>
        <v>0</v>
      </c>
      <c r="G27" s="41" t="n">
        <f aca="false">IF(AND(D27&gt;0.5,N($C$19)&gt;0,N(B27)&lt;=N($C$20)),D27*$F$8,0)</f>
        <v>0</v>
      </c>
      <c r="H27" s="41" t="n">
        <f aca="false">IF(D27&lt;=0.5,0,MIN(IF(N(I27)&gt;0,I27,$F$9),D27+E27+F27))</f>
        <v>0</v>
      </c>
      <c r="I27" s="77"/>
      <c r="J27" s="77"/>
      <c r="K27" s="41" t="n">
        <f aca="false">IF(D27&lt;=0.5,0,MIN(H27+N(J27),D27+E27+F27))</f>
        <v>0</v>
      </c>
      <c r="L27" s="41" t="n">
        <f aca="false">K27-E27-F27</f>
        <v>0</v>
      </c>
      <c r="M27" s="41" t="n">
        <f aca="false">D27-L27</f>
        <v>0</v>
      </c>
      <c r="N27" s="42" t="n">
        <f aca="false">K27-G27</f>
        <v>0</v>
      </c>
      <c r="O27" s="78"/>
      <c r="P27" s="79"/>
      <c r="Q27" s="16" t="str">
        <f aca="false">IF(K27=0,"",IF(R27=1,"Pagada",IF(C27&lt;$F$12,"Vencida",IF(1=$F$13,"Próxima","Pendiente"))))</f>
        <v/>
      </c>
      <c r="R27" s="62" t="n">
        <f aca="false">IF(AND(K27&gt;0,OR(O27="Sí",O27="Si")),1,0)</f>
        <v>0</v>
      </c>
      <c r="S27" s="62" t="n">
        <f aca="false">IF(AND(K27&gt;0,R27=0),1,0)</f>
        <v>0</v>
      </c>
    </row>
    <row r="28" customFormat="false" ht="15" hidden="false" customHeight="false" outlineLevel="0" collapsed="false">
      <c r="B28" s="71" t="str">
        <f aca="false">IF($F$6="Sí",N($C$11)+1,"")</f>
        <v/>
      </c>
      <c r="C28" s="72" t="str">
        <f aca="false">IF(OR($F$6&lt;&gt;"Sí",D28&lt;=0.5),"",EDATE($C$10,1))</f>
        <v/>
      </c>
      <c r="D28" s="41" t="n">
        <f aca="false">MAX(0,M27)</f>
        <v>0</v>
      </c>
      <c r="E28" s="41" t="n">
        <f aca="false">D28*$F$7</f>
        <v>0</v>
      </c>
      <c r="F28" s="41" t="n">
        <f aca="false">IF(D28&gt;0.5,N($C$15),0)</f>
        <v>0</v>
      </c>
      <c r="G28" s="41" t="n">
        <f aca="false">IF(AND(D28&gt;0.5,N($C$19)&gt;0,N(B28)&lt;=N($C$20)),D28*$F$8,0)</f>
        <v>0</v>
      </c>
      <c r="H28" s="41" t="n">
        <f aca="false">IF(D28&lt;=0.5,0,MIN(IF(N(I28)&gt;0,I28,$F$9),D28+E28+F28))</f>
        <v>0</v>
      </c>
      <c r="I28" s="77"/>
      <c r="J28" s="77"/>
      <c r="K28" s="41" t="n">
        <f aca="false">IF(D28&lt;=0.5,0,MIN(H28+N(J28),D28+E28+F28))</f>
        <v>0</v>
      </c>
      <c r="L28" s="41" t="n">
        <f aca="false">K28-E28-F28</f>
        <v>0</v>
      </c>
      <c r="M28" s="41" t="n">
        <f aca="false">D28-L28</f>
        <v>0</v>
      </c>
      <c r="N28" s="42" t="n">
        <f aca="false">K28-G28</f>
        <v>0</v>
      </c>
      <c r="O28" s="78"/>
      <c r="P28" s="79"/>
      <c r="Q28" s="16" t="str">
        <f aca="false">IF(K28=0,"",IF(R28=1,"Pagada",IF(C28&lt;$F$12,"Vencida",IF(2=$F$13,"Próxima","Pendiente"))))</f>
        <v/>
      </c>
      <c r="R28" s="62" t="n">
        <f aca="false">IF(AND(K28&gt;0,OR(O28="Sí",O28="Si")),1,0)</f>
        <v>0</v>
      </c>
      <c r="S28" s="62" t="n">
        <f aca="false">IF(AND(K28&gt;0,R28=0),1,0)</f>
        <v>0</v>
      </c>
    </row>
    <row r="29" customFormat="false" ht="15" hidden="false" customHeight="false" outlineLevel="0" collapsed="false">
      <c r="B29" s="71" t="str">
        <f aca="false">IF($F$6="Sí",N($C$11)+2,"")</f>
        <v/>
      </c>
      <c r="C29" s="72" t="str">
        <f aca="false">IF(OR($F$6&lt;&gt;"Sí",D29&lt;=0.5),"",EDATE($C$10,2))</f>
        <v/>
      </c>
      <c r="D29" s="41" t="n">
        <f aca="false">MAX(0,M28)</f>
        <v>0</v>
      </c>
      <c r="E29" s="41" t="n">
        <f aca="false">D29*$F$7</f>
        <v>0</v>
      </c>
      <c r="F29" s="41" t="n">
        <f aca="false">IF(D29&gt;0.5,N($C$15),0)</f>
        <v>0</v>
      </c>
      <c r="G29" s="41" t="n">
        <f aca="false">IF(AND(D29&gt;0.5,N($C$19)&gt;0,N(B29)&lt;=N($C$20)),D29*$F$8,0)</f>
        <v>0</v>
      </c>
      <c r="H29" s="41" t="n">
        <f aca="false">IF(D29&lt;=0.5,0,MIN(IF(N(I29)&gt;0,I29,$F$9),D29+E29+F29))</f>
        <v>0</v>
      </c>
      <c r="I29" s="77"/>
      <c r="J29" s="77"/>
      <c r="K29" s="41" t="n">
        <f aca="false">IF(D29&lt;=0.5,0,MIN(H29+N(J29),D29+E29+F29))</f>
        <v>0</v>
      </c>
      <c r="L29" s="41" t="n">
        <f aca="false">K29-E29-F29</f>
        <v>0</v>
      </c>
      <c r="M29" s="41" t="n">
        <f aca="false">D29-L29</f>
        <v>0</v>
      </c>
      <c r="N29" s="42" t="n">
        <f aca="false">K29-G29</f>
        <v>0</v>
      </c>
      <c r="O29" s="78"/>
      <c r="P29" s="79"/>
      <c r="Q29" s="16" t="str">
        <f aca="false">IF(K29=0,"",IF(R29=1,"Pagada",IF(C29&lt;$F$12,"Vencida",IF(3=$F$13,"Próxima","Pendiente"))))</f>
        <v/>
      </c>
      <c r="R29" s="62" t="n">
        <f aca="false">IF(AND(K29&gt;0,OR(O29="Sí",O29="Si")),1,0)</f>
        <v>0</v>
      </c>
      <c r="S29" s="62" t="n">
        <f aca="false">IF(AND(K29&gt;0,R29=0),1,0)</f>
        <v>0</v>
      </c>
    </row>
    <row r="30" customFormat="false" ht="15" hidden="false" customHeight="false" outlineLevel="0" collapsed="false">
      <c r="B30" s="71" t="str">
        <f aca="false">IF($F$6="Sí",N($C$11)+3,"")</f>
        <v/>
      </c>
      <c r="C30" s="72" t="str">
        <f aca="false">IF(OR($F$6&lt;&gt;"Sí",D30&lt;=0.5),"",EDATE($C$10,3))</f>
        <v/>
      </c>
      <c r="D30" s="41" t="n">
        <f aca="false">MAX(0,M29)</f>
        <v>0</v>
      </c>
      <c r="E30" s="41" t="n">
        <f aca="false">D30*$F$7</f>
        <v>0</v>
      </c>
      <c r="F30" s="41" t="n">
        <f aca="false">IF(D30&gt;0.5,N($C$15),0)</f>
        <v>0</v>
      </c>
      <c r="G30" s="41" t="n">
        <f aca="false">IF(AND(D30&gt;0.5,N($C$19)&gt;0,N(B30)&lt;=N($C$20)),D30*$F$8,0)</f>
        <v>0</v>
      </c>
      <c r="H30" s="41" t="n">
        <f aca="false">IF(D30&lt;=0.5,0,MIN(IF(N(I30)&gt;0,I30,$F$9),D30+E30+F30))</f>
        <v>0</v>
      </c>
      <c r="I30" s="77"/>
      <c r="J30" s="77"/>
      <c r="K30" s="41" t="n">
        <f aca="false">IF(D30&lt;=0.5,0,MIN(H30+N(J30),D30+E30+F30))</f>
        <v>0</v>
      </c>
      <c r="L30" s="41" t="n">
        <f aca="false">K30-E30-F30</f>
        <v>0</v>
      </c>
      <c r="M30" s="41" t="n">
        <f aca="false">D30-L30</f>
        <v>0</v>
      </c>
      <c r="N30" s="42" t="n">
        <f aca="false">K30-G30</f>
        <v>0</v>
      </c>
      <c r="O30" s="78"/>
      <c r="P30" s="79"/>
      <c r="Q30" s="16" t="str">
        <f aca="false">IF(K30=0,"",IF(R30=1,"Pagada",IF(C30&lt;$F$12,"Vencida",IF(4=$F$13,"Próxima","Pendiente"))))</f>
        <v/>
      </c>
      <c r="R30" s="62" t="n">
        <f aca="false">IF(AND(K30&gt;0,OR(O30="Sí",O30="Si")),1,0)</f>
        <v>0</v>
      </c>
      <c r="S30" s="62" t="n">
        <f aca="false">IF(AND(K30&gt;0,R30=0),1,0)</f>
        <v>0</v>
      </c>
    </row>
    <row r="31" customFormat="false" ht="15" hidden="false" customHeight="false" outlineLevel="0" collapsed="false">
      <c r="B31" s="71" t="str">
        <f aca="false">IF($F$6="Sí",N($C$11)+4,"")</f>
        <v/>
      </c>
      <c r="C31" s="72" t="str">
        <f aca="false">IF(OR($F$6&lt;&gt;"Sí",D31&lt;=0.5),"",EDATE($C$10,4))</f>
        <v/>
      </c>
      <c r="D31" s="41" t="n">
        <f aca="false">MAX(0,M30)</f>
        <v>0</v>
      </c>
      <c r="E31" s="41" t="n">
        <f aca="false">D31*$F$7</f>
        <v>0</v>
      </c>
      <c r="F31" s="41" t="n">
        <f aca="false">IF(D31&gt;0.5,N($C$15),0)</f>
        <v>0</v>
      </c>
      <c r="G31" s="41" t="n">
        <f aca="false">IF(AND(D31&gt;0.5,N($C$19)&gt;0,N(B31)&lt;=N($C$20)),D31*$F$8,0)</f>
        <v>0</v>
      </c>
      <c r="H31" s="41" t="n">
        <f aca="false">IF(D31&lt;=0.5,0,MIN(IF(N(I31)&gt;0,I31,$F$9),D31+E31+F31))</f>
        <v>0</v>
      </c>
      <c r="I31" s="77"/>
      <c r="J31" s="77"/>
      <c r="K31" s="41" t="n">
        <f aca="false">IF(D31&lt;=0.5,0,MIN(H31+N(J31),D31+E31+F31))</f>
        <v>0</v>
      </c>
      <c r="L31" s="41" t="n">
        <f aca="false">K31-E31-F31</f>
        <v>0</v>
      </c>
      <c r="M31" s="41" t="n">
        <f aca="false">D31-L31</f>
        <v>0</v>
      </c>
      <c r="N31" s="42" t="n">
        <f aca="false">K31-G31</f>
        <v>0</v>
      </c>
      <c r="O31" s="78"/>
      <c r="P31" s="79"/>
      <c r="Q31" s="16" t="str">
        <f aca="false">IF(K31=0,"",IF(R31=1,"Pagada",IF(C31&lt;$F$12,"Vencida",IF(5=$F$13,"Próxima","Pendiente"))))</f>
        <v/>
      </c>
      <c r="R31" s="62" t="n">
        <f aca="false">IF(AND(K31&gt;0,OR(O31="Sí",O31="Si")),1,0)</f>
        <v>0</v>
      </c>
      <c r="S31" s="62" t="n">
        <f aca="false">IF(AND(K31&gt;0,R31=0),1,0)</f>
        <v>0</v>
      </c>
    </row>
    <row r="32" customFormat="false" ht="15" hidden="false" customHeight="false" outlineLevel="0" collapsed="false">
      <c r="B32" s="71" t="str">
        <f aca="false">IF($F$6="Sí",N($C$11)+5,"")</f>
        <v/>
      </c>
      <c r="C32" s="72" t="str">
        <f aca="false">IF(OR($F$6&lt;&gt;"Sí",D32&lt;=0.5),"",EDATE($C$10,5))</f>
        <v/>
      </c>
      <c r="D32" s="41" t="n">
        <f aca="false">MAX(0,M31)</f>
        <v>0</v>
      </c>
      <c r="E32" s="41" t="n">
        <f aca="false">D32*$F$7</f>
        <v>0</v>
      </c>
      <c r="F32" s="41" t="n">
        <f aca="false">IF(D32&gt;0.5,N($C$15),0)</f>
        <v>0</v>
      </c>
      <c r="G32" s="41" t="n">
        <f aca="false">IF(AND(D32&gt;0.5,N($C$19)&gt;0,N(B32)&lt;=N($C$20)),D32*$F$8,0)</f>
        <v>0</v>
      </c>
      <c r="H32" s="41" t="n">
        <f aca="false">IF(D32&lt;=0.5,0,MIN(IF(N(I32)&gt;0,I32,$F$9),D32+E32+F32))</f>
        <v>0</v>
      </c>
      <c r="I32" s="77"/>
      <c r="J32" s="77"/>
      <c r="K32" s="41" t="n">
        <f aca="false">IF(D32&lt;=0.5,0,MIN(H32+N(J32),D32+E32+F32))</f>
        <v>0</v>
      </c>
      <c r="L32" s="41" t="n">
        <f aca="false">K32-E32-F32</f>
        <v>0</v>
      </c>
      <c r="M32" s="41" t="n">
        <f aca="false">D32-L32</f>
        <v>0</v>
      </c>
      <c r="N32" s="42" t="n">
        <f aca="false">K32-G32</f>
        <v>0</v>
      </c>
      <c r="O32" s="78"/>
      <c r="P32" s="79"/>
      <c r="Q32" s="16" t="str">
        <f aca="false">IF(K32=0,"",IF(R32=1,"Pagada",IF(C32&lt;$F$12,"Vencida",IF(6=$F$13,"Próxima","Pendiente"))))</f>
        <v/>
      </c>
      <c r="R32" s="62" t="n">
        <f aca="false">IF(AND(K32&gt;0,OR(O32="Sí",O32="Si")),1,0)</f>
        <v>0</v>
      </c>
      <c r="S32" s="62" t="n">
        <f aca="false">IF(AND(K32&gt;0,R32=0),1,0)</f>
        <v>0</v>
      </c>
    </row>
    <row r="33" customFormat="false" ht="15" hidden="false" customHeight="false" outlineLevel="0" collapsed="false">
      <c r="B33" s="71" t="str">
        <f aca="false">IF($F$6="Sí",N($C$11)+6,"")</f>
        <v/>
      </c>
      <c r="C33" s="72" t="str">
        <f aca="false">IF(OR($F$6&lt;&gt;"Sí",D33&lt;=0.5),"",EDATE($C$10,6))</f>
        <v/>
      </c>
      <c r="D33" s="41" t="n">
        <f aca="false">MAX(0,M32)</f>
        <v>0</v>
      </c>
      <c r="E33" s="41" t="n">
        <f aca="false">D33*$F$7</f>
        <v>0</v>
      </c>
      <c r="F33" s="41" t="n">
        <f aca="false">IF(D33&gt;0.5,N($C$15),0)</f>
        <v>0</v>
      </c>
      <c r="G33" s="41" t="n">
        <f aca="false">IF(AND(D33&gt;0.5,N($C$19)&gt;0,N(B33)&lt;=N($C$20)),D33*$F$8,0)</f>
        <v>0</v>
      </c>
      <c r="H33" s="41" t="n">
        <f aca="false">IF(D33&lt;=0.5,0,MIN(IF(N(I33)&gt;0,I33,$F$9),D33+E33+F33))</f>
        <v>0</v>
      </c>
      <c r="I33" s="77"/>
      <c r="J33" s="77"/>
      <c r="K33" s="41" t="n">
        <f aca="false">IF(D33&lt;=0.5,0,MIN(H33+N(J33),D33+E33+F33))</f>
        <v>0</v>
      </c>
      <c r="L33" s="41" t="n">
        <f aca="false">K33-E33-F33</f>
        <v>0</v>
      </c>
      <c r="M33" s="41" t="n">
        <f aca="false">D33-L33</f>
        <v>0</v>
      </c>
      <c r="N33" s="42" t="n">
        <f aca="false">K33-G33</f>
        <v>0</v>
      </c>
      <c r="O33" s="78"/>
      <c r="P33" s="79"/>
      <c r="Q33" s="16" t="str">
        <f aca="false">IF(K33=0,"",IF(R33=1,"Pagada",IF(C33&lt;$F$12,"Vencida",IF(7=$F$13,"Próxima","Pendiente"))))</f>
        <v/>
      </c>
      <c r="R33" s="62" t="n">
        <f aca="false">IF(AND(K33&gt;0,OR(O33="Sí",O33="Si")),1,0)</f>
        <v>0</v>
      </c>
      <c r="S33" s="62" t="n">
        <f aca="false">IF(AND(K33&gt;0,R33=0),1,0)</f>
        <v>0</v>
      </c>
    </row>
    <row r="34" customFormat="false" ht="15" hidden="false" customHeight="false" outlineLevel="0" collapsed="false">
      <c r="B34" s="71" t="str">
        <f aca="false">IF($F$6="Sí",N($C$11)+7,"")</f>
        <v/>
      </c>
      <c r="C34" s="72" t="str">
        <f aca="false">IF(OR($F$6&lt;&gt;"Sí",D34&lt;=0.5),"",EDATE($C$10,7))</f>
        <v/>
      </c>
      <c r="D34" s="41" t="n">
        <f aca="false">MAX(0,M33)</f>
        <v>0</v>
      </c>
      <c r="E34" s="41" t="n">
        <f aca="false">D34*$F$7</f>
        <v>0</v>
      </c>
      <c r="F34" s="41" t="n">
        <f aca="false">IF(D34&gt;0.5,N($C$15),0)</f>
        <v>0</v>
      </c>
      <c r="G34" s="41" t="n">
        <f aca="false">IF(AND(D34&gt;0.5,N($C$19)&gt;0,N(B34)&lt;=N($C$20)),D34*$F$8,0)</f>
        <v>0</v>
      </c>
      <c r="H34" s="41" t="n">
        <f aca="false">IF(D34&lt;=0.5,0,MIN(IF(N(I34)&gt;0,I34,$F$9),D34+E34+F34))</f>
        <v>0</v>
      </c>
      <c r="I34" s="77"/>
      <c r="J34" s="77"/>
      <c r="K34" s="41" t="n">
        <f aca="false">IF(D34&lt;=0.5,0,MIN(H34+N(J34),D34+E34+F34))</f>
        <v>0</v>
      </c>
      <c r="L34" s="41" t="n">
        <f aca="false">K34-E34-F34</f>
        <v>0</v>
      </c>
      <c r="M34" s="41" t="n">
        <f aca="false">D34-L34</f>
        <v>0</v>
      </c>
      <c r="N34" s="42" t="n">
        <f aca="false">K34-G34</f>
        <v>0</v>
      </c>
      <c r="O34" s="78"/>
      <c r="P34" s="79"/>
      <c r="Q34" s="16" t="str">
        <f aca="false">IF(K34=0,"",IF(R34=1,"Pagada",IF(C34&lt;$F$12,"Vencida",IF(8=$F$13,"Próxima","Pendiente"))))</f>
        <v/>
      </c>
      <c r="R34" s="62" t="n">
        <f aca="false">IF(AND(K34&gt;0,OR(O34="Sí",O34="Si")),1,0)</f>
        <v>0</v>
      </c>
      <c r="S34" s="62" t="n">
        <f aca="false">IF(AND(K34&gt;0,R34=0),1,0)</f>
        <v>0</v>
      </c>
    </row>
    <row r="35" customFormat="false" ht="15" hidden="false" customHeight="false" outlineLevel="0" collapsed="false">
      <c r="B35" s="71" t="str">
        <f aca="false">IF($F$6="Sí",N($C$11)+8,"")</f>
        <v/>
      </c>
      <c r="C35" s="72" t="str">
        <f aca="false">IF(OR($F$6&lt;&gt;"Sí",D35&lt;=0.5),"",EDATE($C$10,8))</f>
        <v/>
      </c>
      <c r="D35" s="41" t="n">
        <f aca="false">MAX(0,M34)</f>
        <v>0</v>
      </c>
      <c r="E35" s="41" t="n">
        <f aca="false">D35*$F$7</f>
        <v>0</v>
      </c>
      <c r="F35" s="41" t="n">
        <f aca="false">IF(D35&gt;0.5,N($C$15),0)</f>
        <v>0</v>
      </c>
      <c r="G35" s="41" t="n">
        <f aca="false">IF(AND(D35&gt;0.5,N($C$19)&gt;0,N(B35)&lt;=N($C$20)),D35*$F$8,0)</f>
        <v>0</v>
      </c>
      <c r="H35" s="41" t="n">
        <f aca="false">IF(D35&lt;=0.5,0,MIN(IF(N(I35)&gt;0,I35,$F$9),D35+E35+F35))</f>
        <v>0</v>
      </c>
      <c r="I35" s="77"/>
      <c r="J35" s="77"/>
      <c r="K35" s="41" t="n">
        <f aca="false">IF(D35&lt;=0.5,0,MIN(H35+N(J35),D35+E35+F35))</f>
        <v>0</v>
      </c>
      <c r="L35" s="41" t="n">
        <f aca="false">K35-E35-F35</f>
        <v>0</v>
      </c>
      <c r="M35" s="41" t="n">
        <f aca="false">D35-L35</f>
        <v>0</v>
      </c>
      <c r="N35" s="42" t="n">
        <f aca="false">K35-G35</f>
        <v>0</v>
      </c>
      <c r="O35" s="78"/>
      <c r="P35" s="79"/>
      <c r="Q35" s="16" t="str">
        <f aca="false">IF(K35=0,"",IF(R35=1,"Pagada",IF(C35&lt;$F$12,"Vencida",IF(9=$F$13,"Próxima","Pendiente"))))</f>
        <v/>
      </c>
      <c r="R35" s="62" t="n">
        <f aca="false">IF(AND(K35&gt;0,OR(O35="Sí",O35="Si")),1,0)</f>
        <v>0</v>
      </c>
      <c r="S35" s="62" t="n">
        <f aca="false">IF(AND(K35&gt;0,R35=0),1,0)</f>
        <v>0</v>
      </c>
    </row>
    <row r="36" customFormat="false" ht="15" hidden="false" customHeight="false" outlineLevel="0" collapsed="false">
      <c r="B36" s="71" t="str">
        <f aca="false">IF($F$6="Sí",N($C$11)+9,"")</f>
        <v/>
      </c>
      <c r="C36" s="72" t="str">
        <f aca="false">IF(OR($F$6&lt;&gt;"Sí",D36&lt;=0.5),"",EDATE($C$10,9))</f>
        <v/>
      </c>
      <c r="D36" s="41" t="n">
        <f aca="false">MAX(0,M35)</f>
        <v>0</v>
      </c>
      <c r="E36" s="41" t="n">
        <f aca="false">D36*$F$7</f>
        <v>0</v>
      </c>
      <c r="F36" s="41" t="n">
        <f aca="false">IF(D36&gt;0.5,N($C$15),0)</f>
        <v>0</v>
      </c>
      <c r="G36" s="41" t="n">
        <f aca="false">IF(AND(D36&gt;0.5,N($C$19)&gt;0,N(B36)&lt;=N($C$20)),D36*$F$8,0)</f>
        <v>0</v>
      </c>
      <c r="H36" s="41" t="n">
        <f aca="false">IF(D36&lt;=0.5,0,MIN(IF(N(I36)&gt;0,I36,$F$9),D36+E36+F36))</f>
        <v>0</v>
      </c>
      <c r="I36" s="77"/>
      <c r="J36" s="77"/>
      <c r="K36" s="41" t="n">
        <f aca="false">IF(D36&lt;=0.5,0,MIN(H36+N(J36),D36+E36+F36))</f>
        <v>0</v>
      </c>
      <c r="L36" s="41" t="n">
        <f aca="false">K36-E36-F36</f>
        <v>0</v>
      </c>
      <c r="M36" s="41" t="n">
        <f aca="false">D36-L36</f>
        <v>0</v>
      </c>
      <c r="N36" s="42" t="n">
        <f aca="false">K36-G36</f>
        <v>0</v>
      </c>
      <c r="O36" s="78"/>
      <c r="P36" s="79"/>
      <c r="Q36" s="16" t="str">
        <f aca="false">IF(K36=0,"",IF(R36=1,"Pagada",IF(C36&lt;$F$12,"Vencida",IF(10=$F$13,"Próxima","Pendiente"))))</f>
        <v/>
      </c>
      <c r="R36" s="62" t="n">
        <f aca="false">IF(AND(K36&gt;0,OR(O36="Sí",O36="Si")),1,0)</f>
        <v>0</v>
      </c>
      <c r="S36" s="62" t="n">
        <f aca="false">IF(AND(K36&gt;0,R36=0),1,0)</f>
        <v>0</v>
      </c>
    </row>
    <row r="37" customFormat="false" ht="15" hidden="false" customHeight="false" outlineLevel="0" collapsed="false">
      <c r="B37" s="71" t="str">
        <f aca="false">IF($F$6="Sí",N($C$11)+10,"")</f>
        <v/>
      </c>
      <c r="C37" s="72" t="str">
        <f aca="false">IF(OR($F$6&lt;&gt;"Sí",D37&lt;=0.5),"",EDATE($C$10,10))</f>
        <v/>
      </c>
      <c r="D37" s="41" t="n">
        <f aca="false">MAX(0,M36)</f>
        <v>0</v>
      </c>
      <c r="E37" s="41" t="n">
        <f aca="false">D37*$F$7</f>
        <v>0</v>
      </c>
      <c r="F37" s="41" t="n">
        <f aca="false">IF(D37&gt;0.5,N($C$15),0)</f>
        <v>0</v>
      </c>
      <c r="G37" s="41" t="n">
        <f aca="false">IF(AND(D37&gt;0.5,N($C$19)&gt;0,N(B37)&lt;=N($C$20)),D37*$F$8,0)</f>
        <v>0</v>
      </c>
      <c r="H37" s="41" t="n">
        <f aca="false">IF(D37&lt;=0.5,0,MIN(IF(N(I37)&gt;0,I37,$F$9),D37+E37+F37))</f>
        <v>0</v>
      </c>
      <c r="I37" s="77"/>
      <c r="J37" s="77"/>
      <c r="K37" s="41" t="n">
        <f aca="false">IF(D37&lt;=0.5,0,MIN(H37+N(J37),D37+E37+F37))</f>
        <v>0</v>
      </c>
      <c r="L37" s="41" t="n">
        <f aca="false">K37-E37-F37</f>
        <v>0</v>
      </c>
      <c r="M37" s="41" t="n">
        <f aca="false">D37-L37</f>
        <v>0</v>
      </c>
      <c r="N37" s="42" t="n">
        <f aca="false">K37-G37</f>
        <v>0</v>
      </c>
      <c r="O37" s="78"/>
      <c r="P37" s="79"/>
      <c r="Q37" s="16" t="str">
        <f aca="false">IF(K37=0,"",IF(R37=1,"Pagada",IF(C37&lt;$F$12,"Vencida",IF(11=$F$13,"Próxima","Pendiente"))))</f>
        <v/>
      </c>
      <c r="R37" s="62" t="n">
        <f aca="false">IF(AND(K37&gt;0,OR(O37="Sí",O37="Si")),1,0)</f>
        <v>0</v>
      </c>
      <c r="S37" s="62" t="n">
        <f aca="false">IF(AND(K37&gt;0,R37=0),1,0)</f>
        <v>0</v>
      </c>
    </row>
    <row r="38" customFormat="false" ht="15" hidden="false" customHeight="false" outlineLevel="0" collapsed="false">
      <c r="B38" s="71" t="str">
        <f aca="false">IF($F$6="Sí",N($C$11)+11,"")</f>
        <v/>
      </c>
      <c r="C38" s="72" t="str">
        <f aca="false">IF(OR($F$6&lt;&gt;"Sí",D38&lt;=0.5),"",EDATE($C$10,11))</f>
        <v/>
      </c>
      <c r="D38" s="41" t="n">
        <f aca="false">MAX(0,M37)</f>
        <v>0</v>
      </c>
      <c r="E38" s="41" t="n">
        <f aca="false">D38*$F$7</f>
        <v>0</v>
      </c>
      <c r="F38" s="41" t="n">
        <f aca="false">IF(D38&gt;0.5,N($C$15),0)</f>
        <v>0</v>
      </c>
      <c r="G38" s="41" t="n">
        <f aca="false">IF(AND(D38&gt;0.5,N($C$19)&gt;0,N(B38)&lt;=N($C$20)),D38*$F$8,0)</f>
        <v>0</v>
      </c>
      <c r="H38" s="41" t="n">
        <f aca="false">IF(D38&lt;=0.5,0,MIN(IF(N(I38)&gt;0,I38,$F$9),D38+E38+F38))</f>
        <v>0</v>
      </c>
      <c r="I38" s="77"/>
      <c r="J38" s="77"/>
      <c r="K38" s="41" t="n">
        <f aca="false">IF(D38&lt;=0.5,0,MIN(H38+N(J38),D38+E38+F38))</f>
        <v>0</v>
      </c>
      <c r="L38" s="41" t="n">
        <f aca="false">K38-E38-F38</f>
        <v>0</v>
      </c>
      <c r="M38" s="41" t="n">
        <f aca="false">D38-L38</f>
        <v>0</v>
      </c>
      <c r="N38" s="42" t="n">
        <f aca="false">K38-G38</f>
        <v>0</v>
      </c>
      <c r="O38" s="78"/>
      <c r="P38" s="79"/>
      <c r="Q38" s="16" t="str">
        <f aca="false">IF(K38=0,"",IF(R38=1,"Pagada",IF(C38&lt;$F$12,"Vencida",IF(12=$F$13,"Próxima","Pendiente"))))</f>
        <v/>
      </c>
      <c r="R38" s="62" t="n">
        <f aca="false">IF(AND(K38&gt;0,OR(O38="Sí",O38="Si")),1,0)</f>
        <v>0</v>
      </c>
      <c r="S38" s="62" t="n">
        <f aca="false">IF(AND(K38&gt;0,R38=0),1,0)</f>
        <v>0</v>
      </c>
    </row>
    <row r="39" customFormat="false" ht="15" hidden="false" customHeight="false" outlineLevel="0" collapsed="false">
      <c r="B39" s="71" t="str">
        <f aca="false">IF($F$6="Sí",N($C$11)+12,"")</f>
        <v/>
      </c>
      <c r="C39" s="72" t="str">
        <f aca="false">IF(OR($F$6&lt;&gt;"Sí",D39&lt;=0.5),"",EDATE($C$10,12))</f>
        <v/>
      </c>
      <c r="D39" s="41" t="n">
        <f aca="false">MAX(0,M38)</f>
        <v>0</v>
      </c>
      <c r="E39" s="41" t="n">
        <f aca="false">D39*$F$7</f>
        <v>0</v>
      </c>
      <c r="F39" s="41" t="n">
        <f aca="false">IF(D39&gt;0.5,N($C$15),0)</f>
        <v>0</v>
      </c>
      <c r="G39" s="41" t="n">
        <f aca="false">IF(AND(D39&gt;0.5,N($C$19)&gt;0,N(B39)&lt;=N($C$20)),D39*$F$8,0)</f>
        <v>0</v>
      </c>
      <c r="H39" s="41" t="n">
        <f aca="false">IF(D39&lt;=0.5,0,MIN(IF(N(I39)&gt;0,I39,$F$9),D39+E39+F39))</f>
        <v>0</v>
      </c>
      <c r="I39" s="77"/>
      <c r="J39" s="77"/>
      <c r="K39" s="41" t="n">
        <f aca="false">IF(D39&lt;=0.5,0,MIN(H39+N(J39),D39+E39+F39))</f>
        <v>0</v>
      </c>
      <c r="L39" s="41" t="n">
        <f aca="false">K39-E39-F39</f>
        <v>0</v>
      </c>
      <c r="M39" s="41" t="n">
        <f aca="false">D39-L39</f>
        <v>0</v>
      </c>
      <c r="N39" s="42" t="n">
        <f aca="false">K39-G39</f>
        <v>0</v>
      </c>
      <c r="O39" s="78"/>
      <c r="P39" s="79"/>
      <c r="Q39" s="16" t="str">
        <f aca="false">IF(K39=0,"",IF(R39=1,"Pagada",IF(C39&lt;$F$12,"Vencida",IF(13=$F$13,"Próxima","Pendiente"))))</f>
        <v/>
      </c>
      <c r="R39" s="62" t="n">
        <f aca="false">IF(AND(K39&gt;0,OR(O39="Sí",O39="Si")),1,0)</f>
        <v>0</v>
      </c>
      <c r="S39" s="62" t="n">
        <f aca="false">IF(AND(K39&gt;0,R39=0),1,0)</f>
        <v>0</v>
      </c>
    </row>
    <row r="40" customFormat="false" ht="15" hidden="false" customHeight="false" outlineLevel="0" collapsed="false">
      <c r="B40" s="71" t="str">
        <f aca="false">IF($F$6="Sí",N($C$11)+13,"")</f>
        <v/>
      </c>
      <c r="C40" s="72" t="str">
        <f aca="false">IF(OR($F$6&lt;&gt;"Sí",D40&lt;=0.5),"",EDATE($C$10,13))</f>
        <v/>
      </c>
      <c r="D40" s="41" t="n">
        <f aca="false">MAX(0,M39)</f>
        <v>0</v>
      </c>
      <c r="E40" s="41" t="n">
        <f aca="false">D40*$F$7</f>
        <v>0</v>
      </c>
      <c r="F40" s="41" t="n">
        <f aca="false">IF(D40&gt;0.5,N($C$15),0)</f>
        <v>0</v>
      </c>
      <c r="G40" s="41" t="n">
        <f aca="false">IF(AND(D40&gt;0.5,N($C$19)&gt;0,N(B40)&lt;=N($C$20)),D40*$F$8,0)</f>
        <v>0</v>
      </c>
      <c r="H40" s="41" t="n">
        <f aca="false">IF(D40&lt;=0.5,0,MIN(IF(N(I40)&gt;0,I40,$F$9),D40+E40+F40))</f>
        <v>0</v>
      </c>
      <c r="I40" s="77"/>
      <c r="J40" s="77"/>
      <c r="K40" s="41" t="n">
        <f aca="false">IF(D40&lt;=0.5,0,MIN(H40+N(J40),D40+E40+F40))</f>
        <v>0</v>
      </c>
      <c r="L40" s="41" t="n">
        <f aca="false">K40-E40-F40</f>
        <v>0</v>
      </c>
      <c r="M40" s="41" t="n">
        <f aca="false">D40-L40</f>
        <v>0</v>
      </c>
      <c r="N40" s="42" t="n">
        <f aca="false">K40-G40</f>
        <v>0</v>
      </c>
      <c r="O40" s="78"/>
      <c r="P40" s="79"/>
      <c r="Q40" s="16" t="str">
        <f aca="false">IF(K40=0,"",IF(R40=1,"Pagada",IF(C40&lt;$F$12,"Vencida",IF(14=$F$13,"Próxima","Pendiente"))))</f>
        <v/>
      </c>
      <c r="R40" s="62" t="n">
        <f aca="false">IF(AND(K40&gt;0,OR(O40="Sí",O40="Si")),1,0)</f>
        <v>0</v>
      </c>
      <c r="S40" s="62" t="n">
        <f aca="false">IF(AND(K40&gt;0,R40=0),1,0)</f>
        <v>0</v>
      </c>
    </row>
    <row r="41" customFormat="false" ht="15" hidden="false" customHeight="false" outlineLevel="0" collapsed="false">
      <c r="B41" s="71" t="str">
        <f aca="false">IF($F$6="Sí",N($C$11)+14,"")</f>
        <v/>
      </c>
      <c r="C41" s="72" t="str">
        <f aca="false">IF(OR($F$6&lt;&gt;"Sí",D41&lt;=0.5),"",EDATE($C$10,14))</f>
        <v/>
      </c>
      <c r="D41" s="41" t="n">
        <f aca="false">MAX(0,M40)</f>
        <v>0</v>
      </c>
      <c r="E41" s="41" t="n">
        <f aca="false">D41*$F$7</f>
        <v>0</v>
      </c>
      <c r="F41" s="41" t="n">
        <f aca="false">IF(D41&gt;0.5,N($C$15),0)</f>
        <v>0</v>
      </c>
      <c r="G41" s="41" t="n">
        <f aca="false">IF(AND(D41&gt;0.5,N($C$19)&gt;0,N(B41)&lt;=N($C$20)),D41*$F$8,0)</f>
        <v>0</v>
      </c>
      <c r="H41" s="41" t="n">
        <f aca="false">IF(D41&lt;=0.5,0,MIN(IF(N(I41)&gt;0,I41,$F$9),D41+E41+F41))</f>
        <v>0</v>
      </c>
      <c r="I41" s="77"/>
      <c r="J41" s="77"/>
      <c r="K41" s="41" t="n">
        <f aca="false">IF(D41&lt;=0.5,0,MIN(H41+N(J41),D41+E41+F41))</f>
        <v>0</v>
      </c>
      <c r="L41" s="41" t="n">
        <f aca="false">K41-E41-F41</f>
        <v>0</v>
      </c>
      <c r="M41" s="41" t="n">
        <f aca="false">D41-L41</f>
        <v>0</v>
      </c>
      <c r="N41" s="42" t="n">
        <f aca="false">K41-G41</f>
        <v>0</v>
      </c>
      <c r="O41" s="78"/>
      <c r="P41" s="79"/>
      <c r="Q41" s="16" t="str">
        <f aca="false">IF(K41=0,"",IF(R41=1,"Pagada",IF(C41&lt;$F$12,"Vencida",IF(15=$F$13,"Próxima","Pendiente"))))</f>
        <v/>
      </c>
      <c r="R41" s="62" t="n">
        <f aca="false">IF(AND(K41&gt;0,OR(O41="Sí",O41="Si")),1,0)</f>
        <v>0</v>
      </c>
      <c r="S41" s="62" t="n">
        <f aca="false">IF(AND(K41&gt;0,R41=0),1,0)</f>
        <v>0</v>
      </c>
    </row>
    <row r="42" customFormat="false" ht="15" hidden="false" customHeight="false" outlineLevel="0" collapsed="false">
      <c r="B42" s="71" t="str">
        <f aca="false">IF($F$6="Sí",N($C$11)+15,"")</f>
        <v/>
      </c>
      <c r="C42" s="72" t="str">
        <f aca="false">IF(OR($F$6&lt;&gt;"Sí",D42&lt;=0.5),"",EDATE($C$10,15))</f>
        <v/>
      </c>
      <c r="D42" s="41" t="n">
        <f aca="false">MAX(0,M41)</f>
        <v>0</v>
      </c>
      <c r="E42" s="41" t="n">
        <f aca="false">D42*$F$7</f>
        <v>0</v>
      </c>
      <c r="F42" s="41" t="n">
        <f aca="false">IF(D42&gt;0.5,N($C$15),0)</f>
        <v>0</v>
      </c>
      <c r="G42" s="41" t="n">
        <f aca="false">IF(AND(D42&gt;0.5,N($C$19)&gt;0,N(B42)&lt;=N($C$20)),D42*$F$8,0)</f>
        <v>0</v>
      </c>
      <c r="H42" s="41" t="n">
        <f aca="false">IF(D42&lt;=0.5,0,MIN(IF(N(I42)&gt;0,I42,$F$9),D42+E42+F42))</f>
        <v>0</v>
      </c>
      <c r="I42" s="77"/>
      <c r="J42" s="77"/>
      <c r="K42" s="41" t="n">
        <f aca="false">IF(D42&lt;=0.5,0,MIN(H42+N(J42),D42+E42+F42))</f>
        <v>0</v>
      </c>
      <c r="L42" s="41" t="n">
        <f aca="false">K42-E42-F42</f>
        <v>0</v>
      </c>
      <c r="M42" s="41" t="n">
        <f aca="false">D42-L42</f>
        <v>0</v>
      </c>
      <c r="N42" s="42" t="n">
        <f aca="false">K42-G42</f>
        <v>0</v>
      </c>
      <c r="O42" s="78"/>
      <c r="P42" s="79"/>
      <c r="Q42" s="16" t="str">
        <f aca="false">IF(K42=0,"",IF(R42=1,"Pagada",IF(C42&lt;$F$12,"Vencida",IF(16=$F$13,"Próxima","Pendiente"))))</f>
        <v/>
      </c>
      <c r="R42" s="62" t="n">
        <f aca="false">IF(AND(K42&gt;0,OR(O42="Sí",O42="Si")),1,0)</f>
        <v>0</v>
      </c>
      <c r="S42" s="62" t="n">
        <f aca="false">IF(AND(K42&gt;0,R42=0),1,0)</f>
        <v>0</v>
      </c>
    </row>
    <row r="43" customFormat="false" ht="15" hidden="false" customHeight="false" outlineLevel="0" collapsed="false">
      <c r="B43" s="71" t="str">
        <f aca="false">IF($F$6="Sí",N($C$11)+16,"")</f>
        <v/>
      </c>
      <c r="C43" s="72" t="str">
        <f aca="false">IF(OR($F$6&lt;&gt;"Sí",D43&lt;=0.5),"",EDATE($C$10,16))</f>
        <v/>
      </c>
      <c r="D43" s="41" t="n">
        <f aca="false">MAX(0,M42)</f>
        <v>0</v>
      </c>
      <c r="E43" s="41" t="n">
        <f aca="false">D43*$F$7</f>
        <v>0</v>
      </c>
      <c r="F43" s="41" t="n">
        <f aca="false">IF(D43&gt;0.5,N($C$15),0)</f>
        <v>0</v>
      </c>
      <c r="G43" s="41" t="n">
        <f aca="false">IF(AND(D43&gt;0.5,N($C$19)&gt;0,N(B43)&lt;=N($C$20)),D43*$F$8,0)</f>
        <v>0</v>
      </c>
      <c r="H43" s="41" t="n">
        <f aca="false">IF(D43&lt;=0.5,0,MIN(IF(N(I43)&gt;0,I43,$F$9),D43+E43+F43))</f>
        <v>0</v>
      </c>
      <c r="I43" s="77"/>
      <c r="J43" s="77"/>
      <c r="K43" s="41" t="n">
        <f aca="false">IF(D43&lt;=0.5,0,MIN(H43+N(J43),D43+E43+F43))</f>
        <v>0</v>
      </c>
      <c r="L43" s="41" t="n">
        <f aca="false">K43-E43-F43</f>
        <v>0</v>
      </c>
      <c r="M43" s="41" t="n">
        <f aca="false">D43-L43</f>
        <v>0</v>
      </c>
      <c r="N43" s="42" t="n">
        <f aca="false">K43-G43</f>
        <v>0</v>
      </c>
      <c r="O43" s="78"/>
      <c r="P43" s="79"/>
      <c r="Q43" s="16" t="str">
        <f aca="false">IF(K43=0,"",IF(R43=1,"Pagada",IF(C43&lt;$F$12,"Vencida",IF(17=$F$13,"Próxima","Pendiente"))))</f>
        <v/>
      </c>
      <c r="R43" s="62" t="n">
        <f aca="false">IF(AND(K43&gt;0,OR(O43="Sí",O43="Si")),1,0)</f>
        <v>0</v>
      </c>
      <c r="S43" s="62" t="n">
        <f aca="false">IF(AND(K43&gt;0,R43=0),1,0)</f>
        <v>0</v>
      </c>
    </row>
    <row r="44" customFormat="false" ht="15" hidden="false" customHeight="false" outlineLevel="0" collapsed="false">
      <c r="B44" s="71" t="str">
        <f aca="false">IF($F$6="Sí",N($C$11)+17,"")</f>
        <v/>
      </c>
      <c r="C44" s="72" t="str">
        <f aca="false">IF(OR($F$6&lt;&gt;"Sí",D44&lt;=0.5),"",EDATE($C$10,17))</f>
        <v/>
      </c>
      <c r="D44" s="41" t="n">
        <f aca="false">MAX(0,M43)</f>
        <v>0</v>
      </c>
      <c r="E44" s="41" t="n">
        <f aca="false">D44*$F$7</f>
        <v>0</v>
      </c>
      <c r="F44" s="41" t="n">
        <f aca="false">IF(D44&gt;0.5,N($C$15),0)</f>
        <v>0</v>
      </c>
      <c r="G44" s="41" t="n">
        <f aca="false">IF(AND(D44&gt;0.5,N($C$19)&gt;0,N(B44)&lt;=N($C$20)),D44*$F$8,0)</f>
        <v>0</v>
      </c>
      <c r="H44" s="41" t="n">
        <f aca="false">IF(D44&lt;=0.5,0,MIN(IF(N(I44)&gt;0,I44,$F$9),D44+E44+F44))</f>
        <v>0</v>
      </c>
      <c r="I44" s="77"/>
      <c r="J44" s="77"/>
      <c r="K44" s="41" t="n">
        <f aca="false">IF(D44&lt;=0.5,0,MIN(H44+N(J44),D44+E44+F44))</f>
        <v>0</v>
      </c>
      <c r="L44" s="41" t="n">
        <f aca="false">K44-E44-F44</f>
        <v>0</v>
      </c>
      <c r="M44" s="41" t="n">
        <f aca="false">D44-L44</f>
        <v>0</v>
      </c>
      <c r="N44" s="42" t="n">
        <f aca="false">K44-G44</f>
        <v>0</v>
      </c>
      <c r="O44" s="78"/>
      <c r="P44" s="79"/>
      <c r="Q44" s="16" t="str">
        <f aca="false">IF(K44=0,"",IF(R44=1,"Pagada",IF(C44&lt;$F$12,"Vencida",IF(18=$F$13,"Próxima","Pendiente"))))</f>
        <v/>
      </c>
      <c r="R44" s="62" t="n">
        <f aca="false">IF(AND(K44&gt;0,OR(O44="Sí",O44="Si")),1,0)</f>
        <v>0</v>
      </c>
      <c r="S44" s="62" t="n">
        <f aca="false">IF(AND(K44&gt;0,R44=0),1,0)</f>
        <v>0</v>
      </c>
    </row>
    <row r="45" customFormat="false" ht="15" hidden="false" customHeight="false" outlineLevel="0" collapsed="false">
      <c r="B45" s="71" t="str">
        <f aca="false">IF($F$6="Sí",N($C$11)+18,"")</f>
        <v/>
      </c>
      <c r="C45" s="72" t="str">
        <f aca="false">IF(OR($F$6&lt;&gt;"Sí",D45&lt;=0.5),"",EDATE($C$10,18))</f>
        <v/>
      </c>
      <c r="D45" s="41" t="n">
        <f aca="false">MAX(0,M44)</f>
        <v>0</v>
      </c>
      <c r="E45" s="41" t="n">
        <f aca="false">D45*$F$7</f>
        <v>0</v>
      </c>
      <c r="F45" s="41" t="n">
        <f aca="false">IF(D45&gt;0.5,N($C$15),0)</f>
        <v>0</v>
      </c>
      <c r="G45" s="41" t="n">
        <f aca="false">IF(AND(D45&gt;0.5,N($C$19)&gt;0,N(B45)&lt;=N($C$20)),D45*$F$8,0)</f>
        <v>0</v>
      </c>
      <c r="H45" s="41" t="n">
        <f aca="false">IF(D45&lt;=0.5,0,MIN(IF(N(I45)&gt;0,I45,$F$9),D45+E45+F45))</f>
        <v>0</v>
      </c>
      <c r="I45" s="77"/>
      <c r="J45" s="77"/>
      <c r="K45" s="41" t="n">
        <f aca="false">IF(D45&lt;=0.5,0,MIN(H45+N(J45),D45+E45+F45))</f>
        <v>0</v>
      </c>
      <c r="L45" s="41" t="n">
        <f aca="false">K45-E45-F45</f>
        <v>0</v>
      </c>
      <c r="M45" s="41" t="n">
        <f aca="false">D45-L45</f>
        <v>0</v>
      </c>
      <c r="N45" s="42" t="n">
        <f aca="false">K45-G45</f>
        <v>0</v>
      </c>
      <c r="O45" s="78"/>
      <c r="P45" s="79"/>
      <c r="Q45" s="16" t="str">
        <f aca="false">IF(K45=0,"",IF(R45=1,"Pagada",IF(C45&lt;$F$12,"Vencida",IF(19=$F$13,"Próxima","Pendiente"))))</f>
        <v/>
      </c>
      <c r="R45" s="62" t="n">
        <f aca="false">IF(AND(K45&gt;0,OR(O45="Sí",O45="Si")),1,0)</f>
        <v>0</v>
      </c>
      <c r="S45" s="62" t="n">
        <f aca="false">IF(AND(K45&gt;0,R45=0),1,0)</f>
        <v>0</v>
      </c>
    </row>
    <row r="46" customFormat="false" ht="15" hidden="false" customHeight="false" outlineLevel="0" collapsed="false">
      <c r="B46" s="71" t="str">
        <f aca="false">IF($F$6="Sí",N($C$11)+19,"")</f>
        <v/>
      </c>
      <c r="C46" s="72" t="str">
        <f aca="false">IF(OR($F$6&lt;&gt;"Sí",D46&lt;=0.5),"",EDATE($C$10,19))</f>
        <v/>
      </c>
      <c r="D46" s="41" t="n">
        <f aca="false">MAX(0,M45)</f>
        <v>0</v>
      </c>
      <c r="E46" s="41" t="n">
        <f aca="false">D46*$F$7</f>
        <v>0</v>
      </c>
      <c r="F46" s="41" t="n">
        <f aca="false">IF(D46&gt;0.5,N($C$15),0)</f>
        <v>0</v>
      </c>
      <c r="G46" s="41" t="n">
        <f aca="false">IF(AND(D46&gt;0.5,N($C$19)&gt;0,N(B46)&lt;=N($C$20)),D46*$F$8,0)</f>
        <v>0</v>
      </c>
      <c r="H46" s="41" t="n">
        <f aca="false">IF(D46&lt;=0.5,0,MIN(IF(N(I46)&gt;0,I46,$F$9),D46+E46+F46))</f>
        <v>0</v>
      </c>
      <c r="I46" s="77"/>
      <c r="J46" s="77"/>
      <c r="K46" s="41" t="n">
        <f aca="false">IF(D46&lt;=0.5,0,MIN(H46+N(J46),D46+E46+F46))</f>
        <v>0</v>
      </c>
      <c r="L46" s="41" t="n">
        <f aca="false">K46-E46-F46</f>
        <v>0</v>
      </c>
      <c r="M46" s="41" t="n">
        <f aca="false">D46-L46</f>
        <v>0</v>
      </c>
      <c r="N46" s="42" t="n">
        <f aca="false">K46-G46</f>
        <v>0</v>
      </c>
      <c r="O46" s="78"/>
      <c r="P46" s="79"/>
      <c r="Q46" s="16" t="str">
        <f aca="false">IF(K46=0,"",IF(R46=1,"Pagada",IF(C46&lt;$F$12,"Vencida",IF(20=$F$13,"Próxima","Pendiente"))))</f>
        <v/>
      </c>
      <c r="R46" s="62" t="n">
        <f aca="false">IF(AND(K46&gt;0,OR(O46="Sí",O46="Si")),1,0)</f>
        <v>0</v>
      </c>
      <c r="S46" s="62" t="n">
        <f aca="false">IF(AND(K46&gt;0,R46=0),1,0)</f>
        <v>0</v>
      </c>
    </row>
    <row r="47" customFormat="false" ht="15" hidden="false" customHeight="false" outlineLevel="0" collapsed="false">
      <c r="B47" s="71" t="str">
        <f aca="false">IF($F$6="Sí",N($C$11)+20,"")</f>
        <v/>
      </c>
      <c r="C47" s="72" t="str">
        <f aca="false">IF(OR($F$6&lt;&gt;"Sí",D47&lt;=0.5),"",EDATE($C$10,20))</f>
        <v/>
      </c>
      <c r="D47" s="41" t="n">
        <f aca="false">MAX(0,M46)</f>
        <v>0</v>
      </c>
      <c r="E47" s="41" t="n">
        <f aca="false">D47*$F$7</f>
        <v>0</v>
      </c>
      <c r="F47" s="41" t="n">
        <f aca="false">IF(D47&gt;0.5,N($C$15),0)</f>
        <v>0</v>
      </c>
      <c r="G47" s="41" t="n">
        <f aca="false">IF(AND(D47&gt;0.5,N($C$19)&gt;0,N(B47)&lt;=N($C$20)),D47*$F$8,0)</f>
        <v>0</v>
      </c>
      <c r="H47" s="41" t="n">
        <f aca="false">IF(D47&lt;=0.5,0,MIN(IF(N(I47)&gt;0,I47,$F$9),D47+E47+F47))</f>
        <v>0</v>
      </c>
      <c r="I47" s="77"/>
      <c r="J47" s="77"/>
      <c r="K47" s="41" t="n">
        <f aca="false">IF(D47&lt;=0.5,0,MIN(H47+N(J47),D47+E47+F47))</f>
        <v>0</v>
      </c>
      <c r="L47" s="41" t="n">
        <f aca="false">K47-E47-F47</f>
        <v>0</v>
      </c>
      <c r="M47" s="41" t="n">
        <f aca="false">D47-L47</f>
        <v>0</v>
      </c>
      <c r="N47" s="42" t="n">
        <f aca="false">K47-G47</f>
        <v>0</v>
      </c>
      <c r="O47" s="78"/>
      <c r="P47" s="79"/>
      <c r="Q47" s="16" t="str">
        <f aca="false">IF(K47=0,"",IF(R47=1,"Pagada",IF(C47&lt;$F$12,"Vencida",IF(21=$F$13,"Próxima","Pendiente"))))</f>
        <v/>
      </c>
      <c r="R47" s="62" t="n">
        <f aca="false">IF(AND(K47&gt;0,OR(O47="Sí",O47="Si")),1,0)</f>
        <v>0</v>
      </c>
      <c r="S47" s="62" t="n">
        <f aca="false">IF(AND(K47&gt;0,R47=0),1,0)</f>
        <v>0</v>
      </c>
    </row>
    <row r="48" customFormat="false" ht="15" hidden="false" customHeight="false" outlineLevel="0" collapsed="false">
      <c r="B48" s="71" t="str">
        <f aca="false">IF($F$6="Sí",N($C$11)+21,"")</f>
        <v/>
      </c>
      <c r="C48" s="72" t="str">
        <f aca="false">IF(OR($F$6&lt;&gt;"Sí",D48&lt;=0.5),"",EDATE($C$10,21))</f>
        <v/>
      </c>
      <c r="D48" s="41" t="n">
        <f aca="false">MAX(0,M47)</f>
        <v>0</v>
      </c>
      <c r="E48" s="41" t="n">
        <f aca="false">D48*$F$7</f>
        <v>0</v>
      </c>
      <c r="F48" s="41" t="n">
        <f aca="false">IF(D48&gt;0.5,N($C$15),0)</f>
        <v>0</v>
      </c>
      <c r="G48" s="41" t="n">
        <f aca="false">IF(AND(D48&gt;0.5,N($C$19)&gt;0,N(B48)&lt;=N($C$20)),D48*$F$8,0)</f>
        <v>0</v>
      </c>
      <c r="H48" s="41" t="n">
        <f aca="false">IF(D48&lt;=0.5,0,MIN(IF(N(I48)&gt;0,I48,$F$9),D48+E48+F48))</f>
        <v>0</v>
      </c>
      <c r="I48" s="77"/>
      <c r="J48" s="77"/>
      <c r="K48" s="41" t="n">
        <f aca="false">IF(D48&lt;=0.5,0,MIN(H48+N(J48),D48+E48+F48))</f>
        <v>0</v>
      </c>
      <c r="L48" s="41" t="n">
        <f aca="false">K48-E48-F48</f>
        <v>0</v>
      </c>
      <c r="M48" s="41" t="n">
        <f aca="false">D48-L48</f>
        <v>0</v>
      </c>
      <c r="N48" s="42" t="n">
        <f aca="false">K48-G48</f>
        <v>0</v>
      </c>
      <c r="O48" s="78"/>
      <c r="P48" s="79"/>
      <c r="Q48" s="16" t="str">
        <f aca="false">IF(K48=0,"",IF(R48=1,"Pagada",IF(C48&lt;$F$12,"Vencida",IF(22=$F$13,"Próxima","Pendiente"))))</f>
        <v/>
      </c>
      <c r="R48" s="62" t="n">
        <f aca="false">IF(AND(K48&gt;0,OR(O48="Sí",O48="Si")),1,0)</f>
        <v>0</v>
      </c>
      <c r="S48" s="62" t="n">
        <f aca="false">IF(AND(K48&gt;0,R48=0),1,0)</f>
        <v>0</v>
      </c>
    </row>
    <row r="49" customFormat="false" ht="15" hidden="false" customHeight="false" outlineLevel="0" collapsed="false">
      <c r="B49" s="71" t="str">
        <f aca="false">IF($F$6="Sí",N($C$11)+22,"")</f>
        <v/>
      </c>
      <c r="C49" s="72" t="str">
        <f aca="false">IF(OR($F$6&lt;&gt;"Sí",D49&lt;=0.5),"",EDATE($C$10,22))</f>
        <v/>
      </c>
      <c r="D49" s="41" t="n">
        <f aca="false">MAX(0,M48)</f>
        <v>0</v>
      </c>
      <c r="E49" s="41" t="n">
        <f aca="false">D49*$F$7</f>
        <v>0</v>
      </c>
      <c r="F49" s="41" t="n">
        <f aca="false">IF(D49&gt;0.5,N($C$15),0)</f>
        <v>0</v>
      </c>
      <c r="G49" s="41" t="n">
        <f aca="false">IF(AND(D49&gt;0.5,N($C$19)&gt;0,N(B49)&lt;=N($C$20)),D49*$F$8,0)</f>
        <v>0</v>
      </c>
      <c r="H49" s="41" t="n">
        <f aca="false">IF(D49&lt;=0.5,0,MIN(IF(N(I49)&gt;0,I49,$F$9),D49+E49+F49))</f>
        <v>0</v>
      </c>
      <c r="I49" s="77"/>
      <c r="J49" s="77"/>
      <c r="K49" s="41" t="n">
        <f aca="false">IF(D49&lt;=0.5,0,MIN(H49+N(J49),D49+E49+F49))</f>
        <v>0</v>
      </c>
      <c r="L49" s="41" t="n">
        <f aca="false">K49-E49-F49</f>
        <v>0</v>
      </c>
      <c r="M49" s="41" t="n">
        <f aca="false">D49-L49</f>
        <v>0</v>
      </c>
      <c r="N49" s="42" t="n">
        <f aca="false">K49-G49</f>
        <v>0</v>
      </c>
      <c r="O49" s="78"/>
      <c r="P49" s="79"/>
      <c r="Q49" s="16" t="str">
        <f aca="false">IF(K49=0,"",IF(R49=1,"Pagada",IF(C49&lt;$F$12,"Vencida",IF(23=$F$13,"Próxima","Pendiente"))))</f>
        <v/>
      </c>
      <c r="R49" s="62" t="n">
        <f aca="false">IF(AND(K49&gt;0,OR(O49="Sí",O49="Si")),1,0)</f>
        <v>0</v>
      </c>
      <c r="S49" s="62" t="n">
        <f aca="false">IF(AND(K49&gt;0,R49=0),1,0)</f>
        <v>0</v>
      </c>
    </row>
    <row r="50" customFormat="false" ht="15" hidden="false" customHeight="false" outlineLevel="0" collapsed="false">
      <c r="B50" s="71" t="str">
        <f aca="false">IF($F$6="Sí",N($C$11)+23,"")</f>
        <v/>
      </c>
      <c r="C50" s="72" t="str">
        <f aca="false">IF(OR($F$6&lt;&gt;"Sí",D50&lt;=0.5),"",EDATE($C$10,23))</f>
        <v/>
      </c>
      <c r="D50" s="41" t="n">
        <f aca="false">MAX(0,M49)</f>
        <v>0</v>
      </c>
      <c r="E50" s="41" t="n">
        <f aca="false">D50*$F$7</f>
        <v>0</v>
      </c>
      <c r="F50" s="41" t="n">
        <f aca="false">IF(D50&gt;0.5,N($C$15),0)</f>
        <v>0</v>
      </c>
      <c r="G50" s="41" t="n">
        <f aca="false">IF(AND(D50&gt;0.5,N($C$19)&gt;0,N(B50)&lt;=N($C$20)),D50*$F$8,0)</f>
        <v>0</v>
      </c>
      <c r="H50" s="41" t="n">
        <f aca="false">IF(D50&lt;=0.5,0,MIN(IF(N(I50)&gt;0,I50,$F$9),D50+E50+F50))</f>
        <v>0</v>
      </c>
      <c r="I50" s="77"/>
      <c r="J50" s="77"/>
      <c r="K50" s="41" t="n">
        <f aca="false">IF(D50&lt;=0.5,0,MIN(H50+N(J50),D50+E50+F50))</f>
        <v>0</v>
      </c>
      <c r="L50" s="41" t="n">
        <f aca="false">K50-E50-F50</f>
        <v>0</v>
      </c>
      <c r="M50" s="41" t="n">
        <f aca="false">D50-L50</f>
        <v>0</v>
      </c>
      <c r="N50" s="42" t="n">
        <f aca="false">K50-G50</f>
        <v>0</v>
      </c>
      <c r="O50" s="78"/>
      <c r="P50" s="79"/>
      <c r="Q50" s="16" t="str">
        <f aca="false">IF(K50=0,"",IF(R50=1,"Pagada",IF(C50&lt;$F$12,"Vencida",IF(24=$F$13,"Próxima","Pendiente"))))</f>
        <v/>
      </c>
      <c r="R50" s="62" t="n">
        <f aca="false">IF(AND(K50&gt;0,OR(O50="Sí",O50="Si")),1,0)</f>
        <v>0</v>
      </c>
      <c r="S50" s="62" t="n">
        <f aca="false">IF(AND(K50&gt;0,R50=0),1,0)</f>
        <v>0</v>
      </c>
    </row>
    <row r="51" customFormat="false" ht="15" hidden="false" customHeight="false" outlineLevel="0" collapsed="false">
      <c r="B51" s="71" t="str">
        <f aca="false">IF($F$6="Sí",N($C$11)+24,"")</f>
        <v/>
      </c>
      <c r="C51" s="72" t="str">
        <f aca="false">IF(OR($F$6&lt;&gt;"Sí",D51&lt;=0.5),"",EDATE($C$10,24))</f>
        <v/>
      </c>
      <c r="D51" s="41" t="n">
        <f aca="false">MAX(0,M50)</f>
        <v>0</v>
      </c>
      <c r="E51" s="41" t="n">
        <f aca="false">D51*$F$7</f>
        <v>0</v>
      </c>
      <c r="F51" s="41" t="n">
        <f aca="false">IF(D51&gt;0.5,N($C$15),0)</f>
        <v>0</v>
      </c>
      <c r="G51" s="41" t="n">
        <f aca="false">IF(AND(D51&gt;0.5,N($C$19)&gt;0,N(B51)&lt;=N($C$20)),D51*$F$8,0)</f>
        <v>0</v>
      </c>
      <c r="H51" s="41" t="n">
        <f aca="false">IF(D51&lt;=0.5,0,MIN(IF(N(I51)&gt;0,I51,$F$9),D51+E51+F51))</f>
        <v>0</v>
      </c>
      <c r="I51" s="77"/>
      <c r="J51" s="77"/>
      <c r="K51" s="41" t="n">
        <f aca="false">IF(D51&lt;=0.5,0,MIN(H51+N(J51),D51+E51+F51))</f>
        <v>0</v>
      </c>
      <c r="L51" s="41" t="n">
        <f aca="false">K51-E51-F51</f>
        <v>0</v>
      </c>
      <c r="M51" s="41" t="n">
        <f aca="false">D51-L51</f>
        <v>0</v>
      </c>
      <c r="N51" s="42" t="n">
        <f aca="false">K51-G51</f>
        <v>0</v>
      </c>
      <c r="O51" s="78"/>
      <c r="P51" s="79"/>
      <c r="Q51" s="16" t="str">
        <f aca="false">IF(K51=0,"",IF(R51=1,"Pagada",IF(C51&lt;$F$12,"Vencida",IF(25=$F$13,"Próxima","Pendiente"))))</f>
        <v/>
      </c>
      <c r="R51" s="62" t="n">
        <f aca="false">IF(AND(K51&gt;0,OR(O51="Sí",O51="Si")),1,0)</f>
        <v>0</v>
      </c>
      <c r="S51" s="62" t="n">
        <f aca="false">IF(AND(K51&gt;0,R51=0),1,0)</f>
        <v>0</v>
      </c>
    </row>
    <row r="52" customFormat="false" ht="15" hidden="false" customHeight="false" outlineLevel="0" collapsed="false">
      <c r="B52" s="71" t="str">
        <f aca="false">IF($F$6="Sí",N($C$11)+25,"")</f>
        <v/>
      </c>
      <c r="C52" s="72" t="str">
        <f aca="false">IF(OR($F$6&lt;&gt;"Sí",D52&lt;=0.5),"",EDATE($C$10,25))</f>
        <v/>
      </c>
      <c r="D52" s="41" t="n">
        <f aca="false">MAX(0,M51)</f>
        <v>0</v>
      </c>
      <c r="E52" s="41" t="n">
        <f aca="false">D52*$F$7</f>
        <v>0</v>
      </c>
      <c r="F52" s="41" t="n">
        <f aca="false">IF(D52&gt;0.5,N($C$15),0)</f>
        <v>0</v>
      </c>
      <c r="G52" s="41" t="n">
        <f aca="false">IF(AND(D52&gt;0.5,N($C$19)&gt;0,N(B52)&lt;=N($C$20)),D52*$F$8,0)</f>
        <v>0</v>
      </c>
      <c r="H52" s="41" t="n">
        <f aca="false">IF(D52&lt;=0.5,0,MIN(IF(N(I52)&gt;0,I52,$F$9),D52+E52+F52))</f>
        <v>0</v>
      </c>
      <c r="I52" s="77"/>
      <c r="J52" s="77"/>
      <c r="K52" s="41" t="n">
        <f aca="false">IF(D52&lt;=0.5,0,MIN(H52+N(J52),D52+E52+F52))</f>
        <v>0</v>
      </c>
      <c r="L52" s="41" t="n">
        <f aca="false">K52-E52-F52</f>
        <v>0</v>
      </c>
      <c r="M52" s="41" t="n">
        <f aca="false">D52-L52</f>
        <v>0</v>
      </c>
      <c r="N52" s="42" t="n">
        <f aca="false">K52-G52</f>
        <v>0</v>
      </c>
      <c r="O52" s="78"/>
      <c r="P52" s="79"/>
      <c r="Q52" s="16" t="str">
        <f aca="false">IF(K52=0,"",IF(R52=1,"Pagada",IF(C52&lt;$F$12,"Vencida",IF(26=$F$13,"Próxima","Pendiente"))))</f>
        <v/>
      </c>
      <c r="R52" s="62" t="n">
        <f aca="false">IF(AND(K52&gt;0,OR(O52="Sí",O52="Si")),1,0)</f>
        <v>0</v>
      </c>
      <c r="S52" s="62" t="n">
        <f aca="false">IF(AND(K52&gt;0,R52=0),1,0)</f>
        <v>0</v>
      </c>
    </row>
    <row r="53" customFormat="false" ht="15" hidden="false" customHeight="false" outlineLevel="0" collapsed="false">
      <c r="B53" s="71" t="str">
        <f aca="false">IF($F$6="Sí",N($C$11)+26,"")</f>
        <v/>
      </c>
      <c r="C53" s="72" t="str">
        <f aca="false">IF(OR($F$6&lt;&gt;"Sí",D53&lt;=0.5),"",EDATE($C$10,26))</f>
        <v/>
      </c>
      <c r="D53" s="41" t="n">
        <f aca="false">MAX(0,M52)</f>
        <v>0</v>
      </c>
      <c r="E53" s="41" t="n">
        <f aca="false">D53*$F$7</f>
        <v>0</v>
      </c>
      <c r="F53" s="41" t="n">
        <f aca="false">IF(D53&gt;0.5,N($C$15),0)</f>
        <v>0</v>
      </c>
      <c r="G53" s="41" t="n">
        <f aca="false">IF(AND(D53&gt;0.5,N($C$19)&gt;0,N(B53)&lt;=N($C$20)),D53*$F$8,0)</f>
        <v>0</v>
      </c>
      <c r="H53" s="41" t="n">
        <f aca="false">IF(D53&lt;=0.5,0,MIN(IF(N(I53)&gt;0,I53,$F$9),D53+E53+F53))</f>
        <v>0</v>
      </c>
      <c r="I53" s="77"/>
      <c r="J53" s="77"/>
      <c r="K53" s="41" t="n">
        <f aca="false">IF(D53&lt;=0.5,0,MIN(H53+N(J53),D53+E53+F53))</f>
        <v>0</v>
      </c>
      <c r="L53" s="41" t="n">
        <f aca="false">K53-E53-F53</f>
        <v>0</v>
      </c>
      <c r="M53" s="41" t="n">
        <f aca="false">D53-L53</f>
        <v>0</v>
      </c>
      <c r="N53" s="42" t="n">
        <f aca="false">K53-G53</f>
        <v>0</v>
      </c>
      <c r="O53" s="78"/>
      <c r="P53" s="79"/>
      <c r="Q53" s="16" t="str">
        <f aca="false">IF(K53=0,"",IF(R53=1,"Pagada",IF(C53&lt;$F$12,"Vencida",IF(27=$F$13,"Próxima","Pendiente"))))</f>
        <v/>
      </c>
      <c r="R53" s="62" t="n">
        <f aca="false">IF(AND(K53&gt;0,OR(O53="Sí",O53="Si")),1,0)</f>
        <v>0</v>
      </c>
      <c r="S53" s="62" t="n">
        <f aca="false">IF(AND(K53&gt;0,R53=0),1,0)</f>
        <v>0</v>
      </c>
    </row>
    <row r="54" customFormat="false" ht="15" hidden="false" customHeight="false" outlineLevel="0" collapsed="false">
      <c r="B54" s="71" t="str">
        <f aca="false">IF($F$6="Sí",N($C$11)+27,"")</f>
        <v/>
      </c>
      <c r="C54" s="72" t="str">
        <f aca="false">IF(OR($F$6&lt;&gt;"Sí",D54&lt;=0.5),"",EDATE($C$10,27))</f>
        <v/>
      </c>
      <c r="D54" s="41" t="n">
        <f aca="false">MAX(0,M53)</f>
        <v>0</v>
      </c>
      <c r="E54" s="41" t="n">
        <f aca="false">D54*$F$7</f>
        <v>0</v>
      </c>
      <c r="F54" s="41" t="n">
        <f aca="false">IF(D54&gt;0.5,N($C$15),0)</f>
        <v>0</v>
      </c>
      <c r="G54" s="41" t="n">
        <f aca="false">IF(AND(D54&gt;0.5,N($C$19)&gt;0,N(B54)&lt;=N($C$20)),D54*$F$8,0)</f>
        <v>0</v>
      </c>
      <c r="H54" s="41" t="n">
        <f aca="false">IF(D54&lt;=0.5,0,MIN(IF(N(I54)&gt;0,I54,$F$9),D54+E54+F54))</f>
        <v>0</v>
      </c>
      <c r="I54" s="77"/>
      <c r="J54" s="77"/>
      <c r="K54" s="41" t="n">
        <f aca="false">IF(D54&lt;=0.5,0,MIN(H54+N(J54),D54+E54+F54))</f>
        <v>0</v>
      </c>
      <c r="L54" s="41" t="n">
        <f aca="false">K54-E54-F54</f>
        <v>0</v>
      </c>
      <c r="M54" s="41" t="n">
        <f aca="false">D54-L54</f>
        <v>0</v>
      </c>
      <c r="N54" s="42" t="n">
        <f aca="false">K54-G54</f>
        <v>0</v>
      </c>
      <c r="O54" s="78"/>
      <c r="P54" s="79"/>
      <c r="Q54" s="16" t="str">
        <f aca="false">IF(K54=0,"",IF(R54=1,"Pagada",IF(C54&lt;$F$12,"Vencida",IF(28=$F$13,"Próxima","Pendiente"))))</f>
        <v/>
      </c>
      <c r="R54" s="62" t="n">
        <f aca="false">IF(AND(K54&gt;0,OR(O54="Sí",O54="Si")),1,0)</f>
        <v>0</v>
      </c>
      <c r="S54" s="62" t="n">
        <f aca="false">IF(AND(K54&gt;0,R54=0),1,0)</f>
        <v>0</v>
      </c>
    </row>
    <row r="55" customFormat="false" ht="15" hidden="false" customHeight="false" outlineLevel="0" collapsed="false">
      <c r="B55" s="71" t="str">
        <f aca="false">IF($F$6="Sí",N($C$11)+28,"")</f>
        <v/>
      </c>
      <c r="C55" s="72" t="str">
        <f aca="false">IF(OR($F$6&lt;&gt;"Sí",D55&lt;=0.5),"",EDATE($C$10,28))</f>
        <v/>
      </c>
      <c r="D55" s="41" t="n">
        <f aca="false">MAX(0,M54)</f>
        <v>0</v>
      </c>
      <c r="E55" s="41" t="n">
        <f aca="false">D55*$F$7</f>
        <v>0</v>
      </c>
      <c r="F55" s="41" t="n">
        <f aca="false">IF(D55&gt;0.5,N($C$15),0)</f>
        <v>0</v>
      </c>
      <c r="G55" s="41" t="n">
        <f aca="false">IF(AND(D55&gt;0.5,N($C$19)&gt;0,N(B55)&lt;=N($C$20)),D55*$F$8,0)</f>
        <v>0</v>
      </c>
      <c r="H55" s="41" t="n">
        <f aca="false">IF(D55&lt;=0.5,0,MIN(IF(N(I55)&gt;0,I55,$F$9),D55+E55+F55))</f>
        <v>0</v>
      </c>
      <c r="I55" s="77"/>
      <c r="J55" s="77"/>
      <c r="K55" s="41" t="n">
        <f aca="false">IF(D55&lt;=0.5,0,MIN(H55+N(J55),D55+E55+F55))</f>
        <v>0</v>
      </c>
      <c r="L55" s="41" t="n">
        <f aca="false">K55-E55-F55</f>
        <v>0</v>
      </c>
      <c r="M55" s="41" t="n">
        <f aca="false">D55-L55</f>
        <v>0</v>
      </c>
      <c r="N55" s="42" t="n">
        <f aca="false">K55-G55</f>
        <v>0</v>
      </c>
      <c r="O55" s="78"/>
      <c r="P55" s="79"/>
      <c r="Q55" s="16" t="str">
        <f aca="false">IF(K55=0,"",IF(R55=1,"Pagada",IF(C55&lt;$F$12,"Vencida",IF(29=$F$13,"Próxima","Pendiente"))))</f>
        <v/>
      </c>
      <c r="R55" s="62" t="n">
        <f aca="false">IF(AND(K55&gt;0,OR(O55="Sí",O55="Si")),1,0)</f>
        <v>0</v>
      </c>
      <c r="S55" s="62" t="n">
        <f aca="false">IF(AND(K55&gt;0,R55=0),1,0)</f>
        <v>0</v>
      </c>
    </row>
    <row r="56" customFormat="false" ht="15" hidden="false" customHeight="false" outlineLevel="0" collapsed="false">
      <c r="B56" s="71" t="str">
        <f aca="false">IF($F$6="Sí",N($C$11)+29,"")</f>
        <v/>
      </c>
      <c r="C56" s="72" t="str">
        <f aca="false">IF(OR($F$6&lt;&gt;"Sí",D56&lt;=0.5),"",EDATE($C$10,29))</f>
        <v/>
      </c>
      <c r="D56" s="41" t="n">
        <f aca="false">MAX(0,M55)</f>
        <v>0</v>
      </c>
      <c r="E56" s="41" t="n">
        <f aca="false">D56*$F$7</f>
        <v>0</v>
      </c>
      <c r="F56" s="41" t="n">
        <f aca="false">IF(D56&gt;0.5,N($C$15),0)</f>
        <v>0</v>
      </c>
      <c r="G56" s="41" t="n">
        <f aca="false">IF(AND(D56&gt;0.5,N($C$19)&gt;0,N(B56)&lt;=N($C$20)),D56*$F$8,0)</f>
        <v>0</v>
      </c>
      <c r="H56" s="41" t="n">
        <f aca="false">IF(D56&lt;=0.5,0,MIN(IF(N(I56)&gt;0,I56,$F$9),D56+E56+F56))</f>
        <v>0</v>
      </c>
      <c r="I56" s="77"/>
      <c r="J56" s="77"/>
      <c r="K56" s="41" t="n">
        <f aca="false">IF(D56&lt;=0.5,0,MIN(H56+N(J56),D56+E56+F56))</f>
        <v>0</v>
      </c>
      <c r="L56" s="41" t="n">
        <f aca="false">K56-E56-F56</f>
        <v>0</v>
      </c>
      <c r="M56" s="41" t="n">
        <f aca="false">D56-L56</f>
        <v>0</v>
      </c>
      <c r="N56" s="42" t="n">
        <f aca="false">K56-G56</f>
        <v>0</v>
      </c>
      <c r="O56" s="78"/>
      <c r="P56" s="79"/>
      <c r="Q56" s="16" t="str">
        <f aca="false">IF(K56=0,"",IF(R56=1,"Pagada",IF(C56&lt;$F$12,"Vencida",IF(30=$F$13,"Próxima","Pendiente"))))</f>
        <v/>
      </c>
      <c r="R56" s="62" t="n">
        <f aca="false">IF(AND(K56&gt;0,OR(O56="Sí",O56="Si")),1,0)</f>
        <v>0</v>
      </c>
      <c r="S56" s="62" t="n">
        <f aca="false">IF(AND(K56&gt;0,R56=0),1,0)</f>
        <v>0</v>
      </c>
    </row>
    <row r="57" customFormat="false" ht="15" hidden="false" customHeight="false" outlineLevel="0" collapsed="false">
      <c r="B57" s="71" t="str">
        <f aca="false">IF($F$6="Sí",N($C$11)+30,"")</f>
        <v/>
      </c>
      <c r="C57" s="72" t="str">
        <f aca="false">IF(OR($F$6&lt;&gt;"Sí",D57&lt;=0.5),"",EDATE($C$10,30))</f>
        <v/>
      </c>
      <c r="D57" s="41" t="n">
        <f aca="false">MAX(0,M56)</f>
        <v>0</v>
      </c>
      <c r="E57" s="41" t="n">
        <f aca="false">D57*$F$7</f>
        <v>0</v>
      </c>
      <c r="F57" s="41" t="n">
        <f aca="false">IF(D57&gt;0.5,N($C$15),0)</f>
        <v>0</v>
      </c>
      <c r="G57" s="41" t="n">
        <f aca="false">IF(AND(D57&gt;0.5,N($C$19)&gt;0,N(B57)&lt;=N($C$20)),D57*$F$8,0)</f>
        <v>0</v>
      </c>
      <c r="H57" s="41" t="n">
        <f aca="false">IF(D57&lt;=0.5,0,MIN(IF(N(I57)&gt;0,I57,$F$9),D57+E57+F57))</f>
        <v>0</v>
      </c>
      <c r="I57" s="77"/>
      <c r="J57" s="77"/>
      <c r="K57" s="41" t="n">
        <f aca="false">IF(D57&lt;=0.5,0,MIN(H57+N(J57),D57+E57+F57))</f>
        <v>0</v>
      </c>
      <c r="L57" s="41" t="n">
        <f aca="false">K57-E57-F57</f>
        <v>0</v>
      </c>
      <c r="M57" s="41" t="n">
        <f aca="false">D57-L57</f>
        <v>0</v>
      </c>
      <c r="N57" s="42" t="n">
        <f aca="false">K57-G57</f>
        <v>0</v>
      </c>
      <c r="O57" s="78"/>
      <c r="P57" s="79"/>
      <c r="Q57" s="16" t="str">
        <f aca="false">IF(K57=0,"",IF(R57=1,"Pagada",IF(C57&lt;$F$12,"Vencida",IF(31=$F$13,"Próxima","Pendiente"))))</f>
        <v/>
      </c>
      <c r="R57" s="62" t="n">
        <f aca="false">IF(AND(K57&gt;0,OR(O57="Sí",O57="Si")),1,0)</f>
        <v>0</v>
      </c>
      <c r="S57" s="62" t="n">
        <f aca="false">IF(AND(K57&gt;0,R57=0),1,0)</f>
        <v>0</v>
      </c>
    </row>
    <row r="58" customFormat="false" ht="15" hidden="false" customHeight="false" outlineLevel="0" collapsed="false">
      <c r="B58" s="71" t="str">
        <f aca="false">IF($F$6="Sí",N($C$11)+31,"")</f>
        <v/>
      </c>
      <c r="C58" s="72" t="str">
        <f aca="false">IF(OR($F$6&lt;&gt;"Sí",D58&lt;=0.5),"",EDATE($C$10,31))</f>
        <v/>
      </c>
      <c r="D58" s="41" t="n">
        <f aca="false">MAX(0,M57)</f>
        <v>0</v>
      </c>
      <c r="E58" s="41" t="n">
        <f aca="false">D58*$F$7</f>
        <v>0</v>
      </c>
      <c r="F58" s="41" t="n">
        <f aca="false">IF(D58&gt;0.5,N($C$15),0)</f>
        <v>0</v>
      </c>
      <c r="G58" s="41" t="n">
        <f aca="false">IF(AND(D58&gt;0.5,N($C$19)&gt;0,N(B58)&lt;=N($C$20)),D58*$F$8,0)</f>
        <v>0</v>
      </c>
      <c r="H58" s="41" t="n">
        <f aca="false">IF(D58&lt;=0.5,0,MIN(IF(N(I58)&gt;0,I58,$F$9),D58+E58+F58))</f>
        <v>0</v>
      </c>
      <c r="I58" s="77"/>
      <c r="J58" s="77"/>
      <c r="K58" s="41" t="n">
        <f aca="false">IF(D58&lt;=0.5,0,MIN(H58+N(J58),D58+E58+F58))</f>
        <v>0</v>
      </c>
      <c r="L58" s="41" t="n">
        <f aca="false">K58-E58-F58</f>
        <v>0</v>
      </c>
      <c r="M58" s="41" t="n">
        <f aca="false">D58-L58</f>
        <v>0</v>
      </c>
      <c r="N58" s="42" t="n">
        <f aca="false">K58-G58</f>
        <v>0</v>
      </c>
      <c r="O58" s="78"/>
      <c r="P58" s="79"/>
      <c r="Q58" s="16" t="str">
        <f aca="false">IF(K58=0,"",IF(R58=1,"Pagada",IF(C58&lt;$F$12,"Vencida",IF(32=$F$13,"Próxima","Pendiente"))))</f>
        <v/>
      </c>
      <c r="R58" s="62" t="n">
        <f aca="false">IF(AND(K58&gt;0,OR(O58="Sí",O58="Si")),1,0)</f>
        <v>0</v>
      </c>
      <c r="S58" s="62" t="n">
        <f aca="false">IF(AND(K58&gt;0,R58=0),1,0)</f>
        <v>0</v>
      </c>
    </row>
    <row r="59" customFormat="false" ht="15" hidden="false" customHeight="false" outlineLevel="0" collapsed="false">
      <c r="B59" s="71" t="str">
        <f aca="false">IF($F$6="Sí",N($C$11)+32,"")</f>
        <v/>
      </c>
      <c r="C59" s="72" t="str">
        <f aca="false">IF(OR($F$6&lt;&gt;"Sí",D59&lt;=0.5),"",EDATE($C$10,32))</f>
        <v/>
      </c>
      <c r="D59" s="41" t="n">
        <f aca="false">MAX(0,M58)</f>
        <v>0</v>
      </c>
      <c r="E59" s="41" t="n">
        <f aca="false">D59*$F$7</f>
        <v>0</v>
      </c>
      <c r="F59" s="41" t="n">
        <f aca="false">IF(D59&gt;0.5,N($C$15),0)</f>
        <v>0</v>
      </c>
      <c r="G59" s="41" t="n">
        <f aca="false">IF(AND(D59&gt;0.5,N($C$19)&gt;0,N(B59)&lt;=N($C$20)),D59*$F$8,0)</f>
        <v>0</v>
      </c>
      <c r="H59" s="41" t="n">
        <f aca="false">IF(D59&lt;=0.5,0,MIN(IF(N(I59)&gt;0,I59,$F$9),D59+E59+F59))</f>
        <v>0</v>
      </c>
      <c r="I59" s="77"/>
      <c r="J59" s="77"/>
      <c r="K59" s="41" t="n">
        <f aca="false">IF(D59&lt;=0.5,0,MIN(H59+N(J59),D59+E59+F59))</f>
        <v>0</v>
      </c>
      <c r="L59" s="41" t="n">
        <f aca="false">K59-E59-F59</f>
        <v>0</v>
      </c>
      <c r="M59" s="41" t="n">
        <f aca="false">D59-L59</f>
        <v>0</v>
      </c>
      <c r="N59" s="42" t="n">
        <f aca="false">K59-G59</f>
        <v>0</v>
      </c>
      <c r="O59" s="78"/>
      <c r="P59" s="79"/>
      <c r="Q59" s="16" t="str">
        <f aca="false">IF(K59=0,"",IF(R59=1,"Pagada",IF(C59&lt;$F$12,"Vencida",IF(33=$F$13,"Próxima","Pendiente"))))</f>
        <v/>
      </c>
      <c r="R59" s="62" t="n">
        <f aca="false">IF(AND(K59&gt;0,OR(O59="Sí",O59="Si")),1,0)</f>
        <v>0</v>
      </c>
      <c r="S59" s="62" t="n">
        <f aca="false">IF(AND(K59&gt;0,R59=0),1,0)</f>
        <v>0</v>
      </c>
    </row>
    <row r="60" customFormat="false" ht="15" hidden="false" customHeight="false" outlineLevel="0" collapsed="false">
      <c r="B60" s="71" t="str">
        <f aca="false">IF($F$6="Sí",N($C$11)+33,"")</f>
        <v/>
      </c>
      <c r="C60" s="72" t="str">
        <f aca="false">IF(OR($F$6&lt;&gt;"Sí",D60&lt;=0.5),"",EDATE($C$10,33))</f>
        <v/>
      </c>
      <c r="D60" s="41" t="n">
        <f aca="false">MAX(0,M59)</f>
        <v>0</v>
      </c>
      <c r="E60" s="41" t="n">
        <f aca="false">D60*$F$7</f>
        <v>0</v>
      </c>
      <c r="F60" s="41" t="n">
        <f aca="false">IF(D60&gt;0.5,N($C$15),0)</f>
        <v>0</v>
      </c>
      <c r="G60" s="41" t="n">
        <f aca="false">IF(AND(D60&gt;0.5,N($C$19)&gt;0,N(B60)&lt;=N($C$20)),D60*$F$8,0)</f>
        <v>0</v>
      </c>
      <c r="H60" s="41" t="n">
        <f aca="false">IF(D60&lt;=0.5,0,MIN(IF(N(I60)&gt;0,I60,$F$9),D60+E60+F60))</f>
        <v>0</v>
      </c>
      <c r="I60" s="77"/>
      <c r="J60" s="77"/>
      <c r="K60" s="41" t="n">
        <f aca="false">IF(D60&lt;=0.5,0,MIN(H60+N(J60),D60+E60+F60))</f>
        <v>0</v>
      </c>
      <c r="L60" s="41" t="n">
        <f aca="false">K60-E60-F60</f>
        <v>0</v>
      </c>
      <c r="M60" s="41" t="n">
        <f aca="false">D60-L60</f>
        <v>0</v>
      </c>
      <c r="N60" s="42" t="n">
        <f aca="false">K60-G60</f>
        <v>0</v>
      </c>
      <c r="O60" s="78"/>
      <c r="P60" s="79"/>
      <c r="Q60" s="16" t="str">
        <f aca="false">IF(K60=0,"",IF(R60=1,"Pagada",IF(C60&lt;$F$12,"Vencida",IF(34=$F$13,"Próxima","Pendiente"))))</f>
        <v/>
      </c>
      <c r="R60" s="62" t="n">
        <f aca="false">IF(AND(K60&gt;0,OR(O60="Sí",O60="Si")),1,0)</f>
        <v>0</v>
      </c>
      <c r="S60" s="62" t="n">
        <f aca="false">IF(AND(K60&gt;0,R60=0),1,0)</f>
        <v>0</v>
      </c>
    </row>
    <row r="61" customFormat="false" ht="15" hidden="false" customHeight="false" outlineLevel="0" collapsed="false">
      <c r="B61" s="71" t="str">
        <f aca="false">IF($F$6="Sí",N($C$11)+34,"")</f>
        <v/>
      </c>
      <c r="C61" s="72" t="str">
        <f aca="false">IF(OR($F$6&lt;&gt;"Sí",D61&lt;=0.5),"",EDATE($C$10,34))</f>
        <v/>
      </c>
      <c r="D61" s="41" t="n">
        <f aca="false">MAX(0,M60)</f>
        <v>0</v>
      </c>
      <c r="E61" s="41" t="n">
        <f aca="false">D61*$F$7</f>
        <v>0</v>
      </c>
      <c r="F61" s="41" t="n">
        <f aca="false">IF(D61&gt;0.5,N($C$15),0)</f>
        <v>0</v>
      </c>
      <c r="G61" s="41" t="n">
        <f aca="false">IF(AND(D61&gt;0.5,N($C$19)&gt;0,N(B61)&lt;=N($C$20)),D61*$F$8,0)</f>
        <v>0</v>
      </c>
      <c r="H61" s="41" t="n">
        <f aca="false">IF(D61&lt;=0.5,0,MIN(IF(N(I61)&gt;0,I61,$F$9),D61+E61+F61))</f>
        <v>0</v>
      </c>
      <c r="I61" s="77"/>
      <c r="J61" s="77"/>
      <c r="K61" s="41" t="n">
        <f aca="false">IF(D61&lt;=0.5,0,MIN(H61+N(J61),D61+E61+F61))</f>
        <v>0</v>
      </c>
      <c r="L61" s="41" t="n">
        <f aca="false">K61-E61-F61</f>
        <v>0</v>
      </c>
      <c r="M61" s="41" t="n">
        <f aca="false">D61-L61</f>
        <v>0</v>
      </c>
      <c r="N61" s="42" t="n">
        <f aca="false">K61-G61</f>
        <v>0</v>
      </c>
      <c r="O61" s="78"/>
      <c r="P61" s="79"/>
      <c r="Q61" s="16" t="str">
        <f aca="false">IF(K61=0,"",IF(R61=1,"Pagada",IF(C61&lt;$F$12,"Vencida",IF(35=$F$13,"Próxima","Pendiente"))))</f>
        <v/>
      </c>
      <c r="R61" s="62" t="n">
        <f aca="false">IF(AND(K61&gt;0,OR(O61="Sí",O61="Si")),1,0)</f>
        <v>0</v>
      </c>
      <c r="S61" s="62" t="n">
        <f aca="false">IF(AND(K61&gt;0,R61=0),1,0)</f>
        <v>0</v>
      </c>
    </row>
    <row r="62" customFormat="false" ht="15" hidden="false" customHeight="false" outlineLevel="0" collapsed="false">
      <c r="B62" s="71" t="str">
        <f aca="false">IF($F$6="Sí",N($C$11)+35,"")</f>
        <v/>
      </c>
      <c r="C62" s="72" t="str">
        <f aca="false">IF(OR($F$6&lt;&gt;"Sí",D62&lt;=0.5),"",EDATE($C$10,35))</f>
        <v/>
      </c>
      <c r="D62" s="41" t="n">
        <f aca="false">MAX(0,M61)</f>
        <v>0</v>
      </c>
      <c r="E62" s="41" t="n">
        <f aca="false">D62*$F$7</f>
        <v>0</v>
      </c>
      <c r="F62" s="41" t="n">
        <f aca="false">IF(D62&gt;0.5,N($C$15),0)</f>
        <v>0</v>
      </c>
      <c r="G62" s="41" t="n">
        <f aca="false">IF(AND(D62&gt;0.5,N($C$19)&gt;0,N(B62)&lt;=N($C$20)),D62*$F$8,0)</f>
        <v>0</v>
      </c>
      <c r="H62" s="41" t="n">
        <f aca="false">IF(D62&lt;=0.5,0,MIN(IF(N(I62)&gt;0,I62,$F$9),D62+E62+F62))</f>
        <v>0</v>
      </c>
      <c r="I62" s="77"/>
      <c r="J62" s="77"/>
      <c r="K62" s="41" t="n">
        <f aca="false">IF(D62&lt;=0.5,0,MIN(H62+N(J62),D62+E62+F62))</f>
        <v>0</v>
      </c>
      <c r="L62" s="41" t="n">
        <f aca="false">K62-E62-F62</f>
        <v>0</v>
      </c>
      <c r="M62" s="41" t="n">
        <f aca="false">D62-L62</f>
        <v>0</v>
      </c>
      <c r="N62" s="42" t="n">
        <f aca="false">K62-G62</f>
        <v>0</v>
      </c>
      <c r="O62" s="78"/>
      <c r="P62" s="79"/>
      <c r="Q62" s="16" t="str">
        <f aca="false">IF(K62=0,"",IF(R62=1,"Pagada",IF(C62&lt;$F$12,"Vencida",IF(36=$F$13,"Próxima","Pendiente"))))</f>
        <v/>
      </c>
      <c r="R62" s="62" t="n">
        <f aca="false">IF(AND(K62&gt;0,OR(O62="Sí",O62="Si")),1,0)</f>
        <v>0</v>
      </c>
      <c r="S62" s="62" t="n">
        <f aca="false">IF(AND(K62&gt;0,R62=0),1,0)</f>
        <v>0</v>
      </c>
    </row>
    <row r="63" customFormat="false" ht="15" hidden="false" customHeight="false" outlineLevel="0" collapsed="false">
      <c r="B63" s="71" t="str">
        <f aca="false">IF($F$6="Sí",N($C$11)+36,"")</f>
        <v/>
      </c>
      <c r="C63" s="72" t="str">
        <f aca="false">IF(OR($F$6&lt;&gt;"Sí",D63&lt;=0.5),"",EDATE($C$10,36))</f>
        <v/>
      </c>
      <c r="D63" s="41" t="n">
        <f aca="false">MAX(0,M62)</f>
        <v>0</v>
      </c>
      <c r="E63" s="41" t="n">
        <f aca="false">D63*$F$7</f>
        <v>0</v>
      </c>
      <c r="F63" s="41" t="n">
        <f aca="false">IF(D63&gt;0.5,N($C$15),0)</f>
        <v>0</v>
      </c>
      <c r="G63" s="41" t="n">
        <f aca="false">IF(AND(D63&gt;0.5,N($C$19)&gt;0,N(B63)&lt;=N($C$20)),D63*$F$8,0)</f>
        <v>0</v>
      </c>
      <c r="H63" s="41" t="n">
        <f aca="false">IF(D63&lt;=0.5,0,MIN(IF(N(I63)&gt;0,I63,$F$9),D63+E63+F63))</f>
        <v>0</v>
      </c>
      <c r="I63" s="77"/>
      <c r="J63" s="77"/>
      <c r="K63" s="41" t="n">
        <f aca="false">IF(D63&lt;=0.5,0,MIN(H63+N(J63),D63+E63+F63))</f>
        <v>0</v>
      </c>
      <c r="L63" s="41" t="n">
        <f aca="false">K63-E63-F63</f>
        <v>0</v>
      </c>
      <c r="M63" s="41" t="n">
        <f aca="false">D63-L63</f>
        <v>0</v>
      </c>
      <c r="N63" s="42" t="n">
        <f aca="false">K63-G63</f>
        <v>0</v>
      </c>
      <c r="O63" s="78"/>
      <c r="P63" s="79"/>
      <c r="Q63" s="16" t="str">
        <f aca="false">IF(K63=0,"",IF(R63=1,"Pagada",IF(C63&lt;$F$12,"Vencida",IF(37=$F$13,"Próxima","Pendiente"))))</f>
        <v/>
      </c>
      <c r="R63" s="62" t="n">
        <f aca="false">IF(AND(K63&gt;0,OR(O63="Sí",O63="Si")),1,0)</f>
        <v>0</v>
      </c>
      <c r="S63" s="62" t="n">
        <f aca="false">IF(AND(K63&gt;0,R63=0),1,0)</f>
        <v>0</v>
      </c>
    </row>
    <row r="64" customFormat="false" ht="15" hidden="false" customHeight="false" outlineLevel="0" collapsed="false">
      <c r="B64" s="71" t="str">
        <f aca="false">IF($F$6="Sí",N($C$11)+37,"")</f>
        <v/>
      </c>
      <c r="C64" s="72" t="str">
        <f aca="false">IF(OR($F$6&lt;&gt;"Sí",D64&lt;=0.5),"",EDATE($C$10,37))</f>
        <v/>
      </c>
      <c r="D64" s="41" t="n">
        <f aca="false">MAX(0,M63)</f>
        <v>0</v>
      </c>
      <c r="E64" s="41" t="n">
        <f aca="false">D64*$F$7</f>
        <v>0</v>
      </c>
      <c r="F64" s="41" t="n">
        <f aca="false">IF(D64&gt;0.5,N($C$15),0)</f>
        <v>0</v>
      </c>
      <c r="G64" s="41" t="n">
        <f aca="false">IF(AND(D64&gt;0.5,N($C$19)&gt;0,N(B64)&lt;=N($C$20)),D64*$F$8,0)</f>
        <v>0</v>
      </c>
      <c r="H64" s="41" t="n">
        <f aca="false">IF(D64&lt;=0.5,0,MIN(IF(N(I64)&gt;0,I64,$F$9),D64+E64+F64))</f>
        <v>0</v>
      </c>
      <c r="I64" s="77"/>
      <c r="J64" s="77"/>
      <c r="K64" s="41" t="n">
        <f aca="false">IF(D64&lt;=0.5,0,MIN(H64+N(J64),D64+E64+F64))</f>
        <v>0</v>
      </c>
      <c r="L64" s="41" t="n">
        <f aca="false">K64-E64-F64</f>
        <v>0</v>
      </c>
      <c r="M64" s="41" t="n">
        <f aca="false">D64-L64</f>
        <v>0</v>
      </c>
      <c r="N64" s="42" t="n">
        <f aca="false">K64-G64</f>
        <v>0</v>
      </c>
      <c r="O64" s="78"/>
      <c r="P64" s="79"/>
      <c r="Q64" s="16" t="str">
        <f aca="false">IF(K64=0,"",IF(R64=1,"Pagada",IF(C64&lt;$F$12,"Vencida",IF(38=$F$13,"Próxima","Pendiente"))))</f>
        <v/>
      </c>
      <c r="R64" s="62" t="n">
        <f aca="false">IF(AND(K64&gt;0,OR(O64="Sí",O64="Si")),1,0)</f>
        <v>0</v>
      </c>
      <c r="S64" s="62" t="n">
        <f aca="false">IF(AND(K64&gt;0,R64=0),1,0)</f>
        <v>0</v>
      </c>
    </row>
    <row r="65" customFormat="false" ht="15" hidden="false" customHeight="false" outlineLevel="0" collapsed="false">
      <c r="B65" s="71" t="str">
        <f aca="false">IF($F$6="Sí",N($C$11)+38,"")</f>
        <v/>
      </c>
      <c r="C65" s="72" t="str">
        <f aca="false">IF(OR($F$6&lt;&gt;"Sí",D65&lt;=0.5),"",EDATE($C$10,38))</f>
        <v/>
      </c>
      <c r="D65" s="41" t="n">
        <f aca="false">MAX(0,M64)</f>
        <v>0</v>
      </c>
      <c r="E65" s="41" t="n">
        <f aca="false">D65*$F$7</f>
        <v>0</v>
      </c>
      <c r="F65" s="41" t="n">
        <f aca="false">IF(D65&gt;0.5,N($C$15),0)</f>
        <v>0</v>
      </c>
      <c r="G65" s="41" t="n">
        <f aca="false">IF(AND(D65&gt;0.5,N($C$19)&gt;0,N(B65)&lt;=N($C$20)),D65*$F$8,0)</f>
        <v>0</v>
      </c>
      <c r="H65" s="41" t="n">
        <f aca="false">IF(D65&lt;=0.5,0,MIN(IF(N(I65)&gt;0,I65,$F$9),D65+E65+F65))</f>
        <v>0</v>
      </c>
      <c r="I65" s="77"/>
      <c r="J65" s="77"/>
      <c r="K65" s="41" t="n">
        <f aca="false">IF(D65&lt;=0.5,0,MIN(H65+N(J65),D65+E65+F65))</f>
        <v>0</v>
      </c>
      <c r="L65" s="41" t="n">
        <f aca="false">K65-E65-F65</f>
        <v>0</v>
      </c>
      <c r="M65" s="41" t="n">
        <f aca="false">D65-L65</f>
        <v>0</v>
      </c>
      <c r="N65" s="42" t="n">
        <f aca="false">K65-G65</f>
        <v>0</v>
      </c>
      <c r="O65" s="78"/>
      <c r="P65" s="79"/>
      <c r="Q65" s="16" t="str">
        <f aca="false">IF(K65=0,"",IF(R65=1,"Pagada",IF(C65&lt;$F$12,"Vencida",IF(39=$F$13,"Próxima","Pendiente"))))</f>
        <v/>
      </c>
      <c r="R65" s="62" t="n">
        <f aca="false">IF(AND(K65&gt;0,OR(O65="Sí",O65="Si")),1,0)</f>
        <v>0</v>
      </c>
      <c r="S65" s="62" t="n">
        <f aca="false">IF(AND(K65&gt;0,R65=0),1,0)</f>
        <v>0</v>
      </c>
    </row>
    <row r="66" customFormat="false" ht="15" hidden="false" customHeight="false" outlineLevel="0" collapsed="false">
      <c r="B66" s="71" t="str">
        <f aca="false">IF($F$6="Sí",N($C$11)+39,"")</f>
        <v/>
      </c>
      <c r="C66" s="72" t="str">
        <f aca="false">IF(OR($F$6&lt;&gt;"Sí",D66&lt;=0.5),"",EDATE($C$10,39))</f>
        <v/>
      </c>
      <c r="D66" s="41" t="n">
        <f aca="false">MAX(0,M65)</f>
        <v>0</v>
      </c>
      <c r="E66" s="41" t="n">
        <f aca="false">D66*$F$7</f>
        <v>0</v>
      </c>
      <c r="F66" s="41" t="n">
        <f aca="false">IF(D66&gt;0.5,N($C$15),0)</f>
        <v>0</v>
      </c>
      <c r="G66" s="41" t="n">
        <f aca="false">IF(AND(D66&gt;0.5,N($C$19)&gt;0,N(B66)&lt;=N($C$20)),D66*$F$8,0)</f>
        <v>0</v>
      </c>
      <c r="H66" s="41" t="n">
        <f aca="false">IF(D66&lt;=0.5,0,MIN(IF(N(I66)&gt;0,I66,$F$9),D66+E66+F66))</f>
        <v>0</v>
      </c>
      <c r="I66" s="77"/>
      <c r="J66" s="77"/>
      <c r="K66" s="41" t="n">
        <f aca="false">IF(D66&lt;=0.5,0,MIN(H66+N(J66),D66+E66+F66))</f>
        <v>0</v>
      </c>
      <c r="L66" s="41" t="n">
        <f aca="false">K66-E66-F66</f>
        <v>0</v>
      </c>
      <c r="M66" s="41" t="n">
        <f aca="false">D66-L66</f>
        <v>0</v>
      </c>
      <c r="N66" s="42" t="n">
        <f aca="false">K66-G66</f>
        <v>0</v>
      </c>
      <c r="O66" s="78"/>
      <c r="P66" s="79"/>
      <c r="Q66" s="16" t="str">
        <f aca="false">IF(K66=0,"",IF(R66=1,"Pagada",IF(C66&lt;$F$12,"Vencida",IF(40=$F$13,"Próxima","Pendiente"))))</f>
        <v/>
      </c>
      <c r="R66" s="62" t="n">
        <f aca="false">IF(AND(K66&gt;0,OR(O66="Sí",O66="Si")),1,0)</f>
        <v>0</v>
      </c>
      <c r="S66" s="62" t="n">
        <f aca="false">IF(AND(K66&gt;0,R66=0),1,0)</f>
        <v>0</v>
      </c>
    </row>
    <row r="67" customFormat="false" ht="15" hidden="false" customHeight="false" outlineLevel="0" collapsed="false">
      <c r="B67" s="71" t="str">
        <f aca="false">IF($F$6="Sí",N($C$11)+40,"")</f>
        <v/>
      </c>
      <c r="C67" s="72" t="str">
        <f aca="false">IF(OR($F$6&lt;&gt;"Sí",D67&lt;=0.5),"",EDATE($C$10,40))</f>
        <v/>
      </c>
      <c r="D67" s="41" t="n">
        <f aca="false">MAX(0,M66)</f>
        <v>0</v>
      </c>
      <c r="E67" s="41" t="n">
        <f aca="false">D67*$F$7</f>
        <v>0</v>
      </c>
      <c r="F67" s="41" t="n">
        <f aca="false">IF(D67&gt;0.5,N($C$15),0)</f>
        <v>0</v>
      </c>
      <c r="G67" s="41" t="n">
        <f aca="false">IF(AND(D67&gt;0.5,N($C$19)&gt;0,N(B67)&lt;=N($C$20)),D67*$F$8,0)</f>
        <v>0</v>
      </c>
      <c r="H67" s="41" t="n">
        <f aca="false">IF(D67&lt;=0.5,0,MIN(IF(N(I67)&gt;0,I67,$F$9),D67+E67+F67))</f>
        <v>0</v>
      </c>
      <c r="I67" s="77"/>
      <c r="J67" s="77"/>
      <c r="K67" s="41" t="n">
        <f aca="false">IF(D67&lt;=0.5,0,MIN(H67+N(J67),D67+E67+F67))</f>
        <v>0</v>
      </c>
      <c r="L67" s="41" t="n">
        <f aca="false">K67-E67-F67</f>
        <v>0</v>
      </c>
      <c r="M67" s="41" t="n">
        <f aca="false">D67-L67</f>
        <v>0</v>
      </c>
      <c r="N67" s="42" t="n">
        <f aca="false">K67-G67</f>
        <v>0</v>
      </c>
      <c r="O67" s="78"/>
      <c r="P67" s="79"/>
      <c r="Q67" s="16" t="str">
        <f aca="false">IF(K67=0,"",IF(R67=1,"Pagada",IF(C67&lt;$F$12,"Vencida",IF(41=$F$13,"Próxima","Pendiente"))))</f>
        <v/>
      </c>
      <c r="R67" s="62" t="n">
        <f aca="false">IF(AND(K67&gt;0,OR(O67="Sí",O67="Si")),1,0)</f>
        <v>0</v>
      </c>
      <c r="S67" s="62" t="n">
        <f aca="false">IF(AND(K67&gt;0,R67=0),1,0)</f>
        <v>0</v>
      </c>
    </row>
    <row r="68" customFormat="false" ht="15" hidden="false" customHeight="false" outlineLevel="0" collapsed="false">
      <c r="B68" s="71" t="str">
        <f aca="false">IF($F$6="Sí",N($C$11)+41,"")</f>
        <v/>
      </c>
      <c r="C68" s="72" t="str">
        <f aca="false">IF(OR($F$6&lt;&gt;"Sí",D68&lt;=0.5),"",EDATE($C$10,41))</f>
        <v/>
      </c>
      <c r="D68" s="41" t="n">
        <f aca="false">MAX(0,M67)</f>
        <v>0</v>
      </c>
      <c r="E68" s="41" t="n">
        <f aca="false">D68*$F$7</f>
        <v>0</v>
      </c>
      <c r="F68" s="41" t="n">
        <f aca="false">IF(D68&gt;0.5,N($C$15),0)</f>
        <v>0</v>
      </c>
      <c r="G68" s="41" t="n">
        <f aca="false">IF(AND(D68&gt;0.5,N($C$19)&gt;0,N(B68)&lt;=N($C$20)),D68*$F$8,0)</f>
        <v>0</v>
      </c>
      <c r="H68" s="41" t="n">
        <f aca="false">IF(D68&lt;=0.5,0,MIN(IF(N(I68)&gt;0,I68,$F$9),D68+E68+F68))</f>
        <v>0</v>
      </c>
      <c r="I68" s="77"/>
      <c r="J68" s="77"/>
      <c r="K68" s="41" t="n">
        <f aca="false">IF(D68&lt;=0.5,0,MIN(H68+N(J68),D68+E68+F68))</f>
        <v>0</v>
      </c>
      <c r="L68" s="41" t="n">
        <f aca="false">K68-E68-F68</f>
        <v>0</v>
      </c>
      <c r="M68" s="41" t="n">
        <f aca="false">D68-L68</f>
        <v>0</v>
      </c>
      <c r="N68" s="42" t="n">
        <f aca="false">K68-G68</f>
        <v>0</v>
      </c>
      <c r="O68" s="78"/>
      <c r="P68" s="79"/>
      <c r="Q68" s="16" t="str">
        <f aca="false">IF(K68=0,"",IF(R68=1,"Pagada",IF(C68&lt;$F$12,"Vencida",IF(42=$F$13,"Próxima","Pendiente"))))</f>
        <v/>
      </c>
      <c r="R68" s="62" t="n">
        <f aca="false">IF(AND(K68&gt;0,OR(O68="Sí",O68="Si")),1,0)</f>
        <v>0</v>
      </c>
      <c r="S68" s="62" t="n">
        <f aca="false">IF(AND(K68&gt;0,R68=0),1,0)</f>
        <v>0</v>
      </c>
    </row>
    <row r="69" customFormat="false" ht="15" hidden="false" customHeight="false" outlineLevel="0" collapsed="false">
      <c r="B69" s="71" t="str">
        <f aca="false">IF($F$6="Sí",N($C$11)+42,"")</f>
        <v/>
      </c>
      <c r="C69" s="72" t="str">
        <f aca="false">IF(OR($F$6&lt;&gt;"Sí",D69&lt;=0.5),"",EDATE($C$10,42))</f>
        <v/>
      </c>
      <c r="D69" s="41" t="n">
        <f aca="false">MAX(0,M68)</f>
        <v>0</v>
      </c>
      <c r="E69" s="41" t="n">
        <f aca="false">D69*$F$7</f>
        <v>0</v>
      </c>
      <c r="F69" s="41" t="n">
        <f aca="false">IF(D69&gt;0.5,N($C$15),0)</f>
        <v>0</v>
      </c>
      <c r="G69" s="41" t="n">
        <f aca="false">IF(AND(D69&gt;0.5,N($C$19)&gt;0,N(B69)&lt;=N($C$20)),D69*$F$8,0)</f>
        <v>0</v>
      </c>
      <c r="H69" s="41" t="n">
        <f aca="false">IF(D69&lt;=0.5,0,MIN(IF(N(I69)&gt;0,I69,$F$9),D69+E69+F69))</f>
        <v>0</v>
      </c>
      <c r="I69" s="77"/>
      <c r="J69" s="77"/>
      <c r="K69" s="41" t="n">
        <f aca="false">IF(D69&lt;=0.5,0,MIN(H69+N(J69),D69+E69+F69))</f>
        <v>0</v>
      </c>
      <c r="L69" s="41" t="n">
        <f aca="false">K69-E69-F69</f>
        <v>0</v>
      </c>
      <c r="M69" s="41" t="n">
        <f aca="false">D69-L69</f>
        <v>0</v>
      </c>
      <c r="N69" s="42" t="n">
        <f aca="false">K69-G69</f>
        <v>0</v>
      </c>
      <c r="O69" s="78"/>
      <c r="P69" s="79"/>
      <c r="Q69" s="16" t="str">
        <f aca="false">IF(K69=0,"",IF(R69=1,"Pagada",IF(C69&lt;$F$12,"Vencida",IF(43=$F$13,"Próxima","Pendiente"))))</f>
        <v/>
      </c>
      <c r="R69" s="62" t="n">
        <f aca="false">IF(AND(K69&gt;0,OR(O69="Sí",O69="Si")),1,0)</f>
        <v>0</v>
      </c>
      <c r="S69" s="62" t="n">
        <f aca="false">IF(AND(K69&gt;0,R69=0),1,0)</f>
        <v>0</v>
      </c>
    </row>
    <row r="70" customFormat="false" ht="15" hidden="false" customHeight="false" outlineLevel="0" collapsed="false">
      <c r="B70" s="71" t="str">
        <f aca="false">IF($F$6="Sí",N($C$11)+43,"")</f>
        <v/>
      </c>
      <c r="C70" s="72" t="str">
        <f aca="false">IF(OR($F$6&lt;&gt;"Sí",D70&lt;=0.5),"",EDATE($C$10,43))</f>
        <v/>
      </c>
      <c r="D70" s="41" t="n">
        <f aca="false">MAX(0,M69)</f>
        <v>0</v>
      </c>
      <c r="E70" s="41" t="n">
        <f aca="false">D70*$F$7</f>
        <v>0</v>
      </c>
      <c r="F70" s="41" t="n">
        <f aca="false">IF(D70&gt;0.5,N($C$15),0)</f>
        <v>0</v>
      </c>
      <c r="G70" s="41" t="n">
        <f aca="false">IF(AND(D70&gt;0.5,N($C$19)&gt;0,N(B70)&lt;=N($C$20)),D70*$F$8,0)</f>
        <v>0</v>
      </c>
      <c r="H70" s="41" t="n">
        <f aca="false">IF(D70&lt;=0.5,0,MIN(IF(N(I70)&gt;0,I70,$F$9),D70+E70+F70))</f>
        <v>0</v>
      </c>
      <c r="I70" s="77"/>
      <c r="J70" s="77"/>
      <c r="K70" s="41" t="n">
        <f aca="false">IF(D70&lt;=0.5,0,MIN(H70+N(J70),D70+E70+F70))</f>
        <v>0</v>
      </c>
      <c r="L70" s="41" t="n">
        <f aca="false">K70-E70-F70</f>
        <v>0</v>
      </c>
      <c r="M70" s="41" t="n">
        <f aca="false">D70-L70</f>
        <v>0</v>
      </c>
      <c r="N70" s="42" t="n">
        <f aca="false">K70-G70</f>
        <v>0</v>
      </c>
      <c r="O70" s="78"/>
      <c r="P70" s="79"/>
      <c r="Q70" s="16" t="str">
        <f aca="false">IF(K70=0,"",IF(R70=1,"Pagada",IF(C70&lt;$F$12,"Vencida",IF(44=$F$13,"Próxima","Pendiente"))))</f>
        <v/>
      </c>
      <c r="R70" s="62" t="n">
        <f aca="false">IF(AND(K70&gt;0,OR(O70="Sí",O70="Si")),1,0)</f>
        <v>0</v>
      </c>
      <c r="S70" s="62" t="n">
        <f aca="false">IF(AND(K70&gt;0,R70=0),1,0)</f>
        <v>0</v>
      </c>
    </row>
    <row r="71" customFormat="false" ht="15" hidden="false" customHeight="false" outlineLevel="0" collapsed="false">
      <c r="B71" s="71" t="str">
        <f aca="false">IF($F$6="Sí",N($C$11)+44,"")</f>
        <v/>
      </c>
      <c r="C71" s="72" t="str">
        <f aca="false">IF(OR($F$6&lt;&gt;"Sí",D71&lt;=0.5),"",EDATE($C$10,44))</f>
        <v/>
      </c>
      <c r="D71" s="41" t="n">
        <f aca="false">MAX(0,M70)</f>
        <v>0</v>
      </c>
      <c r="E71" s="41" t="n">
        <f aca="false">D71*$F$7</f>
        <v>0</v>
      </c>
      <c r="F71" s="41" t="n">
        <f aca="false">IF(D71&gt;0.5,N($C$15),0)</f>
        <v>0</v>
      </c>
      <c r="G71" s="41" t="n">
        <f aca="false">IF(AND(D71&gt;0.5,N($C$19)&gt;0,N(B71)&lt;=N($C$20)),D71*$F$8,0)</f>
        <v>0</v>
      </c>
      <c r="H71" s="41" t="n">
        <f aca="false">IF(D71&lt;=0.5,0,MIN(IF(N(I71)&gt;0,I71,$F$9),D71+E71+F71))</f>
        <v>0</v>
      </c>
      <c r="I71" s="77"/>
      <c r="J71" s="77"/>
      <c r="K71" s="41" t="n">
        <f aca="false">IF(D71&lt;=0.5,0,MIN(H71+N(J71),D71+E71+F71))</f>
        <v>0</v>
      </c>
      <c r="L71" s="41" t="n">
        <f aca="false">K71-E71-F71</f>
        <v>0</v>
      </c>
      <c r="M71" s="41" t="n">
        <f aca="false">D71-L71</f>
        <v>0</v>
      </c>
      <c r="N71" s="42" t="n">
        <f aca="false">K71-G71</f>
        <v>0</v>
      </c>
      <c r="O71" s="78"/>
      <c r="P71" s="79"/>
      <c r="Q71" s="16" t="str">
        <f aca="false">IF(K71=0,"",IF(R71=1,"Pagada",IF(C71&lt;$F$12,"Vencida",IF(45=$F$13,"Próxima","Pendiente"))))</f>
        <v/>
      </c>
      <c r="R71" s="62" t="n">
        <f aca="false">IF(AND(K71&gt;0,OR(O71="Sí",O71="Si")),1,0)</f>
        <v>0</v>
      </c>
      <c r="S71" s="62" t="n">
        <f aca="false">IF(AND(K71&gt;0,R71=0),1,0)</f>
        <v>0</v>
      </c>
    </row>
    <row r="72" customFormat="false" ht="15" hidden="false" customHeight="false" outlineLevel="0" collapsed="false">
      <c r="B72" s="71" t="str">
        <f aca="false">IF($F$6="Sí",N($C$11)+45,"")</f>
        <v/>
      </c>
      <c r="C72" s="72" t="str">
        <f aca="false">IF(OR($F$6&lt;&gt;"Sí",D72&lt;=0.5),"",EDATE($C$10,45))</f>
        <v/>
      </c>
      <c r="D72" s="41" t="n">
        <f aca="false">MAX(0,M71)</f>
        <v>0</v>
      </c>
      <c r="E72" s="41" t="n">
        <f aca="false">D72*$F$7</f>
        <v>0</v>
      </c>
      <c r="F72" s="41" t="n">
        <f aca="false">IF(D72&gt;0.5,N($C$15),0)</f>
        <v>0</v>
      </c>
      <c r="G72" s="41" t="n">
        <f aca="false">IF(AND(D72&gt;0.5,N($C$19)&gt;0,N(B72)&lt;=N($C$20)),D72*$F$8,0)</f>
        <v>0</v>
      </c>
      <c r="H72" s="41" t="n">
        <f aca="false">IF(D72&lt;=0.5,0,MIN(IF(N(I72)&gt;0,I72,$F$9),D72+E72+F72))</f>
        <v>0</v>
      </c>
      <c r="I72" s="77"/>
      <c r="J72" s="77"/>
      <c r="K72" s="41" t="n">
        <f aca="false">IF(D72&lt;=0.5,0,MIN(H72+N(J72),D72+E72+F72))</f>
        <v>0</v>
      </c>
      <c r="L72" s="41" t="n">
        <f aca="false">K72-E72-F72</f>
        <v>0</v>
      </c>
      <c r="M72" s="41" t="n">
        <f aca="false">D72-L72</f>
        <v>0</v>
      </c>
      <c r="N72" s="42" t="n">
        <f aca="false">K72-G72</f>
        <v>0</v>
      </c>
      <c r="O72" s="78"/>
      <c r="P72" s="79"/>
      <c r="Q72" s="16" t="str">
        <f aca="false">IF(K72=0,"",IF(R72=1,"Pagada",IF(C72&lt;$F$12,"Vencida",IF(46=$F$13,"Próxima","Pendiente"))))</f>
        <v/>
      </c>
      <c r="R72" s="62" t="n">
        <f aca="false">IF(AND(K72&gt;0,OR(O72="Sí",O72="Si")),1,0)</f>
        <v>0</v>
      </c>
      <c r="S72" s="62" t="n">
        <f aca="false">IF(AND(K72&gt;0,R72=0),1,0)</f>
        <v>0</v>
      </c>
    </row>
    <row r="73" customFormat="false" ht="15" hidden="false" customHeight="false" outlineLevel="0" collapsed="false">
      <c r="B73" s="71" t="str">
        <f aca="false">IF($F$6="Sí",N($C$11)+46,"")</f>
        <v/>
      </c>
      <c r="C73" s="72" t="str">
        <f aca="false">IF(OR($F$6&lt;&gt;"Sí",D73&lt;=0.5),"",EDATE($C$10,46))</f>
        <v/>
      </c>
      <c r="D73" s="41" t="n">
        <f aca="false">MAX(0,M72)</f>
        <v>0</v>
      </c>
      <c r="E73" s="41" t="n">
        <f aca="false">D73*$F$7</f>
        <v>0</v>
      </c>
      <c r="F73" s="41" t="n">
        <f aca="false">IF(D73&gt;0.5,N($C$15),0)</f>
        <v>0</v>
      </c>
      <c r="G73" s="41" t="n">
        <f aca="false">IF(AND(D73&gt;0.5,N($C$19)&gt;0,N(B73)&lt;=N($C$20)),D73*$F$8,0)</f>
        <v>0</v>
      </c>
      <c r="H73" s="41" t="n">
        <f aca="false">IF(D73&lt;=0.5,0,MIN(IF(N(I73)&gt;0,I73,$F$9),D73+E73+F73))</f>
        <v>0</v>
      </c>
      <c r="I73" s="77"/>
      <c r="J73" s="77"/>
      <c r="K73" s="41" t="n">
        <f aca="false">IF(D73&lt;=0.5,0,MIN(H73+N(J73),D73+E73+F73))</f>
        <v>0</v>
      </c>
      <c r="L73" s="41" t="n">
        <f aca="false">K73-E73-F73</f>
        <v>0</v>
      </c>
      <c r="M73" s="41" t="n">
        <f aca="false">D73-L73</f>
        <v>0</v>
      </c>
      <c r="N73" s="42" t="n">
        <f aca="false">K73-G73</f>
        <v>0</v>
      </c>
      <c r="O73" s="78"/>
      <c r="P73" s="79"/>
      <c r="Q73" s="16" t="str">
        <f aca="false">IF(K73=0,"",IF(R73=1,"Pagada",IF(C73&lt;$F$12,"Vencida",IF(47=$F$13,"Próxima","Pendiente"))))</f>
        <v/>
      </c>
      <c r="R73" s="62" t="n">
        <f aca="false">IF(AND(K73&gt;0,OR(O73="Sí",O73="Si")),1,0)</f>
        <v>0</v>
      </c>
      <c r="S73" s="62" t="n">
        <f aca="false">IF(AND(K73&gt;0,R73=0),1,0)</f>
        <v>0</v>
      </c>
    </row>
    <row r="74" customFormat="false" ht="15" hidden="false" customHeight="false" outlineLevel="0" collapsed="false">
      <c r="B74" s="71" t="str">
        <f aca="false">IF($F$6="Sí",N($C$11)+47,"")</f>
        <v/>
      </c>
      <c r="C74" s="72" t="str">
        <f aca="false">IF(OR($F$6&lt;&gt;"Sí",D74&lt;=0.5),"",EDATE($C$10,47))</f>
        <v/>
      </c>
      <c r="D74" s="41" t="n">
        <f aca="false">MAX(0,M73)</f>
        <v>0</v>
      </c>
      <c r="E74" s="41" t="n">
        <f aca="false">D74*$F$7</f>
        <v>0</v>
      </c>
      <c r="F74" s="41" t="n">
        <f aca="false">IF(D74&gt;0.5,N($C$15),0)</f>
        <v>0</v>
      </c>
      <c r="G74" s="41" t="n">
        <f aca="false">IF(AND(D74&gt;0.5,N($C$19)&gt;0,N(B74)&lt;=N($C$20)),D74*$F$8,0)</f>
        <v>0</v>
      </c>
      <c r="H74" s="41" t="n">
        <f aca="false">IF(D74&lt;=0.5,0,MIN(IF(N(I74)&gt;0,I74,$F$9),D74+E74+F74))</f>
        <v>0</v>
      </c>
      <c r="I74" s="77"/>
      <c r="J74" s="77"/>
      <c r="K74" s="41" t="n">
        <f aca="false">IF(D74&lt;=0.5,0,MIN(H74+N(J74),D74+E74+F74))</f>
        <v>0</v>
      </c>
      <c r="L74" s="41" t="n">
        <f aca="false">K74-E74-F74</f>
        <v>0</v>
      </c>
      <c r="M74" s="41" t="n">
        <f aca="false">D74-L74</f>
        <v>0</v>
      </c>
      <c r="N74" s="42" t="n">
        <f aca="false">K74-G74</f>
        <v>0</v>
      </c>
      <c r="O74" s="78"/>
      <c r="P74" s="79"/>
      <c r="Q74" s="16" t="str">
        <f aca="false">IF(K74=0,"",IF(R74=1,"Pagada",IF(C74&lt;$F$12,"Vencida",IF(48=$F$13,"Próxima","Pendiente"))))</f>
        <v/>
      </c>
      <c r="R74" s="62" t="n">
        <f aca="false">IF(AND(K74&gt;0,OR(O74="Sí",O74="Si")),1,0)</f>
        <v>0</v>
      </c>
      <c r="S74" s="62" t="n">
        <f aca="false">IF(AND(K74&gt;0,R74=0),1,0)</f>
        <v>0</v>
      </c>
    </row>
    <row r="75" customFormat="false" ht="15" hidden="false" customHeight="false" outlineLevel="0" collapsed="false">
      <c r="B75" s="71" t="str">
        <f aca="false">IF($F$6="Sí",N($C$11)+48,"")</f>
        <v/>
      </c>
      <c r="C75" s="72" t="str">
        <f aca="false">IF(OR($F$6&lt;&gt;"Sí",D75&lt;=0.5),"",EDATE($C$10,48))</f>
        <v/>
      </c>
      <c r="D75" s="41" t="n">
        <f aca="false">MAX(0,M74)</f>
        <v>0</v>
      </c>
      <c r="E75" s="41" t="n">
        <f aca="false">D75*$F$7</f>
        <v>0</v>
      </c>
      <c r="F75" s="41" t="n">
        <f aca="false">IF(D75&gt;0.5,N($C$15),0)</f>
        <v>0</v>
      </c>
      <c r="G75" s="41" t="n">
        <f aca="false">IF(AND(D75&gt;0.5,N($C$19)&gt;0,N(B75)&lt;=N($C$20)),D75*$F$8,0)</f>
        <v>0</v>
      </c>
      <c r="H75" s="41" t="n">
        <f aca="false">IF(D75&lt;=0.5,0,MIN(IF(N(I75)&gt;0,I75,$F$9),D75+E75+F75))</f>
        <v>0</v>
      </c>
      <c r="I75" s="77"/>
      <c r="J75" s="77"/>
      <c r="K75" s="41" t="n">
        <f aca="false">IF(D75&lt;=0.5,0,MIN(H75+N(J75),D75+E75+F75))</f>
        <v>0</v>
      </c>
      <c r="L75" s="41" t="n">
        <f aca="false">K75-E75-F75</f>
        <v>0</v>
      </c>
      <c r="M75" s="41" t="n">
        <f aca="false">D75-L75</f>
        <v>0</v>
      </c>
      <c r="N75" s="42" t="n">
        <f aca="false">K75-G75</f>
        <v>0</v>
      </c>
      <c r="O75" s="78"/>
      <c r="P75" s="79"/>
      <c r="Q75" s="16" t="str">
        <f aca="false">IF(K75=0,"",IF(R75=1,"Pagada",IF(C75&lt;$F$12,"Vencida",IF(49=$F$13,"Próxima","Pendiente"))))</f>
        <v/>
      </c>
      <c r="R75" s="62" t="n">
        <f aca="false">IF(AND(K75&gt;0,OR(O75="Sí",O75="Si")),1,0)</f>
        <v>0</v>
      </c>
      <c r="S75" s="62" t="n">
        <f aca="false">IF(AND(K75&gt;0,R75=0),1,0)</f>
        <v>0</v>
      </c>
    </row>
    <row r="76" customFormat="false" ht="15" hidden="false" customHeight="false" outlineLevel="0" collapsed="false">
      <c r="B76" s="71" t="str">
        <f aca="false">IF($F$6="Sí",N($C$11)+49,"")</f>
        <v/>
      </c>
      <c r="C76" s="72" t="str">
        <f aca="false">IF(OR($F$6&lt;&gt;"Sí",D76&lt;=0.5),"",EDATE($C$10,49))</f>
        <v/>
      </c>
      <c r="D76" s="41" t="n">
        <f aca="false">MAX(0,M75)</f>
        <v>0</v>
      </c>
      <c r="E76" s="41" t="n">
        <f aca="false">D76*$F$7</f>
        <v>0</v>
      </c>
      <c r="F76" s="41" t="n">
        <f aca="false">IF(D76&gt;0.5,N($C$15),0)</f>
        <v>0</v>
      </c>
      <c r="G76" s="41" t="n">
        <f aca="false">IF(AND(D76&gt;0.5,N($C$19)&gt;0,N(B76)&lt;=N($C$20)),D76*$F$8,0)</f>
        <v>0</v>
      </c>
      <c r="H76" s="41" t="n">
        <f aca="false">IF(D76&lt;=0.5,0,MIN(IF(N(I76)&gt;0,I76,$F$9),D76+E76+F76))</f>
        <v>0</v>
      </c>
      <c r="I76" s="77"/>
      <c r="J76" s="77"/>
      <c r="K76" s="41" t="n">
        <f aca="false">IF(D76&lt;=0.5,0,MIN(H76+N(J76),D76+E76+F76))</f>
        <v>0</v>
      </c>
      <c r="L76" s="41" t="n">
        <f aca="false">K76-E76-F76</f>
        <v>0</v>
      </c>
      <c r="M76" s="41" t="n">
        <f aca="false">D76-L76</f>
        <v>0</v>
      </c>
      <c r="N76" s="42" t="n">
        <f aca="false">K76-G76</f>
        <v>0</v>
      </c>
      <c r="O76" s="78"/>
      <c r="P76" s="79"/>
      <c r="Q76" s="16" t="str">
        <f aca="false">IF(K76=0,"",IF(R76=1,"Pagada",IF(C76&lt;$F$12,"Vencida",IF(50=$F$13,"Próxima","Pendiente"))))</f>
        <v/>
      </c>
      <c r="R76" s="62" t="n">
        <f aca="false">IF(AND(K76&gt;0,OR(O76="Sí",O76="Si")),1,0)</f>
        <v>0</v>
      </c>
      <c r="S76" s="62" t="n">
        <f aca="false">IF(AND(K76&gt;0,R76=0),1,0)</f>
        <v>0</v>
      </c>
    </row>
    <row r="77" customFormat="false" ht="15" hidden="false" customHeight="false" outlineLevel="0" collapsed="false">
      <c r="B77" s="71" t="str">
        <f aca="false">IF($F$6="Sí",N($C$11)+50,"")</f>
        <v/>
      </c>
      <c r="C77" s="72" t="str">
        <f aca="false">IF(OR($F$6&lt;&gt;"Sí",D77&lt;=0.5),"",EDATE($C$10,50))</f>
        <v/>
      </c>
      <c r="D77" s="41" t="n">
        <f aca="false">MAX(0,M76)</f>
        <v>0</v>
      </c>
      <c r="E77" s="41" t="n">
        <f aca="false">D77*$F$7</f>
        <v>0</v>
      </c>
      <c r="F77" s="41" t="n">
        <f aca="false">IF(D77&gt;0.5,N($C$15),0)</f>
        <v>0</v>
      </c>
      <c r="G77" s="41" t="n">
        <f aca="false">IF(AND(D77&gt;0.5,N($C$19)&gt;0,N(B77)&lt;=N($C$20)),D77*$F$8,0)</f>
        <v>0</v>
      </c>
      <c r="H77" s="41" t="n">
        <f aca="false">IF(D77&lt;=0.5,0,MIN(IF(N(I77)&gt;0,I77,$F$9),D77+E77+F77))</f>
        <v>0</v>
      </c>
      <c r="I77" s="77"/>
      <c r="J77" s="77"/>
      <c r="K77" s="41" t="n">
        <f aca="false">IF(D77&lt;=0.5,0,MIN(H77+N(J77),D77+E77+F77))</f>
        <v>0</v>
      </c>
      <c r="L77" s="41" t="n">
        <f aca="false">K77-E77-F77</f>
        <v>0</v>
      </c>
      <c r="M77" s="41" t="n">
        <f aca="false">D77-L77</f>
        <v>0</v>
      </c>
      <c r="N77" s="42" t="n">
        <f aca="false">K77-G77</f>
        <v>0</v>
      </c>
      <c r="O77" s="78"/>
      <c r="P77" s="79"/>
      <c r="Q77" s="16" t="str">
        <f aca="false">IF(K77=0,"",IF(R77=1,"Pagada",IF(C77&lt;$F$12,"Vencida",IF(51=$F$13,"Próxima","Pendiente"))))</f>
        <v/>
      </c>
      <c r="R77" s="62" t="n">
        <f aca="false">IF(AND(K77&gt;0,OR(O77="Sí",O77="Si")),1,0)</f>
        <v>0</v>
      </c>
      <c r="S77" s="62" t="n">
        <f aca="false">IF(AND(K77&gt;0,R77=0),1,0)</f>
        <v>0</v>
      </c>
    </row>
    <row r="78" customFormat="false" ht="15" hidden="false" customHeight="false" outlineLevel="0" collapsed="false">
      <c r="B78" s="71" t="str">
        <f aca="false">IF($F$6="Sí",N($C$11)+51,"")</f>
        <v/>
      </c>
      <c r="C78" s="72" t="str">
        <f aca="false">IF(OR($F$6&lt;&gt;"Sí",D78&lt;=0.5),"",EDATE($C$10,51))</f>
        <v/>
      </c>
      <c r="D78" s="41" t="n">
        <f aca="false">MAX(0,M77)</f>
        <v>0</v>
      </c>
      <c r="E78" s="41" t="n">
        <f aca="false">D78*$F$7</f>
        <v>0</v>
      </c>
      <c r="F78" s="41" t="n">
        <f aca="false">IF(D78&gt;0.5,N($C$15),0)</f>
        <v>0</v>
      </c>
      <c r="G78" s="41" t="n">
        <f aca="false">IF(AND(D78&gt;0.5,N($C$19)&gt;0,N(B78)&lt;=N($C$20)),D78*$F$8,0)</f>
        <v>0</v>
      </c>
      <c r="H78" s="41" t="n">
        <f aca="false">IF(D78&lt;=0.5,0,MIN(IF(N(I78)&gt;0,I78,$F$9),D78+E78+F78))</f>
        <v>0</v>
      </c>
      <c r="I78" s="77"/>
      <c r="J78" s="77"/>
      <c r="K78" s="41" t="n">
        <f aca="false">IF(D78&lt;=0.5,0,MIN(H78+N(J78),D78+E78+F78))</f>
        <v>0</v>
      </c>
      <c r="L78" s="41" t="n">
        <f aca="false">K78-E78-F78</f>
        <v>0</v>
      </c>
      <c r="M78" s="41" t="n">
        <f aca="false">D78-L78</f>
        <v>0</v>
      </c>
      <c r="N78" s="42" t="n">
        <f aca="false">K78-G78</f>
        <v>0</v>
      </c>
      <c r="O78" s="78"/>
      <c r="P78" s="79"/>
      <c r="Q78" s="16" t="str">
        <f aca="false">IF(K78=0,"",IF(R78=1,"Pagada",IF(C78&lt;$F$12,"Vencida",IF(52=$F$13,"Próxima","Pendiente"))))</f>
        <v/>
      </c>
      <c r="R78" s="62" t="n">
        <f aca="false">IF(AND(K78&gt;0,OR(O78="Sí",O78="Si")),1,0)</f>
        <v>0</v>
      </c>
      <c r="S78" s="62" t="n">
        <f aca="false">IF(AND(K78&gt;0,R78=0),1,0)</f>
        <v>0</v>
      </c>
    </row>
    <row r="79" customFormat="false" ht="15" hidden="false" customHeight="false" outlineLevel="0" collapsed="false">
      <c r="B79" s="71" t="str">
        <f aca="false">IF($F$6="Sí",N($C$11)+52,"")</f>
        <v/>
      </c>
      <c r="C79" s="72" t="str">
        <f aca="false">IF(OR($F$6&lt;&gt;"Sí",D79&lt;=0.5),"",EDATE($C$10,52))</f>
        <v/>
      </c>
      <c r="D79" s="41" t="n">
        <f aca="false">MAX(0,M78)</f>
        <v>0</v>
      </c>
      <c r="E79" s="41" t="n">
        <f aca="false">D79*$F$7</f>
        <v>0</v>
      </c>
      <c r="F79" s="41" t="n">
        <f aca="false">IF(D79&gt;0.5,N($C$15),0)</f>
        <v>0</v>
      </c>
      <c r="G79" s="41" t="n">
        <f aca="false">IF(AND(D79&gt;0.5,N($C$19)&gt;0,N(B79)&lt;=N($C$20)),D79*$F$8,0)</f>
        <v>0</v>
      </c>
      <c r="H79" s="41" t="n">
        <f aca="false">IF(D79&lt;=0.5,0,MIN(IF(N(I79)&gt;0,I79,$F$9),D79+E79+F79))</f>
        <v>0</v>
      </c>
      <c r="I79" s="77"/>
      <c r="J79" s="77"/>
      <c r="K79" s="41" t="n">
        <f aca="false">IF(D79&lt;=0.5,0,MIN(H79+N(J79),D79+E79+F79))</f>
        <v>0</v>
      </c>
      <c r="L79" s="41" t="n">
        <f aca="false">K79-E79-F79</f>
        <v>0</v>
      </c>
      <c r="M79" s="41" t="n">
        <f aca="false">D79-L79</f>
        <v>0</v>
      </c>
      <c r="N79" s="42" t="n">
        <f aca="false">K79-G79</f>
        <v>0</v>
      </c>
      <c r="O79" s="78"/>
      <c r="P79" s="79"/>
      <c r="Q79" s="16" t="str">
        <f aca="false">IF(K79=0,"",IF(R79=1,"Pagada",IF(C79&lt;$F$12,"Vencida",IF(53=$F$13,"Próxima","Pendiente"))))</f>
        <v/>
      </c>
      <c r="R79" s="62" t="n">
        <f aca="false">IF(AND(K79&gt;0,OR(O79="Sí",O79="Si")),1,0)</f>
        <v>0</v>
      </c>
      <c r="S79" s="62" t="n">
        <f aca="false">IF(AND(K79&gt;0,R79=0),1,0)</f>
        <v>0</v>
      </c>
    </row>
    <row r="80" customFormat="false" ht="15" hidden="false" customHeight="false" outlineLevel="0" collapsed="false">
      <c r="B80" s="71" t="str">
        <f aca="false">IF($F$6="Sí",N($C$11)+53,"")</f>
        <v/>
      </c>
      <c r="C80" s="72" t="str">
        <f aca="false">IF(OR($F$6&lt;&gt;"Sí",D80&lt;=0.5),"",EDATE($C$10,53))</f>
        <v/>
      </c>
      <c r="D80" s="41" t="n">
        <f aca="false">MAX(0,M79)</f>
        <v>0</v>
      </c>
      <c r="E80" s="41" t="n">
        <f aca="false">D80*$F$7</f>
        <v>0</v>
      </c>
      <c r="F80" s="41" t="n">
        <f aca="false">IF(D80&gt;0.5,N($C$15),0)</f>
        <v>0</v>
      </c>
      <c r="G80" s="41" t="n">
        <f aca="false">IF(AND(D80&gt;0.5,N($C$19)&gt;0,N(B80)&lt;=N($C$20)),D80*$F$8,0)</f>
        <v>0</v>
      </c>
      <c r="H80" s="41" t="n">
        <f aca="false">IF(D80&lt;=0.5,0,MIN(IF(N(I80)&gt;0,I80,$F$9),D80+E80+F80))</f>
        <v>0</v>
      </c>
      <c r="I80" s="77"/>
      <c r="J80" s="77"/>
      <c r="K80" s="41" t="n">
        <f aca="false">IF(D80&lt;=0.5,0,MIN(H80+N(J80),D80+E80+F80))</f>
        <v>0</v>
      </c>
      <c r="L80" s="41" t="n">
        <f aca="false">K80-E80-F80</f>
        <v>0</v>
      </c>
      <c r="M80" s="41" t="n">
        <f aca="false">D80-L80</f>
        <v>0</v>
      </c>
      <c r="N80" s="42" t="n">
        <f aca="false">K80-G80</f>
        <v>0</v>
      </c>
      <c r="O80" s="78"/>
      <c r="P80" s="79"/>
      <c r="Q80" s="16" t="str">
        <f aca="false">IF(K80=0,"",IF(R80=1,"Pagada",IF(C80&lt;$F$12,"Vencida",IF(54=$F$13,"Próxima","Pendiente"))))</f>
        <v/>
      </c>
      <c r="R80" s="62" t="n">
        <f aca="false">IF(AND(K80&gt;0,OR(O80="Sí",O80="Si")),1,0)</f>
        <v>0</v>
      </c>
      <c r="S80" s="62" t="n">
        <f aca="false">IF(AND(K80&gt;0,R80=0),1,0)</f>
        <v>0</v>
      </c>
    </row>
    <row r="81" customFormat="false" ht="15" hidden="false" customHeight="false" outlineLevel="0" collapsed="false">
      <c r="B81" s="71" t="str">
        <f aca="false">IF($F$6="Sí",N($C$11)+54,"")</f>
        <v/>
      </c>
      <c r="C81" s="72" t="str">
        <f aca="false">IF(OR($F$6&lt;&gt;"Sí",D81&lt;=0.5),"",EDATE($C$10,54))</f>
        <v/>
      </c>
      <c r="D81" s="41" t="n">
        <f aca="false">MAX(0,M80)</f>
        <v>0</v>
      </c>
      <c r="E81" s="41" t="n">
        <f aca="false">D81*$F$7</f>
        <v>0</v>
      </c>
      <c r="F81" s="41" t="n">
        <f aca="false">IF(D81&gt;0.5,N($C$15),0)</f>
        <v>0</v>
      </c>
      <c r="G81" s="41" t="n">
        <f aca="false">IF(AND(D81&gt;0.5,N($C$19)&gt;0,N(B81)&lt;=N($C$20)),D81*$F$8,0)</f>
        <v>0</v>
      </c>
      <c r="H81" s="41" t="n">
        <f aca="false">IF(D81&lt;=0.5,0,MIN(IF(N(I81)&gt;0,I81,$F$9),D81+E81+F81))</f>
        <v>0</v>
      </c>
      <c r="I81" s="77"/>
      <c r="J81" s="77"/>
      <c r="K81" s="41" t="n">
        <f aca="false">IF(D81&lt;=0.5,0,MIN(H81+N(J81),D81+E81+F81))</f>
        <v>0</v>
      </c>
      <c r="L81" s="41" t="n">
        <f aca="false">K81-E81-F81</f>
        <v>0</v>
      </c>
      <c r="M81" s="41" t="n">
        <f aca="false">D81-L81</f>
        <v>0</v>
      </c>
      <c r="N81" s="42" t="n">
        <f aca="false">K81-G81</f>
        <v>0</v>
      </c>
      <c r="O81" s="78"/>
      <c r="P81" s="79"/>
      <c r="Q81" s="16" t="str">
        <f aca="false">IF(K81=0,"",IF(R81=1,"Pagada",IF(C81&lt;$F$12,"Vencida",IF(55=$F$13,"Próxima","Pendiente"))))</f>
        <v/>
      </c>
      <c r="R81" s="62" t="n">
        <f aca="false">IF(AND(K81&gt;0,OR(O81="Sí",O81="Si")),1,0)</f>
        <v>0</v>
      </c>
      <c r="S81" s="62" t="n">
        <f aca="false">IF(AND(K81&gt;0,R81=0),1,0)</f>
        <v>0</v>
      </c>
    </row>
    <row r="82" customFormat="false" ht="15" hidden="false" customHeight="false" outlineLevel="0" collapsed="false">
      <c r="B82" s="71" t="str">
        <f aca="false">IF($F$6="Sí",N($C$11)+55,"")</f>
        <v/>
      </c>
      <c r="C82" s="72" t="str">
        <f aca="false">IF(OR($F$6&lt;&gt;"Sí",D82&lt;=0.5),"",EDATE($C$10,55))</f>
        <v/>
      </c>
      <c r="D82" s="41" t="n">
        <f aca="false">MAX(0,M81)</f>
        <v>0</v>
      </c>
      <c r="E82" s="41" t="n">
        <f aca="false">D82*$F$7</f>
        <v>0</v>
      </c>
      <c r="F82" s="41" t="n">
        <f aca="false">IF(D82&gt;0.5,N($C$15),0)</f>
        <v>0</v>
      </c>
      <c r="G82" s="41" t="n">
        <f aca="false">IF(AND(D82&gt;0.5,N($C$19)&gt;0,N(B82)&lt;=N($C$20)),D82*$F$8,0)</f>
        <v>0</v>
      </c>
      <c r="H82" s="41" t="n">
        <f aca="false">IF(D82&lt;=0.5,0,MIN(IF(N(I82)&gt;0,I82,$F$9),D82+E82+F82))</f>
        <v>0</v>
      </c>
      <c r="I82" s="77"/>
      <c r="J82" s="77"/>
      <c r="K82" s="41" t="n">
        <f aca="false">IF(D82&lt;=0.5,0,MIN(H82+N(J82),D82+E82+F82))</f>
        <v>0</v>
      </c>
      <c r="L82" s="41" t="n">
        <f aca="false">K82-E82-F82</f>
        <v>0</v>
      </c>
      <c r="M82" s="41" t="n">
        <f aca="false">D82-L82</f>
        <v>0</v>
      </c>
      <c r="N82" s="42" t="n">
        <f aca="false">K82-G82</f>
        <v>0</v>
      </c>
      <c r="O82" s="78"/>
      <c r="P82" s="79"/>
      <c r="Q82" s="16" t="str">
        <f aca="false">IF(K82=0,"",IF(R82=1,"Pagada",IF(C82&lt;$F$12,"Vencida",IF(56=$F$13,"Próxima","Pendiente"))))</f>
        <v/>
      </c>
      <c r="R82" s="62" t="n">
        <f aca="false">IF(AND(K82&gt;0,OR(O82="Sí",O82="Si")),1,0)</f>
        <v>0</v>
      </c>
      <c r="S82" s="62" t="n">
        <f aca="false">IF(AND(K82&gt;0,R82=0),1,0)</f>
        <v>0</v>
      </c>
    </row>
    <row r="83" customFormat="false" ht="15" hidden="false" customHeight="false" outlineLevel="0" collapsed="false">
      <c r="B83" s="71" t="str">
        <f aca="false">IF($F$6="Sí",N($C$11)+56,"")</f>
        <v/>
      </c>
      <c r="C83" s="72" t="str">
        <f aca="false">IF(OR($F$6&lt;&gt;"Sí",D83&lt;=0.5),"",EDATE($C$10,56))</f>
        <v/>
      </c>
      <c r="D83" s="41" t="n">
        <f aca="false">MAX(0,M82)</f>
        <v>0</v>
      </c>
      <c r="E83" s="41" t="n">
        <f aca="false">D83*$F$7</f>
        <v>0</v>
      </c>
      <c r="F83" s="41" t="n">
        <f aca="false">IF(D83&gt;0.5,N($C$15),0)</f>
        <v>0</v>
      </c>
      <c r="G83" s="41" t="n">
        <f aca="false">IF(AND(D83&gt;0.5,N($C$19)&gt;0,N(B83)&lt;=N($C$20)),D83*$F$8,0)</f>
        <v>0</v>
      </c>
      <c r="H83" s="41" t="n">
        <f aca="false">IF(D83&lt;=0.5,0,MIN(IF(N(I83)&gt;0,I83,$F$9),D83+E83+F83))</f>
        <v>0</v>
      </c>
      <c r="I83" s="77"/>
      <c r="J83" s="77"/>
      <c r="K83" s="41" t="n">
        <f aca="false">IF(D83&lt;=0.5,0,MIN(H83+N(J83),D83+E83+F83))</f>
        <v>0</v>
      </c>
      <c r="L83" s="41" t="n">
        <f aca="false">K83-E83-F83</f>
        <v>0</v>
      </c>
      <c r="M83" s="41" t="n">
        <f aca="false">D83-L83</f>
        <v>0</v>
      </c>
      <c r="N83" s="42" t="n">
        <f aca="false">K83-G83</f>
        <v>0</v>
      </c>
      <c r="O83" s="78"/>
      <c r="P83" s="79"/>
      <c r="Q83" s="16" t="str">
        <f aca="false">IF(K83=0,"",IF(R83=1,"Pagada",IF(C83&lt;$F$12,"Vencida",IF(57=$F$13,"Próxima","Pendiente"))))</f>
        <v/>
      </c>
      <c r="R83" s="62" t="n">
        <f aca="false">IF(AND(K83&gt;0,OR(O83="Sí",O83="Si")),1,0)</f>
        <v>0</v>
      </c>
      <c r="S83" s="62" t="n">
        <f aca="false">IF(AND(K83&gt;0,R83=0),1,0)</f>
        <v>0</v>
      </c>
    </row>
    <row r="84" customFormat="false" ht="15" hidden="false" customHeight="false" outlineLevel="0" collapsed="false">
      <c r="B84" s="71" t="str">
        <f aca="false">IF($F$6="Sí",N($C$11)+57,"")</f>
        <v/>
      </c>
      <c r="C84" s="72" t="str">
        <f aca="false">IF(OR($F$6&lt;&gt;"Sí",D84&lt;=0.5),"",EDATE($C$10,57))</f>
        <v/>
      </c>
      <c r="D84" s="41" t="n">
        <f aca="false">MAX(0,M83)</f>
        <v>0</v>
      </c>
      <c r="E84" s="41" t="n">
        <f aca="false">D84*$F$7</f>
        <v>0</v>
      </c>
      <c r="F84" s="41" t="n">
        <f aca="false">IF(D84&gt;0.5,N($C$15),0)</f>
        <v>0</v>
      </c>
      <c r="G84" s="41" t="n">
        <f aca="false">IF(AND(D84&gt;0.5,N($C$19)&gt;0,N(B84)&lt;=N($C$20)),D84*$F$8,0)</f>
        <v>0</v>
      </c>
      <c r="H84" s="41" t="n">
        <f aca="false">IF(D84&lt;=0.5,0,MIN(IF(N(I84)&gt;0,I84,$F$9),D84+E84+F84))</f>
        <v>0</v>
      </c>
      <c r="I84" s="77"/>
      <c r="J84" s="77"/>
      <c r="K84" s="41" t="n">
        <f aca="false">IF(D84&lt;=0.5,0,MIN(H84+N(J84),D84+E84+F84))</f>
        <v>0</v>
      </c>
      <c r="L84" s="41" t="n">
        <f aca="false">K84-E84-F84</f>
        <v>0</v>
      </c>
      <c r="M84" s="41" t="n">
        <f aca="false">D84-L84</f>
        <v>0</v>
      </c>
      <c r="N84" s="42" t="n">
        <f aca="false">K84-G84</f>
        <v>0</v>
      </c>
      <c r="O84" s="78"/>
      <c r="P84" s="79"/>
      <c r="Q84" s="16" t="str">
        <f aca="false">IF(K84=0,"",IF(R84=1,"Pagada",IF(C84&lt;$F$12,"Vencida",IF(58=$F$13,"Próxima","Pendiente"))))</f>
        <v/>
      </c>
      <c r="R84" s="62" t="n">
        <f aca="false">IF(AND(K84&gt;0,OR(O84="Sí",O84="Si")),1,0)</f>
        <v>0</v>
      </c>
      <c r="S84" s="62" t="n">
        <f aca="false">IF(AND(K84&gt;0,R84=0),1,0)</f>
        <v>0</v>
      </c>
    </row>
    <row r="85" customFormat="false" ht="15" hidden="false" customHeight="false" outlineLevel="0" collapsed="false">
      <c r="B85" s="71" t="str">
        <f aca="false">IF($F$6="Sí",N($C$11)+58,"")</f>
        <v/>
      </c>
      <c r="C85" s="72" t="str">
        <f aca="false">IF(OR($F$6&lt;&gt;"Sí",D85&lt;=0.5),"",EDATE($C$10,58))</f>
        <v/>
      </c>
      <c r="D85" s="41" t="n">
        <f aca="false">MAX(0,M84)</f>
        <v>0</v>
      </c>
      <c r="E85" s="41" t="n">
        <f aca="false">D85*$F$7</f>
        <v>0</v>
      </c>
      <c r="F85" s="41" t="n">
        <f aca="false">IF(D85&gt;0.5,N($C$15),0)</f>
        <v>0</v>
      </c>
      <c r="G85" s="41" t="n">
        <f aca="false">IF(AND(D85&gt;0.5,N($C$19)&gt;0,N(B85)&lt;=N($C$20)),D85*$F$8,0)</f>
        <v>0</v>
      </c>
      <c r="H85" s="41" t="n">
        <f aca="false">IF(D85&lt;=0.5,0,MIN(IF(N(I85)&gt;0,I85,$F$9),D85+E85+F85))</f>
        <v>0</v>
      </c>
      <c r="I85" s="77"/>
      <c r="J85" s="77"/>
      <c r="K85" s="41" t="n">
        <f aca="false">IF(D85&lt;=0.5,0,MIN(H85+N(J85),D85+E85+F85))</f>
        <v>0</v>
      </c>
      <c r="L85" s="41" t="n">
        <f aca="false">K85-E85-F85</f>
        <v>0</v>
      </c>
      <c r="M85" s="41" t="n">
        <f aca="false">D85-L85</f>
        <v>0</v>
      </c>
      <c r="N85" s="42" t="n">
        <f aca="false">K85-G85</f>
        <v>0</v>
      </c>
      <c r="O85" s="78"/>
      <c r="P85" s="79"/>
      <c r="Q85" s="16" t="str">
        <f aca="false">IF(K85=0,"",IF(R85=1,"Pagada",IF(C85&lt;$F$12,"Vencida",IF(59=$F$13,"Próxima","Pendiente"))))</f>
        <v/>
      </c>
      <c r="R85" s="62" t="n">
        <f aca="false">IF(AND(K85&gt;0,OR(O85="Sí",O85="Si")),1,0)</f>
        <v>0</v>
      </c>
      <c r="S85" s="62" t="n">
        <f aca="false">IF(AND(K85&gt;0,R85=0),1,0)</f>
        <v>0</v>
      </c>
    </row>
    <row r="86" customFormat="false" ht="15" hidden="false" customHeight="false" outlineLevel="0" collapsed="false">
      <c r="B86" s="71" t="str">
        <f aca="false">IF($F$6="Sí",N($C$11)+59,"")</f>
        <v/>
      </c>
      <c r="C86" s="72" t="str">
        <f aca="false">IF(OR($F$6&lt;&gt;"Sí",D86&lt;=0.5),"",EDATE($C$10,59))</f>
        <v/>
      </c>
      <c r="D86" s="41" t="n">
        <f aca="false">MAX(0,M85)</f>
        <v>0</v>
      </c>
      <c r="E86" s="41" t="n">
        <f aca="false">D86*$F$7</f>
        <v>0</v>
      </c>
      <c r="F86" s="41" t="n">
        <f aca="false">IF(D86&gt;0.5,N($C$15),0)</f>
        <v>0</v>
      </c>
      <c r="G86" s="41" t="n">
        <f aca="false">IF(AND(D86&gt;0.5,N($C$19)&gt;0,N(B86)&lt;=N($C$20)),D86*$F$8,0)</f>
        <v>0</v>
      </c>
      <c r="H86" s="41" t="n">
        <f aca="false">IF(D86&lt;=0.5,0,MIN(IF(N(I86)&gt;0,I86,$F$9),D86+E86+F86))</f>
        <v>0</v>
      </c>
      <c r="I86" s="77"/>
      <c r="J86" s="77"/>
      <c r="K86" s="41" t="n">
        <f aca="false">IF(D86&lt;=0.5,0,MIN(H86+N(J86),D86+E86+F86))</f>
        <v>0</v>
      </c>
      <c r="L86" s="41" t="n">
        <f aca="false">K86-E86-F86</f>
        <v>0</v>
      </c>
      <c r="M86" s="41" t="n">
        <f aca="false">D86-L86</f>
        <v>0</v>
      </c>
      <c r="N86" s="42" t="n">
        <f aca="false">K86-G86</f>
        <v>0</v>
      </c>
      <c r="O86" s="78"/>
      <c r="P86" s="79"/>
      <c r="Q86" s="16" t="str">
        <f aca="false">IF(K86=0,"",IF(R86=1,"Pagada",IF(C86&lt;$F$12,"Vencida",IF(60=$F$13,"Próxima","Pendiente"))))</f>
        <v/>
      </c>
      <c r="R86" s="62" t="n">
        <f aca="false">IF(AND(K86&gt;0,OR(O86="Sí",O86="Si")),1,0)</f>
        <v>0</v>
      </c>
      <c r="S86" s="62" t="n">
        <f aca="false">IF(AND(K86&gt;0,R86=0),1,0)</f>
        <v>0</v>
      </c>
    </row>
    <row r="87" customFormat="false" ht="15" hidden="false" customHeight="false" outlineLevel="0" collapsed="false">
      <c r="B87" s="71" t="str">
        <f aca="false">IF($F$6="Sí",N($C$11)+60,"")</f>
        <v/>
      </c>
      <c r="C87" s="72" t="str">
        <f aca="false">IF(OR($F$6&lt;&gt;"Sí",D87&lt;=0.5),"",EDATE($C$10,60))</f>
        <v/>
      </c>
      <c r="D87" s="41" t="n">
        <f aca="false">MAX(0,M86)</f>
        <v>0</v>
      </c>
      <c r="E87" s="41" t="n">
        <f aca="false">D87*$F$7</f>
        <v>0</v>
      </c>
      <c r="F87" s="41" t="n">
        <f aca="false">IF(D87&gt;0.5,N($C$15),0)</f>
        <v>0</v>
      </c>
      <c r="G87" s="41" t="n">
        <f aca="false">IF(AND(D87&gt;0.5,N($C$19)&gt;0,N(B87)&lt;=N($C$20)),D87*$F$8,0)</f>
        <v>0</v>
      </c>
      <c r="H87" s="41" t="n">
        <f aca="false">IF(D87&lt;=0.5,0,MIN(IF(N(I87)&gt;0,I87,$F$9),D87+E87+F87))</f>
        <v>0</v>
      </c>
      <c r="I87" s="77"/>
      <c r="J87" s="77"/>
      <c r="K87" s="41" t="n">
        <f aca="false">IF(D87&lt;=0.5,0,MIN(H87+N(J87),D87+E87+F87))</f>
        <v>0</v>
      </c>
      <c r="L87" s="41" t="n">
        <f aca="false">K87-E87-F87</f>
        <v>0</v>
      </c>
      <c r="M87" s="41" t="n">
        <f aca="false">D87-L87</f>
        <v>0</v>
      </c>
      <c r="N87" s="42" t="n">
        <f aca="false">K87-G87</f>
        <v>0</v>
      </c>
      <c r="O87" s="78"/>
      <c r="P87" s="79"/>
      <c r="Q87" s="16" t="str">
        <f aca="false">IF(K87=0,"",IF(R87=1,"Pagada",IF(C87&lt;$F$12,"Vencida",IF(61=$F$13,"Próxima","Pendiente"))))</f>
        <v/>
      </c>
      <c r="R87" s="62" t="n">
        <f aca="false">IF(AND(K87&gt;0,OR(O87="Sí",O87="Si")),1,0)</f>
        <v>0</v>
      </c>
      <c r="S87" s="62" t="n">
        <f aca="false">IF(AND(K87&gt;0,R87=0),1,0)</f>
        <v>0</v>
      </c>
    </row>
    <row r="88" customFormat="false" ht="15" hidden="false" customHeight="false" outlineLevel="0" collapsed="false">
      <c r="B88" s="71" t="str">
        <f aca="false">IF($F$6="Sí",N($C$11)+61,"")</f>
        <v/>
      </c>
      <c r="C88" s="72" t="str">
        <f aca="false">IF(OR($F$6&lt;&gt;"Sí",D88&lt;=0.5),"",EDATE($C$10,61))</f>
        <v/>
      </c>
      <c r="D88" s="41" t="n">
        <f aca="false">MAX(0,M87)</f>
        <v>0</v>
      </c>
      <c r="E88" s="41" t="n">
        <f aca="false">D88*$F$7</f>
        <v>0</v>
      </c>
      <c r="F88" s="41" t="n">
        <f aca="false">IF(D88&gt;0.5,N($C$15),0)</f>
        <v>0</v>
      </c>
      <c r="G88" s="41" t="n">
        <f aca="false">IF(AND(D88&gt;0.5,N($C$19)&gt;0,N(B88)&lt;=N($C$20)),D88*$F$8,0)</f>
        <v>0</v>
      </c>
      <c r="H88" s="41" t="n">
        <f aca="false">IF(D88&lt;=0.5,0,MIN(IF(N(I88)&gt;0,I88,$F$9),D88+E88+F88))</f>
        <v>0</v>
      </c>
      <c r="I88" s="77"/>
      <c r="J88" s="77"/>
      <c r="K88" s="41" t="n">
        <f aca="false">IF(D88&lt;=0.5,0,MIN(H88+N(J88),D88+E88+F88))</f>
        <v>0</v>
      </c>
      <c r="L88" s="41" t="n">
        <f aca="false">K88-E88-F88</f>
        <v>0</v>
      </c>
      <c r="M88" s="41" t="n">
        <f aca="false">D88-L88</f>
        <v>0</v>
      </c>
      <c r="N88" s="42" t="n">
        <f aca="false">K88-G88</f>
        <v>0</v>
      </c>
      <c r="O88" s="78"/>
      <c r="P88" s="79"/>
      <c r="Q88" s="16" t="str">
        <f aca="false">IF(K88=0,"",IF(R88=1,"Pagada",IF(C88&lt;$F$12,"Vencida",IF(62=$F$13,"Próxima","Pendiente"))))</f>
        <v/>
      </c>
      <c r="R88" s="62" t="n">
        <f aca="false">IF(AND(K88&gt;0,OR(O88="Sí",O88="Si")),1,0)</f>
        <v>0</v>
      </c>
      <c r="S88" s="62" t="n">
        <f aca="false">IF(AND(K88&gt;0,R88=0),1,0)</f>
        <v>0</v>
      </c>
    </row>
    <row r="89" customFormat="false" ht="15" hidden="false" customHeight="false" outlineLevel="0" collapsed="false">
      <c r="B89" s="71" t="str">
        <f aca="false">IF($F$6="Sí",N($C$11)+62,"")</f>
        <v/>
      </c>
      <c r="C89" s="72" t="str">
        <f aca="false">IF(OR($F$6&lt;&gt;"Sí",D89&lt;=0.5),"",EDATE($C$10,62))</f>
        <v/>
      </c>
      <c r="D89" s="41" t="n">
        <f aca="false">MAX(0,M88)</f>
        <v>0</v>
      </c>
      <c r="E89" s="41" t="n">
        <f aca="false">D89*$F$7</f>
        <v>0</v>
      </c>
      <c r="F89" s="41" t="n">
        <f aca="false">IF(D89&gt;0.5,N($C$15),0)</f>
        <v>0</v>
      </c>
      <c r="G89" s="41" t="n">
        <f aca="false">IF(AND(D89&gt;0.5,N($C$19)&gt;0,N(B89)&lt;=N($C$20)),D89*$F$8,0)</f>
        <v>0</v>
      </c>
      <c r="H89" s="41" t="n">
        <f aca="false">IF(D89&lt;=0.5,0,MIN(IF(N(I89)&gt;0,I89,$F$9),D89+E89+F89))</f>
        <v>0</v>
      </c>
      <c r="I89" s="77"/>
      <c r="J89" s="77"/>
      <c r="K89" s="41" t="n">
        <f aca="false">IF(D89&lt;=0.5,0,MIN(H89+N(J89),D89+E89+F89))</f>
        <v>0</v>
      </c>
      <c r="L89" s="41" t="n">
        <f aca="false">K89-E89-F89</f>
        <v>0</v>
      </c>
      <c r="M89" s="41" t="n">
        <f aca="false">D89-L89</f>
        <v>0</v>
      </c>
      <c r="N89" s="42" t="n">
        <f aca="false">K89-G89</f>
        <v>0</v>
      </c>
      <c r="O89" s="78"/>
      <c r="P89" s="79"/>
      <c r="Q89" s="16" t="str">
        <f aca="false">IF(K89=0,"",IF(R89=1,"Pagada",IF(C89&lt;$F$12,"Vencida",IF(63=$F$13,"Próxima","Pendiente"))))</f>
        <v/>
      </c>
      <c r="R89" s="62" t="n">
        <f aca="false">IF(AND(K89&gt;0,OR(O89="Sí",O89="Si")),1,0)</f>
        <v>0</v>
      </c>
      <c r="S89" s="62" t="n">
        <f aca="false">IF(AND(K89&gt;0,R89=0),1,0)</f>
        <v>0</v>
      </c>
    </row>
    <row r="90" customFormat="false" ht="15" hidden="false" customHeight="false" outlineLevel="0" collapsed="false">
      <c r="B90" s="71" t="str">
        <f aca="false">IF($F$6="Sí",N($C$11)+63,"")</f>
        <v/>
      </c>
      <c r="C90" s="72" t="str">
        <f aca="false">IF(OR($F$6&lt;&gt;"Sí",D90&lt;=0.5),"",EDATE($C$10,63))</f>
        <v/>
      </c>
      <c r="D90" s="41" t="n">
        <f aca="false">MAX(0,M89)</f>
        <v>0</v>
      </c>
      <c r="E90" s="41" t="n">
        <f aca="false">D90*$F$7</f>
        <v>0</v>
      </c>
      <c r="F90" s="41" t="n">
        <f aca="false">IF(D90&gt;0.5,N($C$15),0)</f>
        <v>0</v>
      </c>
      <c r="G90" s="41" t="n">
        <f aca="false">IF(AND(D90&gt;0.5,N($C$19)&gt;0,N(B90)&lt;=N($C$20)),D90*$F$8,0)</f>
        <v>0</v>
      </c>
      <c r="H90" s="41" t="n">
        <f aca="false">IF(D90&lt;=0.5,0,MIN(IF(N(I90)&gt;0,I90,$F$9),D90+E90+F90))</f>
        <v>0</v>
      </c>
      <c r="I90" s="77"/>
      <c r="J90" s="77"/>
      <c r="K90" s="41" t="n">
        <f aca="false">IF(D90&lt;=0.5,0,MIN(H90+N(J90),D90+E90+F90))</f>
        <v>0</v>
      </c>
      <c r="L90" s="41" t="n">
        <f aca="false">K90-E90-F90</f>
        <v>0</v>
      </c>
      <c r="M90" s="41" t="n">
        <f aca="false">D90-L90</f>
        <v>0</v>
      </c>
      <c r="N90" s="42" t="n">
        <f aca="false">K90-G90</f>
        <v>0</v>
      </c>
      <c r="O90" s="78"/>
      <c r="P90" s="79"/>
      <c r="Q90" s="16" t="str">
        <f aca="false">IF(K90=0,"",IF(R90=1,"Pagada",IF(C90&lt;$F$12,"Vencida",IF(64=$F$13,"Próxima","Pendiente"))))</f>
        <v/>
      </c>
      <c r="R90" s="62" t="n">
        <f aca="false">IF(AND(K90&gt;0,OR(O90="Sí",O90="Si")),1,0)</f>
        <v>0</v>
      </c>
      <c r="S90" s="62" t="n">
        <f aca="false">IF(AND(K90&gt;0,R90=0),1,0)</f>
        <v>0</v>
      </c>
    </row>
    <row r="91" customFormat="false" ht="15" hidden="false" customHeight="false" outlineLevel="0" collapsed="false">
      <c r="B91" s="71" t="str">
        <f aca="false">IF($F$6="Sí",N($C$11)+64,"")</f>
        <v/>
      </c>
      <c r="C91" s="72" t="str">
        <f aca="false">IF(OR($F$6&lt;&gt;"Sí",D91&lt;=0.5),"",EDATE($C$10,64))</f>
        <v/>
      </c>
      <c r="D91" s="41" t="n">
        <f aca="false">MAX(0,M90)</f>
        <v>0</v>
      </c>
      <c r="E91" s="41" t="n">
        <f aca="false">D91*$F$7</f>
        <v>0</v>
      </c>
      <c r="F91" s="41" t="n">
        <f aca="false">IF(D91&gt;0.5,N($C$15),0)</f>
        <v>0</v>
      </c>
      <c r="G91" s="41" t="n">
        <f aca="false">IF(AND(D91&gt;0.5,N($C$19)&gt;0,N(B91)&lt;=N($C$20)),D91*$F$8,0)</f>
        <v>0</v>
      </c>
      <c r="H91" s="41" t="n">
        <f aca="false">IF(D91&lt;=0.5,0,MIN(IF(N(I91)&gt;0,I91,$F$9),D91+E91+F91))</f>
        <v>0</v>
      </c>
      <c r="I91" s="77"/>
      <c r="J91" s="77"/>
      <c r="K91" s="41" t="n">
        <f aca="false">IF(D91&lt;=0.5,0,MIN(H91+N(J91),D91+E91+F91))</f>
        <v>0</v>
      </c>
      <c r="L91" s="41" t="n">
        <f aca="false">K91-E91-F91</f>
        <v>0</v>
      </c>
      <c r="M91" s="41" t="n">
        <f aca="false">D91-L91</f>
        <v>0</v>
      </c>
      <c r="N91" s="42" t="n">
        <f aca="false">K91-G91</f>
        <v>0</v>
      </c>
      <c r="O91" s="78"/>
      <c r="P91" s="79"/>
      <c r="Q91" s="16" t="str">
        <f aca="false">IF(K91=0,"",IF(R91=1,"Pagada",IF(C91&lt;$F$12,"Vencida",IF(65=$F$13,"Próxima","Pendiente"))))</f>
        <v/>
      </c>
      <c r="R91" s="62" t="n">
        <f aca="false">IF(AND(K91&gt;0,OR(O91="Sí",O91="Si")),1,0)</f>
        <v>0</v>
      </c>
      <c r="S91" s="62" t="n">
        <f aca="false">IF(AND(K91&gt;0,R91=0),1,0)</f>
        <v>0</v>
      </c>
    </row>
    <row r="92" customFormat="false" ht="15" hidden="false" customHeight="false" outlineLevel="0" collapsed="false">
      <c r="B92" s="71" t="str">
        <f aca="false">IF($F$6="Sí",N($C$11)+65,"")</f>
        <v/>
      </c>
      <c r="C92" s="72" t="str">
        <f aca="false">IF(OR($F$6&lt;&gt;"Sí",D92&lt;=0.5),"",EDATE($C$10,65))</f>
        <v/>
      </c>
      <c r="D92" s="41" t="n">
        <f aca="false">MAX(0,M91)</f>
        <v>0</v>
      </c>
      <c r="E92" s="41" t="n">
        <f aca="false">D92*$F$7</f>
        <v>0</v>
      </c>
      <c r="F92" s="41" t="n">
        <f aca="false">IF(D92&gt;0.5,N($C$15),0)</f>
        <v>0</v>
      </c>
      <c r="G92" s="41" t="n">
        <f aca="false">IF(AND(D92&gt;0.5,N($C$19)&gt;0,N(B92)&lt;=N($C$20)),D92*$F$8,0)</f>
        <v>0</v>
      </c>
      <c r="H92" s="41" t="n">
        <f aca="false">IF(D92&lt;=0.5,0,MIN(IF(N(I92)&gt;0,I92,$F$9),D92+E92+F92))</f>
        <v>0</v>
      </c>
      <c r="I92" s="77"/>
      <c r="J92" s="77"/>
      <c r="K92" s="41" t="n">
        <f aca="false">IF(D92&lt;=0.5,0,MIN(H92+N(J92),D92+E92+F92))</f>
        <v>0</v>
      </c>
      <c r="L92" s="41" t="n">
        <f aca="false">K92-E92-F92</f>
        <v>0</v>
      </c>
      <c r="M92" s="41" t="n">
        <f aca="false">D92-L92</f>
        <v>0</v>
      </c>
      <c r="N92" s="42" t="n">
        <f aca="false">K92-G92</f>
        <v>0</v>
      </c>
      <c r="O92" s="78"/>
      <c r="P92" s="79"/>
      <c r="Q92" s="16" t="str">
        <f aca="false">IF(K92=0,"",IF(R92=1,"Pagada",IF(C92&lt;$F$12,"Vencida",IF(66=$F$13,"Próxima","Pendiente"))))</f>
        <v/>
      </c>
      <c r="R92" s="62" t="n">
        <f aca="false">IF(AND(K92&gt;0,OR(O92="Sí",O92="Si")),1,0)</f>
        <v>0</v>
      </c>
      <c r="S92" s="62" t="n">
        <f aca="false">IF(AND(K92&gt;0,R92=0),1,0)</f>
        <v>0</v>
      </c>
    </row>
    <row r="93" customFormat="false" ht="15" hidden="false" customHeight="false" outlineLevel="0" collapsed="false">
      <c r="B93" s="71" t="str">
        <f aca="false">IF($F$6="Sí",N($C$11)+66,"")</f>
        <v/>
      </c>
      <c r="C93" s="72" t="str">
        <f aca="false">IF(OR($F$6&lt;&gt;"Sí",D93&lt;=0.5),"",EDATE($C$10,66))</f>
        <v/>
      </c>
      <c r="D93" s="41" t="n">
        <f aca="false">MAX(0,M92)</f>
        <v>0</v>
      </c>
      <c r="E93" s="41" t="n">
        <f aca="false">D93*$F$7</f>
        <v>0</v>
      </c>
      <c r="F93" s="41" t="n">
        <f aca="false">IF(D93&gt;0.5,N($C$15),0)</f>
        <v>0</v>
      </c>
      <c r="G93" s="41" t="n">
        <f aca="false">IF(AND(D93&gt;0.5,N($C$19)&gt;0,N(B93)&lt;=N($C$20)),D93*$F$8,0)</f>
        <v>0</v>
      </c>
      <c r="H93" s="41" t="n">
        <f aca="false">IF(D93&lt;=0.5,0,MIN(IF(N(I93)&gt;0,I93,$F$9),D93+E93+F93))</f>
        <v>0</v>
      </c>
      <c r="I93" s="77"/>
      <c r="J93" s="77"/>
      <c r="K93" s="41" t="n">
        <f aca="false">IF(D93&lt;=0.5,0,MIN(H93+N(J93),D93+E93+F93))</f>
        <v>0</v>
      </c>
      <c r="L93" s="41" t="n">
        <f aca="false">K93-E93-F93</f>
        <v>0</v>
      </c>
      <c r="M93" s="41" t="n">
        <f aca="false">D93-L93</f>
        <v>0</v>
      </c>
      <c r="N93" s="42" t="n">
        <f aca="false">K93-G93</f>
        <v>0</v>
      </c>
      <c r="O93" s="78"/>
      <c r="P93" s="79"/>
      <c r="Q93" s="16" t="str">
        <f aca="false">IF(K93=0,"",IF(R93=1,"Pagada",IF(C93&lt;$F$12,"Vencida",IF(67=$F$13,"Próxima","Pendiente"))))</f>
        <v/>
      </c>
      <c r="R93" s="62" t="n">
        <f aca="false">IF(AND(K93&gt;0,OR(O93="Sí",O93="Si")),1,0)</f>
        <v>0</v>
      </c>
      <c r="S93" s="62" t="n">
        <f aca="false">IF(AND(K93&gt;0,R93=0),1,0)</f>
        <v>0</v>
      </c>
    </row>
    <row r="94" customFormat="false" ht="15" hidden="false" customHeight="false" outlineLevel="0" collapsed="false">
      <c r="B94" s="71" t="str">
        <f aca="false">IF($F$6="Sí",N($C$11)+67,"")</f>
        <v/>
      </c>
      <c r="C94" s="72" t="str">
        <f aca="false">IF(OR($F$6&lt;&gt;"Sí",D94&lt;=0.5),"",EDATE($C$10,67))</f>
        <v/>
      </c>
      <c r="D94" s="41" t="n">
        <f aca="false">MAX(0,M93)</f>
        <v>0</v>
      </c>
      <c r="E94" s="41" t="n">
        <f aca="false">D94*$F$7</f>
        <v>0</v>
      </c>
      <c r="F94" s="41" t="n">
        <f aca="false">IF(D94&gt;0.5,N($C$15),0)</f>
        <v>0</v>
      </c>
      <c r="G94" s="41" t="n">
        <f aca="false">IF(AND(D94&gt;0.5,N($C$19)&gt;0,N(B94)&lt;=N($C$20)),D94*$F$8,0)</f>
        <v>0</v>
      </c>
      <c r="H94" s="41" t="n">
        <f aca="false">IF(D94&lt;=0.5,0,MIN(IF(N(I94)&gt;0,I94,$F$9),D94+E94+F94))</f>
        <v>0</v>
      </c>
      <c r="I94" s="77"/>
      <c r="J94" s="77"/>
      <c r="K94" s="41" t="n">
        <f aca="false">IF(D94&lt;=0.5,0,MIN(H94+N(J94),D94+E94+F94))</f>
        <v>0</v>
      </c>
      <c r="L94" s="41" t="n">
        <f aca="false">K94-E94-F94</f>
        <v>0</v>
      </c>
      <c r="M94" s="41" t="n">
        <f aca="false">D94-L94</f>
        <v>0</v>
      </c>
      <c r="N94" s="42" t="n">
        <f aca="false">K94-G94</f>
        <v>0</v>
      </c>
      <c r="O94" s="78"/>
      <c r="P94" s="79"/>
      <c r="Q94" s="16" t="str">
        <f aca="false">IF(K94=0,"",IF(R94=1,"Pagada",IF(C94&lt;$F$12,"Vencida",IF(68=$F$13,"Próxima","Pendiente"))))</f>
        <v/>
      </c>
      <c r="R94" s="62" t="n">
        <f aca="false">IF(AND(K94&gt;0,OR(O94="Sí",O94="Si")),1,0)</f>
        <v>0</v>
      </c>
      <c r="S94" s="62" t="n">
        <f aca="false">IF(AND(K94&gt;0,R94=0),1,0)</f>
        <v>0</v>
      </c>
    </row>
    <row r="95" customFormat="false" ht="15" hidden="false" customHeight="false" outlineLevel="0" collapsed="false">
      <c r="B95" s="71" t="str">
        <f aca="false">IF($F$6="Sí",N($C$11)+68,"")</f>
        <v/>
      </c>
      <c r="C95" s="72" t="str">
        <f aca="false">IF(OR($F$6&lt;&gt;"Sí",D95&lt;=0.5),"",EDATE($C$10,68))</f>
        <v/>
      </c>
      <c r="D95" s="41" t="n">
        <f aca="false">MAX(0,M94)</f>
        <v>0</v>
      </c>
      <c r="E95" s="41" t="n">
        <f aca="false">D95*$F$7</f>
        <v>0</v>
      </c>
      <c r="F95" s="41" t="n">
        <f aca="false">IF(D95&gt;0.5,N($C$15),0)</f>
        <v>0</v>
      </c>
      <c r="G95" s="41" t="n">
        <f aca="false">IF(AND(D95&gt;0.5,N($C$19)&gt;0,N(B95)&lt;=N($C$20)),D95*$F$8,0)</f>
        <v>0</v>
      </c>
      <c r="H95" s="41" t="n">
        <f aca="false">IF(D95&lt;=0.5,0,MIN(IF(N(I95)&gt;0,I95,$F$9),D95+E95+F95))</f>
        <v>0</v>
      </c>
      <c r="I95" s="77"/>
      <c r="J95" s="77"/>
      <c r="K95" s="41" t="n">
        <f aca="false">IF(D95&lt;=0.5,0,MIN(H95+N(J95),D95+E95+F95))</f>
        <v>0</v>
      </c>
      <c r="L95" s="41" t="n">
        <f aca="false">K95-E95-F95</f>
        <v>0</v>
      </c>
      <c r="M95" s="41" t="n">
        <f aca="false">D95-L95</f>
        <v>0</v>
      </c>
      <c r="N95" s="42" t="n">
        <f aca="false">K95-G95</f>
        <v>0</v>
      </c>
      <c r="O95" s="78"/>
      <c r="P95" s="79"/>
      <c r="Q95" s="16" t="str">
        <f aca="false">IF(K95=0,"",IF(R95=1,"Pagada",IF(C95&lt;$F$12,"Vencida",IF(69=$F$13,"Próxima","Pendiente"))))</f>
        <v/>
      </c>
      <c r="R95" s="62" t="n">
        <f aca="false">IF(AND(K95&gt;0,OR(O95="Sí",O95="Si")),1,0)</f>
        <v>0</v>
      </c>
      <c r="S95" s="62" t="n">
        <f aca="false">IF(AND(K95&gt;0,R95=0),1,0)</f>
        <v>0</v>
      </c>
    </row>
    <row r="96" customFormat="false" ht="15" hidden="false" customHeight="false" outlineLevel="0" collapsed="false">
      <c r="B96" s="71" t="str">
        <f aca="false">IF($F$6="Sí",N($C$11)+69,"")</f>
        <v/>
      </c>
      <c r="C96" s="72" t="str">
        <f aca="false">IF(OR($F$6&lt;&gt;"Sí",D96&lt;=0.5),"",EDATE($C$10,69))</f>
        <v/>
      </c>
      <c r="D96" s="41" t="n">
        <f aca="false">MAX(0,M95)</f>
        <v>0</v>
      </c>
      <c r="E96" s="41" t="n">
        <f aca="false">D96*$F$7</f>
        <v>0</v>
      </c>
      <c r="F96" s="41" t="n">
        <f aca="false">IF(D96&gt;0.5,N($C$15),0)</f>
        <v>0</v>
      </c>
      <c r="G96" s="41" t="n">
        <f aca="false">IF(AND(D96&gt;0.5,N($C$19)&gt;0,N(B96)&lt;=N($C$20)),D96*$F$8,0)</f>
        <v>0</v>
      </c>
      <c r="H96" s="41" t="n">
        <f aca="false">IF(D96&lt;=0.5,0,MIN(IF(N(I96)&gt;0,I96,$F$9),D96+E96+F96))</f>
        <v>0</v>
      </c>
      <c r="I96" s="77"/>
      <c r="J96" s="77"/>
      <c r="K96" s="41" t="n">
        <f aca="false">IF(D96&lt;=0.5,0,MIN(H96+N(J96),D96+E96+F96))</f>
        <v>0</v>
      </c>
      <c r="L96" s="41" t="n">
        <f aca="false">K96-E96-F96</f>
        <v>0</v>
      </c>
      <c r="M96" s="41" t="n">
        <f aca="false">D96-L96</f>
        <v>0</v>
      </c>
      <c r="N96" s="42" t="n">
        <f aca="false">K96-G96</f>
        <v>0</v>
      </c>
      <c r="O96" s="78"/>
      <c r="P96" s="79"/>
      <c r="Q96" s="16" t="str">
        <f aca="false">IF(K96=0,"",IF(R96=1,"Pagada",IF(C96&lt;$F$12,"Vencida",IF(70=$F$13,"Próxima","Pendiente"))))</f>
        <v/>
      </c>
      <c r="R96" s="62" t="n">
        <f aca="false">IF(AND(K96&gt;0,OR(O96="Sí",O96="Si")),1,0)</f>
        <v>0</v>
      </c>
      <c r="S96" s="62" t="n">
        <f aca="false">IF(AND(K96&gt;0,R96=0),1,0)</f>
        <v>0</v>
      </c>
    </row>
    <row r="97" customFormat="false" ht="15" hidden="false" customHeight="false" outlineLevel="0" collapsed="false">
      <c r="B97" s="71" t="str">
        <f aca="false">IF($F$6="Sí",N($C$11)+70,"")</f>
        <v/>
      </c>
      <c r="C97" s="72" t="str">
        <f aca="false">IF(OR($F$6&lt;&gt;"Sí",D97&lt;=0.5),"",EDATE($C$10,70))</f>
        <v/>
      </c>
      <c r="D97" s="41" t="n">
        <f aca="false">MAX(0,M96)</f>
        <v>0</v>
      </c>
      <c r="E97" s="41" t="n">
        <f aca="false">D97*$F$7</f>
        <v>0</v>
      </c>
      <c r="F97" s="41" t="n">
        <f aca="false">IF(D97&gt;0.5,N($C$15),0)</f>
        <v>0</v>
      </c>
      <c r="G97" s="41" t="n">
        <f aca="false">IF(AND(D97&gt;0.5,N($C$19)&gt;0,N(B97)&lt;=N($C$20)),D97*$F$8,0)</f>
        <v>0</v>
      </c>
      <c r="H97" s="41" t="n">
        <f aca="false">IF(D97&lt;=0.5,0,MIN(IF(N(I97)&gt;0,I97,$F$9),D97+E97+F97))</f>
        <v>0</v>
      </c>
      <c r="I97" s="77"/>
      <c r="J97" s="77"/>
      <c r="K97" s="41" t="n">
        <f aca="false">IF(D97&lt;=0.5,0,MIN(H97+N(J97),D97+E97+F97))</f>
        <v>0</v>
      </c>
      <c r="L97" s="41" t="n">
        <f aca="false">K97-E97-F97</f>
        <v>0</v>
      </c>
      <c r="M97" s="41" t="n">
        <f aca="false">D97-L97</f>
        <v>0</v>
      </c>
      <c r="N97" s="42" t="n">
        <f aca="false">K97-G97</f>
        <v>0</v>
      </c>
      <c r="O97" s="78"/>
      <c r="P97" s="79"/>
      <c r="Q97" s="16" t="str">
        <f aca="false">IF(K97=0,"",IF(R97=1,"Pagada",IF(C97&lt;$F$12,"Vencida",IF(71=$F$13,"Próxima","Pendiente"))))</f>
        <v/>
      </c>
      <c r="R97" s="62" t="n">
        <f aca="false">IF(AND(K97&gt;0,OR(O97="Sí",O97="Si")),1,0)</f>
        <v>0</v>
      </c>
      <c r="S97" s="62" t="n">
        <f aca="false">IF(AND(K97&gt;0,R97=0),1,0)</f>
        <v>0</v>
      </c>
    </row>
    <row r="98" customFormat="false" ht="15" hidden="false" customHeight="false" outlineLevel="0" collapsed="false">
      <c r="B98" s="71" t="str">
        <f aca="false">IF($F$6="Sí",N($C$11)+71,"")</f>
        <v/>
      </c>
      <c r="C98" s="72" t="str">
        <f aca="false">IF(OR($F$6&lt;&gt;"Sí",D98&lt;=0.5),"",EDATE($C$10,71))</f>
        <v/>
      </c>
      <c r="D98" s="41" t="n">
        <f aca="false">MAX(0,M97)</f>
        <v>0</v>
      </c>
      <c r="E98" s="41" t="n">
        <f aca="false">D98*$F$7</f>
        <v>0</v>
      </c>
      <c r="F98" s="41" t="n">
        <f aca="false">IF(D98&gt;0.5,N($C$15),0)</f>
        <v>0</v>
      </c>
      <c r="G98" s="41" t="n">
        <f aca="false">IF(AND(D98&gt;0.5,N($C$19)&gt;0,N(B98)&lt;=N($C$20)),D98*$F$8,0)</f>
        <v>0</v>
      </c>
      <c r="H98" s="41" t="n">
        <f aca="false">IF(D98&lt;=0.5,0,MIN(IF(N(I98)&gt;0,I98,$F$9),D98+E98+F98))</f>
        <v>0</v>
      </c>
      <c r="I98" s="77"/>
      <c r="J98" s="77"/>
      <c r="K98" s="41" t="n">
        <f aca="false">IF(D98&lt;=0.5,0,MIN(H98+N(J98),D98+E98+F98))</f>
        <v>0</v>
      </c>
      <c r="L98" s="41" t="n">
        <f aca="false">K98-E98-F98</f>
        <v>0</v>
      </c>
      <c r="M98" s="41" t="n">
        <f aca="false">D98-L98</f>
        <v>0</v>
      </c>
      <c r="N98" s="42" t="n">
        <f aca="false">K98-G98</f>
        <v>0</v>
      </c>
      <c r="O98" s="78"/>
      <c r="P98" s="79"/>
      <c r="Q98" s="16" t="str">
        <f aca="false">IF(K98=0,"",IF(R98=1,"Pagada",IF(C98&lt;$F$12,"Vencida",IF(72=$F$13,"Próxima","Pendiente"))))</f>
        <v/>
      </c>
      <c r="R98" s="62" t="n">
        <f aca="false">IF(AND(K98&gt;0,OR(O98="Sí",O98="Si")),1,0)</f>
        <v>0</v>
      </c>
      <c r="S98" s="62" t="n">
        <f aca="false">IF(AND(K98&gt;0,R98=0),1,0)</f>
        <v>0</v>
      </c>
    </row>
    <row r="99" customFormat="false" ht="15" hidden="false" customHeight="false" outlineLevel="0" collapsed="false">
      <c r="B99" s="71" t="str">
        <f aca="false">IF($F$6="Sí",N($C$11)+72,"")</f>
        <v/>
      </c>
      <c r="C99" s="72" t="str">
        <f aca="false">IF(OR($F$6&lt;&gt;"Sí",D99&lt;=0.5),"",EDATE($C$10,72))</f>
        <v/>
      </c>
      <c r="D99" s="41" t="n">
        <f aca="false">MAX(0,M98)</f>
        <v>0</v>
      </c>
      <c r="E99" s="41" t="n">
        <f aca="false">D99*$F$7</f>
        <v>0</v>
      </c>
      <c r="F99" s="41" t="n">
        <f aca="false">IF(D99&gt;0.5,N($C$15),0)</f>
        <v>0</v>
      </c>
      <c r="G99" s="41" t="n">
        <f aca="false">IF(AND(D99&gt;0.5,N($C$19)&gt;0,N(B99)&lt;=N($C$20)),D99*$F$8,0)</f>
        <v>0</v>
      </c>
      <c r="H99" s="41" t="n">
        <f aca="false">IF(D99&lt;=0.5,0,MIN(IF(N(I99)&gt;0,I99,$F$9),D99+E99+F99))</f>
        <v>0</v>
      </c>
      <c r="I99" s="77"/>
      <c r="J99" s="77"/>
      <c r="K99" s="41" t="n">
        <f aca="false">IF(D99&lt;=0.5,0,MIN(H99+N(J99),D99+E99+F99))</f>
        <v>0</v>
      </c>
      <c r="L99" s="41" t="n">
        <f aca="false">K99-E99-F99</f>
        <v>0</v>
      </c>
      <c r="M99" s="41" t="n">
        <f aca="false">D99-L99</f>
        <v>0</v>
      </c>
      <c r="N99" s="42" t="n">
        <f aca="false">K99-G99</f>
        <v>0</v>
      </c>
      <c r="O99" s="78"/>
      <c r="P99" s="79"/>
      <c r="Q99" s="16" t="str">
        <f aca="false">IF(K99=0,"",IF(R99=1,"Pagada",IF(C99&lt;$F$12,"Vencida",IF(73=$F$13,"Próxima","Pendiente"))))</f>
        <v/>
      </c>
      <c r="R99" s="62" t="n">
        <f aca="false">IF(AND(K99&gt;0,OR(O99="Sí",O99="Si")),1,0)</f>
        <v>0</v>
      </c>
      <c r="S99" s="62" t="n">
        <f aca="false">IF(AND(K99&gt;0,R99=0),1,0)</f>
        <v>0</v>
      </c>
    </row>
    <row r="100" customFormat="false" ht="15" hidden="false" customHeight="false" outlineLevel="0" collapsed="false">
      <c r="B100" s="71" t="str">
        <f aca="false">IF($F$6="Sí",N($C$11)+73,"")</f>
        <v/>
      </c>
      <c r="C100" s="72" t="str">
        <f aca="false">IF(OR($F$6&lt;&gt;"Sí",D100&lt;=0.5),"",EDATE($C$10,73))</f>
        <v/>
      </c>
      <c r="D100" s="41" t="n">
        <f aca="false">MAX(0,M99)</f>
        <v>0</v>
      </c>
      <c r="E100" s="41" t="n">
        <f aca="false">D100*$F$7</f>
        <v>0</v>
      </c>
      <c r="F100" s="41" t="n">
        <f aca="false">IF(D100&gt;0.5,N($C$15),0)</f>
        <v>0</v>
      </c>
      <c r="G100" s="41" t="n">
        <f aca="false">IF(AND(D100&gt;0.5,N($C$19)&gt;0,N(B100)&lt;=N($C$20)),D100*$F$8,0)</f>
        <v>0</v>
      </c>
      <c r="H100" s="41" t="n">
        <f aca="false">IF(D100&lt;=0.5,0,MIN(IF(N(I100)&gt;0,I100,$F$9),D100+E100+F100))</f>
        <v>0</v>
      </c>
      <c r="I100" s="77"/>
      <c r="J100" s="77"/>
      <c r="K100" s="41" t="n">
        <f aca="false">IF(D100&lt;=0.5,0,MIN(H100+N(J100),D100+E100+F100))</f>
        <v>0</v>
      </c>
      <c r="L100" s="41" t="n">
        <f aca="false">K100-E100-F100</f>
        <v>0</v>
      </c>
      <c r="M100" s="41" t="n">
        <f aca="false">D100-L100</f>
        <v>0</v>
      </c>
      <c r="N100" s="42" t="n">
        <f aca="false">K100-G100</f>
        <v>0</v>
      </c>
      <c r="O100" s="78"/>
      <c r="P100" s="79"/>
      <c r="Q100" s="16" t="str">
        <f aca="false">IF(K100=0,"",IF(R100=1,"Pagada",IF(C100&lt;$F$12,"Vencida",IF(74=$F$13,"Próxima","Pendiente"))))</f>
        <v/>
      </c>
      <c r="R100" s="62" t="n">
        <f aca="false">IF(AND(K100&gt;0,OR(O100="Sí",O100="Si")),1,0)</f>
        <v>0</v>
      </c>
      <c r="S100" s="62" t="n">
        <f aca="false">IF(AND(K100&gt;0,R100=0),1,0)</f>
        <v>0</v>
      </c>
    </row>
    <row r="101" customFormat="false" ht="15" hidden="false" customHeight="false" outlineLevel="0" collapsed="false">
      <c r="B101" s="71" t="str">
        <f aca="false">IF($F$6="Sí",N($C$11)+74,"")</f>
        <v/>
      </c>
      <c r="C101" s="72" t="str">
        <f aca="false">IF(OR($F$6&lt;&gt;"Sí",D101&lt;=0.5),"",EDATE($C$10,74))</f>
        <v/>
      </c>
      <c r="D101" s="41" t="n">
        <f aca="false">MAX(0,M100)</f>
        <v>0</v>
      </c>
      <c r="E101" s="41" t="n">
        <f aca="false">D101*$F$7</f>
        <v>0</v>
      </c>
      <c r="F101" s="41" t="n">
        <f aca="false">IF(D101&gt;0.5,N($C$15),0)</f>
        <v>0</v>
      </c>
      <c r="G101" s="41" t="n">
        <f aca="false">IF(AND(D101&gt;0.5,N($C$19)&gt;0,N(B101)&lt;=N($C$20)),D101*$F$8,0)</f>
        <v>0</v>
      </c>
      <c r="H101" s="41" t="n">
        <f aca="false">IF(D101&lt;=0.5,0,MIN(IF(N(I101)&gt;0,I101,$F$9),D101+E101+F101))</f>
        <v>0</v>
      </c>
      <c r="I101" s="77"/>
      <c r="J101" s="77"/>
      <c r="K101" s="41" t="n">
        <f aca="false">IF(D101&lt;=0.5,0,MIN(H101+N(J101),D101+E101+F101))</f>
        <v>0</v>
      </c>
      <c r="L101" s="41" t="n">
        <f aca="false">K101-E101-F101</f>
        <v>0</v>
      </c>
      <c r="M101" s="41" t="n">
        <f aca="false">D101-L101</f>
        <v>0</v>
      </c>
      <c r="N101" s="42" t="n">
        <f aca="false">K101-G101</f>
        <v>0</v>
      </c>
      <c r="O101" s="78"/>
      <c r="P101" s="79"/>
      <c r="Q101" s="16" t="str">
        <f aca="false">IF(K101=0,"",IF(R101=1,"Pagada",IF(C101&lt;$F$12,"Vencida",IF(75=$F$13,"Próxima","Pendiente"))))</f>
        <v/>
      </c>
      <c r="R101" s="62" t="n">
        <f aca="false">IF(AND(K101&gt;0,OR(O101="Sí",O101="Si")),1,0)</f>
        <v>0</v>
      </c>
      <c r="S101" s="62" t="n">
        <f aca="false">IF(AND(K101&gt;0,R101=0),1,0)</f>
        <v>0</v>
      </c>
    </row>
    <row r="102" customFormat="false" ht="15" hidden="false" customHeight="false" outlineLevel="0" collapsed="false">
      <c r="B102" s="71" t="str">
        <f aca="false">IF($F$6="Sí",N($C$11)+75,"")</f>
        <v/>
      </c>
      <c r="C102" s="72" t="str">
        <f aca="false">IF(OR($F$6&lt;&gt;"Sí",D102&lt;=0.5),"",EDATE($C$10,75))</f>
        <v/>
      </c>
      <c r="D102" s="41" t="n">
        <f aca="false">MAX(0,M101)</f>
        <v>0</v>
      </c>
      <c r="E102" s="41" t="n">
        <f aca="false">D102*$F$7</f>
        <v>0</v>
      </c>
      <c r="F102" s="41" t="n">
        <f aca="false">IF(D102&gt;0.5,N($C$15),0)</f>
        <v>0</v>
      </c>
      <c r="G102" s="41" t="n">
        <f aca="false">IF(AND(D102&gt;0.5,N($C$19)&gt;0,N(B102)&lt;=N($C$20)),D102*$F$8,0)</f>
        <v>0</v>
      </c>
      <c r="H102" s="41" t="n">
        <f aca="false">IF(D102&lt;=0.5,0,MIN(IF(N(I102)&gt;0,I102,$F$9),D102+E102+F102))</f>
        <v>0</v>
      </c>
      <c r="I102" s="77"/>
      <c r="J102" s="77"/>
      <c r="K102" s="41" t="n">
        <f aca="false">IF(D102&lt;=0.5,0,MIN(H102+N(J102),D102+E102+F102))</f>
        <v>0</v>
      </c>
      <c r="L102" s="41" t="n">
        <f aca="false">K102-E102-F102</f>
        <v>0</v>
      </c>
      <c r="M102" s="41" t="n">
        <f aca="false">D102-L102</f>
        <v>0</v>
      </c>
      <c r="N102" s="42" t="n">
        <f aca="false">K102-G102</f>
        <v>0</v>
      </c>
      <c r="O102" s="78"/>
      <c r="P102" s="79"/>
      <c r="Q102" s="16" t="str">
        <f aca="false">IF(K102=0,"",IF(R102=1,"Pagada",IF(C102&lt;$F$12,"Vencida",IF(76=$F$13,"Próxima","Pendiente"))))</f>
        <v/>
      </c>
      <c r="R102" s="62" t="n">
        <f aca="false">IF(AND(K102&gt;0,OR(O102="Sí",O102="Si")),1,0)</f>
        <v>0</v>
      </c>
      <c r="S102" s="62" t="n">
        <f aca="false">IF(AND(K102&gt;0,R102=0),1,0)</f>
        <v>0</v>
      </c>
    </row>
    <row r="103" customFormat="false" ht="15" hidden="false" customHeight="false" outlineLevel="0" collapsed="false">
      <c r="B103" s="71" t="str">
        <f aca="false">IF($F$6="Sí",N($C$11)+76,"")</f>
        <v/>
      </c>
      <c r="C103" s="72" t="str">
        <f aca="false">IF(OR($F$6&lt;&gt;"Sí",D103&lt;=0.5),"",EDATE($C$10,76))</f>
        <v/>
      </c>
      <c r="D103" s="41" t="n">
        <f aca="false">MAX(0,M102)</f>
        <v>0</v>
      </c>
      <c r="E103" s="41" t="n">
        <f aca="false">D103*$F$7</f>
        <v>0</v>
      </c>
      <c r="F103" s="41" t="n">
        <f aca="false">IF(D103&gt;0.5,N($C$15),0)</f>
        <v>0</v>
      </c>
      <c r="G103" s="41" t="n">
        <f aca="false">IF(AND(D103&gt;0.5,N($C$19)&gt;0,N(B103)&lt;=N($C$20)),D103*$F$8,0)</f>
        <v>0</v>
      </c>
      <c r="H103" s="41" t="n">
        <f aca="false">IF(D103&lt;=0.5,0,MIN(IF(N(I103)&gt;0,I103,$F$9),D103+E103+F103))</f>
        <v>0</v>
      </c>
      <c r="I103" s="77"/>
      <c r="J103" s="77"/>
      <c r="K103" s="41" t="n">
        <f aca="false">IF(D103&lt;=0.5,0,MIN(H103+N(J103),D103+E103+F103))</f>
        <v>0</v>
      </c>
      <c r="L103" s="41" t="n">
        <f aca="false">K103-E103-F103</f>
        <v>0</v>
      </c>
      <c r="M103" s="41" t="n">
        <f aca="false">D103-L103</f>
        <v>0</v>
      </c>
      <c r="N103" s="42" t="n">
        <f aca="false">K103-G103</f>
        <v>0</v>
      </c>
      <c r="O103" s="78"/>
      <c r="P103" s="79"/>
      <c r="Q103" s="16" t="str">
        <f aca="false">IF(K103=0,"",IF(R103=1,"Pagada",IF(C103&lt;$F$12,"Vencida",IF(77=$F$13,"Próxima","Pendiente"))))</f>
        <v/>
      </c>
      <c r="R103" s="62" t="n">
        <f aca="false">IF(AND(K103&gt;0,OR(O103="Sí",O103="Si")),1,0)</f>
        <v>0</v>
      </c>
      <c r="S103" s="62" t="n">
        <f aca="false">IF(AND(K103&gt;0,R103=0),1,0)</f>
        <v>0</v>
      </c>
    </row>
    <row r="104" customFormat="false" ht="15" hidden="false" customHeight="false" outlineLevel="0" collapsed="false">
      <c r="B104" s="71" t="str">
        <f aca="false">IF($F$6="Sí",N($C$11)+77,"")</f>
        <v/>
      </c>
      <c r="C104" s="72" t="str">
        <f aca="false">IF(OR($F$6&lt;&gt;"Sí",D104&lt;=0.5),"",EDATE($C$10,77))</f>
        <v/>
      </c>
      <c r="D104" s="41" t="n">
        <f aca="false">MAX(0,M103)</f>
        <v>0</v>
      </c>
      <c r="E104" s="41" t="n">
        <f aca="false">D104*$F$7</f>
        <v>0</v>
      </c>
      <c r="F104" s="41" t="n">
        <f aca="false">IF(D104&gt;0.5,N($C$15),0)</f>
        <v>0</v>
      </c>
      <c r="G104" s="41" t="n">
        <f aca="false">IF(AND(D104&gt;0.5,N($C$19)&gt;0,N(B104)&lt;=N($C$20)),D104*$F$8,0)</f>
        <v>0</v>
      </c>
      <c r="H104" s="41" t="n">
        <f aca="false">IF(D104&lt;=0.5,0,MIN(IF(N(I104)&gt;0,I104,$F$9),D104+E104+F104))</f>
        <v>0</v>
      </c>
      <c r="I104" s="77"/>
      <c r="J104" s="77"/>
      <c r="K104" s="41" t="n">
        <f aca="false">IF(D104&lt;=0.5,0,MIN(H104+N(J104),D104+E104+F104))</f>
        <v>0</v>
      </c>
      <c r="L104" s="41" t="n">
        <f aca="false">K104-E104-F104</f>
        <v>0</v>
      </c>
      <c r="M104" s="41" t="n">
        <f aca="false">D104-L104</f>
        <v>0</v>
      </c>
      <c r="N104" s="42" t="n">
        <f aca="false">K104-G104</f>
        <v>0</v>
      </c>
      <c r="O104" s="78"/>
      <c r="P104" s="79"/>
      <c r="Q104" s="16" t="str">
        <f aca="false">IF(K104=0,"",IF(R104=1,"Pagada",IF(C104&lt;$F$12,"Vencida",IF(78=$F$13,"Próxima","Pendiente"))))</f>
        <v/>
      </c>
      <c r="R104" s="62" t="n">
        <f aca="false">IF(AND(K104&gt;0,OR(O104="Sí",O104="Si")),1,0)</f>
        <v>0</v>
      </c>
      <c r="S104" s="62" t="n">
        <f aca="false">IF(AND(K104&gt;0,R104=0),1,0)</f>
        <v>0</v>
      </c>
    </row>
    <row r="105" customFormat="false" ht="15" hidden="false" customHeight="false" outlineLevel="0" collapsed="false">
      <c r="B105" s="71" t="str">
        <f aca="false">IF($F$6="Sí",N($C$11)+78,"")</f>
        <v/>
      </c>
      <c r="C105" s="72" t="str">
        <f aca="false">IF(OR($F$6&lt;&gt;"Sí",D105&lt;=0.5),"",EDATE($C$10,78))</f>
        <v/>
      </c>
      <c r="D105" s="41" t="n">
        <f aca="false">MAX(0,M104)</f>
        <v>0</v>
      </c>
      <c r="E105" s="41" t="n">
        <f aca="false">D105*$F$7</f>
        <v>0</v>
      </c>
      <c r="F105" s="41" t="n">
        <f aca="false">IF(D105&gt;0.5,N($C$15),0)</f>
        <v>0</v>
      </c>
      <c r="G105" s="41" t="n">
        <f aca="false">IF(AND(D105&gt;0.5,N($C$19)&gt;0,N(B105)&lt;=N($C$20)),D105*$F$8,0)</f>
        <v>0</v>
      </c>
      <c r="H105" s="41" t="n">
        <f aca="false">IF(D105&lt;=0.5,0,MIN(IF(N(I105)&gt;0,I105,$F$9),D105+E105+F105))</f>
        <v>0</v>
      </c>
      <c r="I105" s="77"/>
      <c r="J105" s="77"/>
      <c r="K105" s="41" t="n">
        <f aca="false">IF(D105&lt;=0.5,0,MIN(H105+N(J105),D105+E105+F105))</f>
        <v>0</v>
      </c>
      <c r="L105" s="41" t="n">
        <f aca="false">K105-E105-F105</f>
        <v>0</v>
      </c>
      <c r="M105" s="41" t="n">
        <f aca="false">D105-L105</f>
        <v>0</v>
      </c>
      <c r="N105" s="42" t="n">
        <f aca="false">K105-G105</f>
        <v>0</v>
      </c>
      <c r="O105" s="78"/>
      <c r="P105" s="79"/>
      <c r="Q105" s="16" t="str">
        <f aca="false">IF(K105=0,"",IF(R105=1,"Pagada",IF(C105&lt;$F$12,"Vencida",IF(79=$F$13,"Próxima","Pendiente"))))</f>
        <v/>
      </c>
      <c r="R105" s="62" t="n">
        <f aca="false">IF(AND(K105&gt;0,OR(O105="Sí",O105="Si")),1,0)</f>
        <v>0</v>
      </c>
      <c r="S105" s="62" t="n">
        <f aca="false">IF(AND(K105&gt;0,R105=0),1,0)</f>
        <v>0</v>
      </c>
    </row>
    <row r="106" customFormat="false" ht="15" hidden="false" customHeight="false" outlineLevel="0" collapsed="false">
      <c r="B106" s="71" t="str">
        <f aca="false">IF($F$6="Sí",N($C$11)+79,"")</f>
        <v/>
      </c>
      <c r="C106" s="72" t="str">
        <f aca="false">IF(OR($F$6&lt;&gt;"Sí",D106&lt;=0.5),"",EDATE($C$10,79))</f>
        <v/>
      </c>
      <c r="D106" s="41" t="n">
        <f aca="false">MAX(0,M105)</f>
        <v>0</v>
      </c>
      <c r="E106" s="41" t="n">
        <f aca="false">D106*$F$7</f>
        <v>0</v>
      </c>
      <c r="F106" s="41" t="n">
        <f aca="false">IF(D106&gt;0.5,N($C$15),0)</f>
        <v>0</v>
      </c>
      <c r="G106" s="41" t="n">
        <f aca="false">IF(AND(D106&gt;0.5,N($C$19)&gt;0,N(B106)&lt;=N($C$20)),D106*$F$8,0)</f>
        <v>0</v>
      </c>
      <c r="H106" s="41" t="n">
        <f aca="false">IF(D106&lt;=0.5,0,MIN(IF(N(I106)&gt;0,I106,$F$9),D106+E106+F106))</f>
        <v>0</v>
      </c>
      <c r="I106" s="77"/>
      <c r="J106" s="77"/>
      <c r="K106" s="41" t="n">
        <f aca="false">IF(D106&lt;=0.5,0,MIN(H106+N(J106),D106+E106+F106))</f>
        <v>0</v>
      </c>
      <c r="L106" s="41" t="n">
        <f aca="false">K106-E106-F106</f>
        <v>0</v>
      </c>
      <c r="M106" s="41" t="n">
        <f aca="false">D106-L106</f>
        <v>0</v>
      </c>
      <c r="N106" s="42" t="n">
        <f aca="false">K106-G106</f>
        <v>0</v>
      </c>
      <c r="O106" s="78"/>
      <c r="P106" s="79"/>
      <c r="Q106" s="16" t="str">
        <f aca="false">IF(K106=0,"",IF(R106=1,"Pagada",IF(C106&lt;$F$12,"Vencida",IF(80=$F$13,"Próxima","Pendiente"))))</f>
        <v/>
      </c>
      <c r="R106" s="62" t="n">
        <f aca="false">IF(AND(K106&gt;0,OR(O106="Sí",O106="Si")),1,0)</f>
        <v>0</v>
      </c>
      <c r="S106" s="62" t="n">
        <f aca="false">IF(AND(K106&gt;0,R106=0),1,0)</f>
        <v>0</v>
      </c>
    </row>
    <row r="107" customFormat="false" ht="15" hidden="false" customHeight="false" outlineLevel="0" collapsed="false">
      <c r="B107" s="71" t="str">
        <f aca="false">IF($F$6="Sí",N($C$11)+80,"")</f>
        <v/>
      </c>
      <c r="C107" s="72" t="str">
        <f aca="false">IF(OR($F$6&lt;&gt;"Sí",D107&lt;=0.5),"",EDATE($C$10,80))</f>
        <v/>
      </c>
      <c r="D107" s="41" t="n">
        <f aca="false">MAX(0,M106)</f>
        <v>0</v>
      </c>
      <c r="E107" s="41" t="n">
        <f aca="false">D107*$F$7</f>
        <v>0</v>
      </c>
      <c r="F107" s="41" t="n">
        <f aca="false">IF(D107&gt;0.5,N($C$15),0)</f>
        <v>0</v>
      </c>
      <c r="G107" s="41" t="n">
        <f aca="false">IF(AND(D107&gt;0.5,N($C$19)&gt;0,N(B107)&lt;=N($C$20)),D107*$F$8,0)</f>
        <v>0</v>
      </c>
      <c r="H107" s="41" t="n">
        <f aca="false">IF(D107&lt;=0.5,0,MIN(IF(N(I107)&gt;0,I107,$F$9),D107+E107+F107))</f>
        <v>0</v>
      </c>
      <c r="I107" s="77"/>
      <c r="J107" s="77"/>
      <c r="K107" s="41" t="n">
        <f aca="false">IF(D107&lt;=0.5,0,MIN(H107+N(J107),D107+E107+F107))</f>
        <v>0</v>
      </c>
      <c r="L107" s="41" t="n">
        <f aca="false">K107-E107-F107</f>
        <v>0</v>
      </c>
      <c r="M107" s="41" t="n">
        <f aca="false">D107-L107</f>
        <v>0</v>
      </c>
      <c r="N107" s="42" t="n">
        <f aca="false">K107-G107</f>
        <v>0</v>
      </c>
      <c r="O107" s="78"/>
      <c r="P107" s="79"/>
      <c r="Q107" s="16" t="str">
        <f aca="false">IF(K107=0,"",IF(R107=1,"Pagada",IF(C107&lt;$F$12,"Vencida",IF(81=$F$13,"Próxima","Pendiente"))))</f>
        <v/>
      </c>
      <c r="R107" s="62" t="n">
        <f aca="false">IF(AND(K107&gt;0,OR(O107="Sí",O107="Si")),1,0)</f>
        <v>0</v>
      </c>
      <c r="S107" s="62" t="n">
        <f aca="false">IF(AND(K107&gt;0,R107=0),1,0)</f>
        <v>0</v>
      </c>
    </row>
    <row r="108" customFormat="false" ht="15" hidden="false" customHeight="false" outlineLevel="0" collapsed="false">
      <c r="B108" s="71" t="str">
        <f aca="false">IF($F$6="Sí",N($C$11)+81,"")</f>
        <v/>
      </c>
      <c r="C108" s="72" t="str">
        <f aca="false">IF(OR($F$6&lt;&gt;"Sí",D108&lt;=0.5),"",EDATE($C$10,81))</f>
        <v/>
      </c>
      <c r="D108" s="41" t="n">
        <f aca="false">MAX(0,M107)</f>
        <v>0</v>
      </c>
      <c r="E108" s="41" t="n">
        <f aca="false">D108*$F$7</f>
        <v>0</v>
      </c>
      <c r="F108" s="41" t="n">
        <f aca="false">IF(D108&gt;0.5,N($C$15),0)</f>
        <v>0</v>
      </c>
      <c r="G108" s="41" t="n">
        <f aca="false">IF(AND(D108&gt;0.5,N($C$19)&gt;0,N(B108)&lt;=N($C$20)),D108*$F$8,0)</f>
        <v>0</v>
      </c>
      <c r="H108" s="41" t="n">
        <f aca="false">IF(D108&lt;=0.5,0,MIN(IF(N(I108)&gt;0,I108,$F$9),D108+E108+F108))</f>
        <v>0</v>
      </c>
      <c r="I108" s="77"/>
      <c r="J108" s="77"/>
      <c r="K108" s="41" t="n">
        <f aca="false">IF(D108&lt;=0.5,0,MIN(H108+N(J108),D108+E108+F108))</f>
        <v>0</v>
      </c>
      <c r="L108" s="41" t="n">
        <f aca="false">K108-E108-F108</f>
        <v>0</v>
      </c>
      <c r="M108" s="41" t="n">
        <f aca="false">D108-L108</f>
        <v>0</v>
      </c>
      <c r="N108" s="42" t="n">
        <f aca="false">K108-G108</f>
        <v>0</v>
      </c>
      <c r="O108" s="78"/>
      <c r="P108" s="79"/>
      <c r="Q108" s="16" t="str">
        <f aca="false">IF(K108=0,"",IF(R108=1,"Pagada",IF(C108&lt;$F$12,"Vencida",IF(82=$F$13,"Próxima","Pendiente"))))</f>
        <v/>
      </c>
      <c r="R108" s="62" t="n">
        <f aca="false">IF(AND(K108&gt;0,OR(O108="Sí",O108="Si")),1,0)</f>
        <v>0</v>
      </c>
      <c r="S108" s="62" t="n">
        <f aca="false">IF(AND(K108&gt;0,R108=0),1,0)</f>
        <v>0</v>
      </c>
    </row>
    <row r="109" customFormat="false" ht="15" hidden="false" customHeight="false" outlineLevel="0" collapsed="false">
      <c r="B109" s="71" t="str">
        <f aca="false">IF($F$6="Sí",N($C$11)+82,"")</f>
        <v/>
      </c>
      <c r="C109" s="72" t="str">
        <f aca="false">IF(OR($F$6&lt;&gt;"Sí",D109&lt;=0.5),"",EDATE($C$10,82))</f>
        <v/>
      </c>
      <c r="D109" s="41" t="n">
        <f aca="false">MAX(0,M108)</f>
        <v>0</v>
      </c>
      <c r="E109" s="41" t="n">
        <f aca="false">D109*$F$7</f>
        <v>0</v>
      </c>
      <c r="F109" s="41" t="n">
        <f aca="false">IF(D109&gt;0.5,N($C$15),0)</f>
        <v>0</v>
      </c>
      <c r="G109" s="41" t="n">
        <f aca="false">IF(AND(D109&gt;0.5,N($C$19)&gt;0,N(B109)&lt;=N($C$20)),D109*$F$8,0)</f>
        <v>0</v>
      </c>
      <c r="H109" s="41" t="n">
        <f aca="false">IF(D109&lt;=0.5,0,MIN(IF(N(I109)&gt;0,I109,$F$9),D109+E109+F109))</f>
        <v>0</v>
      </c>
      <c r="I109" s="77"/>
      <c r="J109" s="77"/>
      <c r="K109" s="41" t="n">
        <f aca="false">IF(D109&lt;=0.5,0,MIN(H109+N(J109),D109+E109+F109))</f>
        <v>0</v>
      </c>
      <c r="L109" s="41" t="n">
        <f aca="false">K109-E109-F109</f>
        <v>0</v>
      </c>
      <c r="M109" s="41" t="n">
        <f aca="false">D109-L109</f>
        <v>0</v>
      </c>
      <c r="N109" s="42" t="n">
        <f aca="false">K109-G109</f>
        <v>0</v>
      </c>
      <c r="O109" s="78"/>
      <c r="P109" s="79"/>
      <c r="Q109" s="16" t="str">
        <f aca="false">IF(K109=0,"",IF(R109=1,"Pagada",IF(C109&lt;$F$12,"Vencida",IF(83=$F$13,"Próxima","Pendiente"))))</f>
        <v/>
      </c>
      <c r="R109" s="62" t="n">
        <f aca="false">IF(AND(K109&gt;0,OR(O109="Sí",O109="Si")),1,0)</f>
        <v>0</v>
      </c>
      <c r="S109" s="62" t="n">
        <f aca="false">IF(AND(K109&gt;0,R109=0),1,0)</f>
        <v>0</v>
      </c>
    </row>
    <row r="110" customFormat="false" ht="15" hidden="false" customHeight="false" outlineLevel="0" collapsed="false">
      <c r="B110" s="71" t="str">
        <f aca="false">IF($F$6="Sí",N($C$11)+83,"")</f>
        <v/>
      </c>
      <c r="C110" s="72" t="str">
        <f aca="false">IF(OR($F$6&lt;&gt;"Sí",D110&lt;=0.5),"",EDATE($C$10,83))</f>
        <v/>
      </c>
      <c r="D110" s="41" t="n">
        <f aca="false">MAX(0,M109)</f>
        <v>0</v>
      </c>
      <c r="E110" s="41" t="n">
        <f aca="false">D110*$F$7</f>
        <v>0</v>
      </c>
      <c r="F110" s="41" t="n">
        <f aca="false">IF(D110&gt;0.5,N($C$15),0)</f>
        <v>0</v>
      </c>
      <c r="G110" s="41" t="n">
        <f aca="false">IF(AND(D110&gt;0.5,N($C$19)&gt;0,N(B110)&lt;=N($C$20)),D110*$F$8,0)</f>
        <v>0</v>
      </c>
      <c r="H110" s="41" t="n">
        <f aca="false">IF(D110&lt;=0.5,0,MIN(IF(N(I110)&gt;0,I110,$F$9),D110+E110+F110))</f>
        <v>0</v>
      </c>
      <c r="I110" s="77"/>
      <c r="J110" s="77"/>
      <c r="K110" s="41" t="n">
        <f aca="false">IF(D110&lt;=0.5,0,MIN(H110+N(J110),D110+E110+F110))</f>
        <v>0</v>
      </c>
      <c r="L110" s="41" t="n">
        <f aca="false">K110-E110-F110</f>
        <v>0</v>
      </c>
      <c r="M110" s="41" t="n">
        <f aca="false">D110-L110</f>
        <v>0</v>
      </c>
      <c r="N110" s="42" t="n">
        <f aca="false">K110-G110</f>
        <v>0</v>
      </c>
      <c r="O110" s="78"/>
      <c r="P110" s="79"/>
      <c r="Q110" s="16" t="str">
        <f aca="false">IF(K110=0,"",IF(R110=1,"Pagada",IF(C110&lt;$F$12,"Vencida",IF(84=$F$13,"Próxima","Pendiente"))))</f>
        <v/>
      </c>
      <c r="R110" s="62" t="n">
        <f aca="false">IF(AND(K110&gt;0,OR(O110="Sí",O110="Si")),1,0)</f>
        <v>0</v>
      </c>
      <c r="S110" s="62" t="n">
        <f aca="false">IF(AND(K110&gt;0,R110=0),1,0)</f>
        <v>0</v>
      </c>
    </row>
    <row r="111" customFormat="false" ht="15" hidden="false" customHeight="false" outlineLevel="0" collapsed="false">
      <c r="B111" s="71" t="str">
        <f aca="false">IF($F$6="Sí",N($C$11)+84,"")</f>
        <v/>
      </c>
      <c r="C111" s="72" t="str">
        <f aca="false">IF(OR($F$6&lt;&gt;"Sí",D111&lt;=0.5),"",EDATE($C$10,84))</f>
        <v/>
      </c>
      <c r="D111" s="41" t="n">
        <f aca="false">MAX(0,M110)</f>
        <v>0</v>
      </c>
      <c r="E111" s="41" t="n">
        <f aca="false">D111*$F$7</f>
        <v>0</v>
      </c>
      <c r="F111" s="41" t="n">
        <f aca="false">IF(D111&gt;0.5,N($C$15),0)</f>
        <v>0</v>
      </c>
      <c r="G111" s="41" t="n">
        <f aca="false">IF(AND(D111&gt;0.5,N($C$19)&gt;0,N(B111)&lt;=N($C$20)),D111*$F$8,0)</f>
        <v>0</v>
      </c>
      <c r="H111" s="41" t="n">
        <f aca="false">IF(D111&lt;=0.5,0,MIN(IF(N(I111)&gt;0,I111,$F$9),D111+E111+F111))</f>
        <v>0</v>
      </c>
      <c r="I111" s="77"/>
      <c r="J111" s="77"/>
      <c r="K111" s="41" t="n">
        <f aca="false">IF(D111&lt;=0.5,0,MIN(H111+N(J111),D111+E111+F111))</f>
        <v>0</v>
      </c>
      <c r="L111" s="41" t="n">
        <f aca="false">K111-E111-F111</f>
        <v>0</v>
      </c>
      <c r="M111" s="41" t="n">
        <f aca="false">D111-L111</f>
        <v>0</v>
      </c>
      <c r="N111" s="42" t="n">
        <f aca="false">K111-G111</f>
        <v>0</v>
      </c>
      <c r="O111" s="78"/>
      <c r="P111" s="79"/>
      <c r="Q111" s="16" t="str">
        <f aca="false">IF(K111=0,"",IF(R111=1,"Pagada",IF(C111&lt;$F$12,"Vencida",IF(85=$F$13,"Próxima","Pendiente"))))</f>
        <v/>
      </c>
      <c r="R111" s="62" t="n">
        <f aca="false">IF(AND(K111&gt;0,OR(O111="Sí",O111="Si")),1,0)</f>
        <v>0</v>
      </c>
      <c r="S111" s="62" t="n">
        <f aca="false">IF(AND(K111&gt;0,R111=0),1,0)</f>
        <v>0</v>
      </c>
    </row>
    <row r="112" customFormat="false" ht="15" hidden="false" customHeight="false" outlineLevel="0" collapsed="false">
      <c r="B112" s="71" t="str">
        <f aca="false">IF($F$6="Sí",N($C$11)+85,"")</f>
        <v/>
      </c>
      <c r="C112" s="72" t="str">
        <f aca="false">IF(OR($F$6&lt;&gt;"Sí",D112&lt;=0.5),"",EDATE($C$10,85))</f>
        <v/>
      </c>
      <c r="D112" s="41" t="n">
        <f aca="false">MAX(0,M111)</f>
        <v>0</v>
      </c>
      <c r="E112" s="41" t="n">
        <f aca="false">D112*$F$7</f>
        <v>0</v>
      </c>
      <c r="F112" s="41" t="n">
        <f aca="false">IF(D112&gt;0.5,N($C$15),0)</f>
        <v>0</v>
      </c>
      <c r="G112" s="41" t="n">
        <f aca="false">IF(AND(D112&gt;0.5,N($C$19)&gt;0,N(B112)&lt;=N($C$20)),D112*$F$8,0)</f>
        <v>0</v>
      </c>
      <c r="H112" s="41" t="n">
        <f aca="false">IF(D112&lt;=0.5,0,MIN(IF(N(I112)&gt;0,I112,$F$9),D112+E112+F112))</f>
        <v>0</v>
      </c>
      <c r="I112" s="77"/>
      <c r="J112" s="77"/>
      <c r="K112" s="41" t="n">
        <f aca="false">IF(D112&lt;=0.5,0,MIN(H112+N(J112),D112+E112+F112))</f>
        <v>0</v>
      </c>
      <c r="L112" s="41" t="n">
        <f aca="false">K112-E112-F112</f>
        <v>0</v>
      </c>
      <c r="M112" s="41" t="n">
        <f aca="false">D112-L112</f>
        <v>0</v>
      </c>
      <c r="N112" s="42" t="n">
        <f aca="false">K112-G112</f>
        <v>0</v>
      </c>
      <c r="O112" s="78"/>
      <c r="P112" s="79"/>
      <c r="Q112" s="16" t="str">
        <f aca="false">IF(K112=0,"",IF(R112=1,"Pagada",IF(C112&lt;$F$12,"Vencida",IF(86=$F$13,"Próxima","Pendiente"))))</f>
        <v/>
      </c>
      <c r="R112" s="62" t="n">
        <f aca="false">IF(AND(K112&gt;0,OR(O112="Sí",O112="Si")),1,0)</f>
        <v>0</v>
      </c>
      <c r="S112" s="62" t="n">
        <f aca="false">IF(AND(K112&gt;0,R112=0),1,0)</f>
        <v>0</v>
      </c>
    </row>
    <row r="113" customFormat="false" ht="15" hidden="false" customHeight="false" outlineLevel="0" collapsed="false">
      <c r="B113" s="71" t="str">
        <f aca="false">IF($F$6="Sí",N($C$11)+86,"")</f>
        <v/>
      </c>
      <c r="C113" s="72" t="str">
        <f aca="false">IF(OR($F$6&lt;&gt;"Sí",D113&lt;=0.5),"",EDATE($C$10,86))</f>
        <v/>
      </c>
      <c r="D113" s="41" t="n">
        <f aca="false">MAX(0,M112)</f>
        <v>0</v>
      </c>
      <c r="E113" s="41" t="n">
        <f aca="false">D113*$F$7</f>
        <v>0</v>
      </c>
      <c r="F113" s="41" t="n">
        <f aca="false">IF(D113&gt;0.5,N($C$15),0)</f>
        <v>0</v>
      </c>
      <c r="G113" s="41" t="n">
        <f aca="false">IF(AND(D113&gt;0.5,N($C$19)&gt;0,N(B113)&lt;=N($C$20)),D113*$F$8,0)</f>
        <v>0</v>
      </c>
      <c r="H113" s="41" t="n">
        <f aca="false">IF(D113&lt;=0.5,0,MIN(IF(N(I113)&gt;0,I113,$F$9),D113+E113+F113))</f>
        <v>0</v>
      </c>
      <c r="I113" s="77"/>
      <c r="J113" s="77"/>
      <c r="K113" s="41" t="n">
        <f aca="false">IF(D113&lt;=0.5,0,MIN(H113+N(J113),D113+E113+F113))</f>
        <v>0</v>
      </c>
      <c r="L113" s="41" t="n">
        <f aca="false">K113-E113-F113</f>
        <v>0</v>
      </c>
      <c r="M113" s="41" t="n">
        <f aca="false">D113-L113</f>
        <v>0</v>
      </c>
      <c r="N113" s="42" t="n">
        <f aca="false">K113-G113</f>
        <v>0</v>
      </c>
      <c r="O113" s="78"/>
      <c r="P113" s="79"/>
      <c r="Q113" s="16" t="str">
        <f aca="false">IF(K113=0,"",IF(R113=1,"Pagada",IF(C113&lt;$F$12,"Vencida",IF(87=$F$13,"Próxima","Pendiente"))))</f>
        <v/>
      </c>
      <c r="R113" s="62" t="n">
        <f aca="false">IF(AND(K113&gt;0,OR(O113="Sí",O113="Si")),1,0)</f>
        <v>0</v>
      </c>
      <c r="S113" s="62" t="n">
        <f aca="false">IF(AND(K113&gt;0,R113=0),1,0)</f>
        <v>0</v>
      </c>
    </row>
    <row r="114" customFormat="false" ht="15" hidden="false" customHeight="false" outlineLevel="0" collapsed="false">
      <c r="B114" s="71" t="str">
        <f aca="false">IF($F$6="Sí",N($C$11)+87,"")</f>
        <v/>
      </c>
      <c r="C114" s="72" t="str">
        <f aca="false">IF(OR($F$6&lt;&gt;"Sí",D114&lt;=0.5),"",EDATE($C$10,87))</f>
        <v/>
      </c>
      <c r="D114" s="41" t="n">
        <f aca="false">MAX(0,M113)</f>
        <v>0</v>
      </c>
      <c r="E114" s="41" t="n">
        <f aca="false">D114*$F$7</f>
        <v>0</v>
      </c>
      <c r="F114" s="41" t="n">
        <f aca="false">IF(D114&gt;0.5,N($C$15),0)</f>
        <v>0</v>
      </c>
      <c r="G114" s="41" t="n">
        <f aca="false">IF(AND(D114&gt;0.5,N($C$19)&gt;0,N(B114)&lt;=N($C$20)),D114*$F$8,0)</f>
        <v>0</v>
      </c>
      <c r="H114" s="41" t="n">
        <f aca="false">IF(D114&lt;=0.5,0,MIN(IF(N(I114)&gt;0,I114,$F$9),D114+E114+F114))</f>
        <v>0</v>
      </c>
      <c r="I114" s="77"/>
      <c r="J114" s="77"/>
      <c r="K114" s="41" t="n">
        <f aca="false">IF(D114&lt;=0.5,0,MIN(H114+N(J114),D114+E114+F114))</f>
        <v>0</v>
      </c>
      <c r="L114" s="41" t="n">
        <f aca="false">K114-E114-F114</f>
        <v>0</v>
      </c>
      <c r="M114" s="41" t="n">
        <f aca="false">D114-L114</f>
        <v>0</v>
      </c>
      <c r="N114" s="42" t="n">
        <f aca="false">K114-G114</f>
        <v>0</v>
      </c>
      <c r="O114" s="78"/>
      <c r="P114" s="79"/>
      <c r="Q114" s="16" t="str">
        <f aca="false">IF(K114=0,"",IF(R114=1,"Pagada",IF(C114&lt;$F$12,"Vencida",IF(88=$F$13,"Próxima","Pendiente"))))</f>
        <v/>
      </c>
      <c r="R114" s="62" t="n">
        <f aca="false">IF(AND(K114&gt;0,OR(O114="Sí",O114="Si")),1,0)</f>
        <v>0</v>
      </c>
      <c r="S114" s="62" t="n">
        <f aca="false">IF(AND(K114&gt;0,R114=0),1,0)</f>
        <v>0</v>
      </c>
    </row>
    <row r="115" customFormat="false" ht="15" hidden="false" customHeight="false" outlineLevel="0" collapsed="false">
      <c r="B115" s="71" t="str">
        <f aca="false">IF($F$6="Sí",N($C$11)+88,"")</f>
        <v/>
      </c>
      <c r="C115" s="72" t="str">
        <f aca="false">IF(OR($F$6&lt;&gt;"Sí",D115&lt;=0.5),"",EDATE($C$10,88))</f>
        <v/>
      </c>
      <c r="D115" s="41" t="n">
        <f aca="false">MAX(0,M114)</f>
        <v>0</v>
      </c>
      <c r="E115" s="41" t="n">
        <f aca="false">D115*$F$7</f>
        <v>0</v>
      </c>
      <c r="F115" s="41" t="n">
        <f aca="false">IF(D115&gt;0.5,N($C$15),0)</f>
        <v>0</v>
      </c>
      <c r="G115" s="41" t="n">
        <f aca="false">IF(AND(D115&gt;0.5,N($C$19)&gt;0,N(B115)&lt;=N($C$20)),D115*$F$8,0)</f>
        <v>0</v>
      </c>
      <c r="H115" s="41" t="n">
        <f aca="false">IF(D115&lt;=0.5,0,MIN(IF(N(I115)&gt;0,I115,$F$9),D115+E115+F115))</f>
        <v>0</v>
      </c>
      <c r="I115" s="77"/>
      <c r="J115" s="77"/>
      <c r="K115" s="41" t="n">
        <f aca="false">IF(D115&lt;=0.5,0,MIN(H115+N(J115),D115+E115+F115))</f>
        <v>0</v>
      </c>
      <c r="L115" s="41" t="n">
        <f aca="false">K115-E115-F115</f>
        <v>0</v>
      </c>
      <c r="M115" s="41" t="n">
        <f aca="false">D115-L115</f>
        <v>0</v>
      </c>
      <c r="N115" s="42" t="n">
        <f aca="false">K115-G115</f>
        <v>0</v>
      </c>
      <c r="O115" s="78"/>
      <c r="P115" s="79"/>
      <c r="Q115" s="16" t="str">
        <f aca="false">IF(K115=0,"",IF(R115=1,"Pagada",IF(C115&lt;$F$12,"Vencida",IF(89=$F$13,"Próxima","Pendiente"))))</f>
        <v/>
      </c>
      <c r="R115" s="62" t="n">
        <f aca="false">IF(AND(K115&gt;0,OR(O115="Sí",O115="Si")),1,0)</f>
        <v>0</v>
      </c>
      <c r="S115" s="62" t="n">
        <f aca="false">IF(AND(K115&gt;0,R115=0),1,0)</f>
        <v>0</v>
      </c>
    </row>
    <row r="116" customFormat="false" ht="15" hidden="false" customHeight="false" outlineLevel="0" collapsed="false">
      <c r="B116" s="71" t="str">
        <f aca="false">IF($F$6="Sí",N($C$11)+89,"")</f>
        <v/>
      </c>
      <c r="C116" s="72" t="str">
        <f aca="false">IF(OR($F$6&lt;&gt;"Sí",D116&lt;=0.5),"",EDATE($C$10,89))</f>
        <v/>
      </c>
      <c r="D116" s="41" t="n">
        <f aca="false">MAX(0,M115)</f>
        <v>0</v>
      </c>
      <c r="E116" s="41" t="n">
        <f aca="false">D116*$F$7</f>
        <v>0</v>
      </c>
      <c r="F116" s="41" t="n">
        <f aca="false">IF(D116&gt;0.5,N($C$15),0)</f>
        <v>0</v>
      </c>
      <c r="G116" s="41" t="n">
        <f aca="false">IF(AND(D116&gt;0.5,N($C$19)&gt;0,N(B116)&lt;=N($C$20)),D116*$F$8,0)</f>
        <v>0</v>
      </c>
      <c r="H116" s="41" t="n">
        <f aca="false">IF(D116&lt;=0.5,0,MIN(IF(N(I116)&gt;0,I116,$F$9),D116+E116+F116))</f>
        <v>0</v>
      </c>
      <c r="I116" s="77"/>
      <c r="J116" s="77"/>
      <c r="K116" s="41" t="n">
        <f aca="false">IF(D116&lt;=0.5,0,MIN(H116+N(J116),D116+E116+F116))</f>
        <v>0</v>
      </c>
      <c r="L116" s="41" t="n">
        <f aca="false">K116-E116-F116</f>
        <v>0</v>
      </c>
      <c r="M116" s="41" t="n">
        <f aca="false">D116-L116</f>
        <v>0</v>
      </c>
      <c r="N116" s="42" t="n">
        <f aca="false">K116-G116</f>
        <v>0</v>
      </c>
      <c r="O116" s="78"/>
      <c r="P116" s="79"/>
      <c r="Q116" s="16" t="str">
        <f aca="false">IF(K116=0,"",IF(R116=1,"Pagada",IF(C116&lt;$F$12,"Vencida",IF(90=$F$13,"Próxima","Pendiente"))))</f>
        <v/>
      </c>
      <c r="R116" s="62" t="n">
        <f aca="false">IF(AND(K116&gt;0,OR(O116="Sí",O116="Si")),1,0)</f>
        <v>0</v>
      </c>
      <c r="S116" s="62" t="n">
        <f aca="false">IF(AND(K116&gt;0,R116=0),1,0)</f>
        <v>0</v>
      </c>
    </row>
    <row r="117" customFormat="false" ht="15" hidden="false" customHeight="false" outlineLevel="0" collapsed="false">
      <c r="B117" s="71" t="str">
        <f aca="false">IF($F$6="Sí",N($C$11)+90,"")</f>
        <v/>
      </c>
      <c r="C117" s="72" t="str">
        <f aca="false">IF(OR($F$6&lt;&gt;"Sí",D117&lt;=0.5),"",EDATE($C$10,90))</f>
        <v/>
      </c>
      <c r="D117" s="41" t="n">
        <f aca="false">MAX(0,M116)</f>
        <v>0</v>
      </c>
      <c r="E117" s="41" t="n">
        <f aca="false">D117*$F$7</f>
        <v>0</v>
      </c>
      <c r="F117" s="41" t="n">
        <f aca="false">IF(D117&gt;0.5,N($C$15),0)</f>
        <v>0</v>
      </c>
      <c r="G117" s="41" t="n">
        <f aca="false">IF(AND(D117&gt;0.5,N($C$19)&gt;0,N(B117)&lt;=N($C$20)),D117*$F$8,0)</f>
        <v>0</v>
      </c>
      <c r="H117" s="41" t="n">
        <f aca="false">IF(D117&lt;=0.5,0,MIN(IF(N(I117)&gt;0,I117,$F$9),D117+E117+F117))</f>
        <v>0</v>
      </c>
      <c r="I117" s="77"/>
      <c r="J117" s="77"/>
      <c r="K117" s="41" t="n">
        <f aca="false">IF(D117&lt;=0.5,0,MIN(H117+N(J117),D117+E117+F117))</f>
        <v>0</v>
      </c>
      <c r="L117" s="41" t="n">
        <f aca="false">K117-E117-F117</f>
        <v>0</v>
      </c>
      <c r="M117" s="41" t="n">
        <f aca="false">D117-L117</f>
        <v>0</v>
      </c>
      <c r="N117" s="42" t="n">
        <f aca="false">K117-G117</f>
        <v>0</v>
      </c>
      <c r="O117" s="78"/>
      <c r="P117" s="79"/>
      <c r="Q117" s="16" t="str">
        <f aca="false">IF(K117=0,"",IF(R117=1,"Pagada",IF(C117&lt;$F$12,"Vencida",IF(91=$F$13,"Próxima","Pendiente"))))</f>
        <v/>
      </c>
      <c r="R117" s="62" t="n">
        <f aca="false">IF(AND(K117&gt;0,OR(O117="Sí",O117="Si")),1,0)</f>
        <v>0</v>
      </c>
      <c r="S117" s="62" t="n">
        <f aca="false">IF(AND(K117&gt;0,R117=0),1,0)</f>
        <v>0</v>
      </c>
    </row>
    <row r="118" customFormat="false" ht="15" hidden="false" customHeight="false" outlineLevel="0" collapsed="false">
      <c r="B118" s="71" t="str">
        <f aca="false">IF($F$6="Sí",N($C$11)+91,"")</f>
        <v/>
      </c>
      <c r="C118" s="72" t="str">
        <f aca="false">IF(OR($F$6&lt;&gt;"Sí",D118&lt;=0.5),"",EDATE($C$10,91))</f>
        <v/>
      </c>
      <c r="D118" s="41" t="n">
        <f aca="false">MAX(0,M117)</f>
        <v>0</v>
      </c>
      <c r="E118" s="41" t="n">
        <f aca="false">D118*$F$7</f>
        <v>0</v>
      </c>
      <c r="F118" s="41" t="n">
        <f aca="false">IF(D118&gt;0.5,N($C$15),0)</f>
        <v>0</v>
      </c>
      <c r="G118" s="41" t="n">
        <f aca="false">IF(AND(D118&gt;0.5,N($C$19)&gt;0,N(B118)&lt;=N($C$20)),D118*$F$8,0)</f>
        <v>0</v>
      </c>
      <c r="H118" s="41" t="n">
        <f aca="false">IF(D118&lt;=0.5,0,MIN(IF(N(I118)&gt;0,I118,$F$9),D118+E118+F118))</f>
        <v>0</v>
      </c>
      <c r="I118" s="77"/>
      <c r="J118" s="77"/>
      <c r="K118" s="41" t="n">
        <f aca="false">IF(D118&lt;=0.5,0,MIN(H118+N(J118),D118+E118+F118))</f>
        <v>0</v>
      </c>
      <c r="L118" s="41" t="n">
        <f aca="false">K118-E118-F118</f>
        <v>0</v>
      </c>
      <c r="M118" s="41" t="n">
        <f aca="false">D118-L118</f>
        <v>0</v>
      </c>
      <c r="N118" s="42" t="n">
        <f aca="false">K118-G118</f>
        <v>0</v>
      </c>
      <c r="O118" s="78"/>
      <c r="P118" s="79"/>
      <c r="Q118" s="16" t="str">
        <f aca="false">IF(K118=0,"",IF(R118=1,"Pagada",IF(C118&lt;$F$12,"Vencida",IF(92=$F$13,"Próxima","Pendiente"))))</f>
        <v/>
      </c>
      <c r="R118" s="62" t="n">
        <f aca="false">IF(AND(K118&gt;0,OR(O118="Sí",O118="Si")),1,0)</f>
        <v>0</v>
      </c>
      <c r="S118" s="62" t="n">
        <f aca="false">IF(AND(K118&gt;0,R118=0),1,0)</f>
        <v>0</v>
      </c>
    </row>
    <row r="119" customFormat="false" ht="15" hidden="false" customHeight="false" outlineLevel="0" collapsed="false">
      <c r="B119" s="71" t="str">
        <f aca="false">IF($F$6="Sí",N($C$11)+92,"")</f>
        <v/>
      </c>
      <c r="C119" s="72" t="str">
        <f aca="false">IF(OR($F$6&lt;&gt;"Sí",D119&lt;=0.5),"",EDATE($C$10,92))</f>
        <v/>
      </c>
      <c r="D119" s="41" t="n">
        <f aca="false">MAX(0,M118)</f>
        <v>0</v>
      </c>
      <c r="E119" s="41" t="n">
        <f aca="false">D119*$F$7</f>
        <v>0</v>
      </c>
      <c r="F119" s="41" t="n">
        <f aca="false">IF(D119&gt;0.5,N($C$15),0)</f>
        <v>0</v>
      </c>
      <c r="G119" s="41" t="n">
        <f aca="false">IF(AND(D119&gt;0.5,N($C$19)&gt;0,N(B119)&lt;=N($C$20)),D119*$F$8,0)</f>
        <v>0</v>
      </c>
      <c r="H119" s="41" t="n">
        <f aca="false">IF(D119&lt;=0.5,0,MIN(IF(N(I119)&gt;0,I119,$F$9),D119+E119+F119))</f>
        <v>0</v>
      </c>
      <c r="I119" s="77"/>
      <c r="J119" s="77"/>
      <c r="K119" s="41" t="n">
        <f aca="false">IF(D119&lt;=0.5,0,MIN(H119+N(J119),D119+E119+F119))</f>
        <v>0</v>
      </c>
      <c r="L119" s="41" t="n">
        <f aca="false">K119-E119-F119</f>
        <v>0</v>
      </c>
      <c r="M119" s="41" t="n">
        <f aca="false">D119-L119</f>
        <v>0</v>
      </c>
      <c r="N119" s="42" t="n">
        <f aca="false">K119-G119</f>
        <v>0</v>
      </c>
      <c r="O119" s="78"/>
      <c r="P119" s="79"/>
      <c r="Q119" s="16" t="str">
        <f aca="false">IF(K119=0,"",IF(R119=1,"Pagada",IF(C119&lt;$F$12,"Vencida",IF(93=$F$13,"Próxima","Pendiente"))))</f>
        <v/>
      </c>
      <c r="R119" s="62" t="n">
        <f aca="false">IF(AND(K119&gt;0,OR(O119="Sí",O119="Si")),1,0)</f>
        <v>0</v>
      </c>
      <c r="S119" s="62" t="n">
        <f aca="false">IF(AND(K119&gt;0,R119=0),1,0)</f>
        <v>0</v>
      </c>
    </row>
    <row r="120" customFormat="false" ht="15" hidden="false" customHeight="false" outlineLevel="0" collapsed="false">
      <c r="B120" s="71" t="str">
        <f aca="false">IF($F$6="Sí",N($C$11)+93,"")</f>
        <v/>
      </c>
      <c r="C120" s="72" t="str">
        <f aca="false">IF(OR($F$6&lt;&gt;"Sí",D120&lt;=0.5),"",EDATE($C$10,93))</f>
        <v/>
      </c>
      <c r="D120" s="41" t="n">
        <f aca="false">MAX(0,M119)</f>
        <v>0</v>
      </c>
      <c r="E120" s="41" t="n">
        <f aca="false">D120*$F$7</f>
        <v>0</v>
      </c>
      <c r="F120" s="41" t="n">
        <f aca="false">IF(D120&gt;0.5,N($C$15),0)</f>
        <v>0</v>
      </c>
      <c r="G120" s="41" t="n">
        <f aca="false">IF(AND(D120&gt;0.5,N($C$19)&gt;0,N(B120)&lt;=N($C$20)),D120*$F$8,0)</f>
        <v>0</v>
      </c>
      <c r="H120" s="41" t="n">
        <f aca="false">IF(D120&lt;=0.5,0,MIN(IF(N(I120)&gt;0,I120,$F$9),D120+E120+F120))</f>
        <v>0</v>
      </c>
      <c r="I120" s="77"/>
      <c r="J120" s="77"/>
      <c r="K120" s="41" t="n">
        <f aca="false">IF(D120&lt;=0.5,0,MIN(H120+N(J120),D120+E120+F120))</f>
        <v>0</v>
      </c>
      <c r="L120" s="41" t="n">
        <f aca="false">K120-E120-F120</f>
        <v>0</v>
      </c>
      <c r="M120" s="41" t="n">
        <f aca="false">D120-L120</f>
        <v>0</v>
      </c>
      <c r="N120" s="42" t="n">
        <f aca="false">K120-G120</f>
        <v>0</v>
      </c>
      <c r="O120" s="78"/>
      <c r="P120" s="79"/>
      <c r="Q120" s="16" t="str">
        <f aca="false">IF(K120=0,"",IF(R120=1,"Pagada",IF(C120&lt;$F$12,"Vencida",IF(94=$F$13,"Próxima","Pendiente"))))</f>
        <v/>
      </c>
      <c r="R120" s="62" t="n">
        <f aca="false">IF(AND(K120&gt;0,OR(O120="Sí",O120="Si")),1,0)</f>
        <v>0</v>
      </c>
      <c r="S120" s="62" t="n">
        <f aca="false">IF(AND(K120&gt;0,R120=0),1,0)</f>
        <v>0</v>
      </c>
    </row>
    <row r="121" customFormat="false" ht="15" hidden="false" customHeight="false" outlineLevel="0" collapsed="false">
      <c r="B121" s="71" t="str">
        <f aca="false">IF($F$6="Sí",N($C$11)+94,"")</f>
        <v/>
      </c>
      <c r="C121" s="72" t="str">
        <f aca="false">IF(OR($F$6&lt;&gt;"Sí",D121&lt;=0.5),"",EDATE($C$10,94))</f>
        <v/>
      </c>
      <c r="D121" s="41" t="n">
        <f aca="false">MAX(0,M120)</f>
        <v>0</v>
      </c>
      <c r="E121" s="41" t="n">
        <f aca="false">D121*$F$7</f>
        <v>0</v>
      </c>
      <c r="F121" s="41" t="n">
        <f aca="false">IF(D121&gt;0.5,N($C$15),0)</f>
        <v>0</v>
      </c>
      <c r="G121" s="41" t="n">
        <f aca="false">IF(AND(D121&gt;0.5,N($C$19)&gt;0,N(B121)&lt;=N($C$20)),D121*$F$8,0)</f>
        <v>0</v>
      </c>
      <c r="H121" s="41" t="n">
        <f aca="false">IF(D121&lt;=0.5,0,MIN(IF(N(I121)&gt;0,I121,$F$9),D121+E121+F121))</f>
        <v>0</v>
      </c>
      <c r="I121" s="77"/>
      <c r="J121" s="77"/>
      <c r="K121" s="41" t="n">
        <f aca="false">IF(D121&lt;=0.5,0,MIN(H121+N(J121),D121+E121+F121))</f>
        <v>0</v>
      </c>
      <c r="L121" s="41" t="n">
        <f aca="false">K121-E121-F121</f>
        <v>0</v>
      </c>
      <c r="M121" s="41" t="n">
        <f aca="false">D121-L121</f>
        <v>0</v>
      </c>
      <c r="N121" s="42" t="n">
        <f aca="false">K121-G121</f>
        <v>0</v>
      </c>
      <c r="O121" s="78"/>
      <c r="P121" s="79"/>
      <c r="Q121" s="16" t="str">
        <f aca="false">IF(K121=0,"",IF(R121=1,"Pagada",IF(C121&lt;$F$12,"Vencida",IF(95=$F$13,"Próxima","Pendiente"))))</f>
        <v/>
      </c>
      <c r="R121" s="62" t="n">
        <f aca="false">IF(AND(K121&gt;0,OR(O121="Sí",O121="Si")),1,0)</f>
        <v>0</v>
      </c>
      <c r="S121" s="62" t="n">
        <f aca="false">IF(AND(K121&gt;0,R121=0),1,0)</f>
        <v>0</v>
      </c>
    </row>
    <row r="122" customFormat="false" ht="15" hidden="false" customHeight="false" outlineLevel="0" collapsed="false">
      <c r="B122" s="71" t="str">
        <f aca="false">IF($F$6="Sí",N($C$11)+95,"")</f>
        <v/>
      </c>
      <c r="C122" s="72" t="str">
        <f aca="false">IF(OR($F$6&lt;&gt;"Sí",D122&lt;=0.5),"",EDATE($C$10,95))</f>
        <v/>
      </c>
      <c r="D122" s="41" t="n">
        <f aca="false">MAX(0,M121)</f>
        <v>0</v>
      </c>
      <c r="E122" s="41" t="n">
        <f aca="false">D122*$F$7</f>
        <v>0</v>
      </c>
      <c r="F122" s="41" t="n">
        <f aca="false">IF(D122&gt;0.5,N($C$15),0)</f>
        <v>0</v>
      </c>
      <c r="G122" s="41" t="n">
        <f aca="false">IF(AND(D122&gt;0.5,N($C$19)&gt;0,N(B122)&lt;=N($C$20)),D122*$F$8,0)</f>
        <v>0</v>
      </c>
      <c r="H122" s="41" t="n">
        <f aca="false">IF(D122&lt;=0.5,0,MIN(IF(N(I122)&gt;0,I122,$F$9),D122+E122+F122))</f>
        <v>0</v>
      </c>
      <c r="I122" s="77"/>
      <c r="J122" s="77"/>
      <c r="K122" s="41" t="n">
        <f aca="false">IF(D122&lt;=0.5,0,MIN(H122+N(J122),D122+E122+F122))</f>
        <v>0</v>
      </c>
      <c r="L122" s="41" t="n">
        <f aca="false">K122-E122-F122</f>
        <v>0</v>
      </c>
      <c r="M122" s="41" t="n">
        <f aca="false">D122-L122</f>
        <v>0</v>
      </c>
      <c r="N122" s="42" t="n">
        <f aca="false">K122-G122</f>
        <v>0</v>
      </c>
      <c r="O122" s="78"/>
      <c r="P122" s="79"/>
      <c r="Q122" s="16" t="str">
        <f aca="false">IF(K122=0,"",IF(R122=1,"Pagada",IF(C122&lt;$F$12,"Vencida",IF(96=$F$13,"Próxima","Pendiente"))))</f>
        <v/>
      </c>
      <c r="R122" s="62" t="n">
        <f aca="false">IF(AND(K122&gt;0,OR(O122="Sí",O122="Si")),1,0)</f>
        <v>0</v>
      </c>
      <c r="S122" s="62" t="n">
        <f aca="false">IF(AND(K122&gt;0,R122=0),1,0)</f>
        <v>0</v>
      </c>
    </row>
    <row r="123" customFormat="false" ht="15" hidden="false" customHeight="false" outlineLevel="0" collapsed="false">
      <c r="B123" s="71" t="str">
        <f aca="false">IF($F$6="Sí",N($C$11)+96,"")</f>
        <v/>
      </c>
      <c r="C123" s="72" t="str">
        <f aca="false">IF(OR($F$6&lt;&gt;"Sí",D123&lt;=0.5),"",EDATE($C$10,96))</f>
        <v/>
      </c>
      <c r="D123" s="41" t="n">
        <f aca="false">MAX(0,M122)</f>
        <v>0</v>
      </c>
      <c r="E123" s="41" t="n">
        <f aca="false">D123*$F$7</f>
        <v>0</v>
      </c>
      <c r="F123" s="41" t="n">
        <f aca="false">IF(D123&gt;0.5,N($C$15),0)</f>
        <v>0</v>
      </c>
      <c r="G123" s="41" t="n">
        <f aca="false">IF(AND(D123&gt;0.5,N($C$19)&gt;0,N(B123)&lt;=N($C$20)),D123*$F$8,0)</f>
        <v>0</v>
      </c>
      <c r="H123" s="41" t="n">
        <f aca="false">IF(D123&lt;=0.5,0,MIN(IF(N(I123)&gt;0,I123,$F$9),D123+E123+F123))</f>
        <v>0</v>
      </c>
      <c r="I123" s="77"/>
      <c r="J123" s="77"/>
      <c r="K123" s="41" t="n">
        <f aca="false">IF(D123&lt;=0.5,0,MIN(H123+N(J123),D123+E123+F123))</f>
        <v>0</v>
      </c>
      <c r="L123" s="41" t="n">
        <f aca="false">K123-E123-F123</f>
        <v>0</v>
      </c>
      <c r="M123" s="41" t="n">
        <f aca="false">D123-L123</f>
        <v>0</v>
      </c>
      <c r="N123" s="42" t="n">
        <f aca="false">K123-G123</f>
        <v>0</v>
      </c>
      <c r="O123" s="78"/>
      <c r="P123" s="79"/>
      <c r="Q123" s="16" t="str">
        <f aca="false">IF(K123=0,"",IF(R123=1,"Pagada",IF(C123&lt;$F$12,"Vencida",IF(97=$F$13,"Próxima","Pendiente"))))</f>
        <v/>
      </c>
      <c r="R123" s="62" t="n">
        <f aca="false">IF(AND(K123&gt;0,OR(O123="Sí",O123="Si")),1,0)</f>
        <v>0</v>
      </c>
      <c r="S123" s="62" t="n">
        <f aca="false">IF(AND(K123&gt;0,R123=0),1,0)</f>
        <v>0</v>
      </c>
    </row>
    <row r="124" customFormat="false" ht="15" hidden="false" customHeight="false" outlineLevel="0" collapsed="false">
      <c r="B124" s="71" t="str">
        <f aca="false">IF($F$6="Sí",N($C$11)+97,"")</f>
        <v/>
      </c>
      <c r="C124" s="72" t="str">
        <f aca="false">IF(OR($F$6&lt;&gt;"Sí",D124&lt;=0.5),"",EDATE($C$10,97))</f>
        <v/>
      </c>
      <c r="D124" s="41" t="n">
        <f aca="false">MAX(0,M123)</f>
        <v>0</v>
      </c>
      <c r="E124" s="41" t="n">
        <f aca="false">D124*$F$7</f>
        <v>0</v>
      </c>
      <c r="F124" s="41" t="n">
        <f aca="false">IF(D124&gt;0.5,N($C$15),0)</f>
        <v>0</v>
      </c>
      <c r="G124" s="41" t="n">
        <f aca="false">IF(AND(D124&gt;0.5,N($C$19)&gt;0,N(B124)&lt;=N($C$20)),D124*$F$8,0)</f>
        <v>0</v>
      </c>
      <c r="H124" s="41" t="n">
        <f aca="false">IF(D124&lt;=0.5,0,MIN(IF(N(I124)&gt;0,I124,$F$9),D124+E124+F124))</f>
        <v>0</v>
      </c>
      <c r="I124" s="77"/>
      <c r="J124" s="77"/>
      <c r="K124" s="41" t="n">
        <f aca="false">IF(D124&lt;=0.5,0,MIN(H124+N(J124),D124+E124+F124))</f>
        <v>0</v>
      </c>
      <c r="L124" s="41" t="n">
        <f aca="false">K124-E124-F124</f>
        <v>0</v>
      </c>
      <c r="M124" s="41" t="n">
        <f aca="false">D124-L124</f>
        <v>0</v>
      </c>
      <c r="N124" s="42" t="n">
        <f aca="false">K124-G124</f>
        <v>0</v>
      </c>
      <c r="O124" s="78"/>
      <c r="P124" s="79"/>
      <c r="Q124" s="16" t="str">
        <f aca="false">IF(K124=0,"",IF(R124=1,"Pagada",IF(C124&lt;$F$12,"Vencida",IF(98=$F$13,"Próxima","Pendiente"))))</f>
        <v/>
      </c>
      <c r="R124" s="62" t="n">
        <f aca="false">IF(AND(K124&gt;0,OR(O124="Sí",O124="Si")),1,0)</f>
        <v>0</v>
      </c>
      <c r="S124" s="62" t="n">
        <f aca="false">IF(AND(K124&gt;0,R124=0),1,0)</f>
        <v>0</v>
      </c>
    </row>
    <row r="125" customFormat="false" ht="15" hidden="false" customHeight="false" outlineLevel="0" collapsed="false">
      <c r="B125" s="71" t="str">
        <f aca="false">IF($F$6="Sí",N($C$11)+98,"")</f>
        <v/>
      </c>
      <c r="C125" s="72" t="str">
        <f aca="false">IF(OR($F$6&lt;&gt;"Sí",D125&lt;=0.5),"",EDATE($C$10,98))</f>
        <v/>
      </c>
      <c r="D125" s="41" t="n">
        <f aca="false">MAX(0,M124)</f>
        <v>0</v>
      </c>
      <c r="E125" s="41" t="n">
        <f aca="false">D125*$F$7</f>
        <v>0</v>
      </c>
      <c r="F125" s="41" t="n">
        <f aca="false">IF(D125&gt;0.5,N($C$15),0)</f>
        <v>0</v>
      </c>
      <c r="G125" s="41" t="n">
        <f aca="false">IF(AND(D125&gt;0.5,N($C$19)&gt;0,N(B125)&lt;=N($C$20)),D125*$F$8,0)</f>
        <v>0</v>
      </c>
      <c r="H125" s="41" t="n">
        <f aca="false">IF(D125&lt;=0.5,0,MIN(IF(N(I125)&gt;0,I125,$F$9),D125+E125+F125))</f>
        <v>0</v>
      </c>
      <c r="I125" s="77"/>
      <c r="J125" s="77"/>
      <c r="K125" s="41" t="n">
        <f aca="false">IF(D125&lt;=0.5,0,MIN(H125+N(J125),D125+E125+F125))</f>
        <v>0</v>
      </c>
      <c r="L125" s="41" t="n">
        <f aca="false">K125-E125-F125</f>
        <v>0</v>
      </c>
      <c r="M125" s="41" t="n">
        <f aca="false">D125-L125</f>
        <v>0</v>
      </c>
      <c r="N125" s="42" t="n">
        <f aca="false">K125-G125</f>
        <v>0</v>
      </c>
      <c r="O125" s="78"/>
      <c r="P125" s="79"/>
      <c r="Q125" s="16" t="str">
        <f aca="false">IF(K125=0,"",IF(R125=1,"Pagada",IF(C125&lt;$F$12,"Vencida",IF(99=$F$13,"Próxima","Pendiente"))))</f>
        <v/>
      </c>
      <c r="R125" s="62" t="n">
        <f aca="false">IF(AND(K125&gt;0,OR(O125="Sí",O125="Si")),1,0)</f>
        <v>0</v>
      </c>
      <c r="S125" s="62" t="n">
        <f aca="false">IF(AND(K125&gt;0,R125=0),1,0)</f>
        <v>0</v>
      </c>
    </row>
    <row r="126" customFormat="false" ht="15" hidden="false" customHeight="false" outlineLevel="0" collapsed="false">
      <c r="B126" s="71" t="str">
        <f aca="false">IF($F$6="Sí",N($C$11)+99,"")</f>
        <v/>
      </c>
      <c r="C126" s="72" t="str">
        <f aca="false">IF(OR($F$6&lt;&gt;"Sí",D126&lt;=0.5),"",EDATE($C$10,99))</f>
        <v/>
      </c>
      <c r="D126" s="41" t="n">
        <f aca="false">MAX(0,M125)</f>
        <v>0</v>
      </c>
      <c r="E126" s="41" t="n">
        <f aca="false">D126*$F$7</f>
        <v>0</v>
      </c>
      <c r="F126" s="41" t="n">
        <f aca="false">IF(D126&gt;0.5,N($C$15),0)</f>
        <v>0</v>
      </c>
      <c r="G126" s="41" t="n">
        <f aca="false">IF(AND(D126&gt;0.5,N($C$19)&gt;0,N(B126)&lt;=N($C$20)),D126*$F$8,0)</f>
        <v>0</v>
      </c>
      <c r="H126" s="41" t="n">
        <f aca="false">IF(D126&lt;=0.5,0,MIN(IF(N(I126)&gt;0,I126,$F$9),D126+E126+F126))</f>
        <v>0</v>
      </c>
      <c r="I126" s="77"/>
      <c r="J126" s="77"/>
      <c r="K126" s="41" t="n">
        <f aca="false">IF(D126&lt;=0.5,0,MIN(H126+N(J126),D126+E126+F126))</f>
        <v>0</v>
      </c>
      <c r="L126" s="41" t="n">
        <f aca="false">K126-E126-F126</f>
        <v>0</v>
      </c>
      <c r="M126" s="41" t="n">
        <f aca="false">D126-L126</f>
        <v>0</v>
      </c>
      <c r="N126" s="42" t="n">
        <f aca="false">K126-G126</f>
        <v>0</v>
      </c>
      <c r="O126" s="78"/>
      <c r="P126" s="79"/>
      <c r="Q126" s="16" t="str">
        <f aca="false">IF(K126=0,"",IF(R126=1,"Pagada",IF(C126&lt;$F$12,"Vencida",IF(100=$F$13,"Próxima","Pendiente"))))</f>
        <v/>
      </c>
      <c r="R126" s="62" t="n">
        <f aca="false">IF(AND(K126&gt;0,OR(O126="Sí",O126="Si")),1,0)</f>
        <v>0</v>
      </c>
      <c r="S126" s="62" t="n">
        <f aca="false">IF(AND(K126&gt;0,R126=0),1,0)</f>
        <v>0</v>
      </c>
    </row>
    <row r="127" customFormat="false" ht="15" hidden="false" customHeight="false" outlineLevel="0" collapsed="false">
      <c r="B127" s="71" t="str">
        <f aca="false">IF($F$6="Sí",N($C$11)+100,"")</f>
        <v/>
      </c>
      <c r="C127" s="72" t="str">
        <f aca="false">IF(OR($F$6&lt;&gt;"Sí",D127&lt;=0.5),"",EDATE($C$10,100))</f>
        <v/>
      </c>
      <c r="D127" s="41" t="n">
        <f aca="false">MAX(0,M126)</f>
        <v>0</v>
      </c>
      <c r="E127" s="41" t="n">
        <f aca="false">D127*$F$7</f>
        <v>0</v>
      </c>
      <c r="F127" s="41" t="n">
        <f aca="false">IF(D127&gt;0.5,N($C$15),0)</f>
        <v>0</v>
      </c>
      <c r="G127" s="41" t="n">
        <f aca="false">IF(AND(D127&gt;0.5,N($C$19)&gt;0,N(B127)&lt;=N($C$20)),D127*$F$8,0)</f>
        <v>0</v>
      </c>
      <c r="H127" s="41" t="n">
        <f aca="false">IF(D127&lt;=0.5,0,MIN(IF(N(I127)&gt;0,I127,$F$9),D127+E127+F127))</f>
        <v>0</v>
      </c>
      <c r="I127" s="77"/>
      <c r="J127" s="77"/>
      <c r="K127" s="41" t="n">
        <f aca="false">IF(D127&lt;=0.5,0,MIN(H127+N(J127),D127+E127+F127))</f>
        <v>0</v>
      </c>
      <c r="L127" s="41" t="n">
        <f aca="false">K127-E127-F127</f>
        <v>0</v>
      </c>
      <c r="M127" s="41" t="n">
        <f aca="false">D127-L127</f>
        <v>0</v>
      </c>
      <c r="N127" s="42" t="n">
        <f aca="false">K127-G127</f>
        <v>0</v>
      </c>
      <c r="O127" s="78"/>
      <c r="P127" s="79"/>
      <c r="Q127" s="16" t="str">
        <f aca="false">IF(K127=0,"",IF(R127=1,"Pagada",IF(C127&lt;$F$12,"Vencida",IF(101=$F$13,"Próxima","Pendiente"))))</f>
        <v/>
      </c>
      <c r="R127" s="62" t="n">
        <f aca="false">IF(AND(K127&gt;0,OR(O127="Sí",O127="Si")),1,0)</f>
        <v>0</v>
      </c>
      <c r="S127" s="62" t="n">
        <f aca="false">IF(AND(K127&gt;0,R127=0),1,0)</f>
        <v>0</v>
      </c>
    </row>
    <row r="128" customFormat="false" ht="15" hidden="false" customHeight="false" outlineLevel="0" collapsed="false">
      <c r="B128" s="71" t="str">
        <f aca="false">IF($F$6="Sí",N($C$11)+101,"")</f>
        <v/>
      </c>
      <c r="C128" s="72" t="str">
        <f aca="false">IF(OR($F$6&lt;&gt;"Sí",D128&lt;=0.5),"",EDATE($C$10,101))</f>
        <v/>
      </c>
      <c r="D128" s="41" t="n">
        <f aca="false">MAX(0,M127)</f>
        <v>0</v>
      </c>
      <c r="E128" s="41" t="n">
        <f aca="false">D128*$F$7</f>
        <v>0</v>
      </c>
      <c r="F128" s="41" t="n">
        <f aca="false">IF(D128&gt;0.5,N($C$15),0)</f>
        <v>0</v>
      </c>
      <c r="G128" s="41" t="n">
        <f aca="false">IF(AND(D128&gt;0.5,N($C$19)&gt;0,N(B128)&lt;=N($C$20)),D128*$F$8,0)</f>
        <v>0</v>
      </c>
      <c r="H128" s="41" t="n">
        <f aca="false">IF(D128&lt;=0.5,0,MIN(IF(N(I128)&gt;0,I128,$F$9),D128+E128+F128))</f>
        <v>0</v>
      </c>
      <c r="I128" s="77"/>
      <c r="J128" s="77"/>
      <c r="K128" s="41" t="n">
        <f aca="false">IF(D128&lt;=0.5,0,MIN(H128+N(J128),D128+E128+F128))</f>
        <v>0</v>
      </c>
      <c r="L128" s="41" t="n">
        <f aca="false">K128-E128-F128</f>
        <v>0</v>
      </c>
      <c r="M128" s="41" t="n">
        <f aca="false">D128-L128</f>
        <v>0</v>
      </c>
      <c r="N128" s="42" t="n">
        <f aca="false">K128-G128</f>
        <v>0</v>
      </c>
      <c r="O128" s="78"/>
      <c r="P128" s="79"/>
      <c r="Q128" s="16" t="str">
        <f aca="false">IF(K128=0,"",IF(R128=1,"Pagada",IF(C128&lt;$F$12,"Vencida",IF(102=$F$13,"Próxima","Pendiente"))))</f>
        <v/>
      </c>
      <c r="R128" s="62" t="n">
        <f aca="false">IF(AND(K128&gt;0,OR(O128="Sí",O128="Si")),1,0)</f>
        <v>0</v>
      </c>
      <c r="S128" s="62" t="n">
        <f aca="false">IF(AND(K128&gt;0,R128=0),1,0)</f>
        <v>0</v>
      </c>
    </row>
    <row r="129" customFormat="false" ht="15" hidden="false" customHeight="false" outlineLevel="0" collapsed="false">
      <c r="B129" s="71" t="str">
        <f aca="false">IF($F$6="Sí",N($C$11)+102,"")</f>
        <v/>
      </c>
      <c r="C129" s="72" t="str">
        <f aca="false">IF(OR($F$6&lt;&gt;"Sí",D129&lt;=0.5),"",EDATE($C$10,102))</f>
        <v/>
      </c>
      <c r="D129" s="41" t="n">
        <f aca="false">MAX(0,M128)</f>
        <v>0</v>
      </c>
      <c r="E129" s="41" t="n">
        <f aca="false">D129*$F$7</f>
        <v>0</v>
      </c>
      <c r="F129" s="41" t="n">
        <f aca="false">IF(D129&gt;0.5,N($C$15),0)</f>
        <v>0</v>
      </c>
      <c r="G129" s="41" t="n">
        <f aca="false">IF(AND(D129&gt;0.5,N($C$19)&gt;0,N(B129)&lt;=N($C$20)),D129*$F$8,0)</f>
        <v>0</v>
      </c>
      <c r="H129" s="41" t="n">
        <f aca="false">IF(D129&lt;=0.5,0,MIN(IF(N(I129)&gt;0,I129,$F$9),D129+E129+F129))</f>
        <v>0</v>
      </c>
      <c r="I129" s="77"/>
      <c r="J129" s="77"/>
      <c r="K129" s="41" t="n">
        <f aca="false">IF(D129&lt;=0.5,0,MIN(H129+N(J129),D129+E129+F129))</f>
        <v>0</v>
      </c>
      <c r="L129" s="41" t="n">
        <f aca="false">K129-E129-F129</f>
        <v>0</v>
      </c>
      <c r="M129" s="41" t="n">
        <f aca="false">D129-L129</f>
        <v>0</v>
      </c>
      <c r="N129" s="42" t="n">
        <f aca="false">K129-G129</f>
        <v>0</v>
      </c>
      <c r="O129" s="78"/>
      <c r="P129" s="79"/>
      <c r="Q129" s="16" t="str">
        <f aca="false">IF(K129=0,"",IF(R129=1,"Pagada",IF(C129&lt;$F$12,"Vencida",IF(103=$F$13,"Próxima","Pendiente"))))</f>
        <v/>
      </c>
      <c r="R129" s="62" t="n">
        <f aca="false">IF(AND(K129&gt;0,OR(O129="Sí",O129="Si")),1,0)</f>
        <v>0</v>
      </c>
      <c r="S129" s="62" t="n">
        <f aca="false">IF(AND(K129&gt;0,R129=0),1,0)</f>
        <v>0</v>
      </c>
    </row>
    <row r="130" customFormat="false" ht="15" hidden="false" customHeight="false" outlineLevel="0" collapsed="false">
      <c r="B130" s="71" t="str">
        <f aca="false">IF($F$6="Sí",N($C$11)+103,"")</f>
        <v/>
      </c>
      <c r="C130" s="72" t="str">
        <f aca="false">IF(OR($F$6&lt;&gt;"Sí",D130&lt;=0.5),"",EDATE($C$10,103))</f>
        <v/>
      </c>
      <c r="D130" s="41" t="n">
        <f aca="false">MAX(0,M129)</f>
        <v>0</v>
      </c>
      <c r="E130" s="41" t="n">
        <f aca="false">D130*$F$7</f>
        <v>0</v>
      </c>
      <c r="F130" s="41" t="n">
        <f aca="false">IF(D130&gt;0.5,N($C$15),0)</f>
        <v>0</v>
      </c>
      <c r="G130" s="41" t="n">
        <f aca="false">IF(AND(D130&gt;0.5,N($C$19)&gt;0,N(B130)&lt;=N($C$20)),D130*$F$8,0)</f>
        <v>0</v>
      </c>
      <c r="H130" s="41" t="n">
        <f aca="false">IF(D130&lt;=0.5,0,MIN(IF(N(I130)&gt;0,I130,$F$9),D130+E130+F130))</f>
        <v>0</v>
      </c>
      <c r="I130" s="77"/>
      <c r="J130" s="77"/>
      <c r="K130" s="41" t="n">
        <f aca="false">IF(D130&lt;=0.5,0,MIN(H130+N(J130),D130+E130+F130))</f>
        <v>0</v>
      </c>
      <c r="L130" s="41" t="n">
        <f aca="false">K130-E130-F130</f>
        <v>0</v>
      </c>
      <c r="M130" s="41" t="n">
        <f aca="false">D130-L130</f>
        <v>0</v>
      </c>
      <c r="N130" s="42" t="n">
        <f aca="false">K130-G130</f>
        <v>0</v>
      </c>
      <c r="O130" s="78"/>
      <c r="P130" s="79"/>
      <c r="Q130" s="16" t="str">
        <f aca="false">IF(K130=0,"",IF(R130=1,"Pagada",IF(C130&lt;$F$12,"Vencida",IF(104=$F$13,"Próxima","Pendiente"))))</f>
        <v/>
      </c>
      <c r="R130" s="62" t="n">
        <f aca="false">IF(AND(K130&gt;0,OR(O130="Sí",O130="Si")),1,0)</f>
        <v>0</v>
      </c>
      <c r="S130" s="62" t="n">
        <f aca="false">IF(AND(K130&gt;0,R130=0),1,0)</f>
        <v>0</v>
      </c>
    </row>
    <row r="131" customFormat="false" ht="15" hidden="false" customHeight="false" outlineLevel="0" collapsed="false">
      <c r="B131" s="71" t="str">
        <f aca="false">IF($F$6="Sí",N($C$11)+104,"")</f>
        <v/>
      </c>
      <c r="C131" s="72" t="str">
        <f aca="false">IF(OR($F$6&lt;&gt;"Sí",D131&lt;=0.5),"",EDATE($C$10,104))</f>
        <v/>
      </c>
      <c r="D131" s="41" t="n">
        <f aca="false">MAX(0,M130)</f>
        <v>0</v>
      </c>
      <c r="E131" s="41" t="n">
        <f aca="false">D131*$F$7</f>
        <v>0</v>
      </c>
      <c r="F131" s="41" t="n">
        <f aca="false">IF(D131&gt;0.5,N($C$15),0)</f>
        <v>0</v>
      </c>
      <c r="G131" s="41" t="n">
        <f aca="false">IF(AND(D131&gt;0.5,N($C$19)&gt;0,N(B131)&lt;=N($C$20)),D131*$F$8,0)</f>
        <v>0</v>
      </c>
      <c r="H131" s="41" t="n">
        <f aca="false">IF(D131&lt;=0.5,0,MIN(IF(N(I131)&gt;0,I131,$F$9),D131+E131+F131))</f>
        <v>0</v>
      </c>
      <c r="I131" s="77"/>
      <c r="J131" s="77"/>
      <c r="K131" s="41" t="n">
        <f aca="false">IF(D131&lt;=0.5,0,MIN(H131+N(J131),D131+E131+F131))</f>
        <v>0</v>
      </c>
      <c r="L131" s="41" t="n">
        <f aca="false">K131-E131-F131</f>
        <v>0</v>
      </c>
      <c r="M131" s="41" t="n">
        <f aca="false">D131-L131</f>
        <v>0</v>
      </c>
      <c r="N131" s="42" t="n">
        <f aca="false">K131-G131</f>
        <v>0</v>
      </c>
      <c r="O131" s="78"/>
      <c r="P131" s="79"/>
      <c r="Q131" s="16" t="str">
        <f aca="false">IF(K131=0,"",IF(R131=1,"Pagada",IF(C131&lt;$F$12,"Vencida",IF(105=$F$13,"Próxima","Pendiente"))))</f>
        <v/>
      </c>
      <c r="R131" s="62" t="n">
        <f aca="false">IF(AND(K131&gt;0,OR(O131="Sí",O131="Si")),1,0)</f>
        <v>0</v>
      </c>
      <c r="S131" s="62" t="n">
        <f aca="false">IF(AND(K131&gt;0,R131=0),1,0)</f>
        <v>0</v>
      </c>
    </row>
    <row r="132" customFormat="false" ht="15" hidden="false" customHeight="false" outlineLevel="0" collapsed="false">
      <c r="B132" s="71" t="str">
        <f aca="false">IF($F$6="Sí",N($C$11)+105,"")</f>
        <v/>
      </c>
      <c r="C132" s="72" t="str">
        <f aca="false">IF(OR($F$6&lt;&gt;"Sí",D132&lt;=0.5),"",EDATE($C$10,105))</f>
        <v/>
      </c>
      <c r="D132" s="41" t="n">
        <f aca="false">MAX(0,M131)</f>
        <v>0</v>
      </c>
      <c r="E132" s="41" t="n">
        <f aca="false">D132*$F$7</f>
        <v>0</v>
      </c>
      <c r="F132" s="41" t="n">
        <f aca="false">IF(D132&gt;0.5,N($C$15),0)</f>
        <v>0</v>
      </c>
      <c r="G132" s="41" t="n">
        <f aca="false">IF(AND(D132&gt;0.5,N($C$19)&gt;0,N(B132)&lt;=N($C$20)),D132*$F$8,0)</f>
        <v>0</v>
      </c>
      <c r="H132" s="41" t="n">
        <f aca="false">IF(D132&lt;=0.5,0,MIN(IF(N(I132)&gt;0,I132,$F$9),D132+E132+F132))</f>
        <v>0</v>
      </c>
      <c r="I132" s="77"/>
      <c r="J132" s="77"/>
      <c r="K132" s="41" t="n">
        <f aca="false">IF(D132&lt;=0.5,0,MIN(H132+N(J132),D132+E132+F132))</f>
        <v>0</v>
      </c>
      <c r="L132" s="41" t="n">
        <f aca="false">K132-E132-F132</f>
        <v>0</v>
      </c>
      <c r="M132" s="41" t="n">
        <f aca="false">D132-L132</f>
        <v>0</v>
      </c>
      <c r="N132" s="42" t="n">
        <f aca="false">K132-G132</f>
        <v>0</v>
      </c>
      <c r="O132" s="78"/>
      <c r="P132" s="79"/>
      <c r="Q132" s="16" t="str">
        <f aca="false">IF(K132=0,"",IF(R132=1,"Pagada",IF(C132&lt;$F$12,"Vencida",IF(106=$F$13,"Próxima","Pendiente"))))</f>
        <v/>
      </c>
      <c r="R132" s="62" t="n">
        <f aca="false">IF(AND(K132&gt;0,OR(O132="Sí",O132="Si")),1,0)</f>
        <v>0</v>
      </c>
      <c r="S132" s="62" t="n">
        <f aca="false">IF(AND(K132&gt;0,R132=0),1,0)</f>
        <v>0</v>
      </c>
    </row>
    <row r="133" customFormat="false" ht="15" hidden="false" customHeight="false" outlineLevel="0" collapsed="false">
      <c r="B133" s="71" t="str">
        <f aca="false">IF($F$6="Sí",N($C$11)+106,"")</f>
        <v/>
      </c>
      <c r="C133" s="72" t="str">
        <f aca="false">IF(OR($F$6&lt;&gt;"Sí",D133&lt;=0.5),"",EDATE($C$10,106))</f>
        <v/>
      </c>
      <c r="D133" s="41" t="n">
        <f aca="false">MAX(0,M132)</f>
        <v>0</v>
      </c>
      <c r="E133" s="41" t="n">
        <f aca="false">D133*$F$7</f>
        <v>0</v>
      </c>
      <c r="F133" s="41" t="n">
        <f aca="false">IF(D133&gt;0.5,N($C$15),0)</f>
        <v>0</v>
      </c>
      <c r="G133" s="41" t="n">
        <f aca="false">IF(AND(D133&gt;0.5,N($C$19)&gt;0,N(B133)&lt;=N($C$20)),D133*$F$8,0)</f>
        <v>0</v>
      </c>
      <c r="H133" s="41" t="n">
        <f aca="false">IF(D133&lt;=0.5,0,MIN(IF(N(I133)&gt;0,I133,$F$9),D133+E133+F133))</f>
        <v>0</v>
      </c>
      <c r="I133" s="77"/>
      <c r="J133" s="77"/>
      <c r="K133" s="41" t="n">
        <f aca="false">IF(D133&lt;=0.5,0,MIN(H133+N(J133),D133+E133+F133))</f>
        <v>0</v>
      </c>
      <c r="L133" s="41" t="n">
        <f aca="false">K133-E133-F133</f>
        <v>0</v>
      </c>
      <c r="M133" s="41" t="n">
        <f aca="false">D133-L133</f>
        <v>0</v>
      </c>
      <c r="N133" s="42" t="n">
        <f aca="false">K133-G133</f>
        <v>0</v>
      </c>
      <c r="O133" s="78"/>
      <c r="P133" s="79"/>
      <c r="Q133" s="16" t="str">
        <f aca="false">IF(K133=0,"",IF(R133=1,"Pagada",IF(C133&lt;$F$12,"Vencida",IF(107=$F$13,"Próxima","Pendiente"))))</f>
        <v/>
      </c>
      <c r="R133" s="62" t="n">
        <f aca="false">IF(AND(K133&gt;0,OR(O133="Sí",O133="Si")),1,0)</f>
        <v>0</v>
      </c>
      <c r="S133" s="62" t="n">
        <f aca="false">IF(AND(K133&gt;0,R133=0),1,0)</f>
        <v>0</v>
      </c>
    </row>
    <row r="134" customFormat="false" ht="15" hidden="false" customHeight="false" outlineLevel="0" collapsed="false">
      <c r="B134" s="71" t="str">
        <f aca="false">IF($F$6="Sí",N($C$11)+107,"")</f>
        <v/>
      </c>
      <c r="C134" s="72" t="str">
        <f aca="false">IF(OR($F$6&lt;&gt;"Sí",D134&lt;=0.5),"",EDATE($C$10,107))</f>
        <v/>
      </c>
      <c r="D134" s="41" t="n">
        <f aca="false">MAX(0,M133)</f>
        <v>0</v>
      </c>
      <c r="E134" s="41" t="n">
        <f aca="false">D134*$F$7</f>
        <v>0</v>
      </c>
      <c r="F134" s="41" t="n">
        <f aca="false">IF(D134&gt;0.5,N($C$15),0)</f>
        <v>0</v>
      </c>
      <c r="G134" s="41" t="n">
        <f aca="false">IF(AND(D134&gt;0.5,N($C$19)&gt;0,N(B134)&lt;=N($C$20)),D134*$F$8,0)</f>
        <v>0</v>
      </c>
      <c r="H134" s="41" t="n">
        <f aca="false">IF(D134&lt;=0.5,0,MIN(IF(N(I134)&gt;0,I134,$F$9),D134+E134+F134))</f>
        <v>0</v>
      </c>
      <c r="I134" s="77"/>
      <c r="J134" s="77"/>
      <c r="K134" s="41" t="n">
        <f aca="false">IF(D134&lt;=0.5,0,MIN(H134+N(J134),D134+E134+F134))</f>
        <v>0</v>
      </c>
      <c r="L134" s="41" t="n">
        <f aca="false">K134-E134-F134</f>
        <v>0</v>
      </c>
      <c r="M134" s="41" t="n">
        <f aca="false">D134-L134</f>
        <v>0</v>
      </c>
      <c r="N134" s="42" t="n">
        <f aca="false">K134-G134</f>
        <v>0</v>
      </c>
      <c r="O134" s="78"/>
      <c r="P134" s="79"/>
      <c r="Q134" s="16" t="str">
        <f aca="false">IF(K134=0,"",IF(R134=1,"Pagada",IF(C134&lt;$F$12,"Vencida",IF(108=$F$13,"Próxima","Pendiente"))))</f>
        <v/>
      </c>
      <c r="R134" s="62" t="n">
        <f aca="false">IF(AND(K134&gt;0,OR(O134="Sí",O134="Si")),1,0)</f>
        <v>0</v>
      </c>
      <c r="S134" s="62" t="n">
        <f aca="false">IF(AND(K134&gt;0,R134=0),1,0)</f>
        <v>0</v>
      </c>
    </row>
    <row r="135" customFormat="false" ht="15" hidden="false" customHeight="false" outlineLevel="0" collapsed="false">
      <c r="B135" s="71" t="str">
        <f aca="false">IF($F$6="Sí",N($C$11)+108,"")</f>
        <v/>
      </c>
      <c r="C135" s="72" t="str">
        <f aca="false">IF(OR($F$6&lt;&gt;"Sí",D135&lt;=0.5),"",EDATE($C$10,108))</f>
        <v/>
      </c>
      <c r="D135" s="41" t="n">
        <f aca="false">MAX(0,M134)</f>
        <v>0</v>
      </c>
      <c r="E135" s="41" t="n">
        <f aca="false">D135*$F$7</f>
        <v>0</v>
      </c>
      <c r="F135" s="41" t="n">
        <f aca="false">IF(D135&gt;0.5,N($C$15),0)</f>
        <v>0</v>
      </c>
      <c r="G135" s="41" t="n">
        <f aca="false">IF(AND(D135&gt;0.5,N($C$19)&gt;0,N(B135)&lt;=N($C$20)),D135*$F$8,0)</f>
        <v>0</v>
      </c>
      <c r="H135" s="41" t="n">
        <f aca="false">IF(D135&lt;=0.5,0,MIN(IF(N(I135)&gt;0,I135,$F$9),D135+E135+F135))</f>
        <v>0</v>
      </c>
      <c r="I135" s="77"/>
      <c r="J135" s="77"/>
      <c r="K135" s="41" t="n">
        <f aca="false">IF(D135&lt;=0.5,0,MIN(H135+N(J135),D135+E135+F135))</f>
        <v>0</v>
      </c>
      <c r="L135" s="41" t="n">
        <f aca="false">K135-E135-F135</f>
        <v>0</v>
      </c>
      <c r="M135" s="41" t="n">
        <f aca="false">D135-L135</f>
        <v>0</v>
      </c>
      <c r="N135" s="42" t="n">
        <f aca="false">K135-G135</f>
        <v>0</v>
      </c>
      <c r="O135" s="78"/>
      <c r="P135" s="79"/>
      <c r="Q135" s="16" t="str">
        <f aca="false">IF(K135=0,"",IF(R135=1,"Pagada",IF(C135&lt;$F$12,"Vencida",IF(109=$F$13,"Próxima","Pendiente"))))</f>
        <v/>
      </c>
      <c r="R135" s="62" t="n">
        <f aca="false">IF(AND(K135&gt;0,OR(O135="Sí",O135="Si")),1,0)</f>
        <v>0</v>
      </c>
      <c r="S135" s="62" t="n">
        <f aca="false">IF(AND(K135&gt;0,R135=0),1,0)</f>
        <v>0</v>
      </c>
    </row>
    <row r="136" customFormat="false" ht="15" hidden="false" customHeight="false" outlineLevel="0" collapsed="false">
      <c r="B136" s="71" t="str">
        <f aca="false">IF($F$6="Sí",N($C$11)+109,"")</f>
        <v/>
      </c>
      <c r="C136" s="72" t="str">
        <f aca="false">IF(OR($F$6&lt;&gt;"Sí",D136&lt;=0.5),"",EDATE($C$10,109))</f>
        <v/>
      </c>
      <c r="D136" s="41" t="n">
        <f aca="false">MAX(0,M135)</f>
        <v>0</v>
      </c>
      <c r="E136" s="41" t="n">
        <f aca="false">D136*$F$7</f>
        <v>0</v>
      </c>
      <c r="F136" s="41" t="n">
        <f aca="false">IF(D136&gt;0.5,N($C$15),0)</f>
        <v>0</v>
      </c>
      <c r="G136" s="41" t="n">
        <f aca="false">IF(AND(D136&gt;0.5,N($C$19)&gt;0,N(B136)&lt;=N($C$20)),D136*$F$8,0)</f>
        <v>0</v>
      </c>
      <c r="H136" s="41" t="n">
        <f aca="false">IF(D136&lt;=0.5,0,MIN(IF(N(I136)&gt;0,I136,$F$9),D136+E136+F136))</f>
        <v>0</v>
      </c>
      <c r="I136" s="77"/>
      <c r="J136" s="77"/>
      <c r="K136" s="41" t="n">
        <f aca="false">IF(D136&lt;=0.5,0,MIN(H136+N(J136),D136+E136+F136))</f>
        <v>0</v>
      </c>
      <c r="L136" s="41" t="n">
        <f aca="false">K136-E136-F136</f>
        <v>0</v>
      </c>
      <c r="M136" s="41" t="n">
        <f aca="false">D136-L136</f>
        <v>0</v>
      </c>
      <c r="N136" s="42" t="n">
        <f aca="false">K136-G136</f>
        <v>0</v>
      </c>
      <c r="O136" s="78"/>
      <c r="P136" s="79"/>
      <c r="Q136" s="16" t="str">
        <f aca="false">IF(K136=0,"",IF(R136=1,"Pagada",IF(C136&lt;$F$12,"Vencida",IF(110=$F$13,"Próxima","Pendiente"))))</f>
        <v/>
      </c>
      <c r="R136" s="62" t="n">
        <f aca="false">IF(AND(K136&gt;0,OR(O136="Sí",O136="Si")),1,0)</f>
        <v>0</v>
      </c>
      <c r="S136" s="62" t="n">
        <f aca="false">IF(AND(K136&gt;0,R136=0),1,0)</f>
        <v>0</v>
      </c>
    </row>
    <row r="137" customFormat="false" ht="15" hidden="false" customHeight="false" outlineLevel="0" collapsed="false">
      <c r="B137" s="71" t="str">
        <f aca="false">IF($F$6="Sí",N($C$11)+110,"")</f>
        <v/>
      </c>
      <c r="C137" s="72" t="str">
        <f aca="false">IF(OR($F$6&lt;&gt;"Sí",D137&lt;=0.5),"",EDATE($C$10,110))</f>
        <v/>
      </c>
      <c r="D137" s="41" t="n">
        <f aca="false">MAX(0,M136)</f>
        <v>0</v>
      </c>
      <c r="E137" s="41" t="n">
        <f aca="false">D137*$F$7</f>
        <v>0</v>
      </c>
      <c r="F137" s="41" t="n">
        <f aca="false">IF(D137&gt;0.5,N($C$15),0)</f>
        <v>0</v>
      </c>
      <c r="G137" s="41" t="n">
        <f aca="false">IF(AND(D137&gt;0.5,N($C$19)&gt;0,N(B137)&lt;=N($C$20)),D137*$F$8,0)</f>
        <v>0</v>
      </c>
      <c r="H137" s="41" t="n">
        <f aca="false">IF(D137&lt;=0.5,0,MIN(IF(N(I137)&gt;0,I137,$F$9),D137+E137+F137))</f>
        <v>0</v>
      </c>
      <c r="I137" s="77"/>
      <c r="J137" s="77"/>
      <c r="K137" s="41" t="n">
        <f aca="false">IF(D137&lt;=0.5,0,MIN(H137+N(J137),D137+E137+F137))</f>
        <v>0</v>
      </c>
      <c r="L137" s="41" t="n">
        <f aca="false">K137-E137-F137</f>
        <v>0</v>
      </c>
      <c r="M137" s="41" t="n">
        <f aca="false">D137-L137</f>
        <v>0</v>
      </c>
      <c r="N137" s="42" t="n">
        <f aca="false">K137-G137</f>
        <v>0</v>
      </c>
      <c r="O137" s="78"/>
      <c r="P137" s="79"/>
      <c r="Q137" s="16" t="str">
        <f aca="false">IF(K137=0,"",IF(R137=1,"Pagada",IF(C137&lt;$F$12,"Vencida",IF(111=$F$13,"Próxima","Pendiente"))))</f>
        <v/>
      </c>
      <c r="R137" s="62" t="n">
        <f aca="false">IF(AND(K137&gt;0,OR(O137="Sí",O137="Si")),1,0)</f>
        <v>0</v>
      </c>
      <c r="S137" s="62" t="n">
        <f aca="false">IF(AND(K137&gt;0,R137=0),1,0)</f>
        <v>0</v>
      </c>
    </row>
    <row r="138" customFormat="false" ht="15" hidden="false" customHeight="false" outlineLevel="0" collapsed="false">
      <c r="B138" s="71" t="str">
        <f aca="false">IF($F$6="Sí",N($C$11)+111,"")</f>
        <v/>
      </c>
      <c r="C138" s="72" t="str">
        <f aca="false">IF(OR($F$6&lt;&gt;"Sí",D138&lt;=0.5),"",EDATE($C$10,111))</f>
        <v/>
      </c>
      <c r="D138" s="41" t="n">
        <f aca="false">MAX(0,M137)</f>
        <v>0</v>
      </c>
      <c r="E138" s="41" t="n">
        <f aca="false">D138*$F$7</f>
        <v>0</v>
      </c>
      <c r="F138" s="41" t="n">
        <f aca="false">IF(D138&gt;0.5,N($C$15),0)</f>
        <v>0</v>
      </c>
      <c r="G138" s="41" t="n">
        <f aca="false">IF(AND(D138&gt;0.5,N($C$19)&gt;0,N(B138)&lt;=N($C$20)),D138*$F$8,0)</f>
        <v>0</v>
      </c>
      <c r="H138" s="41" t="n">
        <f aca="false">IF(D138&lt;=0.5,0,MIN(IF(N(I138)&gt;0,I138,$F$9),D138+E138+F138))</f>
        <v>0</v>
      </c>
      <c r="I138" s="77"/>
      <c r="J138" s="77"/>
      <c r="K138" s="41" t="n">
        <f aca="false">IF(D138&lt;=0.5,0,MIN(H138+N(J138),D138+E138+F138))</f>
        <v>0</v>
      </c>
      <c r="L138" s="41" t="n">
        <f aca="false">K138-E138-F138</f>
        <v>0</v>
      </c>
      <c r="M138" s="41" t="n">
        <f aca="false">D138-L138</f>
        <v>0</v>
      </c>
      <c r="N138" s="42" t="n">
        <f aca="false">K138-G138</f>
        <v>0</v>
      </c>
      <c r="O138" s="78"/>
      <c r="P138" s="79"/>
      <c r="Q138" s="16" t="str">
        <f aca="false">IF(K138=0,"",IF(R138=1,"Pagada",IF(C138&lt;$F$12,"Vencida",IF(112=$F$13,"Próxima","Pendiente"))))</f>
        <v/>
      </c>
      <c r="R138" s="62" t="n">
        <f aca="false">IF(AND(K138&gt;0,OR(O138="Sí",O138="Si")),1,0)</f>
        <v>0</v>
      </c>
      <c r="S138" s="62" t="n">
        <f aca="false">IF(AND(K138&gt;0,R138=0),1,0)</f>
        <v>0</v>
      </c>
    </row>
    <row r="139" customFormat="false" ht="15" hidden="false" customHeight="false" outlineLevel="0" collapsed="false">
      <c r="B139" s="71" t="str">
        <f aca="false">IF($F$6="Sí",N($C$11)+112,"")</f>
        <v/>
      </c>
      <c r="C139" s="72" t="str">
        <f aca="false">IF(OR($F$6&lt;&gt;"Sí",D139&lt;=0.5),"",EDATE($C$10,112))</f>
        <v/>
      </c>
      <c r="D139" s="41" t="n">
        <f aca="false">MAX(0,M138)</f>
        <v>0</v>
      </c>
      <c r="E139" s="41" t="n">
        <f aca="false">D139*$F$7</f>
        <v>0</v>
      </c>
      <c r="F139" s="41" t="n">
        <f aca="false">IF(D139&gt;0.5,N($C$15),0)</f>
        <v>0</v>
      </c>
      <c r="G139" s="41" t="n">
        <f aca="false">IF(AND(D139&gt;0.5,N($C$19)&gt;0,N(B139)&lt;=N($C$20)),D139*$F$8,0)</f>
        <v>0</v>
      </c>
      <c r="H139" s="41" t="n">
        <f aca="false">IF(D139&lt;=0.5,0,MIN(IF(N(I139)&gt;0,I139,$F$9),D139+E139+F139))</f>
        <v>0</v>
      </c>
      <c r="I139" s="77"/>
      <c r="J139" s="77"/>
      <c r="K139" s="41" t="n">
        <f aca="false">IF(D139&lt;=0.5,0,MIN(H139+N(J139),D139+E139+F139))</f>
        <v>0</v>
      </c>
      <c r="L139" s="41" t="n">
        <f aca="false">K139-E139-F139</f>
        <v>0</v>
      </c>
      <c r="M139" s="41" t="n">
        <f aca="false">D139-L139</f>
        <v>0</v>
      </c>
      <c r="N139" s="42" t="n">
        <f aca="false">K139-G139</f>
        <v>0</v>
      </c>
      <c r="O139" s="78"/>
      <c r="P139" s="79"/>
      <c r="Q139" s="16" t="str">
        <f aca="false">IF(K139=0,"",IF(R139=1,"Pagada",IF(C139&lt;$F$12,"Vencida",IF(113=$F$13,"Próxima","Pendiente"))))</f>
        <v/>
      </c>
      <c r="R139" s="62" t="n">
        <f aca="false">IF(AND(K139&gt;0,OR(O139="Sí",O139="Si")),1,0)</f>
        <v>0</v>
      </c>
      <c r="S139" s="62" t="n">
        <f aca="false">IF(AND(K139&gt;0,R139=0),1,0)</f>
        <v>0</v>
      </c>
    </row>
    <row r="140" customFormat="false" ht="15" hidden="false" customHeight="false" outlineLevel="0" collapsed="false">
      <c r="B140" s="71" t="str">
        <f aca="false">IF($F$6="Sí",N($C$11)+113,"")</f>
        <v/>
      </c>
      <c r="C140" s="72" t="str">
        <f aca="false">IF(OR($F$6&lt;&gt;"Sí",D140&lt;=0.5),"",EDATE($C$10,113))</f>
        <v/>
      </c>
      <c r="D140" s="41" t="n">
        <f aca="false">MAX(0,M139)</f>
        <v>0</v>
      </c>
      <c r="E140" s="41" t="n">
        <f aca="false">D140*$F$7</f>
        <v>0</v>
      </c>
      <c r="F140" s="41" t="n">
        <f aca="false">IF(D140&gt;0.5,N($C$15),0)</f>
        <v>0</v>
      </c>
      <c r="G140" s="41" t="n">
        <f aca="false">IF(AND(D140&gt;0.5,N($C$19)&gt;0,N(B140)&lt;=N($C$20)),D140*$F$8,0)</f>
        <v>0</v>
      </c>
      <c r="H140" s="41" t="n">
        <f aca="false">IF(D140&lt;=0.5,0,MIN(IF(N(I140)&gt;0,I140,$F$9),D140+E140+F140))</f>
        <v>0</v>
      </c>
      <c r="I140" s="77"/>
      <c r="J140" s="77"/>
      <c r="K140" s="41" t="n">
        <f aca="false">IF(D140&lt;=0.5,0,MIN(H140+N(J140),D140+E140+F140))</f>
        <v>0</v>
      </c>
      <c r="L140" s="41" t="n">
        <f aca="false">K140-E140-F140</f>
        <v>0</v>
      </c>
      <c r="M140" s="41" t="n">
        <f aca="false">D140-L140</f>
        <v>0</v>
      </c>
      <c r="N140" s="42" t="n">
        <f aca="false">K140-G140</f>
        <v>0</v>
      </c>
      <c r="O140" s="78"/>
      <c r="P140" s="79"/>
      <c r="Q140" s="16" t="str">
        <f aca="false">IF(K140=0,"",IF(R140=1,"Pagada",IF(C140&lt;$F$12,"Vencida",IF(114=$F$13,"Próxima","Pendiente"))))</f>
        <v/>
      </c>
      <c r="R140" s="62" t="n">
        <f aca="false">IF(AND(K140&gt;0,OR(O140="Sí",O140="Si")),1,0)</f>
        <v>0</v>
      </c>
      <c r="S140" s="62" t="n">
        <f aca="false">IF(AND(K140&gt;0,R140=0),1,0)</f>
        <v>0</v>
      </c>
    </row>
    <row r="141" customFormat="false" ht="15" hidden="false" customHeight="false" outlineLevel="0" collapsed="false">
      <c r="B141" s="71" t="str">
        <f aca="false">IF($F$6="Sí",N($C$11)+114,"")</f>
        <v/>
      </c>
      <c r="C141" s="72" t="str">
        <f aca="false">IF(OR($F$6&lt;&gt;"Sí",D141&lt;=0.5),"",EDATE($C$10,114))</f>
        <v/>
      </c>
      <c r="D141" s="41" t="n">
        <f aca="false">MAX(0,M140)</f>
        <v>0</v>
      </c>
      <c r="E141" s="41" t="n">
        <f aca="false">D141*$F$7</f>
        <v>0</v>
      </c>
      <c r="F141" s="41" t="n">
        <f aca="false">IF(D141&gt;0.5,N($C$15),0)</f>
        <v>0</v>
      </c>
      <c r="G141" s="41" t="n">
        <f aca="false">IF(AND(D141&gt;0.5,N($C$19)&gt;0,N(B141)&lt;=N($C$20)),D141*$F$8,0)</f>
        <v>0</v>
      </c>
      <c r="H141" s="41" t="n">
        <f aca="false">IF(D141&lt;=0.5,0,MIN(IF(N(I141)&gt;0,I141,$F$9),D141+E141+F141))</f>
        <v>0</v>
      </c>
      <c r="I141" s="77"/>
      <c r="J141" s="77"/>
      <c r="K141" s="41" t="n">
        <f aca="false">IF(D141&lt;=0.5,0,MIN(H141+N(J141),D141+E141+F141))</f>
        <v>0</v>
      </c>
      <c r="L141" s="41" t="n">
        <f aca="false">K141-E141-F141</f>
        <v>0</v>
      </c>
      <c r="M141" s="41" t="n">
        <f aca="false">D141-L141</f>
        <v>0</v>
      </c>
      <c r="N141" s="42" t="n">
        <f aca="false">K141-G141</f>
        <v>0</v>
      </c>
      <c r="O141" s="78"/>
      <c r="P141" s="79"/>
      <c r="Q141" s="16" t="str">
        <f aca="false">IF(K141=0,"",IF(R141=1,"Pagada",IF(C141&lt;$F$12,"Vencida",IF(115=$F$13,"Próxima","Pendiente"))))</f>
        <v/>
      </c>
      <c r="R141" s="62" t="n">
        <f aca="false">IF(AND(K141&gt;0,OR(O141="Sí",O141="Si")),1,0)</f>
        <v>0</v>
      </c>
      <c r="S141" s="62" t="n">
        <f aca="false">IF(AND(K141&gt;0,R141=0),1,0)</f>
        <v>0</v>
      </c>
    </row>
    <row r="142" customFormat="false" ht="15" hidden="false" customHeight="false" outlineLevel="0" collapsed="false">
      <c r="B142" s="71" t="str">
        <f aca="false">IF($F$6="Sí",N($C$11)+115,"")</f>
        <v/>
      </c>
      <c r="C142" s="72" t="str">
        <f aca="false">IF(OR($F$6&lt;&gt;"Sí",D142&lt;=0.5),"",EDATE($C$10,115))</f>
        <v/>
      </c>
      <c r="D142" s="41" t="n">
        <f aca="false">MAX(0,M141)</f>
        <v>0</v>
      </c>
      <c r="E142" s="41" t="n">
        <f aca="false">D142*$F$7</f>
        <v>0</v>
      </c>
      <c r="F142" s="41" t="n">
        <f aca="false">IF(D142&gt;0.5,N($C$15),0)</f>
        <v>0</v>
      </c>
      <c r="G142" s="41" t="n">
        <f aca="false">IF(AND(D142&gt;0.5,N($C$19)&gt;0,N(B142)&lt;=N($C$20)),D142*$F$8,0)</f>
        <v>0</v>
      </c>
      <c r="H142" s="41" t="n">
        <f aca="false">IF(D142&lt;=0.5,0,MIN(IF(N(I142)&gt;0,I142,$F$9),D142+E142+F142))</f>
        <v>0</v>
      </c>
      <c r="I142" s="77"/>
      <c r="J142" s="77"/>
      <c r="K142" s="41" t="n">
        <f aca="false">IF(D142&lt;=0.5,0,MIN(H142+N(J142),D142+E142+F142))</f>
        <v>0</v>
      </c>
      <c r="L142" s="41" t="n">
        <f aca="false">K142-E142-F142</f>
        <v>0</v>
      </c>
      <c r="M142" s="41" t="n">
        <f aca="false">D142-L142</f>
        <v>0</v>
      </c>
      <c r="N142" s="42" t="n">
        <f aca="false">K142-G142</f>
        <v>0</v>
      </c>
      <c r="O142" s="78"/>
      <c r="P142" s="79"/>
      <c r="Q142" s="16" t="str">
        <f aca="false">IF(K142=0,"",IF(R142=1,"Pagada",IF(C142&lt;$F$12,"Vencida",IF(116=$F$13,"Próxima","Pendiente"))))</f>
        <v/>
      </c>
      <c r="R142" s="62" t="n">
        <f aca="false">IF(AND(K142&gt;0,OR(O142="Sí",O142="Si")),1,0)</f>
        <v>0</v>
      </c>
      <c r="S142" s="62" t="n">
        <f aca="false">IF(AND(K142&gt;0,R142=0),1,0)</f>
        <v>0</v>
      </c>
    </row>
    <row r="143" customFormat="false" ht="15" hidden="false" customHeight="false" outlineLevel="0" collapsed="false">
      <c r="B143" s="71" t="str">
        <f aca="false">IF($F$6="Sí",N($C$11)+116,"")</f>
        <v/>
      </c>
      <c r="C143" s="72" t="str">
        <f aca="false">IF(OR($F$6&lt;&gt;"Sí",D143&lt;=0.5),"",EDATE($C$10,116))</f>
        <v/>
      </c>
      <c r="D143" s="41" t="n">
        <f aca="false">MAX(0,M142)</f>
        <v>0</v>
      </c>
      <c r="E143" s="41" t="n">
        <f aca="false">D143*$F$7</f>
        <v>0</v>
      </c>
      <c r="F143" s="41" t="n">
        <f aca="false">IF(D143&gt;0.5,N($C$15),0)</f>
        <v>0</v>
      </c>
      <c r="G143" s="41" t="n">
        <f aca="false">IF(AND(D143&gt;0.5,N($C$19)&gt;0,N(B143)&lt;=N($C$20)),D143*$F$8,0)</f>
        <v>0</v>
      </c>
      <c r="H143" s="41" t="n">
        <f aca="false">IF(D143&lt;=0.5,0,MIN(IF(N(I143)&gt;0,I143,$F$9),D143+E143+F143))</f>
        <v>0</v>
      </c>
      <c r="I143" s="77"/>
      <c r="J143" s="77"/>
      <c r="K143" s="41" t="n">
        <f aca="false">IF(D143&lt;=0.5,0,MIN(H143+N(J143),D143+E143+F143))</f>
        <v>0</v>
      </c>
      <c r="L143" s="41" t="n">
        <f aca="false">K143-E143-F143</f>
        <v>0</v>
      </c>
      <c r="M143" s="41" t="n">
        <f aca="false">D143-L143</f>
        <v>0</v>
      </c>
      <c r="N143" s="42" t="n">
        <f aca="false">K143-G143</f>
        <v>0</v>
      </c>
      <c r="O143" s="78"/>
      <c r="P143" s="79"/>
      <c r="Q143" s="16" t="str">
        <f aca="false">IF(K143=0,"",IF(R143=1,"Pagada",IF(C143&lt;$F$12,"Vencida",IF(117=$F$13,"Próxima","Pendiente"))))</f>
        <v/>
      </c>
      <c r="R143" s="62" t="n">
        <f aca="false">IF(AND(K143&gt;0,OR(O143="Sí",O143="Si")),1,0)</f>
        <v>0</v>
      </c>
      <c r="S143" s="62" t="n">
        <f aca="false">IF(AND(K143&gt;0,R143=0),1,0)</f>
        <v>0</v>
      </c>
    </row>
    <row r="144" customFormat="false" ht="15" hidden="false" customHeight="false" outlineLevel="0" collapsed="false">
      <c r="B144" s="71" t="str">
        <f aca="false">IF($F$6="Sí",N($C$11)+117,"")</f>
        <v/>
      </c>
      <c r="C144" s="72" t="str">
        <f aca="false">IF(OR($F$6&lt;&gt;"Sí",D144&lt;=0.5),"",EDATE($C$10,117))</f>
        <v/>
      </c>
      <c r="D144" s="41" t="n">
        <f aca="false">MAX(0,M143)</f>
        <v>0</v>
      </c>
      <c r="E144" s="41" t="n">
        <f aca="false">D144*$F$7</f>
        <v>0</v>
      </c>
      <c r="F144" s="41" t="n">
        <f aca="false">IF(D144&gt;0.5,N($C$15),0)</f>
        <v>0</v>
      </c>
      <c r="G144" s="41" t="n">
        <f aca="false">IF(AND(D144&gt;0.5,N($C$19)&gt;0,N(B144)&lt;=N($C$20)),D144*$F$8,0)</f>
        <v>0</v>
      </c>
      <c r="H144" s="41" t="n">
        <f aca="false">IF(D144&lt;=0.5,0,MIN(IF(N(I144)&gt;0,I144,$F$9),D144+E144+F144))</f>
        <v>0</v>
      </c>
      <c r="I144" s="77"/>
      <c r="J144" s="77"/>
      <c r="K144" s="41" t="n">
        <f aca="false">IF(D144&lt;=0.5,0,MIN(H144+N(J144),D144+E144+F144))</f>
        <v>0</v>
      </c>
      <c r="L144" s="41" t="n">
        <f aca="false">K144-E144-F144</f>
        <v>0</v>
      </c>
      <c r="M144" s="41" t="n">
        <f aca="false">D144-L144</f>
        <v>0</v>
      </c>
      <c r="N144" s="42" t="n">
        <f aca="false">K144-G144</f>
        <v>0</v>
      </c>
      <c r="O144" s="78"/>
      <c r="P144" s="79"/>
      <c r="Q144" s="16" t="str">
        <f aca="false">IF(K144=0,"",IF(R144=1,"Pagada",IF(C144&lt;$F$12,"Vencida",IF(118=$F$13,"Próxima","Pendiente"))))</f>
        <v/>
      </c>
      <c r="R144" s="62" t="n">
        <f aca="false">IF(AND(K144&gt;0,OR(O144="Sí",O144="Si")),1,0)</f>
        <v>0</v>
      </c>
      <c r="S144" s="62" t="n">
        <f aca="false">IF(AND(K144&gt;0,R144=0),1,0)</f>
        <v>0</v>
      </c>
    </row>
    <row r="145" customFormat="false" ht="15" hidden="false" customHeight="false" outlineLevel="0" collapsed="false">
      <c r="B145" s="71" t="str">
        <f aca="false">IF($F$6="Sí",N($C$11)+118,"")</f>
        <v/>
      </c>
      <c r="C145" s="72" t="str">
        <f aca="false">IF(OR($F$6&lt;&gt;"Sí",D145&lt;=0.5),"",EDATE($C$10,118))</f>
        <v/>
      </c>
      <c r="D145" s="41" t="n">
        <f aca="false">MAX(0,M144)</f>
        <v>0</v>
      </c>
      <c r="E145" s="41" t="n">
        <f aca="false">D145*$F$7</f>
        <v>0</v>
      </c>
      <c r="F145" s="41" t="n">
        <f aca="false">IF(D145&gt;0.5,N($C$15),0)</f>
        <v>0</v>
      </c>
      <c r="G145" s="41" t="n">
        <f aca="false">IF(AND(D145&gt;0.5,N($C$19)&gt;0,N(B145)&lt;=N($C$20)),D145*$F$8,0)</f>
        <v>0</v>
      </c>
      <c r="H145" s="41" t="n">
        <f aca="false">IF(D145&lt;=0.5,0,MIN(IF(N(I145)&gt;0,I145,$F$9),D145+E145+F145))</f>
        <v>0</v>
      </c>
      <c r="I145" s="77"/>
      <c r="J145" s="77"/>
      <c r="K145" s="41" t="n">
        <f aca="false">IF(D145&lt;=0.5,0,MIN(H145+N(J145),D145+E145+F145))</f>
        <v>0</v>
      </c>
      <c r="L145" s="41" t="n">
        <f aca="false">K145-E145-F145</f>
        <v>0</v>
      </c>
      <c r="M145" s="41" t="n">
        <f aca="false">D145-L145</f>
        <v>0</v>
      </c>
      <c r="N145" s="42" t="n">
        <f aca="false">K145-G145</f>
        <v>0</v>
      </c>
      <c r="O145" s="78"/>
      <c r="P145" s="79"/>
      <c r="Q145" s="16" t="str">
        <f aca="false">IF(K145=0,"",IF(R145=1,"Pagada",IF(C145&lt;$F$12,"Vencida",IF(119=$F$13,"Próxima","Pendiente"))))</f>
        <v/>
      </c>
      <c r="R145" s="62" t="n">
        <f aca="false">IF(AND(K145&gt;0,OR(O145="Sí",O145="Si")),1,0)</f>
        <v>0</v>
      </c>
      <c r="S145" s="62" t="n">
        <f aca="false">IF(AND(K145&gt;0,R145=0),1,0)</f>
        <v>0</v>
      </c>
    </row>
    <row r="146" customFormat="false" ht="15" hidden="false" customHeight="false" outlineLevel="0" collapsed="false">
      <c r="B146" s="71" t="str">
        <f aca="false">IF($F$6="Sí",N($C$11)+119,"")</f>
        <v/>
      </c>
      <c r="C146" s="72" t="str">
        <f aca="false">IF(OR($F$6&lt;&gt;"Sí",D146&lt;=0.5),"",EDATE($C$10,119))</f>
        <v/>
      </c>
      <c r="D146" s="41" t="n">
        <f aca="false">MAX(0,M145)</f>
        <v>0</v>
      </c>
      <c r="E146" s="41" t="n">
        <f aca="false">D146*$F$7</f>
        <v>0</v>
      </c>
      <c r="F146" s="41" t="n">
        <f aca="false">IF(D146&gt;0.5,N($C$15),0)</f>
        <v>0</v>
      </c>
      <c r="G146" s="41" t="n">
        <f aca="false">IF(AND(D146&gt;0.5,N($C$19)&gt;0,N(B146)&lt;=N($C$20)),D146*$F$8,0)</f>
        <v>0</v>
      </c>
      <c r="H146" s="41" t="n">
        <f aca="false">IF(D146&lt;=0.5,0,MIN(IF(N(I146)&gt;0,I146,$F$9),D146+E146+F146))</f>
        <v>0</v>
      </c>
      <c r="I146" s="77"/>
      <c r="J146" s="77"/>
      <c r="K146" s="41" t="n">
        <f aca="false">IF(D146&lt;=0.5,0,MIN(H146+N(J146),D146+E146+F146))</f>
        <v>0</v>
      </c>
      <c r="L146" s="41" t="n">
        <f aca="false">K146-E146-F146</f>
        <v>0</v>
      </c>
      <c r="M146" s="41" t="n">
        <f aca="false">D146-L146</f>
        <v>0</v>
      </c>
      <c r="N146" s="42" t="n">
        <f aca="false">K146-G146</f>
        <v>0</v>
      </c>
      <c r="O146" s="78"/>
      <c r="P146" s="79"/>
      <c r="Q146" s="16" t="str">
        <f aca="false">IF(K146=0,"",IF(R146=1,"Pagada",IF(C146&lt;$F$12,"Vencida",IF(120=$F$13,"Próxima","Pendiente"))))</f>
        <v/>
      </c>
      <c r="R146" s="62" t="n">
        <f aca="false">IF(AND(K146&gt;0,OR(O146="Sí",O146="Si")),1,0)</f>
        <v>0</v>
      </c>
      <c r="S146" s="62" t="n">
        <f aca="false">IF(AND(K146&gt;0,R146=0),1,0)</f>
        <v>0</v>
      </c>
    </row>
    <row r="147" customFormat="false" ht="15" hidden="false" customHeight="false" outlineLevel="0" collapsed="false">
      <c r="B147" s="71" t="str">
        <f aca="false">IF($F$6="Sí",N($C$11)+120,"")</f>
        <v/>
      </c>
      <c r="C147" s="72" t="str">
        <f aca="false">IF(OR($F$6&lt;&gt;"Sí",D147&lt;=0.5),"",EDATE($C$10,120))</f>
        <v/>
      </c>
      <c r="D147" s="41" t="n">
        <f aca="false">MAX(0,M146)</f>
        <v>0</v>
      </c>
      <c r="E147" s="41" t="n">
        <f aca="false">D147*$F$7</f>
        <v>0</v>
      </c>
      <c r="F147" s="41" t="n">
        <f aca="false">IF(D147&gt;0.5,N($C$15),0)</f>
        <v>0</v>
      </c>
      <c r="G147" s="41" t="n">
        <f aca="false">IF(AND(D147&gt;0.5,N($C$19)&gt;0,N(B147)&lt;=N($C$20)),D147*$F$8,0)</f>
        <v>0</v>
      </c>
      <c r="H147" s="41" t="n">
        <f aca="false">IF(D147&lt;=0.5,0,MIN(IF(N(I147)&gt;0,I147,$F$9),D147+E147+F147))</f>
        <v>0</v>
      </c>
      <c r="I147" s="77"/>
      <c r="J147" s="77"/>
      <c r="K147" s="41" t="n">
        <f aca="false">IF(D147&lt;=0.5,0,MIN(H147+N(J147),D147+E147+F147))</f>
        <v>0</v>
      </c>
      <c r="L147" s="41" t="n">
        <f aca="false">K147-E147-F147</f>
        <v>0</v>
      </c>
      <c r="M147" s="41" t="n">
        <f aca="false">D147-L147</f>
        <v>0</v>
      </c>
      <c r="N147" s="42" t="n">
        <f aca="false">K147-G147</f>
        <v>0</v>
      </c>
      <c r="O147" s="78"/>
      <c r="P147" s="79"/>
      <c r="Q147" s="16" t="str">
        <f aca="false">IF(K147=0,"",IF(R147=1,"Pagada",IF(C147&lt;$F$12,"Vencida",IF(121=$F$13,"Próxima","Pendiente"))))</f>
        <v/>
      </c>
      <c r="R147" s="62" t="n">
        <f aca="false">IF(AND(K147&gt;0,OR(O147="Sí",O147="Si")),1,0)</f>
        <v>0</v>
      </c>
      <c r="S147" s="62" t="n">
        <f aca="false">IF(AND(K147&gt;0,R147=0),1,0)</f>
        <v>0</v>
      </c>
    </row>
    <row r="148" customFormat="false" ht="15" hidden="false" customHeight="false" outlineLevel="0" collapsed="false">
      <c r="B148" s="71" t="str">
        <f aca="false">IF($F$6="Sí",N($C$11)+121,"")</f>
        <v/>
      </c>
      <c r="C148" s="72" t="str">
        <f aca="false">IF(OR($F$6&lt;&gt;"Sí",D148&lt;=0.5),"",EDATE($C$10,121))</f>
        <v/>
      </c>
      <c r="D148" s="41" t="n">
        <f aca="false">MAX(0,M147)</f>
        <v>0</v>
      </c>
      <c r="E148" s="41" t="n">
        <f aca="false">D148*$F$7</f>
        <v>0</v>
      </c>
      <c r="F148" s="41" t="n">
        <f aca="false">IF(D148&gt;0.5,N($C$15),0)</f>
        <v>0</v>
      </c>
      <c r="G148" s="41" t="n">
        <f aca="false">IF(AND(D148&gt;0.5,N($C$19)&gt;0,N(B148)&lt;=N($C$20)),D148*$F$8,0)</f>
        <v>0</v>
      </c>
      <c r="H148" s="41" t="n">
        <f aca="false">IF(D148&lt;=0.5,0,MIN(IF(N(I148)&gt;0,I148,$F$9),D148+E148+F148))</f>
        <v>0</v>
      </c>
      <c r="I148" s="77"/>
      <c r="J148" s="77"/>
      <c r="K148" s="41" t="n">
        <f aca="false">IF(D148&lt;=0.5,0,MIN(H148+N(J148),D148+E148+F148))</f>
        <v>0</v>
      </c>
      <c r="L148" s="41" t="n">
        <f aca="false">K148-E148-F148</f>
        <v>0</v>
      </c>
      <c r="M148" s="41" t="n">
        <f aca="false">D148-L148</f>
        <v>0</v>
      </c>
      <c r="N148" s="42" t="n">
        <f aca="false">K148-G148</f>
        <v>0</v>
      </c>
      <c r="O148" s="78"/>
      <c r="P148" s="79"/>
      <c r="Q148" s="16" t="str">
        <f aca="false">IF(K148=0,"",IF(R148=1,"Pagada",IF(C148&lt;$F$12,"Vencida",IF(122=$F$13,"Próxima","Pendiente"))))</f>
        <v/>
      </c>
      <c r="R148" s="62" t="n">
        <f aca="false">IF(AND(K148&gt;0,OR(O148="Sí",O148="Si")),1,0)</f>
        <v>0</v>
      </c>
      <c r="S148" s="62" t="n">
        <f aca="false">IF(AND(K148&gt;0,R148=0),1,0)</f>
        <v>0</v>
      </c>
    </row>
    <row r="149" customFormat="false" ht="15" hidden="false" customHeight="false" outlineLevel="0" collapsed="false">
      <c r="B149" s="71" t="str">
        <f aca="false">IF($F$6="Sí",N($C$11)+122,"")</f>
        <v/>
      </c>
      <c r="C149" s="72" t="str">
        <f aca="false">IF(OR($F$6&lt;&gt;"Sí",D149&lt;=0.5),"",EDATE($C$10,122))</f>
        <v/>
      </c>
      <c r="D149" s="41" t="n">
        <f aca="false">MAX(0,M148)</f>
        <v>0</v>
      </c>
      <c r="E149" s="41" t="n">
        <f aca="false">D149*$F$7</f>
        <v>0</v>
      </c>
      <c r="F149" s="41" t="n">
        <f aca="false">IF(D149&gt;0.5,N($C$15),0)</f>
        <v>0</v>
      </c>
      <c r="G149" s="41" t="n">
        <f aca="false">IF(AND(D149&gt;0.5,N($C$19)&gt;0,N(B149)&lt;=N($C$20)),D149*$F$8,0)</f>
        <v>0</v>
      </c>
      <c r="H149" s="41" t="n">
        <f aca="false">IF(D149&lt;=0.5,0,MIN(IF(N(I149)&gt;0,I149,$F$9),D149+E149+F149))</f>
        <v>0</v>
      </c>
      <c r="I149" s="77"/>
      <c r="J149" s="77"/>
      <c r="K149" s="41" t="n">
        <f aca="false">IF(D149&lt;=0.5,0,MIN(H149+N(J149),D149+E149+F149))</f>
        <v>0</v>
      </c>
      <c r="L149" s="41" t="n">
        <f aca="false">K149-E149-F149</f>
        <v>0</v>
      </c>
      <c r="M149" s="41" t="n">
        <f aca="false">D149-L149</f>
        <v>0</v>
      </c>
      <c r="N149" s="42" t="n">
        <f aca="false">K149-G149</f>
        <v>0</v>
      </c>
      <c r="O149" s="78"/>
      <c r="P149" s="79"/>
      <c r="Q149" s="16" t="str">
        <f aca="false">IF(K149=0,"",IF(R149=1,"Pagada",IF(C149&lt;$F$12,"Vencida",IF(123=$F$13,"Próxima","Pendiente"))))</f>
        <v/>
      </c>
      <c r="R149" s="62" t="n">
        <f aca="false">IF(AND(K149&gt;0,OR(O149="Sí",O149="Si")),1,0)</f>
        <v>0</v>
      </c>
      <c r="S149" s="62" t="n">
        <f aca="false">IF(AND(K149&gt;0,R149=0),1,0)</f>
        <v>0</v>
      </c>
    </row>
    <row r="150" customFormat="false" ht="15" hidden="false" customHeight="false" outlineLevel="0" collapsed="false">
      <c r="B150" s="71" t="str">
        <f aca="false">IF($F$6="Sí",N($C$11)+123,"")</f>
        <v/>
      </c>
      <c r="C150" s="72" t="str">
        <f aca="false">IF(OR($F$6&lt;&gt;"Sí",D150&lt;=0.5),"",EDATE($C$10,123))</f>
        <v/>
      </c>
      <c r="D150" s="41" t="n">
        <f aca="false">MAX(0,M149)</f>
        <v>0</v>
      </c>
      <c r="E150" s="41" t="n">
        <f aca="false">D150*$F$7</f>
        <v>0</v>
      </c>
      <c r="F150" s="41" t="n">
        <f aca="false">IF(D150&gt;0.5,N($C$15),0)</f>
        <v>0</v>
      </c>
      <c r="G150" s="41" t="n">
        <f aca="false">IF(AND(D150&gt;0.5,N($C$19)&gt;0,N(B150)&lt;=N($C$20)),D150*$F$8,0)</f>
        <v>0</v>
      </c>
      <c r="H150" s="41" t="n">
        <f aca="false">IF(D150&lt;=0.5,0,MIN(IF(N(I150)&gt;0,I150,$F$9),D150+E150+F150))</f>
        <v>0</v>
      </c>
      <c r="I150" s="77"/>
      <c r="J150" s="77"/>
      <c r="K150" s="41" t="n">
        <f aca="false">IF(D150&lt;=0.5,0,MIN(H150+N(J150),D150+E150+F150))</f>
        <v>0</v>
      </c>
      <c r="L150" s="41" t="n">
        <f aca="false">K150-E150-F150</f>
        <v>0</v>
      </c>
      <c r="M150" s="41" t="n">
        <f aca="false">D150-L150</f>
        <v>0</v>
      </c>
      <c r="N150" s="42" t="n">
        <f aca="false">K150-G150</f>
        <v>0</v>
      </c>
      <c r="O150" s="78"/>
      <c r="P150" s="79"/>
      <c r="Q150" s="16" t="str">
        <f aca="false">IF(K150=0,"",IF(R150=1,"Pagada",IF(C150&lt;$F$12,"Vencida",IF(124=$F$13,"Próxima","Pendiente"))))</f>
        <v/>
      </c>
      <c r="R150" s="62" t="n">
        <f aca="false">IF(AND(K150&gt;0,OR(O150="Sí",O150="Si")),1,0)</f>
        <v>0</v>
      </c>
      <c r="S150" s="62" t="n">
        <f aca="false">IF(AND(K150&gt;0,R150=0),1,0)</f>
        <v>0</v>
      </c>
    </row>
    <row r="151" customFormat="false" ht="15" hidden="false" customHeight="false" outlineLevel="0" collapsed="false">
      <c r="B151" s="71" t="str">
        <f aca="false">IF($F$6="Sí",N($C$11)+124,"")</f>
        <v/>
      </c>
      <c r="C151" s="72" t="str">
        <f aca="false">IF(OR($F$6&lt;&gt;"Sí",D151&lt;=0.5),"",EDATE($C$10,124))</f>
        <v/>
      </c>
      <c r="D151" s="41" t="n">
        <f aca="false">MAX(0,M150)</f>
        <v>0</v>
      </c>
      <c r="E151" s="41" t="n">
        <f aca="false">D151*$F$7</f>
        <v>0</v>
      </c>
      <c r="F151" s="41" t="n">
        <f aca="false">IF(D151&gt;0.5,N($C$15),0)</f>
        <v>0</v>
      </c>
      <c r="G151" s="41" t="n">
        <f aca="false">IF(AND(D151&gt;0.5,N($C$19)&gt;0,N(B151)&lt;=N($C$20)),D151*$F$8,0)</f>
        <v>0</v>
      </c>
      <c r="H151" s="41" t="n">
        <f aca="false">IF(D151&lt;=0.5,0,MIN(IF(N(I151)&gt;0,I151,$F$9),D151+E151+F151))</f>
        <v>0</v>
      </c>
      <c r="I151" s="77"/>
      <c r="J151" s="77"/>
      <c r="K151" s="41" t="n">
        <f aca="false">IF(D151&lt;=0.5,0,MIN(H151+N(J151),D151+E151+F151))</f>
        <v>0</v>
      </c>
      <c r="L151" s="41" t="n">
        <f aca="false">K151-E151-F151</f>
        <v>0</v>
      </c>
      <c r="M151" s="41" t="n">
        <f aca="false">D151-L151</f>
        <v>0</v>
      </c>
      <c r="N151" s="42" t="n">
        <f aca="false">K151-G151</f>
        <v>0</v>
      </c>
      <c r="O151" s="78"/>
      <c r="P151" s="79"/>
      <c r="Q151" s="16" t="str">
        <f aca="false">IF(K151=0,"",IF(R151=1,"Pagada",IF(C151&lt;$F$12,"Vencida",IF(125=$F$13,"Próxima","Pendiente"))))</f>
        <v/>
      </c>
      <c r="R151" s="62" t="n">
        <f aca="false">IF(AND(K151&gt;0,OR(O151="Sí",O151="Si")),1,0)</f>
        <v>0</v>
      </c>
      <c r="S151" s="62" t="n">
        <f aca="false">IF(AND(K151&gt;0,R151=0),1,0)</f>
        <v>0</v>
      </c>
    </row>
    <row r="152" customFormat="false" ht="15" hidden="false" customHeight="false" outlineLevel="0" collapsed="false">
      <c r="B152" s="71" t="str">
        <f aca="false">IF($F$6="Sí",N($C$11)+125,"")</f>
        <v/>
      </c>
      <c r="C152" s="72" t="str">
        <f aca="false">IF(OR($F$6&lt;&gt;"Sí",D152&lt;=0.5),"",EDATE($C$10,125))</f>
        <v/>
      </c>
      <c r="D152" s="41" t="n">
        <f aca="false">MAX(0,M151)</f>
        <v>0</v>
      </c>
      <c r="E152" s="41" t="n">
        <f aca="false">D152*$F$7</f>
        <v>0</v>
      </c>
      <c r="F152" s="41" t="n">
        <f aca="false">IF(D152&gt;0.5,N($C$15),0)</f>
        <v>0</v>
      </c>
      <c r="G152" s="41" t="n">
        <f aca="false">IF(AND(D152&gt;0.5,N($C$19)&gt;0,N(B152)&lt;=N($C$20)),D152*$F$8,0)</f>
        <v>0</v>
      </c>
      <c r="H152" s="41" t="n">
        <f aca="false">IF(D152&lt;=0.5,0,MIN(IF(N(I152)&gt;0,I152,$F$9),D152+E152+F152))</f>
        <v>0</v>
      </c>
      <c r="I152" s="77"/>
      <c r="J152" s="77"/>
      <c r="K152" s="41" t="n">
        <f aca="false">IF(D152&lt;=0.5,0,MIN(H152+N(J152),D152+E152+F152))</f>
        <v>0</v>
      </c>
      <c r="L152" s="41" t="n">
        <f aca="false">K152-E152-F152</f>
        <v>0</v>
      </c>
      <c r="M152" s="41" t="n">
        <f aca="false">D152-L152</f>
        <v>0</v>
      </c>
      <c r="N152" s="42" t="n">
        <f aca="false">K152-G152</f>
        <v>0</v>
      </c>
      <c r="O152" s="78"/>
      <c r="P152" s="79"/>
      <c r="Q152" s="16" t="str">
        <f aca="false">IF(K152=0,"",IF(R152=1,"Pagada",IF(C152&lt;$F$12,"Vencida",IF(126=$F$13,"Próxima","Pendiente"))))</f>
        <v/>
      </c>
      <c r="R152" s="62" t="n">
        <f aca="false">IF(AND(K152&gt;0,OR(O152="Sí",O152="Si")),1,0)</f>
        <v>0</v>
      </c>
      <c r="S152" s="62" t="n">
        <f aca="false">IF(AND(K152&gt;0,R152=0),1,0)</f>
        <v>0</v>
      </c>
    </row>
    <row r="153" customFormat="false" ht="15" hidden="false" customHeight="false" outlineLevel="0" collapsed="false">
      <c r="B153" s="71" t="str">
        <f aca="false">IF($F$6="Sí",N($C$11)+126,"")</f>
        <v/>
      </c>
      <c r="C153" s="72" t="str">
        <f aca="false">IF(OR($F$6&lt;&gt;"Sí",D153&lt;=0.5),"",EDATE($C$10,126))</f>
        <v/>
      </c>
      <c r="D153" s="41" t="n">
        <f aca="false">MAX(0,M152)</f>
        <v>0</v>
      </c>
      <c r="E153" s="41" t="n">
        <f aca="false">D153*$F$7</f>
        <v>0</v>
      </c>
      <c r="F153" s="41" t="n">
        <f aca="false">IF(D153&gt;0.5,N($C$15),0)</f>
        <v>0</v>
      </c>
      <c r="G153" s="41" t="n">
        <f aca="false">IF(AND(D153&gt;0.5,N($C$19)&gt;0,N(B153)&lt;=N($C$20)),D153*$F$8,0)</f>
        <v>0</v>
      </c>
      <c r="H153" s="41" t="n">
        <f aca="false">IF(D153&lt;=0.5,0,MIN(IF(N(I153)&gt;0,I153,$F$9),D153+E153+F153))</f>
        <v>0</v>
      </c>
      <c r="I153" s="77"/>
      <c r="J153" s="77"/>
      <c r="K153" s="41" t="n">
        <f aca="false">IF(D153&lt;=0.5,0,MIN(H153+N(J153),D153+E153+F153))</f>
        <v>0</v>
      </c>
      <c r="L153" s="41" t="n">
        <f aca="false">K153-E153-F153</f>
        <v>0</v>
      </c>
      <c r="M153" s="41" t="n">
        <f aca="false">D153-L153</f>
        <v>0</v>
      </c>
      <c r="N153" s="42" t="n">
        <f aca="false">K153-G153</f>
        <v>0</v>
      </c>
      <c r="O153" s="78"/>
      <c r="P153" s="79"/>
      <c r="Q153" s="16" t="str">
        <f aca="false">IF(K153=0,"",IF(R153=1,"Pagada",IF(C153&lt;$F$12,"Vencida",IF(127=$F$13,"Próxima","Pendiente"))))</f>
        <v/>
      </c>
      <c r="R153" s="62" t="n">
        <f aca="false">IF(AND(K153&gt;0,OR(O153="Sí",O153="Si")),1,0)</f>
        <v>0</v>
      </c>
      <c r="S153" s="62" t="n">
        <f aca="false">IF(AND(K153&gt;0,R153=0),1,0)</f>
        <v>0</v>
      </c>
    </row>
    <row r="154" customFormat="false" ht="15" hidden="false" customHeight="false" outlineLevel="0" collapsed="false">
      <c r="B154" s="71" t="str">
        <f aca="false">IF($F$6="Sí",N($C$11)+127,"")</f>
        <v/>
      </c>
      <c r="C154" s="72" t="str">
        <f aca="false">IF(OR($F$6&lt;&gt;"Sí",D154&lt;=0.5),"",EDATE($C$10,127))</f>
        <v/>
      </c>
      <c r="D154" s="41" t="n">
        <f aca="false">MAX(0,M153)</f>
        <v>0</v>
      </c>
      <c r="E154" s="41" t="n">
        <f aca="false">D154*$F$7</f>
        <v>0</v>
      </c>
      <c r="F154" s="41" t="n">
        <f aca="false">IF(D154&gt;0.5,N($C$15),0)</f>
        <v>0</v>
      </c>
      <c r="G154" s="41" t="n">
        <f aca="false">IF(AND(D154&gt;0.5,N($C$19)&gt;0,N(B154)&lt;=N($C$20)),D154*$F$8,0)</f>
        <v>0</v>
      </c>
      <c r="H154" s="41" t="n">
        <f aca="false">IF(D154&lt;=0.5,0,MIN(IF(N(I154)&gt;0,I154,$F$9),D154+E154+F154))</f>
        <v>0</v>
      </c>
      <c r="I154" s="77"/>
      <c r="J154" s="77"/>
      <c r="K154" s="41" t="n">
        <f aca="false">IF(D154&lt;=0.5,0,MIN(H154+N(J154),D154+E154+F154))</f>
        <v>0</v>
      </c>
      <c r="L154" s="41" t="n">
        <f aca="false">K154-E154-F154</f>
        <v>0</v>
      </c>
      <c r="M154" s="41" t="n">
        <f aca="false">D154-L154</f>
        <v>0</v>
      </c>
      <c r="N154" s="42" t="n">
        <f aca="false">K154-G154</f>
        <v>0</v>
      </c>
      <c r="O154" s="78"/>
      <c r="P154" s="79"/>
      <c r="Q154" s="16" t="str">
        <f aca="false">IF(K154=0,"",IF(R154=1,"Pagada",IF(C154&lt;$F$12,"Vencida",IF(128=$F$13,"Próxima","Pendiente"))))</f>
        <v/>
      </c>
      <c r="R154" s="62" t="n">
        <f aca="false">IF(AND(K154&gt;0,OR(O154="Sí",O154="Si")),1,0)</f>
        <v>0</v>
      </c>
      <c r="S154" s="62" t="n">
        <f aca="false">IF(AND(K154&gt;0,R154=0),1,0)</f>
        <v>0</v>
      </c>
    </row>
    <row r="155" customFormat="false" ht="15" hidden="false" customHeight="false" outlineLevel="0" collapsed="false">
      <c r="B155" s="71" t="str">
        <f aca="false">IF($F$6="Sí",N($C$11)+128,"")</f>
        <v/>
      </c>
      <c r="C155" s="72" t="str">
        <f aca="false">IF(OR($F$6&lt;&gt;"Sí",D155&lt;=0.5),"",EDATE($C$10,128))</f>
        <v/>
      </c>
      <c r="D155" s="41" t="n">
        <f aca="false">MAX(0,M154)</f>
        <v>0</v>
      </c>
      <c r="E155" s="41" t="n">
        <f aca="false">D155*$F$7</f>
        <v>0</v>
      </c>
      <c r="F155" s="41" t="n">
        <f aca="false">IF(D155&gt;0.5,N($C$15),0)</f>
        <v>0</v>
      </c>
      <c r="G155" s="41" t="n">
        <f aca="false">IF(AND(D155&gt;0.5,N($C$19)&gt;0,N(B155)&lt;=N($C$20)),D155*$F$8,0)</f>
        <v>0</v>
      </c>
      <c r="H155" s="41" t="n">
        <f aca="false">IF(D155&lt;=0.5,0,MIN(IF(N(I155)&gt;0,I155,$F$9),D155+E155+F155))</f>
        <v>0</v>
      </c>
      <c r="I155" s="77"/>
      <c r="J155" s="77"/>
      <c r="K155" s="41" t="n">
        <f aca="false">IF(D155&lt;=0.5,0,MIN(H155+N(J155),D155+E155+F155))</f>
        <v>0</v>
      </c>
      <c r="L155" s="41" t="n">
        <f aca="false">K155-E155-F155</f>
        <v>0</v>
      </c>
      <c r="M155" s="41" t="n">
        <f aca="false">D155-L155</f>
        <v>0</v>
      </c>
      <c r="N155" s="42" t="n">
        <f aca="false">K155-G155</f>
        <v>0</v>
      </c>
      <c r="O155" s="78"/>
      <c r="P155" s="79"/>
      <c r="Q155" s="16" t="str">
        <f aca="false">IF(K155=0,"",IF(R155=1,"Pagada",IF(C155&lt;$F$12,"Vencida",IF(129=$F$13,"Próxima","Pendiente"))))</f>
        <v/>
      </c>
      <c r="R155" s="62" t="n">
        <f aca="false">IF(AND(K155&gt;0,OR(O155="Sí",O155="Si")),1,0)</f>
        <v>0</v>
      </c>
      <c r="S155" s="62" t="n">
        <f aca="false">IF(AND(K155&gt;0,R155=0),1,0)</f>
        <v>0</v>
      </c>
    </row>
    <row r="156" customFormat="false" ht="15" hidden="false" customHeight="false" outlineLevel="0" collapsed="false">
      <c r="B156" s="71" t="str">
        <f aca="false">IF($F$6="Sí",N($C$11)+129,"")</f>
        <v/>
      </c>
      <c r="C156" s="72" t="str">
        <f aca="false">IF(OR($F$6&lt;&gt;"Sí",D156&lt;=0.5),"",EDATE($C$10,129))</f>
        <v/>
      </c>
      <c r="D156" s="41" t="n">
        <f aca="false">MAX(0,M155)</f>
        <v>0</v>
      </c>
      <c r="E156" s="41" t="n">
        <f aca="false">D156*$F$7</f>
        <v>0</v>
      </c>
      <c r="F156" s="41" t="n">
        <f aca="false">IF(D156&gt;0.5,N($C$15),0)</f>
        <v>0</v>
      </c>
      <c r="G156" s="41" t="n">
        <f aca="false">IF(AND(D156&gt;0.5,N($C$19)&gt;0,N(B156)&lt;=N($C$20)),D156*$F$8,0)</f>
        <v>0</v>
      </c>
      <c r="H156" s="41" t="n">
        <f aca="false">IF(D156&lt;=0.5,0,MIN(IF(N(I156)&gt;0,I156,$F$9),D156+E156+F156))</f>
        <v>0</v>
      </c>
      <c r="I156" s="77"/>
      <c r="J156" s="77"/>
      <c r="K156" s="41" t="n">
        <f aca="false">IF(D156&lt;=0.5,0,MIN(H156+N(J156),D156+E156+F156))</f>
        <v>0</v>
      </c>
      <c r="L156" s="41" t="n">
        <f aca="false">K156-E156-F156</f>
        <v>0</v>
      </c>
      <c r="M156" s="41" t="n">
        <f aca="false">D156-L156</f>
        <v>0</v>
      </c>
      <c r="N156" s="42" t="n">
        <f aca="false">K156-G156</f>
        <v>0</v>
      </c>
      <c r="O156" s="78"/>
      <c r="P156" s="79"/>
      <c r="Q156" s="16" t="str">
        <f aca="false">IF(K156=0,"",IF(R156=1,"Pagada",IF(C156&lt;$F$12,"Vencida",IF(130=$F$13,"Próxima","Pendiente"))))</f>
        <v/>
      </c>
      <c r="R156" s="62" t="n">
        <f aca="false">IF(AND(K156&gt;0,OR(O156="Sí",O156="Si")),1,0)</f>
        <v>0</v>
      </c>
      <c r="S156" s="62" t="n">
        <f aca="false">IF(AND(K156&gt;0,R156=0),1,0)</f>
        <v>0</v>
      </c>
    </row>
    <row r="157" customFormat="false" ht="15" hidden="false" customHeight="false" outlineLevel="0" collapsed="false">
      <c r="B157" s="71" t="str">
        <f aca="false">IF($F$6="Sí",N($C$11)+130,"")</f>
        <v/>
      </c>
      <c r="C157" s="72" t="str">
        <f aca="false">IF(OR($F$6&lt;&gt;"Sí",D157&lt;=0.5),"",EDATE($C$10,130))</f>
        <v/>
      </c>
      <c r="D157" s="41" t="n">
        <f aca="false">MAX(0,M156)</f>
        <v>0</v>
      </c>
      <c r="E157" s="41" t="n">
        <f aca="false">D157*$F$7</f>
        <v>0</v>
      </c>
      <c r="F157" s="41" t="n">
        <f aca="false">IF(D157&gt;0.5,N($C$15),0)</f>
        <v>0</v>
      </c>
      <c r="G157" s="41" t="n">
        <f aca="false">IF(AND(D157&gt;0.5,N($C$19)&gt;0,N(B157)&lt;=N($C$20)),D157*$F$8,0)</f>
        <v>0</v>
      </c>
      <c r="H157" s="41" t="n">
        <f aca="false">IF(D157&lt;=0.5,0,MIN(IF(N(I157)&gt;0,I157,$F$9),D157+E157+F157))</f>
        <v>0</v>
      </c>
      <c r="I157" s="77"/>
      <c r="J157" s="77"/>
      <c r="K157" s="41" t="n">
        <f aca="false">IF(D157&lt;=0.5,0,MIN(H157+N(J157),D157+E157+F157))</f>
        <v>0</v>
      </c>
      <c r="L157" s="41" t="n">
        <f aca="false">K157-E157-F157</f>
        <v>0</v>
      </c>
      <c r="M157" s="41" t="n">
        <f aca="false">D157-L157</f>
        <v>0</v>
      </c>
      <c r="N157" s="42" t="n">
        <f aca="false">K157-G157</f>
        <v>0</v>
      </c>
      <c r="O157" s="78"/>
      <c r="P157" s="79"/>
      <c r="Q157" s="16" t="str">
        <f aca="false">IF(K157=0,"",IF(R157=1,"Pagada",IF(C157&lt;$F$12,"Vencida",IF(131=$F$13,"Próxima","Pendiente"))))</f>
        <v/>
      </c>
      <c r="R157" s="62" t="n">
        <f aca="false">IF(AND(K157&gt;0,OR(O157="Sí",O157="Si")),1,0)</f>
        <v>0</v>
      </c>
      <c r="S157" s="62" t="n">
        <f aca="false">IF(AND(K157&gt;0,R157=0),1,0)</f>
        <v>0</v>
      </c>
    </row>
    <row r="158" customFormat="false" ht="15" hidden="false" customHeight="false" outlineLevel="0" collapsed="false">
      <c r="B158" s="71" t="str">
        <f aca="false">IF($F$6="Sí",N($C$11)+131,"")</f>
        <v/>
      </c>
      <c r="C158" s="72" t="str">
        <f aca="false">IF(OR($F$6&lt;&gt;"Sí",D158&lt;=0.5),"",EDATE($C$10,131))</f>
        <v/>
      </c>
      <c r="D158" s="41" t="n">
        <f aca="false">MAX(0,M157)</f>
        <v>0</v>
      </c>
      <c r="E158" s="41" t="n">
        <f aca="false">D158*$F$7</f>
        <v>0</v>
      </c>
      <c r="F158" s="41" t="n">
        <f aca="false">IF(D158&gt;0.5,N($C$15),0)</f>
        <v>0</v>
      </c>
      <c r="G158" s="41" t="n">
        <f aca="false">IF(AND(D158&gt;0.5,N($C$19)&gt;0,N(B158)&lt;=N($C$20)),D158*$F$8,0)</f>
        <v>0</v>
      </c>
      <c r="H158" s="41" t="n">
        <f aca="false">IF(D158&lt;=0.5,0,MIN(IF(N(I158)&gt;0,I158,$F$9),D158+E158+F158))</f>
        <v>0</v>
      </c>
      <c r="I158" s="77"/>
      <c r="J158" s="77"/>
      <c r="K158" s="41" t="n">
        <f aca="false">IF(D158&lt;=0.5,0,MIN(H158+N(J158),D158+E158+F158))</f>
        <v>0</v>
      </c>
      <c r="L158" s="41" t="n">
        <f aca="false">K158-E158-F158</f>
        <v>0</v>
      </c>
      <c r="M158" s="41" t="n">
        <f aca="false">D158-L158</f>
        <v>0</v>
      </c>
      <c r="N158" s="42" t="n">
        <f aca="false">K158-G158</f>
        <v>0</v>
      </c>
      <c r="O158" s="78"/>
      <c r="P158" s="79"/>
      <c r="Q158" s="16" t="str">
        <f aca="false">IF(K158=0,"",IF(R158=1,"Pagada",IF(C158&lt;$F$12,"Vencida",IF(132=$F$13,"Próxima","Pendiente"))))</f>
        <v/>
      </c>
      <c r="R158" s="62" t="n">
        <f aca="false">IF(AND(K158&gt;0,OR(O158="Sí",O158="Si")),1,0)</f>
        <v>0</v>
      </c>
      <c r="S158" s="62" t="n">
        <f aca="false">IF(AND(K158&gt;0,R158=0),1,0)</f>
        <v>0</v>
      </c>
    </row>
    <row r="159" customFormat="false" ht="15" hidden="false" customHeight="false" outlineLevel="0" collapsed="false">
      <c r="B159" s="71" t="str">
        <f aca="false">IF($F$6="Sí",N($C$11)+132,"")</f>
        <v/>
      </c>
      <c r="C159" s="72" t="str">
        <f aca="false">IF(OR($F$6&lt;&gt;"Sí",D159&lt;=0.5),"",EDATE($C$10,132))</f>
        <v/>
      </c>
      <c r="D159" s="41" t="n">
        <f aca="false">MAX(0,M158)</f>
        <v>0</v>
      </c>
      <c r="E159" s="41" t="n">
        <f aca="false">D159*$F$7</f>
        <v>0</v>
      </c>
      <c r="F159" s="41" t="n">
        <f aca="false">IF(D159&gt;0.5,N($C$15),0)</f>
        <v>0</v>
      </c>
      <c r="G159" s="41" t="n">
        <f aca="false">IF(AND(D159&gt;0.5,N($C$19)&gt;0,N(B159)&lt;=N($C$20)),D159*$F$8,0)</f>
        <v>0</v>
      </c>
      <c r="H159" s="41" t="n">
        <f aca="false">IF(D159&lt;=0.5,0,MIN(IF(N(I159)&gt;0,I159,$F$9),D159+E159+F159))</f>
        <v>0</v>
      </c>
      <c r="I159" s="77"/>
      <c r="J159" s="77"/>
      <c r="K159" s="41" t="n">
        <f aca="false">IF(D159&lt;=0.5,0,MIN(H159+N(J159),D159+E159+F159))</f>
        <v>0</v>
      </c>
      <c r="L159" s="41" t="n">
        <f aca="false">K159-E159-F159</f>
        <v>0</v>
      </c>
      <c r="M159" s="41" t="n">
        <f aca="false">D159-L159</f>
        <v>0</v>
      </c>
      <c r="N159" s="42" t="n">
        <f aca="false">K159-G159</f>
        <v>0</v>
      </c>
      <c r="O159" s="78"/>
      <c r="P159" s="79"/>
      <c r="Q159" s="16" t="str">
        <f aca="false">IF(K159=0,"",IF(R159=1,"Pagada",IF(C159&lt;$F$12,"Vencida",IF(133=$F$13,"Próxima","Pendiente"))))</f>
        <v/>
      </c>
      <c r="R159" s="62" t="n">
        <f aca="false">IF(AND(K159&gt;0,OR(O159="Sí",O159="Si")),1,0)</f>
        <v>0</v>
      </c>
      <c r="S159" s="62" t="n">
        <f aca="false">IF(AND(K159&gt;0,R159=0),1,0)</f>
        <v>0</v>
      </c>
    </row>
    <row r="160" customFormat="false" ht="15" hidden="false" customHeight="false" outlineLevel="0" collapsed="false">
      <c r="B160" s="71" t="str">
        <f aca="false">IF($F$6="Sí",N($C$11)+133,"")</f>
        <v/>
      </c>
      <c r="C160" s="72" t="str">
        <f aca="false">IF(OR($F$6&lt;&gt;"Sí",D160&lt;=0.5),"",EDATE($C$10,133))</f>
        <v/>
      </c>
      <c r="D160" s="41" t="n">
        <f aca="false">MAX(0,M159)</f>
        <v>0</v>
      </c>
      <c r="E160" s="41" t="n">
        <f aca="false">D160*$F$7</f>
        <v>0</v>
      </c>
      <c r="F160" s="41" t="n">
        <f aca="false">IF(D160&gt;0.5,N($C$15),0)</f>
        <v>0</v>
      </c>
      <c r="G160" s="41" t="n">
        <f aca="false">IF(AND(D160&gt;0.5,N($C$19)&gt;0,N(B160)&lt;=N($C$20)),D160*$F$8,0)</f>
        <v>0</v>
      </c>
      <c r="H160" s="41" t="n">
        <f aca="false">IF(D160&lt;=0.5,0,MIN(IF(N(I160)&gt;0,I160,$F$9),D160+E160+F160))</f>
        <v>0</v>
      </c>
      <c r="I160" s="77"/>
      <c r="J160" s="77"/>
      <c r="K160" s="41" t="n">
        <f aca="false">IF(D160&lt;=0.5,0,MIN(H160+N(J160),D160+E160+F160))</f>
        <v>0</v>
      </c>
      <c r="L160" s="41" t="n">
        <f aca="false">K160-E160-F160</f>
        <v>0</v>
      </c>
      <c r="M160" s="41" t="n">
        <f aca="false">D160-L160</f>
        <v>0</v>
      </c>
      <c r="N160" s="42" t="n">
        <f aca="false">K160-G160</f>
        <v>0</v>
      </c>
      <c r="O160" s="78"/>
      <c r="P160" s="79"/>
      <c r="Q160" s="16" t="str">
        <f aca="false">IF(K160=0,"",IF(R160=1,"Pagada",IF(C160&lt;$F$12,"Vencida",IF(134=$F$13,"Próxima","Pendiente"))))</f>
        <v/>
      </c>
      <c r="R160" s="62" t="n">
        <f aca="false">IF(AND(K160&gt;0,OR(O160="Sí",O160="Si")),1,0)</f>
        <v>0</v>
      </c>
      <c r="S160" s="62" t="n">
        <f aca="false">IF(AND(K160&gt;0,R160=0),1,0)</f>
        <v>0</v>
      </c>
    </row>
    <row r="161" customFormat="false" ht="15" hidden="false" customHeight="false" outlineLevel="0" collapsed="false">
      <c r="B161" s="71" t="str">
        <f aca="false">IF($F$6="Sí",N($C$11)+134,"")</f>
        <v/>
      </c>
      <c r="C161" s="72" t="str">
        <f aca="false">IF(OR($F$6&lt;&gt;"Sí",D161&lt;=0.5),"",EDATE($C$10,134))</f>
        <v/>
      </c>
      <c r="D161" s="41" t="n">
        <f aca="false">MAX(0,M160)</f>
        <v>0</v>
      </c>
      <c r="E161" s="41" t="n">
        <f aca="false">D161*$F$7</f>
        <v>0</v>
      </c>
      <c r="F161" s="41" t="n">
        <f aca="false">IF(D161&gt;0.5,N($C$15),0)</f>
        <v>0</v>
      </c>
      <c r="G161" s="41" t="n">
        <f aca="false">IF(AND(D161&gt;0.5,N($C$19)&gt;0,N(B161)&lt;=N($C$20)),D161*$F$8,0)</f>
        <v>0</v>
      </c>
      <c r="H161" s="41" t="n">
        <f aca="false">IF(D161&lt;=0.5,0,MIN(IF(N(I161)&gt;0,I161,$F$9),D161+E161+F161))</f>
        <v>0</v>
      </c>
      <c r="I161" s="77"/>
      <c r="J161" s="77"/>
      <c r="K161" s="41" t="n">
        <f aca="false">IF(D161&lt;=0.5,0,MIN(H161+N(J161),D161+E161+F161))</f>
        <v>0</v>
      </c>
      <c r="L161" s="41" t="n">
        <f aca="false">K161-E161-F161</f>
        <v>0</v>
      </c>
      <c r="M161" s="41" t="n">
        <f aca="false">D161-L161</f>
        <v>0</v>
      </c>
      <c r="N161" s="42" t="n">
        <f aca="false">K161-G161</f>
        <v>0</v>
      </c>
      <c r="O161" s="78"/>
      <c r="P161" s="79"/>
      <c r="Q161" s="16" t="str">
        <f aca="false">IF(K161=0,"",IF(R161=1,"Pagada",IF(C161&lt;$F$12,"Vencida",IF(135=$F$13,"Próxima","Pendiente"))))</f>
        <v/>
      </c>
      <c r="R161" s="62" t="n">
        <f aca="false">IF(AND(K161&gt;0,OR(O161="Sí",O161="Si")),1,0)</f>
        <v>0</v>
      </c>
      <c r="S161" s="62" t="n">
        <f aca="false">IF(AND(K161&gt;0,R161=0),1,0)</f>
        <v>0</v>
      </c>
    </row>
    <row r="162" customFormat="false" ht="15" hidden="false" customHeight="false" outlineLevel="0" collapsed="false">
      <c r="B162" s="71" t="str">
        <f aca="false">IF($F$6="Sí",N($C$11)+135,"")</f>
        <v/>
      </c>
      <c r="C162" s="72" t="str">
        <f aca="false">IF(OR($F$6&lt;&gt;"Sí",D162&lt;=0.5),"",EDATE($C$10,135))</f>
        <v/>
      </c>
      <c r="D162" s="41" t="n">
        <f aca="false">MAX(0,M161)</f>
        <v>0</v>
      </c>
      <c r="E162" s="41" t="n">
        <f aca="false">D162*$F$7</f>
        <v>0</v>
      </c>
      <c r="F162" s="41" t="n">
        <f aca="false">IF(D162&gt;0.5,N($C$15),0)</f>
        <v>0</v>
      </c>
      <c r="G162" s="41" t="n">
        <f aca="false">IF(AND(D162&gt;0.5,N($C$19)&gt;0,N(B162)&lt;=N($C$20)),D162*$F$8,0)</f>
        <v>0</v>
      </c>
      <c r="H162" s="41" t="n">
        <f aca="false">IF(D162&lt;=0.5,0,MIN(IF(N(I162)&gt;0,I162,$F$9),D162+E162+F162))</f>
        <v>0</v>
      </c>
      <c r="I162" s="77"/>
      <c r="J162" s="77"/>
      <c r="K162" s="41" t="n">
        <f aca="false">IF(D162&lt;=0.5,0,MIN(H162+N(J162),D162+E162+F162))</f>
        <v>0</v>
      </c>
      <c r="L162" s="41" t="n">
        <f aca="false">K162-E162-F162</f>
        <v>0</v>
      </c>
      <c r="M162" s="41" t="n">
        <f aca="false">D162-L162</f>
        <v>0</v>
      </c>
      <c r="N162" s="42" t="n">
        <f aca="false">K162-G162</f>
        <v>0</v>
      </c>
      <c r="O162" s="78"/>
      <c r="P162" s="79"/>
      <c r="Q162" s="16" t="str">
        <f aca="false">IF(K162=0,"",IF(R162=1,"Pagada",IF(C162&lt;$F$12,"Vencida",IF(136=$F$13,"Próxima","Pendiente"))))</f>
        <v/>
      </c>
      <c r="R162" s="62" t="n">
        <f aca="false">IF(AND(K162&gt;0,OR(O162="Sí",O162="Si")),1,0)</f>
        <v>0</v>
      </c>
      <c r="S162" s="62" t="n">
        <f aca="false">IF(AND(K162&gt;0,R162=0),1,0)</f>
        <v>0</v>
      </c>
    </row>
    <row r="163" customFormat="false" ht="15" hidden="false" customHeight="false" outlineLevel="0" collapsed="false">
      <c r="B163" s="71" t="str">
        <f aca="false">IF($F$6="Sí",N($C$11)+136,"")</f>
        <v/>
      </c>
      <c r="C163" s="72" t="str">
        <f aca="false">IF(OR($F$6&lt;&gt;"Sí",D163&lt;=0.5),"",EDATE($C$10,136))</f>
        <v/>
      </c>
      <c r="D163" s="41" t="n">
        <f aca="false">MAX(0,M162)</f>
        <v>0</v>
      </c>
      <c r="E163" s="41" t="n">
        <f aca="false">D163*$F$7</f>
        <v>0</v>
      </c>
      <c r="F163" s="41" t="n">
        <f aca="false">IF(D163&gt;0.5,N($C$15),0)</f>
        <v>0</v>
      </c>
      <c r="G163" s="41" t="n">
        <f aca="false">IF(AND(D163&gt;0.5,N($C$19)&gt;0,N(B163)&lt;=N($C$20)),D163*$F$8,0)</f>
        <v>0</v>
      </c>
      <c r="H163" s="41" t="n">
        <f aca="false">IF(D163&lt;=0.5,0,MIN(IF(N(I163)&gt;0,I163,$F$9),D163+E163+F163))</f>
        <v>0</v>
      </c>
      <c r="I163" s="77"/>
      <c r="J163" s="77"/>
      <c r="K163" s="41" t="n">
        <f aca="false">IF(D163&lt;=0.5,0,MIN(H163+N(J163),D163+E163+F163))</f>
        <v>0</v>
      </c>
      <c r="L163" s="41" t="n">
        <f aca="false">K163-E163-F163</f>
        <v>0</v>
      </c>
      <c r="M163" s="41" t="n">
        <f aca="false">D163-L163</f>
        <v>0</v>
      </c>
      <c r="N163" s="42" t="n">
        <f aca="false">K163-G163</f>
        <v>0</v>
      </c>
      <c r="O163" s="78"/>
      <c r="P163" s="79"/>
      <c r="Q163" s="16" t="str">
        <f aca="false">IF(K163=0,"",IF(R163=1,"Pagada",IF(C163&lt;$F$12,"Vencida",IF(137=$F$13,"Próxima","Pendiente"))))</f>
        <v/>
      </c>
      <c r="R163" s="62" t="n">
        <f aca="false">IF(AND(K163&gt;0,OR(O163="Sí",O163="Si")),1,0)</f>
        <v>0</v>
      </c>
      <c r="S163" s="62" t="n">
        <f aca="false">IF(AND(K163&gt;0,R163=0),1,0)</f>
        <v>0</v>
      </c>
    </row>
    <row r="164" customFormat="false" ht="15" hidden="false" customHeight="false" outlineLevel="0" collapsed="false">
      <c r="B164" s="71" t="str">
        <f aca="false">IF($F$6="Sí",N($C$11)+137,"")</f>
        <v/>
      </c>
      <c r="C164" s="72" t="str">
        <f aca="false">IF(OR($F$6&lt;&gt;"Sí",D164&lt;=0.5),"",EDATE($C$10,137))</f>
        <v/>
      </c>
      <c r="D164" s="41" t="n">
        <f aca="false">MAX(0,M163)</f>
        <v>0</v>
      </c>
      <c r="E164" s="41" t="n">
        <f aca="false">D164*$F$7</f>
        <v>0</v>
      </c>
      <c r="F164" s="41" t="n">
        <f aca="false">IF(D164&gt;0.5,N($C$15),0)</f>
        <v>0</v>
      </c>
      <c r="G164" s="41" t="n">
        <f aca="false">IF(AND(D164&gt;0.5,N($C$19)&gt;0,N(B164)&lt;=N($C$20)),D164*$F$8,0)</f>
        <v>0</v>
      </c>
      <c r="H164" s="41" t="n">
        <f aca="false">IF(D164&lt;=0.5,0,MIN(IF(N(I164)&gt;0,I164,$F$9),D164+E164+F164))</f>
        <v>0</v>
      </c>
      <c r="I164" s="77"/>
      <c r="J164" s="77"/>
      <c r="K164" s="41" t="n">
        <f aca="false">IF(D164&lt;=0.5,0,MIN(H164+N(J164),D164+E164+F164))</f>
        <v>0</v>
      </c>
      <c r="L164" s="41" t="n">
        <f aca="false">K164-E164-F164</f>
        <v>0</v>
      </c>
      <c r="M164" s="41" t="n">
        <f aca="false">D164-L164</f>
        <v>0</v>
      </c>
      <c r="N164" s="42" t="n">
        <f aca="false">K164-G164</f>
        <v>0</v>
      </c>
      <c r="O164" s="78"/>
      <c r="P164" s="79"/>
      <c r="Q164" s="16" t="str">
        <f aca="false">IF(K164=0,"",IF(R164=1,"Pagada",IF(C164&lt;$F$12,"Vencida",IF(138=$F$13,"Próxima","Pendiente"))))</f>
        <v/>
      </c>
      <c r="R164" s="62" t="n">
        <f aca="false">IF(AND(K164&gt;0,OR(O164="Sí",O164="Si")),1,0)</f>
        <v>0</v>
      </c>
      <c r="S164" s="62" t="n">
        <f aca="false">IF(AND(K164&gt;0,R164=0),1,0)</f>
        <v>0</v>
      </c>
    </row>
    <row r="165" customFormat="false" ht="15" hidden="false" customHeight="false" outlineLevel="0" collapsed="false">
      <c r="B165" s="71" t="str">
        <f aca="false">IF($F$6="Sí",N($C$11)+138,"")</f>
        <v/>
      </c>
      <c r="C165" s="72" t="str">
        <f aca="false">IF(OR($F$6&lt;&gt;"Sí",D165&lt;=0.5),"",EDATE($C$10,138))</f>
        <v/>
      </c>
      <c r="D165" s="41" t="n">
        <f aca="false">MAX(0,M164)</f>
        <v>0</v>
      </c>
      <c r="E165" s="41" t="n">
        <f aca="false">D165*$F$7</f>
        <v>0</v>
      </c>
      <c r="F165" s="41" t="n">
        <f aca="false">IF(D165&gt;0.5,N($C$15),0)</f>
        <v>0</v>
      </c>
      <c r="G165" s="41" t="n">
        <f aca="false">IF(AND(D165&gt;0.5,N($C$19)&gt;0,N(B165)&lt;=N($C$20)),D165*$F$8,0)</f>
        <v>0</v>
      </c>
      <c r="H165" s="41" t="n">
        <f aca="false">IF(D165&lt;=0.5,0,MIN(IF(N(I165)&gt;0,I165,$F$9),D165+E165+F165))</f>
        <v>0</v>
      </c>
      <c r="I165" s="77"/>
      <c r="J165" s="77"/>
      <c r="K165" s="41" t="n">
        <f aca="false">IF(D165&lt;=0.5,0,MIN(H165+N(J165),D165+E165+F165))</f>
        <v>0</v>
      </c>
      <c r="L165" s="41" t="n">
        <f aca="false">K165-E165-F165</f>
        <v>0</v>
      </c>
      <c r="M165" s="41" t="n">
        <f aca="false">D165-L165</f>
        <v>0</v>
      </c>
      <c r="N165" s="42" t="n">
        <f aca="false">K165-G165</f>
        <v>0</v>
      </c>
      <c r="O165" s="78"/>
      <c r="P165" s="79"/>
      <c r="Q165" s="16" t="str">
        <f aca="false">IF(K165=0,"",IF(R165=1,"Pagada",IF(C165&lt;$F$12,"Vencida",IF(139=$F$13,"Próxima","Pendiente"))))</f>
        <v/>
      </c>
      <c r="R165" s="62" t="n">
        <f aca="false">IF(AND(K165&gt;0,OR(O165="Sí",O165="Si")),1,0)</f>
        <v>0</v>
      </c>
      <c r="S165" s="62" t="n">
        <f aca="false">IF(AND(K165&gt;0,R165=0),1,0)</f>
        <v>0</v>
      </c>
    </row>
    <row r="166" customFormat="false" ht="15" hidden="false" customHeight="false" outlineLevel="0" collapsed="false">
      <c r="B166" s="71" t="str">
        <f aca="false">IF($F$6="Sí",N($C$11)+139,"")</f>
        <v/>
      </c>
      <c r="C166" s="72" t="str">
        <f aca="false">IF(OR($F$6&lt;&gt;"Sí",D166&lt;=0.5),"",EDATE($C$10,139))</f>
        <v/>
      </c>
      <c r="D166" s="41" t="n">
        <f aca="false">MAX(0,M165)</f>
        <v>0</v>
      </c>
      <c r="E166" s="41" t="n">
        <f aca="false">D166*$F$7</f>
        <v>0</v>
      </c>
      <c r="F166" s="41" t="n">
        <f aca="false">IF(D166&gt;0.5,N($C$15),0)</f>
        <v>0</v>
      </c>
      <c r="G166" s="41" t="n">
        <f aca="false">IF(AND(D166&gt;0.5,N($C$19)&gt;0,N(B166)&lt;=N($C$20)),D166*$F$8,0)</f>
        <v>0</v>
      </c>
      <c r="H166" s="41" t="n">
        <f aca="false">IF(D166&lt;=0.5,0,MIN(IF(N(I166)&gt;0,I166,$F$9),D166+E166+F166))</f>
        <v>0</v>
      </c>
      <c r="I166" s="77"/>
      <c r="J166" s="77"/>
      <c r="K166" s="41" t="n">
        <f aca="false">IF(D166&lt;=0.5,0,MIN(H166+N(J166),D166+E166+F166))</f>
        <v>0</v>
      </c>
      <c r="L166" s="41" t="n">
        <f aca="false">K166-E166-F166</f>
        <v>0</v>
      </c>
      <c r="M166" s="41" t="n">
        <f aca="false">D166-L166</f>
        <v>0</v>
      </c>
      <c r="N166" s="42" t="n">
        <f aca="false">K166-G166</f>
        <v>0</v>
      </c>
      <c r="O166" s="78"/>
      <c r="P166" s="79"/>
      <c r="Q166" s="16" t="str">
        <f aca="false">IF(K166=0,"",IF(R166=1,"Pagada",IF(C166&lt;$F$12,"Vencida",IF(140=$F$13,"Próxima","Pendiente"))))</f>
        <v/>
      </c>
      <c r="R166" s="62" t="n">
        <f aca="false">IF(AND(K166&gt;0,OR(O166="Sí",O166="Si")),1,0)</f>
        <v>0</v>
      </c>
      <c r="S166" s="62" t="n">
        <f aca="false">IF(AND(K166&gt;0,R166=0),1,0)</f>
        <v>0</v>
      </c>
    </row>
    <row r="167" customFormat="false" ht="15" hidden="false" customHeight="false" outlineLevel="0" collapsed="false">
      <c r="B167" s="71" t="str">
        <f aca="false">IF($F$6="Sí",N($C$11)+140,"")</f>
        <v/>
      </c>
      <c r="C167" s="72" t="str">
        <f aca="false">IF(OR($F$6&lt;&gt;"Sí",D167&lt;=0.5),"",EDATE($C$10,140))</f>
        <v/>
      </c>
      <c r="D167" s="41" t="n">
        <f aca="false">MAX(0,M166)</f>
        <v>0</v>
      </c>
      <c r="E167" s="41" t="n">
        <f aca="false">D167*$F$7</f>
        <v>0</v>
      </c>
      <c r="F167" s="41" t="n">
        <f aca="false">IF(D167&gt;0.5,N($C$15),0)</f>
        <v>0</v>
      </c>
      <c r="G167" s="41" t="n">
        <f aca="false">IF(AND(D167&gt;0.5,N($C$19)&gt;0,N(B167)&lt;=N($C$20)),D167*$F$8,0)</f>
        <v>0</v>
      </c>
      <c r="H167" s="41" t="n">
        <f aca="false">IF(D167&lt;=0.5,0,MIN(IF(N(I167)&gt;0,I167,$F$9),D167+E167+F167))</f>
        <v>0</v>
      </c>
      <c r="I167" s="77"/>
      <c r="J167" s="77"/>
      <c r="K167" s="41" t="n">
        <f aca="false">IF(D167&lt;=0.5,0,MIN(H167+N(J167),D167+E167+F167))</f>
        <v>0</v>
      </c>
      <c r="L167" s="41" t="n">
        <f aca="false">K167-E167-F167</f>
        <v>0</v>
      </c>
      <c r="M167" s="41" t="n">
        <f aca="false">D167-L167</f>
        <v>0</v>
      </c>
      <c r="N167" s="42" t="n">
        <f aca="false">K167-G167</f>
        <v>0</v>
      </c>
      <c r="O167" s="78"/>
      <c r="P167" s="79"/>
      <c r="Q167" s="16" t="str">
        <f aca="false">IF(K167=0,"",IF(R167=1,"Pagada",IF(C167&lt;$F$12,"Vencida",IF(141=$F$13,"Próxima","Pendiente"))))</f>
        <v/>
      </c>
      <c r="R167" s="62" t="n">
        <f aca="false">IF(AND(K167&gt;0,OR(O167="Sí",O167="Si")),1,0)</f>
        <v>0</v>
      </c>
      <c r="S167" s="62" t="n">
        <f aca="false">IF(AND(K167&gt;0,R167=0),1,0)</f>
        <v>0</v>
      </c>
    </row>
    <row r="168" customFormat="false" ht="15" hidden="false" customHeight="false" outlineLevel="0" collapsed="false">
      <c r="B168" s="71" t="str">
        <f aca="false">IF($F$6="Sí",N($C$11)+141,"")</f>
        <v/>
      </c>
      <c r="C168" s="72" t="str">
        <f aca="false">IF(OR($F$6&lt;&gt;"Sí",D168&lt;=0.5),"",EDATE($C$10,141))</f>
        <v/>
      </c>
      <c r="D168" s="41" t="n">
        <f aca="false">MAX(0,M167)</f>
        <v>0</v>
      </c>
      <c r="E168" s="41" t="n">
        <f aca="false">D168*$F$7</f>
        <v>0</v>
      </c>
      <c r="F168" s="41" t="n">
        <f aca="false">IF(D168&gt;0.5,N($C$15),0)</f>
        <v>0</v>
      </c>
      <c r="G168" s="41" t="n">
        <f aca="false">IF(AND(D168&gt;0.5,N($C$19)&gt;0,N(B168)&lt;=N($C$20)),D168*$F$8,0)</f>
        <v>0</v>
      </c>
      <c r="H168" s="41" t="n">
        <f aca="false">IF(D168&lt;=0.5,0,MIN(IF(N(I168)&gt;0,I168,$F$9),D168+E168+F168))</f>
        <v>0</v>
      </c>
      <c r="I168" s="77"/>
      <c r="J168" s="77"/>
      <c r="K168" s="41" t="n">
        <f aca="false">IF(D168&lt;=0.5,0,MIN(H168+N(J168),D168+E168+F168))</f>
        <v>0</v>
      </c>
      <c r="L168" s="41" t="n">
        <f aca="false">K168-E168-F168</f>
        <v>0</v>
      </c>
      <c r="M168" s="41" t="n">
        <f aca="false">D168-L168</f>
        <v>0</v>
      </c>
      <c r="N168" s="42" t="n">
        <f aca="false">K168-G168</f>
        <v>0</v>
      </c>
      <c r="O168" s="78"/>
      <c r="P168" s="79"/>
      <c r="Q168" s="16" t="str">
        <f aca="false">IF(K168=0,"",IF(R168=1,"Pagada",IF(C168&lt;$F$12,"Vencida",IF(142=$F$13,"Próxima","Pendiente"))))</f>
        <v/>
      </c>
      <c r="R168" s="62" t="n">
        <f aca="false">IF(AND(K168&gt;0,OR(O168="Sí",O168="Si")),1,0)</f>
        <v>0</v>
      </c>
      <c r="S168" s="62" t="n">
        <f aca="false">IF(AND(K168&gt;0,R168=0),1,0)</f>
        <v>0</v>
      </c>
    </row>
    <row r="169" customFormat="false" ht="15" hidden="false" customHeight="false" outlineLevel="0" collapsed="false">
      <c r="B169" s="71" t="str">
        <f aca="false">IF($F$6="Sí",N($C$11)+142,"")</f>
        <v/>
      </c>
      <c r="C169" s="72" t="str">
        <f aca="false">IF(OR($F$6&lt;&gt;"Sí",D169&lt;=0.5),"",EDATE($C$10,142))</f>
        <v/>
      </c>
      <c r="D169" s="41" t="n">
        <f aca="false">MAX(0,M168)</f>
        <v>0</v>
      </c>
      <c r="E169" s="41" t="n">
        <f aca="false">D169*$F$7</f>
        <v>0</v>
      </c>
      <c r="F169" s="41" t="n">
        <f aca="false">IF(D169&gt;0.5,N($C$15),0)</f>
        <v>0</v>
      </c>
      <c r="G169" s="41" t="n">
        <f aca="false">IF(AND(D169&gt;0.5,N($C$19)&gt;0,N(B169)&lt;=N($C$20)),D169*$F$8,0)</f>
        <v>0</v>
      </c>
      <c r="H169" s="41" t="n">
        <f aca="false">IF(D169&lt;=0.5,0,MIN(IF(N(I169)&gt;0,I169,$F$9),D169+E169+F169))</f>
        <v>0</v>
      </c>
      <c r="I169" s="77"/>
      <c r="J169" s="77"/>
      <c r="K169" s="41" t="n">
        <f aca="false">IF(D169&lt;=0.5,0,MIN(H169+N(J169),D169+E169+F169))</f>
        <v>0</v>
      </c>
      <c r="L169" s="41" t="n">
        <f aca="false">K169-E169-F169</f>
        <v>0</v>
      </c>
      <c r="M169" s="41" t="n">
        <f aca="false">D169-L169</f>
        <v>0</v>
      </c>
      <c r="N169" s="42" t="n">
        <f aca="false">K169-G169</f>
        <v>0</v>
      </c>
      <c r="O169" s="78"/>
      <c r="P169" s="79"/>
      <c r="Q169" s="16" t="str">
        <f aca="false">IF(K169=0,"",IF(R169=1,"Pagada",IF(C169&lt;$F$12,"Vencida",IF(143=$F$13,"Próxima","Pendiente"))))</f>
        <v/>
      </c>
      <c r="R169" s="62" t="n">
        <f aca="false">IF(AND(K169&gt;0,OR(O169="Sí",O169="Si")),1,0)</f>
        <v>0</v>
      </c>
      <c r="S169" s="62" t="n">
        <f aca="false">IF(AND(K169&gt;0,R169=0),1,0)</f>
        <v>0</v>
      </c>
    </row>
    <row r="170" customFormat="false" ht="15" hidden="false" customHeight="false" outlineLevel="0" collapsed="false">
      <c r="B170" s="71" t="str">
        <f aca="false">IF($F$6="Sí",N($C$11)+143,"")</f>
        <v/>
      </c>
      <c r="C170" s="72" t="str">
        <f aca="false">IF(OR($F$6&lt;&gt;"Sí",D170&lt;=0.5),"",EDATE($C$10,143))</f>
        <v/>
      </c>
      <c r="D170" s="41" t="n">
        <f aca="false">MAX(0,M169)</f>
        <v>0</v>
      </c>
      <c r="E170" s="41" t="n">
        <f aca="false">D170*$F$7</f>
        <v>0</v>
      </c>
      <c r="F170" s="41" t="n">
        <f aca="false">IF(D170&gt;0.5,N($C$15),0)</f>
        <v>0</v>
      </c>
      <c r="G170" s="41" t="n">
        <f aca="false">IF(AND(D170&gt;0.5,N($C$19)&gt;0,N(B170)&lt;=N($C$20)),D170*$F$8,0)</f>
        <v>0</v>
      </c>
      <c r="H170" s="41" t="n">
        <f aca="false">IF(D170&lt;=0.5,0,MIN(IF(N(I170)&gt;0,I170,$F$9),D170+E170+F170))</f>
        <v>0</v>
      </c>
      <c r="I170" s="77"/>
      <c r="J170" s="77"/>
      <c r="K170" s="41" t="n">
        <f aca="false">IF(D170&lt;=0.5,0,MIN(H170+N(J170),D170+E170+F170))</f>
        <v>0</v>
      </c>
      <c r="L170" s="41" t="n">
        <f aca="false">K170-E170-F170</f>
        <v>0</v>
      </c>
      <c r="M170" s="41" t="n">
        <f aca="false">D170-L170</f>
        <v>0</v>
      </c>
      <c r="N170" s="42" t="n">
        <f aca="false">K170-G170</f>
        <v>0</v>
      </c>
      <c r="O170" s="78"/>
      <c r="P170" s="79"/>
      <c r="Q170" s="16" t="str">
        <f aca="false">IF(K170=0,"",IF(R170=1,"Pagada",IF(C170&lt;$F$12,"Vencida",IF(144=$F$13,"Próxima","Pendiente"))))</f>
        <v/>
      </c>
      <c r="R170" s="62" t="n">
        <f aca="false">IF(AND(K170&gt;0,OR(O170="Sí",O170="Si")),1,0)</f>
        <v>0</v>
      </c>
      <c r="S170" s="62" t="n">
        <f aca="false">IF(AND(K170&gt;0,R170=0),1,0)</f>
        <v>0</v>
      </c>
    </row>
    <row r="171" customFormat="false" ht="15" hidden="false" customHeight="false" outlineLevel="0" collapsed="false">
      <c r="B171" s="71" t="str">
        <f aca="false">IF($F$6="Sí",N($C$11)+144,"")</f>
        <v/>
      </c>
      <c r="C171" s="72" t="str">
        <f aca="false">IF(OR($F$6&lt;&gt;"Sí",D171&lt;=0.5),"",EDATE($C$10,144))</f>
        <v/>
      </c>
      <c r="D171" s="41" t="n">
        <f aca="false">MAX(0,M170)</f>
        <v>0</v>
      </c>
      <c r="E171" s="41" t="n">
        <f aca="false">D171*$F$7</f>
        <v>0</v>
      </c>
      <c r="F171" s="41" t="n">
        <f aca="false">IF(D171&gt;0.5,N($C$15),0)</f>
        <v>0</v>
      </c>
      <c r="G171" s="41" t="n">
        <f aca="false">IF(AND(D171&gt;0.5,N($C$19)&gt;0,N(B171)&lt;=N($C$20)),D171*$F$8,0)</f>
        <v>0</v>
      </c>
      <c r="H171" s="41" t="n">
        <f aca="false">IF(D171&lt;=0.5,0,MIN(IF(N(I171)&gt;0,I171,$F$9),D171+E171+F171))</f>
        <v>0</v>
      </c>
      <c r="I171" s="77"/>
      <c r="J171" s="77"/>
      <c r="K171" s="41" t="n">
        <f aca="false">IF(D171&lt;=0.5,0,MIN(H171+N(J171),D171+E171+F171))</f>
        <v>0</v>
      </c>
      <c r="L171" s="41" t="n">
        <f aca="false">K171-E171-F171</f>
        <v>0</v>
      </c>
      <c r="M171" s="41" t="n">
        <f aca="false">D171-L171</f>
        <v>0</v>
      </c>
      <c r="N171" s="42" t="n">
        <f aca="false">K171-G171</f>
        <v>0</v>
      </c>
      <c r="O171" s="78"/>
      <c r="P171" s="79"/>
      <c r="Q171" s="16" t="str">
        <f aca="false">IF(K171=0,"",IF(R171=1,"Pagada",IF(C171&lt;$F$12,"Vencida",IF(145=$F$13,"Próxima","Pendiente"))))</f>
        <v/>
      </c>
      <c r="R171" s="62" t="n">
        <f aca="false">IF(AND(K171&gt;0,OR(O171="Sí",O171="Si")),1,0)</f>
        <v>0</v>
      </c>
      <c r="S171" s="62" t="n">
        <f aca="false">IF(AND(K171&gt;0,R171=0),1,0)</f>
        <v>0</v>
      </c>
    </row>
    <row r="172" customFormat="false" ht="15" hidden="false" customHeight="false" outlineLevel="0" collapsed="false">
      <c r="B172" s="71" t="str">
        <f aca="false">IF($F$6="Sí",N($C$11)+145,"")</f>
        <v/>
      </c>
      <c r="C172" s="72" t="str">
        <f aca="false">IF(OR($F$6&lt;&gt;"Sí",D172&lt;=0.5),"",EDATE($C$10,145))</f>
        <v/>
      </c>
      <c r="D172" s="41" t="n">
        <f aca="false">MAX(0,M171)</f>
        <v>0</v>
      </c>
      <c r="E172" s="41" t="n">
        <f aca="false">D172*$F$7</f>
        <v>0</v>
      </c>
      <c r="F172" s="41" t="n">
        <f aca="false">IF(D172&gt;0.5,N($C$15),0)</f>
        <v>0</v>
      </c>
      <c r="G172" s="41" t="n">
        <f aca="false">IF(AND(D172&gt;0.5,N($C$19)&gt;0,N(B172)&lt;=N($C$20)),D172*$F$8,0)</f>
        <v>0</v>
      </c>
      <c r="H172" s="41" t="n">
        <f aca="false">IF(D172&lt;=0.5,0,MIN(IF(N(I172)&gt;0,I172,$F$9),D172+E172+F172))</f>
        <v>0</v>
      </c>
      <c r="I172" s="77"/>
      <c r="J172" s="77"/>
      <c r="K172" s="41" t="n">
        <f aca="false">IF(D172&lt;=0.5,0,MIN(H172+N(J172),D172+E172+F172))</f>
        <v>0</v>
      </c>
      <c r="L172" s="41" t="n">
        <f aca="false">K172-E172-F172</f>
        <v>0</v>
      </c>
      <c r="M172" s="41" t="n">
        <f aca="false">D172-L172</f>
        <v>0</v>
      </c>
      <c r="N172" s="42" t="n">
        <f aca="false">K172-G172</f>
        <v>0</v>
      </c>
      <c r="O172" s="78"/>
      <c r="P172" s="79"/>
      <c r="Q172" s="16" t="str">
        <f aca="false">IF(K172=0,"",IF(R172=1,"Pagada",IF(C172&lt;$F$12,"Vencida",IF(146=$F$13,"Próxima","Pendiente"))))</f>
        <v/>
      </c>
      <c r="R172" s="62" t="n">
        <f aca="false">IF(AND(K172&gt;0,OR(O172="Sí",O172="Si")),1,0)</f>
        <v>0</v>
      </c>
      <c r="S172" s="62" t="n">
        <f aca="false">IF(AND(K172&gt;0,R172=0),1,0)</f>
        <v>0</v>
      </c>
    </row>
    <row r="173" customFormat="false" ht="15" hidden="false" customHeight="false" outlineLevel="0" collapsed="false">
      <c r="B173" s="71" t="str">
        <f aca="false">IF($F$6="Sí",N($C$11)+146,"")</f>
        <v/>
      </c>
      <c r="C173" s="72" t="str">
        <f aca="false">IF(OR($F$6&lt;&gt;"Sí",D173&lt;=0.5),"",EDATE($C$10,146))</f>
        <v/>
      </c>
      <c r="D173" s="41" t="n">
        <f aca="false">MAX(0,M172)</f>
        <v>0</v>
      </c>
      <c r="E173" s="41" t="n">
        <f aca="false">D173*$F$7</f>
        <v>0</v>
      </c>
      <c r="F173" s="41" t="n">
        <f aca="false">IF(D173&gt;0.5,N($C$15),0)</f>
        <v>0</v>
      </c>
      <c r="G173" s="41" t="n">
        <f aca="false">IF(AND(D173&gt;0.5,N($C$19)&gt;0,N(B173)&lt;=N($C$20)),D173*$F$8,0)</f>
        <v>0</v>
      </c>
      <c r="H173" s="41" t="n">
        <f aca="false">IF(D173&lt;=0.5,0,MIN(IF(N(I173)&gt;0,I173,$F$9),D173+E173+F173))</f>
        <v>0</v>
      </c>
      <c r="I173" s="77"/>
      <c r="J173" s="77"/>
      <c r="K173" s="41" t="n">
        <f aca="false">IF(D173&lt;=0.5,0,MIN(H173+N(J173),D173+E173+F173))</f>
        <v>0</v>
      </c>
      <c r="L173" s="41" t="n">
        <f aca="false">K173-E173-F173</f>
        <v>0</v>
      </c>
      <c r="M173" s="41" t="n">
        <f aca="false">D173-L173</f>
        <v>0</v>
      </c>
      <c r="N173" s="42" t="n">
        <f aca="false">K173-G173</f>
        <v>0</v>
      </c>
      <c r="O173" s="78"/>
      <c r="P173" s="79"/>
      <c r="Q173" s="16" t="str">
        <f aca="false">IF(K173=0,"",IF(R173=1,"Pagada",IF(C173&lt;$F$12,"Vencida",IF(147=$F$13,"Próxima","Pendiente"))))</f>
        <v/>
      </c>
      <c r="R173" s="62" t="n">
        <f aca="false">IF(AND(K173&gt;0,OR(O173="Sí",O173="Si")),1,0)</f>
        <v>0</v>
      </c>
      <c r="S173" s="62" t="n">
        <f aca="false">IF(AND(K173&gt;0,R173=0),1,0)</f>
        <v>0</v>
      </c>
    </row>
    <row r="174" customFormat="false" ht="15" hidden="false" customHeight="false" outlineLevel="0" collapsed="false">
      <c r="B174" s="71" t="str">
        <f aca="false">IF($F$6="Sí",N($C$11)+147,"")</f>
        <v/>
      </c>
      <c r="C174" s="72" t="str">
        <f aca="false">IF(OR($F$6&lt;&gt;"Sí",D174&lt;=0.5),"",EDATE($C$10,147))</f>
        <v/>
      </c>
      <c r="D174" s="41" t="n">
        <f aca="false">MAX(0,M173)</f>
        <v>0</v>
      </c>
      <c r="E174" s="41" t="n">
        <f aca="false">D174*$F$7</f>
        <v>0</v>
      </c>
      <c r="F174" s="41" t="n">
        <f aca="false">IF(D174&gt;0.5,N($C$15),0)</f>
        <v>0</v>
      </c>
      <c r="G174" s="41" t="n">
        <f aca="false">IF(AND(D174&gt;0.5,N($C$19)&gt;0,N(B174)&lt;=N($C$20)),D174*$F$8,0)</f>
        <v>0</v>
      </c>
      <c r="H174" s="41" t="n">
        <f aca="false">IF(D174&lt;=0.5,0,MIN(IF(N(I174)&gt;0,I174,$F$9),D174+E174+F174))</f>
        <v>0</v>
      </c>
      <c r="I174" s="77"/>
      <c r="J174" s="77"/>
      <c r="K174" s="41" t="n">
        <f aca="false">IF(D174&lt;=0.5,0,MIN(H174+N(J174),D174+E174+F174))</f>
        <v>0</v>
      </c>
      <c r="L174" s="41" t="n">
        <f aca="false">K174-E174-F174</f>
        <v>0</v>
      </c>
      <c r="M174" s="41" t="n">
        <f aca="false">D174-L174</f>
        <v>0</v>
      </c>
      <c r="N174" s="42" t="n">
        <f aca="false">K174-G174</f>
        <v>0</v>
      </c>
      <c r="O174" s="78"/>
      <c r="P174" s="79"/>
      <c r="Q174" s="16" t="str">
        <f aca="false">IF(K174=0,"",IF(R174=1,"Pagada",IF(C174&lt;$F$12,"Vencida",IF(148=$F$13,"Próxima","Pendiente"))))</f>
        <v/>
      </c>
      <c r="R174" s="62" t="n">
        <f aca="false">IF(AND(K174&gt;0,OR(O174="Sí",O174="Si")),1,0)</f>
        <v>0</v>
      </c>
      <c r="S174" s="62" t="n">
        <f aca="false">IF(AND(K174&gt;0,R174=0),1,0)</f>
        <v>0</v>
      </c>
    </row>
    <row r="175" customFormat="false" ht="15" hidden="false" customHeight="false" outlineLevel="0" collapsed="false">
      <c r="B175" s="71" t="str">
        <f aca="false">IF($F$6="Sí",N($C$11)+148,"")</f>
        <v/>
      </c>
      <c r="C175" s="72" t="str">
        <f aca="false">IF(OR($F$6&lt;&gt;"Sí",D175&lt;=0.5),"",EDATE($C$10,148))</f>
        <v/>
      </c>
      <c r="D175" s="41" t="n">
        <f aca="false">MAX(0,M174)</f>
        <v>0</v>
      </c>
      <c r="E175" s="41" t="n">
        <f aca="false">D175*$F$7</f>
        <v>0</v>
      </c>
      <c r="F175" s="41" t="n">
        <f aca="false">IF(D175&gt;0.5,N($C$15),0)</f>
        <v>0</v>
      </c>
      <c r="G175" s="41" t="n">
        <f aca="false">IF(AND(D175&gt;0.5,N($C$19)&gt;0,N(B175)&lt;=N($C$20)),D175*$F$8,0)</f>
        <v>0</v>
      </c>
      <c r="H175" s="41" t="n">
        <f aca="false">IF(D175&lt;=0.5,0,MIN(IF(N(I175)&gt;0,I175,$F$9),D175+E175+F175))</f>
        <v>0</v>
      </c>
      <c r="I175" s="77"/>
      <c r="J175" s="77"/>
      <c r="K175" s="41" t="n">
        <f aca="false">IF(D175&lt;=0.5,0,MIN(H175+N(J175),D175+E175+F175))</f>
        <v>0</v>
      </c>
      <c r="L175" s="41" t="n">
        <f aca="false">K175-E175-F175</f>
        <v>0</v>
      </c>
      <c r="M175" s="41" t="n">
        <f aca="false">D175-L175</f>
        <v>0</v>
      </c>
      <c r="N175" s="42" t="n">
        <f aca="false">K175-G175</f>
        <v>0</v>
      </c>
      <c r="O175" s="78"/>
      <c r="P175" s="79"/>
      <c r="Q175" s="16" t="str">
        <f aca="false">IF(K175=0,"",IF(R175=1,"Pagada",IF(C175&lt;$F$12,"Vencida",IF(149=$F$13,"Próxima","Pendiente"))))</f>
        <v/>
      </c>
      <c r="R175" s="62" t="n">
        <f aca="false">IF(AND(K175&gt;0,OR(O175="Sí",O175="Si")),1,0)</f>
        <v>0</v>
      </c>
      <c r="S175" s="62" t="n">
        <f aca="false">IF(AND(K175&gt;0,R175=0),1,0)</f>
        <v>0</v>
      </c>
    </row>
    <row r="176" customFormat="false" ht="15" hidden="false" customHeight="false" outlineLevel="0" collapsed="false">
      <c r="B176" s="71" t="str">
        <f aca="false">IF($F$6="Sí",N($C$11)+149,"")</f>
        <v/>
      </c>
      <c r="C176" s="72" t="str">
        <f aca="false">IF(OR($F$6&lt;&gt;"Sí",D176&lt;=0.5),"",EDATE($C$10,149))</f>
        <v/>
      </c>
      <c r="D176" s="41" t="n">
        <f aca="false">MAX(0,M175)</f>
        <v>0</v>
      </c>
      <c r="E176" s="41" t="n">
        <f aca="false">D176*$F$7</f>
        <v>0</v>
      </c>
      <c r="F176" s="41" t="n">
        <f aca="false">IF(D176&gt;0.5,N($C$15),0)</f>
        <v>0</v>
      </c>
      <c r="G176" s="41" t="n">
        <f aca="false">IF(AND(D176&gt;0.5,N($C$19)&gt;0,N(B176)&lt;=N($C$20)),D176*$F$8,0)</f>
        <v>0</v>
      </c>
      <c r="H176" s="41" t="n">
        <f aca="false">IF(D176&lt;=0.5,0,MIN(IF(N(I176)&gt;0,I176,$F$9),D176+E176+F176))</f>
        <v>0</v>
      </c>
      <c r="I176" s="77"/>
      <c r="J176" s="77"/>
      <c r="K176" s="41" t="n">
        <f aca="false">IF(D176&lt;=0.5,0,MIN(H176+N(J176),D176+E176+F176))</f>
        <v>0</v>
      </c>
      <c r="L176" s="41" t="n">
        <f aca="false">K176-E176-F176</f>
        <v>0</v>
      </c>
      <c r="M176" s="41" t="n">
        <f aca="false">D176-L176</f>
        <v>0</v>
      </c>
      <c r="N176" s="42" t="n">
        <f aca="false">K176-G176</f>
        <v>0</v>
      </c>
      <c r="O176" s="78"/>
      <c r="P176" s="79"/>
      <c r="Q176" s="16" t="str">
        <f aca="false">IF(K176=0,"",IF(R176=1,"Pagada",IF(C176&lt;$F$12,"Vencida",IF(150=$F$13,"Próxima","Pendiente"))))</f>
        <v/>
      </c>
      <c r="R176" s="62" t="n">
        <f aca="false">IF(AND(K176&gt;0,OR(O176="Sí",O176="Si")),1,0)</f>
        <v>0</v>
      </c>
      <c r="S176" s="62" t="n">
        <f aca="false">IF(AND(K176&gt;0,R176=0),1,0)</f>
        <v>0</v>
      </c>
    </row>
    <row r="177" customFormat="false" ht="15" hidden="false" customHeight="false" outlineLevel="0" collapsed="false">
      <c r="B177" s="71" t="str">
        <f aca="false">IF($F$6="Sí",N($C$11)+150,"")</f>
        <v/>
      </c>
      <c r="C177" s="72" t="str">
        <f aca="false">IF(OR($F$6&lt;&gt;"Sí",D177&lt;=0.5),"",EDATE($C$10,150))</f>
        <v/>
      </c>
      <c r="D177" s="41" t="n">
        <f aca="false">MAX(0,M176)</f>
        <v>0</v>
      </c>
      <c r="E177" s="41" t="n">
        <f aca="false">D177*$F$7</f>
        <v>0</v>
      </c>
      <c r="F177" s="41" t="n">
        <f aca="false">IF(D177&gt;0.5,N($C$15),0)</f>
        <v>0</v>
      </c>
      <c r="G177" s="41" t="n">
        <f aca="false">IF(AND(D177&gt;0.5,N($C$19)&gt;0,N(B177)&lt;=N($C$20)),D177*$F$8,0)</f>
        <v>0</v>
      </c>
      <c r="H177" s="41" t="n">
        <f aca="false">IF(D177&lt;=0.5,0,MIN(IF(N(I177)&gt;0,I177,$F$9),D177+E177+F177))</f>
        <v>0</v>
      </c>
      <c r="I177" s="77"/>
      <c r="J177" s="77"/>
      <c r="K177" s="41" t="n">
        <f aca="false">IF(D177&lt;=0.5,0,MIN(H177+N(J177),D177+E177+F177))</f>
        <v>0</v>
      </c>
      <c r="L177" s="41" t="n">
        <f aca="false">K177-E177-F177</f>
        <v>0</v>
      </c>
      <c r="M177" s="41" t="n">
        <f aca="false">D177-L177</f>
        <v>0</v>
      </c>
      <c r="N177" s="42" t="n">
        <f aca="false">K177-G177</f>
        <v>0</v>
      </c>
      <c r="O177" s="78"/>
      <c r="P177" s="79"/>
      <c r="Q177" s="16" t="str">
        <f aca="false">IF(K177=0,"",IF(R177=1,"Pagada",IF(C177&lt;$F$12,"Vencida",IF(151=$F$13,"Próxima","Pendiente"))))</f>
        <v/>
      </c>
      <c r="R177" s="62" t="n">
        <f aca="false">IF(AND(K177&gt;0,OR(O177="Sí",O177="Si")),1,0)</f>
        <v>0</v>
      </c>
      <c r="S177" s="62" t="n">
        <f aca="false">IF(AND(K177&gt;0,R177=0),1,0)</f>
        <v>0</v>
      </c>
    </row>
    <row r="178" customFormat="false" ht="15" hidden="false" customHeight="false" outlineLevel="0" collapsed="false">
      <c r="B178" s="71" t="str">
        <f aca="false">IF($F$6="Sí",N($C$11)+151,"")</f>
        <v/>
      </c>
      <c r="C178" s="72" t="str">
        <f aca="false">IF(OR($F$6&lt;&gt;"Sí",D178&lt;=0.5),"",EDATE($C$10,151))</f>
        <v/>
      </c>
      <c r="D178" s="41" t="n">
        <f aca="false">MAX(0,M177)</f>
        <v>0</v>
      </c>
      <c r="E178" s="41" t="n">
        <f aca="false">D178*$F$7</f>
        <v>0</v>
      </c>
      <c r="F178" s="41" t="n">
        <f aca="false">IF(D178&gt;0.5,N($C$15),0)</f>
        <v>0</v>
      </c>
      <c r="G178" s="41" t="n">
        <f aca="false">IF(AND(D178&gt;0.5,N($C$19)&gt;0,N(B178)&lt;=N($C$20)),D178*$F$8,0)</f>
        <v>0</v>
      </c>
      <c r="H178" s="41" t="n">
        <f aca="false">IF(D178&lt;=0.5,0,MIN(IF(N(I178)&gt;0,I178,$F$9),D178+E178+F178))</f>
        <v>0</v>
      </c>
      <c r="I178" s="77"/>
      <c r="J178" s="77"/>
      <c r="K178" s="41" t="n">
        <f aca="false">IF(D178&lt;=0.5,0,MIN(H178+N(J178),D178+E178+F178))</f>
        <v>0</v>
      </c>
      <c r="L178" s="41" t="n">
        <f aca="false">K178-E178-F178</f>
        <v>0</v>
      </c>
      <c r="M178" s="41" t="n">
        <f aca="false">D178-L178</f>
        <v>0</v>
      </c>
      <c r="N178" s="42" t="n">
        <f aca="false">K178-G178</f>
        <v>0</v>
      </c>
      <c r="O178" s="78"/>
      <c r="P178" s="79"/>
      <c r="Q178" s="16" t="str">
        <f aca="false">IF(K178=0,"",IF(R178=1,"Pagada",IF(C178&lt;$F$12,"Vencida",IF(152=$F$13,"Próxima","Pendiente"))))</f>
        <v/>
      </c>
      <c r="R178" s="62" t="n">
        <f aca="false">IF(AND(K178&gt;0,OR(O178="Sí",O178="Si")),1,0)</f>
        <v>0</v>
      </c>
      <c r="S178" s="62" t="n">
        <f aca="false">IF(AND(K178&gt;0,R178=0),1,0)</f>
        <v>0</v>
      </c>
    </row>
    <row r="179" customFormat="false" ht="15" hidden="false" customHeight="false" outlineLevel="0" collapsed="false">
      <c r="B179" s="71" t="str">
        <f aca="false">IF($F$6="Sí",N($C$11)+152,"")</f>
        <v/>
      </c>
      <c r="C179" s="72" t="str">
        <f aca="false">IF(OR($F$6&lt;&gt;"Sí",D179&lt;=0.5),"",EDATE($C$10,152))</f>
        <v/>
      </c>
      <c r="D179" s="41" t="n">
        <f aca="false">MAX(0,M178)</f>
        <v>0</v>
      </c>
      <c r="E179" s="41" t="n">
        <f aca="false">D179*$F$7</f>
        <v>0</v>
      </c>
      <c r="F179" s="41" t="n">
        <f aca="false">IF(D179&gt;0.5,N($C$15),0)</f>
        <v>0</v>
      </c>
      <c r="G179" s="41" t="n">
        <f aca="false">IF(AND(D179&gt;0.5,N($C$19)&gt;0,N(B179)&lt;=N($C$20)),D179*$F$8,0)</f>
        <v>0</v>
      </c>
      <c r="H179" s="41" t="n">
        <f aca="false">IF(D179&lt;=0.5,0,MIN(IF(N(I179)&gt;0,I179,$F$9),D179+E179+F179))</f>
        <v>0</v>
      </c>
      <c r="I179" s="77"/>
      <c r="J179" s="77"/>
      <c r="K179" s="41" t="n">
        <f aca="false">IF(D179&lt;=0.5,0,MIN(H179+N(J179),D179+E179+F179))</f>
        <v>0</v>
      </c>
      <c r="L179" s="41" t="n">
        <f aca="false">K179-E179-F179</f>
        <v>0</v>
      </c>
      <c r="M179" s="41" t="n">
        <f aca="false">D179-L179</f>
        <v>0</v>
      </c>
      <c r="N179" s="42" t="n">
        <f aca="false">K179-G179</f>
        <v>0</v>
      </c>
      <c r="O179" s="78"/>
      <c r="P179" s="79"/>
      <c r="Q179" s="16" t="str">
        <f aca="false">IF(K179=0,"",IF(R179=1,"Pagada",IF(C179&lt;$F$12,"Vencida",IF(153=$F$13,"Próxima","Pendiente"))))</f>
        <v/>
      </c>
      <c r="R179" s="62" t="n">
        <f aca="false">IF(AND(K179&gt;0,OR(O179="Sí",O179="Si")),1,0)</f>
        <v>0</v>
      </c>
      <c r="S179" s="62" t="n">
        <f aca="false">IF(AND(K179&gt;0,R179=0),1,0)</f>
        <v>0</v>
      </c>
    </row>
    <row r="180" customFormat="false" ht="15" hidden="false" customHeight="false" outlineLevel="0" collapsed="false">
      <c r="B180" s="71" t="str">
        <f aca="false">IF($F$6="Sí",N($C$11)+153,"")</f>
        <v/>
      </c>
      <c r="C180" s="72" t="str">
        <f aca="false">IF(OR($F$6&lt;&gt;"Sí",D180&lt;=0.5),"",EDATE($C$10,153))</f>
        <v/>
      </c>
      <c r="D180" s="41" t="n">
        <f aca="false">MAX(0,M179)</f>
        <v>0</v>
      </c>
      <c r="E180" s="41" t="n">
        <f aca="false">D180*$F$7</f>
        <v>0</v>
      </c>
      <c r="F180" s="41" t="n">
        <f aca="false">IF(D180&gt;0.5,N($C$15),0)</f>
        <v>0</v>
      </c>
      <c r="G180" s="41" t="n">
        <f aca="false">IF(AND(D180&gt;0.5,N($C$19)&gt;0,N(B180)&lt;=N($C$20)),D180*$F$8,0)</f>
        <v>0</v>
      </c>
      <c r="H180" s="41" t="n">
        <f aca="false">IF(D180&lt;=0.5,0,MIN(IF(N(I180)&gt;0,I180,$F$9),D180+E180+F180))</f>
        <v>0</v>
      </c>
      <c r="I180" s="77"/>
      <c r="J180" s="77"/>
      <c r="K180" s="41" t="n">
        <f aca="false">IF(D180&lt;=0.5,0,MIN(H180+N(J180),D180+E180+F180))</f>
        <v>0</v>
      </c>
      <c r="L180" s="41" t="n">
        <f aca="false">K180-E180-F180</f>
        <v>0</v>
      </c>
      <c r="M180" s="41" t="n">
        <f aca="false">D180-L180</f>
        <v>0</v>
      </c>
      <c r="N180" s="42" t="n">
        <f aca="false">K180-G180</f>
        <v>0</v>
      </c>
      <c r="O180" s="78"/>
      <c r="P180" s="79"/>
      <c r="Q180" s="16" t="str">
        <f aca="false">IF(K180=0,"",IF(R180=1,"Pagada",IF(C180&lt;$F$12,"Vencida",IF(154=$F$13,"Próxima","Pendiente"))))</f>
        <v/>
      </c>
      <c r="R180" s="62" t="n">
        <f aca="false">IF(AND(K180&gt;0,OR(O180="Sí",O180="Si")),1,0)</f>
        <v>0</v>
      </c>
      <c r="S180" s="62" t="n">
        <f aca="false">IF(AND(K180&gt;0,R180=0),1,0)</f>
        <v>0</v>
      </c>
    </row>
    <row r="181" customFormat="false" ht="15" hidden="false" customHeight="false" outlineLevel="0" collapsed="false">
      <c r="B181" s="71" t="str">
        <f aca="false">IF($F$6="Sí",N($C$11)+154,"")</f>
        <v/>
      </c>
      <c r="C181" s="72" t="str">
        <f aca="false">IF(OR($F$6&lt;&gt;"Sí",D181&lt;=0.5),"",EDATE($C$10,154))</f>
        <v/>
      </c>
      <c r="D181" s="41" t="n">
        <f aca="false">MAX(0,M180)</f>
        <v>0</v>
      </c>
      <c r="E181" s="41" t="n">
        <f aca="false">D181*$F$7</f>
        <v>0</v>
      </c>
      <c r="F181" s="41" t="n">
        <f aca="false">IF(D181&gt;0.5,N($C$15),0)</f>
        <v>0</v>
      </c>
      <c r="G181" s="41" t="n">
        <f aca="false">IF(AND(D181&gt;0.5,N($C$19)&gt;0,N(B181)&lt;=N($C$20)),D181*$F$8,0)</f>
        <v>0</v>
      </c>
      <c r="H181" s="41" t="n">
        <f aca="false">IF(D181&lt;=0.5,0,MIN(IF(N(I181)&gt;0,I181,$F$9),D181+E181+F181))</f>
        <v>0</v>
      </c>
      <c r="I181" s="77"/>
      <c r="J181" s="77"/>
      <c r="K181" s="41" t="n">
        <f aca="false">IF(D181&lt;=0.5,0,MIN(H181+N(J181),D181+E181+F181))</f>
        <v>0</v>
      </c>
      <c r="L181" s="41" t="n">
        <f aca="false">K181-E181-F181</f>
        <v>0</v>
      </c>
      <c r="M181" s="41" t="n">
        <f aca="false">D181-L181</f>
        <v>0</v>
      </c>
      <c r="N181" s="42" t="n">
        <f aca="false">K181-G181</f>
        <v>0</v>
      </c>
      <c r="O181" s="78"/>
      <c r="P181" s="79"/>
      <c r="Q181" s="16" t="str">
        <f aca="false">IF(K181=0,"",IF(R181=1,"Pagada",IF(C181&lt;$F$12,"Vencida",IF(155=$F$13,"Próxima","Pendiente"))))</f>
        <v/>
      </c>
      <c r="R181" s="62" t="n">
        <f aca="false">IF(AND(K181&gt;0,OR(O181="Sí",O181="Si")),1,0)</f>
        <v>0</v>
      </c>
      <c r="S181" s="62" t="n">
        <f aca="false">IF(AND(K181&gt;0,R181=0),1,0)</f>
        <v>0</v>
      </c>
    </row>
    <row r="182" customFormat="false" ht="15" hidden="false" customHeight="false" outlineLevel="0" collapsed="false">
      <c r="B182" s="71" t="str">
        <f aca="false">IF($F$6="Sí",N($C$11)+155,"")</f>
        <v/>
      </c>
      <c r="C182" s="72" t="str">
        <f aca="false">IF(OR($F$6&lt;&gt;"Sí",D182&lt;=0.5),"",EDATE($C$10,155))</f>
        <v/>
      </c>
      <c r="D182" s="41" t="n">
        <f aca="false">MAX(0,M181)</f>
        <v>0</v>
      </c>
      <c r="E182" s="41" t="n">
        <f aca="false">D182*$F$7</f>
        <v>0</v>
      </c>
      <c r="F182" s="41" t="n">
        <f aca="false">IF(D182&gt;0.5,N($C$15),0)</f>
        <v>0</v>
      </c>
      <c r="G182" s="41" t="n">
        <f aca="false">IF(AND(D182&gt;0.5,N($C$19)&gt;0,N(B182)&lt;=N($C$20)),D182*$F$8,0)</f>
        <v>0</v>
      </c>
      <c r="H182" s="41" t="n">
        <f aca="false">IF(D182&lt;=0.5,0,MIN(IF(N(I182)&gt;0,I182,$F$9),D182+E182+F182))</f>
        <v>0</v>
      </c>
      <c r="I182" s="77"/>
      <c r="J182" s="77"/>
      <c r="K182" s="41" t="n">
        <f aca="false">IF(D182&lt;=0.5,0,MIN(H182+N(J182),D182+E182+F182))</f>
        <v>0</v>
      </c>
      <c r="L182" s="41" t="n">
        <f aca="false">K182-E182-F182</f>
        <v>0</v>
      </c>
      <c r="M182" s="41" t="n">
        <f aca="false">D182-L182</f>
        <v>0</v>
      </c>
      <c r="N182" s="42" t="n">
        <f aca="false">K182-G182</f>
        <v>0</v>
      </c>
      <c r="O182" s="78"/>
      <c r="P182" s="79"/>
      <c r="Q182" s="16" t="str">
        <f aca="false">IF(K182=0,"",IF(R182=1,"Pagada",IF(C182&lt;$F$12,"Vencida",IF(156=$F$13,"Próxima","Pendiente"))))</f>
        <v/>
      </c>
      <c r="R182" s="62" t="n">
        <f aca="false">IF(AND(K182&gt;0,OR(O182="Sí",O182="Si")),1,0)</f>
        <v>0</v>
      </c>
      <c r="S182" s="62" t="n">
        <f aca="false">IF(AND(K182&gt;0,R182=0),1,0)</f>
        <v>0</v>
      </c>
    </row>
    <row r="183" customFormat="false" ht="15" hidden="false" customHeight="false" outlineLevel="0" collapsed="false">
      <c r="B183" s="71" t="str">
        <f aca="false">IF($F$6="Sí",N($C$11)+156,"")</f>
        <v/>
      </c>
      <c r="C183" s="72" t="str">
        <f aca="false">IF(OR($F$6&lt;&gt;"Sí",D183&lt;=0.5),"",EDATE($C$10,156))</f>
        <v/>
      </c>
      <c r="D183" s="41" t="n">
        <f aca="false">MAX(0,M182)</f>
        <v>0</v>
      </c>
      <c r="E183" s="41" t="n">
        <f aca="false">D183*$F$7</f>
        <v>0</v>
      </c>
      <c r="F183" s="41" t="n">
        <f aca="false">IF(D183&gt;0.5,N($C$15),0)</f>
        <v>0</v>
      </c>
      <c r="G183" s="41" t="n">
        <f aca="false">IF(AND(D183&gt;0.5,N($C$19)&gt;0,N(B183)&lt;=N($C$20)),D183*$F$8,0)</f>
        <v>0</v>
      </c>
      <c r="H183" s="41" t="n">
        <f aca="false">IF(D183&lt;=0.5,0,MIN(IF(N(I183)&gt;0,I183,$F$9),D183+E183+F183))</f>
        <v>0</v>
      </c>
      <c r="I183" s="77"/>
      <c r="J183" s="77"/>
      <c r="K183" s="41" t="n">
        <f aca="false">IF(D183&lt;=0.5,0,MIN(H183+N(J183),D183+E183+F183))</f>
        <v>0</v>
      </c>
      <c r="L183" s="41" t="n">
        <f aca="false">K183-E183-F183</f>
        <v>0</v>
      </c>
      <c r="M183" s="41" t="n">
        <f aca="false">D183-L183</f>
        <v>0</v>
      </c>
      <c r="N183" s="42" t="n">
        <f aca="false">K183-G183</f>
        <v>0</v>
      </c>
      <c r="O183" s="78"/>
      <c r="P183" s="79"/>
      <c r="Q183" s="16" t="str">
        <f aca="false">IF(K183=0,"",IF(R183=1,"Pagada",IF(C183&lt;$F$12,"Vencida",IF(157=$F$13,"Próxima","Pendiente"))))</f>
        <v/>
      </c>
      <c r="R183" s="62" t="n">
        <f aca="false">IF(AND(K183&gt;0,OR(O183="Sí",O183="Si")),1,0)</f>
        <v>0</v>
      </c>
      <c r="S183" s="62" t="n">
        <f aca="false">IF(AND(K183&gt;0,R183=0),1,0)</f>
        <v>0</v>
      </c>
    </row>
    <row r="184" customFormat="false" ht="15" hidden="false" customHeight="false" outlineLevel="0" collapsed="false">
      <c r="B184" s="71" t="str">
        <f aca="false">IF($F$6="Sí",N($C$11)+157,"")</f>
        <v/>
      </c>
      <c r="C184" s="72" t="str">
        <f aca="false">IF(OR($F$6&lt;&gt;"Sí",D184&lt;=0.5),"",EDATE($C$10,157))</f>
        <v/>
      </c>
      <c r="D184" s="41" t="n">
        <f aca="false">MAX(0,M183)</f>
        <v>0</v>
      </c>
      <c r="E184" s="41" t="n">
        <f aca="false">D184*$F$7</f>
        <v>0</v>
      </c>
      <c r="F184" s="41" t="n">
        <f aca="false">IF(D184&gt;0.5,N($C$15),0)</f>
        <v>0</v>
      </c>
      <c r="G184" s="41" t="n">
        <f aca="false">IF(AND(D184&gt;0.5,N($C$19)&gt;0,N(B184)&lt;=N($C$20)),D184*$F$8,0)</f>
        <v>0</v>
      </c>
      <c r="H184" s="41" t="n">
        <f aca="false">IF(D184&lt;=0.5,0,MIN(IF(N(I184)&gt;0,I184,$F$9),D184+E184+F184))</f>
        <v>0</v>
      </c>
      <c r="I184" s="77"/>
      <c r="J184" s="77"/>
      <c r="K184" s="41" t="n">
        <f aca="false">IF(D184&lt;=0.5,0,MIN(H184+N(J184),D184+E184+F184))</f>
        <v>0</v>
      </c>
      <c r="L184" s="41" t="n">
        <f aca="false">K184-E184-F184</f>
        <v>0</v>
      </c>
      <c r="M184" s="41" t="n">
        <f aca="false">D184-L184</f>
        <v>0</v>
      </c>
      <c r="N184" s="42" t="n">
        <f aca="false">K184-G184</f>
        <v>0</v>
      </c>
      <c r="O184" s="78"/>
      <c r="P184" s="79"/>
      <c r="Q184" s="16" t="str">
        <f aca="false">IF(K184=0,"",IF(R184=1,"Pagada",IF(C184&lt;$F$12,"Vencida",IF(158=$F$13,"Próxima","Pendiente"))))</f>
        <v/>
      </c>
      <c r="R184" s="62" t="n">
        <f aca="false">IF(AND(K184&gt;0,OR(O184="Sí",O184="Si")),1,0)</f>
        <v>0</v>
      </c>
      <c r="S184" s="62" t="n">
        <f aca="false">IF(AND(K184&gt;0,R184=0),1,0)</f>
        <v>0</v>
      </c>
    </row>
    <row r="185" customFormat="false" ht="15" hidden="false" customHeight="false" outlineLevel="0" collapsed="false">
      <c r="B185" s="71" t="str">
        <f aca="false">IF($F$6="Sí",N($C$11)+158,"")</f>
        <v/>
      </c>
      <c r="C185" s="72" t="str">
        <f aca="false">IF(OR($F$6&lt;&gt;"Sí",D185&lt;=0.5),"",EDATE($C$10,158))</f>
        <v/>
      </c>
      <c r="D185" s="41" t="n">
        <f aca="false">MAX(0,M184)</f>
        <v>0</v>
      </c>
      <c r="E185" s="41" t="n">
        <f aca="false">D185*$F$7</f>
        <v>0</v>
      </c>
      <c r="F185" s="41" t="n">
        <f aca="false">IF(D185&gt;0.5,N($C$15),0)</f>
        <v>0</v>
      </c>
      <c r="G185" s="41" t="n">
        <f aca="false">IF(AND(D185&gt;0.5,N($C$19)&gt;0,N(B185)&lt;=N($C$20)),D185*$F$8,0)</f>
        <v>0</v>
      </c>
      <c r="H185" s="41" t="n">
        <f aca="false">IF(D185&lt;=0.5,0,MIN(IF(N(I185)&gt;0,I185,$F$9),D185+E185+F185))</f>
        <v>0</v>
      </c>
      <c r="I185" s="77"/>
      <c r="J185" s="77"/>
      <c r="K185" s="41" t="n">
        <f aca="false">IF(D185&lt;=0.5,0,MIN(H185+N(J185),D185+E185+F185))</f>
        <v>0</v>
      </c>
      <c r="L185" s="41" t="n">
        <f aca="false">K185-E185-F185</f>
        <v>0</v>
      </c>
      <c r="M185" s="41" t="n">
        <f aca="false">D185-L185</f>
        <v>0</v>
      </c>
      <c r="N185" s="42" t="n">
        <f aca="false">K185-G185</f>
        <v>0</v>
      </c>
      <c r="O185" s="78"/>
      <c r="P185" s="79"/>
      <c r="Q185" s="16" t="str">
        <f aca="false">IF(K185=0,"",IF(R185=1,"Pagada",IF(C185&lt;$F$12,"Vencida",IF(159=$F$13,"Próxima","Pendiente"))))</f>
        <v/>
      </c>
      <c r="R185" s="62" t="n">
        <f aca="false">IF(AND(K185&gt;0,OR(O185="Sí",O185="Si")),1,0)</f>
        <v>0</v>
      </c>
      <c r="S185" s="62" t="n">
        <f aca="false">IF(AND(K185&gt;0,R185=0),1,0)</f>
        <v>0</v>
      </c>
    </row>
    <row r="186" customFormat="false" ht="15" hidden="false" customHeight="false" outlineLevel="0" collapsed="false">
      <c r="B186" s="71" t="str">
        <f aca="false">IF($F$6="Sí",N($C$11)+159,"")</f>
        <v/>
      </c>
      <c r="C186" s="72" t="str">
        <f aca="false">IF(OR($F$6&lt;&gt;"Sí",D186&lt;=0.5),"",EDATE($C$10,159))</f>
        <v/>
      </c>
      <c r="D186" s="41" t="n">
        <f aca="false">MAX(0,M185)</f>
        <v>0</v>
      </c>
      <c r="E186" s="41" t="n">
        <f aca="false">D186*$F$7</f>
        <v>0</v>
      </c>
      <c r="F186" s="41" t="n">
        <f aca="false">IF(D186&gt;0.5,N($C$15),0)</f>
        <v>0</v>
      </c>
      <c r="G186" s="41" t="n">
        <f aca="false">IF(AND(D186&gt;0.5,N($C$19)&gt;0,N(B186)&lt;=N($C$20)),D186*$F$8,0)</f>
        <v>0</v>
      </c>
      <c r="H186" s="41" t="n">
        <f aca="false">IF(D186&lt;=0.5,0,MIN(IF(N(I186)&gt;0,I186,$F$9),D186+E186+F186))</f>
        <v>0</v>
      </c>
      <c r="I186" s="77"/>
      <c r="J186" s="77"/>
      <c r="K186" s="41" t="n">
        <f aca="false">IF(D186&lt;=0.5,0,MIN(H186+N(J186),D186+E186+F186))</f>
        <v>0</v>
      </c>
      <c r="L186" s="41" t="n">
        <f aca="false">K186-E186-F186</f>
        <v>0</v>
      </c>
      <c r="M186" s="41" t="n">
        <f aca="false">D186-L186</f>
        <v>0</v>
      </c>
      <c r="N186" s="42" t="n">
        <f aca="false">K186-G186</f>
        <v>0</v>
      </c>
      <c r="O186" s="78"/>
      <c r="P186" s="79"/>
      <c r="Q186" s="16" t="str">
        <f aca="false">IF(K186=0,"",IF(R186=1,"Pagada",IF(C186&lt;$F$12,"Vencida",IF(160=$F$13,"Próxima","Pendiente"))))</f>
        <v/>
      </c>
      <c r="R186" s="62" t="n">
        <f aca="false">IF(AND(K186&gt;0,OR(O186="Sí",O186="Si")),1,0)</f>
        <v>0</v>
      </c>
      <c r="S186" s="62" t="n">
        <f aca="false">IF(AND(K186&gt;0,R186=0),1,0)</f>
        <v>0</v>
      </c>
    </row>
    <row r="187" customFormat="false" ht="15" hidden="false" customHeight="false" outlineLevel="0" collapsed="false">
      <c r="B187" s="71" t="str">
        <f aca="false">IF($F$6="Sí",N($C$11)+160,"")</f>
        <v/>
      </c>
      <c r="C187" s="72" t="str">
        <f aca="false">IF(OR($F$6&lt;&gt;"Sí",D187&lt;=0.5),"",EDATE($C$10,160))</f>
        <v/>
      </c>
      <c r="D187" s="41" t="n">
        <f aca="false">MAX(0,M186)</f>
        <v>0</v>
      </c>
      <c r="E187" s="41" t="n">
        <f aca="false">D187*$F$7</f>
        <v>0</v>
      </c>
      <c r="F187" s="41" t="n">
        <f aca="false">IF(D187&gt;0.5,N($C$15),0)</f>
        <v>0</v>
      </c>
      <c r="G187" s="41" t="n">
        <f aca="false">IF(AND(D187&gt;0.5,N($C$19)&gt;0,N(B187)&lt;=N($C$20)),D187*$F$8,0)</f>
        <v>0</v>
      </c>
      <c r="H187" s="41" t="n">
        <f aca="false">IF(D187&lt;=0.5,0,MIN(IF(N(I187)&gt;0,I187,$F$9),D187+E187+F187))</f>
        <v>0</v>
      </c>
      <c r="I187" s="77"/>
      <c r="J187" s="77"/>
      <c r="K187" s="41" t="n">
        <f aca="false">IF(D187&lt;=0.5,0,MIN(H187+N(J187),D187+E187+F187))</f>
        <v>0</v>
      </c>
      <c r="L187" s="41" t="n">
        <f aca="false">K187-E187-F187</f>
        <v>0</v>
      </c>
      <c r="M187" s="41" t="n">
        <f aca="false">D187-L187</f>
        <v>0</v>
      </c>
      <c r="N187" s="42" t="n">
        <f aca="false">K187-G187</f>
        <v>0</v>
      </c>
      <c r="O187" s="78"/>
      <c r="P187" s="79"/>
      <c r="Q187" s="16" t="str">
        <f aca="false">IF(K187=0,"",IF(R187=1,"Pagada",IF(C187&lt;$F$12,"Vencida",IF(161=$F$13,"Próxima","Pendiente"))))</f>
        <v/>
      </c>
      <c r="R187" s="62" t="n">
        <f aca="false">IF(AND(K187&gt;0,OR(O187="Sí",O187="Si")),1,0)</f>
        <v>0</v>
      </c>
      <c r="S187" s="62" t="n">
        <f aca="false">IF(AND(K187&gt;0,R187=0),1,0)</f>
        <v>0</v>
      </c>
    </row>
    <row r="188" customFormat="false" ht="15" hidden="false" customHeight="false" outlineLevel="0" collapsed="false">
      <c r="B188" s="71" t="str">
        <f aca="false">IF($F$6="Sí",N($C$11)+161,"")</f>
        <v/>
      </c>
      <c r="C188" s="72" t="str">
        <f aca="false">IF(OR($F$6&lt;&gt;"Sí",D188&lt;=0.5),"",EDATE($C$10,161))</f>
        <v/>
      </c>
      <c r="D188" s="41" t="n">
        <f aca="false">MAX(0,M187)</f>
        <v>0</v>
      </c>
      <c r="E188" s="41" t="n">
        <f aca="false">D188*$F$7</f>
        <v>0</v>
      </c>
      <c r="F188" s="41" t="n">
        <f aca="false">IF(D188&gt;0.5,N($C$15),0)</f>
        <v>0</v>
      </c>
      <c r="G188" s="41" t="n">
        <f aca="false">IF(AND(D188&gt;0.5,N($C$19)&gt;0,N(B188)&lt;=N($C$20)),D188*$F$8,0)</f>
        <v>0</v>
      </c>
      <c r="H188" s="41" t="n">
        <f aca="false">IF(D188&lt;=0.5,0,MIN(IF(N(I188)&gt;0,I188,$F$9),D188+E188+F188))</f>
        <v>0</v>
      </c>
      <c r="I188" s="77"/>
      <c r="J188" s="77"/>
      <c r="K188" s="41" t="n">
        <f aca="false">IF(D188&lt;=0.5,0,MIN(H188+N(J188),D188+E188+F188))</f>
        <v>0</v>
      </c>
      <c r="L188" s="41" t="n">
        <f aca="false">K188-E188-F188</f>
        <v>0</v>
      </c>
      <c r="M188" s="41" t="n">
        <f aca="false">D188-L188</f>
        <v>0</v>
      </c>
      <c r="N188" s="42" t="n">
        <f aca="false">K188-G188</f>
        <v>0</v>
      </c>
      <c r="O188" s="78"/>
      <c r="P188" s="79"/>
      <c r="Q188" s="16" t="str">
        <f aca="false">IF(K188=0,"",IF(R188=1,"Pagada",IF(C188&lt;$F$12,"Vencida",IF(162=$F$13,"Próxima","Pendiente"))))</f>
        <v/>
      </c>
      <c r="R188" s="62" t="n">
        <f aca="false">IF(AND(K188&gt;0,OR(O188="Sí",O188="Si")),1,0)</f>
        <v>0</v>
      </c>
      <c r="S188" s="62" t="n">
        <f aca="false">IF(AND(K188&gt;0,R188=0),1,0)</f>
        <v>0</v>
      </c>
    </row>
    <row r="189" customFormat="false" ht="15" hidden="false" customHeight="false" outlineLevel="0" collapsed="false">
      <c r="B189" s="71" t="str">
        <f aca="false">IF($F$6="Sí",N($C$11)+162,"")</f>
        <v/>
      </c>
      <c r="C189" s="72" t="str">
        <f aca="false">IF(OR($F$6&lt;&gt;"Sí",D189&lt;=0.5),"",EDATE($C$10,162))</f>
        <v/>
      </c>
      <c r="D189" s="41" t="n">
        <f aca="false">MAX(0,M188)</f>
        <v>0</v>
      </c>
      <c r="E189" s="41" t="n">
        <f aca="false">D189*$F$7</f>
        <v>0</v>
      </c>
      <c r="F189" s="41" t="n">
        <f aca="false">IF(D189&gt;0.5,N($C$15),0)</f>
        <v>0</v>
      </c>
      <c r="G189" s="41" t="n">
        <f aca="false">IF(AND(D189&gt;0.5,N($C$19)&gt;0,N(B189)&lt;=N($C$20)),D189*$F$8,0)</f>
        <v>0</v>
      </c>
      <c r="H189" s="41" t="n">
        <f aca="false">IF(D189&lt;=0.5,0,MIN(IF(N(I189)&gt;0,I189,$F$9),D189+E189+F189))</f>
        <v>0</v>
      </c>
      <c r="I189" s="77"/>
      <c r="J189" s="77"/>
      <c r="K189" s="41" t="n">
        <f aca="false">IF(D189&lt;=0.5,0,MIN(H189+N(J189),D189+E189+F189))</f>
        <v>0</v>
      </c>
      <c r="L189" s="41" t="n">
        <f aca="false">K189-E189-F189</f>
        <v>0</v>
      </c>
      <c r="M189" s="41" t="n">
        <f aca="false">D189-L189</f>
        <v>0</v>
      </c>
      <c r="N189" s="42" t="n">
        <f aca="false">K189-G189</f>
        <v>0</v>
      </c>
      <c r="O189" s="78"/>
      <c r="P189" s="79"/>
      <c r="Q189" s="16" t="str">
        <f aca="false">IF(K189=0,"",IF(R189=1,"Pagada",IF(C189&lt;$F$12,"Vencida",IF(163=$F$13,"Próxima","Pendiente"))))</f>
        <v/>
      </c>
      <c r="R189" s="62" t="n">
        <f aca="false">IF(AND(K189&gt;0,OR(O189="Sí",O189="Si")),1,0)</f>
        <v>0</v>
      </c>
      <c r="S189" s="62" t="n">
        <f aca="false">IF(AND(K189&gt;0,R189=0),1,0)</f>
        <v>0</v>
      </c>
    </row>
    <row r="190" customFormat="false" ht="15" hidden="false" customHeight="false" outlineLevel="0" collapsed="false">
      <c r="B190" s="71" t="str">
        <f aca="false">IF($F$6="Sí",N($C$11)+163,"")</f>
        <v/>
      </c>
      <c r="C190" s="72" t="str">
        <f aca="false">IF(OR($F$6&lt;&gt;"Sí",D190&lt;=0.5),"",EDATE($C$10,163))</f>
        <v/>
      </c>
      <c r="D190" s="41" t="n">
        <f aca="false">MAX(0,M189)</f>
        <v>0</v>
      </c>
      <c r="E190" s="41" t="n">
        <f aca="false">D190*$F$7</f>
        <v>0</v>
      </c>
      <c r="F190" s="41" t="n">
        <f aca="false">IF(D190&gt;0.5,N($C$15),0)</f>
        <v>0</v>
      </c>
      <c r="G190" s="41" t="n">
        <f aca="false">IF(AND(D190&gt;0.5,N($C$19)&gt;0,N(B190)&lt;=N($C$20)),D190*$F$8,0)</f>
        <v>0</v>
      </c>
      <c r="H190" s="41" t="n">
        <f aca="false">IF(D190&lt;=0.5,0,MIN(IF(N(I190)&gt;0,I190,$F$9),D190+E190+F190))</f>
        <v>0</v>
      </c>
      <c r="I190" s="77"/>
      <c r="J190" s="77"/>
      <c r="K190" s="41" t="n">
        <f aca="false">IF(D190&lt;=0.5,0,MIN(H190+N(J190),D190+E190+F190))</f>
        <v>0</v>
      </c>
      <c r="L190" s="41" t="n">
        <f aca="false">K190-E190-F190</f>
        <v>0</v>
      </c>
      <c r="M190" s="41" t="n">
        <f aca="false">D190-L190</f>
        <v>0</v>
      </c>
      <c r="N190" s="42" t="n">
        <f aca="false">K190-G190</f>
        <v>0</v>
      </c>
      <c r="O190" s="78"/>
      <c r="P190" s="79"/>
      <c r="Q190" s="16" t="str">
        <f aca="false">IF(K190=0,"",IF(R190=1,"Pagada",IF(C190&lt;$F$12,"Vencida",IF(164=$F$13,"Próxima","Pendiente"))))</f>
        <v/>
      </c>
      <c r="R190" s="62" t="n">
        <f aca="false">IF(AND(K190&gt;0,OR(O190="Sí",O190="Si")),1,0)</f>
        <v>0</v>
      </c>
      <c r="S190" s="62" t="n">
        <f aca="false">IF(AND(K190&gt;0,R190=0),1,0)</f>
        <v>0</v>
      </c>
    </row>
    <row r="191" customFormat="false" ht="15" hidden="false" customHeight="false" outlineLevel="0" collapsed="false">
      <c r="B191" s="71" t="str">
        <f aca="false">IF($F$6="Sí",N($C$11)+164,"")</f>
        <v/>
      </c>
      <c r="C191" s="72" t="str">
        <f aca="false">IF(OR($F$6&lt;&gt;"Sí",D191&lt;=0.5),"",EDATE($C$10,164))</f>
        <v/>
      </c>
      <c r="D191" s="41" t="n">
        <f aca="false">MAX(0,M190)</f>
        <v>0</v>
      </c>
      <c r="E191" s="41" t="n">
        <f aca="false">D191*$F$7</f>
        <v>0</v>
      </c>
      <c r="F191" s="41" t="n">
        <f aca="false">IF(D191&gt;0.5,N($C$15),0)</f>
        <v>0</v>
      </c>
      <c r="G191" s="41" t="n">
        <f aca="false">IF(AND(D191&gt;0.5,N($C$19)&gt;0,N(B191)&lt;=N($C$20)),D191*$F$8,0)</f>
        <v>0</v>
      </c>
      <c r="H191" s="41" t="n">
        <f aca="false">IF(D191&lt;=0.5,0,MIN(IF(N(I191)&gt;0,I191,$F$9),D191+E191+F191))</f>
        <v>0</v>
      </c>
      <c r="I191" s="77"/>
      <c r="J191" s="77"/>
      <c r="K191" s="41" t="n">
        <f aca="false">IF(D191&lt;=0.5,0,MIN(H191+N(J191),D191+E191+F191))</f>
        <v>0</v>
      </c>
      <c r="L191" s="41" t="n">
        <f aca="false">K191-E191-F191</f>
        <v>0</v>
      </c>
      <c r="M191" s="41" t="n">
        <f aca="false">D191-L191</f>
        <v>0</v>
      </c>
      <c r="N191" s="42" t="n">
        <f aca="false">K191-G191</f>
        <v>0</v>
      </c>
      <c r="O191" s="78"/>
      <c r="P191" s="79"/>
      <c r="Q191" s="16" t="str">
        <f aca="false">IF(K191=0,"",IF(R191=1,"Pagada",IF(C191&lt;$F$12,"Vencida",IF(165=$F$13,"Próxima","Pendiente"))))</f>
        <v/>
      </c>
      <c r="R191" s="62" t="n">
        <f aca="false">IF(AND(K191&gt;0,OR(O191="Sí",O191="Si")),1,0)</f>
        <v>0</v>
      </c>
      <c r="S191" s="62" t="n">
        <f aca="false">IF(AND(K191&gt;0,R191=0),1,0)</f>
        <v>0</v>
      </c>
    </row>
    <row r="192" customFormat="false" ht="15" hidden="false" customHeight="false" outlineLevel="0" collapsed="false">
      <c r="B192" s="71" t="str">
        <f aca="false">IF($F$6="Sí",N($C$11)+165,"")</f>
        <v/>
      </c>
      <c r="C192" s="72" t="str">
        <f aca="false">IF(OR($F$6&lt;&gt;"Sí",D192&lt;=0.5),"",EDATE($C$10,165))</f>
        <v/>
      </c>
      <c r="D192" s="41" t="n">
        <f aca="false">MAX(0,M191)</f>
        <v>0</v>
      </c>
      <c r="E192" s="41" t="n">
        <f aca="false">D192*$F$7</f>
        <v>0</v>
      </c>
      <c r="F192" s="41" t="n">
        <f aca="false">IF(D192&gt;0.5,N($C$15),0)</f>
        <v>0</v>
      </c>
      <c r="G192" s="41" t="n">
        <f aca="false">IF(AND(D192&gt;0.5,N($C$19)&gt;0,N(B192)&lt;=N($C$20)),D192*$F$8,0)</f>
        <v>0</v>
      </c>
      <c r="H192" s="41" t="n">
        <f aca="false">IF(D192&lt;=0.5,0,MIN(IF(N(I192)&gt;0,I192,$F$9),D192+E192+F192))</f>
        <v>0</v>
      </c>
      <c r="I192" s="77"/>
      <c r="J192" s="77"/>
      <c r="K192" s="41" t="n">
        <f aca="false">IF(D192&lt;=0.5,0,MIN(H192+N(J192),D192+E192+F192))</f>
        <v>0</v>
      </c>
      <c r="L192" s="41" t="n">
        <f aca="false">K192-E192-F192</f>
        <v>0</v>
      </c>
      <c r="M192" s="41" t="n">
        <f aca="false">D192-L192</f>
        <v>0</v>
      </c>
      <c r="N192" s="42" t="n">
        <f aca="false">K192-G192</f>
        <v>0</v>
      </c>
      <c r="O192" s="78"/>
      <c r="P192" s="79"/>
      <c r="Q192" s="16" t="str">
        <f aca="false">IF(K192=0,"",IF(R192=1,"Pagada",IF(C192&lt;$F$12,"Vencida",IF(166=$F$13,"Próxima","Pendiente"))))</f>
        <v/>
      </c>
      <c r="R192" s="62" t="n">
        <f aca="false">IF(AND(K192&gt;0,OR(O192="Sí",O192="Si")),1,0)</f>
        <v>0</v>
      </c>
      <c r="S192" s="62" t="n">
        <f aca="false">IF(AND(K192&gt;0,R192=0),1,0)</f>
        <v>0</v>
      </c>
    </row>
    <row r="193" customFormat="false" ht="15" hidden="false" customHeight="false" outlineLevel="0" collapsed="false">
      <c r="B193" s="71" t="str">
        <f aca="false">IF($F$6="Sí",N($C$11)+166,"")</f>
        <v/>
      </c>
      <c r="C193" s="72" t="str">
        <f aca="false">IF(OR($F$6&lt;&gt;"Sí",D193&lt;=0.5),"",EDATE($C$10,166))</f>
        <v/>
      </c>
      <c r="D193" s="41" t="n">
        <f aca="false">MAX(0,M192)</f>
        <v>0</v>
      </c>
      <c r="E193" s="41" t="n">
        <f aca="false">D193*$F$7</f>
        <v>0</v>
      </c>
      <c r="F193" s="41" t="n">
        <f aca="false">IF(D193&gt;0.5,N($C$15),0)</f>
        <v>0</v>
      </c>
      <c r="G193" s="41" t="n">
        <f aca="false">IF(AND(D193&gt;0.5,N($C$19)&gt;0,N(B193)&lt;=N($C$20)),D193*$F$8,0)</f>
        <v>0</v>
      </c>
      <c r="H193" s="41" t="n">
        <f aca="false">IF(D193&lt;=0.5,0,MIN(IF(N(I193)&gt;0,I193,$F$9),D193+E193+F193))</f>
        <v>0</v>
      </c>
      <c r="I193" s="77"/>
      <c r="J193" s="77"/>
      <c r="K193" s="41" t="n">
        <f aca="false">IF(D193&lt;=0.5,0,MIN(H193+N(J193),D193+E193+F193))</f>
        <v>0</v>
      </c>
      <c r="L193" s="41" t="n">
        <f aca="false">K193-E193-F193</f>
        <v>0</v>
      </c>
      <c r="M193" s="41" t="n">
        <f aca="false">D193-L193</f>
        <v>0</v>
      </c>
      <c r="N193" s="42" t="n">
        <f aca="false">K193-G193</f>
        <v>0</v>
      </c>
      <c r="O193" s="78"/>
      <c r="P193" s="79"/>
      <c r="Q193" s="16" t="str">
        <f aca="false">IF(K193=0,"",IF(R193=1,"Pagada",IF(C193&lt;$F$12,"Vencida",IF(167=$F$13,"Próxima","Pendiente"))))</f>
        <v/>
      </c>
      <c r="R193" s="62" t="n">
        <f aca="false">IF(AND(K193&gt;0,OR(O193="Sí",O193="Si")),1,0)</f>
        <v>0</v>
      </c>
      <c r="S193" s="62" t="n">
        <f aca="false">IF(AND(K193&gt;0,R193=0),1,0)</f>
        <v>0</v>
      </c>
    </row>
    <row r="194" customFormat="false" ht="15" hidden="false" customHeight="false" outlineLevel="0" collapsed="false">
      <c r="B194" s="71" t="str">
        <f aca="false">IF($F$6="Sí",N($C$11)+167,"")</f>
        <v/>
      </c>
      <c r="C194" s="72" t="str">
        <f aca="false">IF(OR($F$6&lt;&gt;"Sí",D194&lt;=0.5),"",EDATE($C$10,167))</f>
        <v/>
      </c>
      <c r="D194" s="41" t="n">
        <f aca="false">MAX(0,M193)</f>
        <v>0</v>
      </c>
      <c r="E194" s="41" t="n">
        <f aca="false">D194*$F$7</f>
        <v>0</v>
      </c>
      <c r="F194" s="41" t="n">
        <f aca="false">IF(D194&gt;0.5,N($C$15),0)</f>
        <v>0</v>
      </c>
      <c r="G194" s="41" t="n">
        <f aca="false">IF(AND(D194&gt;0.5,N($C$19)&gt;0,N(B194)&lt;=N($C$20)),D194*$F$8,0)</f>
        <v>0</v>
      </c>
      <c r="H194" s="41" t="n">
        <f aca="false">IF(D194&lt;=0.5,0,MIN(IF(N(I194)&gt;0,I194,$F$9),D194+E194+F194))</f>
        <v>0</v>
      </c>
      <c r="I194" s="77"/>
      <c r="J194" s="77"/>
      <c r="K194" s="41" t="n">
        <f aca="false">IF(D194&lt;=0.5,0,MIN(H194+N(J194),D194+E194+F194))</f>
        <v>0</v>
      </c>
      <c r="L194" s="41" t="n">
        <f aca="false">K194-E194-F194</f>
        <v>0</v>
      </c>
      <c r="M194" s="41" t="n">
        <f aca="false">D194-L194</f>
        <v>0</v>
      </c>
      <c r="N194" s="42" t="n">
        <f aca="false">K194-G194</f>
        <v>0</v>
      </c>
      <c r="O194" s="78"/>
      <c r="P194" s="79"/>
      <c r="Q194" s="16" t="str">
        <f aca="false">IF(K194=0,"",IF(R194=1,"Pagada",IF(C194&lt;$F$12,"Vencida",IF(168=$F$13,"Próxima","Pendiente"))))</f>
        <v/>
      </c>
      <c r="R194" s="62" t="n">
        <f aca="false">IF(AND(K194&gt;0,OR(O194="Sí",O194="Si")),1,0)</f>
        <v>0</v>
      </c>
      <c r="S194" s="62" t="n">
        <f aca="false">IF(AND(K194&gt;0,R194=0),1,0)</f>
        <v>0</v>
      </c>
    </row>
    <row r="195" customFormat="false" ht="15" hidden="false" customHeight="false" outlineLevel="0" collapsed="false">
      <c r="B195" s="71" t="str">
        <f aca="false">IF($F$6="Sí",N($C$11)+168,"")</f>
        <v/>
      </c>
      <c r="C195" s="72" t="str">
        <f aca="false">IF(OR($F$6&lt;&gt;"Sí",D195&lt;=0.5),"",EDATE($C$10,168))</f>
        <v/>
      </c>
      <c r="D195" s="41" t="n">
        <f aca="false">MAX(0,M194)</f>
        <v>0</v>
      </c>
      <c r="E195" s="41" t="n">
        <f aca="false">D195*$F$7</f>
        <v>0</v>
      </c>
      <c r="F195" s="41" t="n">
        <f aca="false">IF(D195&gt;0.5,N($C$15),0)</f>
        <v>0</v>
      </c>
      <c r="G195" s="41" t="n">
        <f aca="false">IF(AND(D195&gt;0.5,N($C$19)&gt;0,N(B195)&lt;=N($C$20)),D195*$F$8,0)</f>
        <v>0</v>
      </c>
      <c r="H195" s="41" t="n">
        <f aca="false">IF(D195&lt;=0.5,0,MIN(IF(N(I195)&gt;0,I195,$F$9),D195+E195+F195))</f>
        <v>0</v>
      </c>
      <c r="I195" s="77"/>
      <c r="J195" s="77"/>
      <c r="K195" s="41" t="n">
        <f aca="false">IF(D195&lt;=0.5,0,MIN(H195+N(J195),D195+E195+F195))</f>
        <v>0</v>
      </c>
      <c r="L195" s="41" t="n">
        <f aca="false">K195-E195-F195</f>
        <v>0</v>
      </c>
      <c r="M195" s="41" t="n">
        <f aca="false">D195-L195</f>
        <v>0</v>
      </c>
      <c r="N195" s="42" t="n">
        <f aca="false">K195-G195</f>
        <v>0</v>
      </c>
      <c r="O195" s="78"/>
      <c r="P195" s="79"/>
      <c r="Q195" s="16" t="str">
        <f aca="false">IF(K195=0,"",IF(R195=1,"Pagada",IF(C195&lt;$F$12,"Vencida",IF(169=$F$13,"Próxima","Pendiente"))))</f>
        <v/>
      </c>
      <c r="R195" s="62" t="n">
        <f aca="false">IF(AND(K195&gt;0,OR(O195="Sí",O195="Si")),1,0)</f>
        <v>0</v>
      </c>
      <c r="S195" s="62" t="n">
        <f aca="false">IF(AND(K195&gt;0,R195=0),1,0)</f>
        <v>0</v>
      </c>
    </row>
    <row r="196" customFormat="false" ht="15" hidden="false" customHeight="false" outlineLevel="0" collapsed="false">
      <c r="B196" s="71" t="str">
        <f aca="false">IF($F$6="Sí",N($C$11)+169,"")</f>
        <v/>
      </c>
      <c r="C196" s="72" t="str">
        <f aca="false">IF(OR($F$6&lt;&gt;"Sí",D196&lt;=0.5),"",EDATE($C$10,169))</f>
        <v/>
      </c>
      <c r="D196" s="41" t="n">
        <f aca="false">MAX(0,M195)</f>
        <v>0</v>
      </c>
      <c r="E196" s="41" t="n">
        <f aca="false">D196*$F$7</f>
        <v>0</v>
      </c>
      <c r="F196" s="41" t="n">
        <f aca="false">IF(D196&gt;0.5,N($C$15),0)</f>
        <v>0</v>
      </c>
      <c r="G196" s="41" t="n">
        <f aca="false">IF(AND(D196&gt;0.5,N($C$19)&gt;0,N(B196)&lt;=N($C$20)),D196*$F$8,0)</f>
        <v>0</v>
      </c>
      <c r="H196" s="41" t="n">
        <f aca="false">IF(D196&lt;=0.5,0,MIN(IF(N(I196)&gt;0,I196,$F$9),D196+E196+F196))</f>
        <v>0</v>
      </c>
      <c r="I196" s="77"/>
      <c r="J196" s="77"/>
      <c r="K196" s="41" t="n">
        <f aca="false">IF(D196&lt;=0.5,0,MIN(H196+N(J196),D196+E196+F196))</f>
        <v>0</v>
      </c>
      <c r="L196" s="41" t="n">
        <f aca="false">K196-E196-F196</f>
        <v>0</v>
      </c>
      <c r="M196" s="41" t="n">
        <f aca="false">D196-L196</f>
        <v>0</v>
      </c>
      <c r="N196" s="42" t="n">
        <f aca="false">K196-G196</f>
        <v>0</v>
      </c>
      <c r="O196" s="78"/>
      <c r="P196" s="79"/>
      <c r="Q196" s="16" t="str">
        <f aca="false">IF(K196=0,"",IF(R196=1,"Pagada",IF(C196&lt;$F$12,"Vencida",IF(170=$F$13,"Próxima","Pendiente"))))</f>
        <v/>
      </c>
      <c r="R196" s="62" t="n">
        <f aca="false">IF(AND(K196&gt;0,OR(O196="Sí",O196="Si")),1,0)</f>
        <v>0</v>
      </c>
      <c r="S196" s="62" t="n">
        <f aca="false">IF(AND(K196&gt;0,R196=0),1,0)</f>
        <v>0</v>
      </c>
    </row>
    <row r="197" customFormat="false" ht="15" hidden="false" customHeight="false" outlineLevel="0" collapsed="false">
      <c r="B197" s="71" t="str">
        <f aca="false">IF($F$6="Sí",N($C$11)+170,"")</f>
        <v/>
      </c>
      <c r="C197" s="72" t="str">
        <f aca="false">IF(OR($F$6&lt;&gt;"Sí",D197&lt;=0.5),"",EDATE($C$10,170))</f>
        <v/>
      </c>
      <c r="D197" s="41" t="n">
        <f aca="false">MAX(0,M196)</f>
        <v>0</v>
      </c>
      <c r="E197" s="41" t="n">
        <f aca="false">D197*$F$7</f>
        <v>0</v>
      </c>
      <c r="F197" s="41" t="n">
        <f aca="false">IF(D197&gt;0.5,N($C$15),0)</f>
        <v>0</v>
      </c>
      <c r="G197" s="41" t="n">
        <f aca="false">IF(AND(D197&gt;0.5,N($C$19)&gt;0,N(B197)&lt;=N($C$20)),D197*$F$8,0)</f>
        <v>0</v>
      </c>
      <c r="H197" s="41" t="n">
        <f aca="false">IF(D197&lt;=0.5,0,MIN(IF(N(I197)&gt;0,I197,$F$9),D197+E197+F197))</f>
        <v>0</v>
      </c>
      <c r="I197" s="77"/>
      <c r="J197" s="77"/>
      <c r="K197" s="41" t="n">
        <f aca="false">IF(D197&lt;=0.5,0,MIN(H197+N(J197),D197+E197+F197))</f>
        <v>0</v>
      </c>
      <c r="L197" s="41" t="n">
        <f aca="false">K197-E197-F197</f>
        <v>0</v>
      </c>
      <c r="M197" s="41" t="n">
        <f aca="false">D197-L197</f>
        <v>0</v>
      </c>
      <c r="N197" s="42" t="n">
        <f aca="false">K197-G197</f>
        <v>0</v>
      </c>
      <c r="O197" s="78"/>
      <c r="P197" s="79"/>
      <c r="Q197" s="16" t="str">
        <f aca="false">IF(K197=0,"",IF(R197=1,"Pagada",IF(C197&lt;$F$12,"Vencida",IF(171=$F$13,"Próxima","Pendiente"))))</f>
        <v/>
      </c>
      <c r="R197" s="62" t="n">
        <f aca="false">IF(AND(K197&gt;0,OR(O197="Sí",O197="Si")),1,0)</f>
        <v>0</v>
      </c>
      <c r="S197" s="62" t="n">
        <f aca="false">IF(AND(K197&gt;0,R197=0),1,0)</f>
        <v>0</v>
      </c>
    </row>
    <row r="198" customFormat="false" ht="15" hidden="false" customHeight="false" outlineLevel="0" collapsed="false">
      <c r="B198" s="71" t="str">
        <f aca="false">IF($F$6="Sí",N($C$11)+171,"")</f>
        <v/>
      </c>
      <c r="C198" s="72" t="str">
        <f aca="false">IF(OR($F$6&lt;&gt;"Sí",D198&lt;=0.5),"",EDATE($C$10,171))</f>
        <v/>
      </c>
      <c r="D198" s="41" t="n">
        <f aca="false">MAX(0,M197)</f>
        <v>0</v>
      </c>
      <c r="E198" s="41" t="n">
        <f aca="false">D198*$F$7</f>
        <v>0</v>
      </c>
      <c r="F198" s="41" t="n">
        <f aca="false">IF(D198&gt;0.5,N($C$15),0)</f>
        <v>0</v>
      </c>
      <c r="G198" s="41" t="n">
        <f aca="false">IF(AND(D198&gt;0.5,N($C$19)&gt;0,N(B198)&lt;=N($C$20)),D198*$F$8,0)</f>
        <v>0</v>
      </c>
      <c r="H198" s="41" t="n">
        <f aca="false">IF(D198&lt;=0.5,0,MIN(IF(N(I198)&gt;0,I198,$F$9),D198+E198+F198))</f>
        <v>0</v>
      </c>
      <c r="I198" s="77"/>
      <c r="J198" s="77"/>
      <c r="K198" s="41" t="n">
        <f aca="false">IF(D198&lt;=0.5,0,MIN(H198+N(J198),D198+E198+F198))</f>
        <v>0</v>
      </c>
      <c r="L198" s="41" t="n">
        <f aca="false">K198-E198-F198</f>
        <v>0</v>
      </c>
      <c r="M198" s="41" t="n">
        <f aca="false">D198-L198</f>
        <v>0</v>
      </c>
      <c r="N198" s="42" t="n">
        <f aca="false">K198-G198</f>
        <v>0</v>
      </c>
      <c r="O198" s="78"/>
      <c r="P198" s="79"/>
      <c r="Q198" s="16" t="str">
        <f aca="false">IF(K198=0,"",IF(R198=1,"Pagada",IF(C198&lt;$F$12,"Vencida",IF(172=$F$13,"Próxima","Pendiente"))))</f>
        <v/>
      </c>
      <c r="R198" s="62" t="n">
        <f aca="false">IF(AND(K198&gt;0,OR(O198="Sí",O198="Si")),1,0)</f>
        <v>0</v>
      </c>
      <c r="S198" s="62" t="n">
        <f aca="false">IF(AND(K198&gt;0,R198=0),1,0)</f>
        <v>0</v>
      </c>
    </row>
    <row r="199" customFormat="false" ht="15" hidden="false" customHeight="false" outlineLevel="0" collapsed="false">
      <c r="B199" s="71" t="str">
        <f aca="false">IF($F$6="Sí",N($C$11)+172,"")</f>
        <v/>
      </c>
      <c r="C199" s="72" t="str">
        <f aca="false">IF(OR($F$6&lt;&gt;"Sí",D199&lt;=0.5),"",EDATE($C$10,172))</f>
        <v/>
      </c>
      <c r="D199" s="41" t="n">
        <f aca="false">MAX(0,M198)</f>
        <v>0</v>
      </c>
      <c r="E199" s="41" t="n">
        <f aca="false">D199*$F$7</f>
        <v>0</v>
      </c>
      <c r="F199" s="41" t="n">
        <f aca="false">IF(D199&gt;0.5,N($C$15),0)</f>
        <v>0</v>
      </c>
      <c r="G199" s="41" t="n">
        <f aca="false">IF(AND(D199&gt;0.5,N($C$19)&gt;0,N(B199)&lt;=N($C$20)),D199*$F$8,0)</f>
        <v>0</v>
      </c>
      <c r="H199" s="41" t="n">
        <f aca="false">IF(D199&lt;=0.5,0,MIN(IF(N(I199)&gt;0,I199,$F$9),D199+E199+F199))</f>
        <v>0</v>
      </c>
      <c r="I199" s="77"/>
      <c r="J199" s="77"/>
      <c r="K199" s="41" t="n">
        <f aca="false">IF(D199&lt;=0.5,0,MIN(H199+N(J199),D199+E199+F199))</f>
        <v>0</v>
      </c>
      <c r="L199" s="41" t="n">
        <f aca="false">K199-E199-F199</f>
        <v>0</v>
      </c>
      <c r="M199" s="41" t="n">
        <f aca="false">D199-L199</f>
        <v>0</v>
      </c>
      <c r="N199" s="42" t="n">
        <f aca="false">K199-G199</f>
        <v>0</v>
      </c>
      <c r="O199" s="78"/>
      <c r="P199" s="79"/>
      <c r="Q199" s="16" t="str">
        <f aca="false">IF(K199=0,"",IF(R199=1,"Pagada",IF(C199&lt;$F$12,"Vencida",IF(173=$F$13,"Próxima","Pendiente"))))</f>
        <v/>
      </c>
      <c r="R199" s="62" t="n">
        <f aca="false">IF(AND(K199&gt;0,OR(O199="Sí",O199="Si")),1,0)</f>
        <v>0</v>
      </c>
      <c r="S199" s="62" t="n">
        <f aca="false">IF(AND(K199&gt;0,R199=0),1,0)</f>
        <v>0</v>
      </c>
    </row>
    <row r="200" customFormat="false" ht="15" hidden="false" customHeight="false" outlineLevel="0" collapsed="false">
      <c r="B200" s="71" t="str">
        <f aca="false">IF($F$6="Sí",N($C$11)+173,"")</f>
        <v/>
      </c>
      <c r="C200" s="72" t="str">
        <f aca="false">IF(OR($F$6&lt;&gt;"Sí",D200&lt;=0.5),"",EDATE($C$10,173))</f>
        <v/>
      </c>
      <c r="D200" s="41" t="n">
        <f aca="false">MAX(0,M199)</f>
        <v>0</v>
      </c>
      <c r="E200" s="41" t="n">
        <f aca="false">D200*$F$7</f>
        <v>0</v>
      </c>
      <c r="F200" s="41" t="n">
        <f aca="false">IF(D200&gt;0.5,N($C$15),0)</f>
        <v>0</v>
      </c>
      <c r="G200" s="41" t="n">
        <f aca="false">IF(AND(D200&gt;0.5,N($C$19)&gt;0,N(B200)&lt;=N($C$20)),D200*$F$8,0)</f>
        <v>0</v>
      </c>
      <c r="H200" s="41" t="n">
        <f aca="false">IF(D200&lt;=0.5,0,MIN(IF(N(I200)&gt;0,I200,$F$9),D200+E200+F200))</f>
        <v>0</v>
      </c>
      <c r="I200" s="77"/>
      <c r="J200" s="77"/>
      <c r="K200" s="41" t="n">
        <f aca="false">IF(D200&lt;=0.5,0,MIN(H200+N(J200),D200+E200+F200))</f>
        <v>0</v>
      </c>
      <c r="L200" s="41" t="n">
        <f aca="false">K200-E200-F200</f>
        <v>0</v>
      </c>
      <c r="M200" s="41" t="n">
        <f aca="false">D200-L200</f>
        <v>0</v>
      </c>
      <c r="N200" s="42" t="n">
        <f aca="false">K200-G200</f>
        <v>0</v>
      </c>
      <c r="O200" s="78"/>
      <c r="P200" s="79"/>
      <c r="Q200" s="16" t="str">
        <f aca="false">IF(K200=0,"",IF(R200=1,"Pagada",IF(C200&lt;$F$12,"Vencida",IF(174=$F$13,"Próxima","Pendiente"))))</f>
        <v/>
      </c>
      <c r="R200" s="62" t="n">
        <f aca="false">IF(AND(K200&gt;0,OR(O200="Sí",O200="Si")),1,0)</f>
        <v>0</v>
      </c>
      <c r="S200" s="62" t="n">
        <f aca="false">IF(AND(K200&gt;0,R200=0),1,0)</f>
        <v>0</v>
      </c>
    </row>
    <row r="201" customFormat="false" ht="15" hidden="false" customHeight="false" outlineLevel="0" collapsed="false">
      <c r="B201" s="71" t="str">
        <f aca="false">IF($F$6="Sí",N($C$11)+174,"")</f>
        <v/>
      </c>
      <c r="C201" s="72" t="str">
        <f aca="false">IF(OR($F$6&lt;&gt;"Sí",D201&lt;=0.5),"",EDATE($C$10,174))</f>
        <v/>
      </c>
      <c r="D201" s="41" t="n">
        <f aca="false">MAX(0,M200)</f>
        <v>0</v>
      </c>
      <c r="E201" s="41" t="n">
        <f aca="false">D201*$F$7</f>
        <v>0</v>
      </c>
      <c r="F201" s="41" t="n">
        <f aca="false">IF(D201&gt;0.5,N($C$15),0)</f>
        <v>0</v>
      </c>
      <c r="G201" s="41" t="n">
        <f aca="false">IF(AND(D201&gt;0.5,N($C$19)&gt;0,N(B201)&lt;=N($C$20)),D201*$F$8,0)</f>
        <v>0</v>
      </c>
      <c r="H201" s="41" t="n">
        <f aca="false">IF(D201&lt;=0.5,0,MIN(IF(N(I201)&gt;0,I201,$F$9),D201+E201+F201))</f>
        <v>0</v>
      </c>
      <c r="I201" s="77"/>
      <c r="J201" s="77"/>
      <c r="K201" s="41" t="n">
        <f aca="false">IF(D201&lt;=0.5,0,MIN(H201+N(J201),D201+E201+F201))</f>
        <v>0</v>
      </c>
      <c r="L201" s="41" t="n">
        <f aca="false">K201-E201-F201</f>
        <v>0</v>
      </c>
      <c r="M201" s="41" t="n">
        <f aca="false">D201-L201</f>
        <v>0</v>
      </c>
      <c r="N201" s="42" t="n">
        <f aca="false">K201-G201</f>
        <v>0</v>
      </c>
      <c r="O201" s="78"/>
      <c r="P201" s="79"/>
      <c r="Q201" s="16" t="str">
        <f aca="false">IF(K201=0,"",IF(R201=1,"Pagada",IF(C201&lt;$F$12,"Vencida",IF(175=$F$13,"Próxima","Pendiente"))))</f>
        <v/>
      </c>
      <c r="R201" s="62" t="n">
        <f aca="false">IF(AND(K201&gt;0,OR(O201="Sí",O201="Si")),1,0)</f>
        <v>0</v>
      </c>
      <c r="S201" s="62" t="n">
        <f aca="false">IF(AND(K201&gt;0,R201=0),1,0)</f>
        <v>0</v>
      </c>
    </row>
    <row r="202" customFormat="false" ht="15" hidden="false" customHeight="false" outlineLevel="0" collapsed="false">
      <c r="B202" s="71" t="str">
        <f aca="false">IF($F$6="Sí",N($C$11)+175,"")</f>
        <v/>
      </c>
      <c r="C202" s="72" t="str">
        <f aca="false">IF(OR($F$6&lt;&gt;"Sí",D202&lt;=0.5),"",EDATE($C$10,175))</f>
        <v/>
      </c>
      <c r="D202" s="41" t="n">
        <f aca="false">MAX(0,M201)</f>
        <v>0</v>
      </c>
      <c r="E202" s="41" t="n">
        <f aca="false">D202*$F$7</f>
        <v>0</v>
      </c>
      <c r="F202" s="41" t="n">
        <f aca="false">IF(D202&gt;0.5,N($C$15),0)</f>
        <v>0</v>
      </c>
      <c r="G202" s="41" t="n">
        <f aca="false">IF(AND(D202&gt;0.5,N($C$19)&gt;0,N(B202)&lt;=N($C$20)),D202*$F$8,0)</f>
        <v>0</v>
      </c>
      <c r="H202" s="41" t="n">
        <f aca="false">IF(D202&lt;=0.5,0,MIN(IF(N(I202)&gt;0,I202,$F$9),D202+E202+F202))</f>
        <v>0</v>
      </c>
      <c r="I202" s="77"/>
      <c r="J202" s="77"/>
      <c r="K202" s="41" t="n">
        <f aca="false">IF(D202&lt;=0.5,0,MIN(H202+N(J202),D202+E202+F202))</f>
        <v>0</v>
      </c>
      <c r="L202" s="41" t="n">
        <f aca="false">K202-E202-F202</f>
        <v>0</v>
      </c>
      <c r="M202" s="41" t="n">
        <f aca="false">D202-L202</f>
        <v>0</v>
      </c>
      <c r="N202" s="42" t="n">
        <f aca="false">K202-G202</f>
        <v>0</v>
      </c>
      <c r="O202" s="78"/>
      <c r="P202" s="79"/>
      <c r="Q202" s="16" t="str">
        <f aca="false">IF(K202=0,"",IF(R202=1,"Pagada",IF(C202&lt;$F$12,"Vencida",IF(176=$F$13,"Próxima","Pendiente"))))</f>
        <v/>
      </c>
      <c r="R202" s="62" t="n">
        <f aca="false">IF(AND(K202&gt;0,OR(O202="Sí",O202="Si")),1,0)</f>
        <v>0</v>
      </c>
      <c r="S202" s="62" t="n">
        <f aca="false">IF(AND(K202&gt;0,R202=0),1,0)</f>
        <v>0</v>
      </c>
    </row>
    <row r="203" customFormat="false" ht="15" hidden="false" customHeight="false" outlineLevel="0" collapsed="false">
      <c r="B203" s="71" t="str">
        <f aca="false">IF($F$6="Sí",N($C$11)+176,"")</f>
        <v/>
      </c>
      <c r="C203" s="72" t="str">
        <f aca="false">IF(OR($F$6&lt;&gt;"Sí",D203&lt;=0.5),"",EDATE($C$10,176))</f>
        <v/>
      </c>
      <c r="D203" s="41" t="n">
        <f aca="false">MAX(0,M202)</f>
        <v>0</v>
      </c>
      <c r="E203" s="41" t="n">
        <f aca="false">D203*$F$7</f>
        <v>0</v>
      </c>
      <c r="F203" s="41" t="n">
        <f aca="false">IF(D203&gt;0.5,N($C$15),0)</f>
        <v>0</v>
      </c>
      <c r="G203" s="41" t="n">
        <f aca="false">IF(AND(D203&gt;0.5,N($C$19)&gt;0,N(B203)&lt;=N($C$20)),D203*$F$8,0)</f>
        <v>0</v>
      </c>
      <c r="H203" s="41" t="n">
        <f aca="false">IF(D203&lt;=0.5,0,MIN(IF(N(I203)&gt;0,I203,$F$9),D203+E203+F203))</f>
        <v>0</v>
      </c>
      <c r="I203" s="77"/>
      <c r="J203" s="77"/>
      <c r="K203" s="41" t="n">
        <f aca="false">IF(D203&lt;=0.5,0,MIN(H203+N(J203),D203+E203+F203))</f>
        <v>0</v>
      </c>
      <c r="L203" s="41" t="n">
        <f aca="false">K203-E203-F203</f>
        <v>0</v>
      </c>
      <c r="M203" s="41" t="n">
        <f aca="false">D203-L203</f>
        <v>0</v>
      </c>
      <c r="N203" s="42" t="n">
        <f aca="false">K203-G203</f>
        <v>0</v>
      </c>
      <c r="O203" s="78"/>
      <c r="P203" s="79"/>
      <c r="Q203" s="16" t="str">
        <f aca="false">IF(K203=0,"",IF(R203=1,"Pagada",IF(C203&lt;$F$12,"Vencida",IF(177=$F$13,"Próxima","Pendiente"))))</f>
        <v/>
      </c>
      <c r="R203" s="62" t="n">
        <f aca="false">IF(AND(K203&gt;0,OR(O203="Sí",O203="Si")),1,0)</f>
        <v>0</v>
      </c>
      <c r="S203" s="62" t="n">
        <f aca="false">IF(AND(K203&gt;0,R203=0),1,0)</f>
        <v>0</v>
      </c>
    </row>
    <row r="204" customFormat="false" ht="15" hidden="false" customHeight="false" outlineLevel="0" collapsed="false">
      <c r="B204" s="71" t="str">
        <f aca="false">IF($F$6="Sí",N($C$11)+177,"")</f>
        <v/>
      </c>
      <c r="C204" s="72" t="str">
        <f aca="false">IF(OR($F$6&lt;&gt;"Sí",D204&lt;=0.5),"",EDATE($C$10,177))</f>
        <v/>
      </c>
      <c r="D204" s="41" t="n">
        <f aca="false">MAX(0,M203)</f>
        <v>0</v>
      </c>
      <c r="E204" s="41" t="n">
        <f aca="false">D204*$F$7</f>
        <v>0</v>
      </c>
      <c r="F204" s="41" t="n">
        <f aca="false">IF(D204&gt;0.5,N($C$15),0)</f>
        <v>0</v>
      </c>
      <c r="G204" s="41" t="n">
        <f aca="false">IF(AND(D204&gt;0.5,N($C$19)&gt;0,N(B204)&lt;=N($C$20)),D204*$F$8,0)</f>
        <v>0</v>
      </c>
      <c r="H204" s="41" t="n">
        <f aca="false">IF(D204&lt;=0.5,0,MIN(IF(N(I204)&gt;0,I204,$F$9),D204+E204+F204))</f>
        <v>0</v>
      </c>
      <c r="I204" s="77"/>
      <c r="J204" s="77"/>
      <c r="K204" s="41" t="n">
        <f aca="false">IF(D204&lt;=0.5,0,MIN(H204+N(J204),D204+E204+F204))</f>
        <v>0</v>
      </c>
      <c r="L204" s="41" t="n">
        <f aca="false">K204-E204-F204</f>
        <v>0</v>
      </c>
      <c r="M204" s="41" t="n">
        <f aca="false">D204-L204</f>
        <v>0</v>
      </c>
      <c r="N204" s="42" t="n">
        <f aca="false">K204-G204</f>
        <v>0</v>
      </c>
      <c r="O204" s="78"/>
      <c r="P204" s="79"/>
      <c r="Q204" s="16" t="str">
        <f aca="false">IF(K204=0,"",IF(R204=1,"Pagada",IF(C204&lt;$F$12,"Vencida",IF(178=$F$13,"Próxima","Pendiente"))))</f>
        <v/>
      </c>
      <c r="R204" s="62" t="n">
        <f aca="false">IF(AND(K204&gt;0,OR(O204="Sí",O204="Si")),1,0)</f>
        <v>0</v>
      </c>
      <c r="S204" s="62" t="n">
        <f aca="false">IF(AND(K204&gt;0,R204=0),1,0)</f>
        <v>0</v>
      </c>
    </row>
    <row r="205" customFormat="false" ht="15" hidden="false" customHeight="false" outlineLevel="0" collapsed="false">
      <c r="B205" s="71" t="str">
        <f aca="false">IF($F$6="Sí",N($C$11)+178,"")</f>
        <v/>
      </c>
      <c r="C205" s="72" t="str">
        <f aca="false">IF(OR($F$6&lt;&gt;"Sí",D205&lt;=0.5),"",EDATE($C$10,178))</f>
        <v/>
      </c>
      <c r="D205" s="41" t="n">
        <f aca="false">MAX(0,M204)</f>
        <v>0</v>
      </c>
      <c r="E205" s="41" t="n">
        <f aca="false">D205*$F$7</f>
        <v>0</v>
      </c>
      <c r="F205" s="41" t="n">
        <f aca="false">IF(D205&gt;0.5,N($C$15),0)</f>
        <v>0</v>
      </c>
      <c r="G205" s="41" t="n">
        <f aca="false">IF(AND(D205&gt;0.5,N($C$19)&gt;0,N(B205)&lt;=N($C$20)),D205*$F$8,0)</f>
        <v>0</v>
      </c>
      <c r="H205" s="41" t="n">
        <f aca="false">IF(D205&lt;=0.5,0,MIN(IF(N(I205)&gt;0,I205,$F$9),D205+E205+F205))</f>
        <v>0</v>
      </c>
      <c r="I205" s="77"/>
      <c r="J205" s="77"/>
      <c r="K205" s="41" t="n">
        <f aca="false">IF(D205&lt;=0.5,0,MIN(H205+N(J205),D205+E205+F205))</f>
        <v>0</v>
      </c>
      <c r="L205" s="41" t="n">
        <f aca="false">K205-E205-F205</f>
        <v>0</v>
      </c>
      <c r="M205" s="41" t="n">
        <f aca="false">D205-L205</f>
        <v>0</v>
      </c>
      <c r="N205" s="42" t="n">
        <f aca="false">K205-G205</f>
        <v>0</v>
      </c>
      <c r="O205" s="78"/>
      <c r="P205" s="79"/>
      <c r="Q205" s="16" t="str">
        <f aca="false">IF(K205=0,"",IF(R205=1,"Pagada",IF(C205&lt;$F$12,"Vencida",IF(179=$F$13,"Próxima","Pendiente"))))</f>
        <v/>
      </c>
      <c r="R205" s="62" t="n">
        <f aca="false">IF(AND(K205&gt;0,OR(O205="Sí",O205="Si")),1,0)</f>
        <v>0</v>
      </c>
      <c r="S205" s="62" t="n">
        <f aca="false">IF(AND(K205&gt;0,R205=0),1,0)</f>
        <v>0</v>
      </c>
    </row>
    <row r="206" customFormat="false" ht="15" hidden="false" customHeight="false" outlineLevel="0" collapsed="false">
      <c r="B206" s="71" t="str">
        <f aca="false">IF($F$6="Sí",N($C$11)+179,"")</f>
        <v/>
      </c>
      <c r="C206" s="72" t="str">
        <f aca="false">IF(OR($F$6&lt;&gt;"Sí",D206&lt;=0.5),"",EDATE($C$10,179))</f>
        <v/>
      </c>
      <c r="D206" s="41" t="n">
        <f aca="false">MAX(0,M205)</f>
        <v>0</v>
      </c>
      <c r="E206" s="41" t="n">
        <f aca="false">D206*$F$7</f>
        <v>0</v>
      </c>
      <c r="F206" s="41" t="n">
        <f aca="false">IF(D206&gt;0.5,N($C$15),0)</f>
        <v>0</v>
      </c>
      <c r="G206" s="41" t="n">
        <f aca="false">IF(AND(D206&gt;0.5,N($C$19)&gt;0,N(B206)&lt;=N($C$20)),D206*$F$8,0)</f>
        <v>0</v>
      </c>
      <c r="H206" s="41" t="n">
        <f aca="false">IF(D206&lt;=0.5,0,MIN(IF(N(I206)&gt;0,I206,$F$9),D206+E206+F206))</f>
        <v>0</v>
      </c>
      <c r="I206" s="77"/>
      <c r="J206" s="77"/>
      <c r="K206" s="41" t="n">
        <f aca="false">IF(D206&lt;=0.5,0,MIN(H206+N(J206),D206+E206+F206))</f>
        <v>0</v>
      </c>
      <c r="L206" s="41" t="n">
        <f aca="false">K206-E206-F206</f>
        <v>0</v>
      </c>
      <c r="M206" s="41" t="n">
        <f aca="false">D206-L206</f>
        <v>0</v>
      </c>
      <c r="N206" s="42" t="n">
        <f aca="false">K206-G206</f>
        <v>0</v>
      </c>
      <c r="O206" s="78"/>
      <c r="P206" s="79"/>
      <c r="Q206" s="16" t="str">
        <f aca="false">IF(K206=0,"",IF(R206=1,"Pagada",IF(C206&lt;$F$12,"Vencida",IF(180=$F$13,"Próxima","Pendiente"))))</f>
        <v/>
      </c>
      <c r="R206" s="62" t="n">
        <f aca="false">IF(AND(K206&gt;0,OR(O206="Sí",O206="Si")),1,0)</f>
        <v>0</v>
      </c>
      <c r="S206" s="62" t="n">
        <f aca="false">IF(AND(K206&gt;0,R206=0),1,0)</f>
        <v>0</v>
      </c>
    </row>
    <row r="207" customFormat="false" ht="15" hidden="false" customHeight="false" outlineLevel="0" collapsed="false">
      <c r="B207" s="71" t="str">
        <f aca="false">IF($F$6="Sí",N($C$11)+180,"")</f>
        <v/>
      </c>
      <c r="C207" s="72" t="str">
        <f aca="false">IF(OR($F$6&lt;&gt;"Sí",D207&lt;=0.5),"",EDATE($C$10,180))</f>
        <v/>
      </c>
      <c r="D207" s="41" t="n">
        <f aca="false">MAX(0,M206)</f>
        <v>0</v>
      </c>
      <c r="E207" s="41" t="n">
        <f aca="false">D207*$F$7</f>
        <v>0</v>
      </c>
      <c r="F207" s="41" t="n">
        <f aca="false">IF(D207&gt;0.5,N($C$15),0)</f>
        <v>0</v>
      </c>
      <c r="G207" s="41" t="n">
        <f aca="false">IF(AND(D207&gt;0.5,N($C$19)&gt;0,N(B207)&lt;=N($C$20)),D207*$F$8,0)</f>
        <v>0</v>
      </c>
      <c r="H207" s="41" t="n">
        <f aca="false">IF(D207&lt;=0.5,0,MIN(IF(N(I207)&gt;0,I207,$F$9),D207+E207+F207))</f>
        <v>0</v>
      </c>
      <c r="I207" s="77"/>
      <c r="J207" s="77"/>
      <c r="K207" s="41" t="n">
        <f aca="false">IF(D207&lt;=0.5,0,MIN(H207+N(J207),D207+E207+F207))</f>
        <v>0</v>
      </c>
      <c r="L207" s="41" t="n">
        <f aca="false">K207-E207-F207</f>
        <v>0</v>
      </c>
      <c r="M207" s="41" t="n">
        <f aca="false">D207-L207</f>
        <v>0</v>
      </c>
      <c r="N207" s="42" t="n">
        <f aca="false">K207-G207</f>
        <v>0</v>
      </c>
      <c r="O207" s="78"/>
      <c r="P207" s="79"/>
      <c r="Q207" s="16" t="str">
        <f aca="false">IF(K207=0,"",IF(R207=1,"Pagada",IF(C207&lt;$F$12,"Vencida",IF(181=$F$13,"Próxima","Pendiente"))))</f>
        <v/>
      </c>
      <c r="R207" s="62" t="n">
        <f aca="false">IF(AND(K207&gt;0,OR(O207="Sí",O207="Si")),1,0)</f>
        <v>0</v>
      </c>
      <c r="S207" s="62" t="n">
        <f aca="false">IF(AND(K207&gt;0,R207=0),1,0)</f>
        <v>0</v>
      </c>
    </row>
    <row r="208" customFormat="false" ht="15" hidden="false" customHeight="false" outlineLevel="0" collapsed="false">
      <c r="B208" s="71" t="str">
        <f aca="false">IF($F$6="Sí",N($C$11)+181,"")</f>
        <v/>
      </c>
      <c r="C208" s="72" t="str">
        <f aca="false">IF(OR($F$6&lt;&gt;"Sí",D208&lt;=0.5),"",EDATE($C$10,181))</f>
        <v/>
      </c>
      <c r="D208" s="41" t="n">
        <f aca="false">MAX(0,M207)</f>
        <v>0</v>
      </c>
      <c r="E208" s="41" t="n">
        <f aca="false">D208*$F$7</f>
        <v>0</v>
      </c>
      <c r="F208" s="41" t="n">
        <f aca="false">IF(D208&gt;0.5,N($C$15),0)</f>
        <v>0</v>
      </c>
      <c r="G208" s="41" t="n">
        <f aca="false">IF(AND(D208&gt;0.5,N($C$19)&gt;0,N(B208)&lt;=N($C$20)),D208*$F$8,0)</f>
        <v>0</v>
      </c>
      <c r="H208" s="41" t="n">
        <f aca="false">IF(D208&lt;=0.5,0,MIN(IF(N(I208)&gt;0,I208,$F$9),D208+E208+F208))</f>
        <v>0</v>
      </c>
      <c r="I208" s="77"/>
      <c r="J208" s="77"/>
      <c r="K208" s="41" t="n">
        <f aca="false">IF(D208&lt;=0.5,0,MIN(H208+N(J208),D208+E208+F208))</f>
        <v>0</v>
      </c>
      <c r="L208" s="41" t="n">
        <f aca="false">K208-E208-F208</f>
        <v>0</v>
      </c>
      <c r="M208" s="41" t="n">
        <f aca="false">D208-L208</f>
        <v>0</v>
      </c>
      <c r="N208" s="42" t="n">
        <f aca="false">K208-G208</f>
        <v>0</v>
      </c>
      <c r="O208" s="78"/>
      <c r="P208" s="79"/>
      <c r="Q208" s="16" t="str">
        <f aca="false">IF(K208=0,"",IF(R208=1,"Pagada",IF(C208&lt;$F$12,"Vencida",IF(182=$F$13,"Próxima","Pendiente"))))</f>
        <v/>
      </c>
      <c r="R208" s="62" t="n">
        <f aca="false">IF(AND(K208&gt;0,OR(O208="Sí",O208="Si")),1,0)</f>
        <v>0</v>
      </c>
      <c r="S208" s="62" t="n">
        <f aca="false">IF(AND(K208&gt;0,R208=0),1,0)</f>
        <v>0</v>
      </c>
    </row>
    <row r="209" customFormat="false" ht="15" hidden="false" customHeight="false" outlineLevel="0" collapsed="false">
      <c r="B209" s="71" t="str">
        <f aca="false">IF($F$6="Sí",N($C$11)+182,"")</f>
        <v/>
      </c>
      <c r="C209" s="72" t="str">
        <f aca="false">IF(OR($F$6&lt;&gt;"Sí",D209&lt;=0.5),"",EDATE($C$10,182))</f>
        <v/>
      </c>
      <c r="D209" s="41" t="n">
        <f aca="false">MAX(0,M208)</f>
        <v>0</v>
      </c>
      <c r="E209" s="41" t="n">
        <f aca="false">D209*$F$7</f>
        <v>0</v>
      </c>
      <c r="F209" s="41" t="n">
        <f aca="false">IF(D209&gt;0.5,N($C$15),0)</f>
        <v>0</v>
      </c>
      <c r="G209" s="41" t="n">
        <f aca="false">IF(AND(D209&gt;0.5,N($C$19)&gt;0,N(B209)&lt;=N($C$20)),D209*$F$8,0)</f>
        <v>0</v>
      </c>
      <c r="H209" s="41" t="n">
        <f aca="false">IF(D209&lt;=0.5,0,MIN(IF(N(I209)&gt;0,I209,$F$9),D209+E209+F209))</f>
        <v>0</v>
      </c>
      <c r="I209" s="77"/>
      <c r="J209" s="77"/>
      <c r="K209" s="41" t="n">
        <f aca="false">IF(D209&lt;=0.5,0,MIN(H209+N(J209),D209+E209+F209))</f>
        <v>0</v>
      </c>
      <c r="L209" s="41" t="n">
        <f aca="false">K209-E209-F209</f>
        <v>0</v>
      </c>
      <c r="M209" s="41" t="n">
        <f aca="false">D209-L209</f>
        <v>0</v>
      </c>
      <c r="N209" s="42" t="n">
        <f aca="false">K209-G209</f>
        <v>0</v>
      </c>
      <c r="O209" s="78"/>
      <c r="P209" s="79"/>
      <c r="Q209" s="16" t="str">
        <f aca="false">IF(K209=0,"",IF(R209=1,"Pagada",IF(C209&lt;$F$12,"Vencida",IF(183=$F$13,"Próxima","Pendiente"))))</f>
        <v/>
      </c>
      <c r="R209" s="62" t="n">
        <f aca="false">IF(AND(K209&gt;0,OR(O209="Sí",O209="Si")),1,0)</f>
        <v>0</v>
      </c>
      <c r="S209" s="62" t="n">
        <f aca="false">IF(AND(K209&gt;0,R209=0),1,0)</f>
        <v>0</v>
      </c>
    </row>
    <row r="210" customFormat="false" ht="15" hidden="false" customHeight="false" outlineLevel="0" collapsed="false">
      <c r="B210" s="71" t="str">
        <f aca="false">IF($F$6="Sí",N($C$11)+183,"")</f>
        <v/>
      </c>
      <c r="C210" s="72" t="str">
        <f aca="false">IF(OR($F$6&lt;&gt;"Sí",D210&lt;=0.5),"",EDATE($C$10,183))</f>
        <v/>
      </c>
      <c r="D210" s="41" t="n">
        <f aca="false">MAX(0,M209)</f>
        <v>0</v>
      </c>
      <c r="E210" s="41" t="n">
        <f aca="false">D210*$F$7</f>
        <v>0</v>
      </c>
      <c r="F210" s="41" t="n">
        <f aca="false">IF(D210&gt;0.5,N($C$15),0)</f>
        <v>0</v>
      </c>
      <c r="G210" s="41" t="n">
        <f aca="false">IF(AND(D210&gt;0.5,N($C$19)&gt;0,N(B210)&lt;=N($C$20)),D210*$F$8,0)</f>
        <v>0</v>
      </c>
      <c r="H210" s="41" t="n">
        <f aca="false">IF(D210&lt;=0.5,0,MIN(IF(N(I210)&gt;0,I210,$F$9),D210+E210+F210))</f>
        <v>0</v>
      </c>
      <c r="I210" s="77"/>
      <c r="J210" s="77"/>
      <c r="K210" s="41" t="n">
        <f aca="false">IF(D210&lt;=0.5,0,MIN(H210+N(J210),D210+E210+F210))</f>
        <v>0</v>
      </c>
      <c r="L210" s="41" t="n">
        <f aca="false">K210-E210-F210</f>
        <v>0</v>
      </c>
      <c r="M210" s="41" t="n">
        <f aca="false">D210-L210</f>
        <v>0</v>
      </c>
      <c r="N210" s="42" t="n">
        <f aca="false">K210-G210</f>
        <v>0</v>
      </c>
      <c r="O210" s="78"/>
      <c r="P210" s="79"/>
      <c r="Q210" s="16" t="str">
        <f aca="false">IF(K210=0,"",IF(R210=1,"Pagada",IF(C210&lt;$F$12,"Vencida",IF(184=$F$13,"Próxima","Pendiente"))))</f>
        <v/>
      </c>
      <c r="R210" s="62" t="n">
        <f aca="false">IF(AND(K210&gt;0,OR(O210="Sí",O210="Si")),1,0)</f>
        <v>0</v>
      </c>
      <c r="S210" s="62" t="n">
        <f aca="false">IF(AND(K210&gt;0,R210=0),1,0)</f>
        <v>0</v>
      </c>
    </row>
    <row r="211" customFormat="false" ht="15" hidden="false" customHeight="false" outlineLevel="0" collapsed="false">
      <c r="B211" s="71" t="str">
        <f aca="false">IF($F$6="Sí",N($C$11)+184,"")</f>
        <v/>
      </c>
      <c r="C211" s="72" t="str">
        <f aca="false">IF(OR($F$6&lt;&gt;"Sí",D211&lt;=0.5),"",EDATE($C$10,184))</f>
        <v/>
      </c>
      <c r="D211" s="41" t="n">
        <f aca="false">MAX(0,M210)</f>
        <v>0</v>
      </c>
      <c r="E211" s="41" t="n">
        <f aca="false">D211*$F$7</f>
        <v>0</v>
      </c>
      <c r="F211" s="41" t="n">
        <f aca="false">IF(D211&gt;0.5,N($C$15),0)</f>
        <v>0</v>
      </c>
      <c r="G211" s="41" t="n">
        <f aca="false">IF(AND(D211&gt;0.5,N($C$19)&gt;0,N(B211)&lt;=N($C$20)),D211*$F$8,0)</f>
        <v>0</v>
      </c>
      <c r="H211" s="41" t="n">
        <f aca="false">IF(D211&lt;=0.5,0,MIN(IF(N(I211)&gt;0,I211,$F$9),D211+E211+F211))</f>
        <v>0</v>
      </c>
      <c r="I211" s="77"/>
      <c r="J211" s="77"/>
      <c r="K211" s="41" t="n">
        <f aca="false">IF(D211&lt;=0.5,0,MIN(H211+N(J211),D211+E211+F211))</f>
        <v>0</v>
      </c>
      <c r="L211" s="41" t="n">
        <f aca="false">K211-E211-F211</f>
        <v>0</v>
      </c>
      <c r="M211" s="41" t="n">
        <f aca="false">D211-L211</f>
        <v>0</v>
      </c>
      <c r="N211" s="42" t="n">
        <f aca="false">K211-G211</f>
        <v>0</v>
      </c>
      <c r="O211" s="78"/>
      <c r="P211" s="79"/>
      <c r="Q211" s="16" t="str">
        <f aca="false">IF(K211=0,"",IF(R211=1,"Pagada",IF(C211&lt;$F$12,"Vencida",IF(185=$F$13,"Próxima","Pendiente"))))</f>
        <v/>
      </c>
      <c r="R211" s="62" t="n">
        <f aca="false">IF(AND(K211&gt;0,OR(O211="Sí",O211="Si")),1,0)</f>
        <v>0</v>
      </c>
      <c r="S211" s="62" t="n">
        <f aca="false">IF(AND(K211&gt;0,R211=0),1,0)</f>
        <v>0</v>
      </c>
    </row>
    <row r="212" customFormat="false" ht="15" hidden="false" customHeight="false" outlineLevel="0" collapsed="false">
      <c r="B212" s="71" t="str">
        <f aca="false">IF($F$6="Sí",N($C$11)+185,"")</f>
        <v/>
      </c>
      <c r="C212" s="72" t="str">
        <f aca="false">IF(OR($F$6&lt;&gt;"Sí",D212&lt;=0.5),"",EDATE($C$10,185))</f>
        <v/>
      </c>
      <c r="D212" s="41" t="n">
        <f aca="false">MAX(0,M211)</f>
        <v>0</v>
      </c>
      <c r="E212" s="41" t="n">
        <f aca="false">D212*$F$7</f>
        <v>0</v>
      </c>
      <c r="F212" s="41" t="n">
        <f aca="false">IF(D212&gt;0.5,N($C$15),0)</f>
        <v>0</v>
      </c>
      <c r="G212" s="41" t="n">
        <f aca="false">IF(AND(D212&gt;0.5,N($C$19)&gt;0,N(B212)&lt;=N($C$20)),D212*$F$8,0)</f>
        <v>0</v>
      </c>
      <c r="H212" s="41" t="n">
        <f aca="false">IF(D212&lt;=0.5,0,MIN(IF(N(I212)&gt;0,I212,$F$9),D212+E212+F212))</f>
        <v>0</v>
      </c>
      <c r="I212" s="77"/>
      <c r="J212" s="77"/>
      <c r="K212" s="41" t="n">
        <f aca="false">IF(D212&lt;=0.5,0,MIN(H212+N(J212),D212+E212+F212))</f>
        <v>0</v>
      </c>
      <c r="L212" s="41" t="n">
        <f aca="false">K212-E212-F212</f>
        <v>0</v>
      </c>
      <c r="M212" s="41" t="n">
        <f aca="false">D212-L212</f>
        <v>0</v>
      </c>
      <c r="N212" s="42" t="n">
        <f aca="false">K212-G212</f>
        <v>0</v>
      </c>
      <c r="O212" s="78"/>
      <c r="P212" s="79"/>
      <c r="Q212" s="16" t="str">
        <f aca="false">IF(K212=0,"",IF(R212=1,"Pagada",IF(C212&lt;$F$12,"Vencida",IF(186=$F$13,"Próxima","Pendiente"))))</f>
        <v/>
      </c>
      <c r="R212" s="62" t="n">
        <f aca="false">IF(AND(K212&gt;0,OR(O212="Sí",O212="Si")),1,0)</f>
        <v>0</v>
      </c>
      <c r="S212" s="62" t="n">
        <f aca="false">IF(AND(K212&gt;0,R212=0),1,0)</f>
        <v>0</v>
      </c>
    </row>
    <row r="213" customFormat="false" ht="15" hidden="false" customHeight="false" outlineLevel="0" collapsed="false">
      <c r="B213" s="71" t="str">
        <f aca="false">IF($F$6="Sí",N($C$11)+186,"")</f>
        <v/>
      </c>
      <c r="C213" s="72" t="str">
        <f aca="false">IF(OR($F$6&lt;&gt;"Sí",D213&lt;=0.5),"",EDATE($C$10,186))</f>
        <v/>
      </c>
      <c r="D213" s="41" t="n">
        <f aca="false">MAX(0,M212)</f>
        <v>0</v>
      </c>
      <c r="E213" s="41" t="n">
        <f aca="false">D213*$F$7</f>
        <v>0</v>
      </c>
      <c r="F213" s="41" t="n">
        <f aca="false">IF(D213&gt;0.5,N($C$15),0)</f>
        <v>0</v>
      </c>
      <c r="G213" s="41" t="n">
        <f aca="false">IF(AND(D213&gt;0.5,N($C$19)&gt;0,N(B213)&lt;=N($C$20)),D213*$F$8,0)</f>
        <v>0</v>
      </c>
      <c r="H213" s="41" t="n">
        <f aca="false">IF(D213&lt;=0.5,0,MIN(IF(N(I213)&gt;0,I213,$F$9),D213+E213+F213))</f>
        <v>0</v>
      </c>
      <c r="I213" s="77"/>
      <c r="J213" s="77"/>
      <c r="K213" s="41" t="n">
        <f aca="false">IF(D213&lt;=0.5,0,MIN(H213+N(J213),D213+E213+F213))</f>
        <v>0</v>
      </c>
      <c r="L213" s="41" t="n">
        <f aca="false">K213-E213-F213</f>
        <v>0</v>
      </c>
      <c r="M213" s="41" t="n">
        <f aca="false">D213-L213</f>
        <v>0</v>
      </c>
      <c r="N213" s="42" t="n">
        <f aca="false">K213-G213</f>
        <v>0</v>
      </c>
      <c r="O213" s="78"/>
      <c r="P213" s="79"/>
      <c r="Q213" s="16" t="str">
        <f aca="false">IF(K213=0,"",IF(R213=1,"Pagada",IF(C213&lt;$F$12,"Vencida",IF(187=$F$13,"Próxima","Pendiente"))))</f>
        <v/>
      </c>
      <c r="R213" s="62" t="n">
        <f aca="false">IF(AND(K213&gt;0,OR(O213="Sí",O213="Si")),1,0)</f>
        <v>0</v>
      </c>
      <c r="S213" s="62" t="n">
        <f aca="false">IF(AND(K213&gt;0,R213=0),1,0)</f>
        <v>0</v>
      </c>
    </row>
    <row r="214" customFormat="false" ht="15" hidden="false" customHeight="false" outlineLevel="0" collapsed="false">
      <c r="B214" s="71" t="str">
        <f aca="false">IF($F$6="Sí",N($C$11)+187,"")</f>
        <v/>
      </c>
      <c r="C214" s="72" t="str">
        <f aca="false">IF(OR($F$6&lt;&gt;"Sí",D214&lt;=0.5),"",EDATE($C$10,187))</f>
        <v/>
      </c>
      <c r="D214" s="41" t="n">
        <f aca="false">MAX(0,M213)</f>
        <v>0</v>
      </c>
      <c r="E214" s="41" t="n">
        <f aca="false">D214*$F$7</f>
        <v>0</v>
      </c>
      <c r="F214" s="41" t="n">
        <f aca="false">IF(D214&gt;0.5,N($C$15),0)</f>
        <v>0</v>
      </c>
      <c r="G214" s="41" t="n">
        <f aca="false">IF(AND(D214&gt;0.5,N($C$19)&gt;0,N(B214)&lt;=N($C$20)),D214*$F$8,0)</f>
        <v>0</v>
      </c>
      <c r="H214" s="41" t="n">
        <f aca="false">IF(D214&lt;=0.5,0,MIN(IF(N(I214)&gt;0,I214,$F$9),D214+E214+F214))</f>
        <v>0</v>
      </c>
      <c r="I214" s="77"/>
      <c r="J214" s="77"/>
      <c r="K214" s="41" t="n">
        <f aca="false">IF(D214&lt;=0.5,0,MIN(H214+N(J214),D214+E214+F214))</f>
        <v>0</v>
      </c>
      <c r="L214" s="41" t="n">
        <f aca="false">K214-E214-F214</f>
        <v>0</v>
      </c>
      <c r="M214" s="41" t="n">
        <f aca="false">D214-L214</f>
        <v>0</v>
      </c>
      <c r="N214" s="42" t="n">
        <f aca="false">K214-G214</f>
        <v>0</v>
      </c>
      <c r="O214" s="78"/>
      <c r="P214" s="79"/>
      <c r="Q214" s="16" t="str">
        <f aca="false">IF(K214=0,"",IF(R214=1,"Pagada",IF(C214&lt;$F$12,"Vencida",IF(188=$F$13,"Próxima","Pendiente"))))</f>
        <v/>
      </c>
      <c r="R214" s="62" t="n">
        <f aca="false">IF(AND(K214&gt;0,OR(O214="Sí",O214="Si")),1,0)</f>
        <v>0</v>
      </c>
      <c r="S214" s="62" t="n">
        <f aca="false">IF(AND(K214&gt;0,R214=0),1,0)</f>
        <v>0</v>
      </c>
    </row>
    <row r="215" customFormat="false" ht="15" hidden="false" customHeight="false" outlineLevel="0" collapsed="false">
      <c r="B215" s="71" t="str">
        <f aca="false">IF($F$6="Sí",N($C$11)+188,"")</f>
        <v/>
      </c>
      <c r="C215" s="72" t="str">
        <f aca="false">IF(OR($F$6&lt;&gt;"Sí",D215&lt;=0.5),"",EDATE($C$10,188))</f>
        <v/>
      </c>
      <c r="D215" s="41" t="n">
        <f aca="false">MAX(0,M214)</f>
        <v>0</v>
      </c>
      <c r="E215" s="41" t="n">
        <f aca="false">D215*$F$7</f>
        <v>0</v>
      </c>
      <c r="F215" s="41" t="n">
        <f aca="false">IF(D215&gt;0.5,N($C$15),0)</f>
        <v>0</v>
      </c>
      <c r="G215" s="41" t="n">
        <f aca="false">IF(AND(D215&gt;0.5,N($C$19)&gt;0,N(B215)&lt;=N($C$20)),D215*$F$8,0)</f>
        <v>0</v>
      </c>
      <c r="H215" s="41" t="n">
        <f aca="false">IF(D215&lt;=0.5,0,MIN(IF(N(I215)&gt;0,I215,$F$9),D215+E215+F215))</f>
        <v>0</v>
      </c>
      <c r="I215" s="77"/>
      <c r="J215" s="77"/>
      <c r="K215" s="41" t="n">
        <f aca="false">IF(D215&lt;=0.5,0,MIN(H215+N(J215),D215+E215+F215))</f>
        <v>0</v>
      </c>
      <c r="L215" s="41" t="n">
        <f aca="false">K215-E215-F215</f>
        <v>0</v>
      </c>
      <c r="M215" s="41" t="n">
        <f aca="false">D215-L215</f>
        <v>0</v>
      </c>
      <c r="N215" s="42" t="n">
        <f aca="false">K215-G215</f>
        <v>0</v>
      </c>
      <c r="O215" s="78"/>
      <c r="P215" s="79"/>
      <c r="Q215" s="16" t="str">
        <f aca="false">IF(K215=0,"",IF(R215=1,"Pagada",IF(C215&lt;$F$12,"Vencida",IF(189=$F$13,"Próxima","Pendiente"))))</f>
        <v/>
      </c>
      <c r="R215" s="62" t="n">
        <f aca="false">IF(AND(K215&gt;0,OR(O215="Sí",O215="Si")),1,0)</f>
        <v>0</v>
      </c>
      <c r="S215" s="62" t="n">
        <f aca="false">IF(AND(K215&gt;0,R215=0),1,0)</f>
        <v>0</v>
      </c>
    </row>
    <row r="216" customFormat="false" ht="15" hidden="false" customHeight="false" outlineLevel="0" collapsed="false">
      <c r="B216" s="71" t="str">
        <f aca="false">IF($F$6="Sí",N($C$11)+189,"")</f>
        <v/>
      </c>
      <c r="C216" s="72" t="str">
        <f aca="false">IF(OR($F$6&lt;&gt;"Sí",D216&lt;=0.5),"",EDATE($C$10,189))</f>
        <v/>
      </c>
      <c r="D216" s="41" t="n">
        <f aca="false">MAX(0,M215)</f>
        <v>0</v>
      </c>
      <c r="E216" s="41" t="n">
        <f aca="false">D216*$F$7</f>
        <v>0</v>
      </c>
      <c r="F216" s="41" t="n">
        <f aca="false">IF(D216&gt;0.5,N($C$15),0)</f>
        <v>0</v>
      </c>
      <c r="G216" s="41" t="n">
        <f aca="false">IF(AND(D216&gt;0.5,N($C$19)&gt;0,N(B216)&lt;=N($C$20)),D216*$F$8,0)</f>
        <v>0</v>
      </c>
      <c r="H216" s="41" t="n">
        <f aca="false">IF(D216&lt;=0.5,0,MIN(IF(N(I216)&gt;0,I216,$F$9),D216+E216+F216))</f>
        <v>0</v>
      </c>
      <c r="I216" s="77"/>
      <c r="J216" s="77"/>
      <c r="K216" s="41" t="n">
        <f aca="false">IF(D216&lt;=0.5,0,MIN(H216+N(J216),D216+E216+F216))</f>
        <v>0</v>
      </c>
      <c r="L216" s="41" t="n">
        <f aca="false">K216-E216-F216</f>
        <v>0</v>
      </c>
      <c r="M216" s="41" t="n">
        <f aca="false">D216-L216</f>
        <v>0</v>
      </c>
      <c r="N216" s="42" t="n">
        <f aca="false">K216-G216</f>
        <v>0</v>
      </c>
      <c r="O216" s="78"/>
      <c r="P216" s="79"/>
      <c r="Q216" s="16" t="str">
        <f aca="false">IF(K216=0,"",IF(R216=1,"Pagada",IF(C216&lt;$F$12,"Vencida",IF(190=$F$13,"Próxima","Pendiente"))))</f>
        <v/>
      </c>
      <c r="R216" s="62" t="n">
        <f aca="false">IF(AND(K216&gt;0,OR(O216="Sí",O216="Si")),1,0)</f>
        <v>0</v>
      </c>
      <c r="S216" s="62" t="n">
        <f aca="false">IF(AND(K216&gt;0,R216=0),1,0)</f>
        <v>0</v>
      </c>
    </row>
    <row r="217" customFormat="false" ht="15" hidden="false" customHeight="false" outlineLevel="0" collapsed="false">
      <c r="B217" s="71" t="str">
        <f aca="false">IF($F$6="Sí",N($C$11)+190,"")</f>
        <v/>
      </c>
      <c r="C217" s="72" t="str">
        <f aca="false">IF(OR($F$6&lt;&gt;"Sí",D217&lt;=0.5),"",EDATE($C$10,190))</f>
        <v/>
      </c>
      <c r="D217" s="41" t="n">
        <f aca="false">MAX(0,M216)</f>
        <v>0</v>
      </c>
      <c r="E217" s="41" t="n">
        <f aca="false">D217*$F$7</f>
        <v>0</v>
      </c>
      <c r="F217" s="41" t="n">
        <f aca="false">IF(D217&gt;0.5,N($C$15),0)</f>
        <v>0</v>
      </c>
      <c r="G217" s="41" t="n">
        <f aca="false">IF(AND(D217&gt;0.5,N($C$19)&gt;0,N(B217)&lt;=N($C$20)),D217*$F$8,0)</f>
        <v>0</v>
      </c>
      <c r="H217" s="41" t="n">
        <f aca="false">IF(D217&lt;=0.5,0,MIN(IF(N(I217)&gt;0,I217,$F$9),D217+E217+F217))</f>
        <v>0</v>
      </c>
      <c r="I217" s="77"/>
      <c r="J217" s="77"/>
      <c r="K217" s="41" t="n">
        <f aca="false">IF(D217&lt;=0.5,0,MIN(H217+N(J217),D217+E217+F217))</f>
        <v>0</v>
      </c>
      <c r="L217" s="41" t="n">
        <f aca="false">K217-E217-F217</f>
        <v>0</v>
      </c>
      <c r="M217" s="41" t="n">
        <f aca="false">D217-L217</f>
        <v>0</v>
      </c>
      <c r="N217" s="42" t="n">
        <f aca="false">K217-G217</f>
        <v>0</v>
      </c>
      <c r="O217" s="78"/>
      <c r="P217" s="79"/>
      <c r="Q217" s="16" t="str">
        <f aca="false">IF(K217=0,"",IF(R217=1,"Pagada",IF(C217&lt;$F$12,"Vencida",IF(191=$F$13,"Próxima","Pendiente"))))</f>
        <v/>
      </c>
      <c r="R217" s="62" t="n">
        <f aca="false">IF(AND(K217&gt;0,OR(O217="Sí",O217="Si")),1,0)</f>
        <v>0</v>
      </c>
      <c r="S217" s="62" t="n">
        <f aca="false">IF(AND(K217&gt;0,R217=0),1,0)</f>
        <v>0</v>
      </c>
    </row>
    <row r="218" customFormat="false" ht="15" hidden="false" customHeight="false" outlineLevel="0" collapsed="false">
      <c r="B218" s="71" t="str">
        <f aca="false">IF($F$6="Sí",N($C$11)+191,"")</f>
        <v/>
      </c>
      <c r="C218" s="72" t="str">
        <f aca="false">IF(OR($F$6&lt;&gt;"Sí",D218&lt;=0.5),"",EDATE($C$10,191))</f>
        <v/>
      </c>
      <c r="D218" s="41" t="n">
        <f aca="false">MAX(0,M217)</f>
        <v>0</v>
      </c>
      <c r="E218" s="41" t="n">
        <f aca="false">D218*$F$7</f>
        <v>0</v>
      </c>
      <c r="F218" s="41" t="n">
        <f aca="false">IF(D218&gt;0.5,N($C$15),0)</f>
        <v>0</v>
      </c>
      <c r="G218" s="41" t="n">
        <f aca="false">IF(AND(D218&gt;0.5,N($C$19)&gt;0,N(B218)&lt;=N($C$20)),D218*$F$8,0)</f>
        <v>0</v>
      </c>
      <c r="H218" s="41" t="n">
        <f aca="false">IF(D218&lt;=0.5,0,MIN(IF(N(I218)&gt;0,I218,$F$9),D218+E218+F218))</f>
        <v>0</v>
      </c>
      <c r="I218" s="77"/>
      <c r="J218" s="77"/>
      <c r="K218" s="41" t="n">
        <f aca="false">IF(D218&lt;=0.5,0,MIN(H218+N(J218),D218+E218+F218))</f>
        <v>0</v>
      </c>
      <c r="L218" s="41" t="n">
        <f aca="false">K218-E218-F218</f>
        <v>0</v>
      </c>
      <c r="M218" s="41" t="n">
        <f aca="false">D218-L218</f>
        <v>0</v>
      </c>
      <c r="N218" s="42" t="n">
        <f aca="false">K218-G218</f>
        <v>0</v>
      </c>
      <c r="O218" s="78"/>
      <c r="P218" s="79"/>
      <c r="Q218" s="16" t="str">
        <f aca="false">IF(K218=0,"",IF(R218=1,"Pagada",IF(C218&lt;$F$12,"Vencida",IF(192=$F$13,"Próxima","Pendiente"))))</f>
        <v/>
      </c>
      <c r="R218" s="62" t="n">
        <f aca="false">IF(AND(K218&gt;0,OR(O218="Sí",O218="Si")),1,0)</f>
        <v>0</v>
      </c>
      <c r="S218" s="62" t="n">
        <f aca="false">IF(AND(K218&gt;0,R218=0),1,0)</f>
        <v>0</v>
      </c>
    </row>
    <row r="219" customFormat="false" ht="15" hidden="false" customHeight="false" outlineLevel="0" collapsed="false">
      <c r="B219" s="71" t="str">
        <f aca="false">IF($F$6="Sí",N($C$11)+192,"")</f>
        <v/>
      </c>
      <c r="C219" s="72" t="str">
        <f aca="false">IF(OR($F$6&lt;&gt;"Sí",D219&lt;=0.5),"",EDATE($C$10,192))</f>
        <v/>
      </c>
      <c r="D219" s="41" t="n">
        <f aca="false">MAX(0,M218)</f>
        <v>0</v>
      </c>
      <c r="E219" s="41" t="n">
        <f aca="false">D219*$F$7</f>
        <v>0</v>
      </c>
      <c r="F219" s="41" t="n">
        <f aca="false">IF(D219&gt;0.5,N($C$15),0)</f>
        <v>0</v>
      </c>
      <c r="G219" s="41" t="n">
        <f aca="false">IF(AND(D219&gt;0.5,N($C$19)&gt;0,N(B219)&lt;=N($C$20)),D219*$F$8,0)</f>
        <v>0</v>
      </c>
      <c r="H219" s="41" t="n">
        <f aca="false">IF(D219&lt;=0.5,0,MIN(IF(N(I219)&gt;0,I219,$F$9),D219+E219+F219))</f>
        <v>0</v>
      </c>
      <c r="I219" s="77"/>
      <c r="J219" s="77"/>
      <c r="K219" s="41" t="n">
        <f aca="false">IF(D219&lt;=0.5,0,MIN(H219+N(J219),D219+E219+F219))</f>
        <v>0</v>
      </c>
      <c r="L219" s="41" t="n">
        <f aca="false">K219-E219-F219</f>
        <v>0</v>
      </c>
      <c r="M219" s="41" t="n">
        <f aca="false">D219-L219</f>
        <v>0</v>
      </c>
      <c r="N219" s="42" t="n">
        <f aca="false">K219-G219</f>
        <v>0</v>
      </c>
      <c r="O219" s="78"/>
      <c r="P219" s="79"/>
      <c r="Q219" s="16" t="str">
        <f aca="false">IF(K219=0,"",IF(R219=1,"Pagada",IF(C219&lt;$F$12,"Vencida",IF(193=$F$13,"Próxima","Pendiente"))))</f>
        <v/>
      </c>
      <c r="R219" s="62" t="n">
        <f aca="false">IF(AND(K219&gt;0,OR(O219="Sí",O219="Si")),1,0)</f>
        <v>0</v>
      </c>
      <c r="S219" s="62" t="n">
        <f aca="false">IF(AND(K219&gt;0,R219=0),1,0)</f>
        <v>0</v>
      </c>
    </row>
    <row r="220" customFormat="false" ht="15" hidden="false" customHeight="false" outlineLevel="0" collapsed="false">
      <c r="B220" s="71" t="str">
        <f aca="false">IF($F$6="Sí",N($C$11)+193,"")</f>
        <v/>
      </c>
      <c r="C220" s="72" t="str">
        <f aca="false">IF(OR($F$6&lt;&gt;"Sí",D220&lt;=0.5),"",EDATE($C$10,193))</f>
        <v/>
      </c>
      <c r="D220" s="41" t="n">
        <f aca="false">MAX(0,M219)</f>
        <v>0</v>
      </c>
      <c r="E220" s="41" t="n">
        <f aca="false">D220*$F$7</f>
        <v>0</v>
      </c>
      <c r="F220" s="41" t="n">
        <f aca="false">IF(D220&gt;0.5,N($C$15),0)</f>
        <v>0</v>
      </c>
      <c r="G220" s="41" t="n">
        <f aca="false">IF(AND(D220&gt;0.5,N($C$19)&gt;0,N(B220)&lt;=N($C$20)),D220*$F$8,0)</f>
        <v>0</v>
      </c>
      <c r="H220" s="41" t="n">
        <f aca="false">IF(D220&lt;=0.5,0,MIN(IF(N(I220)&gt;0,I220,$F$9),D220+E220+F220))</f>
        <v>0</v>
      </c>
      <c r="I220" s="77"/>
      <c r="J220" s="77"/>
      <c r="K220" s="41" t="n">
        <f aca="false">IF(D220&lt;=0.5,0,MIN(H220+N(J220),D220+E220+F220))</f>
        <v>0</v>
      </c>
      <c r="L220" s="41" t="n">
        <f aca="false">K220-E220-F220</f>
        <v>0</v>
      </c>
      <c r="M220" s="41" t="n">
        <f aca="false">D220-L220</f>
        <v>0</v>
      </c>
      <c r="N220" s="42" t="n">
        <f aca="false">K220-G220</f>
        <v>0</v>
      </c>
      <c r="O220" s="78"/>
      <c r="P220" s="79"/>
      <c r="Q220" s="16" t="str">
        <f aca="false">IF(K220=0,"",IF(R220=1,"Pagada",IF(C220&lt;$F$12,"Vencida",IF(194=$F$13,"Próxima","Pendiente"))))</f>
        <v/>
      </c>
      <c r="R220" s="62" t="n">
        <f aca="false">IF(AND(K220&gt;0,OR(O220="Sí",O220="Si")),1,0)</f>
        <v>0</v>
      </c>
      <c r="S220" s="62" t="n">
        <f aca="false">IF(AND(K220&gt;0,R220=0),1,0)</f>
        <v>0</v>
      </c>
    </row>
    <row r="221" customFormat="false" ht="15" hidden="false" customHeight="false" outlineLevel="0" collapsed="false">
      <c r="B221" s="71" t="str">
        <f aca="false">IF($F$6="Sí",N($C$11)+194,"")</f>
        <v/>
      </c>
      <c r="C221" s="72" t="str">
        <f aca="false">IF(OR($F$6&lt;&gt;"Sí",D221&lt;=0.5),"",EDATE($C$10,194))</f>
        <v/>
      </c>
      <c r="D221" s="41" t="n">
        <f aca="false">MAX(0,M220)</f>
        <v>0</v>
      </c>
      <c r="E221" s="41" t="n">
        <f aca="false">D221*$F$7</f>
        <v>0</v>
      </c>
      <c r="F221" s="41" t="n">
        <f aca="false">IF(D221&gt;0.5,N($C$15),0)</f>
        <v>0</v>
      </c>
      <c r="G221" s="41" t="n">
        <f aca="false">IF(AND(D221&gt;0.5,N($C$19)&gt;0,N(B221)&lt;=N($C$20)),D221*$F$8,0)</f>
        <v>0</v>
      </c>
      <c r="H221" s="41" t="n">
        <f aca="false">IF(D221&lt;=0.5,0,MIN(IF(N(I221)&gt;0,I221,$F$9),D221+E221+F221))</f>
        <v>0</v>
      </c>
      <c r="I221" s="77"/>
      <c r="J221" s="77"/>
      <c r="K221" s="41" t="n">
        <f aca="false">IF(D221&lt;=0.5,0,MIN(H221+N(J221),D221+E221+F221))</f>
        <v>0</v>
      </c>
      <c r="L221" s="41" t="n">
        <f aca="false">K221-E221-F221</f>
        <v>0</v>
      </c>
      <c r="M221" s="41" t="n">
        <f aca="false">D221-L221</f>
        <v>0</v>
      </c>
      <c r="N221" s="42" t="n">
        <f aca="false">K221-G221</f>
        <v>0</v>
      </c>
      <c r="O221" s="78"/>
      <c r="P221" s="79"/>
      <c r="Q221" s="16" t="str">
        <f aca="false">IF(K221=0,"",IF(R221=1,"Pagada",IF(C221&lt;$F$12,"Vencida",IF(195=$F$13,"Próxima","Pendiente"))))</f>
        <v/>
      </c>
      <c r="R221" s="62" t="n">
        <f aca="false">IF(AND(K221&gt;0,OR(O221="Sí",O221="Si")),1,0)</f>
        <v>0</v>
      </c>
      <c r="S221" s="62" t="n">
        <f aca="false">IF(AND(K221&gt;0,R221=0),1,0)</f>
        <v>0</v>
      </c>
    </row>
    <row r="222" customFormat="false" ht="15" hidden="false" customHeight="false" outlineLevel="0" collapsed="false">
      <c r="B222" s="71" t="str">
        <f aca="false">IF($F$6="Sí",N($C$11)+195,"")</f>
        <v/>
      </c>
      <c r="C222" s="72" t="str">
        <f aca="false">IF(OR($F$6&lt;&gt;"Sí",D222&lt;=0.5),"",EDATE($C$10,195))</f>
        <v/>
      </c>
      <c r="D222" s="41" t="n">
        <f aca="false">MAX(0,M221)</f>
        <v>0</v>
      </c>
      <c r="E222" s="41" t="n">
        <f aca="false">D222*$F$7</f>
        <v>0</v>
      </c>
      <c r="F222" s="41" t="n">
        <f aca="false">IF(D222&gt;0.5,N($C$15),0)</f>
        <v>0</v>
      </c>
      <c r="G222" s="41" t="n">
        <f aca="false">IF(AND(D222&gt;0.5,N($C$19)&gt;0,N(B222)&lt;=N($C$20)),D222*$F$8,0)</f>
        <v>0</v>
      </c>
      <c r="H222" s="41" t="n">
        <f aca="false">IF(D222&lt;=0.5,0,MIN(IF(N(I222)&gt;0,I222,$F$9),D222+E222+F222))</f>
        <v>0</v>
      </c>
      <c r="I222" s="77"/>
      <c r="J222" s="77"/>
      <c r="K222" s="41" t="n">
        <f aca="false">IF(D222&lt;=0.5,0,MIN(H222+N(J222),D222+E222+F222))</f>
        <v>0</v>
      </c>
      <c r="L222" s="41" t="n">
        <f aca="false">K222-E222-F222</f>
        <v>0</v>
      </c>
      <c r="M222" s="41" t="n">
        <f aca="false">D222-L222</f>
        <v>0</v>
      </c>
      <c r="N222" s="42" t="n">
        <f aca="false">K222-G222</f>
        <v>0</v>
      </c>
      <c r="O222" s="78"/>
      <c r="P222" s="79"/>
      <c r="Q222" s="16" t="str">
        <f aca="false">IF(K222=0,"",IF(R222=1,"Pagada",IF(C222&lt;$F$12,"Vencida",IF(196=$F$13,"Próxima","Pendiente"))))</f>
        <v/>
      </c>
      <c r="R222" s="62" t="n">
        <f aca="false">IF(AND(K222&gt;0,OR(O222="Sí",O222="Si")),1,0)</f>
        <v>0</v>
      </c>
      <c r="S222" s="62" t="n">
        <f aca="false">IF(AND(K222&gt;0,R222=0),1,0)</f>
        <v>0</v>
      </c>
    </row>
    <row r="223" customFormat="false" ht="15" hidden="false" customHeight="false" outlineLevel="0" collapsed="false">
      <c r="B223" s="71" t="str">
        <f aca="false">IF($F$6="Sí",N($C$11)+196,"")</f>
        <v/>
      </c>
      <c r="C223" s="72" t="str">
        <f aca="false">IF(OR($F$6&lt;&gt;"Sí",D223&lt;=0.5),"",EDATE($C$10,196))</f>
        <v/>
      </c>
      <c r="D223" s="41" t="n">
        <f aca="false">MAX(0,M222)</f>
        <v>0</v>
      </c>
      <c r="E223" s="41" t="n">
        <f aca="false">D223*$F$7</f>
        <v>0</v>
      </c>
      <c r="F223" s="41" t="n">
        <f aca="false">IF(D223&gt;0.5,N($C$15),0)</f>
        <v>0</v>
      </c>
      <c r="G223" s="41" t="n">
        <f aca="false">IF(AND(D223&gt;0.5,N($C$19)&gt;0,N(B223)&lt;=N($C$20)),D223*$F$8,0)</f>
        <v>0</v>
      </c>
      <c r="H223" s="41" t="n">
        <f aca="false">IF(D223&lt;=0.5,0,MIN(IF(N(I223)&gt;0,I223,$F$9),D223+E223+F223))</f>
        <v>0</v>
      </c>
      <c r="I223" s="77"/>
      <c r="J223" s="77"/>
      <c r="K223" s="41" t="n">
        <f aca="false">IF(D223&lt;=0.5,0,MIN(H223+N(J223),D223+E223+F223))</f>
        <v>0</v>
      </c>
      <c r="L223" s="41" t="n">
        <f aca="false">K223-E223-F223</f>
        <v>0</v>
      </c>
      <c r="M223" s="41" t="n">
        <f aca="false">D223-L223</f>
        <v>0</v>
      </c>
      <c r="N223" s="42" t="n">
        <f aca="false">K223-G223</f>
        <v>0</v>
      </c>
      <c r="O223" s="78"/>
      <c r="P223" s="79"/>
      <c r="Q223" s="16" t="str">
        <f aca="false">IF(K223=0,"",IF(R223=1,"Pagada",IF(C223&lt;$F$12,"Vencida",IF(197=$F$13,"Próxima","Pendiente"))))</f>
        <v/>
      </c>
      <c r="R223" s="62" t="n">
        <f aca="false">IF(AND(K223&gt;0,OR(O223="Sí",O223="Si")),1,0)</f>
        <v>0</v>
      </c>
      <c r="S223" s="62" t="n">
        <f aca="false">IF(AND(K223&gt;0,R223=0),1,0)</f>
        <v>0</v>
      </c>
    </row>
    <row r="224" customFormat="false" ht="15" hidden="false" customHeight="false" outlineLevel="0" collapsed="false">
      <c r="B224" s="71" t="str">
        <f aca="false">IF($F$6="Sí",N($C$11)+197,"")</f>
        <v/>
      </c>
      <c r="C224" s="72" t="str">
        <f aca="false">IF(OR($F$6&lt;&gt;"Sí",D224&lt;=0.5),"",EDATE($C$10,197))</f>
        <v/>
      </c>
      <c r="D224" s="41" t="n">
        <f aca="false">MAX(0,M223)</f>
        <v>0</v>
      </c>
      <c r="E224" s="41" t="n">
        <f aca="false">D224*$F$7</f>
        <v>0</v>
      </c>
      <c r="F224" s="41" t="n">
        <f aca="false">IF(D224&gt;0.5,N($C$15),0)</f>
        <v>0</v>
      </c>
      <c r="G224" s="41" t="n">
        <f aca="false">IF(AND(D224&gt;0.5,N($C$19)&gt;0,N(B224)&lt;=N($C$20)),D224*$F$8,0)</f>
        <v>0</v>
      </c>
      <c r="H224" s="41" t="n">
        <f aca="false">IF(D224&lt;=0.5,0,MIN(IF(N(I224)&gt;0,I224,$F$9),D224+E224+F224))</f>
        <v>0</v>
      </c>
      <c r="I224" s="77"/>
      <c r="J224" s="77"/>
      <c r="K224" s="41" t="n">
        <f aca="false">IF(D224&lt;=0.5,0,MIN(H224+N(J224),D224+E224+F224))</f>
        <v>0</v>
      </c>
      <c r="L224" s="41" t="n">
        <f aca="false">K224-E224-F224</f>
        <v>0</v>
      </c>
      <c r="M224" s="41" t="n">
        <f aca="false">D224-L224</f>
        <v>0</v>
      </c>
      <c r="N224" s="42" t="n">
        <f aca="false">K224-G224</f>
        <v>0</v>
      </c>
      <c r="O224" s="78"/>
      <c r="P224" s="79"/>
      <c r="Q224" s="16" t="str">
        <f aca="false">IF(K224=0,"",IF(R224=1,"Pagada",IF(C224&lt;$F$12,"Vencida",IF(198=$F$13,"Próxima","Pendiente"))))</f>
        <v/>
      </c>
      <c r="R224" s="62" t="n">
        <f aca="false">IF(AND(K224&gt;0,OR(O224="Sí",O224="Si")),1,0)</f>
        <v>0</v>
      </c>
      <c r="S224" s="62" t="n">
        <f aca="false">IF(AND(K224&gt;0,R224=0),1,0)</f>
        <v>0</v>
      </c>
    </row>
    <row r="225" customFormat="false" ht="15" hidden="false" customHeight="false" outlineLevel="0" collapsed="false">
      <c r="B225" s="71" t="str">
        <f aca="false">IF($F$6="Sí",N($C$11)+198,"")</f>
        <v/>
      </c>
      <c r="C225" s="72" t="str">
        <f aca="false">IF(OR($F$6&lt;&gt;"Sí",D225&lt;=0.5),"",EDATE($C$10,198))</f>
        <v/>
      </c>
      <c r="D225" s="41" t="n">
        <f aca="false">MAX(0,M224)</f>
        <v>0</v>
      </c>
      <c r="E225" s="41" t="n">
        <f aca="false">D225*$F$7</f>
        <v>0</v>
      </c>
      <c r="F225" s="41" t="n">
        <f aca="false">IF(D225&gt;0.5,N($C$15),0)</f>
        <v>0</v>
      </c>
      <c r="G225" s="41" t="n">
        <f aca="false">IF(AND(D225&gt;0.5,N($C$19)&gt;0,N(B225)&lt;=N($C$20)),D225*$F$8,0)</f>
        <v>0</v>
      </c>
      <c r="H225" s="41" t="n">
        <f aca="false">IF(D225&lt;=0.5,0,MIN(IF(N(I225)&gt;0,I225,$F$9),D225+E225+F225))</f>
        <v>0</v>
      </c>
      <c r="I225" s="77"/>
      <c r="J225" s="77"/>
      <c r="K225" s="41" t="n">
        <f aca="false">IF(D225&lt;=0.5,0,MIN(H225+N(J225),D225+E225+F225))</f>
        <v>0</v>
      </c>
      <c r="L225" s="41" t="n">
        <f aca="false">K225-E225-F225</f>
        <v>0</v>
      </c>
      <c r="M225" s="41" t="n">
        <f aca="false">D225-L225</f>
        <v>0</v>
      </c>
      <c r="N225" s="42" t="n">
        <f aca="false">K225-G225</f>
        <v>0</v>
      </c>
      <c r="O225" s="78"/>
      <c r="P225" s="79"/>
      <c r="Q225" s="16" t="str">
        <f aca="false">IF(K225=0,"",IF(R225=1,"Pagada",IF(C225&lt;$F$12,"Vencida",IF(199=$F$13,"Próxima","Pendiente"))))</f>
        <v/>
      </c>
      <c r="R225" s="62" t="n">
        <f aca="false">IF(AND(K225&gt;0,OR(O225="Sí",O225="Si")),1,0)</f>
        <v>0</v>
      </c>
      <c r="S225" s="62" t="n">
        <f aca="false">IF(AND(K225&gt;0,R225=0),1,0)</f>
        <v>0</v>
      </c>
    </row>
    <row r="226" customFormat="false" ht="15" hidden="false" customHeight="false" outlineLevel="0" collapsed="false">
      <c r="B226" s="71" t="str">
        <f aca="false">IF($F$6="Sí",N($C$11)+199,"")</f>
        <v/>
      </c>
      <c r="C226" s="72" t="str">
        <f aca="false">IF(OR($F$6&lt;&gt;"Sí",D226&lt;=0.5),"",EDATE($C$10,199))</f>
        <v/>
      </c>
      <c r="D226" s="41" t="n">
        <f aca="false">MAX(0,M225)</f>
        <v>0</v>
      </c>
      <c r="E226" s="41" t="n">
        <f aca="false">D226*$F$7</f>
        <v>0</v>
      </c>
      <c r="F226" s="41" t="n">
        <f aca="false">IF(D226&gt;0.5,N($C$15),0)</f>
        <v>0</v>
      </c>
      <c r="G226" s="41" t="n">
        <f aca="false">IF(AND(D226&gt;0.5,N($C$19)&gt;0,N(B226)&lt;=N($C$20)),D226*$F$8,0)</f>
        <v>0</v>
      </c>
      <c r="H226" s="41" t="n">
        <f aca="false">IF(D226&lt;=0.5,0,MIN(IF(N(I226)&gt;0,I226,$F$9),D226+E226+F226))</f>
        <v>0</v>
      </c>
      <c r="I226" s="77"/>
      <c r="J226" s="77"/>
      <c r="K226" s="41" t="n">
        <f aca="false">IF(D226&lt;=0.5,0,MIN(H226+N(J226),D226+E226+F226))</f>
        <v>0</v>
      </c>
      <c r="L226" s="41" t="n">
        <f aca="false">K226-E226-F226</f>
        <v>0</v>
      </c>
      <c r="M226" s="41" t="n">
        <f aca="false">D226-L226</f>
        <v>0</v>
      </c>
      <c r="N226" s="42" t="n">
        <f aca="false">K226-G226</f>
        <v>0</v>
      </c>
      <c r="O226" s="78"/>
      <c r="P226" s="79"/>
      <c r="Q226" s="16" t="str">
        <f aca="false">IF(K226=0,"",IF(R226=1,"Pagada",IF(C226&lt;$F$12,"Vencida",IF(200=$F$13,"Próxima","Pendiente"))))</f>
        <v/>
      </c>
      <c r="R226" s="62" t="n">
        <f aca="false">IF(AND(K226&gt;0,OR(O226="Sí",O226="Si")),1,0)</f>
        <v>0</v>
      </c>
      <c r="S226" s="62" t="n">
        <f aca="false">IF(AND(K226&gt;0,R226=0),1,0)</f>
        <v>0</v>
      </c>
    </row>
    <row r="227" customFormat="false" ht="15" hidden="false" customHeight="false" outlineLevel="0" collapsed="false">
      <c r="B227" s="71" t="str">
        <f aca="false">IF($F$6="Sí",N($C$11)+200,"")</f>
        <v/>
      </c>
      <c r="C227" s="72" t="str">
        <f aca="false">IF(OR($F$6&lt;&gt;"Sí",D227&lt;=0.5),"",EDATE($C$10,200))</f>
        <v/>
      </c>
      <c r="D227" s="41" t="n">
        <f aca="false">MAX(0,M226)</f>
        <v>0</v>
      </c>
      <c r="E227" s="41" t="n">
        <f aca="false">D227*$F$7</f>
        <v>0</v>
      </c>
      <c r="F227" s="41" t="n">
        <f aca="false">IF(D227&gt;0.5,N($C$15),0)</f>
        <v>0</v>
      </c>
      <c r="G227" s="41" t="n">
        <f aca="false">IF(AND(D227&gt;0.5,N($C$19)&gt;0,N(B227)&lt;=N($C$20)),D227*$F$8,0)</f>
        <v>0</v>
      </c>
      <c r="H227" s="41" t="n">
        <f aca="false">IF(D227&lt;=0.5,0,MIN(IF(N(I227)&gt;0,I227,$F$9),D227+E227+F227))</f>
        <v>0</v>
      </c>
      <c r="I227" s="77"/>
      <c r="J227" s="77"/>
      <c r="K227" s="41" t="n">
        <f aca="false">IF(D227&lt;=0.5,0,MIN(H227+N(J227),D227+E227+F227))</f>
        <v>0</v>
      </c>
      <c r="L227" s="41" t="n">
        <f aca="false">K227-E227-F227</f>
        <v>0</v>
      </c>
      <c r="M227" s="41" t="n">
        <f aca="false">D227-L227</f>
        <v>0</v>
      </c>
      <c r="N227" s="42" t="n">
        <f aca="false">K227-G227</f>
        <v>0</v>
      </c>
      <c r="O227" s="78"/>
      <c r="P227" s="79"/>
      <c r="Q227" s="16" t="str">
        <f aca="false">IF(K227=0,"",IF(R227=1,"Pagada",IF(C227&lt;$F$12,"Vencida",IF(201=$F$13,"Próxima","Pendiente"))))</f>
        <v/>
      </c>
      <c r="R227" s="62" t="n">
        <f aca="false">IF(AND(K227&gt;0,OR(O227="Sí",O227="Si")),1,0)</f>
        <v>0</v>
      </c>
      <c r="S227" s="62" t="n">
        <f aca="false">IF(AND(K227&gt;0,R227=0),1,0)</f>
        <v>0</v>
      </c>
    </row>
    <row r="228" customFormat="false" ht="15" hidden="false" customHeight="false" outlineLevel="0" collapsed="false">
      <c r="B228" s="71" t="str">
        <f aca="false">IF($F$6="Sí",N($C$11)+201,"")</f>
        <v/>
      </c>
      <c r="C228" s="72" t="str">
        <f aca="false">IF(OR($F$6&lt;&gt;"Sí",D228&lt;=0.5),"",EDATE($C$10,201))</f>
        <v/>
      </c>
      <c r="D228" s="41" t="n">
        <f aca="false">MAX(0,M227)</f>
        <v>0</v>
      </c>
      <c r="E228" s="41" t="n">
        <f aca="false">D228*$F$7</f>
        <v>0</v>
      </c>
      <c r="F228" s="41" t="n">
        <f aca="false">IF(D228&gt;0.5,N($C$15),0)</f>
        <v>0</v>
      </c>
      <c r="G228" s="41" t="n">
        <f aca="false">IF(AND(D228&gt;0.5,N($C$19)&gt;0,N(B228)&lt;=N($C$20)),D228*$F$8,0)</f>
        <v>0</v>
      </c>
      <c r="H228" s="41" t="n">
        <f aca="false">IF(D228&lt;=0.5,0,MIN(IF(N(I228)&gt;0,I228,$F$9),D228+E228+F228))</f>
        <v>0</v>
      </c>
      <c r="I228" s="77"/>
      <c r="J228" s="77"/>
      <c r="K228" s="41" t="n">
        <f aca="false">IF(D228&lt;=0.5,0,MIN(H228+N(J228),D228+E228+F228))</f>
        <v>0</v>
      </c>
      <c r="L228" s="41" t="n">
        <f aca="false">K228-E228-F228</f>
        <v>0</v>
      </c>
      <c r="M228" s="41" t="n">
        <f aca="false">D228-L228</f>
        <v>0</v>
      </c>
      <c r="N228" s="42" t="n">
        <f aca="false">K228-G228</f>
        <v>0</v>
      </c>
      <c r="O228" s="78"/>
      <c r="P228" s="79"/>
      <c r="Q228" s="16" t="str">
        <f aca="false">IF(K228=0,"",IF(R228=1,"Pagada",IF(C228&lt;$F$12,"Vencida",IF(202=$F$13,"Próxima","Pendiente"))))</f>
        <v/>
      </c>
      <c r="R228" s="62" t="n">
        <f aca="false">IF(AND(K228&gt;0,OR(O228="Sí",O228="Si")),1,0)</f>
        <v>0</v>
      </c>
      <c r="S228" s="62" t="n">
        <f aca="false">IF(AND(K228&gt;0,R228=0),1,0)</f>
        <v>0</v>
      </c>
    </row>
    <row r="229" customFormat="false" ht="15" hidden="false" customHeight="false" outlineLevel="0" collapsed="false">
      <c r="B229" s="71" t="str">
        <f aca="false">IF($F$6="Sí",N($C$11)+202,"")</f>
        <v/>
      </c>
      <c r="C229" s="72" t="str">
        <f aca="false">IF(OR($F$6&lt;&gt;"Sí",D229&lt;=0.5),"",EDATE($C$10,202))</f>
        <v/>
      </c>
      <c r="D229" s="41" t="n">
        <f aca="false">MAX(0,M228)</f>
        <v>0</v>
      </c>
      <c r="E229" s="41" t="n">
        <f aca="false">D229*$F$7</f>
        <v>0</v>
      </c>
      <c r="F229" s="41" t="n">
        <f aca="false">IF(D229&gt;0.5,N($C$15),0)</f>
        <v>0</v>
      </c>
      <c r="G229" s="41" t="n">
        <f aca="false">IF(AND(D229&gt;0.5,N($C$19)&gt;0,N(B229)&lt;=N($C$20)),D229*$F$8,0)</f>
        <v>0</v>
      </c>
      <c r="H229" s="41" t="n">
        <f aca="false">IF(D229&lt;=0.5,0,MIN(IF(N(I229)&gt;0,I229,$F$9),D229+E229+F229))</f>
        <v>0</v>
      </c>
      <c r="I229" s="77"/>
      <c r="J229" s="77"/>
      <c r="K229" s="41" t="n">
        <f aca="false">IF(D229&lt;=0.5,0,MIN(H229+N(J229),D229+E229+F229))</f>
        <v>0</v>
      </c>
      <c r="L229" s="41" t="n">
        <f aca="false">K229-E229-F229</f>
        <v>0</v>
      </c>
      <c r="M229" s="41" t="n">
        <f aca="false">D229-L229</f>
        <v>0</v>
      </c>
      <c r="N229" s="42" t="n">
        <f aca="false">K229-G229</f>
        <v>0</v>
      </c>
      <c r="O229" s="78"/>
      <c r="P229" s="79"/>
      <c r="Q229" s="16" t="str">
        <f aca="false">IF(K229=0,"",IF(R229=1,"Pagada",IF(C229&lt;$F$12,"Vencida",IF(203=$F$13,"Próxima","Pendiente"))))</f>
        <v/>
      </c>
      <c r="R229" s="62" t="n">
        <f aca="false">IF(AND(K229&gt;0,OR(O229="Sí",O229="Si")),1,0)</f>
        <v>0</v>
      </c>
      <c r="S229" s="62" t="n">
        <f aca="false">IF(AND(K229&gt;0,R229=0),1,0)</f>
        <v>0</v>
      </c>
    </row>
    <row r="230" customFormat="false" ht="15" hidden="false" customHeight="false" outlineLevel="0" collapsed="false">
      <c r="B230" s="71" t="str">
        <f aca="false">IF($F$6="Sí",N($C$11)+203,"")</f>
        <v/>
      </c>
      <c r="C230" s="72" t="str">
        <f aca="false">IF(OR($F$6&lt;&gt;"Sí",D230&lt;=0.5),"",EDATE($C$10,203))</f>
        <v/>
      </c>
      <c r="D230" s="41" t="n">
        <f aca="false">MAX(0,M229)</f>
        <v>0</v>
      </c>
      <c r="E230" s="41" t="n">
        <f aca="false">D230*$F$7</f>
        <v>0</v>
      </c>
      <c r="F230" s="41" t="n">
        <f aca="false">IF(D230&gt;0.5,N($C$15),0)</f>
        <v>0</v>
      </c>
      <c r="G230" s="41" t="n">
        <f aca="false">IF(AND(D230&gt;0.5,N($C$19)&gt;0,N(B230)&lt;=N($C$20)),D230*$F$8,0)</f>
        <v>0</v>
      </c>
      <c r="H230" s="41" t="n">
        <f aca="false">IF(D230&lt;=0.5,0,MIN(IF(N(I230)&gt;0,I230,$F$9),D230+E230+F230))</f>
        <v>0</v>
      </c>
      <c r="I230" s="77"/>
      <c r="J230" s="77"/>
      <c r="K230" s="41" t="n">
        <f aca="false">IF(D230&lt;=0.5,0,MIN(H230+N(J230),D230+E230+F230))</f>
        <v>0</v>
      </c>
      <c r="L230" s="41" t="n">
        <f aca="false">K230-E230-F230</f>
        <v>0</v>
      </c>
      <c r="M230" s="41" t="n">
        <f aca="false">D230-L230</f>
        <v>0</v>
      </c>
      <c r="N230" s="42" t="n">
        <f aca="false">K230-G230</f>
        <v>0</v>
      </c>
      <c r="O230" s="78"/>
      <c r="P230" s="79"/>
      <c r="Q230" s="16" t="str">
        <f aca="false">IF(K230=0,"",IF(R230=1,"Pagada",IF(C230&lt;$F$12,"Vencida",IF(204=$F$13,"Próxima","Pendiente"))))</f>
        <v/>
      </c>
      <c r="R230" s="62" t="n">
        <f aca="false">IF(AND(K230&gt;0,OR(O230="Sí",O230="Si")),1,0)</f>
        <v>0</v>
      </c>
      <c r="S230" s="62" t="n">
        <f aca="false">IF(AND(K230&gt;0,R230=0),1,0)</f>
        <v>0</v>
      </c>
    </row>
    <row r="231" customFormat="false" ht="15" hidden="false" customHeight="false" outlineLevel="0" collapsed="false">
      <c r="B231" s="71" t="str">
        <f aca="false">IF($F$6="Sí",N($C$11)+204,"")</f>
        <v/>
      </c>
      <c r="C231" s="72" t="str">
        <f aca="false">IF(OR($F$6&lt;&gt;"Sí",D231&lt;=0.5),"",EDATE($C$10,204))</f>
        <v/>
      </c>
      <c r="D231" s="41" t="n">
        <f aca="false">MAX(0,M230)</f>
        <v>0</v>
      </c>
      <c r="E231" s="41" t="n">
        <f aca="false">D231*$F$7</f>
        <v>0</v>
      </c>
      <c r="F231" s="41" t="n">
        <f aca="false">IF(D231&gt;0.5,N($C$15),0)</f>
        <v>0</v>
      </c>
      <c r="G231" s="41" t="n">
        <f aca="false">IF(AND(D231&gt;0.5,N($C$19)&gt;0,N(B231)&lt;=N($C$20)),D231*$F$8,0)</f>
        <v>0</v>
      </c>
      <c r="H231" s="41" t="n">
        <f aca="false">IF(D231&lt;=0.5,0,MIN(IF(N(I231)&gt;0,I231,$F$9),D231+E231+F231))</f>
        <v>0</v>
      </c>
      <c r="I231" s="77"/>
      <c r="J231" s="77"/>
      <c r="K231" s="41" t="n">
        <f aca="false">IF(D231&lt;=0.5,0,MIN(H231+N(J231),D231+E231+F231))</f>
        <v>0</v>
      </c>
      <c r="L231" s="41" t="n">
        <f aca="false">K231-E231-F231</f>
        <v>0</v>
      </c>
      <c r="M231" s="41" t="n">
        <f aca="false">D231-L231</f>
        <v>0</v>
      </c>
      <c r="N231" s="42" t="n">
        <f aca="false">K231-G231</f>
        <v>0</v>
      </c>
      <c r="O231" s="78"/>
      <c r="P231" s="79"/>
      <c r="Q231" s="16" t="str">
        <f aca="false">IF(K231=0,"",IF(R231=1,"Pagada",IF(C231&lt;$F$12,"Vencida",IF(205=$F$13,"Próxima","Pendiente"))))</f>
        <v/>
      </c>
      <c r="R231" s="62" t="n">
        <f aca="false">IF(AND(K231&gt;0,OR(O231="Sí",O231="Si")),1,0)</f>
        <v>0</v>
      </c>
      <c r="S231" s="62" t="n">
        <f aca="false">IF(AND(K231&gt;0,R231=0),1,0)</f>
        <v>0</v>
      </c>
    </row>
    <row r="232" customFormat="false" ht="15" hidden="false" customHeight="false" outlineLevel="0" collapsed="false">
      <c r="B232" s="71" t="str">
        <f aca="false">IF($F$6="Sí",N($C$11)+205,"")</f>
        <v/>
      </c>
      <c r="C232" s="72" t="str">
        <f aca="false">IF(OR($F$6&lt;&gt;"Sí",D232&lt;=0.5),"",EDATE($C$10,205))</f>
        <v/>
      </c>
      <c r="D232" s="41" t="n">
        <f aca="false">MAX(0,M231)</f>
        <v>0</v>
      </c>
      <c r="E232" s="41" t="n">
        <f aca="false">D232*$F$7</f>
        <v>0</v>
      </c>
      <c r="F232" s="41" t="n">
        <f aca="false">IF(D232&gt;0.5,N($C$15),0)</f>
        <v>0</v>
      </c>
      <c r="G232" s="41" t="n">
        <f aca="false">IF(AND(D232&gt;0.5,N($C$19)&gt;0,N(B232)&lt;=N($C$20)),D232*$F$8,0)</f>
        <v>0</v>
      </c>
      <c r="H232" s="41" t="n">
        <f aca="false">IF(D232&lt;=0.5,0,MIN(IF(N(I232)&gt;0,I232,$F$9),D232+E232+F232))</f>
        <v>0</v>
      </c>
      <c r="I232" s="77"/>
      <c r="J232" s="77"/>
      <c r="K232" s="41" t="n">
        <f aca="false">IF(D232&lt;=0.5,0,MIN(H232+N(J232),D232+E232+F232))</f>
        <v>0</v>
      </c>
      <c r="L232" s="41" t="n">
        <f aca="false">K232-E232-F232</f>
        <v>0</v>
      </c>
      <c r="M232" s="41" t="n">
        <f aca="false">D232-L232</f>
        <v>0</v>
      </c>
      <c r="N232" s="42" t="n">
        <f aca="false">K232-G232</f>
        <v>0</v>
      </c>
      <c r="O232" s="78"/>
      <c r="P232" s="79"/>
      <c r="Q232" s="16" t="str">
        <f aca="false">IF(K232=0,"",IF(R232=1,"Pagada",IF(C232&lt;$F$12,"Vencida",IF(206=$F$13,"Próxima","Pendiente"))))</f>
        <v/>
      </c>
      <c r="R232" s="62" t="n">
        <f aca="false">IF(AND(K232&gt;0,OR(O232="Sí",O232="Si")),1,0)</f>
        <v>0</v>
      </c>
      <c r="S232" s="62" t="n">
        <f aca="false">IF(AND(K232&gt;0,R232=0),1,0)</f>
        <v>0</v>
      </c>
    </row>
    <row r="233" customFormat="false" ht="15" hidden="false" customHeight="false" outlineLevel="0" collapsed="false">
      <c r="B233" s="71" t="str">
        <f aca="false">IF($F$6="Sí",N($C$11)+206,"")</f>
        <v/>
      </c>
      <c r="C233" s="72" t="str">
        <f aca="false">IF(OR($F$6&lt;&gt;"Sí",D233&lt;=0.5),"",EDATE($C$10,206))</f>
        <v/>
      </c>
      <c r="D233" s="41" t="n">
        <f aca="false">MAX(0,M232)</f>
        <v>0</v>
      </c>
      <c r="E233" s="41" t="n">
        <f aca="false">D233*$F$7</f>
        <v>0</v>
      </c>
      <c r="F233" s="41" t="n">
        <f aca="false">IF(D233&gt;0.5,N($C$15),0)</f>
        <v>0</v>
      </c>
      <c r="G233" s="41" t="n">
        <f aca="false">IF(AND(D233&gt;0.5,N($C$19)&gt;0,N(B233)&lt;=N($C$20)),D233*$F$8,0)</f>
        <v>0</v>
      </c>
      <c r="H233" s="41" t="n">
        <f aca="false">IF(D233&lt;=0.5,0,MIN(IF(N(I233)&gt;0,I233,$F$9),D233+E233+F233))</f>
        <v>0</v>
      </c>
      <c r="I233" s="77"/>
      <c r="J233" s="77"/>
      <c r="K233" s="41" t="n">
        <f aca="false">IF(D233&lt;=0.5,0,MIN(H233+N(J233),D233+E233+F233))</f>
        <v>0</v>
      </c>
      <c r="L233" s="41" t="n">
        <f aca="false">K233-E233-F233</f>
        <v>0</v>
      </c>
      <c r="M233" s="41" t="n">
        <f aca="false">D233-L233</f>
        <v>0</v>
      </c>
      <c r="N233" s="42" t="n">
        <f aca="false">K233-G233</f>
        <v>0</v>
      </c>
      <c r="O233" s="78"/>
      <c r="P233" s="79"/>
      <c r="Q233" s="16" t="str">
        <f aca="false">IF(K233=0,"",IF(R233=1,"Pagada",IF(C233&lt;$F$12,"Vencida",IF(207=$F$13,"Próxima","Pendiente"))))</f>
        <v/>
      </c>
      <c r="R233" s="62" t="n">
        <f aca="false">IF(AND(K233&gt;0,OR(O233="Sí",O233="Si")),1,0)</f>
        <v>0</v>
      </c>
      <c r="S233" s="62" t="n">
        <f aca="false">IF(AND(K233&gt;0,R233=0),1,0)</f>
        <v>0</v>
      </c>
    </row>
    <row r="234" customFormat="false" ht="15" hidden="false" customHeight="false" outlineLevel="0" collapsed="false">
      <c r="B234" s="71" t="str">
        <f aca="false">IF($F$6="Sí",N($C$11)+207,"")</f>
        <v/>
      </c>
      <c r="C234" s="72" t="str">
        <f aca="false">IF(OR($F$6&lt;&gt;"Sí",D234&lt;=0.5),"",EDATE($C$10,207))</f>
        <v/>
      </c>
      <c r="D234" s="41" t="n">
        <f aca="false">MAX(0,M233)</f>
        <v>0</v>
      </c>
      <c r="E234" s="41" t="n">
        <f aca="false">D234*$F$7</f>
        <v>0</v>
      </c>
      <c r="F234" s="41" t="n">
        <f aca="false">IF(D234&gt;0.5,N($C$15),0)</f>
        <v>0</v>
      </c>
      <c r="G234" s="41" t="n">
        <f aca="false">IF(AND(D234&gt;0.5,N($C$19)&gt;0,N(B234)&lt;=N($C$20)),D234*$F$8,0)</f>
        <v>0</v>
      </c>
      <c r="H234" s="41" t="n">
        <f aca="false">IF(D234&lt;=0.5,0,MIN(IF(N(I234)&gt;0,I234,$F$9),D234+E234+F234))</f>
        <v>0</v>
      </c>
      <c r="I234" s="77"/>
      <c r="J234" s="77"/>
      <c r="K234" s="41" t="n">
        <f aca="false">IF(D234&lt;=0.5,0,MIN(H234+N(J234),D234+E234+F234))</f>
        <v>0</v>
      </c>
      <c r="L234" s="41" t="n">
        <f aca="false">K234-E234-F234</f>
        <v>0</v>
      </c>
      <c r="M234" s="41" t="n">
        <f aca="false">D234-L234</f>
        <v>0</v>
      </c>
      <c r="N234" s="42" t="n">
        <f aca="false">K234-G234</f>
        <v>0</v>
      </c>
      <c r="O234" s="78"/>
      <c r="P234" s="79"/>
      <c r="Q234" s="16" t="str">
        <f aca="false">IF(K234=0,"",IF(R234=1,"Pagada",IF(C234&lt;$F$12,"Vencida",IF(208=$F$13,"Próxima","Pendiente"))))</f>
        <v/>
      </c>
      <c r="R234" s="62" t="n">
        <f aca="false">IF(AND(K234&gt;0,OR(O234="Sí",O234="Si")),1,0)</f>
        <v>0</v>
      </c>
      <c r="S234" s="62" t="n">
        <f aca="false">IF(AND(K234&gt;0,R234=0),1,0)</f>
        <v>0</v>
      </c>
    </row>
    <row r="235" customFormat="false" ht="15" hidden="false" customHeight="false" outlineLevel="0" collapsed="false">
      <c r="B235" s="71" t="str">
        <f aca="false">IF($F$6="Sí",N($C$11)+208,"")</f>
        <v/>
      </c>
      <c r="C235" s="72" t="str">
        <f aca="false">IF(OR($F$6&lt;&gt;"Sí",D235&lt;=0.5),"",EDATE($C$10,208))</f>
        <v/>
      </c>
      <c r="D235" s="41" t="n">
        <f aca="false">MAX(0,M234)</f>
        <v>0</v>
      </c>
      <c r="E235" s="41" t="n">
        <f aca="false">D235*$F$7</f>
        <v>0</v>
      </c>
      <c r="F235" s="41" t="n">
        <f aca="false">IF(D235&gt;0.5,N($C$15),0)</f>
        <v>0</v>
      </c>
      <c r="G235" s="41" t="n">
        <f aca="false">IF(AND(D235&gt;0.5,N($C$19)&gt;0,N(B235)&lt;=N($C$20)),D235*$F$8,0)</f>
        <v>0</v>
      </c>
      <c r="H235" s="41" t="n">
        <f aca="false">IF(D235&lt;=0.5,0,MIN(IF(N(I235)&gt;0,I235,$F$9),D235+E235+F235))</f>
        <v>0</v>
      </c>
      <c r="I235" s="77"/>
      <c r="J235" s="77"/>
      <c r="K235" s="41" t="n">
        <f aca="false">IF(D235&lt;=0.5,0,MIN(H235+N(J235),D235+E235+F235))</f>
        <v>0</v>
      </c>
      <c r="L235" s="41" t="n">
        <f aca="false">K235-E235-F235</f>
        <v>0</v>
      </c>
      <c r="M235" s="41" t="n">
        <f aca="false">D235-L235</f>
        <v>0</v>
      </c>
      <c r="N235" s="42" t="n">
        <f aca="false">K235-G235</f>
        <v>0</v>
      </c>
      <c r="O235" s="78"/>
      <c r="P235" s="79"/>
      <c r="Q235" s="16" t="str">
        <f aca="false">IF(K235=0,"",IF(R235=1,"Pagada",IF(C235&lt;$F$12,"Vencida",IF(209=$F$13,"Próxima","Pendiente"))))</f>
        <v/>
      </c>
      <c r="R235" s="62" t="n">
        <f aca="false">IF(AND(K235&gt;0,OR(O235="Sí",O235="Si")),1,0)</f>
        <v>0</v>
      </c>
      <c r="S235" s="62" t="n">
        <f aca="false">IF(AND(K235&gt;0,R235=0),1,0)</f>
        <v>0</v>
      </c>
    </row>
    <row r="236" customFormat="false" ht="15" hidden="false" customHeight="false" outlineLevel="0" collapsed="false">
      <c r="B236" s="71" t="str">
        <f aca="false">IF($F$6="Sí",N($C$11)+209,"")</f>
        <v/>
      </c>
      <c r="C236" s="72" t="str">
        <f aca="false">IF(OR($F$6&lt;&gt;"Sí",D236&lt;=0.5),"",EDATE($C$10,209))</f>
        <v/>
      </c>
      <c r="D236" s="41" t="n">
        <f aca="false">MAX(0,M235)</f>
        <v>0</v>
      </c>
      <c r="E236" s="41" t="n">
        <f aca="false">D236*$F$7</f>
        <v>0</v>
      </c>
      <c r="F236" s="41" t="n">
        <f aca="false">IF(D236&gt;0.5,N($C$15),0)</f>
        <v>0</v>
      </c>
      <c r="G236" s="41" t="n">
        <f aca="false">IF(AND(D236&gt;0.5,N($C$19)&gt;0,N(B236)&lt;=N($C$20)),D236*$F$8,0)</f>
        <v>0</v>
      </c>
      <c r="H236" s="41" t="n">
        <f aca="false">IF(D236&lt;=0.5,0,MIN(IF(N(I236)&gt;0,I236,$F$9),D236+E236+F236))</f>
        <v>0</v>
      </c>
      <c r="I236" s="77"/>
      <c r="J236" s="77"/>
      <c r="K236" s="41" t="n">
        <f aca="false">IF(D236&lt;=0.5,0,MIN(H236+N(J236),D236+E236+F236))</f>
        <v>0</v>
      </c>
      <c r="L236" s="41" t="n">
        <f aca="false">K236-E236-F236</f>
        <v>0</v>
      </c>
      <c r="M236" s="41" t="n">
        <f aca="false">D236-L236</f>
        <v>0</v>
      </c>
      <c r="N236" s="42" t="n">
        <f aca="false">K236-G236</f>
        <v>0</v>
      </c>
      <c r="O236" s="78"/>
      <c r="P236" s="79"/>
      <c r="Q236" s="16" t="str">
        <f aca="false">IF(K236=0,"",IF(R236=1,"Pagada",IF(C236&lt;$F$12,"Vencida",IF(210=$F$13,"Próxima","Pendiente"))))</f>
        <v/>
      </c>
      <c r="R236" s="62" t="n">
        <f aca="false">IF(AND(K236&gt;0,OR(O236="Sí",O236="Si")),1,0)</f>
        <v>0</v>
      </c>
      <c r="S236" s="62" t="n">
        <f aca="false">IF(AND(K236&gt;0,R236=0),1,0)</f>
        <v>0</v>
      </c>
    </row>
    <row r="237" customFormat="false" ht="15" hidden="false" customHeight="false" outlineLevel="0" collapsed="false">
      <c r="B237" s="71" t="str">
        <f aca="false">IF($F$6="Sí",N($C$11)+210,"")</f>
        <v/>
      </c>
      <c r="C237" s="72" t="str">
        <f aca="false">IF(OR($F$6&lt;&gt;"Sí",D237&lt;=0.5),"",EDATE($C$10,210))</f>
        <v/>
      </c>
      <c r="D237" s="41" t="n">
        <f aca="false">MAX(0,M236)</f>
        <v>0</v>
      </c>
      <c r="E237" s="41" t="n">
        <f aca="false">D237*$F$7</f>
        <v>0</v>
      </c>
      <c r="F237" s="41" t="n">
        <f aca="false">IF(D237&gt;0.5,N($C$15),0)</f>
        <v>0</v>
      </c>
      <c r="G237" s="41" t="n">
        <f aca="false">IF(AND(D237&gt;0.5,N($C$19)&gt;0,N(B237)&lt;=N($C$20)),D237*$F$8,0)</f>
        <v>0</v>
      </c>
      <c r="H237" s="41" t="n">
        <f aca="false">IF(D237&lt;=0.5,0,MIN(IF(N(I237)&gt;0,I237,$F$9),D237+E237+F237))</f>
        <v>0</v>
      </c>
      <c r="I237" s="77"/>
      <c r="J237" s="77"/>
      <c r="K237" s="41" t="n">
        <f aca="false">IF(D237&lt;=0.5,0,MIN(H237+N(J237),D237+E237+F237))</f>
        <v>0</v>
      </c>
      <c r="L237" s="41" t="n">
        <f aca="false">K237-E237-F237</f>
        <v>0</v>
      </c>
      <c r="M237" s="41" t="n">
        <f aca="false">D237-L237</f>
        <v>0</v>
      </c>
      <c r="N237" s="42" t="n">
        <f aca="false">K237-G237</f>
        <v>0</v>
      </c>
      <c r="O237" s="78"/>
      <c r="P237" s="79"/>
      <c r="Q237" s="16" t="str">
        <f aca="false">IF(K237=0,"",IF(R237=1,"Pagada",IF(C237&lt;$F$12,"Vencida",IF(211=$F$13,"Próxima","Pendiente"))))</f>
        <v/>
      </c>
      <c r="R237" s="62" t="n">
        <f aca="false">IF(AND(K237&gt;0,OR(O237="Sí",O237="Si")),1,0)</f>
        <v>0</v>
      </c>
      <c r="S237" s="62" t="n">
        <f aca="false">IF(AND(K237&gt;0,R237=0),1,0)</f>
        <v>0</v>
      </c>
    </row>
    <row r="238" customFormat="false" ht="15" hidden="false" customHeight="false" outlineLevel="0" collapsed="false">
      <c r="B238" s="71" t="str">
        <f aca="false">IF($F$6="Sí",N($C$11)+211,"")</f>
        <v/>
      </c>
      <c r="C238" s="72" t="str">
        <f aca="false">IF(OR($F$6&lt;&gt;"Sí",D238&lt;=0.5),"",EDATE($C$10,211))</f>
        <v/>
      </c>
      <c r="D238" s="41" t="n">
        <f aca="false">MAX(0,M237)</f>
        <v>0</v>
      </c>
      <c r="E238" s="41" t="n">
        <f aca="false">D238*$F$7</f>
        <v>0</v>
      </c>
      <c r="F238" s="41" t="n">
        <f aca="false">IF(D238&gt;0.5,N($C$15),0)</f>
        <v>0</v>
      </c>
      <c r="G238" s="41" t="n">
        <f aca="false">IF(AND(D238&gt;0.5,N($C$19)&gt;0,N(B238)&lt;=N($C$20)),D238*$F$8,0)</f>
        <v>0</v>
      </c>
      <c r="H238" s="41" t="n">
        <f aca="false">IF(D238&lt;=0.5,0,MIN(IF(N(I238)&gt;0,I238,$F$9),D238+E238+F238))</f>
        <v>0</v>
      </c>
      <c r="I238" s="77"/>
      <c r="J238" s="77"/>
      <c r="K238" s="41" t="n">
        <f aca="false">IF(D238&lt;=0.5,0,MIN(H238+N(J238),D238+E238+F238))</f>
        <v>0</v>
      </c>
      <c r="L238" s="41" t="n">
        <f aca="false">K238-E238-F238</f>
        <v>0</v>
      </c>
      <c r="M238" s="41" t="n">
        <f aca="false">D238-L238</f>
        <v>0</v>
      </c>
      <c r="N238" s="42" t="n">
        <f aca="false">K238-G238</f>
        <v>0</v>
      </c>
      <c r="O238" s="78"/>
      <c r="P238" s="79"/>
      <c r="Q238" s="16" t="str">
        <f aca="false">IF(K238=0,"",IF(R238=1,"Pagada",IF(C238&lt;$F$12,"Vencida",IF(212=$F$13,"Próxima","Pendiente"))))</f>
        <v/>
      </c>
      <c r="R238" s="62" t="n">
        <f aca="false">IF(AND(K238&gt;0,OR(O238="Sí",O238="Si")),1,0)</f>
        <v>0</v>
      </c>
      <c r="S238" s="62" t="n">
        <f aca="false">IF(AND(K238&gt;0,R238=0),1,0)</f>
        <v>0</v>
      </c>
    </row>
    <row r="239" customFormat="false" ht="15" hidden="false" customHeight="false" outlineLevel="0" collapsed="false">
      <c r="B239" s="71" t="str">
        <f aca="false">IF($F$6="Sí",N($C$11)+212,"")</f>
        <v/>
      </c>
      <c r="C239" s="72" t="str">
        <f aca="false">IF(OR($F$6&lt;&gt;"Sí",D239&lt;=0.5),"",EDATE($C$10,212))</f>
        <v/>
      </c>
      <c r="D239" s="41" t="n">
        <f aca="false">MAX(0,M238)</f>
        <v>0</v>
      </c>
      <c r="E239" s="41" t="n">
        <f aca="false">D239*$F$7</f>
        <v>0</v>
      </c>
      <c r="F239" s="41" t="n">
        <f aca="false">IF(D239&gt;0.5,N($C$15),0)</f>
        <v>0</v>
      </c>
      <c r="G239" s="41" t="n">
        <f aca="false">IF(AND(D239&gt;0.5,N($C$19)&gt;0,N(B239)&lt;=N($C$20)),D239*$F$8,0)</f>
        <v>0</v>
      </c>
      <c r="H239" s="41" t="n">
        <f aca="false">IF(D239&lt;=0.5,0,MIN(IF(N(I239)&gt;0,I239,$F$9),D239+E239+F239))</f>
        <v>0</v>
      </c>
      <c r="I239" s="77"/>
      <c r="J239" s="77"/>
      <c r="K239" s="41" t="n">
        <f aca="false">IF(D239&lt;=0.5,0,MIN(H239+N(J239),D239+E239+F239))</f>
        <v>0</v>
      </c>
      <c r="L239" s="41" t="n">
        <f aca="false">K239-E239-F239</f>
        <v>0</v>
      </c>
      <c r="M239" s="41" t="n">
        <f aca="false">D239-L239</f>
        <v>0</v>
      </c>
      <c r="N239" s="42" t="n">
        <f aca="false">K239-G239</f>
        <v>0</v>
      </c>
      <c r="O239" s="78"/>
      <c r="P239" s="79"/>
      <c r="Q239" s="16" t="str">
        <f aca="false">IF(K239=0,"",IF(R239=1,"Pagada",IF(C239&lt;$F$12,"Vencida",IF(213=$F$13,"Próxima","Pendiente"))))</f>
        <v/>
      </c>
      <c r="R239" s="62" t="n">
        <f aca="false">IF(AND(K239&gt;0,OR(O239="Sí",O239="Si")),1,0)</f>
        <v>0</v>
      </c>
      <c r="S239" s="62" t="n">
        <f aca="false">IF(AND(K239&gt;0,R239=0),1,0)</f>
        <v>0</v>
      </c>
    </row>
    <row r="240" customFormat="false" ht="15" hidden="false" customHeight="false" outlineLevel="0" collapsed="false">
      <c r="B240" s="71" t="str">
        <f aca="false">IF($F$6="Sí",N($C$11)+213,"")</f>
        <v/>
      </c>
      <c r="C240" s="72" t="str">
        <f aca="false">IF(OR($F$6&lt;&gt;"Sí",D240&lt;=0.5),"",EDATE($C$10,213))</f>
        <v/>
      </c>
      <c r="D240" s="41" t="n">
        <f aca="false">MAX(0,M239)</f>
        <v>0</v>
      </c>
      <c r="E240" s="41" t="n">
        <f aca="false">D240*$F$7</f>
        <v>0</v>
      </c>
      <c r="F240" s="41" t="n">
        <f aca="false">IF(D240&gt;0.5,N($C$15),0)</f>
        <v>0</v>
      </c>
      <c r="G240" s="41" t="n">
        <f aca="false">IF(AND(D240&gt;0.5,N($C$19)&gt;0,N(B240)&lt;=N($C$20)),D240*$F$8,0)</f>
        <v>0</v>
      </c>
      <c r="H240" s="41" t="n">
        <f aca="false">IF(D240&lt;=0.5,0,MIN(IF(N(I240)&gt;0,I240,$F$9),D240+E240+F240))</f>
        <v>0</v>
      </c>
      <c r="I240" s="77"/>
      <c r="J240" s="77"/>
      <c r="K240" s="41" t="n">
        <f aca="false">IF(D240&lt;=0.5,0,MIN(H240+N(J240),D240+E240+F240))</f>
        <v>0</v>
      </c>
      <c r="L240" s="41" t="n">
        <f aca="false">K240-E240-F240</f>
        <v>0</v>
      </c>
      <c r="M240" s="41" t="n">
        <f aca="false">D240-L240</f>
        <v>0</v>
      </c>
      <c r="N240" s="42" t="n">
        <f aca="false">K240-G240</f>
        <v>0</v>
      </c>
      <c r="O240" s="78"/>
      <c r="P240" s="79"/>
      <c r="Q240" s="16" t="str">
        <f aca="false">IF(K240=0,"",IF(R240=1,"Pagada",IF(C240&lt;$F$12,"Vencida",IF(214=$F$13,"Próxima","Pendiente"))))</f>
        <v/>
      </c>
      <c r="R240" s="62" t="n">
        <f aca="false">IF(AND(K240&gt;0,OR(O240="Sí",O240="Si")),1,0)</f>
        <v>0</v>
      </c>
      <c r="S240" s="62" t="n">
        <f aca="false">IF(AND(K240&gt;0,R240=0),1,0)</f>
        <v>0</v>
      </c>
    </row>
    <row r="241" customFormat="false" ht="15" hidden="false" customHeight="false" outlineLevel="0" collapsed="false">
      <c r="B241" s="71" t="str">
        <f aca="false">IF($F$6="Sí",N($C$11)+214,"")</f>
        <v/>
      </c>
      <c r="C241" s="72" t="str">
        <f aca="false">IF(OR($F$6&lt;&gt;"Sí",D241&lt;=0.5),"",EDATE($C$10,214))</f>
        <v/>
      </c>
      <c r="D241" s="41" t="n">
        <f aca="false">MAX(0,M240)</f>
        <v>0</v>
      </c>
      <c r="E241" s="41" t="n">
        <f aca="false">D241*$F$7</f>
        <v>0</v>
      </c>
      <c r="F241" s="41" t="n">
        <f aca="false">IF(D241&gt;0.5,N($C$15),0)</f>
        <v>0</v>
      </c>
      <c r="G241" s="41" t="n">
        <f aca="false">IF(AND(D241&gt;0.5,N($C$19)&gt;0,N(B241)&lt;=N($C$20)),D241*$F$8,0)</f>
        <v>0</v>
      </c>
      <c r="H241" s="41" t="n">
        <f aca="false">IF(D241&lt;=0.5,0,MIN(IF(N(I241)&gt;0,I241,$F$9),D241+E241+F241))</f>
        <v>0</v>
      </c>
      <c r="I241" s="77"/>
      <c r="J241" s="77"/>
      <c r="K241" s="41" t="n">
        <f aca="false">IF(D241&lt;=0.5,0,MIN(H241+N(J241),D241+E241+F241))</f>
        <v>0</v>
      </c>
      <c r="L241" s="41" t="n">
        <f aca="false">K241-E241-F241</f>
        <v>0</v>
      </c>
      <c r="M241" s="41" t="n">
        <f aca="false">D241-L241</f>
        <v>0</v>
      </c>
      <c r="N241" s="42" t="n">
        <f aca="false">K241-G241</f>
        <v>0</v>
      </c>
      <c r="O241" s="78"/>
      <c r="P241" s="79"/>
      <c r="Q241" s="16" t="str">
        <f aca="false">IF(K241=0,"",IF(R241=1,"Pagada",IF(C241&lt;$F$12,"Vencida",IF(215=$F$13,"Próxima","Pendiente"))))</f>
        <v/>
      </c>
      <c r="R241" s="62" t="n">
        <f aca="false">IF(AND(K241&gt;0,OR(O241="Sí",O241="Si")),1,0)</f>
        <v>0</v>
      </c>
      <c r="S241" s="62" t="n">
        <f aca="false">IF(AND(K241&gt;0,R241=0),1,0)</f>
        <v>0</v>
      </c>
    </row>
    <row r="242" customFormat="false" ht="15" hidden="false" customHeight="false" outlineLevel="0" collapsed="false">
      <c r="B242" s="71" t="str">
        <f aca="false">IF($F$6="Sí",N($C$11)+215,"")</f>
        <v/>
      </c>
      <c r="C242" s="72" t="str">
        <f aca="false">IF(OR($F$6&lt;&gt;"Sí",D242&lt;=0.5),"",EDATE($C$10,215))</f>
        <v/>
      </c>
      <c r="D242" s="41" t="n">
        <f aca="false">MAX(0,M241)</f>
        <v>0</v>
      </c>
      <c r="E242" s="41" t="n">
        <f aca="false">D242*$F$7</f>
        <v>0</v>
      </c>
      <c r="F242" s="41" t="n">
        <f aca="false">IF(D242&gt;0.5,N($C$15),0)</f>
        <v>0</v>
      </c>
      <c r="G242" s="41" t="n">
        <f aca="false">IF(AND(D242&gt;0.5,N($C$19)&gt;0,N(B242)&lt;=N($C$20)),D242*$F$8,0)</f>
        <v>0</v>
      </c>
      <c r="H242" s="41" t="n">
        <f aca="false">IF(D242&lt;=0.5,0,MIN(IF(N(I242)&gt;0,I242,$F$9),D242+E242+F242))</f>
        <v>0</v>
      </c>
      <c r="I242" s="77"/>
      <c r="J242" s="77"/>
      <c r="K242" s="41" t="n">
        <f aca="false">IF(D242&lt;=0.5,0,MIN(H242+N(J242),D242+E242+F242))</f>
        <v>0</v>
      </c>
      <c r="L242" s="41" t="n">
        <f aca="false">K242-E242-F242</f>
        <v>0</v>
      </c>
      <c r="M242" s="41" t="n">
        <f aca="false">D242-L242</f>
        <v>0</v>
      </c>
      <c r="N242" s="42" t="n">
        <f aca="false">K242-G242</f>
        <v>0</v>
      </c>
      <c r="O242" s="78"/>
      <c r="P242" s="79"/>
      <c r="Q242" s="16" t="str">
        <f aca="false">IF(K242=0,"",IF(R242=1,"Pagada",IF(C242&lt;$F$12,"Vencida",IF(216=$F$13,"Próxima","Pendiente"))))</f>
        <v/>
      </c>
      <c r="R242" s="62" t="n">
        <f aca="false">IF(AND(K242&gt;0,OR(O242="Sí",O242="Si")),1,0)</f>
        <v>0</v>
      </c>
      <c r="S242" s="62" t="n">
        <f aca="false">IF(AND(K242&gt;0,R242=0),1,0)</f>
        <v>0</v>
      </c>
    </row>
    <row r="243" customFormat="false" ht="15" hidden="false" customHeight="false" outlineLevel="0" collapsed="false">
      <c r="B243" s="71" t="str">
        <f aca="false">IF($F$6="Sí",N($C$11)+216,"")</f>
        <v/>
      </c>
      <c r="C243" s="72" t="str">
        <f aca="false">IF(OR($F$6&lt;&gt;"Sí",D243&lt;=0.5),"",EDATE($C$10,216))</f>
        <v/>
      </c>
      <c r="D243" s="41" t="n">
        <f aca="false">MAX(0,M242)</f>
        <v>0</v>
      </c>
      <c r="E243" s="41" t="n">
        <f aca="false">D243*$F$7</f>
        <v>0</v>
      </c>
      <c r="F243" s="41" t="n">
        <f aca="false">IF(D243&gt;0.5,N($C$15),0)</f>
        <v>0</v>
      </c>
      <c r="G243" s="41" t="n">
        <f aca="false">IF(AND(D243&gt;0.5,N($C$19)&gt;0,N(B243)&lt;=N($C$20)),D243*$F$8,0)</f>
        <v>0</v>
      </c>
      <c r="H243" s="41" t="n">
        <f aca="false">IF(D243&lt;=0.5,0,MIN(IF(N(I243)&gt;0,I243,$F$9),D243+E243+F243))</f>
        <v>0</v>
      </c>
      <c r="I243" s="77"/>
      <c r="J243" s="77"/>
      <c r="K243" s="41" t="n">
        <f aca="false">IF(D243&lt;=0.5,0,MIN(H243+N(J243),D243+E243+F243))</f>
        <v>0</v>
      </c>
      <c r="L243" s="41" t="n">
        <f aca="false">K243-E243-F243</f>
        <v>0</v>
      </c>
      <c r="M243" s="41" t="n">
        <f aca="false">D243-L243</f>
        <v>0</v>
      </c>
      <c r="N243" s="42" t="n">
        <f aca="false">K243-G243</f>
        <v>0</v>
      </c>
      <c r="O243" s="78"/>
      <c r="P243" s="79"/>
      <c r="Q243" s="16" t="str">
        <f aca="false">IF(K243=0,"",IF(R243=1,"Pagada",IF(C243&lt;$F$12,"Vencida",IF(217=$F$13,"Próxima","Pendiente"))))</f>
        <v/>
      </c>
      <c r="R243" s="62" t="n">
        <f aca="false">IF(AND(K243&gt;0,OR(O243="Sí",O243="Si")),1,0)</f>
        <v>0</v>
      </c>
      <c r="S243" s="62" t="n">
        <f aca="false">IF(AND(K243&gt;0,R243=0),1,0)</f>
        <v>0</v>
      </c>
    </row>
    <row r="244" customFormat="false" ht="15" hidden="false" customHeight="false" outlineLevel="0" collapsed="false">
      <c r="B244" s="71" t="str">
        <f aca="false">IF($F$6="Sí",N($C$11)+217,"")</f>
        <v/>
      </c>
      <c r="C244" s="72" t="str">
        <f aca="false">IF(OR($F$6&lt;&gt;"Sí",D244&lt;=0.5),"",EDATE($C$10,217))</f>
        <v/>
      </c>
      <c r="D244" s="41" t="n">
        <f aca="false">MAX(0,M243)</f>
        <v>0</v>
      </c>
      <c r="E244" s="41" t="n">
        <f aca="false">D244*$F$7</f>
        <v>0</v>
      </c>
      <c r="F244" s="41" t="n">
        <f aca="false">IF(D244&gt;0.5,N($C$15),0)</f>
        <v>0</v>
      </c>
      <c r="G244" s="41" t="n">
        <f aca="false">IF(AND(D244&gt;0.5,N($C$19)&gt;0,N(B244)&lt;=N($C$20)),D244*$F$8,0)</f>
        <v>0</v>
      </c>
      <c r="H244" s="41" t="n">
        <f aca="false">IF(D244&lt;=0.5,0,MIN(IF(N(I244)&gt;0,I244,$F$9),D244+E244+F244))</f>
        <v>0</v>
      </c>
      <c r="I244" s="77"/>
      <c r="J244" s="77"/>
      <c r="K244" s="41" t="n">
        <f aca="false">IF(D244&lt;=0.5,0,MIN(H244+N(J244),D244+E244+F244))</f>
        <v>0</v>
      </c>
      <c r="L244" s="41" t="n">
        <f aca="false">K244-E244-F244</f>
        <v>0</v>
      </c>
      <c r="M244" s="41" t="n">
        <f aca="false">D244-L244</f>
        <v>0</v>
      </c>
      <c r="N244" s="42" t="n">
        <f aca="false">K244-G244</f>
        <v>0</v>
      </c>
      <c r="O244" s="78"/>
      <c r="P244" s="79"/>
      <c r="Q244" s="16" t="str">
        <f aca="false">IF(K244=0,"",IF(R244=1,"Pagada",IF(C244&lt;$F$12,"Vencida",IF(218=$F$13,"Próxima","Pendiente"))))</f>
        <v/>
      </c>
      <c r="R244" s="62" t="n">
        <f aca="false">IF(AND(K244&gt;0,OR(O244="Sí",O244="Si")),1,0)</f>
        <v>0</v>
      </c>
      <c r="S244" s="62" t="n">
        <f aca="false">IF(AND(K244&gt;0,R244=0),1,0)</f>
        <v>0</v>
      </c>
    </row>
    <row r="245" customFormat="false" ht="15" hidden="false" customHeight="false" outlineLevel="0" collapsed="false">
      <c r="B245" s="71" t="str">
        <f aca="false">IF($F$6="Sí",N($C$11)+218,"")</f>
        <v/>
      </c>
      <c r="C245" s="72" t="str">
        <f aca="false">IF(OR($F$6&lt;&gt;"Sí",D245&lt;=0.5),"",EDATE($C$10,218))</f>
        <v/>
      </c>
      <c r="D245" s="41" t="n">
        <f aca="false">MAX(0,M244)</f>
        <v>0</v>
      </c>
      <c r="E245" s="41" t="n">
        <f aca="false">D245*$F$7</f>
        <v>0</v>
      </c>
      <c r="F245" s="41" t="n">
        <f aca="false">IF(D245&gt;0.5,N($C$15),0)</f>
        <v>0</v>
      </c>
      <c r="G245" s="41" t="n">
        <f aca="false">IF(AND(D245&gt;0.5,N($C$19)&gt;0,N(B245)&lt;=N($C$20)),D245*$F$8,0)</f>
        <v>0</v>
      </c>
      <c r="H245" s="41" t="n">
        <f aca="false">IF(D245&lt;=0.5,0,MIN(IF(N(I245)&gt;0,I245,$F$9),D245+E245+F245))</f>
        <v>0</v>
      </c>
      <c r="I245" s="77"/>
      <c r="J245" s="77"/>
      <c r="K245" s="41" t="n">
        <f aca="false">IF(D245&lt;=0.5,0,MIN(H245+N(J245),D245+E245+F245))</f>
        <v>0</v>
      </c>
      <c r="L245" s="41" t="n">
        <f aca="false">K245-E245-F245</f>
        <v>0</v>
      </c>
      <c r="M245" s="41" t="n">
        <f aca="false">D245-L245</f>
        <v>0</v>
      </c>
      <c r="N245" s="42" t="n">
        <f aca="false">K245-G245</f>
        <v>0</v>
      </c>
      <c r="O245" s="78"/>
      <c r="P245" s="79"/>
      <c r="Q245" s="16" t="str">
        <f aca="false">IF(K245=0,"",IF(R245=1,"Pagada",IF(C245&lt;$F$12,"Vencida",IF(219=$F$13,"Próxima","Pendiente"))))</f>
        <v/>
      </c>
      <c r="R245" s="62" t="n">
        <f aca="false">IF(AND(K245&gt;0,OR(O245="Sí",O245="Si")),1,0)</f>
        <v>0</v>
      </c>
      <c r="S245" s="62" t="n">
        <f aca="false">IF(AND(K245&gt;0,R245=0),1,0)</f>
        <v>0</v>
      </c>
    </row>
    <row r="246" customFormat="false" ht="15" hidden="false" customHeight="false" outlineLevel="0" collapsed="false">
      <c r="B246" s="71" t="str">
        <f aca="false">IF($F$6="Sí",N($C$11)+219,"")</f>
        <v/>
      </c>
      <c r="C246" s="72" t="str">
        <f aca="false">IF(OR($F$6&lt;&gt;"Sí",D246&lt;=0.5),"",EDATE($C$10,219))</f>
        <v/>
      </c>
      <c r="D246" s="41" t="n">
        <f aca="false">MAX(0,M245)</f>
        <v>0</v>
      </c>
      <c r="E246" s="41" t="n">
        <f aca="false">D246*$F$7</f>
        <v>0</v>
      </c>
      <c r="F246" s="41" t="n">
        <f aca="false">IF(D246&gt;0.5,N($C$15),0)</f>
        <v>0</v>
      </c>
      <c r="G246" s="41" t="n">
        <f aca="false">IF(AND(D246&gt;0.5,N($C$19)&gt;0,N(B246)&lt;=N($C$20)),D246*$F$8,0)</f>
        <v>0</v>
      </c>
      <c r="H246" s="41" t="n">
        <f aca="false">IF(D246&lt;=0.5,0,MIN(IF(N(I246)&gt;0,I246,$F$9),D246+E246+F246))</f>
        <v>0</v>
      </c>
      <c r="I246" s="77"/>
      <c r="J246" s="77"/>
      <c r="K246" s="41" t="n">
        <f aca="false">IF(D246&lt;=0.5,0,MIN(H246+N(J246),D246+E246+F246))</f>
        <v>0</v>
      </c>
      <c r="L246" s="41" t="n">
        <f aca="false">K246-E246-F246</f>
        <v>0</v>
      </c>
      <c r="M246" s="41" t="n">
        <f aca="false">D246-L246</f>
        <v>0</v>
      </c>
      <c r="N246" s="42" t="n">
        <f aca="false">K246-G246</f>
        <v>0</v>
      </c>
      <c r="O246" s="78"/>
      <c r="P246" s="79"/>
      <c r="Q246" s="16" t="str">
        <f aca="false">IF(K246=0,"",IF(R246=1,"Pagada",IF(C246&lt;$F$12,"Vencida",IF(220=$F$13,"Próxima","Pendiente"))))</f>
        <v/>
      </c>
      <c r="R246" s="62" t="n">
        <f aca="false">IF(AND(K246&gt;0,OR(O246="Sí",O246="Si")),1,0)</f>
        <v>0</v>
      </c>
      <c r="S246" s="62" t="n">
        <f aca="false">IF(AND(K246&gt;0,R246=0),1,0)</f>
        <v>0</v>
      </c>
    </row>
    <row r="247" customFormat="false" ht="15" hidden="false" customHeight="false" outlineLevel="0" collapsed="false">
      <c r="B247" s="71" t="str">
        <f aca="false">IF($F$6="Sí",N($C$11)+220,"")</f>
        <v/>
      </c>
      <c r="C247" s="72" t="str">
        <f aca="false">IF(OR($F$6&lt;&gt;"Sí",D247&lt;=0.5),"",EDATE($C$10,220))</f>
        <v/>
      </c>
      <c r="D247" s="41" t="n">
        <f aca="false">MAX(0,M246)</f>
        <v>0</v>
      </c>
      <c r="E247" s="41" t="n">
        <f aca="false">D247*$F$7</f>
        <v>0</v>
      </c>
      <c r="F247" s="41" t="n">
        <f aca="false">IF(D247&gt;0.5,N($C$15),0)</f>
        <v>0</v>
      </c>
      <c r="G247" s="41" t="n">
        <f aca="false">IF(AND(D247&gt;0.5,N($C$19)&gt;0,N(B247)&lt;=N($C$20)),D247*$F$8,0)</f>
        <v>0</v>
      </c>
      <c r="H247" s="41" t="n">
        <f aca="false">IF(D247&lt;=0.5,0,MIN(IF(N(I247)&gt;0,I247,$F$9),D247+E247+F247))</f>
        <v>0</v>
      </c>
      <c r="I247" s="77"/>
      <c r="J247" s="77"/>
      <c r="K247" s="41" t="n">
        <f aca="false">IF(D247&lt;=0.5,0,MIN(H247+N(J247),D247+E247+F247))</f>
        <v>0</v>
      </c>
      <c r="L247" s="41" t="n">
        <f aca="false">K247-E247-F247</f>
        <v>0</v>
      </c>
      <c r="M247" s="41" t="n">
        <f aca="false">D247-L247</f>
        <v>0</v>
      </c>
      <c r="N247" s="42" t="n">
        <f aca="false">K247-G247</f>
        <v>0</v>
      </c>
      <c r="O247" s="78"/>
      <c r="P247" s="79"/>
      <c r="Q247" s="16" t="str">
        <f aca="false">IF(K247=0,"",IF(R247=1,"Pagada",IF(C247&lt;$F$12,"Vencida",IF(221=$F$13,"Próxima","Pendiente"))))</f>
        <v/>
      </c>
      <c r="R247" s="62" t="n">
        <f aca="false">IF(AND(K247&gt;0,OR(O247="Sí",O247="Si")),1,0)</f>
        <v>0</v>
      </c>
      <c r="S247" s="62" t="n">
        <f aca="false">IF(AND(K247&gt;0,R247=0),1,0)</f>
        <v>0</v>
      </c>
    </row>
    <row r="248" customFormat="false" ht="15" hidden="false" customHeight="false" outlineLevel="0" collapsed="false">
      <c r="B248" s="71" t="str">
        <f aca="false">IF($F$6="Sí",N($C$11)+221,"")</f>
        <v/>
      </c>
      <c r="C248" s="72" t="str">
        <f aca="false">IF(OR($F$6&lt;&gt;"Sí",D248&lt;=0.5),"",EDATE($C$10,221))</f>
        <v/>
      </c>
      <c r="D248" s="41" t="n">
        <f aca="false">MAX(0,M247)</f>
        <v>0</v>
      </c>
      <c r="E248" s="41" t="n">
        <f aca="false">D248*$F$7</f>
        <v>0</v>
      </c>
      <c r="F248" s="41" t="n">
        <f aca="false">IF(D248&gt;0.5,N($C$15),0)</f>
        <v>0</v>
      </c>
      <c r="G248" s="41" t="n">
        <f aca="false">IF(AND(D248&gt;0.5,N($C$19)&gt;0,N(B248)&lt;=N($C$20)),D248*$F$8,0)</f>
        <v>0</v>
      </c>
      <c r="H248" s="41" t="n">
        <f aca="false">IF(D248&lt;=0.5,0,MIN(IF(N(I248)&gt;0,I248,$F$9),D248+E248+F248))</f>
        <v>0</v>
      </c>
      <c r="I248" s="77"/>
      <c r="J248" s="77"/>
      <c r="K248" s="41" t="n">
        <f aca="false">IF(D248&lt;=0.5,0,MIN(H248+N(J248),D248+E248+F248))</f>
        <v>0</v>
      </c>
      <c r="L248" s="41" t="n">
        <f aca="false">K248-E248-F248</f>
        <v>0</v>
      </c>
      <c r="M248" s="41" t="n">
        <f aca="false">D248-L248</f>
        <v>0</v>
      </c>
      <c r="N248" s="42" t="n">
        <f aca="false">K248-G248</f>
        <v>0</v>
      </c>
      <c r="O248" s="78"/>
      <c r="P248" s="79"/>
      <c r="Q248" s="16" t="str">
        <f aca="false">IF(K248=0,"",IF(R248=1,"Pagada",IF(C248&lt;$F$12,"Vencida",IF(222=$F$13,"Próxima","Pendiente"))))</f>
        <v/>
      </c>
      <c r="R248" s="62" t="n">
        <f aca="false">IF(AND(K248&gt;0,OR(O248="Sí",O248="Si")),1,0)</f>
        <v>0</v>
      </c>
      <c r="S248" s="62" t="n">
        <f aca="false">IF(AND(K248&gt;0,R248=0),1,0)</f>
        <v>0</v>
      </c>
    </row>
    <row r="249" customFormat="false" ht="15" hidden="false" customHeight="false" outlineLevel="0" collapsed="false">
      <c r="B249" s="71" t="str">
        <f aca="false">IF($F$6="Sí",N($C$11)+222,"")</f>
        <v/>
      </c>
      <c r="C249" s="72" t="str">
        <f aca="false">IF(OR($F$6&lt;&gt;"Sí",D249&lt;=0.5),"",EDATE($C$10,222))</f>
        <v/>
      </c>
      <c r="D249" s="41" t="n">
        <f aca="false">MAX(0,M248)</f>
        <v>0</v>
      </c>
      <c r="E249" s="41" t="n">
        <f aca="false">D249*$F$7</f>
        <v>0</v>
      </c>
      <c r="F249" s="41" t="n">
        <f aca="false">IF(D249&gt;0.5,N($C$15),0)</f>
        <v>0</v>
      </c>
      <c r="G249" s="41" t="n">
        <f aca="false">IF(AND(D249&gt;0.5,N($C$19)&gt;0,N(B249)&lt;=N($C$20)),D249*$F$8,0)</f>
        <v>0</v>
      </c>
      <c r="H249" s="41" t="n">
        <f aca="false">IF(D249&lt;=0.5,0,MIN(IF(N(I249)&gt;0,I249,$F$9),D249+E249+F249))</f>
        <v>0</v>
      </c>
      <c r="I249" s="77"/>
      <c r="J249" s="77"/>
      <c r="K249" s="41" t="n">
        <f aca="false">IF(D249&lt;=0.5,0,MIN(H249+N(J249),D249+E249+F249))</f>
        <v>0</v>
      </c>
      <c r="L249" s="41" t="n">
        <f aca="false">K249-E249-F249</f>
        <v>0</v>
      </c>
      <c r="M249" s="41" t="n">
        <f aca="false">D249-L249</f>
        <v>0</v>
      </c>
      <c r="N249" s="42" t="n">
        <f aca="false">K249-G249</f>
        <v>0</v>
      </c>
      <c r="O249" s="78"/>
      <c r="P249" s="79"/>
      <c r="Q249" s="16" t="str">
        <f aca="false">IF(K249=0,"",IF(R249=1,"Pagada",IF(C249&lt;$F$12,"Vencida",IF(223=$F$13,"Próxima","Pendiente"))))</f>
        <v/>
      </c>
      <c r="R249" s="62" t="n">
        <f aca="false">IF(AND(K249&gt;0,OR(O249="Sí",O249="Si")),1,0)</f>
        <v>0</v>
      </c>
      <c r="S249" s="62" t="n">
        <f aca="false">IF(AND(K249&gt;0,R249=0),1,0)</f>
        <v>0</v>
      </c>
    </row>
    <row r="250" customFormat="false" ht="15" hidden="false" customHeight="false" outlineLevel="0" collapsed="false">
      <c r="B250" s="71" t="str">
        <f aca="false">IF($F$6="Sí",N($C$11)+223,"")</f>
        <v/>
      </c>
      <c r="C250" s="72" t="str">
        <f aca="false">IF(OR($F$6&lt;&gt;"Sí",D250&lt;=0.5),"",EDATE($C$10,223))</f>
        <v/>
      </c>
      <c r="D250" s="41" t="n">
        <f aca="false">MAX(0,M249)</f>
        <v>0</v>
      </c>
      <c r="E250" s="41" t="n">
        <f aca="false">D250*$F$7</f>
        <v>0</v>
      </c>
      <c r="F250" s="41" t="n">
        <f aca="false">IF(D250&gt;0.5,N($C$15),0)</f>
        <v>0</v>
      </c>
      <c r="G250" s="41" t="n">
        <f aca="false">IF(AND(D250&gt;0.5,N($C$19)&gt;0,N(B250)&lt;=N($C$20)),D250*$F$8,0)</f>
        <v>0</v>
      </c>
      <c r="H250" s="41" t="n">
        <f aca="false">IF(D250&lt;=0.5,0,MIN(IF(N(I250)&gt;0,I250,$F$9),D250+E250+F250))</f>
        <v>0</v>
      </c>
      <c r="I250" s="77"/>
      <c r="J250" s="77"/>
      <c r="K250" s="41" t="n">
        <f aca="false">IF(D250&lt;=0.5,0,MIN(H250+N(J250),D250+E250+F250))</f>
        <v>0</v>
      </c>
      <c r="L250" s="41" t="n">
        <f aca="false">K250-E250-F250</f>
        <v>0</v>
      </c>
      <c r="M250" s="41" t="n">
        <f aca="false">D250-L250</f>
        <v>0</v>
      </c>
      <c r="N250" s="42" t="n">
        <f aca="false">K250-G250</f>
        <v>0</v>
      </c>
      <c r="O250" s="78"/>
      <c r="P250" s="79"/>
      <c r="Q250" s="16" t="str">
        <f aca="false">IF(K250=0,"",IF(R250=1,"Pagada",IF(C250&lt;$F$12,"Vencida",IF(224=$F$13,"Próxima","Pendiente"))))</f>
        <v/>
      </c>
      <c r="R250" s="62" t="n">
        <f aca="false">IF(AND(K250&gt;0,OR(O250="Sí",O250="Si")),1,0)</f>
        <v>0</v>
      </c>
      <c r="S250" s="62" t="n">
        <f aca="false">IF(AND(K250&gt;0,R250=0),1,0)</f>
        <v>0</v>
      </c>
    </row>
    <row r="251" customFormat="false" ht="15" hidden="false" customHeight="false" outlineLevel="0" collapsed="false">
      <c r="B251" s="71" t="str">
        <f aca="false">IF($F$6="Sí",N($C$11)+224,"")</f>
        <v/>
      </c>
      <c r="C251" s="72" t="str">
        <f aca="false">IF(OR($F$6&lt;&gt;"Sí",D251&lt;=0.5),"",EDATE($C$10,224))</f>
        <v/>
      </c>
      <c r="D251" s="41" t="n">
        <f aca="false">MAX(0,M250)</f>
        <v>0</v>
      </c>
      <c r="E251" s="41" t="n">
        <f aca="false">D251*$F$7</f>
        <v>0</v>
      </c>
      <c r="F251" s="41" t="n">
        <f aca="false">IF(D251&gt;0.5,N($C$15),0)</f>
        <v>0</v>
      </c>
      <c r="G251" s="41" t="n">
        <f aca="false">IF(AND(D251&gt;0.5,N($C$19)&gt;0,N(B251)&lt;=N($C$20)),D251*$F$8,0)</f>
        <v>0</v>
      </c>
      <c r="H251" s="41" t="n">
        <f aca="false">IF(D251&lt;=0.5,0,MIN(IF(N(I251)&gt;0,I251,$F$9),D251+E251+F251))</f>
        <v>0</v>
      </c>
      <c r="I251" s="77"/>
      <c r="J251" s="77"/>
      <c r="K251" s="41" t="n">
        <f aca="false">IF(D251&lt;=0.5,0,MIN(H251+N(J251),D251+E251+F251))</f>
        <v>0</v>
      </c>
      <c r="L251" s="41" t="n">
        <f aca="false">K251-E251-F251</f>
        <v>0</v>
      </c>
      <c r="M251" s="41" t="n">
        <f aca="false">D251-L251</f>
        <v>0</v>
      </c>
      <c r="N251" s="42" t="n">
        <f aca="false">K251-G251</f>
        <v>0</v>
      </c>
      <c r="O251" s="78"/>
      <c r="P251" s="79"/>
      <c r="Q251" s="16" t="str">
        <f aca="false">IF(K251=0,"",IF(R251=1,"Pagada",IF(C251&lt;$F$12,"Vencida",IF(225=$F$13,"Próxima","Pendiente"))))</f>
        <v/>
      </c>
      <c r="R251" s="62" t="n">
        <f aca="false">IF(AND(K251&gt;0,OR(O251="Sí",O251="Si")),1,0)</f>
        <v>0</v>
      </c>
      <c r="S251" s="62" t="n">
        <f aca="false">IF(AND(K251&gt;0,R251=0),1,0)</f>
        <v>0</v>
      </c>
    </row>
    <row r="252" customFormat="false" ht="15" hidden="false" customHeight="false" outlineLevel="0" collapsed="false">
      <c r="B252" s="71" t="str">
        <f aca="false">IF($F$6="Sí",N($C$11)+225,"")</f>
        <v/>
      </c>
      <c r="C252" s="72" t="str">
        <f aca="false">IF(OR($F$6&lt;&gt;"Sí",D252&lt;=0.5),"",EDATE($C$10,225))</f>
        <v/>
      </c>
      <c r="D252" s="41" t="n">
        <f aca="false">MAX(0,M251)</f>
        <v>0</v>
      </c>
      <c r="E252" s="41" t="n">
        <f aca="false">D252*$F$7</f>
        <v>0</v>
      </c>
      <c r="F252" s="41" t="n">
        <f aca="false">IF(D252&gt;0.5,N($C$15),0)</f>
        <v>0</v>
      </c>
      <c r="G252" s="41" t="n">
        <f aca="false">IF(AND(D252&gt;0.5,N($C$19)&gt;0,N(B252)&lt;=N($C$20)),D252*$F$8,0)</f>
        <v>0</v>
      </c>
      <c r="H252" s="41" t="n">
        <f aca="false">IF(D252&lt;=0.5,0,MIN(IF(N(I252)&gt;0,I252,$F$9),D252+E252+F252))</f>
        <v>0</v>
      </c>
      <c r="I252" s="77"/>
      <c r="J252" s="77"/>
      <c r="K252" s="41" t="n">
        <f aca="false">IF(D252&lt;=0.5,0,MIN(H252+N(J252),D252+E252+F252))</f>
        <v>0</v>
      </c>
      <c r="L252" s="41" t="n">
        <f aca="false">K252-E252-F252</f>
        <v>0</v>
      </c>
      <c r="M252" s="41" t="n">
        <f aca="false">D252-L252</f>
        <v>0</v>
      </c>
      <c r="N252" s="42" t="n">
        <f aca="false">K252-G252</f>
        <v>0</v>
      </c>
      <c r="O252" s="78"/>
      <c r="P252" s="79"/>
      <c r="Q252" s="16" t="str">
        <f aca="false">IF(K252=0,"",IF(R252=1,"Pagada",IF(C252&lt;$F$12,"Vencida",IF(226=$F$13,"Próxima","Pendiente"))))</f>
        <v/>
      </c>
      <c r="R252" s="62" t="n">
        <f aca="false">IF(AND(K252&gt;0,OR(O252="Sí",O252="Si")),1,0)</f>
        <v>0</v>
      </c>
      <c r="S252" s="62" t="n">
        <f aca="false">IF(AND(K252&gt;0,R252=0),1,0)</f>
        <v>0</v>
      </c>
    </row>
    <row r="253" customFormat="false" ht="15" hidden="false" customHeight="false" outlineLevel="0" collapsed="false">
      <c r="B253" s="71" t="str">
        <f aca="false">IF($F$6="Sí",N($C$11)+226,"")</f>
        <v/>
      </c>
      <c r="C253" s="72" t="str">
        <f aca="false">IF(OR($F$6&lt;&gt;"Sí",D253&lt;=0.5),"",EDATE($C$10,226))</f>
        <v/>
      </c>
      <c r="D253" s="41" t="n">
        <f aca="false">MAX(0,M252)</f>
        <v>0</v>
      </c>
      <c r="E253" s="41" t="n">
        <f aca="false">D253*$F$7</f>
        <v>0</v>
      </c>
      <c r="F253" s="41" t="n">
        <f aca="false">IF(D253&gt;0.5,N($C$15),0)</f>
        <v>0</v>
      </c>
      <c r="G253" s="41" t="n">
        <f aca="false">IF(AND(D253&gt;0.5,N($C$19)&gt;0,N(B253)&lt;=N($C$20)),D253*$F$8,0)</f>
        <v>0</v>
      </c>
      <c r="H253" s="41" t="n">
        <f aca="false">IF(D253&lt;=0.5,0,MIN(IF(N(I253)&gt;0,I253,$F$9),D253+E253+F253))</f>
        <v>0</v>
      </c>
      <c r="I253" s="77"/>
      <c r="J253" s="77"/>
      <c r="K253" s="41" t="n">
        <f aca="false">IF(D253&lt;=0.5,0,MIN(H253+N(J253),D253+E253+F253))</f>
        <v>0</v>
      </c>
      <c r="L253" s="41" t="n">
        <f aca="false">K253-E253-F253</f>
        <v>0</v>
      </c>
      <c r="M253" s="41" t="n">
        <f aca="false">D253-L253</f>
        <v>0</v>
      </c>
      <c r="N253" s="42" t="n">
        <f aca="false">K253-G253</f>
        <v>0</v>
      </c>
      <c r="O253" s="78"/>
      <c r="P253" s="79"/>
      <c r="Q253" s="16" t="str">
        <f aca="false">IF(K253=0,"",IF(R253=1,"Pagada",IF(C253&lt;$F$12,"Vencida",IF(227=$F$13,"Próxima","Pendiente"))))</f>
        <v/>
      </c>
      <c r="R253" s="62" t="n">
        <f aca="false">IF(AND(K253&gt;0,OR(O253="Sí",O253="Si")),1,0)</f>
        <v>0</v>
      </c>
      <c r="S253" s="62" t="n">
        <f aca="false">IF(AND(K253&gt;0,R253=0),1,0)</f>
        <v>0</v>
      </c>
    </row>
    <row r="254" customFormat="false" ht="15" hidden="false" customHeight="false" outlineLevel="0" collapsed="false">
      <c r="B254" s="71" t="str">
        <f aca="false">IF($F$6="Sí",N($C$11)+227,"")</f>
        <v/>
      </c>
      <c r="C254" s="72" t="str">
        <f aca="false">IF(OR($F$6&lt;&gt;"Sí",D254&lt;=0.5),"",EDATE($C$10,227))</f>
        <v/>
      </c>
      <c r="D254" s="41" t="n">
        <f aca="false">MAX(0,M253)</f>
        <v>0</v>
      </c>
      <c r="E254" s="41" t="n">
        <f aca="false">D254*$F$7</f>
        <v>0</v>
      </c>
      <c r="F254" s="41" t="n">
        <f aca="false">IF(D254&gt;0.5,N($C$15),0)</f>
        <v>0</v>
      </c>
      <c r="G254" s="41" t="n">
        <f aca="false">IF(AND(D254&gt;0.5,N($C$19)&gt;0,N(B254)&lt;=N($C$20)),D254*$F$8,0)</f>
        <v>0</v>
      </c>
      <c r="H254" s="41" t="n">
        <f aca="false">IF(D254&lt;=0.5,0,MIN(IF(N(I254)&gt;0,I254,$F$9),D254+E254+F254))</f>
        <v>0</v>
      </c>
      <c r="I254" s="77"/>
      <c r="J254" s="77"/>
      <c r="K254" s="41" t="n">
        <f aca="false">IF(D254&lt;=0.5,0,MIN(H254+N(J254),D254+E254+F254))</f>
        <v>0</v>
      </c>
      <c r="L254" s="41" t="n">
        <f aca="false">K254-E254-F254</f>
        <v>0</v>
      </c>
      <c r="M254" s="41" t="n">
        <f aca="false">D254-L254</f>
        <v>0</v>
      </c>
      <c r="N254" s="42" t="n">
        <f aca="false">K254-G254</f>
        <v>0</v>
      </c>
      <c r="O254" s="78"/>
      <c r="P254" s="79"/>
      <c r="Q254" s="16" t="str">
        <f aca="false">IF(K254=0,"",IF(R254=1,"Pagada",IF(C254&lt;$F$12,"Vencida",IF(228=$F$13,"Próxima","Pendiente"))))</f>
        <v/>
      </c>
      <c r="R254" s="62" t="n">
        <f aca="false">IF(AND(K254&gt;0,OR(O254="Sí",O254="Si")),1,0)</f>
        <v>0</v>
      </c>
      <c r="S254" s="62" t="n">
        <f aca="false">IF(AND(K254&gt;0,R254=0),1,0)</f>
        <v>0</v>
      </c>
    </row>
    <row r="255" customFormat="false" ht="15" hidden="false" customHeight="false" outlineLevel="0" collapsed="false">
      <c r="B255" s="71" t="str">
        <f aca="false">IF($F$6="Sí",N($C$11)+228,"")</f>
        <v/>
      </c>
      <c r="C255" s="72" t="str">
        <f aca="false">IF(OR($F$6&lt;&gt;"Sí",D255&lt;=0.5),"",EDATE($C$10,228))</f>
        <v/>
      </c>
      <c r="D255" s="41" t="n">
        <f aca="false">MAX(0,M254)</f>
        <v>0</v>
      </c>
      <c r="E255" s="41" t="n">
        <f aca="false">D255*$F$7</f>
        <v>0</v>
      </c>
      <c r="F255" s="41" t="n">
        <f aca="false">IF(D255&gt;0.5,N($C$15),0)</f>
        <v>0</v>
      </c>
      <c r="G255" s="41" t="n">
        <f aca="false">IF(AND(D255&gt;0.5,N($C$19)&gt;0,N(B255)&lt;=N($C$20)),D255*$F$8,0)</f>
        <v>0</v>
      </c>
      <c r="H255" s="41" t="n">
        <f aca="false">IF(D255&lt;=0.5,0,MIN(IF(N(I255)&gt;0,I255,$F$9),D255+E255+F255))</f>
        <v>0</v>
      </c>
      <c r="I255" s="77"/>
      <c r="J255" s="77"/>
      <c r="K255" s="41" t="n">
        <f aca="false">IF(D255&lt;=0.5,0,MIN(H255+N(J255),D255+E255+F255))</f>
        <v>0</v>
      </c>
      <c r="L255" s="41" t="n">
        <f aca="false">K255-E255-F255</f>
        <v>0</v>
      </c>
      <c r="M255" s="41" t="n">
        <f aca="false">D255-L255</f>
        <v>0</v>
      </c>
      <c r="N255" s="42" t="n">
        <f aca="false">K255-G255</f>
        <v>0</v>
      </c>
      <c r="O255" s="78"/>
      <c r="P255" s="79"/>
      <c r="Q255" s="16" t="str">
        <f aca="false">IF(K255=0,"",IF(R255=1,"Pagada",IF(C255&lt;$F$12,"Vencida",IF(229=$F$13,"Próxima","Pendiente"))))</f>
        <v/>
      </c>
      <c r="R255" s="62" t="n">
        <f aca="false">IF(AND(K255&gt;0,OR(O255="Sí",O255="Si")),1,0)</f>
        <v>0</v>
      </c>
      <c r="S255" s="62" t="n">
        <f aca="false">IF(AND(K255&gt;0,R255=0),1,0)</f>
        <v>0</v>
      </c>
    </row>
    <row r="256" customFormat="false" ht="15" hidden="false" customHeight="false" outlineLevel="0" collapsed="false">
      <c r="B256" s="71" t="str">
        <f aca="false">IF($F$6="Sí",N($C$11)+229,"")</f>
        <v/>
      </c>
      <c r="C256" s="72" t="str">
        <f aca="false">IF(OR($F$6&lt;&gt;"Sí",D256&lt;=0.5),"",EDATE($C$10,229))</f>
        <v/>
      </c>
      <c r="D256" s="41" t="n">
        <f aca="false">MAX(0,M255)</f>
        <v>0</v>
      </c>
      <c r="E256" s="41" t="n">
        <f aca="false">D256*$F$7</f>
        <v>0</v>
      </c>
      <c r="F256" s="41" t="n">
        <f aca="false">IF(D256&gt;0.5,N($C$15),0)</f>
        <v>0</v>
      </c>
      <c r="G256" s="41" t="n">
        <f aca="false">IF(AND(D256&gt;0.5,N($C$19)&gt;0,N(B256)&lt;=N($C$20)),D256*$F$8,0)</f>
        <v>0</v>
      </c>
      <c r="H256" s="41" t="n">
        <f aca="false">IF(D256&lt;=0.5,0,MIN(IF(N(I256)&gt;0,I256,$F$9),D256+E256+F256))</f>
        <v>0</v>
      </c>
      <c r="I256" s="77"/>
      <c r="J256" s="77"/>
      <c r="K256" s="41" t="n">
        <f aca="false">IF(D256&lt;=0.5,0,MIN(H256+N(J256),D256+E256+F256))</f>
        <v>0</v>
      </c>
      <c r="L256" s="41" t="n">
        <f aca="false">K256-E256-F256</f>
        <v>0</v>
      </c>
      <c r="M256" s="41" t="n">
        <f aca="false">D256-L256</f>
        <v>0</v>
      </c>
      <c r="N256" s="42" t="n">
        <f aca="false">K256-G256</f>
        <v>0</v>
      </c>
      <c r="O256" s="78"/>
      <c r="P256" s="79"/>
      <c r="Q256" s="16" t="str">
        <f aca="false">IF(K256=0,"",IF(R256=1,"Pagada",IF(C256&lt;$F$12,"Vencida",IF(230=$F$13,"Próxima","Pendiente"))))</f>
        <v/>
      </c>
      <c r="R256" s="62" t="n">
        <f aca="false">IF(AND(K256&gt;0,OR(O256="Sí",O256="Si")),1,0)</f>
        <v>0</v>
      </c>
      <c r="S256" s="62" t="n">
        <f aca="false">IF(AND(K256&gt;0,R256=0),1,0)</f>
        <v>0</v>
      </c>
    </row>
    <row r="257" customFormat="false" ht="15" hidden="false" customHeight="false" outlineLevel="0" collapsed="false">
      <c r="B257" s="71" t="str">
        <f aca="false">IF($F$6="Sí",N($C$11)+230,"")</f>
        <v/>
      </c>
      <c r="C257" s="72" t="str">
        <f aca="false">IF(OR($F$6&lt;&gt;"Sí",D257&lt;=0.5),"",EDATE($C$10,230))</f>
        <v/>
      </c>
      <c r="D257" s="41" t="n">
        <f aca="false">MAX(0,M256)</f>
        <v>0</v>
      </c>
      <c r="E257" s="41" t="n">
        <f aca="false">D257*$F$7</f>
        <v>0</v>
      </c>
      <c r="F257" s="41" t="n">
        <f aca="false">IF(D257&gt;0.5,N($C$15),0)</f>
        <v>0</v>
      </c>
      <c r="G257" s="41" t="n">
        <f aca="false">IF(AND(D257&gt;0.5,N($C$19)&gt;0,N(B257)&lt;=N($C$20)),D257*$F$8,0)</f>
        <v>0</v>
      </c>
      <c r="H257" s="41" t="n">
        <f aca="false">IF(D257&lt;=0.5,0,MIN(IF(N(I257)&gt;0,I257,$F$9),D257+E257+F257))</f>
        <v>0</v>
      </c>
      <c r="I257" s="77"/>
      <c r="J257" s="77"/>
      <c r="K257" s="41" t="n">
        <f aca="false">IF(D257&lt;=0.5,0,MIN(H257+N(J257),D257+E257+F257))</f>
        <v>0</v>
      </c>
      <c r="L257" s="41" t="n">
        <f aca="false">K257-E257-F257</f>
        <v>0</v>
      </c>
      <c r="M257" s="41" t="n">
        <f aca="false">D257-L257</f>
        <v>0</v>
      </c>
      <c r="N257" s="42" t="n">
        <f aca="false">K257-G257</f>
        <v>0</v>
      </c>
      <c r="O257" s="78"/>
      <c r="P257" s="79"/>
      <c r="Q257" s="16" t="str">
        <f aca="false">IF(K257=0,"",IF(R257=1,"Pagada",IF(C257&lt;$F$12,"Vencida",IF(231=$F$13,"Próxima","Pendiente"))))</f>
        <v/>
      </c>
      <c r="R257" s="62" t="n">
        <f aca="false">IF(AND(K257&gt;0,OR(O257="Sí",O257="Si")),1,0)</f>
        <v>0</v>
      </c>
      <c r="S257" s="62" t="n">
        <f aca="false">IF(AND(K257&gt;0,R257=0),1,0)</f>
        <v>0</v>
      </c>
    </row>
    <row r="258" customFormat="false" ht="15" hidden="false" customHeight="false" outlineLevel="0" collapsed="false">
      <c r="B258" s="71" t="str">
        <f aca="false">IF($F$6="Sí",N($C$11)+231,"")</f>
        <v/>
      </c>
      <c r="C258" s="72" t="str">
        <f aca="false">IF(OR($F$6&lt;&gt;"Sí",D258&lt;=0.5),"",EDATE($C$10,231))</f>
        <v/>
      </c>
      <c r="D258" s="41" t="n">
        <f aca="false">MAX(0,M257)</f>
        <v>0</v>
      </c>
      <c r="E258" s="41" t="n">
        <f aca="false">D258*$F$7</f>
        <v>0</v>
      </c>
      <c r="F258" s="41" t="n">
        <f aca="false">IF(D258&gt;0.5,N($C$15),0)</f>
        <v>0</v>
      </c>
      <c r="G258" s="41" t="n">
        <f aca="false">IF(AND(D258&gt;0.5,N($C$19)&gt;0,N(B258)&lt;=N($C$20)),D258*$F$8,0)</f>
        <v>0</v>
      </c>
      <c r="H258" s="41" t="n">
        <f aca="false">IF(D258&lt;=0.5,0,MIN(IF(N(I258)&gt;0,I258,$F$9),D258+E258+F258))</f>
        <v>0</v>
      </c>
      <c r="I258" s="77"/>
      <c r="J258" s="77"/>
      <c r="K258" s="41" t="n">
        <f aca="false">IF(D258&lt;=0.5,0,MIN(H258+N(J258),D258+E258+F258))</f>
        <v>0</v>
      </c>
      <c r="L258" s="41" t="n">
        <f aca="false">K258-E258-F258</f>
        <v>0</v>
      </c>
      <c r="M258" s="41" t="n">
        <f aca="false">D258-L258</f>
        <v>0</v>
      </c>
      <c r="N258" s="42" t="n">
        <f aca="false">K258-G258</f>
        <v>0</v>
      </c>
      <c r="O258" s="78"/>
      <c r="P258" s="79"/>
      <c r="Q258" s="16" t="str">
        <f aca="false">IF(K258=0,"",IF(R258=1,"Pagada",IF(C258&lt;$F$12,"Vencida",IF(232=$F$13,"Próxima","Pendiente"))))</f>
        <v/>
      </c>
      <c r="R258" s="62" t="n">
        <f aca="false">IF(AND(K258&gt;0,OR(O258="Sí",O258="Si")),1,0)</f>
        <v>0</v>
      </c>
      <c r="S258" s="62" t="n">
        <f aca="false">IF(AND(K258&gt;0,R258=0),1,0)</f>
        <v>0</v>
      </c>
    </row>
    <row r="259" customFormat="false" ht="15" hidden="false" customHeight="false" outlineLevel="0" collapsed="false">
      <c r="B259" s="71" t="str">
        <f aca="false">IF($F$6="Sí",N($C$11)+232,"")</f>
        <v/>
      </c>
      <c r="C259" s="72" t="str">
        <f aca="false">IF(OR($F$6&lt;&gt;"Sí",D259&lt;=0.5),"",EDATE($C$10,232))</f>
        <v/>
      </c>
      <c r="D259" s="41" t="n">
        <f aca="false">MAX(0,M258)</f>
        <v>0</v>
      </c>
      <c r="E259" s="41" t="n">
        <f aca="false">D259*$F$7</f>
        <v>0</v>
      </c>
      <c r="F259" s="41" t="n">
        <f aca="false">IF(D259&gt;0.5,N($C$15),0)</f>
        <v>0</v>
      </c>
      <c r="G259" s="41" t="n">
        <f aca="false">IF(AND(D259&gt;0.5,N($C$19)&gt;0,N(B259)&lt;=N($C$20)),D259*$F$8,0)</f>
        <v>0</v>
      </c>
      <c r="H259" s="41" t="n">
        <f aca="false">IF(D259&lt;=0.5,0,MIN(IF(N(I259)&gt;0,I259,$F$9),D259+E259+F259))</f>
        <v>0</v>
      </c>
      <c r="I259" s="77"/>
      <c r="J259" s="77"/>
      <c r="K259" s="41" t="n">
        <f aca="false">IF(D259&lt;=0.5,0,MIN(H259+N(J259),D259+E259+F259))</f>
        <v>0</v>
      </c>
      <c r="L259" s="41" t="n">
        <f aca="false">K259-E259-F259</f>
        <v>0</v>
      </c>
      <c r="M259" s="41" t="n">
        <f aca="false">D259-L259</f>
        <v>0</v>
      </c>
      <c r="N259" s="42" t="n">
        <f aca="false">K259-G259</f>
        <v>0</v>
      </c>
      <c r="O259" s="78"/>
      <c r="P259" s="79"/>
      <c r="Q259" s="16" t="str">
        <f aca="false">IF(K259=0,"",IF(R259=1,"Pagada",IF(C259&lt;$F$12,"Vencida",IF(233=$F$13,"Próxima","Pendiente"))))</f>
        <v/>
      </c>
      <c r="R259" s="62" t="n">
        <f aca="false">IF(AND(K259&gt;0,OR(O259="Sí",O259="Si")),1,0)</f>
        <v>0</v>
      </c>
      <c r="S259" s="62" t="n">
        <f aca="false">IF(AND(K259&gt;0,R259=0),1,0)</f>
        <v>0</v>
      </c>
    </row>
    <row r="260" customFormat="false" ht="15" hidden="false" customHeight="false" outlineLevel="0" collapsed="false">
      <c r="B260" s="71" t="str">
        <f aca="false">IF($F$6="Sí",N($C$11)+233,"")</f>
        <v/>
      </c>
      <c r="C260" s="72" t="str">
        <f aca="false">IF(OR($F$6&lt;&gt;"Sí",D260&lt;=0.5),"",EDATE($C$10,233))</f>
        <v/>
      </c>
      <c r="D260" s="41" t="n">
        <f aca="false">MAX(0,M259)</f>
        <v>0</v>
      </c>
      <c r="E260" s="41" t="n">
        <f aca="false">D260*$F$7</f>
        <v>0</v>
      </c>
      <c r="F260" s="41" t="n">
        <f aca="false">IF(D260&gt;0.5,N($C$15),0)</f>
        <v>0</v>
      </c>
      <c r="G260" s="41" t="n">
        <f aca="false">IF(AND(D260&gt;0.5,N($C$19)&gt;0,N(B260)&lt;=N($C$20)),D260*$F$8,0)</f>
        <v>0</v>
      </c>
      <c r="H260" s="41" t="n">
        <f aca="false">IF(D260&lt;=0.5,0,MIN(IF(N(I260)&gt;0,I260,$F$9),D260+E260+F260))</f>
        <v>0</v>
      </c>
      <c r="I260" s="77"/>
      <c r="J260" s="77"/>
      <c r="K260" s="41" t="n">
        <f aca="false">IF(D260&lt;=0.5,0,MIN(H260+N(J260),D260+E260+F260))</f>
        <v>0</v>
      </c>
      <c r="L260" s="41" t="n">
        <f aca="false">K260-E260-F260</f>
        <v>0</v>
      </c>
      <c r="M260" s="41" t="n">
        <f aca="false">D260-L260</f>
        <v>0</v>
      </c>
      <c r="N260" s="42" t="n">
        <f aca="false">K260-G260</f>
        <v>0</v>
      </c>
      <c r="O260" s="78"/>
      <c r="P260" s="79"/>
      <c r="Q260" s="16" t="str">
        <f aca="false">IF(K260=0,"",IF(R260=1,"Pagada",IF(C260&lt;$F$12,"Vencida",IF(234=$F$13,"Próxima","Pendiente"))))</f>
        <v/>
      </c>
      <c r="R260" s="62" t="n">
        <f aca="false">IF(AND(K260&gt;0,OR(O260="Sí",O260="Si")),1,0)</f>
        <v>0</v>
      </c>
      <c r="S260" s="62" t="n">
        <f aca="false">IF(AND(K260&gt;0,R260=0),1,0)</f>
        <v>0</v>
      </c>
    </row>
    <row r="261" customFormat="false" ht="15" hidden="false" customHeight="false" outlineLevel="0" collapsed="false">
      <c r="B261" s="71" t="str">
        <f aca="false">IF($F$6="Sí",N($C$11)+234,"")</f>
        <v/>
      </c>
      <c r="C261" s="72" t="str">
        <f aca="false">IF(OR($F$6&lt;&gt;"Sí",D261&lt;=0.5),"",EDATE($C$10,234))</f>
        <v/>
      </c>
      <c r="D261" s="41" t="n">
        <f aca="false">MAX(0,M260)</f>
        <v>0</v>
      </c>
      <c r="E261" s="41" t="n">
        <f aca="false">D261*$F$7</f>
        <v>0</v>
      </c>
      <c r="F261" s="41" t="n">
        <f aca="false">IF(D261&gt;0.5,N($C$15),0)</f>
        <v>0</v>
      </c>
      <c r="G261" s="41" t="n">
        <f aca="false">IF(AND(D261&gt;0.5,N($C$19)&gt;0,N(B261)&lt;=N($C$20)),D261*$F$8,0)</f>
        <v>0</v>
      </c>
      <c r="H261" s="41" t="n">
        <f aca="false">IF(D261&lt;=0.5,0,MIN(IF(N(I261)&gt;0,I261,$F$9),D261+E261+F261))</f>
        <v>0</v>
      </c>
      <c r="I261" s="77"/>
      <c r="J261" s="77"/>
      <c r="K261" s="41" t="n">
        <f aca="false">IF(D261&lt;=0.5,0,MIN(H261+N(J261),D261+E261+F261))</f>
        <v>0</v>
      </c>
      <c r="L261" s="41" t="n">
        <f aca="false">K261-E261-F261</f>
        <v>0</v>
      </c>
      <c r="M261" s="41" t="n">
        <f aca="false">D261-L261</f>
        <v>0</v>
      </c>
      <c r="N261" s="42" t="n">
        <f aca="false">K261-G261</f>
        <v>0</v>
      </c>
      <c r="O261" s="78"/>
      <c r="P261" s="79"/>
      <c r="Q261" s="16" t="str">
        <f aca="false">IF(K261=0,"",IF(R261=1,"Pagada",IF(C261&lt;$F$12,"Vencida",IF(235=$F$13,"Próxima","Pendiente"))))</f>
        <v/>
      </c>
      <c r="R261" s="62" t="n">
        <f aca="false">IF(AND(K261&gt;0,OR(O261="Sí",O261="Si")),1,0)</f>
        <v>0</v>
      </c>
      <c r="S261" s="62" t="n">
        <f aca="false">IF(AND(K261&gt;0,R261=0),1,0)</f>
        <v>0</v>
      </c>
    </row>
    <row r="262" customFormat="false" ht="15" hidden="false" customHeight="false" outlineLevel="0" collapsed="false">
      <c r="B262" s="71" t="str">
        <f aca="false">IF($F$6="Sí",N($C$11)+235,"")</f>
        <v/>
      </c>
      <c r="C262" s="72" t="str">
        <f aca="false">IF(OR($F$6&lt;&gt;"Sí",D262&lt;=0.5),"",EDATE($C$10,235))</f>
        <v/>
      </c>
      <c r="D262" s="41" t="n">
        <f aca="false">MAX(0,M261)</f>
        <v>0</v>
      </c>
      <c r="E262" s="41" t="n">
        <f aca="false">D262*$F$7</f>
        <v>0</v>
      </c>
      <c r="F262" s="41" t="n">
        <f aca="false">IF(D262&gt;0.5,N($C$15),0)</f>
        <v>0</v>
      </c>
      <c r="G262" s="41" t="n">
        <f aca="false">IF(AND(D262&gt;0.5,N($C$19)&gt;0,N(B262)&lt;=N($C$20)),D262*$F$8,0)</f>
        <v>0</v>
      </c>
      <c r="H262" s="41" t="n">
        <f aca="false">IF(D262&lt;=0.5,0,MIN(IF(N(I262)&gt;0,I262,$F$9),D262+E262+F262))</f>
        <v>0</v>
      </c>
      <c r="I262" s="77"/>
      <c r="J262" s="77"/>
      <c r="K262" s="41" t="n">
        <f aca="false">IF(D262&lt;=0.5,0,MIN(H262+N(J262),D262+E262+F262))</f>
        <v>0</v>
      </c>
      <c r="L262" s="41" t="n">
        <f aca="false">K262-E262-F262</f>
        <v>0</v>
      </c>
      <c r="M262" s="41" t="n">
        <f aca="false">D262-L262</f>
        <v>0</v>
      </c>
      <c r="N262" s="42" t="n">
        <f aca="false">K262-G262</f>
        <v>0</v>
      </c>
      <c r="O262" s="78"/>
      <c r="P262" s="79"/>
      <c r="Q262" s="16" t="str">
        <f aca="false">IF(K262=0,"",IF(R262=1,"Pagada",IF(C262&lt;$F$12,"Vencida",IF(236=$F$13,"Próxima","Pendiente"))))</f>
        <v/>
      </c>
      <c r="R262" s="62" t="n">
        <f aca="false">IF(AND(K262&gt;0,OR(O262="Sí",O262="Si")),1,0)</f>
        <v>0</v>
      </c>
      <c r="S262" s="62" t="n">
        <f aca="false">IF(AND(K262&gt;0,R262=0),1,0)</f>
        <v>0</v>
      </c>
    </row>
    <row r="263" customFormat="false" ht="15" hidden="false" customHeight="false" outlineLevel="0" collapsed="false">
      <c r="B263" s="71" t="str">
        <f aca="false">IF($F$6="Sí",N($C$11)+236,"")</f>
        <v/>
      </c>
      <c r="C263" s="72" t="str">
        <f aca="false">IF(OR($F$6&lt;&gt;"Sí",D263&lt;=0.5),"",EDATE($C$10,236))</f>
        <v/>
      </c>
      <c r="D263" s="41" t="n">
        <f aca="false">MAX(0,M262)</f>
        <v>0</v>
      </c>
      <c r="E263" s="41" t="n">
        <f aca="false">D263*$F$7</f>
        <v>0</v>
      </c>
      <c r="F263" s="41" t="n">
        <f aca="false">IF(D263&gt;0.5,N($C$15),0)</f>
        <v>0</v>
      </c>
      <c r="G263" s="41" t="n">
        <f aca="false">IF(AND(D263&gt;0.5,N($C$19)&gt;0,N(B263)&lt;=N($C$20)),D263*$F$8,0)</f>
        <v>0</v>
      </c>
      <c r="H263" s="41" t="n">
        <f aca="false">IF(D263&lt;=0.5,0,MIN(IF(N(I263)&gt;0,I263,$F$9),D263+E263+F263))</f>
        <v>0</v>
      </c>
      <c r="I263" s="77"/>
      <c r="J263" s="77"/>
      <c r="K263" s="41" t="n">
        <f aca="false">IF(D263&lt;=0.5,0,MIN(H263+N(J263),D263+E263+F263))</f>
        <v>0</v>
      </c>
      <c r="L263" s="41" t="n">
        <f aca="false">K263-E263-F263</f>
        <v>0</v>
      </c>
      <c r="M263" s="41" t="n">
        <f aca="false">D263-L263</f>
        <v>0</v>
      </c>
      <c r="N263" s="42" t="n">
        <f aca="false">K263-G263</f>
        <v>0</v>
      </c>
      <c r="O263" s="78"/>
      <c r="P263" s="79"/>
      <c r="Q263" s="16" t="str">
        <f aca="false">IF(K263=0,"",IF(R263=1,"Pagada",IF(C263&lt;$F$12,"Vencida",IF(237=$F$13,"Próxima","Pendiente"))))</f>
        <v/>
      </c>
      <c r="R263" s="62" t="n">
        <f aca="false">IF(AND(K263&gt;0,OR(O263="Sí",O263="Si")),1,0)</f>
        <v>0</v>
      </c>
      <c r="S263" s="62" t="n">
        <f aca="false">IF(AND(K263&gt;0,R263=0),1,0)</f>
        <v>0</v>
      </c>
    </row>
    <row r="264" customFormat="false" ht="15" hidden="false" customHeight="false" outlineLevel="0" collapsed="false">
      <c r="B264" s="71" t="str">
        <f aca="false">IF($F$6="Sí",N($C$11)+237,"")</f>
        <v/>
      </c>
      <c r="C264" s="72" t="str">
        <f aca="false">IF(OR($F$6&lt;&gt;"Sí",D264&lt;=0.5),"",EDATE($C$10,237))</f>
        <v/>
      </c>
      <c r="D264" s="41" t="n">
        <f aca="false">MAX(0,M263)</f>
        <v>0</v>
      </c>
      <c r="E264" s="41" t="n">
        <f aca="false">D264*$F$7</f>
        <v>0</v>
      </c>
      <c r="F264" s="41" t="n">
        <f aca="false">IF(D264&gt;0.5,N($C$15),0)</f>
        <v>0</v>
      </c>
      <c r="G264" s="41" t="n">
        <f aca="false">IF(AND(D264&gt;0.5,N($C$19)&gt;0,N(B264)&lt;=N($C$20)),D264*$F$8,0)</f>
        <v>0</v>
      </c>
      <c r="H264" s="41" t="n">
        <f aca="false">IF(D264&lt;=0.5,0,MIN(IF(N(I264)&gt;0,I264,$F$9),D264+E264+F264))</f>
        <v>0</v>
      </c>
      <c r="I264" s="77"/>
      <c r="J264" s="77"/>
      <c r="K264" s="41" t="n">
        <f aca="false">IF(D264&lt;=0.5,0,MIN(H264+N(J264),D264+E264+F264))</f>
        <v>0</v>
      </c>
      <c r="L264" s="41" t="n">
        <f aca="false">K264-E264-F264</f>
        <v>0</v>
      </c>
      <c r="M264" s="41" t="n">
        <f aca="false">D264-L264</f>
        <v>0</v>
      </c>
      <c r="N264" s="42" t="n">
        <f aca="false">K264-G264</f>
        <v>0</v>
      </c>
      <c r="O264" s="78"/>
      <c r="P264" s="79"/>
      <c r="Q264" s="16" t="str">
        <f aca="false">IF(K264=0,"",IF(R264=1,"Pagada",IF(C264&lt;$F$12,"Vencida",IF(238=$F$13,"Próxima","Pendiente"))))</f>
        <v/>
      </c>
      <c r="R264" s="62" t="n">
        <f aca="false">IF(AND(K264&gt;0,OR(O264="Sí",O264="Si")),1,0)</f>
        <v>0</v>
      </c>
      <c r="S264" s="62" t="n">
        <f aca="false">IF(AND(K264&gt;0,R264=0),1,0)</f>
        <v>0</v>
      </c>
    </row>
    <row r="265" customFormat="false" ht="15" hidden="false" customHeight="false" outlineLevel="0" collapsed="false">
      <c r="B265" s="71" t="str">
        <f aca="false">IF($F$6="Sí",N($C$11)+238,"")</f>
        <v/>
      </c>
      <c r="C265" s="72" t="str">
        <f aca="false">IF(OR($F$6&lt;&gt;"Sí",D265&lt;=0.5),"",EDATE($C$10,238))</f>
        <v/>
      </c>
      <c r="D265" s="41" t="n">
        <f aca="false">MAX(0,M264)</f>
        <v>0</v>
      </c>
      <c r="E265" s="41" t="n">
        <f aca="false">D265*$F$7</f>
        <v>0</v>
      </c>
      <c r="F265" s="41" t="n">
        <f aca="false">IF(D265&gt;0.5,N($C$15),0)</f>
        <v>0</v>
      </c>
      <c r="G265" s="41" t="n">
        <f aca="false">IF(AND(D265&gt;0.5,N($C$19)&gt;0,N(B265)&lt;=N($C$20)),D265*$F$8,0)</f>
        <v>0</v>
      </c>
      <c r="H265" s="41" t="n">
        <f aca="false">IF(D265&lt;=0.5,0,MIN(IF(N(I265)&gt;0,I265,$F$9),D265+E265+F265))</f>
        <v>0</v>
      </c>
      <c r="I265" s="77"/>
      <c r="J265" s="77"/>
      <c r="K265" s="41" t="n">
        <f aca="false">IF(D265&lt;=0.5,0,MIN(H265+N(J265),D265+E265+F265))</f>
        <v>0</v>
      </c>
      <c r="L265" s="41" t="n">
        <f aca="false">K265-E265-F265</f>
        <v>0</v>
      </c>
      <c r="M265" s="41" t="n">
        <f aca="false">D265-L265</f>
        <v>0</v>
      </c>
      <c r="N265" s="42" t="n">
        <f aca="false">K265-G265</f>
        <v>0</v>
      </c>
      <c r="O265" s="78"/>
      <c r="P265" s="79"/>
      <c r="Q265" s="16" t="str">
        <f aca="false">IF(K265=0,"",IF(R265=1,"Pagada",IF(C265&lt;$F$12,"Vencida",IF(239=$F$13,"Próxima","Pendiente"))))</f>
        <v/>
      </c>
      <c r="R265" s="62" t="n">
        <f aca="false">IF(AND(K265&gt;0,OR(O265="Sí",O265="Si")),1,0)</f>
        <v>0</v>
      </c>
      <c r="S265" s="62" t="n">
        <f aca="false">IF(AND(K265&gt;0,R265=0),1,0)</f>
        <v>0</v>
      </c>
    </row>
    <row r="266" customFormat="false" ht="15" hidden="false" customHeight="false" outlineLevel="0" collapsed="false">
      <c r="B266" s="71" t="str">
        <f aca="false">IF($F$6="Sí",N($C$11)+239,"")</f>
        <v/>
      </c>
      <c r="C266" s="72" t="str">
        <f aca="false">IF(OR($F$6&lt;&gt;"Sí",D266&lt;=0.5),"",EDATE($C$10,239))</f>
        <v/>
      </c>
      <c r="D266" s="41" t="n">
        <f aca="false">MAX(0,M265)</f>
        <v>0</v>
      </c>
      <c r="E266" s="41" t="n">
        <f aca="false">D266*$F$7</f>
        <v>0</v>
      </c>
      <c r="F266" s="41" t="n">
        <f aca="false">IF(D266&gt;0.5,N($C$15),0)</f>
        <v>0</v>
      </c>
      <c r="G266" s="41" t="n">
        <f aca="false">IF(AND(D266&gt;0.5,N($C$19)&gt;0,N(B266)&lt;=N($C$20)),D266*$F$8,0)</f>
        <v>0</v>
      </c>
      <c r="H266" s="41" t="n">
        <f aca="false">IF(D266&lt;=0.5,0,MIN(IF(N(I266)&gt;0,I266,$F$9),D266+E266+F266))</f>
        <v>0</v>
      </c>
      <c r="I266" s="77"/>
      <c r="J266" s="77"/>
      <c r="K266" s="41" t="n">
        <f aca="false">IF(D266&lt;=0.5,0,MIN(H266+N(J266),D266+E266+F266))</f>
        <v>0</v>
      </c>
      <c r="L266" s="41" t="n">
        <f aca="false">K266-E266-F266</f>
        <v>0</v>
      </c>
      <c r="M266" s="41" t="n">
        <f aca="false">D266-L266</f>
        <v>0</v>
      </c>
      <c r="N266" s="42" t="n">
        <f aca="false">K266-G266</f>
        <v>0</v>
      </c>
      <c r="O266" s="78"/>
      <c r="P266" s="79"/>
      <c r="Q266" s="16" t="str">
        <f aca="false">IF(K266=0,"",IF(R266=1,"Pagada",IF(C266&lt;$F$12,"Vencida",IF(240=$F$13,"Próxima","Pendiente"))))</f>
        <v/>
      </c>
      <c r="R266" s="62" t="n">
        <f aca="false">IF(AND(K266&gt;0,OR(O266="Sí",O266="Si")),1,0)</f>
        <v>0</v>
      </c>
      <c r="S266" s="62" t="n">
        <f aca="false">IF(AND(K266&gt;0,R266=0),1,0)</f>
        <v>0</v>
      </c>
    </row>
    <row r="267" customFormat="false" ht="15" hidden="false" customHeight="false" outlineLevel="0" collapsed="false">
      <c r="B267" s="71" t="str">
        <f aca="false">IF($F$6="Sí",N($C$11)+240,"")</f>
        <v/>
      </c>
      <c r="C267" s="72" t="str">
        <f aca="false">IF(OR($F$6&lt;&gt;"Sí",D267&lt;=0.5),"",EDATE($C$10,240))</f>
        <v/>
      </c>
      <c r="D267" s="41" t="n">
        <f aca="false">MAX(0,M266)</f>
        <v>0</v>
      </c>
      <c r="E267" s="41" t="n">
        <f aca="false">D267*$F$7</f>
        <v>0</v>
      </c>
      <c r="F267" s="41" t="n">
        <f aca="false">IF(D267&gt;0.5,N($C$15),0)</f>
        <v>0</v>
      </c>
      <c r="G267" s="41" t="n">
        <f aca="false">IF(AND(D267&gt;0.5,N($C$19)&gt;0,N(B267)&lt;=N($C$20)),D267*$F$8,0)</f>
        <v>0</v>
      </c>
      <c r="H267" s="41" t="n">
        <f aca="false">IF(D267&lt;=0.5,0,MIN(IF(N(I267)&gt;0,I267,$F$9),D267+E267+F267))</f>
        <v>0</v>
      </c>
      <c r="I267" s="77"/>
      <c r="J267" s="77"/>
      <c r="K267" s="41" t="n">
        <f aca="false">IF(D267&lt;=0.5,0,MIN(H267+N(J267),D267+E267+F267))</f>
        <v>0</v>
      </c>
      <c r="L267" s="41" t="n">
        <f aca="false">K267-E267-F267</f>
        <v>0</v>
      </c>
      <c r="M267" s="41" t="n">
        <f aca="false">D267-L267</f>
        <v>0</v>
      </c>
      <c r="N267" s="42" t="n">
        <f aca="false">K267-G267</f>
        <v>0</v>
      </c>
      <c r="O267" s="78"/>
      <c r="P267" s="79"/>
      <c r="Q267" s="16" t="str">
        <f aca="false">IF(K267=0,"",IF(R267=1,"Pagada",IF(C267&lt;$F$12,"Vencida",IF(241=$F$13,"Próxima","Pendiente"))))</f>
        <v/>
      </c>
      <c r="R267" s="62" t="n">
        <f aca="false">IF(AND(K267&gt;0,OR(O267="Sí",O267="Si")),1,0)</f>
        <v>0</v>
      </c>
      <c r="S267" s="62" t="n">
        <f aca="false">IF(AND(K267&gt;0,R267=0),1,0)</f>
        <v>0</v>
      </c>
    </row>
    <row r="268" customFormat="false" ht="15" hidden="false" customHeight="false" outlineLevel="0" collapsed="false">
      <c r="B268" s="71" t="str">
        <f aca="false">IF($F$6="Sí",N($C$11)+241,"")</f>
        <v/>
      </c>
      <c r="C268" s="72" t="str">
        <f aca="false">IF(OR($F$6&lt;&gt;"Sí",D268&lt;=0.5),"",EDATE($C$10,241))</f>
        <v/>
      </c>
      <c r="D268" s="41" t="n">
        <f aca="false">MAX(0,M267)</f>
        <v>0</v>
      </c>
      <c r="E268" s="41" t="n">
        <f aca="false">D268*$F$7</f>
        <v>0</v>
      </c>
      <c r="F268" s="41" t="n">
        <f aca="false">IF(D268&gt;0.5,N($C$15),0)</f>
        <v>0</v>
      </c>
      <c r="G268" s="41" t="n">
        <f aca="false">IF(AND(D268&gt;0.5,N($C$19)&gt;0,N(B268)&lt;=N($C$20)),D268*$F$8,0)</f>
        <v>0</v>
      </c>
      <c r="H268" s="41" t="n">
        <f aca="false">IF(D268&lt;=0.5,0,MIN(IF(N(I268)&gt;0,I268,$F$9),D268+E268+F268))</f>
        <v>0</v>
      </c>
      <c r="I268" s="77"/>
      <c r="J268" s="77"/>
      <c r="K268" s="41" t="n">
        <f aca="false">IF(D268&lt;=0.5,0,MIN(H268+N(J268),D268+E268+F268))</f>
        <v>0</v>
      </c>
      <c r="L268" s="41" t="n">
        <f aca="false">K268-E268-F268</f>
        <v>0</v>
      </c>
      <c r="M268" s="41" t="n">
        <f aca="false">D268-L268</f>
        <v>0</v>
      </c>
      <c r="N268" s="42" t="n">
        <f aca="false">K268-G268</f>
        <v>0</v>
      </c>
      <c r="O268" s="78"/>
      <c r="P268" s="79"/>
      <c r="Q268" s="16" t="str">
        <f aca="false">IF(K268=0,"",IF(R268=1,"Pagada",IF(C268&lt;$F$12,"Vencida",IF(242=$F$13,"Próxima","Pendiente"))))</f>
        <v/>
      </c>
      <c r="R268" s="62" t="n">
        <f aca="false">IF(AND(K268&gt;0,OR(O268="Sí",O268="Si")),1,0)</f>
        <v>0</v>
      </c>
      <c r="S268" s="62" t="n">
        <f aca="false">IF(AND(K268&gt;0,R268=0),1,0)</f>
        <v>0</v>
      </c>
    </row>
    <row r="269" customFormat="false" ht="15" hidden="false" customHeight="false" outlineLevel="0" collapsed="false">
      <c r="B269" s="71" t="str">
        <f aca="false">IF($F$6="Sí",N($C$11)+242,"")</f>
        <v/>
      </c>
      <c r="C269" s="72" t="str">
        <f aca="false">IF(OR($F$6&lt;&gt;"Sí",D269&lt;=0.5),"",EDATE($C$10,242))</f>
        <v/>
      </c>
      <c r="D269" s="41" t="n">
        <f aca="false">MAX(0,M268)</f>
        <v>0</v>
      </c>
      <c r="E269" s="41" t="n">
        <f aca="false">D269*$F$7</f>
        <v>0</v>
      </c>
      <c r="F269" s="41" t="n">
        <f aca="false">IF(D269&gt;0.5,N($C$15),0)</f>
        <v>0</v>
      </c>
      <c r="G269" s="41" t="n">
        <f aca="false">IF(AND(D269&gt;0.5,N($C$19)&gt;0,N(B269)&lt;=N($C$20)),D269*$F$8,0)</f>
        <v>0</v>
      </c>
      <c r="H269" s="41" t="n">
        <f aca="false">IF(D269&lt;=0.5,0,MIN(IF(N(I269)&gt;0,I269,$F$9),D269+E269+F269))</f>
        <v>0</v>
      </c>
      <c r="I269" s="77"/>
      <c r="J269" s="77"/>
      <c r="K269" s="41" t="n">
        <f aca="false">IF(D269&lt;=0.5,0,MIN(H269+N(J269),D269+E269+F269))</f>
        <v>0</v>
      </c>
      <c r="L269" s="41" t="n">
        <f aca="false">K269-E269-F269</f>
        <v>0</v>
      </c>
      <c r="M269" s="41" t="n">
        <f aca="false">D269-L269</f>
        <v>0</v>
      </c>
      <c r="N269" s="42" t="n">
        <f aca="false">K269-G269</f>
        <v>0</v>
      </c>
      <c r="O269" s="78"/>
      <c r="P269" s="79"/>
      <c r="Q269" s="16" t="str">
        <f aca="false">IF(K269=0,"",IF(R269=1,"Pagada",IF(C269&lt;$F$12,"Vencida",IF(243=$F$13,"Próxima","Pendiente"))))</f>
        <v/>
      </c>
      <c r="R269" s="62" t="n">
        <f aca="false">IF(AND(K269&gt;0,OR(O269="Sí",O269="Si")),1,0)</f>
        <v>0</v>
      </c>
      <c r="S269" s="62" t="n">
        <f aca="false">IF(AND(K269&gt;0,R269=0),1,0)</f>
        <v>0</v>
      </c>
    </row>
    <row r="270" customFormat="false" ht="15" hidden="false" customHeight="false" outlineLevel="0" collapsed="false">
      <c r="B270" s="71" t="str">
        <f aca="false">IF($F$6="Sí",N($C$11)+243,"")</f>
        <v/>
      </c>
      <c r="C270" s="72" t="str">
        <f aca="false">IF(OR($F$6&lt;&gt;"Sí",D270&lt;=0.5),"",EDATE($C$10,243))</f>
        <v/>
      </c>
      <c r="D270" s="41" t="n">
        <f aca="false">MAX(0,M269)</f>
        <v>0</v>
      </c>
      <c r="E270" s="41" t="n">
        <f aca="false">D270*$F$7</f>
        <v>0</v>
      </c>
      <c r="F270" s="41" t="n">
        <f aca="false">IF(D270&gt;0.5,N($C$15),0)</f>
        <v>0</v>
      </c>
      <c r="G270" s="41" t="n">
        <f aca="false">IF(AND(D270&gt;0.5,N($C$19)&gt;0,N(B270)&lt;=N($C$20)),D270*$F$8,0)</f>
        <v>0</v>
      </c>
      <c r="H270" s="41" t="n">
        <f aca="false">IF(D270&lt;=0.5,0,MIN(IF(N(I270)&gt;0,I270,$F$9),D270+E270+F270))</f>
        <v>0</v>
      </c>
      <c r="I270" s="77"/>
      <c r="J270" s="77"/>
      <c r="K270" s="41" t="n">
        <f aca="false">IF(D270&lt;=0.5,0,MIN(H270+N(J270),D270+E270+F270))</f>
        <v>0</v>
      </c>
      <c r="L270" s="41" t="n">
        <f aca="false">K270-E270-F270</f>
        <v>0</v>
      </c>
      <c r="M270" s="41" t="n">
        <f aca="false">D270-L270</f>
        <v>0</v>
      </c>
      <c r="N270" s="42" t="n">
        <f aca="false">K270-G270</f>
        <v>0</v>
      </c>
      <c r="O270" s="78"/>
      <c r="P270" s="79"/>
      <c r="Q270" s="16" t="str">
        <f aca="false">IF(K270=0,"",IF(R270=1,"Pagada",IF(C270&lt;$F$12,"Vencida",IF(244=$F$13,"Próxima","Pendiente"))))</f>
        <v/>
      </c>
      <c r="R270" s="62" t="n">
        <f aca="false">IF(AND(K270&gt;0,OR(O270="Sí",O270="Si")),1,0)</f>
        <v>0</v>
      </c>
      <c r="S270" s="62" t="n">
        <f aca="false">IF(AND(K270&gt;0,R270=0),1,0)</f>
        <v>0</v>
      </c>
    </row>
    <row r="271" customFormat="false" ht="15" hidden="false" customHeight="false" outlineLevel="0" collapsed="false">
      <c r="B271" s="71" t="str">
        <f aca="false">IF($F$6="Sí",N($C$11)+244,"")</f>
        <v/>
      </c>
      <c r="C271" s="72" t="str">
        <f aca="false">IF(OR($F$6&lt;&gt;"Sí",D271&lt;=0.5),"",EDATE($C$10,244))</f>
        <v/>
      </c>
      <c r="D271" s="41" t="n">
        <f aca="false">MAX(0,M270)</f>
        <v>0</v>
      </c>
      <c r="E271" s="41" t="n">
        <f aca="false">D271*$F$7</f>
        <v>0</v>
      </c>
      <c r="F271" s="41" t="n">
        <f aca="false">IF(D271&gt;0.5,N($C$15),0)</f>
        <v>0</v>
      </c>
      <c r="G271" s="41" t="n">
        <f aca="false">IF(AND(D271&gt;0.5,N($C$19)&gt;0,N(B271)&lt;=N($C$20)),D271*$F$8,0)</f>
        <v>0</v>
      </c>
      <c r="H271" s="41" t="n">
        <f aca="false">IF(D271&lt;=0.5,0,MIN(IF(N(I271)&gt;0,I271,$F$9),D271+E271+F271))</f>
        <v>0</v>
      </c>
      <c r="I271" s="77"/>
      <c r="J271" s="77"/>
      <c r="K271" s="41" t="n">
        <f aca="false">IF(D271&lt;=0.5,0,MIN(H271+N(J271),D271+E271+F271))</f>
        <v>0</v>
      </c>
      <c r="L271" s="41" t="n">
        <f aca="false">K271-E271-F271</f>
        <v>0</v>
      </c>
      <c r="M271" s="41" t="n">
        <f aca="false">D271-L271</f>
        <v>0</v>
      </c>
      <c r="N271" s="42" t="n">
        <f aca="false">K271-G271</f>
        <v>0</v>
      </c>
      <c r="O271" s="78"/>
      <c r="P271" s="79"/>
      <c r="Q271" s="16" t="str">
        <f aca="false">IF(K271=0,"",IF(R271=1,"Pagada",IF(C271&lt;$F$12,"Vencida",IF(245=$F$13,"Próxima","Pendiente"))))</f>
        <v/>
      </c>
      <c r="R271" s="62" t="n">
        <f aca="false">IF(AND(K271&gt;0,OR(O271="Sí",O271="Si")),1,0)</f>
        <v>0</v>
      </c>
      <c r="S271" s="62" t="n">
        <f aca="false">IF(AND(K271&gt;0,R271=0),1,0)</f>
        <v>0</v>
      </c>
    </row>
    <row r="272" customFormat="false" ht="15" hidden="false" customHeight="false" outlineLevel="0" collapsed="false">
      <c r="B272" s="71" t="str">
        <f aca="false">IF($F$6="Sí",N($C$11)+245,"")</f>
        <v/>
      </c>
      <c r="C272" s="72" t="str">
        <f aca="false">IF(OR($F$6&lt;&gt;"Sí",D272&lt;=0.5),"",EDATE($C$10,245))</f>
        <v/>
      </c>
      <c r="D272" s="41" t="n">
        <f aca="false">MAX(0,M271)</f>
        <v>0</v>
      </c>
      <c r="E272" s="41" t="n">
        <f aca="false">D272*$F$7</f>
        <v>0</v>
      </c>
      <c r="F272" s="41" t="n">
        <f aca="false">IF(D272&gt;0.5,N($C$15),0)</f>
        <v>0</v>
      </c>
      <c r="G272" s="41" t="n">
        <f aca="false">IF(AND(D272&gt;0.5,N($C$19)&gt;0,N(B272)&lt;=N($C$20)),D272*$F$8,0)</f>
        <v>0</v>
      </c>
      <c r="H272" s="41" t="n">
        <f aca="false">IF(D272&lt;=0.5,0,MIN(IF(N(I272)&gt;0,I272,$F$9),D272+E272+F272))</f>
        <v>0</v>
      </c>
      <c r="I272" s="77"/>
      <c r="J272" s="77"/>
      <c r="K272" s="41" t="n">
        <f aca="false">IF(D272&lt;=0.5,0,MIN(H272+N(J272),D272+E272+F272))</f>
        <v>0</v>
      </c>
      <c r="L272" s="41" t="n">
        <f aca="false">K272-E272-F272</f>
        <v>0</v>
      </c>
      <c r="M272" s="41" t="n">
        <f aca="false">D272-L272</f>
        <v>0</v>
      </c>
      <c r="N272" s="42" t="n">
        <f aca="false">K272-G272</f>
        <v>0</v>
      </c>
      <c r="O272" s="78"/>
      <c r="P272" s="79"/>
      <c r="Q272" s="16" t="str">
        <f aca="false">IF(K272=0,"",IF(R272=1,"Pagada",IF(C272&lt;$F$12,"Vencida",IF(246=$F$13,"Próxima","Pendiente"))))</f>
        <v/>
      </c>
      <c r="R272" s="62" t="n">
        <f aca="false">IF(AND(K272&gt;0,OR(O272="Sí",O272="Si")),1,0)</f>
        <v>0</v>
      </c>
      <c r="S272" s="62" t="n">
        <f aca="false">IF(AND(K272&gt;0,R272=0),1,0)</f>
        <v>0</v>
      </c>
    </row>
    <row r="273" customFormat="false" ht="15" hidden="false" customHeight="false" outlineLevel="0" collapsed="false">
      <c r="B273" s="71" t="str">
        <f aca="false">IF($F$6="Sí",N($C$11)+246,"")</f>
        <v/>
      </c>
      <c r="C273" s="72" t="str">
        <f aca="false">IF(OR($F$6&lt;&gt;"Sí",D273&lt;=0.5),"",EDATE($C$10,246))</f>
        <v/>
      </c>
      <c r="D273" s="41" t="n">
        <f aca="false">MAX(0,M272)</f>
        <v>0</v>
      </c>
      <c r="E273" s="41" t="n">
        <f aca="false">D273*$F$7</f>
        <v>0</v>
      </c>
      <c r="F273" s="41" t="n">
        <f aca="false">IF(D273&gt;0.5,N($C$15),0)</f>
        <v>0</v>
      </c>
      <c r="G273" s="41" t="n">
        <f aca="false">IF(AND(D273&gt;0.5,N($C$19)&gt;0,N(B273)&lt;=N($C$20)),D273*$F$8,0)</f>
        <v>0</v>
      </c>
      <c r="H273" s="41" t="n">
        <f aca="false">IF(D273&lt;=0.5,0,MIN(IF(N(I273)&gt;0,I273,$F$9),D273+E273+F273))</f>
        <v>0</v>
      </c>
      <c r="I273" s="77"/>
      <c r="J273" s="77"/>
      <c r="K273" s="41" t="n">
        <f aca="false">IF(D273&lt;=0.5,0,MIN(H273+N(J273),D273+E273+F273))</f>
        <v>0</v>
      </c>
      <c r="L273" s="41" t="n">
        <f aca="false">K273-E273-F273</f>
        <v>0</v>
      </c>
      <c r="M273" s="41" t="n">
        <f aca="false">D273-L273</f>
        <v>0</v>
      </c>
      <c r="N273" s="42" t="n">
        <f aca="false">K273-G273</f>
        <v>0</v>
      </c>
      <c r="O273" s="78"/>
      <c r="P273" s="79"/>
      <c r="Q273" s="16" t="str">
        <f aca="false">IF(K273=0,"",IF(R273=1,"Pagada",IF(C273&lt;$F$12,"Vencida",IF(247=$F$13,"Próxima","Pendiente"))))</f>
        <v/>
      </c>
      <c r="R273" s="62" t="n">
        <f aca="false">IF(AND(K273&gt;0,OR(O273="Sí",O273="Si")),1,0)</f>
        <v>0</v>
      </c>
      <c r="S273" s="62" t="n">
        <f aca="false">IF(AND(K273&gt;0,R273=0),1,0)</f>
        <v>0</v>
      </c>
    </row>
    <row r="274" customFormat="false" ht="15" hidden="false" customHeight="false" outlineLevel="0" collapsed="false">
      <c r="B274" s="71" t="str">
        <f aca="false">IF($F$6="Sí",N($C$11)+247,"")</f>
        <v/>
      </c>
      <c r="C274" s="72" t="str">
        <f aca="false">IF(OR($F$6&lt;&gt;"Sí",D274&lt;=0.5),"",EDATE($C$10,247))</f>
        <v/>
      </c>
      <c r="D274" s="41" t="n">
        <f aca="false">MAX(0,M273)</f>
        <v>0</v>
      </c>
      <c r="E274" s="41" t="n">
        <f aca="false">D274*$F$7</f>
        <v>0</v>
      </c>
      <c r="F274" s="41" t="n">
        <f aca="false">IF(D274&gt;0.5,N($C$15),0)</f>
        <v>0</v>
      </c>
      <c r="G274" s="41" t="n">
        <f aca="false">IF(AND(D274&gt;0.5,N($C$19)&gt;0,N(B274)&lt;=N($C$20)),D274*$F$8,0)</f>
        <v>0</v>
      </c>
      <c r="H274" s="41" t="n">
        <f aca="false">IF(D274&lt;=0.5,0,MIN(IF(N(I274)&gt;0,I274,$F$9),D274+E274+F274))</f>
        <v>0</v>
      </c>
      <c r="I274" s="77"/>
      <c r="J274" s="77"/>
      <c r="K274" s="41" t="n">
        <f aca="false">IF(D274&lt;=0.5,0,MIN(H274+N(J274),D274+E274+F274))</f>
        <v>0</v>
      </c>
      <c r="L274" s="41" t="n">
        <f aca="false">K274-E274-F274</f>
        <v>0</v>
      </c>
      <c r="M274" s="41" t="n">
        <f aca="false">D274-L274</f>
        <v>0</v>
      </c>
      <c r="N274" s="42" t="n">
        <f aca="false">K274-G274</f>
        <v>0</v>
      </c>
      <c r="O274" s="78"/>
      <c r="P274" s="79"/>
      <c r="Q274" s="16" t="str">
        <f aca="false">IF(K274=0,"",IF(R274=1,"Pagada",IF(C274&lt;$F$12,"Vencida",IF(248=$F$13,"Próxima","Pendiente"))))</f>
        <v/>
      </c>
      <c r="R274" s="62" t="n">
        <f aca="false">IF(AND(K274&gt;0,OR(O274="Sí",O274="Si")),1,0)</f>
        <v>0</v>
      </c>
      <c r="S274" s="62" t="n">
        <f aca="false">IF(AND(K274&gt;0,R274=0),1,0)</f>
        <v>0</v>
      </c>
    </row>
    <row r="275" customFormat="false" ht="15" hidden="false" customHeight="false" outlineLevel="0" collapsed="false">
      <c r="B275" s="71" t="str">
        <f aca="false">IF($F$6="Sí",N($C$11)+248,"")</f>
        <v/>
      </c>
      <c r="C275" s="72" t="str">
        <f aca="false">IF(OR($F$6&lt;&gt;"Sí",D275&lt;=0.5),"",EDATE($C$10,248))</f>
        <v/>
      </c>
      <c r="D275" s="41" t="n">
        <f aca="false">MAX(0,M274)</f>
        <v>0</v>
      </c>
      <c r="E275" s="41" t="n">
        <f aca="false">D275*$F$7</f>
        <v>0</v>
      </c>
      <c r="F275" s="41" t="n">
        <f aca="false">IF(D275&gt;0.5,N($C$15),0)</f>
        <v>0</v>
      </c>
      <c r="G275" s="41" t="n">
        <f aca="false">IF(AND(D275&gt;0.5,N($C$19)&gt;0,N(B275)&lt;=N($C$20)),D275*$F$8,0)</f>
        <v>0</v>
      </c>
      <c r="H275" s="41" t="n">
        <f aca="false">IF(D275&lt;=0.5,0,MIN(IF(N(I275)&gt;0,I275,$F$9),D275+E275+F275))</f>
        <v>0</v>
      </c>
      <c r="I275" s="77"/>
      <c r="J275" s="77"/>
      <c r="K275" s="41" t="n">
        <f aca="false">IF(D275&lt;=0.5,0,MIN(H275+N(J275),D275+E275+F275))</f>
        <v>0</v>
      </c>
      <c r="L275" s="41" t="n">
        <f aca="false">K275-E275-F275</f>
        <v>0</v>
      </c>
      <c r="M275" s="41" t="n">
        <f aca="false">D275-L275</f>
        <v>0</v>
      </c>
      <c r="N275" s="42" t="n">
        <f aca="false">K275-G275</f>
        <v>0</v>
      </c>
      <c r="O275" s="78"/>
      <c r="P275" s="79"/>
      <c r="Q275" s="16" t="str">
        <f aca="false">IF(K275=0,"",IF(R275=1,"Pagada",IF(C275&lt;$F$12,"Vencida",IF(249=$F$13,"Próxima","Pendiente"))))</f>
        <v/>
      </c>
      <c r="R275" s="62" t="n">
        <f aca="false">IF(AND(K275&gt;0,OR(O275="Sí",O275="Si")),1,0)</f>
        <v>0</v>
      </c>
      <c r="S275" s="62" t="n">
        <f aca="false">IF(AND(K275&gt;0,R275=0),1,0)</f>
        <v>0</v>
      </c>
    </row>
    <row r="276" customFormat="false" ht="15" hidden="false" customHeight="false" outlineLevel="0" collapsed="false">
      <c r="B276" s="71" t="str">
        <f aca="false">IF($F$6="Sí",N($C$11)+249,"")</f>
        <v/>
      </c>
      <c r="C276" s="72" t="str">
        <f aca="false">IF(OR($F$6&lt;&gt;"Sí",D276&lt;=0.5),"",EDATE($C$10,249))</f>
        <v/>
      </c>
      <c r="D276" s="41" t="n">
        <f aca="false">MAX(0,M275)</f>
        <v>0</v>
      </c>
      <c r="E276" s="41" t="n">
        <f aca="false">D276*$F$7</f>
        <v>0</v>
      </c>
      <c r="F276" s="41" t="n">
        <f aca="false">IF(D276&gt;0.5,N($C$15),0)</f>
        <v>0</v>
      </c>
      <c r="G276" s="41" t="n">
        <f aca="false">IF(AND(D276&gt;0.5,N($C$19)&gt;0,N(B276)&lt;=N($C$20)),D276*$F$8,0)</f>
        <v>0</v>
      </c>
      <c r="H276" s="41" t="n">
        <f aca="false">IF(D276&lt;=0.5,0,MIN(IF(N(I276)&gt;0,I276,$F$9),D276+E276+F276))</f>
        <v>0</v>
      </c>
      <c r="I276" s="77"/>
      <c r="J276" s="77"/>
      <c r="K276" s="41" t="n">
        <f aca="false">IF(D276&lt;=0.5,0,MIN(H276+N(J276),D276+E276+F276))</f>
        <v>0</v>
      </c>
      <c r="L276" s="41" t="n">
        <f aca="false">K276-E276-F276</f>
        <v>0</v>
      </c>
      <c r="M276" s="41" t="n">
        <f aca="false">D276-L276</f>
        <v>0</v>
      </c>
      <c r="N276" s="42" t="n">
        <f aca="false">K276-G276</f>
        <v>0</v>
      </c>
      <c r="O276" s="78"/>
      <c r="P276" s="79"/>
      <c r="Q276" s="16" t="str">
        <f aca="false">IF(K276=0,"",IF(R276=1,"Pagada",IF(C276&lt;$F$12,"Vencida",IF(250=$F$13,"Próxima","Pendiente"))))</f>
        <v/>
      </c>
      <c r="R276" s="62" t="n">
        <f aca="false">IF(AND(K276&gt;0,OR(O276="Sí",O276="Si")),1,0)</f>
        <v>0</v>
      </c>
      <c r="S276" s="62" t="n">
        <f aca="false">IF(AND(K276&gt;0,R276=0),1,0)</f>
        <v>0</v>
      </c>
    </row>
    <row r="277" customFormat="false" ht="15" hidden="false" customHeight="false" outlineLevel="0" collapsed="false">
      <c r="B277" s="71" t="str">
        <f aca="false">IF($F$6="Sí",N($C$11)+250,"")</f>
        <v/>
      </c>
      <c r="C277" s="72" t="str">
        <f aca="false">IF(OR($F$6&lt;&gt;"Sí",D277&lt;=0.5),"",EDATE($C$10,250))</f>
        <v/>
      </c>
      <c r="D277" s="41" t="n">
        <f aca="false">MAX(0,M276)</f>
        <v>0</v>
      </c>
      <c r="E277" s="41" t="n">
        <f aca="false">D277*$F$7</f>
        <v>0</v>
      </c>
      <c r="F277" s="41" t="n">
        <f aca="false">IF(D277&gt;0.5,N($C$15),0)</f>
        <v>0</v>
      </c>
      <c r="G277" s="41" t="n">
        <f aca="false">IF(AND(D277&gt;0.5,N($C$19)&gt;0,N(B277)&lt;=N($C$20)),D277*$F$8,0)</f>
        <v>0</v>
      </c>
      <c r="H277" s="41" t="n">
        <f aca="false">IF(D277&lt;=0.5,0,MIN(IF(N(I277)&gt;0,I277,$F$9),D277+E277+F277))</f>
        <v>0</v>
      </c>
      <c r="I277" s="77"/>
      <c r="J277" s="77"/>
      <c r="K277" s="41" t="n">
        <f aca="false">IF(D277&lt;=0.5,0,MIN(H277+N(J277),D277+E277+F277))</f>
        <v>0</v>
      </c>
      <c r="L277" s="41" t="n">
        <f aca="false">K277-E277-F277</f>
        <v>0</v>
      </c>
      <c r="M277" s="41" t="n">
        <f aca="false">D277-L277</f>
        <v>0</v>
      </c>
      <c r="N277" s="42" t="n">
        <f aca="false">K277-G277</f>
        <v>0</v>
      </c>
      <c r="O277" s="78"/>
      <c r="P277" s="79"/>
      <c r="Q277" s="16" t="str">
        <f aca="false">IF(K277=0,"",IF(R277=1,"Pagada",IF(C277&lt;$F$12,"Vencida",IF(251=$F$13,"Próxima","Pendiente"))))</f>
        <v/>
      </c>
      <c r="R277" s="62" t="n">
        <f aca="false">IF(AND(K277&gt;0,OR(O277="Sí",O277="Si")),1,0)</f>
        <v>0</v>
      </c>
      <c r="S277" s="62" t="n">
        <f aca="false">IF(AND(K277&gt;0,R277=0),1,0)</f>
        <v>0</v>
      </c>
    </row>
    <row r="278" customFormat="false" ht="15" hidden="false" customHeight="false" outlineLevel="0" collapsed="false">
      <c r="B278" s="71" t="str">
        <f aca="false">IF($F$6="Sí",N($C$11)+251,"")</f>
        <v/>
      </c>
      <c r="C278" s="72" t="str">
        <f aca="false">IF(OR($F$6&lt;&gt;"Sí",D278&lt;=0.5),"",EDATE($C$10,251))</f>
        <v/>
      </c>
      <c r="D278" s="41" t="n">
        <f aca="false">MAX(0,M277)</f>
        <v>0</v>
      </c>
      <c r="E278" s="41" t="n">
        <f aca="false">D278*$F$7</f>
        <v>0</v>
      </c>
      <c r="F278" s="41" t="n">
        <f aca="false">IF(D278&gt;0.5,N($C$15),0)</f>
        <v>0</v>
      </c>
      <c r="G278" s="41" t="n">
        <f aca="false">IF(AND(D278&gt;0.5,N($C$19)&gt;0,N(B278)&lt;=N($C$20)),D278*$F$8,0)</f>
        <v>0</v>
      </c>
      <c r="H278" s="41" t="n">
        <f aca="false">IF(D278&lt;=0.5,0,MIN(IF(N(I278)&gt;0,I278,$F$9),D278+E278+F278))</f>
        <v>0</v>
      </c>
      <c r="I278" s="77"/>
      <c r="J278" s="77"/>
      <c r="K278" s="41" t="n">
        <f aca="false">IF(D278&lt;=0.5,0,MIN(H278+N(J278),D278+E278+F278))</f>
        <v>0</v>
      </c>
      <c r="L278" s="41" t="n">
        <f aca="false">K278-E278-F278</f>
        <v>0</v>
      </c>
      <c r="M278" s="41" t="n">
        <f aca="false">D278-L278</f>
        <v>0</v>
      </c>
      <c r="N278" s="42" t="n">
        <f aca="false">K278-G278</f>
        <v>0</v>
      </c>
      <c r="O278" s="78"/>
      <c r="P278" s="79"/>
      <c r="Q278" s="16" t="str">
        <f aca="false">IF(K278=0,"",IF(R278=1,"Pagada",IF(C278&lt;$F$12,"Vencida",IF(252=$F$13,"Próxima","Pendiente"))))</f>
        <v/>
      </c>
      <c r="R278" s="62" t="n">
        <f aca="false">IF(AND(K278&gt;0,OR(O278="Sí",O278="Si")),1,0)</f>
        <v>0</v>
      </c>
      <c r="S278" s="62" t="n">
        <f aca="false">IF(AND(K278&gt;0,R278=0),1,0)</f>
        <v>0</v>
      </c>
    </row>
    <row r="279" customFormat="false" ht="15" hidden="false" customHeight="false" outlineLevel="0" collapsed="false">
      <c r="B279" s="71" t="str">
        <f aca="false">IF($F$6="Sí",N($C$11)+252,"")</f>
        <v/>
      </c>
      <c r="C279" s="72" t="str">
        <f aca="false">IF(OR($F$6&lt;&gt;"Sí",D279&lt;=0.5),"",EDATE($C$10,252))</f>
        <v/>
      </c>
      <c r="D279" s="41" t="n">
        <f aca="false">MAX(0,M278)</f>
        <v>0</v>
      </c>
      <c r="E279" s="41" t="n">
        <f aca="false">D279*$F$7</f>
        <v>0</v>
      </c>
      <c r="F279" s="41" t="n">
        <f aca="false">IF(D279&gt;0.5,N($C$15),0)</f>
        <v>0</v>
      </c>
      <c r="G279" s="41" t="n">
        <f aca="false">IF(AND(D279&gt;0.5,N($C$19)&gt;0,N(B279)&lt;=N($C$20)),D279*$F$8,0)</f>
        <v>0</v>
      </c>
      <c r="H279" s="41" t="n">
        <f aca="false">IF(D279&lt;=0.5,0,MIN(IF(N(I279)&gt;0,I279,$F$9),D279+E279+F279))</f>
        <v>0</v>
      </c>
      <c r="I279" s="77"/>
      <c r="J279" s="77"/>
      <c r="K279" s="41" t="n">
        <f aca="false">IF(D279&lt;=0.5,0,MIN(H279+N(J279),D279+E279+F279))</f>
        <v>0</v>
      </c>
      <c r="L279" s="41" t="n">
        <f aca="false">K279-E279-F279</f>
        <v>0</v>
      </c>
      <c r="M279" s="41" t="n">
        <f aca="false">D279-L279</f>
        <v>0</v>
      </c>
      <c r="N279" s="42" t="n">
        <f aca="false">K279-G279</f>
        <v>0</v>
      </c>
      <c r="O279" s="78"/>
      <c r="P279" s="79"/>
      <c r="Q279" s="16" t="str">
        <f aca="false">IF(K279=0,"",IF(R279=1,"Pagada",IF(C279&lt;$F$12,"Vencida",IF(253=$F$13,"Próxima","Pendiente"))))</f>
        <v/>
      </c>
      <c r="R279" s="62" t="n">
        <f aca="false">IF(AND(K279&gt;0,OR(O279="Sí",O279="Si")),1,0)</f>
        <v>0</v>
      </c>
      <c r="S279" s="62" t="n">
        <f aca="false">IF(AND(K279&gt;0,R279=0),1,0)</f>
        <v>0</v>
      </c>
    </row>
    <row r="280" customFormat="false" ht="15" hidden="false" customHeight="false" outlineLevel="0" collapsed="false">
      <c r="B280" s="71" t="str">
        <f aca="false">IF($F$6="Sí",N($C$11)+253,"")</f>
        <v/>
      </c>
      <c r="C280" s="72" t="str">
        <f aca="false">IF(OR($F$6&lt;&gt;"Sí",D280&lt;=0.5),"",EDATE($C$10,253))</f>
        <v/>
      </c>
      <c r="D280" s="41" t="n">
        <f aca="false">MAX(0,M279)</f>
        <v>0</v>
      </c>
      <c r="E280" s="41" t="n">
        <f aca="false">D280*$F$7</f>
        <v>0</v>
      </c>
      <c r="F280" s="41" t="n">
        <f aca="false">IF(D280&gt;0.5,N($C$15),0)</f>
        <v>0</v>
      </c>
      <c r="G280" s="41" t="n">
        <f aca="false">IF(AND(D280&gt;0.5,N($C$19)&gt;0,N(B280)&lt;=N($C$20)),D280*$F$8,0)</f>
        <v>0</v>
      </c>
      <c r="H280" s="41" t="n">
        <f aca="false">IF(D280&lt;=0.5,0,MIN(IF(N(I280)&gt;0,I280,$F$9),D280+E280+F280))</f>
        <v>0</v>
      </c>
      <c r="I280" s="77"/>
      <c r="J280" s="77"/>
      <c r="K280" s="41" t="n">
        <f aca="false">IF(D280&lt;=0.5,0,MIN(H280+N(J280),D280+E280+F280))</f>
        <v>0</v>
      </c>
      <c r="L280" s="41" t="n">
        <f aca="false">K280-E280-F280</f>
        <v>0</v>
      </c>
      <c r="M280" s="41" t="n">
        <f aca="false">D280-L280</f>
        <v>0</v>
      </c>
      <c r="N280" s="42" t="n">
        <f aca="false">K280-G280</f>
        <v>0</v>
      </c>
      <c r="O280" s="78"/>
      <c r="P280" s="79"/>
      <c r="Q280" s="16" t="str">
        <f aca="false">IF(K280=0,"",IF(R280=1,"Pagada",IF(C280&lt;$F$12,"Vencida",IF(254=$F$13,"Próxima","Pendiente"))))</f>
        <v/>
      </c>
      <c r="R280" s="62" t="n">
        <f aca="false">IF(AND(K280&gt;0,OR(O280="Sí",O280="Si")),1,0)</f>
        <v>0</v>
      </c>
      <c r="S280" s="62" t="n">
        <f aca="false">IF(AND(K280&gt;0,R280=0),1,0)</f>
        <v>0</v>
      </c>
    </row>
    <row r="281" customFormat="false" ht="15" hidden="false" customHeight="false" outlineLevel="0" collapsed="false">
      <c r="B281" s="71" t="str">
        <f aca="false">IF($F$6="Sí",N($C$11)+254,"")</f>
        <v/>
      </c>
      <c r="C281" s="72" t="str">
        <f aca="false">IF(OR($F$6&lt;&gt;"Sí",D281&lt;=0.5),"",EDATE($C$10,254))</f>
        <v/>
      </c>
      <c r="D281" s="41" t="n">
        <f aca="false">MAX(0,M280)</f>
        <v>0</v>
      </c>
      <c r="E281" s="41" t="n">
        <f aca="false">D281*$F$7</f>
        <v>0</v>
      </c>
      <c r="F281" s="41" t="n">
        <f aca="false">IF(D281&gt;0.5,N($C$15),0)</f>
        <v>0</v>
      </c>
      <c r="G281" s="41" t="n">
        <f aca="false">IF(AND(D281&gt;0.5,N($C$19)&gt;0,N(B281)&lt;=N($C$20)),D281*$F$8,0)</f>
        <v>0</v>
      </c>
      <c r="H281" s="41" t="n">
        <f aca="false">IF(D281&lt;=0.5,0,MIN(IF(N(I281)&gt;0,I281,$F$9),D281+E281+F281))</f>
        <v>0</v>
      </c>
      <c r="I281" s="77"/>
      <c r="J281" s="77"/>
      <c r="K281" s="41" t="n">
        <f aca="false">IF(D281&lt;=0.5,0,MIN(H281+N(J281),D281+E281+F281))</f>
        <v>0</v>
      </c>
      <c r="L281" s="41" t="n">
        <f aca="false">K281-E281-F281</f>
        <v>0</v>
      </c>
      <c r="M281" s="41" t="n">
        <f aca="false">D281-L281</f>
        <v>0</v>
      </c>
      <c r="N281" s="42" t="n">
        <f aca="false">K281-G281</f>
        <v>0</v>
      </c>
      <c r="O281" s="78"/>
      <c r="P281" s="79"/>
      <c r="Q281" s="16" t="str">
        <f aca="false">IF(K281=0,"",IF(R281=1,"Pagada",IF(C281&lt;$F$12,"Vencida",IF(255=$F$13,"Próxima","Pendiente"))))</f>
        <v/>
      </c>
      <c r="R281" s="62" t="n">
        <f aca="false">IF(AND(K281&gt;0,OR(O281="Sí",O281="Si")),1,0)</f>
        <v>0</v>
      </c>
      <c r="S281" s="62" t="n">
        <f aca="false">IF(AND(K281&gt;0,R281=0),1,0)</f>
        <v>0</v>
      </c>
    </row>
    <row r="282" customFormat="false" ht="15" hidden="false" customHeight="false" outlineLevel="0" collapsed="false">
      <c r="B282" s="71" t="str">
        <f aca="false">IF($F$6="Sí",N($C$11)+255,"")</f>
        <v/>
      </c>
      <c r="C282" s="72" t="str">
        <f aca="false">IF(OR($F$6&lt;&gt;"Sí",D282&lt;=0.5),"",EDATE($C$10,255))</f>
        <v/>
      </c>
      <c r="D282" s="41" t="n">
        <f aca="false">MAX(0,M281)</f>
        <v>0</v>
      </c>
      <c r="E282" s="41" t="n">
        <f aca="false">D282*$F$7</f>
        <v>0</v>
      </c>
      <c r="F282" s="41" t="n">
        <f aca="false">IF(D282&gt;0.5,N($C$15),0)</f>
        <v>0</v>
      </c>
      <c r="G282" s="41" t="n">
        <f aca="false">IF(AND(D282&gt;0.5,N($C$19)&gt;0,N(B282)&lt;=N($C$20)),D282*$F$8,0)</f>
        <v>0</v>
      </c>
      <c r="H282" s="41" t="n">
        <f aca="false">IF(D282&lt;=0.5,0,MIN(IF(N(I282)&gt;0,I282,$F$9),D282+E282+F282))</f>
        <v>0</v>
      </c>
      <c r="I282" s="77"/>
      <c r="J282" s="77"/>
      <c r="K282" s="41" t="n">
        <f aca="false">IF(D282&lt;=0.5,0,MIN(H282+N(J282),D282+E282+F282))</f>
        <v>0</v>
      </c>
      <c r="L282" s="41" t="n">
        <f aca="false">K282-E282-F282</f>
        <v>0</v>
      </c>
      <c r="M282" s="41" t="n">
        <f aca="false">D282-L282</f>
        <v>0</v>
      </c>
      <c r="N282" s="42" t="n">
        <f aca="false">K282-G282</f>
        <v>0</v>
      </c>
      <c r="O282" s="78"/>
      <c r="P282" s="79"/>
      <c r="Q282" s="16" t="str">
        <f aca="false">IF(K282=0,"",IF(R282=1,"Pagada",IF(C282&lt;$F$12,"Vencida",IF(256=$F$13,"Próxima","Pendiente"))))</f>
        <v/>
      </c>
      <c r="R282" s="62" t="n">
        <f aca="false">IF(AND(K282&gt;0,OR(O282="Sí",O282="Si")),1,0)</f>
        <v>0</v>
      </c>
      <c r="S282" s="62" t="n">
        <f aca="false">IF(AND(K282&gt;0,R282=0),1,0)</f>
        <v>0</v>
      </c>
    </row>
    <row r="283" customFormat="false" ht="15" hidden="false" customHeight="false" outlineLevel="0" collapsed="false">
      <c r="B283" s="71" t="str">
        <f aca="false">IF($F$6="Sí",N($C$11)+256,"")</f>
        <v/>
      </c>
      <c r="C283" s="72" t="str">
        <f aca="false">IF(OR($F$6&lt;&gt;"Sí",D283&lt;=0.5),"",EDATE($C$10,256))</f>
        <v/>
      </c>
      <c r="D283" s="41" t="n">
        <f aca="false">MAX(0,M282)</f>
        <v>0</v>
      </c>
      <c r="E283" s="41" t="n">
        <f aca="false">D283*$F$7</f>
        <v>0</v>
      </c>
      <c r="F283" s="41" t="n">
        <f aca="false">IF(D283&gt;0.5,N($C$15),0)</f>
        <v>0</v>
      </c>
      <c r="G283" s="41" t="n">
        <f aca="false">IF(AND(D283&gt;0.5,N($C$19)&gt;0,N(B283)&lt;=N($C$20)),D283*$F$8,0)</f>
        <v>0</v>
      </c>
      <c r="H283" s="41" t="n">
        <f aca="false">IF(D283&lt;=0.5,0,MIN(IF(N(I283)&gt;0,I283,$F$9),D283+E283+F283))</f>
        <v>0</v>
      </c>
      <c r="I283" s="77"/>
      <c r="J283" s="77"/>
      <c r="K283" s="41" t="n">
        <f aca="false">IF(D283&lt;=0.5,0,MIN(H283+N(J283),D283+E283+F283))</f>
        <v>0</v>
      </c>
      <c r="L283" s="41" t="n">
        <f aca="false">K283-E283-F283</f>
        <v>0</v>
      </c>
      <c r="M283" s="41" t="n">
        <f aca="false">D283-L283</f>
        <v>0</v>
      </c>
      <c r="N283" s="42" t="n">
        <f aca="false">K283-G283</f>
        <v>0</v>
      </c>
      <c r="O283" s="78"/>
      <c r="P283" s="79"/>
      <c r="Q283" s="16" t="str">
        <f aca="false">IF(K283=0,"",IF(R283=1,"Pagada",IF(C283&lt;$F$12,"Vencida",IF(257=$F$13,"Próxima","Pendiente"))))</f>
        <v/>
      </c>
      <c r="R283" s="62" t="n">
        <f aca="false">IF(AND(K283&gt;0,OR(O283="Sí",O283="Si")),1,0)</f>
        <v>0</v>
      </c>
      <c r="S283" s="62" t="n">
        <f aca="false">IF(AND(K283&gt;0,R283=0),1,0)</f>
        <v>0</v>
      </c>
    </row>
    <row r="284" customFormat="false" ht="15" hidden="false" customHeight="false" outlineLevel="0" collapsed="false">
      <c r="B284" s="71" t="str">
        <f aca="false">IF($F$6="Sí",N($C$11)+257,"")</f>
        <v/>
      </c>
      <c r="C284" s="72" t="str">
        <f aca="false">IF(OR($F$6&lt;&gt;"Sí",D284&lt;=0.5),"",EDATE($C$10,257))</f>
        <v/>
      </c>
      <c r="D284" s="41" t="n">
        <f aca="false">MAX(0,M283)</f>
        <v>0</v>
      </c>
      <c r="E284" s="41" t="n">
        <f aca="false">D284*$F$7</f>
        <v>0</v>
      </c>
      <c r="F284" s="41" t="n">
        <f aca="false">IF(D284&gt;0.5,N($C$15),0)</f>
        <v>0</v>
      </c>
      <c r="G284" s="41" t="n">
        <f aca="false">IF(AND(D284&gt;0.5,N($C$19)&gt;0,N(B284)&lt;=N($C$20)),D284*$F$8,0)</f>
        <v>0</v>
      </c>
      <c r="H284" s="41" t="n">
        <f aca="false">IF(D284&lt;=0.5,0,MIN(IF(N(I284)&gt;0,I284,$F$9),D284+E284+F284))</f>
        <v>0</v>
      </c>
      <c r="I284" s="77"/>
      <c r="J284" s="77"/>
      <c r="K284" s="41" t="n">
        <f aca="false">IF(D284&lt;=0.5,0,MIN(H284+N(J284),D284+E284+F284))</f>
        <v>0</v>
      </c>
      <c r="L284" s="41" t="n">
        <f aca="false">K284-E284-F284</f>
        <v>0</v>
      </c>
      <c r="M284" s="41" t="n">
        <f aca="false">D284-L284</f>
        <v>0</v>
      </c>
      <c r="N284" s="42" t="n">
        <f aca="false">K284-G284</f>
        <v>0</v>
      </c>
      <c r="O284" s="78"/>
      <c r="P284" s="79"/>
      <c r="Q284" s="16" t="str">
        <f aca="false">IF(K284=0,"",IF(R284=1,"Pagada",IF(C284&lt;$F$12,"Vencida",IF(258=$F$13,"Próxima","Pendiente"))))</f>
        <v/>
      </c>
      <c r="R284" s="62" t="n">
        <f aca="false">IF(AND(K284&gt;0,OR(O284="Sí",O284="Si")),1,0)</f>
        <v>0</v>
      </c>
      <c r="S284" s="62" t="n">
        <f aca="false">IF(AND(K284&gt;0,R284=0),1,0)</f>
        <v>0</v>
      </c>
    </row>
    <row r="285" customFormat="false" ht="15" hidden="false" customHeight="false" outlineLevel="0" collapsed="false">
      <c r="B285" s="71" t="str">
        <f aca="false">IF($F$6="Sí",N($C$11)+258,"")</f>
        <v/>
      </c>
      <c r="C285" s="72" t="str">
        <f aca="false">IF(OR($F$6&lt;&gt;"Sí",D285&lt;=0.5),"",EDATE($C$10,258))</f>
        <v/>
      </c>
      <c r="D285" s="41" t="n">
        <f aca="false">MAX(0,M284)</f>
        <v>0</v>
      </c>
      <c r="E285" s="41" t="n">
        <f aca="false">D285*$F$7</f>
        <v>0</v>
      </c>
      <c r="F285" s="41" t="n">
        <f aca="false">IF(D285&gt;0.5,N($C$15),0)</f>
        <v>0</v>
      </c>
      <c r="G285" s="41" t="n">
        <f aca="false">IF(AND(D285&gt;0.5,N($C$19)&gt;0,N(B285)&lt;=N($C$20)),D285*$F$8,0)</f>
        <v>0</v>
      </c>
      <c r="H285" s="41" t="n">
        <f aca="false">IF(D285&lt;=0.5,0,MIN(IF(N(I285)&gt;0,I285,$F$9),D285+E285+F285))</f>
        <v>0</v>
      </c>
      <c r="I285" s="77"/>
      <c r="J285" s="77"/>
      <c r="K285" s="41" t="n">
        <f aca="false">IF(D285&lt;=0.5,0,MIN(H285+N(J285),D285+E285+F285))</f>
        <v>0</v>
      </c>
      <c r="L285" s="41" t="n">
        <f aca="false">K285-E285-F285</f>
        <v>0</v>
      </c>
      <c r="M285" s="41" t="n">
        <f aca="false">D285-L285</f>
        <v>0</v>
      </c>
      <c r="N285" s="42" t="n">
        <f aca="false">K285-G285</f>
        <v>0</v>
      </c>
      <c r="O285" s="78"/>
      <c r="P285" s="79"/>
      <c r="Q285" s="16" t="str">
        <f aca="false">IF(K285=0,"",IF(R285=1,"Pagada",IF(C285&lt;$F$12,"Vencida",IF(259=$F$13,"Próxima","Pendiente"))))</f>
        <v/>
      </c>
      <c r="R285" s="62" t="n">
        <f aca="false">IF(AND(K285&gt;0,OR(O285="Sí",O285="Si")),1,0)</f>
        <v>0</v>
      </c>
      <c r="S285" s="62" t="n">
        <f aca="false">IF(AND(K285&gt;0,R285=0),1,0)</f>
        <v>0</v>
      </c>
    </row>
    <row r="286" customFormat="false" ht="15" hidden="false" customHeight="false" outlineLevel="0" collapsed="false">
      <c r="B286" s="71" t="str">
        <f aca="false">IF($F$6="Sí",N($C$11)+259,"")</f>
        <v/>
      </c>
      <c r="C286" s="72" t="str">
        <f aca="false">IF(OR($F$6&lt;&gt;"Sí",D286&lt;=0.5),"",EDATE($C$10,259))</f>
        <v/>
      </c>
      <c r="D286" s="41" t="n">
        <f aca="false">MAX(0,M285)</f>
        <v>0</v>
      </c>
      <c r="E286" s="41" t="n">
        <f aca="false">D286*$F$7</f>
        <v>0</v>
      </c>
      <c r="F286" s="41" t="n">
        <f aca="false">IF(D286&gt;0.5,N($C$15),0)</f>
        <v>0</v>
      </c>
      <c r="G286" s="41" t="n">
        <f aca="false">IF(AND(D286&gt;0.5,N($C$19)&gt;0,N(B286)&lt;=N($C$20)),D286*$F$8,0)</f>
        <v>0</v>
      </c>
      <c r="H286" s="41" t="n">
        <f aca="false">IF(D286&lt;=0.5,0,MIN(IF(N(I286)&gt;0,I286,$F$9),D286+E286+F286))</f>
        <v>0</v>
      </c>
      <c r="I286" s="77"/>
      <c r="J286" s="77"/>
      <c r="K286" s="41" t="n">
        <f aca="false">IF(D286&lt;=0.5,0,MIN(H286+N(J286),D286+E286+F286))</f>
        <v>0</v>
      </c>
      <c r="L286" s="41" t="n">
        <f aca="false">K286-E286-F286</f>
        <v>0</v>
      </c>
      <c r="M286" s="41" t="n">
        <f aca="false">D286-L286</f>
        <v>0</v>
      </c>
      <c r="N286" s="42" t="n">
        <f aca="false">K286-G286</f>
        <v>0</v>
      </c>
      <c r="O286" s="78"/>
      <c r="P286" s="79"/>
      <c r="Q286" s="16" t="str">
        <f aca="false">IF(K286=0,"",IF(R286=1,"Pagada",IF(C286&lt;$F$12,"Vencida",IF(260=$F$13,"Próxima","Pendiente"))))</f>
        <v/>
      </c>
      <c r="R286" s="62" t="n">
        <f aca="false">IF(AND(K286&gt;0,OR(O286="Sí",O286="Si")),1,0)</f>
        <v>0</v>
      </c>
      <c r="S286" s="62" t="n">
        <f aca="false">IF(AND(K286&gt;0,R286=0),1,0)</f>
        <v>0</v>
      </c>
    </row>
    <row r="287" customFormat="false" ht="15" hidden="false" customHeight="false" outlineLevel="0" collapsed="false">
      <c r="B287" s="71" t="str">
        <f aca="false">IF($F$6="Sí",N($C$11)+260,"")</f>
        <v/>
      </c>
      <c r="C287" s="72" t="str">
        <f aca="false">IF(OR($F$6&lt;&gt;"Sí",D287&lt;=0.5),"",EDATE($C$10,260))</f>
        <v/>
      </c>
      <c r="D287" s="41" t="n">
        <f aca="false">MAX(0,M286)</f>
        <v>0</v>
      </c>
      <c r="E287" s="41" t="n">
        <f aca="false">D287*$F$7</f>
        <v>0</v>
      </c>
      <c r="F287" s="41" t="n">
        <f aca="false">IF(D287&gt;0.5,N($C$15),0)</f>
        <v>0</v>
      </c>
      <c r="G287" s="41" t="n">
        <f aca="false">IF(AND(D287&gt;0.5,N($C$19)&gt;0,N(B287)&lt;=N($C$20)),D287*$F$8,0)</f>
        <v>0</v>
      </c>
      <c r="H287" s="41" t="n">
        <f aca="false">IF(D287&lt;=0.5,0,MIN(IF(N(I287)&gt;0,I287,$F$9),D287+E287+F287))</f>
        <v>0</v>
      </c>
      <c r="I287" s="77"/>
      <c r="J287" s="77"/>
      <c r="K287" s="41" t="n">
        <f aca="false">IF(D287&lt;=0.5,0,MIN(H287+N(J287),D287+E287+F287))</f>
        <v>0</v>
      </c>
      <c r="L287" s="41" t="n">
        <f aca="false">K287-E287-F287</f>
        <v>0</v>
      </c>
      <c r="M287" s="41" t="n">
        <f aca="false">D287-L287</f>
        <v>0</v>
      </c>
      <c r="N287" s="42" t="n">
        <f aca="false">K287-G287</f>
        <v>0</v>
      </c>
      <c r="O287" s="78"/>
      <c r="P287" s="79"/>
      <c r="Q287" s="16" t="str">
        <f aca="false">IF(K287=0,"",IF(R287=1,"Pagada",IF(C287&lt;$F$12,"Vencida",IF(261=$F$13,"Próxima","Pendiente"))))</f>
        <v/>
      </c>
      <c r="R287" s="62" t="n">
        <f aca="false">IF(AND(K287&gt;0,OR(O287="Sí",O287="Si")),1,0)</f>
        <v>0</v>
      </c>
      <c r="S287" s="62" t="n">
        <f aca="false">IF(AND(K287&gt;0,R287=0),1,0)</f>
        <v>0</v>
      </c>
    </row>
    <row r="288" customFormat="false" ht="15" hidden="false" customHeight="false" outlineLevel="0" collapsed="false">
      <c r="B288" s="71" t="str">
        <f aca="false">IF($F$6="Sí",N($C$11)+261,"")</f>
        <v/>
      </c>
      <c r="C288" s="72" t="str">
        <f aca="false">IF(OR($F$6&lt;&gt;"Sí",D288&lt;=0.5),"",EDATE($C$10,261))</f>
        <v/>
      </c>
      <c r="D288" s="41" t="n">
        <f aca="false">MAX(0,M287)</f>
        <v>0</v>
      </c>
      <c r="E288" s="41" t="n">
        <f aca="false">D288*$F$7</f>
        <v>0</v>
      </c>
      <c r="F288" s="41" t="n">
        <f aca="false">IF(D288&gt;0.5,N($C$15),0)</f>
        <v>0</v>
      </c>
      <c r="G288" s="41" t="n">
        <f aca="false">IF(AND(D288&gt;0.5,N($C$19)&gt;0,N(B288)&lt;=N($C$20)),D288*$F$8,0)</f>
        <v>0</v>
      </c>
      <c r="H288" s="41" t="n">
        <f aca="false">IF(D288&lt;=0.5,0,MIN(IF(N(I288)&gt;0,I288,$F$9),D288+E288+F288))</f>
        <v>0</v>
      </c>
      <c r="I288" s="77"/>
      <c r="J288" s="77"/>
      <c r="K288" s="41" t="n">
        <f aca="false">IF(D288&lt;=0.5,0,MIN(H288+N(J288),D288+E288+F288))</f>
        <v>0</v>
      </c>
      <c r="L288" s="41" t="n">
        <f aca="false">K288-E288-F288</f>
        <v>0</v>
      </c>
      <c r="M288" s="41" t="n">
        <f aca="false">D288-L288</f>
        <v>0</v>
      </c>
      <c r="N288" s="42" t="n">
        <f aca="false">K288-G288</f>
        <v>0</v>
      </c>
      <c r="O288" s="78"/>
      <c r="P288" s="79"/>
      <c r="Q288" s="16" t="str">
        <f aca="false">IF(K288=0,"",IF(R288=1,"Pagada",IF(C288&lt;$F$12,"Vencida",IF(262=$F$13,"Próxima","Pendiente"))))</f>
        <v/>
      </c>
      <c r="R288" s="62" t="n">
        <f aca="false">IF(AND(K288&gt;0,OR(O288="Sí",O288="Si")),1,0)</f>
        <v>0</v>
      </c>
      <c r="S288" s="62" t="n">
        <f aca="false">IF(AND(K288&gt;0,R288=0),1,0)</f>
        <v>0</v>
      </c>
    </row>
    <row r="289" customFormat="false" ht="15" hidden="false" customHeight="false" outlineLevel="0" collapsed="false">
      <c r="B289" s="71" t="str">
        <f aca="false">IF($F$6="Sí",N($C$11)+262,"")</f>
        <v/>
      </c>
      <c r="C289" s="72" t="str">
        <f aca="false">IF(OR($F$6&lt;&gt;"Sí",D289&lt;=0.5),"",EDATE($C$10,262))</f>
        <v/>
      </c>
      <c r="D289" s="41" t="n">
        <f aca="false">MAX(0,M288)</f>
        <v>0</v>
      </c>
      <c r="E289" s="41" t="n">
        <f aca="false">D289*$F$7</f>
        <v>0</v>
      </c>
      <c r="F289" s="41" t="n">
        <f aca="false">IF(D289&gt;0.5,N($C$15),0)</f>
        <v>0</v>
      </c>
      <c r="G289" s="41" t="n">
        <f aca="false">IF(AND(D289&gt;0.5,N($C$19)&gt;0,N(B289)&lt;=N($C$20)),D289*$F$8,0)</f>
        <v>0</v>
      </c>
      <c r="H289" s="41" t="n">
        <f aca="false">IF(D289&lt;=0.5,0,MIN(IF(N(I289)&gt;0,I289,$F$9),D289+E289+F289))</f>
        <v>0</v>
      </c>
      <c r="I289" s="77"/>
      <c r="J289" s="77"/>
      <c r="K289" s="41" t="n">
        <f aca="false">IF(D289&lt;=0.5,0,MIN(H289+N(J289),D289+E289+F289))</f>
        <v>0</v>
      </c>
      <c r="L289" s="41" t="n">
        <f aca="false">K289-E289-F289</f>
        <v>0</v>
      </c>
      <c r="M289" s="41" t="n">
        <f aca="false">D289-L289</f>
        <v>0</v>
      </c>
      <c r="N289" s="42" t="n">
        <f aca="false">K289-G289</f>
        <v>0</v>
      </c>
      <c r="O289" s="78"/>
      <c r="P289" s="79"/>
      <c r="Q289" s="16" t="str">
        <f aca="false">IF(K289=0,"",IF(R289=1,"Pagada",IF(C289&lt;$F$12,"Vencida",IF(263=$F$13,"Próxima","Pendiente"))))</f>
        <v/>
      </c>
      <c r="R289" s="62" t="n">
        <f aca="false">IF(AND(K289&gt;0,OR(O289="Sí",O289="Si")),1,0)</f>
        <v>0</v>
      </c>
      <c r="S289" s="62" t="n">
        <f aca="false">IF(AND(K289&gt;0,R289=0),1,0)</f>
        <v>0</v>
      </c>
    </row>
    <row r="290" customFormat="false" ht="15" hidden="false" customHeight="false" outlineLevel="0" collapsed="false">
      <c r="B290" s="71" t="str">
        <f aca="false">IF($F$6="Sí",N($C$11)+263,"")</f>
        <v/>
      </c>
      <c r="C290" s="72" t="str">
        <f aca="false">IF(OR($F$6&lt;&gt;"Sí",D290&lt;=0.5),"",EDATE($C$10,263))</f>
        <v/>
      </c>
      <c r="D290" s="41" t="n">
        <f aca="false">MAX(0,M289)</f>
        <v>0</v>
      </c>
      <c r="E290" s="41" t="n">
        <f aca="false">D290*$F$7</f>
        <v>0</v>
      </c>
      <c r="F290" s="41" t="n">
        <f aca="false">IF(D290&gt;0.5,N($C$15),0)</f>
        <v>0</v>
      </c>
      <c r="G290" s="41" t="n">
        <f aca="false">IF(AND(D290&gt;0.5,N($C$19)&gt;0,N(B290)&lt;=N($C$20)),D290*$F$8,0)</f>
        <v>0</v>
      </c>
      <c r="H290" s="41" t="n">
        <f aca="false">IF(D290&lt;=0.5,0,MIN(IF(N(I290)&gt;0,I290,$F$9),D290+E290+F290))</f>
        <v>0</v>
      </c>
      <c r="I290" s="77"/>
      <c r="J290" s="77"/>
      <c r="K290" s="41" t="n">
        <f aca="false">IF(D290&lt;=0.5,0,MIN(H290+N(J290),D290+E290+F290))</f>
        <v>0</v>
      </c>
      <c r="L290" s="41" t="n">
        <f aca="false">K290-E290-F290</f>
        <v>0</v>
      </c>
      <c r="M290" s="41" t="n">
        <f aca="false">D290-L290</f>
        <v>0</v>
      </c>
      <c r="N290" s="42" t="n">
        <f aca="false">K290-G290</f>
        <v>0</v>
      </c>
      <c r="O290" s="78"/>
      <c r="P290" s="79"/>
      <c r="Q290" s="16" t="str">
        <f aca="false">IF(K290=0,"",IF(R290=1,"Pagada",IF(C290&lt;$F$12,"Vencida",IF(264=$F$13,"Próxima","Pendiente"))))</f>
        <v/>
      </c>
      <c r="R290" s="62" t="n">
        <f aca="false">IF(AND(K290&gt;0,OR(O290="Sí",O290="Si")),1,0)</f>
        <v>0</v>
      </c>
      <c r="S290" s="62" t="n">
        <f aca="false">IF(AND(K290&gt;0,R290=0),1,0)</f>
        <v>0</v>
      </c>
    </row>
    <row r="291" customFormat="false" ht="15" hidden="false" customHeight="false" outlineLevel="0" collapsed="false">
      <c r="B291" s="71" t="str">
        <f aca="false">IF($F$6="Sí",N($C$11)+264,"")</f>
        <v/>
      </c>
      <c r="C291" s="72" t="str">
        <f aca="false">IF(OR($F$6&lt;&gt;"Sí",D291&lt;=0.5),"",EDATE($C$10,264))</f>
        <v/>
      </c>
      <c r="D291" s="41" t="n">
        <f aca="false">MAX(0,M290)</f>
        <v>0</v>
      </c>
      <c r="E291" s="41" t="n">
        <f aca="false">D291*$F$7</f>
        <v>0</v>
      </c>
      <c r="F291" s="41" t="n">
        <f aca="false">IF(D291&gt;0.5,N($C$15),0)</f>
        <v>0</v>
      </c>
      <c r="G291" s="41" t="n">
        <f aca="false">IF(AND(D291&gt;0.5,N($C$19)&gt;0,N(B291)&lt;=N($C$20)),D291*$F$8,0)</f>
        <v>0</v>
      </c>
      <c r="H291" s="41" t="n">
        <f aca="false">IF(D291&lt;=0.5,0,MIN(IF(N(I291)&gt;0,I291,$F$9),D291+E291+F291))</f>
        <v>0</v>
      </c>
      <c r="I291" s="77"/>
      <c r="J291" s="77"/>
      <c r="K291" s="41" t="n">
        <f aca="false">IF(D291&lt;=0.5,0,MIN(H291+N(J291),D291+E291+F291))</f>
        <v>0</v>
      </c>
      <c r="L291" s="41" t="n">
        <f aca="false">K291-E291-F291</f>
        <v>0</v>
      </c>
      <c r="M291" s="41" t="n">
        <f aca="false">D291-L291</f>
        <v>0</v>
      </c>
      <c r="N291" s="42" t="n">
        <f aca="false">K291-G291</f>
        <v>0</v>
      </c>
      <c r="O291" s="78"/>
      <c r="P291" s="79"/>
      <c r="Q291" s="16" t="str">
        <f aca="false">IF(K291=0,"",IF(R291=1,"Pagada",IF(C291&lt;$F$12,"Vencida",IF(265=$F$13,"Próxima","Pendiente"))))</f>
        <v/>
      </c>
      <c r="R291" s="62" t="n">
        <f aca="false">IF(AND(K291&gt;0,OR(O291="Sí",O291="Si")),1,0)</f>
        <v>0</v>
      </c>
      <c r="S291" s="62" t="n">
        <f aca="false">IF(AND(K291&gt;0,R291=0),1,0)</f>
        <v>0</v>
      </c>
    </row>
    <row r="292" customFormat="false" ht="15" hidden="false" customHeight="false" outlineLevel="0" collapsed="false">
      <c r="B292" s="71" t="str">
        <f aca="false">IF($F$6="Sí",N($C$11)+265,"")</f>
        <v/>
      </c>
      <c r="C292" s="72" t="str">
        <f aca="false">IF(OR($F$6&lt;&gt;"Sí",D292&lt;=0.5),"",EDATE($C$10,265))</f>
        <v/>
      </c>
      <c r="D292" s="41" t="n">
        <f aca="false">MAX(0,M291)</f>
        <v>0</v>
      </c>
      <c r="E292" s="41" t="n">
        <f aca="false">D292*$F$7</f>
        <v>0</v>
      </c>
      <c r="F292" s="41" t="n">
        <f aca="false">IF(D292&gt;0.5,N($C$15),0)</f>
        <v>0</v>
      </c>
      <c r="G292" s="41" t="n">
        <f aca="false">IF(AND(D292&gt;0.5,N($C$19)&gt;0,N(B292)&lt;=N($C$20)),D292*$F$8,0)</f>
        <v>0</v>
      </c>
      <c r="H292" s="41" t="n">
        <f aca="false">IF(D292&lt;=0.5,0,MIN(IF(N(I292)&gt;0,I292,$F$9),D292+E292+F292))</f>
        <v>0</v>
      </c>
      <c r="I292" s="77"/>
      <c r="J292" s="77"/>
      <c r="K292" s="41" t="n">
        <f aca="false">IF(D292&lt;=0.5,0,MIN(H292+N(J292),D292+E292+F292))</f>
        <v>0</v>
      </c>
      <c r="L292" s="41" t="n">
        <f aca="false">K292-E292-F292</f>
        <v>0</v>
      </c>
      <c r="M292" s="41" t="n">
        <f aca="false">D292-L292</f>
        <v>0</v>
      </c>
      <c r="N292" s="42" t="n">
        <f aca="false">K292-G292</f>
        <v>0</v>
      </c>
      <c r="O292" s="78"/>
      <c r="P292" s="79"/>
      <c r="Q292" s="16" t="str">
        <f aca="false">IF(K292=0,"",IF(R292=1,"Pagada",IF(C292&lt;$F$12,"Vencida",IF(266=$F$13,"Próxima","Pendiente"))))</f>
        <v/>
      </c>
      <c r="R292" s="62" t="n">
        <f aca="false">IF(AND(K292&gt;0,OR(O292="Sí",O292="Si")),1,0)</f>
        <v>0</v>
      </c>
      <c r="S292" s="62" t="n">
        <f aca="false">IF(AND(K292&gt;0,R292=0),1,0)</f>
        <v>0</v>
      </c>
    </row>
    <row r="293" customFormat="false" ht="15" hidden="false" customHeight="false" outlineLevel="0" collapsed="false">
      <c r="B293" s="71" t="str">
        <f aca="false">IF($F$6="Sí",N($C$11)+266,"")</f>
        <v/>
      </c>
      <c r="C293" s="72" t="str">
        <f aca="false">IF(OR($F$6&lt;&gt;"Sí",D293&lt;=0.5),"",EDATE($C$10,266))</f>
        <v/>
      </c>
      <c r="D293" s="41" t="n">
        <f aca="false">MAX(0,M292)</f>
        <v>0</v>
      </c>
      <c r="E293" s="41" t="n">
        <f aca="false">D293*$F$7</f>
        <v>0</v>
      </c>
      <c r="F293" s="41" t="n">
        <f aca="false">IF(D293&gt;0.5,N($C$15),0)</f>
        <v>0</v>
      </c>
      <c r="G293" s="41" t="n">
        <f aca="false">IF(AND(D293&gt;0.5,N($C$19)&gt;0,N(B293)&lt;=N($C$20)),D293*$F$8,0)</f>
        <v>0</v>
      </c>
      <c r="H293" s="41" t="n">
        <f aca="false">IF(D293&lt;=0.5,0,MIN(IF(N(I293)&gt;0,I293,$F$9),D293+E293+F293))</f>
        <v>0</v>
      </c>
      <c r="I293" s="77"/>
      <c r="J293" s="77"/>
      <c r="K293" s="41" t="n">
        <f aca="false">IF(D293&lt;=0.5,0,MIN(H293+N(J293),D293+E293+F293))</f>
        <v>0</v>
      </c>
      <c r="L293" s="41" t="n">
        <f aca="false">K293-E293-F293</f>
        <v>0</v>
      </c>
      <c r="M293" s="41" t="n">
        <f aca="false">D293-L293</f>
        <v>0</v>
      </c>
      <c r="N293" s="42" t="n">
        <f aca="false">K293-G293</f>
        <v>0</v>
      </c>
      <c r="O293" s="78"/>
      <c r="P293" s="79"/>
      <c r="Q293" s="16" t="str">
        <f aca="false">IF(K293=0,"",IF(R293=1,"Pagada",IF(C293&lt;$F$12,"Vencida",IF(267=$F$13,"Próxima","Pendiente"))))</f>
        <v/>
      </c>
      <c r="R293" s="62" t="n">
        <f aca="false">IF(AND(K293&gt;0,OR(O293="Sí",O293="Si")),1,0)</f>
        <v>0</v>
      </c>
      <c r="S293" s="62" t="n">
        <f aca="false">IF(AND(K293&gt;0,R293=0),1,0)</f>
        <v>0</v>
      </c>
    </row>
    <row r="294" customFormat="false" ht="15" hidden="false" customHeight="false" outlineLevel="0" collapsed="false">
      <c r="B294" s="71" t="str">
        <f aca="false">IF($F$6="Sí",N($C$11)+267,"")</f>
        <v/>
      </c>
      <c r="C294" s="72" t="str">
        <f aca="false">IF(OR($F$6&lt;&gt;"Sí",D294&lt;=0.5),"",EDATE($C$10,267))</f>
        <v/>
      </c>
      <c r="D294" s="41" t="n">
        <f aca="false">MAX(0,M293)</f>
        <v>0</v>
      </c>
      <c r="E294" s="41" t="n">
        <f aca="false">D294*$F$7</f>
        <v>0</v>
      </c>
      <c r="F294" s="41" t="n">
        <f aca="false">IF(D294&gt;0.5,N($C$15),0)</f>
        <v>0</v>
      </c>
      <c r="G294" s="41" t="n">
        <f aca="false">IF(AND(D294&gt;0.5,N($C$19)&gt;0,N(B294)&lt;=N($C$20)),D294*$F$8,0)</f>
        <v>0</v>
      </c>
      <c r="H294" s="41" t="n">
        <f aca="false">IF(D294&lt;=0.5,0,MIN(IF(N(I294)&gt;0,I294,$F$9),D294+E294+F294))</f>
        <v>0</v>
      </c>
      <c r="I294" s="77"/>
      <c r="J294" s="77"/>
      <c r="K294" s="41" t="n">
        <f aca="false">IF(D294&lt;=0.5,0,MIN(H294+N(J294),D294+E294+F294))</f>
        <v>0</v>
      </c>
      <c r="L294" s="41" t="n">
        <f aca="false">K294-E294-F294</f>
        <v>0</v>
      </c>
      <c r="M294" s="41" t="n">
        <f aca="false">D294-L294</f>
        <v>0</v>
      </c>
      <c r="N294" s="42" t="n">
        <f aca="false">K294-G294</f>
        <v>0</v>
      </c>
      <c r="O294" s="78"/>
      <c r="P294" s="79"/>
      <c r="Q294" s="16" t="str">
        <f aca="false">IF(K294=0,"",IF(R294=1,"Pagada",IF(C294&lt;$F$12,"Vencida",IF(268=$F$13,"Próxima","Pendiente"))))</f>
        <v/>
      </c>
      <c r="R294" s="62" t="n">
        <f aca="false">IF(AND(K294&gt;0,OR(O294="Sí",O294="Si")),1,0)</f>
        <v>0</v>
      </c>
      <c r="S294" s="62" t="n">
        <f aca="false">IF(AND(K294&gt;0,R294=0),1,0)</f>
        <v>0</v>
      </c>
    </row>
    <row r="295" customFormat="false" ht="15" hidden="false" customHeight="false" outlineLevel="0" collapsed="false">
      <c r="B295" s="71" t="str">
        <f aca="false">IF($F$6="Sí",N($C$11)+268,"")</f>
        <v/>
      </c>
      <c r="C295" s="72" t="str">
        <f aca="false">IF(OR($F$6&lt;&gt;"Sí",D295&lt;=0.5),"",EDATE($C$10,268))</f>
        <v/>
      </c>
      <c r="D295" s="41" t="n">
        <f aca="false">MAX(0,M294)</f>
        <v>0</v>
      </c>
      <c r="E295" s="41" t="n">
        <f aca="false">D295*$F$7</f>
        <v>0</v>
      </c>
      <c r="F295" s="41" t="n">
        <f aca="false">IF(D295&gt;0.5,N($C$15),0)</f>
        <v>0</v>
      </c>
      <c r="G295" s="41" t="n">
        <f aca="false">IF(AND(D295&gt;0.5,N($C$19)&gt;0,N(B295)&lt;=N($C$20)),D295*$F$8,0)</f>
        <v>0</v>
      </c>
      <c r="H295" s="41" t="n">
        <f aca="false">IF(D295&lt;=0.5,0,MIN(IF(N(I295)&gt;0,I295,$F$9),D295+E295+F295))</f>
        <v>0</v>
      </c>
      <c r="I295" s="77"/>
      <c r="J295" s="77"/>
      <c r="K295" s="41" t="n">
        <f aca="false">IF(D295&lt;=0.5,0,MIN(H295+N(J295),D295+E295+F295))</f>
        <v>0</v>
      </c>
      <c r="L295" s="41" t="n">
        <f aca="false">K295-E295-F295</f>
        <v>0</v>
      </c>
      <c r="M295" s="41" t="n">
        <f aca="false">D295-L295</f>
        <v>0</v>
      </c>
      <c r="N295" s="42" t="n">
        <f aca="false">K295-G295</f>
        <v>0</v>
      </c>
      <c r="O295" s="78"/>
      <c r="P295" s="79"/>
      <c r="Q295" s="16" t="str">
        <f aca="false">IF(K295=0,"",IF(R295=1,"Pagada",IF(C295&lt;$F$12,"Vencida",IF(269=$F$13,"Próxima","Pendiente"))))</f>
        <v/>
      </c>
      <c r="R295" s="62" t="n">
        <f aca="false">IF(AND(K295&gt;0,OR(O295="Sí",O295="Si")),1,0)</f>
        <v>0</v>
      </c>
      <c r="S295" s="62" t="n">
        <f aca="false">IF(AND(K295&gt;0,R295=0),1,0)</f>
        <v>0</v>
      </c>
    </row>
    <row r="296" customFormat="false" ht="15" hidden="false" customHeight="false" outlineLevel="0" collapsed="false">
      <c r="B296" s="71" t="str">
        <f aca="false">IF($F$6="Sí",N($C$11)+269,"")</f>
        <v/>
      </c>
      <c r="C296" s="72" t="str">
        <f aca="false">IF(OR($F$6&lt;&gt;"Sí",D296&lt;=0.5),"",EDATE($C$10,269))</f>
        <v/>
      </c>
      <c r="D296" s="41" t="n">
        <f aca="false">MAX(0,M295)</f>
        <v>0</v>
      </c>
      <c r="E296" s="41" t="n">
        <f aca="false">D296*$F$7</f>
        <v>0</v>
      </c>
      <c r="F296" s="41" t="n">
        <f aca="false">IF(D296&gt;0.5,N($C$15),0)</f>
        <v>0</v>
      </c>
      <c r="G296" s="41" t="n">
        <f aca="false">IF(AND(D296&gt;0.5,N($C$19)&gt;0,N(B296)&lt;=N($C$20)),D296*$F$8,0)</f>
        <v>0</v>
      </c>
      <c r="H296" s="41" t="n">
        <f aca="false">IF(D296&lt;=0.5,0,MIN(IF(N(I296)&gt;0,I296,$F$9),D296+E296+F296))</f>
        <v>0</v>
      </c>
      <c r="I296" s="77"/>
      <c r="J296" s="77"/>
      <c r="K296" s="41" t="n">
        <f aca="false">IF(D296&lt;=0.5,0,MIN(H296+N(J296),D296+E296+F296))</f>
        <v>0</v>
      </c>
      <c r="L296" s="41" t="n">
        <f aca="false">K296-E296-F296</f>
        <v>0</v>
      </c>
      <c r="M296" s="41" t="n">
        <f aca="false">D296-L296</f>
        <v>0</v>
      </c>
      <c r="N296" s="42" t="n">
        <f aca="false">K296-G296</f>
        <v>0</v>
      </c>
      <c r="O296" s="78"/>
      <c r="P296" s="79"/>
      <c r="Q296" s="16" t="str">
        <f aca="false">IF(K296=0,"",IF(R296=1,"Pagada",IF(C296&lt;$F$12,"Vencida",IF(270=$F$13,"Próxima","Pendiente"))))</f>
        <v/>
      </c>
      <c r="R296" s="62" t="n">
        <f aca="false">IF(AND(K296&gt;0,OR(O296="Sí",O296="Si")),1,0)</f>
        <v>0</v>
      </c>
      <c r="S296" s="62" t="n">
        <f aca="false">IF(AND(K296&gt;0,R296=0),1,0)</f>
        <v>0</v>
      </c>
    </row>
    <row r="297" customFormat="false" ht="15" hidden="false" customHeight="false" outlineLevel="0" collapsed="false">
      <c r="B297" s="71" t="str">
        <f aca="false">IF($F$6="Sí",N($C$11)+270,"")</f>
        <v/>
      </c>
      <c r="C297" s="72" t="str">
        <f aca="false">IF(OR($F$6&lt;&gt;"Sí",D297&lt;=0.5),"",EDATE($C$10,270))</f>
        <v/>
      </c>
      <c r="D297" s="41" t="n">
        <f aca="false">MAX(0,M296)</f>
        <v>0</v>
      </c>
      <c r="E297" s="41" t="n">
        <f aca="false">D297*$F$7</f>
        <v>0</v>
      </c>
      <c r="F297" s="41" t="n">
        <f aca="false">IF(D297&gt;0.5,N($C$15),0)</f>
        <v>0</v>
      </c>
      <c r="G297" s="41" t="n">
        <f aca="false">IF(AND(D297&gt;0.5,N($C$19)&gt;0,N(B297)&lt;=N($C$20)),D297*$F$8,0)</f>
        <v>0</v>
      </c>
      <c r="H297" s="41" t="n">
        <f aca="false">IF(D297&lt;=0.5,0,MIN(IF(N(I297)&gt;0,I297,$F$9),D297+E297+F297))</f>
        <v>0</v>
      </c>
      <c r="I297" s="77"/>
      <c r="J297" s="77"/>
      <c r="K297" s="41" t="n">
        <f aca="false">IF(D297&lt;=0.5,0,MIN(H297+N(J297),D297+E297+F297))</f>
        <v>0</v>
      </c>
      <c r="L297" s="41" t="n">
        <f aca="false">K297-E297-F297</f>
        <v>0</v>
      </c>
      <c r="M297" s="41" t="n">
        <f aca="false">D297-L297</f>
        <v>0</v>
      </c>
      <c r="N297" s="42" t="n">
        <f aca="false">K297-G297</f>
        <v>0</v>
      </c>
      <c r="O297" s="78"/>
      <c r="P297" s="79"/>
      <c r="Q297" s="16" t="str">
        <f aca="false">IF(K297=0,"",IF(R297=1,"Pagada",IF(C297&lt;$F$12,"Vencida",IF(271=$F$13,"Próxima","Pendiente"))))</f>
        <v/>
      </c>
      <c r="R297" s="62" t="n">
        <f aca="false">IF(AND(K297&gt;0,OR(O297="Sí",O297="Si")),1,0)</f>
        <v>0</v>
      </c>
      <c r="S297" s="62" t="n">
        <f aca="false">IF(AND(K297&gt;0,R297=0),1,0)</f>
        <v>0</v>
      </c>
    </row>
    <row r="298" customFormat="false" ht="15" hidden="false" customHeight="false" outlineLevel="0" collapsed="false">
      <c r="B298" s="71" t="str">
        <f aca="false">IF($F$6="Sí",N($C$11)+271,"")</f>
        <v/>
      </c>
      <c r="C298" s="72" t="str">
        <f aca="false">IF(OR($F$6&lt;&gt;"Sí",D298&lt;=0.5),"",EDATE($C$10,271))</f>
        <v/>
      </c>
      <c r="D298" s="41" t="n">
        <f aca="false">MAX(0,M297)</f>
        <v>0</v>
      </c>
      <c r="E298" s="41" t="n">
        <f aca="false">D298*$F$7</f>
        <v>0</v>
      </c>
      <c r="F298" s="41" t="n">
        <f aca="false">IF(D298&gt;0.5,N($C$15),0)</f>
        <v>0</v>
      </c>
      <c r="G298" s="41" t="n">
        <f aca="false">IF(AND(D298&gt;0.5,N($C$19)&gt;0,N(B298)&lt;=N($C$20)),D298*$F$8,0)</f>
        <v>0</v>
      </c>
      <c r="H298" s="41" t="n">
        <f aca="false">IF(D298&lt;=0.5,0,MIN(IF(N(I298)&gt;0,I298,$F$9),D298+E298+F298))</f>
        <v>0</v>
      </c>
      <c r="I298" s="77"/>
      <c r="J298" s="77"/>
      <c r="K298" s="41" t="n">
        <f aca="false">IF(D298&lt;=0.5,0,MIN(H298+N(J298),D298+E298+F298))</f>
        <v>0</v>
      </c>
      <c r="L298" s="41" t="n">
        <f aca="false">K298-E298-F298</f>
        <v>0</v>
      </c>
      <c r="M298" s="41" t="n">
        <f aca="false">D298-L298</f>
        <v>0</v>
      </c>
      <c r="N298" s="42" t="n">
        <f aca="false">K298-G298</f>
        <v>0</v>
      </c>
      <c r="O298" s="78"/>
      <c r="P298" s="79"/>
      <c r="Q298" s="16" t="str">
        <f aca="false">IF(K298=0,"",IF(R298=1,"Pagada",IF(C298&lt;$F$12,"Vencida",IF(272=$F$13,"Próxima","Pendiente"))))</f>
        <v/>
      </c>
      <c r="R298" s="62" t="n">
        <f aca="false">IF(AND(K298&gt;0,OR(O298="Sí",O298="Si")),1,0)</f>
        <v>0</v>
      </c>
      <c r="S298" s="62" t="n">
        <f aca="false">IF(AND(K298&gt;0,R298=0),1,0)</f>
        <v>0</v>
      </c>
    </row>
    <row r="299" customFormat="false" ht="15" hidden="false" customHeight="false" outlineLevel="0" collapsed="false">
      <c r="B299" s="71" t="str">
        <f aca="false">IF($F$6="Sí",N($C$11)+272,"")</f>
        <v/>
      </c>
      <c r="C299" s="72" t="str">
        <f aca="false">IF(OR($F$6&lt;&gt;"Sí",D299&lt;=0.5),"",EDATE($C$10,272))</f>
        <v/>
      </c>
      <c r="D299" s="41" t="n">
        <f aca="false">MAX(0,M298)</f>
        <v>0</v>
      </c>
      <c r="E299" s="41" t="n">
        <f aca="false">D299*$F$7</f>
        <v>0</v>
      </c>
      <c r="F299" s="41" t="n">
        <f aca="false">IF(D299&gt;0.5,N($C$15),0)</f>
        <v>0</v>
      </c>
      <c r="G299" s="41" t="n">
        <f aca="false">IF(AND(D299&gt;0.5,N($C$19)&gt;0,N(B299)&lt;=N($C$20)),D299*$F$8,0)</f>
        <v>0</v>
      </c>
      <c r="H299" s="41" t="n">
        <f aca="false">IF(D299&lt;=0.5,0,MIN(IF(N(I299)&gt;0,I299,$F$9),D299+E299+F299))</f>
        <v>0</v>
      </c>
      <c r="I299" s="77"/>
      <c r="J299" s="77"/>
      <c r="K299" s="41" t="n">
        <f aca="false">IF(D299&lt;=0.5,0,MIN(H299+N(J299),D299+E299+F299))</f>
        <v>0</v>
      </c>
      <c r="L299" s="41" t="n">
        <f aca="false">K299-E299-F299</f>
        <v>0</v>
      </c>
      <c r="M299" s="41" t="n">
        <f aca="false">D299-L299</f>
        <v>0</v>
      </c>
      <c r="N299" s="42" t="n">
        <f aca="false">K299-G299</f>
        <v>0</v>
      </c>
      <c r="O299" s="78"/>
      <c r="P299" s="79"/>
      <c r="Q299" s="16" t="str">
        <f aca="false">IF(K299=0,"",IF(R299=1,"Pagada",IF(C299&lt;$F$12,"Vencida",IF(273=$F$13,"Próxima","Pendiente"))))</f>
        <v/>
      </c>
      <c r="R299" s="62" t="n">
        <f aca="false">IF(AND(K299&gt;0,OR(O299="Sí",O299="Si")),1,0)</f>
        <v>0</v>
      </c>
      <c r="S299" s="62" t="n">
        <f aca="false">IF(AND(K299&gt;0,R299=0),1,0)</f>
        <v>0</v>
      </c>
    </row>
    <row r="300" customFormat="false" ht="15" hidden="false" customHeight="false" outlineLevel="0" collapsed="false">
      <c r="B300" s="71" t="str">
        <f aca="false">IF($F$6="Sí",N($C$11)+273,"")</f>
        <v/>
      </c>
      <c r="C300" s="72" t="str">
        <f aca="false">IF(OR($F$6&lt;&gt;"Sí",D300&lt;=0.5),"",EDATE($C$10,273))</f>
        <v/>
      </c>
      <c r="D300" s="41" t="n">
        <f aca="false">MAX(0,M299)</f>
        <v>0</v>
      </c>
      <c r="E300" s="41" t="n">
        <f aca="false">D300*$F$7</f>
        <v>0</v>
      </c>
      <c r="F300" s="41" t="n">
        <f aca="false">IF(D300&gt;0.5,N($C$15),0)</f>
        <v>0</v>
      </c>
      <c r="G300" s="41" t="n">
        <f aca="false">IF(AND(D300&gt;0.5,N($C$19)&gt;0,N(B300)&lt;=N($C$20)),D300*$F$8,0)</f>
        <v>0</v>
      </c>
      <c r="H300" s="41" t="n">
        <f aca="false">IF(D300&lt;=0.5,0,MIN(IF(N(I300)&gt;0,I300,$F$9),D300+E300+F300))</f>
        <v>0</v>
      </c>
      <c r="I300" s="77"/>
      <c r="J300" s="77"/>
      <c r="K300" s="41" t="n">
        <f aca="false">IF(D300&lt;=0.5,0,MIN(H300+N(J300),D300+E300+F300))</f>
        <v>0</v>
      </c>
      <c r="L300" s="41" t="n">
        <f aca="false">K300-E300-F300</f>
        <v>0</v>
      </c>
      <c r="M300" s="41" t="n">
        <f aca="false">D300-L300</f>
        <v>0</v>
      </c>
      <c r="N300" s="42" t="n">
        <f aca="false">K300-G300</f>
        <v>0</v>
      </c>
      <c r="O300" s="78"/>
      <c r="P300" s="79"/>
      <c r="Q300" s="16" t="str">
        <f aca="false">IF(K300=0,"",IF(R300=1,"Pagada",IF(C300&lt;$F$12,"Vencida",IF(274=$F$13,"Próxima","Pendiente"))))</f>
        <v/>
      </c>
      <c r="R300" s="62" t="n">
        <f aca="false">IF(AND(K300&gt;0,OR(O300="Sí",O300="Si")),1,0)</f>
        <v>0</v>
      </c>
      <c r="S300" s="62" t="n">
        <f aca="false">IF(AND(K300&gt;0,R300=0),1,0)</f>
        <v>0</v>
      </c>
    </row>
    <row r="301" customFormat="false" ht="15" hidden="false" customHeight="false" outlineLevel="0" collapsed="false">
      <c r="B301" s="71" t="str">
        <f aca="false">IF($F$6="Sí",N($C$11)+274,"")</f>
        <v/>
      </c>
      <c r="C301" s="72" t="str">
        <f aca="false">IF(OR($F$6&lt;&gt;"Sí",D301&lt;=0.5),"",EDATE($C$10,274))</f>
        <v/>
      </c>
      <c r="D301" s="41" t="n">
        <f aca="false">MAX(0,M300)</f>
        <v>0</v>
      </c>
      <c r="E301" s="41" t="n">
        <f aca="false">D301*$F$7</f>
        <v>0</v>
      </c>
      <c r="F301" s="41" t="n">
        <f aca="false">IF(D301&gt;0.5,N($C$15),0)</f>
        <v>0</v>
      </c>
      <c r="G301" s="41" t="n">
        <f aca="false">IF(AND(D301&gt;0.5,N($C$19)&gt;0,N(B301)&lt;=N($C$20)),D301*$F$8,0)</f>
        <v>0</v>
      </c>
      <c r="H301" s="41" t="n">
        <f aca="false">IF(D301&lt;=0.5,0,MIN(IF(N(I301)&gt;0,I301,$F$9),D301+E301+F301))</f>
        <v>0</v>
      </c>
      <c r="I301" s="77"/>
      <c r="J301" s="77"/>
      <c r="K301" s="41" t="n">
        <f aca="false">IF(D301&lt;=0.5,0,MIN(H301+N(J301),D301+E301+F301))</f>
        <v>0</v>
      </c>
      <c r="L301" s="41" t="n">
        <f aca="false">K301-E301-F301</f>
        <v>0</v>
      </c>
      <c r="M301" s="41" t="n">
        <f aca="false">D301-L301</f>
        <v>0</v>
      </c>
      <c r="N301" s="42" t="n">
        <f aca="false">K301-G301</f>
        <v>0</v>
      </c>
      <c r="O301" s="78"/>
      <c r="P301" s="79"/>
      <c r="Q301" s="16" t="str">
        <f aca="false">IF(K301=0,"",IF(R301=1,"Pagada",IF(C301&lt;$F$12,"Vencida",IF(275=$F$13,"Próxima","Pendiente"))))</f>
        <v/>
      </c>
      <c r="R301" s="62" t="n">
        <f aca="false">IF(AND(K301&gt;0,OR(O301="Sí",O301="Si")),1,0)</f>
        <v>0</v>
      </c>
      <c r="S301" s="62" t="n">
        <f aca="false">IF(AND(K301&gt;0,R301=0),1,0)</f>
        <v>0</v>
      </c>
    </row>
    <row r="302" customFormat="false" ht="15" hidden="false" customHeight="false" outlineLevel="0" collapsed="false">
      <c r="B302" s="71" t="str">
        <f aca="false">IF($F$6="Sí",N($C$11)+275,"")</f>
        <v/>
      </c>
      <c r="C302" s="72" t="str">
        <f aca="false">IF(OR($F$6&lt;&gt;"Sí",D302&lt;=0.5),"",EDATE($C$10,275))</f>
        <v/>
      </c>
      <c r="D302" s="41" t="n">
        <f aca="false">MAX(0,M301)</f>
        <v>0</v>
      </c>
      <c r="E302" s="41" t="n">
        <f aca="false">D302*$F$7</f>
        <v>0</v>
      </c>
      <c r="F302" s="41" t="n">
        <f aca="false">IF(D302&gt;0.5,N($C$15),0)</f>
        <v>0</v>
      </c>
      <c r="G302" s="41" t="n">
        <f aca="false">IF(AND(D302&gt;0.5,N($C$19)&gt;0,N(B302)&lt;=N($C$20)),D302*$F$8,0)</f>
        <v>0</v>
      </c>
      <c r="H302" s="41" t="n">
        <f aca="false">IF(D302&lt;=0.5,0,MIN(IF(N(I302)&gt;0,I302,$F$9),D302+E302+F302))</f>
        <v>0</v>
      </c>
      <c r="I302" s="77"/>
      <c r="J302" s="77"/>
      <c r="K302" s="41" t="n">
        <f aca="false">IF(D302&lt;=0.5,0,MIN(H302+N(J302),D302+E302+F302))</f>
        <v>0</v>
      </c>
      <c r="L302" s="41" t="n">
        <f aca="false">K302-E302-F302</f>
        <v>0</v>
      </c>
      <c r="M302" s="41" t="n">
        <f aca="false">D302-L302</f>
        <v>0</v>
      </c>
      <c r="N302" s="42" t="n">
        <f aca="false">K302-G302</f>
        <v>0</v>
      </c>
      <c r="O302" s="78"/>
      <c r="P302" s="79"/>
      <c r="Q302" s="16" t="str">
        <f aca="false">IF(K302=0,"",IF(R302=1,"Pagada",IF(C302&lt;$F$12,"Vencida",IF(276=$F$13,"Próxima","Pendiente"))))</f>
        <v/>
      </c>
      <c r="R302" s="62" t="n">
        <f aca="false">IF(AND(K302&gt;0,OR(O302="Sí",O302="Si")),1,0)</f>
        <v>0</v>
      </c>
      <c r="S302" s="62" t="n">
        <f aca="false">IF(AND(K302&gt;0,R302=0),1,0)</f>
        <v>0</v>
      </c>
    </row>
    <row r="303" customFormat="false" ht="15" hidden="false" customHeight="false" outlineLevel="0" collapsed="false">
      <c r="B303" s="71" t="str">
        <f aca="false">IF($F$6="Sí",N($C$11)+276,"")</f>
        <v/>
      </c>
      <c r="C303" s="72" t="str">
        <f aca="false">IF(OR($F$6&lt;&gt;"Sí",D303&lt;=0.5),"",EDATE($C$10,276))</f>
        <v/>
      </c>
      <c r="D303" s="41" t="n">
        <f aca="false">MAX(0,M302)</f>
        <v>0</v>
      </c>
      <c r="E303" s="41" t="n">
        <f aca="false">D303*$F$7</f>
        <v>0</v>
      </c>
      <c r="F303" s="41" t="n">
        <f aca="false">IF(D303&gt;0.5,N($C$15),0)</f>
        <v>0</v>
      </c>
      <c r="G303" s="41" t="n">
        <f aca="false">IF(AND(D303&gt;0.5,N($C$19)&gt;0,N(B303)&lt;=N($C$20)),D303*$F$8,0)</f>
        <v>0</v>
      </c>
      <c r="H303" s="41" t="n">
        <f aca="false">IF(D303&lt;=0.5,0,MIN(IF(N(I303)&gt;0,I303,$F$9),D303+E303+F303))</f>
        <v>0</v>
      </c>
      <c r="I303" s="77"/>
      <c r="J303" s="77"/>
      <c r="K303" s="41" t="n">
        <f aca="false">IF(D303&lt;=0.5,0,MIN(H303+N(J303),D303+E303+F303))</f>
        <v>0</v>
      </c>
      <c r="L303" s="41" t="n">
        <f aca="false">K303-E303-F303</f>
        <v>0</v>
      </c>
      <c r="M303" s="41" t="n">
        <f aca="false">D303-L303</f>
        <v>0</v>
      </c>
      <c r="N303" s="42" t="n">
        <f aca="false">K303-G303</f>
        <v>0</v>
      </c>
      <c r="O303" s="78"/>
      <c r="P303" s="79"/>
      <c r="Q303" s="16" t="str">
        <f aca="false">IF(K303=0,"",IF(R303=1,"Pagada",IF(C303&lt;$F$12,"Vencida",IF(277=$F$13,"Próxima","Pendiente"))))</f>
        <v/>
      </c>
      <c r="R303" s="62" t="n">
        <f aca="false">IF(AND(K303&gt;0,OR(O303="Sí",O303="Si")),1,0)</f>
        <v>0</v>
      </c>
      <c r="S303" s="62" t="n">
        <f aca="false">IF(AND(K303&gt;0,R303=0),1,0)</f>
        <v>0</v>
      </c>
    </row>
    <row r="304" customFormat="false" ht="15" hidden="false" customHeight="false" outlineLevel="0" collapsed="false">
      <c r="B304" s="71" t="str">
        <f aca="false">IF($F$6="Sí",N($C$11)+277,"")</f>
        <v/>
      </c>
      <c r="C304" s="72" t="str">
        <f aca="false">IF(OR($F$6&lt;&gt;"Sí",D304&lt;=0.5),"",EDATE($C$10,277))</f>
        <v/>
      </c>
      <c r="D304" s="41" t="n">
        <f aca="false">MAX(0,M303)</f>
        <v>0</v>
      </c>
      <c r="E304" s="41" t="n">
        <f aca="false">D304*$F$7</f>
        <v>0</v>
      </c>
      <c r="F304" s="41" t="n">
        <f aca="false">IF(D304&gt;0.5,N($C$15),0)</f>
        <v>0</v>
      </c>
      <c r="G304" s="41" t="n">
        <f aca="false">IF(AND(D304&gt;0.5,N($C$19)&gt;0,N(B304)&lt;=N($C$20)),D304*$F$8,0)</f>
        <v>0</v>
      </c>
      <c r="H304" s="41" t="n">
        <f aca="false">IF(D304&lt;=0.5,0,MIN(IF(N(I304)&gt;0,I304,$F$9),D304+E304+F304))</f>
        <v>0</v>
      </c>
      <c r="I304" s="77"/>
      <c r="J304" s="77"/>
      <c r="K304" s="41" t="n">
        <f aca="false">IF(D304&lt;=0.5,0,MIN(H304+N(J304),D304+E304+F304))</f>
        <v>0</v>
      </c>
      <c r="L304" s="41" t="n">
        <f aca="false">K304-E304-F304</f>
        <v>0</v>
      </c>
      <c r="M304" s="41" t="n">
        <f aca="false">D304-L304</f>
        <v>0</v>
      </c>
      <c r="N304" s="42" t="n">
        <f aca="false">K304-G304</f>
        <v>0</v>
      </c>
      <c r="O304" s="78"/>
      <c r="P304" s="79"/>
      <c r="Q304" s="16" t="str">
        <f aca="false">IF(K304=0,"",IF(R304=1,"Pagada",IF(C304&lt;$F$12,"Vencida",IF(278=$F$13,"Próxima","Pendiente"))))</f>
        <v/>
      </c>
      <c r="R304" s="62" t="n">
        <f aca="false">IF(AND(K304&gt;0,OR(O304="Sí",O304="Si")),1,0)</f>
        <v>0</v>
      </c>
      <c r="S304" s="62" t="n">
        <f aca="false">IF(AND(K304&gt;0,R304=0),1,0)</f>
        <v>0</v>
      </c>
    </row>
    <row r="305" customFormat="false" ht="15" hidden="false" customHeight="false" outlineLevel="0" collapsed="false">
      <c r="B305" s="71" t="str">
        <f aca="false">IF($F$6="Sí",N($C$11)+278,"")</f>
        <v/>
      </c>
      <c r="C305" s="72" t="str">
        <f aca="false">IF(OR($F$6&lt;&gt;"Sí",D305&lt;=0.5),"",EDATE($C$10,278))</f>
        <v/>
      </c>
      <c r="D305" s="41" t="n">
        <f aca="false">MAX(0,M304)</f>
        <v>0</v>
      </c>
      <c r="E305" s="41" t="n">
        <f aca="false">D305*$F$7</f>
        <v>0</v>
      </c>
      <c r="F305" s="41" t="n">
        <f aca="false">IF(D305&gt;0.5,N($C$15),0)</f>
        <v>0</v>
      </c>
      <c r="G305" s="41" t="n">
        <f aca="false">IF(AND(D305&gt;0.5,N($C$19)&gt;0,N(B305)&lt;=N($C$20)),D305*$F$8,0)</f>
        <v>0</v>
      </c>
      <c r="H305" s="41" t="n">
        <f aca="false">IF(D305&lt;=0.5,0,MIN(IF(N(I305)&gt;0,I305,$F$9),D305+E305+F305))</f>
        <v>0</v>
      </c>
      <c r="I305" s="77"/>
      <c r="J305" s="77"/>
      <c r="K305" s="41" t="n">
        <f aca="false">IF(D305&lt;=0.5,0,MIN(H305+N(J305),D305+E305+F305))</f>
        <v>0</v>
      </c>
      <c r="L305" s="41" t="n">
        <f aca="false">K305-E305-F305</f>
        <v>0</v>
      </c>
      <c r="M305" s="41" t="n">
        <f aca="false">D305-L305</f>
        <v>0</v>
      </c>
      <c r="N305" s="42" t="n">
        <f aca="false">K305-G305</f>
        <v>0</v>
      </c>
      <c r="O305" s="78"/>
      <c r="P305" s="79"/>
      <c r="Q305" s="16" t="str">
        <f aca="false">IF(K305=0,"",IF(R305=1,"Pagada",IF(C305&lt;$F$12,"Vencida",IF(279=$F$13,"Próxima","Pendiente"))))</f>
        <v/>
      </c>
      <c r="R305" s="62" t="n">
        <f aca="false">IF(AND(K305&gt;0,OR(O305="Sí",O305="Si")),1,0)</f>
        <v>0</v>
      </c>
      <c r="S305" s="62" t="n">
        <f aca="false">IF(AND(K305&gt;0,R305=0),1,0)</f>
        <v>0</v>
      </c>
    </row>
    <row r="306" customFormat="false" ht="15" hidden="false" customHeight="false" outlineLevel="0" collapsed="false">
      <c r="B306" s="71" t="str">
        <f aca="false">IF($F$6="Sí",N($C$11)+279,"")</f>
        <v/>
      </c>
      <c r="C306" s="72" t="str">
        <f aca="false">IF(OR($F$6&lt;&gt;"Sí",D306&lt;=0.5),"",EDATE($C$10,279))</f>
        <v/>
      </c>
      <c r="D306" s="41" t="n">
        <f aca="false">MAX(0,M305)</f>
        <v>0</v>
      </c>
      <c r="E306" s="41" t="n">
        <f aca="false">D306*$F$7</f>
        <v>0</v>
      </c>
      <c r="F306" s="41" t="n">
        <f aca="false">IF(D306&gt;0.5,N($C$15),0)</f>
        <v>0</v>
      </c>
      <c r="G306" s="41" t="n">
        <f aca="false">IF(AND(D306&gt;0.5,N($C$19)&gt;0,N(B306)&lt;=N($C$20)),D306*$F$8,0)</f>
        <v>0</v>
      </c>
      <c r="H306" s="41" t="n">
        <f aca="false">IF(D306&lt;=0.5,0,MIN(IF(N(I306)&gt;0,I306,$F$9),D306+E306+F306))</f>
        <v>0</v>
      </c>
      <c r="I306" s="77"/>
      <c r="J306" s="77"/>
      <c r="K306" s="41" t="n">
        <f aca="false">IF(D306&lt;=0.5,0,MIN(H306+N(J306),D306+E306+F306))</f>
        <v>0</v>
      </c>
      <c r="L306" s="41" t="n">
        <f aca="false">K306-E306-F306</f>
        <v>0</v>
      </c>
      <c r="M306" s="41" t="n">
        <f aca="false">D306-L306</f>
        <v>0</v>
      </c>
      <c r="N306" s="42" t="n">
        <f aca="false">K306-G306</f>
        <v>0</v>
      </c>
      <c r="O306" s="78"/>
      <c r="P306" s="79"/>
      <c r="Q306" s="16" t="str">
        <f aca="false">IF(K306=0,"",IF(R306=1,"Pagada",IF(C306&lt;$F$12,"Vencida",IF(280=$F$13,"Próxima","Pendiente"))))</f>
        <v/>
      </c>
      <c r="R306" s="62" t="n">
        <f aca="false">IF(AND(K306&gt;0,OR(O306="Sí",O306="Si")),1,0)</f>
        <v>0</v>
      </c>
      <c r="S306" s="62" t="n">
        <f aca="false">IF(AND(K306&gt;0,R306=0),1,0)</f>
        <v>0</v>
      </c>
    </row>
    <row r="307" customFormat="false" ht="15" hidden="false" customHeight="false" outlineLevel="0" collapsed="false">
      <c r="B307" s="71" t="str">
        <f aca="false">IF($F$6="Sí",N($C$11)+280,"")</f>
        <v/>
      </c>
      <c r="C307" s="72" t="str">
        <f aca="false">IF(OR($F$6&lt;&gt;"Sí",D307&lt;=0.5),"",EDATE($C$10,280))</f>
        <v/>
      </c>
      <c r="D307" s="41" t="n">
        <f aca="false">MAX(0,M306)</f>
        <v>0</v>
      </c>
      <c r="E307" s="41" t="n">
        <f aca="false">D307*$F$7</f>
        <v>0</v>
      </c>
      <c r="F307" s="41" t="n">
        <f aca="false">IF(D307&gt;0.5,N($C$15),0)</f>
        <v>0</v>
      </c>
      <c r="G307" s="41" t="n">
        <f aca="false">IF(AND(D307&gt;0.5,N($C$19)&gt;0,N(B307)&lt;=N($C$20)),D307*$F$8,0)</f>
        <v>0</v>
      </c>
      <c r="H307" s="41" t="n">
        <f aca="false">IF(D307&lt;=0.5,0,MIN(IF(N(I307)&gt;0,I307,$F$9),D307+E307+F307))</f>
        <v>0</v>
      </c>
      <c r="I307" s="77"/>
      <c r="J307" s="77"/>
      <c r="K307" s="41" t="n">
        <f aca="false">IF(D307&lt;=0.5,0,MIN(H307+N(J307),D307+E307+F307))</f>
        <v>0</v>
      </c>
      <c r="L307" s="41" t="n">
        <f aca="false">K307-E307-F307</f>
        <v>0</v>
      </c>
      <c r="M307" s="41" t="n">
        <f aca="false">D307-L307</f>
        <v>0</v>
      </c>
      <c r="N307" s="42" t="n">
        <f aca="false">K307-G307</f>
        <v>0</v>
      </c>
      <c r="O307" s="78"/>
      <c r="P307" s="79"/>
      <c r="Q307" s="16" t="str">
        <f aca="false">IF(K307=0,"",IF(R307=1,"Pagada",IF(C307&lt;$F$12,"Vencida",IF(281=$F$13,"Próxima","Pendiente"))))</f>
        <v/>
      </c>
      <c r="R307" s="62" t="n">
        <f aca="false">IF(AND(K307&gt;0,OR(O307="Sí",O307="Si")),1,0)</f>
        <v>0</v>
      </c>
      <c r="S307" s="62" t="n">
        <f aca="false">IF(AND(K307&gt;0,R307=0),1,0)</f>
        <v>0</v>
      </c>
    </row>
    <row r="308" customFormat="false" ht="15" hidden="false" customHeight="false" outlineLevel="0" collapsed="false">
      <c r="B308" s="71" t="str">
        <f aca="false">IF($F$6="Sí",N($C$11)+281,"")</f>
        <v/>
      </c>
      <c r="C308" s="72" t="str">
        <f aca="false">IF(OR($F$6&lt;&gt;"Sí",D308&lt;=0.5),"",EDATE($C$10,281))</f>
        <v/>
      </c>
      <c r="D308" s="41" t="n">
        <f aca="false">MAX(0,M307)</f>
        <v>0</v>
      </c>
      <c r="E308" s="41" t="n">
        <f aca="false">D308*$F$7</f>
        <v>0</v>
      </c>
      <c r="F308" s="41" t="n">
        <f aca="false">IF(D308&gt;0.5,N($C$15),0)</f>
        <v>0</v>
      </c>
      <c r="G308" s="41" t="n">
        <f aca="false">IF(AND(D308&gt;0.5,N($C$19)&gt;0,N(B308)&lt;=N($C$20)),D308*$F$8,0)</f>
        <v>0</v>
      </c>
      <c r="H308" s="41" t="n">
        <f aca="false">IF(D308&lt;=0.5,0,MIN(IF(N(I308)&gt;0,I308,$F$9),D308+E308+F308))</f>
        <v>0</v>
      </c>
      <c r="I308" s="77"/>
      <c r="J308" s="77"/>
      <c r="K308" s="41" t="n">
        <f aca="false">IF(D308&lt;=0.5,0,MIN(H308+N(J308),D308+E308+F308))</f>
        <v>0</v>
      </c>
      <c r="L308" s="41" t="n">
        <f aca="false">K308-E308-F308</f>
        <v>0</v>
      </c>
      <c r="M308" s="41" t="n">
        <f aca="false">D308-L308</f>
        <v>0</v>
      </c>
      <c r="N308" s="42" t="n">
        <f aca="false">K308-G308</f>
        <v>0</v>
      </c>
      <c r="O308" s="78"/>
      <c r="P308" s="79"/>
      <c r="Q308" s="16" t="str">
        <f aca="false">IF(K308=0,"",IF(R308=1,"Pagada",IF(C308&lt;$F$12,"Vencida",IF(282=$F$13,"Próxima","Pendiente"))))</f>
        <v/>
      </c>
      <c r="R308" s="62" t="n">
        <f aca="false">IF(AND(K308&gt;0,OR(O308="Sí",O308="Si")),1,0)</f>
        <v>0</v>
      </c>
      <c r="S308" s="62" t="n">
        <f aca="false">IF(AND(K308&gt;0,R308=0),1,0)</f>
        <v>0</v>
      </c>
    </row>
    <row r="309" customFormat="false" ht="15" hidden="false" customHeight="false" outlineLevel="0" collapsed="false">
      <c r="B309" s="71" t="str">
        <f aca="false">IF($F$6="Sí",N($C$11)+282,"")</f>
        <v/>
      </c>
      <c r="C309" s="72" t="str">
        <f aca="false">IF(OR($F$6&lt;&gt;"Sí",D309&lt;=0.5),"",EDATE($C$10,282))</f>
        <v/>
      </c>
      <c r="D309" s="41" t="n">
        <f aca="false">MAX(0,M308)</f>
        <v>0</v>
      </c>
      <c r="E309" s="41" t="n">
        <f aca="false">D309*$F$7</f>
        <v>0</v>
      </c>
      <c r="F309" s="41" t="n">
        <f aca="false">IF(D309&gt;0.5,N($C$15),0)</f>
        <v>0</v>
      </c>
      <c r="G309" s="41" t="n">
        <f aca="false">IF(AND(D309&gt;0.5,N($C$19)&gt;0,N(B309)&lt;=N($C$20)),D309*$F$8,0)</f>
        <v>0</v>
      </c>
      <c r="H309" s="41" t="n">
        <f aca="false">IF(D309&lt;=0.5,0,MIN(IF(N(I309)&gt;0,I309,$F$9),D309+E309+F309))</f>
        <v>0</v>
      </c>
      <c r="I309" s="77"/>
      <c r="J309" s="77"/>
      <c r="K309" s="41" t="n">
        <f aca="false">IF(D309&lt;=0.5,0,MIN(H309+N(J309),D309+E309+F309))</f>
        <v>0</v>
      </c>
      <c r="L309" s="41" t="n">
        <f aca="false">K309-E309-F309</f>
        <v>0</v>
      </c>
      <c r="M309" s="41" t="n">
        <f aca="false">D309-L309</f>
        <v>0</v>
      </c>
      <c r="N309" s="42" t="n">
        <f aca="false">K309-G309</f>
        <v>0</v>
      </c>
      <c r="O309" s="78"/>
      <c r="P309" s="79"/>
      <c r="Q309" s="16" t="str">
        <f aca="false">IF(K309=0,"",IF(R309=1,"Pagada",IF(C309&lt;$F$12,"Vencida",IF(283=$F$13,"Próxima","Pendiente"))))</f>
        <v/>
      </c>
      <c r="R309" s="62" t="n">
        <f aca="false">IF(AND(K309&gt;0,OR(O309="Sí",O309="Si")),1,0)</f>
        <v>0</v>
      </c>
      <c r="S309" s="62" t="n">
        <f aca="false">IF(AND(K309&gt;0,R309=0),1,0)</f>
        <v>0</v>
      </c>
    </row>
    <row r="310" customFormat="false" ht="15" hidden="false" customHeight="false" outlineLevel="0" collapsed="false">
      <c r="B310" s="71" t="str">
        <f aca="false">IF($F$6="Sí",N($C$11)+283,"")</f>
        <v/>
      </c>
      <c r="C310" s="72" t="str">
        <f aca="false">IF(OR($F$6&lt;&gt;"Sí",D310&lt;=0.5),"",EDATE($C$10,283))</f>
        <v/>
      </c>
      <c r="D310" s="41" t="n">
        <f aca="false">MAX(0,M309)</f>
        <v>0</v>
      </c>
      <c r="E310" s="41" t="n">
        <f aca="false">D310*$F$7</f>
        <v>0</v>
      </c>
      <c r="F310" s="41" t="n">
        <f aca="false">IF(D310&gt;0.5,N($C$15),0)</f>
        <v>0</v>
      </c>
      <c r="G310" s="41" t="n">
        <f aca="false">IF(AND(D310&gt;0.5,N($C$19)&gt;0,N(B310)&lt;=N($C$20)),D310*$F$8,0)</f>
        <v>0</v>
      </c>
      <c r="H310" s="41" t="n">
        <f aca="false">IF(D310&lt;=0.5,0,MIN(IF(N(I310)&gt;0,I310,$F$9),D310+E310+F310))</f>
        <v>0</v>
      </c>
      <c r="I310" s="77"/>
      <c r="J310" s="77"/>
      <c r="K310" s="41" t="n">
        <f aca="false">IF(D310&lt;=0.5,0,MIN(H310+N(J310),D310+E310+F310))</f>
        <v>0</v>
      </c>
      <c r="L310" s="41" t="n">
        <f aca="false">K310-E310-F310</f>
        <v>0</v>
      </c>
      <c r="M310" s="41" t="n">
        <f aca="false">D310-L310</f>
        <v>0</v>
      </c>
      <c r="N310" s="42" t="n">
        <f aca="false">K310-G310</f>
        <v>0</v>
      </c>
      <c r="O310" s="78"/>
      <c r="P310" s="79"/>
      <c r="Q310" s="16" t="str">
        <f aca="false">IF(K310=0,"",IF(R310=1,"Pagada",IF(C310&lt;$F$12,"Vencida",IF(284=$F$13,"Próxima","Pendiente"))))</f>
        <v/>
      </c>
      <c r="R310" s="62" t="n">
        <f aca="false">IF(AND(K310&gt;0,OR(O310="Sí",O310="Si")),1,0)</f>
        <v>0</v>
      </c>
      <c r="S310" s="62" t="n">
        <f aca="false">IF(AND(K310&gt;0,R310=0),1,0)</f>
        <v>0</v>
      </c>
    </row>
    <row r="311" customFormat="false" ht="15" hidden="false" customHeight="false" outlineLevel="0" collapsed="false">
      <c r="B311" s="71" t="str">
        <f aca="false">IF($F$6="Sí",N($C$11)+284,"")</f>
        <v/>
      </c>
      <c r="C311" s="72" t="str">
        <f aca="false">IF(OR($F$6&lt;&gt;"Sí",D311&lt;=0.5),"",EDATE($C$10,284))</f>
        <v/>
      </c>
      <c r="D311" s="41" t="n">
        <f aca="false">MAX(0,M310)</f>
        <v>0</v>
      </c>
      <c r="E311" s="41" t="n">
        <f aca="false">D311*$F$7</f>
        <v>0</v>
      </c>
      <c r="F311" s="41" t="n">
        <f aca="false">IF(D311&gt;0.5,N($C$15),0)</f>
        <v>0</v>
      </c>
      <c r="G311" s="41" t="n">
        <f aca="false">IF(AND(D311&gt;0.5,N($C$19)&gt;0,N(B311)&lt;=N($C$20)),D311*$F$8,0)</f>
        <v>0</v>
      </c>
      <c r="H311" s="41" t="n">
        <f aca="false">IF(D311&lt;=0.5,0,MIN(IF(N(I311)&gt;0,I311,$F$9),D311+E311+F311))</f>
        <v>0</v>
      </c>
      <c r="I311" s="77"/>
      <c r="J311" s="77"/>
      <c r="K311" s="41" t="n">
        <f aca="false">IF(D311&lt;=0.5,0,MIN(H311+N(J311),D311+E311+F311))</f>
        <v>0</v>
      </c>
      <c r="L311" s="41" t="n">
        <f aca="false">K311-E311-F311</f>
        <v>0</v>
      </c>
      <c r="M311" s="41" t="n">
        <f aca="false">D311-L311</f>
        <v>0</v>
      </c>
      <c r="N311" s="42" t="n">
        <f aca="false">K311-G311</f>
        <v>0</v>
      </c>
      <c r="O311" s="78"/>
      <c r="P311" s="79"/>
      <c r="Q311" s="16" t="str">
        <f aca="false">IF(K311=0,"",IF(R311=1,"Pagada",IF(C311&lt;$F$12,"Vencida",IF(285=$F$13,"Próxima","Pendiente"))))</f>
        <v/>
      </c>
      <c r="R311" s="62" t="n">
        <f aca="false">IF(AND(K311&gt;0,OR(O311="Sí",O311="Si")),1,0)</f>
        <v>0</v>
      </c>
      <c r="S311" s="62" t="n">
        <f aca="false">IF(AND(K311&gt;0,R311=0),1,0)</f>
        <v>0</v>
      </c>
    </row>
    <row r="312" customFormat="false" ht="15" hidden="false" customHeight="false" outlineLevel="0" collapsed="false">
      <c r="B312" s="71" t="str">
        <f aca="false">IF($F$6="Sí",N($C$11)+285,"")</f>
        <v/>
      </c>
      <c r="C312" s="72" t="str">
        <f aca="false">IF(OR($F$6&lt;&gt;"Sí",D312&lt;=0.5),"",EDATE($C$10,285))</f>
        <v/>
      </c>
      <c r="D312" s="41" t="n">
        <f aca="false">MAX(0,M311)</f>
        <v>0</v>
      </c>
      <c r="E312" s="41" t="n">
        <f aca="false">D312*$F$7</f>
        <v>0</v>
      </c>
      <c r="F312" s="41" t="n">
        <f aca="false">IF(D312&gt;0.5,N($C$15),0)</f>
        <v>0</v>
      </c>
      <c r="G312" s="41" t="n">
        <f aca="false">IF(AND(D312&gt;0.5,N($C$19)&gt;0,N(B312)&lt;=N($C$20)),D312*$F$8,0)</f>
        <v>0</v>
      </c>
      <c r="H312" s="41" t="n">
        <f aca="false">IF(D312&lt;=0.5,0,MIN(IF(N(I312)&gt;0,I312,$F$9),D312+E312+F312))</f>
        <v>0</v>
      </c>
      <c r="I312" s="77"/>
      <c r="J312" s="77"/>
      <c r="K312" s="41" t="n">
        <f aca="false">IF(D312&lt;=0.5,0,MIN(H312+N(J312),D312+E312+F312))</f>
        <v>0</v>
      </c>
      <c r="L312" s="41" t="n">
        <f aca="false">K312-E312-F312</f>
        <v>0</v>
      </c>
      <c r="M312" s="41" t="n">
        <f aca="false">D312-L312</f>
        <v>0</v>
      </c>
      <c r="N312" s="42" t="n">
        <f aca="false">K312-G312</f>
        <v>0</v>
      </c>
      <c r="O312" s="78"/>
      <c r="P312" s="79"/>
      <c r="Q312" s="16" t="str">
        <f aca="false">IF(K312=0,"",IF(R312=1,"Pagada",IF(C312&lt;$F$12,"Vencida",IF(286=$F$13,"Próxima","Pendiente"))))</f>
        <v/>
      </c>
      <c r="R312" s="62" t="n">
        <f aca="false">IF(AND(K312&gt;0,OR(O312="Sí",O312="Si")),1,0)</f>
        <v>0</v>
      </c>
      <c r="S312" s="62" t="n">
        <f aca="false">IF(AND(K312&gt;0,R312=0),1,0)</f>
        <v>0</v>
      </c>
    </row>
    <row r="313" customFormat="false" ht="15" hidden="false" customHeight="false" outlineLevel="0" collapsed="false">
      <c r="B313" s="71" t="str">
        <f aca="false">IF($F$6="Sí",N($C$11)+286,"")</f>
        <v/>
      </c>
      <c r="C313" s="72" t="str">
        <f aca="false">IF(OR($F$6&lt;&gt;"Sí",D313&lt;=0.5),"",EDATE($C$10,286))</f>
        <v/>
      </c>
      <c r="D313" s="41" t="n">
        <f aca="false">MAX(0,M312)</f>
        <v>0</v>
      </c>
      <c r="E313" s="41" t="n">
        <f aca="false">D313*$F$7</f>
        <v>0</v>
      </c>
      <c r="F313" s="41" t="n">
        <f aca="false">IF(D313&gt;0.5,N($C$15),0)</f>
        <v>0</v>
      </c>
      <c r="G313" s="41" t="n">
        <f aca="false">IF(AND(D313&gt;0.5,N($C$19)&gt;0,N(B313)&lt;=N($C$20)),D313*$F$8,0)</f>
        <v>0</v>
      </c>
      <c r="H313" s="41" t="n">
        <f aca="false">IF(D313&lt;=0.5,0,MIN(IF(N(I313)&gt;0,I313,$F$9),D313+E313+F313))</f>
        <v>0</v>
      </c>
      <c r="I313" s="77"/>
      <c r="J313" s="77"/>
      <c r="K313" s="41" t="n">
        <f aca="false">IF(D313&lt;=0.5,0,MIN(H313+N(J313),D313+E313+F313))</f>
        <v>0</v>
      </c>
      <c r="L313" s="41" t="n">
        <f aca="false">K313-E313-F313</f>
        <v>0</v>
      </c>
      <c r="M313" s="41" t="n">
        <f aca="false">D313-L313</f>
        <v>0</v>
      </c>
      <c r="N313" s="42" t="n">
        <f aca="false">K313-G313</f>
        <v>0</v>
      </c>
      <c r="O313" s="78"/>
      <c r="P313" s="79"/>
      <c r="Q313" s="16" t="str">
        <f aca="false">IF(K313=0,"",IF(R313=1,"Pagada",IF(C313&lt;$F$12,"Vencida",IF(287=$F$13,"Próxima","Pendiente"))))</f>
        <v/>
      </c>
      <c r="R313" s="62" t="n">
        <f aca="false">IF(AND(K313&gt;0,OR(O313="Sí",O313="Si")),1,0)</f>
        <v>0</v>
      </c>
      <c r="S313" s="62" t="n">
        <f aca="false">IF(AND(K313&gt;0,R313=0),1,0)</f>
        <v>0</v>
      </c>
    </row>
    <row r="314" customFormat="false" ht="15" hidden="false" customHeight="false" outlineLevel="0" collapsed="false">
      <c r="B314" s="71" t="str">
        <f aca="false">IF($F$6="Sí",N($C$11)+287,"")</f>
        <v/>
      </c>
      <c r="C314" s="72" t="str">
        <f aca="false">IF(OR($F$6&lt;&gt;"Sí",D314&lt;=0.5),"",EDATE($C$10,287))</f>
        <v/>
      </c>
      <c r="D314" s="41" t="n">
        <f aca="false">MAX(0,M313)</f>
        <v>0</v>
      </c>
      <c r="E314" s="41" t="n">
        <f aca="false">D314*$F$7</f>
        <v>0</v>
      </c>
      <c r="F314" s="41" t="n">
        <f aca="false">IF(D314&gt;0.5,N($C$15),0)</f>
        <v>0</v>
      </c>
      <c r="G314" s="41" t="n">
        <f aca="false">IF(AND(D314&gt;0.5,N($C$19)&gt;0,N(B314)&lt;=N($C$20)),D314*$F$8,0)</f>
        <v>0</v>
      </c>
      <c r="H314" s="41" t="n">
        <f aca="false">IF(D314&lt;=0.5,0,MIN(IF(N(I314)&gt;0,I314,$F$9),D314+E314+F314))</f>
        <v>0</v>
      </c>
      <c r="I314" s="77"/>
      <c r="J314" s="77"/>
      <c r="K314" s="41" t="n">
        <f aca="false">IF(D314&lt;=0.5,0,MIN(H314+N(J314),D314+E314+F314))</f>
        <v>0</v>
      </c>
      <c r="L314" s="41" t="n">
        <f aca="false">K314-E314-F314</f>
        <v>0</v>
      </c>
      <c r="M314" s="41" t="n">
        <f aca="false">D314-L314</f>
        <v>0</v>
      </c>
      <c r="N314" s="42" t="n">
        <f aca="false">K314-G314</f>
        <v>0</v>
      </c>
      <c r="O314" s="78"/>
      <c r="P314" s="79"/>
      <c r="Q314" s="16" t="str">
        <f aca="false">IF(K314=0,"",IF(R314=1,"Pagada",IF(C314&lt;$F$12,"Vencida",IF(288=$F$13,"Próxima","Pendiente"))))</f>
        <v/>
      </c>
      <c r="R314" s="62" t="n">
        <f aca="false">IF(AND(K314&gt;0,OR(O314="Sí",O314="Si")),1,0)</f>
        <v>0</v>
      </c>
      <c r="S314" s="62" t="n">
        <f aca="false">IF(AND(K314&gt;0,R314=0),1,0)</f>
        <v>0</v>
      </c>
    </row>
    <row r="315" customFormat="false" ht="15" hidden="false" customHeight="false" outlineLevel="0" collapsed="false">
      <c r="B315" s="71" t="str">
        <f aca="false">IF($F$6="Sí",N($C$11)+288,"")</f>
        <v/>
      </c>
      <c r="C315" s="72" t="str">
        <f aca="false">IF(OR($F$6&lt;&gt;"Sí",D315&lt;=0.5),"",EDATE($C$10,288))</f>
        <v/>
      </c>
      <c r="D315" s="41" t="n">
        <f aca="false">MAX(0,M314)</f>
        <v>0</v>
      </c>
      <c r="E315" s="41" t="n">
        <f aca="false">D315*$F$7</f>
        <v>0</v>
      </c>
      <c r="F315" s="41" t="n">
        <f aca="false">IF(D315&gt;0.5,N($C$15),0)</f>
        <v>0</v>
      </c>
      <c r="G315" s="41" t="n">
        <f aca="false">IF(AND(D315&gt;0.5,N($C$19)&gt;0,N(B315)&lt;=N($C$20)),D315*$F$8,0)</f>
        <v>0</v>
      </c>
      <c r="H315" s="41" t="n">
        <f aca="false">IF(D315&lt;=0.5,0,MIN(IF(N(I315)&gt;0,I315,$F$9),D315+E315+F315))</f>
        <v>0</v>
      </c>
      <c r="I315" s="77"/>
      <c r="J315" s="77"/>
      <c r="K315" s="41" t="n">
        <f aca="false">IF(D315&lt;=0.5,0,MIN(H315+N(J315),D315+E315+F315))</f>
        <v>0</v>
      </c>
      <c r="L315" s="41" t="n">
        <f aca="false">K315-E315-F315</f>
        <v>0</v>
      </c>
      <c r="M315" s="41" t="n">
        <f aca="false">D315-L315</f>
        <v>0</v>
      </c>
      <c r="N315" s="42" t="n">
        <f aca="false">K315-G315</f>
        <v>0</v>
      </c>
      <c r="O315" s="78"/>
      <c r="P315" s="79"/>
      <c r="Q315" s="16" t="str">
        <f aca="false">IF(K315=0,"",IF(R315=1,"Pagada",IF(C315&lt;$F$12,"Vencida",IF(289=$F$13,"Próxima","Pendiente"))))</f>
        <v/>
      </c>
      <c r="R315" s="62" t="n">
        <f aca="false">IF(AND(K315&gt;0,OR(O315="Sí",O315="Si")),1,0)</f>
        <v>0</v>
      </c>
      <c r="S315" s="62" t="n">
        <f aca="false">IF(AND(K315&gt;0,R315=0),1,0)</f>
        <v>0</v>
      </c>
    </row>
    <row r="316" customFormat="false" ht="15" hidden="false" customHeight="false" outlineLevel="0" collapsed="false">
      <c r="B316" s="71" t="str">
        <f aca="false">IF($F$6="Sí",N($C$11)+289,"")</f>
        <v/>
      </c>
      <c r="C316" s="72" t="str">
        <f aca="false">IF(OR($F$6&lt;&gt;"Sí",D316&lt;=0.5),"",EDATE($C$10,289))</f>
        <v/>
      </c>
      <c r="D316" s="41" t="n">
        <f aca="false">MAX(0,M315)</f>
        <v>0</v>
      </c>
      <c r="E316" s="41" t="n">
        <f aca="false">D316*$F$7</f>
        <v>0</v>
      </c>
      <c r="F316" s="41" t="n">
        <f aca="false">IF(D316&gt;0.5,N($C$15),0)</f>
        <v>0</v>
      </c>
      <c r="G316" s="41" t="n">
        <f aca="false">IF(AND(D316&gt;0.5,N($C$19)&gt;0,N(B316)&lt;=N($C$20)),D316*$F$8,0)</f>
        <v>0</v>
      </c>
      <c r="H316" s="41" t="n">
        <f aca="false">IF(D316&lt;=0.5,0,MIN(IF(N(I316)&gt;0,I316,$F$9),D316+E316+F316))</f>
        <v>0</v>
      </c>
      <c r="I316" s="77"/>
      <c r="J316" s="77"/>
      <c r="K316" s="41" t="n">
        <f aca="false">IF(D316&lt;=0.5,0,MIN(H316+N(J316),D316+E316+F316))</f>
        <v>0</v>
      </c>
      <c r="L316" s="41" t="n">
        <f aca="false">K316-E316-F316</f>
        <v>0</v>
      </c>
      <c r="M316" s="41" t="n">
        <f aca="false">D316-L316</f>
        <v>0</v>
      </c>
      <c r="N316" s="42" t="n">
        <f aca="false">K316-G316</f>
        <v>0</v>
      </c>
      <c r="O316" s="78"/>
      <c r="P316" s="79"/>
      <c r="Q316" s="16" t="str">
        <f aca="false">IF(K316=0,"",IF(R316=1,"Pagada",IF(C316&lt;$F$12,"Vencida",IF(290=$F$13,"Próxima","Pendiente"))))</f>
        <v/>
      </c>
      <c r="R316" s="62" t="n">
        <f aca="false">IF(AND(K316&gt;0,OR(O316="Sí",O316="Si")),1,0)</f>
        <v>0</v>
      </c>
      <c r="S316" s="62" t="n">
        <f aca="false">IF(AND(K316&gt;0,R316=0),1,0)</f>
        <v>0</v>
      </c>
    </row>
    <row r="317" customFormat="false" ht="15" hidden="false" customHeight="false" outlineLevel="0" collapsed="false">
      <c r="B317" s="71" t="str">
        <f aca="false">IF($F$6="Sí",N($C$11)+290,"")</f>
        <v/>
      </c>
      <c r="C317" s="72" t="str">
        <f aca="false">IF(OR($F$6&lt;&gt;"Sí",D317&lt;=0.5),"",EDATE($C$10,290))</f>
        <v/>
      </c>
      <c r="D317" s="41" t="n">
        <f aca="false">MAX(0,M316)</f>
        <v>0</v>
      </c>
      <c r="E317" s="41" t="n">
        <f aca="false">D317*$F$7</f>
        <v>0</v>
      </c>
      <c r="F317" s="41" t="n">
        <f aca="false">IF(D317&gt;0.5,N($C$15),0)</f>
        <v>0</v>
      </c>
      <c r="G317" s="41" t="n">
        <f aca="false">IF(AND(D317&gt;0.5,N($C$19)&gt;0,N(B317)&lt;=N($C$20)),D317*$F$8,0)</f>
        <v>0</v>
      </c>
      <c r="H317" s="41" t="n">
        <f aca="false">IF(D317&lt;=0.5,0,MIN(IF(N(I317)&gt;0,I317,$F$9),D317+E317+F317))</f>
        <v>0</v>
      </c>
      <c r="I317" s="77"/>
      <c r="J317" s="77"/>
      <c r="K317" s="41" t="n">
        <f aca="false">IF(D317&lt;=0.5,0,MIN(H317+N(J317),D317+E317+F317))</f>
        <v>0</v>
      </c>
      <c r="L317" s="41" t="n">
        <f aca="false">K317-E317-F317</f>
        <v>0</v>
      </c>
      <c r="M317" s="41" t="n">
        <f aca="false">D317-L317</f>
        <v>0</v>
      </c>
      <c r="N317" s="42" t="n">
        <f aca="false">K317-G317</f>
        <v>0</v>
      </c>
      <c r="O317" s="78"/>
      <c r="P317" s="79"/>
      <c r="Q317" s="16" t="str">
        <f aca="false">IF(K317=0,"",IF(R317=1,"Pagada",IF(C317&lt;$F$12,"Vencida",IF(291=$F$13,"Próxima","Pendiente"))))</f>
        <v/>
      </c>
      <c r="R317" s="62" t="n">
        <f aca="false">IF(AND(K317&gt;0,OR(O317="Sí",O317="Si")),1,0)</f>
        <v>0</v>
      </c>
      <c r="S317" s="62" t="n">
        <f aca="false">IF(AND(K317&gt;0,R317=0),1,0)</f>
        <v>0</v>
      </c>
    </row>
    <row r="318" customFormat="false" ht="15" hidden="false" customHeight="false" outlineLevel="0" collapsed="false">
      <c r="B318" s="71" t="str">
        <f aca="false">IF($F$6="Sí",N($C$11)+291,"")</f>
        <v/>
      </c>
      <c r="C318" s="72" t="str">
        <f aca="false">IF(OR($F$6&lt;&gt;"Sí",D318&lt;=0.5),"",EDATE($C$10,291))</f>
        <v/>
      </c>
      <c r="D318" s="41" t="n">
        <f aca="false">MAX(0,M317)</f>
        <v>0</v>
      </c>
      <c r="E318" s="41" t="n">
        <f aca="false">D318*$F$7</f>
        <v>0</v>
      </c>
      <c r="F318" s="41" t="n">
        <f aca="false">IF(D318&gt;0.5,N($C$15),0)</f>
        <v>0</v>
      </c>
      <c r="G318" s="41" t="n">
        <f aca="false">IF(AND(D318&gt;0.5,N($C$19)&gt;0,N(B318)&lt;=N($C$20)),D318*$F$8,0)</f>
        <v>0</v>
      </c>
      <c r="H318" s="41" t="n">
        <f aca="false">IF(D318&lt;=0.5,0,MIN(IF(N(I318)&gt;0,I318,$F$9),D318+E318+F318))</f>
        <v>0</v>
      </c>
      <c r="I318" s="77"/>
      <c r="J318" s="77"/>
      <c r="K318" s="41" t="n">
        <f aca="false">IF(D318&lt;=0.5,0,MIN(H318+N(J318),D318+E318+F318))</f>
        <v>0</v>
      </c>
      <c r="L318" s="41" t="n">
        <f aca="false">K318-E318-F318</f>
        <v>0</v>
      </c>
      <c r="M318" s="41" t="n">
        <f aca="false">D318-L318</f>
        <v>0</v>
      </c>
      <c r="N318" s="42" t="n">
        <f aca="false">K318-G318</f>
        <v>0</v>
      </c>
      <c r="O318" s="78"/>
      <c r="P318" s="79"/>
      <c r="Q318" s="16" t="str">
        <f aca="false">IF(K318=0,"",IF(R318=1,"Pagada",IF(C318&lt;$F$12,"Vencida",IF(292=$F$13,"Próxima","Pendiente"))))</f>
        <v/>
      </c>
      <c r="R318" s="62" t="n">
        <f aca="false">IF(AND(K318&gt;0,OR(O318="Sí",O318="Si")),1,0)</f>
        <v>0</v>
      </c>
      <c r="S318" s="62" t="n">
        <f aca="false">IF(AND(K318&gt;0,R318=0),1,0)</f>
        <v>0</v>
      </c>
    </row>
    <row r="319" customFormat="false" ht="15" hidden="false" customHeight="false" outlineLevel="0" collapsed="false">
      <c r="B319" s="71" t="str">
        <f aca="false">IF($F$6="Sí",N($C$11)+292,"")</f>
        <v/>
      </c>
      <c r="C319" s="72" t="str">
        <f aca="false">IF(OR($F$6&lt;&gt;"Sí",D319&lt;=0.5),"",EDATE($C$10,292))</f>
        <v/>
      </c>
      <c r="D319" s="41" t="n">
        <f aca="false">MAX(0,M318)</f>
        <v>0</v>
      </c>
      <c r="E319" s="41" t="n">
        <f aca="false">D319*$F$7</f>
        <v>0</v>
      </c>
      <c r="F319" s="41" t="n">
        <f aca="false">IF(D319&gt;0.5,N($C$15),0)</f>
        <v>0</v>
      </c>
      <c r="G319" s="41" t="n">
        <f aca="false">IF(AND(D319&gt;0.5,N($C$19)&gt;0,N(B319)&lt;=N($C$20)),D319*$F$8,0)</f>
        <v>0</v>
      </c>
      <c r="H319" s="41" t="n">
        <f aca="false">IF(D319&lt;=0.5,0,MIN(IF(N(I319)&gt;0,I319,$F$9),D319+E319+F319))</f>
        <v>0</v>
      </c>
      <c r="I319" s="77"/>
      <c r="J319" s="77"/>
      <c r="K319" s="41" t="n">
        <f aca="false">IF(D319&lt;=0.5,0,MIN(H319+N(J319),D319+E319+F319))</f>
        <v>0</v>
      </c>
      <c r="L319" s="41" t="n">
        <f aca="false">K319-E319-F319</f>
        <v>0</v>
      </c>
      <c r="M319" s="41" t="n">
        <f aca="false">D319-L319</f>
        <v>0</v>
      </c>
      <c r="N319" s="42" t="n">
        <f aca="false">K319-G319</f>
        <v>0</v>
      </c>
      <c r="O319" s="78"/>
      <c r="P319" s="79"/>
      <c r="Q319" s="16" t="str">
        <f aca="false">IF(K319=0,"",IF(R319=1,"Pagada",IF(C319&lt;$F$12,"Vencida",IF(293=$F$13,"Próxima","Pendiente"))))</f>
        <v/>
      </c>
      <c r="R319" s="62" t="n">
        <f aca="false">IF(AND(K319&gt;0,OR(O319="Sí",O319="Si")),1,0)</f>
        <v>0</v>
      </c>
      <c r="S319" s="62" t="n">
        <f aca="false">IF(AND(K319&gt;0,R319=0),1,0)</f>
        <v>0</v>
      </c>
    </row>
    <row r="320" customFormat="false" ht="15" hidden="false" customHeight="false" outlineLevel="0" collapsed="false">
      <c r="B320" s="71" t="str">
        <f aca="false">IF($F$6="Sí",N($C$11)+293,"")</f>
        <v/>
      </c>
      <c r="C320" s="72" t="str">
        <f aca="false">IF(OR($F$6&lt;&gt;"Sí",D320&lt;=0.5),"",EDATE($C$10,293))</f>
        <v/>
      </c>
      <c r="D320" s="41" t="n">
        <f aca="false">MAX(0,M319)</f>
        <v>0</v>
      </c>
      <c r="E320" s="41" t="n">
        <f aca="false">D320*$F$7</f>
        <v>0</v>
      </c>
      <c r="F320" s="41" t="n">
        <f aca="false">IF(D320&gt;0.5,N($C$15),0)</f>
        <v>0</v>
      </c>
      <c r="G320" s="41" t="n">
        <f aca="false">IF(AND(D320&gt;0.5,N($C$19)&gt;0,N(B320)&lt;=N($C$20)),D320*$F$8,0)</f>
        <v>0</v>
      </c>
      <c r="H320" s="41" t="n">
        <f aca="false">IF(D320&lt;=0.5,0,MIN(IF(N(I320)&gt;0,I320,$F$9),D320+E320+F320))</f>
        <v>0</v>
      </c>
      <c r="I320" s="77"/>
      <c r="J320" s="77"/>
      <c r="K320" s="41" t="n">
        <f aca="false">IF(D320&lt;=0.5,0,MIN(H320+N(J320),D320+E320+F320))</f>
        <v>0</v>
      </c>
      <c r="L320" s="41" t="n">
        <f aca="false">K320-E320-F320</f>
        <v>0</v>
      </c>
      <c r="M320" s="41" t="n">
        <f aca="false">D320-L320</f>
        <v>0</v>
      </c>
      <c r="N320" s="42" t="n">
        <f aca="false">K320-G320</f>
        <v>0</v>
      </c>
      <c r="O320" s="78"/>
      <c r="P320" s="79"/>
      <c r="Q320" s="16" t="str">
        <f aca="false">IF(K320=0,"",IF(R320=1,"Pagada",IF(C320&lt;$F$12,"Vencida",IF(294=$F$13,"Próxima","Pendiente"))))</f>
        <v/>
      </c>
      <c r="R320" s="62" t="n">
        <f aca="false">IF(AND(K320&gt;0,OR(O320="Sí",O320="Si")),1,0)</f>
        <v>0</v>
      </c>
      <c r="S320" s="62" t="n">
        <f aca="false">IF(AND(K320&gt;0,R320=0),1,0)</f>
        <v>0</v>
      </c>
    </row>
    <row r="321" customFormat="false" ht="15" hidden="false" customHeight="false" outlineLevel="0" collapsed="false">
      <c r="B321" s="71" t="str">
        <f aca="false">IF($F$6="Sí",N($C$11)+294,"")</f>
        <v/>
      </c>
      <c r="C321" s="72" t="str">
        <f aca="false">IF(OR($F$6&lt;&gt;"Sí",D321&lt;=0.5),"",EDATE($C$10,294))</f>
        <v/>
      </c>
      <c r="D321" s="41" t="n">
        <f aca="false">MAX(0,M320)</f>
        <v>0</v>
      </c>
      <c r="E321" s="41" t="n">
        <f aca="false">D321*$F$7</f>
        <v>0</v>
      </c>
      <c r="F321" s="41" t="n">
        <f aca="false">IF(D321&gt;0.5,N($C$15),0)</f>
        <v>0</v>
      </c>
      <c r="G321" s="41" t="n">
        <f aca="false">IF(AND(D321&gt;0.5,N($C$19)&gt;0,N(B321)&lt;=N($C$20)),D321*$F$8,0)</f>
        <v>0</v>
      </c>
      <c r="H321" s="41" t="n">
        <f aca="false">IF(D321&lt;=0.5,0,MIN(IF(N(I321)&gt;0,I321,$F$9),D321+E321+F321))</f>
        <v>0</v>
      </c>
      <c r="I321" s="77"/>
      <c r="J321" s="77"/>
      <c r="K321" s="41" t="n">
        <f aca="false">IF(D321&lt;=0.5,0,MIN(H321+N(J321),D321+E321+F321))</f>
        <v>0</v>
      </c>
      <c r="L321" s="41" t="n">
        <f aca="false">K321-E321-F321</f>
        <v>0</v>
      </c>
      <c r="M321" s="41" t="n">
        <f aca="false">D321-L321</f>
        <v>0</v>
      </c>
      <c r="N321" s="42" t="n">
        <f aca="false">K321-G321</f>
        <v>0</v>
      </c>
      <c r="O321" s="78"/>
      <c r="P321" s="79"/>
      <c r="Q321" s="16" t="str">
        <f aca="false">IF(K321=0,"",IF(R321=1,"Pagada",IF(C321&lt;$F$12,"Vencida",IF(295=$F$13,"Próxima","Pendiente"))))</f>
        <v/>
      </c>
      <c r="R321" s="62" t="n">
        <f aca="false">IF(AND(K321&gt;0,OR(O321="Sí",O321="Si")),1,0)</f>
        <v>0</v>
      </c>
      <c r="S321" s="62" t="n">
        <f aca="false">IF(AND(K321&gt;0,R321=0),1,0)</f>
        <v>0</v>
      </c>
    </row>
    <row r="322" customFormat="false" ht="15" hidden="false" customHeight="false" outlineLevel="0" collapsed="false">
      <c r="B322" s="71" t="str">
        <f aca="false">IF($F$6="Sí",N($C$11)+295,"")</f>
        <v/>
      </c>
      <c r="C322" s="72" t="str">
        <f aca="false">IF(OR($F$6&lt;&gt;"Sí",D322&lt;=0.5),"",EDATE($C$10,295))</f>
        <v/>
      </c>
      <c r="D322" s="41" t="n">
        <f aca="false">MAX(0,M321)</f>
        <v>0</v>
      </c>
      <c r="E322" s="41" t="n">
        <f aca="false">D322*$F$7</f>
        <v>0</v>
      </c>
      <c r="F322" s="41" t="n">
        <f aca="false">IF(D322&gt;0.5,N($C$15),0)</f>
        <v>0</v>
      </c>
      <c r="G322" s="41" t="n">
        <f aca="false">IF(AND(D322&gt;0.5,N($C$19)&gt;0,N(B322)&lt;=N($C$20)),D322*$F$8,0)</f>
        <v>0</v>
      </c>
      <c r="H322" s="41" t="n">
        <f aca="false">IF(D322&lt;=0.5,0,MIN(IF(N(I322)&gt;0,I322,$F$9),D322+E322+F322))</f>
        <v>0</v>
      </c>
      <c r="I322" s="77"/>
      <c r="J322" s="77"/>
      <c r="K322" s="41" t="n">
        <f aca="false">IF(D322&lt;=0.5,0,MIN(H322+N(J322),D322+E322+F322))</f>
        <v>0</v>
      </c>
      <c r="L322" s="41" t="n">
        <f aca="false">K322-E322-F322</f>
        <v>0</v>
      </c>
      <c r="M322" s="41" t="n">
        <f aca="false">D322-L322</f>
        <v>0</v>
      </c>
      <c r="N322" s="42" t="n">
        <f aca="false">K322-G322</f>
        <v>0</v>
      </c>
      <c r="O322" s="78"/>
      <c r="P322" s="79"/>
      <c r="Q322" s="16" t="str">
        <f aca="false">IF(K322=0,"",IF(R322=1,"Pagada",IF(C322&lt;$F$12,"Vencida",IF(296=$F$13,"Próxima","Pendiente"))))</f>
        <v/>
      </c>
      <c r="R322" s="62" t="n">
        <f aca="false">IF(AND(K322&gt;0,OR(O322="Sí",O322="Si")),1,0)</f>
        <v>0</v>
      </c>
      <c r="S322" s="62" t="n">
        <f aca="false">IF(AND(K322&gt;0,R322=0),1,0)</f>
        <v>0</v>
      </c>
    </row>
    <row r="323" customFormat="false" ht="15" hidden="false" customHeight="false" outlineLevel="0" collapsed="false">
      <c r="B323" s="71" t="str">
        <f aca="false">IF($F$6="Sí",N($C$11)+296,"")</f>
        <v/>
      </c>
      <c r="C323" s="72" t="str">
        <f aca="false">IF(OR($F$6&lt;&gt;"Sí",D323&lt;=0.5),"",EDATE($C$10,296))</f>
        <v/>
      </c>
      <c r="D323" s="41" t="n">
        <f aca="false">MAX(0,M322)</f>
        <v>0</v>
      </c>
      <c r="E323" s="41" t="n">
        <f aca="false">D323*$F$7</f>
        <v>0</v>
      </c>
      <c r="F323" s="41" t="n">
        <f aca="false">IF(D323&gt;0.5,N($C$15),0)</f>
        <v>0</v>
      </c>
      <c r="G323" s="41" t="n">
        <f aca="false">IF(AND(D323&gt;0.5,N($C$19)&gt;0,N(B323)&lt;=N($C$20)),D323*$F$8,0)</f>
        <v>0</v>
      </c>
      <c r="H323" s="41" t="n">
        <f aca="false">IF(D323&lt;=0.5,0,MIN(IF(N(I323)&gt;0,I323,$F$9),D323+E323+F323))</f>
        <v>0</v>
      </c>
      <c r="I323" s="77"/>
      <c r="J323" s="77"/>
      <c r="K323" s="41" t="n">
        <f aca="false">IF(D323&lt;=0.5,0,MIN(H323+N(J323),D323+E323+F323))</f>
        <v>0</v>
      </c>
      <c r="L323" s="41" t="n">
        <f aca="false">K323-E323-F323</f>
        <v>0</v>
      </c>
      <c r="M323" s="41" t="n">
        <f aca="false">D323-L323</f>
        <v>0</v>
      </c>
      <c r="N323" s="42" t="n">
        <f aca="false">K323-G323</f>
        <v>0</v>
      </c>
      <c r="O323" s="78"/>
      <c r="P323" s="79"/>
      <c r="Q323" s="16" t="str">
        <f aca="false">IF(K323=0,"",IF(R323=1,"Pagada",IF(C323&lt;$F$12,"Vencida",IF(297=$F$13,"Próxima","Pendiente"))))</f>
        <v/>
      </c>
      <c r="R323" s="62" t="n">
        <f aca="false">IF(AND(K323&gt;0,OR(O323="Sí",O323="Si")),1,0)</f>
        <v>0</v>
      </c>
      <c r="S323" s="62" t="n">
        <f aca="false">IF(AND(K323&gt;0,R323=0),1,0)</f>
        <v>0</v>
      </c>
    </row>
    <row r="324" customFormat="false" ht="15" hidden="false" customHeight="false" outlineLevel="0" collapsed="false">
      <c r="B324" s="71" t="str">
        <f aca="false">IF($F$6="Sí",N($C$11)+297,"")</f>
        <v/>
      </c>
      <c r="C324" s="72" t="str">
        <f aca="false">IF(OR($F$6&lt;&gt;"Sí",D324&lt;=0.5),"",EDATE($C$10,297))</f>
        <v/>
      </c>
      <c r="D324" s="41" t="n">
        <f aca="false">MAX(0,M323)</f>
        <v>0</v>
      </c>
      <c r="E324" s="41" t="n">
        <f aca="false">D324*$F$7</f>
        <v>0</v>
      </c>
      <c r="F324" s="41" t="n">
        <f aca="false">IF(D324&gt;0.5,N($C$15),0)</f>
        <v>0</v>
      </c>
      <c r="G324" s="41" t="n">
        <f aca="false">IF(AND(D324&gt;0.5,N($C$19)&gt;0,N(B324)&lt;=N($C$20)),D324*$F$8,0)</f>
        <v>0</v>
      </c>
      <c r="H324" s="41" t="n">
        <f aca="false">IF(D324&lt;=0.5,0,MIN(IF(N(I324)&gt;0,I324,$F$9),D324+E324+F324))</f>
        <v>0</v>
      </c>
      <c r="I324" s="77"/>
      <c r="J324" s="77"/>
      <c r="K324" s="41" t="n">
        <f aca="false">IF(D324&lt;=0.5,0,MIN(H324+N(J324),D324+E324+F324))</f>
        <v>0</v>
      </c>
      <c r="L324" s="41" t="n">
        <f aca="false">K324-E324-F324</f>
        <v>0</v>
      </c>
      <c r="M324" s="41" t="n">
        <f aca="false">D324-L324</f>
        <v>0</v>
      </c>
      <c r="N324" s="42" t="n">
        <f aca="false">K324-G324</f>
        <v>0</v>
      </c>
      <c r="O324" s="78"/>
      <c r="P324" s="79"/>
      <c r="Q324" s="16" t="str">
        <f aca="false">IF(K324=0,"",IF(R324=1,"Pagada",IF(C324&lt;$F$12,"Vencida",IF(298=$F$13,"Próxima","Pendiente"))))</f>
        <v/>
      </c>
      <c r="R324" s="62" t="n">
        <f aca="false">IF(AND(K324&gt;0,OR(O324="Sí",O324="Si")),1,0)</f>
        <v>0</v>
      </c>
      <c r="S324" s="62" t="n">
        <f aca="false">IF(AND(K324&gt;0,R324=0),1,0)</f>
        <v>0</v>
      </c>
    </row>
    <row r="325" customFormat="false" ht="15" hidden="false" customHeight="false" outlineLevel="0" collapsed="false">
      <c r="B325" s="71" t="str">
        <f aca="false">IF($F$6="Sí",N($C$11)+298,"")</f>
        <v/>
      </c>
      <c r="C325" s="72" t="str">
        <f aca="false">IF(OR($F$6&lt;&gt;"Sí",D325&lt;=0.5),"",EDATE($C$10,298))</f>
        <v/>
      </c>
      <c r="D325" s="41" t="n">
        <f aca="false">MAX(0,M324)</f>
        <v>0</v>
      </c>
      <c r="E325" s="41" t="n">
        <f aca="false">D325*$F$7</f>
        <v>0</v>
      </c>
      <c r="F325" s="41" t="n">
        <f aca="false">IF(D325&gt;0.5,N($C$15),0)</f>
        <v>0</v>
      </c>
      <c r="G325" s="41" t="n">
        <f aca="false">IF(AND(D325&gt;0.5,N($C$19)&gt;0,N(B325)&lt;=N($C$20)),D325*$F$8,0)</f>
        <v>0</v>
      </c>
      <c r="H325" s="41" t="n">
        <f aca="false">IF(D325&lt;=0.5,0,MIN(IF(N(I325)&gt;0,I325,$F$9),D325+E325+F325))</f>
        <v>0</v>
      </c>
      <c r="I325" s="77"/>
      <c r="J325" s="77"/>
      <c r="K325" s="41" t="n">
        <f aca="false">IF(D325&lt;=0.5,0,MIN(H325+N(J325),D325+E325+F325))</f>
        <v>0</v>
      </c>
      <c r="L325" s="41" t="n">
        <f aca="false">K325-E325-F325</f>
        <v>0</v>
      </c>
      <c r="M325" s="41" t="n">
        <f aca="false">D325-L325</f>
        <v>0</v>
      </c>
      <c r="N325" s="42" t="n">
        <f aca="false">K325-G325</f>
        <v>0</v>
      </c>
      <c r="O325" s="78"/>
      <c r="P325" s="79"/>
      <c r="Q325" s="16" t="str">
        <f aca="false">IF(K325=0,"",IF(R325=1,"Pagada",IF(C325&lt;$F$12,"Vencida",IF(299=$F$13,"Próxima","Pendiente"))))</f>
        <v/>
      </c>
      <c r="R325" s="62" t="n">
        <f aca="false">IF(AND(K325&gt;0,OR(O325="Sí",O325="Si")),1,0)</f>
        <v>0</v>
      </c>
      <c r="S325" s="62" t="n">
        <f aca="false">IF(AND(K325&gt;0,R325=0),1,0)</f>
        <v>0</v>
      </c>
    </row>
    <row r="326" customFormat="false" ht="15" hidden="false" customHeight="false" outlineLevel="0" collapsed="false">
      <c r="B326" s="71" t="str">
        <f aca="false">IF($F$6="Sí",N($C$11)+299,"")</f>
        <v/>
      </c>
      <c r="C326" s="72" t="str">
        <f aca="false">IF(OR($F$6&lt;&gt;"Sí",D326&lt;=0.5),"",EDATE($C$10,299))</f>
        <v/>
      </c>
      <c r="D326" s="41" t="n">
        <f aca="false">MAX(0,M325)</f>
        <v>0</v>
      </c>
      <c r="E326" s="41" t="n">
        <f aca="false">D326*$F$7</f>
        <v>0</v>
      </c>
      <c r="F326" s="41" t="n">
        <f aca="false">IF(D326&gt;0.5,N($C$15),0)</f>
        <v>0</v>
      </c>
      <c r="G326" s="41" t="n">
        <f aca="false">IF(AND(D326&gt;0.5,N($C$19)&gt;0,N(B326)&lt;=N($C$20)),D326*$F$8,0)</f>
        <v>0</v>
      </c>
      <c r="H326" s="41" t="n">
        <f aca="false">IF(D326&lt;=0.5,0,MIN(IF(N(I326)&gt;0,I326,$F$9),D326+E326+F326))</f>
        <v>0</v>
      </c>
      <c r="I326" s="77"/>
      <c r="J326" s="77"/>
      <c r="K326" s="41" t="n">
        <f aca="false">IF(D326&lt;=0.5,0,MIN(H326+N(J326),D326+E326+F326))</f>
        <v>0</v>
      </c>
      <c r="L326" s="41" t="n">
        <f aca="false">K326-E326-F326</f>
        <v>0</v>
      </c>
      <c r="M326" s="41" t="n">
        <f aca="false">D326-L326</f>
        <v>0</v>
      </c>
      <c r="N326" s="42" t="n">
        <f aca="false">K326-G326</f>
        <v>0</v>
      </c>
      <c r="O326" s="78"/>
      <c r="P326" s="79"/>
      <c r="Q326" s="16" t="str">
        <f aca="false">IF(K326=0,"",IF(R326=1,"Pagada",IF(C326&lt;$F$12,"Vencida",IF(300=$F$13,"Próxima","Pendiente"))))</f>
        <v/>
      </c>
      <c r="R326" s="62" t="n">
        <f aca="false">IF(AND(K326&gt;0,OR(O326="Sí",O326="Si")),1,0)</f>
        <v>0</v>
      </c>
      <c r="S326" s="62" t="n">
        <f aca="false">IF(AND(K326&gt;0,R326=0),1,0)</f>
        <v>0</v>
      </c>
    </row>
    <row r="327" customFormat="false" ht="15" hidden="false" customHeight="false" outlineLevel="0" collapsed="false">
      <c r="B327" s="71" t="str">
        <f aca="false">IF($F$6="Sí",N($C$11)+300,"")</f>
        <v/>
      </c>
      <c r="C327" s="72" t="str">
        <f aca="false">IF(OR($F$6&lt;&gt;"Sí",D327&lt;=0.5),"",EDATE($C$10,300))</f>
        <v/>
      </c>
      <c r="D327" s="41" t="n">
        <f aca="false">MAX(0,M326)</f>
        <v>0</v>
      </c>
      <c r="E327" s="41" t="n">
        <f aca="false">D327*$F$7</f>
        <v>0</v>
      </c>
      <c r="F327" s="41" t="n">
        <f aca="false">IF(D327&gt;0.5,N($C$15),0)</f>
        <v>0</v>
      </c>
      <c r="G327" s="41" t="n">
        <f aca="false">IF(AND(D327&gt;0.5,N($C$19)&gt;0,N(B327)&lt;=N($C$20)),D327*$F$8,0)</f>
        <v>0</v>
      </c>
      <c r="H327" s="41" t="n">
        <f aca="false">IF(D327&lt;=0.5,0,MIN(IF(N(I327)&gt;0,I327,$F$9),D327+E327+F327))</f>
        <v>0</v>
      </c>
      <c r="I327" s="77"/>
      <c r="J327" s="77"/>
      <c r="K327" s="41" t="n">
        <f aca="false">IF(D327&lt;=0.5,0,MIN(H327+N(J327),D327+E327+F327))</f>
        <v>0</v>
      </c>
      <c r="L327" s="41" t="n">
        <f aca="false">K327-E327-F327</f>
        <v>0</v>
      </c>
      <c r="M327" s="41" t="n">
        <f aca="false">D327-L327</f>
        <v>0</v>
      </c>
      <c r="N327" s="42" t="n">
        <f aca="false">K327-G327</f>
        <v>0</v>
      </c>
      <c r="O327" s="78"/>
      <c r="P327" s="79"/>
      <c r="Q327" s="16" t="str">
        <f aca="false">IF(K327=0,"",IF(R327=1,"Pagada",IF(C327&lt;$F$12,"Vencida",IF(301=$F$13,"Próxima","Pendiente"))))</f>
        <v/>
      </c>
      <c r="R327" s="62" t="n">
        <f aca="false">IF(AND(K327&gt;0,OR(O327="Sí",O327="Si")),1,0)</f>
        <v>0</v>
      </c>
      <c r="S327" s="62" t="n">
        <f aca="false">IF(AND(K327&gt;0,R327=0),1,0)</f>
        <v>0</v>
      </c>
    </row>
    <row r="328" customFormat="false" ht="15" hidden="false" customHeight="false" outlineLevel="0" collapsed="false">
      <c r="B328" s="71" t="str">
        <f aca="false">IF($F$6="Sí",N($C$11)+301,"")</f>
        <v/>
      </c>
      <c r="C328" s="72" t="str">
        <f aca="false">IF(OR($F$6&lt;&gt;"Sí",D328&lt;=0.5),"",EDATE($C$10,301))</f>
        <v/>
      </c>
      <c r="D328" s="41" t="n">
        <f aca="false">MAX(0,M327)</f>
        <v>0</v>
      </c>
      <c r="E328" s="41" t="n">
        <f aca="false">D328*$F$7</f>
        <v>0</v>
      </c>
      <c r="F328" s="41" t="n">
        <f aca="false">IF(D328&gt;0.5,N($C$15),0)</f>
        <v>0</v>
      </c>
      <c r="G328" s="41" t="n">
        <f aca="false">IF(AND(D328&gt;0.5,N($C$19)&gt;0,N(B328)&lt;=N($C$20)),D328*$F$8,0)</f>
        <v>0</v>
      </c>
      <c r="H328" s="41" t="n">
        <f aca="false">IF(D328&lt;=0.5,0,MIN(IF(N(I328)&gt;0,I328,$F$9),D328+E328+F328))</f>
        <v>0</v>
      </c>
      <c r="I328" s="77"/>
      <c r="J328" s="77"/>
      <c r="K328" s="41" t="n">
        <f aca="false">IF(D328&lt;=0.5,0,MIN(H328+N(J328),D328+E328+F328))</f>
        <v>0</v>
      </c>
      <c r="L328" s="41" t="n">
        <f aca="false">K328-E328-F328</f>
        <v>0</v>
      </c>
      <c r="M328" s="41" t="n">
        <f aca="false">D328-L328</f>
        <v>0</v>
      </c>
      <c r="N328" s="42" t="n">
        <f aca="false">K328-G328</f>
        <v>0</v>
      </c>
      <c r="O328" s="78"/>
      <c r="P328" s="79"/>
      <c r="Q328" s="16" t="str">
        <f aca="false">IF(K328=0,"",IF(R328=1,"Pagada",IF(C328&lt;$F$12,"Vencida",IF(302=$F$13,"Próxima","Pendiente"))))</f>
        <v/>
      </c>
      <c r="R328" s="62" t="n">
        <f aca="false">IF(AND(K328&gt;0,OR(O328="Sí",O328="Si")),1,0)</f>
        <v>0</v>
      </c>
      <c r="S328" s="62" t="n">
        <f aca="false">IF(AND(K328&gt;0,R328=0),1,0)</f>
        <v>0</v>
      </c>
    </row>
    <row r="329" customFormat="false" ht="15" hidden="false" customHeight="false" outlineLevel="0" collapsed="false">
      <c r="B329" s="71" t="str">
        <f aca="false">IF($F$6="Sí",N($C$11)+302,"")</f>
        <v/>
      </c>
      <c r="C329" s="72" t="str">
        <f aca="false">IF(OR($F$6&lt;&gt;"Sí",D329&lt;=0.5),"",EDATE($C$10,302))</f>
        <v/>
      </c>
      <c r="D329" s="41" t="n">
        <f aca="false">MAX(0,M328)</f>
        <v>0</v>
      </c>
      <c r="E329" s="41" t="n">
        <f aca="false">D329*$F$7</f>
        <v>0</v>
      </c>
      <c r="F329" s="41" t="n">
        <f aca="false">IF(D329&gt;0.5,N($C$15),0)</f>
        <v>0</v>
      </c>
      <c r="G329" s="41" t="n">
        <f aca="false">IF(AND(D329&gt;0.5,N($C$19)&gt;0,N(B329)&lt;=N($C$20)),D329*$F$8,0)</f>
        <v>0</v>
      </c>
      <c r="H329" s="41" t="n">
        <f aca="false">IF(D329&lt;=0.5,0,MIN(IF(N(I329)&gt;0,I329,$F$9),D329+E329+F329))</f>
        <v>0</v>
      </c>
      <c r="I329" s="77"/>
      <c r="J329" s="77"/>
      <c r="K329" s="41" t="n">
        <f aca="false">IF(D329&lt;=0.5,0,MIN(H329+N(J329),D329+E329+F329))</f>
        <v>0</v>
      </c>
      <c r="L329" s="41" t="n">
        <f aca="false">K329-E329-F329</f>
        <v>0</v>
      </c>
      <c r="M329" s="41" t="n">
        <f aca="false">D329-L329</f>
        <v>0</v>
      </c>
      <c r="N329" s="42" t="n">
        <f aca="false">K329-G329</f>
        <v>0</v>
      </c>
      <c r="O329" s="78"/>
      <c r="P329" s="79"/>
      <c r="Q329" s="16" t="str">
        <f aca="false">IF(K329=0,"",IF(R329=1,"Pagada",IF(C329&lt;$F$12,"Vencida",IF(303=$F$13,"Próxima","Pendiente"))))</f>
        <v/>
      </c>
      <c r="R329" s="62" t="n">
        <f aca="false">IF(AND(K329&gt;0,OR(O329="Sí",O329="Si")),1,0)</f>
        <v>0</v>
      </c>
      <c r="S329" s="62" t="n">
        <f aca="false">IF(AND(K329&gt;0,R329=0),1,0)</f>
        <v>0</v>
      </c>
    </row>
    <row r="330" customFormat="false" ht="15" hidden="false" customHeight="false" outlineLevel="0" collapsed="false">
      <c r="B330" s="71" t="str">
        <f aca="false">IF($F$6="Sí",N($C$11)+303,"")</f>
        <v/>
      </c>
      <c r="C330" s="72" t="str">
        <f aca="false">IF(OR($F$6&lt;&gt;"Sí",D330&lt;=0.5),"",EDATE($C$10,303))</f>
        <v/>
      </c>
      <c r="D330" s="41" t="n">
        <f aca="false">MAX(0,M329)</f>
        <v>0</v>
      </c>
      <c r="E330" s="41" t="n">
        <f aca="false">D330*$F$7</f>
        <v>0</v>
      </c>
      <c r="F330" s="41" t="n">
        <f aca="false">IF(D330&gt;0.5,N($C$15),0)</f>
        <v>0</v>
      </c>
      <c r="G330" s="41" t="n">
        <f aca="false">IF(AND(D330&gt;0.5,N($C$19)&gt;0,N(B330)&lt;=N($C$20)),D330*$F$8,0)</f>
        <v>0</v>
      </c>
      <c r="H330" s="41" t="n">
        <f aca="false">IF(D330&lt;=0.5,0,MIN(IF(N(I330)&gt;0,I330,$F$9),D330+E330+F330))</f>
        <v>0</v>
      </c>
      <c r="I330" s="77"/>
      <c r="J330" s="77"/>
      <c r="K330" s="41" t="n">
        <f aca="false">IF(D330&lt;=0.5,0,MIN(H330+N(J330),D330+E330+F330))</f>
        <v>0</v>
      </c>
      <c r="L330" s="41" t="n">
        <f aca="false">K330-E330-F330</f>
        <v>0</v>
      </c>
      <c r="M330" s="41" t="n">
        <f aca="false">D330-L330</f>
        <v>0</v>
      </c>
      <c r="N330" s="42" t="n">
        <f aca="false">K330-G330</f>
        <v>0</v>
      </c>
      <c r="O330" s="78"/>
      <c r="P330" s="79"/>
      <c r="Q330" s="16" t="str">
        <f aca="false">IF(K330=0,"",IF(R330=1,"Pagada",IF(C330&lt;$F$12,"Vencida",IF(304=$F$13,"Próxima","Pendiente"))))</f>
        <v/>
      </c>
      <c r="R330" s="62" t="n">
        <f aca="false">IF(AND(K330&gt;0,OR(O330="Sí",O330="Si")),1,0)</f>
        <v>0</v>
      </c>
      <c r="S330" s="62" t="n">
        <f aca="false">IF(AND(K330&gt;0,R330=0),1,0)</f>
        <v>0</v>
      </c>
    </row>
    <row r="331" customFormat="false" ht="15" hidden="false" customHeight="false" outlineLevel="0" collapsed="false">
      <c r="B331" s="71" t="str">
        <f aca="false">IF($F$6="Sí",N($C$11)+304,"")</f>
        <v/>
      </c>
      <c r="C331" s="72" t="str">
        <f aca="false">IF(OR($F$6&lt;&gt;"Sí",D331&lt;=0.5),"",EDATE($C$10,304))</f>
        <v/>
      </c>
      <c r="D331" s="41" t="n">
        <f aca="false">MAX(0,M330)</f>
        <v>0</v>
      </c>
      <c r="E331" s="41" t="n">
        <f aca="false">D331*$F$7</f>
        <v>0</v>
      </c>
      <c r="F331" s="41" t="n">
        <f aca="false">IF(D331&gt;0.5,N($C$15),0)</f>
        <v>0</v>
      </c>
      <c r="G331" s="41" t="n">
        <f aca="false">IF(AND(D331&gt;0.5,N($C$19)&gt;0,N(B331)&lt;=N($C$20)),D331*$F$8,0)</f>
        <v>0</v>
      </c>
      <c r="H331" s="41" t="n">
        <f aca="false">IF(D331&lt;=0.5,0,MIN(IF(N(I331)&gt;0,I331,$F$9),D331+E331+F331))</f>
        <v>0</v>
      </c>
      <c r="I331" s="77"/>
      <c r="J331" s="77"/>
      <c r="K331" s="41" t="n">
        <f aca="false">IF(D331&lt;=0.5,0,MIN(H331+N(J331),D331+E331+F331))</f>
        <v>0</v>
      </c>
      <c r="L331" s="41" t="n">
        <f aca="false">K331-E331-F331</f>
        <v>0</v>
      </c>
      <c r="M331" s="41" t="n">
        <f aca="false">D331-L331</f>
        <v>0</v>
      </c>
      <c r="N331" s="42" t="n">
        <f aca="false">K331-G331</f>
        <v>0</v>
      </c>
      <c r="O331" s="78"/>
      <c r="P331" s="79"/>
      <c r="Q331" s="16" t="str">
        <f aca="false">IF(K331=0,"",IF(R331=1,"Pagada",IF(C331&lt;$F$12,"Vencida",IF(305=$F$13,"Próxima","Pendiente"))))</f>
        <v/>
      </c>
      <c r="R331" s="62" t="n">
        <f aca="false">IF(AND(K331&gt;0,OR(O331="Sí",O331="Si")),1,0)</f>
        <v>0</v>
      </c>
      <c r="S331" s="62" t="n">
        <f aca="false">IF(AND(K331&gt;0,R331=0),1,0)</f>
        <v>0</v>
      </c>
    </row>
    <row r="332" customFormat="false" ht="15" hidden="false" customHeight="false" outlineLevel="0" collapsed="false">
      <c r="B332" s="71" t="str">
        <f aca="false">IF($F$6="Sí",N($C$11)+305,"")</f>
        <v/>
      </c>
      <c r="C332" s="72" t="str">
        <f aca="false">IF(OR($F$6&lt;&gt;"Sí",D332&lt;=0.5),"",EDATE($C$10,305))</f>
        <v/>
      </c>
      <c r="D332" s="41" t="n">
        <f aca="false">MAX(0,M331)</f>
        <v>0</v>
      </c>
      <c r="E332" s="41" t="n">
        <f aca="false">D332*$F$7</f>
        <v>0</v>
      </c>
      <c r="F332" s="41" t="n">
        <f aca="false">IF(D332&gt;0.5,N($C$15),0)</f>
        <v>0</v>
      </c>
      <c r="G332" s="41" t="n">
        <f aca="false">IF(AND(D332&gt;0.5,N($C$19)&gt;0,N(B332)&lt;=N($C$20)),D332*$F$8,0)</f>
        <v>0</v>
      </c>
      <c r="H332" s="41" t="n">
        <f aca="false">IF(D332&lt;=0.5,0,MIN(IF(N(I332)&gt;0,I332,$F$9),D332+E332+F332))</f>
        <v>0</v>
      </c>
      <c r="I332" s="77"/>
      <c r="J332" s="77"/>
      <c r="K332" s="41" t="n">
        <f aca="false">IF(D332&lt;=0.5,0,MIN(H332+N(J332),D332+E332+F332))</f>
        <v>0</v>
      </c>
      <c r="L332" s="41" t="n">
        <f aca="false">K332-E332-F332</f>
        <v>0</v>
      </c>
      <c r="M332" s="41" t="n">
        <f aca="false">D332-L332</f>
        <v>0</v>
      </c>
      <c r="N332" s="42" t="n">
        <f aca="false">K332-G332</f>
        <v>0</v>
      </c>
      <c r="O332" s="78"/>
      <c r="P332" s="79"/>
      <c r="Q332" s="16" t="str">
        <f aca="false">IF(K332=0,"",IF(R332=1,"Pagada",IF(C332&lt;$F$12,"Vencida",IF(306=$F$13,"Próxima","Pendiente"))))</f>
        <v/>
      </c>
      <c r="R332" s="62" t="n">
        <f aca="false">IF(AND(K332&gt;0,OR(O332="Sí",O332="Si")),1,0)</f>
        <v>0</v>
      </c>
      <c r="S332" s="62" t="n">
        <f aca="false">IF(AND(K332&gt;0,R332=0),1,0)</f>
        <v>0</v>
      </c>
    </row>
    <row r="333" customFormat="false" ht="15" hidden="false" customHeight="false" outlineLevel="0" collapsed="false">
      <c r="B333" s="71" t="str">
        <f aca="false">IF($F$6="Sí",N($C$11)+306,"")</f>
        <v/>
      </c>
      <c r="C333" s="72" t="str">
        <f aca="false">IF(OR($F$6&lt;&gt;"Sí",D333&lt;=0.5),"",EDATE($C$10,306))</f>
        <v/>
      </c>
      <c r="D333" s="41" t="n">
        <f aca="false">MAX(0,M332)</f>
        <v>0</v>
      </c>
      <c r="E333" s="41" t="n">
        <f aca="false">D333*$F$7</f>
        <v>0</v>
      </c>
      <c r="F333" s="41" t="n">
        <f aca="false">IF(D333&gt;0.5,N($C$15),0)</f>
        <v>0</v>
      </c>
      <c r="G333" s="41" t="n">
        <f aca="false">IF(AND(D333&gt;0.5,N($C$19)&gt;0,N(B333)&lt;=N($C$20)),D333*$F$8,0)</f>
        <v>0</v>
      </c>
      <c r="H333" s="41" t="n">
        <f aca="false">IF(D333&lt;=0.5,0,MIN(IF(N(I333)&gt;0,I333,$F$9),D333+E333+F333))</f>
        <v>0</v>
      </c>
      <c r="I333" s="77"/>
      <c r="J333" s="77"/>
      <c r="K333" s="41" t="n">
        <f aca="false">IF(D333&lt;=0.5,0,MIN(H333+N(J333),D333+E333+F333))</f>
        <v>0</v>
      </c>
      <c r="L333" s="41" t="n">
        <f aca="false">K333-E333-F333</f>
        <v>0</v>
      </c>
      <c r="M333" s="41" t="n">
        <f aca="false">D333-L333</f>
        <v>0</v>
      </c>
      <c r="N333" s="42" t="n">
        <f aca="false">K333-G333</f>
        <v>0</v>
      </c>
      <c r="O333" s="78"/>
      <c r="P333" s="79"/>
      <c r="Q333" s="16" t="str">
        <f aca="false">IF(K333=0,"",IF(R333=1,"Pagada",IF(C333&lt;$F$12,"Vencida",IF(307=$F$13,"Próxima","Pendiente"))))</f>
        <v/>
      </c>
      <c r="R333" s="62" t="n">
        <f aca="false">IF(AND(K333&gt;0,OR(O333="Sí",O333="Si")),1,0)</f>
        <v>0</v>
      </c>
      <c r="S333" s="62" t="n">
        <f aca="false">IF(AND(K333&gt;0,R333=0),1,0)</f>
        <v>0</v>
      </c>
    </row>
    <row r="334" customFormat="false" ht="15" hidden="false" customHeight="false" outlineLevel="0" collapsed="false">
      <c r="B334" s="71" t="str">
        <f aca="false">IF($F$6="Sí",N($C$11)+307,"")</f>
        <v/>
      </c>
      <c r="C334" s="72" t="str">
        <f aca="false">IF(OR($F$6&lt;&gt;"Sí",D334&lt;=0.5),"",EDATE($C$10,307))</f>
        <v/>
      </c>
      <c r="D334" s="41" t="n">
        <f aca="false">MAX(0,M333)</f>
        <v>0</v>
      </c>
      <c r="E334" s="41" t="n">
        <f aca="false">D334*$F$7</f>
        <v>0</v>
      </c>
      <c r="F334" s="41" t="n">
        <f aca="false">IF(D334&gt;0.5,N($C$15),0)</f>
        <v>0</v>
      </c>
      <c r="G334" s="41" t="n">
        <f aca="false">IF(AND(D334&gt;0.5,N($C$19)&gt;0,N(B334)&lt;=N($C$20)),D334*$F$8,0)</f>
        <v>0</v>
      </c>
      <c r="H334" s="41" t="n">
        <f aca="false">IF(D334&lt;=0.5,0,MIN(IF(N(I334)&gt;0,I334,$F$9),D334+E334+F334))</f>
        <v>0</v>
      </c>
      <c r="I334" s="77"/>
      <c r="J334" s="77"/>
      <c r="K334" s="41" t="n">
        <f aca="false">IF(D334&lt;=0.5,0,MIN(H334+N(J334),D334+E334+F334))</f>
        <v>0</v>
      </c>
      <c r="L334" s="41" t="n">
        <f aca="false">K334-E334-F334</f>
        <v>0</v>
      </c>
      <c r="M334" s="41" t="n">
        <f aca="false">D334-L334</f>
        <v>0</v>
      </c>
      <c r="N334" s="42" t="n">
        <f aca="false">K334-G334</f>
        <v>0</v>
      </c>
      <c r="O334" s="78"/>
      <c r="P334" s="79"/>
      <c r="Q334" s="16" t="str">
        <f aca="false">IF(K334=0,"",IF(R334=1,"Pagada",IF(C334&lt;$F$12,"Vencida",IF(308=$F$13,"Próxima","Pendiente"))))</f>
        <v/>
      </c>
      <c r="R334" s="62" t="n">
        <f aca="false">IF(AND(K334&gt;0,OR(O334="Sí",O334="Si")),1,0)</f>
        <v>0</v>
      </c>
      <c r="S334" s="62" t="n">
        <f aca="false">IF(AND(K334&gt;0,R334=0),1,0)</f>
        <v>0</v>
      </c>
    </row>
    <row r="335" customFormat="false" ht="15" hidden="false" customHeight="false" outlineLevel="0" collapsed="false">
      <c r="B335" s="71" t="str">
        <f aca="false">IF($F$6="Sí",N($C$11)+308,"")</f>
        <v/>
      </c>
      <c r="C335" s="72" t="str">
        <f aca="false">IF(OR($F$6&lt;&gt;"Sí",D335&lt;=0.5),"",EDATE($C$10,308))</f>
        <v/>
      </c>
      <c r="D335" s="41" t="n">
        <f aca="false">MAX(0,M334)</f>
        <v>0</v>
      </c>
      <c r="E335" s="41" t="n">
        <f aca="false">D335*$F$7</f>
        <v>0</v>
      </c>
      <c r="F335" s="41" t="n">
        <f aca="false">IF(D335&gt;0.5,N($C$15),0)</f>
        <v>0</v>
      </c>
      <c r="G335" s="41" t="n">
        <f aca="false">IF(AND(D335&gt;0.5,N($C$19)&gt;0,N(B335)&lt;=N($C$20)),D335*$F$8,0)</f>
        <v>0</v>
      </c>
      <c r="H335" s="41" t="n">
        <f aca="false">IF(D335&lt;=0.5,0,MIN(IF(N(I335)&gt;0,I335,$F$9),D335+E335+F335))</f>
        <v>0</v>
      </c>
      <c r="I335" s="77"/>
      <c r="J335" s="77"/>
      <c r="K335" s="41" t="n">
        <f aca="false">IF(D335&lt;=0.5,0,MIN(H335+N(J335),D335+E335+F335))</f>
        <v>0</v>
      </c>
      <c r="L335" s="41" t="n">
        <f aca="false">K335-E335-F335</f>
        <v>0</v>
      </c>
      <c r="M335" s="41" t="n">
        <f aca="false">D335-L335</f>
        <v>0</v>
      </c>
      <c r="N335" s="42" t="n">
        <f aca="false">K335-G335</f>
        <v>0</v>
      </c>
      <c r="O335" s="78"/>
      <c r="P335" s="79"/>
      <c r="Q335" s="16" t="str">
        <f aca="false">IF(K335=0,"",IF(R335=1,"Pagada",IF(C335&lt;$F$12,"Vencida",IF(309=$F$13,"Próxima","Pendiente"))))</f>
        <v/>
      </c>
      <c r="R335" s="62" t="n">
        <f aca="false">IF(AND(K335&gt;0,OR(O335="Sí",O335="Si")),1,0)</f>
        <v>0</v>
      </c>
      <c r="S335" s="62" t="n">
        <f aca="false">IF(AND(K335&gt;0,R335=0),1,0)</f>
        <v>0</v>
      </c>
    </row>
    <row r="336" customFormat="false" ht="15" hidden="false" customHeight="false" outlineLevel="0" collapsed="false">
      <c r="B336" s="71" t="str">
        <f aca="false">IF($F$6="Sí",N($C$11)+309,"")</f>
        <v/>
      </c>
      <c r="C336" s="72" t="str">
        <f aca="false">IF(OR($F$6&lt;&gt;"Sí",D336&lt;=0.5),"",EDATE($C$10,309))</f>
        <v/>
      </c>
      <c r="D336" s="41" t="n">
        <f aca="false">MAX(0,M335)</f>
        <v>0</v>
      </c>
      <c r="E336" s="41" t="n">
        <f aca="false">D336*$F$7</f>
        <v>0</v>
      </c>
      <c r="F336" s="41" t="n">
        <f aca="false">IF(D336&gt;0.5,N($C$15),0)</f>
        <v>0</v>
      </c>
      <c r="G336" s="41" t="n">
        <f aca="false">IF(AND(D336&gt;0.5,N($C$19)&gt;0,N(B336)&lt;=N($C$20)),D336*$F$8,0)</f>
        <v>0</v>
      </c>
      <c r="H336" s="41" t="n">
        <f aca="false">IF(D336&lt;=0.5,0,MIN(IF(N(I336)&gt;0,I336,$F$9),D336+E336+F336))</f>
        <v>0</v>
      </c>
      <c r="I336" s="77"/>
      <c r="J336" s="77"/>
      <c r="K336" s="41" t="n">
        <f aca="false">IF(D336&lt;=0.5,0,MIN(H336+N(J336),D336+E336+F336))</f>
        <v>0</v>
      </c>
      <c r="L336" s="41" t="n">
        <f aca="false">K336-E336-F336</f>
        <v>0</v>
      </c>
      <c r="M336" s="41" t="n">
        <f aca="false">D336-L336</f>
        <v>0</v>
      </c>
      <c r="N336" s="42" t="n">
        <f aca="false">K336-G336</f>
        <v>0</v>
      </c>
      <c r="O336" s="78"/>
      <c r="P336" s="79"/>
      <c r="Q336" s="16" t="str">
        <f aca="false">IF(K336=0,"",IF(R336=1,"Pagada",IF(C336&lt;$F$12,"Vencida",IF(310=$F$13,"Próxima","Pendiente"))))</f>
        <v/>
      </c>
      <c r="R336" s="62" t="n">
        <f aca="false">IF(AND(K336&gt;0,OR(O336="Sí",O336="Si")),1,0)</f>
        <v>0</v>
      </c>
      <c r="S336" s="62" t="n">
        <f aca="false">IF(AND(K336&gt;0,R336=0),1,0)</f>
        <v>0</v>
      </c>
    </row>
    <row r="337" customFormat="false" ht="15" hidden="false" customHeight="false" outlineLevel="0" collapsed="false">
      <c r="B337" s="71" t="str">
        <f aca="false">IF($F$6="Sí",N($C$11)+310,"")</f>
        <v/>
      </c>
      <c r="C337" s="72" t="str">
        <f aca="false">IF(OR($F$6&lt;&gt;"Sí",D337&lt;=0.5),"",EDATE($C$10,310))</f>
        <v/>
      </c>
      <c r="D337" s="41" t="n">
        <f aca="false">MAX(0,M336)</f>
        <v>0</v>
      </c>
      <c r="E337" s="41" t="n">
        <f aca="false">D337*$F$7</f>
        <v>0</v>
      </c>
      <c r="F337" s="41" t="n">
        <f aca="false">IF(D337&gt;0.5,N($C$15),0)</f>
        <v>0</v>
      </c>
      <c r="G337" s="41" t="n">
        <f aca="false">IF(AND(D337&gt;0.5,N($C$19)&gt;0,N(B337)&lt;=N($C$20)),D337*$F$8,0)</f>
        <v>0</v>
      </c>
      <c r="H337" s="41" t="n">
        <f aca="false">IF(D337&lt;=0.5,0,MIN(IF(N(I337)&gt;0,I337,$F$9),D337+E337+F337))</f>
        <v>0</v>
      </c>
      <c r="I337" s="77"/>
      <c r="J337" s="77"/>
      <c r="K337" s="41" t="n">
        <f aca="false">IF(D337&lt;=0.5,0,MIN(H337+N(J337),D337+E337+F337))</f>
        <v>0</v>
      </c>
      <c r="L337" s="41" t="n">
        <f aca="false">K337-E337-F337</f>
        <v>0</v>
      </c>
      <c r="M337" s="41" t="n">
        <f aca="false">D337-L337</f>
        <v>0</v>
      </c>
      <c r="N337" s="42" t="n">
        <f aca="false">K337-G337</f>
        <v>0</v>
      </c>
      <c r="O337" s="78"/>
      <c r="P337" s="79"/>
      <c r="Q337" s="16" t="str">
        <f aca="false">IF(K337=0,"",IF(R337=1,"Pagada",IF(C337&lt;$F$12,"Vencida",IF(311=$F$13,"Próxima","Pendiente"))))</f>
        <v/>
      </c>
      <c r="R337" s="62" t="n">
        <f aca="false">IF(AND(K337&gt;0,OR(O337="Sí",O337="Si")),1,0)</f>
        <v>0</v>
      </c>
      <c r="S337" s="62" t="n">
        <f aca="false">IF(AND(K337&gt;0,R337=0),1,0)</f>
        <v>0</v>
      </c>
    </row>
    <row r="338" customFormat="false" ht="15" hidden="false" customHeight="false" outlineLevel="0" collapsed="false">
      <c r="B338" s="71" t="str">
        <f aca="false">IF($F$6="Sí",N($C$11)+311,"")</f>
        <v/>
      </c>
      <c r="C338" s="72" t="str">
        <f aca="false">IF(OR($F$6&lt;&gt;"Sí",D338&lt;=0.5),"",EDATE($C$10,311))</f>
        <v/>
      </c>
      <c r="D338" s="41" t="n">
        <f aca="false">MAX(0,M337)</f>
        <v>0</v>
      </c>
      <c r="E338" s="41" t="n">
        <f aca="false">D338*$F$7</f>
        <v>0</v>
      </c>
      <c r="F338" s="41" t="n">
        <f aca="false">IF(D338&gt;0.5,N($C$15),0)</f>
        <v>0</v>
      </c>
      <c r="G338" s="41" t="n">
        <f aca="false">IF(AND(D338&gt;0.5,N($C$19)&gt;0,N(B338)&lt;=N($C$20)),D338*$F$8,0)</f>
        <v>0</v>
      </c>
      <c r="H338" s="41" t="n">
        <f aca="false">IF(D338&lt;=0.5,0,MIN(IF(N(I338)&gt;0,I338,$F$9),D338+E338+F338))</f>
        <v>0</v>
      </c>
      <c r="I338" s="77"/>
      <c r="J338" s="77"/>
      <c r="K338" s="41" t="n">
        <f aca="false">IF(D338&lt;=0.5,0,MIN(H338+N(J338),D338+E338+F338))</f>
        <v>0</v>
      </c>
      <c r="L338" s="41" t="n">
        <f aca="false">K338-E338-F338</f>
        <v>0</v>
      </c>
      <c r="M338" s="41" t="n">
        <f aca="false">D338-L338</f>
        <v>0</v>
      </c>
      <c r="N338" s="42" t="n">
        <f aca="false">K338-G338</f>
        <v>0</v>
      </c>
      <c r="O338" s="78"/>
      <c r="P338" s="79"/>
      <c r="Q338" s="16" t="str">
        <f aca="false">IF(K338=0,"",IF(R338=1,"Pagada",IF(C338&lt;$F$12,"Vencida",IF(312=$F$13,"Próxima","Pendiente"))))</f>
        <v/>
      </c>
      <c r="R338" s="62" t="n">
        <f aca="false">IF(AND(K338&gt;0,OR(O338="Sí",O338="Si")),1,0)</f>
        <v>0</v>
      </c>
      <c r="S338" s="62" t="n">
        <f aca="false">IF(AND(K338&gt;0,R338=0),1,0)</f>
        <v>0</v>
      </c>
    </row>
    <row r="339" customFormat="false" ht="15" hidden="false" customHeight="false" outlineLevel="0" collapsed="false">
      <c r="B339" s="71" t="str">
        <f aca="false">IF($F$6="Sí",N($C$11)+312,"")</f>
        <v/>
      </c>
      <c r="C339" s="72" t="str">
        <f aca="false">IF(OR($F$6&lt;&gt;"Sí",D339&lt;=0.5),"",EDATE($C$10,312))</f>
        <v/>
      </c>
      <c r="D339" s="41" t="n">
        <f aca="false">MAX(0,M338)</f>
        <v>0</v>
      </c>
      <c r="E339" s="41" t="n">
        <f aca="false">D339*$F$7</f>
        <v>0</v>
      </c>
      <c r="F339" s="41" t="n">
        <f aca="false">IF(D339&gt;0.5,N($C$15),0)</f>
        <v>0</v>
      </c>
      <c r="G339" s="41" t="n">
        <f aca="false">IF(AND(D339&gt;0.5,N($C$19)&gt;0,N(B339)&lt;=N($C$20)),D339*$F$8,0)</f>
        <v>0</v>
      </c>
      <c r="H339" s="41" t="n">
        <f aca="false">IF(D339&lt;=0.5,0,MIN(IF(N(I339)&gt;0,I339,$F$9),D339+E339+F339))</f>
        <v>0</v>
      </c>
      <c r="I339" s="77"/>
      <c r="J339" s="77"/>
      <c r="K339" s="41" t="n">
        <f aca="false">IF(D339&lt;=0.5,0,MIN(H339+N(J339),D339+E339+F339))</f>
        <v>0</v>
      </c>
      <c r="L339" s="41" t="n">
        <f aca="false">K339-E339-F339</f>
        <v>0</v>
      </c>
      <c r="M339" s="41" t="n">
        <f aca="false">D339-L339</f>
        <v>0</v>
      </c>
      <c r="N339" s="42" t="n">
        <f aca="false">K339-G339</f>
        <v>0</v>
      </c>
      <c r="O339" s="78"/>
      <c r="P339" s="79"/>
      <c r="Q339" s="16" t="str">
        <f aca="false">IF(K339=0,"",IF(R339=1,"Pagada",IF(C339&lt;$F$12,"Vencida",IF(313=$F$13,"Próxima","Pendiente"))))</f>
        <v/>
      </c>
      <c r="R339" s="62" t="n">
        <f aca="false">IF(AND(K339&gt;0,OR(O339="Sí",O339="Si")),1,0)</f>
        <v>0</v>
      </c>
      <c r="S339" s="62" t="n">
        <f aca="false">IF(AND(K339&gt;0,R339=0),1,0)</f>
        <v>0</v>
      </c>
    </row>
    <row r="340" customFormat="false" ht="15" hidden="false" customHeight="false" outlineLevel="0" collapsed="false">
      <c r="B340" s="71" t="str">
        <f aca="false">IF($F$6="Sí",N($C$11)+313,"")</f>
        <v/>
      </c>
      <c r="C340" s="72" t="str">
        <f aca="false">IF(OR($F$6&lt;&gt;"Sí",D340&lt;=0.5),"",EDATE($C$10,313))</f>
        <v/>
      </c>
      <c r="D340" s="41" t="n">
        <f aca="false">MAX(0,M339)</f>
        <v>0</v>
      </c>
      <c r="E340" s="41" t="n">
        <f aca="false">D340*$F$7</f>
        <v>0</v>
      </c>
      <c r="F340" s="41" t="n">
        <f aca="false">IF(D340&gt;0.5,N($C$15),0)</f>
        <v>0</v>
      </c>
      <c r="G340" s="41" t="n">
        <f aca="false">IF(AND(D340&gt;0.5,N($C$19)&gt;0,N(B340)&lt;=N($C$20)),D340*$F$8,0)</f>
        <v>0</v>
      </c>
      <c r="H340" s="41" t="n">
        <f aca="false">IF(D340&lt;=0.5,0,MIN(IF(N(I340)&gt;0,I340,$F$9),D340+E340+F340))</f>
        <v>0</v>
      </c>
      <c r="I340" s="77"/>
      <c r="J340" s="77"/>
      <c r="K340" s="41" t="n">
        <f aca="false">IF(D340&lt;=0.5,0,MIN(H340+N(J340),D340+E340+F340))</f>
        <v>0</v>
      </c>
      <c r="L340" s="41" t="n">
        <f aca="false">K340-E340-F340</f>
        <v>0</v>
      </c>
      <c r="M340" s="41" t="n">
        <f aca="false">D340-L340</f>
        <v>0</v>
      </c>
      <c r="N340" s="42" t="n">
        <f aca="false">K340-G340</f>
        <v>0</v>
      </c>
      <c r="O340" s="78"/>
      <c r="P340" s="79"/>
      <c r="Q340" s="16" t="str">
        <f aca="false">IF(K340=0,"",IF(R340=1,"Pagada",IF(C340&lt;$F$12,"Vencida",IF(314=$F$13,"Próxima","Pendiente"))))</f>
        <v/>
      </c>
      <c r="R340" s="62" t="n">
        <f aca="false">IF(AND(K340&gt;0,OR(O340="Sí",O340="Si")),1,0)</f>
        <v>0</v>
      </c>
      <c r="S340" s="62" t="n">
        <f aca="false">IF(AND(K340&gt;0,R340=0),1,0)</f>
        <v>0</v>
      </c>
    </row>
    <row r="341" customFormat="false" ht="15" hidden="false" customHeight="false" outlineLevel="0" collapsed="false">
      <c r="B341" s="71" t="str">
        <f aca="false">IF($F$6="Sí",N($C$11)+314,"")</f>
        <v/>
      </c>
      <c r="C341" s="72" t="str">
        <f aca="false">IF(OR($F$6&lt;&gt;"Sí",D341&lt;=0.5),"",EDATE($C$10,314))</f>
        <v/>
      </c>
      <c r="D341" s="41" t="n">
        <f aca="false">MAX(0,M340)</f>
        <v>0</v>
      </c>
      <c r="E341" s="41" t="n">
        <f aca="false">D341*$F$7</f>
        <v>0</v>
      </c>
      <c r="F341" s="41" t="n">
        <f aca="false">IF(D341&gt;0.5,N($C$15),0)</f>
        <v>0</v>
      </c>
      <c r="G341" s="41" t="n">
        <f aca="false">IF(AND(D341&gt;0.5,N($C$19)&gt;0,N(B341)&lt;=N($C$20)),D341*$F$8,0)</f>
        <v>0</v>
      </c>
      <c r="H341" s="41" t="n">
        <f aca="false">IF(D341&lt;=0.5,0,MIN(IF(N(I341)&gt;0,I341,$F$9),D341+E341+F341))</f>
        <v>0</v>
      </c>
      <c r="I341" s="77"/>
      <c r="J341" s="77"/>
      <c r="K341" s="41" t="n">
        <f aca="false">IF(D341&lt;=0.5,0,MIN(H341+N(J341),D341+E341+F341))</f>
        <v>0</v>
      </c>
      <c r="L341" s="41" t="n">
        <f aca="false">K341-E341-F341</f>
        <v>0</v>
      </c>
      <c r="M341" s="41" t="n">
        <f aca="false">D341-L341</f>
        <v>0</v>
      </c>
      <c r="N341" s="42" t="n">
        <f aca="false">K341-G341</f>
        <v>0</v>
      </c>
      <c r="O341" s="78"/>
      <c r="P341" s="79"/>
      <c r="Q341" s="16" t="str">
        <f aca="false">IF(K341=0,"",IF(R341=1,"Pagada",IF(C341&lt;$F$12,"Vencida",IF(315=$F$13,"Próxima","Pendiente"))))</f>
        <v/>
      </c>
      <c r="R341" s="62" t="n">
        <f aca="false">IF(AND(K341&gt;0,OR(O341="Sí",O341="Si")),1,0)</f>
        <v>0</v>
      </c>
      <c r="S341" s="62" t="n">
        <f aca="false">IF(AND(K341&gt;0,R341=0),1,0)</f>
        <v>0</v>
      </c>
    </row>
    <row r="342" customFormat="false" ht="15" hidden="false" customHeight="false" outlineLevel="0" collapsed="false">
      <c r="B342" s="71" t="str">
        <f aca="false">IF($F$6="Sí",N($C$11)+315,"")</f>
        <v/>
      </c>
      <c r="C342" s="72" t="str">
        <f aca="false">IF(OR($F$6&lt;&gt;"Sí",D342&lt;=0.5),"",EDATE($C$10,315))</f>
        <v/>
      </c>
      <c r="D342" s="41" t="n">
        <f aca="false">MAX(0,M341)</f>
        <v>0</v>
      </c>
      <c r="E342" s="41" t="n">
        <f aca="false">D342*$F$7</f>
        <v>0</v>
      </c>
      <c r="F342" s="41" t="n">
        <f aca="false">IF(D342&gt;0.5,N($C$15),0)</f>
        <v>0</v>
      </c>
      <c r="G342" s="41" t="n">
        <f aca="false">IF(AND(D342&gt;0.5,N($C$19)&gt;0,N(B342)&lt;=N($C$20)),D342*$F$8,0)</f>
        <v>0</v>
      </c>
      <c r="H342" s="41" t="n">
        <f aca="false">IF(D342&lt;=0.5,0,MIN(IF(N(I342)&gt;0,I342,$F$9),D342+E342+F342))</f>
        <v>0</v>
      </c>
      <c r="I342" s="77"/>
      <c r="J342" s="77"/>
      <c r="K342" s="41" t="n">
        <f aca="false">IF(D342&lt;=0.5,0,MIN(H342+N(J342),D342+E342+F342))</f>
        <v>0</v>
      </c>
      <c r="L342" s="41" t="n">
        <f aca="false">K342-E342-F342</f>
        <v>0</v>
      </c>
      <c r="M342" s="41" t="n">
        <f aca="false">D342-L342</f>
        <v>0</v>
      </c>
      <c r="N342" s="42" t="n">
        <f aca="false">K342-G342</f>
        <v>0</v>
      </c>
      <c r="O342" s="78"/>
      <c r="P342" s="79"/>
      <c r="Q342" s="16" t="str">
        <f aca="false">IF(K342=0,"",IF(R342=1,"Pagada",IF(C342&lt;$F$12,"Vencida",IF(316=$F$13,"Próxima","Pendiente"))))</f>
        <v/>
      </c>
      <c r="R342" s="62" t="n">
        <f aca="false">IF(AND(K342&gt;0,OR(O342="Sí",O342="Si")),1,0)</f>
        <v>0</v>
      </c>
      <c r="S342" s="62" t="n">
        <f aca="false">IF(AND(K342&gt;0,R342=0),1,0)</f>
        <v>0</v>
      </c>
    </row>
    <row r="343" customFormat="false" ht="15" hidden="false" customHeight="false" outlineLevel="0" collapsed="false">
      <c r="B343" s="71" t="str">
        <f aca="false">IF($F$6="Sí",N($C$11)+316,"")</f>
        <v/>
      </c>
      <c r="C343" s="72" t="str">
        <f aca="false">IF(OR($F$6&lt;&gt;"Sí",D343&lt;=0.5),"",EDATE($C$10,316))</f>
        <v/>
      </c>
      <c r="D343" s="41" t="n">
        <f aca="false">MAX(0,M342)</f>
        <v>0</v>
      </c>
      <c r="E343" s="41" t="n">
        <f aca="false">D343*$F$7</f>
        <v>0</v>
      </c>
      <c r="F343" s="41" t="n">
        <f aca="false">IF(D343&gt;0.5,N($C$15),0)</f>
        <v>0</v>
      </c>
      <c r="G343" s="41" t="n">
        <f aca="false">IF(AND(D343&gt;0.5,N($C$19)&gt;0,N(B343)&lt;=N($C$20)),D343*$F$8,0)</f>
        <v>0</v>
      </c>
      <c r="H343" s="41" t="n">
        <f aca="false">IF(D343&lt;=0.5,0,MIN(IF(N(I343)&gt;0,I343,$F$9),D343+E343+F343))</f>
        <v>0</v>
      </c>
      <c r="I343" s="77"/>
      <c r="J343" s="77"/>
      <c r="K343" s="41" t="n">
        <f aca="false">IF(D343&lt;=0.5,0,MIN(H343+N(J343),D343+E343+F343))</f>
        <v>0</v>
      </c>
      <c r="L343" s="41" t="n">
        <f aca="false">K343-E343-F343</f>
        <v>0</v>
      </c>
      <c r="M343" s="41" t="n">
        <f aca="false">D343-L343</f>
        <v>0</v>
      </c>
      <c r="N343" s="42" t="n">
        <f aca="false">K343-G343</f>
        <v>0</v>
      </c>
      <c r="O343" s="78"/>
      <c r="P343" s="79"/>
      <c r="Q343" s="16" t="str">
        <f aca="false">IF(K343=0,"",IF(R343=1,"Pagada",IF(C343&lt;$F$12,"Vencida",IF(317=$F$13,"Próxima","Pendiente"))))</f>
        <v/>
      </c>
      <c r="R343" s="62" t="n">
        <f aca="false">IF(AND(K343&gt;0,OR(O343="Sí",O343="Si")),1,0)</f>
        <v>0</v>
      </c>
      <c r="S343" s="62" t="n">
        <f aca="false">IF(AND(K343&gt;0,R343=0),1,0)</f>
        <v>0</v>
      </c>
    </row>
    <row r="344" customFormat="false" ht="15" hidden="false" customHeight="false" outlineLevel="0" collapsed="false">
      <c r="B344" s="71" t="str">
        <f aca="false">IF($F$6="Sí",N($C$11)+317,"")</f>
        <v/>
      </c>
      <c r="C344" s="72" t="str">
        <f aca="false">IF(OR($F$6&lt;&gt;"Sí",D344&lt;=0.5),"",EDATE($C$10,317))</f>
        <v/>
      </c>
      <c r="D344" s="41" t="n">
        <f aca="false">MAX(0,M343)</f>
        <v>0</v>
      </c>
      <c r="E344" s="41" t="n">
        <f aca="false">D344*$F$7</f>
        <v>0</v>
      </c>
      <c r="F344" s="41" t="n">
        <f aca="false">IF(D344&gt;0.5,N($C$15),0)</f>
        <v>0</v>
      </c>
      <c r="G344" s="41" t="n">
        <f aca="false">IF(AND(D344&gt;0.5,N($C$19)&gt;0,N(B344)&lt;=N($C$20)),D344*$F$8,0)</f>
        <v>0</v>
      </c>
      <c r="H344" s="41" t="n">
        <f aca="false">IF(D344&lt;=0.5,0,MIN(IF(N(I344)&gt;0,I344,$F$9),D344+E344+F344))</f>
        <v>0</v>
      </c>
      <c r="I344" s="77"/>
      <c r="J344" s="77"/>
      <c r="K344" s="41" t="n">
        <f aca="false">IF(D344&lt;=0.5,0,MIN(H344+N(J344),D344+E344+F344))</f>
        <v>0</v>
      </c>
      <c r="L344" s="41" t="n">
        <f aca="false">K344-E344-F344</f>
        <v>0</v>
      </c>
      <c r="M344" s="41" t="n">
        <f aca="false">D344-L344</f>
        <v>0</v>
      </c>
      <c r="N344" s="42" t="n">
        <f aca="false">K344-G344</f>
        <v>0</v>
      </c>
      <c r="O344" s="78"/>
      <c r="P344" s="79"/>
      <c r="Q344" s="16" t="str">
        <f aca="false">IF(K344=0,"",IF(R344=1,"Pagada",IF(C344&lt;$F$12,"Vencida",IF(318=$F$13,"Próxima","Pendiente"))))</f>
        <v/>
      </c>
      <c r="R344" s="62" t="n">
        <f aca="false">IF(AND(K344&gt;0,OR(O344="Sí",O344="Si")),1,0)</f>
        <v>0</v>
      </c>
      <c r="S344" s="62" t="n">
        <f aca="false">IF(AND(K344&gt;0,R344=0),1,0)</f>
        <v>0</v>
      </c>
    </row>
    <row r="345" customFormat="false" ht="15" hidden="false" customHeight="false" outlineLevel="0" collapsed="false">
      <c r="B345" s="71" t="str">
        <f aca="false">IF($F$6="Sí",N($C$11)+318,"")</f>
        <v/>
      </c>
      <c r="C345" s="72" t="str">
        <f aca="false">IF(OR($F$6&lt;&gt;"Sí",D345&lt;=0.5),"",EDATE($C$10,318))</f>
        <v/>
      </c>
      <c r="D345" s="41" t="n">
        <f aca="false">MAX(0,M344)</f>
        <v>0</v>
      </c>
      <c r="E345" s="41" t="n">
        <f aca="false">D345*$F$7</f>
        <v>0</v>
      </c>
      <c r="F345" s="41" t="n">
        <f aca="false">IF(D345&gt;0.5,N($C$15),0)</f>
        <v>0</v>
      </c>
      <c r="G345" s="41" t="n">
        <f aca="false">IF(AND(D345&gt;0.5,N($C$19)&gt;0,N(B345)&lt;=N($C$20)),D345*$F$8,0)</f>
        <v>0</v>
      </c>
      <c r="H345" s="41" t="n">
        <f aca="false">IF(D345&lt;=0.5,0,MIN(IF(N(I345)&gt;0,I345,$F$9),D345+E345+F345))</f>
        <v>0</v>
      </c>
      <c r="I345" s="77"/>
      <c r="J345" s="77"/>
      <c r="K345" s="41" t="n">
        <f aca="false">IF(D345&lt;=0.5,0,MIN(H345+N(J345),D345+E345+F345))</f>
        <v>0</v>
      </c>
      <c r="L345" s="41" t="n">
        <f aca="false">K345-E345-F345</f>
        <v>0</v>
      </c>
      <c r="M345" s="41" t="n">
        <f aca="false">D345-L345</f>
        <v>0</v>
      </c>
      <c r="N345" s="42" t="n">
        <f aca="false">K345-G345</f>
        <v>0</v>
      </c>
      <c r="O345" s="78"/>
      <c r="P345" s="79"/>
      <c r="Q345" s="16" t="str">
        <f aca="false">IF(K345=0,"",IF(R345=1,"Pagada",IF(C345&lt;$F$12,"Vencida",IF(319=$F$13,"Próxima","Pendiente"))))</f>
        <v/>
      </c>
      <c r="R345" s="62" t="n">
        <f aca="false">IF(AND(K345&gt;0,OR(O345="Sí",O345="Si")),1,0)</f>
        <v>0</v>
      </c>
      <c r="S345" s="62" t="n">
        <f aca="false">IF(AND(K345&gt;0,R345=0),1,0)</f>
        <v>0</v>
      </c>
    </row>
    <row r="346" customFormat="false" ht="15" hidden="false" customHeight="false" outlineLevel="0" collapsed="false">
      <c r="B346" s="71" t="str">
        <f aca="false">IF($F$6="Sí",N($C$11)+319,"")</f>
        <v/>
      </c>
      <c r="C346" s="72" t="str">
        <f aca="false">IF(OR($F$6&lt;&gt;"Sí",D346&lt;=0.5),"",EDATE($C$10,319))</f>
        <v/>
      </c>
      <c r="D346" s="41" t="n">
        <f aca="false">MAX(0,M345)</f>
        <v>0</v>
      </c>
      <c r="E346" s="41" t="n">
        <f aca="false">D346*$F$7</f>
        <v>0</v>
      </c>
      <c r="F346" s="41" t="n">
        <f aca="false">IF(D346&gt;0.5,N($C$15),0)</f>
        <v>0</v>
      </c>
      <c r="G346" s="41" t="n">
        <f aca="false">IF(AND(D346&gt;0.5,N($C$19)&gt;0,N(B346)&lt;=N($C$20)),D346*$F$8,0)</f>
        <v>0</v>
      </c>
      <c r="H346" s="41" t="n">
        <f aca="false">IF(D346&lt;=0.5,0,MIN(IF(N(I346)&gt;0,I346,$F$9),D346+E346+F346))</f>
        <v>0</v>
      </c>
      <c r="I346" s="77"/>
      <c r="J346" s="77"/>
      <c r="K346" s="41" t="n">
        <f aca="false">IF(D346&lt;=0.5,0,MIN(H346+N(J346),D346+E346+F346))</f>
        <v>0</v>
      </c>
      <c r="L346" s="41" t="n">
        <f aca="false">K346-E346-F346</f>
        <v>0</v>
      </c>
      <c r="M346" s="41" t="n">
        <f aca="false">D346-L346</f>
        <v>0</v>
      </c>
      <c r="N346" s="42" t="n">
        <f aca="false">K346-G346</f>
        <v>0</v>
      </c>
      <c r="O346" s="78"/>
      <c r="P346" s="79"/>
      <c r="Q346" s="16" t="str">
        <f aca="false">IF(K346=0,"",IF(R346=1,"Pagada",IF(C346&lt;$F$12,"Vencida",IF(320=$F$13,"Próxima","Pendiente"))))</f>
        <v/>
      </c>
      <c r="R346" s="62" t="n">
        <f aca="false">IF(AND(K346&gt;0,OR(O346="Sí",O346="Si")),1,0)</f>
        <v>0</v>
      </c>
      <c r="S346" s="62" t="n">
        <f aca="false">IF(AND(K346&gt;0,R346=0),1,0)</f>
        <v>0</v>
      </c>
    </row>
    <row r="347" customFormat="false" ht="15" hidden="false" customHeight="false" outlineLevel="0" collapsed="false">
      <c r="B347" s="71" t="str">
        <f aca="false">IF($F$6="Sí",N($C$11)+320,"")</f>
        <v/>
      </c>
      <c r="C347" s="72" t="str">
        <f aca="false">IF(OR($F$6&lt;&gt;"Sí",D347&lt;=0.5),"",EDATE($C$10,320))</f>
        <v/>
      </c>
      <c r="D347" s="41" t="n">
        <f aca="false">MAX(0,M346)</f>
        <v>0</v>
      </c>
      <c r="E347" s="41" t="n">
        <f aca="false">D347*$F$7</f>
        <v>0</v>
      </c>
      <c r="F347" s="41" t="n">
        <f aca="false">IF(D347&gt;0.5,N($C$15),0)</f>
        <v>0</v>
      </c>
      <c r="G347" s="41" t="n">
        <f aca="false">IF(AND(D347&gt;0.5,N($C$19)&gt;0,N(B347)&lt;=N($C$20)),D347*$F$8,0)</f>
        <v>0</v>
      </c>
      <c r="H347" s="41" t="n">
        <f aca="false">IF(D347&lt;=0.5,0,MIN(IF(N(I347)&gt;0,I347,$F$9),D347+E347+F347))</f>
        <v>0</v>
      </c>
      <c r="I347" s="77"/>
      <c r="J347" s="77"/>
      <c r="K347" s="41" t="n">
        <f aca="false">IF(D347&lt;=0.5,0,MIN(H347+N(J347),D347+E347+F347))</f>
        <v>0</v>
      </c>
      <c r="L347" s="41" t="n">
        <f aca="false">K347-E347-F347</f>
        <v>0</v>
      </c>
      <c r="M347" s="41" t="n">
        <f aca="false">D347-L347</f>
        <v>0</v>
      </c>
      <c r="N347" s="42" t="n">
        <f aca="false">K347-G347</f>
        <v>0</v>
      </c>
      <c r="O347" s="78"/>
      <c r="P347" s="79"/>
      <c r="Q347" s="16" t="str">
        <f aca="false">IF(K347=0,"",IF(R347=1,"Pagada",IF(C347&lt;$F$12,"Vencida",IF(321=$F$13,"Próxima","Pendiente"))))</f>
        <v/>
      </c>
      <c r="R347" s="62" t="n">
        <f aca="false">IF(AND(K347&gt;0,OR(O347="Sí",O347="Si")),1,0)</f>
        <v>0</v>
      </c>
      <c r="S347" s="62" t="n">
        <f aca="false">IF(AND(K347&gt;0,R347=0),1,0)</f>
        <v>0</v>
      </c>
    </row>
    <row r="348" customFormat="false" ht="15" hidden="false" customHeight="false" outlineLevel="0" collapsed="false">
      <c r="B348" s="71" t="str">
        <f aca="false">IF($F$6="Sí",N($C$11)+321,"")</f>
        <v/>
      </c>
      <c r="C348" s="72" t="str">
        <f aca="false">IF(OR($F$6&lt;&gt;"Sí",D348&lt;=0.5),"",EDATE($C$10,321))</f>
        <v/>
      </c>
      <c r="D348" s="41" t="n">
        <f aca="false">MAX(0,M347)</f>
        <v>0</v>
      </c>
      <c r="E348" s="41" t="n">
        <f aca="false">D348*$F$7</f>
        <v>0</v>
      </c>
      <c r="F348" s="41" t="n">
        <f aca="false">IF(D348&gt;0.5,N($C$15),0)</f>
        <v>0</v>
      </c>
      <c r="G348" s="41" t="n">
        <f aca="false">IF(AND(D348&gt;0.5,N($C$19)&gt;0,N(B348)&lt;=N($C$20)),D348*$F$8,0)</f>
        <v>0</v>
      </c>
      <c r="H348" s="41" t="n">
        <f aca="false">IF(D348&lt;=0.5,0,MIN(IF(N(I348)&gt;0,I348,$F$9),D348+E348+F348))</f>
        <v>0</v>
      </c>
      <c r="I348" s="77"/>
      <c r="J348" s="77"/>
      <c r="K348" s="41" t="n">
        <f aca="false">IF(D348&lt;=0.5,0,MIN(H348+N(J348),D348+E348+F348))</f>
        <v>0</v>
      </c>
      <c r="L348" s="41" t="n">
        <f aca="false">K348-E348-F348</f>
        <v>0</v>
      </c>
      <c r="M348" s="41" t="n">
        <f aca="false">D348-L348</f>
        <v>0</v>
      </c>
      <c r="N348" s="42" t="n">
        <f aca="false">K348-G348</f>
        <v>0</v>
      </c>
      <c r="O348" s="78"/>
      <c r="P348" s="79"/>
      <c r="Q348" s="16" t="str">
        <f aca="false">IF(K348=0,"",IF(R348=1,"Pagada",IF(C348&lt;$F$12,"Vencida",IF(322=$F$13,"Próxima","Pendiente"))))</f>
        <v/>
      </c>
      <c r="R348" s="62" t="n">
        <f aca="false">IF(AND(K348&gt;0,OR(O348="Sí",O348="Si")),1,0)</f>
        <v>0</v>
      </c>
      <c r="S348" s="62" t="n">
        <f aca="false">IF(AND(K348&gt;0,R348=0),1,0)</f>
        <v>0</v>
      </c>
    </row>
    <row r="349" customFormat="false" ht="15" hidden="false" customHeight="false" outlineLevel="0" collapsed="false">
      <c r="B349" s="71" t="str">
        <f aca="false">IF($F$6="Sí",N($C$11)+322,"")</f>
        <v/>
      </c>
      <c r="C349" s="72" t="str">
        <f aca="false">IF(OR($F$6&lt;&gt;"Sí",D349&lt;=0.5),"",EDATE($C$10,322))</f>
        <v/>
      </c>
      <c r="D349" s="41" t="n">
        <f aca="false">MAX(0,M348)</f>
        <v>0</v>
      </c>
      <c r="E349" s="41" t="n">
        <f aca="false">D349*$F$7</f>
        <v>0</v>
      </c>
      <c r="F349" s="41" t="n">
        <f aca="false">IF(D349&gt;0.5,N($C$15),0)</f>
        <v>0</v>
      </c>
      <c r="G349" s="41" t="n">
        <f aca="false">IF(AND(D349&gt;0.5,N($C$19)&gt;0,N(B349)&lt;=N($C$20)),D349*$F$8,0)</f>
        <v>0</v>
      </c>
      <c r="H349" s="41" t="n">
        <f aca="false">IF(D349&lt;=0.5,0,MIN(IF(N(I349)&gt;0,I349,$F$9),D349+E349+F349))</f>
        <v>0</v>
      </c>
      <c r="I349" s="77"/>
      <c r="J349" s="77"/>
      <c r="K349" s="41" t="n">
        <f aca="false">IF(D349&lt;=0.5,0,MIN(H349+N(J349),D349+E349+F349))</f>
        <v>0</v>
      </c>
      <c r="L349" s="41" t="n">
        <f aca="false">K349-E349-F349</f>
        <v>0</v>
      </c>
      <c r="M349" s="41" t="n">
        <f aca="false">D349-L349</f>
        <v>0</v>
      </c>
      <c r="N349" s="42" t="n">
        <f aca="false">K349-G349</f>
        <v>0</v>
      </c>
      <c r="O349" s="78"/>
      <c r="P349" s="79"/>
      <c r="Q349" s="16" t="str">
        <f aca="false">IF(K349=0,"",IF(R349=1,"Pagada",IF(C349&lt;$F$12,"Vencida",IF(323=$F$13,"Próxima","Pendiente"))))</f>
        <v/>
      </c>
      <c r="R349" s="62" t="n">
        <f aca="false">IF(AND(K349&gt;0,OR(O349="Sí",O349="Si")),1,0)</f>
        <v>0</v>
      </c>
      <c r="S349" s="62" t="n">
        <f aca="false">IF(AND(K349&gt;0,R349=0),1,0)</f>
        <v>0</v>
      </c>
    </row>
    <row r="350" customFormat="false" ht="15" hidden="false" customHeight="false" outlineLevel="0" collapsed="false">
      <c r="B350" s="71" t="str">
        <f aca="false">IF($F$6="Sí",N($C$11)+323,"")</f>
        <v/>
      </c>
      <c r="C350" s="72" t="str">
        <f aca="false">IF(OR($F$6&lt;&gt;"Sí",D350&lt;=0.5),"",EDATE($C$10,323))</f>
        <v/>
      </c>
      <c r="D350" s="41" t="n">
        <f aca="false">MAX(0,M349)</f>
        <v>0</v>
      </c>
      <c r="E350" s="41" t="n">
        <f aca="false">D350*$F$7</f>
        <v>0</v>
      </c>
      <c r="F350" s="41" t="n">
        <f aca="false">IF(D350&gt;0.5,N($C$15),0)</f>
        <v>0</v>
      </c>
      <c r="G350" s="41" t="n">
        <f aca="false">IF(AND(D350&gt;0.5,N($C$19)&gt;0,N(B350)&lt;=N($C$20)),D350*$F$8,0)</f>
        <v>0</v>
      </c>
      <c r="H350" s="41" t="n">
        <f aca="false">IF(D350&lt;=0.5,0,MIN(IF(N(I350)&gt;0,I350,$F$9),D350+E350+F350))</f>
        <v>0</v>
      </c>
      <c r="I350" s="77"/>
      <c r="J350" s="77"/>
      <c r="K350" s="41" t="n">
        <f aca="false">IF(D350&lt;=0.5,0,MIN(H350+N(J350),D350+E350+F350))</f>
        <v>0</v>
      </c>
      <c r="L350" s="41" t="n">
        <f aca="false">K350-E350-F350</f>
        <v>0</v>
      </c>
      <c r="M350" s="41" t="n">
        <f aca="false">D350-L350</f>
        <v>0</v>
      </c>
      <c r="N350" s="42" t="n">
        <f aca="false">K350-G350</f>
        <v>0</v>
      </c>
      <c r="O350" s="78"/>
      <c r="P350" s="79"/>
      <c r="Q350" s="16" t="str">
        <f aca="false">IF(K350=0,"",IF(R350=1,"Pagada",IF(C350&lt;$F$12,"Vencida",IF(324=$F$13,"Próxima","Pendiente"))))</f>
        <v/>
      </c>
      <c r="R350" s="62" t="n">
        <f aca="false">IF(AND(K350&gt;0,OR(O350="Sí",O350="Si")),1,0)</f>
        <v>0</v>
      </c>
      <c r="S350" s="62" t="n">
        <f aca="false">IF(AND(K350&gt;0,R350=0),1,0)</f>
        <v>0</v>
      </c>
    </row>
    <row r="351" customFormat="false" ht="15" hidden="false" customHeight="false" outlineLevel="0" collapsed="false">
      <c r="B351" s="71" t="str">
        <f aca="false">IF($F$6="Sí",N($C$11)+324,"")</f>
        <v/>
      </c>
      <c r="C351" s="72" t="str">
        <f aca="false">IF(OR($F$6&lt;&gt;"Sí",D351&lt;=0.5),"",EDATE($C$10,324))</f>
        <v/>
      </c>
      <c r="D351" s="41" t="n">
        <f aca="false">MAX(0,M350)</f>
        <v>0</v>
      </c>
      <c r="E351" s="41" t="n">
        <f aca="false">D351*$F$7</f>
        <v>0</v>
      </c>
      <c r="F351" s="41" t="n">
        <f aca="false">IF(D351&gt;0.5,N($C$15),0)</f>
        <v>0</v>
      </c>
      <c r="G351" s="41" t="n">
        <f aca="false">IF(AND(D351&gt;0.5,N($C$19)&gt;0,N(B351)&lt;=N($C$20)),D351*$F$8,0)</f>
        <v>0</v>
      </c>
      <c r="H351" s="41" t="n">
        <f aca="false">IF(D351&lt;=0.5,0,MIN(IF(N(I351)&gt;0,I351,$F$9),D351+E351+F351))</f>
        <v>0</v>
      </c>
      <c r="I351" s="77"/>
      <c r="J351" s="77"/>
      <c r="K351" s="41" t="n">
        <f aca="false">IF(D351&lt;=0.5,0,MIN(H351+N(J351),D351+E351+F351))</f>
        <v>0</v>
      </c>
      <c r="L351" s="41" t="n">
        <f aca="false">K351-E351-F351</f>
        <v>0</v>
      </c>
      <c r="M351" s="41" t="n">
        <f aca="false">D351-L351</f>
        <v>0</v>
      </c>
      <c r="N351" s="42" t="n">
        <f aca="false">K351-G351</f>
        <v>0</v>
      </c>
      <c r="O351" s="78"/>
      <c r="P351" s="79"/>
      <c r="Q351" s="16" t="str">
        <f aca="false">IF(K351=0,"",IF(R351=1,"Pagada",IF(C351&lt;$F$12,"Vencida",IF(325=$F$13,"Próxima","Pendiente"))))</f>
        <v/>
      </c>
      <c r="R351" s="62" t="n">
        <f aca="false">IF(AND(K351&gt;0,OR(O351="Sí",O351="Si")),1,0)</f>
        <v>0</v>
      </c>
      <c r="S351" s="62" t="n">
        <f aca="false">IF(AND(K351&gt;0,R351=0),1,0)</f>
        <v>0</v>
      </c>
    </row>
    <row r="352" customFormat="false" ht="15" hidden="false" customHeight="false" outlineLevel="0" collapsed="false">
      <c r="B352" s="71" t="str">
        <f aca="false">IF($F$6="Sí",N($C$11)+325,"")</f>
        <v/>
      </c>
      <c r="C352" s="72" t="str">
        <f aca="false">IF(OR($F$6&lt;&gt;"Sí",D352&lt;=0.5),"",EDATE($C$10,325))</f>
        <v/>
      </c>
      <c r="D352" s="41" t="n">
        <f aca="false">MAX(0,M351)</f>
        <v>0</v>
      </c>
      <c r="E352" s="41" t="n">
        <f aca="false">D352*$F$7</f>
        <v>0</v>
      </c>
      <c r="F352" s="41" t="n">
        <f aca="false">IF(D352&gt;0.5,N($C$15),0)</f>
        <v>0</v>
      </c>
      <c r="G352" s="41" t="n">
        <f aca="false">IF(AND(D352&gt;0.5,N($C$19)&gt;0,N(B352)&lt;=N($C$20)),D352*$F$8,0)</f>
        <v>0</v>
      </c>
      <c r="H352" s="41" t="n">
        <f aca="false">IF(D352&lt;=0.5,0,MIN(IF(N(I352)&gt;0,I352,$F$9),D352+E352+F352))</f>
        <v>0</v>
      </c>
      <c r="I352" s="77"/>
      <c r="J352" s="77"/>
      <c r="K352" s="41" t="n">
        <f aca="false">IF(D352&lt;=0.5,0,MIN(H352+N(J352),D352+E352+F352))</f>
        <v>0</v>
      </c>
      <c r="L352" s="41" t="n">
        <f aca="false">K352-E352-F352</f>
        <v>0</v>
      </c>
      <c r="M352" s="41" t="n">
        <f aca="false">D352-L352</f>
        <v>0</v>
      </c>
      <c r="N352" s="42" t="n">
        <f aca="false">K352-G352</f>
        <v>0</v>
      </c>
      <c r="O352" s="78"/>
      <c r="P352" s="79"/>
      <c r="Q352" s="16" t="str">
        <f aca="false">IF(K352=0,"",IF(R352=1,"Pagada",IF(C352&lt;$F$12,"Vencida",IF(326=$F$13,"Próxima","Pendiente"))))</f>
        <v/>
      </c>
      <c r="R352" s="62" t="n">
        <f aca="false">IF(AND(K352&gt;0,OR(O352="Sí",O352="Si")),1,0)</f>
        <v>0</v>
      </c>
      <c r="S352" s="62" t="n">
        <f aca="false">IF(AND(K352&gt;0,R352=0),1,0)</f>
        <v>0</v>
      </c>
    </row>
    <row r="353" customFormat="false" ht="15" hidden="false" customHeight="false" outlineLevel="0" collapsed="false">
      <c r="B353" s="71" t="str">
        <f aca="false">IF($F$6="Sí",N($C$11)+326,"")</f>
        <v/>
      </c>
      <c r="C353" s="72" t="str">
        <f aca="false">IF(OR($F$6&lt;&gt;"Sí",D353&lt;=0.5),"",EDATE($C$10,326))</f>
        <v/>
      </c>
      <c r="D353" s="41" t="n">
        <f aca="false">MAX(0,M352)</f>
        <v>0</v>
      </c>
      <c r="E353" s="41" t="n">
        <f aca="false">D353*$F$7</f>
        <v>0</v>
      </c>
      <c r="F353" s="41" t="n">
        <f aca="false">IF(D353&gt;0.5,N($C$15),0)</f>
        <v>0</v>
      </c>
      <c r="G353" s="41" t="n">
        <f aca="false">IF(AND(D353&gt;0.5,N($C$19)&gt;0,N(B353)&lt;=N($C$20)),D353*$F$8,0)</f>
        <v>0</v>
      </c>
      <c r="H353" s="41" t="n">
        <f aca="false">IF(D353&lt;=0.5,0,MIN(IF(N(I353)&gt;0,I353,$F$9),D353+E353+F353))</f>
        <v>0</v>
      </c>
      <c r="I353" s="77"/>
      <c r="J353" s="77"/>
      <c r="K353" s="41" t="n">
        <f aca="false">IF(D353&lt;=0.5,0,MIN(H353+N(J353),D353+E353+F353))</f>
        <v>0</v>
      </c>
      <c r="L353" s="41" t="n">
        <f aca="false">K353-E353-F353</f>
        <v>0</v>
      </c>
      <c r="M353" s="41" t="n">
        <f aca="false">D353-L353</f>
        <v>0</v>
      </c>
      <c r="N353" s="42" t="n">
        <f aca="false">K353-G353</f>
        <v>0</v>
      </c>
      <c r="O353" s="78"/>
      <c r="P353" s="79"/>
      <c r="Q353" s="16" t="str">
        <f aca="false">IF(K353=0,"",IF(R353=1,"Pagada",IF(C353&lt;$F$12,"Vencida",IF(327=$F$13,"Próxima","Pendiente"))))</f>
        <v/>
      </c>
      <c r="R353" s="62" t="n">
        <f aca="false">IF(AND(K353&gt;0,OR(O353="Sí",O353="Si")),1,0)</f>
        <v>0</v>
      </c>
      <c r="S353" s="62" t="n">
        <f aca="false">IF(AND(K353&gt;0,R353=0),1,0)</f>
        <v>0</v>
      </c>
    </row>
    <row r="354" customFormat="false" ht="15" hidden="false" customHeight="false" outlineLevel="0" collapsed="false">
      <c r="B354" s="71" t="str">
        <f aca="false">IF($F$6="Sí",N($C$11)+327,"")</f>
        <v/>
      </c>
      <c r="C354" s="72" t="str">
        <f aca="false">IF(OR($F$6&lt;&gt;"Sí",D354&lt;=0.5),"",EDATE($C$10,327))</f>
        <v/>
      </c>
      <c r="D354" s="41" t="n">
        <f aca="false">MAX(0,M353)</f>
        <v>0</v>
      </c>
      <c r="E354" s="41" t="n">
        <f aca="false">D354*$F$7</f>
        <v>0</v>
      </c>
      <c r="F354" s="41" t="n">
        <f aca="false">IF(D354&gt;0.5,N($C$15),0)</f>
        <v>0</v>
      </c>
      <c r="G354" s="41" t="n">
        <f aca="false">IF(AND(D354&gt;0.5,N($C$19)&gt;0,N(B354)&lt;=N($C$20)),D354*$F$8,0)</f>
        <v>0</v>
      </c>
      <c r="H354" s="41" t="n">
        <f aca="false">IF(D354&lt;=0.5,0,MIN(IF(N(I354)&gt;0,I354,$F$9),D354+E354+F354))</f>
        <v>0</v>
      </c>
      <c r="I354" s="77"/>
      <c r="J354" s="77"/>
      <c r="K354" s="41" t="n">
        <f aca="false">IF(D354&lt;=0.5,0,MIN(H354+N(J354),D354+E354+F354))</f>
        <v>0</v>
      </c>
      <c r="L354" s="41" t="n">
        <f aca="false">K354-E354-F354</f>
        <v>0</v>
      </c>
      <c r="M354" s="41" t="n">
        <f aca="false">D354-L354</f>
        <v>0</v>
      </c>
      <c r="N354" s="42" t="n">
        <f aca="false">K354-G354</f>
        <v>0</v>
      </c>
      <c r="O354" s="78"/>
      <c r="P354" s="79"/>
      <c r="Q354" s="16" t="str">
        <f aca="false">IF(K354=0,"",IF(R354=1,"Pagada",IF(C354&lt;$F$12,"Vencida",IF(328=$F$13,"Próxima","Pendiente"))))</f>
        <v/>
      </c>
      <c r="R354" s="62" t="n">
        <f aca="false">IF(AND(K354&gt;0,OR(O354="Sí",O354="Si")),1,0)</f>
        <v>0</v>
      </c>
      <c r="S354" s="62" t="n">
        <f aca="false">IF(AND(K354&gt;0,R354=0),1,0)</f>
        <v>0</v>
      </c>
    </row>
    <row r="355" customFormat="false" ht="15" hidden="false" customHeight="false" outlineLevel="0" collapsed="false">
      <c r="B355" s="71" t="str">
        <f aca="false">IF($F$6="Sí",N($C$11)+328,"")</f>
        <v/>
      </c>
      <c r="C355" s="72" t="str">
        <f aca="false">IF(OR($F$6&lt;&gt;"Sí",D355&lt;=0.5),"",EDATE($C$10,328))</f>
        <v/>
      </c>
      <c r="D355" s="41" t="n">
        <f aca="false">MAX(0,M354)</f>
        <v>0</v>
      </c>
      <c r="E355" s="41" t="n">
        <f aca="false">D355*$F$7</f>
        <v>0</v>
      </c>
      <c r="F355" s="41" t="n">
        <f aca="false">IF(D355&gt;0.5,N($C$15),0)</f>
        <v>0</v>
      </c>
      <c r="G355" s="41" t="n">
        <f aca="false">IF(AND(D355&gt;0.5,N($C$19)&gt;0,N(B355)&lt;=N($C$20)),D355*$F$8,0)</f>
        <v>0</v>
      </c>
      <c r="H355" s="41" t="n">
        <f aca="false">IF(D355&lt;=0.5,0,MIN(IF(N(I355)&gt;0,I355,$F$9),D355+E355+F355))</f>
        <v>0</v>
      </c>
      <c r="I355" s="77"/>
      <c r="J355" s="77"/>
      <c r="K355" s="41" t="n">
        <f aca="false">IF(D355&lt;=0.5,0,MIN(H355+N(J355),D355+E355+F355))</f>
        <v>0</v>
      </c>
      <c r="L355" s="41" t="n">
        <f aca="false">K355-E355-F355</f>
        <v>0</v>
      </c>
      <c r="M355" s="41" t="n">
        <f aca="false">D355-L355</f>
        <v>0</v>
      </c>
      <c r="N355" s="42" t="n">
        <f aca="false">K355-G355</f>
        <v>0</v>
      </c>
      <c r="O355" s="78"/>
      <c r="P355" s="79"/>
      <c r="Q355" s="16" t="str">
        <f aca="false">IF(K355=0,"",IF(R355=1,"Pagada",IF(C355&lt;$F$12,"Vencida",IF(329=$F$13,"Próxima","Pendiente"))))</f>
        <v/>
      </c>
      <c r="R355" s="62" t="n">
        <f aca="false">IF(AND(K355&gt;0,OR(O355="Sí",O355="Si")),1,0)</f>
        <v>0</v>
      </c>
      <c r="S355" s="62" t="n">
        <f aca="false">IF(AND(K355&gt;0,R355=0),1,0)</f>
        <v>0</v>
      </c>
    </row>
    <row r="356" customFormat="false" ht="15" hidden="false" customHeight="false" outlineLevel="0" collapsed="false">
      <c r="B356" s="71" t="str">
        <f aca="false">IF($F$6="Sí",N($C$11)+329,"")</f>
        <v/>
      </c>
      <c r="C356" s="72" t="str">
        <f aca="false">IF(OR($F$6&lt;&gt;"Sí",D356&lt;=0.5),"",EDATE($C$10,329))</f>
        <v/>
      </c>
      <c r="D356" s="41" t="n">
        <f aca="false">MAX(0,M355)</f>
        <v>0</v>
      </c>
      <c r="E356" s="41" t="n">
        <f aca="false">D356*$F$7</f>
        <v>0</v>
      </c>
      <c r="F356" s="41" t="n">
        <f aca="false">IF(D356&gt;0.5,N($C$15),0)</f>
        <v>0</v>
      </c>
      <c r="G356" s="41" t="n">
        <f aca="false">IF(AND(D356&gt;0.5,N($C$19)&gt;0,N(B356)&lt;=N($C$20)),D356*$F$8,0)</f>
        <v>0</v>
      </c>
      <c r="H356" s="41" t="n">
        <f aca="false">IF(D356&lt;=0.5,0,MIN(IF(N(I356)&gt;0,I356,$F$9),D356+E356+F356))</f>
        <v>0</v>
      </c>
      <c r="I356" s="77"/>
      <c r="J356" s="77"/>
      <c r="K356" s="41" t="n">
        <f aca="false">IF(D356&lt;=0.5,0,MIN(H356+N(J356),D356+E356+F356))</f>
        <v>0</v>
      </c>
      <c r="L356" s="41" t="n">
        <f aca="false">K356-E356-F356</f>
        <v>0</v>
      </c>
      <c r="M356" s="41" t="n">
        <f aca="false">D356-L356</f>
        <v>0</v>
      </c>
      <c r="N356" s="42" t="n">
        <f aca="false">K356-G356</f>
        <v>0</v>
      </c>
      <c r="O356" s="78"/>
      <c r="P356" s="79"/>
      <c r="Q356" s="16" t="str">
        <f aca="false">IF(K356=0,"",IF(R356=1,"Pagada",IF(C356&lt;$F$12,"Vencida",IF(330=$F$13,"Próxima","Pendiente"))))</f>
        <v/>
      </c>
      <c r="R356" s="62" t="n">
        <f aca="false">IF(AND(K356&gt;0,OR(O356="Sí",O356="Si")),1,0)</f>
        <v>0</v>
      </c>
      <c r="S356" s="62" t="n">
        <f aca="false">IF(AND(K356&gt;0,R356=0),1,0)</f>
        <v>0</v>
      </c>
    </row>
    <row r="357" customFormat="false" ht="15" hidden="false" customHeight="false" outlineLevel="0" collapsed="false">
      <c r="B357" s="71" t="str">
        <f aca="false">IF($F$6="Sí",N($C$11)+330,"")</f>
        <v/>
      </c>
      <c r="C357" s="72" t="str">
        <f aca="false">IF(OR($F$6&lt;&gt;"Sí",D357&lt;=0.5),"",EDATE($C$10,330))</f>
        <v/>
      </c>
      <c r="D357" s="41" t="n">
        <f aca="false">MAX(0,M356)</f>
        <v>0</v>
      </c>
      <c r="E357" s="41" t="n">
        <f aca="false">D357*$F$7</f>
        <v>0</v>
      </c>
      <c r="F357" s="41" t="n">
        <f aca="false">IF(D357&gt;0.5,N($C$15),0)</f>
        <v>0</v>
      </c>
      <c r="G357" s="41" t="n">
        <f aca="false">IF(AND(D357&gt;0.5,N($C$19)&gt;0,N(B357)&lt;=N($C$20)),D357*$F$8,0)</f>
        <v>0</v>
      </c>
      <c r="H357" s="41" t="n">
        <f aca="false">IF(D357&lt;=0.5,0,MIN(IF(N(I357)&gt;0,I357,$F$9),D357+E357+F357))</f>
        <v>0</v>
      </c>
      <c r="I357" s="77"/>
      <c r="J357" s="77"/>
      <c r="K357" s="41" t="n">
        <f aca="false">IF(D357&lt;=0.5,0,MIN(H357+N(J357),D357+E357+F357))</f>
        <v>0</v>
      </c>
      <c r="L357" s="41" t="n">
        <f aca="false">K357-E357-F357</f>
        <v>0</v>
      </c>
      <c r="M357" s="41" t="n">
        <f aca="false">D357-L357</f>
        <v>0</v>
      </c>
      <c r="N357" s="42" t="n">
        <f aca="false">K357-G357</f>
        <v>0</v>
      </c>
      <c r="O357" s="78"/>
      <c r="P357" s="79"/>
      <c r="Q357" s="16" t="str">
        <f aca="false">IF(K357=0,"",IF(R357=1,"Pagada",IF(C357&lt;$F$12,"Vencida",IF(331=$F$13,"Próxima","Pendiente"))))</f>
        <v/>
      </c>
      <c r="R357" s="62" t="n">
        <f aca="false">IF(AND(K357&gt;0,OR(O357="Sí",O357="Si")),1,0)</f>
        <v>0</v>
      </c>
      <c r="S357" s="62" t="n">
        <f aca="false">IF(AND(K357&gt;0,R357=0),1,0)</f>
        <v>0</v>
      </c>
    </row>
    <row r="358" customFormat="false" ht="15" hidden="false" customHeight="false" outlineLevel="0" collapsed="false">
      <c r="B358" s="71" t="str">
        <f aca="false">IF($F$6="Sí",N($C$11)+331,"")</f>
        <v/>
      </c>
      <c r="C358" s="72" t="str">
        <f aca="false">IF(OR($F$6&lt;&gt;"Sí",D358&lt;=0.5),"",EDATE($C$10,331))</f>
        <v/>
      </c>
      <c r="D358" s="41" t="n">
        <f aca="false">MAX(0,M357)</f>
        <v>0</v>
      </c>
      <c r="E358" s="41" t="n">
        <f aca="false">D358*$F$7</f>
        <v>0</v>
      </c>
      <c r="F358" s="41" t="n">
        <f aca="false">IF(D358&gt;0.5,N($C$15),0)</f>
        <v>0</v>
      </c>
      <c r="G358" s="41" t="n">
        <f aca="false">IF(AND(D358&gt;0.5,N($C$19)&gt;0,N(B358)&lt;=N($C$20)),D358*$F$8,0)</f>
        <v>0</v>
      </c>
      <c r="H358" s="41" t="n">
        <f aca="false">IF(D358&lt;=0.5,0,MIN(IF(N(I358)&gt;0,I358,$F$9),D358+E358+F358))</f>
        <v>0</v>
      </c>
      <c r="I358" s="77"/>
      <c r="J358" s="77"/>
      <c r="K358" s="41" t="n">
        <f aca="false">IF(D358&lt;=0.5,0,MIN(H358+N(J358),D358+E358+F358))</f>
        <v>0</v>
      </c>
      <c r="L358" s="41" t="n">
        <f aca="false">K358-E358-F358</f>
        <v>0</v>
      </c>
      <c r="M358" s="41" t="n">
        <f aca="false">D358-L358</f>
        <v>0</v>
      </c>
      <c r="N358" s="42" t="n">
        <f aca="false">K358-G358</f>
        <v>0</v>
      </c>
      <c r="O358" s="78"/>
      <c r="P358" s="79"/>
      <c r="Q358" s="16" t="str">
        <f aca="false">IF(K358=0,"",IF(R358=1,"Pagada",IF(C358&lt;$F$12,"Vencida",IF(332=$F$13,"Próxima","Pendiente"))))</f>
        <v/>
      </c>
      <c r="R358" s="62" t="n">
        <f aca="false">IF(AND(K358&gt;0,OR(O358="Sí",O358="Si")),1,0)</f>
        <v>0</v>
      </c>
      <c r="S358" s="62" t="n">
        <f aca="false">IF(AND(K358&gt;0,R358=0),1,0)</f>
        <v>0</v>
      </c>
    </row>
    <row r="359" customFormat="false" ht="15" hidden="false" customHeight="false" outlineLevel="0" collapsed="false">
      <c r="B359" s="71" t="str">
        <f aca="false">IF($F$6="Sí",N($C$11)+332,"")</f>
        <v/>
      </c>
      <c r="C359" s="72" t="str">
        <f aca="false">IF(OR($F$6&lt;&gt;"Sí",D359&lt;=0.5),"",EDATE($C$10,332))</f>
        <v/>
      </c>
      <c r="D359" s="41" t="n">
        <f aca="false">MAX(0,M358)</f>
        <v>0</v>
      </c>
      <c r="E359" s="41" t="n">
        <f aca="false">D359*$F$7</f>
        <v>0</v>
      </c>
      <c r="F359" s="41" t="n">
        <f aca="false">IF(D359&gt;0.5,N($C$15),0)</f>
        <v>0</v>
      </c>
      <c r="G359" s="41" t="n">
        <f aca="false">IF(AND(D359&gt;0.5,N($C$19)&gt;0,N(B359)&lt;=N($C$20)),D359*$F$8,0)</f>
        <v>0</v>
      </c>
      <c r="H359" s="41" t="n">
        <f aca="false">IF(D359&lt;=0.5,0,MIN(IF(N(I359)&gt;0,I359,$F$9),D359+E359+F359))</f>
        <v>0</v>
      </c>
      <c r="I359" s="77"/>
      <c r="J359" s="77"/>
      <c r="K359" s="41" t="n">
        <f aca="false">IF(D359&lt;=0.5,0,MIN(H359+N(J359),D359+E359+F359))</f>
        <v>0</v>
      </c>
      <c r="L359" s="41" t="n">
        <f aca="false">K359-E359-F359</f>
        <v>0</v>
      </c>
      <c r="M359" s="41" t="n">
        <f aca="false">D359-L359</f>
        <v>0</v>
      </c>
      <c r="N359" s="42" t="n">
        <f aca="false">K359-G359</f>
        <v>0</v>
      </c>
      <c r="O359" s="78"/>
      <c r="P359" s="79"/>
      <c r="Q359" s="16" t="str">
        <f aca="false">IF(K359=0,"",IF(R359=1,"Pagada",IF(C359&lt;$F$12,"Vencida",IF(333=$F$13,"Próxima","Pendiente"))))</f>
        <v/>
      </c>
      <c r="R359" s="62" t="n">
        <f aca="false">IF(AND(K359&gt;0,OR(O359="Sí",O359="Si")),1,0)</f>
        <v>0</v>
      </c>
      <c r="S359" s="62" t="n">
        <f aca="false">IF(AND(K359&gt;0,R359=0),1,0)</f>
        <v>0</v>
      </c>
    </row>
    <row r="360" customFormat="false" ht="15" hidden="false" customHeight="false" outlineLevel="0" collapsed="false">
      <c r="B360" s="71" t="str">
        <f aca="false">IF($F$6="Sí",N($C$11)+333,"")</f>
        <v/>
      </c>
      <c r="C360" s="72" t="str">
        <f aca="false">IF(OR($F$6&lt;&gt;"Sí",D360&lt;=0.5),"",EDATE($C$10,333))</f>
        <v/>
      </c>
      <c r="D360" s="41" t="n">
        <f aca="false">MAX(0,M359)</f>
        <v>0</v>
      </c>
      <c r="E360" s="41" t="n">
        <f aca="false">D360*$F$7</f>
        <v>0</v>
      </c>
      <c r="F360" s="41" t="n">
        <f aca="false">IF(D360&gt;0.5,N($C$15),0)</f>
        <v>0</v>
      </c>
      <c r="G360" s="41" t="n">
        <f aca="false">IF(AND(D360&gt;0.5,N($C$19)&gt;0,N(B360)&lt;=N($C$20)),D360*$F$8,0)</f>
        <v>0</v>
      </c>
      <c r="H360" s="41" t="n">
        <f aca="false">IF(D360&lt;=0.5,0,MIN(IF(N(I360)&gt;0,I360,$F$9),D360+E360+F360))</f>
        <v>0</v>
      </c>
      <c r="I360" s="77"/>
      <c r="J360" s="77"/>
      <c r="K360" s="41" t="n">
        <f aca="false">IF(D360&lt;=0.5,0,MIN(H360+N(J360),D360+E360+F360))</f>
        <v>0</v>
      </c>
      <c r="L360" s="41" t="n">
        <f aca="false">K360-E360-F360</f>
        <v>0</v>
      </c>
      <c r="M360" s="41" t="n">
        <f aca="false">D360-L360</f>
        <v>0</v>
      </c>
      <c r="N360" s="42" t="n">
        <f aca="false">K360-G360</f>
        <v>0</v>
      </c>
      <c r="O360" s="78"/>
      <c r="P360" s="79"/>
      <c r="Q360" s="16" t="str">
        <f aca="false">IF(K360=0,"",IF(R360=1,"Pagada",IF(C360&lt;$F$12,"Vencida",IF(334=$F$13,"Próxima","Pendiente"))))</f>
        <v/>
      </c>
      <c r="R360" s="62" t="n">
        <f aca="false">IF(AND(K360&gt;0,OR(O360="Sí",O360="Si")),1,0)</f>
        <v>0</v>
      </c>
      <c r="S360" s="62" t="n">
        <f aca="false">IF(AND(K360&gt;0,R360=0),1,0)</f>
        <v>0</v>
      </c>
    </row>
    <row r="361" customFormat="false" ht="15" hidden="false" customHeight="false" outlineLevel="0" collapsed="false">
      <c r="B361" s="71" t="str">
        <f aca="false">IF($F$6="Sí",N($C$11)+334,"")</f>
        <v/>
      </c>
      <c r="C361" s="72" t="str">
        <f aca="false">IF(OR($F$6&lt;&gt;"Sí",D361&lt;=0.5),"",EDATE($C$10,334))</f>
        <v/>
      </c>
      <c r="D361" s="41" t="n">
        <f aca="false">MAX(0,M360)</f>
        <v>0</v>
      </c>
      <c r="E361" s="41" t="n">
        <f aca="false">D361*$F$7</f>
        <v>0</v>
      </c>
      <c r="F361" s="41" t="n">
        <f aca="false">IF(D361&gt;0.5,N($C$15),0)</f>
        <v>0</v>
      </c>
      <c r="G361" s="41" t="n">
        <f aca="false">IF(AND(D361&gt;0.5,N($C$19)&gt;0,N(B361)&lt;=N($C$20)),D361*$F$8,0)</f>
        <v>0</v>
      </c>
      <c r="H361" s="41" t="n">
        <f aca="false">IF(D361&lt;=0.5,0,MIN(IF(N(I361)&gt;0,I361,$F$9),D361+E361+F361))</f>
        <v>0</v>
      </c>
      <c r="I361" s="77"/>
      <c r="J361" s="77"/>
      <c r="K361" s="41" t="n">
        <f aca="false">IF(D361&lt;=0.5,0,MIN(H361+N(J361),D361+E361+F361))</f>
        <v>0</v>
      </c>
      <c r="L361" s="41" t="n">
        <f aca="false">K361-E361-F361</f>
        <v>0</v>
      </c>
      <c r="M361" s="41" t="n">
        <f aca="false">D361-L361</f>
        <v>0</v>
      </c>
      <c r="N361" s="42" t="n">
        <f aca="false">K361-G361</f>
        <v>0</v>
      </c>
      <c r="O361" s="78"/>
      <c r="P361" s="79"/>
      <c r="Q361" s="16" t="str">
        <f aca="false">IF(K361=0,"",IF(R361=1,"Pagada",IF(C361&lt;$F$12,"Vencida",IF(335=$F$13,"Próxima","Pendiente"))))</f>
        <v/>
      </c>
      <c r="R361" s="62" t="n">
        <f aca="false">IF(AND(K361&gt;0,OR(O361="Sí",O361="Si")),1,0)</f>
        <v>0</v>
      </c>
      <c r="S361" s="62" t="n">
        <f aca="false">IF(AND(K361&gt;0,R361=0),1,0)</f>
        <v>0</v>
      </c>
    </row>
    <row r="362" customFormat="false" ht="15" hidden="false" customHeight="false" outlineLevel="0" collapsed="false">
      <c r="B362" s="71" t="str">
        <f aca="false">IF($F$6="Sí",N($C$11)+335,"")</f>
        <v/>
      </c>
      <c r="C362" s="72" t="str">
        <f aca="false">IF(OR($F$6&lt;&gt;"Sí",D362&lt;=0.5),"",EDATE($C$10,335))</f>
        <v/>
      </c>
      <c r="D362" s="41" t="n">
        <f aca="false">MAX(0,M361)</f>
        <v>0</v>
      </c>
      <c r="E362" s="41" t="n">
        <f aca="false">D362*$F$7</f>
        <v>0</v>
      </c>
      <c r="F362" s="41" t="n">
        <f aca="false">IF(D362&gt;0.5,N($C$15),0)</f>
        <v>0</v>
      </c>
      <c r="G362" s="41" t="n">
        <f aca="false">IF(AND(D362&gt;0.5,N($C$19)&gt;0,N(B362)&lt;=N($C$20)),D362*$F$8,0)</f>
        <v>0</v>
      </c>
      <c r="H362" s="41" t="n">
        <f aca="false">IF(D362&lt;=0.5,0,MIN(IF(N(I362)&gt;0,I362,$F$9),D362+E362+F362))</f>
        <v>0</v>
      </c>
      <c r="I362" s="77"/>
      <c r="J362" s="77"/>
      <c r="K362" s="41" t="n">
        <f aca="false">IF(D362&lt;=0.5,0,MIN(H362+N(J362),D362+E362+F362))</f>
        <v>0</v>
      </c>
      <c r="L362" s="41" t="n">
        <f aca="false">K362-E362-F362</f>
        <v>0</v>
      </c>
      <c r="M362" s="41" t="n">
        <f aca="false">D362-L362</f>
        <v>0</v>
      </c>
      <c r="N362" s="42" t="n">
        <f aca="false">K362-G362</f>
        <v>0</v>
      </c>
      <c r="O362" s="78"/>
      <c r="P362" s="79"/>
      <c r="Q362" s="16" t="str">
        <f aca="false">IF(K362=0,"",IF(R362=1,"Pagada",IF(C362&lt;$F$12,"Vencida",IF(336=$F$13,"Próxima","Pendiente"))))</f>
        <v/>
      </c>
      <c r="R362" s="62" t="n">
        <f aca="false">IF(AND(K362&gt;0,OR(O362="Sí",O362="Si")),1,0)</f>
        <v>0</v>
      </c>
      <c r="S362" s="62" t="n">
        <f aca="false">IF(AND(K362&gt;0,R362=0),1,0)</f>
        <v>0</v>
      </c>
    </row>
    <row r="363" customFormat="false" ht="15" hidden="false" customHeight="false" outlineLevel="0" collapsed="false">
      <c r="B363" s="71" t="str">
        <f aca="false">IF($F$6="Sí",N($C$11)+336,"")</f>
        <v/>
      </c>
      <c r="C363" s="72" t="str">
        <f aca="false">IF(OR($F$6&lt;&gt;"Sí",D363&lt;=0.5),"",EDATE($C$10,336))</f>
        <v/>
      </c>
      <c r="D363" s="41" t="n">
        <f aca="false">MAX(0,M362)</f>
        <v>0</v>
      </c>
      <c r="E363" s="41" t="n">
        <f aca="false">D363*$F$7</f>
        <v>0</v>
      </c>
      <c r="F363" s="41" t="n">
        <f aca="false">IF(D363&gt;0.5,N($C$15),0)</f>
        <v>0</v>
      </c>
      <c r="G363" s="41" t="n">
        <f aca="false">IF(AND(D363&gt;0.5,N($C$19)&gt;0,N(B363)&lt;=N($C$20)),D363*$F$8,0)</f>
        <v>0</v>
      </c>
      <c r="H363" s="41" t="n">
        <f aca="false">IF(D363&lt;=0.5,0,MIN(IF(N(I363)&gt;0,I363,$F$9),D363+E363+F363))</f>
        <v>0</v>
      </c>
      <c r="I363" s="77"/>
      <c r="J363" s="77"/>
      <c r="K363" s="41" t="n">
        <f aca="false">IF(D363&lt;=0.5,0,MIN(H363+N(J363),D363+E363+F363))</f>
        <v>0</v>
      </c>
      <c r="L363" s="41" t="n">
        <f aca="false">K363-E363-F363</f>
        <v>0</v>
      </c>
      <c r="M363" s="41" t="n">
        <f aca="false">D363-L363</f>
        <v>0</v>
      </c>
      <c r="N363" s="42" t="n">
        <f aca="false">K363-G363</f>
        <v>0</v>
      </c>
      <c r="O363" s="78"/>
      <c r="P363" s="79"/>
      <c r="Q363" s="16" t="str">
        <f aca="false">IF(K363=0,"",IF(R363=1,"Pagada",IF(C363&lt;$F$12,"Vencida",IF(337=$F$13,"Próxima","Pendiente"))))</f>
        <v/>
      </c>
      <c r="R363" s="62" t="n">
        <f aca="false">IF(AND(K363&gt;0,OR(O363="Sí",O363="Si")),1,0)</f>
        <v>0</v>
      </c>
      <c r="S363" s="62" t="n">
        <f aca="false">IF(AND(K363&gt;0,R363=0),1,0)</f>
        <v>0</v>
      </c>
    </row>
    <row r="364" customFormat="false" ht="15" hidden="false" customHeight="false" outlineLevel="0" collapsed="false">
      <c r="B364" s="71" t="str">
        <f aca="false">IF($F$6="Sí",N($C$11)+337,"")</f>
        <v/>
      </c>
      <c r="C364" s="72" t="str">
        <f aca="false">IF(OR($F$6&lt;&gt;"Sí",D364&lt;=0.5),"",EDATE($C$10,337))</f>
        <v/>
      </c>
      <c r="D364" s="41" t="n">
        <f aca="false">MAX(0,M363)</f>
        <v>0</v>
      </c>
      <c r="E364" s="41" t="n">
        <f aca="false">D364*$F$7</f>
        <v>0</v>
      </c>
      <c r="F364" s="41" t="n">
        <f aca="false">IF(D364&gt;0.5,N($C$15),0)</f>
        <v>0</v>
      </c>
      <c r="G364" s="41" t="n">
        <f aca="false">IF(AND(D364&gt;0.5,N($C$19)&gt;0,N(B364)&lt;=N($C$20)),D364*$F$8,0)</f>
        <v>0</v>
      </c>
      <c r="H364" s="41" t="n">
        <f aca="false">IF(D364&lt;=0.5,0,MIN(IF(N(I364)&gt;0,I364,$F$9),D364+E364+F364))</f>
        <v>0</v>
      </c>
      <c r="I364" s="77"/>
      <c r="J364" s="77"/>
      <c r="K364" s="41" t="n">
        <f aca="false">IF(D364&lt;=0.5,0,MIN(H364+N(J364),D364+E364+F364))</f>
        <v>0</v>
      </c>
      <c r="L364" s="41" t="n">
        <f aca="false">K364-E364-F364</f>
        <v>0</v>
      </c>
      <c r="M364" s="41" t="n">
        <f aca="false">D364-L364</f>
        <v>0</v>
      </c>
      <c r="N364" s="42" t="n">
        <f aca="false">K364-G364</f>
        <v>0</v>
      </c>
      <c r="O364" s="78"/>
      <c r="P364" s="79"/>
      <c r="Q364" s="16" t="str">
        <f aca="false">IF(K364=0,"",IF(R364=1,"Pagada",IF(C364&lt;$F$12,"Vencida",IF(338=$F$13,"Próxima","Pendiente"))))</f>
        <v/>
      </c>
      <c r="R364" s="62" t="n">
        <f aca="false">IF(AND(K364&gt;0,OR(O364="Sí",O364="Si")),1,0)</f>
        <v>0</v>
      </c>
      <c r="S364" s="62" t="n">
        <f aca="false">IF(AND(K364&gt;0,R364=0),1,0)</f>
        <v>0</v>
      </c>
    </row>
    <row r="365" customFormat="false" ht="15" hidden="false" customHeight="false" outlineLevel="0" collapsed="false">
      <c r="B365" s="71" t="str">
        <f aca="false">IF($F$6="Sí",N($C$11)+338,"")</f>
        <v/>
      </c>
      <c r="C365" s="72" t="str">
        <f aca="false">IF(OR($F$6&lt;&gt;"Sí",D365&lt;=0.5),"",EDATE($C$10,338))</f>
        <v/>
      </c>
      <c r="D365" s="41" t="n">
        <f aca="false">MAX(0,M364)</f>
        <v>0</v>
      </c>
      <c r="E365" s="41" t="n">
        <f aca="false">D365*$F$7</f>
        <v>0</v>
      </c>
      <c r="F365" s="41" t="n">
        <f aca="false">IF(D365&gt;0.5,N($C$15),0)</f>
        <v>0</v>
      </c>
      <c r="G365" s="41" t="n">
        <f aca="false">IF(AND(D365&gt;0.5,N($C$19)&gt;0,N(B365)&lt;=N($C$20)),D365*$F$8,0)</f>
        <v>0</v>
      </c>
      <c r="H365" s="41" t="n">
        <f aca="false">IF(D365&lt;=0.5,0,MIN(IF(N(I365)&gt;0,I365,$F$9),D365+E365+F365))</f>
        <v>0</v>
      </c>
      <c r="I365" s="77"/>
      <c r="J365" s="77"/>
      <c r="K365" s="41" t="n">
        <f aca="false">IF(D365&lt;=0.5,0,MIN(H365+N(J365),D365+E365+F365))</f>
        <v>0</v>
      </c>
      <c r="L365" s="41" t="n">
        <f aca="false">K365-E365-F365</f>
        <v>0</v>
      </c>
      <c r="M365" s="41" t="n">
        <f aca="false">D365-L365</f>
        <v>0</v>
      </c>
      <c r="N365" s="42" t="n">
        <f aca="false">K365-G365</f>
        <v>0</v>
      </c>
      <c r="O365" s="78"/>
      <c r="P365" s="79"/>
      <c r="Q365" s="16" t="str">
        <f aca="false">IF(K365=0,"",IF(R365=1,"Pagada",IF(C365&lt;$F$12,"Vencida",IF(339=$F$13,"Próxima","Pendiente"))))</f>
        <v/>
      </c>
      <c r="R365" s="62" t="n">
        <f aca="false">IF(AND(K365&gt;0,OR(O365="Sí",O365="Si")),1,0)</f>
        <v>0</v>
      </c>
      <c r="S365" s="62" t="n">
        <f aca="false">IF(AND(K365&gt;0,R365=0),1,0)</f>
        <v>0</v>
      </c>
    </row>
    <row r="366" customFormat="false" ht="15" hidden="false" customHeight="false" outlineLevel="0" collapsed="false">
      <c r="B366" s="71" t="str">
        <f aca="false">IF($F$6="Sí",N($C$11)+339,"")</f>
        <v/>
      </c>
      <c r="C366" s="72" t="str">
        <f aca="false">IF(OR($F$6&lt;&gt;"Sí",D366&lt;=0.5),"",EDATE($C$10,339))</f>
        <v/>
      </c>
      <c r="D366" s="41" t="n">
        <f aca="false">MAX(0,M365)</f>
        <v>0</v>
      </c>
      <c r="E366" s="41" t="n">
        <f aca="false">D366*$F$7</f>
        <v>0</v>
      </c>
      <c r="F366" s="41" t="n">
        <f aca="false">IF(D366&gt;0.5,N($C$15),0)</f>
        <v>0</v>
      </c>
      <c r="G366" s="41" t="n">
        <f aca="false">IF(AND(D366&gt;0.5,N($C$19)&gt;0,N(B366)&lt;=N($C$20)),D366*$F$8,0)</f>
        <v>0</v>
      </c>
      <c r="H366" s="41" t="n">
        <f aca="false">IF(D366&lt;=0.5,0,MIN(IF(N(I366)&gt;0,I366,$F$9),D366+E366+F366))</f>
        <v>0</v>
      </c>
      <c r="I366" s="77"/>
      <c r="J366" s="77"/>
      <c r="K366" s="41" t="n">
        <f aca="false">IF(D366&lt;=0.5,0,MIN(H366+N(J366),D366+E366+F366))</f>
        <v>0</v>
      </c>
      <c r="L366" s="41" t="n">
        <f aca="false">K366-E366-F366</f>
        <v>0</v>
      </c>
      <c r="M366" s="41" t="n">
        <f aca="false">D366-L366</f>
        <v>0</v>
      </c>
      <c r="N366" s="42" t="n">
        <f aca="false">K366-G366</f>
        <v>0</v>
      </c>
      <c r="O366" s="78"/>
      <c r="P366" s="79"/>
      <c r="Q366" s="16" t="str">
        <f aca="false">IF(K366=0,"",IF(R366=1,"Pagada",IF(C366&lt;$F$12,"Vencida",IF(340=$F$13,"Próxima","Pendiente"))))</f>
        <v/>
      </c>
      <c r="R366" s="62" t="n">
        <f aca="false">IF(AND(K366&gt;0,OR(O366="Sí",O366="Si")),1,0)</f>
        <v>0</v>
      </c>
      <c r="S366" s="62" t="n">
        <f aca="false">IF(AND(K366&gt;0,R366=0),1,0)</f>
        <v>0</v>
      </c>
    </row>
    <row r="367" customFormat="false" ht="15" hidden="false" customHeight="false" outlineLevel="0" collapsed="false">
      <c r="B367" s="71" t="str">
        <f aca="false">IF($F$6="Sí",N($C$11)+340,"")</f>
        <v/>
      </c>
      <c r="C367" s="72" t="str">
        <f aca="false">IF(OR($F$6&lt;&gt;"Sí",D367&lt;=0.5),"",EDATE($C$10,340))</f>
        <v/>
      </c>
      <c r="D367" s="41" t="n">
        <f aca="false">MAX(0,M366)</f>
        <v>0</v>
      </c>
      <c r="E367" s="41" t="n">
        <f aca="false">D367*$F$7</f>
        <v>0</v>
      </c>
      <c r="F367" s="41" t="n">
        <f aca="false">IF(D367&gt;0.5,N($C$15),0)</f>
        <v>0</v>
      </c>
      <c r="G367" s="41" t="n">
        <f aca="false">IF(AND(D367&gt;0.5,N($C$19)&gt;0,N(B367)&lt;=N($C$20)),D367*$F$8,0)</f>
        <v>0</v>
      </c>
      <c r="H367" s="41" t="n">
        <f aca="false">IF(D367&lt;=0.5,0,MIN(IF(N(I367)&gt;0,I367,$F$9),D367+E367+F367))</f>
        <v>0</v>
      </c>
      <c r="I367" s="77"/>
      <c r="J367" s="77"/>
      <c r="K367" s="41" t="n">
        <f aca="false">IF(D367&lt;=0.5,0,MIN(H367+N(J367),D367+E367+F367))</f>
        <v>0</v>
      </c>
      <c r="L367" s="41" t="n">
        <f aca="false">K367-E367-F367</f>
        <v>0</v>
      </c>
      <c r="M367" s="41" t="n">
        <f aca="false">D367-L367</f>
        <v>0</v>
      </c>
      <c r="N367" s="42" t="n">
        <f aca="false">K367-G367</f>
        <v>0</v>
      </c>
      <c r="O367" s="78"/>
      <c r="P367" s="79"/>
      <c r="Q367" s="16" t="str">
        <f aca="false">IF(K367=0,"",IF(R367=1,"Pagada",IF(C367&lt;$F$12,"Vencida",IF(341=$F$13,"Próxima","Pendiente"))))</f>
        <v/>
      </c>
      <c r="R367" s="62" t="n">
        <f aca="false">IF(AND(K367&gt;0,OR(O367="Sí",O367="Si")),1,0)</f>
        <v>0</v>
      </c>
      <c r="S367" s="62" t="n">
        <f aca="false">IF(AND(K367&gt;0,R367=0),1,0)</f>
        <v>0</v>
      </c>
    </row>
    <row r="368" customFormat="false" ht="15" hidden="false" customHeight="false" outlineLevel="0" collapsed="false">
      <c r="B368" s="71" t="str">
        <f aca="false">IF($F$6="Sí",N($C$11)+341,"")</f>
        <v/>
      </c>
      <c r="C368" s="72" t="str">
        <f aca="false">IF(OR($F$6&lt;&gt;"Sí",D368&lt;=0.5),"",EDATE($C$10,341))</f>
        <v/>
      </c>
      <c r="D368" s="41" t="n">
        <f aca="false">MAX(0,M367)</f>
        <v>0</v>
      </c>
      <c r="E368" s="41" t="n">
        <f aca="false">D368*$F$7</f>
        <v>0</v>
      </c>
      <c r="F368" s="41" t="n">
        <f aca="false">IF(D368&gt;0.5,N($C$15),0)</f>
        <v>0</v>
      </c>
      <c r="G368" s="41" t="n">
        <f aca="false">IF(AND(D368&gt;0.5,N($C$19)&gt;0,N(B368)&lt;=N($C$20)),D368*$F$8,0)</f>
        <v>0</v>
      </c>
      <c r="H368" s="41" t="n">
        <f aca="false">IF(D368&lt;=0.5,0,MIN(IF(N(I368)&gt;0,I368,$F$9),D368+E368+F368))</f>
        <v>0</v>
      </c>
      <c r="I368" s="77"/>
      <c r="J368" s="77"/>
      <c r="K368" s="41" t="n">
        <f aca="false">IF(D368&lt;=0.5,0,MIN(H368+N(J368),D368+E368+F368))</f>
        <v>0</v>
      </c>
      <c r="L368" s="41" t="n">
        <f aca="false">K368-E368-F368</f>
        <v>0</v>
      </c>
      <c r="M368" s="41" t="n">
        <f aca="false">D368-L368</f>
        <v>0</v>
      </c>
      <c r="N368" s="42" t="n">
        <f aca="false">K368-G368</f>
        <v>0</v>
      </c>
      <c r="O368" s="78"/>
      <c r="P368" s="79"/>
      <c r="Q368" s="16" t="str">
        <f aca="false">IF(K368=0,"",IF(R368=1,"Pagada",IF(C368&lt;$F$12,"Vencida",IF(342=$F$13,"Próxima","Pendiente"))))</f>
        <v/>
      </c>
      <c r="R368" s="62" t="n">
        <f aca="false">IF(AND(K368&gt;0,OR(O368="Sí",O368="Si")),1,0)</f>
        <v>0</v>
      </c>
      <c r="S368" s="62" t="n">
        <f aca="false">IF(AND(K368&gt;0,R368=0),1,0)</f>
        <v>0</v>
      </c>
    </row>
    <row r="369" customFormat="false" ht="15" hidden="false" customHeight="false" outlineLevel="0" collapsed="false">
      <c r="B369" s="71" t="str">
        <f aca="false">IF($F$6="Sí",N($C$11)+342,"")</f>
        <v/>
      </c>
      <c r="C369" s="72" t="str">
        <f aca="false">IF(OR($F$6&lt;&gt;"Sí",D369&lt;=0.5),"",EDATE($C$10,342))</f>
        <v/>
      </c>
      <c r="D369" s="41" t="n">
        <f aca="false">MAX(0,M368)</f>
        <v>0</v>
      </c>
      <c r="E369" s="41" t="n">
        <f aca="false">D369*$F$7</f>
        <v>0</v>
      </c>
      <c r="F369" s="41" t="n">
        <f aca="false">IF(D369&gt;0.5,N($C$15),0)</f>
        <v>0</v>
      </c>
      <c r="G369" s="41" t="n">
        <f aca="false">IF(AND(D369&gt;0.5,N($C$19)&gt;0,N(B369)&lt;=N($C$20)),D369*$F$8,0)</f>
        <v>0</v>
      </c>
      <c r="H369" s="41" t="n">
        <f aca="false">IF(D369&lt;=0.5,0,MIN(IF(N(I369)&gt;0,I369,$F$9),D369+E369+F369))</f>
        <v>0</v>
      </c>
      <c r="I369" s="77"/>
      <c r="J369" s="77"/>
      <c r="K369" s="41" t="n">
        <f aca="false">IF(D369&lt;=0.5,0,MIN(H369+N(J369),D369+E369+F369))</f>
        <v>0</v>
      </c>
      <c r="L369" s="41" t="n">
        <f aca="false">K369-E369-F369</f>
        <v>0</v>
      </c>
      <c r="M369" s="41" t="n">
        <f aca="false">D369-L369</f>
        <v>0</v>
      </c>
      <c r="N369" s="42" t="n">
        <f aca="false">K369-G369</f>
        <v>0</v>
      </c>
      <c r="O369" s="78"/>
      <c r="P369" s="79"/>
      <c r="Q369" s="16" t="str">
        <f aca="false">IF(K369=0,"",IF(R369=1,"Pagada",IF(C369&lt;$F$12,"Vencida",IF(343=$F$13,"Próxima","Pendiente"))))</f>
        <v/>
      </c>
      <c r="R369" s="62" t="n">
        <f aca="false">IF(AND(K369&gt;0,OR(O369="Sí",O369="Si")),1,0)</f>
        <v>0</v>
      </c>
      <c r="S369" s="62" t="n">
        <f aca="false">IF(AND(K369&gt;0,R369=0),1,0)</f>
        <v>0</v>
      </c>
    </row>
    <row r="370" customFormat="false" ht="15" hidden="false" customHeight="false" outlineLevel="0" collapsed="false">
      <c r="B370" s="71" t="str">
        <f aca="false">IF($F$6="Sí",N($C$11)+343,"")</f>
        <v/>
      </c>
      <c r="C370" s="72" t="str">
        <f aca="false">IF(OR($F$6&lt;&gt;"Sí",D370&lt;=0.5),"",EDATE($C$10,343))</f>
        <v/>
      </c>
      <c r="D370" s="41" t="n">
        <f aca="false">MAX(0,M369)</f>
        <v>0</v>
      </c>
      <c r="E370" s="41" t="n">
        <f aca="false">D370*$F$7</f>
        <v>0</v>
      </c>
      <c r="F370" s="41" t="n">
        <f aca="false">IF(D370&gt;0.5,N($C$15),0)</f>
        <v>0</v>
      </c>
      <c r="G370" s="41" t="n">
        <f aca="false">IF(AND(D370&gt;0.5,N($C$19)&gt;0,N(B370)&lt;=N($C$20)),D370*$F$8,0)</f>
        <v>0</v>
      </c>
      <c r="H370" s="41" t="n">
        <f aca="false">IF(D370&lt;=0.5,0,MIN(IF(N(I370)&gt;0,I370,$F$9),D370+E370+F370))</f>
        <v>0</v>
      </c>
      <c r="I370" s="77"/>
      <c r="J370" s="77"/>
      <c r="K370" s="41" t="n">
        <f aca="false">IF(D370&lt;=0.5,0,MIN(H370+N(J370),D370+E370+F370))</f>
        <v>0</v>
      </c>
      <c r="L370" s="41" t="n">
        <f aca="false">K370-E370-F370</f>
        <v>0</v>
      </c>
      <c r="M370" s="41" t="n">
        <f aca="false">D370-L370</f>
        <v>0</v>
      </c>
      <c r="N370" s="42" t="n">
        <f aca="false">K370-G370</f>
        <v>0</v>
      </c>
      <c r="O370" s="78"/>
      <c r="P370" s="79"/>
      <c r="Q370" s="16" t="str">
        <f aca="false">IF(K370=0,"",IF(R370=1,"Pagada",IF(C370&lt;$F$12,"Vencida",IF(344=$F$13,"Próxima","Pendiente"))))</f>
        <v/>
      </c>
      <c r="R370" s="62" t="n">
        <f aca="false">IF(AND(K370&gt;0,OR(O370="Sí",O370="Si")),1,0)</f>
        <v>0</v>
      </c>
      <c r="S370" s="62" t="n">
        <f aca="false">IF(AND(K370&gt;0,R370=0),1,0)</f>
        <v>0</v>
      </c>
    </row>
    <row r="371" customFormat="false" ht="15" hidden="false" customHeight="false" outlineLevel="0" collapsed="false">
      <c r="B371" s="71" t="str">
        <f aca="false">IF($F$6="Sí",N($C$11)+344,"")</f>
        <v/>
      </c>
      <c r="C371" s="72" t="str">
        <f aca="false">IF(OR($F$6&lt;&gt;"Sí",D371&lt;=0.5),"",EDATE($C$10,344))</f>
        <v/>
      </c>
      <c r="D371" s="41" t="n">
        <f aca="false">MAX(0,M370)</f>
        <v>0</v>
      </c>
      <c r="E371" s="41" t="n">
        <f aca="false">D371*$F$7</f>
        <v>0</v>
      </c>
      <c r="F371" s="41" t="n">
        <f aca="false">IF(D371&gt;0.5,N($C$15),0)</f>
        <v>0</v>
      </c>
      <c r="G371" s="41" t="n">
        <f aca="false">IF(AND(D371&gt;0.5,N($C$19)&gt;0,N(B371)&lt;=N($C$20)),D371*$F$8,0)</f>
        <v>0</v>
      </c>
      <c r="H371" s="41" t="n">
        <f aca="false">IF(D371&lt;=0.5,0,MIN(IF(N(I371)&gt;0,I371,$F$9),D371+E371+F371))</f>
        <v>0</v>
      </c>
      <c r="I371" s="77"/>
      <c r="J371" s="77"/>
      <c r="K371" s="41" t="n">
        <f aca="false">IF(D371&lt;=0.5,0,MIN(H371+N(J371),D371+E371+F371))</f>
        <v>0</v>
      </c>
      <c r="L371" s="41" t="n">
        <f aca="false">K371-E371-F371</f>
        <v>0</v>
      </c>
      <c r="M371" s="41" t="n">
        <f aca="false">D371-L371</f>
        <v>0</v>
      </c>
      <c r="N371" s="42" t="n">
        <f aca="false">K371-G371</f>
        <v>0</v>
      </c>
      <c r="O371" s="78"/>
      <c r="P371" s="79"/>
      <c r="Q371" s="16" t="str">
        <f aca="false">IF(K371=0,"",IF(R371=1,"Pagada",IF(C371&lt;$F$12,"Vencida",IF(345=$F$13,"Próxima","Pendiente"))))</f>
        <v/>
      </c>
      <c r="R371" s="62" t="n">
        <f aca="false">IF(AND(K371&gt;0,OR(O371="Sí",O371="Si")),1,0)</f>
        <v>0</v>
      </c>
      <c r="S371" s="62" t="n">
        <f aca="false">IF(AND(K371&gt;0,R371=0),1,0)</f>
        <v>0</v>
      </c>
    </row>
    <row r="372" customFormat="false" ht="15" hidden="false" customHeight="false" outlineLevel="0" collapsed="false">
      <c r="B372" s="71" t="str">
        <f aca="false">IF($F$6="Sí",N($C$11)+345,"")</f>
        <v/>
      </c>
      <c r="C372" s="72" t="str">
        <f aca="false">IF(OR($F$6&lt;&gt;"Sí",D372&lt;=0.5),"",EDATE($C$10,345))</f>
        <v/>
      </c>
      <c r="D372" s="41" t="n">
        <f aca="false">MAX(0,M371)</f>
        <v>0</v>
      </c>
      <c r="E372" s="41" t="n">
        <f aca="false">D372*$F$7</f>
        <v>0</v>
      </c>
      <c r="F372" s="41" t="n">
        <f aca="false">IF(D372&gt;0.5,N($C$15),0)</f>
        <v>0</v>
      </c>
      <c r="G372" s="41" t="n">
        <f aca="false">IF(AND(D372&gt;0.5,N($C$19)&gt;0,N(B372)&lt;=N($C$20)),D372*$F$8,0)</f>
        <v>0</v>
      </c>
      <c r="H372" s="41" t="n">
        <f aca="false">IF(D372&lt;=0.5,0,MIN(IF(N(I372)&gt;0,I372,$F$9),D372+E372+F372))</f>
        <v>0</v>
      </c>
      <c r="I372" s="77"/>
      <c r="J372" s="77"/>
      <c r="K372" s="41" t="n">
        <f aca="false">IF(D372&lt;=0.5,0,MIN(H372+N(J372),D372+E372+F372))</f>
        <v>0</v>
      </c>
      <c r="L372" s="41" t="n">
        <f aca="false">K372-E372-F372</f>
        <v>0</v>
      </c>
      <c r="M372" s="41" t="n">
        <f aca="false">D372-L372</f>
        <v>0</v>
      </c>
      <c r="N372" s="42" t="n">
        <f aca="false">K372-G372</f>
        <v>0</v>
      </c>
      <c r="O372" s="78"/>
      <c r="P372" s="79"/>
      <c r="Q372" s="16" t="str">
        <f aca="false">IF(K372=0,"",IF(R372=1,"Pagada",IF(C372&lt;$F$12,"Vencida",IF(346=$F$13,"Próxima","Pendiente"))))</f>
        <v/>
      </c>
      <c r="R372" s="62" t="n">
        <f aca="false">IF(AND(K372&gt;0,OR(O372="Sí",O372="Si")),1,0)</f>
        <v>0</v>
      </c>
      <c r="S372" s="62" t="n">
        <f aca="false">IF(AND(K372&gt;0,R372=0),1,0)</f>
        <v>0</v>
      </c>
    </row>
    <row r="373" customFormat="false" ht="15" hidden="false" customHeight="false" outlineLevel="0" collapsed="false">
      <c r="B373" s="71" t="str">
        <f aca="false">IF($F$6="Sí",N($C$11)+346,"")</f>
        <v/>
      </c>
      <c r="C373" s="72" t="str">
        <f aca="false">IF(OR($F$6&lt;&gt;"Sí",D373&lt;=0.5),"",EDATE($C$10,346))</f>
        <v/>
      </c>
      <c r="D373" s="41" t="n">
        <f aca="false">MAX(0,M372)</f>
        <v>0</v>
      </c>
      <c r="E373" s="41" t="n">
        <f aca="false">D373*$F$7</f>
        <v>0</v>
      </c>
      <c r="F373" s="41" t="n">
        <f aca="false">IF(D373&gt;0.5,N($C$15),0)</f>
        <v>0</v>
      </c>
      <c r="G373" s="41" t="n">
        <f aca="false">IF(AND(D373&gt;0.5,N($C$19)&gt;0,N(B373)&lt;=N($C$20)),D373*$F$8,0)</f>
        <v>0</v>
      </c>
      <c r="H373" s="41" t="n">
        <f aca="false">IF(D373&lt;=0.5,0,MIN(IF(N(I373)&gt;0,I373,$F$9),D373+E373+F373))</f>
        <v>0</v>
      </c>
      <c r="I373" s="77"/>
      <c r="J373" s="77"/>
      <c r="K373" s="41" t="n">
        <f aca="false">IF(D373&lt;=0.5,0,MIN(H373+N(J373),D373+E373+F373))</f>
        <v>0</v>
      </c>
      <c r="L373" s="41" t="n">
        <f aca="false">K373-E373-F373</f>
        <v>0</v>
      </c>
      <c r="M373" s="41" t="n">
        <f aca="false">D373-L373</f>
        <v>0</v>
      </c>
      <c r="N373" s="42" t="n">
        <f aca="false">K373-G373</f>
        <v>0</v>
      </c>
      <c r="O373" s="78"/>
      <c r="P373" s="79"/>
      <c r="Q373" s="16" t="str">
        <f aca="false">IF(K373=0,"",IF(R373=1,"Pagada",IF(C373&lt;$F$12,"Vencida",IF(347=$F$13,"Próxima","Pendiente"))))</f>
        <v/>
      </c>
      <c r="R373" s="62" t="n">
        <f aca="false">IF(AND(K373&gt;0,OR(O373="Sí",O373="Si")),1,0)</f>
        <v>0</v>
      </c>
      <c r="S373" s="62" t="n">
        <f aca="false">IF(AND(K373&gt;0,R373=0),1,0)</f>
        <v>0</v>
      </c>
    </row>
    <row r="374" customFormat="false" ht="15" hidden="false" customHeight="false" outlineLevel="0" collapsed="false">
      <c r="B374" s="71" t="str">
        <f aca="false">IF($F$6="Sí",N($C$11)+347,"")</f>
        <v/>
      </c>
      <c r="C374" s="72" t="str">
        <f aca="false">IF(OR($F$6&lt;&gt;"Sí",D374&lt;=0.5),"",EDATE($C$10,347))</f>
        <v/>
      </c>
      <c r="D374" s="41" t="n">
        <f aca="false">MAX(0,M373)</f>
        <v>0</v>
      </c>
      <c r="E374" s="41" t="n">
        <f aca="false">D374*$F$7</f>
        <v>0</v>
      </c>
      <c r="F374" s="41" t="n">
        <f aca="false">IF(D374&gt;0.5,N($C$15),0)</f>
        <v>0</v>
      </c>
      <c r="G374" s="41" t="n">
        <f aca="false">IF(AND(D374&gt;0.5,N($C$19)&gt;0,N(B374)&lt;=N($C$20)),D374*$F$8,0)</f>
        <v>0</v>
      </c>
      <c r="H374" s="41" t="n">
        <f aca="false">IF(D374&lt;=0.5,0,MIN(IF(N(I374)&gt;0,I374,$F$9),D374+E374+F374))</f>
        <v>0</v>
      </c>
      <c r="I374" s="77"/>
      <c r="J374" s="77"/>
      <c r="K374" s="41" t="n">
        <f aca="false">IF(D374&lt;=0.5,0,MIN(H374+N(J374),D374+E374+F374))</f>
        <v>0</v>
      </c>
      <c r="L374" s="41" t="n">
        <f aca="false">K374-E374-F374</f>
        <v>0</v>
      </c>
      <c r="M374" s="41" t="n">
        <f aca="false">D374-L374</f>
        <v>0</v>
      </c>
      <c r="N374" s="42" t="n">
        <f aca="false">K374-G374</f>
        <v>0</v>
      </c>
      <c r="O374" s="78"/>
      <c r="P374" s="79"/>
      <c r="Q374" s="16" t="str">
        <f aca="false">IF(K374=0,"",IF(R374=1,"Pagada",IF(C374&lt;$F$12,"Vencida",IF(348=$F$13,"Próxima","Pendiente"))))</f>
        <v/>
      </c>
      <c r="R374" s="62" t="n">
        <f aca="false">IF(AND(K374&gt;0,OR(O374="Sí",O374="Si")),1,0)</f>
        <v>0</v>
      </c>
      <c r="S374" s="62" t="n">
        <f aca="false">IF(AND(K374&gt;0,R374=0),1,0)</f>
        <v>0</v>
      </c>
    </row>
    <row r="375" customFormat="false" ht="15" hidden="false" customHeight="false" outlineLevel="0" collapsed="false">
      <c r="B375" s="71" t="str">
        <f aca="false">IF($F$6="Sí",N($C$11)+348,"")</f>
        <v/>
      </c>
      <c r="C375" s="72" t="str">
        <f aca="false">IF(OR($F$6&lt;&gt;"Sí",D375&lt;=0.5),"",EDATE($C$10,348))</f>
        <v/>
      </c>
      <c r="D375" s="41" t="n">
        <f aca="false">MAX(0,M374)</f>
        <v>0</v>
      </c>
      <c r="E375" s="41" t="n">
        <f aca="false">D375*$F$7</f>
        <v>0</v>
      </c>
      <c r="F375" s="41" t="n">
        <f aca="false">IF(D375&gt;0.5,N($C$15),0)</f>
        <v>0</v>
      </c>
      <c r="G375" s="41" t="n">
        <f aca="false">IF(AND(D375&gt;0.5,N($C$19)&gt;0,N(B375)&lt;=N($C$20)),D375*$F$8,0)</f>
        <v>0</v>
      </c>
      <c r="H375" s="41" t="n">
        <f aca="false">IF(D375&lt;=0.5,0,MIN(IF(N(I375)&gt;0,I375,$F$9),D375+E375+F375))</f>
        <v>0</v>
      </c>
      <c r="I375" s="77"/>
      <c r="J375" s="77"/>
      <c r="K375" s="41" t="n">
        <f aca="false">IF(D375&lt;=0.5,0,MIN(H375+N(J375),D375+E375+F375))</f>
        <v>0</v>
      </c>
      <c r="L375" s="41" t="n">
        <f aca="false">K375-E375-F375</f>
        <v>0</v>
      </c>
      <c r="M375" s="41" t="n">
        <f aca="false">D375-L375</f>
        <v>0</v>
      </c>
      <c r="N375" s="42" t="n">
        <f aca="false">K375-G375</f>
        <v>0</v>
      </c>
      <c r="O375" s="78"/>
      <c r="P375" s="79"/>
      <c r="Q375" s="16" t="str">
        <f aca="false">IF(K375=0,"",IF(R375=1,"Pagada",IF(C375&lt;$F$12,"Vencida",IF(349=$F$13,"Próxima","Pendiente"))))</f>
        <v/>
      </c>
      <c r="R375" s="62" t="n">
        <f aca="false">IF(AND(K375&gt;0,OR(O375="Sí",O375="Si")),1,0)</f>
        <v>0</v>
      </c>
      <c r="S375" s="62" t="n">
        <f aca="false">IF(AND(K375&gt;0,R375=0),1,0)</f>
        <v>0</v>
      </c>
    </row>
    <row r="376" customFormat="false" ht="15" hidden="false" customHeight="false" outlineLevel="0" collapsed="false">
      <c r="B376" s="71" t="str">
        <f aca="false">IF($F$6="Sí",N($C$11)+349,"")</f>
        <v/>
      </c>
      <c r="C376" s="72" t="str">
        <f aca="false">IF(OR($F$6&lt;&gt;"Sí",D376&lt;=0.5),"",EDATE($C$10,349))</f>
        <v/>
      </c>
      <c r="D376" s="41" t="n">
        <f aca="false">MAX(0,M375)</f>
        <v>0</v>
      </c>
      <c r="E376" s="41" t="n">
        <f aca="false">D376*$F$7</f>
        <v>0</v>
      </c>
      <c r="F376" s="41" t="n">
        <f aca="false">IF(D376&gt;0.5,N($C$15),0)</f>
        <v>0</v>
      </c>
      <c r="G376" s="41" t="n">
        <f aca="false">IF(AND(D376&gt;0.5,N($C$19)&gt;0,N(B376)&lt;=N($C$20)),D376*$F$8,0)</f>
        <v>0</v>
      </c>
      <c r="H376" s="41" t="n">
        <f aca="false">IF(D376&lt;=0.5,0,MIN(IF(N(I376)&gt;0,I376,$F$9),D376+E376+F376))</f>
        <v>0</v>
      </c>
      <c r="I376" s="77"/>
      <c r="J376" s="77"/>
      <c r="K376" s="41" t="n">
        <f aca="false">IF(D376&lt;=0.5,0,MIN(H376+N(J376),D376+E376+F376))</f>
        <v>0</v>
      </c>
      <c r="L376" s="41" t="n">
        <f aca="false">K376-E376-F376</f>
        <v>0</v>
      </c>
      <c r="M376" s="41" t="n">
        <f aca="false">D376-L376</f>
        <v>0</v>
      </c>
      <c r="N376" s="42" t="n">
        <f aca="false">K376-G376</f>
        <v>0</v>
      </c>
      <c r="O376" s="78"/>
      <c r="P376" s="79"/>
      <c r="Q376" s="16" t="str">
        <f aca="false">IF(K376=0,"",IF(R376=1,"Pagada",IF(C376&lt;$F$12,"Vencida",IF(350=$F$13,"Próxima","Pendiente"))))</f>
        <v/>
      </c>
      <c r="R376" s="62" t="n">
        <f aca="false">IF(AND(K376&gt;0,OR(O376="Sí",O376="Si")),1,0)</f>
        <v>0</v>
      </c>
      <c r="S376" s="62" t="n">
        <f aca="false">IF(AND(K376&gt;0,R376=0),1,0)</f>
        <v>0</v>
      </c>
    </row>
    <row r="377" customFormat="false" ht="15" hidden="false" customHeight="false" outlineLevel="0" collapsed="false">
      <c r="B377" s="71" t="str">
        <f aca="false">IF($F$6="Sí",N($C$11)+350,"")</f>
        <v/>
      </c>
      <c r="C377" s="72" t="str">
        <f aca="false">IF(OR($F$6&lt;&gt;"Sí",D377&lt;=0.5),"",EDATE($C$10,350))</f>
        <v/>
      </c>
      <c r="D377" s="41" t="n">
        <f aca="false">MAX(0,M376)</f>
        <v>0</v>
      </c>
      <c r="E377" s="41" t="n">
        <f aca="false">D377*$F$7</f>
        <v>0</v>
      </c>
      <c r="F377" s="41" t="n">
        <f aca="false">IF(D377&gt;0.5,N($C$15),0)</f>
        <v>0</v>
      </c>
      <c r="G377" s="41" t="n">
        <f aca="false">IF(AND(D377&gt;0.5,N($C$19)&gt;0,N(B377)&lt;=N($C$20)),D377*$F$8,0)</f>
        <v>0</v>
      </c>
      <c r="H377" s="41" t="n">
        <f aca="false">IF(D377&lt;=0.5,0,MIN(IF(N(I377)&gt;0,I377,$F$9),D377+E377+F377))</f>
        <v>0</v>
      </c>
      <c r="I377" s="77"/>
      <c r="J377" s="77"/>
      <c r="K377" s="41" t="n">
        <f aca="false">IF(D377&lt;=0.5,0,MIN(H377+N(J377),D377+E377+F377))</f>
        <v>0</v>
      </c>
      <c r="L377" s="41" t="n">
        <f aca="false">K377-E377-F377</f>
        <v>0</v>
      </c>
      <c r="M377" s="41" t="n">
        <f aca="false">D377-L377</f>
        <v>0</v>
      </c>
      <c r="N377" s="42" t="n">
        <f aca="false">K377-G377</f>
        <v>0</v>
      </c>
      <c r="O377" s="78"/>
      <c r="P377" s="79"/>
      <c r="Q377" s="16" t="str">
        <f aca="false">IF(K377=0,"",IF(R377=1,"Pagada",IF(C377&lt;$F$12,"Vencida",IF(351=$F$13,"Próxima","Pendiente"))))</f>
        <v/>
      </c>
      <c r="R377" s="62" t="n">
        <f aca="false">IF(AND(K377&gt;0,OR(O377="Sí",O377="Si")),1,0)</f>
        <v>0</v>
      </c>
      <c r="S377" s="62" t="n">
        <f aca="false">IF(AND(K377&gt;0,R377=0),1,0)</f>
        <v>0</v>
      </c>
    </row>
    <row r="378" customFormat="false" ht="15" hidden="false" customHeight="false" outlineLevel="0" collapsed="false">
      <c r="B378" s="71" t="str">
        <f aca="false">IF($F$6="Sí",N($C$11)+351,"")</f>
        <v/>
      </c>
      <c r="C378" s="72" t="str">
        <f aca="false">IF(OR($F$6&lt;&gt;"Sí",D378&lt;=0.5),"",EDATE($C$10,351))</f>
        <v/>
      </c>
      <c r="D378" s="41" t="n">
        <f aca="false">MAX(0,M377)</f>
        <v>0</v>
      </c>
      <c r="E378" s="41" t="n">
        <f aca="false">D378*$F$7</f>
        <v>0</v>
      </c>
      <c r="F378" s="41" t="n">
        <f aca="false">IF(D378&gt;0.5,N($C$15),0)</f>
        <v>0</v>
      </c>
      <c r="G378" s="41" t="n">
        <f aca="false">IF(AND(D378&gt;0.5,N($C$19)&gt;0,N(B378)&lt;=N($C$20)),D378*$F$8,0)</f>
        <v>0</v>
      </c>
      <c r="H378" s="41" t="n">
        <f aca="false">IF(D378&lt;=0.5,0,MIN(IF(N(I378)&gt;0,I378,$F$9),D378+E378+F378))</f>
        <v>0</v>
      </c>
      <c r="I378" s="77"/>
      <c r="J378" s="77"/>
      <c r="K378" s="41" t="n">
        <f aca="false">IF(D378&lt;=0.5,0,MIN(H378+N(J378),D378+E378+F378))</f>
        <v>0</v>
      </c>
      <c r="L378" s="41" t="n">
        <f aca="false">K378-E378-F378</f>
        <v>0</v>
      </c>
      <c r="M378" s="41" t="n">
        <f aca="false">D378-L378</f>
        <v>0</v>
      </c>
      <c r="N378" s="42" t="n">
        <f aca="false">K378-G378</f>
        <v>0</v>
      </c>
      <c r="O378" s="78"/>
      <c r="P378" s="79"/>
      <c r="Q378" s="16" t="str">
        <f aca="false">IF(K378=0,"",IF(R378=1,"Pagada",IF(C378&lt;$F$12,"Vencida",IF(352=$F$13,"Próxima","Pendiente"))))</f>
        <v/>
      </c>
      <c r="R378" s="62" t="n">
        <f aca="false">IF(AND(K378&gt;0,OR(O378="Sí",O378="Si")),1,0)</f>
        <v>0</v>
      </c>
      <c r="S378" s="62" t="n">
        <f aca="false">IF(AND(K378&gt;0,R378=0),1,0)</f>
        <v>0</v>
      </c>
    </row>
    <row r="379" customFormat="false" ht="15" hidden="false" customHeight="false" outlineLevel="0" collapsed="false">
      <c r="B379" s="71" t="str">
        <f aca="false">IF($F$6="Sí",N($C$11)+352,"")</f>
        <v/>
      </c>
      <c r="C379" s="72" t="str">
        <f aca="false">IF(OR($F$6&lt;&gt;"Sí",D379&lt;=0.5),"",EDATE($C$10,352))</f>
        <v/>
      </c>
      <c r="D379" s="41" t="n">
        <f aca="false">MAX(0,M378)</f>
        <v>0</v>
      </c>
      <c r="E379" s="41" t="n">
        <f aca="false">D379*$F$7</f>
        <v>0</v>
      </c>
      <c r="F379" s="41" t="n">
        <f aca="false">IF(D379&gt;0.5,N($C$15),0)</f>
        <v>0</v>
      </c>
      <c r="G379" s="41" t="n">
        <f aca="false">IF(AND(D379&gt;0.5,N($C$19)&gt;0,N(B379)&lt;=N($C$20)),D379*$F$8,0)</f>
        <v>0</v>
      </c>
      <c r="H379" s="41" t="n">
        <f aca="false">IF(D379&lt;=0.5,0,MIN(IF(N(I379)&gt;0,I379,$F$9),D379+E379+F379))</f>
        <v>0</v>
      </c>
      <c r="I379" s="77"/>
      <c r="J379" s="77"/>
      <c r="K379" s="41" t="n">
        <f aca="false">IF(D379&lt;=0.5,0,MIN(H379+N(J379),D379+E379+F379))</f>
        <v>0</v>
      </c>
      <c r="L379" s="41" t="n">
        <f aca="false">K379-E379-F379</f>
        <v>0</v>
      </c>
      <c r="M379" s="41" t="n">
        <f aca="false">D379-L379</f>
        <v>0</v>
      </c>
      <c r="N379" s="42" t="n">
        <f aca="false">K379-G379</f>
        <v>0</v>
      </c>
      <c r="O379" s="78"/>
      <c r="P379" s="79"/>
      <c r="Q379" s="16" t="str">
        <f aca="false">IF(K379=0,"",IF(R379=1,"Pagada",IF(C379&lt;$F$12,"Vencida",IF(353=$F$13,"Próxima","Pendiente"))))</f>
        <v/>
      </c>
      <c r="R379" s="62" t="n">
        <f aca="false">IF(AND(K379&gt;0,OR(O379="Sí",O379="Si")),1,0)</f>
        <v>0</v>
      </c>
      <c r="S379" s="62" t="n">
        <f aca="false">IF(AND(K379&gt;0,R379=0),1,0)</f>
        <v>0</v>
      </c>
    </row>
    <row r="380" customFormat="false" ht="15" hidden="false" customHeight="false" outlineLevel="0" collapsed="false">
      <c r="B380" s="71" t="str">
        <f aca="false">IF($F$6="Sí",N($C$11)+353,"")</f>
        <v/>
      </c>
      <c r="C380" s="72" t="str">
        <f aca="false">IF(OR($F$6&lt;&gt;"Sí",D380&lt;=0.5),"",EDATE($C$10,353))</f>
        <v/>
      </c>
      <c r="D380" s="41" t="n">
        <f aca="false">MAX(0,M379)</f>
        <v>0</v>
      </c>
      <c r="E380" s="41" t="n">
        <f aca="false">D380*$F$7</f>
        <v>0</v>
      </c>
      <c r="F380" s="41" t="n">
        <f aca="false">IF(D380&gt;0.5,N($C$15),0)</f>
        <v>0</v>
      </c>
      <c r="G380" s="41" t="n">
        <f aca="false">IF(AND(D380&gt;0.5,N($C$19)&gt;0,N(B380)&lt;=N($C$20)),D380*$F$8,0)</f>
        <v>0</v>
      </c>
      <c r="H380" s="41" t="n">
        <f aca="false">IF(D380&lt;=0.5,0,MIN(IF(N(I380)&gt;0,I380,$F$9),D380+E380+F380))</f>
        <v>0</v>
      </c>
      <c r="I380" s="77"/>
      <c r="J380" s="77"/>
      <c r="K380" s="41" t="n">
        <f aca="false">IF(D380&lt;=0.5,0,MIN(H380+N(J380),D380+E380+F380))</f>
        <v>0</v>
      </c>
      <c r="L380" s="41" t="n">
        <f aca="false">K380-E380-F380</f>
        <v>0</v>
      </c>
      <c r="M380" s="41" t="n">
        <f aca="false">D380-L380</f>
        <v>0</v>
      </c>
      <c r="N380" s="42" t="n">
        <f aca="false">K380-G380</f>
        <v>0</v>
      </c>
      <c r="O380" s="78"/>
      <c r="P380" s="79"/>
      <c r="Q380" s="16" t="str">
        <f aca="false">IF(K380=0,"",IF(R380=1,"Pagada",IF(C380&lt;$F$12,"Vencida",IF(354=$F$13,"Próxima","Pendiente"))))</f>
        <v/>
      </c>
      <c r="R380" s="62" t="n">
        <f aca="false">IF(AND(K380&gt;0,OR(O380="Sí",O380="Si")),1,0)</f>
        <v>0</v>
      </c>
      <c r="S380" s="62" t="n">
        <f aca="false">IF(AND(K380&gt;0,R380=0),1,0)</f>
        <v>0</v>
      </c>
    </row>
    <row r="381" customFormat="false" ht="15" hidden="false" customHeight="false" outlineLevel="0" collapsed="false">
      <c r="B381" s="71" t="str">
        <f aca="false">IF($F$6="Sí",N($C$11)+354,"")</f>
        <v/>
      </c>
      <c r="C381" s="72" t="str">
        <f aca="false">IF(OR($F$6&lt;&gt;"Sí",D381&lt;=0.5),"",EDATE($C$10,354))</f>
        <v/>
      </c>
      <c r="D381" s="41" t="n">
        <f aca="false">MAX(0,M380)</f>
        <v>0</v>
      </c>
      <c r="E381" s="41" t="n">
        <f aca="false">D381*$F$7</f>
        <v>0</v>
      </c>
      <c r="F381" s="41" t="n">
        <f aca="false">IF(D381&gt;0.5,N($C$15),0)</f>
        <v>0</v>
      </c>
      <c r="G381" s="41" t="n">
        <f aca="false">IF(AND(D381&gt;0.5,N($C$19)&gt;0,N(B381)&lt;=N($C$20)),D381*$F$8,0)</f>
        <v>0</v>
      </c>
      <c r="H381" s="41" t="n">
        <f aca="false">IF(D381&lt;=0.5,0,MIN(IF(N(I381)&gt;0,I381,$F$9),D381+E381+F381))</f>
        <v>0</v>
      </c>
      <c r="I381" s="77"/>
      <c r="J381" s="77"/>
      <c r="K381" s="41" t="n">
        <f aca="false">IF(D381&lt;=0.5,0,MIN(H381+N(J381),D381+E381+F381))</f>
        <v>0</v>
      </c>
      <c r="L381" s="41" t="n">
        <f aca="false">K381-E381-F381</f>
        <v>0</v>
      </c>
      <c r="M381" s="41" t="n">
        <f aca="false">D381-L381</f>
        <v>0</v>
      </c>
      <c r="N381" s="42" t="n">
        <f aca="false">K381-G381</f>
        <v>0</v>
      </c>
      <c r="O381" s="78"/>
      <c r="P381" s="79"/>
      <c r="Q381" s="16" t="str">
        <f aca="false">IF(K381=0,"",IF(R381=1,"Pagada",IF(C381&lt;$F$12,"Vencida",IF(355=$F$13,"Próxima","Pendiente"))))</f>
        <v/>
      </c>
      <c r="R381" s="62" t="n">
        <f aca="false">IF(AND(K381&gt;0,OR(O381="Sí",O381="Si")),1,0)</f>
        <v>0</v>
      </c>
      <c r="S381" s="62" t="n">
        <f aca="false">IF(AND(K381&gt;0,R381=0),1,0)</f>
        <v>0</v>
      </c>
    </row>
    <row r="382" customFormat="false" ht="15" hidden="false" customHeight="false" outlineLevel="0" collapsed="false">
      <c r="B382" s="71" t="str">
        <f aca="false">IF($F$6="Sí",N($C$11)+355,"")</f>
        <v/>
      </c>
      <c r="C382" s="72" t="str">
        <f aca="false">IF(OR($F$6&lt;&gt;"Sí",D382&lt;=0.5),"",EDATE($C$10,355))</f>
        <v/>
      </c>
      <c r="D382" s="41" t="n">
        <f aca="false">MAX(0,M381)</f>
        <v>0</v>
      </c>
      <c r="E382" s="41" t="n">
        <f aca="false">D382*$F$7</f>
        <v>0</v>
      </c>
      <c r="F382" s="41" t="n">
        <f aca="false">IF(D382&gt;0.5,N($C$15),0)</f>
        <v>0</v>
      </c>
      <c r="G382" s="41" t="n">
        <f aca="false">IF(AND(D382&gt;0.5,N($C$19)&gt;0,N(B382)&lt;=N($C$20)),D382*$F$8,0)</f>
        <v>0</v>
      </c>
      <c r="H382" s="41" t="n">
        <f aca="false">IF(D382&lt;=0.5,0,MIN(IF(N(I382)&gt;0,I382,$F$9),D382+E382+F382))</f>
        <v>0</v>
      </c>
      <c r="I382" s="77"/>
      <c r="J382" s="77"/>
      <c r="K382" s="41" t="n">
        <f aca="false">IF(D382&lt;=0.5,0,MIN(H382+N(J382),D382+E382+F382))</f>
        <v>0</v>
      </c>
      <c r="L382" s="41" t="n">
        <f aca="false">K382-E382-F382</f>
        <v>0</v>
      </c>
      <c r="M382" s="41" t="n">
        <f aca="false">D382-L382</f>
        <v>0</v>
      </c>
      <c r="N382" s="42" t="n">
        <f aca="false">K382-G382</f>
        <v>0</v>
      </c>
      <c r="O382" s="78"/>
      <c r="P382" s="79"/>
      <c r="Q382" s="16" t="str">
        <f aca="false">IF(K382=0,"",IF(R382=1,"Pagada",IF(C382&lt;$F$12,"Vencida",IF(356=$F$13,"Próxima","Pendiente"))))</f>
        <v/>
      </c>
      <c r="R382" s="62" t="n">
        <f aca="false">IF(AND(K382&gt;0,OR(O382="Sí",O382="Si")),1,0)</f>
        <v>0</v>
      </c>
      <c r="S382" s="62" t="n">
        <f aca="false">IF(AND(K382&gt;0,R382=0),1,0)</f>
        <v>0</v>
      </c>
    </row>
    <row r="383" customFormat="false" ht="15" hidden="false" customHeight="false" outlineLevel="0" collapsed="false">
      <c r="B383" s="71" t="str">
        <f aca="false">IF($F$6="Sí",N($C$11)+356,"")</f>
        <v/>
      </c>
      <c r="C383" s="72" t="str">
        <f aca="false">IF(OR($F$6&lt;&gt;"Sí",D383&lt;=0.5),"",EDATE($C$10,356))</f>
        <v/>
      </c>
      <c r="D383" s="41" t="n">
        <f aca="false">MAX(0,M382)</f>
        <v>0</v>
      </c>
      <c r="E383" s="41" t="n">
        <f aca="false">D383*$F$7</f>
        <v>0</v>
      </c>
      <c r="F383" s="41" t="n">
        <f aca="false">IF(D383&gt;0.5,N($C$15),0)</f>
        <v>0</v>
      </c>
      <c r="G383" s="41" t="n">
        <f aca="false">IF(AND(D383&gt;0.5,N($C$19)&gt;0,N(B383)&lt;=N($C$20)),D383*$F$8,0)</f>
        <v>0</v>
      </c>
      <c r="H383" s="41" t="n">
        <f aca="false">IF(D383&lt;=0.5,0,MIN(IF(N(I383)&gt;0,I383,$F$9),D383+E383+F383))</f>
        <v>0</v>
      </c>
      <c r="I383" s="77"/>
      <c r="J383" s="77"/>
      <c r="K383" s="41" t="n">
        <f aca="false">IF(D383&lt;=0.5,0,MIN(H383+N(J383),D383+E383+F383))</f>
        <v>0</v>
      </c>
      <c r="L383" s="41" t="n">
        <f aca="false">K383-E383-F383</f>
        <v>0</v>
      </c>
      <c r="M383" s="41" t="n">
        <f aca="false">D383-L383</f>
        <v>0</v>
      </c>
      <c r="N383" s="42" t="n">
        <f aca="false">K383-G383</f>
        <v>0</v>
      </c>
      <c r="O383" s="78"/>
      <c r="P383" s="79"/>
      <c r="Q383" s="16" t="str">
        <f aca="false">IF(K383=0,"",IF(R383=1,"Pagada",IF(C383&lt;$F$12,"Vencida",IF(357=$F$13,"Próxima","Pendiente"))))</f>
        <v/>
      </c>
      <c r="R383" s="62" t="n">
        <f aca="false">IF(AND(K383&gt;0,OR(O383="Sí",O383="Si")),1,0)</f>
        <v>0</v>
      </c>
      <c r="S383" s="62" t="n">
        <f aca="false">IF(AND(K383&gt;0,R383=0),1,0)</f>
        <v>0</v>
      </c>
    </row>
    <row r="384" customFormat="false" ht="15" hidden="false" customHeight="false" outlineLevel="0" collapsed="false">
      <c r="B384" s="71" t="str">
        <f aca="false">IF($F$6="Sí",N($C$11)+357,"")</f>
        <v/>
      </c>
      <c r="C384" s="72" t="str">
        <f aca="false">IF(OR($F$6&lt;&gt;"Sí",D384&lt;=0.5),"",EDATE($C$10,357))</f>
        <v/>
      </c>
      <c r="D384" s="41" t="n">
        <f aca="false">MAX(0,M383)</f>
        <v>0</v>
      </c>
      <c r="E384" s="41" t="n">
        <f aca="false">D384*$F$7</f>
        <v>0</v>
      </c>
      <c r="F384" s="41" t="n">
        <f aca="false">IF(D384&gt;0.5,N($C$15),0)</f>
        <v>0</v>
      </c>
      <c r="G384" s="41" t="n">
        <f aca="false">IF(AND(D384&gt;0.5,N($C$19)&gt;0,N(B384)&lt;=N($C$20)),D384*$F$8,0)</f>
        <v>0</v>
      </c>
      <c r="H384" s="41" t="n">
        <f aca="false">IF(D384&lt;=0.5,0,MIN(IF(N(I384)&gt;0,I384,$F$9),D384+E384+F384))</f>
        <v>0</v>
      </c>
      <c r="I384" s="77"/>
      <c r="J384" s="77"/>
      <c r="K384" s="41" t="n">
        <f aca="false">IF(D384&lt;=0.5,0,MIN(H384+N(J384),D384+E384+F384))</f>
        <v>0</v>
      </c>
      <c r="L384" s="41" t="n">
        <f aca="false">K384-E384-F384</f>
        <v>0</v>
      </c>
      <c r="M384" s="41" t="n">
        <f aca="false">D384-L384</f>
        <v>0</v>
      </c>
      <c r="N384" s="42" t="n">
        <f aca="false">K384-G384</f>
        <v>0</v>
      </c>
      <c r="O384" s="78"/>
      <c r="P384" s="79"/>
      <c r="Q384" s="16" t="str">
        <f aca="false">IF(K384=0,"",IF(R384=1,"Pagada",IF(C384&lt;$F$12,"Vencida",IF(358=$F$13,"Próxima","Pendiente"))))</f>
        <v/>
      </c>
      <c r="R384" s="62" t="n">
        <f aca="false">IF(AND(K384&gt;0,OR(O384="Sí",O384="Si")),1,0)</f>
        <v>0</v>
      </c>
      <c r="S384" s="62" t="n">
        <f aca="false">IF(AND(K384&gt;0,R384=0),1,0)</f>
        <v>0</v>
      </c>
    </row>
    <row r="385" customFormat="false" ht="15" hidden="false" customHeight="false" outlineLevel="0" collapsed="false">
      <c r="B385" s="71" t="str">
        <f aca="false">IF($F$6="Sí",N($C$11)+358,"")</f>
        <v/>
      </c>
      <c r="C385" s="72" t="str">
        <f aca="false">IF(OR($F$6&lt;&gt;"Sí",D385&lt;=0.5),"",EDATE($C$10,358))</f>
        <v/>
      </c>
      <c r="D385" s="41" t="n">
        <f aca="false">MAX(0,M384)</f>
        <v>0</v>
      </c>
      <c r="E385" s="41" t="n">
        <f aca="false">D385*$F$7</f>
        <v>0</v>
      </c>
      <c r="F385" s="41" t="n">
        <f aca="false">IF(D385&gt;0.5,N($C$15),0)</f>
        <v>0</v>
      </c>
      <c r="G385" s="41" t="n">
        <f aca="false">IF(AND(D385&gt;0.5,N($C$19)&gt;0,N(B385)&lt;=N($C$20)),D385*$F$8,0)</f>
        <v>0</v>
      </c>
      <c r="H385" s="41" t="n">
        <f aca="false">IF(D385&lt;=0.5,0,MIN(IF(N(I385)&gt;0,I385,$F$9),D385+E385+F385))</f>
        <v>0</v>
      </c>
      <c r="I385" s="77"/>
      <c r="J385" s="77"/>
      <c r="K385" s="41" t="n">
        <f aca="false">IF(D385&lt;=0.5,0,MIN(H385+N(J385),D385+E385+F385))</f>
        <v>0</v>
      </c>
      <c r="L385" s="41" t="n">
        <f aca="false">K385-E385-F385</f>
        <v>0</v>
      </c>
      <c r="M385" s="41" t="n">
        <f aca="false">D385-L385</f>
        <v>0</v>
      </c>
      <c r="N385" s="42" t="n">
        <f aca="false">K385-G385</f>
        <v>0</v>
      </c>
      <c r="O385" s="78"/>
      <c r="P385" s="79"/>
      <c r="Q385" s="16" t="str">
        <f aca="false">IF(K385=0,"",IF(R385=1,"Pagada",IF(C385&lt;$F$12,"Vencida",IF(359=$F$13,"Próxima","Pendiente"))))</f>
        <v/>
      </c>
      <c r="R385" s="62" t="n">
        <f aca="false">IF(AND(K385&gt;0,OR(O385="Sí",O385="Si")),1,0)</f>
        <v>0</v>
      </c>
      <c r="S385" s="62" t="n">
        <f aca="false">IF(AND(K385&gt;0,R385=0),1,0)</f>
        <v>0</v>
      </c>
    </row>
    <row r="386" customFormat="false" ht="15" hidden="false" customHeight="false" outlineLevel="0" collapsed="false">
      <c r="B386" s="71" t="str">
        <f aca="false">IF($F$6="Sí",N($C$11)+359,"")</f>
        <v/>
      </c>
      <c r="C386" s="72" t="str">
        <f aca="false">IF(OR($F$6&lt;&gt;"Sí",D386&lt;=0.5),"",EDATE($C$10,359))</f>
        <v/>
      </c>
      <c r="D386" s="41" t="n">
        <f aca="false">MAX(0,M385)</f>
        <v>0</v>
      </c>
      <c r="E386" s="41" t="n">
        <f aca="false">D386*$F$7</f>
        <v>0</v>
      </c>
      <c r="F386" s="41" t="n">
        <f aca="false">IF(D386&gt;0.5,N($C$15),0)</f>
        <v>0</v>
      </c>
      <c r="G386" s="41" t="n">
        <f aca="false">IF(AND(D386&gt;0.5,N($C$19)&gt;0,N(B386)&lt;=N($C$20)),D386*$F$8,0)</f>
        <v>0</v>
      </c>
      <c r="H386" s="41" t="n">
        <f aca="false">IF(D386&lt;=0.5,0,MIN(IF(N(I386)&gt;0,I386,$F$9),D386+E386+F386))</f>
        <v>0</v>
      </c>
      <c r="I386" s="77"/>
      <c r="J386" s="77"/>
      <c r="K386" s="41" t="n">
        <f aca="false">IF(D386&lt;=0.5,0,MIN(H386+N(J386),D386+E386+F386))</f>
        <v>0</v>
      </c>
      <c r="L386" s="41" t="n">
        <f aca="false">K386-E386-F386</f>
        <v>0</v>
      </c>
      <c r="M386" s="41" t="n">
        <f aca="false">D386-L386</f>
        <v>0</v>
      </c>
      <c r="N386" s="42" t="n">
        <f aca="false">K386-G386</f>
        <v>0</v>
      </c>
      <c r="O386" s="78"/>
      <c r="P386" s="79"/>
      <c r="Q386" s="16" t="str">
        <f aca="false">IF(K386=0,"",IF(R386=1,"Pagada",IF(C386&lt;$F$12,"Vencida",IF(360=$F$13,"Próxima","Pendiente"))))</f>
        <v/>
      </c>
      <c r="R386" s="62" t="n">
        <f aca="false">IF(AND(K386&gt;0,OR(O386="Sí",O386="Si")),1,0)</f>
        <v>0</v>
      </c>
      <c r="S386" s="62" t="n">
        <f aca="false">IF(AND(K386&gt;0,R386=0),1,0)</f>
        <v>0</v>
      </c>
    </row>
  </sheetData>
  <conditionalFormatting sqref="B27:Q386">
    <cfRule type="expression" priority="2" aboveAverage="0" equalAverage="0" bottom="0" percent="0" rank="0" text="" dxfId="5">
      <formula>$Q27="Pagada"</formula>
    </cfRule>
    <cfRule type="expression" priority="3" aboveAverage="0" equalAverage="0" bottom="0" percent="0" rank="0" text="" dxfId="3">
      <formula>$Q27="Vencida"</formula>
    </cfRule>
    <cfRule type="expression" priority="4" aboveAverage="0" equalAverage="0" bottom="0" percent="0" rank="0" text="" dxfId="6">
      <formula>$Q27="Próxima"</formula>
    </cfRule>
  </conditionalFormatting>
  <dataValidations count="3">
    <dataValidation allowBlank="true" error="Elige un valor de la lista." errorStyle="stop" errorTitle="Valor no válido" operator="between" showDropDown="false" showErrorMessage="true" showInputMessage="false" sqref="C8" type="list">
      <formula1>Listas!$A$2:$A$8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C17" type="list">
      <formula1>Listas!$B$2:$B$3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O27:O386" type="list">
      <formula1>Listas!$B$2:$B$3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04A"/>
    <pageSetUpPr fitToPage="true"/>
  </sheetPr>
  <dimension ref="B1:S38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26" topLeftCell="C27" activePane="bottomRight" state="frozen"/>
      <selection pane="topLeft" activeCell="A1" activeCellId="0" sqref="A1"/>
      <selection pane="topRight" activeCell="C1" activeCellId="0" sqref="C1"/>
      <selection pane="bottomLeft" activeCell="A27" activeCellId="0" sqref="A2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4" min="3" style="0" width="15"/>
    <col collapsed="false" customWidth="true" hidden="false" outlineLevel="0" max="5" min="5" style="0" width="30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34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2" min="11" style="0" width="14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5" min="15" style="0" width="9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9" min="18" style="0" width="5"/>
  </cols>
  <sheetData>
    <row r="1" customFormat="false" ht="19.7" hidden="false" customHeight="false" outlineLevel="0" collapsed="false">
      <c r="B1" s="19" t="str">
        <f aca="false">IF(C6="","Crédito 4: sin datos","Crédito 4: "&amp;C6)</f>
        <v>Crédito 4: sin datos</v>
      </c>
    </row>
    <row r="2" customFormat="false" ht="15" hidden="false" customHeight="false" outlineLevel="0" collapsed="false">
      <c r="B2" s="20" t="s">
        <v>161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5" customFormat="false" ht="15" hidden="false" customHeight="false" outlineLevel="0" collapsed="false">
      <c r="B5" s="7" t="s">
        <v>162</v>
      </c>
      <c r="C5" s="8"/>
      <c r="E5" s="7" t="s">
        <v>163</v>
      </c>
      <c r="F5" s="8"/>
      <c r="H5" s="7" t="s">
        <v>164</v>
      </c>
      <c r="I5" s="8"/>
    </row>
    <row r="6" customFormat="false" ht="15" hidden="false" customHeight="false" outlineLevel="0" collapsed="false">
      <c r="B6" s="16" t="s">
        <v>165</v>
      </c>
      <c r="C6" s="15"/>
      <c r="E6" s="16" t="s">
        <v>166</v>
      </c>
      <c r="F6" s="16" t="str">
        <f aca="false">IF(AND(C6&lt;&gt;"",N(C9)&gt;0,ISNUMBER(C10)),"Sí","No")</f>
        <v>No</v>
      </c>
      <c r="H6" s="28" t="s">
        <v>46</v>
      </c>
      <c r="I6" s="42" t="n">
        <f aca="false">IF($F$6&lt;&gt;"Sí",0,MAX(0,$C$9-SUMIFS(L27:L386,R27:R386,1)))</f>
        <v>0</v>
      </c>
    </row>
    <row r="7" customFormat="false" ht="15" hidden="false" customHeight="false" outlineLevel="0" collapsed="false">
      <c r="B7" s="16" t="s">
        <v>167</v>
      </c>
      <c r="C7" s="15"/>
      <c r="E7" s="16" t="s">
        <v>130</v>
      </c>
      <c r="F7" s="70" t="n">
        <f aca="false">(1+N(C13))^(1/12)-1</f>
        <v>0</v>
      </c>
      <c r="H7" s="16" t="s">
        <v>168</v>
      </c>
      <c r="I7" s="71" t="n">
        <f aca="false">SUM(R27:R386)</f>
        <v>0</v>
      </c>
    </row>
    <row r="8" customFormat="false" ht="15" hidden="false" customHeight="false" outlineLevel="0" collapsed="false">
      <c r="B8" s="16" t="s">
        <v>91</v>
      </c>
      <c r="C8" s="15"/>
      <c r="E8" s="16" t="s">
        <v>169</v>
      </c>
      <c r="F8" s="70" t="n">
        <f aca="false">IF(N(C19)=0,0,F7-((1+MAX(0,N(C13)-C19))^(1/12)-1))</f>
        <v>0</v>
      </c>
      <c r="H8" s="16" t="s">
        <v>170</v>
      </c>
      <c r="I8" s="71" t="str">
        <f aca="false">IF($F$13=0,"",INDEX(B27:B386,$F$13))</f>
        <v/>
      </c>
    </row>
    <row r="9" customFormat="false" ht="15" hidden="false" customHeight="false" outlineLevel="0" collapsed="false">
      <c r="B9" s="16" t="s">
        <v>171</v>
      </c>
      <c r="C9" s="53"/>
      <c r="E9" s="16" t="s">
        <v>172</v>
      </c>
      <c r="F9" s="41" t="n">
        <f aca="false">IF(N(C14)&gt;0,C14,IF(AND(N(C12)&gt;0,N(C9)&gt;0,N(C12)-N(C11)+1&gt;0),IF(F7=0,C9/(C12-N(C11)+1),PMT(F7,C12-N(C11)+1,-C9))+N(C15),0))</f>
        <v>0</v>
      </c>
      <c r="H9" s="16" t="s">
        <v>173</v>
      </c>
      <c r="I9" s="72" t="str">
        <f aca="false">IF($F$13=0,"",INDEX(C27:C386,$F$13))</f>
        <v/>
      </c>
    </row>
    <row r="10" customFormat="false" ht="15" hidden="false" customHeight="false" outlineLevel="0" collapsed="false">
      <c r="B10" s="16" t="s">
        <v>174</v>
      </c>
      <c r="C10" s="46"/>
      <c r="E10" s="16" t="s">
        <v>175</v>
      </c>
      <c r="F10" s="71" t="str">
        <f aca="false">IF(ISNUMBER(C10),DAY(C10),"")</f>
        <v/>
      </c>
      <c r="H10" s="28" t="s">
        <v>176</v>
      </c>
      <c r="I10" s="42" t="n">
        <f aca="false">IF($F$13=0,0,INDEX(N27:N386,$F$13))</f>
        <v>0</v>
      </c>
    </row>
    <row r="11" customFormat="false" ht="15" hidden="false" customHeight="false" outlineLevel="0" collapsed="false">
      <c r="B11" s="16" t="s">
        <v>177</v>
      </c>
      <c r="C11" s="73" t="n">
        <v>1</v>
      </c>
      <c r="E11" s="16" t="s">
        <v>178</v>
      </c>
      <c r="F11" s="72" t="str">
        <f aca="false">IF(OR(C17="No",N(C18)=0,NOT(ISNUMBER(C10))),"",EDATE(C10,C18-N(C11)))</f>
        <v/>
      </c>
      <c r="H11" s="16" t="s">
        <v>49</v>
      </c>
      <c r="I11" s="71" t="n">
        <f aca="false">SUM(S27:S386)</f>
        <v>0</v>
      </c>
    </row>
    <row r="12" customFormat="false" ht="15" hidden="false" customHeight="false" outlineLevel="0" collapsed="false">
      <c r="B12" s="16" t="s">
        <v>179</v>
      </c>
      <c r="C12" s="73"/>
      <c r="E12" s="16" t="s">
        <v>100</v>
      </c>
      <c r="F12" s="72" t="n">
        <f aca="false">Datos!$C$7</f>
        <v>46290</v>
      </c>
      <c r="H12" s="16" t="s">
        <v>50</v>
      </c>
      <c r="I12" s="72" t="str">
        <f aca="false">IF($F$6&lt;&gt;"Sí","",IF(M386&gt;0.5,"Más de 360 cuotas",_xlfn.MAXIFS(C27:C386,K27:K386,"&gt;0")))</f>
        <v/>
      </c>
    </row>
    <row r="13" customFormat="false" ht="15" hidden="false" customHeight="false" outlineLevel="0" collapsed="false">
      <c r="B13" s="16" t="s">
        <v>180</v>
      </c>
      <c r="C13" s="74"/>
      <c r="E13" s="16" t="s">
        <v>181</v>
      </c>
      <c r="F13" s="71" t="n">
        <f aca="false">IFERROR(MATCH(1,S27:S386,0),0)</f>
        <v>0</v>
      </c>
      <c r="H13" s="16" t="s">
        <v>51</v>
      </c>
      <c r="I13" s="41" t="n">
        <f aca="false">SUMIFS(E27:E386,S27:S386,1)</f>
        <v>0</v>
      </c>
    </row>
    <row r="14" customFormat="false" ht="15" hidden="false" customHeight="false" outlineLevel="0" collapsed="false">
      <c r="B14" s="16" t="s">
        <v>182</v>
      </c>
      <c r="C14" s="53"/>
      <c r="E14" s="18" t="s">
        <v>183</v>
      </c>
      <c r="H14" s="16" t="s">
        <v>184</v>
      </c>
      <c r="I14" s="41" t="n">
        <f aca="false">SUMIFS(N27:N386,S27:S386,1)</f>
        <v>0</v>
      </c>
    </row>
    <row r="15" customFormat="false" ht="15" hidden="false" customHeight="false" outlineLevel="0" collapsed="false">
      <c r="B15" s="16" t="s">
        <v>185</v>
      </c>
      <c r="C15" s="53" t="n">
        <v>0</v>
      </c>
      <c r="H15" s="16" t="s">
        <v>186</v>
      </c>
      <c r="I15" s="75" t="n">
        <f aca="false">IF($F$6&lt;&gt;"Sí",0,IF(N(C16)&gt;0,1-I6/C16,IF(N(C9)&gt;0,1-I6/C9,0)))</f>
        <v>0</v>
      </c>
    </row>
    <row r="16" customFormat="false" ht="15" hidden="false" customHeight="false" outlineLevel="0" collapsed="false">
      <c r="B16" s="16" t="s">
        <v>187</v>
      </c>
      <c r="C16" s="53"/>
      <c r="H16" s="16" t="s">
        <v>188</v>
      </c>
      <c r="I16" s="75" t="str">
        <f aca="false">IF(N(C12)=0,"",(N(C11)-1+I7)/C12)</f>
        <v/>
      </c>
    </row>
    <row r="17" customFormat="false" ht="15" hidden="false" customHeight="false" outlineLevel="0" collapsed="false">
      <c r="B17" s="16" t="s">
        <v>94</v>
      </c>
      <c r="C17" s="15" t="s">
        <v>189</v>
      </c>
      <c r="H17" s="16" t="s">
        <v>42</v>
      </c>
      <c r="I17" s="71" t="n">
        <f aca="false">COUNTIFS(S27:S386,1,C27:C386,"&lt;"&amp;$F$12)</f>
        <v>0</v>
      </c>
    </row>
    <row r="18" customFormat="false" ht="15" hidden="false" customHeight="false" outlineLevel="0" collapsed="false">
      <c r="B18" s="16" t="s">
        <v>190</v>
      </c>
      <c r="C18" s="73"/>
      <c r="H18" s="16" t="s">
        <v>191</v>
      </c>
      <c r="I18" s="41" t="n">
        <f aca="false">F9</f>
        <v>0</v>
      </c>
    </row>
    <row r="19" customFormat="false" ht="15" hidden="false" customHeight="false" outlineLevel="0" collapsed="false">
      <c r="B19" s="16" t="s">
        <v>192</v>
      </c>
      <c r="C19" s="74"/>
      <c r="H19" s="28" t="s">
        <v>54</v>
      </c>
      <c r="I19" s="28" t="str">
        <f aca="false">IF(F6&lt;&gt;"Sí","Sin datos",IF(I17&gt;0,"Vencidas sin marcar",IF(I11=0,"Pagado","Al día")))</f>
        <v>Sin datos</v>
      </c>
    </row>
    <row r="20" customFormat="false" ht="15" hidden="false" customHeight="false" outlineLevel="0" collapsed="false">
      <c r="B20" s="16" t="s">
        <v>193</v>
      </c>
      <c r="C20" s="73"/>
    </row>
    <row r="21" customFormat="false" ht="15" hidden="false" customHeight="false" outlineLevel="0" collapsed="false">
      <c r="B21" s="7" t="s">
        <v>194</v>
      </c>
      <c r="C21" s="8"/>
      <c r="D21" s="8"/>
      <c r="E21" s="8"/>
      <c r="F21" s="8"/>
      <c r="G21" s="8"/>
    </row>
    <row r="22" customFormat="false" ht="15" hidden="false" customHeight="false" outlineLevel="0" collapsed="false">
      <c r="B22" s="16" t="s">
        <v>195</v>
      </c>
      <c r="C22" s="53"/>
      <c r="E22" s="16" t="s">
        <v>196</v>
      </c>
      <c r="F22" s="76" t="str">
        <f aca="false">IF(OR(I6&lt;=0,F9-N(C15)+N(C22)&lt;=0),"",IFERROR(IF(F7=0,I6/(F9-N(C15)+N(C22)),NPER(F7,-(F9-N(C15)+N(C22)),I6)),"No alcanza"))</f>
        <v/>
      </c>
      <c r="G22" s="41" t="str">
        <f aca="false">IF(OR(F22="",NOT(ISNUMBER(F22))),"",(F9-N(C15)+N(C22))*F22-I6)</f>
        <v/>
      </c>
    </row>
    <row r="23" customFormat="false" ht="15" hidden="false" customHeight="false" outlineLevel="0" collapsed="false">
      <c r="B23" s="16" t="s">
        <v>197</v>
      </c>
      <c r="C23" s="73"/>
      <c r="E23" s="16" t="s">
        <v>198</v>
      </c>
      <c r="F23" s="41" t="str">
        <f aca="false">IF(OR(N(C23)=0,I6&lt;=0),"",IF(F7=0,I6/C23,PMT(F7,C23,-I6))+N(C15))</f>
        <v/>
      </c>
      <c r="G23" s="18" t="s">
        <v>199</v>
      </c>
    </row>
    <row r="25" customFormat="false" ht="15" hidden="false" customHeight="false" outlineLevel="0" collapsed="false">
      <c r="B25" s="18" t="s">
        <v>200</v>
      </c>
    </row>
    <row r="26" customFormat="false" ht="30" hidden="false" customHeight="true" outlineLevel="0" collapsed="false">
      <c r="B26" s="9" t="s">
        <v>201</v>
      </c>
      <c r="C26" s="10" t="s">
        <v>146</v>
      </c>
      <c r="D26" s="10" t="s">
        <v>202</v>
      </c>
      <c r="E26" s="10" t="s">
        <v>203</v>
      </c>
      <c r="F26" s="10" t="s">
        <v>204</v>
      </c>
      <c r="G26" s="10" t="s">
        <v>205</v>
      </c>
      <c r="H26" s="10" t="s">
        <v>206</v>
      </c>
      <c r="I26" s="10" t="s">
        <v>207</v>
      </c>
      <c r="J26" s="10" t="s">
        <v>208</v>
      </c>
      <c r="K26" s="10" t="s">
        <v>209</v>
      </c>
      <c r="L26" s="10" t="s">
        <v>210</v>
      </c>
      <c r="M26" s="10" t="s">
        <v>211</v>
      </c>
      <c r="N26" s="10" t="s">
        <v>212</v>
      </c>
      <c r="O26" s="10" t="s">
        <v>213</v>
      </c>
      <c r="P26" s="10" t="s">
        <v>214</v>
      </c>
      <c r="Q26" s="10" t="s">
        <v>54</v>
      </c>
      <c r="R26" s="10" t="s">
        <v>215</v>
      </c>
      <c r="S26" s="10" t="s">
        <v>215</v>
      </c>
    </row>
    <row r="27" customFormat="false" ht="15" hidden="false" customHeight="false" outlineLevel="0" collapsed="false">
      <c r="B27" s="71" t="str">
        <f aca="false">IF($F$6="Sí",N($C$11)+0,"")</f>
        <v/>
      </c>
      <c r="C27" s="72" t="str">
        <f aca="false">IF(OR($F$6&lt;&gt;"Sí",D27&lt;=0.5),"",EDATE($C$10,0))</f>
        <v/>
      </c>
      <c r="D27" s="41" t="n">
        <f aca="false">IF($F$6="Sí",$C$9,0)</f>
        <v>0</v>
      </c>
      <c r="E27" s="41" t="n">
        <f aca="false">D27*$F$7</f>
        <v>0</v>
      </c>
      <c r="F27" s="41" t="n">
        <f aca="false">IF(D27&gt;0.5,N($C$15),0)</f>
        <v>0</v>
      </c>
      <c r="G27" s="41" t="n">
        <f aca="false">IF(AND(D27&gt;0.5,N($C$19)&gt;0,N(B27)&lt;=N($C$20)),D27*$F$8,0)</f>
        <v>0</v>
      </c>
      <c r="H27" s="41" t="n">
        <f aca="false">IF(D27&lt;=0.5,0,MIN(IF(N(I27)&gt;0,I27,$F$9),D27+E27+F27))</f>
        <v>0</v>
      </c>
      <c r="I27" s="77"/>
      <c r="J27" s="77"/>
      <c r="K27" s="41" t="n">
        <f aca="false">IF(D27&lt;=0.5,0,MIN(H27+N(J27),D27+E27+F27))</f>
        <v>0</v>
      </c>
      <c r="L27" s="41" t="n">
        <f aca="false">K27-E27-F27</f>
        <v>0</v>
      </c>
      <c r="M27" s="41" t="n">
        <f aca="false">D27-L27</f>
        <v>0</v>
      </c>
      <c r="N27" s="42" t="n">
        <f aca="false">K27-G27</f>
        <v>0</v>
      </c>
      <c r="O27" s="78"/>
      <c r="P27" s="79"/>
      <c r="Q27" s="16" t="str">
        <f aca="false">IF(K27=0,"",IF(R27=1,"Pagada",IF(C27&lt;$F$12,"Vencida",IF(1=$F$13,"Próxima","Pendiente"))))</f>
        <v/>
      </c>
      <c r="R27" s="62" t="n">
        <f aca="false">IF(AND(K27&gt;0,OR(O27="Sí",O27="Si")),1,0)</f>
        <v>0</v>
      </c>
      <c r="S27" s="62" t="n">
        <f aca="false">IF(AND(K27&gt;0,R27=0),1,0)</f>
        <v>0</v>
      </c>
    </row>
    <row r="28" customFormat="false" ht="15" hidden="false" customHeight="false" outlineLevel="0" collapsed="false">
      <c r="B28" s="71" t="str">
        <f aca="false">IF($F$6="Sí",N($C$11)+1,"")</f>
        <v/>
      </c>
      <c r="C28" s="72" t="str">
        <f aca="false">IF(OR($F$6&lt;&gt;"Sí",D28&lt;=0.5),"",EDATE($C$10,1))</f>
        <v/>
      </c>
      <c r="D28" s="41" t="n">
        <f aca="false">MAX(0,M27)</f>
        <v>0</v>
      </c>
      <c r="E28" s="41" t="n">
        <f aca="false">D28*$F$7</f>
        <v>0</v>
      </c>
      <c r="F28" s="41" t="n">
        <f aca="false">IF(D28&gt;0.5,N($C$15),0)</f>
        <v>0</v>
      </c>
      <c r="G28" s="41" t="n">
        <f aca="false">IF(AND(D28&gt;0.5,N($C$19)&gt;0,N(B28)&lt;=N($C$20)),D28*$F$8,0)</f>
        <v>0</v>
      </c>
      <c r="H28" s="41" t="n">
        <f aca="false">IF(D28&lt;=0.5,0,MIN(IF(N(I28)&gt;0,I28,$F$9),D28+E28+F28))</f>
        <v>0</v>
      </c>
      <c r="I28" s="77"/>
      <c r="J28" s="77"/>
      <c r="K28" s="41" t="n">
        <f aca="false">IF(D28&lt;=0.5,0,MIN(H28+N(J28),D28+E28+F28))</f>
        <v>0</v>
      </c>
      <c r="L28" s="41" t="n">
        <f aca="false">K28-E28-F28</f>
        <v>0</v>
      </c>
      <c r="M28" s="41" t="n">
        <f aca="false">D28-L28</f>
        <v>0</v>
      </c>
      <c r="N28" s="42" t="n">
        <f aca="false">K28-G28</f>
        <v>0</v>
      </c>
      <c r="O28" s="78"/>
      <c r="P28" s="79"/>
      <c r="Q28" s="16" t="str">
        <f aca="false">IF(K28=0,"",IF(R28=1,"Pagada",IF(C28&lt;$F$12,"Vencida",IF(2=$F$13,"Próxima","Pendiente"))))</f>
        <v/>
      </c>
      <c r="R28" s="62" t="n">
        <f aca="false">IF(AND(K28&gt;0,OR(O28="Sí",O28="Si")),1,0)</f>
        <v>0</v>
      </c>
      <c r="S28" s="62" t="n">
        <f aca="false">IF(AND(K28&gt;0,R28=0),1,0)</f>
        <v>0</v>
      </c>
    </row>
    <row r="29" customFormat="false" ht="15" hidden="false" customHeight="false" outlineLevel="0" collapsed="false">
      <c r="B29" s="71" t="str">
        <f aca="false">IF($F$6="Sí",N($C$11)+2,"")</f>
        <v/>
      </c>
      <c r="C29" s="72" t="str">
        <f aca="false">IF(OR($F$6&lt;&gt;"Sí",D29&lt;=0.5),"",EDATE($C$10,2))</f>
        <v/>
      </c>
      <c r="D29" s="41" t="n">
        <f aca="false">MAX(0,M28)</f>
        <v>0</v>
      </c>
      <c r="E29" s="41" t="n">
        <f aca="false">D29*$F$7</f>
        <v>0</v>
      </c>
      <c r="F29" s="41" t="n">
        <f aca="false">IF(D29&gt;0.5,N($C$15),0)</f>
        <v>0</v>
      </c>
      <c r="G29" s="41" t="n">
        <f aca="false">IF(AND(D29&gt;0.5,N($C$19)&gt;0,N(B29)&lt;=N($C$20)),D29*$F$8,0)</f>
        <v>0</v>
      </c>
      <c r="H29" s="41" t="n">
        <f aca="false">IF(D29&lt;=0.5,0,MIN(IF(N(I29)&gt;0,I29,$F$9),D29+E29+F29))</f>
        <v>0</v>
      </c>
      <c r="I29" s="77"/>
      <c r="J29" s="77"/>
      <c r="K29" s="41" t="n">
        <f aca="false">IF(D29&lt;=0.5,0,MIN(H29+N(J29),D29+E29+F29))</f>
        <v>0</v>
      </c>
      <c r="L29" s="41" t="n">
        <f aca="false">K29-E29-F29</f>
        <v>0</v>
      </c>
      <c r="M29" s="41" t="n">
        <f aca="false">D29-L29</f>
        <v>0</v>
      </c>
      <c r="N29" s="42" t="n">
        <f aca="false">K29-G29</f>
        <v>0</v>
      </c>
      <c r="O29" s="78"/>
      <c r="P29" s="79"/>
      <c r="Q29" s="16" t="str">
        <f aca="false">IF(K29=0,"",IF(R29=1,"Pagada",IF(C29&lt;$F$12,"Vencida",IF(3=$F$13,"Próxima","Pendiente"))))</f>
        <v/>
      </c>
      <c r="R29" s="62" t="n">
        <f aca="false">IF(AND(K29&gt;0,OR(O29="Sí",O29="Si")),1,0)</f>
        <v>0</v>
      </c>
      <c r="S29" s="62" t="n">
        <f aca="false">IF(AND(K29&gt;0,R29=0),1,0)</f>
        <v>0</v>
      </c>
    </row>
    <row r="30" customFormat="false" ht="15" hidden="false" customHeight="false" outlineLevel="0" collapsed="false">
      <c r="B30" s="71" t="str">
        <f aca="false">IF($F$6="Sí",N($C$11)+3,"")</f>
        <v/>
      </c>
      <c r="C30" s="72" t="str">
        <f aca="false">IF(OR($F$6&lt;&gt;"Sí",D30&lt;=0.5),"",EDATE($C$10,3))</f>
        <v/>
      </c>
      <c r="D30" s="41" t="n">
        <f aca="false">MAX(0,M29)</f>
        <v>0</v>
      </c>
      <c r="E30" s="41" t="n">
        <f aca="false">D30*$F$7</f>
        <v>0</v>
      </c>
      <c r="F30" s="41" t="n">
        <f aca="false">IF(D30&gt;0.5,N($C$15),0)</f>
        <v>0</v>
      </c>
      <c r="G30" s="41" t="n">
        <f aca="false">IF(AND(D30&gt;0.5,N($C$19)&gt;0,N(B30)&lt;=N($C$20)),D30*$F$8,0)</f>
        <v>0</v>
      </c>
      <c r="H30" s="41" t="n">
        <f aca="false">IF(D30&lt;=0.5,0,MIN(IF(N(I30)&gt;0,I30,$F$9),D30+E30+F30))</f>
        <v>0</v>
      </c>
      <c r="I30" s="77"/>
      <c r="J30" s="77"/>
      <c r="K30" s="41" t="n">
        <f aca="false">IF(D30&lt;=0.5,0,MIN(H30+N(J30),D30+E30+F30))</f>
        <v>0</v>
      </c>
      <c r="L30" s="41" t="n">
        <f aca="false">K30-E30-F30</f>
        <v>0</v>
      </c>
      <c r="M30" s="41" t="n">
        <f aca="false">D30-L30</f>
        <v>0</v>
      </c>
      <c r="N30" s="42" t="n">
        <f aca="false">K30-G30</f>
        <v>0</v>
      </c>
      <c r="O30" s="78"/>
      <c r="P30" s="79"/>
      <c r="Q30" s="16" t="str">
        <f aca="false">IF(K30=0,"",IF(R30=1,"Pagada",IF(C30&lt;$F$12,"Vencida",IF(4=$F$13,"Próxima","Pendiente"))))</f>
        <v/>
      </c>
      <c r="R30" s="62" t="n">
        <f aca="false">IF(AND(K30&gt;0,OR(O30="Sí",O30="Si")),1,0)</f>
        <v>0</v>
      </c>
      <c r="S30" s="62" t="n">
        <f aca="false">IF(AND(K30&gt;0,R30=0),1,0)</f>
        <v>0</v>
      </c>
    </row>
    <row r="31" customFormat="false" ht="15" hidden="false" customHeight="false" outlineLevel="0" collapsed="false">
      <c r="B31" s="71" t="str">
        <f aca="false">IF($F$6="Sí",N($C$11)+4,"")</f>
        <v/>
      </c>
      <c r="C31" s="72" t="str">
        <f aca="false">IF(OR($F$6&lt;&gt;"Sí",D31&lt;=0.5),"",EDATE($C$10,4))</f>
        <v/>
      </c>
      <c r="D31" s="41" t="n">
        <f aca="false">MAX(0,M30)</f>
        <v>0</v>
      </c>
      <c r="E31" s="41" t="n">
        <f aca="false">D31*$F$7</f>
        <v>0</v>
      </c>
      <c r="F31" s="41" t="n">
        <f aca="false">IF(D31&gt;0.5,N($C$15),0)</f>
        <v>0</v>
      </c>
      <c r="G31" s="41" t="n">
        <f aca="false">IF(AND(D31&gt;0.5,N($C$19)&gt;0,N(B31)&lt;=N($C$20)),D31*$F$8,0)</f>
        <v>0</v>
      </c>
      <c r="H31" s="41" t="n">
        <f aca="false">IF(D31&lt;=0.5,0,MIN(IF(N(I31)&gt;0,I31,$F$9),D31+E31+F31))</f>
        <v>0</v>
      </c>
      <c r="I31" s="77"/>
      <c r="J31" s="77"/>
      <c r="K31" s="41" t="n">
        <f aca="false">IF(D31&lt;=0.5,0,MIN(H31+N(J31),D31+E31+F31))</f>
        <v>0</v>
      </c>
      <c r="L31" s="41" t="n">
        <f aca="false">K31-E31-F31</f>
        <v>0</v>
      </c>
      <c r="M31" s="41" t="n">
        <f aca="false">D31-L31</f>
        <v>0</v>
      </c>
      <c r="N31" s="42" t="n">
        <f aca="false">K31-G31</f>
        <v>0</v>
      </c>
      <c r="O31" s="78"/>
      <c r="P31" s="79"/>
      <c r="Q31" s="16" t="str">
        <f aca="false">IF(K31=0,"",IF(R31=1,"Pagada",IF(C31&lt;$F$12,"Vencida",IF(5=$F$13,"Próxima","Pendiente"))))</f>
        <v/>
      </c>
      <c r="R31" s="62" t="n">
        <f aca="false">IF(AND(K31&gt;0,OR(O31="Sí",O31="Si")),1,0)</f>
        <v>0</v>
      </c>
      <c r="S31" s="62" t="n">
        <f aca="false">IF(AND(K31&gt;0,R31=0),1,0)</f>
        <v>0</v>
      </c>
    </row>
    <row r="32" customFormat="false" ht="15" hidden="false" customHeight="false" outlineLevel="0" collapsed="false">
      <c r="B32" s="71" t="str">
        <f aca="false">IF($F$6="Sí",N($C$11)+5,"")</f>
        <v/>
      </c>
      <c r="C32" s="72" t="str">
        <f aca="false">IF(OR($F$6&lt;&gt;"Sí",D32&lt;=0.5),"",EDATE($C$10,5))</f>
        <v/>
      </c>
      <c r="D32" s="41" t="n">
        <f aca="false">MAX(0,M31)</f>
        <v>0</v>
      </c>
      <c r="E32" s="41" t="n">
        <f aca="false">D32*$F$7</f>
        <v>0</v>
      </c>
      <c r="F32" s="41" t="n">
        <f aca="false">IF(D32&gt;0.5,N($C$15),0)</f>
        <v>0</v>
      </c>
      <c r="G32" s="41" t="n">
        <f aca="false">IF(AND(D32&gt;0.5,N($C$19)&gt;0,N(B32)&lt;=N($C$20)),D32*$F$8,0)</f>
        <v>0</v>
      </c>
      <c r="H32" s="41" t="n">
        <f aca="false">IF(D32&lt;=0.5,0,MIN(IF(N(I32)&gt;0,I32,$F$9),D32+E32+F32))</f>
        <v>0</v>
      </c>
      <c r="I32" s="77"/>
      <c r="J32" s="77"/>
      <c r="K32" s="41" t="n">
        <f aca="false">IF(D32&lt;=0.5,0,MIN(H32+N(J32),D32+E32+F32))</f>
        <v>0</v>
      </c>
      <c r="L32" s="41" t="n">
        <f aca="false">K32-E32-F32</f>
        <v>0</v>
      </c>
      <c r="M32" s="41" t="n">
        <f aca="false">D32-L32</f>
        <v>0</v>
      </c>
      <c r="N32" s="42" t="n">
        <f aca="false">K32-G32</f>
        <v>0</v>
      </c>
      <c r="O32" s="78"/>
      <c r="P32" s="79"/>
      <c r="Q32" s="16" t="str">
        <f aca="false">IF(K32=0,"",IF(R32=1,"Pagada",IF(C32&lt;$F$12,"Vencida",IF(6=$F$13,"Próxima","Pendiente"))))</f>
        <v/>
      </c>
      <c r="R32" s="62" t="n">
        <f aca="false">IF(AND(K32&gt;0,OR(O32="Sí",O32="Si")),1,0)</f>
        <v>0</v>
      </c>
      <c r="S32" s="62" t="n">
        <f aca="false">IF(AND(K32&gt;0,R32=0),1,0)</f>
        <v>0</v>
      </c>
    </row>
    <row r="33" customFormat="false" ht="15" hidden="false" customHeight="false" outlineLevel="0" collapsed="false">
      <c r="B33" s="71" t="str">
        <f aca="false">IF($F$6="Sí",N($C$11)+6,"")</f>
        <v/>
      </c>
      <c r="C33" s="72" t="str">
        <f aca="false">IF(OR($F$6&lt;&gt;"Sí",D33&lt;=0.5),"",EDATE($C$10,6))</f>
        <v/>
      </c>
      <c r="D33" s="41" t="n">
        <f aca="false">MAX(0,M32)</f>
        <v>0</v>
      </c>
      <c r="E33" s="41" t="n">
        <f aca="false">D33*$F$7</f>
        <v>0</v>
      </c>
      <c r="F33" s="41" t="n">
        <f aca="false">IF(D33&gt;0.5,N($C$15),0)</f>
        <v>0</v>
      </c>
      <c r="G33" s="41" t="n">
        <f aca="false">IF(AND(D33&gt;0.5,N($C$19)&gt;0,N(B33)&lt;=N($C$20)),D33*$F$8,0)</f>
        <v>0</v>
      </c>
      <c r="H33" s="41" t="n">
        <f aca="false">IF(D33&lt;=0.5,0,MIN(IF(N(I33)&gt;0,I33,$F$9),D33+E33+F33))</f>
        <v>0</v>
      </c>
      <c r="I33" s="77"/>
      <c r="J33" s="77"/>
      <c r="K33" s="41" t="n">
        <f aca="false">IF(D33&lt;=0.5,0,MIN(H33+N(J33),D33+E33+F33))</f>
        <v>0</v>
      </c>
      <c r="L33" s="41" t="n">
        <f aca="false">K33-E33-F33</f>
        <v>0</v>
      </c>
      <c r="M33" s="41" t="n">
        <f aca="false">D33-L33</f>
        <v>0</v>
      </c>
      <c r="N33" s="42" t="n">
        <f aca="false">K33-G33</f>
        <v>0</v>
      </c>
      <c r="O33" s="78"/>
      <c r="P33" s="79"/>
      <c r="Q33" s="16" t="str">
        <f aca="false">IF(K33=0,"",IF(R33=1,"Pagada",IF(C33&lt;$F$12,"Vencida",IF(7=$F$13,"Próxima","Pendiente"))))</f>
        <v/>
      </c>
      <c r="R33" s="62" t="n">
        <f aca="false">IF(AND(K33&gt;0,OR(O33="Sí",O33="Si")),1,0)</f>
        <v>0</v>
      </c>
      <c r="S33" s="62" t="n">
        <f aca="false">IF(AND(K33&gt;0,R33=0),1,0)</f>
        <v>0</v>
      </c>
    </row>
    <row r="34" customFormat="false" ht="15" hidden="false" customHeight="false" outlineLevel="0" collapsed="false">
      <c r="B34" s="71" t="str">
        <f aca="false">IF($F$6="Sí",N($C$11)+7,"")</f>
        <v/>
      </c>
      <c r="C34" s="72" t="str">
        <f aca="false">IF(OR($F$6&lt;&gt;"Sí",D34&lt;=0.5),"",EDATE($C$10,7))</f>
        <v/>
      </c>
      <c r="D34" s="41" t="n">
        <f aca="false">MAX(0,M33)</f>
        <v>0</v>
      </c>
      <c r="E34" s="41" t="n">
        <f aca="false">D34*$F$7</f>
        <v>0</v>
      </c>
      <c r="F34" s="41" t="n">
        <f aca="false">IF(D34&gt;0.5,N($C$15),0)</f>
        <v>0</v>
      </c>
      <c r="G34" s="41" t="n">
        <f aca="false">IF(AND(D34&gt;0.5,N($C$19)&gt;0,N(B34)&lt;=N($C$20)),D34*$F$8,0)</f>
        <v>0</v>
      </c>
      <c r="H34" s="41" t="n">
        <f aca="false">IF(D34&lt;=0.5,0,MIN(IF(N(I34)&gt;0,I34,$F$9),D34+E34+F34))</f>
        <v>0</v>
      </c>
      <c r="I34" s="77"/>
      <c r="J34" s="77"/>
      <c r="K34" s="41" t="n">
        <f aca="false">IF(D34&lt;=0.5,0,MIN(H34+N(J34),D34+E34+F34))</f>
        <v>0</v>
      </c>
      <c r="L34" s="41" t="n">
        <f aca="false">K34-E34-F34</f>
        <v>0</v>
      </c>
      <c r="M34" s="41" t="n">
        <f aca="false">D34-L34</f>
        <v>0</v>
      </c>
      <c r="N34" s="42" t="n">
        <f aca="false">K34-G34</f>
        <v>0</v>
      </c>
      <c r="O34" s="78"/>
      <c r="P34" s="79"/>
      <c r="Q34" s="16" t="str">
        <f aca="false">IF(K34=0,"",IF(R34=1,"Pagada",IF(C34&lt;$F$12,"Vencida",IF(8=$F$13,"Próxima","Pendiente"))))</f>
        <v/>
      </c>
      <c r="R34" s="62" t="n">
        <f aca="false">IF(AND(K34&gt;0,OR(O34="Sí",O34="Si")),1,0)</f>
        <v>0</v>
      </c>
      <c r="S34" s="62" t="n">
        <f aca="false">IF(AND(K34&gt;0,R34=0),1,0)</f>
        <v>0</v>
      </c>
    </row>
    <row r="35" customFormat="false" ht="15" hidden="false" customHeight="false" outlineLevel="0" collapsed="false">
      <c r="B35" s="71" t="str">
        <f aca="false">IF($F$6="Sí",N($C$11)+8,"")</f>
        <v/>
      </c>
      <c r="C35" s="72" t="str">
        <f aca="false">IF(OR($F$6&lt;&gt;"Sí",D35&lt;=0.5),"",EDATE($C$10,8))</f>
        <v/>
      </c>
      <c r="D35" s="41" t="n">
        <f aca="false">MAX(0,M34)</f>
        <v>0</v>
      </c>
      <c r="E35" s="41" t="n">
        <f aca="false">D35*$F$7</f>
        <v>0</v>
      </c>
      <c r="F35" s="41" t="n">
        <f aca="false">IF(D35&gt;0.5,N($C$15),0)</f>
        <v>0</v>
      </c>
      <c r="G35" s="41" t="n">
        <f aca="false">IF(AND(D35&gt;0.5,N($C$19)&gt;0,N(B35)&lt;=N($C$20)),D35*$F$8,0)</f>
        <v>0</v>
      </c>
      <c r="H35" s="41" t="n">
        <f aca="false">IF(D35&lt;=0.5,0,MIN(IF(N(I35)&gt;0,I35,$F$9),D35+E35+F35))</f>
        <v>0</v>
      </c>
      <c r="I35" s="77"/>
      <c r="J35" s="77"/>
      <c r="K35" s="41" t="n">
        <f aca="false">IF(D35&lt;=0.5,0,MIN(H35+N(J35),D35+E35+F35))</f>
        <v>0</v>
      </c>
      <c r="L35" s="41" t="n">
        <f aca="false">K35-E35-F35</f>
        <v>0</v>
      </c>
      <c r="M35" s="41" t="n">
        <f aca="false">D35-L35</f>
        <v>0</v>
      </c>
      <c r="N35" s="42" t="n">
        <f aca="false">K35-G35</f>
        <v>0</v>
      </c>
      <c r="O35" s="78"/>
      <c r="P35" s="79"/>
      <c r="Q35" s="16" t="str">
        <f aca="false">IF(K35=0,"",IF(R35=1,"Pagada",IF(C35&lt;$F$12,"Vencida",IF(9=$F$13,"Próxima","Pendiente"))))</f>
        <v/>
      </c>
      <c r="R35" s="62" t="n">
        <f aca="false">IF(AND(K35&gt;0,OR(O35="Sí",O35="Si")),1,0)</f>
        <v>0</v>
      </c>
      <c r="S35" s="62" t="n">
        <f aca="false">IF(AND(K35&gt;0,R35=0),1,0)</f>
        <v>0</v>
      </c>
    </row>
    <row r="36" customFormat="false" ht="15" hidden="false" customHeight="false" outlineLevel="0" collapsed="false">
      <c r="B36" s="71" t="str">
        <f aca="false">IF($F$6="Sí",N($C$11)+9,"")</f>
        <v/>
      </c>
      <c r="C36" s="72" t="str">
        <f aca="false">IF(OR($F$6&lt;&gt;"Sí",D36&lt;=0.5),"",EDATE($C$10,9))</f>
        <v/>
      </c>
      <c r="D36" s="41" t="n">
        <f aca="false">MAX(0,M35)</f>
        <v>0</v>
      </c>
      <c r="E36" s="41" t="n">
        <f aca="false">D36*$F$7</f>
        <v>0</v>
      </c>
      <c r="F36" s="41" t="n">
        <f aca="false">IF(D36&gt;0.5,N($C$15),0)</f>
        <v>0</v>
      </c>
      <c r="G36" s="41" t="n">
        <f aca="false">IF(AND(D36&gt;0.5,N($C$19)&gt;0,N(B36)&lt;=N($C$20)),D36*$F$8,0)</f>
        <v>0</v>
      </c>
      <c r="H36" s="41" t="n">
        <f aca="false">IF(D36&lt;=0.5,0,MIN(IF(N(I36)&gt;0,I36,$F$9),D36+E36+F36))</f>
        <v>0</v>
      </c>
      <c r="I36" s="77"/>
      <c r="J36" s="77"/>
      <c r="K36" s="41" t="n">
        <f aca="false">IF(D36&lt;=0.5,0,MIN(H36+N(J36),D36+E36+F36))</f>
        <v>0</v>
      </c>
      <c r="L36" s="41" t="n">
        <f aca="false">K36-E36-F36</f>
        <v>0</v>
      </c>
      <c r="M36" s="41" t="n">
        <f aca="false">D36-L36</f>
        <v>0</v>
      </c>
      <c r="N36" s="42" t="n">
        <f aca="false">K36-G36</f>
        <v>0</v>
      </c>
      <c r="O36" s="78"/>
      <c r="P36" s="79"/>
      <c r="Q36" s="16" t="str">
        <f aca="false">IF(K36=0,"",IF(R36=1,"Pagada",IF(C36&lt;$F$12,"Vencida",IF(10=$F$13,"Próxima","Pendiente"))))</f>
        <v/>
      </c>
      <c r="R36" s="62" t="n">
        <f aca="false">IF(AND(K36&gt;0,OR(O36="Sí",O36="Si")),1,0)</f>
        <v>0</v>
      </c>
      <c r="S36" s="62" t="n">
        <f aca="false">IF(AND(K36&gt;0,R36=0),1,0)</f>
        <v>0</v>
      </c>
    </row>
    <row r="37" customFormat="false" ht="15" hidden="false" customHeight="false" outlineLevel="0" collapsed="false">
      <c r="B37" s="71" t="str">
        <f aca="false">IF($F$6="Sí",N($C$11)+10,"")</f>
        <v/>
      </c>
      <c r="C37" s="72" t="str">
        <f aca="false">IF(OR($F$6&lt;&gt;"Sí",D37&lt;=0.5),"",EDATE($C$10,10))</f>
        <v/>
      </c>
      <c r="D37" s="41" t="n">
        <f aca="false">MAX(0,M36)</f>
        <v>0</v>
      </c>
      <c r="E37" s="41" t="n">
        <f aca="false">D37*$F$7</f>
        <v>0</v>
      </c>
      <c r="F37" s="41" t="n">
        <f aca="false">IF(D37&gt;0.5,N($C$15),0)</f>
        <v>0</v>
      </c>
      <c r="G37" s="41" t="n">
        <f aca="false">IF(AND(D37&gt;0.5,N($C$19)&gt;0,N(B37)&lt;=N($C$20)),D37*$F$8,0)</f>
        <v>0</v>
      </c>
      <c r="H37" s="41" t="n">
        <f aca="false">IF(D37&lt;=0.5,0,MIN(IF(N(I37)&gt;0,I37,$F$9),D37+E37+F37))</f>
        <v>0</v>
      </c>
      <c r="I37" s="77"/>
      <c r="J37" s="77"/>
      <c r="K37" s="41" t="n">
        <f aca="false">IF(D37&lt;=0.5,0,MIN(H37+N(J37),D37+E37+F37))</f>
        <v>0</v>
      </c>
      <c r="L37" s="41" t="n">
        <f aca="false">K37-E37-F37</f>
        <v>0</v>
      </c>
      <c r="M37" s="41" t="n">
        <f aca="false">D37-L37</f>
        <v>0</v>
      </c>
      <c r="N37" s="42" t="n">
        <f aca="false">K37-G37</f>
        <v>0</v>
      </c>
      <c r="O37" s="78"/>
      <c r="P37" s="79"/>
      <c r="Q37" s="16" t="str">
        <f aca="false">IF(K37=0,"",IF(R37=1,"Pagada",IF(C37&lt;$F$12,"Vencida",IF(11=$F$13,"Próxima","Pendiente"))))</f>
        <v/>
      </c>
      <c r="R37" s="62" t="n">
        <f aca="false">IF(AND(K37&gt;0,OR(O37="Sí",O37="Si")),1,0)</f>
        <v>0</v>
      </c>
      <c r="S37" s="62" t="n">
        <f aca="false">IF(AND(K37&gt;0,R37=0),1,0)</f>
        <v>0</v>
      </c>
    </row>
    <row r="38" customFormat="false" ht="15" hidden="false" customHeight="false" outlineLevel="0" collapsed="false">
      <c r="B38" s="71" t="str">
        <f aca="false">IF($F$6="Sí",N($C$11)+11,"")</f>
        <v/>
      </c>
      <c r="C38" s="72" t="str">
        <f aca="false">IF(OR($F$6&lt;&gt;"Sí",D38&lt;=0.5),"",EDATE($C$10,11))</f>
        <v/>
      </c>
      <c r="D38" s="41" t="n">
        <f aca="false">MAX(0,M37)</f>
        <v>0</v>
      </c>
      <c r="E38" s="41" t="n">
        <f aca="false">D38*$F$7</f>
        <v>0</v>
      </c>
      <c r="F38" s="41" t="n">
        <f aca="false">IF(D38&gt;0.5,N($C$15),0)</f>
        <v>0</v>
      </c>
      <c r="G38" s="41" t="n">
        <f aca="false">IF(AND(D38&gt;0.5,N($C$19)&gt;0,N(B38)&lt;=N($C$20)),D38*$F$8,0)</f>
        <v>0</v>
      </c>
      <c r="H38" s="41" t="n">
        <f aca="false">IF(D38&lt;=0.5,0,MIN(IF(N(I38)&gt;0,I38,$F$9),D38+E38+F38))</f>
        <v>0</v>
      </c>
      <c r="I38" s="77"/>
      <c r="J38" s="77"/>
      <c r="K38" s="41" t="n">
        <f aca="false">IF(D38&lt;=0.5,0,MIN(H38+N(J38),D38+E38+F38))</f>
        <v>0</v>
      </c>
      <c r="L38" s="41" t="n">
        <f aca="false">K38-E38-F38</f>
        <v>0</v>
      </c>
      <c r="M38" s="41" t="n">
        <f aca="false">D38-L38</f>
        <v>0</v>
      </c>
      <c r="N38" s="42" t="n">
        <f aca="false">K38-G38</f>
        <v>0</v>
      </c>
      <c r="O38" s="78"/>
      <c r="P38" s="79"/>
      <c r="Q38" s="16" t="str">
        <f aca="false">IF(K38=0,"",IF(R38=1,"Pagada",IF(C38&lt;$F$12,"Vencida",IF(12=$F$13,"Próxima","Pendiente"))))</f>
        <v/>
      </c>
      <c r="R38" s="62" t="n">
        <f aca="false">IF(AND(K38&gt;0,OR(O38="Sí",O38="Si")),1,0)</f>
        <v>0</v>
      </c>
      <c r="S38" s="62" t="n">
        <f aca="false">IF(AND(K38&gt;0,R38=0),1,0)</f>
        <v>0</v>
      </c>
    </row>
    <row r="39" customFormat="false" ht="15" hidden="false" customHeight="false" outlineLevel="0" collapsed="false">
      <c r="B39" s="71" t="str">
        <f aca="false">IF($F$6="Sí",N($C$11)+12,"")</f>
        <v/>
      </c>
      <c r="C39" s="72" t="str">
        <f aca="false">IF(OR($F$6&lt;&gt;"Sí",D39&lt;=0.5),"",EDATE($C$10,12))</f>
        <v/>
      </c>
      <c r="D39" s="41" t="n">
        <f aca="false">MAX(0,M38)</f>
        <v>0</v>
      </c>
      <c r="E39" s="41" t="n">
        <f aca="false">D39*$F$7</f>
        <v>0</v>
      </c>
      <c r="F39" s="41" t="n">
        <f aca="false">IF(D39&gt;0.5,N($C$15),0)</f>
        <v>0</v>
      </c>
      <c r="G39" s="41" t="n">
        <f aca="false">IF(AND(D39&gt;0.5,N($C$19)&gt;0,N(B39)&lt;=N($C$20)),D39*$F$8,0)</f>
        <v>0</v>
      </c>
      <c r="H39" s="41" t="n">
        <f aca="false">IF(D39&lt;=0.5,0,MIN(IF(N(I39)&gt;0,I39,$F$9),D39+E39+F39))</f>
        <v>0</v>
      </c>
      <c r="I39" s="77"/>
      <c r="J39" s="77"/>
      <c r="K39" s="41" t="n">
        <f aca="false">IF(D39&lt;=0.5,0,MIN(H39+N(J39),D39+E39+F39))</f>
        <v>0</v>
      </c>
      <c r="L39" s="41" t="n">
        <f aca="false">K39-E39-F39</f>
        <v>0</v>
      </c>
      <c r="M39" s="41" t="n">
        <f aca="false">D39-L39</f>
        <v>0</v>
      </c>
      <c r="N39" s="42" t="n">
        <f aca="false">K39-G39</f>
        <v>0</v>
      </c>
      <c r="O39" s="78"/>
      <c r="P39" s="79"/>
      <c r="Q39" s="16" t="str">
        <f aca="false">IF(K39=0,"",IF(R39=1,"Pagada",IF(C39&lt;$F$12,"Vencida",IF(13=$F$13,"Próxima","Pendiente"))))</f>
        <v/>
      </c>
      <c r="R39" s="62" t="n">
        <f aca="false">IF(AND(K39&gt;0,OR(O39="Sí",O39="Si")),1,0)</f>
        <v>0</v>
      </c>
      <c r="S39" s="62" t="n">
        <f aca="false">IF(AND(K39&gt;0,R39=0),1,0)</f>
        <v>0</v>
      </c>
    </row>
    <row r="40" customFormat="false" ht="15" hidden="false" customHeight="false" outlineLevel="0" collapsed="false">
      <c r="B40" s="71" t="str">
        <f aca="false">IF($F$6="Sí",N($C$11)+13,"")</f>
        <v/>
      </c>
      <c r="C40" s="72" t="str">
        <f aca="false">IF(OR($F$6&lt;&gt;"Sí",D40&lt;=0.5),"",EDATE($C$10,13))</f>
        <v/>
      </c>
      <c r="D40" s="41" t="n">
        <f aca="false">MAX(0,M39)</f>
        <v>0</v>
      </c>
      <c r="E40" s="41" t="n">
        <f aca="false">D40*$F$7</f>
        <v>0</v>
      </c>
      <c r="F40" s="41" t="n">
        <f aca="false">IF(D40&gt;0.5,N($C$15),0)</f>
        <v>0</v>
      </c>
      <c r="G40" s="41" t="n">
        <f aca="false">IF(AND(D40&gt;0.5,N($C$19)&gt;0,N(B40)&lt;=N($C$20)),D40*$F$8,0)</f>
        <v>0</v>
      </c>
      <c r="H40" s="41" t="n">
        <f aca="false">IF(D40&lt;=0.5,0,MIN(IF(N(I40)&gt;0,I40,$F$9),D40+E40+F40))</f>
        <v>0</v>
      </c>
      <c r="I40" s="77"/>
      <c r="J40" s="77"/>
      <c r="K40" s="41" t="n">
        <f aca="false">IF(D40&lt;=0.5,0,MIN(H40+N(J40),D40+E40+F40))</f>
        <v>0</v>
      </c>
      <c r="L40" s="41" t="n">
        <f aca="false">K40-E40-F40</f>
        <v>0</v>
      </c>
      <c r="M40" s="41" t="n">
        <f aca="false">D40-L40</f>
        <v>0</v>
      </c>
      <c r="N40" s="42" t="n">
        <f aca="false">K40-G40</f>
        <v>0</v>
      </c>
      <c r="O40" s="78"/>
      <c r="P40" s="79"/>
      <c r="Q40" s="16" t="str">
        <f aca="false">IF(K40=0,"",IF(R40=1,"Pagada",IF(C40&lt;$F$12,"Vencida",IF(14=$F$13,"Próxima","Pendiente"))))</f>
        <v/>
      </c>
      <c r="R40" s="62" t="n">
        <f aca="false">IF(AND(K40&gt;0,OR(O40="Sí",O40="Si")),1,0)</f>
        <v>0</v>
      </c>
      <c r="S40" s="62" t="n">
        <f aca="false">IF(AND(K40&gt;0,R40=0),1,0)</f>
        <v>0</v>
      </c>
    </row>
    <row r="41" customFormat="false" ht="15" hidden="false" customHeight="false" outlineLevel="0" collapsed="false">
      <c r="B41" s="71" t="str">
        <f aca="false">IF($F$6="Sí",N($C$11)+14,"")</f>
        <v/>
      </c>
      <c r="C41" s="72" t="str">
        <f aca="false">IF(OR($F$6&lt;&gt;"Sí",D41&lt;=0.5),"",EDATE($C$10,14))</f>
        <v/>
      </c>
      <c r="D41" s="41" t="n">
        <f aca="false">MAX(0,M40)</f>
        <v>0</v>
      </c>
      <c r="E41" s="41" t="n">
        <f aca="false">D41*$F$7</f>
        <v>0</v>
      </c>
      <c r="F41" s="41" t="n">
        <f aca="false">IF(D41&gt;0.5,N($C$15),0)</f>
        <v>0</v>
      </c>
      <c r="G41" s="41" t="n">
        <f aca="false">IF(AND(D41&gt;0.5,N($C$19)&gt;0,N(B41)&lt;=N($C$20)),D41*$F$8,0)</f>
        <v>0</v>
      </c>
      <c r="H41" s="41" t="n">
        <f aca="false">IF(D41&lt;=0.5,0,MIN(IF(N(I41)&gt;0,I41,$F$9),D41+E41+F41))</f>
        <v>0</v>
      </c>
      <c r="I41" s="77"/>
      <c r="J41" s="77"/>
      <c r="K41" s="41" t="n">
        <f aca="false">IF(D41&lt;=0.5,0,MIN(H41+N(J41),D41+E41+F41))</f>
        <v>0</v>
      </c>
      <c r="L41" s="41" t="n">
        <f aca="false">K41-E41-F41</f>
        <v>0</v>
      </c>
      <c r="M41" s="41" t="n">
        <f aca="false">D41-L41</f>
        <v>0</v>
      </c>
      <c r="N41" s="42" t="n">
        <f aca="false">K41-G41</f>
        <v>0</v>
      </c>
      <c r="O41" s="78"/>
      <c r="P41" s="79"/>
      <c r="Q41" s="16" t="str">
        <f aca="false">IF(K41=0,"",IF(R41=1,"Pagada",IF(C41&lt;$F$12,"Vencida",IF(15=$F$13,"Próxima","Pendiente"))))</f>
        <v/>
      </c>
      <c r="R41" s="62" t="n">
        <f aca="false">IF(AND(K41&gt;0,OR(O41="Sí",O41="Si")),1,0)</f>
        <v>0</v>
      </c>
      <c r="S41" s="62" t="n">
        <f aca="false">IF(AND(K41&gt;0,R41=0),1,0)</f>
        <v>0</v>
      </c>
    </row>
    <row r="42" customFormat="false" ht="15" hidden="false" customHeight="false" outlineLevel="0" collapsed="false">
      <c r="B42" s="71" t="str">
        <f aca="false">IF($F$6="Sí",N($C$11)+15,"")</f>
        <v/>
      </c>
      <c r="C42" s="72" t="str">
        <f aca="false">IF(OR($F$6&lt;&gt;"Sí",D42&lt;=0.5),"",EDATE($C$10,15))</f>
        <v/>
      </c>
      <c r="D42" s="41" t="n">
        <f aca="false">MAX(0,M41)</f>
        <v>0</v>
      </c>
      <c r="E42" s="41" t="n">
        <f aca="false">D42*$F$7</f>
        <v>0</v>
      </c>
      <c r="F42" s="41" t="n">
        <f aca="false">IF(D42&gt;0.5,N($C$15),0)</f>
        <v>0</v>
      </c>
      <c r="G42" s="41" t="n">
        <f aca="false">IF(AND(D42&gt;0.5,N($C$19)&gt;0,N(B42)&lt;=N($C$20)),D42*$F$8,0)</f>
        <v>0</v>
      </c>
      <c r="H42" s="41" t="n">
        <f aca="false">IF(D42&lt;=0.5,0,MIN(IF(N(I42)&gt;0,I42,$F$9),D42+E42+F42))</f>
        <v>0</v>
      </c>
      <c r="I42" s="77"/>
      <c r="J42" s="77"/>
      <c r="K42" s="41" t="n">
        <f aca="false">IF(D42&lt;=0.5,0,MIN(H42+N(J42),D42+E42+F42))</f>
        <v>0</v>
      </c>
      <c r="L42" s="41" t="n">
        <f aca="false">K42-E42-F42</f>
        <v>0</v>
      </c>
      <c r="M42" s="41" t="n">
        <f aca="false">D42-L42</f>
        <v>0</v>
      </c>
      <c r="N42" s="42" t="n">
        <f aca="false">K42-G42</f>
        <v>0</v>
      </c>
      <c r="O42" s="78"/>
      <c r="P42" s="79"/>
      <c r="Q42" s="16" t="str">
        <f aca="false">IF(K42=0,"",IF(R42=1,"Pagada",IF(C42&lt;$F$12,"Vencida",IF(16=$F$13,"Próxima","Pendiente"))))</f>
        <v/>
      </c>
      <c r="R42" s="62" t="n">
        <f aca="false">IF(AND(K42&gt;0,OR(O42="Sí",O42="Si")),1,0)</f>
        <v>0</v>
      </c>
      <c r="S42" s="62" t="n">
        <f aca="false">IF(AND(K42&gt;0,R42=0),1,0)</f>
        <v>0</v>
      </c>
    </row>
    <row r="43" customFormat="false" ht="15" hidden="false" customHeight="false" outlineLevel="0" collapsed="false">
      <c r="B43" s="71" t="str">
        <f aca="false">IF($F$6="Sí",N($C$11)+16,"")</f>
        <v/>
      </c>
      <c r="C43" s="72" t="str">
        <f aca="false">IF(OR($F$6&lt;&gt;"Sí",D43&lt;=0.5),"",EDATE($C$10,16))</f>
        <v/>
      </c>
      <c r="D43" s="41" t="n">
        <f aca="false">MAX(0,M42)</f>
        <v>0</v>
      </c>
      <c r="E43" s="41" t="n">
        <f aca="false">D43*$F$7</f>
        <v>0</v>
      </c>
      <c r="F43" s="41" t="n">
        <f aca="false">IF(D43&gt;0.5,N($C$15),0)</f>
        <v>0</v>
      </c>
      <c r="G43" s="41" t="n">
        <f aca="false">IF(AND(D43&gt;0.5,N($C$19)&gt;0,N(B43)&lt;=N($C$20)),D43*$F$8,0)</f>
        <v>0</v>
      </c>
      <c r="H43" s="41" t="n">
        <f aca="false">IF(D43&lt;=0.5,0,MIN(IF(N(I43)&gt;0,I43,$F$9),D43+E43+F43))</f>
        <v>0</v>
      </c>
      <c r="I43" s="77"/>
      <c r="J43" s="77"/>
      <c r="K43" s="41" t="n">
        <f aca="false">IF(D43&lt;=0.5,0,MIN(H43+N(J43),D43+E43+F43))</f>
        <v>0</v>
      </c>
      <c r="L43" s="41" t="n">
        <f aca="false">K43-E43-F43</f>
        <v>0</v>
      </c>
      <c r="M43" s="41" t="n">
        <f aca="false">D43-L43</f>
        <v>0</v>
      </c>
      <c r="N43" s="42" t="n">
        <f aca="false">K43-G43</f>
        <v>0</v>
      </c>
      <c r="O43" s="78"/>
      <c r="P43" s="79"/>
      <c r="Q43" s="16" t="str">
        <f aca="false">IF(K43=0,"",IF(R43=1,"Pagada",IF(C43&lt;$F$12,"Vencida",IF(17=$F$13,"Próxima","Pendiente"))))</f>
        <v/>
      </c>
      <c r="R43" s="62" t="n">
        <f aca="false">IF(AND(K43&gt;0,OR(O43="Sí",O43="Si")),1,0)</f>
        <v>0</v>
      </c>
      <c r="S43" s="62" t="n">
        <f aca="false">IF(AND(K43&gt;0,R43=0),1,0)</f>
        <v>0</v>
      </c>
    </row>
    <row r="44" customFormat="false" ht="15" hidden="false" customHeight="false" outlineLevel="0" collapsed="false">
      <c r="B44" s="71" t="str">
        <f aca="false">IF($F$6="Sí",N($C$11)+17,"")</f>
        <v/>
      </c>
      <c r="C44" s="72" t="str">
        <f aca="false">IF(OR($F$6&lt;&gt;"Sí",D44&lt;=0.5),"",EDATE($C$10,17))</f>
        <v/>
      </c>
      <c r="D44" s="41" t="n">
        <f aca="false">MAX(0,M43)</f>
        <v>0</v>
      </c>
      <c r="E44" s="41" t="n">
        <f aca="false">D44*$F$7</f>
        <v>0</v>
      </c>
      <c r="F44" s="41" t="n">
        <f aca="false">IF(D44&gt;0.5,N($C$15),0)</f>
        <v>0</v>
      </c>
      <c r="G44" s="41" t="n">
        <f aca="false">IF(AND(D44&gt;0.5,N($C$19)&gt;0,N(B44)&lt;=N($C$20)),D44*$F$8,0)</f>
        <v>0</v>
      </c>
      <c r="H44" s="41" t="n">
        <f aca="false">IF(D44&lt;=0.5,0,MIN(IF(N(I44)&gt;0,I44,$F$9),D44+E44+F44))</f>
        <v>0</v>
      </c>
      <c r="I44" s="77"/>
      <c r="J44" s="77"/>
      <c r="K44" s="41" t="n">
        <f aca="false">IF(D44&lt;=0.5,0,MIN(H44+N(J44),D44+E44+F44))</f>
        <v>0</v>
      </c>
      <c r="L44" s="41" t="n">
        <f aca="false">K44-E44-F44</f>
        <v>0</v>
      </c>
      <c r="M44" s="41" t="n">
        <f aca="false">D44-L44</f>
        <v>0</v>
      </c>
      <c r="N44" s="42" t="n">
        <f aca="false">K44-G44</f>
        <v>0</v>
      </c>
      <c r="O44" s="78"/>
      <c r="P44" s="79"/>
      <c r="Q44" s="16" t="str">
        <f aca="false">IF(K44=0,"",IF(R44=1,"Pagada",IF(C44&lt;$F$12,"Vencida",IF(18=$F$13,"Próxima","Pendiente"))))</f>
        <v/>
      </c>
      <c r="R44" s="62" t="n">
        <f aca="false">IF(AND(K44&gt;0,OR(O44="Sí",O44="Si")),1,0)</f>
        <v>0</v>
      </c>
      <c r="S44" s="62" t="n">
        <f aca="false">IF(AND(K44&gt;0,R44=0),1,0)</f>
        <v>0</v>
      </c>
    </row>
    <row r="45" customFormat="false" ht="15" hidden="false" customHeight="false" outlineLevel="0" collapsed="false">
      <c r="B45" s="71" t="str">
        <f aca="false">IF($F$6="Sí",N($C$11)+18,"")</f>
        <v/>
      </c>
      <c r="C45" s="72" t="str">
        <f aca="false">IF(OR($F$6&lt;&gt;"Sí",D45&lt;=0.5),"",EDATE($C$10,18))</f>
        <v/>
      </c>
      <c r="D45" s="41" t="n">
        <f aca="false">MAX(0,M44)</f>
        <v>0</v>
      </c>
      <c r="E45" s="41" t="n">
        <f aca="false">D45*$F$7</f>
        <v>0</v>
      </c>
      <c r="F45" s="41" t="n">
        <f aca="false">IF(D45&gt;0.5,N($C$15),0)</f>
        <v>0</v>
      </c>
      <c r="G45" s="41" t="n">
        <f aca="false">IF(AND(D45&gt;0.5,N($C$19)&gt;0,N(B45)&lt;=N($C$20)),D45*$F$8,0)</f>
        <v>0</v>
      </c>
      <c r="H45" s="41" t="n">
        <f aca="false">IF(D45&lt;=0.5,0,MIN(IF(N(I45)&gt;0,I45,$F$9),D45+E45+F45))</f>
        <v>0</v>
      </c>
      <c r="I45" s="77"/>
      <c r="J45" s="77"/>
      <c r="K45" s="41" t="n">
        <f aca="false">IF(D45&lt;=0.5,0,MIN(H45+N(J45),D45+E45+F45))</f>
        <v>0</v>
      </c>
      <c r="L45" s="41" t="n">
        <f aca="false">K45-E45-F45</f>
        <v>0</v>
      </c>
      <c r="M45" s="41" t="n">
        <f aca="false">D45-L45</f>
        <v>0</v>
      </c>
      <c r="N45" s="42" t="n">
        <f aca="false">K45-G45</f>
        <v>0</v>
      </c>
      <c r="O45" s="78"/>
      <c r="P45" s="79"/>
      <c r="Q45" s="16" t="str">
        <f aca="false">IF(K45=0,"",IF(R45=1,"Pagada",IF(C45&lt;$F$12,"Vencida",IF(19=$F$13,"Próxima","Pendiente"))))</f>
        <v/>
      </c>
      <c r="R45" s="62" t="n">
        <f aca="false">IF(AND(K45&gt;0,OR(O45="Sí",O45="Si")),1,0)</f>
        <v>0</v>
      </c>
      <c r="S45" s="62" t="n">
        <f aca="false">IF(AND(K45&gt;0,R45=0),1,0)</f>
        <v>0</v>
      </c>
    </row>
    <row r="46" customFormat="false" ht="15" hidden="false" customHeight="false" outlineLevel="0" collapsed="false">
      <c r="B46" s="71" t="str">
        <f aca="false">IF($F$6="Sí",N($C$11)+19,"")</f>
        <v/>
      </c>
      <c r="C46" s="72" t="str">
        <f aca="false">IF(OR($F$6&lt;&gt;"Sí",D46&lt;=0.5),"",EDATE($C$10,19))</f>
        <v/>
      </c>
      <c r="D46" s="41" t="n">
        <f aca="false">MAX(0,M45)</f>
        <v>0</v>
      </c>
      <c r="E46" s="41" t="n">
        <f aca="false">D46*$F$7</f>
        <v>0</v>
      </c>
      <c r="F46" s="41" t="n">
        <f aca="false">IF(D46&gt;0.5,N($C$15),0)</f>
        <v>0</v>
      </c>
      <c r="G46" s="41" t="n">
        <f aca="false">IF(AND(D46&gt;0.5,N($C$19)&gt;0,N(B46)&lt;=N($C$20)),D46*$F$8,0)</f>
        <v>0</v>
      </c>
      <c r="H46" s="41" t="n">
        <f aca="false">IF(D46&lt;=0.5,0,MIN(IF(N(I46)&gt;0,I46,$F$9),D46+E46+F46))</f>
        <v>0</v>
      </c>
      <c r="I46" s="77"/>
      <c r="J46" s="77"/>
      <c r="K46" s="41" t="n">
        <f aca="false">IF(D46&lt;=0.5,0,MIN(H46+N(J46),D46+E46+F46))</f>
        <v>0</v>
      </c>
      <c r="L46" s="41" t="n">
        <f aca="false">K46-E46-F46</f>
        <v>0</v>
      </c>
      <c r="M46" s="41" t="n">
        <f aca="false">D46-L46</f>
        <v>0</v>
      </c>
      <c r="N46" s="42" t="n">
        <f aca="false">K46-G46</f>
        <v>0</v>
      </c>
      <c r="O46" s="78"/>
      <c r="P46" s="79"/>
      <c r="Q46" s="16" t="str">
        <f aca="false">IF(K46=0,"",IF(R46=1,"Pagada",IF(C46&lt;$F$12,"Vencida",IF(20=$F$13,"Próxima","Pendiente"))))</f>
        <v/>
      </c>
      <c r="R46" s="62" t="n">
        <f aca="false">IF(AND(K46&gt;0,OR(O46="Sí",O46="Si")),1,0)</f>
        <v>0</v>
      </c>
      <c r="S46" s="62" t="n">
        <f aca="false">IF(AND(K46&gt;0,R46=0),1,0)</f>
        <v>0</v>
      </c>
    </row>
    <row r="47" customFormat="false" ht="15" hidden="false" customHeight="false" outlineLevel="0" collapsed="false">
      <c r="B47" s="71" t="str">
        <f aca="false">IF($F$6="Sí",N($C$11)+20,"")</f>
        <v/>
      </c>
      <c r="C47" s="72" t="str">
        <f aca="false">IF(OR($F$6&lt;&gt;"Sí",D47&lt;=0.5),"",EDATE($C$10,20))</f>
        <v/>
      </c>
      <c r="D47" s="41" t="n">
        <f aca="false">MAX(0,M46)</f>
        <v>0</v>
      </c>
      <c r="E47" s="41" t="n">
        <f aca="false">D47*$F$7</f>
        <v>0</v>
      </c>
      <c r="F47" s="41" t="n">
        <f aca="false">IF(D47&gt;0.5,N($C$15),0)</f>
        <v>0</v>
      </c>
      <c r="G47" s="41" t="n">
        <f aca="false">IF(AND(D47&gt;0.5,N($C$19)&gt;0,N(B47)&lt;=N($C$20)),D47*$F$8,0)</f>
        <v>0</v>
      </c>
      <c r="H47" s="41" t="n">
        <f aca="false">IF(D47&lt;=0.5,0,MIN(IF(N(I47)&gt;0,I47,$F$9),D47+E47+F47))</f>
        <v>0</v>
      </c>
      <c r="I47" s="77"/>
      <c r="J47" s="77"/>
      <c r="K47" s="41" t="n">
        <f aca="false">IF(D47&lt;=0.5,0,MIN(H47+N(J47),D47+E47+F47))</f>
        <v>0</v>
      </c>
      <c r="L47" s="41" t="n">
        <f aca="false">K47-E47-F47</f>
        <v>0</v>
      </c>
      <c r="M47" s="41" t="n">
        <f aca="false">D47-L47</f>
        <v>0</v>
      </c>
      <c r="N47" s="42" t="n">
        <f aca="false">K47-G47</f>
        <v>0</v>
      </c>
      <c r="O47" s="78"/>
      <c r="P47" s="79"/>
      <c r="Q47" s="16" t="str">
        <f aca="false">IF(K47=0,"",IF(R47=1,"Pagada",IF(C47&lt;$F$12,"Vencida",IF(21=$F$13,"Próxima","Pendiente"))))</f>
        <v/>
      </c>
      <c r="R47" s="62" t="n">
        <f aca="false">IF(AND(K47&gt;0,OR(O47="Sí",O47="Si")),1,0)</f>
        <v>0</v>
      </c>
      <c r="S47" s="62" t="n">
        <f aca="false">IF(AND(K47&gt;0,R47=0),1,0)</f>
        <v>0</v>
      </c>
    </row>
    <row r="48" customFormat="false" ht="15" hidden="false" customHeight="false" outlineLevel="0" collapsed="false">
      <c r="B48" s="71" t="str">
        <f aca="false">IF($F$6="Sí",N($C$11)+21,"")</f>
        <v/>
      </c>
      <c r="C48" s="72" t="str">
        <f aca="false">IF(OR($F$6&lt;&gt;"Sí",D48&lt;=0.5),"",EDATE($C$10,21))</f>
        <v/>
      </c>
      <c r="D48" s="41" t="n">
        <f aca="false">MAX(0,M47)</f>
        <v>0</v>
      </c>
      <c r="E48" s="41" t="n">
        <f aca="false">D48*$F$7</f>
        <v>0</v>
      </c>
      <c r="F48" s="41" t="n">
        <f aca="false">IF(D48&gt;0.5,N($C$15),0)</f>
        <v>0</v>
      </c>
      <c r="G48" s="41" t="n">
        <f aca="false">IF(AND(D48&gt;0.5,N($C$19)&gt;0,N(B48)&lt;=N($C$20)),D48*$F$8,0)</f>
        <v>0</v>
      </c>
      <c r="H48" s="41" t="n">
        <f aca="false">IF(D48&lt;=0.5,0,MIN(IF(N(I48)&gt;0,I48,$F$9),D48+E48+F48))</f>
        <v>0</v>
      </c>
      <c r="I48" s="77"/>
      <c r="J48" s="77"/>
      <c r="K48" s="41" t="n">
        <f aca="false">IF(D48&lt;=0.5,0,MIN(H48+N(J48),D48+E48+F48))</f>
        <v>0</v>
      </c>
      <c r="L48" s="41" t="n">
        <f aca="false">K48-E48-F48</f>
        <v>0</v>
      </c>
      <c r="M48" s="41" t="n">
        <f aca="false">D48-L48</f>
        <v>0</v>
      </c>
      <c r="N48" s="42" t="n">
        <f aca="false">K48-G48</f>
        <v>0</v>
      </c>
      <c r="O48" s="78"/>
      <c r="P48" s="79"/>
      <c r="Q48" s="16" t="str">
        <f aca="false">IF(K48=0,"",IF(R48=1,"Pagada",IF(C48&lt;$F$12,"Vencida",IF(22=$F$13,"Próxima","Pendiente"))))</f>
        <v/>
      </c>
      <c r="R48" s="62" t="n">
        <f aca="false">IF(AND(K48&gt;0,OR(O48="Sí",O48="Si")),1,0)</f>
        <v>0</v>
      </c>
      <c r="S48" s="62" t="n">
        <f aca="false">IF(AND(K48&gt;0,R48=0),1,0)</f>
        <v>0</v>
      </c>
    </row>
    <row r="49" customFormat="false" ht="15" hidden="false" customHeight="false" outlineLevel="0" collapsed="false">
      <c r="B49" s="71" t="str">
        <f aca="false">IF($F$6="Sí",N($C$11)+22,"")</f>
        <v/>
      </c>
      <c r="C49" s="72" t="str">
        <f aca="false">IF(OR($F$6&lt;&gt;"Sí",D49&lt;=0.5),"",EDATE($C$10,22))</f>
        <v/>
      </c>
      <c r="D49" s="41" t="n">
        <f aca="false">MAX(0,M48)</f>
        <v>0</v>
      </c>
      <c r="E49" s="41" t="n">
        <f aca="false">D49*$F$7</f>
        <v>0</v>
      </c>
      <c r="F49" s="41" t="n">
        <f aca="false">IF(D49&gt;0.5,N($C$15),0)</f>
        <v>0</v>
      </c>
      <c r="G49" s="41" t="n">
        <f aca="false">IF(AND(D49&gt;0.5,N($C$19)&gt;0,N(B49)&lt;=N($C$20)),D49*$F$8,0)</f>
        <v>0</v>
      </c>
      <c r="H49" s="41" t="n">
        <f aca="false">IF(D49&lt;=0.5,0,MIN(IF(N(I49)&gt;0,I49,$F$9),D49+E49+F49))</f>
        <v>0</v>
      </c>
      <c r="I49" s="77"/>
      <c r="J49" s="77"/>
      <c r="K49" s="41" t="n">
        <f aca="false">IF(D49&lt;=0.5,0,MIN(H49+N(J49),D49+E49+F49))</f>
        <v>0</v>
      </c>
      <c r="L49" s="41" t="n">
        <f aca="false">K49-E49-F49</f>
        <v>0</v>
      </c>
      <c r="M49" s="41" t="n">
        <f aca="false">D49-L49</f>
        <v>0</v>
      </c>
      <c r="N49" s="42" t="n">
        <f aca="false">K49-G49</f>
        <v>0</v>
      </c>
      <c r="O49" s="78"/>
      <c r="P49" s="79"/>
      <c r="Q49" s="16" t="str">
        <f aca="false">IF(K49=0,"",IF(R49=1,"Pagada",IF(C49&lt;$F$12,"Vencida",IF(23=$F$13,"Próxima","Pendiente"))))</f>
        <v/>
      </c>
      <c r="R49" s="62" t="n">
        <f aca="false">IF(AND(K49&gt;0,OR(O49="Sí",O49="Si")),1,0)</f>
        <v>0</v>
      </c>
      <c r="S49" s="62" t="n">
        <f aca="false">IF(AND(K49&gt;0,R49=0),1,0)</f>
        <v>0</v>
      </c>
    </row>
    <row r="50" customFormat="false" ht="15" hidden="false" customHeight="false" outlineLevel="0" collapsed="false">
      <c r="B50" s="71" t="str">
        <f aca="false">IF($F$6="Sí",N($C$11)+23,"")</f>
        <v/>
      </c>
      <c r="C50" s="72" t="str">
        <f aca="false">IF(OR($F$6&lt;&gt;"Sí",D50&lt;=0.5),"",EDATE($C$10,23))</f>
        <v/>
      </c>
      <c r="D50" s="41" t="n">
        <f aca="false">MAX(0,M49)</f>
        <v>0</v>
      </c>
      <c r="E50" s="41" t="n">
        <f aca="false">D50*$F$7</f>
        <v>0</v>
      </c>
      <c r="F50" s="41" t="n">
        <f aca="false">IF(D50&gt;0.5,N($C$15),0)</f>
        <v>0</v>
      </c>
      <c r="G50" s="41" t="n">
        <f aca="false">IF(AND(D50&gt;0.5,N($C$19)&gt;0,N(B50)&lt;=N($C$20)),D50*$F$8,0)</f>
        <v>0</v>
      </c>
      <c r="H50" s="41" t="n">
        <f aca="false">IF(D50&lt;=0.5,0,MIN(IF(N(I50)&gt;0,I50,$F$9),D50+E50+F50))</f>
        <v>0</v>
      </c>
      <c r="I50" s="77"/>
      <c r="J50" s="77"/>
      <c r="K50" s="41" t="n">
        <f aca="false">IF(D50&lt;=0.5,0,MIN(H50+N(J50),D50+E50+F50))</f>
        <v>0</v>
      </c>
      <c r="L50" s="41" t="n">
        <f aca="false">K50-E50-F50</f>
        <v>0</v>
      </c>
      <c r="M50" s="41" t="n">
        <f aca="false">D50-L50</f>
        <v>0</v>
      </c>
      <c r="N50" s="42" t="n">
        <f aca="false">K50-G50</f>
        <v>0</v>
      </c>
      <c r="O50" s="78"/>
      <c r="P50" s="79"/>
      <c r="Q50" s="16" t="str">
        <f aca="false">IF(K50=0,"",IF(R50=1,"Pagada",IF(C50&lt;$F$12,"Vencida",IF(24=$F$13,"Próxima","Pendiente"))))</f>
        <v/>
      </c>
      <c r="R50" s="62" t="n">
        <f aca="false">IF(AND(K50&gt;0,OR(O50="Sí",O50="Si")),1,0)</f>
        <v>0</v>
      </c>
      <c r="S50" s="62" t="n">
        <f aca="false">IF(AND(K50&gt;0,R50=0),1,0)</f>
        <v>0</v>
      </c>
    </row>
    <row r="51" customFormat="false" ht="15" hidden="false" customHeight="false" outlineLevel="0" collapsed="false">
      <c r="B51" s="71" t="str">
        <f aca="false">IF($F$6="Sí",N($C$11)+24,"")</f>
        <v/>
      </c>
      <c r="C51" s="72" t="str">
        <f aca="false">IF(OR($F$6&lt;&gt;"Sí",D51&lt;=0.5),"",EDATE($C$10,24))</f>
        <v/>
      </c>
      <c r="D51" s="41" t="n">
        <f aca="false">MAX(0,M50)</f>
        <v>0</v>
      </c>
      <c r="E51" s="41" t="n">
        <f aca="false">D51*$F$7</f>
        <v>0</v>
      </c>
      <c r="F51" s="41" t="n">
        <f aca="false">IF(D51&gt;0.5,N($C$15),0)</f>
        <v>0</v>
      </c>
      <c r="G51" s="41" t="n">
        <f aca="false">IF(AND(D51&gt;0.5,N($C$19)&gt;0,N(B51)&lt;=N($C$20)),D51*$F$8,0)</f>
        <v>0</v>
      </c>
      <c r="H51" s="41" t="n">
        <f aca="false">IF(D51&lt;=0.5,0,MIN(IF(N(I51)&gt;0,I51,$F$9),D51+E51+F51))</f>
        <v>0</v>
      </c>
      <c r="I51" s="77"/>
      <c r="J51" s="77"/>
      <c r="K51" s="41" t="n">
        <f aca="false">IF(D51&lt;=0.5,0,MIN(H51+N(J51),D51+E51+F51))</f>
        <v>0</v>
      </c>
      <c r="L51" s="41" t="n">
        <f aca="false">K51-E51-F51</f>
        <v>0</v>
      </c>
      <c r="M51" s="41" t="n">
        <f aca="false">D51-L51</f>
        <v>0</v>
      </c>
      <c r="N51" s="42" t="n">
        <f aca="false">K51-G51</f>
        <v>0</v>
      </c>
      <c r="O51" s="78"/>
      <c r="P51" s="79"/>
      <c r="Q51" s="16" t="str">
        <f aca="false">IF(K51=0,"",IF(R51=1,"Pagada",IF(C51&lt;$F$12,"Vencida",IF(25=$F$13,"Próxima","Pendiente"))))</f>
        <v/>
      </c>
      <c r="R51" s="62" t="n">
        <f aca="false">IF(AND(K51&gt;0,OR(O51="Sí",O51="Si")),1,0)</f>
        <v>0</v>
      </c>
      <c r="S51" s="62" t="n">
        <f aca="false">IF(AND(K51&gt;0,R51=0),1,0)</f>
        <v>0</v>
      </c>
    </row>
    <row r="52" customFormat="false" ht="15" hidden="false" customHeight="false" outlineLevel="0" collapsed="false">
      <c r="B52" s="71" t="str">
        <f aca="false">IF($F$6="Sí",N($C$11)+25,"")</f>
        <v/>
      </c>
      <c r="C52" s="72" t="str">
        <f aca="false">IF(OR($F$6&lt;&gt;"Sí",D52&lt;=0.5),"",EDATE($C$10,25))</f>
        <v/>
      </c>
      <c r="D52" s="41" t="n">
        <f aca="false">MAX(0,M51)</f>
        <v>0</v>
      </c>
      <c r="E52" s="41" t="n">
        <f aca="false">D52*$F$7</f>
        <v>0</v>
      </c>
      <c r="F52" s="41" t="n">
        <f aca="false">IF(D52&gt;0.5,N($C$15),0)</f>
        <v>0</v>
      </c>
      <c r="G52" s="41" t="n">
        <f aca="false">IF(AND(D52&gt;0.5,N($C$19)&gt;0,N(B52)&lt;=N($C$20)),D52*$F$8,0)</f>
        <v>0</v>
      </c>
      <c r="H52" s="41" t="n">
        <f aca="false">IF(D52&lt;=0.5,0,MIN(IF(N(I52)&gt;0,I52,$F$9),D52+E52+F52))</f>
        <v>0</v>
      </c>
      <c r="I52" s="77"/>
      <c r="J52" s="77"/>
      <c r="K52" s="41" t="n">
        <f aca="false">IF(D52&lt;=0.5,0,MIN(H52+N(J52),D52+E52+F52))</f>
        <v>0</v>
      </c>
      <c r="L52" s="41" t="n">
        <f aca="false">K52-E52-F52</f>
        <v>0</v>
      </c>
      <c r="M52" s="41" t="n">
        <f aca="false">D52-L52</f>
        <v>0</v>
      </c>
      <c r="N52" s="42" t="n">
        <f aca="false">K52-G52</f>
        <v>0</v>
      </c>
      <c r="O52" s="78"/>
      <c r="P52" s="79"/>
      <c r="Q52" s="16" t="str">
        <f aca="false">IF(K52=0,"",IF(R52=1,"Pagada",IF(C52&lt;$F$12,"Vencida",IF(26=$F$13,"Próxima","Pendiente"))))</f>
        <v/>
      </c>
      <c r="R52" s="62" t="n">
        <f aca="false">IF(AND(K52&gt;0,OR(O52="Sí",O52="Si")),1,0)</f>
        <v>0</v>
      </c>
      <c r="S52" s="62" t="n">
        <f aca="false">IF(AND(K52&gt;0,R52=0),1,0)</f>
        <v>0</v>
      </c>
    </row>
    <row r="53" customFormat="false" ht="15" hidden="false" customHeight="false" outlineLevel="0" collapsed="false">
      <c r="B53" s="71" t="str">
        <f aca="false">IF($F$6="Sí",N($C$11)+26,"")</f>
        <v/>
      </c>
      <c r="C53" s="72" t="str">
        <f aca="false">IF(OR($F$6&lt;&gt;"Sí",D53&lt;=0.5),"",EDATE($C$10,26))</f>
        <v/>
      </c>
      <c r="D53" s="41" t="n">
        <f aca="false">MAX(0,M52)</f>
        <v>0</v>
      </c>
      <c r="E53" s="41" t="n">
        <f aca="false">D53*$F$7</f>
        <v>0</v>
      </c>
      <c r="F53" s="41" t="n">
        <f aca="false">IF(D53&gt;0.5,N($C$15),0)</f>
        <v>0</v>
      </c>
      <c r="G53" s="41" t="n">
        <f aca="false">IF(AND(D53&gt;0.5,N($C$19)&gt;0,N(B53)&lt;=N($C$20)),D53*$F$8,0)</f>
        <v>0</v>
      </c>
      <c r="H53" s="41" t="n">
        <f aca="false">IF(D53&lt;=0.5,0,MIN(IF(N(I53)&gt;0,I53,$F$9),D53+E53+F53))</f>
        <v>0</v>
      </c>
      <c r="I53" s="77"/>
      <c r="J53" s="77"/>
      <c r="K53" s="41" t="n">
        <f aca="false">IF(D53&lt;=0.5,0,MIN(H53+N(J53),D53+E53+F53))</f>
        <v>0</v>
      </c>
      <c r="L53" s="41" t="n">
        <f aca="false">K53-E53-F53</f>
        <v>0</v>
      </c>
      <c r="M53" s="41" t="n">
        <f aca="false">D53-L53</f>
        <v>0</v>
      </c>
      <c r="N53" s="42" t="n">
        <f aca="false">K53-G53</f>
        <v>0</v>
      </c>
      <c r="O53" s="78"/>
      <c r="P53" s="79"/>
      <c r="Q53" s="16" t="str">
        <f aca="false">IF(K53=0,"",IF(R53=1,"Pagada",IF(C53&lt;$F$12,"Vencida",IF(27=$F$13,"Próxima","Pendiente"))))</f>
        <v/>
      </c>
      <c r="R53" s="62" t="n">
        <f aca="false">IF(AND(K53&gt;0,OR(O53="Sí",O53="Si")),1,0)</f>
        <v>0</v>
      </c>
      <c r="S53" s="62" t="n">
        <f aca="false">IF(AND(K53&gt;0,R53=0),1,0)</f>
        <v>0</v>
      </c>
    </row>
    <row r="54" customFormat="false" ht="15" hidden="false" customHeight="false" outlineLevel="0" collapsed="false">
      <c r="B54" s="71" t="str">
        <f aca="false">IF($F$6="Sí",N($C$11)+27,"")</f>
        <v/>
      </c>
      <c r="C54" s="72" t="str">
        <f aca="false">IF(OR($F$6&lt;&gt;"Sí",D54&lt;=0.5),"",EDATE($C$10,27))</f>
        <v/>
      </c>
      <c r="D54" s="41" t="n">
        <f aca="false">MAX(0,M53)</f>
        <v>0</v>
      </c>
      <c r="E54" s="41" t="n">
        <f aca="false">D54*$F$7</f>
        <v>0</v>
      </c>
      <c r="F54" s="41" t="n">
        <f aca="false">IF(D54&gt;0.5,N($C$15),0)</f>
        <v>0</v>
      </c>
      <c r="G54" s="41" t="n">
        <f aca="false">IF(AND(D54&gt;0.5,N($C$19)&gt;0,N(B54)&lt;=N($C$20)),D54*$F$8,0)</f>
        <v>0</v>
      </c>
      <c r="H54" s="41" t="n">
        <f aca="false">IF(D54&lt;=0.5,0,MIN(IF(N(I54)&gt;0,I54,$F$9),D54+E54+F54))</f>
        <v>0</v>
      </c>
      <c r="I54" s="77"/>
      <c r="J54" s="77"/>
      <c r="K54" s="41" t="n">
        <f aca="false">IF(D54&lt;=0.5,0,MIN(H54+N(J54),D54+E54+F54))</f>
        <v>0</v>
      </c>
      <c r="L54" s="41" t="n">
        <f aca="false">K54-E54-F54</f>
        <v>0</v>
      </c>
      <c r="M54" s="41" t="n">
        <f aca="false">D54-L54</f>
        <v>0</v>
      </c>
      <c r="N54" s="42" t="n">
        <f aca="false">K54-G54</f>
        <v>0</v>
      </c>
      <c r="O54" s="78"/>
      <c r="P54" s="79"/>
      <c r="Q54" s="16" t="str">
        <f aca="false">IF(K54=0,"",IF(R54=1,"Pagada",IF(C54&lt;$F$12,"Vencida",IF(28=$F$13,"Próxima","Pendiente"))))</f>
        <v/>
      </c>
      <c r="R54" s="62" t="n">
        <f aca="false">IF(AND(K54&gt;0,OR(O54="Sí",O54="Si")),1,0)</f>
        <v>0</v>
      </c>
      <c r="S54" s="62" t="n">
        <f aca="false">IF(AND(K54&gt;0,R54=0),1,0)</f>
        <v>0</v>
      </c>
    </row>
    <row r="55" customFormat="false" ht="15" hidden="false" customHeight="false" outlineLevel="0" collapsed="false">
      <c r="B55" s="71" t="str">
        <f aca="false">IF($F$6="Sí",N($C$11)+28,"")</f>
        <v/>
      </c>
      <c r="C55" s="72" t="str">
        <f aca="false">IF(OR($F$6&lt;&gt;"Sí",D55&lt;=0.5),"",EDATE($C$10,28))</f>
        <v/>
      </c>
      <c r="D55" s="41" t="n">
        <f aca="false">MAX(0,M54)</f>
        <v>0</v>
      </c>
      <c r="E55" s="41" t="n">
        <f aca="false">D55*$F$7</f>
        <v>0</v>
      </c>
      <c r="F55" s="41" t="n">
        <f aca="false">IF(D55&gt;0.5,N($C$15),0)</f>
        <v>0</v>
      </c>
      <c r="G55" s="41" t="n">
        <f aca="false">IF(AND(D55&gt;0.5,N($C$19)&gt;0,N(B55)&lt;=N($C$20)),D55*$F$8,0)</f>
        <v>0</v>
      </c>
      <c r="H55" s="41" t="n">
        <f aca="false">IF(D55&lt;=0.5,0,MIN(IF(N(I55)&gt;0,I55,$F$9),D55+E55+F55))</f>
        <v>0</v>
      </c>
      <c r="I55" s="77"/>
      <c r="J55" s="77"/>
      <c r="K55" s="41" t="n">
        <f aca="false">IF(D55&lt;=0.5,0,MIN(H55+N(J55),D55+E55+F55))</f>
        <v>0</v>
      </c>
      <c r="L55" s="41" t="n">
        <f aca="false">K55-E55-F55</f>
        <v>0</v>
      </c>
      <c r="M55" s="41" t="n">
        <f aca="false">D55-L55</f>
        <v>0</v>
      </c>
      <c r="N55" s="42" t="n">
        <f aca="false">K55-G55</f>
        <v>0</v>
      </c>
      <c r="O55" s="78"/>
      <c r="P55" s="79"/>
      <c r="Q55" s="16" t="str">
        <f aca="false">IF(K55=0,"",IF(R55=1,"Pagada",IF(C55&lt;$F$12,"Vencida",IF(29=$F$13,"Próxima","Pendiente"))))</f>
        <v/>
      </c>
      <c r="R55" s="62" t="n">
        <f aca="false">IF(AND(K55&gt;0,OR(O55="Sí",O55="Si")),1,0)</f>
        <v>0</v>
      </c>
      <c r="S55" s="62" t="n">
        <f aca="false">IF(AND(K55&gt;0,R55=0),1,0)</f>
        <v>0</v>
      </c>
    </row>
    <row r="56" customFormat="false" ht="15" hidden="false" customHeight="false" outlineLevel="0" collapsed="false">
      <c r="B56" s="71" t="str">
        <f aca="false">IF($F$6="Sí",N($C$11)+29,"")</f>
        <v/>
      </c>
      <c r="C56" s="72" t="str">
        <f aca="false">IF(OR($F$6&lt;&gt;"Sí",D56&lt;=0.5),"",EDATE($C$10,29))</f>
        <v/>
      </c>
      <c r="D56" s="41" t="n">
        <f aca="false">MAX(0,M55)</f>
        <v>0</v>
      </c>
      <c r="E56" s="41" t="n">
        <f aca="false">D56*$F$7</f>
        <v>0</v>
      </c>
      <c r="F56" s="41" t="n">
        <f aca="false">IF(D56&gt;0.5,N($C$15),0)</f>
        <v>0</v>
      </c>
      <c r="G56" s="41" t="n">
        <f aca="false">IF(AND(D56&gt;0.5,N($C$19)&gt;0,N(B56)&lt;=N($C$20)),D56*$F$8,0)</f>
        <v>0</v>
      </c>
      <c r="H56" s="41" t="n">
        <f aca="false">IF(D56&lt;=0.5,0,MIN(IF(N(I56)&gt;0,I56,$F$9),D56+E56+F56))</f>
        <v>0</v>
      </c>
      <c r="I56" s="77"/>
      <c r="J56" s="77"/>
      <c r="K56" s="41" t="n">
        <f aca="false">IF(D56&lt;=0.5,0,MIN(H56+N(J56),D56+E56+F56))</f>
        <v>0</v>
      </c>
      <c r="L56" s="41" t="n">
        <f aca="false">K56-E56-F56</f>
        <v>0</v>
      </c>
      <c r="M56" s="41" t="n">
        <f aca="false">D56-L56</f>
        <v>0</v>
      </c>
      <c r="N56" s="42" t="n">
        <f aca="false">K56-G56</f>
        <v>0</v>
      </c>
      <c r="O56" s="78"/>
      <c r="P56" s="79"/>
      <c r="Q56" s="16" t="str">
        <f aca="false">IF(K56=0,"",IF(R56=1,"Pagada",IF(C56&lt;$F$12,"Vencida",IF(30=$F$13,"Próxima","Pendiente"))))</f>
        <v/>
      </c>
      <c r="R56" s="62" t="n">
        <f aca="false">IF(AND(K56&gt;0,OR(O56="Sí",O56="Si")),1,0)</f>
        <v>0</v>
      </c>
      <c r="S56" s="62" t="n">
        <f aca="false">IF(AND(K56&gt;0,R56=0),1,0)</f>
        <v>0</v>
      </c>
    </row>
    <row r="57" customFormat="false" ht="15" hidden="false" customHeight="false" outlineLevel="0" collapsed="false">
      <c r="B57" s="71" t="str">
        <f aca="false">IF($F$6="Sí",N($C$11)+30,"")</f>
        <v/>
      </c>
      <c r="C57" s="72" t="str">
        <f aca="false">IF(OR($F$6&lt;&gt;"Sí",D57&lt;=0.5),"",EDATE($C$10,30))</f>
        <v/>
      </c>
      <c r="D57" s="41" t="n">
        <f aca="false">MAX(0,M56)</f>
        <v>0</v>
      </c>
      <c r="E57" s="41" t="n">
        <f aca="false">D57*$F$7</f>
        <v>0</v>
      </c>
      <c r="F57" s="41" t="n">
        <f aca="false">IF(D57&gt;0.5,N($C$15),0)</f>
        <v>0</v>
      </c>
      <c r="G57" s="41" t="n">
        <f aca="false">IF(AND(D57&gt;0.5,N($C$19)&gt;0,N(B57)&lt;=N($C$20)),D57*$F$8,0)</f>
        <v>0</v>
      </c>
      <c r="H57" s="41" t="n">
        <f aca="false">IF(D57&lt;=0.5,0,MIN(IF(N(I57)&gt;0,I57,$F$9),D57+E57+F57))</f>
        <v>0</v>
      </c>
      <c r="I57" s="77"/>
      <c r="J57" s="77"/>
      <c r="K57" s="41" t="n">
        <f aca="false">IF(D57&lt;=0.5,0,MIN(H57+N(J57),D57+E57+F57))</f>
        <v>0</v>
      </c>
      <c r="L57" s="41" t="n">
        <f aca="false">K57-E57-F57</f>
        <v>0</v>
      </c>
      <c r="M57" s="41" t="n">
        <f aca="false">D57-L57</f>
        <v>0</v>
      </c>
      <c r="N57" s="42" t="n">
        <f aca="false">K57-G57</f>
        <v>0</v>
      </c>
      <c r="O57" s="78"/>
      <c r="P57" s="79"/>
      <c r="Q57" s="16" t="str">
        <f aca="false">IF(K57=0,"",IF(R57=1,"Pagada",IF(C57&lt;$F$12,"Vencida",IF(31=$F$13,"Próxima","Pendiente"))))</f>
        <v/>
      </c>
      <c r="R57" s="62" t="n">
        <f aca="false">IF(AND(K57&gt;0,OR(O57="Sí",O57="Si")),1,0)</f>
        <v>0</v>
      </c>
      <c r="S57" s="62" t="n">
        <f aca="false">IF(AND(K57&gt;0,R57=0),1,0)</f>
        <v>0</v>
      </c>
    </row>
    <row r="58" customFormat="false" ht="15" hidden="false" customHeight="false" outlineLevel="0" collapsed="false">
      <c r="B58" s="71" t="str">
        <f aca="false">IF($F$6="Sí",N($C$11)+31,"")</f>
        <v/>
      </c>
      <c r="C58" s="72" t="str">
        <f aca="false">IF(OR($F$6&lt;&gt;"Sí",D58&lt;=0.5),"",EDATE($C$10,31))</f>
        <v/>
      </c>
      <c r="D58" s="41" t="n">
        <f aca="false">MAX(0,M57)</f>
        <v>0</v>
      </c>
      <c r="E58" s="41" t="n">
        <f aca="false">D58*$F$7</f>
        <v>0</v>
      </c>
      <c r="F58" s="41" t="n">
        <f aca="false">IF(D58&gt;0.5,N($C$15),0)</f>
        <v>0</v>
      </c>
      <c r="G58" s="41" t="n">
        <f aca="false">IF(AND(D58&gt;0.5,N($C$19)&gt;0,N(B58)&lt;=N($C$20)),D58*$F$8,0)</f>
        <v>0</v>
      </c>
      <c r="H58" s="41" t="n">
        <f aca="false">IF(D58&lt;=0.5,0,MIN(IF(N(I58)&gt;0,I58,$F$9),D58+E58+F58))</f>
        <v>0</v>
      </c>
      <c r="I58" s="77"/>
      <c r="J58" s="77"/>
      <c r="K58" s="41" t="n">
        <f aca="false">IF(D58&lt;=0.5,0,MIN(H58+N(J58),D58+E58+F58))</f>
        <v>0</v>
      </c>
      <c r="L58" s="41" t="n">
        <f aca="false">K58-E58-F58</f>
        <v>0</v>
      </c>
      <c r="M58" s="41" t="n">
        <f aca="false">D58-L58</f>
        <v>0</v>
      </c>
      <c r="N58" s="42" t="n">
        <f aca="false">K58-G58</f>
        <v>0</v>
      </c>
      <c r="O58" s="78"/>
      <c r="P58" s="79"/>
      <c r="Q58" s="16" t="str">
        <f aca="false">IF(K58=0,"",IF(R58=1,"Pagada",IF(C58&lt;$F$12,"Vencida",IF(32=$F$13,"Próxima","Pendiente"))))</f>
        <v/>
      </c>
      <c r="R58" s="62" t="n">
        <f aca="false">IF(AND(K58&gt;0,OR(O58="Sí",O58="Si")),1,0)</f>
        <v>0</v>
      </c>
      <c r="S58" s="62" t="n">
        <f aca="false">IF(AND(K58&gt;0,R58=0),1,0)</f>
        <v>0</v>
      </c>
    </row>
    <row r="59" customFormat="false" ht="15" hidden="false" customHeight="false" outlineLevel="0" collapsed="false">
      <c r="B59" s="71" t="str">
        <f aca="false">IF($F$6="Sí",N($C$11)+32,"")</f>
        <v/>
      </c>
      <c r="C59" s="72" t="str">
        <f aca="false">IF(OR($F$6&lt;&gt;"Sí",D59&lt;=0.5),"",EDATE($C$10,32))</f>
        <v/>
      </c>
      <c r="D59" s="41" t="n">
        <f aca="false">MAX(0,M58)</f>
        <v>0</v>
      </c>
      <c r="E59" s="41" t="n">
        <f aca="false">D59*$F$7</f>
        <v>0</v>
      </c>
      <c r="F59" s="41" t="n">
        <f aca="false">IF(D59&gt;0.5,N($C$15),0)</f>
        <v>0</v>
      </c>
      <c r="G59" s="41" t="n">
        <f aca="false">IF(AND(D59&gt;0.5,N($C$19)&gt;0,N(B59)&lt;=N($C$20)),D59*$F$8,0)</f>
        <v>0</v>
      </c>
      <c r="H59" s="41" t="n">
        <f aca="false">IF(D59&lt;=0.5,0,MIN(IF(N(I59)&gt;0,I59,$F$9),D59+E59+F59))</f>
        <v>0</v>
      </c>
      <c r="I59" s="77"/>
      <c r="J59" s="77"/>
      <c r="K59" s="41" t="n">
        <f aca="false">IF(D59&lt;=0.5,0,MIN(H59+N(J59),D59+E59+F59))</f>
        <v>0</v>
      </c>
      <c r="L59" s="41" t="n">
        <f aca="false">K59-E59-F59</f>
        <v>0</v>
      </c>
      <c r="M59" s="41" t="n">
        <f aca="false">D59-L59</f>
        <v>0</v>
      </c>
      <c r="N59" s="42" t="n">
        <f aca="false">K59-G59</f>
        <v>0</v>
      </c>
      <c r="O59" s="78"/>
      <c r="P59" s="79"/>
      <c r="Q59" s="16" t="str">
        <f aca="false">IF(K59=0,"",IF(R59=1,"Pagada",IF(C59&lt;$F$12,"Vencida",IF(33=$F$13,"Próxima","Pendiente"))))</f>
        <v/>
      </c>
      <c r="R59" s="62" t="n">
        <f aca="false">IF(AND(K59&gt;0,OR(O59="Sí",O59="Si")),1,0)</f>
        <v>0</v>
      </c>
      <c r="S59" s="62" t="n">
        <f aca="false">IF(AND(K59&gt;0,R59=0),1,0)</f>
        <v>0</v>
      </c>
    </row>
    <row r="60" customFormat="false" ht="15" hidden="false" customHeight="false" outlineLevel="0" collapsed="false">
      <c r="B60" s="71" t="str">
        <f aca="false">IF($F$6="Sí",N($C$11)+33,"")</f>
        <v/>
      </c>
      <c r="C60" s="72" t="str">
        <f aca="false">IF(OR($F$6&lt;&gt;"Sí",D60&lt;=0.5),"",EDATE($C$10,33))</f>
        <v/>
      </c>
      <c r="D60" s="41" t="n">
        <f aca="false">MAX(0,M59)</f>
        <v>0</v>
      </c>
      <c r="E60" s="41" t="n">
        <f aca="false">D60*$F$7</f>
        <v>0</v>
      </c>
      <c r="F60" s="41" t="n">
        <f aca="false">IF(D60&gt;0.5,N($C$15),0)</f>
        <v>0</v>
      </c>
      <c r="G60" s="41" t="n">
        <f aca="false">IF(AND(D60&gt;0.5,N($C$19)&gt;0,N(B60)&lt;=N($C$20)),D60*$F$8,0)</f>
        <v>0</v>
      </c>
      <c r="H60" s="41" t="n">
        <f aca="false">IF(D60&lt;=0.5,0,MIN(IF(N(I60)&gt;0,I60,$F$9),D60+E60+F60))</f>
        <v>0</v>
      </c>
      <c r="I60" s="77"/>
      <c r="J60" s="77"/>
      <c r="K60" s="41" t="n">
        <f aca="false">IF(D60&lt;=0.5,0,MIN(H60+N(J60),D60+E60+F60))</f>
        <v>0</v>
      </c>
      <c r="L60" s="41" t="n">
        <f aca="false">K60-E60-F60</f>
        <v>0</v>
      </c>
      <c r="M60" s="41" t="n">
        <f aca="false">D60-L60</f>
        <v>0</v>
      </c>
      <c r="N60" s="42" t="n">
        <f aca="false">K60-G60</f>
        <v>0</v>
      </c>
      <c r="O60" s="78"/>
      <c r="P60" s="79"/>
      <c r="Q60" s="16" t="str">
        <f aca="false">IF(K60=0,"",IF(R60=1,"Pagada",IF(C60&lt;$F$12,"Vencida",IF(34=$F$13,"Próxima","Pendiente"))))</f>
        <v/>
      </c>
      <c r="R60" s="62" t="n">
        <f aca="false">IF(AND(K60&gt;0,OR(O60="Sí",O60="Si")),1,0)</f>
        <v>0</v>
      </c>
      <c r="S60" s="62" t="n">
        <f aca="false">IF(AND(K60&gt;0,R60=0),1,0)</f>
        <v>0</v>
      </c>
    </row>
    <row r="61" customFormat="false" ht="15" hidden="false" customHeight="false" outlineLevel="0" collapsed="false">
      <c r="B61" s="71" t="str">
        <f aca="false">IF($F$6="Sí",N($C$11)+34,"")</f>
        <v/>
      </c>
      <c r="C61" s="72" t="str">
        <f aca="false">IF(OR($F$6&lt;&gt;"Sí",D61&lt;=0.5),"",EDATE($C$10,34))</f>
        <v/>
      </c>
      <c r="D61" s="41" t="n">
        <f aca="false">MAX(0,M60)</f>
        <v>0</v>
      </c>
      <c r="E61" s="41" t="n">
        <f aca="false">D61*$F$7</f>
        <v>0</v>
      </c>
      <c r="F61" s="41" t="n">
        <f aca="false">IF(D61&gt;0.5,N($C$15),0)</f>
        <v>0</v>
      </c>
      <c r="G61" s="41" t="n">
        <f aca="false">IF(AND(D61&gt;0.5,N($C$19)&gt;0,N(B61)&lt;=N($C$20)),D61*$F$8,0)</f>
        <v>0</v>
      </c>
      <c r="H61" s="41" t="n">
        <f aca="false">IF(D61&lt;=0.5,0,MIN(IF(N(I61)&gt;0,I61,$F$9),D61+E61+F61))</f>
        <v>0</v>
      </c>
      <c r="I61" s="77"/>
      <c r="J61" s="77"/>
      <c r="K61" s="41" t="n">
        <f aca="false">IF(D61&lt;=0.5,0,MIN(H61+N(J61),D61+E61+F61))</f>
        <v>0</v>
      </c>
      <c r="L61" s="41" t="n">
        <f aca="false">K61-E61-F61</f>
        <v>0</v>
      </c>
      <c r="M61" s="41" t="n">
        <f aca="false">D61-L61</f>
        <v>0</v>
      </c>
      <c r="N61" s="42" t="n">
        <f aca="false">K61-G61</f>
        <v>0</v>
      </c>
      <c r="O61" s="78"/>
      <c r="P61" s="79"/>
      <c r="Q61" s="16" t="str">
        <f aca="false">IF(K61=0,"",IF(R61=1,"Pagada",IF(C61&lt;$F$12,"Vencida",IF(35=$F$13,"Próxima","Pendiente"))))</f>
        <v/>
      </c>
      <c r="R61" s="62" t="n">
        <f aca="false">IF(AND(K61&gt;0,OR(O61="Sí",O61="Si")),1,0)</f>
        <v>0</v>
      </c>
      <c r="S61" s="62" t="n">
        <f aca="false">IF(AND(K61&gt;0,R61=0),1,0)</f>
        <v>0</v>
      </c>
    </row>
    <row r="62" customFormat="false" ht="15" hidden="false" customHeight="false" outlineLevel="0" collapsed="false">
      <c r="B62" s="71" t="str">
        <f aca="false">IF($F$6="Sí",N($C$11)+35,"")</f>
        <v/>
      </c>
      <c r="C62" s="72" t="str">
        <f aca="false">IF(OR($F$6&lt;&gt;"Sí",D62&lt;=0.5),"",EDATE($C$10,35))</f>
        <v/>
      </c>
      <c r="D62" s="41" t="n">
        <f aca="false">MAX(0,M61)</f>
        <v>0</v>
      </c>
      <c r="E62" s="41" t="n">
        <f aca="false">D62*$F$7</f>
        <v>0</v>
      </c>
      <c r="F62" s="41" t="n">
        <f aca="false">IF(D62&gt;0.5,N($C$15),0)</f>
        <v>0</v>
      </c>
      <c r="G62" s="41" t="n">
        <f aca="false">IF(AND(D62&gt;0.5,N($C$19)&gt;0,N(B62)&lt;=N($C$20)),D62*$F$8,0)</f>
        <v>0</v>
      </c>
      <c r="H62" s="41" t="n">
        <f aca="false">IF(D62&lt;=0.5,0,MIN(IF(N(I62)&gt;0,I62,$F$9),D62+E62+F62))</f>
        <v>0</v>
      </c>
      <c r="I62" s="77"/>
      <c r="J62" s="77"/>
      <c r="K62" s="41" t="n">
        <f aca="false">IF(D62&lt;=0.5,0,MIN(H62+N(J62),D62+E62+F62))</f>
        <v>0</v>
      </c>
      <c r="L62" s="41" t="n">
        <f aca="false">K62-E62-F62</f>
        <v>0</v>
      </c>
      <c r="M62" s="41" t="n">
        <f aca="false">D62-L62</f>
        <v>0</v>
      </c>
      <c r="N62" s="42" t="n">
        <f aca="false">K62-G62</f>
        <v>0</v>
      </c>
      <c r="O62" s="78"/>
      <c r="P62" s="79"/>
      <c r="Q62" s="16" t="str">
        <f aca="false">IF(K62=0,"",IF(R62=1,"Pagada",IF(C62&lt;$F$12,"Vencida",IF(36=$F$13,"Próxima","Pendiente"))))</f>
        <v/>
      </c>
      <c r="R62" s="62" t="n">
        <f aca="false">IF(AND(K62&gt;0,OR(O62="Sí",O62="Si")),1,0)</f>
        <v>0</v>
      </c>
      <c r="S62" s="62" t="n">
        <f aca="false">IF(AND(K62&gt;0,R62=0),1,0)</f>
        <v>0</v>
      </c>
    </row>
    <row r="63" customFormat="false" ht="15" hidden="false" customHeight="false" outlineLevel="0" collapsed="false">
      <c r="B63" s="71" t="str">
        <f aca="false">IF($F$6="Sí",N($C$11)+36,"")</f>
        <v/>
      </c>
      <c r="C63" s="72" t="str">
        <f aca="false">IF(OR($F$6&lt;&gt;"Sí",D63&lt;=0.5),"",EDATE($C$10,36))</f>
        <v/>
      </c>
      <c r="D63" s="41" t="n">
        <f aca="false">MAX(0,M62)</f>
        <v>0</v>
      </c>
      <c r="E63" s="41" t="n">
        <f aca="false">D63*$F$7</f>
        <v>0</v>
      </c>
      <c r="F63" s="41" t="n">
        <f aca="false">IF(D63&gt;0.5,N($C$15),0)</f>
        <v>0</v>
      </c>
      <c r="G63" s="41" t="n">
        <f aca="false">IF(AND(D63&gt;0.5,N($C$19)&gt;0,N(B63)&lt;=N($C$20)),D63*$F$8,0)</f>
        <v>0</v>
      </c>
      <c r="H63" s="41" t="n">
        <f aca="false">IF(D63&lt;=0.5,0,MIN(IF(N(I63)&gt;0,I63,$F$9),D63+E63+F63))</f>
        <v>0</v>
      </c>
      <c r="I63" s="77"/>
      <c r="J63" s="77"/>
      <c r="K63" s="41" t="n">
        <f aca="false">IF(D63&lt;=0.5,0,MIN(H63+N(J63),D63+E63+F63))</f>
        <v>0</v>
      </c>
      <c r="L63" s="41" t="n">
        <f aca="false">K63-E63-F63</f>
        <v>0</v>
      </c>
      <c r="M63" s="41" t="n">
        <f aca="false">D63-L63</f>
        <v>0</v>
      </c>
      <c r="N63" s="42" t="n">
        <f aca="false">K63-G63</f>
        <v>0</v>
      </c>
      <c r="O63" s="78"/>
      <c r="P63" s="79"/>
      <c r="Q63" s="16" t="str">
        <f aca="false">IF(K63=0,"",IF(R63=1,"Pagada",IF(C63&lt;$F$12,"Vencida",IF(37=$F$13,"Próxima","Pendiente"))))</f>
        <v/>
      </c>
      <c r="R63" s="62" t="n">
        <f aca="false">IF(AND(K63&gt;0,OR(O63="Sí",O63="Si")),1,0)</f>
        <v>0</v>
      </c>
      <c r="S63" s="62" t="n">
        <f aca="false">IF(AND(K63&gt;0,R63=0),1,0)</f>
        <v>0</v>
      </c>
    </row>
    <row r="64" customFormat="false" ht="15" hidden="false" customHeight="false" outlineLevel="0" collapsed="false">
      <c r="B64" s="71" t="str">
        <f aca="false">IF($F$6="Sí",N($C$11)+37,"")</f>
        <v/>
      </c>
      <c r="C64" s="72" t="str">
        <f aca="false">IF(OR($F$6&lt;&gt;"Sí",D64&lt;=0.5),"",EDATE($C$10,37))</f>
        <v/>
      </c>
      <c r="D64" s="41" t="n">
        <f aca="false">MAX(0,M63)</f>
        <v>0</v>
      </c>
      <c r="E64" s="41" t="n">
        <f aca="false">D64*$F$7</f>
        <v>0</v>
      </c>
      <c r="F64" s="41" t="n">
        <f aca="false">IF(D64&gt;0.5,N($C$15),0)</f>
        <v>0</v>
      </c>
      <c r="G64" s="41" t="n">
        <f aca="false">IF(AND(D64&gt;0.5,N($C$19)&gt;0,N(B64)&lt;=N($C$20)),D64*$F$8,0)</f>
        <v>0</v>
      </c>
      <c r="H64" s="41" t="n">
        <f aca="false">IF(D64&lt;=0.5,0,MIN(IF(N(I64)&gt;0,I64,$F$9),D64+E64+F64))</f>
        <v>0</v>
      </c>
      <c r="I64" s="77"/>
      <c r="J64" s="77"/>
      <c r="K64" s="41" t="n">
        <f aca="false">IF(D64&lt;=0.5,0,MIN(H64+N(J64),D64+E64+F64))</f>
        <v>0</v>
      </c>
      <c r="L64" s="41" t="n">
        <f aca="false">K64-E64-F64</f>
        <v>0</v>
      </c>
      <c r="M64" s="41" t="n">
        <f aca="false">D64-L64</f>
        <v>0</v>
      </c>
      <c r="N64" s="42" t="n">
        <f aca="false">K64-G64</f>
        <v>0</v>
      </c>
      <c r="O64" s="78"/>
      <c r="P64" s="79"/>
      <c r="Q64" s="16" t="str">
        <f aca="false">IF(K64=0,"",IF(R64=1,"Pagada",IF(C64&lt;$F$12,"Vencida",IF(38=$F$13,"Próxima","Pendiente"))))</f>
        <v/>
      </c>
      <c r="R64" s="62" t="n">
        <f aca="false">IF(AND(K64&gt;0,OR(O64="Sí",O64="Si")),1,0)</f>
        <v>0</v>
      </c>
      <c r="S64" s="62" t="n">
        <f aca="false">IF(AND(K64&gt;0,R64=0),1,0)</f>
        <v>0</v>
      </c>
    </row>
    <row r="65" customFormat="false" ht="15" hidden="false" customHeight="false" outlineLevel="0" collapsed="false">
      <c r="B65" s="71" t="str">
        <f aca="false">IF($F$6="Sí",N($C$11)+38,"")</f>
        <v/>
      </c>
      <c r="C65" s="72" t="str">
        <f aca="false">IF(OR($F$6&lt;&gt;"Sí",D65&lt;=0.5),"",EDATE($C$10,38))</f>
        <v/>
      </c>
      <c r="D65" s="41" t="n">
        <f aca="false">MAX(0,M64)</f>
        <v>0</v>
      </c>
      <c r="E65" s="41" t="n">
        <f aca="false">D65*$F$7</f>
        <v>0</v>
      </c>
      <c r="F65" s="41" t="n">
        <f aca="false">IF(D65&gt;0.5,N($C$15),0)</f>
        <v>0</v>
      </c>
      <c r="G65" s="41" t="n">
        <f aca="false">IF(AND(D65&gt;0.5,N($C$19)&gt;0,N(B65)&lt;=N($C$20)),D65*$F$8,0)</f>
        <v>0</v>
      </c>
      <c r="H65" s="41" t="n">
        <f aca="false">IF(D65&lt;=0.5,0,MIN(IF(N(I65)&gt;0,I65,$F$9),D65+E65+F65))</f>
        <v>0</v>
      </c>
      <c r="I65" s="77"/>
      <c r="J65" s="77"/>
      <c r="K65" s="41" t="n">
        <f aca="false">IF(D65&lt;=0.5,0,MIN(H65+N(J65),D65+E65+F65))</f>
        <v>0</v>
      </c>
      <c r="L65" s="41" t="n">
        <f aca="false">K65-E65-F65</f>
        <v>0</v>
      </c>
      <c r="M65" s="41" t="n">
        <f aca="false">D65-L65</f>
        <v>0</v>
      </c>
      <c r="N65" s="42" t="n">
        <f aca="false">K65-G65</f>
        <v>0</v>
      </c>
      <c r="O65" s="78"/>
      <c r="P65" s="79"/>
      <c r="Q65" s="16" t="str">
        <f aca="false">IF(K65=0,"",IF(R65=1,"Pagada",IF(C65&lt;$F$12,"Vencida",IF(39=$F$13,"Próxima","Pendiente"))))</f>
        <v/>
      </c>
      <c r="R65" s="62" t="n">
        <f aca="false">IF(AND(K65&gt;0,OR(O65="Sí",O65="Si")),1,0)</f>
        <v>0</v>
      </c>
      <c r="S65" s="62" t="n">
        <f aca="false">IF(AND(K65&gt;0,R65=0),1,0)</f>
        <v>0</v>
      </c>
    </row>
    <row r="66" customFormat="false" ht="15" hidden="false" customHeight="false" outlineLevel="0" collapsed="false">
      <c r="B66" s="71" t="str">
        <f aca="false">IF($F$6="Sí",N($C$11)+39,"")</f>
        <v/>
      </c>
      <c r="C66" s="72" t="str">
        <f aca="false">IF(OR($F$6&lt;&gt;"Sí",D66&lt;=0.5),"",EDATE($C$10,39))</f>
        <v/>
      </c>
      <c r="D66" s="41" t="n">
        <f aca="false">MAX(0,M65)</f>
        <v>0</v>
      </c>
      <c r="E66" s="41" t="n">
        <f aca="false">D66*$F$7</f>
        <v>0</v>
      </c>
      <c r="F66" s="41" t="n">
        <f aca="false">IF(D66&gt;0.5,N($C$15),0)</f>
        <v>0</v>
      </c>
      <c r="G66" s="41" t="n">
        <f aca="false">IF(AND(D66&gt;0.5,N($C$19)&gt;0,N(B66)&lt;=N($C$20)),D66*$F$8,0)</f>
        <v>0</v>
      </c>
      <c r="H66" s="41" t="n">
        <f aca="false">IF(D66&lt;=0.5,0,MIN(IF(N(I66)&gt;0,I66,$F$9),D66+E66+F66))</f>
        <v>0</v>
      </c>
      <c r="I66" s="77"/>
      <c r="J66" s="77"/>
      <c r="K66" s="41" t="n">
        <f aca="false">IF(D66&lt;=0.5,0,MIN(H66+N(J66),D66+E66+F66))</f>
        <v>0</v>
      </c>
      <c r="L66" s="41" t="n">
        <f aca="false">K66-E66-F66</f>
        <v>0</v>
      </c>
      <c r="M66" s="41" t="n">
        <f aca="false">D66-L66</f>
        <v>0</v>
      </c>
      <c r="N66" s="42" t="n">
        <f aca="false">K66-G66</f>
        <v>0</v>
      </c>
      <c r="O66" s="78"/>
      <c r="P66" s="79"/>
      <c r="Q66" s="16" t="str">
        <f aca="false">IF(K66=0,"",IF(R66=1,"Pagada",IF(C66&lt;$F$12,"Vencida",IF(40=$F$13,"Próxima","Pendiente"))))</f>
        <v/>
      </c>
      <c r="R66" s="62" t="n">
        <f aca="false">IF(AND(K66&gt;0,OR(O66="Sí",O66="Si")),1,0)</f>
        <v>0</v>
      </c>
      <c r="S66" s="62" t="n">
        <f aca="false">IF(AND(K66&gt;0,R66=0),1,0)</f>
        <v>0</v>
      </c>
    </row>
    <row r="67" customFormat="false" ht="15" hidden="false" customHeight="false" outlineLevel="0" collapsed="false">
      <c r="B67" s="71" t="str">
        <f aca="false">IF($F$6="Sí",N($C$11)+40,"")</f>
        <v/>
      </c>
      <c r="C67" s="72" t="str">
        <f aca="false">IF(OR($F$6&lt;&gt;"Sí",D67&lt;=0.5),"",EDATE($C$10,40))</f>
        <v/>
      </c>
      <c r="D67" s="41" t="n">
        <f aca="false">MAX(0,M66)</f>
        <v>0</v>
      </c>
      <c r="E67" s="41" t="n">
        <f aca="false">D67*$F$7</f>
        <v>0</v>
      </c>
      <c r="F67" s="41" t="n">
        <f aca="false">IF(D67&gt;0.5,N($C$15),0)</f>
        <v>0</v>
      </c>
      <c r="G67" s="41" t="n">
        <f aca="false">IF(AND(D67&gt;0.5,N($C$19)&gt;0,N(B67)&lt;=N($C$20)),D67*$F$8,0)</f>
        <v>0</v>
      </c>
      <c r="H67" s="41" t="n">
        <f aca="false">IF(D67&lt;=0.5,0,MIN(IF(N(I67)&gt;0,I67,$F$9),D67+E67+F67))</f>
        <v>0</v>
      </c>
      <c r="I67" s="77"/>
      <c r="J67" s="77"/>
      <c r="K67" s="41" t="n">
        <f aca="false">IF(D67&lt;=0.5,0,MIN(H67+N(J67),D67+E67+F67))</f>
        <v>0</v>
      </c>
      <c r="L67" s="41" t="n">
        <f aca="false">K67-E67-F67</f>
        <v>0</v>
      </c>
      <c r="M67" s="41" t="n">
        <f aca="false">D67-L67</f>
        <v>0</v>
      </c>
      <c r="N67" s="42" t="n">
        <f aca="false">K67-G67</f>
        <v>0</v>
      </c>
      <c r="O67" s="78"/>
      <c r="P67" s="79"/>
      <c r="Q67" s="16" t="str">
        <f aca="false">IF(K67=0,"",IF(R67=1,"Pagada",IF(C67&lt;$F$12,"Vencida",IF(41=$F$13,"Próxima","Pendiente"))))</f>
        <v/>
      </c>
      <c r="R67" s="62" t="n">
        <f aca="false">IF(AND(K67&gt;0,OR(O67="Sí",O67="Si")),1,0)</f>
        <v>0</v>
      </c>
      <c r="S67" s="62" t="n">
        <f aca="false">IF(AND(K67&gt;0,R67=0),1,0)</f>
        <v>0</v>
      </c>
    </row>
    <row r="68" customFormat="false" ht="15" hidden="false" customHeight="false" outlineLevel="0" collapsed="false">
      <c r="B68" s="71" t="str">
        <f aca="false">IF($F$6="Sí",N($C$11)+41,"")</f>
        <v/>
      </c>
      <c r="C68" s="72" t="str">
        <f aca="false">IF(OR($F$6&lt;&gt;"Sí",D68&lt;=0.5),"",EDATE($C$10,41))</f>
        <v/>
      </c>
      <c r="D68" s="41" t="n">
        <f aca="false">MAX(0,M67)</f>
        <v>0</v>
      </c>
      <c r="E68" s="41" t="n">
        <f aca="false">D68*$F$7</f>
        <v>0</v>
      </c>
      <c r="F68" s="41" t="n">
        <f aca="false">IF(D68&gt;0.5,N($C$15),0)</f>
        <v>0</v>
      </c>
      <c r="G68" s="41" t="n">
        <f aca="false">IF(AND(D68&gt;0.5,N($C$19)&gt;0,N(B68)&lt;=N($C$20)),D68*$F$8,0)</f>
        <v>0</v>
      </c>
      <c r="H68" s="41" t="n">
        <f aca="false">IF(D68&lt;=0.5,0,MIN(IF(N(I68)&gt;0,I68,$F$9),D68+E68+F68))</f>
        <v>0</v>
      </c>
      <c r="I68" s="77"/>
      <c r="J68" s="77"/>
      <c r="K68" s="41" t="n">
        <f aca="false">IF(D68&lt;=0.5,0,MIN(H68+N(J68),D68+E68+F68))</f>
        <v>0</v>
      </c>
      <c r="L68" s="41" t="n">
        <f aca="false">K68-E68-F68</f>
        <v>0</v>
      </c>
      <c r="M68" s="41" t="n">
        <f aca="false">D68-L68</f>
        <v>0</v>
      </c>
      <c r="N68" s="42" t="n">
        <f aca="false">K68-G68</f>
        <v>0</v>
      </c>
      <c r="O68" s="78"/>
      <c r="P68" s="79"/>
      <c r="Q68" s="16" t="str">
        <f aca="false">IF(K68=0,"",IF(R68=1,"Pagada",IF(C68&lt;$F$12,"Vencida",IF(42=$F$13,"Próxima","Pendiente"))))</f>
        <v/>
      </c>
      <c r="R68" s="62" t="n">
        <f aca="false">IF(AND(K68&gt;0,OR(O68="Sí",O68="Si")),1,0)</f>
        <v>0</v>
      </c>
      <c r="S68" s="62" t="n">
        <f aca="false">IF(AND(K68&gt;0,R68=0),1,0)</f>
        <v>0</v>
      </c>
    </row>
    <row r="69" customFormat="false" ht="15" hidden="false" customHeight="false" outlineLevel="0" collapsed="false">
      <c r="B69" s="71" t="str">
        <f aca="false">IF($F$6="Sí",N($C$11)+42,"")</f>
        <v/>
      </c>
      <c r="C69" s="72" t="str">
        <f aca="false">IF(OR($F$6&lt;&gt;"Sí",D69&lt;=0.5),"",EDATE($C$10,42))</f>
        <v/>
      </c>
      <c r="D69" s="41" t="n">
        <f aca="false">MAX(0,M68)</f>
        <v>0</v>
      </c>
      <c r="E69" s="41" t="n">
        <f aca="false">D69*$F$7</f>
        <v>0</v>
      </c>
      <c r="F69" s="41" t="n">
        <f aca="false">IF(D69&gt;0.5,N($C$15),0)</f>
        <v>0</v>
      </c>
      <c r="G69" s="41" t="n">
        <f aca="false">IF(AND(D69&gt;0.5,N($C$19)&gt;0,N(B69)&lt;=N($C$20)),D69*$F$8,0)</f>
        <v>0</v>
      </c>
      <c r="H69" s="41" t="n">
        <f aca="false">IF(D69&lt;=0.5,0,MIN(IF(N(I69)&gt;0,I69,$F$9),D69+E69+F69))</f>
        <v>0</v>
      </c>
      <c r="I69" s="77"/>
      <c r="J69" s="77"/>
      <c r="K69" s="41" t="n">
        <f aca="false">IF(D69&lt;=0.5,0,MIN(H69+N(J69),D69+E69+F69))</f>
        <v>0</v>
      </c>
      <c r="L69" s="41" t="n">
        <f aca="false">K69-E69-F69</f>
        <v>0</v>
      </c>
      <c r="M69" s="41" t="n">
        <f aca="false">D69-L69</f>
        <v>0</v>
      </c>
      <c r="N69" s="42" t="n">
        <f aca="false">K69-G69</f>
        <v>0</v>
      </c>
      <c r="O69" s="78"/>
      <c r="P69" s="79"/>
      <c r="Q69" s="16" t="str">
        <f aca="false">IF(K69=0,"",IF(R69=1,"Pagada",IF(C69&lt;$F$12,"Vencida",IF(43=$F$13,"Próxima","Pendiente"))))</f>
        <v/>
      </c>
      <c r="R69" s="62" t="n">
        <f aca="false">IF(AND(K69&gt;0,OR(O69="Sí",O69="Si")),1,0)</f>
        <v>0</v>
      </c>
      <c r="S69" s="62" t="n">
        <f aca="false">IF(AND(K69&gt;0,R69=0),1,0)</f>
        <v>0</v>
      </c>
    </row>
    <row r="70" customFormat="false" ht="15" hidden="false" customHeight="false" outlineLevel="0" collapsed="false">
      <c r="B70" s="71" t="str">
        <f aca="false">IF($F$6="Sí",N($C$11)+43,"")</f>
        <v/>
      </c>
      <c r="C70" s="72" t="str">
        <f aca="false">IF(OR($F$6&lt;&gt;"Sí",D70&lt;=0.5),"",EDATE($C$10,43))</f>
        <v/>
      </c>
      <c r="D70" s="41" t="n">
        <f aca="false">MAX(0,M69)</f>
        <v>0</v>
      </c>
      <c r="E70" s="41" t="n">
        <f aca="false">D70*$F$7</f>
        <v>0</v>
      </c>
      <c r="F70" s="41" t="n">
        <f aca="false">IF(D70&gt;0.5,N($C$15),0)</f>
        <v>0</v>
      </c>
      <c r="G70" s="41" t="n">
        <f aca="false">IF(AND(D70&gt;0.5,N($C$19)&gt;0,N(B70)&lt;=N($C$20)),D70*$F$8,0)</f>
        <v>0</v>
      </c>
      <c r="H70" s="41" t="n">
        <f aca="false">IF(D70&lt;=0.5,0,MIN(IF(N(I70)&gt;0,I70,$F$9),D70+E70+F70))</f>
        <v>0</v>
      </c>
      <c r="I70" s="77"/>
      <c r="J70" s="77"/>
      <c r="K70" s="41" t="n">
        <f aca="false">IF(D70&lt;=0.5,0,MIN(H70+N(J70),D70+E70+F70))</f>
        <v>0</v>
      </c>
      <c r="L70" s="41" t="n">
        <f aca="false">K70-E70-F70</f>
        <v>0</v>
      </c>
      <c r="M70" s="41" t="n">
        <f aca="false">D70-L70</f>
        <v>0</v>
      </c>
      <c r="N70" s="42" t="n">
        <f aca="false">K70-G70</f>
        <v>0</v>
      </c>
      <c r="O70" s="78"/>
      <c r="P70" s="79"/>
      <c r="Q70" s="16" t="str">
        <f aca="false">IF(K70=0,"",IF(R70=1,"Pagada",IF(C70&lt;$F$12,"Vencida",IF(44=$F$13,"Próxima","Pendiente"))))</f>
        <v/>
      </c>
      <c r="R70" s="62" t="n">
        <f aca="false">IF(AND(K70&gt;0,OR(O70="Sí",O70="Si")),1,0)</f>
        <v>0</v>
      </c>
      <c r="S70" s="62" t="n">
        <f aca="false">IF(AND(K70&gt;0,R70=0),1,0)</f>
        <v>0</v>
      </c>
    </row>
    <row r="71" customFormat="false" ht="15" hidden="false" customHeight="false" outlineLevel="0" collapsed="false">
      <c r="B71" s="71" t="str">
        <f aca="false">IF($F$6="Sí",N($C$11)+44,"")</f>
        <v/>
      </c>
      <c r="C71" s="72" t="str">
        <f aca="false">IF(OR($F$6&lt;&gt;"Sí",D71&lt;=0.5),"",EDATE($C$10,44))</f>
        <v/>
      </c>
      <c r="D71" s="41" t="n">
        <f aca="false">MAX(0,M70)</f>
        <v>0</v>
      </c>
      <c r="E71" s="41" t="n">
        <f aca="false">D71*$F$7</f>
        <v>0</v>
      </c>
      <c r="F71" s="41" t="n">
        <f aca="false">IF(D71&gt;0.5,N($C$15),0)</f>
        <v>0</v>
      </c>
      <c r="G71" s="41" t="n">
        <f aca="false">IF(AND(D71&gt;0.5,N($C$19)&gt;0,N(B71)&lt;=N($C$20)),D71*$F$8,0)</f>
        <v>0</v>
      </c>
      <c r="H71" s="41" t="n">
        <f aca="false">IF(D71&lt;=0.5,0,MIN(IF(N(I71)&gt;0,I71,$F$9),D71+E71+F71))</f>
        <v>0</v>
      </c>
      <c r="I71" s="77"/>
      <c r="J71" s="77"/>
      <c r="K71" s="41" t="n">
        <f aca="false">IF(D71&lt;=0.5,0,MIN(H71+N(J71),D71+E71+F71))</f>
        <v>0</v>
      </c>
      <c r="L71" s="41" t="n">
        <f aca="false">K71-E71-F71</f>
        <v>0</v>
      </c>
      <c r="M71" s="41" t="n">
        <f aca="false">D71-L71</f>
        <v>0</v>
      </c>
      <c r="N71" s="42" t="n">
        <f aca="false">K71-G71</f>
        <v>0</v>
      </c>
      <c r="O71" s="78"/>
      <c r="P71" s="79"/>
      <c r="Q71" s="16" t="str">
        <f aca="false">IF(K71=0,"",IF(R71=1,"Pagada",IF(C71&lt;$F$12,"Vencida",IF(45=$F$13,"Próxima","Pendiente"))))</f>
        <v/>
      </c>
      <c r="R71" s="62" t="n">
        <f aca="false">IF(AND(K71&gt;0,OR(O71="Sí",O71="Si")),1,0)</f>
        <v>0</v>
      </c>
      <c r="S71" s="62" t="n">
        <f aca="false">IF(AND(K71&gt;0,R71=0),1,0)</f>
        <v>0</v>
      </c>
    </row>
    <row r="72" customFormat="false" ht="15" hidden="false" customHeight="false" outlineLevel="0" collapsed="false">
      <c r="B72" s="71" t="str">
        <f aca="false">IF($F$6="Sí",N($C$11)+45,"")</f>
        <v/>
      </c>
      <c r="C72" s="72" t="str">
        <f aca="false">IF(OR($F$6&lt;&gt;"Sí",D72&lt;=0.5),"",EDATE($C$10,45))</f>
        <v/>
      </c>
      <c r="D72" s="41" t="n">
        <f aca="false">MAX(0,M71)</f>
        <v>0</v>
      </c>
      <c r="E72" s="41" t="n">
        <f aca="false">D72*$F$7</f>
        <v>0</v>
      </c>
      <c r="F72" s="41" t="n">
        <f aca="false">IF(D72&gt;0.5,N($C$15),0)</f>
        <v>0</v>
      </c>
      <c r="G72" s="41" t="n">
        <f aca="false">IF(AND(D72&gt;0.5,N($C$19)&gt;0,N(B72)&lt;=N($C$20)),D72*$F$8,0)</f>
        <v>0</v>
      </c>
      <c r="H72" s="41" t="n">
        <f aca="false">IF(D72&lt;=0.5,0,MIN(IF(N(I72)&gt;0,I72,$F$9),D72+E72+F72))</f>
        <v>0</v>
      </c>
      <c r="I72" s="77"/>
      <c r="J72" s="77"/>
      <c r="K72" s="41" t="n">
        <f aca="false">IF(D72&lt;=0.5,0,MIN(H72+N(J72),D72+E72+F72))</f>
        <v>0</v>
      </c>
      <c r="L72" s="41" t="n">
        <f aca="false">K72-E72-F72</f>
        <v>0</v>
      </c>
      <c r="M72" s="41" t="n">
        <f aca="false">D72-L72</f>
        <v>0</v>
      </c>
      <c r="N72" s="42" t="n">
        <f aca="false">K72-G72</f>
        <v>0</v>
      </c>
      <c r="O72" s="78"/>
      <c r="P72" s="79"/>
      <c r="Q72" s="16" t="str">
        <f aca="false">IF(K72=0,"",IF(R72=1,"Pagada",IF(C72&lt;$F$12,"Vencida",IF(46=$F$13,"Próxima","Pendiente"))))</f>
        <v/>
      </c>
      <c r="R72" s="62" t="n">
        <f aca="false">IF(AND(K72&gt;0,OR(O72="Sí",O72="Si")),1,0)</f>
        <v>0</v>
      </c>
      <c r="S72" s="62" t="n">
        <f aca="false">IF(AND(K72&gt;0,R72=0),1,0)</f>
        <v>0</v>
      </c>
    </row>
    <row r="73" customFormat="false" ht="15" hidden="false" customHeight="false" outlineLevel="0" collapsed="false">
      <c r="B73" s="71" t="str">
        <f aca="false">IF($F$6="Sí",N($C$11)+46,"")</f>
        <v/>
      </c>
      <c r="C73" s="72" t="str">
        <f aca="false">IF(OR($F$6&lt;&gt;"Sí",D73&lt;=0.5),"",EDATE($C$10,46))</f>
        <v/>
      </c>
      <c r="D73" s="41" t="n">
        <f aca="false">MAX(0,M72)</f>
        <v>0</v>
      </c>
      <c r="E73" s="41" t="n">
        <f aca="false">D73*$F$7</f>
        <v>0</v>
      </c>
      <c r="F73" s="41" t="n">
        <f aca="false">IF(D73&gt;0.5,N($C$15),0)</f>
        <v>0</v>
      </c>
      <c r="G73" s="41" t="n">
        <f aca="false">IF(AND(D73&gt;0.5,N($C$19)&gt;0,N(B73)&lt;=N($C$20)),D73*$F$8,0)</f>
        <v>0</v>
      </c>
      <c r="H73" s="41" t="n">
        <f aca="false">IF(D73&lt;=0.5,0,MIN(IF(N(I73)&gt;0,I73,$F$9),D73+E73+F73))</f>
        <v>0</v>
      </c>
      <c r="I73" s="77"/>
      <c r="J73" s="77"/>
      <c r="K73" s="41" t="n">
        <f aca="false">IF(D73&lt;=0.5,0,MIN(H73+N(J73),D73+E73+F73))</f>
        <v>0</v>
      </c>
      <c r="L73" s="41" t="n">
        <f aca="false">K73-E73-F73</f>
        <v>0</v>
      </c>
      <c r="M73" s="41" t="n">
        <f aca="false">D73-L73</f>
        <v>0</v>
      </c>
      <c r="N73" s="42" t="n">
        <f aca="false">K73-G73</f>
        <v>0</v>
      </c>
      <c r="O73" s="78"/>
      <c r="P73" s="79"/>
      <c r="Q73" s="16" t="str">
        <f aca="false">IF(K73=0,"",IF(R73=1,"Pagada",IF(C73&lt;$F$12,"Vencida",IF(47=$F$13,"Próxima","Pendiente"))))</f>
        <v/>
      </c>
      <c r="R73" s="62" t="n">
        <f aca="false">IF(AND(K73&gt;0,OR(O73="Sí",O73="Si")),1,0)</f>
        <v>0</v>
      </c>
      <c r="S73" s="62" t="n">
        <f aca="false">IF(AND(K73&gt;0,R73=0),1,0)</f>
        <v>0</v>
      </c>
    </row>
    <row r="74" customFormat="false" ht="15" hidden="false" customHeight="false" outlineLevel="0" collapsed="false">
      <c r="B74" s="71" t="str">
        <f aca="false">IF($F$6="Sí",N($C$11)+47,"")</f>
        <v/>
      </c>
      <c r="C74" s="72" t="str">
        <f aca="false">IF(OR($F$6&lt;&gt;"Sí",D74&lt;=0.5),"",EDATE($C$10,47))</f>
        <v/>
      </c>
      <c r="D74" s="41" t="n">
        <f aca="false">MAX(0,M73)</f>
        <v>0</v>
      </c>
      <c r="E74" s="41" t="n">
        <f aca="false">D74*$F$7</f>
        <v>0</v>
      </c>
      <c r="F74" s="41" t="n">
        <f aca="false">IF(D74&gt;0.5,N($C$15),0)</f>
        <v>0</v>
      </c>
      <c r="G74" s="41" t="n">
        <f aca="false">IF(AND(D74&gt;0.5,N($C$19)&gt;0,N(B74)&lt;=N($C$20)),D74*$F$8,0)</f>
        <v>0</v>
      </c>
      <c r="H74" s="41" t="n">
        <f aca="false">IF(D74&lt;=0.5,0,MIN(IF(N(I74)&gt;0,I74,$F$9),D74+E74+F74))</f>
        <v>0</v>
      </c>
      <c r="I74" s="77"/>
      <c r="J74" s="77"/>
      <c r="K74" s="41" t="n">
        <f aca="false">IF(D74&lt;=0.5,0,MIN(H74+N(J74),D74+E74+F74))</f>
        <v>0</v>
      </c>
      <c r="L74" s="41" t="n">
        <f aca="false">K74-E74-F74</f>
        <v>0</v>
      </c>
      <c r="M74" s="41" t="n">
        <f aca="false">D74-L74</f>
        <v>0</v>
      </c>
      <c r="N74" s="42" t="n">
        <f aca="false">K74-G74</f>
        <v>0</v>
      </c>
      <c r="O74" s="78"/>
      <c r="P74" s="79"/>
      <c r="Q74" s="16" t="str">
        <f aca="false">IF(K74=0,"",IF(R74=1,"Pagada",IF(C74&lt;$F$12,"Vencida",IF(48=$F$13,"Próxima","Pendiente"))))</f>
        <v/>
      </c>
      <c r="R74" s="62" t="n">
        <f aca="false">IF(AND(K74&gt;0,OR(O74="Sí",O74="Si")),1,0)</f>
        <v>0</v>
      </c>
      <c r="S74" s="62" t="n">
        <f aca="false">IF(AND(K74&gt;0,R74=0),1,0)</f>
        <v>0</v>
      </c>
    </row>
    <row r="75" customFormat="false" ht="15" hidden="false" customHeight="false" outlineLevel="0" collapsed="false">
      <c r="B75" s="71" t="str">
        <f aca="false">IF($F$6="Sí",N($C$11)+48,"")</f>
        <v/>
      </c>
      <c r="C75" s="72" t="str">
        <f aca="false">IF(OR($F$6&lt;&gt;"Sí",D75&lt;=0.5),"",EDATE($C$10,48))</f>
        <v/>
      </c>
      <c r="D75" s="41" t="n">
        <f aca="false">MAX(0,M74)</f>
        <v>0</v>
      </c>
      <c r="E75" s="41" t="n">
        <f aca="false">D75*$F$7</f>
        <v>0</v>
      </c>
      <c r="F75" s="41" t="n">
        <f aca="false">IF(D75&gt;0.5,N($C$15),0)</f>
        <v>0</v>
      </c>
      <c r="G75" s="41" t="n">
        <f aca="false">IF(AND(D75&gt;0.5,N($C$19)&gt;0,N(B75)&lt;=N($C$20)),D75*$F$8,0)</f>
        <v>0</v>
      </c>
      <c r="H75" s="41" t="n">
        <f aca="false">IF(D75&lt;=0.5,0,MIN(IF(N(I75)&gt;0,I75,$F$9),D75+E75+F75))</f>
        <v>0</v>
      </c>
      <c r="I75" s="77"/>
      <c r="J75" s="77"/>
      <c r="K75" s="41" t="n">
        <f aca="false">IF(D75&lt;=0.5,0,MIN(H75+N(J75),D75+E75+F75))</f>
        <v>0</v>
      </c>
      <c r="L75" s="41" t="n">
        <f aca="false">K75-E75-F75</f>
        <v>0</v>
      </c>
      <c r="M75" s="41" t="n">
        <f aca="false">D75-L75</f>
        <v>0</v>
      </c>
      <c r="N75" s="42" t="n">
        <f aca="false">K75-G75</f>
        <v>0</v>
      </c>
      <c r="O75" s="78"/>
      <c r="P75" s="79"/>
      <c r="Q75" s="16" t="str">
        <f aca="false">IF(K75=0,"",IF(R75=1,"Pagada",IF(C75&lt;$F$12,"Vencida",IF(49=$F$13,"Próxima","Pendiente"))))</f>
        <v/>
      </c>
      <c r="R75" s="62" t="n">
        <f aca="false">IF(AND(K75&gt;0,OR(O75="Sí",O75="Si")),1,0)</f>
        <v>0</v>
      </c>
      <c r="S75" s="62" t="n">
        <f aca="false">IF(AND(K75&gt;0,R75=0),1,0)</f>
        <v>0</v>
      </c>
    </row>
    <row r="76" customFormat="false" ht="15" hidden="false" customHeight="false" outlineLevel="0" collapsed="false">
      <c r="B76" s="71" t="str">
        <f aca="false">IF($F$6="Sí",N($C$11)+49,"")</f>
        <v/>
      </c>
      <c r="C76" s="72" t="str">
        <f aca="false">IF(OR($F$6&lt;&gt;"Sí",D76&lt;=0.5),"",EDATE($C$10,49))</f>
        <v/>
      </c>
      <c r="D76" s="41" t="n">
        <f aca="false">MAX(0,M75)</f>
        <v>0</v>
      </c>
      <c r="E76" s="41" t="n">
        <f aca="false">D76*$F$7</f>
        <v>0</v>
      </c>
      <c r="F76" s="41" t="n">
        <f aca="false">IF(D76&gt;0.5,N($C$15),0)</f>
        <v>0</v>
      </c>
      <c r="G76" s="41" t="n">
        <f aca="false">IF(AND(D76&gt;0.5,N($C$19)&gt;0,N(B76)&lt;=N($C$20)),D76*$F$8,0)</f>
        <v>0</v>
      </c>
      <c r="H76" s="41" t="n">
        <f aca="false">IF(D76&lt;=0.5,0,MIN(IF(N(I76)&gt;0,I76,$F$9),D76+E76+F76))</f>
        <v>0</v>
      </c>
      <c r="I76" s="77"/>
      <c r="J76" s="77"/>
      <c r="K76" s="41" t="n">
        <f aca="false">IF(D76&lt;=0.5,0,MIN(H76+N(J76),D76+E76+F76))</f>
        <v>0</v>
      </c>
      <c r="L76" s="41" t="n">
        <f aca="false">K76-E76-F76</f>
        <v>0</v>
      </c>
      <c r="M76" s="41" t="n">
        <f aca="false">D76-L76</f>
        <v>0</v>
      </c>
      <c r="N76" s="42" t="n">
        <f aca="false">K76-G76</f>
        <v>0</v>
      </c>
      <c r="O76" s="78"/>
      <c r="P76" s="79"/>
      <c r="Q76" s="16" t="str">
        <f aca="false">IF(K76=0,"",IF(R76=1,"Pagada",IF(C76&lt;$F$12,"Vencida",IF(50=$F$13,"Próxima","Pendiente"))))</f>
        <v/>
      </c>
      <c r="R76" s="62" t="n">
        <f aca="false">IF(AND(K76&gt;0,OR(O76="Sí",O76="Si")),1,0)</f>
        <v>0</v>
      </c>
      <c r="S76" s="62" t="n">
        <f aca="false">IF(AND(K76&gt;0,R76=0),1,0)</f>
        <v>0</v>
      </c>
    </row>
    <row r="77" customFormat="false" ht="15" hidden="false" customHeight="false" outlineLevel="0" collapsed="false">
      <c r="B77" s="71" t="str">
        <f aca="false">IF($F$6="Sí",N($C$11)+50,"")</f>
        <v/>
      </c>
      <c r="C77" s="72" t="str">
        <f aca="false">IF(OR($F$6&lt;&gt;"Sí",D77&lt;=0.5),"",EDATE($C$10,50))</f>
        <v/>
      </c>
      <c r="D77" s="41" t="n">
        <f aca="false">MAX(0,M76)</f>
        <v>0</v>
      </c>
      <c r="E77" s="41" t="n">
        <f aca="false">D77*$F$7</f>
        <v>0</v>
      </c>
      <c r="F77" s="41" t="n">
        <f aca="false">IF(D77&gt;0.5,N($C$15),0)</f>
        <v>0</v>
      </c>
      <c r="G77" s="41" t="n">
        <f aca="false">IF(AND(D77&gt;0.5,N($C$19)&gt;0,N(B77)&lt;=N($C$20)),D77*$F$8,0)</f>
        <v>0</v>
      </c>
      <c r="H77" s="41" t="n">
        <f aca="false">IF(D77&lt;=0.5,0,MIN(IF(N(I77)&gt;0,I77,$F$9),D77+E77+F77))</f>
        <v>0</v>
      </c>
      <c r="I77" s="77"/>
      <c r="J77" s="77"/>
      <c r="K77" s="41" t="n">
        <f aca="false">IF(D77&lt;=0.5,0,MIN(H77+N(J77),D77+E77+F77))</f>
        <v>0</v>
      </c>
      <c r="L77" s="41" t="n">
        <f aca="false">K77-E77-F77</f>
        <v>0</v>
      </c>
      <c r="M77" s="41" t="n">
        <f aca="false">D77-L77</f>
        <v>0</v>
      </c>
      <c r="N77" s="42" t="n">
        <f aca="false">K77-G77</f>
        <v>0</v>
      </c>
      <c r="O77" s="78"/>
      <c r="P77" s="79"/>
      <c r="Q77" s="16" t="str">
        <f aca="false">IF(K77=0,"",IF(R77=1,"Pagada",IF(C77&lt;$F$12,"Vencida",IF(51=$F$13,"Próxima","Pendiente"))))</f>
        <v/>
      </c>
      <c r="R77" s="62" t="n">
        <f aca="false">IF(AND(K77&gt;0,OR(O77="Sí",O77="Si")),1,0)</f>
        <v>0</v>
      </c>
      <c r="S77" s="62" t="n">
        <f aca="false">IF(AND(K77&gt;0,R77=0),1,0)</f>
        <v>0</v>
      </c>
    </row>
    <row r="78" customFormat="false" ht="15" hidden="false" customHeight="false" outlineLevel="0" collapsed="false">
      <c r="B78" s="71" t="str">
        <f aca="false">IF($F$6="Sí",N($C$11)+51,"")</f>
        <v/>
      </c>
      <c r="C78" s="72" t="str">
        <f aca="false">IF(OR($F$6&lt;&gt;"Sí",D78&lt;=0.5),"",EDATE($C$10,51))</f>
        <v/>
      </c>
      <c r="D78" s="41" t="n">
        <f aca="false">MAX(0,M77)</f>
        <v>0</v>
      </c>
      <c r="E78" s="41" t="n">
        <f aca="false">D78*$F$7</f>
        <v>0</v>
      </c>
      <c r="F78" s="41" t="n">
        <f aca="false">IF(D78&gt;0.5,N($C$15),0)</f>
        <v>0</v>
      </c>
      <c r="G78" s="41" t="n">
        <f aca="false">IF(AND(D78&gt;0.5,N($C$19)&gt;0,N(B78)&lt;=N($C$20)),D78*$F$8,0)</f>
        <v>0</v>
      </c>
      <c r="H78" s="41" t="n">
        <f aca="false">IF(D78&lt;=0.5,0,MIN(IF(N(I78)&gt;0,I78,$F$9),D78+E78+F78))</f>
        <v>0</v>
      </c>
      <c r="I78" s="77"/>
      <c r="J78" s="77"/>
      <c r="K78" s="41" t="n">
        <f aca="false">IF(D78&lt;=0.5,0,MIN(H78+N(J78),D78+E78+F78))</f>
        <v>0</v>
      </c>
      <c r="L78" s="41" t="n">
        <f aca="false">K78-E78-F78</f>
        <v>0</v>
      </c>
      <c r="M78" s="41" t="n">
        <f aca="false">D78-L78</f>
        <v>0</v>
      </c>
      <c r="N78" s="42" t="n">
        <f aca="false">K78-G78</f>
        <v>0</v>
      </c>
      <c r="O78" s="78"/>
      <c r="P78" s="79"/>
      <c r="Q78" s="16" t="str">
        <f aca="false">IF(K78=0,"",IF(R78=1,"Pagada",IF(C78&lt;$F$12,"Vencida",IF(52=$F$13,"Próxima","Pendiente"))))</f>
        <v/>
      </c>
      <c r="R78" s="62" t="n">
        <f aca="false">IF(AND(K78&gt;0,OR(O78="Sí",O78="Si")),1,0)</f>
        <v>0</v>
      </c>
      <c r="S78" s="62" t="n">
        <f aca="false">IF(AND(K78&gt;0,R78=0),1,0)</f>
        <v>0</v>
      </c>
    </row>
    <row r="79" customFormat="false" ht="15" hidden="false" customHeight="false" outlineLevel="0" collapsed="false">
      <c r="B79" s="71" t="str">
        <f aca="false">IF($F$6="Sí",N($C$11)+52,"")</f>
        <v/>
      </c>
      <c r="C79" s="72" t="str">
        <f aca="false">IF(OR($F$6&lt;&gt;"Sí",D79&lt;=0.5),"",EDATE($C$10,52))</f>
        <v/>
      </c>
      <c r="D79" s="41" t="n">
        <f aca="false">MAX(0,M78)</f>
        <v>0</v>
      </c>
      <c r="E79" s="41" t="n">
        <f aca="false">D79*$F$7</f>
        <v>0</v>
      </c>
      <c r="F79" s="41" t="n">
        <f aca="false">IF(D79&gt;0.5,N($C$15),0)</f>
        <v>0</v>
      </c>
      <c r="G79" s="41" t="n">
        <f aca="false">IF(AND(D79&gt;0.5,N($C$19)&gt;0,N(B79)&lt;=N($C$20)),D79*$F$8,0)</f>
        <v>0</v>
      </c>
      <c r="H79" s="41" t="n">
        <f aca="false">IF(D79&lt;=0.5,0,MIN(IF(N(I79)&gt;0,I79,$F$9),D79+E79+F79))</f>
        <v>0</v>
      </c>
      <c r="I79" s="77"/>
      <c r="J79" s="77"/>
      <c r="K79" s="41" t="n">
        <f aca="false">IF(D79&lt;=0.5,0,MIN(H79+N(J79),D79+E79+F79))</f>
        <v>0</v>
      </c>
      <c r="L79" s="41" t="n">
        <f aca="false">K79-E79-F79</f>
        <v>0</v>
      </c>
      <c r="M79" s="41" t="n">
        <f aca="false">D79-L79</f>
        <v>0</v>
      </c>
      <c r="N79" s="42" t="n">
        <f aca="false">K79-G79</f>
        <v>0</v>
      </c>
      <c r="O79" s="78"/>
      <c r="P79" s="79"/>
      <c r="Q79" s="16" t="str">
        <f aca="false">IF(K79=0,"",IF(R79=1,"Pagada",IF(C79&lt;$F$12,"Vencida",IF(53=$F$13,"Próxima","Pendiente"))))</f>
        <v/>
      </c>
      <c r="R79" s="62" t="n">
        <f aca="false">IF(AND(K79&gt;0,OR(O79="Sí",O79="Si")),1,0)</f>
        <v>0</v>
      </c>
      <c r="S79" s="62" t="n">
        <f aca="false">IF(AND(K79&gt;0,R79=0),1,0)</f>
        <v>0</v>
      </c>
    </row>
    <row r="80" customFormat="false" ht="15" hidden="false" customHeight="false" outlineLevel="0" collapsed="false">
      <c r="B80" s="71" t="str">
        <f aca="false">IF($F$6="Sí",N($C$11)+53,"")</f>
        <v/>
      </c>
      <c r="C80" s="72" t="str">
        <f aca="false">IF(OR($F$6&lt;&gt;"Sí",D80&lt;=0.5),"",EDATE($C$10,53))</f>
        <v/>
      </c>
      <c r="D80" s="41" t="n">
        <f aca="false">MAX(0,M79)</f>
        <v>0</v>
      </c>
      <c r="E80" s="41" t="n">
        <f aca="false">D80*$F$7</f>
        <v>0</v>
      </c>
      <c r="F80" s="41" t="n">
        <f aca="false">IF(D80&gt;0.5,N($C$15),0)</f>
        <v>0</v>
      </c>
      <c r="G80" s="41" t="n">
        <f aca="false">IF(AND(D80&gt;0.5,N($C$19)&gt;0,N(B80)&lt;=N($C$20)),D80*$F$8,0)</f>
        <v>0</v>
      </c>
      <c r="H80" s="41" t="n">
        <f aca="false">IF(D80&lt;=0.5,0,MIN(IF(N(I80)&gt;0,I80,$F$9),D80+E80+F80))</f>
        <v>0</v>
      </c>
      <c r="I80" s="77"/>
      <c r="J80" s="77"/>
      <c r="K80" s="41" t="n">
        <f aca="false">IF(D80&lt;=0.5,0,MIN(H80+N(J80),D80+E80+F80))</f>
        <v>0</v>
      </c>
      <c r="L80" s="41" t="n">
        <f aca="false">K80-E80-F80</f>
        <v>0</v>
      </c>
      <c r="M80" s="41" t="n">
        <f aca="false">D80-L80</f>
        <v>0</v>
      </c>
      <c r="N80" s="42" t="n">
        <f aca="false">K80-G80</f>
        <v>0</v>
      </c>
      <c r="O80" s="78"/>
      <c r="P80" s="79"/>
      <c r="Q80" s="16" t="str">
        <f aca="false">IF(K80=0,"",IF(R80=1,"Pagada",IF(C80&lt;$F$12,"Vencida",IF(54=$F$13,"Próxima","Pendiente"))))</f>
        <v/>
      </c>
      <c r="R80" s="62" t="n">
        <f aca="false">IF(AND(K80&gt;0,OR(O80="Sí",O80="Si")),1,0)</f>
        <v>0</v>
      </c>
      <c r="S80" s="62" t="n">
        <f aca="false">IF(AND(K80&gt;0,R80=0),1,0)</f>
        <v>0</v>
      </c>
    </row>
    <row r="81" customFormat="false" ht="15" hidden="false" customHeight="false" outlineLevel="0" collapsed="false">
      <c r="B81" s="71" t="str">
        <f aca="false">IF($F$6="Sí",N($C$11)+54,"")</f>
        <v/>
      </c>
      <c r="C81" s="72" t="str">
        <f aca="false">IF(OR($F$6&lt;&gt;"Sí",D81&lt;=0.5),"",EDATE($C$10,54))</f>
        <v/>
      </c>
      <c r="D81" s="41" t="n">
        <f aca="false">MAX(0,M80)</f>
        <v>0</v>
      </c>
      <c r="E81" s="41" t="n">
        <f aca="false">D81*$F$7</f>
        <v>0</v>
      </c>
      <c r="F81" s="41" t="n">
        <f aca="false">IF(D81&gt;0.5,N($C$15),0)</f>
        <v>0</v>
      </c>
      <c r="G81" s="41" t="n">
        <f aca="false">IF(AND(D81&gt;0.5,N($C$19)&gt;0,N(B81)&lt;=N($C$20)),D81*$F$8,0)</f>
        <v>0</v>
      </c>
      <c r="H81" s="41" t="n">
        <f aca="false">IF(D81&lt;=0.5,0,MIN(IF(N(I81)&gt;0,I81,$F$9),D81+E81+F81))</f>
        <v>0</v>
      </c>
      <c r="I81" s="77"/>
      <c r="J81" s="77"/>
      <c r="K81" s="41" t="n">
        <f aca="false">IF(D81&lt;=0.5,0,MIN(H81+N(J81),D81+E81+F81))</f>
        <v>0</v>
      </c>
      <c r="L81" s="41" t="n">
        <f aca="false">K81-E81-F81</f>
        <v>0</v>
      </c>
      <c r="M81" s="41" t="n">
        <f aca="false">D81-L81</f>
        <v>0</v>
      </c>
      <c r="N81" s="42" t="n">
        <f aca="false">K81-G81</f>
        <v>0</v>
      </c>
      <c r="O81" s="78"/>
      <c r="P81" s="79"/>
      <c r="Q81" s="16" t="str">
        <f aca="false">IF(K81=0,"",IF(R81=1,"Pagada",IF(C81&lt;$F$12,"Vencida",IF(55=$F$13,"Próxima","Pendiente"))))</f>
        <v/>
      </c>
      <c r="R81" s="62" t="n">
        <f aca="false">IF(AND(K81&gt;0,OR(O81="Sí",O81="Si")),1,0)</f>
        <v>0</v>
      </c>
      <c r="S81" s="62" t="n">
        <f aca="false">IF(AND(K81&gt;0,R81=0),1,0)</f>
        <v>0</v>
      </c>
    </row>
    <row r="82" customFormat="false" ht="15" hidden="false" customHeight="false" outlineLevel="0" collapsed="false">
      <c r="B82" s="71" t="str">
        <f aca="false">IF($F$6="Sí",N($C$11)+55,"")</f>
        <v/>
      </c>
      <c r="C82" s="72" t="str">
        <f aca="false">IF(OR($F$6&lt;&gt;"Sí",D82&lt;=0.5),"",EDATE($C$10,55))</f>
        <v/>
      </c>
      <c r="D82" s="41" t="n">
        <f aca="false">MAX(0,M81)</f>
        <v>0</v>
      </c>
      <c r="E82" s="41" t="n">
        <f aca="false">D82*$F$7</f>
        <v>0</v>
      </c>
      <c r="F82" s="41" t="n">
        <f aca="false">IF(D82&gt;0.5,N($C$15),0)</f>
        <v>0</v>
      </c>
      <c r="G82" s="41" t="n">
        <f aca="false">IF(AND(D82&gt;0.5,N($C$19)&gt;0,N(B82)&lt;=N($C$20)),D82*$F$8,0)</f>
        <v>0</v>
      </c>
      <c r="H82" s="41" t="n">
        <f aca="false">IF(D82&lt;=0.5,0,MIN(IF(N(I82)&gt;0,I82,$F$9),D82+E82+F82))</f>
        <v>0</v>
      </c>
      <c r="I82" s="77"/>
      <c r="J82" s="77"/>
      <c r="K82" s="41" t="n">
        <f aca="false">IF(D82&lt;=0.5,0,MIN(H82+N(J82),D82+E82+F82))</f>
        <v>0</v>
      </c>
      <c r="L82" s="41" t="n">
        <f aca="false">K82-E82-F82</f>
        <v>0</v>
      </c>
      <c r="M82" s="41" t="n">
        <f aca="false">D82-L82</f>
        <v>0</v>
      </c>
      <c r="N82" s="42" t="n">
        <f aca="false">K82-G82</f>
        <v>0</v>
      </c>
      <c r="O82" s="78"/>
      <c r="P82" s="79"/>
      <c r="Q82" s="16" t="str">
        <f aca="false">IF(K82=0,"",IF(R82=1,"Pagada",IF(C82&lt;$F$12,"Vencida",IF(56=$F$13,"Próxima","Pendiente"))))</f>
        <v/>
      </c>
      <c r="R82" s="62" t="n">
        <f aca="false">IF(AND(K82&gt;0,OR(O82="Sí",O82="Si")),1,0)</f>
        <v>0</v>
      </c>
      <c r="S82" s="62" t="n">
        <f aca="false">IF(AND(K82&gt;0,R82=0),1,0)</f>
        <v>0</v>
      </c>
    </row>
    <row r="83" customFormat="false" ht="15" hidden="false" customHeight="false" outlineLevel="0" collapsed="false">
      <c r="B83" s="71" t="str">
        <f aca="false">IF($F$6="Sí",N($C$11)+56,"")</f>
        <v/>
      </c>
      <c r="C83" s="72" t="str">
        <f aca="false">IF(OR($F$6&lt;&gt;"Sí",D83&lt;=0.5),"",EDATE($C$10,56))</f>
        <v/>
      </c>
      <c r="D83" s="41" t="n">
        <f aca="false">MAX(0,M82)</f>
        <v>0</v>
      </c>
      <c r="E83" s="41" t="n">
        <f aca="false">D83*$F$7</f>
        <v>0</v>
      </c>
      <c r="F83" s="41" t="n">
        <f aca="false">IF(D83&gt;0.5,N($C$15),0)</f>
        <v>0</v>
      </c>
      <c r="G83" s="41" t="n">
        <f aca="false">IF(AND(D83&gt;0.5,N($C$19)&gt;0,N(B83)&lt;=N($C$20)),D83*$F$8,0)</f>
        <v>0</v>
      </c>
      <c r="H83" s="41" t="n">
        <f aca="false">IF(D83&lt;=0.5,0,MIN(IF(N(I83)&gt;0,I83,$F$9),D83+E83+F83))</f>
        <v>0</v>
      </c>
      <c r="I83" s="77"/>
      <c r="J83" s="77"/>
      <c r="K83" s="41" t="n">
        <f aca="false">IF(D83&lt;=0.5,0,MIN(H83+N(J83),D83+E83+F83))</f>
        <v>0</v>
      </c>
      <c r="L83" s="41" t="n">
        <f aca="false">K83-E83-F83</f>
        <v>0</v>
      </c>
      <c r="M83" s="41" t="n">
        <f aca="false">D83-L83</f>
        <v>0</v>
      </c>
      <c r="N83" s="42" t="n">
        <f aca="false">K83-G83</f>
        <v>0</v>
      </c>
      <c r="O83" s="78"/>
      <c r="P83" s="79"/>
      <c r="Q83" s="16" t="str">
        <f aca="false">IF(K83=0,"",IF(R83=1,"Pagada",IF(C83&lt;$F$12,"Vencida",IF(57=$F$13,"Próxima","Pendiente"))))</f>
        <v/>
      </c>
      <c r="R83" s="62" t="n">
        <f aca="false">IF(AND(K83&gt;0,OR(O83="Sí",O83="Si")),1,0)</f>
        <v>0</v>
      </c>
      <c r="S83" s="62" t="n">
        <f aca="false">IF(AND(K83&gt;0,R83=0),1,0)</f>
        <v>0</v>
      </c>
    </row>
    <row r="84" customFormat="false" ht="15" hidden="false" customHeight="false" outlineLevel="0" collapsed="false">
      <c r="B84" s="71" t="str">
        <f aca="false">IF($F$6="Sí",N($C$11)+57,"")</f>
        <v/>
      </c>
      <c r="C84" s="72" t="str">
        <f aca="false">IF(OR($F$6&lt;&gt;"Sí",D84&lt;=0.5),"",EDATE($C$10,57))</f>
        <v/>
      </c>
      <c r="D84" s="41" t="n">
        <f aca="false">MAX(0,M83)</f>
        <v>0</v>
      </c>
      <c r="E84" s="41" t="n">
        <f aca="false">D84*$F$7</f>
        <v>0</v>
      </c>
      <c r="F84" s="41" t="n">
        <f aca="false">IF(D84&gt;0.5,N($C$15),0)</f>
        <v>0</v>
      </c>
      <c r="G84" s="41" t="n">
        <f aca="false">IF(AND(D84&gt;0.5,N($C$19)&gt;0,N(B84)&lt;=N($C$20)),D84*$F$8,0)</f>
        <v>0</v>
      </c>
      <c r="H84" s="41" t="n">
        <f aca="false">IF(D84&lt;=0.5,0,MIN(IF(N(I84)&gt;0,I84,$F$9),D84+E84+F84))</f>
        <v>0</v>
      </c>
      <c r="I84" s="77"/>
      <c r="J84" s="77"/>
      <c r="K84" s="41" t="n">
        <f aca="false">IF(D84&lt;=0.5,0,MIN(H84+N(J84),D84+E84+F84))</f>
        <v>0</v>
      </c>
      <c r="L84" s="41" t="n">
        <f aca="false">K84-E84-F84</f>
        <v>0</v>
      </c>
      <c r="M84" s="41" t="n">
        <f aca="false">D84-L84</f>
        <v>0</v>
      </c>
      <c r="N84" s="42" t="n">
        <f aca="false">K84-G84</f>
        <v>0</v>
      </c>
      <c r="O84" s="78"/>
      <c r="P84" s="79"/>
      <c r="Q84" s="16" t="str">
        <f aca="false">IF(K84=0,"",IF(R84=1,"Pagada",IF(C84&lt;$F$12,"Vencida",IF(58=$F$13,"Próxima","Pendiente"))))</f>
        <v/>
      </c>
      <c r="R84" s="62" t="n">
        <f aca="false">IF(AND(K84&gt;0,OR(O84="Sí",O84="Si")),1,0)</f>
        <v>0</v>
      </c>
      <c r="S84" s="62" t="n">
        <f aca="false">IF(AND(K84&gt;0,R84=0),1,0)</f>
        <v>0</v>
      </c>
    </row>
    <row r="85" customFormat="false" ht="15" hidden="false" customHeight="false" outlineLevel="0" collapsed="false">
      <c r="B85" s="71" t="str">
        <f aca="false">IF($F$6="Sí",N($C$11)+58,"")</f>
        <v/>
      </c>
      <c r="C85" s="72" t="str">
        <f aca="false">IF(OR($F$6&lt;&gt;"Sí",D85&lt;=0.5),"",EDATE($C$10,58))</f>
        <v/>
      </c>
      <c r="D85" s="41" t="n">
        <f aca="false">MAX(0,M84)</f>
        <v>0</v>
      </c>
      <c r="E85" s="41" t="n">
        <f aca="false">D85*$F$7</f>
        <v>0</v>
      </c>
      <c r="F85" s="41" t="n">
        <f aca="false">IF(D85&gt;0.5,N($C$15),0)</f>
        <v>0</v>
      </c>
      <c r="G85" s="41" t="n">
        <f aca="false">IF(AND(D85&gt;0.5,N($C$19)&gt;0,N(B85)&lt;=N($C$20)),D85*$F$8,0)</f>
        <v>0</v>
      </c>
      <c r="H85" s="41" t="n">
        <f aca="false">IF(D85&lt;=0.5,0,MIN(IF(N(I85)&gt;0,I85,$F$9),D85+E85+F85))</f>
        <v>0</v>
      </c>
      <c r="I85" s="77"/>
      <c r="J85" s="77"/>
      <c r="K85" s="41" t="n">
        <f aca="false">IF(D85&lt;=0.5,0,MIN(H85+N(J85),D85+E85+F85))</f>
        <v>0</v>
      </c>
      <c r="L85" s="41" t="n">
        <f aca="false">K85-E85-F85</f>
        <v>0</v>
      </c>
      <c r="M85" s="41" t="n">
        <f aca="false">D85-L85</f>
        <v>0</v>
      </c>
      <c r="N85" s="42" t="n">
        <f aca="false">K85-G85</f>
        <v>0</v>
      </c>
      <c r="O85" s="78"/>
      <c r="P85" s="79"/>
      <c r="Q85" s="16" t="str">
        <f aca="false">IF(K85=0,"",IF(R85=1,"Pagada",IF(C85&lt;$F$12,"Vencida",IF(59=$F$13,"Próxima","Pendiente"))))</f>
        <v/>
      </c>
      <c r="R85" s="62" t="n">
        <f aca="false">IF(AND(K85&gt;0,OR(O85="Sí",O85="Si")),1,0)</f>
        <v>0</v>
      </c>
      <c r="S85" s="62" t="n">
        <f aca="false">IF(AND(K85&gt;0,R85=0),1,0)</f>
        <v>0</v>
      </c>
    </row>
    <row r="86" customFormat="false" ht="15" hidden="false" customHeight="false" outlineLevel="0" collapsed="false">
      <c r="B86" s="71" t="str">
        <f aca="false">IF($F$6="Sí",N($C$11)+59,"")</f>
        <v/>
      </c>
      <c r="C86" s="72" t="str">
        <f aca="false">IF(OR($F$6&lt;&gt;"Sí",D86&lt;=0.5),"",EDATE($C$10,59))</f>
        <v/>
      </c>
      <c r="D86" s="41" t="n">
        <f aca="false">MAX(0,M85)</f>
        <v>0</v>
      </c>
      <c r="E86" s="41" t="n">
        <f aca="false">D86*$F$7</f>
        <v>0</v>
      </c>
      <c r="F86" s="41" t="n">
        <f aca="false">IF(D86&gt;0.5,N($C$15),0)</f>
        <v>0</v>
      </c>
      <c r="G86" s="41" t="n">
        <f aca="false">IF(AND(D86&gt;0.5,N($C$19)&gt;0,N(B86)&lt;=N($C$20)),D86*$F$8,0)</f>
        <v>0</v>
      </c>
      <c r="H86" s="41" t="n">
        <f aca="false">IF(D86&lt;=0.5,0,MIN(IF(N(I86)&gt;0,I86,$F$9),D86+E86+F86))</f>
        <v>0</v>
      </c>
      <c r="I86" s="77"/>
      <c r="J86" s="77"/>
      <c r="K86" s="41" t="n">
        <f aca="false">IF(D86&lt;=0.5,0,MIN(H86+N(J86),D86+E86+F86))</f>
        <v>0</v>
      </c>
      <c r="L86" s="41" t="n">
        <f aca="false">K86-E86-F86</f>
        <v>0</v>
      </c>
      <c r="M86" s="41" t="n">
        <f aca="false">D86-L86</f>
        <v>0</v>
      </c>
      <c r="N86" s="42" t="n">
        <f aca="false">K86-G86</f>
        <v>0</v>
      </c>
      <c r="O86" s="78"/>
      <c r="P86" s="79"/>
      <c r="Q86" s="16" t="str">
        <f aca="false">IF(K86=0,"",IF(R86=1,"Pagada",IF(C86&lt;$F$12,"Vencida",IF(60=$F$13,"Próxima","Pendiente"))))</f>
        <v/>
      </c>
      <c r="R86" s="62" t="n">
        <f aca="false">IF(AND(K86&gt;0,OR(O86="Sí",O86="Si")),1,0)</f>
        <v>0</v>
      </c>
      <c r="S86" s="62" t="n">
        <f aca="false">IF(AND(K86&gt;0,R86=0),1,0)</f>
        <v>0</v>
      </c>
    </row>
    <row r="87" customFormat="false" ht="15" hidden="false" customHeight="false" outlineLevel="0" collapsed="false">
      <c r="B87" s="71" t="str">
        <f aca="false">IF($F$6="Sí",N($C$11)+60,"")</f>
        <v/>
      </c>
      <c r="C87" s="72" t="str">
        <f aca="false">IF(OR($F$6&lt;&gt;"Sí",D87&lt;=0.5),"",EDATE($C$10,60))</f>
        <v/>
      </c>
      <c r="D87" s="41" t="n">
        <f aca="false">MAX(0,M86)</f>
        <v>0</v>
      </c>
      <c r="E87" s="41" t="n">
        <f aca="false">D87*$F$7</f>
        <v>0</v>
      </c>
      <c r="F87" s="41" t="n">
        <f aca="false">IF(D87&gt;0.5,N($C$15),0)</f>
        <v>0</v>
      </c>
      <c r="G87" s="41" t="n">
        <f aca="false">IF(AND(D87&gt;0.5,N($C$19)&gt;0,N(B87)&lt;=N($C$20)),D87*$F$8,0)</f>
        <v>0</v>
      </c>
      <c r="H87" s="41" t="n">
        <f aca="false">IF(D87&lt;=0.5,0,MIN(IF(N(I87)&gt;0,I87,$F$9),D87+E87+F87))</f>
        <v>0</v>
      </c>
      <c r="I87" s="77"/>
      <c r="J87" s="77"/>
      <c r="K87" s="41" t="n">
        <f aca="false">IF(D87&lt;=0.5,0,MIN(H87+N(J87),D87+E87+F87))</f>
        <v>0</v>
      </c>
      <c r="L87" s="41" t="n">
        <f aca="false">K87-E87-F87</f>
        <v>0</v>
      </c>
      <c r="M87" s="41" t="n">
        <f aca="false">D87-L87</f>
        <v>0</v>
      </c>
      <c r="N87" s="42" t="n">
        <f aca="false">K87-G87</f>
        <v>0</v>
      </c>
      <c r="O87" s="78"/>
      <c r="P87" s="79"/>
      <c r="Q87" s="16" t="str">
        <f aca="false">IF(K87=0,"",IF(R87=1,"Pagada",IF(C87&lt;$F$12,"Vencida",IF(61=$F$13,"Próxima","Pendiente"))))</f>
        <v/>
      </c>
      <c r="R87" s="62" t="n">
        <f aca="false">IF(AND(K87&gt;0,OR(O87="Sí",O87="Si")),1,0)</f>
        <v>0</v>
      </c>
      <c r="S87" s="62" t="n">
        <f aca="false">IF(AND(K87&gt;0,R87=0),1,0)</f>
        <v>0</v>
      </c>
    </row>
    <row r="88" customFormat="false" ht="15" hidden="false" customHeight="false" outlineLevel="0" collapsed="false">
      <c r="B88" s="71" t="str">
        <f aca="false">IF($F$6="Sí",N($C$11)+61,"")</f>
        <v/>
      </c>
      <c r="C88" s="72" t="str">
        <f aca="false">IF(OR($F$6&lt;&gt;"Sí",D88&lt;=0.5),"",EDATE($C$10,61))</f>
        <v/>
      </c>
      <c r="D88" s="41" t="n">
        <f aca="false">MAX(0,M87)</f>
        <v>0</v>
      </c>
      <c r="E88" s="41" t="n">
        <f aca="false">D88*$F$7</f>
        <v>0</v>
      </c>
      <c r="F88" s="41" t="n">
        <f aca="false">IF(D88&gt;0.5,N($C$15),0)</f>
        <v>0</v>
      </c>
      <c r="G88" s="41" t="n">
        <f aca="false">IF(AND(D88&gt;0.5,N($C$19)&gt;0,N(B88)&lt;=N($C$20)),D88*$F$8,0)</f>
        <v>0</v>
      </c>
      <c r="H88" s="41" t="n">
        <f aca="false">IF(D88&lt;=0.5,0,MIN(IF(N(I88)&gt;0,I88,$F$9),D88+E88+F88))</f>
        <v>0</v>
      </c>
      <c r="I88" s="77"/>
      <c r="J88" s="77"/>
      <c r="K88" s="41" t="n">
        <f aca="false">IF(D88&lt;=0.5,0,MIN(H88+N(J88),D88+E88+F88))</f>
        <v>0</v>
      </c>
      <c r="L88" s="41" t="n">
        <f aca="false">K88-E88-F88</f>
        <v>0</v>
      </c>
      <c r="M88" s="41" t="n">
        <f aca="false">D88-L88</f>
        <v>0</v>
      </c>
      <c r="N88" s="42" t="n">
        <f aca="false">K88-G88</f>
        <v>0</v>
      </c>
      <c r="O88" s="78"/>
      <c r="P88" s="79"/>
      <c r="Q88" s="16" t="str">
        <f aca="false">IF(K88=0,"",IF(R88=1,"Pagada",IF(C88&lt;$F$12,"Vencida",IF(62=$F$13,"Próxima","Pendiente"))))</f>
        <v/>
      </c>
      <c r="R88" s="62" t="n">
        <f aca="false">IF(AND(K88&gt;0,OR(O88="Sí",O88="Si")),1,0)</f>
        <v>0</v>
      </c>
      <c r="S88" s="62" t="n">
        <f aca="false">IF(AND(K88&gt;0,R88=0),1,0)</f>
        <v>0</v>
      </c>
    </row>
    <row r="89" customFormat="false" ht="15" hidden="false" customHeight="false" outlineLevel="0" collapsed="false">
      <c r="B89" s="71" t="str">
        <f aca="false">IF($F$6="Sí",N($C$11)+62,"")</f>
        <v/>
      </c>
      <c r="C89" s="72" t="str">
        <f aca="false">IF(OR($F$6&lt;&gt;"Sí",D89&lt;=0.5),"",EDATE($C$10,62))</f>
        <v/>
      </c>
      <c r="D89" s="41" t="n">
        <f aca="false">MAX(0,M88)</f>
        <v>0</v>
      </c>
      <c r="E89" s="41" t="n">
        <f aca="false">D89*$F$7</f>
        <v>0</v>
      </c>
      <c r="F89" s="41" t="n">
        <f aca="false">IF(D89&gt;0.5,N($C$15),0)</f>
        <v>0</v>
      </c>
      <c r="G89" s="41" t="n">
        <f aca="false">IF(AND(D89&gt;0.5,N($C$19)&gt;0,N(B89)&lt;=N($C$20)),D89*$F$8,0)</f>
        <v>0</v>
      </c>
      <c r="H89" s="41" t="n">
        <f aca="false">IF(D89&lt;=0.5,0,MIN(IF(N(I89)&gt;0,I89,$F$9),D89+E89+F89))</f>
        <v>0</v>
      </c>
      <c r="I89" s="77"/>
      <c r="J89" s="77"/>
      <c r="K89" s="41" t="n">
        <f aca="false">IF(D89&lt;=0.5,0,MIN(H89+N(J89),D89+E89+F89))</f>
        <v>0</v>
      </c>
      <c r="L89" s="41" t="n">
        <f aca="false">K89-E89-F89</f>
        <v>0</v>
      </c>
      <c r="M89" s="41" t="n">
        <f aca="false">D89-L89</f>
        <v>0</v>
      </c>
      <c r="N89" s="42" t="n">
        <f aca="false">K89-G89</f>
        <v>0</v>
      </c>
      <c r="O89" s="78"/>
      <c r="P89" s="79"/>
      <c r="Q89" s="16" t="str">
        <f aca="false">IF(K89=0,"",IF(R89=1,"Pagada",IF(C89&lt;$F$12,"Vencida",IF(63=$F$13,"Próxima","Pendiente"))))</f>
        <v/>
      </c>
      <c r="R89" s="62" t="n">
        <f aca="false">IF(AND(K89&gt;0,OR(O89="Sí",O89="Si")),1,0)</f>
        <v>0</v>
      </c>
      <c r="S89" s="62" t="n">
        <f aca="false">IF(AND(K89&gt;0,R89=0),1,0)</f>
        <v>0</v>
      </c>
    </row>
    <row r="90" customFormat="false" ht="15" hidden="false" customHeight="false" outlineLevel="0" collapsed="false">
      <c r="B90" s="71" t="str">
        <f aca="false">IF($F$6="Sí",N($C$11)+63,"")</f>
        <v/>
      </c>
      <c r="C90" s="72" t="str">
        <f aca="false">IF(OR($F$6&lt;&gt;"Sí",D90&lt;=0.5),"",EDATE($C$10,63))</f>
        <v/>
      </c>
      <c r="D90" s="41" t="n">
        <f aca="false">MAX(0,M89)</f>
        <v>0</v>
      </c>
      <c r="E90" s="41" t="n">
        <f aca="false">D90*$F$7</f>
        <v>0</v>
      </c>
      <c r="F90" s="41" t="n">
        <f aca="false">IF(D90&gt;0.5,N($C$15),0)</f>
        <v>0</v>
      </c>
      <c r="G90" s="41" t="n">
        <f aca="false">IF(AND(D90&gt;0.5,N($C$19)&gt;0,N(B90)&lt;=N($C$20)),D90*$F$8,0)</f>
        <v>0</v>
      </c>
      <c r="H90" s="41" t="n">
        <f aca="false">IF(D90&lt;=0.5,0,MIN(IF(N(I90)&gt;0,I90,$F$9),D90+E90+F90))</f>
        <v>0</v>
      </c>
      <c r="I90" s="77"/>
      <c r="J90" s="77"/>
      <c r="K90" s="41" t="n">
        <f aca="false">IF(D90&lt;=0.5,0,MIN(H90+N(J90),D90+E90+F90))</f>
        <v>0</v>
      </c>
      <c r="L90" s="41" t="n">
        <f aca="false">K90-E90-F90</f>
        <v>0</v>
      </c>
      <c r="M90" s="41" t="n">
        <f aca="false">D90-L90</f>
        <v>0</v>
      </c>
      <c r="N90" s="42" t="n">
        <f aca="false">K90-G90</f>
        <v>0</v>
      </c>
      <c r="O90" s="78"/>
      <c r="P90" s="79"/>
      <c r="Q90" s="16" t="str">
        <f aca="false">IF(K90=0,"",IF(R90=1,"Pagada",IF(C90&lt;$F$12,"Vencida",IF(64=$F$13,"Próxima","Pendiente"))))</f>
        <v/>
      </c>
      <c r="R90" s="62" t="n">
        <f aca="false">IF(AND(K90&gt;0,OR(O90="Sí",O90="Si")),1,0)</f>
        <v>0</v>
      </c>
      <c r="S90" s="62" t="n">
        <f aca="false">IF(AND(K90&gt;0,R90=0),1,0)</f>
        <v>0</v>
      </c>
    </row>
    <row r="91" customFormat="false" ht="15" hidden="false" customHeight="false" outlineLevel="0" collapsed="false">
      <c r="B91" s="71" t="str">
        <f aca="false">IF($F$6="Sí",N($C$11)+64,"")</f>
        <v/>
      </c>
      <c r="C91" s="72" t="str">
        <f aca="false">IF(OR($F$6&lt;&gt;"Sí",D91&lt;=0.5),"",EDATE($C$10,64))</f>
        <v/>
      </c>
      <c r="D91" s="41" t="n">
        <f aca="false">MAX(0,M90)</f>
        <v>0</v>
      </c>
      <c r="E91" s="41" t="n">
        <f aca="false">D91*$F$7</f>
        <v>0</v>
      </c>
      <c r="F91" s="41" t="n">
        <f aca="false">IF(D91&gt;0.5,N($C$15),0)</f>
        <v>0</v>
      </c>
      <c r="G91" s="41" t="n">
        <f aca="false">IF(AND(D91&gt;0.5,N($C$19)&gt;0,N(B91)&lt;=N($C$20)),D91*$F$8,0)</f>
        <v>0</v>
      </c>
      <c r="H91" s="41" t="n">
        <f aca="false">IF(D91&lt;=0.5,0,MIN(IF(N(I91)&gt;0,I91,$F$9),D91+E91+F91))</f>
        <v>0</v>
      </c>
      <c r="I91" s="77"/>
      <c r="J91" s="77"/>
      <c r="K91" s="41" t="n">
        <f aca="false">IF(D91&lt;=0.5,0,MIN(H91+N(J91),D91+E91+F91))</f>
        <v>0</v>
      </c>
      <c r="L91" s="41" t="n">
        <f aca="false">K91-E91-F91</f>
        <v>0</v>
      </c>
      <c r="M91" s="41" t="n">
        <f aca="false">D91-L91</f>
        <v>0</v>
      </c>
      <c r="N91" s="42" t="n">
        <f aca="false">K91-G91</f>
        <v>0</v>
      </c>
      <c r="O91" s="78"/>
      <c r="P91" s="79"/>
      <c r="Q91" s="16" t="str">
        <f aca="false">IF(K91=0,"",IF(R91=1,"Pagada",IF(C91&lt;$F$12,"Vencida",IF(65=$F$13,"Próxima","Pendiente"))))</f>
        <v/>
      </c>
      <c r="R91" s="62" t="n">
        <f aca="false">IF(AND(K91&gt;0,OR(O91="Sí",O91="Si")),1,0)</f>
        <v>0</v>
      </c>
      <c r="S91" s="62" t="n">
        <f aca="false">IF(AND(K91&gt;0,R91=0),1,0)</f>
        <v>0</v>
      </c>
    </row>
    <row r="92" customFormat="false" ht="15" hidden="false" customHeight="false" outlineLevel="0" collapsed="false">
      <c r="B92" s="71" t="str">
        <f aca="false">IF($F$6="Sí",N($C$11)+65,"")</f>
        <v/>
      </c>
      <c r="C92" s="72" t="str">
        <f aca="false">IF(OR($F$6&lt;&gt;"Sí",D92&lt;=0.5),"",EDATE($C$10,65))</f>
        <v/>
      </c>
      <c r="D92" s="41" t="n">
        <f aca="false">MAX(0,M91)</f>
        <v>0</v>
      </c>
      <c r="E92" s="41" t="n">
        <f aca="false">D92*$F$7</f>
        <v>0</v>
      </c>
      <c r="F92" s="41" t="n">
        <f aca="false">IF(D92&gt;0.5,N($C$15),0)</f>
        <v>0</v>
      </c>
      <c r="G92" s="41" t="n">
        <f aca="false">IF(AND(D92&gt;0.5,N($C$19)&gt;0,N(B92)&lt;=N($C$20)),D92*$F$8,0)</f>
        <v>0</v>
      </c>
      <c r="H92" s="41" t="n">
        <f aca="false">IF(D92&lt;=0.5,0,MIN(IF(N(I92)&gt;0,I92,$F$9),D92+E92+F92))</f>
        <v>0</v>
      </c>
      <c r="I92" s="77"/>
      <c r="J92" s="77"/>
      <c r="K92" s="41" t="n">
        <f aca="false">IF(D92&lt;=0.5,0,MIN(H92+N(J92),D92+E92+F92))</f>
        <v>0</v>
      </c>
      <c r="L92" s="41" t="n">
        <f aca="false">K92-E92-F92</f>
        <v>0</v>
      </c>
      <c r="M92" s="41" t="n">
        <f aca="false">D92-L92</f>
        <v>0</v>
      </c>
      <c r="N92" s="42" t="n">
        <f aca="false">K92-G92</f>
        <v>0</v>
      </c>
      <c r="O92" s="78"/>
      <c r="P92" s="79"/>
      <c r="Q92" s="16" t="str">
        <f aca="false">IF(K92=0,"",IF(R92=1,"Pagada",IF(C92&lt;$F$12,"Vencida",IF(66=$F$13,"Próxima","Pendiente"))))</f>
        <v/>
      </c>
      <c r="R92" s="62" t="n">
        <f aca="false">IF(AND(K92&gt;0,OR(O92="Sí",O92="Si")),1,0)</f>
        <v>0</v>
      </c>
      <c r="S92" s="62" t="n">
        <f aca="false">IF(AND(K92&gt;0,R92=0),1,0)</f>
        <v>0</v>
      </c>
    </row>
    <row r="93" customFormat="false" ht="15" hidden="false" customHeight="false" outlineLevel="0" collapsed="false">
      <c r="B93" s="71" t="str">
        <f aca="false">IF($F$6="Sí",N($C$11)+66,"")</f>
        <v/>
      </c>
      <c r="C93" s="72" t="str">
        <f aca="false">IF(OR($F$6&lt;&gt;"Sí",D93&lt;=0.5),"",EDATE($C$10,66))</f>
        <v/>
      </c>
      <c r="D93" s="41" t="n">
        <f aca="false">MAX(0,M92)</f>
        <v>0</v>
      </c>
      <c r="E93" s="41" t="n">
        <f aca="false">D93*$F$7</f>
        <v>0</v>
      </c>
      <c r="F93" s="41" t="n">
        <f aca="false">IF(D93&gt;0.5,N($C$15),0)</f>
        <v>0</v>
      </c>
      <c r="G93" s="41" t="n">
        <f aca="false">IF(AND(D93&gt;0.5,N($C$19)&gt;0,N(B93)&lt;=N($C$20)),D93*$F$8,0)</f>
        <v>0</v>
      </c>
      <c r="H93" s="41" t="n">
        <f aca="false">IF(D93&lt;=0.5,0,MIN(IF(N(I93)&gt;0,I93,$F$9),D93+E93+F93))</f>
        <v>0</v>
      </c>
      <c r="I93" s="77"/>
      <c r="J93" s="77"/>
      <c r="K93" s="41" t="n">
        <f aca="false">IF(D93&lt;=0.5,0,MIN(H93+N(J93),D93+E93+F93))</f>
        <v>0</v>
      </c>
      <c r="L93" s="41" t="n">
        <f aca="false">K93-E93-F93</f>
        <v>0</v>
      </c>
      <c r="M93" s="41" t="n">
        <f aca="false">D93-L93</f>
        <v>0</v>
      </c>
      <c r="N93" s="42" t="n">
        <f aca="false">K93-G93</f>
        <v>0</v>
      </c>
      <c r="O93" s="78"/>
      <c r="P93" s="79"/>
      <c r="Q93" s="16" t="str">
        <f aca="false">IF(K93=0,"",IF(R93=1,"Pagada",IF(C93&lt;$F$12,"Vencida",IF(67=$F$13,"Próxima","Pendiente"))))</f>
        <v/>
      </c>
      <c r="R93" s="62" t="n">
        <f aca="false">IF(AND(K93&gt;0,OR(O93="Sí",O93="Si")),1,0)</f>
        <v>0</v>
      </c>
      <c r="S93" s="62" t="n">
        <f aca="false">IF(AND(K93&gt;0,R93=0),1,0)</f>
        <v>0</v>
      </c>
    </row>
    <row r="94" customFormat="false" ht="15" hidden="false" customHeight="false" outlineLevel="0" collapsed="false">
      <c r="B94" s="71" t="str">
        <f aca="false">IF($F$6="Sí",N($C$11)+67,"")</f>
        <v/>
      </c>
      <c r="C94" s="72" t="str">
        <f aca="false">IF(OR($F$6&lt;&gt;"Sí",D94&lt;=0.5),"",EDATE($C$10,67))</f>
        <v/>
      </c>
      <c r="D94" s="41" t="n">
        <f aca="false">MAX(0,M93)</f>
        <v>0</v>
      </c>
      <c r="E94" s="41" t="n">
        <f aca="false">D94*$F$7</f>
        <v>0</v>
      </c>
      <c r="F94" s="41" t="n">
        <f aca="false">IF(D94&gt;0.5,N($C$15),0)</f>
        <v>0</v>
      </c>
      <c r="G94" s="41" t="n">
        <f aca="false">IF(AND(D94&gt;0.5,N($C$19)&gt;0,N(B94)&lt;=N($C$20)),D94*$F$8,0)</f>
        <v>0</v>
      </c>
      <c r="H94" s="41" t="n">
        <f aca="false">IF(D94&lt;=0.5,0,MIN(IF(N(I94)&gt;0,I94,$F$9),D94+E94+F94))</f>
        <v>0</v>
      </c>
      <c r="I94" s="77"/>
      <c r="J94" s="77"/>
      <c r="K94" s="41" t="n">
        <f aca="false">IF(D94&lt;=0.5,0,MIN(H94+N(J94),D94+E94+F94))</f>
        <v>0</v>
      </c>
      <c r="L94" s="41" t="n">
        <f aca="false">K94-E94-F94</f>
        <v>0</v>
      </c>
      <c r="M94" s="41" t="n">
        <f aca="false">D94-L94</f>
        <v>0</v>
      </c>
      <c r="N94" s="42" t="n">
        <f aca="false">K94-G94</f>
        <v>0</v>
      </c>
      <c r="O94" s="78"/>
      <c r="P94" s="79"/>
      <c r="Q94" s="16" t="str">
        <f aca="false">IF(K94=0,"",IF(R94=1,"Pagada",IF(C94&lt;$F$12,"Vencida",IF(68=$F$13,"Próxima","Pendiente"))))</f>
        <v/>
      </c>
      <c r="R94" s="62" t="n">
        <f aca="false">IF(AND(K94&gt;0,OR(O94="Sí",O94="Si")),1,0)</f>
        <v>0</v>
      </c>
      <c r="S94" s="62" t="n">
        <f aca="false">IF(AND(K94&gt;0,R94=0),1,0)</f>
        <v>0</v>
      </c>
    </row>
    <row r="95" customFormat="false" ht="15" hidden="false" customHeight="false" outlineLevel="0" collapsed="false">
      <c r="B95" s="71" t="str">
        <f aca="false">IF($F$6="Sí",N($C$11)+68,"")</f>
        <v/>
      </c>
      <c r="C95" s="72" t="str">
        <f aca="false">IF(OR($F$6&lt;&gt;"Sí",D95&lt;=0.5),"",EDATE($C$10,68))</f>
        <v/>
      </c>
      <c r="D95" s="41" t="n">
        <f aca="false">MAX(0,M94)</f>
        <v>0</v>
      </c>
      <c r="E95" s="41" t="n">
        <f aca="false">D95*$F$7</f>
        <v>0</v>
      </c>
      <c r="F95" s="41" t="n">
        <f aca="false">IF(D95&gt;0.5,N($C$15),0)</f>
        <v>0</v>
      </c>
      <c r="G95" s="41" t="n">
        <f aca="false">IF(AND(D95&gt;0.5,N($C$19)&gt;0,N(B95)&lt;=N($C$20)),D95*$F$8,0)</f>
        <v>0</v>
      </c>
      <c r="H95" s="41" t="n">
        <f aca="false">IF(D95&lt;=0.5,0,MIN(IF(N(I95)&gt;0,I95,$F$9),D95+E95+F95))</f>
        <v>0</v>
      </c>
      <c r="I95" s="77"/>
      <c r="J95" s="77"/>
      <c r="K95" s="41" t="n">
        <f aca="false">IF(D95&lt;=0.5,0,MIN(H95+N(J95),D95+E95+F95))</f>
        <v>0</v>
      </c>
      <c r="L95" s="41" t="n">
        <f aca="false">K95-E95-F95</f>
        <v>0</v>
      </c>
      <c r="M95" s="41" t="n">
        <f aca="false">D95-L95</f>
        <v>0</v>
      </c>
      <c r="N95" s="42" t="n">
        <f aca="false">K95-G95</f>
        <v>0</v>
      </c>
      <c r="O95" s="78"/>
      <c r="P95" s="79"/>
      <c r="Q95" s="16" t="str">
        <f aca="false">IF(K95=0,"",IF(R95=1,"Pagada",IF(C95&lt;$F$12,"Vencida",IF(69=$F$13,"Próxima","Pendiente"))))</f>
        <v/>
      </c>
      <c r="R95" s="62" t="n">
        <f aca="false">IF(AND(K95&gt;0,OR(O95="Sí",O95="Si")),1,0)</f>
        <v>0</v>
      </c>
      <c r="S95" s="62" t="n">
        <f aca="false">IF(AND(K95&gt;0,R95=0),1,0)</f>
        <v>0</v>
      </c>
    </row>
    <row r="96" customFormat="false" ht="15" hidden="false" customHeight="false" outlineLevel="0" collapsed="false">
      <c r="B96" s="71" t="str">
        <f aca="false">IF($F$6="Sí",N($C$11)+69,"")</f>
        <v/>
      </c>
      <c r="C96" s="72" t="str">
        <f aca="false">IF(OR($F$6&lt;&gt;"Sí",D96&lt;=0.5),"",EDATE($C$10,69))</f>
        <v/>
      </c>
      <c r="D96" s="41" t="n">
        <f aca="false">MAX(0,M95)</f>
        <v>0</v>
      </c>
      <c r="E96" s="41" t="n">
        <f aca="false">D96*$F$7</f>
        <v>0</v>
      </c>
      <c r="F96" s="41" t="n">
        <f aca="false">IF(D96&gt;0.5,N($C$15),0)</f>
        <v>0</v>
      </c>
      <c r="G96" s="41" t="n">
        <f aca="false">IF(AND(D96&gt;0.5,N($C$19)&gt;0,N(B96)&lt;=N($C$20)),D96*$F$8,0)</f>
        <v>0</v>
      </c>
      <c r="H96" s="41" t="n">
        <f aca="false">IF(D96&lt;=0.5,0,MIN(IF(N(I96)&gt;0,I96,$F$9),D96+E96+F96))</f>
        <v>0</v>
      </c>
      <c r="I96" s="77"/>
      <c r="J96" s="77"/>
      <c r="K96" s="41" t="n">
        <f aca="false">IF(D96&lt;=0.5,0,MIN(H96+N(J96),D96+E96+F96))</f>
        <v>0</v>
      </c>
      <c r="L96" s="41" t="n">
        <f aca="false">K96-E96-F96</f>
        <v>0</v>
      </c>
      <c r="M96" s="41" t="n">
        <f aca="false">D96-L96</f>
        <v>0</v>
      </c>
      <c r="N96" s="42" t="n">
        <f aca="false">K96-G96</f>
        <v>0</v>
      </c>
      <c r="O96" s="78"/>
      <c r="P96" s="79"/>
      <c r="Q96" s="16" t="str">
        <f aca="false">IF(K96=0,"",IF(R96=1,"Pagada",IF(C96&lt;$F$12,"Vencida",IF(70=$F$13,"Próxima","Pendiente"))))</f>
        <v/>
      </c>
      <c r="R96" s="62" t="n">
        <f aca="false">IF(AND(K96&gt;0,OR(O96="Sí",O96="Si")),1,0)</f>
        <v>0</v>
      </c>
      <c r="S96" s="62" t="n">
        <f aca="false">IF(AND(K96&gt;0,R96=0),1,0)</f>
        <v>0</v>
      </c>
    </row>
    <row r="97" customFormat="false" ht="15" hidden="false" customHeight="false" outlineLevel="0" collapsed="false">
      <c r="B97" s="71" t="str">
        <f aca="false">IF($F$6="Sí",N($C$11)+70,"")</f>
        <v/>
      </c>
      <c r="C97" s="72" t="str">
        <f aca="false">IF(OR($F$6&lt;&gt;"Sí",D97&lt;=0.5),"",EDATE($C$10,70))</f>
        <v/>
      </c>
      <c r="D97" s="41" t="n">
        <f aca="false">MAX(0,M96)</f>
        <v>0</v>
      </c>
      <c r="E97" s="41" t="n">
        <f aca="false">D97*$F$7</f>
        <v>0</v>
      </c>
      <c r="F97" s="41" t="n">
        <f aca="false">IF(D97&gt;0.5,N($C$15),0)</f>
        <v>0</v>
      </c>
      <c r="G97" s="41" t="n">
        <f aca="false">IF(AND(D97&gt;0.5,N($C$19)&gt;0,N(B97)&lt;=N($C$20)),D97*$F$8,0)</f>
        <v>0</v>
      </c>
      <c r="H97" s="41" t="n">
        <f aca="false">IF(D97&lt;=0.5,0,MIN(IF(N(I97)&gt;0,I97,$F$9),D97+E97+F97))</f>
        <v>0</v>
      </c>
      <c r="I97" s="77"/>
      <c r="J97" s="77"/>
      <c r="K97" s="41" t="n">
        <f aca="false">IF(D97&lt;=0.5,0,MIN(H97+N(J97),D97+E97+F97))</f>
        <v>0</v>
      </c>
      <c r="L97" s="41" t="n">
        <f aca="false">K97-E97-F97</f>
        <v>0</v>
      </c>
      <c r="M97" s="41" t="n">
        <f aca="false">D97-L97</f>
        <v>0</v>
      </c>
      <c r="N97" s="42" t="n">
        <f aca="false">K97-G97</f>
        <v>0</v>
      </c>
      <c r="O97" s="78"/>
      <c r="P97" s="79"/>
      <c r="Q97" s="16" t="str">
        <f aca="false">IF(K97=0,"",IF(R97=1,"Pagada",IF(C97&lt;$F$12,"Vencida",IF(71=$F$13,"Próxima","Pendiente"))))</f>
        <v/>
      </c>
      <c r="R97" s="62" t="n">
        <f aca="false">IF(AND(K97&gt;0,OR(O97="Sí",O97="Si")),1,0)</f>
        <v>0</v>
      </c>
      <c r="S97" s="62" t="n">
        <f aca="false">IF(AND(K97&gt;0,R97=0),1,0)</f>
        <v>0</v>
      </c>
    </row>
    <row r="98" customFormat="false" ht="15" hidden="false" customHeight="false" outlineLevel="0" collapsed="false">
      <c r="B98" s="71" t="str">
        <f aca="false">IF($F$6="Sí",N($C$11)+71,"")</f>
        <v/>
      </c>
      <c r="C98" s="72" t="str">
        <f aca="false">IF(OR($F$6&lt;&gt;"Sí",D98&lt;=0.5),"",EDATE($C$10,71))</f>
        <v/>
      </c>
      <c r="D98" s="41" t="n">
        <f aca="false">MAX(0,M97)</f>
        <v>0</v>
      </c>
      <c r="E98" s="41" t="n">
        <f aca="false">D98*$F$7</f>
        <v>0</v>
      </c>
      <c r="F98" s="41" t="n">
        <f aca="false">IF(D98&gt;0.5,N($C$15),0)</f>
        <v>0</v>
      </c>
      <c r="G98" s="41" t="n">
        <f aca="false">IF(AND(D98&gt;0.5,N($C$19)&gt;0,N(B98)&lt;=N($C$20)),D98*$F$8,0)</f>
        <v>0</v>
      </c>
      <c r="H98" s="41" t="n">
        <f aca="false">IF(D98&lt;=0.5,0,MIN(IF(N(I98)&gt;0,I98,$F$9),D98+E98+F98))</f>
        <v>0</v>
      </c>
      <c r="I98" s="77"/>
      <c r="J98" s="77"/>
      <c r="K98" s="41" t="n">
        <f aca="false">IF(D98&lt;=0.5,0,MIN(H98+N(J98),D98+E98+F98))</f>
        <v>0</v>
      </c>
      <c r="L98" s="41" t="n">
        <f aca="false">K98-E98-F98</f>
        <v>0</v>
      </c>
      <c r="M98" s="41" t="n">
        <f aca="false">D98-L98</f>
        <v>0</v>
      </c>
      <c r="N98" s="42" t="n">
        <f aca="false">K98-G98</f>
        <v>0</v>
      </c>
      <c r="O98" s="78"/>
      <c r="P98" s="79"/>
      <c r="Q98" s="16" t="str">
        <f aca="false">IF(K98=0,"",IF(R98=1,"Pagada",IF(C98&lt;$F$12,"Vencida",IF(72=$F$13,"Próxima","Pendiente"))))</f>
        <v/>
      </c>
      <c r="R98" s="62" t="n">
        <f aca="false">IF(AND(K98&gt;0,OR(O98="Sí",O98="Si")),1,0)</f>
        <v>0</v>
      </c>
      <c r="S98" s="62" t="n">
        <f aca="false">IF(AND(K98&gt;0,R98=0),1,0)</f>
        <v>0</v>
      </c>
    </row>
    <row r="99" customFormat="false" ht="15" hidden="false" customHeight="false" outlineLevel="0" collapsed="false">
      <c r="B99" s="71" t="str">
        <f aca="false">IF($F$6="Sí",N($C$11)+72,"")</f>
        <v/>
      </c>
      <c r="C99" s="72" t="str">
        <f aca="false">IF(OR($F$6&lt;&gt;"Sí",D99&lt;=0.5),"",EDATE($C$10,72))</f>
        <v/>
      </c>
      <c r="D99" s="41" t="n">
        <f aca="false">MAX(0,M98)</f>
        <v>0</v>
      </c>
      <c r="E99" s="41" t="n">
        <f aca="false">D99*$F$7</f>
        <v>0</v>
      </c>
      <c r="F99" s="41" t="n">
        <f aca="false">IF(D99&gt;0.5,N($C$15),0)</f>
        <v>0</v>
      </c>
      <c r="G99" s="41" t="n">
        <f aca="false">IF(AND(D99&gt;0.5,N($C$19)&gt;0,N(B99)&lt;=N($C$20)),D99*$F$8,0)</f>
        <v>0</v>
      </c>
      <c r="H99" s="41" t="n">
        <f aca="false">IF(D99&lt;=0.5,0,MIN(IF(N(I99)&gt;0,I99,$F$9),D99+E99+F99))</f>
        <v>0</v>
      </c>
      <c r="I99" s="77"/>
      <c r="J99" s="77"/>
      <c r="K99" s="41" t="n">
        <f aca="false">IF(D99&lt;=0.5,0,MIN(H99+N(J99),D99+E99+F99))</f>
        <v>0</v>
      </c>
      <c r="L99" s="41" t="n">
        <f aca="false">K99-E99-F99</f>
        <v>0</v>
      </c>
      <c r="M99" s="41" t="n">
        <f aca="false">D99-L99</f>
        <v>0</v>
      </c>
      <c r="N99" s="42" t="n">
        <f aca="false">K99-G99</f>
        <v>0</v>
      </c>
      <c r="O99" s="78"/>
      <c r="P99" s="79"/>
      <c r="Q99" s="16" t="str">
        <f aca="false">IF(K99=0,"",IF(R99=1,"Pagada",IF(C99&lt;$F$12,"Vencida",IF(73=$F$13,"Próxima","Pendiente"))))</f>
        <v/>
      </c>
      <c r="R99" s="62" t="n">
        <f aca="false">IF(AND(K99&gt;0,OR(O99="Sí",O99="Si")),1,0)</f>
        <v>0</v>
      </c>
      <c r="S99" s="62" t="n">
        <f aca="false">IF(AND(K99&gt;0,R99=0),1,0)</f>
        <v>0</v>
      </c>
    </row>
    <row r="100" customFormat="false" ht="15" hidden="false" customHeight="false" outlineLevel="0" collapsed="false">
      <c r="B100" s="71" t="str">
        <f aca="false">IF($F$6="Sí",N($C$11)+73,"")</f>
        <v/>
      </c>
      <c r="C100" s="72" t="str">
        <f aca="false">IF(OR($F$6&lt;&gt;"Sí",D100&lt;=0.5),"",EDATE($C$10,73))</f>
        <v/>
      </c>
      <c r="D100" s="41" t="n">
        <f aca="false">MAX(0,M99)</f>
        <v>0</v>
      </c>
      <c r="E100" s="41" t="n">
        <f aca="false">D100*$F$7</f>
        <v>0</v>
      </c>
      <c r="F100" s="41" t="n">
        <f aca="false">IF(D100&gt;0.5,N($C$15),0)</f>
        <v>0</v>
      </c>
      <c r="G100" s="41" t="n">
        <f aca="false">IF(AND(D100&gt;0.5,N($C$19)&gt;0,N(B100)&lt;=N($C$20)),D100*$F$8,0)</f>
        <v>0</v>
      </c>
      <c r="H100" s="41" t="n">
        <f aca="false">IF(D100&lt;=0.5,0,MIN(IF(N(I100)&gt;0,I100,$F$9),D100+E100+F100))</f>
        <v>0</v>
      </c>
      <c r="I100" s="77"/>
      <c r="J100" s="77"/>
      <c r="K100" s="41" t="n">
        <f aca="false">IF(D100&lt;=0.5,0,MIN(H100+N(J100),D100+E100+F100))</f>
        <v>0</v>
      </c>
      <c r="L100" s="41" t="n">
        <f aca="false">K100-E100-F100</f>
        <v>0</v>
      </c>
      <c r="M100" s="41" t="n">
        <f aca="false">D100-L100</f>
        <v>0</v>
      </c>
      <c r="N100" s="42" t="n">
        <f aca="false">K100-G100</f>
        <v>0</v>
      </c>
      <c r="O100" s="78"/>
      <c r="P100" s="79"/>
      <c r="Q100" s="16" t="str">
        <f aca="false">IF(K100=0,"",IF(R100=1,"Pagada",IF(C100&lt;$F$12,"Vencida",IF(74=$F$13,"Próxima","Pendiente"))))</f>
        <v/>
      </c>
      <c r="R100" s="62" t="n">
        <f aca="false">IF(AND(K100&gt;0,OR(O100="Sí",O100="Si")),1,0)</f>
        <v>0</v>
      </c>
      <c r="S100" s="62" t="n">
        <f aca="false">IF(AND(K100&gt;0,R100=0),1,0)</f>
        <v>0</v>
      </c>
    </row>
    <row r="101" customFormat="false" ht="15" hidden="false" customHeight="false" outlineLevel="0" collapsed="false">
      <c r="B101" s="71" t="str">
        <f aca="false">IF($F$6="Sí",N($C$11)+74,"")</f>
        <v/>
      </c>
      <c r="C101" s="72" t="str">
        <f aca="false">IF(OR($F$6&lt;&gt;"Sí",D101&lt;=0.5),"",EDATE($C$10,74))</f>
        <v/>
      </c>
      <c r="D101" s="41" t="n">
        <f aca="false">MAX(0,M100)</f>
        <v>0</v>
      </c>
      <c r="E101" s="41" t="n">
        <f aca="false">D101*$F$7</f>
        <v>0</v>
      </c>
      <c r="F101" s="41" t="n">
        <f aca="false">IF(D101&gt;0.5,N($C$15),0)</f>
        <v>0</v>
      </c>
      <c r="G101" s="41" t="n">
        <f aca="false">IF(AND(D101&gt;0.5,N($C$19)&gt;0,N(B101)&lt;=N($C$20)),D101*$F$8,0)</f>
        <v>0</v>
      </c>
      <c r="H101" s="41" t="n">
        <f aca="false">IF(D101&lt;=0.5,0,MIN(IF(N(I101)&gt;0,I101,$F$9),D101+E101+F101))</f>
        <v>0</v>
      </c>
      <c r="I101" s="77"/>
      <c r="J101" s="77"/>
      <c r="K101" s="41" t="n">
        <f aca="false">IF(D101&lt;=0.5,0,MIN(H101+N(J101),D101+E101+F101))</f>
        <v>0</v>
      </c>
      <c r="L101" s="41" t="n">
        <f aca="false">K101-E101-F101</f>
        <v>0</v>
      </c>
      <c r="M101" s="41" t="n">
        <f aca="false">D101-L101</f>
        <v>0</v>
      </c>
      <c r="N101" s="42" t="n">
        <f aca="false">K101-G101</f>
        <v>0</v>
      </c>
      <c r="O101" s="78"/>
      <c r="P101" s="79"/>
      <c r="Q101" s="16" t="str">
        <f aca="false">IF(K101=0,"",IF(R101=1,"Pagada",IF(C101&lt;$F$12,"Vencida",IF(75=$F$13,"Próxima","Pendiente"))))</f>
        <v/>
      </c>
      <c r="R101" s="62" t="n">
        <f aca="false">IF(AND(K101&gt;0,OR(O101="Sí",O101="Si")),1,0)</f>
        <v>0</v>
      </c>
      <c r="S101" s="62" t="n">
        <f aca="false">IF(AND(K101&gt;0,R101=0),1,0)</f>
        <v>0</v>
      </c>
    </row>
    <row r="102" customFormat="false" ht="15" hidden="false" customHeight="false" outlineLevel="0" collapsed="false">
      <c r="B102" s="71" t="str">
        <f aca="false">IF($F$6="Sí",N($C$11)+75,"")</f>
        <v/>
      </c>
      <c r="C102" s="72" t="str">
        <f aca="false">IF(OR($F$6&lt;&gt;"Sí",D102&lt;=0.5),"",EDATE($C$10,75))</f>
        <v/>
      </c>
      <c r="D102" s="41" t="n">
        <f aca="false">MAX(0,M101)</f>
        <v>0</v>
      </c>
      <c r="E102" s="41" t="n">
        <f aca="false">D102*$F$7</f>
        <v>0</v>
      </c>
      <c r="F102" s="41" t="n">
        <f aca="false">IF(D102&gt;0.5,N($C$15),0)</f>
        <v>0</v>
      </c>
      <c r="G102" s="41" t="n">
        <f aca="false">IF(AND(D102&gt;0.5,N($C$19)&gt;0,N(B102)&lt;=N($C$20)),D102*$F$8,0)</f>
        <v>0</v>
      </c>
      <c r="H102" s="41" t="n">
        <f aca="false">IF(D102&lt;=0.5,0,MIN(IF(N(I102)&gt;0,I102,$F$9),D102+E102+F102))</f>
        <v>0</v>
      </c>
      <c r="I102" s="77"/>
      <c r="J102" s="77"/>
      <c r="K102" s="41" t="n">
        <f aca="false">IF(D102&lt;=0.5,0,MIN(H102+N(J102),D102+E102+F102))</f>
        <v>0</v>
      </c>
      <c r="L102" s="41" t="n">
        <f aca="false">K102-E102-F102</f>
        <v>0</v>
      </c>
      <c r="M102" s="41" t="n">
        <f aca="false">D102-L102</f>
        <v>0</v>
      </c>
      <c r="N102" s="42" t="n">
        <f aca="false">K102-G102</f>
        <v>0</v>
      </c>
      <c r="O102" s="78"/>
      <c r="P102" s="79"/>
      <c r="Q102" s="16" t="str">
        <f aca="false">IF(K102=0,"",IF(R102=1,"Pagada",IF(C102&lt;$F$12,"Vencida",IF(76=$F$13,"Próxima","Pendiente"))))</f>
        <v/>
      </c>
      <c r="R102" s="62" t="n">
        <f aca="false">IF(AND(K102&gt;0,OR(O102="Sí",O102="Si")),1,0)</f>
        <v>0</v>
      </c>
      <c r="S102" s="62" t="n">
        <f aca="false">IF(AND(K102&gt;0,R102=0),1,0)</f>
        <v>0</v>
      </c>
    </row>
    <row r="103" customFormat="false" ht="15" hidden="false" customHeight="false" outlineLevel="0" collapsed="false">
      <c r="B103" s="71" t="str">
        <f aca="false">IF($F$6="Sí",N($C$11)+76,"")</f>
        <v/>
      </c>
      <c r="C103" s="72" t="str">
        <f aca="false">IF(OR($F$6&lt;&gt;"Sí",D103&lt;=0.5),"",EDATE($C$10,76))</f>
        <v/>
      </c>
      <c r="D103" s="41" t="n">
        <f aca="false">MAX(0,M102)</f>
        <v>0</v>
      </c>
      <c r="E103" s="41" t="n">
        <f aca="false">D103*$F$7</f>
        <v>0</v>
      </c>
      <c r="F103" s="41" t="n">
        <f aca="false">IF(D103&gt;0.5,N($C$15),0)</f>
        <v>0</v>
      </c>
      <c r="G103" s="41" t="n">
        <f aca="false">IF(AND(D103&gt;0.5,N($C$19)&gt;0,N(B103)&lt;=N($C$20)),D103*$F$8,0)</f>
        <v>0</v>
      </c>
      <c r="H103" s="41" t="n">
        <f aca="false">IF(D103&lt;=0.5,0,MIN(IF(N(I103)&gt;0,I103,$F$9),D103+E103+F103))</f>
        <v>0</v>
      </c>
      <c r="I103" s="77"/>
      <c r="J103" s="77"/>
      <c r="K103" s="41" t="n">
        <f aca="false">IF(D103&lt;=0.5,0,MIN(H103+N(J103),D103+E103+F103))</f>
        <v>0</v>
      </c>
      <c r="L103" s="41" t="n">
        <f aca="false">K103-E103-F103</f>
        <v>0</v>
      </c>
      <c r="M103" s="41" t="n">
        <f aca="false">D103-L103</f>
        <v>0</v>
      </c>
      <c r="N103" s="42" t="n">
        <f aca="false">K103-G103</f>
        <v>0</v>
      </c>
      <c r="O103" s="78"/>
      <c r="P103" s="79"/>
      <c r="Q103" s="16" t="str">
        <f aca="false">IF(K103=0,"",IF(R103=1,"Pagada",IF(C103&lt;$F$12,"Vencida",IF(77=$F$13,"Próxima","Pendiente"))))</f>
        <v/>
      </c>
      <c r="R103" s="62" t="n">
        <f aca="false">IF(AND(K103&gt;0,OR(O103="Sí",O103="Si")),1,0)</f>
        <v>0</v>
      </c>
      <c r="S103" s="62" t="n">
        <f aca="false">IF(AND(K103&gt;0,R103=0),1,0)</f>
        <v>0</v>
      </c>
    </row>
    <row r="104" customFormat="false" ht="15" hidden="false" customHeight="false" outlineLevel="0" collapsed="false">
      <c r="B104" s="71" t="str">
        <f aca="false">IF($F$6="Sí",N($C$11)+77,"")</f>
        <v/>
      </c>
      <c r="C104" s="72" t="str">
        <f aca="false">IF(OR($F$6&lt;&gt;"Sí",D104&lt;=0.5),"",EDATE($C$10,77))</f>
        <v/>
      </c>
      <c r="D104" s="41" t="n">
        <f aca="false">MAX(0,M103)</f>
        <v>0</v>
      </c>
      <c r="E104" s="41" t="n">
        <f aca="false">D104*$F$7</f>
        <v>0</v>
      </c>
      <c r="F104" s="41" t="n">
        <f aca="false">IF(D104&gt;0.5,N($C$15),0)</f>
        <v>0</v>
      </c>
      <c r="G104" s="41" t="n">
        <f aca="false">IF(AND(D104&gt;0.5,N($C$19)&gt;0,N(B104)&lt;=N($C$20)),D104*$F$8,0)</f>
        <v>0</v>
      </c>
      <c r="H104" s="41" t="n">
        <f aca="false">IF(D104&lt;=0.5,0,MIN(IF(N(I104)&gt;0,I104,$F$9),D104+E104+F104))</f>
        <v>0</v>
      </c>
      <c r="I104" s="77"/>
      <c r="J104" s="77"/>
      <c r="K104" s="41" t="n">
        <f aca="false">IF(D104&lt;=0.5,0,MIN(H104+N(J104),D104+E104+F104))</f>
        <v>0</v>
      </c>
      <c r="L104" s="41" t="n">
        <f aca="false">K104-E104-F104</f>
        <v>0</v>
      </c>
      <c r="M104" s="41" t="n">
        <f aca="false">D104-L104</f>
        <v>0</v>
      </c>
      <c r="N104" s="42" t="n">
        <f aca="false">K104-G104</f>
        <v>0</v>
      </c>
      <c r="O104" s="78"/>
      <c r="P104" s="79"/>
      <c r="Q104" s="16" t="str">
        <f aca="false">IF(K104=0,"",IF(R104=1,"Pagada",IF(C104&lt;$F$12,"Vencida",IF(78=$F$13,"Próxima","Pendiente"))))</f>
        <v/>
      </c>
      <c r="R104" s="62" t="n">
        <f aca="false">IF(AND(K104&gt;0,OR(O104="Sí",O104="Si")),1,0)</f>
        <v>0</v>
      </c>
      <c r="S104" s="62" t="n">
        <f aca="false">IF(AND(K104&gt;0,R104=0),1,0)</f>
        <v>0</v>
      </c>
    </row>
    <row r="105" customFormat="false" ht="15" hidden="false" customHeight="false" outlineLevel="0" collapsed="false">
      <c r="B105" s="71" t="str">
        <f aca="false">IF($F$6="Sí",N($C$11)+78,"")</f>
        <v/>
      </c>
      <c r="C105" s="72" t="str">
        <f aca="false">IF(OR($F$6&lt;&gt;"Sí",D105&lt;=0.5),"",EDATE($C$10,78))</f>
        <v/>
      </c>
      <c r="D105" s="41" t="n">
        <f aca="false">MAX(0,M104)</f>
        <v>0</v>
      </c>
      <c r="E105" s="41" t="n">
        <f aca="false">D105*$F$7</f>
        <v>0</v>
      </c>
      <c r="F105" s="41" t="n">
        <f aca="false">IF(D105&gt;0.5,N($C$15),0)</f>
        <v>0</v>
      </c>
      <c r="G105" s="41" t="n">
        <f aca="false">IF(AND(D105&gt;0.5,N($C$19)&gt;0,N(B105)&lt;=N($C$20)),D105*$F$8,0)</f>
        <v>0</v>
      </c>
      <c r="H105" s="41" t="n">
        <f aca="false">IF(D105&lt;=0.5,0,MIN(IF(N(I105)&gt;0,I105,$F$9),D105+E105+F105))</f>
        <v>0</v>
      </c>
      <c r="I105" s="77"/>
      <c r="J105" s="77"/>
      <c r="K105" s="41" t="n">
        <f aca="false">IF(D105&lt;=0.5,0,MIN(H105+N(J105),D105+E105+F105))</f>
        <v>0</v>
      </c>
      <c r="L105" s="41" t="n">
        <f aca="false">K105-E105-F105</f>
        <v>0</v>
      </c>
      <c r="M105" s="41" t="n">
        <f aca="false">D105-L105</f>
        <v>0</v>
      </c>
      <c r="N105" s="42" t="n">
        <f aca="false">K105-G105</f>
        <v>0</v>
      </c>
      <c r="O105" s="78"/>
      <c r="P105" s="79"/>
      <c r="Q105" s="16" t="str">
        <f aca="false">IF(K105=0,"",IF(R105=1,"Pagada",IF(C105&lt;$F$12,"Vencida",IF(79=$F$13,"Próxima","Pendiente"))))</f>
        <v/>
      </c>
      <c r="R105" s="62" t="n">
        <f aca="false">IF(AND(K105&gt;0,OR(O105="Sí",O105="Si")),1,0)</f>
        <v>0</v>
      </c>
      <c r="S105" s="62" t="n">
        <f aca="false">IF(AND(K105&gt;0,R105=0),1,0)</f>
        <v>0</v>
      </c>
    </row>
    <row r="106" customFormat="false" ht="15" hidden="false" customHeight="false" outlineLevel="0" collapsed="false">
      <c r="B106" s="71" t="str">
        <f aca="false">IF($F$6="Sí",N($C$11)+79,"")</f>
        <v/>
      </c>
      <c r="C106" s="72" t="str">
        <f aca="false">IF(OR($F$6&lt;&gt;"Sí",D106&lt;=0.5),"",EDATE($C$10,79))</f>
        <v/>
      </c>
      <c r="D106" s="41" t="n">
        <f aca="false">MAX(0,M105)</f>
        <v>0</v>
      </c>
      <c r="E106" s="41" t="n">
        <f aca="false">D106*$F$7</f>
        <v>0</v>
      </c>
      <c r="F106" s="41" t="n">
        <f aca="false">IF(D106&gt;0.5,N($C$15),0)</f>
        <v>0</v>
      </c>
      <c r="G106" s="41" t="n">
        <f aca="false">IF(AND(D106&gt;0.5,N($C$19)&gt;0,N(B106)&lt;=N($C$20)),D106*$F$8,0)</f>
        <v>0</v>
      </c>
      <c r="H106" s="41" t="n">
        <f aca="false">IF(D106&lt;=0.5,0,MIN(IF(N(I106)&gt;0,I106,$F$9),D106+E106+F106))</f>
        <v>0</v>
      </c>
      <c r="I106" s="77"/>
      <c r="J106" s="77"/>
      <c r="K106" s="41" t="n">
        <f aca="false">IF(D106&lt;=0.5,0,MIN(H106+N(J106),D106+E106+F106))</f>
        <v>0</v>
      </c>
      <c r="L106" s="41" t="n">
        <f aca="false">K106-E106-F106</f>
        <v>0</v>
      </c>
      <c r="M106" s="41" t="n">
        <f aca="false">D106-L106</f>
        <v>0</v>
      </c>
      <c r="N106" s="42" t="n">
        <f aca="false">K106-G106</f>
        <v>0</v>
      </c>
      <c r="O106" s="78"/>
      <c r="P106" s="79"/>
      <c r="Q106" s="16" t="str">
        <f aca="false">IF(K106=0,"",IF(R106=1,"Pagada",IF(C106&lt;$F$12,"Vencida",IF(80=$F$13,"Próxima","Pendiente"))))</f>
        <v/>
      </c>
      <c r="R106" s="62" t="n">
        <f aca="false">IF(AND(K106&gt;0,OR(O106="Sí",O106="Si")),1,0)</f>
        <v>0</v>
      </c>
      <c r="S106" s="62" t="n">
        <f aca="false">IF(AND(K106&gt;0,R106=0),1,0)</f>
        <v>0</v>
      </c>
    </row>
    <row r="107" customFormat="false" ht="15" hidden="false" customHeight="false" outlineLevel="0" collapsed="false">
      <c r="B107" s="71" t="str">
        <f aca="false">IF($F$6="Sí",N($C$11)+80,"")</f>
        <v/>
      </c>
      <c r="C107" s="72" t="str">
        <f aca="false">IF(OR($F$6&lt;&gt;"Sí",D107&lt;=0.5),"",EDATE($C$10,80))</f>
        <v/>
      </c>
      <c r="D107" s="41" t="n">
        <f aca="false">MAX(0,M106)</f>
        <v>0</v>
      </c>
      <c r="E107" s="41" t="n">
        <f aca="false">D107*$F$7</f>
        <v>0</v>
      </c>
      <c r="F107" s="41" t="n">
        <f aca="false">IF(D107&gt;0.5,N($C$15),0)</f>
        <v>0</v>
      </c>
      <c r="G107" s="41" t="n">
        <f aca="false">IF(AND(D107&gt;0.5,N($C$19)&gt;0,N(B107)&lt;=N($C$20)),D107*$F$8,0)</f>
        <v>0</v>
      </c>
      <c r="H107" s="41" t="n">
        <f aca="false">IF(D107&lt;=0.5,0,MIN(IF(N(I107)&gt;0,I107,$F$9),D107+E107+F107))</f>
        <v>0</v>
      </c>
      <c r="I107" s="77"/>
      <c r="J107" s="77"/>
      <c r="K107" s="41" t="n">
        <f aca="false">IF(D107&lt;=0.5,0,MIN(H107+N(J107),D107+E107+F107))</f>
        <v>0</v>
      </c>
      <c r="L107" s="41" t="n">
        <f aca="false">K107-E107-F107</f>
        <v>0</v>
      </c>
      <c r="M107" s="41" t="n">
        <f aca="false">D107-L107</f>
        <v>0</v>
      </c>
      <c r="N107" s="42" t="n">
        <f aca="false">K107-G107</f>
        <v>0</v>
      </c>
      <c r="O107" s="78"/>
      <c r="P107" s="79"/>
      <c r="Q107" s="16" t="str">
        <f aca="false">IF(K107=0,"",IF(R107=1,"Pagada",IF(C107&lt;$F$12,"Vencida",IF(81=$F$13,"Próxima","Pendiente"))))</f>
        <v/>
      </c>
      <c r="R107" s="62" t="n">
        <f aca="false">IF(AND(K107&gt;0,OR(O107="Sí",O107="Si")),1,0)</f>
        <v>0</v>
      </c>
      <c r="S107" s="62" t="n">
        <f aca="false">IF(AND(K107&gt;0,R107=0),1,0)</f>
        <v>0</v>
      </c>
    </row>
    <row r="108" customFormat="false" ht="15" hidden="false" customHeight="false" outlineLevel="0" collapsed="false">
      <c r="B108" s="71" t="str">
        <f aca="false">IF($F$6="Sí",N($C$11)+81,"")</f>
        <v/>
      </c>
      <c r="C108" s="72" t="str">
        <f aca="false">IF(OR($F$6&lt;&gt;"Sí",D108&lt;=0.5),"",EDATE($C$10,81))</f>
        <v/>
      </c>
      <c r="D108" s="41" t="n">
        <f aca="false">MAX(0,M107)</f>
        <v>0</v>
      </c>
      <c r="E108" s="41" t="n">
        <f aca="false">D108*$F$7</f>
        <v>0</v>
      </c>
      <c r="F108" s="41" t="n">
        <f aca="false">IF(D108&gt;0.5,N($C$15),0)</f>
        <v>0</v>
      </c>
      <c r="G108" s="41" t="n">
        <f aca="false">IF(AND(D108&gt;0.5,N($C$19)&gt;0,N(B108)&lt;=N($C$20)),D108*$F$8,0)</f>
        <v>0</v>
      </c>
      <c r="H108" s="41" t="n">
        <f aca="false">IF(D108&lt;=0.5,0,MIN(IF(N(I108)&gt;0,I108,$F$9),D108+E108+F108))</f>
        <v>0</v>
      </c>
      <c r="I108" s="77"/>
      <c r="J108" s="77"/>
      <c r="K108" s="41" t="n">
        <f aca="false">IF(D108&lt;=0.5,0,MIN(H108+N(J108),D108+E108+F108))</f>
        <v>0</v>
      </c>
      <c r="L108" s="41" t="n">
        <f aca="false">K108-E108-F108</f>
        <v>0</v>
      </c>
      <c r="M108" s="41" t="n">
        <f aca="false">D108-L108</f>
        <v>0</v>
      </c>
      <c r="N108" s="42" t="n">
        <f aca="false">K108-G108</f>
        <v>0</v>
      </c>
      <c r="O108" s="78"/>
      <c r="P108" s="79"/>
      <c r="Q108" s="16" t="str">
        <f aca="false">IF(K108=0,"",IF(R108=1,"Pagada",IF(C108&lt;$F$12,"Vencida",IF(82=$F$13,"Próxima","Pendiente"))))</f>
        <v/>
      </c>
      <c r="R108" s="62" t="n">
        <f aca="false">IF(AND(K108&gt;0,OR(O108="Sí",O108="Si")),1,0)</f>
        <v>0</v>
      </c>
      <c r="S108" s="62" t="n">
        <f aca="false">IF(AND(K108&gt;0,R108=0),1,0)</f>
        <v>0</v>
      </c>
    </row>
    <row r="109" customFormat="false" ht="15" hidden="false" customHeight="false" outlineLevel="0" collapsed="false">
      <c r="B109" s="71" t="str">
        <f aca="false">IF($F$6="Sí",N($C$11)+82,"")</f>
        <v/>
      </c>
      <c r="C109" s="72" t="str">
        <f aca="false">IF(OR($F$6&lt;&gt;"Sí",D109&lt;=0.5),"",EDATE($C$10,82))</f>
        <v/>
      </c>
      <c r="D109" s="41" t="n">
        <f aca="false">MAX(0,M108)</f>
        <v>0</v>
      </c>
      <c r="E109" s="41" t="n">
        <f aca="false">D109*$F$7</f>
        <v>0</v>
      </c>
      <c r="F109" s="41" t="n">
        <f aca="false">IF(D109&gt;0.5,N($C$15),0)</f>
        <v>0</v>
      </c>
      <c r="G109" s="41" t="n">
        <f aca="false">IF(AND(D109&gt;0.5,N($C$19)&gt;0,N(B109)&lt;=N($C$20)),D109*$F$8,0)</f>
        <v>0</v>
      </c>
      <c r="H109" s="41" t="n">
        <f aca="false">IF(D109&lt;=0.5,0,MIN(IF(N(I109)&gt;0,I109,$F$9),D109+E109+F109))</f>
        <v>0</v>
      </c>
      <c r="I109" s="77"/>
      <c r="J109" s="77"/>
      <c r="K109" s="41" t="n">
        <f aca="false">IF(D109&lt;=0.5,0,MIN(H109+N(J109),D109+E109+F109))</f>
        <v>0</v>
      </c>
      <c r="L109" s="41" t="n">
        <f aca="false">K109-E109-F109</f>
        <v>0</v>
      </c>
      <c r="M109" s="41" t="n">
        <f aca="false">D109-L109</f>
        <v>0</v>
      </c>
      <c r="N109" s="42" t="n">
        <f aca="false">K109-G109</f>
        <v>0</v>
      </c>
      <c r="O109" s="78"/>
      <c r="P109" s="79"/>
      <c r="Q109" s="16" t="str">
        <f aca="false">IF(K109=0,"",IF(R109=1,"Pagada",IF(C109&lt;$F$12,"Vencida",IF(83=$F$13,"Próxima","Pendiente"))))</f>
        <v/>
      </c>
      <c r="R109" s="62" t="n">
        <f aca="false">IF(AND(K109&gt;0,OR(O109="Sí",O109="Si")),1,0)</f>
        <v>0</v>
      </c>
      <c r="S109" s="62" t="n">
        <f aca="false">IF(AND(K109&gt;0,R109=0),1,0)</f>
        <v>0</v>
      </c>
    </row>
    <row r="110" customFormat="false" ht="15" hidden="false" customHeight="false" outlineLevel="0" collapsed="false">
      <c r="B110" s="71" t="str">
        <f aca="false">IF($F$6="Sí",N($C$11)+83,"")</f>
        <v/>
      </c>
      <c r="C110" s="72" t="str">
        <f aca="false">IF(OR($F$6&lt;&gt;"Sí",D110&lt;=0.5),"",EDATE($C$10,83))</f>
        <v/>
      </c>
      <c r="D110" s="41" t="n">
        <f aca="false">MAX(0,M109)</f>
        <v>0</v>
      </c>
      <c r="E110" s="41" t="n">
        <f aca="false">D110*$F$7</f>
        <v>0</v>
      </c>
      <c r="F110" s="41" t="n">
        <f aca="false">IF(D110&gt;0.5,N($C$15),0)</f>
        <v>0</v>
      </c>
      <c r="G110" s="41" t="n">
        <f aca="false">IF(AND(D110&gt;0.5,N($C$19)&gt;0,N(B110)&lt;=N($C$20)),D110*$F$8,0)</f>
        <v>0</v>
      </c>
      <c r="H110" s="41" t="n">
        <f aca="false">IF(D110&lt;=0.5,0,MIN(IF(N(I110)&gt;0,I110,$F$9),D110+E110+F110))</f>
        <v>0</v>
      </c>
      <c r="I110" s="77"/>
      <c r="J110" s="77"/>
      <c r="K110" s="41" t="n">
        <f aca="false">IF(D110&lt;=0.5,0,MIN(H110+N(J110),D110+E110+F110))</f>
        <v>0</v>
      </c>
      <c r="L110" s="41" t="n">
        <f aca="false">K110-E110-F110</f>
        <v>0</v>
      </c>
      <c r="M110" s="41" t="n">
        <f aca="false">D110-L110</f>
        <v>0</v>
      </c>
      <c r="N110" s="42" t="n">
        <f aca="false">K110-G110</f>
        <v>0</v>
      </c>
      <c r="O110" s="78"/>
      <c r="P110" s="79"/>
      <c r="Q110" s="16" t="str">
        <f aca="false">IF(K110=0,"",IF(R110=1,"Pagada",IF(C110&lt;$F$12,"Vencida",IF(84=$F$13,"Próxima","Pendiente"))))</f>
        <v/>
      </c>
      <c r="R110" s="62" t="n">
        <f aca="false">IF(AND(K110&gt;0,OR(O110="Sí",O110="Si")),1,0)</f>
        <v>0</v>
      </c>
      <c r="S110" s="62" t="n">
        <f aca="false">IF(AND(K110&gt;0,R110=0),1,0)</f>
        <v>0</v>
      </c>
    </row>
    <row r="111" customFormat="false" ht="15" hidden="false" customHeight="false" outlineLevel="0" collapsed="false">
      <c r="B111" s="71" t="str">
        <f aca="false">IF($F$6="Sí",N($C$11)+84,"")</f>
        <v/>
      </c>
      <c r="C111" s="72" t="str">
        <f aca="false">IF(OR($F$6&lt;&gt;"Sí",D111&lt;=0.5),"",EDATE($C$10,84))</f>
        <v/>
      </c>
      <c r="D111" s="41" t="n">
        <f aca="false">MAX(0,M110)</f>
        <v>0</v>
      </c>
      <c r="E111" s="41" t="n">
        <f aca="false">D111*$F$7</f>
        <v>0</v>
      </c>
      <c r="F111" s="41" t="n">
        <f aca="false">IF(D111&gt;0.5,N($C$15),0)</f>
        <v>0</v>
      </c>
      <c r="G111" s="41" t="n">
        <f aca="false">IF(AND(D111&gt;0.5,N($C$19)&gt;0,N(B111)&lt;=N($C$20)),D111*$F$8,0)</f>
        <v>0</v>
      </c>
      <c r="H111" s="41" t="n">
        <f aca="false">IF(D111&lt;=0.5,0,MIN(IF(N(I111)&gt;0,I111,$F$9),D111+E111+F111))</f>
        <v>0</v>
      </c>
      <c r="I111" s="77"/>
      <c r="J111" s="77"/>
      <c r="K111" s="41" t="n">
        <f aca="false">IF(D111&lt;=0.5,0,MIN(H111+N(J111),D111+E111+F111))</f>
        <v>0</v>
      </c>
      <c r="L111" s="41" t="n">
        <f aca="false">K111-E111-F111</f>
        <v>0</v>
      </c>
      <c r="M111" s="41" t="n">
        <f aca="false">D111-L111</f>
        <v>0</v>
      </c>
      <c r="N111" s="42" t="n">
        <f aca="false">K111-G111</f>
        <v>0</v>
      </c>
      <c r="O111" s="78"/>
      <c r="P111" s="79"/>
      <c r="Q111" s="16" t="str">
        <f aca="false">IF(K111=0,"",IF(R111=1,"Pagada",IF(C111&lt;$F$12,"Vencida",IF(85=$F$13,"Próxima","Pendiente"))))</f>
        <v/>
      </c>
      <c r="R111" s="62" t="n">
        <f aca="false">IF(AND(K111&gt;0,OR(O111="Sí",O111="Si")),1,0)</f>
        <v>0</v>
      </c>
      <c r="S111" s="62" t="n">
        <f aca="false">IF(AND(K111&gt;0,R111=0),1,0)</f>
        <v>0</v>
      </c>
    </row>
    <row r="112" customFormat="false" ht="15" hidden="false" customHeight="false" outlineLevel="0" collapsed="false">
      <c r="B112" s="71" t="str">
        <f aca="false">IF($F$6="Sí",N($C$11)+85,"")</f>
        <v/>
      </c>
      <c r="C112" s="72" t="str">
        <f aca="false">IF(OR($F$6&lt;&gt;"Sí",D112&lt;=0.5),"",EDATE($C$10,85))</f>
        <v/>
      </c>
      <c r="D112" s="41" t="n">
        <f aca="false">MAX(0,M111)</f>
        <v>0</v>
      </c>
      <c r="E112" s="41" t="n">
        <f aca="false">D112*$F$7</f>
        <v>0</v>
      </c>
      <c r="F112" s="41" t="n">
        <f aca="false">IF(D112&gt;0.5,N($C$15),0)</f>
        <v>0</v>
      </c>
      <c r="G112" s="41" t="n">
        <f aca="false">IF(AND(D112&gt;0.5,N($C$19)&gt;0,N(B112)&lt;=N($C$20)),D112*$F$8,0)</f>
        <v>0</v>
      </c>
      <c r="H112" s="41" t="n">
        <f aca="false">IF(D112&lt;=0.5,0,MIN(IF(N(I112)&gt;0,I112,$F$9),D112+E112+F112))</f>
        <v>0</v>
      </c>
      <c r="I112" s="77"/>
      <c r="J112" s="77"/>
      <c r="K112" s="41" t="n">
        <f aca="false">IF(D112&lt;=0.5,0,MIN(H112+N(J112),D112+E112+F112))</f>
        <v>0</v>
      </c>
      <c r="L112" s="41" t="n">
        <f aca="false">K112-E112-F112</f>
        <v>0</v>
      </c>
      <c r="M112" s="41" t="n">
        <f aca="false">D112-L112</f>
        <v>0</v>
      </c>
      <c r="N112" s="42" t="n">
        <f aca="false">K112-G112</f>
        <v>0</v>
      </c>
      <c r="O112" s="78"/>
      <c r="P112" s="79"/>
      <c r="Q112" s="16" t="str">
        <f aca="false">IF(K112=0,"",IF(R112=1,"Pagada",IF(C112&lt;$F$12,"Vencida",IF(86=$F$13,"Próxima","Pendiente"))))</f>
        <v/>
      </c>
      <c r="R112" s="62" t="n">
        <f aca="false">IF(AND(K112&gt;0,OR(O112="Sí",O112="Si")),1,0)</f>
        <v>0</v>
      </c>
      <c r="S112" s="62" t="n">
        <f aca="false">IF(AND(K112&gt;0,R112=0),1,0)</f>
        <v>0</v>
      </c>
    </row>
    <row r="113" customFormat="false" ht="15" hidden="false" customHeight="false" outlineLevel="0" collapsed="false">
      <c r="B113" s="71" t="str">
        <f aca="false">IF($F$6="Sí",N($C$11)+86,"")</f>
        <v/>
      </c>
      <c r="C113" s="72" t="str">
        <f aca="false">IF(OR($F$6&lt;&gt;"Sí",D113&lt;=0.5),"",EDATE($C$10,86))</f>
        <v/>
      </c>
      <c r="D113" s="41" t="n">
        <f aca="false">MAX(0,M112)</f>
        <v>0</v>
      </c>
      <c r="E113" s="41" t="n">
        <f aca="false">D113*$F$7</f>
        <v>0</v>
      </c>
      <c r="F113" s="41" t="n">
        <f aca="false">IF(D113&gt;0.5,N($C$15),0)</f>
        <v>0</v>
      </c>
      <c r="G113" s="41" t="n">
        <f aca="false">IF(AND(D113&gt;0.5,N($C$19)&gt;0,N(B113)&lt;=N($C$20)),D113*$F$8,0)</f>
        <v>0</v>
      </c>
      <c r="H113" s="41" t="n">
        <f aca="false">IF(D113&lt;=0.5,0,MIN(IF(N(I113)&gt;0,I113,$F$9),D113+E113+F113))</f>
        <v>0</v>
      </c>
      <c r="I113" s="77"/>
      <c r="J113" s="77"/>
      <c r="K113" s="41" t="n">
        <f aca="false">IF(D113&lt;=0.5,0,MIN(H113+N(J113),D113+E113+F113))</f>
        <v>0</v>
      </c>
      <c r="L113" s="41" t="n">
        <f aca="false">K113-E113-F113</f>
        <v>0</v>
      </c>
      <c r="M113" s="41" t="n">
        <f aca="false">D113-L113</f>
        <v>0</v>
      </c>
      <c r="N113" s="42" t="n">
        <f aca="false">K113-G113</f>
        <v>0</v>
      </c>
      <c r="O113" s="78"/>
      <c r="P113" s="79"/>
      <c r="Q113" s="16" t="str">
        <f aca="false">IF(K113=0,"",IF(R113=1,"Pagada",IF(C113&lt;$F$12,"Vencida",IF(87=$F$13,"Próxima","Pendiente"))))</f>
        <v/>
      </c>
      <c r="R113" s="62" t="n">
        <f aca="false">IF(AND(K113&gt;0,OR(O113="Sí",O113="Si")),1,0)</f>
        <v>0</v>
      </c>
      <c r="S113" s="62" t="n">
        <f aca="false">IF(AND(K113&gt;0,R113=0),1,0)</f>
        <v>0</v>
      </c>
    </row>
    <row r="114" customFormat="false" ht="15" hidden="false" customHeight="false" outlineLevel="0" collapsed="false">
      <c r="B114" s="71" t="str">
        <f aca="false">IF($F$6="Sí",N($C$11)+87,"")</f>
        <v/>
      </c>
      <c r="C114" s="72" t="str">
        <f aca="false">IF(OR($F$6&lt;&gt;"Sí",D114&lt;=0.5),"",EDATE($C$10,87))</f>
        <v/>
      </c>
      <c r="D114" s="41" t="n">
        <f aca="false">MAX(0,M113)</f>
        <v>0</v>
      </c>
      <c r="E114" s="41" t="n">
        <f aca="false">D114*$F$7</f>
        <v>0</v>
      </c>
      <c r="F114" s="41" t="n">
        <f aca="false">IF(D114&gt;0.5,N($C$15),0)</f>
        <v>0</v>
      </c>
      <c r="G114" s="41" t="n">
        <f aca="false">IF(AND(D114&gt;0.5,N($C$19)&gt;0,N(B114)&lt;=N($C$20)),D114*$F$8,0)</f>
        <v>0</v>
      </c>
      <c r="H114" s="41" t="n">
        <f aca="false">IF(D114&lt;=0.5,0,MIN(IF(N(I114)&gt;0,I114,$F$9),D114+E114+F114))</f>
        <v>0</v>
      </c>
      <c r="I114" s="77"/>
      <c r="J114" s="77"/>
      <c r="K114" s="41" t="n">
        <f aca="false">IF(D114&lt;=0.5,0,MIN(H114+N(J114),D114+E114+F114))</f>
        <v>0</v>
      </c>
      <c r="L114" s="41" t="n">
        <f aca="false">K114-E114-F114</f>
        <v>0</v>
      </c>
      <c r="M114" s="41" t="n">
        <f aca="false">D114-L114</f>
        <v>0</v>
      </c>
      <c r="N114" s="42" t="n">
        <f aca="false">K114-G114</f>
        <v>0</v>
      </c>
      <c r="O114" s="78"/>
      <c r="P114" s="79"/>
      <c r="Q114" s="16" t="str">
        <f aca="false">IF(K114=0,"",IF(R114=1,"Pagada",IF(C114&lt;$F$12,"Vencida",IF(88=$F$13,"Próxima","Pendiente"))))</f>
        <v/>
      </c>
      <c r="R114" s="62" t="n">
        <f aca="false">IF(AND(K114&gt;0,OR(O114="Sí",O114="Si")),1,0)</f>
        <v>0</v>
      </c>
      <c r="S114" s="62" t="n">
        <f aca="false">IF(AND(K114&gt;0,R114=0),1,0)</f>
        <v>0</v>
      </c>
    </row>
    <row r="115" customFormat="false" ht="15" hidden="false" customHeight="false" outlineLevel="0" collapsed="false">
      <c r="B115" s="71" t="str">
        <f aca="false">IF($F$6="Sí",N($C$11)+88,"")</f>
        <v/>
      </c>
      <c r="C115" s="72" t="str">
        <f aca="false">IF(OR($F$6&lt;&gt;"Sí",D115&lt;=0.5),"",EDATE($C$10,88))</f>
        <v/>
      </c>
      <c r="D115" s="41" t="n">
        <f aca="false">MAX(0,M114)</f>
        <v>0</v>
      </c>
      <c r="E115" s="41" t="n">
        <f aca="false">D115*$F$7</f>
        <v>0</v>
      </c>
      <c r="F115" s="41" t="n">
        <f aca="false">IF(D115&gt;0.5,N($C$15),0)</f>
        <v>0</v>
      </c>
      <c r="G115" s="41" t="n">
        <f aca="false">IF(AND(D115&gt;0.5,N($C$19)&gt;0,N(B115)&lt;=N($C$20)),D115*$F$8,0)</f>
        <v>0</v>
      </c>
      <c r="H115" s="41" t="n">
        <f aca="false">IF(D115&lt;=0.5,0,MIN(IF(N(I115)&gt;0,I115,$F$9),D115+E115+F115))</f>
        <v>0</v>
      </c>
      <c r="I115" s="77"/>
      <c r="J115" s="77"/>
      <c r="K115" s="41" t="n">
        <f aca="false">IF(D115&lt;=0.5,0,MIN(H115+N(J115),D115+E115+F115))</f>
        <v>0</v>
      </c>
      <c r="L115" s="41" t="n">
        <f aca="false">K115-E115-F115</f>
        <v>0</v>
      </c>
      <c r="M115" s="41" t="n">
        <f aca="false">D115-L115</f>
        <v>0</v>
      </c>
      <c r="N115" s="42" t="n">
        <f aca="false">K115-G115</f>
        <v>0</v>
      </c>
      <c r="O115" s="78"/>
      <c r="P115" s="79"/>
      <c r="Q115" s="16" t="str">
        <f aca="false">IF(K115=0,"",IF(R115=1,"Pagada",IF(C115&lt;$F$12,"Vencida",IF(89=$F$13,"Próxima","Pendiente"))))</f>
        <v/>
      </c>
      <c r="R115" s="62" t="n">
        <f aca="false">IF(AND(K115&gt;0,OR(O115="Sí",O115="Si")),1,0)</f>
        <v>0</v>
      </c>
      <c r="S115" s="62" t="n">
        <f aca="false">IF(AND(K115&gt;0,R115=0),1,0)</f>
        <v>0</v>
      </c>
    </row>
    <row r="116" customFormat="false" ht="15" hidden="false" customHeight="false" outlineLevel="0" collapsed="false">
      <c r="B116" s="71" t="str">
        <f aca="false">IF($F$6="Sí",N($C$11)+89,"")</f>
        <v/>
      </c>
      <c r="C116" s="72" t="str">
        <f aca="false">IF(OR($F$6&lt;&gt;"Sí",D116&lt;=0.5),"",EDATE($C$10,89))</f>
        <v/>
      </c>
      <c r="D116" s="41" t="n">
        <f aca="false">MAX(0,M115)</f>
        <v>0</v>
      </c>
      <c r="E116" s="41" t="n">
        <f aca="false">D116*$F$7</f>
        <v>0</v>
      </c>
      <c r="F116" s="41" t="n">
        <f aca="false">IF(D116&gt;0.5,N($C$15),0)</f>
        <v>0</v>
      </c>
      <c r="G116" s="41" t="n">
        <f aca="false">IF(AND(D116&gt;0.5,N($C$19)&gt;0,N(B116)&lt;=N($C$20)),D116*$F$8,0)</f>
        <v>0</v>
      </c>
      <c r="H116" s="41" t="n">
        <f aca="false">IF(D116&lt;=0.5,0,MIN(IF(N(I116)&gt;0,I116,$F$9),D116+E116+F116))</f>
        <v>0</v>
      </c>
      <c r="I116" s="77"/>
      <c r="J116" s="77"/>
      <c r="K116" s="41" t="n">
        <f aca="false">IF(D116&lt;=0.5,0,MIN(H116+N(J116),D116+E116+F116))</f>
        <v>0</v>
      </c>
      <c r="L116" s="41" t="n">
        <f aca="false">K116-E116-F116</f>
        <v>0</v>
      </c>
      <c r="M116" s="41" t="n">
        <f aca="false">D116-L116</f>
        <v>0</v>
      </c>
      <c r="N116" s="42" t="n">
        <f aca="false">K116-G116</f>
        <v>0</v>
      </c>
      <c r="O116" s="78"/>
      <c r="P116" s="79"/>
      <c r="Q116" s="16" t="str">
        <f aca="false">IF(K116=0,"",IF(R116=1,"Pagada",IF(C116&lt;$F$12,"Vencida",IF(90=$F$13,"Próxima","Pendiente"))))</f>
        <v/>
      </c>
      <c r="R116" s="62" t="n">
        <f aca="false">IF(AND(K116&gt;0,OR(O116="Sí",O116="Si")),1,0)</f>
        <v>0</v>
      </c>
      <c r="S116" s="62" t="n">
        <f aca="false">IF(AND(K116&gt;0,R116=0),1,0)</f>
        <v>0</v>
      </c>
    </row>
    <row r="117" customFormat="false" ht="15" hidden="false" customHeight="false" outlineLevel="0" collapsed="false">
      <c r="B117" s="71" t="str">
        <f aca="false">IF($F$6="Sí",N($C$11)+90,"")</f>
        <v/>
      </c>
      <c r="C117" s="72" t="str">
        <f aca="false">IF(OR($F$6&lt;&gt;"Sí",D117&lt;=0.5),"",EDATE($C$10,90))</f>
        <v/>
      </c>
      <c r="D117" s="41" t="n">
        <f aca="false">MAX(0,M116)</f>
        <v>0</v>
      </c>
      <c r="E117" s="41" t="n">
        <f aca="false">D117*$F$7</f>
        <v>0</v>
      </c>
      <c r="F117" s="41" t="n">
        <f aca="false">IF(D117&gt;0.5,N($C$15),0)</f>
        <v>0</v>
      </c>
      <c r="G117" s="41" t="n">
        <f aca="false">IF(AND(D117&gt;0.5,N($C$19)&gt;0,N(B117)&lt;=N($C$20)),D117*$F$8,0)</f>
        <v>0</v>
      </c>
      <c r="H117" s="41" t="n">
        <f aca="false">IF(D117&lt;=0.5,0,MIN(IF(N(I117)&gt;0,I117,$F$9),D117+E117+F117))</f>
        <v>0</v>
      </c>
      <c r="I117" s="77"/>
      <c r="J117" s="77"/>
      <c r="K117" s="41" t="n">
        <f aca="false">IF(D117&lt;=0.5,0,MIN(H117+N(J117),D117+E117+F117))</f>
        <v>0</v>
      </c>
      <c r="L117" s="41" t="n">
        <f aca="false">K117-E117-F117</f>
        <v>0</v>
      </c>
      <c r="M117" s="41" t="n">
        <f aca="false">D117-L117</f>
        <v>0</v>
      </c>
      <c r="N117" s="42" t="n">
        <f aca="false">K117-G117</f>
        <v>0</v>
      </c>
      <c r="O117" s="78"/>
      <c r="P117" s="79"/>
      <c r="Q117" s="16" t="str">
        <f aca="false">IF(K117=0,"",IF(R117=1,"Pagada",IF(C117&lt;$F$12,"Vencida",IF(91=$F$13,"Próxima","Pendiente"))))</f>
        <v/>
      </c>
      <c r="R117" s="62" t="n">
        <f aca="false">IF(AND(K117&gt;0,OR(O117="Sí",O117="Si")),1,0)</f>
        <v>0</v>
      </c>
      <c r="S117" s="62" t="n">
        <f aca="false">IF(AND(K117&gt;0,R117=0),1,0)</f>
        <v>0</v>
      </c>
    </row>
    <row r="118" customFormat="false" ht="15" hidden="false" customHeight="false" outlineLevel="0" collapsed="false">
      <c r="B118" s="71" t="str">
        <f aca="false">IF($F$6="Sí",N($C$11)+91,"")</f>
        <v/>
      </c>
      <c r="C118" s="72" t="str">
        <f aca="false">IF(OR($F$6&lt;&gt;"Sí",D118&lt;=0.5),"",EDATE($C$10,91))</f>
        <v/>
      </c>
      <c r="D118" s="41" t="n">
        <f aca="false">MAX(0,M117)</f>
        <v>0</v>
      </c>
      <c r="E118" s="41" t="n">
        <f aca="false">D118*$F$7</f>
        <v>0</v>
      </c>
      <c r="F118" s="41" t="n">
        <f aca="false">IF(D118&gt;0.5,N($C$15),0)</f>
        <v>0</v>
      </c>
      <c r="G118" s="41" t="n">
        <f aca="false">IF(AND(D118&gt;0.5,N($C$19)&gt;0,N(B118)&lt;=N($C$20)),D118*$F$8,0)</f>
        <v>0</v>
      </c>
      <c r="H118" s="41" t="n">
        <f aca="false">IF(D118&lt;=0.5,0,MIN(IF(N(I118)&gt;0,I118,$F$9),D118+E118+F118))</f>
        <v>0</v>
      </c>
      <c r="I118" s="77"/>
      <c r="J118" s="77"/>
      <c r="K118" s="41" t="n">
        <f aca="false">IF(D118&lt;=0.5,0,MIN(H118+N(J118),D118+E118+F118))</f>
        <v>0</v>
      </c>
      <c r="L118" s="41" t="n">
        <f aca="false">K118-E118-F118</f>
        <v>0</v>
      </c>
      <c r="M118" s="41" t="n">
        <f aca="false">D118-L118</f>
        <v>0</v>
      </c>
      <c r="N118" s="42" t="n">
        <f aca="false">K118-G118</f>
        <v>0</v>
      </c>
      <c r="O118" s="78"/>
      <c r="P118" s="79"/>
      <c r="Q118" s="16" t="str">
        <f aca="false">IF(K118=0,"",IF(R118=1,"Pagada",IF(C118&lt;$F$12,"Vencida",IF(92=$F$13,"Próxima","Pendiente"))))</f>
        <v/>
      </c>
      <c r="R118" s="62" t="n">
        <f aca="false">IF(AND(K118&gt;0,OR(O118="Sí",O118="Si")),1,0)</f>
        <v>0</v>
      </c>
      <c r="S118" s="62" t="n">
        <f aca="false">IF(AND(K118&gt;0,R118=0),1,0)</f>
        <v>0</v>
      </c>
    </row>
    <row r="119" customFormat="false" ht="15" hidden="false" customHeight="false" outlineLevel="0" collapsed="false">
      <c r="B119" s="71" t="str">
        <f aca="false">IF($F$6="Sí",N($C$11)+92,"")</f>
        <v/>
      </c>
      <c r="C119" s="72" t="str">
        <f aca="false">IF(OR($F$6&lt;&gt;"Sí",D119&lt;=0.5),"",EDATE($C$10,92))</f>
        <v/>
      </c>
      <c r="D119" s="41" t="n">
        <f aca="false">MAX(0,M118)</f>
        <v>0</v>
      </c>
      <c r="E119" s="41" t="n">
        <f aca="false">D119*$F$7</f>
        <v>0</v>
      </c>
      <c r="F119" s="41" t="n">
        <f aca="false">IF(D119&gt;0.5,N($C$15),0)</f>
        <v>0</v>
      </c>
      <c r="G119" s="41" t="n">
        <f aca="false">IF(AND(D119&gt;0.5,N($C$19)&gt;0,N(B119)&lt;=N($C$20)),D119*$F$8,0)</f>
        <v>0</v>
      </c>
      <c r="H119" s="41" t="n">
        <f aca="false">IF(D119&lt;=0.5,0,MIN(IF(N(I119)&gt;0,I119,$F$9),D119+E119+F119))</f>
        <v>0</v>
      </c>
      <c r="I119" s="77"/>
      <c r="J119" s="77"/>
      <c r="K119" s="41" t="n">
        <f aca="false">IF(D119&lt;=0.5,0,MIN(H119+N(J119),D119+E119+F119))</f>
        <v>0</v>
      </c>
      <c r="L119" s="41" t="n">
        <f aca="false">K119-E119-F119</f>
        <v>0</v>
      </c>
      <c r="M119" s="41" t="n">
        <f aca="false">D119-L119</f>
        <v>0</v>
      </c>
      <c r="N119" s="42" t="n">
        <f aca="false">K119-G119</f>
        <v>0</v>
      </c>
      <c r="O119" s="78"/>
      <c r="P119" s="79"/>
      <c r="Q119" s="16" t="str">
        <f aca="false">IF(K119=0,"",IF(R119=1,"Pagada",IF(C119&lt;$F$12,"Vencida",IF(93=$F$13,"Próxima","Pendiente"))))</f>
        <v/>
      </c>
      <c r="R119" s="62" t="n">
        <f aca="false">IF(AND(K119&gt;0,OR(O119="Sí",O119="Si")),1,0)</f>
        <v>0</v>
      </c>
      <c r="S119" s="62" t="n">
        <f aca="false">IF(AND(K119&gt;0,R119=0),1,0)</f>
        <v>0</v>
      </c>
    </row>
    <row r="120" customFormat="false" ht="15" hidden="false" customHeight="false" outlineLevel="0" collapsed="false">
      <c r="B120" s="71" t="str">
        <f aca="false">IF($F$6="Sí",N($C$11)+93,"")</f>
        <v/>
      </c>
      <c r="C120" s="72" t="str">
        <f aca="false">IF(OR($F$6&lt;&gt;"Sí",D120&lt;=0.5),"",EDATE($C$10,93))</f>
        <v/>
      </c>
      <c r="D120" s="41" t="n">
        <f aca="false">MAX(0,M119)</f>
        <v>0</v>
      </c>
      <c r="E120" s="41" t="n">
        <f aca="false">D120*$F$7</f>
        <v>0</v>
      </c>
      <c r="F120" s="41" t="n">
        <f aca="false">IF(D120&gt;0.5,N($C$15),0)</f>
        <v>0</v>
      </c>
      <c r="G120" s="41" t="n">
        <f aca="false">IF(AND(D120&gt;0.5,N($C$19)&gt;0,N(B120)&lt;=N($C$20)),D120*$F$8,0)</f>
        <v>0</v>
      </c>
      <c r="H120" s="41" t="n">
        <f aca="false">IF(D120&lt;=0.5,0,MIN(IF(N(I120)&gt;0,I120,$F$9),D120+E120+F120))</f>
        <v>0</v>
      </c>
      <c r="I120" s="77"/>
      <c r="J120" s="77"/>
      <c r="K120" s="41" t="n">
        <f aca="false">IF(D120&lt;=0.5,0,MIN(H120+N(J120),D120+E120+F120))</f>
        <v>0</v>
      </c>
      <c r="L120" s="41" t="n">
        <f aca="false">K120-E120-F120</f>
        <v>0</v>
      </c>
      <c r="M120" s="41" t="n">
        <f aca="false">D120-L120</f>
        <v>0</v>
      </c>
      <c r="N120" s="42" t="n">
        <f aca="false">K120-G120</f>
        <v>0</v>
      </c>
      <c r="O120" s="78"/>
      <c r="P120" s="79"/>
      <c r="Q120" s="16" t="str">
        <f aca="false">IF(K120=0,"",IF(R120=1,"Pagada",IF(C120&lt;$F$12,"Vencida",IF(94=$F$13,"Próxima","Pendiente"))))</f>
        <v/>
      </c>
      <c r="R120" s="62" t="n">
        <f aca="false">IF(AND(K120&gt;0,OR(O120="Sí",O120="Si")),1,0)</f>
        <v>0</v>
      </c>
      <c r="S120" s="62" t="n">
        <f aca="false">IF(AND(K120&gt;0,R120=0),1,0)</f>
        <v>0</v>
      </c>
    </row>
    <row r="121" customFormat="false" ht="15" hidden="false" customHeight="false" outlineLevel="0" collapsed="false">
      <c r="B121" s="71" t="str">
        <f aca="false">IF($F$6="Sí",N($C$11)+94,"")</f>
        <v/>
      </c>
      <c r="C121" s="72" t="str">
        <f aca="false">IF(OR($F$6&lt;&gt;"Sí",D121&lt;=0.5),"",EDATE($C$10,94))</f>
        <v/>
      </c>
      <c r="D121" s="41" t="n">
        <f aca="false">MAX(0,M120)</f>
        <v>0</v>
      </c>
      <c r="E121" s="41" t="n">
        <f aca="false">D121*$F$7</f>
        <v>0</v>
      </c>
      <c r="F121" s="41" t="n">
        <f aca="false">IF(D121&gt;0.5,N($C$15),0)</f>
        <v>0</v>
      </c>
      <c r="G121" s="41" t="n">
        <f aca="false">IF(AND(D121&gt;0.5,N($C$19)&gt;0,N(B121)&lt;=N($C$20)),D121*$F$8,0)</f>
        <v>0</v>
      </c>
      <c r="H121" s="41" t="n">
        <f aca="false">IF(D121&lt;=0.5,0,MIN(IF(N(I121)&gt;0,I121,$F$9),D121+E121+F121))</f>
        <v>0</v>
      </c>
      <c r="I121" s="77"/>
      <c r="J121" s="77"/>
      <c r="K121" s="41" t="n">
        <f aca="false">IF(D121&lt;=0.5,0,MIN(H121+N(J121),D121+E121+F121))</f>
        <v>0</v>
      </c>
      <c r="L121" s="41" t="n">
        <f aca="false">K121-E121-F121</f>
        <v>0</v>
      </c>
      <c r="M121" s="41" t="n">
        <f aca="false">D121-L121</f>
        <v>0</v>
      </c>
      <c r="N121" s="42" t="n">
        <f aca="false">K121-G121</f>
        <v>0</v>
      </c>
      <c r="O121" s="78"/>
      <c r="P121" s="79"/>
      <c r="Q121" s="16" t="str">
        <f aca="false">IF(K121=0,"",IF(R121=1,"Pagada",IF(C121&lt;$F$12,"Vencida",IF(95=$F$13,"Próxima","Pendiente"))))</f>
        <v/>
      </c>
      <c r="R121" s="62" t="n">
        <f aca="false">IF(AND(K121&gt;0,OR(O121="Sí",O121="Si")),1,0)</f>
        <v>0</v>
      </c>
      <c r="S121" s="62" t="n">
        <f aca="false">IF(AND(K121&gt;0,R121=0),1,0)</f>
        <v>0</v>
      </c>
    </row>
    <row r="122" customFormat="false" ht="15" hidden="false" customHeight="false" outlineLevel="0" collapsed="false">
      <c r="B122" s="71" t="str">
        <f aca="false">IF($F$6="Sí",N($C$11)+95,"")</f>
        <v/>
      </c>
      <c r="C122" s="72" t="str">
        <f aca="false">IF(OR($F$6&lt;&gt;"Sí",D122&lt;=0.5),"",EDATE($C$10,95))</f>
        <v/>
      </c>
      <c r="D122" s="41" t="n">
        <f aca="false">MAX(0,M121)</f>
        <v>0</v>
      </c>
      <c r="E122" s="41" t="n">
        <f aca="false">D122*$F$7</f>
        <v>0</v>
      </c>
      <c r="F122" s="41" t="n">
        <f aca="false">IF(D122&gt;0.5,N($C$15),0)</f>
        <v>0</v>
      </c>
      <c r="G122" s="41" t="n">
        <f aca="false">IF(AND(D122&gt;0.5,N($C$19)&gt;0,N(B122)&lt;=N($C$20)),D122*$F$8,0)</f>
        <v>0</v>
      </c>
      <c r="H122" s="41" t="n">
        <f aca="false">IF(D122&lt;=0.5,0,MIN(IF(N(I122)&gt;0,I122,$F$9),D122+E122+F122))</f>
        <v>0</v>
      </c>
      <c r="I122" s="77"/>
      <c r="J122" s="77"/>
      <c r="K122" s="41" t="n">
        <f aca="false">IF(D122&lt;=0.5,0,MIN(H122+N(J122),D122+E122+F122))</f>
        <v>0</v>
      </c>
      <c r="L122" s="41" t="n">
        <f aca="false">K122-E122-F122</f>
        <v>0</v>
      </c>
      <c r="M122" s="41" t="n">
        <f aca="false">D122-L122</f>
        <v>0</v>
      </c>
      <c r="N122" s="42" t="n">
        <f aca="false">K122-G122</f>
        <v>0</v>
      </c>
      <c r="O122" s="78"/>
      <c r="P122" s="79"/>
      <c r="Q122" s="16" t="str">
        <f aca="false">IF(K122=0,"",IF(R122=1,"Pagada",IF(C122&lt;$F$12,"Vencida",IF(96=$F$13,"Próxima","Pendiente"))))</f>
        <v/>
      </c>
      <c r="R122" s="62" t="n">
        <f aca="false">IF(AND(K122&gt;0,OR(O122="Sí",O122="Si")),1,0)</f>
        <v>0</v>
      </c>
      <c r="S122" s="62" t="n">
        <f aca="false">IF(AND(K122&gt;0,R122=0),1,0)</f>
        <v>0</v>
      </c>
    </row>
    <row r="123" customFormat="false" ht="15" hidden="false" customHeight="false" outlineLevel="0" collapsed="false">
      <c r="B123" s="71" t="str">
        <f aca="false">IF($F$6="Sí",N($C$11)+96,"")</f>
        <v/>
      </c>
      <c r="C123" s="72" t="str">
        <f aca="false">IF(OR($F$6&lt;&gt;"Sí",D123&lt;=0.5),"",EDATE($C$10,96))</f>
        <v/>
      </c>
      <c r="D123" s="41" t="n">
        <f aca="false">MAX(0,M122)</f>
        <v>0</v>
      </c>
      <c r="E123" s="41" t="n">
        <f aca="false">D123*$F$7</f>
        <v>0</v>
      </c>
      <c r="F123" s="41" t="n">
        <f aca="false">IF(D123&gt;0.5,N($C$15),0)</f>
        <v>0</v>
      </c>
      <c r="G123" s="41" t="n">
        <f aca="false">IF(AND(D123&gt;0.5,N($C$19)&gt;0,N(B123)&lt;=N($C$20)),D123*$F$8,0)</f>
        <v>0</v>
      </c>
      <c r="H123" s="41" t="n">
        <f aca="false">IF(D123&lt;=0.5,0,MIN(IF(N(I123)&gt;0,I123,$F$9),D123+E123+F123))</f>
        <v>0</v>
      </c>
      <c r="I123" s="77"/>
      <c r="J123" s="77"/>
      <c r="K123" s="41" t="n">
        <f aca="false">IF(D123&lt;=0.5,0,MIN(H123+N(J123),D123+E123+F123))</f>
        <v>0</v>
      </c>
      <c r="L123" s="41" t="n">
        <f aca="false">K123-E123-F123</f>
        <v>0</v>
      </c>
      <c r="M123" s="41" t="n">
        <f aca="false">D123-L123</f>
        <v>0</v>
      </c>
      <c r="N123" s="42" t="n">
        <f aca="false">K123-G123</f>
        <v>0</v>
      </c>
      <c r="O123" s="78"/>
      <c r="P123" s="79"/>
      <c r="Q123" s="16" t="str">
        <f aca="false">IF(K123=0,"",IF(R123=1,"Pagada",IF(C123&lt;$F$12,"Vencida",IF(97=$F$13,"Próxima","Pendiente"))))</f>
        <v/>
      </c>
      <c r="R123" s="62" t="n">
        <f aca="false">IF(AND(K123&gt;0,OR(O123="Sí",O123="Si")),1,0)</f>
        <v>0</v>
      </c>
      <c r="S123" s="62" t="n">
        <f aca="false">IF(AND(K123&gt;0,R123=0),1,0)</f>
        <v>0</v>
      </c>
    </row>
    <row r="124" customFormat="false" ht="15" hidden="false" customHeight="false" outlineLevel="0" collapsed="false">
      <c r="B124" s="71" t="str">
        <f aca="false">IF($F$6="Sí",N($C$11)+97,"")</f>
        <v/>
      </c>
      <c r="C124" s="72" t="str">
        <f aca="false">IF(OR($F$6&lt;&gt;"Sí",D124&lt;=0.5),"",EDATE($C$10,97))</f>
        <v/>
      </c>
      <c r="D124" s="41" t="n">
        <f aca="false">MAX(0,M123)</f>
        <v>0</v>
      </c>
      <c r="E124" s="41" t="n">
        <f aca="false">D124*$F$7</f>
        <v>0</v>
      </c>
      <c r="F124" s="41" t="n">
        <f aca="false">IF(D124&gt;0.5,N($C$15),0)</f>
        <v>0</v>
      </c>
      <c r="G124" s="41" t="n">
        <f aca="false">IF(AND(D124&gt;0.5,N($C$19)&gt;0,N(B124)&lt;=N($C$20)),D124*$F$8,0)</f>
        <v>0</v>
      </c>
      <c r="H124" s="41" t="n">
        <f aca="false">IF(D124&lt;=0.5,0,MIN(IF(N(I124)&gt;0,I124,$F$9),D124+E124+F124))</f>
        <v>0</v>
      </c>
      <c r="I124" s="77"/>
      <c r="J124" s="77"/>
      <c r="K124" s="41" t="n">
        <f aca="false">IF(D124&lt;=0.5,0,MIN(H124+N(J124),D124+E124+F124))</f>
        <v>0</v>
      </c>
      <c r="L124" s="41" t="n">
        <f aca="false">K124-E124-F124</f>
        <v>0</v>
      </c>
      <c r="M124" s="41" t="n">
        <f aca="false">D124-L124</f>
        <v>0</v>
      </c>
      <c r="N124" s="42" t="n">
        <f aca="false">K124-G124</f>
        <v>0</v>
      </c>
      <c r="O124" s="78"/>
      <c r="P124" s="79"/>
      <c r="Q124" s="16" t="str">
        <f aca="false">IF(K124=0,"",IF(R124=1,"Pagada",IF(C124&lt;$F$12,"Vencida",IF(98=$F$13,"Próxima","Pendiente"))))</f>
        <v/>
      </c>
      <c r="R124" s="62" t="n">
        <f aca="false">IF(AND(K124&gt;0,OR(O124="Sí",O124="Si")),1,0)</f>
        <v>0</v>
      </c>
      <c r="S124" s="62" t="n">
        <f aca="false">IF(AND(K124&gt;0,R124=0),1,0)</f>
        <v>0</v>
      </c>
    </row>
    <row r="125" customFormat="false" ht="15" hidden="false" customHeight="false" outlineLevel="0" collapsed="false">
      <c r="B125" s="71" t="str">
        <f aca="false">IF($F$6="Sí",N($C$11)+98,"")</f>
        <v/>
      </c>
      <c r="C125" s="72" t="str">
        <f aca="false">IF(OR($F$6&lt;&gt;"Sí",D125&lt;=0.5),"",EDATE($C$10,98))</f>
        <v/>
      </c>
      <c r="D125" s="41" t="n">
        <f aca="false">MAX(0,M124)</f>
        <v>0</v>
      </c>
      <c r="E125" s="41" t="n">
        <f aca="false">D125*$F$7</f>
        <v>0</v>
      </c>
      <c r="F125" s="41" t="n">
        <f aca="false">IF(D125&gt;0.5,N($C$15),0)</f>
        <v>0</v>
      </c>
      <c r="G125" s="41" t="n">
        <f aca="false">IF(AND(D125&gt;0.5,N($C$19)&gt;0,N(B125)&lt;=N($C$20)),D125*$F$8,0)</f>
        <v>0</v>
      </c>
      <c r="H125" s="41" t="n">
        <f aca="false">IF(D125&lt;=0.5,0,MIN(IF(N(I125)&gt;0,I125,$F$9),D125+E125+F125))</f>
        <v>0</v>
      </c>
      <c r="I125" s="77"/>
      <c r="J125" s="77"/>
      <c r="K125" s="41" t="n">
        <f aca="false">IF(D125&lt;=0.5,0,MIN(H125+N(J125),D125+E125+F125))</f>
        <v>0</v>
      </c>
      <c r="L125" s="41" t="n">
        <f aca="false">K125-E125-F125</f>
        <v>0</v>
      </c>
      <c r="M125" s="41" t="n">
        <f aca="false">D125-L125</f>
        <v>0</v>
      </c>
      <c r="N125" s="42" t="n">
        <f aca="false">K125-G125</f>
        <v>0</v>
      </c>
      <c r="O125" s="78"/>
      <c r="P125" s="79"/>
      <c r="Q125" s="16" t="str">
        <f aca="false">IF(K125=0,"",IF(R125=1,"Pagada",IF(C125&lt;$F$12,"Vencida",IF(99=$F$13,"Próxima","Pendiente"))))</f>
        <v/>
      </c>
      <c r="R125" s="62" t="n">
        <f aca="false">IF(AND(K125&gt;0,OR(O125="Sí",O125="Si")),1,0)</f>
        <v>0</v>
      </c>
      <c r="S125" s="62" t="n">
        <f aca="false">IF(AND(K125&gt;0,R125=0),1,0)</f>
        <v>0</v>
      </c>
    </row>
    <row r="126" customFormat="false" ht="15" hidden="false" customHeight="false" outlineLevel="0" collapsed="false">
      <c r="B126" s="71" t="str">
        <f aca="false">IF($F$6="Sí",N($C$11)+99,"")</f>
        <v/>
      </c>
      <c r="C126" s="72" t="str">
        <f aca="false">IF(OR($F$6&lt;&gt;"Sí",D126&lt;=0.5),"",EDATE($C$10,99))</f>
        <v/>
      </c>
      <c r="D126" s="41" t="n">
        <f aca="false">MAX(0,M125)</f>
        <v>0</v>
      </c>
      <c r="E126" s="41" t="n">
        <f aca="false">D126*$F$7</f>
        <v>0</v>
      </c>
      <c r="F126" s="41" t="n">
        <f aca="false">IF(D126&gt;0.5,N($C$15),0)</f>
        <v>0</v>
      </c>
      <c r="G126" s="41" t="n">
        <f aca="false">IF(AND(D126&gt;0.5,N($C$19)&gt;0,N(B126)&lt;=N($C$20)),D126*$F$8,0)</f>
        <v>0</v>
      </c>
      <c r="H126" s="41" t="n">
        <f aca="false">IF(D126&lt;=0.5,0,MIN(IF(N(I126)&gt;0,I126,$F$9),D126+E126+F126))</f>
        <v>0</v>
      </c>
      <c r="I126" s="77"/>
      <c r="J126" s="77"/>
      <c r="K126" s="41" t="n">
        <f aca="false">IF(D126&lt;=0.5,0,MIN(H126+N(J126),D126+E126+F126))</f>
        <v>0</v>
      </c>
      <c r="L126" s="41" t="n">
        <f aca="false">K126-E126-F126</f>
        <v>0</v>
      </c>
      <c r="M126" s="41" t="n">
        <f aca="false">D126-L126</f>
        <v>0</v>
      </c>
      <c r="N126" s="42" t="n">
        <f aca="false">K126-G126</f>
        <v>0</v>
      </c>
      <c r="O126" s="78"/>
      <c r="P126" s="79"/>
      <c r="Q126" s="16" t="str">
        <f aca="false">IF(K126=0,"",IF(R126=1,"Pagada",IF(C126&lt;$F$12,"Vencida",IF(100=$F$13,"Próxima","Pendiente"))))</f>
        <v/>
      </c>
      <c r="R126" s="62" t="n">
        <f aca="false">IF(AND(K126&gt;0,OR(O126="Sí",O126="Si")),1,0)</f>
        <v>0</v>
      </c>
      <c r="S126" s="62" t="n">
        <f aca="false">IF(AND(K126&gt;0,R126=0),1,0)</f>
        <v>0</v>
      </c>
    </row>
    <row r="127" customFormat="false" ht="15" hidden="false" customHeight="false" outlineLevel="0" collapsed="false">
      <c r="B127" s="71" t="str">
        <f aca="false">IF($F$6="Sí",N($C$11)+100,"")</f>
        <v/>
      </c>
      <c r="C127" s="72" t="str">
        <f aca="false">IF(OR($F$6&lt;&gt;"Sí",D127&lt;=0.5),"",EDATE($C$10,100))</f>
        <v/>
      </c>
      <c r="D127" s="41" t="n">
        <f aca="false">MAX(0,M126)</f>
        <v>0</v>
      </c>
      <c r="E127" s="41" t="n">
        <f aca="false">D127*$F$7</f>
        <v>0</v>
      </c>
      <c r="F127" s="41" t="n">
        <f aca="false">IF(D127&gt;0.5,N($C$15),0)</f>
        <v>0</v>
      </c>
      <c r="G127" s="41" t="n">
        <f aca="false">IF(AND(D127&gt;0.5,N($C$19)&gt;0,N(B127)&lt;=N($C$20)),D127*$F$8,0)</f>
        <v>0</v>
      </c>
      <c r="H127" s="41" t="n">
        <f aca="false">IF(D127&lt;=0.5,0,MIN(IF(N(I127)&gt;0,I127,$F$9),D127+E127+F127))</f>
        <v>0</v>
      </c>
      <c r="I127" s="77"/>
      <c r="J127" s="77"/>
      <c r="K127" s="41" t="n">
        <f aca="false">IF(D127&lt;=0.5,0,MIN(H127+N(J127),D127+E127+F127))</f>
        <v>0</v>
      </c>
      <c r="L127" s="41" t="n">
        <f aca="false">K127-E127-F127</f>
        <v>0</v>
      </c>
      <c r="M127" s="41" t="n">
        <f aca="false">D127-L127</f>
        <v>0</v>
      </c>
      <c r="N127" s="42" t="n">
        <f aca="false">K127-G127</f>
        <v>0</v>
      </c>
      <c r="O127" s="78"/>
      <c r="P127" s="79"/>
      <c r="Q127" s="16" t="str">
        <f aca="false">IF(K127=0,"",IF(R127=1,"Pagada",IF(C127&lt;$F$12,"Vencida",IF(101=$F$13,"Próxima","Pendiente"))))</f>
        <v/>
      </c>
      <c r="R127" s="62" t="n">
        <f aca="false">IF(AND(K127&gt;0,OR(O127="Sí",O127="Si")),1,0)</f>
        <v>0</v>
      </c>
      <c r="S127" s="62" t="n">
        <f aca="false">IF(AND(K127&gt;0,R127=0),1,0)</f>
        <v>0</v>
      </c>
    </row>
    <row r="128" customFormat="false" ht="15" hidden="false" customHeight="false" outlineLevel="0" collapsed="false">
      <c r="B128" s="71" t="str">
        <f aca="false">IF($F$6="Sí",N($C$11)+101,"")</f>
        <v/>
      </c>
      <c r="C128" s="72" t="str">
        <f aca="false">IF(OR($F$6&lt;&gt;"Sí",D128&lt;=0.5),"",EDATE($C$10,101))</f>
        <v/>
      </c>
      <c r="D128" s="41" t="n">
        <f aca="false">MAX(0,M127)</f>
        <v>0</v>
      </c>
      <c r="E128" s="41" t="n">
        <f aca="false">D128*$F$7</f>
        <v>0</v>
      </c>
      <c r="F128" s="41" t="n">
        <f aca="false">IF(D128&gt;0.5,N($C$15),0)</f>
        <v>0</v>
      </c>
      <c r="G128" s="41" t="n">
        <f aca="false">IF(AND(D128&gt;0.5,N($C$19)&gt;0,N(B128)&lt;=N($C$20)),D128*$F$8,0)</f>
        <v>0</v>
      </c>
      <c r="H128" s="41" t="n">
        <f aca="false">IF(D128&lt;=0.5,0,MIN(IF(N(I128)&gt;0,I128,$F$9),D128+E128+F128))</f>
        <v>0</v>
      </c>
      <c r="I128" s="77"/>
      <c r="J128" s="77"/>
      <c r="K128" s="41" t="n">
        <f aca="false">IF(D128&lt;=0.5,0,MIN(H128+N(J128),D128+E128+F128))</f>
        <v>0</v>
      </c>
      <c r="L128" s="41" t="n">
        <f aca="false">K128-E128-F128</f>
        <v>0</v>
      </c>
      <c r="M128" s="41" t="n">
        <f aca="false">D128-L128</f>
        <v>0</v>
      </c>
      <c r="N128" s="42" t="n">
        <f aca="false">K128-G128</f>
        <v>0</v>
      </c>
      <c r="O128" s="78"/>
      <c r="P128" s="79"/>
      <c r="Q128" s="16" t="str">
        <f aca="false">IF(K128=0,"",IF(R128=1,"Pagada",IF(C128&lt;$F$12,"Vencida",IF(102=$F$13,"Próxima","Pendiente"))))</f>
        <v/>
      </c>
      <c r="R128" s="62" t="n">
        <f aca="false">IF(AND(K128&gt;0,OR(O128="Sí",O128="Si")),1,0)</f>
        <v>0</v>
      </c>
      <c r="S128" s="62" t="n">
        <f aca="false">IF(AND(K128&gt;0,R128=0),1,0)</f>
        <v>0</v>
      </c>
    </row>
    <row r="129" customFormat="false" ht="15" hidden="false" customHeight="false" outlineLevel="0" collapsed="false">
      <c r="B129" s="71" t="str">
        <f aca="false">IF($F$6="Sí",N($C$11)+102,"")</f>
        <v/>
      </c>
      <c r="C129" s="72" t="str">
        <f aca="false">IF(OR($F$6&lt;&gt;"Sí",D129&lt;=0.5),"",EDATE($C$10,102))</f>
        <v/>
      </c>
      <c r="D129" s="41" t="n">
        <f aca="false">MAX(0,M128)</f>
        <v>0</v>
      </c>
      <c r="E129" s="41" t="n">
        <f aca="false">D129*$F$7</f>
        <v>0</v>
      </c>
      <c r="F129" s="41" t="n">
        <f aca="false">IF(D129&gt;0.5,N($C$15),0)</f>
        <v>0</v>
      </c>
      <c r="G129" s="41" t="n">
        <f aca="false">IF(AND(D129&gt;0.5,N($C$19)&gt;0,N(B129)&lt;=N($C$20)),D129*$F$8,0)</f>
        <v>0</v>
      </c>
      <c r="H129" s="41" t="n">
        <f aca="false">IF(D129&lt;=0.5,0,MIN(IF(N(I129)&gt;0,I129,$F$9),D129+E129+F129))</f>
        <v>0</v>
      </c>
      <c r="I129" s="77"/>
      <c r="J129" s="77"/>
      <c r="K129" s="41" t="n">
        <f aca="false">IF(D129&lt;=0.5,0,MIN(H129+N(J129),D129+E129+F129))</f>
        <v>0</v>
      </c>
      <c r="L129" s="41" t="n">
        <f aca="false">K129-E129-F129</f>
        <v>0</v>
      </c>
      <c r="M129" s="41" t="n">
        <f aca="false">D129-L129</f>
        <v>0</v>
      </c>
      <c r="N129" s="42" t="n">
        <f aca="false">K129-G129</f>
        <v>0</v>
      </c>
      <c r="O129" s="78"/>
      <c r="P129" s="79"/>
      <c r="Q129" s="16" t="str">
        <f aca="false">IF(K129=0,"",IF(R129=1,"Pagada",IF(C129&lt;$F$12,"Vencida",IF(103=$F$13,"Próxima","Pendiente"))))</f>
        <v/>
      </c>
      <c r="R129" s="62" t="n">
        <f aca="false">IF(AND(K129&gt;0,OR(O129="Sí",O129="Si")),1,0)</f>
        <v>0</v>
      </c>
      <c r="S129" s="62" t="n">
        <f aca="false">IF(AND(K129&gt;0,R129=0),1,0)</f>
        <v>0</v>
      </c>
    </row>
    <row r="130" customFormat="false" ht="15" hidden="false" customHeight="false" outlineLevel="0" collapsed="false">
      <c r="B130" s="71" t="str">
        <f aca="false">IF($F$6="Sí",N($C$11)+103,"")</f>
        <v/>
      </c>
      <c r="C130" s="72" t="str">
        <f aca="false">IF(OR($F$6&lt;&gt;"Sí",D130&lt;=0.5),"",EDATE($C$10,103))</f>
        <v/>
      </c>
      <c r="D130" s="41" t="n">
        <f aca="false">MAX(0,M129)</f>
        <v>0</v>
      </c>
      <c r="E130" s="41" t="n">
        <f aca="false">D130*$F$7</f>
        <v>0</v>
      </c>
      <c r="F130" s="41" t="n">
        <f aca="false">IF(D130&gt;0.5,N($C$15),0)</f>
        <v>0</v>
      </c>
      <c r="G130" s="41" t="n">
        <f aca="false">IF(AND(D130&gt;0.5,N($C$19)&gt;0,N(B130)&lt;=N($C$20)),D130*$F$8,0)</f>
        <v>0</v>
      </c>
      <c r="H130" s="41" t="n">
        <f aca="false">IF(D130&lt;=0.5,0,MIN(IF(N(I130)&gt;0,I130,$F$9),D130+E130+F130))</f>
        <v>0</v>
      </c>
      <c r="I130" s="77"/>
      <c r="J130" s="77"/>
      <c r="K130" s="41" t="n">
        <f aca="false">IF(D130&lt;=0.5,0,MIN(H130+N(J130),D130+E130+F130))</f>
        <v>0</v>
      </c>
      <c r="L130" s="41" t="n">
        <f aca="false">K130-E130-F130</f>
        <v>0</v>
      </c>
      <c r="M130" s="41" t="n">
        <f aca="false">D130-L130</f>
        <v>0</v>
      </c>
      <c r="N130" s="42" t="n">
        <f aca="false">K130-G130</f>
        <v>0</v>
      </c>
      <c r="O130" s="78"/>
      <c r="P130" s="79"/>
      <c r="Q130" s="16" t="str">
        <f aca="false">IF(K130=0,"",IF(R130=1,"Pagada",IF(C130&lt;$F$12,"Vencida",IF(104=$F$13,"Próxima","Pendiente"))))</f>
        <v/>
      </c>
      <c r="R130" s="62" t="n">
        <f aca="false">IF(AND(K130&gt;0,OR(O130="Sí",O130="Si")),1,0)</f>
        <v>0</v>
      </c>
      <c r="S130" s="62" t="n">
        <f aca="false">IF(AND(K130&gt;0,R130=0),1,0)</f>
        <v>0</v>
      </c>
    </row>
    <row r="131" customFormat="false" ht="15" hidden="false" customHeight="false" outlineLevel="0" collapsed="false">
      <c r="B131" s="71" t="str">
        <f aca="false">IF($F$6="Sí",N($C$11)+104,"")</f>
        <v/>
      </c>
      <c r="C131" s="72" t="str">
        <f aca="false">IF(OR($F$6&lt;&gt;"Sí",D131&lt;=0.5),"",EDATE($C$10,104))</f>
        <v/>
      </c>
      <c r="D131" s="41" t="n">
        <f aca="false">MAX(0,M130)</f>
        <v>0</v>
      </c>
      <c r="E131" s="41" t="n">
        <f aca="false">D131*$F$7</f>
        <v>0</v>
      </c>
      <c r="F131" s="41" t="n">
        <f aca="false">IF(D131&gt;0.5,N($C$15),0)</f>
        <v>0</v>
      </c>
      <c r="G131" s="41" t="n">
        <f aca="false">IF(AND(D131&gt;0.5,N($C$19)&gt;0,N(B131)&lt;=N($C$20)),D131*$F$8,0)</f>
        <v>0</v>
      </c>
      <c r="H131" s="41" t="n">
        <f aca="false">IF(D131&lt;=0.5,0,MIN(IF(N(I131)&gt;0,I131,$F$9),D131+E131+F131))</f>
        <v>0</v>
      </c>
      <c r="I131" s="77"/>
      <c r="J131" s="77"/>
      <c r="K131" s="41" t="n">
        <f aca="false">IF(D131&lt;=0.5,0,MIN(H131+N(J131),D131+E131+F131))</f>
        <v>0</v>
      </c>
      <c r="L131" s="41" t="n">
        <f aca="false">K131-E131-F131</f>
        <v>0</v>
      </c>
      <c r="M131" s="41" t="n">
        <f aca="false">D131-L131</f>
        <v>0</v>
      </c>
      <c r="N131" s="42" t="n">
        <f aca="false">K131-G131</f>
        <v>0</v>
      </c>
      <c r="O131" s="78"/>
      <c r="P131" s="79"/>
      <c r="Q131" s="16" t="str">
        <f aca="false">IF(K131=0,"",IF(R131=1,"Pagada",IF(C131&lt;$F$12,"Vencida",IF(105=$F$13,"Próxima","Pendiente"))))</f>
        <v/>
      </c>
      <c r="R131" s="62" t="n">
        <f aca="false">IF(AND(K131&gt;0,OR(O131="Sí",O131="Si")),1,0)</f>
        <v>0</v>
      </c>
      <c r="S131" s="62" t="n">
        <f aca="false">IF(AND(K131&gt;0,R131=0),1,0)</f>
        <v>0</v>
      </c>
    </row>
    <row r="132" customFormat="false" ht="15" hidden="false" customHeight="false" outlineLevel="0" collapsed="false">
      <c r="B132" s="71" t="str">
        <f aca="false">IF($F$6="Sí",N($C$11)+105,"")</f>
        <v/>
      </c>
      <c r="C132" s="72" t="str">
        <f aca="false">IF(OR($F$6&lt;&gt;"Sí",D132&lt;=0.5),"",EDATE($C$10,105))</f>
        <v/>
      </c>
      <c r="D132" s="41" t="n">
        <f aca="false">MAX(0,M131)</f>
        <v>0</v>
      </c>
      <c r="E132" s="41" t="n">
        <f aca="false">D132*$F$7</f>
        <v>0</v>
      </c>
      <c r="F132" s="41" t="n">
        <f aca="false">IF(D132&gt;0.5,N($C$15),0)</f>
        <v>0</v>
      </c>
      <c r="G132" s="41" t="n">
        <f aca="false">IF(AND(D132&gt;0.5,N($C$19)&gt;0,N(B132)&lt;=N($C$20)),D132*$F$8,0)</f>
        <v>0</v>
      </c>
      <c r="H132" s="41" t="n">
        <f aca="false">IF(D132&lt;=0.5,0,MIN(IF(N(I132)&gt;0,I132,$F$9),D132+E132+F132))</f>
        <v>0</v>
      </c>
      <c r="I132" s="77"/>
      <c r="J132" s="77"/>
      <c r="K132" s="41" t="n">
        <f aca="false">IF(D132&lt;=0.5,0,MIN(H132+N(J132),D132+E132+F132))</f>
        <v>0</v>
      </c>
      <c r="L132" s="41" t="n">
        <f aca="false">K132-E132-F132</f>
        <v>0</v>
      </c>
      <c r="M132" s="41" t="n">
        <f aca="false">D132-L132</f>
        <v>0</v>
      </c>
      <c r="N132" s="42" t="n">
        <f aca="false">K132-G132</f>
        <v>0</v>
      </c>
      <c r="O132" s="78"/>
      <c r="P132" s="79"/>
      <c r="Q132" s="16" t="str">
        <f aca="false">IF(K132=0,"",IF(R132=1,"Pagada",IF(C132&lt;$F$12,"Vencida",IF(106=$F$13,"Próxima","Pendiente"))))</f>
        <v/>
      </c>
      <c r="R132" s="62" t="n">
        <f aca="false">IF(AND(K132&gt;0,OR(O132="Sí",O132="Si")),1,0)</f>
        <v>0</v>
      </c>
      <c r="S132" s="62" t="n">
        <f aca="false">IF(AND(K132&gt;0,R132=0),1,0)</f>
        <v>0</v>
      </c>
    </row>
    <row r="133" customFormat="false" ht="15" hidden="false" customHeight="false" outlineLevel="0" collapsed="false">
      <c r="B133" s="71" t="str">
        <f aca="false">IF($F$6="Sí",N($C$11)+106,"")</f>
        <v/>
      </c>
      <c r="C133" s="72" t="str">
        <f aca="false">IF(OR($F$6&lt;&gt;"Sí",D133&lt;=0.5),"",EDATE($C$10,106))</f>
        <v/>
      </c>
      <c r="D133" s="41" t="n">
        <f aca="false">MAX(0,M132)</f>
        <v>0</v>
      </c>
      <c r="E133" s="41" t="n">
        <f aca="false">D133*$F$7</f>
        <v>0</v>
      </c>
      <c r="F133" s="41" t="n">
        <f aca="false">IF(D133&gt;0.5,N($C$15),0)</f>
        <v>0</v>
      </c>
      <c r="G133" s="41" t="n">
        <f aca="false">IF(AND(D133&gt;0.5,N($C$19)&gt;0,N(B133)&lt;=N($C$20)),D133*$F$8,0)</f>
        <v>0</v>
      </c>
      <c r="H133" s="41" t="n">
        <f aca="false">IF(D133&lt;=0.5,0,MIN(IF(N(I133)&gt;0,I133,$F$9),D133+E133+F133))</f>
        <v>0</v>
      </c>
      <c r="I133" s="77"/>
      <c r="J133" s="77"/>
      <c r="K133" s="41" t="n">
        <f aca="false">IF(D133&lt;=0.5,0,MIN(H133+N(J133),D133+E133+F133))</f>
        <v>0</v>
      </c>
      <c r="L133" s="41" t="n">
        <f aca="false">K133-E133-F133</f>
        <v>0</v>
      </c>
      <c r="M133" s="41" t="n">
        <f aca="false">D133-L133</f>
        <v>0</v>
      </c>
      <c r="N133" s="42" t="n">
        <f aca="false">K133-G133</f>
        <v>0</v>
      </c>
      <c r="O133" s="78"/>
      <c r="P133" s="79"/>
      <c r="Q133" s="16" t="str">
        <f aca="false">IF(K133=0,"",IF(R133=1,"Pagada",IF(C133&lt;$F$12,"Vencida",IF(107=$F$13,"Próxima","Pendiente"))))</f>
        <v/>
      </c>
      <c r="R133" s="62" t="n">
        <f aca="false">IF(AND(K133&gt;0,OR(O133="Sí",O133="Si")),1,0)</f>
        <v>0</v>
      </c>
      <c r="S133" s="62" t="n">
        <f aca="false">IF(AND(K133&gt;0,R133=0),1,0)</f>
        <v>0</v>
      </c>
    </row>
    <row r="134" customFormat="false" ht="15" hidden="false" customHeight="false" outlineLevel="0" collapsed="false">
      <c r="B134" s="71" t="str">
        <f aca="false">IF($F$6="Sí",N($C$11)+107,"")</f>
        <v/>
      </c>
      <c r="C134" s="72" t="str">
        <f aca="false">IF(OR($F$6&lt;&gt;"Sí",D134&lt;=0.5),"",EDATE($C$10,107))</f>
        <v/>
      </c>
      <c r="D134" s="41" t="n">
        <f aca="false">MAX(0,M133)</f>
        <v>0</v>
      </c>
      <c r="E134" s="41" t="n">
        <f aca="false">D134*$F$7</f>
        <v>0</v>
      </c>
      <c r="F134" s="41" t="n">
        <f aca="false">IF(D134&gt;0.5,N($C$15),0)</f>
        <v>0</v>
      </c>
      <c r="G134" s="41" t="n">
        <f aca="false">IF(AND(D134&gt;0.5,N($C$19)&gt;0,N(B134)&lt;=N($C$20)),D134*$F$8,0)</f>
        <v>0</v>
      </c>
      <c r="H134" s="41" t="n">
        <f aca="false">IF(D134&lt;=0.5,0,MIN(IF(N(I134)&gt;0,I134,$F$9),D134+E134+F134))</f>
        <v>0</v>
      </c>
      <c r="I134" s="77"/>
      <c r="J134" s="77"/>
      <c r="K134" s="41" t="n">
        <f aca="false">IF(D134&lt;=0.5,0,MIN(H134+N(J134),D134+E134+F134))</f>
        <v>0</v>
      </c>
      <c r="L134" s="41" t="n">
        <f aca="false">K134-E134-F134</f>
        <v>0</v>
      </c>
      <c r="M134" s="41" t="n">
        <f aca="false">D134-L134</f>
        <v>0</v>
      </c>
      <c r="N134" s="42" t="n">
        <f aca="false">K134-G134</f>
        <v>0</v>
      </c>
      <c r="O134" s="78"/>
      <c r="P134" s="79"/>
      <c r="Q134" s="16" t="str">
        <f aca="false">IF(K134=0,"",IF(R134=1,"Pagada",IF(C134&lt;$F$12,"Vencida",IF(108=$F$13,"Próxima","Pendiente"))))</f>
        <v/>
      </c>
      <c r="R134" s="62" t="n">
        <f aca="false">IF(AND(K134&gt;0,OR(O134="Sí",O134="Si")),1,0)</f>
        <v>0</v>
      </c>
      <c r="S134" s="62" t="n">
        <f aca="false">IF(AND(K134&gt;0,R134=0),1,0)</f>
        <v>0</v>
      </c>
    </row>
    <row r="135" customFormat="false" ht="15" hidden="false" customHeight="false" outlineLevel="0" collapsed="false">
      <c r="B135" s="71" t="str">
        <f aca="false">IF($F$6="Sí",N($C$11)+108,"")</f>
        <v/>
      </c>
      <c r="C135" s="72" t="str">
        <f aca="false">IF(OR($F$6&lt;&gt;"Sí",D135&lt;=0.5),"",EDATE($C$10,108))</f>
        <v/>
      </c>
      <c r="D135" s="41" t="n">
        <f aca="false">MAX(0,M134)</f>
        <v>0</v>
      </c>
      <c r="E135" s="41" t="n">
        <f aca="false">D135*$F$7</f>
        <v>0</v>
      </c>
      <c r="F135" s="41" t="n">
        <f aca="false">IF(D135&gt;0.5,N($C$15),0)</f>
        <v>0</v>
      </c>
      <c r="G135" s="41" t="n">
        <f aca="false">IF(AND(D135&gt;0.5,N($C$19)&gt;0,N(B135)&lt;=N($C$20)),D135*$F$8,0)</f>
        <v>0</v>
      </c>
      <c r="H135" s="41" t="n">
        <f aca="false">IF(D135&lt;=0.5,0,MIN(IF(N(I135)&gt;0,I135,$F$9),D135+E135+F135))</f>
        <v>0</v>
      </c>
      <c r="I135" s="77"/>
      <c r="J135" s="77"/>
      <c r="K135" s="41" t="n">
        <f aca="false">IF(D135&lt;=0.5,0,MIN(H135+N(J135),D135+E135+F135))</f>
        <v>0</v>
      </c>
      <c r="L135" s="41" t="n">
        <f aca="false">K135-E135-F135</f>
        <v>0</v>
      </c>
      <c r="M135" s="41" t="n">
        <f aca="false">D135-L135</f>
        <v>0</v>
      </c>
      <c r="N135" s="42" t="n">
        <f aca="false">K135-G135</f>
        <v>0</v>
      </c>
      <c r="O135" s="78"/>
      <c r="P135" s="79"/>
      <c r="Q135" s="16" t="str">
        <f aca="false">IF(K135=0,"",IF(R135=1,"Pagada",IF(C135&lt;$F$12,"Vencida",IF(109=$F$13,"Próxima","Pendiente"))))</f>
        <v/>
      </c>
      <c r="R135" s="62" t="n">
        <f aca="false">IF(AND(K135&gt;0,OR(O135="Sí",O135="Si")),1,0)</f>
        <v>0</v>
      </c>
      <c r="S135" s="62" t="n">
        <f aca="false">IF(AND(K135&gt;0,R135=0),1,0)</f>
        <v>0</v>
      </c>
    </row>
    <row r="136" customFormat="false" ht="15" hidden="false" customHeight="false" outlineLevel="0" collapsed="false">
      <c r="B136" s="71" t="str">
        <f aca="false">IF($F$6="Sí",N($C$11)+109,"")</f>
        <v/>
      </c>
      <c r="C136" s="72" t="str">
        <f aca="false">IF(OR($F$6&lt;&gt;"Sí",D136&lt;=0.5),"",EDATE($C$10,109))</f>
        <v/>
      </c>
      <c r="D136" s="41" t="n">
        <f aca="false">MAX(0,M135)</f>
        <v>0</v>
      </c>
      <c r="E136" s="41" t="n">
        <f aca="false">D136*$F$7</f>
        <v>0</v>
      </c>
      <c r="F136" s="41" t="n">
        <f aca="false">IF(D136&gt;0.5,N($C$15),0)</f>
        <v>0</v>
      </c>
      <c r="G136" s="41" t="n">
        <f aca="false">IF(AND(D136&gt;0.5,N($C$19)&gt;0,N(B136)&lt;=N($C$20)),D136*$F$8,0)</f>
        <v>0</v>
      </c>
      <c r="H136" s="41" t="n">
        <f aca="false">IF(D136&lt;=0.5,0,MIN(IF(N(I136)&gt;0,I136,$F$9),D136+E136+F136))</f>
        <v>0</v>
      </c>
      <c r="I136" s="77"/>
      <c r="J136" s="77"/>
      <c r="K136" s="41" t="n">
        <f aca="false">IF(D136&lt;=0.5,0,MIN(H136+N(J136),D136+E136+F136))</f>
        <v>0</v>
      </c>
      <c r="L136" s="41" t="n">
        <f aca="false">K136-E136-F136</f>
        <v>0</v>
      </c>
      <c r="M136" s="41" t="n">
        <f aca="false">D136-L136</f>
        <v>0</v>
      </c>
      <c r="N136" s="42" t="n">
        <f aca="false">K136-G136</f>
        <v>0</v>
      </c>
      <c r="O136" s="78"/>
      <c r="P136" s="79"/>
      <c r="Q136" s="16" t="str">
        <f aca="false">IF(K136=0,"",IF(R136=1,"Pagada",IF(C136&lt;$F$12,"Vencida",IF(110=$F$13,"Próxima","Pendiente"))))</f>
        <v/>
      </c>
      <c r="R136" s="62" t="n">
        <f aca="false">IF(AND(K136&gt;0,OR(O136="Sí",O136="Si")),1,0)</f>
        <v>0</v>
      </c>
      <c r="S136" s="62" t="n">
        <f aca="false">IF(AND(K136&gt;0,R136=0),1,0)</f>
        <v>0</v>
      </c>
    </row>
    <row r="137" customFormat="false" ht="15" hidden="false" customHeight="false" outlineLevel="0" collapsed="false">
      <c r="B137" s="71" t="str">
        <f aca="false">IF($F$6="Sí",N($C$11)+110,"")</f>
        <v/>
      </c>
      <c r="C137" s="72" t="str">
        <f aca="false">IF(OR($F$6&lt;&gt;"Sí",D137&lt;=0.5),"",EDATE($C$10,110))</f>
        <v/>
      </c>
      <c r="D137" s="41" t="n">
        <f aca="false">MAX(0,M136)</f>
        <v>0</v>
      </c>
      <c r="E137" s="41" t="n">
        <f aca="false">D137*$F$7</f>
        <v>0</v>
      </c>
      <c r="F137" s="41" t="n">
        <f aca="false">IF(D137&gt;0.5,N($C$15),0)</f>
        <v>0</v>
      </c>
      <c r="G137" s="41" t="n">
        <f aca="false">IF(AND(D137&gt;0.5,N($C$19)&gt;0,N(B137)&lt;=N($C$20)),D137*$F$8,0)</f>
        <v>0</v>
      </c>
      <c r="H137" s="41" t="n">
        <f aca="false">IF(D137&lt;=0.5,0,MIN(IF(N(I137)&gt;0,I137,$F$9),D137+E137+F137))</f>
        <v>0</v>
      </c>
      <c r="I137" s="77"/>
      <c r="J137" s="77"/>
      <c r="K137" s="41" t="n">
        <f aca="false">IF(D137&lt;=0.5,0,MIN(H137+N(J137),D137+E137+F137))</f>
        <v>0</v>
      </c>
      <c r="L137" s="41" t="n">
        <f aca="false">K137-E137-F137</f>
        <v>0</v>
      </c>
      <c r="M137" s="41" t="n">
        <f aca="false">D137-L137</f>
        <v>0</v>
      </c>
      <c r="N137" s="42" t="n">
        <f aca="false">K137-G137</f>
        <v>0</v>
      </c>
      <c r="O137" s="78"/>
      <c r="P137" s="79"/>
      <c r="Q137" s="16" t="str">
        <f aca="false">IF(K137=0,"",IF(R137=1,"Pagada",IF(C137&lt;$F$12,"Vencida",IF(111=$F$13,"Próxima","Pendiente"))))</f>
        <v/>
      </c>
      <c r="R137" s="62" t="n">
        <f aca="false">IF(AND(K137&gt;0,OR(O137="Sí",O137="Si")),1,0)</f>
        <v>0</v>
      </c>
      <c r="S137" s="62" t="n">
        <f aca="false">IF(AND(K137&gt;0,R137=0),1,0)</f>
        <v>0</v>
      </c>
    </row>
    <row r="138" customFormat="false" ht="15" hidden="false" customHeight="false" outlineLevel="0" collapsed="false">
      <c r="B138" s="71" t="str">
        <f aca="false">IF($F$6="Sí",N($C$11)+111,"")</f>
        <v/>
      </c>
      <c r="C138" s="72" t="str">
        <f aca="false">IF(OR($F$6&lt;&gt;"Sí",D138&lt;=0.5),"",EDATE($C$10,111))</f>
        <v/>
      </c>
      <c r="D138" s="41" t="n">
        <f aca="false">MAX(0,M137)</f>
        <v>0</v>
      </c>
      <c r="E138" s="41" t="n">
        <f aca="false">D138*$F$7</f>
        <v>0</v>
      </c>
      <c r="F138" s="41" t="n">
        <f aca="false">IF(D138&gt;0.5,N($C$15),0)</f>
        <v>0</v>
      </c>
      <c r="G138" s="41" t="n">
        <f aca="false">IF(AND(D138&gt;0.5,N($C$19)&gt;0,N(B138)&lt;=N($C$20)),D138*$F$8,0)</f>
        <v>0</v>
      </c>
      <c r="H138" s="41" t="n">
        <f aca="false">IF(D138&lt;=0.5,0,MIN(IF(N(I138)&gt;0,I138,$F$9),D138+E138+F138))</f>
        <v>0</v>
      </c>
      <c r="I138" s="77"/>
      <c r="J138" s="77"/>
      <c r="K138" s="41" t="n">
        <f aca="false">IF(D138&lt;=0.5,0,MIN(H138+N(J138),D138+E138+F138))</f>
        <v>0</v>
      </c>
      <c r="L138" s="41" t="n">
        <f aca="false">K138-E138-F138</f>
        <v>0</v>
      </c>
      <c r="M138" s="41" t="n">
        <f aca="false">D138-L138</f>
        <v>0</v>
      </c>
      <c r="N138" s="42" t="n">
        <f aca="false">K138-G138</f>
        <v>0</v>
      </c>
      <c r="O138" s="78"/>
      <c r="P138" s="79"/>
      <c r="Q138" s="16" t="str">
        <f aca="false">IF(K138=0,"",IF(R138=1,"Pagada",IF(C138&lt;$F$12,"Vencida",IF(112=$F$13,"Próxima","Pendiente"))))</f>
        <v/>
      </c>
      <c r="R138" s="62" t="n">
        <f aca="false">IF(AND(K138&gt;0,OR(O138="Sí",O138="Si")),1,0)</f>
        <v>0</v>
      </c>
      <c r="S138" s="62" t="n">
        <f aca="false">IF(AND(K138&gt;0,R138=0),1,0)</f>
        <v>0</v>
      </c>
    </row>
    <row r="139" customFormat="false" ht="15" hidden="false" customHeight="false" outlineLevel="0" collapsed="false">
      <c r="B139" s="71" t="str">
        <f aca="false">IF($F$6="Sí",N($C$11)+112,"")</f>
        <v/>
      </c>
      <c r="C139" s="72" t="str">
        <f aca="false">IF(OR($F$6&lt;&gt;"Sí",D139&lt;=0.5),"",EDATE($C$10,112))</f>
        <v/>
      </c>
      <c r="D139" s="41" t="n">
        <f aca="false">MAX(0,M138)</f>
        <v>0</v>
      </c>
      <c r="E139" s="41" t="n">
        <f aca="false">D139*$F$7</f>
        <v>0</v>
      </c>
      <c r="F139" s="41" t="n">
        <f aca="false">IF(D139&gt;0.5,N($C$15),0)</f>
        <v>0</v>
      </c>
      <c r="G139" s="41" t="n">
        <f aca="false">IF(AND(D139&gt;0.5,N($C$19)&gt;0,N(B139)&lt;=N($C$20)),D139*$F$8,0)</f>
        <v>0</v>
      </c>
      <c r="H139" s="41" t="n">
        <f aca="false">IF(D139&lt;=0.5,0,MIN(IF(N(I139)&gt;0,I139,$F$9),D139+E139+F139))</f>
        <v>0</v>
      </c>
      <c r="I139" s="77"/>
      <c r="J139" s="77"/>
      <c r="K139" s="41" t="n">
        <f aca="false">IF(D139&lt;=0.5,0,MIN(H139+N(J139),D139+E139+F139))</f>
        <v>0</v>
      </c>
      <c r="L139" s="41" t="n">
        <f aca="false">K139-E139-F139</f>
        <v>0</v>
      </c>
      <c r="M139" s="41" t="n">
        <f aca="false">D139-L139</f>
        <v>0</v>
      </c>
      <c r="N139" s="42" t="n">
        <f aca="false">K139-G139</f>
        <v>0</v>
      </c>
      <c r="O139" s="78"/>
      <c r="P139" s="79"/>
      <c r="Q139" s="16" t="str">
        <f aca="false">IF(K139=0,"",IF(R139=1,"Pagada",IF(C139&lt;$F$12,"Vencida",IF(113=$F$13,"Próxima","Pendiente"))))</f>
        <v/>
      </c>
      <c r="R139" s="62" t="n">
        <f aca="false">IF(AND(K139&gt;0,OR(O139="Sí",O139="Si")),1,0)</f>
        <v>0</v>
      </c>
      <c r="S139" s="62" t="n">
        <f aca="false">IF(AND(K139&gt;0,R139=0),1,0)</f>
        <v>0</v>
      </c>
    </row>
    <row r="140" customFormat="false" ht="15" hidden="false" customHeight="false" outlineLevel="0" collapsed="false">
      <c r="B140" s="71" t="str">
        <f aca="false">IF($F$6="Sí",N($C$11)+113,"")</f>
        <v/>
      </c>
      <c r="C140" s="72" t="str">
        <f aca="false">IF(OR($F$6&lt;&gt;"Sí",D140&lt;=0.5),"",EDATE($C$10,113))</f>
        <v/>
      </c>
      <c r="D140" s="41" t="n">
        <f aca="false">MAX(0,M139)</f>
        <v>0</v>
      </c>
      <c r="E140" s="41" t="n">
        <f aca="false">D140*$F$7</f>
        <v>0</v>
      </c>
      <c r="F140" s="41" t="n">
        <f aca="false">IF(D140&gt;0.5,N($C$15),0)</f>
        <v>0</v>
      </c>
      <c r="G140" s="41" t="n">
        <f aca="false">IF(AND(D140&gt;0.5,N($C$19)&gt;0,N(B140)&lt;=N($C$20)),D140*$F$8,0)</f>
        <v>0</v>
      </c>
      <c r="H140" s="41" t="n">
        <f aca="false">IF(D140&lt;=0.5,0,MIN(IF(N(I140)&gt;0,I140,$F$9),D140+E140+F140))</f>
        <v>0</v>
      </c>
      <c r="I140" s="77"/>
      <c r="J140" s="77"/>
      <c r="K140" s="41" t="n">
        <f aca="false">IF(D140&lt;=0.5,0,MIN(H140+N(J140),D140+E140+F140))</f>
        <v>0</v>
      </c>
      <c r="L140" s="41" t="n">
        <f aca="false">K140-E140-F140</f>
        <v>0</v>
      </c>
      <c r="M140" s="41" t="n">
        <f aca="false">D140-L140</f>
        <v>0</v>
      </c>
      <c r="N140" s="42" t="n">
        <f aca="false">K140-G140</f>
        <v>0</v>
      </c>
      <c r="O140" s="78"/>
      <c r="P140" s="79"/>
      <c r="Q140" s="16" t="str">
        <f aca="false">IF(K140=0,"",IF(R140=1,"Pagada",IF(C140&lt;$F$12,"Vencida",IF(114=$F$13,"Próxima","Pendiente"))))</f>
        <v/>
      </c>
      <c r="R140" s="62" t="n">
        <f aca="false">IF(AND(K140&gt;0,OR(O140="Sí",O140="Si")),1,0)</f>
        <v>0</v>
      </c>
      <c r="S140" s="62" t="n">
        <f aca="false">IF(AND(K140&gt;0,R140=0),1,0)</f>
        <v>0</v>
      </c>
    </row>
    <row r="141" customFormat="false" ht="15" hidden="false" customHeight="false" outlineLevel="0" collapsed="false">
      <c r="B141" s="71" t="str">
        <f aca="false">IF($F$6="Sí",N($C$11)+114,"")</f>
        <v/>
      </c>
      <c r="C141" s="72" t="str">
        <f aca="false">IF(OR($F$6&lt;&gt;"Sí",D141&lt;=0.5),"",EDATE($C$10,114))</f>
        <v/>
      </c>
      <c r="D141" s="41" t="n">
        <f aca="false">MAX(0,M140)</f>
        <v>0</v>
      </c>
      <c r="E141" s="41" t="n">
        <f aca="false">D141*$F$7</f>
        <v>0</v>
      </c>
      <c r="F141" s="41" t="n">
        <f aca="false">IF(D141&gt;0.5,N($C$15),0)</f>
        <v>0</v>
      </c>
      <c r="G141" s="41" t="n">
        <f aca="false">IF(AND(D141&gt;0.5,N($C$19)&gt;0,N(B141)&lt;=N($C$20)),D141*$F$8,0)</f>
        <v>0</v>
      </c>
      <c r="H141" s="41" t="n">
        <f aca="false">IF(D141&lt;=0.5,0,MIN(IF(N(I141)&gt;0,I141,$F$9),D141+E141+F141))</f>
        <v>0</v>
      </c>
      <c r="I141" s="77"/>
      <c r="J141" s="77"/>
      <c r="K141" s="41" t="n">
        <f aca="false">IF(D141&lt;=0.5,0,MIN(H141+N(J141),D141+E141+F141))</f>
        <v>0</v>
      </c>
      <c r="L141" s="41" t="n">
        <f aca="false">K141-E141-F141</f>
        <v>0</v>
      </c>
      <c r="M141" s="41" t="n">
        <f aca="false">D141-L141</f>
        <v>0</v>
      </c>
      <c r="N141" s="42" t="n">
        <f aca="false">K141-G141</f>
        <v>0</v>
      </c>
      <c r="O141" s="78"/>
      <c r="P141" s="79"/>
      <c r="Q141" s="16" t="str">
        <f aca="false">IF(K141=0,"",IF(R141=1,"Pagada",IF(C141&lt;$F$12,"Vencida",IF(115=$F$13,"Próxima","Pendiente"))))</f>
        <v/>
      </c>
      <c r="R141" s="62" t="n">
        <f aca="false">IF(AND(K141&gt;0,OR(O141="Sí",O141="Si")),1,0)</f>
        <v>0</v>
      </c>
      <c r="S141" s="62" t="n">
        <f aca="false">IF(AND(K141&gt;0,R141=0),1,0)</f>
        <v>0</v>
      </c>
    </row>
    <row r="142" customFormat="false" ht="15" hidden="false" customHeight="false" outlineLevel="0" collapsed="false">
      <c r="B142" s="71" t="str">
        <f aca="false">IF($F$6="Sí",N($C$11)+115,"")</f>
        <v/>
      </c>
      <c r="C142" s="72" t="str">
        <f aca="false">IF(OR($F$6&lt;&gt;"Sí",D142&lt;=0.5),"",EDATE($C$10,115))</f>
        <v/>
      </c>
      <c r="D142" s="41" t="n">
        <f aca="false">MAX(0,M141)</f>
        <v>0</v>
      </c>
      <c r="E142" s="41" t="n">
        <f aca="false">D142*$F$7</f>
        <v>0</v>
      </c>
      <c r="F142" s="41" t="n">
        <f aca="false">IF(D142&gt;0.5,N($C$15),0)</f>
        <v>0</v>
      </c>
      <c r="G142" s="41" t="n">
        <f aca="false">IF(AND(D142&gt;0.5,N($C$19)&gt;0,N(B142)&lt;=N($C$20)),D142*$F$8,0)</f>
        <v>0</v>
      </c>
      <c r="H142" s="41" t="n">
        <f aca="false">IF(D142&lt;=0.5,0,MIN(IF(N(I142)&gt;0,I142,$F$9),D142+E142+F142))</f>
        <v>0</v>
      </c>
      <c r="I142" s="77"/>
      <c r="J142" s="77"/>
      <c r="K142" s="41" t="n">
        <f aca="false">IF(D142&lt;=0.5,0,MIN(H142+N(J142),D142+E142+F142))</f>
        <v>0</v>
      </c>
      <c r="L142" s="41" t="n">
        <f aca="false">K142-E142-F142</f>
        <v>0</v>
      </c>
      <c r="M142" s="41" t="n">
        <f aca="false">D142-L142</f>
        <v>0</v>
      </c>
      <c r="N142" s="42" t="n">
        <f aca="false">K142-G142</f>
        <v>0</v>
      </c>
      <c r="O142" s="78"/>
      <c r="P142" s="79"/>
      <c r="Q142" s="16" t="str">
        <f aca="false">IF(K142=0,"",IF(R142=1,"Pagada",IF(C142&lt;$F$12,"Vencida",IF(116=$F$13,"Próxima","Pendiente"))))</f>
        <v/>
      </c>
      <c r="R142" s="62" t="n">
        <f aca="false">IF(AND(K142&gt;0,OR(O142="Sí",O142="Si")),1,0)</f>
        <v>0</v>
      </c>
      <c r="S142" s="62" t="n">
        <f aca="false">IF(AND(K142&gt;0,R142=0),1,0)</f>
        <v>0</v>
      </c>
    </row>
    <row r="143" customFormat="false" ht="15" hidden="false" customHeight="false" outlineLevel="0" collapsed="false">
      <c r="B143" s="71" t="str">
        <f aca="false">IF($F$6="Sí",N($C$11)+116,"")</f>
        <v/>
      </c>
      <c r="C143" s="72" t="str">
        <f aca="false">IF(OR($F$6&lt;&gt;"Sí",D143&lt;=0.5),"",EDATE($C$10,116))</f>
        <v/>
      </c>
      <c r="D143" s="41" t="n">
        <f aca="false">MAX(0,M142)</f>
        <v>0</v>
      </c>
      <c r="E143" s="41" t="n">
        <f aca="false">D143*$F$7</f>
        <v>0</v>
      </c>
      <c r="F143" s="41" t="n">
        <f aca="false">IF(D143&gt;0.5,N($C$15),0)</f>
        <v>0</v>
      </c>
      <c r="G143" s="41" t="n">
        <f aca="false">IF(AND(D143&gt;0.5,N($C$19)&gt;0,N(B143)&lt;=N($C$20)),D143*$F$8,0)</f>
        <v>0</v>
      </c>
      <c r="H143" s="41" t="n">
        <f aca="false">IF(D143&lt;=0.5,0,MIN(IF(N(I143)&gt;0,I143,$F$9),D143+E143+F143))</f>
        <v>0</v>
      </c>
      <c r="I143" s="77"/>
      <c r="J143" s="77"/>
      <c r="K143" s="41" t="n">
        <f aca="false">IF(D143&lt;=0.5,0,MIN(H143+N(J143),D143+E143+F143))</f>
        <v>0</v>
      </c>
      <c r="L143" s="41" t="n">
        <f aca="false">K143-E143-F143</f>
        <v>0</v>
      </c>
      <c r="M143" s="41" t="n">
        <f aca="false">D143-L143</f>
        <v>0</v>
      </c>
      <c r="N143" s="42" t="n">
        <f aca="false">K143-G143</f>
        <v>0</v>
      </c>
      <c r="O143" s="78"/>
      <c r="P143" s="79"/>
      <c r="Q143" s="16" t="str">
        <f aca="false">IF(K143=0,"",IF(R143=1,"Pagada",IF(C143&lt;$F$12,"Vencida",IF(117=$F$13,"Próxima","Pendiente"))))</f>
        <v/>
      </c>
      <c r="R143" s="62" t="n">
        <f aca="false">IF(AND(K143&gt;0,OR(O143="Sí",O143="Si")),1,0)</f>
        <v>0</v>
      </c>
      <c r="S143" s="62" t="n">
        <f aca="false">IF(AND(K143&gt;0,R143=0),1,0)</f>
        <v>0</v>
      </c>
    </row>
    <row r="144" customFormat="false" ht="15" hidden="false" customHeight="false" outlineLevel="0" collapsed="false">
      <c r="B144" s="71" t="str">
        <f aca="false">IF($F$6="Sí",N($C$11)+117,"")</f>
        <v/>
      </c>
      <c r="C144" s="72" t="str">
        <f aca="false">IF(OR($F$6&lt;&gt;"Sí",D144&lt;=0.5),"",EDATE($C$10,117))</f>
        <v/>
      </c>
      <c r="D144" s="41" t="n">
        <f aca="false">MAX(0,M143)</f>
        <v>0</v>
      </c>
      <c r="E144" s="41" t="n">
        <f aca="false">D144*$F$7</f>
        <v>0</v>
      </c>
      <c r="F144" s="41" t="n">
        <f aca="false">IF(D144&gt;0.5,N($C$15),0)</f>
        <v>0</v>
      </c>
      <c r="G144" s="41" t="n">
        <f aca="false">IF(AND(D144&gt;0.5,N($C$19)&gt;0,N(B144)&lt;=N($C$20)),D144*$F$8,0)</f>
        <v>0</v>
      </c>
      <c r="H144" s="41" t="n">
        <f aca="false">IF(D144&lt;=0.5,0,MIN(IF(N(I144)&gt;0,I144,$F$9),D144+E144+F144))</f>
        <v>0</v>
      </c>
      <c r="I144" s="77"/>
      <c r="J144" s="77"/>
      <c r="K144" s="41" t="n">
        <f aca="false">IF(D144&lt;=0.5,0,MIN(H144+N(J144),D144+E144+F144))</f>
        <v>0</v>
      </c>
      <c r="L144" s="41" t="n">
        <f aca="false">K144-E144-F144</f>
        <v>0</v>
      </c>
      <c r="M144" s="41" t="n">
        <f aca="false">D144-L144</f>
        <v>0</v>
      </c>
      <c r="N144" s="42" t="n">
        <f aca="false">K144-G144</f>
        <v>0</v>
      </c>
      <c r="O144" s="78"/>
      <c r="P144" s="79"/>
      <c r="Q144" s="16" t="str">
        <f aca="false">IF(K144=0,"",IF(R144=1,"Pagada",IF(C144&lt;$F$12,"Vencida",IF(118=$F$13,"Próxima","Pendiente"))))</f>
        <v/>
      </c>
      <c r="R144" s="62" t="n">
        <f aca="false">IF(AND(K144&gt;0,OR(O144="Sí",O144="Si")),1,0)</f>
        <v>0</v>
      </c>
      <c r="S144" s="62" t="n">
        <f aca="false">IF(AND(K144&gt;0,R144=0),1,0)</f>
        <v>0</v>
      </c>
    </row>
    <row r="145" customFormat="false" ht="15" hidden="false" customHeight="false" outlineLevel="0" collapsed="false">
      <c r="B145" s="71" t="str">
        <f aca="false">IF($F$6="Sí",N($C$11)+118,"")</f>
        <v/>
      </c>
      <c r="C145" s="72" t="str">
        <f aca="false">IF(OR($F$6&lt;&gt;"Sí",D145&lt;=0.5),"",EDATE($C$10,118))</f>
        <v/>
      </c>
      <c r="D145" s="41" t="n">
        <f aca="false">MAX(0,M144)</f>
        <v>0</v>
      </c>
      <c r="E145" s="41" t="n">
        <f aca="false">D145*$F$7</f>
        <v>0</v>
      </c>
      <c r="F145" s="41" t="n">
        <f aca="false">IF(D145&gt;0.5,N($C$15),0)</f>
        <v>0</v>
      </c>
      <c r="G145" s="41" t="n">
        <f aca="false">IF(AND(D145&gt;0.5,N($C$19)&gt;0,N(B145)&lt;=N($C$20)),D145*$F$8,0)</f>
        <v>0</v>
      </c>
      <c r="H145" s="41" t="n">
        <f aca="false">IF(D145&lt;=0.5,0,MIN(IF(N(I145)&gt;0,I145,$F$9),D145+E145+F145))</f>
        <v>0</v>
      </c>
      <c r="I145" s="77"/>
      <c r="J145" s="77"/>
      <c r="K145" s="41" t="n">
        <f aca="false">IF(D145&lt;=0.5,0,MIN(H145+N(J145),D145+E145+F145))</f>
        <v>0</v>
      </c>
      <c r="L145" s="41" t="n">
        <f aca="false">K145-E145-F145</f>
        <v>0</v>
      </c>
      <c r="M145" s="41" t="n">
        <f aca="false">D145-L145</f>
        <v>0</v>
      </c>
      <c r="N145" s="42" t="n">
        <f aca="false">K145-G145</f>
        <v>0</v>
      </c>
      <c r="O145" s="78"/>
      <c r="P145" s="79"/>
      <c r="Q145" s="16" t="str">
        <f aca="false">IF(K145=0,"",IF(R145=1,"Pagada",IF(C145&lt;$F$12,"Vencida",IF(119=$F$13,"Próxima","Pendiente"))))</f>
        <v/>
      </c>
      <c r="R145" s="62" t="n">
        <f aca="false">IF(AND(K145&gt;0,OR(O145="Sí",O145="Si")),1,0)</f>
        <v>0</v>
      </c>
      <c r="S145" s="62" t="n">
        <f aca="false">IF(AND(K145&gt;0,R145=0),1,0)</f>
        <v>0</v>
      </c>
    </row>
    <row r="146" customFormat="false" ht="15" hidden="false" customHeight="false" outlineLevel="0" collapsed="false">
      <c r="B146" s="71" t="str">
        <f aca="false">IF($F$6="Sí",N($C$11)+119,"")</f>
        <v/>
      </c>
      <c r="C146" s="72" t="str">
        <f aca="false">IF(OR($F$6&lt;&gt;"Sí",D146&lt;=0.5),"",EDATE($C$10,119))</f>
        <v/>
      </c>
      <c r="D146" s="41" t="n">
        <f aca="false">MAX(0,M145)</f>
        <v>0</v>
      </c>
      <c r="E146" s="41" t="n">
        <f aca="false">D146*$F$7</f>
        <v>0</v>
      </c>
      <c r="F146" s="41" t="n">
        <f aca="false">IF(D146&gt;0.5,N($C$15),0)</f>
        <v>0</v>
      </c>
      <c r="G146" s="41" t="n">
        <f aca="false">IF(AND(D146&gt;0.5,N($C$19)&gt;0,N(B146)&lt;=N($C$20)),D146*$F$8,0)</f>
        <v>0</v>
      </c>
      <c r="H146" s="41" t="n">
        <f aca="false">IF(D146&lt;=0.5,0,MIN(IF(N(I146)&gt;0,I146,$F$9),D146+E146+F146))</f>
        <v>0</v>
      </c>
      <c r="I146" s="77"/>
      <c r="J146" s="77"/>
      <c r="K146" s="41" t="n">
        <f aca="false">IF(D146&lt;=0.5,0,MIN(H146+N(J146),D146+E146+F146))</f>
        <v>0</v>
      </c>
      <c r="L146" s="41" t="n">
        <f aca="false">K146-E146-F146</f>
        <v>0</v>
      </c>
      <c r="M146" s="41" t="n">
        <f aca="false">D146-L146</f>
        <v>0</v>
      </c>
      <c r="N146" s="42" t="n">
        <f aca="false">K146-G146</f>
        <v>0</v>
      </c>
      <c r="O146" s="78"/>
      <c r="P146" s="79"/>
      <c r="Q146" s="16" t="str">
        <f aca="false">IF(K146=0,"",IF(R146=1,"Pagada",IF(C146&lt;$F$12,"Vencida",IF(120=$F$13,"Próxima","Pendiente"))))</f>
        <v/>
      </c>
      <c r="R146" s="62" t="n">
        <f aca="false">IF(AND(K146&gt;0,OR(O146="Sí",O146="Si")),1,0)</f>
        <v>0</v>
      </c>
      <c r="S146" s="62" t="n">
        <f aca="false">IF(AND(K146&gt;0,R146=0),1,0)</f>
        <v>0</v>
      </c>
    </row>
    <row r="147" customFormat="false" ht="15" hidden="false" customHeight="false" outlineLevel="0" collapsed="false">
      <c r="B147" s="71" t="str">
        <f aca="false">IF($F$6="Sí",N($C$11)+120,"")</f>
        <v/>
      </c>
      <c r="C147" s="72" t="str">
        <f aca="false">IF(OR($F$6&lt;&gt;"Sí",D147&lt;=0.5),"",EDATE($C$10,120))</f>
        <v/>
      </c>
      <c r="D147" s="41" t="n">
        <f aca="false">MAX(0,M146)</f>
        <v>0</v>
      </c>
      <c r="E147" s="41" t="n">
        <f aca="false">D147*$F$7</f>
        <v>0</v>
      </c>
      <c r="F147" s="41" t="n">
        <f aca="false">IF(D147&gt;0.5,N($C$15),0)</f>
        <v>0</v>
      </c>
      <c r="G147" s="41" t="n">
        <f aca="false">IF(AND(D147&gt;0.5,N($C$19)&gt;0,N(B147)&lt;=N($C$20)),D147*$F$8,0)</f>
        <v>0</v>
      </c>
      <c r="H147" s="41" t="n">
        <f aca="false">IF(D147&lt;=0.5,0,MIN(IF(N(I147)&gt;0,I147,$F$9),D147+E147+F147))</f>
        <v>0</v>
      </c>
      <c r="I147" s="77"/>
      <c r="J147" s="77"/>
      <c r="K147" s="41" t="n">
        <f aca="false">IF(D147&lt;=0.5,0,MIN(H147+N(J147),D147+E147+F147))</f>
        <v>0</v>
      </c>
      <c r="L147" s="41" t="n">
        <f aca="false">K147-E147-F147</f>
        <v>0</v>
      </c>
      <c r="M147" s="41" t="n">
        <f aca="false">D147-L147</f>
        <v>0</v>
      </c>
      <c r="N147" s="42" t="n">
        <f aca="false">K147-G147</f>
        <v>0</v>
      </c>
      <c r="O147" s="78"/>
      <c r="P147" s="79"/>
      <c r="Q147" s="16" t="str">
        <f aca="false">IF(K147=0,"",IF(R147=1,"Pagada",IF(C147&lt;$F$12,"Vencida",IF(121=$F$13,"Próxima","Pendiente"))))</f>
        <v/>
      </c>
      <c r="R147" s="62" t="n">
        <f aca="false">IF(AND(K147&gt;0,OR(O147="Sí",O147="Si")),1,0)</f>
        <v>0</v>
      </c>
      <c r="S147" s="62" t="n">
        <f aca="false">IF(AND(K147&gt;0,R147=0),1,0)</f>
        <v>0</v>
      </c>
    </row>
    <row r="148" customFormat="false" ht="15" hidden="false" customHeight="false" outlineLevel="0" collapsed="false">
      <c r="B148" s="71" t="str">
        <f aca="false">IF($F$6="Sí",N($C$11)+121,"")</f>
        <v/>
      </c>
      <c r="C148" s="72" t="str">
        <f aca="false">IF(OR($F$6&lt;&gt;"Sí",D148&lt;=0.5),"",EDATE($C$10,121))</f>
        <v/>
      </c>
      <c r="D148" s="41" t="n">
        <f aca="false">MAX(0,M147)</f>
        <v>0</v>
      </c>
      <c r="E148" s="41" t="n">
        <f aca="false">D148*$F$7</f>
        <v>0</v>
      </c>
      <c r="F148" s="41" t="n">
        <f aca="false">IF(D148&gt;0.5,N($C$15),0)</f>
        <v>0</v>
      </c>
      <c r="G148" s="41" t="n">
        <f aca="false">IF(AND(D148&gt;0.5,N($C$19)&gt;0,N(B148)&lt;=N($C$20)),D148*$F$8,0)</f>
        <v>0</v>
      </c>
      <c r="H148" s="41" t="n">
        <f aca="false">IF(D148&lt;=0.5,0,MIN(IF(N(I148)&gt;0,I148,$F$9),D148+E148+F148))</f>
        <v>0</v>
      </c>
      <c r="I148" s="77"/>
      <c r="J148" s="77"/>
      <c r="K148" s="41" t="n">
        <f aca="false">IF(D148&lt;=0.5,0,MIN(H148+N(J148),D148+E148+F148))</f>
        <v>0</v>
      </c>
      <c r="L148" s="41" t="n">
        <f aca="false">K148-E148-F148</f>
        <v>0</v>
      </c>
      <c r="M148" s="41" t="n">
        <f aca="false">D148-L148</f>
        <v>0</v>
      </c>
      <c r="N148" s="42" t="n">
        <f aca="false">K148-G148</f>
        <v>0</v>
      </c>
      <c r="O148" s="78"/>
      <c r="P148" s="79"/>
      <c r="Q148" s="16" t="str">
        <f aca="false">IF(K148=0,"",IF(R148=1,"Pagada",IF(C148&lt;$F$12,"Vencida",IF(122=$F$13,"Próxima","Pendiente"))))</f>
        <v/>
      </c>
      <c r="R148" s="62" t="n">
        <f aca="false">IF(AND(K148&gt;0,OR(O148="Sí",O148="Si")),1,0)</f>
        <v>0</v>
      </c>
      <c r="S148" s="62" t="n">
        <f aca="false">IF(AND(K148&gt;0,R148=0),1,0)</f>
        <v>0</v>
      </c>
    </row>
    <row r="149" customFormat="false" ht="15" hidden="false" customHeight="false" outlineLevel="0" collapsed="false">
      <c r="B149" s="71" t="str">
        <f aca="false">IF($F$6="Sí",N($C$11)+122,"")</f>
        <v/>
      </c>
      <c r="C149" s="72" t="str">
        <f aca="false">IF(OR($F$6&lt;&gt;"Sí",D149&lt;=0.5),"",EDATE($C$10,122))</f>
        <v/>
      </c>
      <c r="D149" s="41" t="n">
        <f aca="false">MAX(0,M148)</f>
        <v>0</v>
      </c>
      <c r="E149" s="41" t="n">
        <f aca="false">D149*$F$7</f>
        <v>0</v>
      </c>
      <c r="F149" s="41" t="n">
        <f aca="false">IF(D149&gt;0.5,N($C$15),0)</f>
        <v>0</v>
      </c>
      <c r="G149" s="41" t="n">
        <f aca="false">IF(AND(D149&gt;0.5,N($C$19)&gt;0,N(B149)&lt;=N($C$20)),D149*$F$8,0)</f>
        <v>0</v>
      </c>
      <c r="H149" s="41" t="n">
        <f aca="false">IF(D149&lt;=0.5,0,MIN(IF(N(I149)&gt;0,I149,$F$9),D149+E149+F149))</f>
        <v>0</v>
      </c>
      <c r="I149" s="77"/>
      <c r="J149" s="77"/>
      <c r="K149" s="41" t="n">
        <f aca="false">IF(D149&lt;=0.5,0,MIN(H149+N(J149),D149+E149+F149))</f>
        <v>0</v>
      </c>
      <c r="L149" s="41" t="n">
        <f aca="false">K149-E149-F149</f>
        <v>0</v>
      </c>
      <c r="M149" s="41" t="n">
        <f aca="false">D149-L149</f>
        <v>0</v>
      </c>
      <c r="N149" s="42" t="n">
        <f aca="false">K149-G149</f>
        <v>0</v>
      </c>
      <c r="O149" s="78"/>
      <c r="P149" s="79"/>
      <c r="Q149" s="16" t="str">
        <f aca="false">IF(K149=0,"",IF(R149=1,"Pagada",IF(C149&lt;$F$12,"Vencida",IF(123=$F$13,"Próxima","Pendiente"))))</f>
        <v/>
      </c>
      <c r="R149" s="62" t="n">
        <f aca="false">IF(AND(K149&gt;0,OR(O149="Sí",O149="Si")),1,0)</f>
        <v>0</v>
      </c>
      <c r="S149" s="62" t="n">
        <f aca="false">IF(AND(K149&gt;0,R149=0),1,0)</f>
        <v>0</v>
      </c>
    </row>
    <row r="150" customFormat="false" ht="15" hidden="false" customHeight="false" outlineLevel="0" collapsed="false">
      <c r="B150" s="71" t="str">
        <f aca="false">IF($F$6="Sí",N($C$11)+123,"")</f>
        <v/>
      </c>
      <c r="C150" s="72" t="str">
        <f aca="false">IF(OR($F$6&lt;&gt;"Sí",D150&lt;=0.5),"",EDATE($C$10,123))</f>
        <v/>
      </c>
      <c r="D150" s="41" t="n">
        <f aca="false">MAX(0,M149)</f>
        <v>0</v>
      </c>
      <c r="E150" s="41" t="n">
        <f aca="false">D150*$F$7</f>
        <v>0</v>
      </c>
      <c r="F150" s="41" t="n">
        <f aca="false">IF(D150&gt;0.5,N($C$15),0)</f>
        <v>0</v>
      </c>
      <c r="G150" s="41" t="n">
        <f aca="false">IF(AND(D150&gt;0.5,N($C$19)&gt;0,N(B150)&lt;=N($C$20)),D150*$F$8,0)</f>
        <v>0</v>
      </c>
      <c r="H150" s="41" t="n">
        <f aca="false">IF(D150&lt;=0.5,0,MIN(IF(N(I150)&gt;0,I150,$F$9),D150+E150+F150))</f>
        <v>0</v>
      </c>
      <c r="I150" s="77"/>
      <c r="J150" s="77"/>
      <c r="K150" s="41" t="n">
        <f aca="false">IF(D150&lt;=0.5,0,MIN(H150+N(J150),D150+E150+F150))</f>
        <v>0</v>
      </c>
      <c r="L150" s="41" t="n">
        <f aca="false">K150-E150-F150</f>
        <v>0</v>
      </c>
      <c r="M150" s="41" t="n">
        <f aca="false">D150-L150</f>
        <v>0</v>
      </c>
      <c r="N150" s="42" t="n">
        <f aca="false">K150-G150</f>
        <v>0</v>
      </c>
      <c r="O150" s="78"/>
      <c r="P150" s="79"/>
      <c r="Q150" s="16" t="str">
        <f aca="false">IF(K150=0,"",IF(R150=1,"Pagada",IF(C150&lt;$F$12,"Vencida",IF(124=$F$13,"Próxima","Pendiente"))))</f>
        <v/>
      </c>
      <c r="R150" s="62" t="n">
        <f aca="false">IF(AND(K150&gt;0,OR(O150="Sí",O150="Si")),1,0)</f>
        <v>0</v>
      </c>
      <c r="S150" s="62" t="n">
        <f aca="false">IF(AND(K150&gt;0,R150=0),1,0)</f>
        <v>0</v>
      </c>
    </row>
    <row r="151" customFormat="false" ht="15" hidden="false" customHeight="false" outlineLevel="0" collapsed="false">
      <c r="B151" s="71" t="str">
        <f aca="false">IF($F$6="Sí",N($C$11)+124,"")</f>
        <v/>
      </c>
      <c r="C151" s="72" t="str">
        <f aca="false">IF(OR($F$6&lt;&gt;"Sí",D151&lt;=0.5),"",EDATE($C$10,124))</f>
        <v/>
      </c>
      <c r="D151" s="41" t="n">
        <f aca="false">MAX(0,M150)</f>
        <v>0</v>
      </c>
      <c r="E151" s="41" t="n">
        <f aca="false">D151*$F$7</f>
        <v>0</v>
      </c>
      <c r="F151" s="41" t="n">
        <f aca="false">IF(D151&gt;0.5,N($C$15),0)</f>
        <v>0</v>
      </c>
      <c r="G151" s="41" t="n">
        <f aca="false">IF(AND(D151&gt;0.5,N($C$19)&gt;0,N(B151)&lt;=N($C$20)),D151*$F$8,0)</f>
        <v>0</v>
      </c>
      <c r="H151" s="41" t="n">
        <f aca="false">IF(D151&lt;=0.5,0,MIN(IF(N(I151)&gt;0,I151,$F$9),D151+E151+F151))</f>
        <v>0</v>
      </c>
      <c r="I151" s="77"/>
      <c r="J151" s="77"/>
      <c r="K151" s="41" t="n">
        <f aca="false">IF(D151&lt;=0.5,0,MIN(H151+N(J151),D151+E151+F151))</f>
        <v>0</v>
      </c>
      <c r="L151" s="41" t="n">
        <f aca="false">K151-E151-F151</f>
        <v>0</v>
      </c>
      <c r="M151" s="41" t="n">
        <f aca="false">D151-L151</f>
        <v>0</v>
      </c>
      <c r="N151" s="42" t="n">
        <f aca="false">K151-G151</f>
        <v>0</v>
      </c>
      <c r="O151" s="78"/>
      <c r="P151" s="79"/>
      <c r="Q151" s="16" t="str">
        <f aca="false">IF(K151=0,"",IF(R151=1,"Pagada",IF(C151&lt;$F$12,"Vencida",IF(125=$F$13,"Próxima","Pendiente"))))</f>
        <v/>
      </c>
      <c r="R151" s="62" t="n">
        <f aca="false">IF(AND(K151&gt;0,OR(O151="Sí",O151="Si")),1,0)</f>
        <v>0</v>
      </c>
      <c r="S151" s="62" t="n">
        <f aca="false">IF(AND(K151&gt;0,R151=0),1,0)</f>
        <v>0</v>
      </c>
    </row>
    <row r="152" customFormat="false" ht="15" hidden="false" customHeight="false" outlineLevel="0" collapsed="false">
      <c r="B152" s="71" t="str">
        <f aca="false">IF($F$6="Sí",N($C$11)+125,"")</f>
        <v/>
      </c>
      <c r="C152" s="72" t="str">
        <f aca="false">IF(OR($F$6&lt;&gt;"Sí",D152&lt;=0.5),"",EDATE($C$10,125))</f>
        <v/>
      </c>
      <c r="D152" s="41" t="n">
        <f aca="false">MAX(0,M151)</f>
        <v>0</v>
      </c>
      <c r="E152" s="41" t="n">
        <f aca="false">D152*$F$7</f>
        <v>0</v>
      </c>
      <c r="F152" s="41" t="n">
        <f aca="false">IF(D152&gt;0.5,N($C$15),0)</f>
        <v>0</v>
      </c>
      <c r="G152" s="41" t="n">
        <f aca="false">IF(AND(D152&gt;0.5,N($C$19)&gt;0,N(B152)&lt;=N($C$20)),D152*$F$8,0)</f>
        <v>0</v>
      </c>
      <c r="H152" s="41" t="n">
        <f aca="false">IF(D152&lt;=0.5,0,MIN(IF(N(I152)&gt;0,I152,$F$9),D152+E152+F152))</f>
        <v>0</v>
      </c>
      <c r="I152" s="77"/>
      <c r="J152" s="77"/>
      <c r="K152" s="41" t="n">
        <f aca="false">IF(D152&lt;=0.5,0,MIN(H152+N(J152),D152+E152+F152))</f>
        <v>0</v>
      </c>
      <c r="L152" s="41" t="n">
        <f aca="false">K152-E152-F152</f>
        <v>0</v>
      </c>
      <c r="M152" s="41" t="n">
        <f aca="false">D152-L152</f>
        <v>0</v>
      </c>
      <c r="N152" s="42" t="n">
        <f aca="false">K152-G152</f>
        <v>0</v>
      </c>
      <c r="O152" s="78"/>
      <c r="P152" s="79"/>
      <c r="Q152" s="16" t="str">
        <f aca="false">IF(K152=0,"",IF(R152=1,"Pagada",IF(C152&lt;$F$12,"Vencida",IF(126=$F$13,"Próxima","Pendiente"))))</f>
        <v/>
      </c>
      <c r="R152" s="62" t="n">
        <f aca="false">IF(AND(K152&gt;0,OR(O152="Sí",O152="Si")),1,0)</f>
        <v>0</v>
      </c>
      <c r="S152" s="62" t="n">
        <f aca="false">IF(AND(K152&gt;0,R152=0),1,0)</f>
        <v>0</v>
      </c>
    </row>
    <row r="153" customFormat="false" ht="15" hidden="false" customHeight="false" outlineLevel="0" collapsed="false">
      <c r="B153" s="71" t="str">
        <f aca="false">IF($F$6="Sí",N($C$11)+126,"")</f>
        <v/>
      </c>
      <c r="C153" s="72" t="str">
        <f aca="false">IF(OR($F$6&lt;&gt;"Sí",D153&lt;=0.5),"",EDATE($C$10,126))</f>
        <v/>
      </c>
      <c r="D153" s="41" t="n">
        <f aca="false">MAX(0,M152)</f>
        <v>0</v>
      </c>
      <c r="E153" s="41" t="n">
        <f aca="false">D153*$F$7</f>
        <v>0</v>
      </c>
      <c r="F153" s="41" t="n">
        <f aca="false">IF(D153&gt;0.5,N($C$15),0)</f>
        <v>0</v>
      </c>
      <c r="G153" s="41" t="n">
        <f aca="false">IF(AND(D153&gt;0.5,N($C$19)&gt;0,N(B153)&lt;=N($C$20)),D153*$F$8,0)</f>
        <v>0</v>
      </c>
      <c r="H153" s="41" t="n">
        <f aca="false">IF(D153&lt;=0.5,0,MIN(IF(N(I153)&gt;0,I153,$F$9),D153+E153+F153))</f>
        <v>0</v>
      </c>
      <c r="I153" s="77"/>
      <c r="J153" s="77"/>
      <c r="K153" s="41" t="n">
        <f aca="false">IF(D153&lt;=0.5,0,MIN(H153+N(J153),D153+E153+F153))</f>
        <v>0</v>
      </c>
      <c r="L153" s="41" t="n">
        <f aca="false">K153-E153-F153</f>
        <v>0</v>
      </c>
      <c r="M153" s="41" t="n">
        <f aca="false">D153-L153</f>
        <v>0</v>
      </c>
      <c r="N153" s="42" t="n">
        <f aca="false">K153-G153</f>
        <v>0</v>
      </c>
      <c r="O153" s="78"/>
      <c r="P153" s="79"/>
      <c r="Q153" s="16" t="str">
        <f aca="false">IF(K153=0,"",IF(R153=1,"Pagada",IF(C153&lt;$F$12,"Vencida",IF(127=$F$13,"Próxima","Pendiente"))))</f>
        <v/>
      </c>
      <c r="R153" s="62" t="n">
        <f aca="false">IF(AND(K153&gt;0,OR(O153="Sí",O153="Si")),1,0)</f>
        <v>0</v>
      </c>
      <c r="S153" s="62" t="n">
        <f aca="false">IF(AND(K153&gt;0,R153=0),1,0)</f>
        <v>0</v>
      </c>
    </row>
    <row r="154" customFormat="false" ht="15" hidden="false" customHeight="false" outlineLevel="0" collapsed="false">
      <c r="B154" s="71" t="str">
        <f aca="false">IF($F$6="Sí",N($C$11)+127,"")</f>
        <v/>
      </c>
      <c r="C154" s="72" t="str">
        <f aca="false">IF(OR($F$6&lt;&gt;"Sí",D154&lt;=0.5),"",EDATE($C$10,127))</f>
        <v/>
      </c>
      <c r="D154" s="41" t="n">
        <f aca="false">MAX(0,M153)</f>
        <v>0</v>
      </c>
      <c r="E154" s="41" t="n">
        <f aca="false">D154*$F$7</f>
        <v>0</v>
      </c>
      <c r="F154" s="41" t="n">
        <f aca="false">IF(D154&gt;0.5,N($C$15),0)</f>
        <v>0</v>
      </c>
      <c r="G154" s="41" t="n">
        <f aca="false">IF(AND(D154&gt;0.5,N($C$19)&gt;0,N(B154)&lt;=N($C$20)),D154*$F$8,0)</f>
        <v>0</v>
      </c>
      <c r="H154" s="41" t="n">
        <f aca="false">IF(D154&lt;=0.5,0,MIN(IF(N(I154)&gt;0,I154,$F$9),D154+E154+F154))</f>
        <v>0</v>
      </c>
      <c r="I154" s="77"/>
      <c r="J154" s="77"/>
      <c r="K154" s="41" t="n">
        <f aca="false">IF(D154&lt;=0.5,0,MIN(H154+N(J154),D154+E154+F154))</f>
        <v>0</v>
      </c>
      <c r="L154" s="41" t="n">
        <f aca="false">K154-E154-F154</f>
        <v>0</v>
      </c>
      <c r="M154" s="41" t="n">
        <f aca="false">D154-L154</f>
        <v>0</v>
      </c>
      <c r="N154" s="42" t="n">
        <f aca="false">K154-G154</f>
        <v>0</v>
      </c>
      <c r="O154" s="78"/>
      <c r="P154" s="79"/>
      <c r="Q154" s="16" t="str">
        <f aca="false">IF(K154=0,"",IF(R154=1,"Pagada",IF(C154&lt;$F$12,"Vencida",IF(128=$F$13,"Próxima","Pendiente"))))</f>
        <v/>
      </c>
      <c r="R154" s="62" t="n">
        <f aca="false">IF(AND(K154&gt;0,OR(O154="Sí",O154="Si")),1,0)</f>
        <v>0</v>
      </c>
      <c r="S154" s="62" t="n">
        <f aca="false">IF(AND(K154&gt;0,R154=0),1,0)</f>
        <v>0</v>
      </c>
    </row>
    <row r="155" customFormat="false" ht="15" hidden="false" customHeight="false" outlineLevel="0" collapsed="false">
      <c r="B155" s="71" t="str">
        <f aca="false">IF($F$6="Sí",N($C$11)+128,"")</f>
        <v/>
      </c>
      <c r="C155" s="72" t="str">
        <f aca="false">IF(OR($F$6&lt;&gt;"Sí",D155&lt;=0.5),"",EDATE($C$10,128))</f>
        <v/>
      </c>
      <c r="D155" s="41" t="n">
        <f aca="false">MAX(0,M154)</f>
        <v>0</v>
      </c>
      <c r="E155" s="41" t="n">
        <f aca="false">D155*$F$7</f>
        <v>0</v>
      </c>
      <c r="F155" s="41" t="n">
        <f aca="false">IF(D155&gt;0.5,N($C$15),0)</f>
        <v>0</v>
      </c>
      <c r="G155" s="41" t="n">
        <f aca="false">IF(AND(D155&gt;0.5,N($C$19)&gt;0,N(B155)&lt;=N($C$20)),D155*$F$8,0)</f>
        <v>0</v>
      </c>
      <c r="H155" s="41" t="n">
        <f aca="false">IF(D155&lt;=0.5,0,MIN(IF(N(I155)&gt;0,I155,$F$9),D155+E155+F155))</f>
        <v>0</v>
      </c>
      <c r="I155" s="77"/>
      <c r="J155" s="77"/>
      <c r="K155" s="41" t="n">
        <f aca="false">IF(D155&lt;=0.5,0,MIN(H155+N(J155),D155+E155+F155))</f>
        <v>0</v>
      </c>
      <c r="L155" s="41" t="n">
        <f aca="false">K155-E155-F155</f>
        <v>0</v>
      </c>
      <c r="M155" s="41" t="n">
        <f aca="false">D155-L155</f>
        <v>0</v>
      </c>
      <c r="N155" s="42" t="n">
        <f aca="false">K155-G155</f>
        <v>0</v>
      </c>
      <c r="O155" s="78"/>
      <c r="P155" s="79"/>
      <c r="Q155" s="16" t="str">
        <f aca="false">IF(K155=0,"",IF(R155=1,"Pagada",IF(C155&lt;$F$12,"Vencida",IF(129=$F$13,"Próxima","Pendiente"))))</f>
        <v/>
      </c>
      <c r="R155" s="62" t="n">
        <f aca="false">IF(AND(K155&gt;0,OR(O155="Sí",O155="Si")),1,0)</f>
        <v>0</v>
      </c>
      <c r="S155" s="62" t="n">
        <f aca="false">IF(AND(K155&gt;0,R155=0),1,0)</f>
        <v>0</v>
      </c>
    </row>
    <row r="156" customFormat="false" ht="15" hidden="false" customHeight="false" outlineLevel="0" collapsed="false">
      <c r="B156" s="71" t="str">
        <f aca="false">IF($F$6="Sí",N($C$11)+129,"")</f>
        <v/>
      </c>
      <c r="C156" s="72" t="str">
        <f aca="false">IF(OR($F$6&lt;&gt;"Sí",D156&lt;=0.5),"",EDATE($C$10,129))</f>
        <v/>
      </c>
      <c r="D156" s="41" t="n">
        <f aca="false">MAX(0,M155)</f>
        <v>0</v>
      </c>
      <c r="E156" s="41" t="n">
        <f aca="false">D156*$F$7</f>
        <v>0</v>
      </c>
      <c r="F156" s="41" t="n">
        <f aca="false">IF(D156&gt;0.5,N($C$15),0)</f>
        <v>0</v>
      </c>
      <c r="G156" s="41" t="n">
        <f aca="false">IF(AND(D156&gt;0.5,N($C$19)&gt;0,N(B156)&lt;=N($C$20)),D156*$F$8,0)</f>
        <v>0</v>
      </c>
      <c r="H156" s="41" t="n">
        <f aca="false">IF(D156&lt;=0.5,0,MIN(IF(N(I156)&gt;0,I156,$F$9),D156+E156+F156))</f>
        <v>0</v>
      </c>
      <c r="I156" s="77"/>
      <c r="J156" s="77"/>
      <c r="K156" s="41" t="n">
        <f aca="false">IF(D156&lt;=0.5,0,MIN(H156+N(J156),D156+E156+F156))</f>
        <v>0</v>
      </c>
      <c r="L156" s="41" t="n">
        <f aca="false">K156-E156-F156</f>
        <v>0</v>
      </c>
      <c r="M156" s="41" t="n">
        <f aca="false">D156-L156</f>
        <v>0</v>
      </c>
      <c r="N156" s="42" t="n">
        <f aca="false">K156-G156</f>
        <v>0</v>
      </c>
      <c r="O156" s="78"/>
      <c r="P156" s="79"/>
      <c r="Q156" s="16" t="str">
        <f aca="false">IF(K156=0,"",IF(R156=1,"Pagada",IF(C156&lt;$F$12,"Vencida",IF(130=$F$13,"Próxima","Pendiente"))))</f>
        <v/>
      </c>
      <c r="R156" s="62" t="n">
        <f aca="false">IF(AND(K156&gt;0,OR(O156="Sí",O156="Si")),1,0)</f>
        <v>0</v>
      </c>
      <c r="S156" s="62" t="n">
        <f aca="false">IF(AND(K156&gt;0,R156=0),1,0)</f>
        <v>0</v>
      </c>
    </row>
    <row r="157" customFormat="false" ht="15" hidden="false" customHeight="false" outlineLevel="0" collapsed="false">
      <c r="B157" s="71" t="str">
        <f aca="false">IF($F$6="Sí",N($C$11)+130,"")</f>
        <v/>
      </c>
      <c r="C157" s="72" t="str">
        <f aca="false">IF(OR($F$6&lt;&gt;"Sí",D157&lt;=0.5),"",EDATE($C$10,130))</f>
        <v/>
      </c>
      <c r="D157" s="41" t="n">
        <f aca="false">MAX(0,M156)</f>
        <v>0</v>
      </c>
      <c r="E157" s="41" t="n">
        <f aca="false">D157*$F$7</f>
        <v>0</v>
      </c>
      <c r="F157" s="41" t="n">
        <f aca="false">IF(D157&gt;0.5,N($C$15),0)</f>
        <v>0</v>
      </c>
      <c r="G157" s="41" t="n">
        <f aca="false">IF(AND(D157&gt;0.5,N($C$19)&gt;0,N(B157)&lt;=N($C$20)),D157*$F$8,0)</f>
        <v>0</v>
      </c>
      <c r="H157" s="41" t="n">
        <f aca="false">IF(D157&lt;=0.5,0,MIN(IF(N(I157)&gt;0,I157,$F$9),D157+E157+F157))</f>
        <v>0</v>
      </c>
      <c r="I157" s="77"/>
      <c r="J157" s="77"/>
      <c r="K157" s="41" t="n">
        <f aca="false">IF(D157&lt;=0.5,0,MIN(H157+N(J157),D157+E157+F157))</f>
        <v>0</v>
      </c>
      <c r="L157" s="41" t="n">
        <f aca="false">K157-E157-F157</f>
        <v>0</v>
      </c>
      <c r="M157" s="41" t="n">
        <f aca="false">D157-L157</f>
        <v>0</v>
      </c>
      <c r="N157" s="42" t="n">
        <f aca="false">K157-G157</f>
        <v>0</v>
      </c>
      <c r="O157" s="78"/>
      <c r="P157" s="79"/>
      <c r="Q157" s="16" t="str">
        <f aca="false">IF(K157=0,"",IF(R157=1,"Pagada",IF(C157&lt;$F$12,"Vencida",IF(131=$F$13,"Próxima","Pendiente"))))</f>
        <v/>
      </c>
      <c r="R157" s="62" t="n">
        <f aca="false">IF(AND(K157&gt;0,OR(O157="Sí",O157="Si")),1,0)</f>
        <v>0</v>
      </c>
      <c r="S157" s="62" t="n">
        <f aca="false">IF(AND(K157&gt;0,R157=0),1,0)</f>
        <v>0</v>
      </c>
    </row>
    <row r="158" customFormat="false" ht="15" hidden="false" customHeight="false" outlineLevel="0" collapsed="false">
      <c r="B158" s="71" t="str">
        <f aca="false">IF($F$6="Sí",N($C$11)+131,"")</f>
        <v/>
      </c>
      <c r="C158" s="72" t="str">
        <f aca="false">IF(OR($F$6&lt;&gt;"Sí",D158&lt;=0.5),"",EDATE($C$10,131))</f>
        <v/>
      </c>
      <c r="D158" s="41" t="n">
        <f aca="false">MAX(0,M157)</f>
        <v>0</v>
      </c>
      <c r="E158" s="41" t="n">
        <f aca="false">D158*$F$7</f>
        <v>0</v>
      </c>
      <c r="F158" s="41" t="n">
        <f aca="false">IF(D158&gt;0.5,N($C$15),0)</f>
        <v>0</v>
      </c>
      <c r="G158" s="41" t="n">
        <f aca="false">IF(AND(D158&gt;0.5,N($C$19)&gt;0,N(B158)&lt;=N($C$20)),D158*$F$8,0)</f>
        <v>0</v>
      </c>
      <c r="H158" s="41" t="n">
        <f aca="false">IF(D158&lt;=0.5,0,MIN(IF(N(I158)&gt;0,I158,$F$9),D158+E158+F158))</f>
        <v>0</v>
      </c>
      <c r="I158" s="77"/>
      <c r="J158" s="77"/>
      <c r="K158" s="41" t="n">
        <f aca="false">IF(D158&lt;=0.5,0,MIN(H158+N(J158),D158+E158+F158))</f>
        <v>0</v>
      </c>
      <c r="L158" s="41" t="n">
        <f aca="false">K158-E158-F158</f>
        <v>0</v>
      </c>
      <c r="M158" s="41" t="n">
        <f aca="false">D158-L158</f>
        <v>0</v>
      </c>
      <c r="N158" s="42" t="n">
        <f aca="false">K158-G158</f>
        <v>0</v>
      </c>
      <c r="O158" s="78"/>
      <c r="P158" s="79"/>
      <c r="Q158" s="16" t="str">
        <f aca="false">IF(K158=0,"",IF(R158=1,"Pagada",IF(C158&lt;$F$12,"Vencida",IF(132=$F$13,"Próxima","Pendiente"))))</f>
        <v/>
      </c>
      <c r="R158" s="62" t="n">
        <f aca="false">IF(AND(K158&gt;0,OR(O158="Sí",O158="Si")),1,0)</f>
        <v>0</v>
      </c>
      <c r="S158" s="62" t="n">
        <f aca="false">IF(AND(K158&gt;0,R158=0),1,0)</f>
        <v>0</v>
      </c>
    </row>
    <row r="159" customFormat="false" ht="15" hidden="false" customHeight="false" outlineLevel="0" collapsed="false">
      <c r="B159" s="71" t="str">
        <f aca="false">IF($F$6="Sí",N($C$11)+132,"")</f>
        <v/>
      </c>
      <c r="C159" s="72" t="str">
        <f aca="false">IF(OR($F$6&lt;&gt;"Sí",D159&lt;=0.5),"",EDATE($C$10,132))</f>
        <v/>
      </c>
      <c r="D159" s="41" t="n">
        <f aca="false">MAX(0,M158)</f>
        <v>0</v>
      </c>
      <c r="E159" s="41" t="n">
        <f aca="false">D159*$F$7</f>
        <v>0</v>
      </c>
      <c r="F159" s="41" t="n">
        <f aca="false">IF(D159&gt;0.5,N($C$15),0)</f>
        <v>0</v>
      </c>
      <c r="G159" s="41" t="n">
        <f aca="false">IF(AND(D159&gt;0.5,N($C$19)&gt;0,N(B159)&lt;=N($C$20)),D159*$F$8,0)</f>
        <v>0</v>
      </c>
      <c r="H159" s="41" t="n">
        <f aca="false">IF(D159&lt;=0.5,0,MIN(IF(N(I159)&gt;0,I159,$F$9),D159+E159+F159))</f>
        <v>0</v>
      </c>
      <c r="I159" s="77"/>
      <c r="J159" s="77"/>
      <c r="K159" s="41" t="n">
        <f aca="false">IF(D159&lt;=0.5,0,MIN(H159+N(J159),D159+E159+F159))</f>
        <v>0</v>
      </c>
      <c r="L159" s="41" t="n">
        <f aca="false">K159-E159-F159</f>
        <v>0</v>
      </c>
      <c r="M159" s="41" t="n">
        <f aca="false">D159-L159</f>
        <v>0</v>
      </c>
      <c r="N159" s="42" t="n">
        <f aca="false">K159-G159</f>
        <v>0</v>
      </c>
      <c r="O159" s="78"/>
      <c r="P159" s="79"/>
      <c r="Q159" s="16" t="str">
        <f aca="false">IF(K159=0,"",IF(R159=1,"Pagada",IF(C159&lt;$F$12,"Vencida",IF(133=$F$13,"Próxima","Pendiente"))))</f>
        <v/>
      </c>
      <c r="R159" s="62" t="n">
        <f aca="false">IF(AND(K159&gt;0,OR(O159="Sí",O159="Si")),1,0)</f>
        <v>0</v>
      </c>
      <c r="S159" s="62" t="n">
        <f aca="false">IF(AND(K159&gt;0,R159=0),1,0)</f>
        <v>0</v>
      </c>
    </row>
    <row r="160" customFormat="false" ht="15" hidden="false" customHeight="false" outlineLevel="0" collapsed="false">
      <c r="B160" s="71" t="str">
        <f aca="false">IF($F$6="Sí",N($C$11)+133,"")</f>
        <v/>
      </c>
      <c r="C160" s="72" t="str">
        <f aca="false">IF(OR($F$6&lt;&gt;"Sí",D160&lt;=0.5),"",EDATE($C$10,133))</f>
        <v/>
      </c>
      <c r="D160" s="41" t="n">
        <f aca="false">MAX(0,M159)</f>
        <v>0</v>
      </c>
      <c r="E160" s="41" t="n">
        <f aca="false">D160*$F$7</f>
        <v>0</v>
      </c>
      <c r="F160" s="41" t="n">
        <f aca="false">IF(D160&gt;0.5,N($C$15),0)</f>
        <v>0</v>
      </c>
      <c r="G160" s="41" t="n">
        <f aca="false">IF(AND(D160&gt;0.5,N($C$19)&gt;0,N(B160)&lt;=N($C$20)),D160*$F$8,0)</f>
        <v>0</v>
      </c>
      <c r="H160" s="41" t="n">
        <f aca="false">IF(D160&lt;=0.5,0,MIN(IF(N(I160)&gt;0,I160,$F$9),D160+E160+F160))</f>
        <v>0</v>
      </c>
      <c r="I160" s="77"/>
      <c r="J160" s="77"/>
      <c r="K160" s="41" t="n">
        <f aca="false">IF(D160&lt;=0.5,0,MIN(H160+N(J160),D160+E160+F160))</f>
        <v>0</v>
      </c>
      <c r="L160" s="41" t="n">
        <f aca="false">K160-E160-F160</f>
        <v>0</v>
      </c>
      <c r="M160" s="41" t="n">
        <f aca="false">D160-L160</f>
        <v>0</v>
      </c>
      <c r="N160" s="42" t="n">
        <f aca="false">K160-G160</f>
        <v>0</v>
      </c>
      <c r="O160" s="78"/>
      <c r="P160" s="79"/>
      <c r="Q160" s="16" t="str">
        <f aca="false">IF(K160=0,"",IF(R160=1,"Pagada",IF(C160&lt;$F$12,"Vencida",IF(134=$F$13,"Próxima","Pendiente"))))</f>
        <v/>
      </c>
      <c r="R160" s="62" t="n">
        <f aca="false">IF(AND(K160&gt;0,OR(O160="Sí",O160="Si")),1,0)</f>
        <v>0</v>
      </c>
      <c r="S160" s="62" t="n">
        <f aca="false">IF(AND(K160&gt;0,R160=0),1,0)</f>
        <v>0</v>
      </c>
    </row>
    <row r="161" customFormat="false" ht="15" hidden="false" customHeight="false" outlineLevel="0" collapsed="false">
      <c r="B161" s="71" t="str">
        <f aca="false">IF($F$6="Sí",N($C$11)+134,"")</f>
        <v/>
      </c>
      <c r="C161" s="72" t="str">
        <f aca="false">IF(OR($F$6&lt;&gt;"Sí",D161&lt;=0.5),"",EDATE($C$10,134))</f>
        <v/>
      </c>
      <c r="D161" s="41" t="n">
        <f aca="false">MAX(0,M160)</f>
        <v>0</v>
      </c>
      <c r="E161" s="41" t="n">
        <f aca="false">D161*$F$7</f>
        <v>0</v>
      </c>
      <c r="F161" s="41" t="n">
        <f aca="false">IF(D161&gt;0.5,N($C$15),0)</f>
        <v>0</v>
      </c>
      <c r="G161" s="41" t="n">
        <f aca="false">IF(AND(D161&gt;0.5,N($C$19)&gt;0,N(B161)&lt;=N($C$20)),D161*$F$8,0)</f>
        <v>0</v>
      </c>
      <c r="H161" s="41" t="n">
        <f aca="false">IF(D161&lt;=0.5,0,MIN(IF(N(I161)&gt;0,I161,$F$9),D161+E161+F161))</f>
        <v>0</v>
      </c>
      <c r="I161" s="77"/>
      <c r="J161" s="77"/>
      <c r="K161" s="41" t="n">
        <f aca="false">IF(D161&lt;=0.5,0,MIN(H161+N(J161),D161+E161+F161))</f>
        <v>0</v>
      </c>
      <c r="L161" s="41" t="n">
        <f aca="false">K161-E161-F161</f>
        <v>0</v>
      </c>
      <c r="M161" s="41" t="n">
        <f aca="false">D161-L161</f>
        <v>0</v>
      </c>
      <c r="N161" s="42" t="n">
        <f aca="false">K161-G161</f>
        <v>0</v>
      </c>
      <c r="O161" s="78"/>
      <c r="P161" s="79"/>
      <c r="Q161" s="16" t="str">
        <f aca="false">IF(K161=0,"",IF(R161=1,"Pagada",IF(C161&lt;$F$12,"Vencida",IF(135=$F$13,"Próxima","Pendiente"))))</f>
        <v/>
      </c>
      <c r="R161" s="62" t="n">
        <f aca="false">IF(AND(K161&gt;0,OR(O161="Sí",O161="Si")),1,0)</f>
        <v>0</v>
      </c>
      <c r="S161" s="62" t="n">
        <f aca="false">IF(AND(K161&gt;0,R161=0),1,0)</f>
        <v>0</v>
      </c>
    </row>
    <row r="162" customFormat="false" ht="15" hidden="false" customHeight="false" outlineLevel="0" collapsed="false">
      <c r="B162" s="71" t="str">
        <f aca="false">IF($F$6="Sí",N($C$11)+135,"")</f>
        <v/>
      </c>
      <c r="C162" s="72" t="str">
        <f aca="false">IF(OR($F$6&lt;&gt;"Sí",D162&lt;=0.5),"",EDATE($C$10,135))</f>
        <v/>
      </c>
      <c r="D162" s="41" t="n">
        <f aca="false">MAX(0,M161)</f>
        <v>0</v>
      </c>
      <c r="E162" s="41" t="n">
        <f aca="false">D162*$F$7</f>
        <v>0</v>
      </c>
      <c r="F162" s="41" t="n">
        <f aca="false">IF(D162&gt;0.5,N($C$15),0)</f>
        <v>0</v>
      </c>
      <c r="G162" s="41" t="n">
        <f aca="false">IF(AND(D162&gt;0.5,N($C$19)&gt;0,N(B162)&lt;=N($C$20)),D162*$F$8,0)</f>
        <v>0</v>
      </c>
      <c r="H162" s="41" t="n">
        <f aca="false">IF(D162&lt;=0.5,0,MIN(IF(N(I162)&gt;0,I162,$F$9),D162+E162+F162))</f>
        <v>0</v>
      </c>
      <c r="I162" s="77"/>
      <c r="J162" s="77"/>
      <c r="K162" s="41" t="n">
        <f aca="false">IF(D162&lt;=0.5,0,MIN(H162+N(J162),D162+E162+F162))</f>
        <v>0</v>
      </c>
      <c r="L162" s="41" t="n">
        <f aca="false">K162-E162-F162</f>
        <v>0</v>
      </c>
      <c r="M162" s="41" t="n">
        <f aca="false">D162-L162</f>
        <v>0</v>
      </c>
      <c r="N162" s="42" t="n">
        <f aca="false">K162-G162</f>
        <v>0</v>
      </c>
      <c r="O162" s="78"/>
      <c r="P162" s="79"/>
      <c r="Q162" s="16" t="str">
        <f aca="false">IF(K162=0,"",IF(R162=1,"Pagada",IF(C162&lt;$F$12,"Vencida",IF(136=$F$13,"Próxima","Pendiente"))))</f>
        <v/>
      </c>
      <c r="R162" s="62" t="n">
        <f aca="false">IF(AND(K162&gt;0,OR(O162="Sí",O162="Si")),1,0)</f>
        <v>0</v>
      </c>
      <c r="S162" s="62" t="n">
        <f aca="false">IF(AND(K162&gt;0,R162=0),1,0)</f>
        <v>0</v>
      </c>
    </row>
    <row r="163" customFormat="false" ht="15" hidden="false" customHeight="false" outlineLevel="0" collapsed="false">
      <c r="B163" s="71" t="str">
        <f aca="false">IF($F$6="Sí",N($C$11)+136,"")</f>
        <v/>
      </c>
      <c r="C163" s="72" t="str">
        <f aca="false">IF(OR($F$6&lt;&gt;"Sí",D163&lt;=0.5),"",EDATE($C$10,136))</f>
        <v/>
      </c>
      <c r="D163" s="41" t="n">
        <f aca="false">MAX(0,M162)</f>
        <v>0</v>
      </c>
      <c r="E163" s="41" t="n">
        <f aca="false">D163*$F$7</f>
        <v>0</v>
      </c>
      <c r="F163" s="41" t="n">
        <f aca="false">IF(D163&gt;0.5,N($C$15),0)</f>
        <v>0</v>
      </c>
      <c r="G163" s="41" t="n">
        <f aca="false">IF(AND(D163&gt;0.5,N($C$19)&gt;0,N(B163)&lt;=N($C$20)),D163*$F$8,0)</f>
        <v>0</v>
      </c>
      <c r="H163" s="41" t="n">
        <f aca="false">IF(D163&lt;=0.5,0,MIN(IF(N(I163)&gt;0,I163,$F$9),D163+E163+F163))</f>
        <v>0</v>
      </c>
      <c r="I163" s="77"/>
      <c r="J163" s="77"/>
      <c r="K163" s="41" t="n">
        <f aca="false">IF(D163&lt;=0.5,0,MIN(H163+N(J163),D163+E163+F163))</f>
        <v>0</v>
      </c>
      <c r="L163" s="41" t="n">
        <f aca="false">K163-E163-F163</f>
        <v>0</v>
      </c>
      <c r="M163" s="41" t="n">
        <f aca="false">D163-L163</f>
        <v>0</v>
      </c>
      <c r="N163" s="42" t="n">
        <f aca="false">K163-G163</f>
        <v>0</v>
      </c>
      <c r="O163" s="78"/>
      <c r="P163" s="79"/>
      <c r="Q163" s="16" t="str">
        <f aca="false">IF(K163=0,"",IF(R163=1,"Pagada",IF(C163&lt;$F$12,"Vencida",IF(137=$F$13,"Próxima","Pendiente"))))</f>
        <v/>
      </c>
      <c r="R163" s="62" t="n">
        <f aca="false">IF(AND(K163&gt;0,OR(O163="Sí",O163="Si")),1,0)</f>
        <v>0</v>
      </c>
      <c r="S163" s="62" t="n">
        <f aca="false">IF(AND(K163&gt;0,R163=0),1,0)</f>
        <v>0</v>
      </c>
    </row>
    <row r="164" customFormat="false" ht="15" hidden="false" customHeight="false" outlineLevel="0" collapsed="false">
      <c r="B164" s="71" t="str">
        <f aca="false">IF($F$6="Sí",N($C$11)+137,"")</f>
        <v/>
      </c>
      <c r="C164" s="72" t="str">
        <f aca="false">IF(OR($F$6&lt;&gt;"Sí",D164&lt;=0.5),"",EDATE($C$10,137))</f>
        <v/>
      </c>
      <c r="D164" s="41" t="n">
        <f aca="false">MAX(0,M163)</f>
        <v>0</v>
      </c>
      <c r="E164" s="41" t="n">
        <f aca="false">D164*$F$7</f>
        <v>0</v>
      </c>
      <c r="F164" s="41" t="n">
        <f aca="false">IF(D164&gt;0.5,N($C$15),0)</f>
        <v>0</v>
      </c>
      <c r="G164" s="41" t="n">
        <f aca="false">IF(AND(D164&gt;0.5,N($C$19)&gt;0,N(B164)&lt;=N($C$20)),D164*$F$8,0)</f>
        <v>0</v>
      </c>
      <c r="H164" s="41" t="n">
        <f aca="false">IF(D164&lt;=0.5,0,MIN(IF(N(I164)&gt;0,I164,$F$9),D164+E164+F164))</f>
        <v>0</v>
      </c>
      <c r="I164" s="77"/>
      <c r="J164" s="77"/>
      <c r="K164" s="41" t="n">
        <f aca="false">IF(D164&lt;=0.5,0,MIN(H164+N(J164),D164+E164+F164))</f>
        <v>0</v>
      </c>
      <c r="L164" s="41" t="n">
        <f aca="false">K164-E164-F164</f>
        <v>0</v>
      </c>
      <c r="M164" s="41" t="n">
        <f aca="false">D164-L164</f>
        <v>0</v>
      </c>
      <c r="N164" s="42" t="n">
        <f aca="false">K164-G164</f>
        <v>0</v>
      </c>
      <c r="O164" s="78"/>
      <c r="P164" s="79"/>
      <c r="Q164" s="16" t="str">
        <f aca="false">IF(K164=0,"",IF(R164=1,"Pagada",IF(C164&lt;$F$12,"Vencida",IF(138=$F$13,"Próxima","Pendiente"))))</f>
        <v/>
      </c>
      <c r="R164" s="62" t="n">
        <f aca="false">IF(AND(K164&gt;0,OR(O164="Sí",O164="Si")),1,0)</f>
        <v>0</v>
      </c>
      <c r="S164" s="62" t="n">
        <f aca="false">IF(AND(K164&gt;0,R164=0),1,0)</f>
        <v>0</v>
      </c>
    </row>
    <row r="165" customFormat="false" ht="15" hidden="false" customHeight="false" outlineLevel="0" collapsed="false">
      <c r="B165" s="71" t="str">
        <f aca="false">IF($F$6="Sí",N($C$11)+138,"")</f>
        <v/>
      </c>
      <c r="C165" s="72" t="str">
        <f aca="false">IF(OR($F$6&lt;&gt;"Sí",D165&lt;=0.5),"",EDATE($C$10,138))</f>
        <v/>
      </c>
      <c r="D165" s="41" t="n">
        <f aca="false">MAX(0,M164)</f>
        <v>0</v>
      </c>
      <c r="E165" s="41" t="n">
        <f aca="false">D165*$F$7</f>
        <v>0</v>
      </c>
      <c r="F165" s="41" t="n">
        <f aca="false">IF(D165&gt;0.5,N($C$15),0)</f>
        <v>0</v>
      </c>
      <c r="G165" s="41" t="n">
        <f aca="false">IF(AND(D165&gt;0.5,N($C$19)&gt;0,N(B165)&lt;=N($C$20)),D165*$F$8,0)</f>
        <v>0</v>
      </c>
      <c r="H165" s="41" t="n">
        <f aca="false">IF(D165&lt;=0.5,0,MIN(IF(N(I165)&gt;0,I165,$F$9),D165+E165+F165))</f>
        <v>0</v>
      </c>
      <c r="I165" s="77"/>
      <c r="J165" s="77"/>
      <c r="K165" s="41" t="n">
        <f aca="false">IF(D165&lt;=0.5,0,MIN(H165+N(J165),D165+E165+F165))</f>
        <v>0</v>
      </c>
      <c r="L165" s="41" t="n">
        <f aca="false">K165-E165-F165</f>
        <v>0</v>
      </c>
      <c r="M165" s="41" t="n">
        <f aca="false">D165-L165</f>
        <v>0</v>
      </c>
      <c r="N165" s="42" t="n">
        <f aca="false">K165-G165</f>
        <v>0</v>
      </c>
      <c r="O165" s="78"/>
      <c r="P165" s="79"/>
      <c r="Q165" s="16" t="str">
        <f aca="false">IF(K165=0,"",IF(R165=1,"Pagada",IF(C165&lt;$F$12,"Vencida",IF(139=$F$13,"Próxima","Pendiente"))))</f>
        <v/>
      </c>
      <c r="R165" s="62" t="n">
        <f aca="false">IF(AND(K165&gt;0,OR(O165="Sí",O165="Si")),1,0)</f>
        <v>0</v>
      </c>
      <c r="S165" s="62" t="n">
        <f aca="false">IF(AND(K165&gt;0,R165=0),1,0)</f>
        <v>0</v>
      </c>
    </row>
    <row r="166" customFormat="false" ht="15" hidden="false" customHeight="false" outlineLevel="0" collapsed="false">
      <c r="B166" s="71" t="str">
        <f aca="false">IF($F$6="Sí",N($C$11)+139,"")</f>
        <v/>
      </c>
      <c r="C166" s="72" t="str">
        <f aca="false">IF(OR($F$6&lt;&gt;"Sí",D166&lt;=0.5),"",EDATE($C$10,139))</f>
        <v/>
      </c>
      <c r="D166" s="41" t="n">
        <f aca="false">MAX(0,M165)</f>
        <v>0</v>
      </c>
      <c r="E166" s="41" t="n">
        <f aca="false">D166*$F$7</f>
        <v>0</v>
      </c>
      <c r="F166" s="41" t="n">
        <f aca="false">IF(D166&gt;0.5,N($C$15),0)</f>
        <v>0</v>
      </c>
      <c r="G166" s="41" t="n">
        <f aca="false">IF(AND(D166&gt;0.5,N($C$19)&gt;0,N(B166)&lt;=N($C$20)),D166*$F$8,0)</f>
        <v>0</v>
      </c>
      <c r="H166" s="41" t="n">
        <f aca="false">IF(D166&lt;=0.5,0,MIN(IF(N(I166)&gt;0,I166,$F$9),D166+E166+F166))</f>
        <v>0</v>
      </c>
      <c r="I166" s="77"/>
      <c r="J166" s="77"/>
      <c r="K166" s="41" t="n">
        <f aca="false">IF(D166&lt;=0.5,0,MIN(H166+N(J166),D166+E166+F166))</f>
        <v>0</v>
      </c>
      <c r="L166" s="41" t="n">
        <f aca="false">K166-E166-F166</f>
        <v>0</v>
      </c>
      <c r="M166" s="41" t="n">
        <f aca="false">D166-L166</f>
        <v>0</v>
      </c>
      <c r="N166" s="42" t="n">
        <f aca="false">K166-G166</f>
        <v>0</v>
      </c>
      <c r="O166" s="78"/>
      <c r="P166" s="79"/>
      <c r="Q166" s="16" t="str">
        <f aca="false">IF(K166=0,"",IF(R166=1,"Pagada",IF(C166&lt;$F$12,"Vencida",IF(140=$F$13,"Próxima","Pendiente"))))</f>
        <v/>
      </c>
      <c r="R166" s="62" t="n">
        <f aca="false">IF(AND(K166&gt;0,OR(O166="Sí",O166="Si")),1,0)</f>
        <v>0</v>
      </c>
      <c r="S166" s="62" t="n">
        <f aca="false">IF(AND(K166&gt;0,R166=0),1,0)</f>
        <v>0</v>
      </c>
    </row>
    <row r="167" customFormat="false" ht="15" hidden="false" customHeight="false" outlineLevel="0" collapsed="false">
      <c r="B167" s="71" t="str">
        <f aca="false">IF($F$6="Sí",N($C$11)+140,"")</f>
        <v/>
      </c>
      <c r="C167" s="72" t="str">
        <f aca="false">IF(OR($F$6&lt;&gt;"Sí",D167&lt;=0.5),"",EDATE($C$10,140))</f>
        <v/>
      </c>
      <c r="D167" s="41" t="n">
        <f aca="false">MAX(0,M166)</f>
        <v>0</v>
      </c>
      <c r="E167" s="41" t="n">
        <f aca="false">D167*$F$7</f>
        <v>0</v>
      </c>
      <c r="F167" s="41" t="n">
        <f aca="false">IF(D167&gt;0.5,N($C$15),0)</f>
        <v>0</v>
      </c>
      <c r="G167" s="41" t="n">
        <f aca="false">IF(AND(D167&gt;0.5,N($C$19)&gt;0,N(B167)&lt;=N($C$20)),D167*$F$8,0)</f>
        <v>0</v>
      </c>
      <c r="H167" s="41" t="n">
        <f aca="false">IF(D167&lt;=0.5,0,MIN(IF(N(I167)&gt;0,I167,$F$9),D167+E167+F167))</f>
        <v>0</v>
      </c>
      <c r="I167" s="77"/>
      <c r="J167" s="77"/>
      <c r="K167" s="41" t="n">
        <f aca="false">IF(D167&lt;=0.5,0,MIN(H167+N(J167),D167+E167+F167))</f>
        <v>0</v>
      </c>
      <c r="L167" s="41" t="n">
        <f aca="false">K167-E167-F167</f>
        <v>0</v>
      </c>
      <c r="M167" s="41" t="n">
        <f aca="false">D167-L167</f>
        <v>0</v>
      </c>
      <c r="N167" s="42" t="n">
        <f aca="false">K167-G167</f>
        <v>0</v>
      </c>
      <c r="O167" s="78"/>
      <c r="P167" s="79"/>
      <c r="Q167" s="16" t="str">
        <f aca="false">IF(K167=0,"",IF(R167=1,"Pagada",IF(C167&lt;$F$12,"Vencida",IF(141=$F$13,"Próxima","Pendiente"))))</f>
        <v/>
      </c>
      <c r="R167" s="62" t="n">
        <f aca="false">IF(AND(K167&gt;0,OR(O167="Sí",O167="Si")),1,0)</f>
        <v>0</v>
      </c>
      <c r="S167" s="62" t="n">
        <f aca="false">IF(AND(K167&gt;0,R167=0),1,0)</f>
        <v>0</v>
      </c>
    </row>
    <row r="168" customFormat="false" ht="15" hidden="false" customHeight="false" outlineLevel="0" collapsed="false">
      <c r="B168" s="71" t="str">
        <f aca="false">IF($F$6="Sí",N($C$11)+141,"")</f>
        <v/>
      </c>
      <c r="C168" s="72" t="str">
        <f aca="false">IF(OR($F$6&lt;&gt;"Sí",D168&lt;=0.5),"",EDATE($C$10,141))</f>
        <v/>
      </c>
      <c r="D168" s="41" t="n">
        <f aca="false">MAX(0,M167)</f>
        <v>0</v>
      </c>
      <c r="E168" s="41" t="n">
        <f aca="false">D168*$F$7</f>
        <v>0</v>
      </c>
      <c r="F168" s="41" t="n">
        <f aca="false">IF(D168&gt;0.5,N($C$15),0)</f>
        <v>0</v>
      </c>
      <c r="G168" s="41" t="n">
        <f aca="false">IF(AND(D168&gt;0.5,N($C$19)&gt;0,N(B168)&lt;=N($C$20)),D168*$F$8,0)</f>
        <v>0</v>
      </c>
      <c r="H168" s="41" t="n">
        <f aca="false">IF(D168&lt;=0.5,0,MIN(IF(N(I168)&gt;0,I168,$F$9),D168+E168+F168))</f>
        <v>0</v>
      </c>
      <c r="I168" s="77"/>
      <c r="J168" s="77"/>
      <c r="K168" s="41" t="n">
        <f aca="false">IF(D168&lt;=0.5,0,MIN(H168+N(J168),D168+E168+F168))</f>
        <v>0</v>
      </c>
      <c r="L168" s="41" t="n">
        <f aca="false">K168-E168-F168</f>
        <v>0</v>
      </c>
      <c r="M168" s="41" t="n">
        <f aca="false">D168-L168</f>
        <v>0</v>
      </c>
      <c r="N168" s="42" t="n">
        <f aca="false">K168-G168</f>
        <v>0</v>
      </c>
      <c r="O168" s="78"/>
      <c r="P168" s="79"/>
      <c r="Q168" s="16" t="str">
        <f aca="false">IF(K168=0,"",IF(R168=1,"Pagada",IF(C168&lt;$F$12,"Vencida",IF(142=$F$13,"Próxima","Pendiente"))))</f>
        <v/>
      </c>
      <c r="R168" s="62" t="n">
        <f aca="false">IF(AND(K168&gt;0,OR(O168="Sí",O168="Si")),1,0)</f>
        <v>0</v>
      </c>
      <c r="S168" s="62" t="n">
        <f aca="false">IF(AND(K168&gt;0,R168=0),1,0)</f>
        <v>0</v>
      </c>
    </row>
    <row r="169" customFormat="false" ht="15" hidden="false" customHeight="false" outlineLevel="0" collapsed="false">
      <c r="B169" s="71" t="str">
        <f aca="false">IF($F$6="Sí",N($C$11)+142,"")</f>
        <v/>
      </c>
      <c r="C169" s="72" t="str">
        <f aca="false">IF(OR($F$6&lt;&gt;"Sí",D169&lt;=0.5),"",EDATE($C$10,142))</f>
        <v/>
      </c>
      <c r="D169" s="41" t="n">
        <f aca="false">MAX(0,M168)</f>
        <v>0</v>
      </c>
      <c r="E169" s="41" t="n">
        <f aca="false">D169*$F$7</f>
        <v>0</v>
      </c>
      <c r="F169" s="41" t="n">
        <f aca="false">IF(D169&gt;0.5,N($C$15),0)</f>
        <v>0</v>
      </c>
      <c r="G169" s="41" t="n">
        <f aca="false">IF(AND(D169&gt;0.5,N($C$19)&gt;0,N(B169)&lt;=N($C$20)),D169*$F$8,0)</f>
        <v>0</v>
      </c>
      <c r="H169" s="41" t="n">
        <f aca="false">IF(D169&lt;=0.5,0,MIN(IF(N(I169)&gt;0,I169,$F$9),D169+E169+F169))</f>
        <v>0</v>
      </c>
      <c r="I169" s="77"/>
      <c r="J169" s="77"/>
      <c r="K169" s="41" t="n">
        <f aca="false">IF(D169&lt;=0.5,0,MIN(H169+N(J169),D169+E169+F169))</f>
        <v>0</v>
      </c>
      <c r="L169" s="41" t="n">
        <f aca="false">K169-E169-F169</f>
        <v>0</v>
      </c>
      <c r="M169" s="41" t="n">
        <f aca="false">D169-L169</f>
        <v>0</v>
      </c>
      <c r="N169" s="42" t="n">
        <f aca="false">K169-G169</f>
        <v>0</v>
      </c>
      <c r="O169" s="78"/>
      <c r="P169" s="79"/>
      <c r="Q169" s="16" t="str">
        <f aca="false">IF(K169=0,"",IF(R169=1,"Pagada",IF(C169&lt;$F$12,"Vencida",IF(143=$F$13,"Próxima","Pendiente"))))</f>
        <v/>
      </c>
      <c r="R169" s="62" t="n">
        <f aca="false">IF(AND(K169&gt;0,OR(O169="Sí",O169="Si")),1,0)</f>
        <v>0</v>
      </c>
      <c r="S169" s="62" t="n">
        <f aca="false">IF(AND(K169&gt;0,R169=0),1,0)</f>
        <v>0</v>
      </c>
    </row>
    <row r="170" customFormat="false" ht="15" hidden="false" customHeight="false" outlineLevel="0" collapsed="false">
      <c r="B170" s="71" t="str">
        <f aca="false">IF($F$6="Sí",N($C$11)+143,"")</f>
        <v/>
      </c>
      <c r="C170" s="72" t="str">
        <f aca="false">IF(OR($F$6&lt;&gt;"Sí",D170&lt;=0.5),"",EDATE($C$10,143))</f>
        <v/>
      </c>
      <c r="D170" s="41" t="n">
        <f aca="false">MAX(0,M169)</f>
        <v>0</v>
      </c>
      <c r="E170" s="41" t="n">
        <f aca="false">D170*$F$7</f>
        <v>0</v>
      </c>
      <c r="F170" s="41" t="n">
        <f aca="false">IF(D170&gt;0.5,N($C$15),0)</f>
        <v>0</v>
      </c>
      <c r="G170" s="41" t="n">
        <f aca="false">IF(AND(D170&gt;0.5,N($C$19)&gt;0,N(B170)&lt;=N($C$20)),D170*$F$8,0)</f>
        <v>0</v>
      </c>
      <c r="H170" s="41" t="n">
        <f aca="false">IF(D170&lt;=0.5,0,MIN(IF(N(I170)&gt;0,I170,$F$9),D170+E170+F170))</f>
        <v>0</v>
      </c>
      <c r="I170" s="77"/>
      <c r="J170" s="77"/>
      <c r="K170" s="41" t="n">
        <f aca="false">IF(D170&lt;=0.5,0,MIN(H170+N(J170),D170+E170+F170))</f>
        <v>0</v>
      </c>
      <c r="L170" s="41" t="n">
        <f aca="false">K170-E170-F170</f>
        <v>0</v>
      </c>
      <c r="M170" s="41" t="n">
        <f aca="false">D170-L170</f>
        <v>0</v>
      </c>
      <c r="N170" s="42" t="n">
        <f aca="false">K170-G170</f>
        <v>0</v>
      </c>
      <c r="O170" s="78"/>
      <c r="P170" s="79"/>
      <c r="Q170" s="16" t="str">
        <f aca="false">IF(K170=0,"",IF(R170=1,"Pagada",IF(C170&lt;$F$12,"Vencida",IF(144=$F$13,"Próxima","Pendiente"))))</f>
        <v/>
      </c>
      <c r="R170" s="62" t="n">
        <f aca="false">IF(AND(K170&gt;0,OR(O170="Sí",O170="Si")),1,0)</f>
        <v>0</v>
      </c>
      <c r="S170" s="62" t="n">
        <f aca="false">IF(AND(K170&gt;0,R170=0),1,0)</f>
        <v>0</v>
      </c>
    </row>
    <row r="171" customFormat="false" ht="15" hidden="false" customHeight="false" outlineLevel="0" collapsed="false">
      <c r="B171" s="71" t="str">
        <f aca="false">IF($F$6="Sí",N($C$11)+144,"")</f>
        <v/>
      </c>
      <c r="C171" s="72" t="str">
        <f aca="false">IF(OR($F$6&lt;&gt;"Sí",D171&lt;=0.5),"",EDATE($C$10,144))</f>
        <v/>
      </c>
      <c r="D171" s="41" t="n">
        <f aca="false">MAX(0,M170)</f>
        <v>0</v>
      </c>
      <c r="E171" s="41" t="n">
        <f aca="false">D171*$F$7</f>
        <v>0</v>
      </c>
      <c r="F171" s="41" t="n">
        <f aca="false">IF(D171&gt;0.5,N($C$15),0)</f>
        <v>0</v>
      </c>
      <c r="G171" s="41" t="n">
        <f aca="false">IF(AND(D171&gt;0.5,N($C$19)&gt;0,N(B171)&lt;=N($C$20)),D171*$F$8,0)</f>
        <v>0</v>
      </c>
      <c r="H171" s="41" t="n">
        <f aca="false">IF(D171&lt;=0.5,0,MIN(IF(N(I171)&gt;0,I171,$F$9),D171+E171+F171))</f>
        <v>0</v>
      </c>
      <c r="I171" s="77"/>
      <c r="J171" s="77"/>
      <c r="K171" s="41" t="n">
        <f aca="false">IF(D171&lt;=0.5,0,MIN(H171+N(J171),D171+E171+F171))</f>
        <v>0</v>
      </c>
      <c r="L171" s="41" t="n">
        <f aca="false">K171-E171-F171</f>
        <v>0</v>
      </c>
      <c r="M171" s="41" t="n">
        <f aca="false">D171-L171</f>
        <v>0</v>
      </c>
      <c r="N171" s="42" t="n">
        <f aca="false">K171-G171</f>
        <v>0</v>
      </c>
      <c r="O171" s="78"/>
      <c r="P171" s="79"/>
      <c r="Q171" s="16" t="str">
        <f aca="false">IF(K171=0,"",IF(R171=1,"Pagada",IF(C171&lt;$F$12,"Vencida",IF(145=$F$13,"Próxima","Pendiente"))))</f>
        <v/>
      </c>
      <c r="R171" s="62" t="n">
        <f aca="false">IF(AND(K171&gt;0,OR(O171="Sí",O171="Si")),1,0)</f>
        <v>0</v>
      </c>
      <c r="S171" s="62" t="n">
        <f aca="false">IF(AND(K171&gt;0,R171=0),1,0)</f>
        <v>0</v>
      </c>
    </row>
    <row r="172" customFormat="false" ht="15" hidden="false" customHeight="false" outlineLevel="0" collapsed="false">
      <c r="B172" s="71" t="str">
        <f aca="false">IF($F$6="Sí",N($C$11)+145,"")</f>
        <v/>
      </c>
      <c r="C172" s="72" t="str">
        <f aca="false">IF(OR($F$6&lt;&gt;"Sí",D172&lt;=0.5),"",EDATE($C$10,145))</f>
        <v/>
      </c>
      <c r="D172" s="41" t="n">
        <f aca="false">MAX(0,M171)</f>
        <v>0</v>
      </c>
      <c r="E172" s="41" t="n">
        <f aca="false">D172*$F$7</f>
        <v>0</v>
      </c>
      <c r="F172" s="41" t="n">
        <f aca="false">IF(D172&gt;0.5,N($C$15),0)</f>
        <v>0</v>
      </c>
      <c r="G172" s="41" t="n">
        <f aca="false">IF(AND(D172&gt;0.5,N($C$19)&gt;0,N(B172)&lt;=N($C$20)),D172*$F$8,0)</f>
        <v>0</v>
      </c>
      <c r="H172" s="41" t="n">
        <f aca="false">IF(D172&lt;=0.5,0,MIN(IF(N(I172)&gt;0,I172,$F$9),D172+E172+F172))</f>
        <v>0</v>
      </c>
      <c r="I172" s="77"/>
      <c r="J172" s="77"/>
      <c r="K172" s="41" t="n">
        <f aca="false">IF(D172&lt;=0.5,0,MIN(H172+N(J172),D172+E172+F172))</f>
        <v>0</v>
      </c>
      <c r="L172" s="41" t="n">
        <f aca="false">K172-E172-F172</f>
        <v>0</v>
      </c>
      <c r="M172" s="41" t="n">
        <f aca="false">D172-L172</f>
        <v>0</v>
      </c>
      <c r="N172" s="42" t="n">
        <f aca="false">K172-G172</f>
        <v>0</v>
      </c>
      <c r="O172" s="78"/>
      <c r="P172" s="79"/>
      <c r="Q172" s="16" t="str">
        <f aca="false">IF(K172=0,"",IF(R172=1,"Pagada",IF(C172&lt;$F$12,"Vencida",IF(146=$F$13,"Próxima","Pendiente"))))</f>
        <v/>
      </c>
      <c r="R172" s="62" t="n">
        <f aca="false">IF(AND(K172&gt;0,OR(O172="Sí",O172="Si")),1,0)</f>
        <v>0</v>
      </c>
      <c r="S172" s="62" t="n">
        <f aca="false">IF(AND(K172&gt;0,R172=0),1,0)</f>
        <v>0</v>
      </c>
    </row>
    <row r="173" customFormat="false" ht="15" hidden="false" customHeight="false" outlineLevel="0" collapsed="false">
      <c r="B173" s="71" t="str">
        <f aca="false">IF($F$6="Sí",N($C$11)+146,"")</f>
        <v/>
      </c>
      <c r="C173" s="72" t="str">
        <f aca="false">IF(OR($F$6&lt;&gt;"Sí",D173&lt;=0.5),"",EDATE($C$10,146))</f>
        <v/>
      </c>
      <c r="D173" s="41" t="n">
        <f aca="false">MAX(0,M172)</f>
        <v>0</v>
      </c>
      <c r="E173" s="41" t="n">
        <f aca="false">D173*$F$7</f>
        <v>0</v>
      </c>
      <c r="F173" s="41" t="n">
        <f aca="false">IF(D173&gt;0.5,N($C$15),0)</f>
        <v>0</v>
      </c>
      <c r="G173" s="41" t="n">
        <f aca="false">IF(AND(D173&gt;0.5,N($C$19)&gt;0,N(B173)&lt;=N($C$20)),D173*$F$8,0)</f>
        <v>0</v>
      </c>
      <c r="H173" s="41" t="n">
        <f aca="false">IF(D173&lt;=0.5,0,MIN(IF(N(I173)&gt;0,I173,$F$9),D173+E173+F173))</f>
        <v>0</v>
      </c>
      <c r="I173" s="77"/>
      <c r="J173" s="77"/>
      <c r="K173" s="41" t="n">
        <f aca="false">IF(D173&lt;=0.5,0,MIN(H173+N(J173),D173+E173+F173))</f>
        <v>0</v>
      </c>
      <c r="L173" s="41" t="n">
        <f aca="false">K173-E173-F173</f>
        <v>0</v>
      </c>
      <c r="M173" s="41" t="n">
        <f aca="false">D173-L173</f>
        <v>0</v>
      </c>
      <c r="N173" s="42" t="n">
        <f aca="false">K173-G173</f>
        <v>0</v>
      </c>
      <c r="O173" s="78"/>
      <c r="P173" s="79"/>
      <c r="Q173" s="16" t="str">
        <f aca="false">IF(K173=0,"",IF(R173=1,"Pagada",IF(C173&lt;$F$12,"Vencida",IF(147=$F$13,"Próxima","Pendiente"))))</f>
        <v/>
      </c>
      <c r="R173" s="62" t="n">
        <f aca="false">IF(AND(K173&gt;0,OR(O173="Sí",O173="Si")),1,0)</f>
        <v>0</v>
      </c>
      <c r="S173" s="62" t="n">
        <f aca="false">IF(AND(K173&gt;0,R173=0),1,0)</f>
        <v>0</v>
      </c>
    </row>
    <row r="174" customFormat="false" ht="15" hidden="false" customHeight="false" outlineLevel="0" collapsed="false">
      <c r="B174" s="71" t="str">
        <f aca="false">IF($F$6="Sí",N($C$11)+147,"")</f>
        <v/>
      </c>
      <c r="C174" s="72" t="str">
        <f aca="false">IF(OR($F$6&lt;&gt;"Sí",D174&lt;=0.5),"",EDATE($C$10,147))</f>
        <v/>
      </c>
      <c r="D174" s="41" t="n">
        <f aca="false">MAX(0,M173)</f>
        <v>0</v>
      </c>
      <c r="E174" s="41" t="n">
        <f aca="false">D174*$F$7</f>
        <v>0</v>
      </c>
      <c r="F174" s="41" t="n">
        <f aca="false">IF(D174&gt;0.5,N($C$15),0)</f>
        <v>0</v>
      </c>
      <c r="G174" s="41" t="n">
        <f aca="false">IF(AND(D174&gt;0.5,N($C$19)&gt;0,N(B174)&lt;=N($C$20)),D174*$F$8,0)</f>
        <v>0</v>
      </c>
      <c r="H174" s="41" t="n">
        <f aca="false">IF(D174&lt;=0.5,0,MIN(IF(N(I174)&gt;0,I174,$F$9),D174+E174+F174))</f>
        <v>0</v>
      </c>
      <c r="I174" s="77"/>
      <c r="J174" s="77"/>
      <c r="K174" s="41" t="n">
        <f aca="false">IF(D174&lt;=0.5,0,MIN(H174+N(J174),D174+E174+F174))</f>
        <v>0</v>
      </c>
      <c r="L174" s="41" t="n">
        <f aca="false">K174-E174-F174</f>
        <v>0</v>
      </c>
      <c r="M174" s="41" t="n">
        <f aca="false">D174-L174</f>
        <v>0</v>
      </c>
      <c r="N174" s="42" t="n">
        <f aca="false">K174-G174</f>
        <v>0</v>
      </c>
      <c r="O174" s="78"/>
      <c r="P174" s="79"/>
      <c r="Q174" s="16" t="str">
        <f aca="false">IF(K174=0,"",IF(R174=1,"Pagada",IF(C174&lt;$F$12,"Vencida",IF(148=$F$13,"Próxima","Pendiente"))))</f>
        <v/>
      </c>
      <c r="R174" s="62" t="n">
        <f aca="false">IF(AND(K174&gt;0,OR(O174="Sí",O174="Si")),1,0)</f>
        <v>0</v>
      </c>
      <c r="S174" s="62" t="n">
        <f aca="false">IF(AND(K174&gt;0,R174=0),1,0)</f>
        <v>0</v>
      </c>
    </row>
    <row r="175" customFormat="false" ht="15" hidden="false" customHeight="false" outlineLevel="0" collapsed="false">
      <c r="B175" s="71" t="str">
        <f aca="false">IF($F$6="Sí",N($C$11)+148,"")</f>
        <v/>
      </c>
      <c r="C175" s="72" t="str">
        <f aca="false">IF(OR($F$6&lt;&gt;"Sí",D175&lt;=0.5),"",EDATE($C$10,148))</f>
        <v/>
      </c>
      <c r="D175" s="41" t="n">
        <f aca="false">MAX(0,M174)</f>
        <v>0</v>
      </c>
      <c r="E175" s="41" t="n">
        <f aca="false">D175*$F$7</f>
        <v>0</v>
      </c>
      <c r="F175" s="41" t="n">
        <f aca="false">IF(D175&gt;0.5,N($C$15),0)</f>
        <v>0</v>
      </c>
      <c r="G175" s="41" t="n">
        <f aca="false">IF(AND(D175&gt;0.5,N($C$19)&gt;0,N(B175)&lt;=N($C$20)),D175*$F$8,0)</f>
        <v>0</v>
      </c>
      <c r="H175" s="41" t="n">
        <f aca="false">IF(D175&lt;=0.5,0,MIN(IF(N(I175)&gt;0,I175,$F$9),D175+E175+F175))</f>
        <v>0</v>
      </c>
      <c r="I175" s="77"/>
      <c r="J175" s="77"/>
      <c r="K175" s="41" t="n">
        <f aca="false">IF(D175&lt;=0.5,0,MIN(H175+N(J175),D175+E175+F175))</f>
        <v>0</v>
      </c>
      <c r="L175" s="41" t="n">
        <f aca="false">K175-E175-F175</f>
        <v>0</v>
      </c>
      <c r="M175" s="41" t="n">
        <f aca="false">D175-L175</f>
        <v>0</v>
      </c>
      <c r="N175" s="42" t="n">
        <f aca="false">K175-G175</f>
        <v>0</v>
      </c>
      <c r="O175" s="78"/>
      <c r="P175" s="79"/>
      <c r="Q175" s="16" t="str">
        <f aca="false">IF(K175=0,"",IF(R175=1,"Pagada",IF(C175&lt;$F$12,"Vencida",IF(149=$F$13,"Próxima","Pendiente"))))</f>
        <v/>
      </c>
      <c r="R175" s="62" t="n">
        <f aca="false">IF(AND(K175&gt;0,OR(O175="Sí",O175="Si")),1,0)</f>
        <v>0</v>
      </c>
      <c r="S175" s="62" t="n">
        <f aca="false">IF(AND(K175&gt;0,R175=0),1,0)</f>
        <v>0</v>
      </c>
    </row>
    <row r="176" customFormat="false" ht="15" hidden="false" customHeight="false" outlineLevel="0" collapsed="false">
      <c r="B176" s="71" t="str">
        <f aca="false">IF($F$6="Sí",N($C$11)+149,"")</f>
        <v/>
      </c>
      <c r="C176" s="72" t="str">
        <f aca="false">IF(OR($F$6&lt;&gt;"Sí",D176&lt;=0.5),"",EDATE($C$10,149))</f>
        <v/>
      </c>
      <c r="D176" s="41" t="n">
        <f aca="false">MAX(0,M175)</f>
        <v>0</v>
      </c>
      <c r="E176" s="41" t="n">
        <f aca="false">D176*$F$7</f>
        <v>0</v>
      </c>
      <c r="F176" s="41" t="n">
        <f aca="false">IF(D176&gt;0.5,N($C$15),0)</f>
        <v>0</v>
      </c>
      <c r="G176" s="41" t="n">
        <f aca="false">IF(AND(D176&gt;0.5,N($C$19)&gt;0,N(B176)&lt;=N($C$20)),D176*$F$8,0)</f>
        <v>0</v>
      </c>
      <c r="H176" s="41" t="n">
        <f aca="false">IF(D176&lt;=0.5,0,MIN(IF(N(I176)&gt;0,I176,$F$9),D176+E176+F176))</f>
        <v>0</v>
      </c>
      <c r="I176" s="77"/>
      <c r="J176" s="77"/>
      <c r="K176" s="41" t="n">
        <f aca="false">IF(D176&lt;=0.5,0,MIN(H176+N(J176),D176+E176+F176))</f>
        <v>0</v>
      </c>
      <c r="L176" s="41" t="n">
        <f aca="false">K176-E176-F176</f>
        <v>0</v>
      </c>
      <c r="M176" s="41" t="n">
        <f aca="false">D176-L176</f>
        <v>0</v>
      </c>
      <c r="N176" s="42" t="n">
        <f aca="false">K176-G176</f>
        <v>0</v>
      </c>
      <c r="O176" s="78"/>
      <c r="P176" s="79"/>
      <c r="Q176" s="16" t="str">
        <f aca="false">IF(K176=0,"",IF(R176=1,"Pagada",IF(C176&lt;$F$12,"Vencida",IF(150=$F$13,"Próxima","Pendiente"))))</f>
        <v/>
      </c>
      <c r="R176" s="62" t="n">
        <f aca="false">IF(AND(K176&gt;0,OR(O176="Sí",O176="Si")),1,0)</f>
        <v>0</v>
      </c>
      <c r="S176" s="62" t="n">
        <f aca="false">IF(AND(K176&gt;0,R176=0),1,0)</f>
        <v>0</v>
      </c>
    </row>
    <row r="177" customFormat="false" ht="15" hidden="false" customHeight="false" outlineLevel="0" collapsed="false">
      <c r="B177" s="71" t="str">
        <f aca="false">IF($F$6="Sí",N($C$11)+150,"")</f>
        <v/>
      </c>
      <c r="C177" s="72" t="str">
        <f aca="false">IF(OR($F$6&lt;&gt;"Sí",D177&lt;=0.5),"",EDATE($C$10,150))</f>
        <v/>
      </c>
      <c r="D177" s="41" t="n">
        <f aca="false">MAX(0,M176)</f>
        <v>0</v>
      </c>
      <c r="E177" s="41" t="n">
        <f aca="false">D177*$F$7</f>
        <v>0</v>
      </c>
      <c r="F177" s="41" t="n">
        <f aca="false">IF(D177&gt;0.5,N($C$15),0)</f>
        <v>0</v>
      </c>
      <c r="G177" s="41" t="n">
        <f aca="false">IF(AND(D177&gt;0.5,N($C$19)&gt;0,N(B177)&lt;=N($C$20)),D177*$F$8,0)</f>
        <v>0</v>
      </c>
      <c r="H177" s="41" t="n">
        <f aca="false">IF(D177&lt;=0.5,0,MIN(IF(N(I177)&gt;0,I177,$F$9),D177+E177+F177))</f>
        <v>0</v>
      </c>
      <c r="I177" s="77"/>
      <c r="J177" s="77"/>
      <c r="K177" s="41" t="n">
        <f aca="false">IF(D177&lt;=0.5,0,MIN(H177+N(J177),D177+E177+F177))</f>
        <v>0</v>
      </c>
      <c r="L177" s="41" t="n">
        <f aca="false">K177-E177-F177</f>
        <v>0</v>
      </c>
      <c r="M177" s="41" t="n">
        <f aca="false">D177-L177</f>
        <v>0</v>
      </c>
      <c r="N177" s="42" t="n">
        <f aca="false">K177-G177</f>
        <v>0</v>
      </c>
      <c r="O177" s="78"/>
      <c r="P177" s="79"/>
      <c r="Q177" s="16" t="str">
        <f aca="false">IF(K177=0,"",IF(R177=1,"Pagada",IF(C177&lt;$F$12,"Vencida",IF(151=$F$13,"Próxima","Pendiente"))))</f>
        <v/>
      </c>
      <c r="R177" s="62" t="n">
        <f aca="false">IF(AND(K177&gt;0,OR(O177="Sí",O177="Si")),1,0)</f>
        <v>0</v>
      </c>
      <c r="S177" s="62" t="n">
        <f aca="false">IF(AND(K177&gt;0,R177=0),1,0)</f>
        <v>0</v>
      </c>
    </row>
    <row r="178" customFormat="false" ht="15" hidden="false" customHeight="false" outlineLevel="0" collapsed="false">
      <c r="B178" s="71" t="str">
        <f aca="false">IF($F$6="Sí",N($C$11)+151,"")</f>
        <v/>
      </c>
      <c r="C178" s="72" t="str">
        <f aca="false">IF(OR($F$6&lt;&gt;"Sí",D178&lt;=0.5),"",EDATE($C$10,151))</f>
        <v/>
      </c>
      <c r="D178" s="41" t="n">
        <f aca="false">MAX(0,M177)</f>
        <v>0</v>
      </c>
      <c r="E178" s="41" t="n">
        <f aca="false">D178*$F$7</f>
        <v>0</v>
      </c>
      <c r="F178" s="41" t="n">
        <f aca="false">IF(D178&gt;0.5,N($C$15),0)</f>
        <v>0</v>
      </c>
      <c r="G178" s="41" t="n">
        <f aca="false">IF(AND(D178&gt;0.5,N($C$19)&gt;0,N(B178)&lt;=N($C$20)),D178*$F$8,0)</f>
        <v>0</v>
      </c>
      <c r="H178" s="41" t="n">
        <f aca="false">IF(D178&lt;=0.5,0,MIN(IF(N(I178)&gt;0,I178,$F$9),D178+E178+F178))</f>
        <v>0</v>
      </c>
      <c r="I178" s="77"/>
      <c r="J178" s="77"/>
      <c r="K178" s="41" t="n">
        <f aca="false">IF(D178&lt;=0.5,0,MIN(H178+N(J178),D178+E178+F178))</f>
        <v>0</v>
      </c>
      <c r="L178" s="41" t="n">
        <f aca="false">K178-E178-F178</f>
        <v>0</v>
      </c>
      <c r="M178" s="41" t="n">
        <f aca="false">D178-L178</f>
        <v>0</v>
      </c>
      <c r="N178" s="42" t="n">
        <f aca="false">K178-G178</f>
        <v>0</v>
      </c>
      <c r="O178" s="78"/>
      <c r="P178" s="79"/>
      <c r="Q178" s="16" t="str">
        <f aca="false">IF(K178=0,"",IF(R178=1,"Pagada",IF(C178&lt;$F$12,"Vencida",IF(152=$F$13,"Próxima","Pendiente"))))</f>
        <v/>
      </c>
      <c r="R178" s="62" t="n">
        <f aca="false">IF(AND(K178&gt;0,OR(O178="Sí",O178="Si")),1,0)</f>
        <v>0</v>
      </c>
      <c r="S178" s="62" t="n">
        <f aca="false">IF(AND(K178&gt;0,R178=0),1,0)</f>
        <v>0</v>
      </c>
    </row>
    <row r="179" customFormat="false" ht="15" hidden="false" customHeight="false" outlineLevel="0" collapsed="false">
      <c r="B179" s="71" t="str">
        <f aca="false">IF($F$6="Sí",N($C$11)+152,"")</f>
        <v/>
      </c>
      <c r="C179" s="72" t="str">
        <f aca="false">IF(OR($F$6&lt;&gt;"Sí",D179&lt;=0.5),"",EDATE($C$10,152))</f>
        <v/>
      </c>
      <c r="D179" s="41" t="n">
        <f aca="false">MAX(0,M178)</f>
        <v>0</v>
      </c>
      <c r="E179" s="41" t="n">
        <f aca="false">D179*$F$7</f>
        <v>0</v>
      </c>
      <c r="F179" s="41" t="n">
        <f aca="false">IF(D179&gt;0.5,N($C$15),0)</f>
        <v>0</v>
      </c>
      <c r="G179" s="41" t="n">
        <f aca="false">IF(AND(D179&gt;0.5,N($C$19)&gt;0,N(B179)&lt;=N($C$20)),D179*$F$8,0)</f>
        <v>0</v>
      </c>
      <c r="H179" s="41" t="n">
        <f aca="false">IF(D179&lt;=0.5,0,MIN(IF(N(I179)&gt;0,I179,$F$9),D179+E179+F179))</f>
        <v>0</v>
      </c>
      <c r="I179" s="77"/>
      <c r="J179" s="77"/>
      <c r="K179" s="41" t="n">
        <f aca="false">IF(D179&lt;=0.5,0,MIN(H179+N(J179),D179+E179+F179))</f>
        <v>0</v>
      </c>
      <c r="L179" s="41" t="n">
        <f aca="false">K179-E179-F179</f>
        <v>0</v>
      </c>
      <c r="M179" s="41" t="n">
        <f aca="false">D179-L179</f>
        <v>0</v>
      </c>
      <c r="N179" s="42" t="n">
        <f aca="false">K179-G179</f>
        <v>0</v>
      </c>
      <c r="O179" s="78"/>
      <c r="P179" s="79"/>
      <c r="Q179" s="16" t="str">
        <f aca="false">IF(K179=0,"",IF(R179=1,"Pagada",IF(C179&lt;$F$12,"Vencida",IF(153=$F$13,"Próxima","Pendiente"))))</f>
        <v/>
      </c>
      <c r="R179" s="62" t="n">
        <f aca="false">IF(AND(K179&gt;0,OR(O179="Sí",O179="Si")),1,0)</f>
        <v>0</v>
      </c>
      <c r="S179" s="62" t="n">
        <f aca="false">IF(AND(K179&gt;0,R179=0),1,0)</f>
        <v>0</v>
      </c>
    </row>
    <row r="180" customFormat="false" ht="15" hidden="false" customHeight="false" outlineLevel="0" collapsed="false">
      <c r="B180" s="71" t="str">
        <f aca="false">IF($F$6="Sí",N($C$11)+153,"")</f>
        <v/>
      </c>
      <c r="C180" s="72" t="str">
        <f aca="false">IF(OR($F$6&lt;&gt;"Sí",D180&lt;=0.5),"",EDATE($C$10,153))</f>
        <v/>
      </c>
      <c r="D180" s="41" t="n">
        <f aca="false">MAX(0,M179)</f>
        <v>0</v>
      </c>
      <c r="E180" s="41" t="n">
        <f aca="false">D180*$F$7</f>
        <v>0</v>
      </c>
      <c r="F180" s="41" t="n">
        <f aca="false">IF(D180&gt;0.5,N($C$15),0)</f>
        <v>0</v>
      </c>
      <c r="G180" s="41" t="n">
        <f aca="false">IF(AND(D180&gt;0.5,N($C$19)&gt;0,N(B180)&lt;=N($C$20)),D180*$F$8,0)</f>
        <v>0</v>
      </c>
      <c r="H180" s="41" t="n">
        <f aca="false">IF(D180&lt;=0.5,0,MIN(IF(N(I180)&gt;0,I180,$F$9),D180+E180+F180))</f>
        <v>0</v>
      </c>
      <c r="I180" s="77"/>
      <c r="J180" s="77"/>
      <c r="K180" s="41" t="n">
        <f aca="false">IF(D180&lt;=0.5,0,MIN(H180+N(J180),D180+E180+F180))</f>
        <v>0</v>
      </c>
      <c r="L180" s="41" t="n">
        <f aca="false">K180-E180-F180</f>
        <v>0</v>
      </c>
      <c r="M180" s="41" t="n">
        <f aca="false">D180-L180</f>
        <v>0</v>
      </c>
      <c r="N180" s="42" t="n">
        <f aca="false">K180-G180</f>
        <v>0</v>
      </c>
      <c r="O180" s="78"/>
      <c r="P180" s="79"/>
      <c r="Q180" s="16" t="str">
        <f aca="false">IF(K180=0,"",IF(R180=1,"Pagada",IF(C180&lt;$F$12,"Vencida",IF(154=$F$13,"Próxima","Pendiente"))))</f>
        <v/>
      </c>
      <c r="R180" s="62" t="n">
        <f aca="false">IF(AND(K180&gt;0,OR(O180="Sí",O180="Si")),1,0)</f>
        <v>0</v>
      </c>
      <c r="S180" s="62" t="n">
        <f aca="false">IF(AND(K180&gt;0,R180=0),1,0)</f>
        <v>0</v>
      </c>
    </row>
    <row r="181" customFormat="false" ht="15" hidden="false" customHeight="false" outlineLevel="0" collapsed="false">
      <c r="B181" s="71" t="str">
        <f aca="false">IF($F$6="Sí",N($C$11)+154,"")</f>
        <v/>
      </c>
      <c r="C181" s="72" t="str">
        <f aca="false">IF(OR($F$6&lt;&gt;"Sí",D181&lt;=0.5),"",EDATE($C$10,154))</f>
        <v/>
      </c>
      <c r="D181" s="41" t="n">
        <f aca="false">MAX(0,M180)</f>
        <v>0</v>
      </c>
      <c r="E181" s="41" t="n">
        <f aca="false">D181*$F$7</f>
        <v>0</v>
      </c>
      <c r="F181" s="41" t="n">
        <f aca="false">IF(D181&gt;0.5,N($C$15),0)</f>
        <v>0</v>
      </c>
      <c r="G181" s="41" t="n">
        <f aca="false">IF(AND(D181&gt;0.5,N($C$19)&gt;0,N(B181)&lt;=N($C$20)),D181*$F$8,0)</f>
        <v>0</v>
      </c>
      <c r="H181" s="41" t="n">
        <f aca="false">IF(D181&lt;=0.5,0,MIN(IF(N(I181)&gt;0,I181,$F$9),D181+E181+F181))</f>
        <v>0</v>
      </c>
      <c r="I181" s="77"/>
      <c r="J181" s="77"/>
      <c r="K181" s="41" t="n">
        <f aca="false">IF(D181&lt;=0.5,0,MIN(H181+N(J181),D181+E181+F181))</f>
        <v>0</v>
      </c>
      <c r="L181" s="41" t="n">
        <f aca="false">K181-E181-F181</f>
        <v>0</v>
      </c>
      <c r="M181" s="41" t="n">
        <f aca="false">D181-L181</f>
        <v>0</v>
      </c>
      <c r="N181" s="42" t="n">
        <f aca="false">K181-G181</f>
        <v>0</v>
      </c>
      <c r="O181" s="78"/>
      <c r="P181" s="79"/>
      <c r="Q181" s="16" t="str">
        <f aca="false">IF(K181=0,"",IF(R181=1,"Pagada",IF(C181&lt;$F$12,"Vencida",IF(155=$F$13,"Próxima","Pendiente"))))</f>
        <v/>
      </c>
      <c r="R181" s="62" t="n">
        <f aca="false">IF(AND(K181&gt;0,OR(O181="Sí",O181="Si")),1,0)</f>
        <v>0</v>
      </c>
      <c r="S181" s="62" t="n">
        <f aca="false">IF(AND(K181&gt;0,R181=0),1,0)</f>
        <v>0</v>
      </c>
    </row>
    <row r="182" customFormat="false" ht="15" hidden="false" customHeight="false" outlineLevel="0" collapsed="false">
      <c r="B182" s="71" t="str">
        <f aca="false">IF($F$6="Sí",N($C$11)+155,"")</f>
        <v/>
      </c>
      <c r="C182" s="72" t="str">
        <f aca="false">IF(OR($F$6&lt;&gt;"Sí",D182&lt;=0.5),"",EDATE($C$10,155))</f>
        <v/>
      </c>
      <c r="D182" s="41" t="n">
        <f aca="false">MAX(0,M181)</f>
        <v>0</v>
      </c>
      <c r="E182" s="41" t="n">
        <f aca="false">D182*$F$7</f>
        <v>0</v>
      </c>
      <c r="F182" s="41" t="n">
        <f aca="false">IF(D182&gt;0.5,N($C$15),0)</f>
        <v>0</v>
      </c>
      <c r="G182" s="41" t="n">
        <f aca="false">IF(AND(D182&gt;0.5,N($C$19)&gt;0,N(B182)&lt;=N($C$20)),D182*$F$8,0)</f>
        <v>0</v>
      </c>
      <c r="H182" s="41" t="n">
        <f aca="false">IF(D182&lt;=0.5,0,MIN(IF(N(I182)&gt;0,I182,$F$9),D182+E182+F182))</f>
        <v>0</v>
      </c>
      <c r="I182" s="77"/>
      <c r="J182" s="77"/>
      <c r="K182" s="41" t="n">
        <f aca="false">IF(D182&lt;=0.5,0,MIN(H182+N(J182),D182+E182+F182))</f>
        <v>0</v>
      </c>
      <c r="L182" s="41" t="n">
        <f aca="false">K182-E182-F182</f>
        <v>0</v>
      </c>
      <c r="M182" s="41" t="n">
        <f aca="false">D182-L182</f>
        <v>0</v>
      </c>
      <c r="N182" s="42" t="n">
        <f aca="false">K182-G182</f>
        <v>0</v>
      </c>
      <c r="O182" s="78"/>
      <c r="P182" s="79"/>
      <c r="Q182" s="16" t="str">
        <f aca="false">IF(K182=0,"",IF(R182=1,"Pagada",IF(C182&lt;$F$12,"Vencida",IF(156=$F$13,"Próxima","Pendiente"))))</f>
        <v/>
      </c>
      <c r="R182" s="62" t="n">
        <f aca="false">IF(AND(K182&gt;0,OR(O182="Sí",O182="Si")),1,0)</f>
        <v>0</v>
      </c>
      <c r="S182" s="62" t="n">
        <f aca="false">IF(AND(K182&gt;0,R182=0),1,0)</f>
        <v>0</v>
      </c>
    </row>
    <row r="183" customFormat="false" ht="15" hidden="false" customHeight="false" outlineLevel="0" collapsed="false">
      <c r="B183" s="71" t="str">
        <f aca="false">IF($F$6="Sí",N($C$11)+156,"")</f>
        <v/>
      </c>
      <c r="C183" s="72" t="str">
        <f aca="false">IF(OR($F$6&lt;&gt;"Sí",D183&lt;=0.5),"",EDATE($C$10,156))</f>
        <v/>
      </c>
      <c r="D183" s="41" t="n">
        <f aca="false">MAX(0,M182)</f>
        <v>0</v>
      </c>
      <c r="E183" s="41" t="n">
        <f aca="false">D183*$F$7</f>
        <v>0</v>
      </c>
      <c r="F183" s="41" t="n">
        <f aca="false">IF(D183&gt;0.5,N($C$15),0)</f>
        <v>0</v>
      </c>
      <c r="G183" s="41" t="n">
        <f aca="false">IF(AND(D183&gt;0.5,N($C$19)&gt;0,N(B183)&lt;=N($C$20)),D183*$F$8,0)</f>
        <v>0</v>
      </c>
      <c r="H183" s="41" t="n">
        <f aca="false">IF(D183&lt;=0.5,0,MIN(IF(N(I183)&gt;0,I183,$F$9),D183+E183+F183))</f>
        <v>0</v>
      </c>
      <c r="I183" s="77"/>
      <c r="J183" s="77"/>
      <c r="K183" s="41" t="n">
        <f aca="false">IF(D183&lt;=0.5,0,MIN(H183+N(J183),D183+E183+F183))</f>
        <v>0</v>
      </c>
      <c r="L183" s="41" t="n">
        <f aca="false">K183-E183-F183</f>
        <v>0</v>
      </c>
      <c r="M183" s="41" t="n">
        <f aca="false">D183-L183</f>
        <v>0</v>
      </c>
      <c r="N183" s="42" t="n">
        <f aca="false">K183-G183</f>
        <v>0</v>
      </c>
      <c r="O183" s="78"/>
      <c r="P183" s="79"/>
      <c r="Q183" s="16" t="str">
        <f aca="false">IF(K183=0,"",IF(R183=1,"Pagada",IF(C183&lt;$F$12,"Vencida",IF(157=$F$13,"Próxima","Pendiente"))))</f>
        <v/>
      </c>
      <c r="R183" s="62" t="n">
        <f aca="false">IF(AND(K183&gt;0,OR(O183="Sí",O183="Si")),1,0)</f>
        <v>0</v>
      </c>
      <c r="S183" s="62" t="n">
        <f aca="false">IF(AND(K183&gt;0,R183=0),1,0)</f>
        <v>0</v>
      </c>
    </row>
    <row r="184" customFormat="false" ht="15" hidden="false" customHeight="false" outlineLevel="0" collapsed="false">
      <c r="B184" s="71" t="str">
        <f aca="false">IF($F$6="Sí",N($C$11)+157,"")</f>
        <v/>
      </c>
      <c r="C184" s="72" t="str">
        <f aca="false">IF(OR($F$6&lt;&gt;"Sí",D184&lt;=0.5),"",EDATE($C$10,157))</f>
        <v/>
      </c>
      <c r="D184" s="41" t="n">
        <f aca="false">MAX(0,M183)</f>
        <v>0</v>
      </c>
      <c r="E184" s="41" t="n">
        <f aca="false">D184*$F$7</f>
        <v>0</v>
      </c>
      <c r="F184" s="41" t="n">
        <f aca="false">IF(D184&gt;0.5,N($C$15),0)</f>
        <v>0</v>
      </c>
      <c r="G184" s="41" t="n">
        <f aca="false">IF(AND(D184&gt;0.5,N($C$19)&gt;0,N(B184)&lt;=N($C$20)),D184*$F$8,0)</f>
        <v>0</v>
      </c>
      <c r="H184" s="41" t="n">
        <f aca="false">IF(D184&lt;=0.5,0,MIN(IF(N(I184)&gt;0,I184,$F$9),D184+E184+F184))</f>
        <v>0</v>
      </c>
      <c r="I184" s="77"/>
      <c r="J184" s="77"/>
      <c r="K184" s="41" t="n">
        <f aca="false">IF(D184&lt;=0.5,0,MIN(H184+N(J184),D184+E184+F184))</f>
        <v>0</v>
      </c>
      <c r="L184" s="41" t="n">
        <f aca="false">K184-E184-F184</f>
        <v>0</v>
      </c>
      <c r="M184" s="41" t="n">
        <f aca="false">D184-L184</f>
        <v>0</v>
      </c>
      <c r="N184" s="42" t="n">
        <f aca="false">K184-G184</f>
        <v>0</v>
      </c>
      <c r="O184" s="78"/>
      <c r="P184" s="79"/>
      <c r="Q184" s="16" t="str">
        <f aca="false">IF(K184=0,"",IF(R184=1,"Pagada",IF(C184&lt;$F$12,"Vencida",IF(158=$F$13,"Próxima","Pendiente"))))</f>
        <v/>
      </c>
      <c r="R184" s="62" t="n">
        <f aca="false">IF(AND(K184&gt;0,OR(O184="Sí",O184="Si")),1,0)</f>
        <v>0</v>
      </c>
      <c r="S184" s="62" t="n">
        <f aca="false">IF(AND(K184&gt;0,R184=0),1,0)</f>
        <v>0</v>
      </c>
    </row>
    <row r="185" customFormat="false" ht="15" hidden="false" customHeight="false" outlineLevel="0" collapsed="false">
      <c r="B185" s="71" t="str">
        <f aca="false">IF($F$6="Sí",N($C$11)+158,"")</f>
        <v/>
      </c>
      <c r="C185" s="72" t="str">
        <f aca="false">IF(OR($F$6&lt;&gt;"Sí",D185&lt;=0.5),"",EDATE($C$10,158))</f>
        <v/>
      </c>
      <c r="D185" s="41" t="n">
        <f aca="false">MAX(0,M184)</f>
        <v>0</v>
      </c>
      <c r="E185" s="41" t="n">
        <f aca="false">D185*$F$7</f>
        <v>0</v>
      </c>
      <c r="F185" s="41" t="n">
        <f aca="false">IF(D185&gt;0.5,N($C$15),0)</f>
        <v>0</v>
      </c>
      <c r="G185" s="41" t="n">
        <f aca="false">IF(AND(D185&gt;0.5,N($C$19)&gt;0,N(B185)&lt;=N($C$20)),D185*$F$8,0)</f>
        <v>0</v>
      </c>
      <c r="H185" s="41" t="n">
        <f aca="false">IF(D185&lt;=0.5,0,MIN(IF(N(I185)&gt;0,I185,$F$9),D185+E185+F185))</f>
        <v>0</v>
      </c>
      <c r="I185" s="77"/>
      <c r="J185" s="77"/>
      <c r="K185" s="41" t="n">
        <f aca="false">IF(D185&lt;=0.5,0,MIN(H185+N(J185),D185+E185+F185))</f>
        <v>0</v>
      </c>
      <c r="L185" s="41" t="n">
        <f aca="false">K185-E185-F185</f>
        <v>0</v>
      </c>
      <c r="M185" s="41" t="n">
        <f aca="false">D185-L185</f>
        <v>0</v>
      </c>
      <c r="N185" s="42" t="n">
        <f aca="false">K185-G185</f>
        <v>0</v>
      </c>
      <c r="O185" s="78"/>
      <c r="P185" s="79"/>
      <c r="Q185" s="16" t="str">
        <f aca="false">IF(K185=0,"",IF(R185=1,"Pagada",IF(C185&lt;$F$12,"Vencida",IF(159=$F$13,"Próxima","Pendiente"))))</f>
        <v/>
      </c>
      <c r="R185" s="62" t="n">
        <f aca="false">IF(AND(K185&gt;0,OR(O185="Sí",O185="Si")),1,0)</f>
        <v>0</v>
      </c>
      <c r="S185" s="62" t="n">
        <f aca="false">IF(AND(K185&gt;0,R185=0),1,0)</f>
        <v>0</v>
      </c>
    </row>
    <row r="186" customFormat="false" ht="15" hidden="false" customHeight="false" outlineLevel="0" collapsed="false">
      <c r="B186" s="71" t="str">
        <f aca="false">IF($F$6="Sí",N($C$11)+159,"")</f>
        <v/>
      </c>
      <c r="C186" s="72" t="str">
        <f aca="false">IF(OR($F$6&lt;&gt;"Sí",D186&lt;=0.5),"",EDATE($C$10,159))</f>
        <v/>
      </c>
      <c r="D186" s="41" t="n">
        <f aca="false">MAX(0,M185)</f>
        <v>0</v>
      </c>
      <c r="E186" s="41" t="n">
        <f aca="false">D186*$F$7</f>
        <v>0</v>
      </c>
      <c r="F186" s="41" t="n">
        <f aca="false">IF(D186&gt;0.5,N($C$15),0)</f>
        <v>0</v>
      </c>
      <c r="G186" s="41" t="n">
        <f aca="false">IF(AND(D186&gt;0.5,N($C$19)&gt;0,N(B186)&lt;=N($C$20)),D186*$F$8,0)</f>
        <v>0</v>
      </c>
      <c r="H186" s="41" t="n">
        <f aca="false">IF(D186&lt;=0.5,0,MIN(IF(N(I186)&gt;0,I186,$F$9),D186+E186+F186))</f>
        <v>0</v>
      </c>
      <c r="I186" s="77"/>
      <c r="J186" s="77"/>
      <c r="K186" s="41" t="n">
        <f aca="false">IF(D186&lt;=0.5,0,MIN(H186+N(J186),D186+E186+F186))</f>
        <v>0</v>
      </c>
      <c r="L186" s="41" t="n">
        <f aca="false">K186-E186-F186</f>
        <v>0</v>
      </c>
      <c r="M186" s="41" t="n">
        <f aca="false">D186-L186</f>
        <v>0</v>
      </c>
      <c r="N186" s="42" t="n">
        <f aca="false">K186-G186</f>
        <v>0</v>
      </c>
      <c r="O186" s="78"/>
      <c r="P186" s="79"/>
      <c r="Q186" s="16" t="str">
        <f aca="false">IF(K186=0,"",IF(R186=1,"Pagada",IF(C186&lt;$F$12,"Vencida",IF(160=$F$13,"Próxima","Pendiente"))))</f>
        <v/>
      </c>
      <c r="R186" s="62" t="n">
        <f aca="false">IF(AND(K186&gt;0,OR(O186="Sí",O186="Si")),1,0)</f>
        <v>0</v>
      </c>
      <c r="S186" s="62" t="n">
        <f aca="false">IF(AND(K186&gt;0,R186=0),1,0)</f>
        <v>0</v>
      </c>
    </row>
    <row r="187" customFormat="false" ht="15" hidden="false" customHeight="false" outlineLevel="0" collapsed="false">
      <c r="B187" s="71" t="str">
        <f aca="false">IF($F$6="Sí",N($C$11)+160,"")</f>
        <v/>
      </c>
      <c r="C187" s="72" t="str">
        <f aca="false">IF(OR($F$6&lt;&gt;"Sí",D187&lt;=0.5),"",EDATE($C$10,160))</f>
        <v/>
      </c>
      <c r="D187" s="41" t="n">
        <f aca="false">MAX(0,M186)</f>
        <v>0</v>
      </c>
      <c r="E187" s="41" t="n">
        <f aca="false">D187*$F$7</f>
        <v>0</v>
      </c>
      <c r="F187" s="41" t="n">
        <f aca="false">IF(D187&gt;0.5,N($C$15),0)</f>
        <v>0</v>
      </c>
      <c r="G187" s="41" t="n">
        <f aca="false">IF(AND(D187&gt;0.5,N($C$19)&gt;0,N(B187)&lt;=N($C$20)),D187*$F$8,0)</f>
        <v>0</v>
      </c>
      <c r="H187" s="41" t="n">
        <f aca="false">IF(D187&lt;=0.5,0,MIN(IF(N(I187)&gt;0,I187,$F$9),D187+E187+F187))</f>
        <v>0</v>
      </c>
      <c r="I187" s="77"/>
      <c r="J187" s="77"/>
      <c r="K187" s="41" t="n">
        <f aca="false">IF(D187&lt;=0.5,0,MIN(H187+N(J187),D187+E187+F187))</f>
        <v>0</v>
      </c>
      <c r="L187" s="41" t="n">
        <f aca="false">K187-E187-F187</f>
        <v>0</v>
      </c>
      <c r="M187" s="41" t="n">
        <f aca="false">D187-L187</f>
        <v>0</v>
      </c>
      <c r="N187" s="42" t="n">
        <f aca="false">K187-G187</f>
        <v>0</v>
      </c>
      <c r="O187" s="78"/>
      <c r="P187" s="79"/>
      <c r="Q187" s="16" t="str">
        <f aca="false">IF(K187=0,"",IF(R187=1,"Pagada",IF(C187&lt;$F$12,"Vencida",IF(161=$F$13,"Próxima","Pendiente"))))</f>
        <v/>
      </c>
      <c r="R187" s="62" t="n">
        <f aca="false">IF(AND(K187&gt;0,OR(O187="Sí",O187="Si")),1,0)</f>
        <v>0</v>
      </c>
      <c r="S187" s="62" t="n">
        <f aca="false">IF(AND(K187&gt;0,R187=0),1,0)</f>
        <v>0</v>
      </c>
    </row>
    <row r="188" customFormat="false" ht="15" hidden="false" customHeight="false" outlineLevel="0" collapsed="false">
      <c r="B188" s="71" t="str">
        <f aca="false">IF($F$6="Sí",N($C$11)+161,"")</f>
        <v/>
      </c>
      <c r="C188" s="72" t="str">
        <f aca="false">IF(OR($F$6&lt;&gt;"Sí",D188&lt;=0.5),"",EDATE($C$10,161))</f>
        <v/>
      </c>
      <c r="D188" s="41" t="n">
        <f aca="false">MAX(0,M187)</f>
        <v>0</v>
      </c>
      <c r="E188" s="41" t="n">
        <f aca="false">D188*$F$7</f>
        <v>0</v>
      </c>
      <c r="F188" s="41" t="n">
        <f aca="false">IF(D188&gt;0.5,N($C$15),0)</f>
        <v>0</v>
      </c>
      <c r="G188" s="41" t="n">
        <f aca="false">IF(AND(D188&gt;0.5,N($C$19)&gt;0,N(B188)&lt;=N($C$20)),D188*$F$8,0)</f>
        <v>0</v>
      </c>
      <c r="H188" s="41" t="n">
        <f aca="false">IF(D188&lt;=0.5,0,MIN(IF(N(I188)&gt;0,I188,$F$9),D188+E188+F188))</f>
        <v>0</v>
      </c>
      <c r="I188" s="77"/>
      <c r="J188" s="77"/>
      <c r="K188" s="41" t="n">
        <f aca="false">IF(D188&lt;=0.5,0,MIN(H188+N(J188),D188+E188+F188))</f>
        <v>0</v>
      </c>
      <c r="L188" s="41" t="n">
        <f aca="false">K188-E188-F188</f>
        <v>0</v>
      </c>
      <c r="M188" s="41" t="n">
        <f aca="false">D188-L188</f>
        <v>0</v>
      </c>
      <c r="N188" s="42" t="n">
        <f aca="false">K188-G188</f>
        <v>0</v>
      </c>
      <c r="O188" s="78"/>
      <c r="P188" s="79"/>
      <c r="Q188" s="16" t="str">
        <f aca="false">IF(K188=0,"",IF(R188=1,"Pagada",IF(C188&lt;$F$12,"Vencida",IF(162=$F$13,"Próxima","Pendiente"))))</f>
        <v/>
      </c>
      <c r="R188" s="62" t="n">
        <f aca="false">IF(AND(K188&gt;0,OR(O188="Sí",O188="Si")),1,0)</f>
        <v>0</v>
      </c>
      <c r="S188" s="62" t="n">
        <f aca="false">IF(AND(K188&gt;0,R188=0),1,0)</f>
        <v>0</v>
      </c>
    </row>
    <row r="189" customFormat="false" ht="15" hidden="false" customHeight="false" outlineLevel="0" collapsed="false">
      <c r="B189" s="71" t="str">
        <f aca="false">IF($F$6="Sí",N($C$11)+162,"")</f>
        <v/>
      </c>
      <c r="C189" s="72" t="str">
        <f aca="false">IF(OR($F$6&lt;&gt;"Sí",D189&lt;=0.5),"",EDATE($C$10,162))</f>
        <v/>
      </c>
      <c r="D189" s="41" t="n">
        <f aca="false">MAX(0,M188)</f>
        <v>0</v>
      </c>
      <c r="E189" s="41" t="n">
        <f aca="false">D189*$F$7</f>
        <v>0</v>
      </c>
      <c r="F189" s="41" t="n">
        <f aca="false">IF(D189&gt;0.5,N($C$15),0)</f>
        <v>0</v>
      </c>
      <c r="G189" s="41" t="n">
        <f aca="false">IF(AND(D189&gt;0.5,N($C$19)&gt;0,N(B189)&lt;=N($C$20)),D189*$F$8,0)</f>
        <v>0</v>
      </c>
      <c r="H189" s="41" t="n">
        <f aca="false">IF(D189&lt;=0.5,0,MIN(IF(N(I189)&gt;0,I189,$F$9),D189+E189+F189))</f>
        <v>0</v>
      </c>
      <c r="I189" s="77"/>
      <c r="J189" s="77"/>
      <c r="K189" s="41" t="n">
        <f aca="false">IF(D189&lt;=0.5,0,MIN(H189+N(J189),D189+E189+F189))</f>
        <v>0</v>
      </c>
      <c r="L189" s="41" t="n">
        <f aca="false">K189-E189-F189</f>
        <v>0</v>
      </c>
      <c r="M189" s="41" t="n">
        <f aca="false">D189-L189</f>
        <v>0</v>
      </c>
      <c r="N189" s="42" t="n">
        <f aca="false">K189-G189</f>
        <v>0</v>
      </c>
      <c r="O189" s="78"/>
      <c r="P189" s="79"/>
      <c r="Q189" s="16" t="str">
        <f aca="false">IF(K189=0,"",IF(R189=1,"Pagada",IF(C189&lt;$F$12,"Vencida",IF(163=$F$13,"Próxima","Pendiente"))))</f>
        <v/>
      </c>
      <c r="R189" s="62" t="n">
        <f aca="false">IF(AND(K189&gt;0,OR(O189="Sí",O189="Si")),1,0)</f>
        <v>0</v>
      </c>
      <c r="S189" s="62" t="n">
        <f aca="false">IF(AND(K189&gt;0,R189=0),1,0)</f>
        <v>0</v>
      </c>
    </row>
    <row r="190" customFormat="false" ht="15" hidden="false" customHeight="false" outlineLevel="0" collapsed="false">
      <c r="B190" s="71" t="str">
        <f aca="false">IF($F$6="Sí",N($C$11)+163,"")</f>
        <v/>
      </c>
      <c r="C190" s="72" t="str">
        <f aca="false">IF(OR($F$6&lt;&gt;"Sí",D190&lt;=0.5),"",EDATE($C$10,163))</f>
        <v/>
      </c>
      <c r="D190" s="41" t="n">
        <f aca="false">MAX(0,M189)</f>
        <v>0</v>
      </c>
      <c r="E190" s="41" t="n">
        <f aca="false">D190*$F$7</f>
        <v>0</v>
      </c>
      <c r="F190" s="41" t="n">
        <f aca="false">IF(D190&gt;0.5,N($C$15),0)</f>
        <v>0</v>
      </c>
      <c r="G190" s="41" t="n">
        <f aca="false">IF(AND(D190&gt;0.5,N($C$19)&gt;0,N(B190)&lt;=N($C$20)),D190*$F$8,0)</f>
        <v>0</v>
      </c>
      <c r="H190" s="41" t="n">
        <f aca="false">IF(D190&lt;=0.5,0,MIN(IF(N(I190)&gt;0,I190,$F$9),D190+E190+F190))</f>
        <v>0</v>
      </c>
      <c r="I190" s="77"/>
      <c r="J190" s="77"/>
      <c r="K190" s="41" t="n">
        <f aca="false">IF(D190&lt;=0.5,0,MIN(H190+N(J190),D190+E190+F190))</f>
        <v>0</v>
      </c>
      <c r="L190" s="41" t="n">
        <f aca="false">K190-E190-F190</f>
        <v>0</v>
      </c>
      <c r="M190" s="41" t="n">
        <f aca="false">D190-L190</f>
        <v>0</v>
      </c>
      <c r="N190" s="42" t="n">
        <f aca="false">K190-G190</f>
        <v>0</v>
      </c>
      <c r="O190" s="78"/>
      <c r="P190" s="79"/>
      <c r="Q190" s="16" t="str">
        <f aca="false">IF(K190=0,"",IF(R190=1,"Pagada",IF(C190&lt;$F$12,"Vencida",IF(164=$F$13,"Próxima","Pendiente"))))</f>
        <v/>
      </c>
      <c r="R190" s="62" t="n">
        <f aca="false">IF(AND(K190&gt;0,OR(O190="Sí",O190="Si")),1,0)</f>
        <v>0</v>
      </c>
      <c r="S190" s="62" t="n">
        <f aca="false">IF(AND(K190&gt;0,R190=0),1,0)</f>
        <v>0</v>
      </c>
    </row>
    <row r="191" customFormat="false" ht="15" hidden="false" customHeight="false" outlineLevel="0" collapsed="false">
      <c r="B191" s="71" t="str">
        <f aca="false">IF($F$6="Sí",N($C$11)+164,"")</f>
        <v/>
      </c>
      <c r="C191" s="72" t="str">
        <f aca="false">IF(OR($F$6&lt;&gt;"Sí",D191&lt;=0.5),"",EDATE($C$10,164))</f>
        <v/>
      </c>
      <c r="D191" s="41" t="n">
        <f aca="false">MAX(0,M190)</f>
        <v>0</v>
      </c>
      <c r="E191" s="41" t="n">
        <f aca="false">D191*$F$7</f>
        <v>0</v>
      </c>
      <c r="F191" s="41" t="n">
        <f aca="false">IF(D191&gt;0.5,N($C$15),0)</f>
        <v>0</v>
      </c>
      <c r="G191" s="41" t="n">
        <f aca="false">IF(AND(D191&gt;0.5,N($C$19)&gt;0,N(B191)&lt;=N($C$20)),D191*$F$8,0)</f>
        <v>0</v>
      </c>
      <c r="H191" s="41" t="n">
        <f aca="false">IF(D191&lt;=0.5,0,MIN(IF(N(I191)&gt;0,I191,$F$9),D191+E191+F191))</f>
        <v>0</v>
      </c>
      <c r="I191" s="77"/>
      <c r="J191" s="77"/>
      <c r="K191" s="41" t="n">
        <f aca="false">IF(D191&lt;=0.5,0,MIN(H191+N(J191),D191+E191+F191))</f>
        <v>0</v>
      </c>
      <c r="L191" s="41" t="n">
        <f aca="false">K191-E191-F191</f>
        <v>0</v>
      </c>
      <c r="M191" s="41" t="n">
        <f aca="false">D191-L191</f>
        <v>0</v>
      </c>
      <c r="N191" s="42" t="n">
        <f aca="false">K191-G191</f>
        <v>0</v>
      </c>
      <c r="O191" s="78"/>
      <c r="P191" s="79"/>
      <c r="Q191" s="16" t="str">
        <f aca="false">IF(K191=0,"",IF(R191=1,"Pagada",IF(C191&lt;$F$12,"Vencida",IF(165=$F$13,"Próxima","Pendiente"))))</f>
        <v/>
      </c>
      <c r="R191" s="62" t="n">
        <f aca="false">IF(AND(K191&gt;0,OR(O191="Sí",O191="Si")),1,0)</f>
        <v>0</v>
      </c>
      <c r="S191" s="62" t="n">
        <f aca="false">IF(AND(K191&gt;0,R191=0),1,0)</f>
        <v>0</v>
      </c>
    </row>
    <row r="192" customFormat="false" ht="15" hidden="false" customHeight="false" outlineLevel="0" collapsed="false">
      <c r="B192" s="71" t="str">
        <f aca="false">IF($F$6="Sí",N($C$11)+165,"")</f>
        <v/>
      </c>
      <c r="C192" s="72" t="str">
        <f aca="false">IF(OR($F$6&lt;&gt;"Sí",D192&lt;=0.5),"",EDATE($C$10,165))</f>
        <v/>
      </c>
      <c r="D192" s="41" t="n">
        <f aca="false">MAX(0,M191)</f>
        <v>0</v>
      </c>
      <c r="E192" s="41" t="n">
        <f aca="false">D192*$F$7</f>
        <v>0</v>
      </c>
      <c r="F192" s="41" t="n">
        <f aca="false">IF(D192&gt;0.5,N($C$15),0)</f>
        <v>0</v>
      </c>
      <c r="G192" s="41" t="n">
        <f aca="false">IF(AND(D192&gt;0.5,N($C$19)&gt;0,N(B192)&lt;=N($C$20)),D192*$F$8,0)</f>
        <v>0</v>
      </c>
      <c r="H192" s="41" t="n">
        <f aca="false">IF(D192&lt;=0.5,0,MIN(IF(N(I192)&gt;0,I192,$F$9),D192+E192+F192))</f>
        <v>0</v>
      </c>
      <c r="I192" s="77"/>
      <c r="J192" s="77"/>
      <c r="K192" s="41" t="n">
        <f aca="false">IF(D192&lt;=0.5,0,MIN(H192+N(J192),D192+E192+F192))</f>
        <v>0</v>
      </c>
      <c r="L192" s="41" t="n">
        <f aca="false">K192-E192-F192</f>
        <v>0</v>
      </c>
      <c r="M192" s="41" t="n">
        <f aca="false">D192-L192</f>
        <v>0</v>
      </c>
      <c r="N192" s="42" t="n">
        <f aca="false">K192-G192</f>
        <v>0</v>
      </c>
      <c r="O192" s="78"/>
      <c r="P192" s="79"/>
      <c r="Q192" s="16" t="str">
        <f aca="false">IF(K192=0,"",IF(R192=1,"Pagada",IF(C192&lt;$F$12,"Vencida",IF(166=$F$13,"Próxima","Pendiente"))))</f>
        <v/>
      </c>
      <c r="R192" s="62" t="n">
        <f aca="false">IF(AND(K192&gt;0,OR(O192="Sí",O192="Si")),1,0)</f>
        <v>0</v>
      </c>
      <c r="S192" s="62" t="n">
        <f aca="false">IF(AND(K192&gt;0,R192=0),1,0)</f>
        <v>0</v>
      </c>
    </row>
    <row r="193" customFormat="false" ht="15" hidden="false" customHeight="false" outlineLevel="0" collapsed="false">
      <c r="B193" s="71" t="str">
        <f aca="false">IF($F$6="Sí",N($C$11)+166,"")</f>
        <v/>
      </c>
      <c r="C193" s="72" t="str">
        <f aca="false">IF(OR($F$6&lt;&gt;"Sí",D193&lt;=0.5),"",EDATE($C$10,166))</f>
        <v/>
      </c>
      <c r="D193" s="41" t="n">
        <f aca="false">MAX(0,M192)</f>
        <v>0</v>
      </c>
      <c r="E193" s="41" t="n">
        <f aca="false">D193*$F$7</f>
        <v>0</v>
      </c>
      <c r="F193" s="41" t="n">
        <f aca="false">IF(D193&gt;0.5,N($C$15),0)</f>
        <v>0</v>
      </c>
      <c r="G193" s="41" t="n">
        <f aca="false">IF(AND(D193&gt;0.5,N($C$19)&gt;0,N(B193)&lt;=N($C$20)),D193*$F$8,0)</f>
        <v>0</v>
      </c>
      <c r="H193" s="41" t="n">
        <f aca="false">IF(D193&lt;=0.5,0,MIN(IF(N(I193)&gt;0,I193,$F$9),D193+E193+F193))</f>
        <v>0</v>
      </c>
      <c r="I193" s="77"/>
      <c r="J193" s="77"/>
      <c r="K193" s="41" t="n">
        <f aca="false">IF(D193&lt;=0.5,0,MIN(H193+N(J193),D193+E193+F193))</f>
        <v>0</v>
      </c>
      <c r="L193" s="41" t="n">
        <f aca="false">K193-E193-F193</f>
        <v>0</v>
      </c>
      <c r="M193" s="41" t="n">
        <f aca="false">D193-L193</f>
        <v>0</v>
      </c>
      <c r="N193" s="42" t="n">
        <f aca="false">K193-G193</f>
        <v>0</v>
      </c>
      <c r="O193" s="78"/>
      <c r="P193" s="79"/>
      <c r="Q193" s="16" t="str">
        <f aca="false">IF(K193=0,"",IF(R193=1,"Pagada",IF(C193&lt;$F$12,"Vencida",IF(167=$F$13,"Próxima","Pendiente"))))</f>
        <v/>
      </c>
      <c r="R193" s="62" t="n">
        <f aca="false">IF(AND(K193&gt;0,OR(O193="Sí",O193="Si")),1,0)</f>
        <v>0</v>
      </c>
      <c r="S193" s="62" t="n">
        <f aca="false">IF(AND(K193&gt;0,R193=0),1,0)</f>
        <v>0</v>
      </c>
    </row>
    <row r="194" customFormat="false" ht="15" hidden="false" customHeight="false" outlineLevel="0" collapsed="false">
      <c r="B194" s="71" t="str">
        <f aca="false">IF($F$6="Sí",N($C$11)+167,"")</f>
        <v/>
      </c>
      <c r="C194" s="72" t="str">
        <f aca="false">IF(OR($F$6&lt;&gt;"Sí",D194&lt;=0.5),"",EDATE($C$10,167))</f>
        <v/>
      </c>
      <c r="D194" s="41" t="n">
        <f aca="false">MAX(0,M193)</f>
        <v>0</v>
      </c>
      <c r="E194" s="41" t="n">
        <f aca="false">D194*$F$7</f>
        <v>0</v>
      </c>
      <c r="F194" s="41" t="n">
        <f aca="false">IF(D194&gt;0.5,N($C$15),0)</f>
        <v>0</v>
      </c>
      <c r="G194" s="41" t="n">
        <f aca="false">IF(AND(D194&gt;0.5,N($C$19)&gt;0,N(B194)&lt;=N($C$20)),D194*$F$8,0)</f>
        <v>0</v>
      </c>
      <c r="H194" s="41" t="n">
        <f aca="false">IF(D194&lt;=0.5,0,MIN(IF(N(I194)&gt;0,I194,$F$9),D194+E194+F194))</f>
        <v>0</v>
      </c>
      <c r="I194" s="77"/>
      <c r="J194" s="77"/>
      <c r="K194" s="41" t="n">
        <f aca="false">IF(D194&lt;=0.5,0,MIN(H194+N(J194),D194+E194+F194))</f>
        <v>0</v>
      </c>
      <c r="L194" s="41" t="n">
        <f aca="false">K194-E194-F194</f>
        <v>0</v>
      </c>
      <c r="M194" s="41" t="n">
        <f aca="false">D194-L194</f>
        <v>0</v>
      </c>
      <c r="N194" s="42" t="n">
        <f aca="false">K194-G194</f>
        <v>0</v>
      </c>
      <c r="O194" s="78"/>
      <c r="P194" s="79"/>
      <c r="Q194" s="16" t="str">
        <f aca="false">IF(K194=0,"",IF(R194=1,"Pagada",IF(C194&lt;$F$12,"Vencida",IF(168=$F$13,"Próxima","Pendiente"))))</f>
        <v/>
      </c>
      <c r="R194" s="62" t="n">
        <f aca="false">IF(AND(K194&gt;0,OR(O194="Sí",O194="Si")),1,0)</f>
        <v>0</v>
      </c>
      <c r="S194" s="62" t="n">
        <f aca="false">IF(AND(K194&gt;0,R194=0),1,0)</f>
        <v>0</v>
      </c>
    </row>
    <row r="195" customFormat="false" ht="15" hidden="false" customHeight="false" outlineLevel="0" collapsed="false">
      <c r="B195" s="71" t="str">
        <f aca="false">IF($F$6="Sí",N($C$11)+168,"")</f>
        <v/>
      </c>
      <c r="C195" s="72" t="str">
        <f aca="false">IF(OR($F$6&lt;&gt;"Sí",D195&lt;=0.5),"",EDATE($C$10,168))</f>
        <v/>
      </c>
      <c r="D195" s="41" t="n">
        <f aca="false">MAX(0,M194)</f>
        <v>0</v>
      </c>
      <c r="E195" s="41" t="n">
        <f aca="false">D195*$F$7</f>
        <v>0</v>
      </c>
      <c r="F195" s="41" t="n">
        <f aca="false">IF(D195&gt;0.5,N($C$15),0)</f>
        <v>0</v>
      </c>
      <c r="G195" s="41" t="n">
        <f aca="false">IF(AND(D195&gt;0.5,N($C$19)&gt;0,N(B195)&lt;=N($C$20)),D195*$F$8,0)</f>
        <v>0</v>
      </c>
      <c r="H195" s="41" t="n">
        <f aca="false">IF(D195&lt;=0.5,0,MIN(IF(N(I195)&gt;0,I195,$F$9),D195+E195+F195))</f>
        <v>0</v>
      </c>
      <c r="I195" s="77"/>
      <c r="J195" s="77"/>
      <c r="K195" s="41" t="n">
        <f aca="false">IF(D195&lt;=0.5,0,MIN(H195+N(J195),D195+E195+F195))</f>
        <v>0</v>
      </c>
      <c r="L195" s="41" t="n">
        <f aca="false">K195-E195-F195</f>
        <v>0</v>
      </c>
      <c r="M195" s="41" t="n">
        <f aca="false">D195-L195</f>
        <v>0</v>
      </c>
      <c r="N195" s="42" t="n">
        <f aca="false">K195-G195</f>
        <v>0</v>
      </c>
      <c r="O195" s="78"/>
      <c r="P195" s="79"/>
      <c r="Q195" s="16" t="str">
        <f aca="false">IF(K195=0,"",IF(R195=1,"Pagada",IF(C195&lt;$F$12,"Vencida",IF(169=$F$13,"Próxima","Pendiente"))))</f>
        <v/>
      </c>
      <c r="R195" s="62" t="n">
        <f aca="false">IF(AND(K195&gt;0,OR(O195="Sí",O195="Si")),1,0)</f>
        <v>0</v>
      </c>
      <c r="S195" s="62" t="n">
        <f aca="false">IF(AND(K195&gt;0,R195=0),1,0)</f>
        <v>0</v>
      </c>
    </row>
    <row r="196" customFormat="false" ht="15" hidden="false" customHeight="false" outlineLevel="0" collapsed="false">
      <c r="B196" s="71" t="str">
        <f aca="false">IF($F$6="Sí",N($C$11)+169,"")</f>
        <v/>
      </c>
      <c r="C196" s="72" t="str">
        <f aca="false">IF(OR($F$6&lt;&gt;"Sí",D196&lt;=0.5),"",EDATE($C$10,169))</f>
        <v/>
      </c>
      <c r="D196" s="41" t="n">
        <f aca="false">MAX(0,M195)</f>
        <v>0</v>
      </c>
      <c r="E196" s="41" t="n">
        <f aca="false">D196*$F$7</f>
        <v>0</v>
      </c>
      <c r="F196" s="41" t="n">
        <f aca="false">IF(D196&gt;0.5,N($C$15),0)</f>
        <v>0</v>
      </c>
      <c r="G196" s="41" t="n">
        <f aca="false">IF(AND(D196&gt;0.5,N($C$19)&gt;0,N(B196)&lt;=N($C$20)),D196*$F$8,0)</f>
        <v>0</v>
      </c>
      <c r="H196" s="41" t="n">
        <f aca="false">IF(D196&lt;=0.5,0,MIN(IF(N(I196)&gt;0,I196,$F$9),D196+E196+F196))</f>
        <v>0</v>
      </c>
      <c r="I196" s="77"/>
      <c r="J196" s="77"/>
      <c r="K196" s="41" t="n">
        <f aca="false">IF(D196&lt;=0.5,0,MIN(H196+N(J196),D196+E196+F196))</f>
        <v>0</v>
      </c>
      <c r="L196" s="41" t="n">
        <f aca="false">K196-E196-F196</f>
        <v>0</v>
      </c>
      <c r="M196" s="41" t="n">
        <f aca="false">D196-L196</f>
        <v>0</v>
      </c>
      <c r="N196" s="42" t="n">
        <f aca="false">K196-G196</f>
        <v>0</v>
      </c>
      <c r="O196" s="78"/>
      <c r="P196" s="79"/>
      <c r="Q196" s="16" t="str">
        <f aca="false">IF(K196=0,"",IF(R196=1,"Pagada",IF(C196&lt;$F$12,"Vencida",IF(170=$F$13,"Próxima","Pendiente"))))</f>
        <v/>
      </c>
      <c r="R196" s="62" t="n">
        <f aca="false">IF(AND(K196&gt;0,OR(O196="Sí",O196="Si")),1,0)</f>
        <v>0</v>
      </c>
      <c r="S196" s="62" t="n">
        <f aca="false">IF(AND(K196&gt;0,R196=0),1,0)</f>
        <v>0</v>
      </c>
    </row>
    <row r="197" customFormat="false" ht="15" hidden="false" customHeight="false" outlineLevel="0" collapsed="false">
      <c r="B197" s="71" t="str">
        <f aca="false">IF($F$6="Sí",N($C$11)+170,"")</f>
        <v/>
      </c>
      <c r="C197" s="72" t="str">
        <f aca="false">IF(OR($F$6&lt;&gt;"Sí",D197&lt;=0.5),"",EDATE($C$10,170))</f>
        <v/>
      </c>
      <c r="D197" s="41" t="n">
        <f aca="false">MAX(0,M196)</f>
        <v>0</v>
      </c>
      <c r="E197" s="41" t="n">
        <f aca="false">D197*$F$7</f>
        <v>0</v>
      </c>
      <c r="F197" s="41" t="n">
        <f aca="false">IF(D197&gt;0.5,N($C$15),0)</f>
        <v>0</v>
      </c>
      <c r="G197" s="41" t="n">
        <f aca="false">IF(AND(D197&gt;0.5,N($C$19)&gt;0,N(B197)&lt;=N($C$20)),D197*$F$8,0)</f>
        <v>0</v>
      </c>
      <c r="H197" s="41" t="n">
        <f aca="false">IF(D197&lt;=0.5,0,MIN(IF(N(I197)&gt;0,I197,$F$9),D197+E197+F197))</f>
        <v>0</v>
      </c>
      <c r="I197" s="77"/>
      <c r="J197" s="77"/>
      <c r="K197" s="41" t="n">
        <f aca="false">IF(D197&lt;=0.5,0,MIN(H197+N(J197),D197+E197+F197))</f>
        <v>0</v>
      </c>
      <c r="L197" s="41" t="n">
        <f aca="false">K197-E197-F197</f>
        <v>0</v>
      </c>
      <c r="M197" s="41" t="n">
        <f aca="false">D197-L197</f>
        <v>0</v>
      </c>
      <c r="N197" s="42" t="n">
        <f aca="false">K197-G197</f>
        <v>0</v>
      </c>
      <c r="O197" s="78"/>
      <c r="P197" s="79"/>
      <c r="Q197" s="16" t="str">
        <f aca="false">IF(K197=0,"",IF(R197=1,"Pagada",IF(C197&lt;$F$12,"Vencida",IF(171=$F$13,"Próxima","Pendiente"))))</f>
        <v/>
      </c>
      <c r="R197" s="62" t="n">
        <f aca="false">IF(AND(K197&gt;0,OR(O197="Sí",O197="Si")),1,0)</f>
        <v>0</v>
      </c>
      <c r="S197" s="62" t="n">
        <f aca="false">IF(AND(K197&gt;0,R197=0),1,0)</f>
        <v>0</v>
      </c>
    </row>
    <row r="198" customFormat="false" ht="15" hidden="false" customHeight="false" outlineLevel="0" collapsed="false">
      <c r="B198" s="71" t="str">
        <f aca="false">IF($F$6="Sí",N($C$11)+171,"")</f>
        <v/>
      </c>
      <c r="C198" s="72" t="str">
        <f aca="false">IF(OR($F$6&lt;&gt;"Sí",D198&lt;=0.5),"",EDATE($C$10,171))</f>
        <v/>
      </c>
      <c r="D198" s="41" t="n">
        <f aca="false">MAX(0,M197)</f>
        <v>0</v>
      </c>
      <c r="E198" s="41" t="n">
        <f aca="false">D198*$F$7</f>
        <v>0</v>
      </c>
      <c r="F198" s="41" t="n">
        <f aca="false">IF(D198&gt;0.5,N($C$15),0)</f>
        <v>0</v>
      </c>
      <c r="G198" s="41" t="n">
        <f aca="false">IF(AND(D198&gt;0.5,N($C$19)&gt;0,N(B198)&lt;=N($C$20)),D198*$F$8,0)</f>
        <v>0</v>
      </c>
      <c r="H198" s="41" t="n">
        <f aca="false">IF(D198&lt;=0.5,0,MIN(IF(N(I198)&gt;0,I198,$F$9),D198+E198+F198))</f>
        <v>0</v>
      </c>
      <c r="I198" s="77"/>
      <c r="J198" s="77"/>
      <c r="K198" s="41" t="n">
        <f aca="false">IF(D198&lt;=0.5,0,MIN(H198+N(J198),D198+E198+F198))</f>
        <v>0</v>
      </c>
      <c r="L198" s="41" t="n">
        <f aca="false">K198-E198-F198</f>
        <v>0</v>
      </c>
      <c r="M198" s="41" t="n">
        <f aca="false">D198-L198</f>
        <v>0</v>
      </c>
      <c r="N198" s="42" t="n">
        <f aca="false">K198-G198</f>
        <v>0</v>
      </c>
      <c r="O198" s="78"/>
      <c r="P198" s="79"/>
      <c r="Q198" s="16" t="str">
        <f aca="false">IF(K198=0,"",IF(R198=1,"Pagada",IF(C198&lt;$F$12,"Vencida",IF(172=$F$13,"Próxima","Pendiente"))))</f>
        <v/>
      </c>
      <c r="R198" s="62" t="n">
        <f aca="false">IF(AND(K198&gt;0,OR(O198="Sí",O198="Si")),1,0)</f>
        <v>0</v>
      </c>
      <c r="S198" s="62" t="n">
        <f aca="false">IF(AND(K198&gt;0,R198=0),1,0)</f>
        <v>0</v>
      </c>
    </row>
    <row r="199" customFormat="false" ht="15" hidden="false" customHeight="false" outlineLevel="0" collapsed="false">
      <c r="B199" s="71" t="str">
        <f aca="false">IF($F$6="Sí",N($C$11)+172,"")</f>
        <v/>
      </c>
      <c r="C199" s="72" t="str">
        <f aca="false">IF(OR($F$6&lt;&gt;"Sí",D199&lt;=0.5),"",EDATE($C$10,172))</f>
        <v/>
      </c>
      <c r="D199" s="41" t="n">
        <f aca="false">MAX(0,M198)</f>
        <v>0</v>
      </c>
      <c r="E199" s="41" t="n">
        <f aca="false">D199*$F$7</f>
        <v>0</v>
      </c>
      <c r="F199" s="41" t="n">
        <f aca="false">IF(D199&gt;0.5,N($C$15),0)</f>
        <v>0</v>
      </c>
      <c r="G199" s="41" t="n">
        <f aca="false">IF(AND(D199&gt;0.5,N($C$19)&gt;0,N(B199)&lt;=N($C$20)),D199*$F$8,0)</f>
        <v>0</v>
      </c>
      <c r="H199" s="41" t="n">
        <f aca="false">IF(D199&lt;=0.5,0,MIN(IF(N(I199)&gt;0,I199,$F$9),D199+E199+F199))</f>
        <v>0</v>
      </c>
      <c r="I199" s="77"/>
      <c r="J199" s="77"/>
      <c r="K199" s="41" t="n">
        <f aca="false">IF(D199&lt;=0.5,0,MIN(H199+N(J199),D199+E199+F199))</f>
        <v>0</v>
      </c>
      <c r="L199" s="41" t="n">
        <f aca="false">K199-E199-F199</f>
        <v>0</v>
      </c>
      <c r="M199" s="41" t="n">
        <f aca="false">D199-L199</f>
        <v>0</v>
      </c>
      <c r="N199" s="42" t="n">
        <f aca="false">K199-G199</f>
        <v>0</v>
      </c>
      <c r="O199" s="78"/>
      <c r="P199" s="79"/>
      <c r="Q199" s="16" t="str">
        <f aca="false">IF(K199=0,"",IF(R199=1,"Pagada",IF(C199&lt;$F$12,"Vencida",IF(173=$F$13,"Próxima","Pendiente"))))</f>
        <v/>
      </c>
      <c r="R199" s="62" t="n">
        <f aca="false">IF(AND(K199&gt;0,OR(O199="Sí",O199="Si")),1,0)</f>
        <v>0</v>
      </c>
      <c r="S199" s="62" t="n">
        <f aca="false">IF(AND(K199&gt;0,R199=0),1,0)</f>
        <v>0</v>
      </c>
    </row>
    <row r="200" customFormat="false" ht="15" hidden="false" customHeight="false" outlineLevel="0" collapsed="false">
      <c r="B200" s="71" t="str">
        <f aca="false">IF($F$6="Sí",N($C$11)+173,"")</f>
        <v/>
      </c>
      <c r="C200" s="72" t="str">
        <f aca="false">IF(OR($F$6&lt;&gt;"Sí",D200&lt;=0.5),"",EDATE($C$10,173))</f>
        <v/>
      </c>
      <c r="D200" s="41" t="n">
        <f aca="false">MAX(0,M199)</f>
        <v>0</v>
      </c>
      <c r="E200" s="41" t="n">
        <f aca="false">D200*$F$7</f>
        <v>0</v>
      </c>
      <c r="F200" s="41" t="n">
        <f aca="false">IF(D200&gt;0.5,N($C$15),0)</f>
        <v>0</v>
      </c>
      <c r="G200" s="41" t="n">
        <f aca="false">IF(AND(D200&gt;0.5,N($C$19)&gt;0,N(B200)&lt;=N($C$20)),D200*$F$8,0)</f>
        <v>0</v>
      </c>
      <c r="H200" s="41" t="n">
        <f aca="false">IF(D200&lt;=0.5,0,MIN(IF(N(I200)&gt;0,I200,$F$9),D200+E200+F200))</f>
        <v>0</v>
      </c>
      <c r="I200" s="77"/>
      <c r="J200" s="77"/>
      <c r="K200" s="41" t="n">
        <f aca="false">IF(D200&lt;=0.5,0,MIN(H200+N(J200),D200+E200+F200))</f>
        <v>0</v>
      </c>
      <c r="L200" s="41" t="n">
        <f aca="false">K200-E200-F200</f>
        <v>0</v>
      </c>
      <c r="M200" s="41" t="n">
        <f aca="false">D200-L200</f>
        <v>0</v>
      </c>
      <c r="N200" s="42" t="n">
        <f aca="false">K200-G200</f>
        <v>0</v>
      </c>
      <c r="O200" s="78"/>
      <c r="P200" s="79"/>
      <c r="Q200" s="16" t="str">
        <f aca="false">IF(K200=0,"",IF(R200=1,"Pagada",IF(C200&lt;$F$12,"Vencida",IF(174=$F$13,"Próxima","Pendiente"))))</f>
        <v/>
      </c>
      <c r="R200" s="62" t="n">
        <f aca="false">IF(AND(K200&gt;0,OR(O200="Sí",O200="Si")),1,0)</f>
        <v>0</v>
      </c>
      <c r="S200" s="62" t="n">
        <f aca="false">IF(AND(K200&gt;0,R200=0),1,0)</f>
        <v>0</v>
      </c>
    </row>
    <row r="201" customFormat="false" ht="15" hidden="false" customHeight="false" outlineLevel="0" collapsed="false">
      <c r="B201" s="71" t="str">
        <f aca="false">IF($F$6="Sí",N($C$11)+174,"")</f>
        <v/>
      </c>
      <c r="C201" s="72" t="str">
        <f aca="false">IF(OR($F$6&lt;&gt;"Sí",D201&lt;=0.5),"",EDATE($C$10,174))</f>
        <v/>
      </c>
      <c r="D201" s="41" t="n">
        <f aca="false">MAX(0,M200)</f>
        <v>0</v>
      </c>
      <c r="E201" s="41" t="n">
        <f aca="false">D201*$F$7</f>
        <v>0</v>
      </c>
      <c r="F201" s="41" t="n">
        <f aca="false">IF(D201&gt;0.5,N($C$15),0)</f>
        <v>0</v>
      </c>
      <c r="G201" s="41" t="n">
        <f aca="false">IF(AND(D201&gt;0.5,N($C$19)&gt;0,N(B201)&lt;=N($C$20)),D201*$F$8,0)</f>
        <v>0</v>
      </c>
      <c r="H201" s="41" t="n">
        <f aca="false">IF(D201&lt;=0.5,0,MIN(IF(N(I201)&gt;0,I201,$F$9),D201+E201+F201))</f>
        <v>0</v>
      </c>
      <c r="I201" s="77"/>
      <c r="J201" s="77"/>
      <c r="K201" s="41" t="n">
        <f aca="false">IF(D201&lt;=0.5,0,MIN(H201+N(J201),D201+E201+F201))</f>
        <v>0</v>
      </c>
      <c r="L201" s="41" t="n">
        <f aca="false">K201-E201-F201</f>
        <v>0</v>
      </c>
      <c r="M201" s="41" t="n">
        <f aca="false">D201-L201</f>
        <v>0</v>
      </c>
      <c r="N201" s="42" t="n">
        <f aca="false">K201-G201</f>
        <v>0</v>
      </c>
      <c r="O201" s="78"/>
      <c r="P201" s="79"/>
      <c r="Q201" s="16" t="str">
        <f aca="false">IF(K201=0,"",IF(R201=1,"Pagada",IF(C201&lt;$F$12,"Vencida",IF(175=$F$13,"Próxima","Pendiente"))))</f>
        <v/>
      </c>
      <c r="R201" s="62" t="n">
        <f aca="false">IF(AND(K201&gt;0,OR(O201="Sí",O201="Si")),1,0)</f>
        <v>0</v>
      </c>
      <c r="S201" s="62" t="n">
        <f aca="false">IF(AND(K201&gt;0,R201=0),1,0)</f>
        <v>0</v>
      </c>
    </row>
    <row r="202" customFormat="false" ht="15" hidden="false" customHeight="false" outlineLevel="0" collapsed="false">
      <c r="B202" s="71" t="str">
        <f aca="false">IF($F$6="Sí",N($C$11)+175,"")</f>
        <v/>
      </c>
      <c r="C202" s="72" t="str">
        <f aca="false">IF(OR($F$6&lt;&gt;"Sí",D202&lt;=0.5),"",EDATE($C$10,175))</f>
        <v/>
      </c>
      <c r="D202" s="41" t="n">
        <f aca="false">MAX(0,M201)</f>
        <v>0</v>
      </c>
      <c r="E202" s="41" t="n">
        <f aca="false">D202*$F$7</f>
        <v>0</v>
      </c>
      <c r="F202" s="41" t="n">
        <f aca="false">IF(D202&gt;0.5,N($C$15),0)</f>
        <v>0</v>
      </c>
      <c r="G202" s="41" t="n">
        <f aca="false">IF(AND(D202&gt;0.5,N($C$19)&gt;0,N(B202)&lt;=N($C$20)),D202*$F$8,0)</f>
        <v>0</v>
      </c>
      <c r="H202" s="41" t="n">
        <f aca="false">IF(D202&lt;=0.5,0,MIN(IF(N(I202)&gt;0,I202,$F$9),D202+E202+F202))</f>
        <v>0</v>
      </c>
      <c r="I202" s="77"/>
      <c r="J202" s="77"/>
      <c r="K202" s="41" t="n">
        <f aca="false">IF(D202&lt;=0.5,0,MIN(H202+N(J202),D202+E202+F202))</f>
        <v>0</v>
      </c>
      <c r="L202" s="41" t="n">
        <f aca="false">K202-E202-F202</f>
        <v>0</v>
      </c>
      <c r="M202" s="41" t="n">
        <f aca="false">D202-L202</f>
        <v>0</v>
      </c>
      <c r="N202" s="42" t="n">
        <f aca="false">K202-G202</f>
        <v>0</v>
      </c>
      <c r="O202" s="78"/>
      <c r="P202" s="79"/>
      <c r="Q202" s="16" t="str">
        <f aca="false">IF(K202=0,"",IF(R202=1,"Pagada",IF(C202&lt;$F$12,"Vencida",IF(176=$F$13,"Próxima","Pendiente"))))</f>
        <v/>
      </c>
      <c r="R202" s="62" t="n">
        <f aca="false">IF(AND(K202&gt;0,OR(O202="Sí",O202="Si")),1,0)</f>
        <v>0</v>
      </c>
      <c r="S202" s="62" t="n">
        <f aca="false">IF(AND(K202&gt;0,R202=0),1,0)</f>
        <v>0</v>
      </c>
    </row>
    <row r="203" customFormat="false" ht="15" hidden="false" customHeight="false" outlineLevel="0" collapsed="false">
      <c r="B203" s="71" t="str">
        <f aca="false">IF($F$6="Sí",N($C$11)+176,"")</f>
        <v/>
      </c>
      <c r="C203" s="72" t="str">
        <f aca="false">IF(OR($F$6&lt;&gt;"Sí",D203&lt;=0.5),"",EDATE($C$10,176))</f>
        <v/>
      </c>
      <c r="D203" s="41" t="n">
        <f aca="false">MAX(0,M202)</f>
        <v>0</v>
      </c>
      <c r="E203" s="41" t="n">
        <f aca="false">D203*$F$7</f>
        <v>0</v>
      </c>
      <c r="F203" s="41" t="n">
        <f aca="false">IF(D203&gt;0.5,N($C$15),0)</f>
        <v>0</v>
      </c>
      <c r="G203" s="41" t="n">
        <f aca="false">IF(AND(D203&gt;0.5,N($C$19)&gt;0,N(B203)&lt;=N($C$20)),D203*$F$8,0)</f>
        <v>0</v>
      </c>
      <c r="H203" s="41" t="n">
        <f aca="false">IF(D203&lt;=0.5,0,MIN(IF(N(I203)&gt;0,I203,$F$9),D203+E203+F203))</f>
        <v>0</v>
      </c>
      <c r="I203" s="77"/>
      <c r="J203" s="77"/>
      <c r="K203" s="41" t="n">
        <f aca="false">IF(D203&lt;=0.5,0,MIN(H203+N(J203),D203+E203+F203))</f>
        <v>0</v>
      </c>
      <c r="L203" s="41" t="n">
        <f aca="false">K203-E203-F203</f>
        <v>0</v>
      </c>
      <c r="M203" s="41" t="n">
        <f aca="false">D203-L203</f>
        <v>0</v>
      </c>
      <c r="N203" s="42" t="n">
        <f aca="false">K203-G203</f>
        <v>0</v>
      </c>
      <c r="O203" s="78"/>
      <c r="P203" s="79"/>
      <c r="Q203" s="16" t="str">
        <f aca="false">IF(K203=0,"",IF(R203=1,"Pagada",IF(C203&lt;$F$12,"Vencida",IF(177=$F$13,"Próxima","Pendiente"))))</f>
        <v/>
      </c>
      <c r="R203" s="62" t="n">
        <f aca="false">IF(AND(K203&gt;0,OR(O203="Sí",O203="Si")),1,0)</f>
        <v>0</v>
      </c>
      <c r="S203" s="62" t="n">
        <f aca="false">IF(AND(K203&gt;0,R203=0),1,0)</f>
        <v>0</v>
      </c>
    </row>
    <row r="204" customFormat="false" ht="15" hidden="false" customHeight="false" outlineLevel="0" collapsed="false">
      <c r="B204" s="71" t="str">
        <f aca="false">IF($F$6="Sí",N($C$11)+177,"")</f>
        <v/>
      </c>
      <c r="C204" s="72" t="str">
        <f aca="false">IF(OR($F$6&lt;&gt;"Sí",D204&lt;=0.5),"",EDATE($C$10,177))</f>
        <v/>
      </c>
      <c r="D204" s="41" t="n">
        <f aca="false">MAX(0,M203)</f>
        <v>0</v>
      </c>
      <c r="E204" s="41" t="n">
        <f aca="false">D204*$F$7</f>
        <v>0</v>
      </c>
      <c r="F204" s="41" t="n">
        <f aca="false">IF(D204&gt;0.5,N($C$15),0)</f>
        <v>0</v>
      </c>
      <c r="G204" s="41" t="n">
        <f aca="false">IF(AND(D204&gt;0.5,N($C$19)&gt;0,N(B204)&lt;=N($C$20)),D204*$F$8,0)</f>
        <v>0</v>
      </c>
      <c r="H204" s="41" t="n">
        <f aca="false">IF(D204&lt;=0.5,0,MIN(IF(N(I204)&gt;0,I204,$F$9),D204+E204+F204))</f>
        <v>0</v>
      </c>
      <c r="I204" s="77"/>
      <c r="J204" s="77"/>
      <c r="K204" s="41" t="n">
        <f aca="false">IF(D204&lt;=0.5,0,MIN(H204+N(J204),D204+E204+F204))</f>
        <v>0</v>
      </c>
      <c r="L204" s="41" t="n">
        <f aca="false">K204-E204-F204</f>
        <v>0</v>
      </c>
      <c r="M204" s="41" t="n">
        <f aca="false">D204-L204</f>
        <v>0</v>
      </c>
      <c r="N204" s="42" t="n">
        <f aca="false">K204-G204</f>
        <v>0</v>
      </c>
      <c r="O204" s="78"/>
      <c r="P204" s="79"/>
      <c r="Q204" s="16" t="str">
        <f aca="false">IF(K204=0,"",IF(R204=1,"Pagada",IF(C204&lt;$F$12,"Vencida",IF(178=$F$13,"Próxima","Pendiente"))))</f>
        <v/>
      </c>
      <c r="R204" s="62" t="n">
        <f aca="false">IF(AND(K204&gt;0,OR(O204="Sí",O204="Si")),1,0)</f>
        <v>0</v>
      </c>
      <c r="S204" s="62" t="n">
        <f aca="false">IF(AND(K204&gt;0,R204=0),1,0)</f>
        <v>0</v>
      </c>
    </row>
    <row r="205" customFormat="false" ht="15" hidden="false" customHeight="false" outlineLevel="0" collapsed="false">
      <c r="B205" s="71" t="str">
        <f aca="false">IF($F$6="Sí",N($C$11)+178,"")</f>
        <v/>
      </c>
      <c r="C205" s="72" t="str">
        <f aca="false">IF(OR($F$6&lt;&gt;"Sí",D205&lt;=0.5),"",EDATE($C$10,178))</f>
        <v/>
      </c>
      <c r="D205" s="41" t="n">
        <f aca="false">MAX(0,M204)</f>
        <v>0</v>
      </c>
      <c r="E205" s="41" t="n">
        <f aca="false">D205*$F$7</f>
        <v>0</v>
      </c>
      <c r="F205" s="41" t="n">
        <f aca="false">IF(D205&gt;0.5,N($C$15),0)</f>
        <v>0</v>
      </c>
      <c r="G205" s="41" t="n">
        <f aca="false">IF(AND(D205&gt;0.5,N($C$19)&gt;0,N(B205)&lt;=N($C$20)),D205*$F$8,0)</f>
        <v>0</v>
      </c>
      <c r="H205" s="41" t="n">
        <f aca="false">IF(D205&lt;=0.5,0,MIN(IF(N(I205)&gt;0,I205,$F$9),D205+E205+F205))</f>
        <v>0</v>
      </c>
      <c r="I205" s="77"/>
      <c r="J205" s="77"/>
      <c r="K205" s="41" t="n">
        <f aca="false">IF(D205&lt;=0.5,0,MIN(H205+N(J205),D205+E205+F205))</f>
        <v>0</v>
      </c>
      <c r="L205" s="41" t="n">
        <f aca="false">K205-E205-F205</f>
        <v>0</v>
      </c>
      <c r="M205" s="41" t="n">
        <f aca="false">D205-L205</f>
        <v>0</v>
      </c>
      <c r="N205" s="42" t="n">
        <f aca="false">K205-G205</f>
        <v>0</v>
      </c>
      <c r="O205" s="78"/>
      <c r="P205" s="79"/>
      <c r="Q205" s="16" t="str">
        <f aca="false">IF(K205=0,"",IF(R205=1,"Pagada",IF(C205&lt;$F$12,"Vencida",IF(179=$F$13,"Próxima","Pendiente"))))</f>
        <v/>
      </c>
      <c r="R205" s="62" t="n">
        <f aca="false">IF(AND(K205&gt;0,OR(O205="Sí",O205="Si")),1,0)</f>
        <v>0</v>
      </c>
      <c r="S205" s="62" t="n">
        <f aca="false">IF(AND(K205&gt;0,R205=0),1,0)</f>
        <v>0</v>
      </c>
    </row>
    <row r="206" customFormat="false" ht="15" hidden="false" customHeight="false" outlineLevel="0" collapsed="false">
      <c r="B206" s="71" t="str">
        <f aca="false">IF($F$6="Sí",N($C$11)+179,"")</f>
        <v/>
      </c>
      <c r="C206" s="72" t="str">
        <f aca="false">IF(OR($F$6&lt;&gt;"Sí",D206&lt;=0.5),"",EDATE($C$10,179))</f>
        <v/>
      </c>
      <c r="D206" s="41" t="n">
        <f aca="false">MAX(0,M205)</f>
        <v>0</v>
      </c>
      <c r="E206" s="41" t="n">
        <f aca="false">D206*$F$7</f>
        <v>0</v>
      </c>
      <c r="F206" s="41" t="n">
        <f aca="false">IF(D206&gt;0.5,N($C$15),0)</f>
        <v>0</v>
      </c>
      <c r="G206" s="41" t="n">
        <f aca="false">IF(AND(D206&gt;0.5,N($C$19)&gt;0,N(B206)&lt;=N($C$20)),D206*$F$8,0)</f>
        <v>0</v>
      </c>
      <c r="H206" s="41" t="n">
        <f aca="false">IF(D206&lt;=0.5,0,MIN(IF(N(I206)&gt;0,I206,$F$9),D206+E206+F206))</f>
        <v>0</v>
      </c>
      <c r="I206" s="77"/>
      <c r="J206" s="77"/>
      <c r="K206" s="41" t="n">
        <f aca="false">IF(D206&lt;=0.5,0,MIN(H206+N(J206),D206+E206+F206))</f>
        <v>0</v>
      </c>
      <c r="L206" s="41" t="n">
        <f aca="false">K206-E206-F206</f>
        <v>0</v>
      </c>
      <c r="M206" s="41" t="n">
        <f aca="false">D206-L206</f>
        <v>0</v>
      </c>
      <c r="N206" s="42" t="n">
        <f aca="false">K206-G206</f>
        <v>0</v>
      </c>
      <c r="O206" s="78"/>
      <c r="P206" s="79"/>
      <c r="Q206" s="16" t="str">
        <f aca="false">IF(K206=0,"",IF(R206=1,"Pagada",IF(C206&lt;$F$12,"Vencida",IF(180=$F$13,"Próxima","Pendiente"))))</f>
        <v/>
      </c>
      <c r="R206" s="62" t="n">
        <f aca="false">IF(AND(K206&gt;0,OR(O206="Sí",O206="Si")),1,0)</f>
        <v>0</v>
      </c>
      <c r="S206" s="62" t="n">
        <f aca="false">IF(AND(K206&gt;0,R206=0),1,0)</f>
        <v>0</v>
      </c>
    </row>
    <row r="207" customFormat="false" ht="15" hidden="false" customHeight="false" outlineLevel="0" collapsed="false">
      <c r="B207" s="71" t="str">
        <f aca="false">IF($F$6="Sí",N($C$11)+180,"")</f>
        <v/>
      </c>
      <c r="C207" s="72" t="str">
        <f aca="false">IF(OR($F$6&lt;&gt;"Sí",D207&lt;=0.5),"",EDATE($C$10,180))</f>
        <v/>
      </c>
      <c r="D207" s="41" t="n">
        <f aca="false">MAX(0,M206)</f>
        <v>0</v>
      </c>
      <c r="E207" s="41" t="n">
        <f aca="false">D207*$F$7</f>
        <v>0</v>
      </c>
      <c r="F207" s="41" t="n">
        <f aca="false">IF(D207&gt;0.5,N($C$15),0)</f>
        <v>0</v>
      </c>
      <c r="G207" s="41" t="n">
        <f aca="false">IF(AND(D207&gt;0.5,N($C$19)&gt;0,N(B207)&lt;=N($C$20)),D207*$F$8,0)</f>
        <v>0</v>
      </c>
      <c r="H207" s="41" t="n">
        <f aca="false">IF(D207&lt;=0.5,0,MIN(IF(N(I207)&gt;0,I207,$F$9),D207+E207+F207))</f>
        <v>0</v>
      </c>
      <c r="I207" s="77"/>
      <c r="J207" s="77"/>
      <c r="K207" s="41" t="n">
        <f aca="false">IF(D207&lt;=0.5,0,MIN(H207+N(J207),D207+E207+F207))</f>
        <v>0</v>
      </c>
      <c r="L207" s="41" t="n">
        <f aca="false">K207-E207-F207</f>
        <v>0</v>
      </c>
      <c r="M207" s="41" t="n">
        <f aca="false">D207-L207</f>
        <v>0</v>
      </c>
      <c r="N207" s="42" t="n">
        <f aca="false">K207-G207</f>
        <v>0</v>
      </c>
      <c r="O207" s="78"/>
      <c r="P207" s="79"/>
      <c r="Q207" s="16" t="str">
        <f aca="false">IF(K207=0,"",IF(R207=1,"Pagada",IF(C207&lt;$F$12,"Vencida",IF(181=$F$13,"Próxima","Pendiente"))))</f>
        <v/>
      </c>
      <c r="R207" s="62" t="n">
        <f aca="false">IF(AND(K207&gt;0,OR(O207="Sí",O207="Si")),1,0)</f>
        <v>0</v>
      </c>
      <c r="S207" s="62" t="n">
        <f aca="false">IF(AND(K207&gt;0,R207=0),1,0)</f>
        <v>0</v>
      </c>
    </row>
    <row r="208" customFormat="false" ht="15" hidden="false" customHeight="false" outlineLevel="0" collapsed="false">
      <c r="B208" s="71" t="str">
        <f aca="false">IF($F$6="Sí",N($C$11)+181,"")</f>
        <v/>
      </c>
      <c r="C208" s="72" t="str">
        <f aca="false">IF(OR($F$6&lt;&gt;"Sí",D208&lt;=0.5),"",EDATE($C$10,181))</f>
        <v/>
      </c>
      <c r="D208" s="41" t="n">
        <f aca="false">MAX(0,M207)</f>
        <v>0</v>
      </c>
      <c r="E208" s="41" t="n">
        <f aca="false">D208*$F$7</f>
        <v>0</v>
      </c>
      <c r="F208" s="41" t="n">
        <f aca="false">IF(D208&gt;0.5,N($C$15),0)</f>
        <v>0</v>
      </c>
      <c r="G208" s="41" t="n">
        <f aca="false">IF(AND(D208&gt;0.5,N($C$19)&gt;0,N(B208)&lt;=N($C$20)),D208*$F$8,0)</f>
        <v>0</v>
      </c>
      <c r="H208" s="41" t="n">
        <f aca="false">IF(D208&lt;=0.5,0,MIN(IF(N(I208)&gt;0,I208,$F$9),D208+E208+F208))</f>
        <v>0</v>
      </c>
      <c r="I208" s="77"/>
      <c r="J208" s="77"/>
      <c r="K208" s="41" t="n">
        <f aca="false">IF(D208&lt;=0.5,0,MIN(H208+N(J208),D208+E208+F208))</f>
        <v>0</v>
      </c>
      <c r="L208" s="41" t="n">
        <f aca="false">K208-E208-F208</f>
        <v>0</v>
      </c>
      <c r="M208" s="41" t="n">
        <f aca="false">D208-L208</f>
        <v>0</v>
      </c>
      <c r="N208" s="42" t="n">
        <f aca="false">K208-G208</f>
        <v>0</v>
      </c>
      <c r="O208" s="78"/>
      <c r="P208" s="79"/>
      <c r="Q208" s="16" t="str">
        <f aca="false">IF(K208=0,"",IF(R208=1,"Pagada",IF(C208&lt;$F$12,"Vencida",IF(182=$F$13,"Próxima","Pendiente"))))</f>
        <v/>
      </c>
      <c r="R208" s="62" t="n">
        <f aca="false">IF(AND(K208&gt;0,OR(O208="Sí",O208="Si")),1,0)</f>
        <v>0</v>
      </c>
      <c r="S208" s="62" t="n">
        <f aca="false">IF(AND(K208&gt;0,R208=0),1,0)</f>
        <v>0</v>
      </c>
    </row>
    <row r="209" customFormat="false" ht="15" hidden="false" customHeight="false" outlineLevel="0" collapsed="false">
      <c r="B209" s="71" t="str">
        <f aca="false">IF($F$6="Sí",N($C$11)+182,"")</f>
        <v/>
      </c>
      <c r="C209" s="72" t="str">
        <f aca="false">IF(OR($F$6&lt;&gt;"Sí",D209&lt;=0.5),"",EDATE($C$10,182))</f>
        <v/>
      </c>
      <c r="D209" s="41" t="n">
        <f aca="false">MAX(0,M208)</f>
        <v>0</v>
      </c>
      <c r="E209" s="41" t="n">
        <f aca="false">D209*$F$7</f>
        <v>0</v>
      </c>
      <c r="F209" s="41" t="n">
        <f aca="false">IF(D209&gt;0.5,N($C$15),0)</f>
        <v>0</v>
      </c>
      <c r="G209" s="41" t="n">
        <f aca="false">IF(AND(D209&gt;0.5,N($C$19)&gt;0,N(B209)&lt;=N($C$20)),D209*$F$8,0)</f>
        <v>0</v>
      </c>
      <c r="H209" s="41" t="n">
        <f aca="false">IF(D209&lt;=0.5,0,MIN(IF(N(I209)&gt;0,I209,$F$9),D209+E209+F209))</f>
        <v>0</v>
      </c>
      <c r="I209" s="77"/>
      <c r="J209" s="77"/>
      <c r="K209" s="41" t="n">
        <f aca="false">IF(D209&lt;=0.5,0,MIN(H209+N(J209),D209+E209+F209))</f>
        <v>0</v>
      </c>
      <c r="L209" s="41" t="n">
        <f aca="false">K209-E209-F209</f>
        <v>0</v>
      </c>
      <c r="M209" s="41" t="n">
        <f aca="false">D209-L209</f>
        <v>0</v>
      </c>
      <c r="N209" s="42" t="n">
        <f aca="false">K209-G209</f>
        <v>0</v>
      </c>
      <c r="O209" s="78"/>
      <c r="P209" s="79"/>
      <c r="Q209" s="16" t="str">
        <f aca="false">IF(K209=0,"",IF(R209=1,"Pagada",IF(C209&lt;$F$12,"Vencida",IF(183=$F$13,"Próxima","Pendiente"))))</f>
        <v/>
      </c>
      <c r="R209" s="62" t="n">
        <f aca="false">IF(AND(K209&gt;0,OR(O209="Sí",O209="Si")),1,0)</f>
        <v>0</v>
      </c>
      <c r="S209" s="62" t="n">
        <f aca="false">IF(AND(K209&gt;0,R209=0),1,0)</f>
        <v>0</v>
      </c>
    </row>
    <row r="210" customFormat="false" ht="15" hidden="false" customHeight="false" outlineLevel="0" collapsed="false">
      <c r="B210" s="71" t="str">
        <f aca="false">IF($F$6="Sí",N($C$11)+183,"")</f>
        <v/>
      </c>
      <c r="C210" s="72" t="str">
        <f aca="false">IF(OR($F$6&lt;&gt;"Sí",D210&lt;=0.5),"",EDATE($C$10,183))</f>
        <v/>
      </c>
      <c r="D210" s="41" t="n">
        <f aca="false">MAX(0,M209)</f>
        <v>0</v>
      </c>
      <c r="E210" s="41" t="n">
        <f aca="false">D210*$F$7</f>
        <v>0</v>
      </c>
      <c r="F210" s="41" t="n">
        <f aca="false">IF(D210&gt;0.5,N($C$15),0)</f>
        <v>0</v>
      </c>
      <c r="G210" s="41" t="n">
        <f aca="false">IF(AND(D210&gt;0.5,N($C$19)&gt;0,N(B210)&lt;=N($C$20)),D210*$F$8,0)</f>
        <v>0</v>
      </c>
      <c r="H210" s="41" t="n">
        <f aca="false">IF(D210&lt;=0.5,0,MIN(IF(N(I210)&gt;0,I210,$F$9),D210+E210+F210))</f>
        <v>0</v>
      </c>
      <c r="I210" s="77"/>
      <c r="J210" s="77"/>
      <c r="K210" s="41" t="n">
        <f aca="false">IF(D210&lt;=0.5,0,MIN(H210+N(J210),D210+E210+F210))</f>
        <v>0</v>
      </c>
      <c r="L210" s="41" t="n">
        <f aca="false">K210-E210-F210</f>
        <v>0</v>
      </c>
      <c r="M210" s="41" t="n">
        <f aca="false">D210-L210</f>
        <v>0</v>
      </c>
      <c r="N210" s="42" t="n">
        <f aca="false">K210-G210</f>
        <v>0</v>
      </c>
      <c r="O210" s="78"/>
      <c r="P210" s="79"/>
      <c r="Q210" s="16" t="str">
        <f aca="false">IF(K210=0,"",IF(R210=1,"Pagada",IF(C210&lt;$F$12,"Vencida",IF(184=$F$13,"Próxima","Pendiente"))))</f>
        <v/>
      </c>
      <c r="R210" s="62" t="n">
        <f aca="false">IF(AND(K210&gt;0,OR(O210="Sí",O210="Si")),1,0)</f>
        <v>0</v>
      </c>
      <c r="S210" s="62" t="n">
        <f aca="false">IF(AND(K210&gt;0,R210=0),1,0)</f>
        <v>0</v>
      </c>
    </row>
    <row r="211" customFormat="false" ht="15" hidden="false" customHeight="false" outlineLevel="0" collapsed="false">
      <c r="B211" s="71" t="str">
        <f aca="false">IF($F$6="Sí",N($C$11)+184,"")</f>
        <v/>
      </c>
      <c r="C211" s="72" t="str">
        <f aca="false">IF(OR($F$6&lt;&gt;"Sí",D211&lt;=0.5),"",EDATE($C$10,184))</f>
        <v/>
      </c>
      <c r="D211" s="41" t="n">
        <f aca="false">MAX(0,M210)</f>
        <v>0</v>
      </c>
      <c r="E211" s="41" t="n">
        <f aca="false">D211*$F$7</f>
        <v>0</v>
      </c>
      <c r="F211" s="41" t="n">
        <f aca="false">IF(D211&gt;0.5,N($C$15),0)</f>
        <v>0</v>
      </c>
      <c r="G211" s="41" t="n">
        <f aca="false">IF(AND(D211&gt;0.5,N($C$19)&gt;0,N(B211)&lt;=N($C$20)),D211*$F$8,0)</f>
        <v>0</v>
      </c>
      <c r="H211" s="41" t="n">
        <f aca="false">IF(D211&lt;=0.5,0,MIN(IF(N(I211)&gt;0,I211,$F$9),D211+E211+F211))</f>
        <v>0</v>
      </c>
      <c r="I211" s="77"/>
      <c r="J211" s="77"/>
      <c r="K211" s="41" t="n">
        <f aca="false">IF(D211&lt;=0.5,0,MIN(H211+N(J211),D211+E211+F211))</f>
        <v>0</v>
      </c>
      <c r="L211" s="41" t="n">
        <f aca="false">K211-E211-F211</f>
        <v>0</v>
      </c>
      <c r="M211" s="41" t="n">
        <f aca="false">D211-L211</f>
        <v>0</v>
      </c>
      <c r="N211" s="42" t="n">
        <f aca="false">K211-G211</f>
        <v>0</v>
      </c>
      <c r="O211" s="78"/>
      <c r="P211" s="79"/>
      <c r="Q211" s="16" t="str">
        <f aca="false">IF(K211=0,"",IF(R211=1,"Pagada",IF(C211&lt;$F$12,"Vencida",IF(185=$F$13,"Próxima","Pendiente"))))</f>
        <v/>
      </c>
      <c r="R211" s="62" t="n">
        <f aca="false">IF(AND(K211&gt;0,OR(O211="Sí",O211="Si")),1,0)</f>
        <v>0</v>
      </c>
      <c r="S211" s="62" t="n">
        <f aca="false">IF(AND(K211&gt;0,R211=0),1,0)</f>
        <v>0</v>
      </c>
    </row>
    <row r="212" customFormat="false" ht="15" hidden="false" customHeight="false" outlineLevel="0" collapsed="false">
      <c r="B212" s="71" t="str">
        <f aca="false">IF($F$6="Sí",N($C$11)+185,"")</f>
        <v/>
      </c>
      <c r="C212" s="72" t="str">
        <f aca="false">IF(OR($F$6&lt;&gt;"Sí",D212&lt;=0.5),"",EDATE($C$10,185))</f>
        <v/>
      </c>
      <c r="D212" s="41" t="n">
        <f aca="false">MAX(0,M211)</f>
        <v>0</v>
      </c>
      <c r="E212" s="41" t="n">
        <f aca="false">D212*$F$7</f>
        <v>0</v>
      </c>
      <c r="F212" s="41" t="n">
        <f aca="false">IF(D212&gt;0.5,N($C$15),0)</f>
        <v>0</v>
      </c>
      <c r="G212" s="41" t="n">
        <f aca="false">IF(AND(D212&gt;0.5,N($C$19)&gt;0,N(B212)&lt;=N($C$20)),D212*$F$8,0)</f>
        <v>0</v>
      </c>
      <c r="H212" s="41" t="n">
        <f aca="false">IF(D212&lt;=0.5,0,MIN(IF(N(I212)&gt;0,I212,$F$9),D212+E212+F212))</f>
        <v>0</v>
      </c>
      <c r="I212" s="77"/>
      <c r="J212" s="77"/>
      <c r="K212" s="41" t="n">
        <f aca="false">IF(D212&lt;=0.5,0,MIN(H212+N(J212),D212+E212+F212))</f>
        <v>0</v>
      </c>
      <c r="L212" s="41" t="n">
        <f aca="false">K212-E212-F212</f>
        <v>0</v>
      </c>
      <c r="M212" s="41" t="n">
        <f aca="false">D212-L212</f>
        <v>0</v>
      </c>
      <c r="N212" s="42" t="n">
        <f aca="false">K212-G212</f>
        <v>0</v>
      </c>
      <c r="O212" s="78"/>
      <c r="P212" s="79"/>
      <c r="Q212" s="16" t="str">
        <f aca="false">IF(K212=0,"",IF(R212=1,"Pagada",IF(C212&lt;$F$12,"Vencida",IF(186=$F$13,"Próxima","Pendiente"))))</f>
        <v/>
      </c>
      <c r="R212" s="62" t="n">
        <f aca="false">IF(AND(K212&gt;0,OR(O212="Sí",O212="Si")),1,0)</f>
        <v>0</v>
      </c>
      <c r="S212" s="62" t="n">
        <f aca="false">IF(AND(K212&gt;0,R212=0),1,0)</f>
        <v>0</v>
      </c>
    </row>
    <row r="213" customFormat="false" ht="15" hidden="false" customHeight="false" outlineLevel="0" collapsed="false">
      <c r="B213" s="71" t="str">
        <f aca="false">IF($F$6="Sí",N($C$11)+186,"")</f>
        <v/>
      </c>
      <c r="C213" s="72" t="str">
        <f aca="false">IF(OR($F$6&lt;&gt;"Sí",D213&lt;=0.5),"",EDATE($C$10,186))</f>
        <v/>
      </c>
      <c r="D213" s="41" t="n">
        <f aca="false">MAX(0,M212)</f>
        <v>0</v>
      </c>
      <c r="E213" s="41" t="n">
        <f aca="false">D213*$F$7</f>
        <v>0</v>
      </c>
      <c r="F213" s="41" t="n">
        <f aca="false">IF(D213&gt;0.5,N($C$15),0)</f>
        <v>0</v>
      </c>
      <c r="G213" s="41" t="n">
        <f aca="false">IF(AND(D213&gt;0.5,N($C$19)&gt;0,N(B213)&lt;=N($C$20)),D213*$F$8,0)</f>
        <v>0</v>
      </c>
      <c r="H213" s="41" t="n">
        <f aca="false">IF(D213&lt;=0.5,0,MIN(IF(N(I213)&gt;0,I213,$F$9),D213+E213+F213))</f>
        <v>0</v>
      </c>
      <c r="I213" s="77"/>
      <c r="J213" s="77"/>
      <c r="K213" s="41" t="n">
        <f aca="false">IF(D213&lt;=0.5,0,MIN(H213+N(J213),D213+E213+F213))</f>
        <v>0</v>
      </c>
      <c r="L213" s="41" t="n">
        <f aca="false">K213-E213-F213</f>
        <v>0</v>
      </c>
      <c r="M213" s="41" t="n">
        <f aca="false">D213-L213</f>
        <v>0</v>
      </c>
      <c r="N213" s="42" t="n">
        <f aca="false">K213-G213</f>
        <v>0</v>
      </c>
      <c r="O213" s="78"/>
      <c r="P213" s="79"/>
      <c r="Q213" s="16" t="str">
        <f aca="false">IF(K213=0,"",IF(R213=1,"Pagada",IF(C213&lt;$F$12,"Vencida",IF(187=$F$13,"Próxima","Pendiente"))))</f>
        <v/>
      </c>
      <c r="R213" s="62" t="n">
        <f aca="false">IF(AND(K213&gt;0,OR(O213="Sí",O213="Si")),1,0)</f>
        <v>0</v>
      </c>
      <c r="S213" s="62" t="n">
        <f aca="false">IF(AND(K213&gt;0,R213=0),1,0)</f>
        <v>0</v>
      </c>
    </row>
    <row r="214" customFormat="false" ht="15" hidden="false" customHeight="false" outlineLevel="0" collapsed="false">
      <c r="B214" s="71" t="str">
        <f aca="false">IF($F$6="Sí",N($C$11)+187,"")</f>
        <v/>
      </c>
      <c r="C214" s="72" t="str">
        <f aca="false">IF(OR($F$6&lt;&gt;"Sí",D214&lt;=0.5),"",EDATE($C$10,187))</f>
        <v/>
      </c>
      <c r="D214" s="41" t="n">
        <f aca="false">MAX(0,M213)</f>
        <v>0</v>
      </c>
      <c r="E214" s="41" t="n">
        <f aca="false">D214*$F$7</f>
        <v>0</v>
      </c>
      <c r="F214" s="41" t="n">
        <f aca="false">IF(D214&gt;0.5,N($C$15),0)</f>
        <v>0</v>
      </c>
      <c r="G214" s="41" t="n">
        <f aca="false">IF(AND(D214&gt;0.5,N($C$19)&gt;0,N(B214)&lt;=N($C$20)),D214*$F$8,0)</f>
        <v>0</v>
      </c>
      <c r="H214" s="41" t="n">
        <f aca="false">IF(D214&lt;=0.5,0,MIN(IF(N(I214)&gt;0,I214,$F$9),D214+E214+F214))</f>
        <v>0</v>
      </c>
      <c r="I214" s="77"/>
      <c r="J214" s="77"/>
      <c r="K214" s="41" t="n">
        <f aca="false">IF(D214&lt;=0.5,0,MIN(H214+N(J214),D214+E214+F214))</f>
        <v>0</v>
      </c>
      <c r="L214" s="41" t="n">
        <f aca="false">K214-E214-F214</f>
        <v>0</v>
      </c>
      <c r="M214" s="41" t="n">
        <f aca="false">D214-L214</f>
        <v>0</v>
      </c>
      <c r="N214" s="42" t="n">
        <f aca="false">K214-G214</f>
        <v>0</v>
      </c>
      <c r="O214" s="78"/>
      <c r="P214" s="79"/>
      <c r="Q214" s="16" t="str">
        <f aca="false">IF(K214=0,"",IF(R214=1,"Pagada",IF(C214&lt;$F$12,"Vencida",IF(188=$F$13,"Próxima","Pendiente"))))</f>
        <v/>
      </c>
      <c r="R214" s="62" t="n">
        <f aca="false">IF(AND(K214&gt;0,OR(O214="Sí",O214="Si")),1,0)</f>
        <v>0</v>
      </c>
      <c r="S214" s="62" t="n">
        <f aca="false">IF(AND(K214&gt;0,R214=0),1,0)</f>
        <v>0</v>
      </c>
    </row>
    <row r="215" customFormat="false" ht="15" hidden="false" customHeight="false" outlineLevel="0" collapsed="false">
      <c r="B215" s="71" t="str">
        <f aca="false">IF($F$6="Sí",N($C$11)+188,"")</f>
        <v/>
      </c>
      <c r="C215" s="72" t="str">
        <f aca="false">IF(OR($F$6&lt;&gt;"Sí",D215&lt;=0.5),"",EDATE($C$10,188))</f>
        <v/>
      </c>
      <c r="D215" s="41" t="n">
        <f aca="false">MAX(0,M214)</f>
        <v>0</v>
      </c>
      <c r="E215" s="41" t="n">
        <f aca="false">D215*$F$7</f>
        <v>0</v>
      </c>
      <c r="F215" s="41" t="n">
        <f aca="false">IF(D215&gt;0.5,N($C$15),0)</f>
        <v>0</v>
      </c>
      <c r="G215" s="41" t="n">
        <f aca="false">IF(AND(D215&gt;0.5,N($C$19)&gt;0,N(B215)&lt;=N($C$20)),D215*$F$8,0)</f>
        <v>0</v>
      </c>
      <c r="H215" s="41" t="n">
        <f aca="false">IF(D215&lt;=0.5,0,MIN(IF(N(I215)&gt;0,I215,$F$9),D215+E215+F215))</f>
        <v>0</v>
      </c>
      <c r="I215" s="77"/>
      <c r="J215" s="77"/>
      <c r="K215" s="41" t="n">
        <f aca="false">IF(D215&lt;=0.5,0,MIN(H215+N(J215),D215+E215+F215))</f>
        <v>0</v>
      </c>
      <c r="L215" s="41" t="n">
        <f aca="false">K215-E215-F215</f>
        <v>0</v>
      </c>
      <c r="M215" s="41" t="n">
        <f aca="false">D215-L215</f>
        <v>0</v>
      </c>
      <c r="N215" s="42" t="n">
        <f aca="false">K215-G215</f>
        <v>0</v>
      </c>
      <c r="O215" s="78"/>
      <c r="P215" s="79"/>
      <c r="Q215" s="16" t="str">
        <f aca="false">IF(K215=0,"",IF(R215=1,"Pagada",IF(C215&lt;$F$12,"Vencida",IF(189=$F$13,"Próxima","Pendiente"))))</f>
        <v/>
      </c>
      <c r="R215" s="62" t="n">
        <f aca="false">IF(AND(K215&gt;0,OR(O215="Sí",O215="Si")),1,0)</f>
        <v>0</v>
      </c>
      <c r="S215" s="62" t="n">
        <f aca="false">IF(AND(K215&gt;0,R215=0),1,0)</f>
        <v>0</v>
      </c>
    </row>
    <row r="216" customFormat="false" ht="15" hidden="false" customHeight="false" outlineLevel="0" collapsed="false">
      <c r="B216" s="71" t="str">
        <f aca="false">IF($F$6="Sí",N($C$11)+189,"")</f>
        <v/>
      </c>
      <c r="C216" s="72" t="str">
        <f aca="false">IF(OR($F$6&lt;&gt;"Sí",D216&lt;=0.5),"",EDATE($C$10,189))</f>
        <v/>
      </c>
      <c r="D216" s="41" t="n">
        <f aca="false">MAX(0,M215)</f>
        <v>0</v>
      </c>
      <c r="E216" s="41" t="n">
        <f aca="false">D216*$F$7</f>
        <v>0</v>
      </c>
      <c r="F216" s="41" t="n">
        <f aca="false">IF(D216&gt;0.5,N($C$15),0)</f>
        <v>0</v>
      </c>
      <c r="G216" s="41" t="n">
        <f aca="false">IF(AND(D216&gt;0.5,N($C$19)&gt;0,N(B216)&lt;=N($C$20)),D216*$F$8,0)</f>
        <v>0</v>
      </c>
      <c r="H216" s="41" t="n">
        <f aca="false">IF(D216&lt;=0.5,0,MIN(IF(N(I216)&gt;0,I216,$F$9),D216+E216+F216))</f>
        <v>0</v>
      </c>
      <c r="I216" s="77"/>
      <c r="J216" s="77"/>
      <c r="K216" s="41" t="n">
        <f aca="false">IF(D216&lt;=0.5,0,MIN(H216+N(J216),D216+E216+F216))</f>
        <v>0</v>
      </c>
      <c r="L216" s="41" t="n">
        <f aca="false">K216-E216-F216</f>
        <v>0</v>
      </c>
      <c r="M216" s="41" t="n">
        <f aca="false">D216-L216</f>
        <v>0</v>
      </c>
      <c r="N216" s="42" t="n">
        <f aca="false">K216-G216</f>
        <v>0</v>
      </c>
      <c r="O216" s="78"/>
      <c r="P216" s="79"/>
      <c r="Q216" s="16" t="str">
        <f aca="false">IF(K216=0,"",IF(R216=1,"Pagada",IF(C216&lt;$F$12,"Vencida",IF(190=$F$13,"Próxima","Pendiente"))))</f>
        <v/>
      </c>
      <c r="R216" s="62" t="n">
        <f aca="false">IF(AND(K216&gt;0,OR(O216="Sí",O216="Si")),1,0)</f>
        <v>0</v>
      </c>
      <c r="S216" s="62" t="n">
        <f aca="false">IF(AND(K216&gt;0,R216=0),1,0)</f>
        <v>0</v>
      </c>
    </row>
    <row r="217" customFormat="false" ht="15" hidden="false" customHeight="false" outlineLevel="0" collapsed="false">
      <c r="B217" s="71" t="str">
        <f aca="false">IF($F$6="Sí",N($C$11)+190,"")</f>
        <v/>
      </c>
      <c r="C217" s="72" t="str">
        <f aca="false">IF(OR($F$6&lt;&gt;"Sí",D217&lt;=0.5),"",EDATE($C$10,190))</f>
        <v/>
      </c>
      <c r="D217" s="41" t="n">
        <f aca="false">MAX(0,M216)</f>
        <v>0</v>
      </c>
      <c r="E217" s="41" t="n">
        <f aca="false">D217*$F$7</f>
        <v>0</v>
      </c>
      <c r="F217" s="41" t="n">
        <f aca="false">IF(D217&gt;0.5,N($C$15),0)</f>
        <v>0</v>
      </c>
      <c r="G217" s="41" t="n">
        <f aca="false">IF(AND(D217&gt;0.5,N($C$19)&gt;0,N(B217)&lt;=N($C$20)),D217*$F$8,0)</f>
        <v>0</v>
      </c>
      <c r="H217" s="41" t="n">
        <f aca="false">IF(D217&lt;=0.5,0,MIN(IF(N(I217)&gt;0,I217,$F$9),D217+E217+F217))</f>
        <v>0</v>
      </c>
      <c r="I217" s="77"/>
      <c r="J217" s="77"/>
      <c r="K217" s="41" t="n">
        <f aca="false">IF(D217&lt;=0.5,0,MIN(H217+N(J217),D217+E217+F217))</f>
        <v>0</v>
      </c>
      <c r="L217" s="41" t="n">
        <f aca="false">K217-E217-F217</f>
        <v>0</v>
      </c>
      <c r="M217" s="41" t="n">
        <f aca="false">D217-L217</f>
        <v>0</v>
      </c>
      <c r="N217" s="42" t="n">
        <f aca="false">K217-G217</f>
        <v>0</v>
      </c>
      <c r="O217" s="78"/>
      <c r="P217" s="79"/>
      <c r="Q217" s="16" t="str">
        <f aca="false">IF(K217=0,"",IF(R217=1,"Pagada",IF(C217&lt;$F$12,"Vencida",IF(191=$F$13,"Próxima","Pendiente"))))</f>
        <v/>
      </c>
      <c r="R217" s="62" t="n">
        <f aca="false">IF(AND(K217&gt;0,OR(O217="Sí",O217="Si")),1,0)</f>
        <v>0</v>
      </c>
      <c r="S217" s="62" t="n">
        <f aca="false">IF(AND(K217&gt;0,R217=0),1,0)</f>
        <v>0</v>
      </c>
    </row>
    <row r="218" customFormat="false" ht="15" hidden="false" customHeight="false" outlineLevel="0" collapsed="false">
      <c r="B218" s="71" t="str">
        <f aca="false">IF($F$6="Sí",N($C$11)+191,"")</f>
        <v/>
      </c>
      <c r="C218" s="72" t="str">
        <f aca="false">IF(OR($F$6&lt;&gt;"Sí",D218&lt;=0.5),"",EDATE($C$10,191))</f>
        <v/>
      </c>
      <c r="D218" s="41" t="n">
        <f aca="false">MAX(0,M217)</f>
        <v>0</v>
      </c>
      <c r="E218" s="41" t="n">
        <f aca="false">D218*$F$7</f>
        <v>0</v>
      </c>
      <c r="F218" s="41" t="n">
        <f aca="false">IF(D218&gt;0.5,N($C$15),0)</f>
        <v>0</v>
      </c>
      <c r="G218" s="41" t="n">
        <f aca="false">IF(AND(D218&gt;0.5,N($C$19)&gt;0,N(B218)&lt;=N($C$20)),D218*$F$8,0)</f>
        <v>0</v>
      </c>
      <c r="H218" s="41" t="n">
        <f aca="false">IF(D218&lt;=0.5,0,MIN(IF(N(I218)&gt;0,I218,$F$9),D218+E218+F218))</f>
        <v>0</v>
      </c>
      <c r="I218" s="77"/>
      <c r="J218" s="77"/>
      <c r="K218" s="41" t="n">
        <f aca="false">IF(D218&lt;=0.5,0,MIN(H218+N(J218),D218+E218+F218))</f>
        <v>0</v>
      </c>
      <c r="L218" s="41" t="n">
        <f aca="false">K218-E218-F218</f>
        <v>0</v>
      </c>
      <c r="M218" s="41" t="n">
        <f aca="false">D218-L218</f>
        <v>0</v>
      </c>
      <c r="N218" s="42" t="n">
        <f aca="false">K218-G218</f>
        <v>0</v>
      </c>
      <c r="O218" s="78"/>
      <c r="P218" s="79"/>
      <c r="Q218" s="16" t="str">
        <f aca="false">IF(K218=0,"",IF(R218=1,"Pagada",IF(C218&lt;$F$12,"Vencida",IF(192=$F$13,"Próxima","Pendiente"))))</f>
        <v/>
      </c>
      <c r="R218" s="62" t="n">
        <f aca="false">IF(AND(K218&gt;0,OR(O218="Sí",O218="Si")),1,0)</f>
        <v>0</v>
      </c>
      <c r="S218" s="62" t="n">
        <f aca="false">IF(AND(K218&gt;0,R218=0),1,0)</f>
        <v>0</v>
      </c>
    </row>
    <row r="219" customFormat="false" ht="15" hidden="false" customHeight="false" outlineLevel="0" collapsed="false">
      <c r="B219" s="71" t="str">
        <f aca="false">IF($F$6="Sí",N($C$11)+192,"")</f>
        <v/>
      </c>
      <c r="C219" s="72" t="str">
        <f aca="false">IF(OR($F$6&lt;&gt;"Sí",D219&lt;=0.5),"",EDATE($C$10,192))</f>
        <v/>
      </c>
      <c r="D219" s="41" t="n">
        <f aca="false">MAX(0,M218)</f>
        <v>0</v>
      </c>
      <c r="E219" s="41" t="n">
        <f aca="false">D219*$F$7</f>
        <v>0</v>
      </c>
      <c r="F219" s="41" t="n">
        <f aca="false">IF(D219&gt;0.5,N($C$15),0)</f>
        <v>0</v>
      </c>
      <c r="G219" s="41" t="n">
        <f aca="false">IF(AND(D219&gt;0.5,N($C$19)&gt;0,N(B219)&lt;=N($C$20)),D219*$F$8,0)</f>
        <v>0</v>
      </c>
      <c r="H219" s="41" t="n">
        <f aca="false">IF(D219&lt;=0.5,0,MIN(IF(N(I219)&gt;0,I219,$F$9),D219+E219+F219))</f>
        <v>0</v>
      </c>
      <c r="I219" s="77"/>
      <c r="J219" s="77"/>
      <c r="K219" s="41" t="n">
        <f aca="false">IF(D219&lt;=0.5,0,MIN(H219+N(J219),D219+E219+F219))</f>
        <v>0</v>
      </c>
      <c r="L219" s="41" t="n">
        <f aca="false">K219-E219-F219</f>
        <v>0</v>
      </c>
      <c r="M219" s="41" t="n">
        <f aca="false">D219-L219</f>
        <v>0</v>
      </c>
      <c r="N219" s="42" t="n">
        <f aca="false">K219-G219</f>
        <v>0</v>
      </c>
      <c r="O219" s="78"/>
      <c r="P219" s="79"/>
      <c r="Q219" s="16" t="str">
        <f aca="false">IF(K219=0,"",IF(R219=1,"Pagada",IF(C219&lt;$F$12,"Vencida",IF(193=$F$13,"Próxima","Pendiente"))))</f>
        <v/>
      </c>
      <c r="R219" s="62" t="n">
        <f aca="false">IF(AND(K219&gt;0,OR(O219="Sí",O219="Si")),1,0)</f>
        <v>0</v>
      </c>
      <c r="S219" s="62" t="n">
        <f aca="false">IF(AND(K219&gt;0,R219=0),1,0)</f>
        <v>0</v>
      </c>
    </row>
    <row r="220" customFormat="false" ht="15" hidden="false" customHeight="false" outlineLevel="0" collapsed="false">
      <c r="B220" s="71" t="str">
        <f aca="false">IF($F$6="Sí",N($C$11)+193,"")</f>
        <v/>
      </c>
      <c r="C220" s="72" t="str">
        <f aca="false">IF(OR($F$6&lt;&gt;"Sí",D220&lt;=0.5),"",EDATE($C$10,193))</f>
        <v/>
      </c>
      <c r="D220" s="41" t="n">
        <f aca="false">MAX(0,M219)</f>
        <v>0</v>
      </c>
      <c r="E220" s="41" t="n">
        <f aca="false">D220*$F$7</f>
        <v>0</v>
      </c>
      <c r="F220" s="41" t="n">
        <f aca="false">IF(D220&gt;0.5,N($C$15),0)</f>
        <v>0</v>
      </c>
      <c r="G220" s="41" t="n">
        <f aca="false">IF(AND(D220&gt;0.5,N($C$19)&gt;0,N(B220)&lt;=N($C$20)),D220*$F$8,0)</f>
        <v>0</v>
      </c>
      <c r="H220" s="41" t="n">
        <f aca="false">IF(D220&lt;=0.5,0,MIN(IF(N(I220)&gt;0,I220,$F$9),D220+E220+F220))</f>
        <v>0</v>
      </c>
      <c r="I220" s="77"/>
      <c r="J220" s="77"/>
      <c r="K220" s="41" t="n">
        <f aca="false">IF(D220&lt;=0.5,0,MIN(H220+N(J220),D220+E220+F220))</f>
        <v>0</v>
      </c>
      <c r="L220" s="41" t="n">
        <f aca="false">K220-E220-F220</f>
        <v>0</v>
      </c>
      <c r="M220" s="41" t="n">
        <f aca="false">D220-L220</f>
        <v>0</v>
      </c>
      <c r="N220" s="42" t="n">
        <f aca="false">K220-G220</f>
        <v>0</v>
      </c>
      <c r="O220" s="78"/>
      <c r="P220" s="79"/>
      <c r="Q220" s="16" t="str">
        <f aca="false">IF(K220=0,"",IF(R220=1,"Pagada",IF(C220&lt;$F$12,"Vencida",IF(194=$F$13,"Próxima","Pendiente"))))</f>
        <v/>
      </c>
      <c r="R220" s="62" t="n">
        <f aca="false">IF(AND(K220&gt;0,OR(O220="Sí",O220="Si")),1,0)</f>
        <v>0</v>
      </c>
      <c r="S220" s="62" t="n">
        <f aca="false">IF(AND(K220&gt;0,R220=0),1,0)</f>
        <v>0</v>
      </c>
    </row>
    <row r="221" customFormat="false" ht="15" hidden="false" customHeight="false" outlineLevel="0" collapsed="false">
      <c r="B221" s="71" t="str">
        <f aca="false">IF($F$6="Sí",N($C$11)+194,"")</f>
        <v/>
      </c>
      <c r="C221" s="72" t="str">
        <f aca="false">IF(OR($F$6&lt;&gt;"Sí",D221&lt;=0.5),"",EDATE($C$10,194))</f>
        <v/>
      </c>
      <c r="D221" s="41" t="n">
        <f aca="false">MAX(0,M220)</f>
        <v>0</v>
      </c>
      <c r="E221" s="41" t="n">
        <f aca="false">D221*$F$7</f>
        <v>0</v>
      </c>
      <c r="F221" s="41" t="n">
        <f aca="false">IF(D221&gt;0.5,N($C$15),0)</f>
        <v>0</v>
      </c>
      <c r="G221" s="41" t="n">
        <f aca="false">IF(AND(D221&gt;0.5,N($C$19)&gt;0,N(B221)&lt;=N($C$20)),D221*$F$8,0)</f>
        <v>0</v>
      </c>
      <c r="H221" s="41" t="n">
        <f aca="false">IF(D221&lt;=0.5,0,MIN(IF(N(I221)&gt;0,I221,$F$9),D221+E221+F221))</f>
        <v>0</v>
      </c>
      <c r="I221" s="77"/>
      <c r="J221" s="77"/>
      <c r="K221" s="41" t="n">
        <f aca="false">IF(D221&lt;=0.5,0,MIN(H221+N(J221),D221+E221+F221))</f>
        <v>0</v>
      </c>
      <c r="L221" s="41" t="n">
        <f aca="false">K221-E221-F221</f>
        <v>0</v>
      </c>
      <c r="M221" s="41" t="n">
        <f aca="false">D221-L221</f>
        <v>0</v>
      </c>
      <c r="N221" s="42" t="n">
        <f aca="false">K221-G221</f>
        <v>0</v>
      </c>
      <c r="O221" s="78"/>
      <c r="P221" s="79"/>
      <c r="Q221" s="16" t="str">
        <f aca="false">IF(K221=0,"",IF(R221=1,"Pagada",IF(C221&lt;$F$12,"Vencida",IF(195=$F$13,"Próxima","Pendiente"))))</f>
        <v/>
      </c>
      <c r="R221" s="62" t="n">
        <f aca="false">IF(AND(K221&gt;0,OR(O221="Sí",O221="Si")),1,0)</f>
        <v>0</v>
      </c>
      <c r="S221" s="62" t="n">
        <f aca="false">IF(AND(K221&gt;0,R221=0),1,0)</f>
        <v>0</v>
      </c>
    </row>
    <row r="222" customFormat="false" ht="15" hidden="false" customHeight="false" outlineLevel="0" collapsed="false">
      <c r="B222" s="71" t="str">
        <f aca="false">IF($F$6="Sí",N($C$11)+195,"")</f>
        <v/>
      </c>
      <c r="C222" s="72" t="str">
        <f aca="false">IF(OR($F$6&lt;&gt;"Sí",D222&lt;=0.5),"",EDATE($C$10,195))</f>
        <v/>
      </c>
      <c r="D222" s="41" t="n">
        <f aca="false">MAX(0,M221)</f>
        <v>0</v>
      </c>
      <c r="E222" s="41" t="n">
        <f aca="false">D222*$F$7</f>
        <v>0</v>
      </c>
      <c r="F222" s="41" t="n">
        <f aca="false">IF(D222&gt;0.5,N($C$15),0)</f>
        <v>0</v>
      </c>
      <c r="G222" s="41" t="n">
        <f aca="false">IF(AND(D222&gt;0.5,N($C$19)&gt;0,N(B222)&lt;=N($C$20)),D222*$F$8,0)</f>
        <v>0</v>
      </c>
      <c r="H222" s="41" t="n">
        <f aca="false">IF(D222&lt;=0.5,0,MIN(IF(N(I222)&gt;0,I222,$F$9),D222+E222+F222))</f>
        <v>0</v>
      </c>
      <c r="I222" s="77"/>
      <c r="J222" s="77"/>
      <c r="K222" s="41" t="n">
        <f aca="false">IF(D222&lt;=0.5,0,MIN(H222+N(J222),D222+E222+F222))</f>
        <v>0</v>
      </c>
      <c r="L222" s="41" t="n">
        <f aca="false">K222-E222-F222</f>
        <v>0</v>
      </c>
      <c r="M222" s="41" t="n">
        <f aca="false">D222-L222</f>
        <v>0</v>
      </c>
      <c r="N222" s="42" t="n">
        <f aca="false">K222-G222</f>
        <v>0</v>
      </c>
      <c r="O222" s="78"/>
      <c r="P222" s="79"/>
      <c r="Q222" s="16" t="str">
        <f aca="false">IF(K222=0,"",IF(R222=1,"Pagada",IF(C222&lt;$F$12,"Vencida",IF(196=$F$13,"Próxima","Pendiente"))))</f>
        <v/>
      </c>
      <c r="R222" s="62" t="n">
        <f aca="false">IF(AND(K222&gt;0,OR(O222="Sí",O222="Si")),1,0)</f>
        <v>0</v>
      </c>
      <c r="S222" s="62" t="n">
        <f aca="false">IF(AND(K222&gt;0,R222=0),1,0)</f>
        <v>0</v>
      </c>
    </row>
    <row r="223" customFormat="false" ht="15" hidden="false" customHeight="false" outlineLevel="0" collapsed="false">
      <c r="B223" s="71" t="str">
        <f aca="false">IF($F$6="Sí",N($C$11)+196,"")</f>
        <v/>
      </c>
      <c r="C223" s="72" t="str">
        <f aca="false">IF(OR($F$6&lt;&gt;"Sí",D223&lt;=0.5),"",EDATE($C$10,196))</f>
        <v/>
      </c>
      <c r="D223" s="41" t="n">
        <f aca="false">MAX(0,M222)</f>
        <v>0</v>
      </c>
      <c r="E223" s="41" t="n">
        <f aca="false">D223*$F$7</f>
        <v>0</v>
      </c>
      <c r="F223" s="41" t="n">
        <f aca="false">IF(D223&gt;0.5,N($C$15),0)</f>
        <v>0</v>
      </c>
      <c r="G223" s="41" t="n">
        <f aca="false">IF(AND(D223&gt;0.5,N($C$19)&gt;0,N(B223)&lt;=N($C$20)),D223*$F$8,0)</f>
        <v>0</v>
      </c>
      <c r="H223" s="41" t="n">
        <f aca="false">IF(D223&lt;=0.5,0,MIN(IF(N(I223)&gt;0,I223,$F$9),D223+E223+F223))</f>
        <v>0</v>
      </c>
      <c r="I223" s="77"/>
      <c r="J223" s="77"/>
      <c r="K223" s="41" t="n">
        <f aca="false">IF(D223&lt;=0.5,0,MIN(H223+N(J223),D223+E223+F223))</f>
        <v>0</v>
      </c>
      <c r="L223" s="41" t="n">
        <f aca="false">K223-E223-F223</f>
        <v>0</v>
      </c>
      <c r="M223" s="41" t="n">
        <f aca="false">D223-L223</f>
        <v>0</v>
      </c>
      <c r="N223" s="42" t="n">
        <f aca="false">K223-G223</f>
        <v>0</v>
      </c>
      <c r="O223" s="78"/>
      <c r="P223" s="79"/>
      <c r="Q223" s="16" t="str">
        <f aca="false">IF(K223=0,"",IF(R223=1,"Pagada",IF(C223&lt;$F$12,"Vencida",IF(197=$F$13,"Próxima","Pendiente"))))</f>
        <v/>
      </c>
      <c r="R223" s="62" t="n">
        <f aca="false">IF(AND(K223&gt;0,OR(O223="Sí",O223="Si")),1,0)</f>
        <v>0</v>
      </c>
      <c r="S223" s="62" t="n">
        <f aca="false">IF(AND(K223&gt;0,R223=0),1,0)</f>
        <v>0</v>
      </c>
    </row>
    <row r="224" customFormat="false" ht="15" hidden="false" customHeight="false" outlineLevel="0" collapsed="false">
      <c r="B224" s="71" t="str">
        <f aca="false">IF($F$6="Sí",N($C$11)+197,"")</f>
        <v/>
      </c>
      <c r="C224" s="72" t="str">
        <f aca="false">IF(OR($F$6&lt;&gt;"Sí",D224&lt;=0.5),"",EDATE($C$10,197))</f>
        <v/>
      </c>
      <c r="D224" s="41" t="n">
        <f aca="false">MAX(0,M223)</f>
        <v>0</v>
      </c>
      <c r="E224" s="41" t="n">
        <f aca="false">D224*$F$7</f>
        <v>0</v>
      </c>
      <c r="F224" s="41" t="n">
        <f aca="false">IF(D224&gt;0.5,N($C$15),0)</f>
        <v>0</v>
      </c>
      <c r="G224" s="41" t="n">
        <f aca="false">IF(AND(D224&gt;0.5,N($C$19)&gt;0,N(B224)&lt;=N($C$20)),D224*$F$8,0)</f>
        <v>0</v>
      </c>
      <c r="H224" s="41" t="n">
        <f aca="false">IF(D224&lt;=0.5,0,MIN(IF(N(I224)&gt;0,I224,$F$9),D224+E224+F224))</f>
        <v>0</v>
      </c>
      <c r="I224" s="77"/>
      <c r="J224" s="77"/>
      <c r="K224" s="41" t="n">
        <f aca="false">IF(D224&lt;=0.5,0,MIN(H224+N(J224),D224+E224+F224))</f>
        <v>0</v>
      </c>
      <c r="L224" s="41" t="n">
        <f aca="false">K224-E224-F224</f>
        <v>0</v>
      </c>
      <c r="M224" s="41" t="n">
        <f aca="false">D224-L224</f>
        <v>0</v>
      </c>
      <c r="N224" s="42" t="n">
        <f aca="false">K224-G224</f>
        <v>0</v>
      </c>
      <c r="O224" s="78"/>
      <c r="P224" s="79"/>
      <c r="Q224" s="16" t="str">
        <f aca="false">IF(K224=0,"",IF(R224=1,"Pagada",IF(C224&lt;$F$12,"Vencida",IF(198=$F$13,"Próxima","Pendiente"))))</f>
        <v/>
      </c>
      <c r="R224" s="62" t="n">
        <f aca="false">IF(AND(K224&gt;0,OR(O224="Sí",O224="Si")),1,0)</f>
        <v>0</v>
      </c>
      <c r="S224" s="62" t="n">
        <f aca="false">IF(AND(K224&gt;0,R224=0),1,0)</f>
        <v>0</v>
      </c>
    </row>
    <row r="225" customFormat="false" ht="15" hidden="false" customHeight="false" outlineLevel="0" collapsed="false">
      <c r="B225" s="71" t="str">
        <f aca="false">IF($F$6="Sí",N($C$11)+198,"")</f>
        <v/>
      </c>
      <c r="C225" s="72" t="str">
        <f aca="false">IF(OR($F$6&lt;&gt;"Sí",D225&lt;=0.5),"",EDATE($C$10,198))</f>
        <v/>
      </c>
      <c r="D225" s="41" t="n">
        <f aca="false">MAX(0,M224)</f>
        <v>0</v>
      </c>
      <c r="E225" s="41" t="n">
        <f aca="false">D225*$F$7</f>
        <v>0</v>
      </c>
      <c r="F225" s="41" t="n">
        <f aca="false">IF(D225&gt;0.5,N($C$15),0)</f>
        <v>0</v>
      </c>
      <c r="G225" s="41" t="n">
        <f aca="false">IF(AND(D225&gt;0.5,N($C$19)&gt;0,N(B225)&lt;=N($C$20)),D225*$F$8,0)</f>
        <v>0</v>
      </c>
      <c r="H225" s="41" t="n">
        <f aca="false">IF(D225&lt;=0.5,0,MIN(IF(N(I225)&gt;0,I225,$F$9),D225+E225+F225))</f>
        <v>0</v>
      </c>
      <c r="I225" s="77"/>
      <c r="J225" s="77"/>
      <c r="K225" s="41" t="n">
        <f aca="false">IF(D225&lt;=0.5,0,MIN(H225+N(J225),D225+E225+F225))</f>
        <v>0</v>
      </c>
      <c r="L225" s="41" t="n">
        <f aca="false">K225-E225-F225</f>
        <v>0</v>
      </c>
      <c r="M225" s="41" t="n">
        <f aca="false">D225-L225</f>
        <v>0</v>
      </c>
      <c r="N225" s="42" t="n">
        <f aca="false">K225-G225</f>
        <v>0</v>
      </c>
      <c r="O225" s="78"/>
      <c r="P225" s="79"/>
      <c r="Q225" s="16" t="str">
        <f aca="false">IF(K225=0,"",IF(R225=1,"Pagada",IF(C225&lt;$F$12,"Vencida",IF(199=$F$13,"Próxima","Pendiente"))))</f>
        <v/>
      </c>
      <c r="R225" s="62" t="n">
        <f aca="false">IF(AND(K225&gt;0,OR(O225="Sí",O225="Si")),1,0)</f>
        <v>0</v>
      </c>
      <c r="S225" s="62" t="n">
        <f aca="false">IF(AND(K225&gt;0,R225=0),1,0)</f>
        <v>0</v>
      </c>
    </row>
    <row r="226" customFormat="false" ht="15" hidden="false" customHeight="false" outlineLevel="0" collapsed="false">
      <c r="B226" s="71" t="str">
        <f aca="false">IF($F$6="Sí",N($C$11)+199,"")</f>
        <v/>
      </c>
      <c r="C226" s="72" t="str">
        <f aca="false">IF(OR($F$6&lt;&gt;"Sí",D226&lt;=0.5),"",EDATE($C$10,199))</f>
        <v/>
      </c>
      <c r="D226" s="41" t="n">
        <f aca="false">MAX(0,M225)</f>
        <v>0</v>
      </c>
      <c r="E226" s="41" t="n">
        <f aca="false">D226*$F$7</f>
        <v>0</v>
      </c>
      <c r="F226" s="41" t="n">
        <f aca="false">IF(D226&gt;0.5,N($C$15),0)</f>
        <v>0</v>
      </c>
      <c r="G226" s="41" t="n">
        <f aca="false">IF(AND(D226&gt;0.5,N($C$19)&gt;0,N(B226)&lt;=N($C$20)),D226*$F$8,0)</f>
        <v>0</v>
      </c>
      <c r="H226" s="41" t="n">
        <f aca="false">IF(D226&lt;=0.5,0,MIN(IF(N(I226)&gt;0,I226,$F$9),D226+E226+F226))</f>
        <v>0</v>
      </c>
      <c r="I226" s="77"/>
      <c r="J226" s="77"/>
      <c r="K226" s="41" t="n">
        <f aca="false">IF(D226&lt;=0.5,0,MIN(H226+N(J226),D226+E226+F226))</f>
        <v>0</v>
      </c>
      <c r="L226" s="41" t="n">
        <f aca="false">K226-E226-F226</f>
        <v>0</v>
      </c>
      <c r="M226" s="41" t="n">
        <f aca="false">D226-L226</f>
        <v>0</v>
      </c>
      <c r="N226" s="42" t="n">
        <f aca="false">K226-G226</f>
        <v>0</v>
      </c>
      <c r="O226" s="78"/>
      <c r="P226" s="79"/>
      <c r="Q226" s="16" t="str">
        <f aca="false">IF(K226=0,"",IF(R226=1,"Pagada",IF(C226&lt;$F$12,"Vencida",IF(200=$F$13,"Próxima","Pendiente"))))</f>
        <v/>
      </c>
      <c r="R226" s="62" t="n">
        <f aca="false">IF(AND(K226&gt;0,OR(O226="Sí",O226="Si")),1,0)</f>
        <v>0</v>
      </c>
      <c r="S226" s="62" t="n">
        <f aca="false">IF(AND(K226&gt;0,R226=0),1,0)</f>
        <v>0</v>
      </c>
    </row>
    <row r="227" customFormat="false" ht="15" hidden="false" customHeight="false" outlineLevel="0" collapsed="false">
      <c r="B227" s="71" t="str">
        <f aca="false">IF($F$6="Sí",N($C$11)+200,"")</f>
        <v/>
      </c>
      <c r="C227" s="72" t="str">
        <f aca="false">IF(OR($F$6&lt;&gt;"Sí",D227&lt;=0.5),"",EDATE($C$10,200))</f>
        <v/>
      </c>
      <c r="D227" s="41" t="n">
        <f aca="false">MAX(0,M226)</f>
        <v>0</v>
      </c>
      <c r="E227" s="41" t="n">
        <f aca="false">D227*$F$7</f>
        <v>0</v>
      </c>
      <c r="F227" s="41" t="n">
        <f aca="false">IF(D227&gt;0.5,N($C$15),0)</f>
        <v>0</v>
      </c>
      <c r="G227" s="41" t="n">
        <f aca="false">IF(AND(D227&gt;0.5,N($C$19)&gt;0,N(B227)&lt;=N($C$20)),D227*$F$8,0)</f>
        <v>0</v>
      </c>
      <c r="H227" s="41" t="n">
        <f aca="false">IF(D227&lt;=0.5,0,MIN(IF(N(I227)&gt;0,I227,$F$9),D227+E227+F227))</f>
        <v>0</v>
      </c>
      <c r="I227" s="77"/>
      <c r="J227" s="77"/>
      <c r="K227" s="41" t="n">
        <f aca="false">IF(D227&lt;=0.5,0,MIN(H227+N(J227),D227+E227+F227))</f>
        <v>0</v>
      </c>
      <c r="L227" s="41" t="n">
        <f aca="false">K227-E227-F227</f>
        <v>0</v>
      </c>
      <c r="M227" s="41" t="n">
        <f aca="false">D227-L227</f>
        <v>0</v>
      </c>
      <c r="N227" s="42" t="n">
        <f aca="false">K227-G227</f>
        <v>0</v>
      </c>
      <c r="O227" s="78"/>
      <c r="P227" s="79"/>
      <c r="Q227" s="16" t="str">
        <f aca="false">IF(K227=0,"",IF(R227=1,"Pagada",IF(C227&lt;$F$12,"Vencida",IF(201=$F$13,"Próxima","Pendiente"))))</f>
        <v/>
      </c>
      <c r="R227" s="62" t="n">
        <f aca="false">IF(AND(K227&gt;0,OR(O227="Sí",O227="Si")),1,0)</f>
        <v>0</v>
      </c>
      <c r="S227" s="62" t="n">
        <f aca="false">IF(AND(K227&gt;0,R227=0),1,0)</f>
        <v>0</v>
      </c>
    </row>
    <row r="228" customFormat="false" ht="15" hidden="false" customHeight="false" outlineLevel="0" collapsed="false">
      <c r="B228" s="71" t="str">
        <f aca="false">IF($F$6="Sí",N($C$11)+201,"")</f>
        <v/>
      </c>
      <c r="C228" s="72" t="str">
        <f aca="false">IF(OR($F$6&lt;&gt;"Sí",D228&lt;=0.5),"",EDATE($C$10,201))</f>
        <v/>
      </c>
      <c r="D228" s="41" t="n">
        <f aca="false">MAX(0,M227)</f>
        <v>0</v>
      </c>
      <c r="E228" s="41" t="n">
        <f aca="false">D228*$F$7</f>
        <v>0</v>
      </c>
      <c r="F228" s="41" t="n">
        <f aca="false">IF(D228&gt;0.5,N($C$15),0)</f>
        <v>0</v>
      </c>
      <c r="G228" s="41" t="n">
        <f aca="false">IF(AND(D228&gt;0.5,N($C$19)&gt;0,N(B228)&lt;=N($C$20)),D228*$F$8,0)</f>
        <v>0</v>
      </c>
      <c r="H228" s="41" t="n">
        <f aca="false">IF(D228&lt;=0.5,0,MIN(IF(N(I228)&gt;0,I228,$F$9),D228+E228+F228))</f>
        <v>0</v>
      </c>
      <c r="I228" s="77"/>
      <c r="J228" s="77"/>
      <c r="K228" s="41" t="n">
        <f aca="false">IF(D228&lt;=0.5,0,MIN(H228+N(J228),D228+E228+F228))</f>
        <v>0</v>
      </c>
      <c r="L228" s="41" t="n">
        <f aca="false">K228-E228-F228</f>
        <v>0</v>
      </c>
      <c r="M228" s="41" t="n">
        <f aca="false">D228-L228</f>
        <v>0</v>
      </c>
      <c r="N228" s="42" t="n">
        <f aca="false">K228-G228</f>
        <v>0</v>
      </c>
      <c r="O228" s="78"/>
      <c r="P228" s="79"/>
      <c r="Q228" s="16" t="str">
        <f aca="false">IF(K228=0,"",IF(R228=1,"Pagada",IF(C228&lt;$F$12,"Vencida",IF(202=$F$13,"Próxima","Pendiente"))))</f>
        <v/>
      </c>
      <c r="R228" s="62" t="n">
        <f aca="false">IF(AND(K228&gt;0,OR(O228="Sí",O228="Si")),1,0)</f>
        <v>0</v>
      </c>
      <c r="S228" s="62" t="n">
        <f aca="false">IF(AND(K228&gt;0,R228=0),1,0)</f>
        <v>0</v>
      </c>
    </row>
    <row r="229" customFormat="false" ht="15" hidden="false" customHeight="false" outlineLevel="0" collapsed="false">
      <c r="B229" s="71" t="str">
        <f aca="false">IF($F$6="Sí",N($C$11)+202,"")</f>
        <v/>
      </c>
      <c r="C229" s="72" t="str">
        <f aca="false">IF(OR($F$6&lt;&gt;"Sí",D229&lt;=0.5),"",EDATE($C$10,202))</f>
        <v/>
      </c>
      <c r="D229" s="41" t="n">
        <f aca="false">MAX(0,M228)</f>
        <v>0</v>
      </c>
      <c r="E229" s="41" t="n">
        <f aca="false">D229*$F$7</f>
        <v>0</v>
      </c>
      <c r="F229" s="41" t="n">
        <f aca="false">IF(D229&gt;0.5,N($C$15),0)</f>
        <v>0</v>
      </c>
      <c r="G229" s="41" t="n">
        <f aca="false">IF(AND(D229&gt;0.5,N($C$19)&gt;0,N(B229)&lt;=N($C$20)),D229*$F$8,0)</f>
        <v>0</v>
      </c>
      <c r="H229" s="41" t="n">
        <f aca="false">IF(D229&lt;=0.5,0,MIN(IF(N(I229)&gt;0,I229,$F$9),D229+E229+F229))</f>
        <v>0</v>
      </c>
      <c r="I229" s="77"/>
      <c r="J229" s="77"/>
      <c r="K229" s="41" t="n">
        <f aca="false">IF(D229&lt;=0.5,0,MIN(H229+N(J229),D229+E229+F229))</f>
        <v>0</v>
      </c>
      <c r="L229" s="41" t="n">
        <f aca="false">K229-E229-F229</f>
        <v>0</v>
      </c>
      <c r="M229" s="41" t="n">
        <f aca="false">D229-L229</f>
        <v>0</v>
      </c>
      <c r="N229" s="42" t="n">
        <f aca="false">K229-G229</f>
        <v>0</v>
      </c>
      <c r="O229" s="78"/>
      <c r="P229" s="79"/>
      <c r="Q229" s="16" t="str">
        <f aca="false">IF(K229=0,"",IF(R229=1,"Pagada",IF(C229&lt;$F$12,"Vencida",IF(203=$F$13,"Próxima","Pendiente"))))</f>
        <v/>
      </c>
      <c r="R229" s="62" t="n">
        <f aca="false">IF(AND(K229&gt;0,OR(O229="Sí",O229="Si")),1,0)</f>
        <v>0</v>
      </c>
      <c r="S229" s="62" t="n">
        <f aca="false">IF(AND(K229&gt;0,R229=0),1,0)</f>
        <v>0</v>
      </c>
    </row>
    <row r="230" customFormat="false" ht="15" hidden="false" customHeight="false" outlineLevel="0" collapsed="false">
      <c r="B230" s="71" t="str">
        <f aca="false">IF($F$6="Sí",N($C$11)+203,"")</f>
        <v/>
      </c>
      <c r="C230" s="72" t="str">
        <f aca="false">IF(OR($F$6&lt;&gt;"Sí",D230&lt;=0.5),"",EDATE($C$10,203))</f>
        <v/>
      </c>
      <c r="D230" s="41" t="n">
        <f aca="false">MAX(0,M229)</f>
        <v>0</v>
      </c>
      <c r="E230" s="41" t="n">
        <f aca="false">D230*$F$7</f>
        <v>0</v>
      </c>
      <c r="F230" s="41" t="n">
        <f aca="false">IF(D230&gt;0.5,N($C$15),0)</f>
        <v>0</v>
      </c>
      <c r="G230" s="41" t="n">
        <f aca="false">IF(AND(D230&gt;0.5,N($C$19)&gt;0,N(B230)&lt;=N($C$20)),D230*$F$8,0)</f>
        <v>0</v>
      </c>
      <c r="H230" s="41" t="n">
        <f aca="false">IF(D230&lt;=0.5,0,MIN(IF(N(I230)&gt;0,I230,$F$9),D230+E230+F230))</f>
        <v>0</v>
      </c>
      <c r="I230" s="77"/>
      <c r="J230" s="77"/>
      <c r="K230" s="41" t="n">
        <f aca="false">IF(D230&lt;=0.5,0,MIN(H230+N(J230),D230+E230+F230))</f>
        <v>0</v>
      </c>
      <c r="L230" s="41" t="n">
        <f aca="false">K230-E230-F230</f>
        <v>0</v>
      </c>
      <c r="M230" s="41" t="n">
        <f aca="false">D230-L230</f>
        <v>0</v>
      </c>
      <c r="N230" s="42" t="n">
        <f aca="false">K230-G230</f>
        <v>0</v>
      </c>
      <c r="O230" s="78"/>
      <c r="P230" s="79"/>
      <c r="Q230" s="16" t="str">
        <f aca="false">IF(K230=0,"",IF(R230=1,"Pagada",IF(C230&lt;$F$12,"Vencida",IF(204=$F$13,"Próxima","Pendiente"))))</f>
        <v/>
      </c>
      <c r="R230" s="62" t="n">
        <f aca="false">IF(AND(K230&gt;0,OR(O230="Sí",O230="Si")),1,0)</f>
        <v>0</v>
      </c>
      <c r="S230" s="62" t="n">
        <f aca="false">IF(AND(K230&gt;0,R230=0),1,0)</f>
        <v>0</v>
      </c>
    </row>
    <row r="231" customFormat="false" ht="15" hidden="false" customHeight="false" outlineLevel="0" collapsed="false">
      <c r="B231" s="71" t="str">
        <f aca="false">IF($F$6="Sí",N($C$11)+204,"")</f>
        <v/>
      </c>
      <c r="C231" s="72" t="str">
        <f aca="false">IF(OR($F$6&lt;&gt;"Sí",D231&lt;=0.5),"",EDATE($C$10,204))</f>
        <v/>
      </c>
      <c r="D231" s="41" t="n">
        <f aca="false">MAX(0,M230)</f>
        <v>0</v>
      </c>
      <c r="E231" s="41" t="n">
        <f aca="false">D231*$F$7</f>
        <v>0</v>
      </c>
      <c r="F231" s="41" t="n">
        <f aca="false">IF(D231&gt;0.5,N($C$15),0)</f>
        <v>0</v>
      </c>
      <c r="G231" s="41" t="n">
        <f aca="false">IF(AND(D231&gt;0.5,N($C$19)&gt;0,N(B231)&lt;=N($C$20)),D231*$F$8,0)</f>
        <v>0</v>
      </c>
      <c r="H231" s="41" t="n">
        <f aca="false">IF(D231&lt;=0.5,0,MIN(IF(N(I231)&gt;0,I231,$F$9),D231+E231+F231))</f>
        <v>0</v>
      </c>
      <c r="I231" s="77"/>
      <c r="J231" s="77"/>
      <c r="K231" s="41" t="n">
        <f aca="false">IF(D231&lt;=0.5,0,MIN(H231+N(J231),D231+E231+F231))</f>
        <v>0</v>
      </c>
      <c r="L231" s="41" t="n">
        <f aca="false">K231-E231-F231</f>
        <v>0</v>
      </c>
      <c r="M231" s="41" t="n">
        <f aca="false">D231-L231</f>
        <v>0</v>
      </c>
      <c r="N231" s="42" t="n">
        <f aca="false">K231-G231</f>
        <v>0</v>
      </c>
      <c r="O231" s="78"/>
      <c r="P231" s="79"/>
      <c r="Q231" s="16" t="str">
        <f aca="false">IF(K231=0,"",IF(R231=1,"Pagada",IF(C231&lt;$F$12,"Vencida",IF(205=$F$13,"Próxima","Pendiente"))))</f>
        <v/>
      </c>
      <c r="R231" s="62" t="n">
        <f aca="false">IF(AND(K231&gt;0,OR(O231="Sí",O231="Si")),1,0)</f>
        <v>0</v>
      </c>
      <c r="S231" s="62" t="n">
        <f aca="false">IF(AND(K231&gt;0,R231=0),1,0)</f>
        <v>0</v>
      </c>
    </row>
    <row r="232" customFormat="false" ht="15" hidden="false" customHeight="false" outlineLevel="0" collapsed="false">
      <c r="B232" s="71" t="str">
        <f aca="false">IF($F$6="Sí",N($C$11)+205,"")</f>
        <v/>
      </c>
      <c r="C232" s="72" t="str">
        <f aca="false">IF(OR($F$6&lt;&gt;"Sí",D232&lt;=0.5),"",EDATE($C$10,205))</f>
        <v/>
      </c>
      <c r="D232" s="41" t="n">
        <f aca="false">MAX(0,M231)</f>
        <v>0</v>
      </c>
      <c r="E232" s="41" t="n">
        <f aca="false">D232*$F$7</f>
        <v>0</v>
      </c>
      <c r="F232" s="41" t="n">
        <f aca="false">IF(D232&gt;0.5,N($C$15),0)</f>
        <v>0</v>
      </c>
      <c r="G232" s="41" t="n">
        <f aca="false">IF(AND(D232&gt;0.5,N($C$19)&gt;0,N(B232)&lt;=N($C$20)),D232*$F$8,0)</f>
        <v>0</v>
      </c>
      <c r="H232" s="41" t="n">
        <f aca="false">IF(D232&lt;=0.5,0,MIN(IF(N(I232)&gt;0,I232,$F$9),D232+E232+F232))</f>
        <v>0</v>
      </c>
      <c r="I232" s="77"/>
      <c r="J232" s="77"/>
      <c r="K232" s="41" t="n">
        <f aca="false">IF(D232&lt;=0.5,0,MIN(H232+N(J232),D232+E232+F232))</f>
        <v>0</v>
      </c>
      <c r="L232" s="41" t="n">
        <f aca="false">K232-E232-F232</f>
        <v>0</v>
      </c>
      <c r="M232" s="41" t="n">
        <f aca="false">D232-L232</f>
        <v>0</v>
      </c>
      <c r="N232" s="42" t="n">
        <f aca="false">K232-G232</f>
        <v>0</v>
      </c>
      <c r="O232" s="78"/>
      <c r="P232" s="79"/>
      <c r="Q232" s="16" t="str">
        <f aca="false">IF(K232=0,"",IF(R232=1,"Pagada",IF(C232&lt;$F$12,"Vencida",IF(206=$F$13,"Próxima","Pendiente"))))</f>
        <v/>
      </c>
      <c r="R232" s="62" t="n">
        <f aca="false">IF(AND(K232&gt;0,OR(O232="Sí",O232="Si")),1,0)</f>
        <v>0</v>
      </c>
      <c r="S232" s="62" t="n">
        <f aca="false">IF(AND(K232&gt;0,R232=0),1,0)</f>
        <v>0</v>
      </c>
    </row>
    <row r="233" customFormat="false" ht="15" hidden="false" customHeight="false" outlineLevel="0" collapsed="false">
      <c r="B233" s="71" t="str">
        <f aca="false">IF($F$6="Sí",N($C$11)+206,"")</f>
        <v/>
      </c>
      <c r="C233" s="72" t="str">
        <f aca="false">IF(OR($F$6&lt;&gt;"Sí",D233&lt;=0.5),"",EDATE($C$10,206))</f>
        <v/>
      </c>
      <c r="D233" s="41" t="n">
        <f aca="false">MAX(0,M232)</f>
        <v>0</v>
      </c>
      <c r="E233" s="41" t="n">
        <f aca="false">D233*$F$7</f>
        <v>0</v>
      </c>
      <c r="F233" s="41" t="n">
        <f aca="false">IF(D233&gt;0.5,N($C$15),0)</f>
        <v>0</v>
      </c>
      <c r="G233" s="41" t="n">
        <f aca="false">IF(AND(D233&gt;0.5,N($C$19)&gt;0,N(B233)&lt;=N($C$20)),D233*$F$8,0)</f>
        <v>0</v>
      </c>
      <c r="H233" s="41" t="n">
        <f aca="false">IF(D233&lt;=0.5,0,MIN(IF(N(I233)&gt;0,I233,$F$9),D233+E233+F233))</f>
        <v>0</v>
      </c>
      <c r="I233" s="77"/>
      <c r="J233" s="77"/>
      <c r="K233" s="41" t="n">
        <f aca="false">IF(D233&lt;=0.5,0,MIN(H233+N(J233),D233+E233+F233))</f>
        <v>0</v>
      </c>
      <c r="L233" s="41" t="n">
        <f aca="false">K233-E233-F233</f>
        <v>0</v>
      </c>
      <c r="M233" s="41" t="n">
        <f aca="false">D233-L233</f>
        <v>0</v>
      </c>
      <c r="N233" s="42" t="n">
        <f aca="false">K233-G233</f>
        <v>0</v>
      </c>
      <c r="O233" s="78"/>
      <c r="P233" s="79"/>
      <c r="Q233" s="16" t="str">
        <f aca="false">IF(K233=0,"",IF(R233=1,"Pagada",IF(C233&lt;$F$12,"Vencida",IF(207=$F$13,"Próxima","Pendiente"))))</f>
        <v/>
      </c>
      <c r="R233" s="62" t="n">
        <f aca="false">IF(AND(K233&gt;0,OR(O233="Sí",O233="Si")),1,0)</f>
        <v>0</v>
      </c>
      <c r="S233" s="62" t="n">
        <f aca="false">IF(AND(K233&gt;0,R233=0),1,0)</f>
        <v>0</v>
      </c>
    </row>
    <row r="234" customFormat="false" ht="15" hidden="false" customHeight="false" outlineLevel="0" collapsed="false">
      <c r="B234" s="71" t="str">
        <f aca="false">IF($F$6="Sí",N($C$11)+207,"")</f>
        <v/>
      </c>
      <c r="C234" s="72" t="str">
        <f aca="false">IF(OR($F$6&lt;&gt;"Sí",D234&lt;=0.5),"",EDATE($C$10,207))</f>
        <v/>
      </c>
      <c r="D234" s="41" t="n">
        <f aca="false">MAX(0,M233)</f>
        <v>0</v>
      </c>
      <c r="E234" s="41" t="n">
        <f aca="false">D234*$F$7</f>
        <v>0</v>
      </c>
      <c r="F234" s="41" t="n">
        <f aca="false">IF(D234&gt;0.5,N($C$15),0)</f>
        <v>0</v>
      </c>
      <c r="G234" s="41" t="n">
        <f aca="false">IF(AND(D234&gt;0.5,N($C$19)&gt;0,N(B234)&lt;=N($C$20)),D234*$F$8,0)</f>
        <v>0</v>
      </c>
      <c r="H234" s="41" t="n">
        <f aca="false">IF(D234&lt;=0.5,0,MIN(IF(N(I234)&gt;0,I234,$F$9),D234+E234+F234))</f>
        <v>0</v>
      </c>
      <c r="I234" s="77"/>
      <c r="J234" s="77"/>
      <c r="K234" s="41" t="n">
        <f aca="false">IF(D234&lt;=0.5,0,MIN(H234+N(J234),D234+E234+F234))</f>
        <v>0</v>
      </c>
      <c r="L234" s="41" t="n">
        <f aca="false">K234-E234-F234</f>
        <v>0</v>
      </c>
      <c r="M234" s="41" t="n">
        <f aca="false">D234-L234</f>
        <v>0</v>
      </c>
      <c r="N234" s="42" t="n">
        <f aca="false">K234-G234</f>
        <v>0</v>
      </c>
      <c r="O234" s="78"/>
      <c r="P234" s="79"/>
      <c r="Q234" s="16" t="str">
        <f aca="false">IF(K234=0,"",IF(R234=1,"Pagada",IF(C234&lt;$F$12,"Vencida",IF(208=$F$13,"Próxima","Pendiente"))))</f>
        <v/>
      </c>
      <c r="R234" s="62" t="n">
        <f aca="false">IF(AND(K234&gt;0,OR(O234="Sí",O234="Si")),1,0)</f>
        <v>0</v>
      </c>
      <c r="S234" s="62" t="n">
        <f aca="false">IF(AND(K234&gt;0,R234=0),1,0)</f>
        <v>0</v>
      </c>
    </row>
    <row r="235" customFormat="false" ht="15" hidden="false" customHeight="false" outlineLevel="0" collapsed="false">
      <c r="B235" s="71" t="str">
        <f aca="false">IF($F$6="Sí",N($C$11)+208,"")</f>
        <v/>
      </c>
      <c r="C235" s="72" t="str">
        <f aca="false">IF(OR($F$6&lt;&gt;"Sí",D235&lt;=0.5),"",EDATE($C$10,208))</f>
        <v/>
      </c>
      <c r="D235" s="41" t="n">
        <f aca="false">MAX(0,M234)</f>
        <v>0</v>
      </c>
      <c r="E235" s="41" t="n">
        <f aca="false">D235*$F$7</f>
        <v>0</v>
      </c>
      <c r="F235" s="41" t="n">
        <f aca="false">IF(D235&gt;0.5,N($C$15),0)</f>
        <v>0</v>
      </c>
      <c r="G235" s="41" t="n">
        <f aca="false">IF(AND(D235&gt;0.5,N($C$19)&gt;0,N(B235)&lt;=N($C$20)),D235*$F$8,0)</f>
        <v>0</v>
      </c>
      <c r="H235" s="41" t="n">
        <f aca="false">IF(D235&lt;=0.5,0,MIN(IF(N(I235)&gt;0,I235,$F$9),D235+E235+F235))</f>
        <v>0</v>
      </c>
      <c r="I235" s="77"/>
      <c r="J235" s="77"/>
      <c r="K235" s="41" t="n">
        <f aca="false">IF(D235&lt;=0.5,0,MIN(H235+N(J235),D235+E235+F235))</f>
        <v>0</v>
      </c>
      <c r="L235" s="41" t="n">
        <f aca="false">K235-E235-F235</f>
        <v>0</v>
      </c>
      <c r="M235" s="41" t="n">
        <f aca="false">D235-L235</f>
        <v>0</v>
      </c>
      <c r="N235" s="42" t="n">
        <f aca="false">K235-G235</f>
        <v>0</v>
      </c>
      <c r="O235" s="78"/>
      <c r="P235" s="79"/>
      <c r="Q235" s="16" t="str">
        <f aca="false">IF(K235=0,"",IF(R235=1,"Pagada",IF(C235&lt;$F$12,"Vencida",IF(209=$F$13,"Próxima","Pendiente"))))</f>
        <v/>
      </c>
      <c r="R235" s="62" t="n">
        <f aca="false">IF(AND(K235&gt;0,OR(O235="Sí",O235="Si")),1,0)</f>
        <v>0</v>
      </c>
      <c r="S235" s="62" t="n">
        <f aca="false">IF(AND(K235&gt;0,R235=0),1,0)</f>
        <v>0</v>
      </c>
    </row>
    <row r="236" customFormat="false" ht="15" hidden="false" customHeight="false" outlineLevel="0" collapsed="false">
      <c r="B236" s="71" t="str">
        <f aca="false">IF($F$6="Sí",N($C$11)+209,"")</f>
        <v/>
      </c>
      <c r="C236" s="72" t="str">
        <f aca="false">IF(OR($F$6&lt;&gt;"Sí",D236&lt;=0.5),"",EDATE($C$10,209))</f>
        <v/>
      </c>
      <c r="D236" s="41" t="n">
        <f aca="false">MAX(0,M235)</f>
        <v>0</v>
      </c>
      <c r="E236" s="41" t="n">
        <f aca="false">D236*$F$7</f>
        <v>0</v>
      </c>
      <c r="F236" s="41" t="n">
        <f aca="false">IF(D236&gt;0.5,N($C$15),0)</f>
        <v>0</v>
      </c>
      <c r="G236" s="41" t="n">
        <f aca="false">IF(AND(D236&gt;0.5,N($C$19)&gt;0,N(B236)&lt;=N($C$20)),D236*$F$8,0)</f>
        <v>0</v>
      </c>
      <c r="H236" s="41" t="n">
        <f aca="false">IF(D236&lt;=0.5,0,MIN(IF(N(I236)&gt;0,I236,$F$9),D236+E236+F236))</f>
        <v>0</v>
      </c>
      <c r="I236" s="77"/>
      <c r="J236" s="77"/>
      <c r="K236" s="41" t="n">
        <f aca="false">IF(D236&lt;=0.5,0,MIN(H236+N(J236),D236+E236+F236))</f>
        <v>0</v>
      </c>
      <c r="L236" s="41" t="n">
        <f aca="false">K236-E236-F236</f>
        <v>0</v>
      </c>
      <c r="M236" s="41" t="n">
        <f aca="false">D236-L236</f>
        <v>0</v>
      </c>
      <c r="N236" s="42" t="n">
        <f aca="false">K236-G236</f>
        <v>0</v>
      </c>
      <c r="O236" s="78"/>
      <c r="P236" s="79"/>
      <c r="Q236" s="16" t="str">
        <f aca="false">IF(K236=0,"",IF(R236=1,"Pagada",IF(C236&lt;$F$12,"Vencida",IF(210=$F$13,"Próxima","Pendiente"))))</f>
        <v/>
      </c>
      <c r="R236" s="62" t="n">
        <f aca="false">IF(AND(K236&gt;0,OR(O236="Sí",O236="Si")),1,0)</f>
        <v>0</v>
      </c>
      <c r="S236" s="62" t="n">
        <f aca="false">IF(AND(K236&gt;0,R236=0),1,0)</f>
        <v>0</v>
      </c>
    </row>
    <row r="237" customFormat="false" ht="15" hidden="false" customHeight="false" outlineLevel="0" collapsed="false">
      <c r="B237" s="71" t="str">
        <f aca="false">IF($F$6="Sí",N($C$11)+210,"")</f>
        <v/>
      </c>
      <c r="C237" s="72" t="str">
        <f aca="false">IF(OR($F$6&lt;&gt;"Sí",D237&lt;=0.5),"",EDATE($C$10,210))</f>
        <v/>
      </c>
      <c r="D237" s="41" t="n">
        <f aca="false">MAX(0,M236)</f>
        <v>0</v>
      </c>
      <c r="E237" s="41" t="n">
        <f aca="false">D237*$F$7</f>
        <v>0</v>
      </c>
      <c r="F237" s="41" t="n">
        <f aca="false">IF(D237&gt;0.5,N($C$15),0)</f>
        <v>0</v>
      </c>
      <c r="G237" s="41" t="n">
        <f aca="false">IF(AND(D237&gt;0.5,N($C$19)&gt;0,N(B237)&lt;=N($C$20)),D237*$F$8,0)</f>
        <v>0</v>
      </c>
      <c r="H237" s="41" t="n">
        <f aca="false">IF(D237&lt;=0.5,0,MIN(IF(N(I237)&gt;0,I237,$F$9),D237+E237+F237))</f>
        <v>0</v>
      </c>
      <c r="I237" s="77"/>
      <c r="J237" s="77"/>
      <c r="K237" s="41" t="n">
        <f aca="false">IF(D237&lt;=0.5,0,MIN(H237+N(J237),D237+E237+F237))</f>
        <v>0</v>
      </c>
      <c r="L237" s="41" t="n">
        <f aca="false">K237-E237-F237</f>
        <v>0</v>
      </c>
      <c r="M237" s="41" t="n">
        <f aca="false">D237-L237</f>
        <v>0</v>
      </c>
      <c r="N237" s="42" t="n">
        <f aca="false">K237-G237</f>
        <v>0</v>
      </c>
      <c r="O237" s="78"/>
      <c r="P237" s="79"/>
      <c r="Q237" s="16" t="str">
        <f aca="false">IF(K237=0,"",IF(R237=1,"Pagada",IF(C237&lt;$F$12,"Vencida",IF(211=$F$13,"Próxima","Pendiente"))))</f>
        <v/>
      </c>
      <c r="R237" s="62" t="n">
        <f aca="false">IF(AND(K237&gt;0,OR(O237="Sí",O237="Si")),1,0)</f>
        <v>0</v>
      </c>
      <c r="S237" s="62" t="n">
        <f aca="false">IF(AND(K237&gt;0,R237=0),1,0)</f>
        <v>0</v>
      </c>
    </row>
    <row r="238" customFormat="false" ht="15" hidden="false" customHeight="false" outlineLevel="0" collapsed="false">
      <c r="B238" s="71" t="str">
        <f aca="false">IF($F$6="Sí",N($C$11)+211,"")</f>
        <v/>
      </c>
      <c r="C238" s="72" t="str">
        <f aca="false">IF(OR($F$6&lt;&gt;"Sí",D238&lt;=0.5),"",EDATE($C$10,211))</f>
        <v/>
      </c>
      <c r="D238" s="41" t="n">
        <f aca="false">MAX(0,M237)</f>
        <v>0</v>
      </c>
      <c r="E238" s="41" t="n">
        <f aca="false">D238*$F$7</f>
        <v>0</v>
      </c>
      <c r="F238" s="41" t="n">
        <f aca="false">IF(D238&gt;0.5,N($C$15),0)</f>
        <v>0</v>
      </c>
      <c r="G238" s="41" t="n">
        <f aca="false">IF(AND(D238&gt;0.5,N($C$19)&gt;0,N(B238)&lt;=N($C$20)),D238*$F$8,0)</f>
        <v>0</v>
      </c>
      <c r="H238" s="41" t="n">
        <f aca="false">IF(D238&lt;=0.5,0,MIN(IF(N(I238)&gt;0,I238,$F$9),D238+E238+F238))</f>
        <v>0</v>
      </c>
      <c r="I238" s="77"/>
      <c r="J238" s="77"/>
      <c r="K238" s="41" t="n">
        <f aca="false">IF(D238&lt;=0.5,0,MIN(H238+N(J238),D238+E238+F238))</f>
        <v>0</v>
      </c>
      <c r="L238" s="41" t="n">
        <f aca="false">K238-E238-F238</f>
        <v>0</v>
      </c>
      <c r="M238" s="41" t="n">
        <f aca="false">D238-L238</f>
        <v>0</v>
      </c>
      <c r="N238" s="42" t="n">
        <f aca="false">K238-G238</f>
        <v>0</v>
      </c>
      <c r="O238" s="78"/>
      <c r="P238" s="79"/>
      <c r="Q238" s="16" t="str">
        <f aca="false">IF(K238=0,"",IF(R238=1,"Pagada",IF(C238&lt;$F$12,"Vencida",IF(212=$F$13,"Próxima","Pendiente"))))</f>
        <v/>
      </c>
      <c r="R238" s="62" t="n">
        <f aca="false">IF(AND(K238&gt;0,OR(O238="Sí",O238="Si")),1,0)</f>
        <v>0</v>
      </c>
      <c r="S238" s="62" t="n">
        <f aca="false">IF(AND(K238&gt;0,R238=0),1,0)</f>
        <v>0</v>
      </c>
    </row>
    <row r="239" customFormat="false" ht="15" hidden="false" customHeight="false" outlineLevel="0" collapsed="false">
      <c r="B239" s="71" t="str">
        <f aca="false">IF($F$6="Sí",N($C$11)+212,"")</f>
        <v/>
      </c>
      <c r="C239" s="72" t="str">
        <f aca="false">IF(OR($F$6&lt;&gt;"Sí",D239&lt;=0.5),"",EDATE($C$10,212))</f>
        <v/>
      </c>
      <c r="D239" s="41" t="n">
        <f aca="false">MAX(0,M238)</f>
        <v>0</v>
      </c>
      <c r="E239" s="41" t="n">
        <f aca="false">D239*$F$7</f>
        <v>0</v>
      </c>
      <c r="F239" s="41" t="n">
        <f aca="false">IF(D239&gt;0.5,N($C$15),0)</f>
        <v>0</v>
      </c>
      <c r="G239" s="41" t="n">
        <f aca="false">IF(AND(D239&gt;0.5,N($C$19)&gt;0,N(B239)&lt;=N($C$20)),D239*$F$8,0)</f>
        <v>0</v>
      </c>
      <c r="H239" s="41" t="n">
        <f aca="false">IF(D239&lt;=0.5,0,MIN(IF(N(I239)&gt;0,I239,$F$9),D239+E239+F239))</f>
        <v>0</v>
      </c>
      <c r="I239" s="77"/>
      <c r="J239" s="77"/>
      <c r="K239" s="41" t="n">
        <f aca="false">IF(D239&lt;=0.5,0,MIN(H239+N(J239),D239+E239+F239))</f>
        <v>0</v>
      </c>
      <c r="L239" s="41" t="n">
        <f aca="false">K239-E239-F239</f>
        <v>0</v>
      </c>
      <c r="M239" s="41" t="n">
        <f aca="false">D239-L239</f>
        <v>0</v>
      </c>
      <c r="N239" s="42" t="n">
        <f aca="false">K239-G239</f>
        <v>0</v>
      </c>
      <c r="O239" s="78"/>
      <c r="P239" s="79"/>
      <c r="Q239" s="16" t="str">
        <f aca="false">IF(K239=0,"",IF(R239=1,"Pagada",IF(C239&lt;$F$12,"Vencida",IF(213=$F$13,"Próxima","Pendiente"))))</f>
        <v/>
      </c>
      <c r="R239" s="62" t="n">
        <f aca="false">IF(AND(K239&gt;0,OR(O239="Sí",O239="Si")),1,0)</f>
        <v>0</v>
      </c>
      <c r="S239" s="62" t="n">
        <f aca="false">IF(AND(K239&gt;0,R239=0),1,0)</f>
        <v>0</v>
      </c>
    </row>
    <row r="240" customFormat="false" ht="15" hidden="false" customHeight="false" outlineLevel="0" collapsed="false">
      <c r="B240" s="71" t="str">
        <f aca="false">IF($F$6="Sí",N($C$11)+213,"")</f>
        <v/>
      </c>
      <c r="C240" s="72" t="str">
        <f aca="false">IF(OR($F$6&lt;&gt;"Sí",D240&lt;=0.5),"",EDATE($C$10,213))</f>
        <v/>
      </c>
      <c r="D240" s="41" t="n">
        <f aca="false">MAX(0,M239)</f>
        <v>0</v>
      </c>
      <c r="E240" s="41" t="n">
        <f aca="false">D240*$F$7</f>
        <v>0</v>
      </c>
      <c r="F240" s="41" t="n">
        <f aca="false">IF(D240&gt;0.5,N($C$15),0)</f>
        <v>0</v>
      </c>
      <c r="G240" s="41" t="n">
        <f aca="false">IF(AND(D240&gt;0.5,N($C$19)&gt;0,N(B240)&lt;=N($C$20)),D240*$F$8,0)</f>
        <v>0</v>
      </c>
      <c r="H240" s="41" t="n">
        <f aca="false">IF(D240&lt;=0.5,0,MIN(IF(N(I240)&gt;0,I240,$F$9),D240+E240+F240))</f>
        <v>0</v>
      </c>
      <c r="I240" s="77"/>
      <c r="J240" s="77"/>
      <c r="K240" s="41" t="n">
        <f aca="false">IF(D240&lt;=0.5,0,MIN(H240+N(J240),D240+E240+F240))</f>
        <v>0</v>
      </c>
      <c r="L240" s="41" t="n">
        <f aca="false">K240-E240-F240</f>
        <v>0</v>
      </c>
      <c r="M240" s="41" t="n">
        <f aca="false">D240-L240</f>
        <v>0</v>
      </c>
      <c r="N240" s="42" t="n">
        <f aca="false">K240-G240</f>
        <v>0</v>
      </c>
      <c r="O240" s="78"/>
      <c r="P240" s="79"/>
      <c r="Q240" s="16" t="str">
        <f aca="false">IF(K240=0,"",IF(R240=1,"Pagada",IF(C240&lt;$F$12,"Vencida",IF(214=$F$13,"Próxima","Pendiente"))))</f>
        <v/>
      </c>
      <c r="R240" s="62" t="n">
        <f aca="false">IF(AND(K240&gt;0,OR(O240="Sí",O240="Si")),1,0)</f>
        <v>0</v>
      </c>
      <c r="S240" s="62" t="n">
        <f aca="false">IF(AND(K240&gt;0,R240=0),1,0)</f>
        <v>0</v>
      </c>
    </row>
    <row r="241" customFormat="false" ht="15" hidden="false" customHeight="false" outlineLevel="0" collapsed="false">
      <c r="B241" s="71" t="str">
        <f aca="false">IF($F$6="Sí",N($C$11)+214,"")</f>
        <v/>
      </c>
      <c r="C241" s="72" t="str">
        <f aca="false">IF(OR($F$6&lt;&gt;"Sí",D241&lt;=0.5),"",EDATE($C$10,214))</f>
        <v/>
      </c>
      <c r="D241" s="41" t="n">
        <f aca="false">MAX(0,M240)</f>
        <v>0</v>
      </c>
      <c r="E241" s="41" t="n">
        <f aca="false">D241*$F$7</f>
        <v>0</v>
      </c>
      <c r="F241" s="41" t="n">
        <f aca="false">IF(D241&gt;0.5,N($C$15),0)</f>
        <v>0</v>
      </c>
      <c r="G241" s="41" t="n">
        <f aca="false">IF(AND(D241&gt;0.5,N($C$19)&gt;0,N(B241)&lt;=N($C$20)),D241*$F$8,0)</f>
        <v>0</v>
      </c>
      <c r="H241" s="41" t="n">
        <f aca="false">IF(D241&lt;=0.5,0,MIN(IF(N(I241)&gt;0,I241,$F$9),D241+E241+F241))</f>
        <v>0</v>
      </c>
      <c r="I241" s="77"/>
      <c r="J241" s="77"/>
      <c r="K241" s="41" t="n">
        <f aca="false">IF(D241&lt;=0.5,0,MIN(H241+N(J241),D241+E241+F241))</f>
        <v>0</v>
      </c>
      <c r="L241" s="41" t="n">
        <f aca="false">K241-E241-F241</f>
        <v>0</v>
      </c>
      <c r="M241" s="41" t="n">
        <f aca="false">D241-L241</f>
        <v>0</v>
      </c>
      <c r="N241" s="42" t="n">
        <f aca="false">K241-G241</f>
        <v>0</v>
      </c>
      <c r="O241" s="78"/>
      <c r="P241" s="79"/>
      <c r="Q241" s="16" t="str">
        <f aca="false">IF(K241=0,"",IF(R241=1,"Pagada",IF(C241&lt;$F$12,"Vencida",IF(215=$F$13,"Próxima","Pendiente"))))</f>
        <v/>
      </c>
      <c r="R241" s="62" t="n">
        <f aca="false">IF(AND(K241&gt;0,OR(O241="Sí",O241="Si")),1,0)</f>
        <v>0</v>
      </c>
      <c r="S241" s="62" t="n">
        <f aca="false">IF(AND(K241&gt;0,R241=0),1,0)</f>
        <v>0</v>
      </c>
    </row>
    <row r="242" customFormat="false" ht="15" hidden="false" customHeight="false" outlineLevel="0" collapsed="false">
      <c r="B242" s="71" t="str">
        <f aca="false">IF($F$6="Sí",N($C$11)+215,"")</f>
        <v/>
      </c>
      <c r="C242" s="72" t="str">
        <f aca="false">IF(OR($F$6&lt;&gt;"Sí",D242&lt;=0.5),"",EDATE($C$10,215))</f>
        <v/>
      </c>
      <c r="D242" s="41" t="n">
        <f aca="false">MAX(0,M241)</f>
        <v>0</v>
      </c>
      <c r="E242" s="41" t="n">
        <f aca="false">D242*$F$7</f>
        <v>0</v>
      </c>
      <c r="F242" s="41" t="n">
        <f aca="false">IF(D242&gt;0.5,N($C$15),0)</f>
        <v>0</v>
      </c>
      <c r="G242" s="41" t="n">
        <f aca="false">IF(AND(D242&gt;0.5,N($C$19)&gt;0,N(B242)&lt;=N($C$20)),D242*$F$8,0)</f>
        <v>0</v>
      </c>
      <c r="H242" s="41" t="n">
        <f aca="false">IF(D242&lt;=0.5,0,MIN(IF(N(I242)&gt;0,I242,$F$9),D242+E242+F242))</f>
        <v>0</v>
      </c>
      <c r="I242" s="77"/>
      <c r="J242" s="77"/>
      <c r="K242" s="41" t="n">
        <f aca="false">IF(D242&lt;=0.5,0,MIN(H242+N(J242),D242+E242+F242))</f>
        <v>0</v>
      </c>
      <c r="L242" s="41" t="n">
        <f aca="false">K242-E242-F242</f>
        <v>0</v>
      </c>
      <c r="M242" s="41" t="n">
        <f aca="false">D242-L242</f>
        <v>0</v>
      </c>
      <c r="N242" s="42" t="n">
        <f aca="false">K242-G242</f>
        <v>0</v>
      </c>
      <c r="O242" s="78"/>
      <c r="P242" s="79"/>
      <c r="Q242" s="16" t="str">
        <f aca="false">IF(K242=0,"",IF(R242=1,"Pagada",IF(C242&lt;$F$12,"Vencida",IF(216=$F$13,"Próxima","Pendiente"))))</f>
        <v/>
      </c>
      <c r="R242" s="62" t="n">
        <f aca="false">IF(AND(K242&gt;0,OR(O242="Sí",O242="Si")),1,0)</f>
        <v>0</v>
      </c>
      <c r="S242" s="62" t="n">
        <f aca="false">IF(AND(K242&gt;0,R242=0),1,0)</f>
        <v>0</v>
      </c>
    </row>
    <row r="243" customFormat="false" ht="15" hidden="false" customHeight="false" outlineLevel="0" collapsed="false">
      <c r="B243" s="71" t="str">
        <f aca="false">IF($F$6="Sí",N($C$11)+216,"")</f>
        <v/>
      </c>
      <c r="C243" s="72" t="str">
        <f aca="false">IF(OR($F$6&lt;&gt;"Sí",D243&lt;=0.5),"",EDATE($C$10,216))</f>
        <v/>
      </c>
      <c r="D243" s="41" t="n">
        <f aca="false">MAX(0,M242)</f>
        <v>0</v>
      </c>
      <c r="E243" s="41" t="n">
        <f aca="false">D243*$F$7</f>
        <v>0</v>
      </c>
      <c r="F243" s="41" t="n">
        <f aca="false">IF(D243&gt;0.5,N($C$15),0)</f>
        <v>0</v>
      </c>
      <c r="G243" s="41" t="n">
        <f aca="false">IF(AND(D243&gt;0.5,N($C$19)&gt;0,N(B243)&lt;=N($C$20)),D243*$F$8,0)</f>
        <v>0</v>
      </c>
      <c r="H243" s="41" t="n">
        <f aca="false">IF(D243&lt;=0.5,0,MIN(IF(N(I243)&gt;0,I243,$F$9),D243+E243+F243))</f>
        <v>0</v>
      </c>
      <c r="I243" s="77"/>
      <c r="J243" s="77"/>
      <c r="K243" s="41" t="n">
        <f aca="false">IF(D243&lt;=0.5,0,MIN(H243+N(J243),D243+E243+F243))</f>
        <v>0</v>
      </c>
      <c r="L243" s="41" t="n">
        <f aca="false">K243-E243-F243</f>
        <v>0</v>
      </c>
      <c r="M243" s="41" t="n">
        <f aca="false">D243-L243</f>
        <v>0</v>
      </c>
      <c r="N243" s="42" t="n">
        <f aca="false">K243-G243</f>
        <v>0</v>
      </c>
      <c r="O243" s="78"/>
      <c r="P243" s="79"/>
      <c r="Q243" s="16" t="str">
        <f aca="false">IF(K243=0,"",IF(R243=1,"Pagada",IF(C243&lt;$F$12,"Vencida",IF(217=$F$13,"Próxima","Pendiente"))))</f>
        <v/>
      </c>
      <c r="R243" s="62" t="n">
        <f aca="false">IF(AND(K243&gt;0,OR(O243="Sí",O243="Si")),1,0)</f>
        <v>0</v>
      </c>
      <c r="S243" s="62" t="n">
        <f aca="false">IF(AND(K243&gt;0,R243=0),1,0)</f>
        <v>0</v>
      </c>
    </row>
    <row r="244" customFormat="false" ht="15" hidden="false" customHeight="false" outlineLevel="0" collapsed="false">
      <c r="B244" s="71" t="str">
        <f aca="false">IF($F$6="Sí",N($C$11)+217,"")</f>
        <v/>
      </c>
      <c r="C244" s="72" t="str">
        <f aca="false">IF(OR($F$6&lt;&gt;"Sí",D244&lt;=0.5),"",EDATE($C$10,217))</f>
        <v/>
      </c>
      <c r="D244" s="41" t="n">
        <f aca="false">MAX(0,M243)</f>
        <v>0</v>
      </c>
      <c r="E244" s="41" t="n">
        <f aca="false">D244*$F$7</f>
        <v>0</v>
      </c>
      <c r="F244" s="41" t="n">
        <f aca="false">IF(D244&gt;0.5,N($C$15),0)</f>
        <v>0</v>
      </c>
      <c r="G244" s="41" t="n">
        <f aca="false">IF(AND(D244&gt;0.5,N($C$19)&gt;0,N(B244)&lt;=N($C$20)),D244*$F$8,0)</f>
        <v>0</v>
      </c>
      <c r="H244" s="41" t="n">
        <f aca="false">IF(D244&lt;=0.5,0,MIN(IF(N(I244)&gt;0,I244,$F$9),D244+E244+F244))</f>
        <v>0</v>
      </c>
      <c r="I244" s="77"/>
      <c r="J244" s="77"/>
      <c r="K244" s="41" t="n">
        <f aca="false">IF(D244&lt;=0.5,0,MIN(H244+N(J244),D244+E244+F244))</f>
        <v>0</v>
      </c>
      <c r="L244" s="41" t="n">
        <f aca="false">K244-E244-F244</f>
        <v>0</v>
      </c>
      <c r="M244" s="41" t="n">
        <f aca="false">D244-L244</f>
        <v>0</v>
      </c>
      <c r="N244" s="42" t="n">
        <f aca="false">K244-G244</f>
        <v>0</v>
      </c>
      <c r="O244" s="78"/>
      <c r="P244" s="79"/>
      <c r="Q244" s="16" t="str">
        <f aca="false">IF(K244=0,"",IF(R244=1,"Pagada",IF(C244&lt;$F$12,"Vencida",IF(218=$F$13,"Próxima","Pendiente"))))</f>
        <v/>
      </c>
      <c r="R244" s="62" t="n">
        <f aca="false">IF(AND(K244&gt;0,OR(O244="Sí",O244="Si")),1,0)</f>
        <v>0</v>
      </c>
      <c r="S244" s="62" t="n">
        <f aca="false">IF(AND(K244&gt;0,R244=0),1,0)</f>
        <v>0</v>
      </c>
    </row>
    <row r="245" customFormat="false" ht="15" hidden="false" customHeight="false" outlineLevel="0" collapsed="false">
      <c r="B245" s="71" t="str">
        <f aca="false">IF($F$6="Sí",N($C$11)+218,"")</f>
        <v/>
      </c>
      <c r="C245" s="72" t="str">
        <f aca="false">IF(OR($F$6&lt;&gt;"Sí",D245&lt;=0.5),"",EDATE($C$10,218))</f>
        <v/>
      </c>
      <c r="D245" s="41" t="n">
        <f aca="false">MAX(0,M244)</f>
        <v>0</v>
      </c>
      <c r="E245" s="41" t="n">
        <f aca="false">D245*$F$7</f>
        <v>0</v>
      </c>
      <c r="F245" s="41" t="n">
        <f aca="false">IF(D245&gt;0.5,N($C$15),0)</f>
        <v>0</v>
      </c>
      <c r="G245" s="41" t="n">
        <f aca="false">IF(AND(D245&gt;0.5,N($C$19)&gt;0,N(B245)&lt;=N($C$20)),D245*$F$8,0)</f>
        <v>0</v>
      </c>
      <c r="H245" s="41" t="n">
        <f aca="false">IF(D245&lt;=0.5,0,MIN(IF(N(I245)&gt;0,I245,$F$9),D245+E245+F245))</f>
        <v>0</v>
      </c>
      <c r="I245" s="77"/>
      <c r="J245" s="77"/>
      <c r="K245" s="41" t="n">
        <f aca="false">IF(D245&lt;=0.5,0,MIN(H245+N(J245),D245+E245+F245))</f>
        <v>0</v>
      </c>
      <c r="L245" s="41" t="n">
        <f aca="false">K245-E245-F245</f>
        <v>0</v>
      </c>
      <c r="M245" s="41" t="n">
        <f aca="false">D245-L245</f>
        <v>0</v>
      </c>
      <c r="N245" s="42" t="n">
        <f aca="false">K245-G245</f>
        <v>0</v>
      </c>
      <c r="O245" s="78"/>
      <c r="P245" s="79"/>
      <c r="Q245" s="16" t="str">
        <f aca="false">IF(K245=0,"",IF(R245=1,"Pagada",IF(C245&lt;$F$12,"Vencida",IF(219=$F$13,"Próxima","Pendiente"))))</f>
        <v/>
      </c>
      <c r="R245" s="62" t="n">
        <f aca="false">IF(AND(K245&gt;0,OR(O245="Sí",O245="Si")),1,0)</f>
        <v>0</v>
      </c>
      <c r="S245" s="62" t="n">
        <f aca="false">IF(AND(K245&gt;0,R245=0),1,0)</f>
        <v>0</v>
      </c>
    </row>
    <row r="246" customFormat="false" ht="15" hidden="false" customHeight="false" outlineLevel="0" collapsed="false">
      <c r="B246" s="71" t="str">
        <f aca="false">IF($F$6="Sí",N($C$11)+219,"")</f>
        <v/>
      </c>
      <c r="C246" s="72" t="str">
        <f aca="false">IF(OR($F$6&lt;&gt;"Sí",D246&lt;=0.5),"",EDATE($C$10,219))</f>
        <v/>
      </c>
      <c r="D246" s="41" t="n">
        <f aca="false">MAX(0,M245)</f>
        <v>0</v>
      </c>
      <c r="E246" s="41" t="n">
        <f aca="false">D246*$F$7</f>
        <v>0</v>
      </c>
      <c r="F246" s="41" t="n">
        <f aca="false">IF(D246&gt;0.5,N($C$15),0)</f>
        <v>0</v>
      </c>
      <c r="G246" s="41" t="n">
        <f aca="false">IF(AND(D246&gt;0.5,N($C$19)&gt;0,N(B246)&lt;=N($C$20)),D246*$F$8,0)</f>
        <v>0</v>
      </c>
      <c r="H246" s="41" t="n">
        <f aca="false">IF(D246&lt;=0.5,0,MIN(IF(N(I246)&gt;0,I246,$F$9),D246+E246+F246))</f>
        <v>0</v>
      </c>
      <c r="I246" s="77"/>
      <c r="J246" s="77"/>
      <c r="K246" s="41" t="n">
        <f aca="false">IF(D246&lt;=0.5,0,MIN(H246+N(J246),D246+E246+F246))</f>
        <v>0</v>
      </c>
      <c r="L246" s="41" t="n">
        <f aca="false">K246-E246-F246</f>
        <v>0</v>
      </c>
      <c r="M246" s="41" t="n">
        <f aca="false">D246-L246</f>
        <v>0</v>
      </c>
      <c r="N246" s="42" t="n">
        <f aca="false">K246-G246</f>
        <v>0</v>
      </c>
      <c r="O246" s="78"/>
      <c r="P246" s="79"/>
      <c r="Q246" s="16" t="str">
        <f aca="false">IF(K246=0,"",IF(R246=1,"Pagada",IF(C246&lt;$F$12,"Vencida",IF(220=$F$13,"Próxima","Pendiente"))))</f>
        <v/>
      </c>
      <c r="R246" s="62" t="n">
        <f aca="false">IF(AND(K246&gt;0,OR(O246="Sí",O246="Si")),1,0)</f>
        <v>0</v>
      </c>
      <c r="S246" s="62" t="n">
        <f aca="false">IF(AND(K246&gt;0,R246=0),1,0)</f>
        <v>0</v>
      </c>
    </row>
    <row r="247" customFormat="false" ht="15" hidden="false" customHeight="false" outlineLevel="0" collapsed="false">
      <c r="B247" s="71" t="str">
        <f aca="false">IF($F$6="Sí",N($C$11)+220,"")</f>
        <v/>
      </c>
      <c r="C247" s="72" t="str">
        <f aca="false">IF(OR($F$6&lt;&gt;"Sí",D247&lt;=0.5),"",EDATE($C$10,220))</f>
        <v/>
      </c>
      <c r="D247" s="41" t="n">
        <f aca="false">MAX(0,M246)</f>
        <v>0</v>
      </c>
      <c r="E247" s="41" t="n">
        <f aca="false">D247*$F$7</f>
        <v>0</v>
      </c>
      <c r="F247" s="41" t="n">
        <f aca="false">IF(D247&gt;0.5,N($C$15),0)</f>
        <v>0</v>
      </c>
      <c r="G247" s="41" t="n">
        <f aca="false">IF(AND(D247&gt;0.5,N($C$19)&gt;0,N(B247)&lt;=N($C$20)),D247*$F$8,0)</f>
        <v>0</v>
      </c>
      <c r="H247" s="41" t="n">
        <f aca="false">IF(D247&lt;=0.5,0,MIN(IF(N(I247)&gt;0,I247,$F$9),D247+E247+F247))</f>
        <v>0</v>
      </c>
      <c r="I247" s="77"/>
      <c r="J247" s="77"/>
      <c r="K247" s="41" t="n">
        <f aca="false">IF(D247&lt;=0.5,0,MIN(H247+N(J247),D247+E247+F247))</f>
        <v>0</v>
      </c>
      <c r="L247" s="41" t="n">
        <f aca="false">K247-E247-F247</f>
        <v>0</v>
      </c>
      <c r="M247" s="41" t="n">
        <f aca="false">D247-L247</f>
        <v>0</v>
      </c>
      <c r="N247" s="42" t="n">
        <f aca="false">K247-G247</f>
        <v>0</v>
      </c>
      <c r="O247" s="78"/>
      <c r="P247" s="79"/>
      <c r="Q247" s="16" t="str">
        <f aca="false">IF(K247=0,"",IF(R247=1,"Pagada",IF(C247&lt;$F$12,"Vencida",IF(221=$F$13,"Próxima","Pendiente"))))</f>
        <v/>
      </c>
      <c r="R247" s="62" t="n">
        <f aca="false">IF(AND(K247&gt;0,OR(O247="Sí",O247="Si")),1,0)</f>
        <v>0</v>
      </c>
      <c r="S247" s="62" t="n">
        <f aca="false">IF(AND(K247&gt;0,R247=0),1,0)</f>
        <v>0</v>
      </c>
    </row>
    <row r="248" customFormat="false" ht="15" hidden="false" customHeight="false" outlineLevel="0" collapsed="false">
      <c r="B248" s="71" t="str">
        <f aca="false">IF($F$6="Sí",N($C$11)+221,"")</f>
        <v/>
      </c>
      <c r="C248" s="72" t="str">
        <f aca="false">IF(OR($F$6&lt;&gt;"Sí",D248&lt;=0.5),"",EDATE($C$10,221))</f>
        <v/>
      </c>
      <c r="D248" s="41" t="n">
        <f aca="false">MAX(0,M247)</f>
        <v>0</v>
      </c>
      <c r="E248" s="41" t="n">
        <f aca="false">D248*$F$7</f>
        <v>0</v>
      </c>
      <c r="F248" s="41" t="n">
        <f aca="false">IF(D248&gt;0.5,N($C$15),0)</f>
        <v>0</v>
      </c>
      <c r="G248" s="41" t="n">
        <f aca="false">IF(AND(D248&gt;0.5,N($C$19)&gt;0,N(B248)&lt;=N($C$20)),D248*$F$8,0)</f>
        <v>0</v>
      </c>
      <c r="H248" s="41" t="n">
        <f aca="false">IF(D248&lt;=0.5,0,MIN(IF(N(I248)&gt;0,I248,$F$9),D248+E248+F248))</f>
        <v>0</v>
      </c>
      <c r="I248" s="77"/>
      <c r="J248" s="77"/>
      <c r="K248" s="41" t="n">
        <f aca="false">IF(D248&lt;=0.5,0,MIN(H248+N(J248),D248+E248+F248))</f>
        <v>0</v>
      </c>
      <c r="L248" s="41" t="n">
        <f aca="false">K248-E248-F248</f>
        <v>0</v>
      </c>
      <c r="M248" s="41" t="n">
        <f aca="false">D248-L248</f>
        <v>0</v>
      </c>
      <c r="N248" s="42" t="n">
        <f aca="false">K248-G248</f>
        <v>0</v>
      </c>
      <c r="O248" s="78"/>
      <c r="P248" s="79"/>
      <c r="Q248" s="16" t="str">
        <f aca="false">IF(K248=0,"",IF(R248=1,"Pagada",IF(C248&lt;$F$12,"Vencida",IF(222=$F$13,"Próxima","Pendiente"))))</f>
        <v/>
      </c>
      <c r="R248" s="62" t="n">
        <f aca="false">IF(AND(K248&gt;0,OR(O248="Sí",O248="Si")),1,0)</f>
        <v>0</v>
      </c>
      <c r="S248" s="62" t="n">
        <f aca="false">IF(AND(K248&gt;0,R248=0),1,0)</f>
        <v>0</v>
      </c>
    </row>
    <row r="249" customFormat="false" ht="15" hidden="false" customHeight="false" outlineLevel="0" collapsed="false">
      <c r="B249" s="71" t="str">
        <f aca="false">IF($F$6="Sí",N($C$11)+222,"")</f>
        <v/>
      </c>
      <c r="C249" s="72" t="str">
        <f aca="false">IF(OR($F$6&lt;&gt;"Sí",D249&lt;=0.5),"",EDATE($C$10,222))</f>
        <v/>
      </c>
      <c r="D249" s="41" t="n">
        <f aca="false">MAX(0,M248)</f>
        <v>0</v>
      </c>
      <c r="E249" s="41" t="n">
        <f aca="false">D249*$F$7</f>
        <v>0</v>
      </c>
      <c r="F249" s="41" t="n">
        <f aca="false">IF(D249&gt;0.5,N($C$15),0)</f>
        <v>0</v>
      </c>
      <c r="G249" s="41" t="n">
        <f aca="false">IF(AND(D249&gt;0.5,N($C$19)&gt;0,N(B249)&lt;=N($C$20)),D249*$F$8,0)</f>
        <v>0</v>
      </c>
      <c r="H249" s="41" t="n">
        <f aca="false">IF(D249&lt;=0.5,0,MIN(IF(N(I249)&gt;0,I249,$F$9),D249+E249+F249))</f>
        <v>0</v>
      </c>
      <c r="I249" s="77"/>
      <c r="J249" s="77"/>
      <c r="K249" s="41" t="n">
        <f aca="false">IF(D249&lt;=0.5,0,MIN(H249+N(J249),D249+E249+F249))</f>
        <v>0</v>
      </c>
      <c r="L249" s="41" t="n">
        <f aca="false">K249-E249-F249</f>
        <v>0</v>
      </c>
      <c r="M249" s="41" t="n">
        <f aca="false">D249-L249</f>
        <v>0</v>
      </c>
      <c r="N249" s="42" t="n">
        <f aca="false">K249-G249</f>
        <v>0</v>
      </c>
      <c r="O249" s="78"/>
      <c r="P249" s="79"/>
      <c r="Q249" s="16" t="str">
        <f aca="false">IF(K249=0,"",IF(R249=1,"Pagada",IF(C249&lt;$F$12,"Vencida",IF(223=$F$13,"Próxima","Pendiente"))))</f>
        <v/>
      </c>
      <c r="R249" s="62" t="n">
        <f aca="false">IF(AND(K249&gt;0,OR(O249="Sí",O249="Si")),1,0)</f>
        <v>0</v>
      </c>
      <c r="S249" s="62" t="n">
        <f aca="false">IF(AND(K249&gt;0,R249=0),1,0)</f>
        <v>0</v>
      </c>
    </row>
    <row r="250" customFormat="false" ht="15" hidden="false" customHeight="false" outlineLevel="0" collapsed="false">
      <c r="B250" s="71" t="str">
        <f aca="false">IF($F$6="Sí",N($C$11)+223,"")</f>
        <v/>
      </c>
      <c r="C250" s="72" t="str">
        <f aca="false">IF(OR($F$6&lt;&gt;"Sí",D250&lt;=0.5),"",EDATE($C$10,223))</f>
        <v/>
      </c>
      <c r="D250" s="41" t="n">
        <f aca="false">MAX(0,M249)</f>
        <v>0</v>
      </c>
      <c r="E250" s="41" t="n">
        <f aca="false">D250*$F$7</f>
        <v>0</v>
      </c>
      <c r="F250" s="41" t="n">
        <f aca="false">IF(D250&gt;0.5,N($C$15),0)</f>
        <v>0</v>
      </c>
      <c r="G250" s="41" t="n">
        <f aca="false">IF(AND(D250&gt;0.5,N($C$19)&gt;0,N(B250)&lt;=N($C$20)),D250*$F$8,0)</f>
        <v>0</v>
      </c>
      <c r="H250" s="41" t="n">
        <f aca="false">IF(D250&lt;=0.5,0,MIN(IF(N(I250)&gt;0,I250,$F$9),D250+E250+F250))</f>
        <v>0</v>
      </c>
      <c r="I250" s="77"/>
      <c r="J250" s="77"/>
      <c r="K250" s="41" t="n">
        <f aca="false">IF(D250&lt;=0.5,0,MIN(H250+N(J250),D250+E250+F250))</f>
        <v>0</v>
      </c>
      <c r="L250" s="41" t="n">
        <f aca="false">K250-E250-F250</f>
        <v>0</v>
      </c>
      <c r="M250" s="41" t="n">
        <f aca="false">D250-L250</f>
        <v>0</v>
      </c>
      <c r="N250" s="42" t="n">
        <f aca="false">K250-G250</f>
        <v>0</v>
      </c>
      <c r="O250" s="78"/>
      <c r="P250" s="79"/>
      <c r="Q250" s="16" t="str">
        <f aca="false">IF(K250=0,"",IF(R250=1,"Pagada",IF(C250&lt;$F$12,"Vencida",IF(224=$F$13,"Próxima","Pendiente"))))</f>
        <v/>
      </c>
      <c r="R250" s="62" t="n">
        <f aca="false">IF(AND(K250&gt;0,OR(O250="Sí",O250="Si")),1,0)</f>
        <v>0</v>
      </c>
      <c r="S250" s="62" t="n">
        <f aca="false">IF(AND(K250&gt;0,R250=0),1,0)</f>
        <v>0</v>
      </c>
    </row>
    <row r="251" customFormat="false" ht="15" hidden="false" customHeight="false" outlineLevel="0" collapsed="false">
      <c r="B251" s="71" t="str">
        <f aca="false">IF($F$6="Sí",N($C$11)+224,"")</f>
        <v/>
      </c>
      <c r="C251" s="72" t="str">
        <f aca="false">IF(OR($F$6&lt;&gt;"Sí",D251&lt;=0.5),"",EDATE($C$10,224))</f>
        <v/>
      </c>
      <c r="D251" s="41" t="n">
        <f aca="false">MAX(0,M250)</f>
        <v>0</v>
      </c>
      <c r="E251" s="41" t="n">
        <f aca="false">D251*$F$7</f>
        <v>0</v>
      </c>
      <c r="F251" s="41" t="n">
        <f aca="false">IF(D251&gt;0.5,N($C$15),0)</f>
        <v>0</v>
      </c>
      <c r="G251" s="41" t="n">
        <f aca="false">IF(AND(D251&gt;0.5,N($C$19)&gt;0,N(B251)&lt;=N($C$20)),D251*$F$8,0)</f>
        <v>0</v>
      </c>
      <c r="H251" s="41" t="n">
        <f aca="false">IF(D251&lt;=0.5,0,MIN(IF(N(I251)&gt;0,I251,$F$9),D251+E251+F251))</f>
        <v>0</v>
      </c>
      <c r="I251" s="77"/>
      <c r="J251" s="77"/>
      <c r="K251" s="41" t="n">
        <f aca="false">IF(D251&lt;=0.5,0,MIN(H251+N(J251),D251+E251+F251))</f>
        <v>0</v>
      </c>
      <c r="L251" s="41" t="n">
        <f aca="false">K251-E251-F251</f>
        <v>0</v>
      </c>
      <c r="M251" s="41" t="n">
        <f aca="false">D251-L251</f>
        <v>0</v>
      </c>
      <c r="N251" s="42" t="n">
        <f aca="false">K251-G251</f>
        <v>0</v>
      </c>
      <c r="O251" s="78"/>
      <c r="P251" s="79"/>
      <c r="Q251" s="16" t="str">
        <f aca="false">IF(K251=0,"",IF(R251=1,"Pagada",IF(C251&lt;$F$12,"Vencida",IF(225=$F$13,"Próxima","Pendiente"))))</f>
        <v/>
      </c>
      <c r="R251" s="62" t="n">
        <f aca="false">IF(AND(K251&gt;0,OR(O251="Sí",O251="Si")),1,0)</f>
        <v>0</v>
      </c>
      <c r="S251" s="62" t="n">
        <f aca="false">IF(AND(K251&gt;0,R251=0),1,0)</f>
        <v>0</v>
      </c>
    </row>
    <row r="252" customFormat="false" ht="15" hidden="false" customHeight="false" outlineLevel="0" collapsed="false">
      <c r="B252" s="71" t="str">
        <f aca="false">IF($F$6="Sí",N($C$11)+225,"")</f>
        <v/>
      </c>
      <c r="C252" s="72" t="str">
        <f aca="false">IF(OR($F$6&lt;&gt;"Sí",D252&lt;=0.5),"",EDATE($C$10,225))</f>
        <v/>
      </c>
      <c r="D252" s="41" t="n">
        <f aca="false">MAX(0,M251)</f>
        <v>0</v>
      </c>
      <c r="E252" s="41" t="n">
        <f aca="false">D252*$F$7</f>
        <v>0</v>
      </c>
      <c r="F252" s="41" t="n">
        <f aca="false">IF(D252&gt;0.5,N($C$15),0)</f>
        <v>0</v>
      </c>
      <c r="G252" s="41" t="n">
        <f aca="false">IF(AND(D252&gt;0.5,N($C$19)&gt;0,N(B252)&lt;=N($C$20)),D252*$F$8,0)</f>
        <v>0</v>
      </c>
      <c r="H252" s="41" t="n">
        <f aca="false">IF(D252&lt;=0.5,0,MIN(IF(N(I252)&gt;0,I252,$F$9),D252+E252+F252))</f>
        <v>0</v>
      </c>
      <c r="I252" s="77"/>
      <c r="J252" s="77"/>
      <c r="K252" s="41" t="n">
        <f aca="false">IF(D252&lt;=0.5,0,MIN(H252+N(J252),D252+E252+F252))</f>
        <v>0</v>
      </c>
      <c r="L252" s="41" t="n">
        <f aca="false">K252-E252-F252</f>
        <v>0</v>
      </c>
      <c r="M252" s="41" t="n">
        <f aca="false">D252-L252</f>
        <v>0</v>
      </c>
      <c r="N252" s="42" t="n">
        <f aca="false">K252-G252</f>
        <v>0</v>
      </c>
      <c r="O252" s="78"/>
      <c r="P252" s="79"/>
      <c r="Q252" s="16" t="str">
        <f aca="false">IF(K252=0,"",IF(R252=1,"Pagada",IF(C252&lt;$F$12,"Vencida",IF(226=$F$13,"Próxima","Pendiente"))))</f>
        <v/>
      </c>
      <c r="R252" s="62" t="n">
        <f aca="false">IF(AND(K252&gt;0,OR(O252="Sí",O252="Si")),1,0)</f>
        <v>0</v>
      </c>
      <c r="S252" s="62" t="n">
        <f aca="false">IF(AND(K252&gt;0,R252=0),1,0)</f>
        <v>0</v>
      </c>
    </row>
    <row r="253" customFormat="false" ht="15" hidden="false" customHeight="false" outlineLevel="0" collapsed="false">
      <c r="B253" s="71" t="str">
        <f aca="false">IF($F$6="Sí",N($C$11)+226,"")</f>
        <v/>
      </c>
      <c r="C253" s="72" t="str">
        <f aca="false">IF(OR($F$6&lt;&gt;"Sí",D253&lt;=0.5),"",EDATE($C$10,226))</f>
        <v/>
      </c>
      <c r="D253" s="41" t="n">
        <f aca="false">MAX(0,M252)</f>
        <v>0</v>
      </c>
      <c r="E253" s="41" t="n">
        <f aca="false">D253*$F$7</f>
        <v>0</v>
      </c>
      <c r="F253" s="41" t="n">
        <f aca="false">IF(D253&gt;0.5,N($C$15),0)</f>
        <v>0</v>
      </c>
      <c r="G253" s="41" t="n">
        <f aca="false">IF(AND(D253&gt;0.5,N($C$19)&gt;0,N(B253)&lt;=N($C$20)),D253*$F$8,0)</f>
        <v>0</v>
      </c>
      <c r="H253" s="41" t="n">
        <f aca="false">IF(D253&lt;=0.5,0,MIN(IF(N(I253)&gt;0,I253,$F$9),D253+E253+F253))</f>
        <v>0</v>
      </c>
      <c r="I253" s="77"/>
      <c r="J253" s="77"/>
      <c r="K253" s="41" t="n">
        <f aca="false">IF(D253&lt;=0.5,0,MIN(H253+N(J253),D253+E253+F253))</f>
        <v>0</v>
      </c>
      <c r="L253" s="41" t="n">
        <f aca="false">K253-E253-F253</f>
        <v>0</v>
      </c>
      <c r="M253" s="41" t="n">
        <f aca="false">D253-L253</f>
        <v>0</v>
      </c>
      <c r="N253" s="42" t="n">
        <f aca="false">K253-G253</f>
        <v>0</v>
      </c>
      <c r="O253" s="78"/>
      <c r="P253" s="79"/>
      <c r="Q253" s="16" t="str">
        <f aca="false">IF(K253=0,"",IF(R253=1,"Pagada",IF(C253&lt;$F$12,"Vencida",IF(227=$F$13,"Próxima","Pendiente"))))</f>
        <v/>
      </c>
      <c r="R253" s="62" t="n">
        <f aca="false">IF(AND(K253&gt;0,OR(O253="Sí",O253="Si")),1,0)</f>
        <v>0</v>
      </c>
      <c r="S253" s="62" t="n">
        <f aca="false">IF(AND(K253&gt;0,R253=0),1,0)</f>
        <v>0</v>
      </c>
    </row>
    <row r="254" customFormat="false" ht="15" hidden="false" customHeight="false" outlineLevel="0" collapsed="false">
      <c r="B254" s="71" t="str">
        <f aca="false">IF($F$6="Sí",N($C$11)+227,"")</f>
        <v/>
      </c>
      <c r="C254" s="72" t="str">
        <f aca="false">IF(OR($F$6&lt;&gt;"Sí",D254&lt;=0.5),"",EDATE($C$10,227))</f>
        <v/>
      </c>
      <c r="D254" s="41" t="n">
        <f aca="false">MAX(0,M253)</f>
        <v>0</v>
      </c>
      <c r="E254" s="41" t="n">
        <f aca="false">D254*$F$7</f>
        <v>0</v>
      </c>
      <c r="F254" s="41" t="n">
        <f aca="false">IF(D254&gt;0.5,N($C$15),0)</f>
        <v>0</v>
      </c>
      <c r="G254" s="41" t="n">
        <f aca="false">IF(AND(D254&gt;0.5,N($C$19)&gt;0,N(B254)&lt;=N($C$20)),D254*$F$8,0)</f>
        <v>0</v>
      </c>
      <c r="H254" s="41" t="n">
        <f aca="false">IF(D254&lt;=0.5,0,MIN(IF(N(I254)&gt;0,I254,$F$9),D254+E254+F254))</f>
        <v>0</v>
      </c>
      <c r="I254" s="77"/>
      <c r="J254" s="77"/>
      <c r="K254" s="41" t="n">
        <f aca="false">IF(D254&lt;=0.5,0,MIN(H254+N(J254),D254+E254+F254))</f>
        <v>0</v>
      </c>
      <c r="L254" s="41" t="n">
        <f aca="false">K254-E254-F254</f>
        <v>0</v>
      </c>
      <c r="M254" s="41" t="n">
        <f aca="false">D254-L254</f>
        <v>0</v>
      </c>
      <c r="N254" s="42" t="n">
        <f aca="false">K254-G254</f>
        <v>0</v>
      </c>
      <c r="O254" s="78"/>
      <c r="P254" s="79"/>
      <c r="Q254" s="16" t="str">
        <f aca="false">IF(K254=0,"",IF(R254=1,"Pagada",IF(C254&lt;$F$12,"Vencida",IF(228=$F$13,"Próxima","Pendiente"))))</f>
        <v/>
      </c>
      <c r="R254" s="62" t="n">
        <f aca="false">IF(AND(K254&gt;0,OR(O254="Sí",O254="Si")),1,0)</f>
        <v>0</v>
      </c>
      <c r="S254" s="62" t="n">
        <f aca="false">IF(AND(K254&gt;0,R254=0),1,0)</f>
        <v>0</v>
      </c>
    </row>
    <row r="255" customFormat="false" ht="15" hidden="false" customHeight="false" outlineLevel="0" collapsed="false">
      <c r="B255" s="71" t="str">
        <f aca="false">IF($F$6="Sí",N($C$11)+228,"")</f>
        <v/>
      </c>
      <c r="C255" s="72" t="str">
        <f aca="false">IF(OR($F$6&lt;&gt;"Sí",D255&lt;=0.5),"",EDATE($C$10,228))</f>
        <v/>
      </c>
      <c r="D255" s="41" t="n">
        <f aca="false">MAX(0,M254)</f>
        <v>0</v>
      </c>
      <c r="E255" s="41" t="n">
        <f aca="false">D255*$F$7</f>
        <v>0</v>
      </c>
      <c r="F255" s="41" t="n">
        <f aca="false">IF(D255&gt;0.5,N($C$15),0)</f>
        <v>0</v>
      </c>
      <c r="G255" s="41" t="n">
        <f aca="false">IF(AND(D255&gt;0.5,N($C$19)&gt;0,N(B255)&lt;=N($C$20)),D255*$F$8,0)</f>
        <v>0</v>
      </c>
      <c r="H255" s="41" t="n">
        <f aca="false">IF(D255&lt;=0.5,0,MIN(IF(N(I255)&gt;0,I255,$F$9),D255+E255+F255))</f>
        <v>0</v>
      </c>
      <c r="I255" s="77"/>
      <c r="J255" s="77"/>
      <c r="K255" s="41" t="n">
        <f aca="false">IF(D255&lt;=0.5,0,MIN(H255+N(J255),D255+E255+F255))</f>
        <v>0</v>
      </c>
      <c r="L255" s="41" t="n">
        <f aca="false">K255-E255-F255</f>
        <v>0</v>
      </c>
      <c r="M255" s="41" t="n">
        <f aca="false">D255-L255</f>
        <v>0</v>
      </c>
      <c r="N255" s="42" t="n">
        <f aca="false">K255-G255</f>
        <v>0</v>
      </c>
      <c r="O255" s="78"/>
      <c r="P255" s="79"/>
      <c r="Q255" s="16" t="str">
        <f aca="false">IF(K255=0,"",IF(R255=1,"Pagada",IF(C255&lt;$F$12,"Vencida",IF(229=$F$13,"Próxima","Pendiente"))))</f>
        <v/>
      </c>
      <c r="R255" s="62" t="n">
        <f aca="false">IF(AND(K255&gt;0,OR(O255="Sí",O255="Si")),1,0)</f>
        <v>0</v>
      </c>
      <c r="S255" s="62" t="n">
        <f aca="false">IF(AND(K255&gt;0,R255=0),1,0)</f>
        <v>0</v>
      </c>
    </row>
    <row r="256" customFormat="false" ht="15" hidden="false" customHeight="false" outlineLevel="0" collapsed="false">
      <c r="B256" s="71" t="str">
        <f aca="false">IF($F$6="Sí",N($C$11)+229,"")</f>
        <v/>
      </c>
      <c r="C256" s="72" t="str">
        <f aca="false">IF(OR($F$6&lt;&gt;"Sí",D256&lt;=0.5),"",EDATE($C$10,229))</f>
        <v/>
      </c>
      <c r="D256" s="41" t="n">
        <f aca="false">MAX(0,M255)</f>
        <v>0</v>
      </c>
      <c r="E256" s="41" t="n">
        <f aca="false">D256*$F$7</f>
        <v>0</v>
      </c>
      <c r="F256" s="41" t="n">
        <f aca="false">IF(D256&gt;0.5,N($C$15),0)</f>
        <v>0</v>
      </c>
      <c r="G256" s="41" t="n">
        <f aca="false">IF(AND(D256&gt;0.5,N($C$19)&gt;0,N(B256)&lt;=N($C$20)),D256*$F$8,0)</f>
        <v>0</v>
      </c>
      <c r="H256" s="41" t="n">
        <f aca="false">IF(D256&lt;=0.5,0,MIN(IF(N(I256)&gt;0,I256,$F$9),D256+E256+F256))</f>
        <v>0</v>
      </c>
      <c r="I256" s="77"/>
      <c r="J256" s="77"/>
      <c r="K256" s="41" t="n">
        <f aca="false">IF(D256&lt;=0.5,0,MIN(H256+N(J256),D256+E256+F256))</f>
        <v>0</v>
      </c>
      <c r="L256" s="41" t="n">
        <f aca="false">K256-E256-F256</f>
        <v>0</v>
      </c>
      <c r="M256" s="41" t="n">
        <f aca="false">D256-L256</f>
        <v>0</v>
      </c>
      <c r="N256" s="42" t="n">
        <f aca="false">K256-G256</f>
        <v>0</v>
      </c>
      <c r="O256" s="78"/>
      <c r="P256" s="79"/>
      <c r="Q256" s="16" t="str">
        <f aca="false">IF(K256=0,"",IF(R256=1,"Pagada",IF(C256&lt;$F$12,"Vencida",IF(230=$F$13,"Próxima","Pendiente"))))</f>
        <v/>
      </c>
      <c r="R256" s="62" t="n">
        <f aca="false">IF(AND(K256&gt;0,OR(O256="Sí",O256="Si")),1,0)</f>
        <v>0</v>
      </c>
      <c r="S256" s="62" t="n">
        <f aca="false">IF(AND(K256&gt;0,R256=0),1,0)</f>
        <v>0</v>
      </c>
    </row>
    <row r="257" customFormat="false" ht="15" hidden="false" customHeight="false" outlineLevel="0" collapsed="false">
      <c r="B257" s="71" t="str">
        <f aca="false">IF($F$6="Sí",N($C$11)+230,"")</f>
        <v/>
      </c>
      <c r="C257" s="72" t="str">
        <f aca="false">IF(OR($F$6&lt;&gt;"Sí",D257&lt;=0.5),"",EDATE($C$10,230))</f>
        <v/>
      </c>
      <c r="D257" s="41" t="n">
        <f aca="false">MAX(0,M256)</f>
        <v>0</v>
      </c>
      <c r="E257" s="41" t="n">
        <f aca="false">D257*$F$7</f>
        <v>0</v>
      </c>
      <c r="F257" s="41" t="n">
        <f aca="false">IF(D257&gt;0.5,N($C$15),0)</f>
        <v>0</v>
      </c>
      <c r="G257" s="41" t="n">
        <f aca="false">IF(AND(D257&gt;0.5,N($C$19)&gt;0,N(B257)&lt;=N($C$20)),D257*$F$8,0)</f>
        <v>0</v>
      </c>
      <c r="H257" s="41" t="n">
        <f aca="false">IF(D257&lt;=0.5,0,MIN(IF(N(I257)&gt;0,I257,$F$9),D257+E257+F257))</f>
        <v>0</v>
      </c>
      <c r="I257" s="77"/>
      <c r="J257" s="77"/>
      <c r="K257" s="41" t="n">
        <f aca="false">IF(D257&lt;=0.5,0,MIN(H257+N(J257),D257+E257+F257))</f>
        <v>0</v>
      </c>
      <c r="L257" s="41" t="n">
        <f aca="false">K257-E257-F257</f>
        <v>0</v>
      </c>
      <c r="M257" s="41" t="n">
        <f aca="false">D257-L257</f>
        <v>0</v>
      </c>
      <c r="N257" s="42" t="n">
        <f aca="false">K257-G257</f>
        <v>0</v>
      </c>
      <c r="O257" s="78"/>
      <c r="P257" s="79"/>
      <c r="Q257" s="16" t="str">
        <f aca="false">IF(K257=0,"",IF(R257=1,"Pagada",IF(C257&lt;$F$12,"Vencida",IF(231=$F$13,"Próxima","Pendiente"))))</f>
        <v/>
      </c>
      <c r="R257" s="62" t="n">
        <f aca="false">IF(AND(K257&gt;0,OR(O257="Sí",O257="Si")),1,0)</f>
        <v>0</v>
      </c>
      <c r="S257" s="62" t="n">
        <f aca="false">IF(AND(K257&gt;0,R257=0),1,0)</f>
        <v>0</v>
      </c>
    </row>
    <row r="258" customFormat="false" ht="15" hidden="false" customHeight="false" outlineLevel="0" collapsed="false">
      <c r="B258" s="71" t="str">
        <f aca="false">IF($F$6="Sí",N($C$11)+231,"")</f>
        <v/>
      </c>
      <c r="C258" s="72" t="str">
        <f aca="false">IF(OR($F$6&lt;&gt;"Sí",D258&lt;=0.5),"",EDATE($C$10,231))</f>
        <v/>
      </c>
      <c r="D258" s="41" t="n">
        <f aca="false">MAX(0,M257)</f>
        <v>0</v>
      </c>
      <c r="E258" s="41" t="n">
        <f aca="false">D258*$F$7</f>
        <v>0</v>
      </c>
      <c r="F258" s="41" t="n">
        <f aca="false">IF(D258&gt;0.5,N($C$15),0)</f>
        <v>0</v>
      </c>
      <c r="G258" s="41" t="n">
        <f aca="false">IF(AND(D258&gt;0.5,N($C$19)&gt;0,N(B258)&lt;=N($C$20)),D258*$F$8,0)</f>
        <v>0</v>
      </c>
      <c r="H258" s="41" t="n">
        <f aca="false">IF(D258&lt;=0.5,0,MIN(IF(N(I258)&gt;0,I258,$F$9),D258+E258+F258))</f>
        <v>0</v>
      </c>
      <c r="I258" s="77"/>
      <c r="J258" s="77"/>
      <c r="K258" s="41" t="n">
        <f aca="false">IF(D258&lt;=0.5,0,MIN(H258+N(J258),D258+E258+F258))</f>
        <v>0</v>
      </c>
      <c r="L258" s="41" t="n">
        <f aca="false">K258-E258-F258</f>
        <v>0</v>
      </c>
      <c r="M258" s="41" t="n">
        <f aca="false">D258-L258</f>
        <v>0</v>
      </c>
      <c r="N258" s="42" t="n">
        <f aca="false">K258-G258</f>
        <v>0</v>
      </c>
      <c r="O258" s="78"/>
      <c r="P258" s="79"/>
      <c r="Q258" s="16" t="str">
        <f aca="false">IF(K258=0,"",IF(R258=1,"Pagada",IF(C258&lt;$F$12,"Vencida",IF(232=$F$13,"Próxima","Pendiente"))))</f>
        <v/>
      </c>
      <c r="R258" s="62" t="n">
        <f aca="false">IF(AND(K258&gt;0,OR(O258="Sí",O258="Si")),1,0)</f>
        <v>0</v>
      </c>
      <c r="S258" s="62" t="n">
        <f aca="false">IF(AND(K258&gt;0,R258=0),1,0)</f>
        <v>0</v>
      </c>
    </row>
    <row r="259" customFormat="false" ht="15" hidden="false" customHeight="false" outlineLevel="0" collapsed="false">
      <c r="B259" s="71" t="str">
        <f aca="false">IF($F$6="Sí",N($C$11)+232,"")</f>
        <v/>
      </c>
      <c r="C259" s="72" t="str">
        <f aca="false">IF(OR($F$6&lt;&gt;"Sí",D259&lt;=0.5),"",EDATE($C$10,232))</f>
        <v/>
      </c>
      <c r="D259" s="41" t="n">
        <f aca="false">MAX(0,M258)</f>
        <v>0</v>
      </c>
      <c r="E259" s="41" t="n">
        <f aca="false">D259*$F$7</f>
        <v>0</v>
      </c>
      <c r="F259" s="41" t="n">
        <f aca="false">IF(D259&gt;0.5,N($C$15),0)</f>
        <v>0</v>
      </c>
      <c r="G259" s="41" t="n">
        <f aca="false">IF(AND(D259&gt;0.5,N($C$19)&gt;0,N(B259)&lt;=N($C$20)),D259*$F$8,0)</f>
        <v>0</v>
      </c>
      <c r="H259" s="41" t="n">
        <f aca="false">IF(D259&lt;=0.5,0,MIN(IF(N(I259)&gt;0,I259,$F$9),D259+E259+F259))</f>
        <v>0</v>
      </c>
      <c r="I259" s="77"/>
      <c r="J259" s="77"/>
      <c r="K259" s="41" t="n">
        <f aca="false">IF(D259&lt;=0.5,0,MIN(H259+N(J259),D259+E259+F259))</f>
        <v>0</v>
      </c>
      <c r="L259" s="41" t="n">
        <f aca="false">K259-E259-F259</f>
        <v>0</v>
      </c>
      <c r="M259" s="41" t="n">
        <f aca="false">D259-L259</f>
        <v>0</v>
      </c>
      <c r="N259" s="42" t="n">
        <f aca="false">K259-G259</f>
        <v>0</v>
      </c>
      <c r="O259" s="78"/>
      <c r="P259" s="79"/>
      <c r="Q259" s="16" t="str">
        <f aca="false">IF(K259=0,"",IF(R259=1,"Pagada",IF(C259&lt;$F$12,"Vencida",IF(233=$F$13,"Próxima","Pendiente"))))</f>
        <v/>
      </c>
      <c r="R259" s="62" t="n">
        <f aca="false">IF(AND(K259&gt;0,OR(O259="Sí",O259="Si")),1,0)</f>
        <v>0</v>
      </c>
      <c r="S259" s="62" t="n">
        <f aca="false">IF(AND(K259&gt;0,R259=0),1,0)</f>
        <v>0</v>
      </c>
    </row>
    <row r="260" customFormat="false" ht="15" hidden="false" customHeight="false" outlineLevel="0" collapsed="false">
      <c r="B260" s="71" t="str">
        <f aca="false">IF($F$6="Sí",N($C$11)+233,"")</f>
        <v/>
      </c>
      <c r="C260" s="72" t="str">
        <f aca="false">IF(OR($F$6&lt;&gt;"Sí",D260&lt;=0.5),"",EDATE($C$10,233))</f>
        <v/>
      </c>
      <c r="D260" s="41" t="n">
        <f aca="false">MAX(0,M259)</f>
        <v>0</v>
      </c>
      <c r="E260" s="41" t="n">
        <f aca="false">D260*$F$7</f>
        <v>0</v>
      </c>
      <c r="F260" s="41" t="n">
        <f aca="false">IF(D260&gt;0.5,N($C$15),0)</f>
        <v>0</v>
      </c>
      <c r="G260" s="41" t="n">
        <f aca="false">IF(AND(D260&gt;0.5,N($C$19)&gt;0,N(B260)&lt;=N($C$20)),D260*$F$8,0)</f>
        <v>0</v>
      </c>
      <c r="H260" s="41" t="n">
        <f aca="false">IF(D260&lt;=0.5,0,MIN(IF(N(I260)&gt;0,I260,$F$9),D260+E260+F260))</f>
        <v>0</v>
      </c>
      <c r="I260" s="77"/>
      <c r="J260" s="77"/>
      <c r="K260" s="41" t="n">
        <f aca="false">IF(D260&lt;=0.5,0,MIN(H260+N(J260),D260+E260+F260))</f>
        <v>0</v>
      </c>
      <c r="L260" s="41" t="n">
        <f aca="false">K260-E260-F260</f>
        <v>0</v>
      </c>
      <c r="M260" s="41" t="n">
        <f aca="false">D260-L260</f>
        <v>0</v>
      </c>
      <c r="N260" s="42" t="n">
        <f aca="false">K260-G260</f>
        <v>0</v>
      </c>
      <c r="O260" s="78"/>
      <c r="P260" s="79"/>
      <c r="Q260" s="16" t="str">
        <f aca="false">IF(K260=0,"",IF(R260=1,"Pagada",IF(C260&lt;$F$12,"Vencida",IF(234=$F$13,"Próxima","Pendiente"))))</f>
        <v/>
      </c>
      <c r="R260" s="62" t="n">
        <f aca="false">IF(AND(K260&gt;0,OR(O260="Sí",O260="Si")),1,0)</f>
        <v>0</v>
      </c>
      <c r="S260" s="62" t="n">
        <f aca="false">IF(AND(K260&gt;0,R260=0),1,0)</f>
        <v>0</v>
      </c>
    </row>
    <row r="261" customFormat="false" ht="15" hidden="false" customHeight="false" outlineLevel="0" collapsed="false">
      <c r="B261" s="71" t="str">
        <f aca="false">IF($F$6="Sí",N($C$11)+234,"")</f>
        <v/>
      </c>
      <c r="C261" s="72" t="str">
        <f aca="false">IF(OR($F$6&lt;&gt;"Sí",D261&lt;=0.5),"",EDATE($C$10,234))</f>
        <v/>
      </c>
      <c r="D261" s="41" t="n">
        <f aca="false">MAX(0,M260)</f>
        <v>0</v>
      </c>
      <c r="E261" s="41" t="n">
        <f aca="false">D261*$F$7</f>
        <v>0</v>
      </c>
      <c r="F261" s="41" t="n">
        <f aca="false">IF(D261&gt;0.5,N($C$15),0)</f>
        <v>0</v>
      </c>
      <c r="G261" s="41" t="n">
        <f aca="false">IF(AND(D261&gt;0.5,N($C$19)&gt;0,N(B261)&lt;=N($C$20)),D261*$F$8,0)</f>
        <v>0</v>
      </c>
      <c r="H261" s="41" t="n">
        <f aca="false">IF(D261&lt;=0.5,0,MIN(IF(N(I261)&gt;0,I261,$F$9),D261+E261+F261))</f>
        <v>0</v>
      </c>
      <c r="I261" s="77"/>
      <c r="J261" s="77"/>
      <c r="K261" s="41" t="n">
        <f aca="false">IF(D261&lt;=0.5,0,MIN(H261+N(J261),D261+E261+F261))</f>
        <v>0</v>
      </c>
      <c r="L261" s="41" t="n">
        <f aca="false">K261-E261-F261</f>
        <v>0</v>
      </c>
      <c r="M261" s="41" t="n">
        <f aca="false">D261-L261</f>
        <v>0</v>
      </c>
      <c r="N261" s="42" t="n">
        <f aca="false">K261-G261</f>
        <v>0</v>
      </c>
      <c r="O261" s="78"/>
      <c r="P261" s="79"/>
      <c r="Q261" s="16" t="str">
        <f aca="false">IF(K261=0,"",IF(R261=1,"Pagada",IF(C261&lt;$F$12,"Vencida",IF(235=$F$13,"Próxima","Pendiente"))))</f>
        <v/>
      </c>
      <c r="R261" s="62" t="n">
        <f aca="false">IF(AND(K261&gt;0,OR(O261="Sí",O261="Si")),1,0)</f>
        <v>0</v>
      </c>
      <c r="S261" s="62" t="n">
        <f aca="false">IF(AND(K261&gt;0,R261=0),1,0)</f>
        <v>0</v>
      </c>
    </row>
    <row r="262" customFormat="false" ht="15" hidden="false" customHeight="false" outlineLevel="0" collapsed="false">
      <c r="B262" s="71" t="str">
        <f aca="false">IF($F$6="Sí",N($C$11)+235,"")</f>
        <v/>
      </c>
      <c r="C262" s="72" t="str">
        <f aca="false">IF(OR($F$6&lt;&gt;"Sí",D262&lt;=0.5),"",EDATE($C$10,235))</f>
        <v/>
      </c>
      <c r="D262" s="41" t="n">
        <f aca="false">MAX(0,M261)</f>
        <v>0</v>
      </c>
      <c r="E262" s="41" t="n">
        <f aca="false">D262*$F$7</f>
        <v>0</v>
      </c>
      <c r="F262" s="41" t="n">
        <f aca="false">IF(D262&gt;0.5,N($C$15),0)</f>
        <v>0</v>
      </c>
      <c r="G262" s="41" t="n">
        <f aca="false">IF(AND(D262&gt;0.5,N($C$19)&gt;0,N(B262)&lt;=N($C$20)),D262*$F$8,0)</f>
        <v>0</v>
      </c>
      <c r="H262" s="41" t="n">
        <f aca="false">IF(D262&lt;=0.5,0,MIN(IF(N(I262)&gt;0,I262,$F$9),D262+E262+F262))</f>
        <v>0</v>
      </c>
      <c r="I262" s="77"/>
      <c r="J262" s="77"/>
      <c r="K262" s="41" t="n">
        <f aca="false">IF(D262&lt;=0.5,0,MIN(H262+N(J262),D262+E262+F262))</f>
        <v>0</v>
      </c>
      <c r="L262" s="41" t="n">
        <f aca="false">K262-E262-F262</f>
        <v>0</v>
      </c>
      <c r="M262" s="41" t="n">
        <f aca="false">D262-L262</f>
        <v>0</v>
      </c>
      <c r="N262" s="42" t="n">
        <f aca="false">K262-G262</f>
        <v>0</v>
      </c>
      <c r="O262" s="78"/>
      <c r="P262" s="79"/>
      <c r="Q262" s="16" t="str">
        <f aca="false">IF(K262=0,"",IF(R262=1,"Pagada",IF(C262&lt;$F$12,"Vencida",IF(236=$F$13,"Próxima","Pendiente"))))</f>
        <v/>
      </c>
      <c r="R262" s="62" t="n">
        <f aca="false">IF(AND(K262&gt;0,OR(O262="Sí",O262="Si")),1,0)</f>
        <v>0</v>
      </c>
      <c r="S262" s="62" t="n">
        <f aca="false">IF(AND(K262&gt;0,R262=0),1,0)</f>
        <v>0</v>
      </c>
    </row>
    <row r="263" customFormat="false" ht="15" hidden="false" customHeight="false" outlineLevel="0" collapsed="false">
      <c r="B263" s="71" t="str">
        <f aca="false">IF($F$6="Sí",N($C$11)+236,"")</f>
        <v/>
      </c>
      <c r="C263" s="72" t="str">
        <f aca="false">IF(OR($F$6&lt;&gt;"Sí",D263&lt;=0.5),"",EDATE($C$10,236))</f>
        <v/>
      </c>
      <c r="D263" s="41" t="n">
        <f aca="false">MAX(0,M262)</f>
        <v>0</v>
      </c>
      <c r="E263" s="41" t="n">
        <f aca="false">D263*$F$7</f>
        <v>0</v>
      </c>
      <c r="F263" s="41" t="n">
        <f aca="false">IF(D263&gt;0.5,N($C$15),0)</f>
        <v>0</v>
      </c>
      <c r="G263" s="41" t="n">
        <f aca="false">IF(AND(D263&gt;0.5,N($C$19)&gt;0,N(B263)&lt;=N($C$20)),D263*$F$8,0)</f>
        <v>0</v>
      </c>
      <c r="H263" s="41" t="n">
        <f aca="false">IF(D263&lt;=0.5,0,MIN(IF(N(I263)&gt;0,I263,$F$9),D263+E263+F263))</f>
        <v>0</v>
      </c>
      <c r="I263" s="77"/>
      <c r="J263" s="77"/>
      <c r="K263" s="41" t="n">
        <f aca="false">IF(D263&lt;=0.5,0,MIN(H263+N(J263),D263+E263+F263))</f>
        <v>0</v>
      </c>
      <c r="L263" s="41" t="n">
        <f aca="false">K263-E263-F263</f>
        <v>0</v>
      </c>
      <c r="M263" s="41" t="n">
        <f aca="false">D263-L263</f>
        <v>0</v>
      </c>
      <c r="N263" s="42" t="n">
        <f aca="false">K263-G263</f>
        <v>0</v>
      </c>
      <c r="O263" s="78"/>
      <c r="P263" s="79"/>
      <c r="Q263" s="16" t="str">
        <f aca="false">IF(K263=0,"",IF(R263=1,"Pagada",IF(C263&lt;$F$12,"Vencida",IF(237=$F$13,"Próxima","Pendiente"))))</f>
        <v/>
      </c>
      <c r="R263" s="62" t="n">
        <f aca="false">IF(AND(K263&gt;0,OR(O263="Sí",O263="Si")),1,0)</f>
        <v>0</v>
      </c>
      <c r="S263" s="62" t="n">
        <f aca="false">IF(AND(K263&gt;0,R263=0),1,0)</f>
        <v>0</v>
      </c>
    </row>
    <row r="264" customFormat="false" ht="15" hidden="false" customHeight="false" outlineLevel="0" collapsed="false">
      <c r="B264" s="71" t="str">
        <f aca="false">IF($F$6="Sí",N($C$11)+237,"")</f>
        <v/>
      </c>
      <c r="C264" s="72" t="str">
        <f aca="false">IF(OR($F$6&lt;&gt;"Sí",D264&lt;=0.5),"",EDATE($C$10,237))</f>
        <v/>
      </c>
      <c r="D264" s="41" t="n">
        <f aca="false">MAX(0,M263)</f>
        <v>0</v>
      </c>
      <c r="E264" s="41" t="n">
        <f aca="false">D264*$F$7</f>
        <v>0</v>
      </c>
      <c r="F264" s="41" t="n">
        <f aca="false">IF(D264&gt;0.5,N($C$15),0)</f>
        <v>0</v>
      </c>
      <c r="G264" s="41" t="n">
        <f aca="false">IF(AND(D264&gt;0.5,N($C$19)&gt;0,N(B264)&lt;=N($C$20)),D264*$F$8,0)</f>
        <v>0</v>
      </c>
      <c r="H264" s="41" t="n">
        <f aca="false">IF(D264&lt;=0.5,0,MIN(IF(N(I264)&gt;0,I264,$F$9),D264+E264+F264))</f>
        <v>0</v>
      </c>
      <c r="I264" s="77"/>
      <c r="J264" s="77"/>
      <c r="K264" s="41" t="n">
        <f aca="false">IF(D264&lt;=0.5,0,MIN(H264+N(J264),D264+E264+F264))</f>
        <v>0</v>
      </c>
      <c r="L264" s="41" t="n">
        <f aca="false">K264-E264-F264</f>
        <v>0</v>
      </c>
      <c r="M264" s="41" t="n">
        <f aca="false">D264-L264</f>
        <v>0</v>
      </c>
      <c r="N264" s="42" t="n">
        <f aca="false">K264-G264</f>
        <v>0</v>
      </c>
      <c r="O264" s="78"/>
      <c r="P264" s="79"/>
      <c r="Q264" s="16" t="str">
        <f aca="false">IF(K264=0,"",IF(R264=1,"Pagada",IF(C264&lt;$F$12,"Vencida",IF(238=$F$13,"Próxima","Pendiente"))))</f>
        <v/>
      </c>
      <c r="R264" s="62" t="n">
        <f aca="false">IF(AND(K264&gt;0,OR(O264="Sí",O264="Si")),1,0)</f>
        <v>0</v>
      </c>
      <c r="S264" s="62" t="n">
        <f aca="false">IF(AND(K264&gt;0,R264=0),1,0)</f>
        <v>0</v>
      </c>
    </row>
    <row r="265" customFormat="false" ht="15" hidden="false" customHeight="false" outlineLevel="0" collapsed="false">
      <c r="B265" s="71" t="str">
        <f aca="false">IF($F$6="Sí",N($C$11)+238,"")</f>
        <v/>
      </c>
      <c r="C265" s="72" t="str">
        <f aca="false">IF(OR($F$6&lt;&gt;"Sí",D265&lt;=0.5),"",EDATE($C$10,238))</f>
        <v/>
      </c>
      <c r="D265" s="41" t="n">
        <f aca="false">MAX(0,M264)</f>
        <v>0</v>
      </c>
      <c r="E265" s="41" t="n">
        <f aca="false">D265*$F$7</f>
        <v>0</v>
      </c>
      <c r="F265" s="41" t="n">
        <f aca="false">IF(D265&gt;0.5,N($C$15),0)</f>
        <v>0</v>
      </c>
      <c r="G265" s="41" t="n">
        <f aca="false">IF(AND(D265&gt;0.5,N($C$19)&gt;0,N(B265)&lt;=N($C$20)),D265*$F$8,0)</f>
        <v>0</v>
      </c>
      <c r="H265" s="41" t="n">
        <f aca="false">IF(D265&lt;=0.5,0,MIN(IF(N(I265)&gt;0,I265,$F$9),D265+E265+F265))</f>
        <v>0</v>
      </c>
      <c r="I265" s="77"/>
      <c r="J265" s="77"/>
      <c r="K265" s="41" t="n">
        <f aca="false">IF(D265&lt;=0.5,0,MIN(H265+N(J265),D265+E265+F265))</f>
        <v>0</v>
      </c>
      <c r="L265" s="41" t="n">
        <f aca="false">K265-E265-F265</f>
        <v>0</v>
      </c>
      <c r="M265" s="41" t="n">
        <f aca="false">D265-L265</f>
        <v>0</v>
      </c>
      <c r="N265" s="42" t="n">
        <f aca="false">K265-G265</f>
        <v>0</v>
      </c>
      <c r="O265" s="78"/>
      <c r="P265" s="79"/>
      <c r="Q265" s="16" t="str">
        <f aca="false">IF(K265=0,"",IF(R265=1,"Pagada",IF(C265&lt;$F$12,"Vencida",IF(239=$F$13,"Próxima","Pendiente"))))</f>
        <v/>
      </c>
      <c r="R265" s="62" t="n">
        <f aca="false">IF(AND(K265&gt;0,OR(O265="Sí",O265="Si")),1,0)</f>
        <v>0</v>
      </c>
      <c r="S265" s="62" t="n">
        <f aca="false">IF(AND(K265&gt;0,R265=0),1,0)</f>
        <v>0</v>
      </c>
    </row>
    <row r="266" customFormat="false" ht="15" hidden="false" customHeight="false" outlineLevel="0" collapsed="false">
      <c r="B266" s="71" t="str">
        <f aca="false">IF($F$6="Sí",N($C$11)+239,"")</f>
        <v/>
      </c>
      <c r="C266" s="72" t="str">
        <f aca="false">IF(OR($F$6&lt;&gt;"Sí",D266&lt;=0.5),"",EDATE($C$10,239))</f>
        <v/>
      </c>
      <c r="D266" s="41" t="n">
        <f aca="false">MAX(0,M265)</f>
        <v>0</v>
      </c>
      <c r="E266" s="41" t="n">
        <f aca="false">D266*$F$7</f>
        <v>0</v>
      </c>
      <c r="F266" s="41" t="n">
        <f aca="false">IF(D266&gt;0.5,N($C$15),0)</f>
        <v>0</v>
      </c>
      <c r="G266" s="41" t="n">
        <f aca="false">IF(AND(D266&gt;0.5,N($C$19)&gt;0,N(B266)&lt;=N($C$20)),D266*$F$8,0)</f>
        <v>0</v>
      </c>
      <c r="H266" s="41" t="n">
        <f aca="false">IF(D266&lt;=0.5,0,MIN(IF(N(I266)&gt;0,I266,$F$9),D266+E266+F266))</f>
        <v>0</v>
      </c>
      <c r="I266" s="77"/>
      <c r="J266" s="77"/>
      <c r="K266" s="41" t="n">
        <f aca="false">IF(D266&lt;=0.5,0,MIN(H266+N(J266),D266+E266+F266))</f>
        <v>0</v>
      </c>
      <c r="L266" s="41" t="n">
        <f aca="false">K266-E266-F266</f>
        <v>0</v>
      </c>
      <c r="M266" s="41" t="n">
        <f aca="false">D266-L266</f>
        <v>0</v>
      </c>
      <c r="N266" s="42" t="n">
        <f aca="false">K266-G266</f>
        <v>0</v>
      </c>
      <c r="O266" s="78"/>
      <c r="P266" s="79"/>
      <c r="Q266" s="16" t="str">
        <f aca="false">IF(K266=0,"",IF(R266=1,"Pagada",IF(C266&lt;$F$12,"Vencida",IF(240=$F$13,"Próxima","Pendiente"))))</f>
        <v/>
      </c>
      <c r="R266" s="62" t="n">
        <f aca="false">IF(AND(K266&gt;0,OR(O266="Sí",O266="Si")),1,0)</f>
        <v>0</v>
      </c>
      <c r="S266" s="62" t="n">
        <f aca="false">IF(AND(K266&gt;0,R266=0),1,0)</f>
        <v>0</v>
      </c>
    </row>
    <row r="267" customFormat="false" ht="15" hidden="false" customHeight="false" outlineLevel="0" collapsed="false">
      <c r="B267" s="71" t="str">
        <f aca="false">IF($F$6="Sí",N($C$11)+240,"")</f>
        <v/>
      </c>
      <c r="C267" s="72" t="str">
        <f aca="false">IF(OR($F$6&lt;&gt;"Sí",D267&lt;=0.5),"",EDATE($C$10,240))</f>
        <v/>
      </c>
      <c r="D267" s="41" t="n">
        <f aca="false">MAX(0,M266)</f>
        <v>0</v>
      </c>
      <c r="E267" s="41" t="n">
        <f aca="false">D267*$F$7</f>
        <v>0</v>
      </c>
      <c r="F267" s="41" t="n">
        <f aca="false">IF(D267&gt;0.5,N($C$15),0)</f>
        <v>0</v>
      </c>
      <c r="G267" s="41" t="n">
        <f aca="false">IF(AND(D267&gt;0.5,N($C$19)&gt;0,N(B267)&lt;=N($C$20)),D267*$F$8,0)</f>
        <v>0</v>
      </c>
      <c r="H267" s="41" t="n">
        <f aca="false">IF(D267&lt;=0.5,0,MIN(IF(N(I267)&gt;0,I267,$F$9),D267+E267+F267))</f>
        <v>0</v>
      </c>
      <c r="I267" s="77"/>
      <c r="J267" s="77"/>
      <c r="K267" s="41" t="n">
        <f aca="false">IF(D267&lt;=0.5,0,MIN(H267+N(J267),D267+E267+F267))</f>
        <v>0</v>
      </c>
      <c r="L267" s="41" t="n">
        <f aca="false">K267-E267-F267</f>
        <v>0</v>
      </c>
      <c r="M267" s="41" t="n">
        <f aca="false">D267-L267</f>
        <v>0</v>
      </c>
      <c r="N267" s="42" t="n">
        <f aca="false">K267-G267</f>
        <v>0</v>
      </c>
      <c r="O267" s="78"/>
      <c r="P267" s="79"/>
      <c r="Q267" s="16" t="str">
        <f aca="false">IF(K267=0,"",IF(R267=1,"Pagada",IF(C267&lt;$F$12,"Vencida",IF(241=$F$13,"Próxima","Pendiente"))))</f>
        <v/>
      </c>
      <c r="R267" s="62" t="n">
        <f aca="false">IF(AND(K267&gt;0,OR(O267="Sí",O267="Si")),1,0)</f>
        <v>0</v>
      </c>
      <c r="S267" s="62" t="n">
        <f aca="false">IF(AND(K267&gt;0,R267=0),1,0)</f>
        <v>0</v>
      </c>
    </row>
    <row r="268" customFormat="false" ht="15" hidden="false" customHeight="false" outlineLevel="0" collapsed="false">
      <c r="B268" s="71" t="str">
        <f aca="false">IF($F$6="Sí",N($C$11)+241,"")</f>
        <v/>
      </c>
      <c r="C268" s="72" t="str">
        <f aca="false">IF(OR($F$6&lt;&gt;"Sí",D268&lt;=0.5),"",EDATE($C$10,241))</f>
        <v/>
      </c>
      <c r="D268" s="41" t="n">
        <f aca="false">MAX(0,M267)</f>
        <v>0</v>
      </c>
      <c r="E268" s="41" t="n">
        <f aca="false">D268*$F$7</f>
        <v>0</v>
      </c>
      <c r="F268" s="41" t="n">
        <f aca="false">IF(D268&gt;0.5,N($C$15),0)</f>
        <v>0</v>
      </c>
      <c r="G268" s="41" t="n">
        <f aca="false">IF(AND(D268&gt;0.5,N($C$19)&gt;0,N(B268)&lt;=N($C$20)),D268*$F$8,0)</f>
        <v>0</v>
      </c>
      <c r="H268" s="41" t="n">
        <f aca="false">IF(D268&lt;=0.5,0,MIN(IF(N(I268)&gt;0,I268,$F$9),D268+E268+F268))</f>
        <v>0</v>
      </c>
      <c r="I268" s="77"/>
      <c r="J268" s="77"/>
      <c r="K268" s="41" t="n">
        <f aca="false">IF(D268&lt;=0.5,0,MIN(H268+N(J268),D268+E268+F268))</f>
        <v>0</v>
      </c>
      <c r="L268" s="41" t="n">
        <f aca="false">K268-E268-F268</f>
        <v>0</v>
      </c>
      <c r="M268" s="41" t="n">
        <f aca="false">D268-L268</f>
        <v>0</v>
      </c>
      <c r="N268" s="42" t="n">
        <f aca="false">K268-G268</f>
        <v>0</v>
      </c>
      <c r="O268" s="78"/>
      <c r="P268" s="79"/>
      <c r="Q268" s="16" t="str">
        <f aca="false">IF(K268=0,"",IF(R268=1,"Pagada",IF(C268&lt;$F$12,"Vencida",IF(242=$F$13,"Próxima","Pendiente"))))</f>
        <v/>
      </c>
      <c r="R268" s="62" t="n">
        <f aca="false">IF(AND(K268&gt;0,OR(O268="Sí",O268="Si")),1,0)</f>
        <v>0</v>
      </c>
      <c r="S268" s="62" t="n">
        <f aca="false">IF(AND(K268&gt;0,R268=0),1,0)</f>
        <v>0</v>
      </c>
    </row>
    <row r="269" customFormat="false" ht="15" hidden="false" customHeight="false" outlineLevel="0" collapsed="false">
      <c r="B269" s="71" t="str">
        <f aca="false">IF($F$6="Sí",N($C$11)+242,"")</f>
        <v/>
      </c>
      <c r="C269" s="72" t="str">
        <f aca="false">IF(OR($F$6&lt;&gt;"Sí",D269&lt;=0.5),"",EDATE($C$10,242))</f>
        <v/>
      </c>
      <c r="D269" s="41" t="n">
        <f aca="false">MAX(0,M268)</f>
        <v>0</v>
      </c>
      <c r="E269" s="41" t="n">
        <f aca="false">D269*$F$7</f>
        <v>0</v>
      </c>
      <c r="F269" s="41" t="n">
        <f aca="false">IF(D269&gt;0.5,N($C$15),0)</f>
        <v>0</v>
      </c>
      <c r="G269" s="41" t="n">
        <f aca="false">IF(AND(D269&gt;0.5,N($C$19)&gt;0,N(B269)&lt;=N($C$20)),D269*$F$8,0)</f>
        <v>0</v>
      </c>
      <c r="H269" s="41" t="n">
        <f aca="false">IF(D269&lt;=0.5,0,MIN(IF(N(I269)&gt;0,I269,$F$9),D269+E269+F269))</f>
        <v>0</v>
      </c>
      <c r="I269" s="77"/>
      <c r="J269" s="77"/>
      <c r="K269" s="41" t="n">
        <f aca="false">IF(D269&lt;=0.5,0,MIN(H269+N(J269),D269+E269+F269))</f>
        <v>0</v>
      </c>
      <c r="L269" s="41" t="n">
        <f aca="false">K269-E269-F269</f>
        <v>0</v>
      </c>
      <c r="M269" s="41" t="n">
        <f aca="false">D269-L269</f>
        <v>0</v>
      </c>
      <c r="N269" s="42" t="n">
        <f aca="false">K269-G269</f>
        <v>0</v>
      </c>
      <c r="O269" s="78"/>
      <c r="P269" s="79"/>
      <c r="Q269" s="16" t="str">
        <f aca="false">IF(K269=0,"",IF(R269=1,"Pagada",IF(C269&lt;$F$12,"Vencida",IF(243=$F$13,"Próxima","Pendiente"))))</f>
        <v/>
      </c>
      <c r="R269" s="62" t="n">
        <f aca="false">IF(AND(K269&gt;0,OR(O269="Sí",O269="Si")),1,0)</f>
        <v>0</v>
      </c>
      <c r="S269" s="62" t="n">
        <f aca="false">IF(AND(K269&gt;0,R269=0),1,0)</f>
        <v>0</v>
      </c>
    </row>
    <row r="270" customFormat="false" ht="15" hidden="false" customHeight="false" outlineLevel="0" collapsed="false">
      <c r="B270" s="71" t="str">
        <f aca="false">IF($F$6="Sí",N($C$11)+243,"")</f>
        <v/>
      </c>
      <c r="C270" s="72" t="str">
        <f aca="false">IF(OR($F$6&lt;&gt;"Sí",D270&lt;=0.5),"",EDATE($C$10,243))</f>
        <v/>
      </c>
      <c r="D270" s="41" t="n">
        <f aca="false">MAX(0,M269)</f>
        <v>0</v>
      </c>
      <c r="E270" s="41" t="n">
        <f aca="false">D270*$F$7</f>
        <v>0</v>
      </c>
      <c r="F270" s="41" t="n">
        <f aca="false">IF(D270&gt;0.5,N($C$15),0)</f>
        <v>0</v>
      </c>
      <c r="G270" s="41" t="n">
        <f aca="false">IF(AND(D270&gt;0.5,N($C$19)&gt;0,N(B270)&lt;=N($C$20)),D270*$F$8,0)</f>
        <v>0</v>
      </c>
      <c r="H270" s="41" t="n">
        <f aca="false">IF(D270&lt;=0.5,0,MIN(IF(N(I270)&gt;0,I270,$F$9),D270+E270+F270))</f>
        <v>0</v>
      </c>
      <c r="I270" s="77"/>
      <c r="J270" s="77"/>
      <c r="K270" s="41" t="n">
        <f aca="false">IF(D270&lt;=0.5,0,MIN(H270+N(J270),D270+E270+F270))</f>
        <v>0</v>
      </c>
      <c r="L270" s="41" t="n">
        <f aca="false">K270-E270-F270</f>
        <v>0</v>
      </c>
      <c r="M270" s="41" t="n">
        <f aca="false">D270-L270</f>
        <v>0</v>
      </c>
      <c r="N270" s="42" t="n">
        <f aca="false">K270-G270</f>
        <v>0</v>
      </c>
      <c r="O270" s="78"/>
      <c r="P270" s="79"/>
      <c r="Q270" s="16" t="str">
        <f aca="false">IF(K270=0,"",IF(R270=1,"Pagada",IF(C270&lt;$F$12,"Vencida",IF(244=$F$13,"Próxima","Pendiente"))))</f>
        <v/>
      </c>
      <c r="R270" s="62" t="n">
        <f aca="false">IF(AND(K270&gt;0,OR(O270="Sí",O270="Si")),1,0)</f>
        <v>0</v>
      </c>
      <c r="S270" s="62" t="n">
        <f aca="false">IF(AND(K270&gt;0,R270=0),1,0)</f>
        <v>0</v>
      </c>
    </row>
    <row r="271" customFormat="false" ht="15" hidden="false" customHeight="false" outlineLevel="0" collapsed="false">
      <c r="B271" s="71" t="str">
        <f aca="false">IF($F$6="Sí",N($C$11)+244,"")</f>
        <v/>
      </c>
      <c r="C271" s="72" t="str">
        <f aca="false">IF(OR($F$6&lt;&gt;"Sí",D271&lt;=0.5),"",EDATE($C$10,244))</f>
        <v/>
      </c>
      <c r="D271" s="41" t="n">
        <f aca="false">MAX(0,M270)</f>
        <v>0</v>
      </c>
      <c r="E271" s="41" t="n">
        <f aca="false">D271*$F$7</f>
        <v>0</v>
      </c>
      <c r="F271" s="41" t="n">
        <f aca="false">IF(D271&gt;0.5,N($C$15),0)</f>
        <v>0</v>
      </c>
      <c r="G271" s="41" t="n">
        <f aca="false">IF(AND(D271&gt;0.5,N($C$19)&gt;0,N(B271)&lt;=N($C$20)),D271*$F$8,0)</f>
        <v>0</v>
      </c>
      <c r="H271" s="41" t="n">
        <f aca="false">IF(D271&lt;=0.5,0,MIN(IF(N(I271)&gt;0,I271,$F$9),D271+E271+F271))</f>
        <v>0</v>
      </c>
      <c r="I271" s="77"/>
      <c r="J271" s="77"/>
      <c r="K271" s="41" t="n">
        <f aca="false">IF(D271&lt;=0.5,0,MIN(H271+N(J271),D271+E271+F271))</f>
        <v>0</v>
      </c>
      <c r="L271" s="41" t="n">
        <f aca="false">K271-E271-F271</f>
        <v>0</v>
      </c>
      <c r="M271" s="41" t="n">
        <f aca="false">D271-L271</f>
        <v>0</v>
      </c>
      <c r="N271" s="42" t="n">
        <f aca="false">K271-G271</f>
        <v>0</v>
      </c>
      <c r="O271" s="78"/>
      <c r="P271" s="79"/>
      <c r="Q271" s="16" t="str">
        <f aca="false">IF(K271=0,"",IF(R271=1,"Pagada",IF(C271&lt;$F$12,"Vencida",IF(245=$F$13,"Próxima","Pendiente"))))</f>
        <v/>
      </c>
      <c r="R271" s="62" t="n">
        <f aca="false">IF(AND(K271&gt;0,OR(O271="Sí",O271="Si")),1,0)</f>
        <v>0</v>
      </c>
      <c r="S271" s="62" t="n">
        <f aca="false">IF(AND(K271&gt;0,R271=0),1,0)</f>
        <v>0</v>
      </c>
    </row>
    <row r="272" customFormat="false" ht="15" hidden="false" customHeight="false" outlineLevel="0" collapsed="false">
      <c r="B272" s="71" t="str">
        <f aca="false">IF($F$6="Sí",N($C$11)+245,"")</f>
        <v/>
      </c>
      <c r="C272" s="72" t="str">
        <f aca="false">IF(OR($F$6&lt;&gt;"Sí",D272&lt;=0.5),"",EDATE($C$10,245))</f>
        <v/>
      </c>
      <c r="D272" s="41" t="n">
        <f aca="false">MAX(0,M271)</f>
        <v>0</v>
      </c>
      <c r="E272" s="41" t="n">
        <f aca="false">D272*$F$7</f>
        <v>0</v>
      </c>
      <c r="F272" s="41" t="n">
        <f aca="false">IF(D272&gt;0.5,N($C$15),0)</f>
        <v>0</v>
      </c>
      <c r="G272" s="41" t="n">
        <f aca="false">IF(AND(D272&gt;0.5,N($C$19)&gt;0,N(B272)&lt;=N($C$20)),D272*$F$8,0)</f>
        <v>0</v>
      </c>
      <c r="H272" s="41" t="n">
        <f aca="false">IF(D272&lt;=0.5,0,MIN(IF(N(I272)&gt;0,I272,$F$9),D272+E272+F272))</f>
        <v>0</v>
      </c>
      <c r="I272" s="77"/>
      <c r="J272" s="77"/>
      <c r="K272" s="41" t="n">
        <f aca="false">IF(D272&lt;=0.5,0,MIN(H272+N(J272),D272+E272+F272))</f>
        <v>0</v>
      </c>
      <c r="L272" s="41" t="n">
        <f aca="false">K272-E272-F272</f>
        <v>0</v>
      </c>
      <c r="M272" s="41" t="n">
        <f aca="false">D272-L272</f>
        <v>0</v>
      </c>
      <c r="N272" s="42" t="n">
        <f aca="false">K272-G272</f>
        <v>0</v>
      </c>
      <c r="O272" s="78"/>
      <c r="P272" s="79"/>
      <c r="Q272" s="16" t="str">
        <f aca="false">IF(K272=0,"",IF(R272=1,"Pagada",IF(C272&lt;$F$12,"Vencida",IF(246=$F$13,"Próxima","Pendiente"))))</f>
        <v/>
      </c>
      <c r="R272" s="62" t="n">
        <f aca="false">IF(AND(K272&gt;0,OR(O272="Sí",O272="Si")),1,0)</f>
        <v>0</v>
      </c>
      <c r="S272" s="62" t="n">
        <f aca="false">IF(AND(K272&gt;0,R272=0),1,0)</f>
        <v>0</v>
      </c>
    </row>
    <row r="273" customFormat="false" ht="15" hidden="false" customHeight="false" outlineLevel="0" collapsed="false">
      <c r="B273" s="71" t="str">
        <f aca="false">IF($F$6="Sí",N($C$11)+246,"")</f>
        <v/>
      </c>
      <c r="C273" s="72" t="str">
        <f aca="false">IF(OR($F$6&lt;&gt;"Sí",D273&lt;=0.5),"",EDATE($C$10,246))</f>
        <v/>
      </c>
      <c r="D273" s="41" t="n">
        <f aca="false">MAX(0,M272)</f>
        <v>0</v>
      </c>
      <c r="E273" s="41" t="n">
        <f aca="false">D273*$F$7</f>
        <v>0</v>
      </c>
      <c r="F273" s="41" t="n">
        <f aca="false">IF(D273&gt;0.5,N($C$15),0)</f>
        <v>0</v>
      </c>
      <c r="G273" s="41" t="n">
        <f aca="false">IF(AND(D273&gt;0.5,N($C$19)&gt;0,N(B273)&lt;=N($C$20)),D273*$F$8,0)</f>
        <v>0</v>
      </c>
      <c r="H273" s="41" t="n">
        <f aca="false">IF(D273&lt;=0.5,0,MIN(IF(N(I273)&gt;0,I273,$F$9),D273+E273+F273))</f>
        <v>0</v>
      </c>
      <c r="I273" s="77"/>
      <c r="J273" s="77"/>
      <c r="K273" s="41" t="n">
        <f aca="false">IF(D273&lt;=0.5,0,MIN(H273+N(J273),D273+E273+F273))</f>
        <v>0</v>
      </c>
      <c r="L273" s="41" t="n">
        <f aca="false">K273-E273-F273</f>
        <v>0</v>
      </c>
      <c r="M273" s="41" t="n">
        <f aca="false">D273-L273</f>
        <v>0</v>
      </c>
      <c r="N273" s="42" t="n">
        <f aca="false">K273-G273</f>
        <v>0</v>
      </c>
      <c r="O273" s="78"/>
      <c r="P273" s="79"/>
      <c r="Q273" s="16" t="str">
        <f aca="false">IF(K273=0,"",IF(R273=1,"Pagada",IF(C273&lt;$F$12,"Vencida",IF(247=$F$13,"Próxima","Pendiente"))))</f>
        <v/>
      </c>
      <c r="R273" s="62" t="n">
        <f aca="false">IF(AND(K273&gt;0,OR(O273="Sí",O273="Si")),1,0)</f>
        <v>0</v>
      </c>
      <c r="S273" s="62" t="n">
        <f aca="false">IF(AND(K273&gt;0,R273=0),1,0)</f>
        <v>0</v>
      </c>
    </row>
    <row r="274" customFormat="false" ht="15" hidden="false" customHeight="false" outlineLevel="0" collapsed="false">
      <c r="B274" s="71" t="str">
        <f aca="false">IF($F$6="Sí",N($C$11)+247,"")</f>
        <v/>
      </c>
      <c r="C274" s="72" t="str">
        <f aca="false">IF(OR($F$6&lt;&gt;"Sí",D274&lt;=0.5),"",EDATE($C$10,247))</f>
        <v/>
      </c>
      <c r="D274" s="41" t="n">
        <f aca="false">MAX(0,M273)</f>
        <v>0</v>
      </c>
      <c r="E274" s="41" t="n">
        <f aca="false">D274*$F$7</f>
        <v>0</v>
      </c>
      <c r="F274" s="41" t="n">
        <f aca="false">IF(D274&gt;0.5,N($C$15),0)</f>
        <v>0</v>
      </c>
      <c r="G274" s="41" t="n">
        <f aca="false">IF(AND(D274&gt;0.5,N($C$19)&gt;0,N(B274)&lt;=N($C$20)),D274*$F$8,0)</f>
        <v>0</v>
      </c>
      <c r="H274" s="41" t="n">
        <f aca="false">IF(D274&lt;=0.5,0,MIN(IF(N(I274)&gt;0,I274,$F$9),D274+E274+F274))</f>
        <v>0</v>
      </c>
      <c r="I274" s="77"/>
      <c r="J274" s="77"/>
      <c r="K274" s="41" t="n">
        <f aca="false">IF(D274&lt;=0.5,0,MIN(H274+N(J274),D274+E274+F274))</f>
        <v>0</v>
      </c>
      <c r="L274" s="41" t="n">
        <f aca="false">K274-E274-F274</f>
        <v>0</v>
      </c>
      <c r="M274" s="41" t="n">
        <f aca="false">D274-L274</f>
        <v>0</v>
      </c>
      <c r="N274" s="42" t="n">
        <f aca="false">K274-G274</f>
        <v>0</v>
      </c>
      <c r="O274" s="78"/>
      <c r="P274" s="79"/>
      <c r="Q274" s="16" t="str">
        <f aca="false">IF(K274=0,"",IF(R274=1,"Pagada",IF(C274&lt;$F$12,"Vencida",IF(248=$F$13,"Próxima","Pendiente"))))</f>
        <v/>
      </c>
      <c r="R274" s="62" t="n">
        <f aca="false">IF(AND(K274&gt;0,OR(O274="Sí",O274="Si")),1,0)</f>
        <v>0</v>
      </c>
      <c r="S274" s="62" t="n">
        <f aca="false">IF(AND(K274&gt;0,R274=0),1,0)</f>
        <v>0</v>
      </c>
    </row>
    <row r="275" customFormat="false" ht="15" hidden="false" customHeight="false" outlineLevel="0" collapsed="false">
      <c r="B275" s="71" t="str">
        <f aca="false">IF($F$6="Sí",N($C$11)+248,"")</f>
        <v/>
      </c>
      <c r="C275" s="72" t="str">
        <f aca="false">IF(OR($F$6&lt;&gt;"Sí",D275&lt;=0.5),"",EDATE($C$10,248))</f>
        <v/>
      </c>
      <c r="D275" s="41" t="n">
        <f aca="false">MAX(0,M274)</f>
        <v>0</v>
      </c>
      <c r="E275" s="41" t="n">
        <f aca="false">D275*$F$7</f>
        <v>0</v>
      </c>
      <c r="F275" s="41" t="n">
        <f aca="false">IF(D275&gt;0.5,N($C$15),0)</f>
        <v>0</v>
      </c>
      <c r="G275" s="41" t="n">
        <f aca="false">IF(AND(D275&gt;0.5,N($C$19)&gt;0,N(B275)&lt;=N($C$20)),D275*$F$8,0)</f>
        <v>0</v>
      </c>
      <c r="H275" s="41" t="n">
        <f aca="false">IF(D275&lt;=0.5,0,MIN(IF(N(I275)&gt;0,I275,$F$9),D275+E275+F275))</f>
        <v>0</v>
      </c>
      <c r="I275" s="77"/>
      <c r="J275" s="77"/>
      <c r="K275" s="41" t="n">
        <f aca="false">IF(D275&lt;=0.5,0,MIN(H275+N(J275),D275+E275+F275))</f>
        <v>0</v>
      </c>
      <c r="L275" s="41" t="n">
        <f aca="false">K275-E275-F275</f>
        <v>0</v>
      </c>
      <c r="M275" s="41" t="n">
        <f aca="false">D275-L275</f>
        <v>0</v>
      </c>
      <c r="N275" s="42" t="n">
        <f aca="false">K275-G275</f>
        <v>0</v>
      </c>
      <c r="O275" s="78"/>
      <c r="P275" s="79"/>
      <c r="Q275" s="16" t="str">
        <f aca="false">IF(K275=0,"",IF(R275=1,"Pagada",IF(C275&lt;$F$12,"Vencida",IF(249=$F$13,"Próxima","Pendiente"))))</f>
        <v/>
      </c>
      <c r="R275" s="62" t="n">
        <f aca="false">IF(AND(K275&gt;0,OR(O275="Sí",O275="Si")),1,0)</f>
        <v>0</v>
      </c>
      <c r="S275" s="62" t="n">
        <f aca="false">IF(AND(K275&gt;0,R275=0),1,0)</f>
        <v>0</v>
      </c>
    </row>
    <row r="276" customFormat="false" ht="15" hidden="false" customHeight="false" outlineLevel="0" collapsed="false">
      <c r="B276" s="71" t="str">
        <f aca="false">IF($F$6="Sí",N($C$11)+249,"")</f>
        <v/>
      </c>
      <c r="C276" s="72" t="str">
        <f aca="false">IF(OR($F$6&lt;&gt;"Sí",D276&lt;=0.5),"",EDATE($C$10,249))</f>
        <v/>
      </c>
      <c r="D276" s="41" t="n">
        <f aca="false">MAX(0,M275)</f>
        <v>0</v>
      </c>
      <c r="E276" s="41" t="n">
        <f aca="false">D276*$F$7</f>
        <v>0</v>
      </c>
      <c r="F276" s="41" t="n">
        <f aca="false">IF(D276&gt;0.5,N($C$15),0)</f>
        <v>0</v>
      </c>
      <c r="G276" s="41" t="n">
        <f aca="false">IF(AND(D276&gt;0.5,N($C$19)&gt;0,N(B276)&lt;=N($C$20)),D276*$F$8,0)</f>
        <v>0</v>
      </c>
      <c r="H276" s="41" t="n">
        <f aca="false">IF(D276&lt;=0.5,0,MIN(IF(N(I276)&gt;0,I276,$F$9),D276+E276+F276))</f>
        <v>0</v>
      </c>
      <c r="I276" s="77"/>
      <c r="J276" s="77"/>
      <c r="K276" s="41" t="n">
        <f aca="false">IF(D276&lt;=0.5,0,MIN(H276+N(J276),D276+E276+F276))</f>
        <v>0</v>
      </c>
      <c r="L276" s="41" t="n">
        <f aca="false">K276-E276-F276</f>
        <v>0</v>
      </c>
      <c r="M276" s="41" t="n">
        <f aca="false">D276-L276</f>
        <v>0</v>
      </c>
      <c r="N276" s="42" t="n">
        <f aca="false">K276-G276</f>
        <v>0</v>
      </c>
      <c r="O276" s="78"/>
      <c r="P276" s="79"/>
      <c r="Q276" s="16" t="str">
        <f aca="false">IF(K276=0,"",IF(R276=1,"Pagada",IF(C276&lt;$F$12,"Vencida",IF(250=$F$13,"Próxima","Pendiente"))))</f>
        <v/>
      </c>
      <c r="R276" s="62" t="n">
        <f aca="false">IF(AND(K276&gt;0,OR(O276="Sí",O276="Si")),1,0)</f>
        <v>0</v>
      </c>
      <c r="S276" s="62" t="n">
        <f aca="false">IF(AND(K276&gt;0,R276=0),1,0)</f>
        <v>0</v>
      </c>
    </row>
    <row r="277" customFormat="false" ht="15" hidden="false" customHeight="false" outlineLevel="0" collapsed="false">
      <c r="B277" s="71" t="str">
        <f aca="false">IF($F$6="Sí",N($C$11)+250,"")</f>
        <v/>
      </c>
      <c r="C277" s="72" t="str">
        <f aca="false">IF(OR($F$6&lt;&gt;"Sí",D277&lt;=0.5),"",EDATE($C$10,250))</f>
        <v/>
      </c>
      <c r="D277" s="41" t="n">
        <f aca="false">MAX(0,M276)</f>
        <v>0</v>
      </c>
      <c r="E277" s="41" t="n">
        <f aca="false">D277*$F$7</f>
        <v>0</v>
      </c>
      <c r="F277" s="41" t="n">
        <f aca="false">IF(D277&gt;0.5,N($C$15),0)</f>
        <v>0</v>
      </c>
      <c r="G277" s="41" t="n">
        <f aca="false">IF(AND(D277&gt;0.5,N($C$19)&gt;0,N(B277)&lt;=N($C$20)),D277*$F$8,0)</f>
        <v>0</v>
      </c>
      <c r="H277" s="41" t="n">
        <f aca="false">IF(D277&lt;=0.5,0,MIN(IF(N(I277)&gt;0,I277,$F$9),D277+E277+F277))</f>
        <v>0</v>
      </c>
      <c r="I277" s="77"/>
      <c r="J277" s="77"/>
      <c r="K277" s="41" t="n">
        <f aca="false">IF(D277&lt;=0.5,0,MIN(H277+N(J277),D277+E277+F277))</f>
        <v>0</v>
      </c>
      <c r="L277" s="41" t="n">
        <f aca="false">K277-E277-F277</f>
        <v>0</v>
      </c>
      <c r="M277" s="41" t="n">
        <f aca="false">D277-L277</f>
        <v>0</v>
      </c>
      <c r="N277" s="42" t="n">
        <f aca="false">K277-G277</f>
        <v>0</v>
      </c>
      <c r="O277" s="78"/>
      <c r="P277" s="79"/>
      <c r="Q277" s="16" t="str">
        <f aca="false">IF(K277=0,"",IF(R277=1,"Pagada",IF(C277&lt;$F$12,"Vencida",IF(251=$F$13,"Próxima","Pendiente"))))</f>
        <v/>
      </c>
      <c r="R277" s="62" t="n">
        <f aca="false">IF(AND(K277&gt;0,OR(O277="Sí",O277="Si")),1,0)</f>
        <v>0</v>
      </c>
      <c r="S277" s="62" t="n">
        <f aca="false">IF(AND(K277&gt;0,R277=0),1,0)</f>
        <v>0</v>
      </c>
    </row>
    <row r="278" customFormat="false" ht="15" hidden="false" customHeight="false" outlineLevel="0" collapsed="false">
      <c r="B278" s="71" t="str">
        <f aca="false">IF($F$6="Sí",N($C$11)+251,"")</f>
        <v/>
      </c>
      <c r="C278" s="72" t="str">
        <f aca="false">IF(OR($F$6&lt;&gt;"Sí",D278&lt;=0.5),"",EDATE($C$10,251))</f>
        <v/>
      </c>
      <c r="D278" s="41" t="n">
        <f aca="false">MAX(0,M277)</f>
        <v>0</v>
      </c>
      <c r="E278" s="41" t="n">
        <f aca="false">D278*$F$7</f>
        <v>0</v>
      </c>
      <c r="F278" s="41" t="n">
        <f aca="false">IF(D278&gt;0.5,N($C$15),0)</f>
        <v>0</v>
      </c>
      <c r="G278" s="41" t="n">
        <f aca="false">IF(AND(D278&gt;0.5,N($C$19)&gt;0,N(B278)&lt;=N($C$20)),D278*$F$8,0)</f>
        <v>0</v>
      </c>
      <c r="H278" s="41" t="n">
        <f aca="false">IF(D278&lt;=0.5,0,MIN(IF(N(I278)&gt;0,I278,$F$9),D278+E278+F278))</f>
        <v>0</v>
      </c>
      <c r="I278" s="77"/>
      <c r="J278" s="77"/>
      <c r="K278" s="41" t="n">
        <f aca="false">IF(D278&lt;=0.5,0,MIN(H278+N(J278),D278+E278+F278))</f>
        <v>0</v>
      </c>
      <c r="L278" s="41" t="n">
        <f aca="false">K278-E278-F278</f>
        <v>0</v>
      </c>
      <c r="M278" s="41" t="n">
        <f aca="false">D278-L278</f>
        <v>0</v>
      </c>
      <c r="N278" s="42" t="n">
        <f aca="false">K278-G278</f>
        <v>0</v>
      </c>
      <c r="O278" s="78"/>
      <c r="P278" s="79"/>
      <c r="Q278" s="16" t="str">
        <f aca="false">IF(K278=0,"",IF(R278=1,"Pagada",IF(C278&lt;$F$12,"Vencida",IF(252=$F$13,"Próxima","Pendiente"))))</f>
        <v/>
      </c>
      <c r="R278" s="62" t="n">
        <f aca="false">IF(AND(K278&gt;0,OR(O278="Sí",O278="Si")),1,0)</f>
        <v>0</v>
      </c>
      <c r="S278" s="62" t="n">
        <f aca="false">IF(AND(K278&gt;0,R278=0),1,0)</f>
        <v>0</v>
      </c>
    </row>
    <row r="279" customFormat="false" ht="15" hidden="false" customHeight="false" outlineLevel="0" collapsed="false">
      <c r="B279" s="71" t="str">
        <f aca="false">IF($F$6="Sí",N($C$11)+252,"")</f>
        <v/>
      </c>
      <c r="C279" s="72" t="str">
        <f aca="false">IF(OR($F$6&lt;&gt;"Sí",D279&lt;=0.5),"",EDATE($C$10,252))</f>
        <v/>
      </c>
      <c r="D279" s="41" t="n">
        <f aca="false">MAX(0,M278)</f>
        <v>0</v>
      </c>
      <c r="E279" s="41" t="n">
        <f aca="false">D279*$F$7</f>
        <v>0</v>
      </c>
      <c r="F279" s="41" t="n">
        <f aca="false">IF(D279&gt;0.5,N($C$15),0)</f>
        <v>0</v>
      </c>
      <c r="G279" s="41" t="n">
        <f aca="false">IF(AND(D279&gt;0.5,N($C$19)&gt;0,N(B279)&lt;=N($C$20)),D279*$F$8,0)</f>
        <v>0</v>
      </c>
      <c r="H279" s="41" t="n">
        <f aca="false">IF(D279&lt;=0.5,0,MIN(IF(N(I279)&gt;0,I279,$F$9),D279+E279+F279))</f>
        <v>0</v>
      </c>
      <c r="I279" s="77"/>
      <c r="J279" s="77"/>
      <c r="K279" s="41" t="n">
        <f aca="false">IF(D279&lt;=0.5,0,MIN(H279+N(J279),D279+E279+F279))</f>
        <v>0</v>
      </c>
      <c r="L279" s="41" t="n">
        <f aca="false">K279-E279-F279</f>
        <v>0</v>
      </c>
      <c r="M279" s="41" t="n">
        <f aca="false">D279-L279</f>
        <v>0</v>
      </c>
      <c r="N279" s="42" t="n">
        <f aca="false">K279-G279</f>
        <v>0</v>
      </c>
      <c r="O279" s="78"/>
      <c r="P279" s="79"/>
      <c r="Q279" s="16" t="str">
        <f aca="false">IF(K279=0,"",IF(R279=1,"Pagada",IF(C279&lt;$F$12,"Vencida",IF(253=$F$13,"Próxima","Pendiente"))))</f>
        <v/>
      </c>
      <c r="R279" s="62" t="n">
        <f aca="false">IF(AND(K279&gt;0,OR(O279="Sí",O279="Si")),1,0)</f>
        <v>0</v>
      </c>
      <c r="S279" s="62" t="n">
        <f aca="false">IF(AND(K279&gt;0,R279=0),1,0)</f>
        <v>0</v>
      </c>
    </row>
    <row r="280" customFormat="false" ht="15" hidden="false" customHeight="false" outlineLevel="0" collapsed="false">
      <c r="B280" s="71" t="str">
        <f aca="false">IF($F$6="Sí",N($C$11)+253,"")</f>
        <v/>
      </c>
      <c r="C280" s="72" t="str">
        <f aca="false">IF(OR($F$6&lt;&gt;"Sí",D280&lt;=0.5),"",EDATE($C$10,253))</f>
        <v/>
      </c>
      <c r="D280" s="41" t="n">
        <f aca="false">MAX(0,M279)</f>
        <v>0</v>
      </c>
      <c r="E280" s="41" t="n">
        <f aca="false">D280*$F$7</f>
        <v>0</v>
      </c>
      <c r="F280" s="41" t="n">
        <f aca="false">IF(D280&gt;0.5,N($C$15),0)</f>
        <v>0</v>
      </c>
      <c r="G280" s="41" t="n">
        <f aca="false">IF(AND(D280&gt;0.5,N($C$19)&gt;0,N(B280)&lt;=N($C$20)),D280*$F$8,0)</f>
        <v>0</v>
      </c>
      <c r="H280" s="41" t="n">
        <f aca="false">IF(D280&lt;=0.5,0,MIN(IF(N(I280)&gt;0,I280,$F$9),D280+E280+F280))</f>
        <v>0</v>
      </c>
      <c r="I280" s="77"/>
      <c r="J280" s="77"/>
      <c r="K280" s="41" t="n">
        <f aca="false">IF(D280&lt;=0.5,0,MIN(H280+N(J280),D280+E280+F280))</f>
        <v>0</v>
      </c>
      <c r="L280" s="41" t="n">
        <f aca="false">K280-E280-F280</f>
        <v>0</v>
      </c>
      <c r="M280" s="41" t="n">
        <f aca="false">D280-L280</f>
        <v>0</v>
      </c>
      <c r="N280" s="42" t="n">
        <f aca="false">K280-G280</f>
        <v>0</v>
      </c>
      <c r="O280" s="78"/>
      <c r="P280" s="79"/>
      <c r="Q280" s="16" t="str">
        <f aca="false">IF(K280=0,"",IF(R280=1,"Pagada",IF(C280&lt;$F$12,"Vencida",IF(254=$F$13,"Próxima","Pendiente"))))</f>
        <v/>
      </c>
      <c r="R280" s="62" t="n">
        <f aca="false">IF(AND(K280&gt;0,OR(O280="Sí",O280="Si")),1,0)</f>
        <v>0</v>
      </c>
      <c r="S280" s="62" t="n">
        <f aca="false">IF(AND(K280&gt;0,R280=0),1,0)</f>
        <v>0</v>
      </c>
    </row>
    <row r="281" customFormat="false" ht="15" hidden="false" customHeight="false" outlineLevel="0" collapsed="false">
      <c r="B281" s="71" t="str">
        <f aca="false">IF($F$6="Sí",N($C$11)+254,"")</f>
        <v/>
      </c>
      <c r="C281" s="72" t="str">
        <f aca="false">IF(OR($F$6&lt;&gt;"Sí",D281&lt;=0.5),"",EDATE($C$10,254))</f>
        <v/>
      </c>
      <c r="D281" s="41" t="n">
        <f aca="false">MAX(0,M280)</f>
        <v>0</v>
      </c>
      <c r="E281" s="41" t="n">
        <f aca="false">D281*$F$7</f>
        <v>0</v>
      </c>
      <c r="F281" s="41" t="n">
        <f aca="false">IF(D281&gt;0.5,N($C$15),0)</f>
        <v>0</v>
      </c>
      <c r="G281" s="41" t="n">
        <f aca="false">IF(AND(D281&gt;0.5,N($C$19)&gt;0,N(B281)&lt;=N($C$20)),D281*$F$8,0)</f>
        <v>0</v>
      </c>
      <c r="H281" s="41" t="n">
        <f aca="false">IF(D281&lt;=0.5,0,MIN(IF(N(I281)&gt;0,I281,$F$9),D281+E281+F281))</f>
        <v>0</v>
      </c>
      <c r="I281" s="77"/>
      <c r="J281" s="77"/>
      <c r="K281" s="41" t="n">
        <f aca="false">IF(D281&lt;=0.5,0,MIN(H281+N(J281),D281+E281+F281))</f>
        <v>0</v>
      </c>
      <c r="L281" s="41" t="n">
        <f aca="false">K281-E281-F281</f>
        <v>0</v>
      </c>
      <c r="M281" s="41" t="n">
        <f aca="false">D281-L281</f>
        <v>0</v>
      </c>
      <c r="N281" s="42" t="n">
        <f aca="false">K281-G281</f>
        <v>0</v>
      </c>
      <c r="O281" s="78"/>
      <c r="P281" s="79"/>
      <c r="Q281" s="16" t="str">
        <f aca="false">IF(K281=0,"",IF(R281=1,"Pagada",IF(C281&lt;$F$12,"Vencida",IF(255=$F$13,"Próxima","Pendiente"))))</f>
        <v/>
      </c>
      <c r="R281" s="62" t="n">
        <f aca="false">IF(AND(K281&gt;0,OR(O281="Sí",O281="Si")),1,0)</f>
        <v>0</v>
      </c>
      <c r="S281" s="62" t="n">
        <f aca="false">IF(AND(K281&gt;0,R281=0),1,0)</f>
        <v>0</v>
      </c>
    </row>
    <row r="282" customFormat="false" ht="15" hidden="false" customHeight="false" outlineLevel="0" collapsed="false">
      <c r="B282" s="71" t="str">
        <f aca="false">IF($F$6="Sí",N($C$11)+255,"")</f>
        <v/>
      </c>
      <c r="C282" s="72" t="str">
        <f aca="false">IF(OR($F$6&lt;&gt;"Sí",D282&lt;=0.5),"",EDATE($C$10,255))</f>
        <v/>
      </c>
      <c r="D282" s="41" t="n">
        <f aca="false">MAX(0,M281)</f>
        <v>0</v>
      </c>
      <c r="E282" s="41" t="n">
        <f aca="false">D282*$F$7</f>
        <v>0</v>
      </c>
      <c r="F282" s="41" t="n">
        <f aca="false">IF(D282&gt;0.5,N($C$15),0)</f>
        <v>0</v>
      </c>
      <c r="G282" s="41" t="n">
        <f aca="false">IF(AND(D282&gt;0.5,N($C$19)&gt;0,N(B282)&lt;=N($C$20)),D282*$F$8,0)</f>
        <v>0</v>
      </c>
      <c r="H282" s="41" t="n">
        <f aca="false">IF(D282&lt;=0.5,0,MIN(IF(N(I282)&gt;0,I282,$F$9),D282+E282+F282))</f>
        <v>0</v>
      </c>
      <c r="I282" s="77"/>
      <c r="J282" s="77"/>
      <c r="K282" s="41" t="n">
        <f aca="false">IF(D282&lt;=0.5,0,MIN(H282+N(J282),D282+E282+F282))</f>
        <v>0</v>
      </c>
      <c r="L282" s="41" t="n">
        <f aca="false">K282-E282-F282</f>
        <v>0</v>
      </c>
      <c r="M282" s="41" t="n">
        <f aca="false">D282-L282</f>
        <v>0</v>
      </c>
      <c r="N282" s="42" t="n">
        <f aca="false">K282-G282</f>
        <v>0</v>
      </c>
      <c r="O282" s="78"/>
      <c r="P282" s="79"/>
      <c r="Q282" s="16" t="str">
        <f aca="false">IF(K282=0,"",IF(R282=1,"Pagada",IF(C282&lt;$F$12,"Vencida",IF(256=$F$13,"Próxima","Pendiente"))))</f>
        <v/>
      </c>
      <c r="R282" s="62" t="n">
        <f aca="false">IF(AND(K282&gt;0,OR(O282="Sí",O282="Si")),1,0)</f>
        <v>0</v>
      </c>
      <c r="S282" s="62" t="n">
        <f aca="false">IF(AND(K282&gt;0,R282=0),1,0)</f>
        <v>0</v>
      </c>
    </row>
    <row r="283" customFormat="false" ht="15" hidden="false" customHeight="false" outlineLevel="0" collapsed="false">
      <c r="B283" s="71" t="str">
        <f aca="false">IF($F$6="Sí",N($C$11)+256,"")</f>
        <v/>
      </c>
      <c r="C283" s="72" t="str">
        <f aca="false">IF(OR($F$6&lt;&gt;"Sí",D283&lt;=0.5),"",EDATE($C$10,256))</f>
        <v/>
      </c>
      <c r="D283" s="41" t="n">
        <f aca="false">MAX(0,M282)</f>
        <v>0</v>
      </c>
      <c r="E283" s="41" t="n">
        <f aca="false">D283*$F$7</f>
        <v>0</v>
      </c>
      <c r="F283" s="41" t="n">
        <f aca="false">IF(D283&gt;0.5,N($C$15),0)</f>
        <v>0</v>
      </c>
      <c r="G283" s="41" t="n">
        <f aca="false">IF(AND(D283&gt;0.5,N($C$19)&gt;0,N(B283)&lt;=N($C$20)),D283*$F$8,0)</f>
        <v>0</v>
      </c>
      <c r="H283" s="41" t="n">
        <f aca="false">IF(D283&lt;=0.5,0,MIN(IF(N(I283)&gt;0,I283,$F$9),D283+E283+F283))</f>
        <v>0</v>
      </c>
      <c r="I283" s="77"/>
      <c r="J283" s="77"/>
      <c r="K283" s="41" t="n">
        <f aca="false">IF(D283&lt;=0.5,0,MIN(H283+N(J283),D283+E283+F283))</f>
        <v>0</v>
      </c>
      <c r="L283" s="41" t="n">
        <f aca="false">K283-E283-F283</f>
        <v>0</v>
      </c>
      <c r="M283" s="41" t="n">
        <f aca="false">D283-L283</f>
        <v>0</v>
      </c>
      <c r="N283" s="42" t="n">
        <f aca="false">K283-G283</f>
        <v>0</v>
      </c>
      <c r="O283" s="78"/>
      <c r="P283" s="79"/>
      <c r="Q283" s="16" t="str">
        <f aca="false">IF(K283=0,"",IF(R283=1,"Pagada",IF(C283&lt;$F$12,"Vencida",IF(257=$F$13,"Próxima","Pendiente"))))</f>
        <v/>
      </c>
      <c r="R283" s="62" t="n">
        <f aca="false">IF(AND(K283&gt;0,OR(O283="Sí",O283="Si")),1,0)</f>
        <v>0</v>
      </c>
      <c r="S283" s="62" t="n">
        <f aca="false">IF(AND(K283&gt;0,R283=0),1,0)</f>
        <v>0</v>
      </c>
    </row>
    <row r="284" customFormat="false" ht="15" hidden="false" customHeight="false" outlineLevel="0" collapsed="false">
      <c r="B284" s="71" t="str">
        <f aca="false">IF($F$6="Sí",N($C$11)+257,"")</f>
        <v/>
      </c>
      <c r="C284" s="72" t="str">
        <f aca="false">IF(OR($F$6&lt;&gt;"Sí",D284&lt;=0.5),"",EDATE($C$10,257))</f>
        <v/>
      </c>
      <c r="D284" s="41" t="n">
        <f aca="false">MAX(0,M283)</f>
        <v>0</v>
      </c>
      <c r="E284" s="41" t="n">
        <f aca="false">D284*$F$7</f>
        <v>0</v>
      </c>
      <c r="F284" s="41" t="n">
        <f aca="false">IF(D284&gt;0.5,N($C$15),0)</f>
        <v>0</v>
      </c>
      <c r="G284" s="41" t="n">
        <f aca="false">IF(AND(D284&gt;0.5,N($C$19)&gt;0,N(B284)&lt;=N($C$20)),D284*$F$8,0)</f>
        <v>0</v>
      </c>
      <c r="H284" s="41" t="n">
        <f aca="false">IF(D284&lt;=0.5,0,MIN(IF(N(I284)&gt;0,I284,$F$9),D284+E284+F284))</f>
        <v>0</v>
      </c>
      <c r="I284" s="77"/>
      <c r="J284" s="77"/>
      <c r="K284" s="41" t="n">
        <f aca="false">IF(D284&lt;=0.5,0,MIN(H284+N(J284),D284+E284+F284))</f>
        <v>0</v>
      </c>
      <c r="L284" s="41" t="n">
        <f aca="false">K284-E284-F284</f>
        <v>0</v>
      </c>
      <c r="M284" s="41" t="n">
        <f aca="false">D284-L284</f>
        <v>0</v>
      </c>
      <c r="N284" s="42" t="n">
        <f aca="false">K284-G284</f>
        <v>0</v>
      </c>
      <c r="O284" s="78"/>
      <c r="P284" s="79"/>
      <c r="Q284" s="16" t="str">
        <f aca="false">IF(K284=0,"",IF(R284=1,"Pagada",IF(C284&lt;$F$12,"Vencida",IF(258=$F$13,"Próxima","Pendiente"))))</f>
        <v/>
      </c>
      <c r="R284" s="62" t="n">
        <f aca="false">IF(AND(K284&gt;0,OR(O284="Sí",O284="Si")),1,0)</f>
        <v>0</v>
      </c>
      <c r="S284" s="62" t="n">
        <f aca="false">IF(AND(K284&gt;0,R284=0),1,0)</f>
        <v>0</v>
      </c>
    </row>
    <row r="285" customFormat="false" ht="15" hidden="false" customHeight="false" outlineLevel="0" collapsed="false">
      <c r="B285" s="71" t="str">
        <f aca="false">IF($F$6="Sí",N($C$11)+258,"")</f>
        <v/>
      </c>
      <c r="C285" s="72" t="str">
        <f aca="false">IF(OR($F$6&lt;&gt;"Sí",D285&lt;=0.5),"",EDATE($C$10,258))</f>
        <v/>
      </c>
      <c r="D285" s="41" t="n">
        <f aca="false">MAX(0,M284)</f>
        <v>0</v>
      </c>
      <c r="E285" s="41" t="n">
        <f aca="false">D285*$F$7</f>
        <v>0</v>
      </c>
      <c r="F285" s="41" t="n">
        <f aca="false">IF(D285&gt;0.5,N($C$15),0)</f>
        <v>0</v>
      </c>
      <c r="G285" s="41" t="n">
        <f aca="false">IF(AND(D285&gt;0.5,N($C$19)&gt;0,N(B285)&lt;=N($C$20)),D285*$F$8,0)</f>
        <v>0</v>
      </c>
      <c r="H285" s="41" t="n">
        <f aca="false">IF(D285&lt;=0.5,0,MIN(IF(N(I285)&gt;0,I285,$F$9),D285+E285+F285))</f>
        <v>0</v>
      </c>
      <c r="I285" s="77"/>
      <c r="J285" s="77"/>
      <c r="K285" s="41" t="n">
        <f aca="false">IF(D285&lt;=0.5,0,MIN(H285+N(J285),D285+E285+F285))</f>
        <v>0</v>
      </c>
      <c r="L285" s="41" t="n">
        <f aca="false">K285-E285-F285</f>
        <v>0</v>
      </c>
      <c r="M285" s="41" t="n">
        <f aca="false">D285-L285</f>
        <v>0</v>
      </c>
      <c r="N285" s="42" t="n">
        <f aca="false">K285-G285</f>
        <v>0</v>
      </c>
      <c r="O285" s="78"/>
      <c r="P285" s="79"/>
      <c r="Q285" s="16" t="str">
        <f aca="false">IF(K285=0,"",IF(R285=1,"Pagada",IF(C285&lt;$F$12,"Vencida",IF(259=$F$13,"Próxima","Pendiente"))))</f>
        <v/>
      </c>
      <c r="R285" s="62" t="n">
        <f aca="false">IF(AND(K285&gt;0,OR(O285="Sí",O285="Si")),1,0)</f>
        <v>0</v>
      </c>
      <c r="S285" s="62" t="n">
        <f aca="false">IF(AND(K285&gt;0,R285=0),1,0)</f>
        <v>0</v>
      </c>
    </row>
    <row r="286" customFormat="false" ht="15" hidden="false" customHeight="false" outlineLevel="0" collapsed="false">
      <c r="B286" s="71" t="str">
        <f aca="false">IF($F$6="Sí",N($C$11)+259,"")</f>
        <v/>
      </c>
      <c r="C286" s="72" t="str">
        <f aca="false">IF(OR($F$6&lt;&gt;"Sí",D286&lt;=0.5),"",EDATE($C$10,259))</f>
        <v/>
      </c>
      <c r="D286" s="41" t="n">
        <f aca="false">MAX(0,M285)</f>
        <v>0</v>
      </c>
      <c r="E286" s="41" t="n">
        <f aca="false">D286*$F$7</f>
        <v>0</v>
      </c>
      <c r="F286" s="41" t="n">
        <f aca="false">IF(D286&gt;0.5,N($C$15),0)</f>
        <v>0</v>
      </c>
      <c r="G286" s="41" t="n">
        <f aca="false">IF(AND(D286&gt;0.5,N($C$19)&gt;0,N(B286)&lt;=N($C$20)),D286*$F$8,0)</f>
        <v>0</v>
      </c>
      <c r="H286" s="41" t="n">
        <f aca="false">IF(D286&lt;=0.5,0,MIN(IF(N(I286)&gt;0,I286,$F$9),D286+E286+F286))</f>
        <v>0</v>
      </c>
      <c r="I286" s="77"/>
      <c r="J286" s="77"/>
      <c r="K286" s="41" t="n">
        <f aca="false">IF(D286&lt;=0.5,0,MIN(H286+N(J286),D286+E286+F286))</f>
        <v>0</v>
      </c>
      <c r="L286" s="41" t="n">
        <f aca="false">K286-E286-F286</f>
        <v>0</v>
      </c>
      <c r="M286" s="41" t="n">
        <f aca="false">D286-L286</f>
        <v>0</v>
      </c>
      <c r="N286" s="42" t="n">
        <f aca="false">K286-G286</f>
        <v>0</v>
      </c>
      <c r="O286" s="78"/>
      <c r="P286" s="79"/>
      <c r="Q286" s="16" t="str">
        <f aca="false">IF(K286=0,"",IF(R286=1,"Pagada",IF(C286&lt;$F$12,"Vencida",IF(260=$F$13,"Próxima","Pendiente"))))</f>
        <v/>
      </c>
      <c r="R286" s="62" t="n">
        <f aca="false">IF(AND(K286&gt;0,OR(O286="Sí",O286="Si")),1,0)</f>
        <v>0</v>
      </c>
      <c r="S286" s="62" t="n">
        <f aca="false">IF(AND(K286&gt;0,R286=0),1,0)</f>
        <v>0</v>
      </c>
    </row>
    <row r="287" customFormat="false" ht="15" hidden="false" customHeight="false" outlineLevel="0" collapsed="false">
      <c r="B287" s="71" t="str">
        <f aca="false">IF($F$6="Sí",N($C$11)+260,"")</f>
        <v/>
      </c>
      <c r="C287" s="72" t="str">
        <f aca="false">IF(OR($F$6&lt;&gt;"Sí",D287&lt;=0.5),"",EDATE($C$10,260))</f>
        <v/>
      </c>
      <c r="D287" s="41" t="n">
        <f aca="false">MAX(0,M286)</f>
        <v>0</v>
      </c>
      <c r="E287" s="41" t="n">
        <f aca="false">D287*$F$7</f>
        <v>0</v>
      </c>
      <c r="F287" s="41" t="n">
        <f aca="false">IF(D287&gt;0.5,N($C$15),0)</f>
        <v>0</v>
      </c>
      <c r="G287" s="41" t="n">
        <f aca="false">IF(AND(D287&gt;0.5,N($C$19)&gt;0,N(B287)&lt;=N($C$20)),D287*$F$8,0)</f>
        <v>0</v>
      </c>
      <c r="H287" s="41" t="n">
        <f aca="false">IF(D287&lt;=0.5,0,MIN(IF(N(I287)&gt;0,I287,$F$9),D287+E287+F287))</f>
        <v>0</v>
      </c>
      <c r="I287" s="77"/>
      <c r="J287" s="77"/>
      <c r="K287" s="41" t="n">
        <f aca="false">IF(D287&lt;=0.5,0,MIN(H287+N(J287),D287+E287+F287))</f>
        <v>0</v>
      </c>
      <c r="L287" s="41" t="n">
        <f aca="false">K287-E287-F287</f>
        <v>0</v>
      </c>
      <c r="M287" s="41" t="n">
        <f aca="false">D287-L287</f>
        <v>0</v>
      </c>
      <c r="N287" s="42" t="n">
        <f aca="false">K287-G287</f>
        <v>0</v>
      </c>
      <c r="O287" s="78"/>
      <c r="P287" s="79"/>
      <c r="Q287" s="16" t="str">
        <f aca="false">IF(K287=0,"",IF(R287=1,"Pagada",IF(C287&lt;$F$12,"Vencida",IF(261=$F$13,"Próxima","Pendiente"))))</f>
        <v/>
      </c>
      <c r="R287" s="62" t="n">
        <f aca="false">IF(AND(K287&gt;0,OR(O287="Sí",O287="Si")),1,0)</f>
        <v>0</v>
      </c>
      <c r="S287" s="62" t="n">
        <f aca="false">IF(AND(K287&gt;0,R287=0),1,0)</f>
        <v>0</v>
      </c>
    </row>
    <row r="288" customFormat="false" ht="15" hidden="false" customHeight="false" outlineLevel="0" collapsed="false">
      <c r="B288" s="71" t="str">
        <f aca="false">IF($F$6="Sí",N($C$11)+261,"")</f>
        <v/>
      </c>
      <c r="C288" s="72" t="str">
        <f aca="false">IF(OR($F$6&lt;&gt;"Sí",D288&lt;=0.5),"",EDATE($C$10,261))</f>
        <v/>
      </c>
      <c r="D288" s="41" t="n">
        <f aca="false">MAX(0,M287)</f>
        <v>0</v>
      </c>
      <c r="E288" s="41" t="n">
        <f aca="false">D288*$F$7</f>
        <v>0</v>
      </c>
      <c r="F288" s="41" t="n">
        <f aca="false">IF(D288&gt;0.5,N($C$15),0)</f>
        <v>0</v>
      </c>
      <c r="G288" s="41" t="n">
        <f aca="false">IF(AND(D288&gt;0.5,N($C$19)&gt;0,N(B288)&lt;=N($C$20)),D288*$F$8,0)</f>
        <v>0</v>
      </c>
      <c r="H288" s="41" t="n">
        <f aca="false">IF(D288&lt;=0.5,0,MIN(IF(N(I288)&gt;0,I288,$F$9),D288+E288+F288))</f>
        <v>0</v>
      </c>
      <c r="I288" s="77"/>
      <c r="J288" s="77"/>
      <c r="K288" s="41" t="n">
        <f aca="false">IF(D288&lt;=0.5,0,MIN(H288+N(J288),D288+E288+F288))</f>
        <v>0</v>
      </c>
      <c r="L288" s="41" t="n">
        <f aca="false">K288-E288-F288</f>
        <v>0</v>
      </c>
      <c r="M288" s="41" t="n">
        <f aca="false">D288-L288</f>
        <v>0</v>
      </c>
      <c r="N288" s="42" t="n">
        <f aca="false">K288-G288</f>
        <v>0</v>
      </c>
      <c r="O288" s="78"/>
      <c r="P288" s="79"/>
      <c r="Q288" s="16" t="str">
        <f aca="false">IF(K288=0,"",IF(R288=1,"Pagada",IF(C288&lt;$F$12,"Vencida",IF(262=$F$13,"Próxima","Pendiente"))))</f>
        <v/>
      </c>
      <c r="R288" s="62" t="n">
        <f aca="false">IF(AND(K288&gt;0,OR(O288="Sí",O288="Si")),1,0)</f>
        <v>0</v>
      </c>
      <c r="S288" s="62" t="n">
        <f aca="false">IF(AND(K288&gt;0,R288=0),1,0)</f>
        <v>0</v>
      </c>
    </row>
    <row r="289" customFormat="false" ht="15" hidden="false" customHeight="false" outlineLevel="0" collapsed="false">
      <c r="B289" s="71" t="str">
        <f aca="false">IF($F$6="Sí",N($C$11)+262,"")</f>
        <v/>
      </c>
      <c r="C289" s="72" t="str">
        <f aca="false">IF(OR($F$6&lt;&gt;"Sí",D289&lt;=0.5),"",EDATE($C$10,262))</f>
        <v/>
      </c>
      <c r="D289" s="41" t="n">
        <f aca="false">MAX(0,M288)</f>
        <v>0</v>
      </c>
      <c r="E289" s="41" t="n">
        <f aca="false">D289*$F$7</f>
        <v>0</v>
      </c>
      <c r="F289" s="41" t="n">
        <f aca="false">IF(D289&gt;0.5,N($C$15),0)</f>
        <v>0</v>
      </c>
      <c r="G289" s="41" t="n">
        <f aca="false">IF(AND(D289&gt;0.5,N($C$19)&gt;0,N(B289)&lt;=N($C$20)),D289*$F$8,0)</f>
        <v>0</v>
      </c>
      <c r="H289" s="41" t="n">
        <f aca="false">IF(D289&lt;=0.5,0,MIN(IF(N(I289)&gt;0,I289,$F$9),D289+E289+F289))</f>
        <v>0</v>
      </c>
      <c r="I289" s="77"/>
      <c r="J289" s="77"/>
      <c r="K289" s="41" t="n">
        <f aca="false">IF(D289&lt;=0.5,0,MIN(H289+N(J289),D289+E289+F289))</f>
        <v>0</v>
      </c>
      <c r="L289" s="41" t="n">
        <f aca="false">K289-E289-F289</f>
        <v>0</v>
      </c>
      <c r="M289" s="41" t="n">
        <f aca="false">D289-L289</f>
        <v>0</v>
      </c>
      <c r="N289" s="42" t="n">
        <f aca="false">K289-G289</f>
        <v>0</v>
      </c>
      <c r="O289" s="78"/>
      <c r="P289" s="79"/>
      <c r="Q289" s="16" t="str">
        <f aca="false">IF(K289=0,"",IF(R289=1,"Pagada",IF(C289&lt;$F$12,"Vencida",IF(263=$F$13,"Próxima","Pendiente"))))</f>
        <v/>
      </c>
      <c r="R289" s="62" t="n">
        <f aca="false">IF(AND(K289&gt;0,OR(O289="Sí",O289="Si")),1,0)</f>
        <v>0</v>
      </c>
      <c r="S289" s="62" t="n">
        <f aca="false">IF(AND(K289&gt;0,R289=0),1,0)</f>
        <v>0</v>
      </c>
    </row>
    <row r="290" customFormat="false" ht="15" hidden="false" customHeight="false" outlineLevel="0" collapsed="false">
      <c r="B290" s="71" t="str">
        <f aca="false">IF($F$6="Sí",N($C$11)+263,"")</f>
        <v/>
      </c>
      <c r="C290" s="72" t="str">
        <f aca="false">IF(OR($F$6&lt;&gt;"Sí",D290&lt;=0.5),"",EDATE($C$10,263))</f>
        <v/>
      </c>
      <c r="D290" s="41" t="n">
        <f aca="false">MAX(0,M289)</f>
        <v>0</v>
      </c>
      <c r="E290" s="41" t="n">
        <f aca="false">D290*$F$7</f>
        <v>0</v>
      </c>
      <c r="F290" s="41" t="n">
        <f aca="false">IF(D290&gt;0.5,N($C$15),0)</f>
        <v>0</v>
      </c>
      <c r="G290" s="41" t="n">
        <f aca="false">IF(AND(D290&gt;0.5,N($C$19)&gt;0,N(B290)&lt;=N($C$20)),D290*$F$8,0)</f>
        <v>0</v>
      </c>
      <c r="H290" s="41" t="n">
        <f aca="false">IF(D290&lt;=0.5,0,MIN(IF(N(I290)&gt;0,I290,$F$9),D290+E290+F290))</f>
        <v>0</v>
      </c>
      <c r="I290" s="77"/>
      <c r="J290" s="77"/>
      <c r="K290" s="41" t="n">
        <f aca="false">IF(D290&lt;=0.5,0,MIN(H290+N(J290),D290+E290+F290))</f>
        <v>0</v>
      </c>
      <c r="L290" s="41" t="n">
        <f aca="false">K290-E290-F290</f>
        <v>0</v>
      </c>
      <c r="M290" s="41" t="n">
        <f aca="false">D290-L290</f>
        <v>0</v>
      </c>
      <c r="N290" s="42" t="n">
        <f aca="false">K290-G290</f>
        <v>0</v>
      </c>
      <c r="O290" s="78"/>
      <c r="P290" s="79"/>
      <c r="Q290" s="16" t="str">
        <f aca="false">IF(K290=0,"",IF(R290=1,"Pagada",IF(C290&lt;$F$12,"Vencida",IF(264=$F$13,"Próxima","Pendiente"))))</f>
        <v/>
      </c>
      <c r="R290" s="62" t="n">
        <f aca="false">IF(AND(K290&gt;0,OR(O290="Sí",O290="Si")),1,0)</f>
        <v>0</v>
      </c>
      <c r="S290" s="62" t="n">
        <f aca="false">IF(AND(K290&gt;0,R290=0),1,0)</f>
        <v>0</v>
      </c>
    </row>
    <row r="291" customFormat="false" ht="15" hidden="false" customHeight="false" outlineLevel="0" collapsed="false">
      <c r="B291" s="71" t="str">
        <f aca="false">IF($F$6="Sí",N($C$11)+264,"")</f>
        <v/>
      </c>
      <c r="C291" s="72" t="str">
        <f aca="false">IF(OR($F$6&lt;&gt;"Sí",D291&lt;=0.5),"",EDATE($C$10,264))</f>
        <v/>
      </c>
      <c r="D291" s="41" t="n">
        <f aca="false">MAX(0,M290)</f>
        <v>0</v>
      </c>
      <c r="E291" s="41" t="n">
        <f aca="false">D291*$F$7</f>
        <v>0</v>
      </c>
      <c r="F291" s="41" t="n">
        <f aca="false">IF(D291&gt;0.5,N($C$15),0)</f>
        <v>0</v>
      </c>
      <c r="G291" s="41" t="n">
        <f aca="false">IF(AND(D291&gt;0.5,N($C$19)&gt;0,N(B291)&lt;=N($C$20)),D291*$F$8,0)</f>
        <v>0</v>
      </c>
      <c r="H291" s="41" t="n">
        <f aca="false">IF(D291&lt;=0.5,0,MIN(IF(N(I291)&gt;0,I291,$F$9),D291+E291+F291))</f>
        <v>0</v>
      </c>
      <c r="I291" s="77"/>
      <c r="J291" s="77"/>
      <c r="K291" s="41" t="n">
        <f aca="false">IF(D291&lt;=0.5,0,MIN(H291+N(J291),D291+E291+F291))</f>
        <v>0</v>
      </c>
      <c r="L291" s="41" t="n">
        <f aca="false">K291-E291-F291</f>
        <v>0</v>
      </c>
      <c r="M291" s="41" t="n">
        <f aca="false">D291-L291</f>
        <v>0</v>
      </c>
      <c r="N291" s="42" t="n">
        <f aca="false">K291-G291</f>
        <v>0</v>
      </c>
      <c r="O291" s="78"/>
      <c r="P291" s="79"/>
      <c r="Q291" s="16" t="str">
        <f aca="false">IF(K291=0,"",IF(R291=1,"Pagada",IF(C291&lt;$F$12,"Vencida",IF(265=$F$13,"Próxima","Pendiente"))))</f>
        <v/>
      </c>
      <c r="R291" s="62" t="n">
        <f aca="false">IF(AND(K291&gt;0,OR(O291="Sí",O291="Si")),1,0)</f>
        <v>0</v>
      </c>
      <c r="S291" s="62" t="n">
        <f aca="false">IF(AND(K291&gt;0,R291=0),1,0)</f>
        <v>0</v>
      </c>
    </row>
    <row r="292" customFormat="false" ht="15" hidden="false" customHeight="false" outlineLevel="0" collapsed="false">
      <c r="B292" s="71" t="str">
        <f aca="false">IF($F$6="Sí",N($C$11)+265,"")</f>
        <v/>
      </c>
      <c r="C292" s="72" t="str">
        <f aca="false">IF(OR($F$6&lt;&gt;"Sí",D292&lt;=0.5),"",EDATE($C$10,265))</f>
        <v/>
      </c>
      <c r="D292" s="41" t="n">
        <f aca="false">MAX(0,M291)</f>
        <v>0</v>
      </c>
      <c r="E292" s="41" t="n">
        <f aca="false">D292*$F$7</f>
        <v>0</v>
      </c>
      <c r="F292" s="41" t="n">
        <f aca="false">IF(D292&gt;0.5,N($C$15),0)</f>
        <v>0</v>
      </c>
      <c r="G292" s="41" t="n">
        <f aca="false">IF(AND(D292&gt;0.5,N($C$19)&gt;0,N(B292)&lt;=N($C$20)),D292*$F$8,0)</f>
        <v>0</v>
      </c>
      <c r="H292" s="41" t="n">
        <f aca="false">IF(D292&lt;=0.5,0,MIN(IF(N(I292)&gt;0,I292,$F$9),D292+E292+F292))</f>
        <v>0</v>
      </c>
      <c r="I292" s="77"/>
      <c r="J292" s="77"/>
      <c r="K292" s="41" t="n">
        <f aca="false">IF(D292&lt;=0.5,0,MIN(H292+N(J292),D292+E292+F292))</f>
        <v>0</v>
      </c>
      <c r="L292" s="41" t="n">
        <f aca="false">K292-E292-F292</f>
        <v>0</v>
      </c>
      <c r="M292" s="41" t="n">
        <f aca="false">D292-L292</f>
        <v>0</v>
      </c>
      <c r="N292" s="42" t="n">
        <f aca="false">K292-G292</f>
        <v>0</v>
      </c>
      <c r="O292" s="78"/>
      <c r="P292" s="79"/>
      <c r="Q292" s="16" t="str">
        <f aca="false">IF(K292=0,"",IF(R292=1,"Pagada",IF(C292&lt;$F$12,"Vencida",IF(266=$F$13,"Próxima","Pendiente"))))</f>
        <v/>
      </c>
      <c r="R292" s="62" t="n">
        <f aca="false">IF(AND(K292&gt;0,OR(O292="Sí",O292="Si")),1,0)</f>
        <v>0</v>
      </c>
      <c r="S292" s="62" t="n">
        <f aca="false">IF(AND(K292&gt;0,R292=0),1,0)</f>
        <v>0</v>
      </c>
    </row>
    <row r="293" customFormat="false" ht="15" hidden="false" customHeight="false" outlineLevel="0" collapsed="false">
      <c r="B293" s="71" t="str">
        <f aca="false">IF($F$6="Sí",N($C$11)+266,"")</f>
        <v/>
      </c>
      <c r="C293" s="72" t="str">
        <f aca="false">IF(OR($F$6&lt;&gt;"Sí",D293&lt;=0.5),"",EDATE($C$10,266))</f>
        <v/>
      </c>
      <c r="D293" s="41" t="n">
        <f aca="false">MAX(0,M292)</f>
        <v>0</v>
      </c>
      <c r="E293" s="41" t="n">
        <f aca="false">D293*$F$7</f>
        <v>0</v>
      </c>
      <c r="F293" s="41" t="n">
        <f aca="false">IF(D293&gt;0.5,N($C$15),0)</f>
        <v>0</v>
      </c>
      <c r="G293" s="41" t="n">
        <f aca="false">IF(AND(D293&gt;0.5,N($C$19)&gt;0,N(B293)&lt;=N($C$20)),D293*$F$8,0)</f>
        <v>0</v>
      </c>
      <c r="H293" s="41" t="n">
        <f aca="false">IF(D293&lt;=0.5,0,MIN(IF(N(I293)&gt;0,I293,$F$9),D293+E293+F293))</f>
        <v>0</v>
      </c>
      <c r="I293" s="77"/>
      <c r="J293" s="77"/>
      <c r="K293" s="41" t="n">
        <f aca="false">IF(D293&lt;=0.5,0,MIN(H293+N(J293),D293+E293+F293))</f>
        <v>0</v>
      </c>
      <c r="L293" s="41" t="n">
        <f aca="false">K293-E293-F293</f>
        <v>0</v>
      </c>
      <c r="M293" s="41" t="n">
        <f aca="false">D293-L293</f>
        <v>0</v>
      </c>
      <c r="N293" s="42" t="n">
        <f aca="false">K293-G293</f>
        <v>0</v>
      </c>
      <c r="O293" s="78"/>
      <c r="P293" s="79"/>
      <c r="Q293" s="16" t="str">
        <f aca="false">IF(K293=0,"",IF(R293=1,"Pagada",IF(C293&lt;$F$12,"Vencida",IF(267=$F$13,"Próxima","Pendiente"))))</f>
        <v/>
      </c>
      <c r="R293" s="62" t="n">
        <f aca="false">IF(AND(K293&gt;0,OR(O293="Sí",O293="Si")),1,0)</f>
        <v>0</v>
      </c>
      <c r="S293" s="62" t="n">
        <f aca="false">IF(AND(K293&gt;0,R293=0),1,0)</f>
        <v>0</v>
      </c>
    </row>
    <row r="294" customFormat="false" ht="15" hidden="false" customHeight="false" outlineLevel="0" collapsed="false">
      <c r="B294" s="71" t="str">
        <f aca="false">IF($F$6="Sí",N($C$11)+267,"")</f>
        <v/>
      </c>
      <c r="C294" s="72" t="str">
        <f aca="false">IF(OR($F$6&lt;&gt;"Sí",D294&lt;=0.5),"",EDATE($C$10,267))</f>
        <v/>
      </c>
      <c r="D294" s="41" t="n">
        <f aca="false">MAX(0,M293)</f>
        <v>0</v>
      </c>
      <c r="E294" s="41" t="n">
        <f aca="false">D294*$F$7</f>
        <v>0</v>
      </c>
      <c r="F294" s="41" t="n">
        <f aca="false">IF(D294&gt;0.5,N($C$15),0)</f>
        <v>0</v>
      </c>
      <c r="G294" s="41" t="n">
        <f aca="false">IF(AND(D294&gt;0.5,N($C$19)&gt;0,N(B294)&lt;=N($C$20)),D294*$F$8,0)</f>
        <v>0</v>
      </c>
      <c r="H294" s="41" t="n">
        <f aca="false">IF(D294&lt;=0.5,0,MIN(IF(N(I294)&gt;0,I294,$F$9),D294+E294+F294))</f>
        <v>0</v>
      </c>
      <c r="I294" s="77"/>
      <c r="J294" s="77"/>
      <c r="K294" s="41" t="n">
        <f aca="false">IF(D294&lt;=0.5,0,MIN(H294+N(J294),D294+E294+F294))</f>
        <v>0</v>
      </c>
      <c r="L294" s="41" t="n">
        <f aca="false">K294-E294-F294</f>
        <v>0</v>
      </c>
      <c r="M294" s="41" t="n">
        <f aca="false">D294-L294</f>
        <v>0</v>
      </c>
      <c r="N294" s="42" t="n">
        <f aca="false">K294-G294</f>
        <v>0</v>
      </c>
      <c r="O294" s="78"/>
      <c r="P294" s="79"/>
      <c r="Q294" s="16" t="str">
        <f aca="false">IF(K294=0,"",IF(R294=1,"Pagada",IF(C294&lt;$F$12,"Vencida",IF(268=$F$13,"Próxima","Pendiente"))))</f>
        <v/>
      </c>
      <c r="R294" s="62" t="n">
        <f aca="false">IF(AND(K294&gt;0,OR(O294="Sí",O294="Si")),1,0)</f>
        <v>0</v>
      </c>
      <c r="S294" s="62" t="n">
        <f aca="false">IF(AND(K294&gt;0,R294=0),1,0)</f>
        <v>0</v>
      </c>
    </row>
    <row r="295" customFormat="false" ht="15" hidden="false" customHeight="false" outlineLevel="0" collapsed="false">
      <c r="B295" s="71" t="str">
        <f aca="false">IF($F$6="Sí",N($C$11)+268,"")</f>
        <v/>
      </c>
      <c r="C295" s="72" t="str">
        <f aca="false">IF(OR($F$6&lt;&gt;"Sí",D295&lt;=0.5),"",EDATE($C$10,268))</f>
        <v/>
      </c>
      <c r="D295" s="41" t="n">
        <f aca="false">MAX(0,M294)</f>
        <v>0</v>
      </c>
      <c r="E295" s="41" t="n">
        <f aca="false">D295*$F$7</f>
        <v>0</v>
      </c>
      <c r="F295" s="41" t="n">
        <f aca="false">IF(D295&gt;0.5,N($C$15),0)</f>
        <v>0</v>
      </c>
      <c r="G295" s="41" t="n">
        <f aca="false">IF(AND(D295&gt;0.5,N($C$19)&gt;0,N(B295)&lt;=N($C$20)),D295*$F$8,0)</f>
        <v>0</v>
      </c>
      <c r="H295" s="41" t="n">
        <f aca="false">IF(D295&lt;=0.5,0,MIN(IF(N(I295)&gt;0,I295,$F$9),D295+E295+F295))</f>
        <v>0</v>
      </c>
      <c r="I295" s="77"/>
      <c r="J295" s="77"/>
      <c r="K295" s="41" t="n">
        <f aca="false">IF(D295&lt;=0.5,0,MIN(H295+N(J295),D295+E295+F295))</f>
        <v>0</v>
      </c>
      <c r="L295" s="41" t="n">
        <f aca="false">K295-E295-F295</f>
        <v>0</v>
      </c>
      <c r="M295" s="41" t="n">
        <f aca="false">D295-L295</f>
        <v>0</v>
      </c>
      <c r="N295" s="42" t="n">
        <f aca="false">K295-G295</f>
        <v>0</v>
      </c>
      <c r="O295" s="78"/>
      <c r="P295" s="79"/>
      <c r="Q295" s="16" t="str">
        <f aca="false">IF(K295=0,"",IF(R295=1,"Pagada",IF(C295&lt;$F$12,"Vencida",IF(269=$F$13,"Próxima","Pendiente"))))</f>
        <v/>
      </c>
      <c r="R295" s="62" t="n">
        <f aca="false">IF(AND(K295&gt;0,OR(O295="Sí",O295="Si")),1,0)</f>
        <v>0</v>
      </c>
      <c r="S295" s="62" t="n">
        <f aca="false">IF(AND(K295&gt;0,R295=0),1,0)</f>
        <v>0</v>
      </c>
    </row>
    <row r="296" customFormat="false" ht="15" hidden="false" customHeight="false" outlineLevel="0" collapsed="false">
      <c r="B296" s="71" t="str">
        <f aca="false">IF($F$6="Sí",N($C$11)+269,"")</f>
        <v/>
      </c>
      <c r="C296" s="72" t="str">
        <f aca="false">IF(OR($F$6&lt;&gt;"Sí",D296&lt;=0.5),"",EDATE($C$10,269))</f>
        <v/>
      </c>
      <c r="D296" s="41" t="n">
        <f aca="false">MAX(0,M295)</f>
        <v>0</v>
      </c>
      <c r="E296" s="41" t="n">
        <f aca="false">D296*$F$7</f>
        <v>0</v>
      </c>
      <c r="F296" s="41" t="n">
        <f aca="false">IF(D296&gt;0.5,N($C$15),0)</f>
        <v>0</v>
      </c>
      <c r="G296" s="41" t="n">
        <f aca="false">IF(AND(D296&gt;0.5,N($C$19)&gt;0,N(B296)&lt;=N($C$20)),D296*$F$8,0)</f>
        <v>0</v>
      </c>
      <c r="H296" s="41" t="n">
        <f aca="false">IF(D296&lt;=0.5,0,MIN(IF(N(I296)&gt;0,I296,$F$9),D296+E296+F296))</f>
        <v>0</v>
      </c>
      <c r="I296" s="77"/>
      <c r="J296" s="77"/>
      <c r="K296" s="41" t="n">
        <f aca="false">IF(D296&lt;=0.5,0,MIN(H296+N(J296),D296+E296+F296))</f>
        <v>0</v>
      </c>
      <c r="L296" s="41" t="n">
        <f aca="false">K296-E296-F296</f>
        <v>0</v>
      </c>
      <c r="M296" s="41" t="n">
        <f aca="false">D296-L296</f>
        <v>0</v>
      </c>
      <c r="N296" s="42" t="n">
        <f aca="false">K296-G296</f>
        <v>0</v>
      </c>
      <c r="O296" s="78"/>
      <c r="P296" s="79"/>
      <c r="Q296" s="16" t="str">
        <f aca="false">IF(K296=0,"",IF(R296=1,"Pagada",IF(C296&lt;$F$12,"Vencida",IF(270=$F$13,"Próxima","Pendiente"))))</f>
        <v/>
      </c>
      <c r="R296" s="62" t="n">
        <f aca="false">IF(AND(K296&gt;0,OR(O296="Sí",O296="Si")),1,0)</f>
        <v>0</v>
      </c>
      <c r="S296" s="62" t="n">
        <f aca="false">IF(AND(K296&gt;0,R296=0),1,0)</f>
        <v>0</v>
      </c>
    </row>
    <row r="297" customFormat="false" ht="15" hidden="false" customHeight="false" outlineLevel="0" collapsed="false">
      <c r="B297" s="71" t="str">
        <f aca="false">IF($F$6="Sí",N($C$11)+270,"")</f>
        <v/>
      </c>
      <c r="C297" s="72" t="str">
        <f aca="false">IF(OR($F$6&lt;&gt;"Sí",D297&lt;=0.5),"",EDATE($C$10,270))</f>
        <v/>
      </c>
      <c r="D297" s="41" t="n">
        <f aca="false">MAX(0,M296)</f>
        <v>0</v>
      </c>
      <c r="E297" s="41" t="n">
        <f aca="false">D297*$F$7</f>
        <v>0</v>
      </c>
      <c r="F297" s="41" t="n">
        <f aca="false">IF(D297&gt;0.5,N($C$15),0)</f>
        <v>0</v>
      </c>
      <c r="G297" s="41" t="n">
        <f aca="false">IF(AND(D297&gt;0.5,N($C$19)&gt;0,N(B297)&lt;=N($C$20)),D297*$F$8,0)</f>
        <v>0</v>
      </c>
      <c r="H297" s="41" t="n">
        <f aca="false">IF(D297&lt;=0.5,0,MIN(IF(N(I297)&gt;0,I297,$F$9),D297+E297+F297))</f>
        <v>0</v>
      </c>
      <c r="I297" s="77"/>
      <c r="J297" s="77"/>
      <c r="K297" s="41" t="n">
        <f aca="false">IF(D297&lt;=0.5,0,MIN(H297+N(J297),D297+E297+F297))</f>
        <v>0</v>
      </c>
      <c r="L297" s="41" t="n">
        <f aca="false">K297-E297-F297</f>
        <v>0</v>
      </c>
      <c r="M297" s="41" t="n">
        <f aca="false">D297-L297</f>
        <v>0</v>
      </c>
      <c r="N297" s="42" t="n">
        <f aca="false">K297-G297</f>
        <v>0</v>
      </c>
      <c r="O297" s="78"/>
      <c r="P297" s="79"/>
      <c r="Q297" s="16" t="str">
        <f aca="false">IF(K297=0,"",IF(R297=1,"Pagada",IF(C297&lt;$F$12,"Vencida",IF(271=$F$13,"Próxima","Pendiente"))))</f>
        <v/>
      </c>
      <c r="R297" s="62" t="n">
        <f aca="false">IF(AND(K297&gt;0,OR(O297="Sí",O297="Si")),1,0)</f>
        <v>0</v>
      </c>
      <c r="S297" s="62" t="n">
        <f aca="false">IF(AND(K297&gt;0,R297=0),1,0)</f>
        <v>0</v>
      </c>
    </row>
    <row r="298" customFormat="false" ht="15" hidden="false" customHeight="false" outlineLevel="0" collapsed="false">
      <c r="B298" s="71" t="str">
        <f aca="false">IF($F$6="Sí",N($C$11)+271,"")</f>
        <v/>
      </c>
      <c r="C298" s="72" t="str">
        <f aca="false">IF(OR($F$6&lt;&gt;"Sí",D298&lt;=0.5),"",EDATE($C$10,271))</f>
        <v/>
      </c>
      <c r="D298" s="41" t="n">
        <f aca="false">MAX(0,M297)</f>
        <v>0</v>
      </c>
      <c r="E298" s="41" t="n">
        <f aca="false">D298*$F$7</f>
        <v>0</v>
      </c>
      <c r="F298" s="41" t="n">
        <f aca="false">IF(D298&gt;0.5,N($C$15),0)</f>
        <v>0</v>
      </c>
      <c r="G298" s="41" t="n">
        <f aca="false">IF(AND(D298&gt;0.5,N($C$19)&gt;0,N(B298)&lt;=N($C$20)),D298*$F$8,0)</f>
        <v>0</v>
      </c>
      <c r="H298" s="41" t="n">
        <f aca="false">IF(D298&lt;=0.5,0,MIN(IF(N(I298)&gt;0,I298,$F$9),D298+E298+F298))</f>
        <v>0</v>
      </c>
      <c r="I298" s="77"/>
      <c r="J298" s="77"/>
      <c r="K298" s="41" t="n">
        <f aca="false">IF(D298&lt;=0.5,0,MIN(H298+N(J298),D298+E298+F298))</f>
        <v>0</v>
      </c>
      <c r="L298" s="41" t="n">
        <f aca="false">K298-E298-F298</f>
        <v>0</v>
      </c>
      <c r="M298" s="41" t="n">
        <f aca="false">D298-L298</f>
        <v>0</v>
      </c>
      <c r="N298" s="42" t="n">
        <f aca="false">K298-G298</f>
        <v>0</v>
      </c>
      <c r="O298" s="78"/>
      <c r="P298" s="79"/>
      <c r="Q298" s="16" t="str">
        <f aca="false">IF(K298=0,"",IF(R298=1,"Pagada",IF(C298&lt;$F$12,"Vencida",IF(272=$F$13,"Próxima","Pendiente"))))</f>
        <v/>
      </c>
      <c r="R298" s="62" t="n">
        <f aca="false">IF(AND(K298&gt;0,OR(O298="Sí",O298="Si")),1,0)</f>
        <v>0</v>
      </c>
      <c r="S298" s="62" t="n">
        <f aca="false">IF(AND(K298&gt;0,R298=0),1,0)</f>
        <v>0</v>
      </c>
    </row>
    <row r="299" customFormat="false" ht="15" hidden="false" customHeight="false" outlineLevel="0" collapsed="false">
      <c r="B299" s="71" t="str">
        <f aca="false">IF($F$6="Sí",N($C$11)+272,"")</f>
        <v/>
      </c>
      <c r="C299" s="72" t="str">
        <f aca="false">IF(OR($F$6&lt;&gt;"Sí",D299&lt;=0.5),"",EDATE($C$10,272))</f>
        <v/>
      </c>
      <c r="D299" s="41" t="n">
        <f aca="false">MAX(0,M298)</f>
        <v>0</v>
      </c>
      <c r="E299" s="41" t="n">
        <f aca="false">D299*$F$7</f>
        <v>0</v>
      </c>
      <c r="F299" s="41" t="n">
        <f aca="false">IF(D299&gt;0.5,N($C$15),0)</f>
        <v>0</v>
      </c>
      <c r="G299" s="41" t="n">
        <f aca="false">IF(AND(D299&gt;0.5,N($C$19)&gt;0,N(B299)&lt;=N($C$20)),D299*$F$8,0)</f>
        <v>0</v>
      </c>
      <c r="H299" s="41" t="n">
        <f aca="false">IF(D299&lt;=0.5,0,MIN(IF(N(I299)&gt;0,I299,$F$9),D299+E299+F299))</f>
        <v>0</v>
      </c>
      <c r="I299" s="77"/>
      <c r="J299" s="77"/>
      <c r="K299" s="41" t="n">
        <f aca="false">IF(D299&lt;=0.5,0,MIN(H299+N(J299),D299+E299+F299))</f>
        <v>0</v>
      </c>
      <c r="L299" s="41" t="n">
        <f aca="false">K299-E299-F299</f>
        <v>0</v>
      </c>
      <c r="M299" s="41" t="n">
        <f aca="false">D299-L299</f>
        <v>0</v>
      </c>
      <c r="N299" s="42" t="n">
        <f aca="false">K299-G299</f>
        <v>0</v>
      </c>
      <c r="O299" s="78"/>
      <c r="P299" s="79"/>
      <c r="Q299" s="16" t="str">
        <f aca="false">IF(K299=0,"",IF(R299=1,"Pagada",IF(C299&lt;$F$12,"Vencida",IF(273=$F$13,"Próxima","Pendiente"))))</f>
        <v/>
      </c>
      <c r="R299" s="62" t="n">
        <f aca="false">IF(AND(K299&gt;0,OR(O299="Sí",O299="Si")),1,0)</f>
        <v>0</v>
      </c>
      <c r="S299" s="62" t="n">
        <f aca="false">IF(AND(K299&gt;0,R299=0),1,0)</f>
        <v>0</v>
      </c>
    </row>
    <row r="300" customFormat="false" ht="15" hidden="false" customHeight="false" outlineLevel="0" collapsed="false">
      <c r="B300" s="71" t="str">
        <f aca="false">IF($F$6="Sí",N($C$11)+273,"")</f>
        <v/>
      </c>
      <c r="C300" s="72" t="str">
        <f aca="false">IF(OR($F$6&lt;&gt;"Sí",D300&lt;=0.5),"",EDATE($C$10,273))</f>
        <v/>
      </c>
      <c r="D300" s="41" t="n">
        <f aca="false">MAX(0,M299)</f>
        <v>0</v>
      </c>
      <c r="E300" s="41" t="n">
        <f aca="false">D300*$F$7</f>
        <v>0</v>
      </c>
      <c r="F300" s="41" t="n">
        <f aca="false">IF(D300&gt;0.5,N($C$15),0)</f>
        <v>0</v>
      </c>
      <c r="G300" s="41" t="n">
        <f aca="false">IF(AND(D300&gt;0.5,N($C$19)&gt;0,N(B300)&lt;=N($C$20)),D300*$F$8,0)</f>
        <v>0</v>
      </c>
      <c r="H300" s="41" t="n">
        <f aca="false">IF(D300&lt;=0.5,0,MIN(IF(N(I300)&gt;0,I300,$F$9),D300+E300+F300))</f>
        <v>0</v>
      </c>
      <c r="I300" s="77"/>
      <c r="J300" s="77"/>
      <c r="K300" s="41" t="n">
        <f aca="false">IF(D300&lt;=0.5,0,MIN(H300+N(J300),D300+E300+F300))</f>
        <v>0</v>
      </c>
      <c r="L300" s="41" t="n">
        <f aca="false">K300-E300-F300</f>
        <v>0</v>
      </c>
      <c r="M300" s="41" t="n">
        <f aca="false">D300-L300</f>
        <v>0</v>
      </c>
      <c r="N300" s="42" t="n">
        <f aca="false">K300-G300</f>
        <v>0</v>
      </c>
      <c r="O300" s="78"/>
      <c r="P300" s="79"/>
      <c r="Q300" s="16" t="str">
        <f aca="false">IF(K300=0,"",IF(R300=1,"Pagada",IF(C300&lt;$F$12,"Vencida",IF(274=$F$13,"Próxima","Pendiente"))))</f>
        <v/>
      </c>
      <c r="R300" s="62" t="n">
        <f aca="false">IF(AND(K300&gt;0,OR(O300="Sí",O300="Si")),1,0)</f>
        <v>0</v>
      </c>
      <c r="S300" s="62" t="n">
        <f aca="false">IF(AND(K300&gt;0,R300=0),1,0)</f>
        <v>0</v>
      </c>
    </row>
    <row r="301" customFormat="false" ht="15" hidden="false" customHeight="false" outlineLevel="0" collapsed="false">
      <c r="B301" s="71" t="str">
        <f aca="false">IF($F$6="Sí",N($C$11)+274,"")</f>
        <v/>
      </c>
      <c r="C301" s="72" t="str">
        <f aca="false">IF(OR($F$6&lt;&gt;"Sí",D301&lt;=0.5),"",EDATE($C$10,274))</f>
        <v/>
      </c>
      <c r="D301" s="41" t="n">
        <f aca="false">MAX(0,M300)</f>
        <v>0</v>
      </c>
      <c r="E301" s="41" t="n">
        <f aca="false">D301*$F$7</f>
        <v>0</v>
      </c>
      <c r="F301" s="41" t="n">
        <f aca="false">IF(D301&gt;0.5,N($C$15),0)</f>
        <v>0</v>
      </c>
      <c r="G301" s="41" t="n">
        <f aca="false">IF(AND(D301&gt;0.5,N($C$19)&gt;0,N(B301)&lt;=N($C$20)),D301*$F$8,0)</f>
        <v>0</v>
      </c>
      <c r="H301" s="41" t="n">
        <f aca="false">IF(D301&lt;=0.5,0,MIN(IF(N(I301)&gt;0,I301,$F$9),D301+E301+F301))</f>
        <v>0</v>
      </c>
      <c r="I301" s="77"/>
      <c r="J301" s="77"/>
      <c r="K301" s="41" t="n">
        <f aca="false">IF(D301&lt;=0.5,0,MIN(H301+N(J301),D301+E301+F301))</f>
        <v>0</v>
      </c>
      <c r="L301" s="41" t="n">
        <f aca="false">K301-E301-F301</f>
        <v>0</v>
      </c>
      <c r="M301" s="41" t="n">
        <f aca="false">D301-L301</f>
        <v>0</v>
      </c>
      <c r="N301" s="42" t="n">
        <f aca="false">K301-G301</f>
        <v>0</v>
      </c>
      <c r="O301" s="78"/>
      <c r="P301" s="79"/>
      <c r="Q301" s="16" t="str">
        <f aca="false">IF(K301=0,"",IF(R301=1,"Pagada",IF(C301&lt;$F$12,"Vencida",IF(275=$F$13,"Próxima","Pendiente"))))</f>
        <v/>
      </c>
      <c r="R301" s="62" t="n">
        <f aca="false">IF(AND(K301&gt;0,OR(O301="Sí",O301="Si")),1,0)</f>
        <v>0</v>
      </c>
      <c r="S301" s="62" t="n">
        <f aca="false">IF(AND(K301&gt;0,R301=0),1,0)</f>
        <v>0</v>
      </c>
    </row>
    <row r="302" customFormat="false" ht="15" hidden="false" customHeight="false" outlineLevel="0" collapsed="false">
      <c r="B302" s="71" t="str">
        <f aca="false">IF($F$6="Sí",N($C$11)+275,"")</f>
        <v/>
      </c>
      <c r="C302" s="72" t="str">
        <f aca="false">IF(OR($F$6&lt;&gt;"Sí",D302&lt;=0.5),"",EDATE($C$10,275))</f>
        <v/>
      </c>
      <c r="D302" s="41" t="n">
        <f aca="false">MAX(0,M301)</f>
        <v>0</v>
      </c>
      <c r="E302" s="41" t="n">
        <f aca="false">D302*$F$7</f>
        <v>0</v>
      </c>
      <c r="F302" s="41" t="n">
        <f aca="false">IF(D302&gt;0.5,N($C$15),0)</f>
        <v>0</v>
      </c>
      <c r="G302" s="41" t="n">
        <f aca="false">IF(AND(D302&gt;0.5,N($C$19)&gt;0,N(B302)&lt;=N($C$20)),D302*$F$8,0)</f>
        <v>0</v>
      </c>
      <c r="H302" s="41" t="n">
        <f aca="false">IF(D302&lt;=0.5,0,MIN(IF(N(I302)&gt;0,I302,$F$9),D302+E302+F302))</f>
        <v>0</v>
      </c>
      <c r="I302" s="77"/>
      <c r="J302" s="77"/>
      <c r="K302" s="41" t="n">
        <f aca="false">IF(D302&lt;=0.5,0,MIN(H302+N(J302),D302+E302+F302))</f>
        <v>0</v>
      </c>
      <c r="L302" s="41" t="n">
        <f aca="false">K302-E302-F302</f>
        <v>0</v>
      </c>
      <c r="M302" s="41" t="n">
        <f aca="false">D302-L302</f>
        <v>0</v>
      </c>
      <c r="N302" s="42" t="n">
        <f aca="false">K302-G302</f>
        <v>0</v>
      </c>
      <c r="O302" s="78"/>
      <c r="P302" s="79"/>
      <c r="Q302" s="16" t="str">
        <f aca="false">IF(K302=0,"",IF(R302=1,"Pagada",IF(C302&lt;$F$12,"Vencida",IF(276=$F$13,"Próxima","Pendiente"))))</f>
        <v/>
      </c>
      <c r="R302" s="62" t="n">
        <f aca="false">IF(AND(K302&gt;0,OR(O302="Sí",O302="Si")),1,0)</f>
        <v>0</v>
      </c>
      <c r="S302" s="62" t="n">
        <f aca="false">IF(AND(K302&gt;0,R302=0),1,0)</f>
        <v>0</v>
      </c>
    </row>
    <row r="303" customFormat="false" ht="15" hidden="false" customHeight="false" outlineLevel="0" collapsed="false">
      <c r="B303" s="71" t="str">
        <f aca="false">IF($F$6="Sí",N($C$11)+276,"")</f>
        <v/>
      </c>
      <c r="C303" s="72" t="str">
        <f aca="false">IF(OR($F$6&lt;&gt;"Sí",D303&lt;=0.5),"",EDATE($C$10,276))</f>
        <v/>
      </c>
      <c r="D303" s="41" t="n">
        <f aca="false">MAX(0,M302)</f>
        <v>0</v>
      </c>
      <c r="E303" s="41" t="n">
        <f aca="false">D303*$F$7</f>
        <v>0</v>
      </c>
      <c r="F303" s="41" t="n">
        <f aca="false">IF(D303&gt;0.5,N($C$15),0)</f>
        <v>0</v>
      </c>
      <c r="G303" s="41" t="n">
        <f aca="false">IF(AND(D303&gt;0.5,N($C$19)&gt;0,N(B303)&lt;=N($C$20)),D303*$F$8,0)</f>
        <v>0</v>
      </c>
      <c r="H303" s="41" t="n">
        <f aca="false">IF(D303&lt;=0.5,0,MIN(IF(N(I303)&gt;0,I303,$F$9),D303+E303+F303))</f>
        <v>0</v>
      </c>
      <c r="I303" s="77"/>
      <c r="J303" s="77"/>
      <c r="K303" s="41" t="n">
        <f aca="false">IF(D303&lt;=0.5,0,MIN(H303+N(J303),D303+E303+F303))</f>
        <v>0</v>
      </c>
      <c r="L303" s="41" t="n">
        <f aca="false">K303-E303-F303</f>
        <v>0</v>
      </c>
      <c r="M303" s="41" t="n">
        <f aca="false">D303-L303</f>
        <v>0</v>
      </c>
      <c r="N303" s="42" t="n">
        <f aca="false">K303-G303</f>
        <v>0</v>
      </c>
      <c r="O303" s="78"/>
      <c r="P303" s="79"/>
      <c r="Q303" s="16" t="str">
        <f aca="false">IF(K303=0,"",IF(R303=1,"Pagada",IF(C303&lt;$F$12,"Vencida",IF(277=$F$13,"Próxima","Pendiente"))))</f>
        <v/>
      </c>
      <c r="R303" s="62" t="n">
        <f aca="false">IF(AND(K303&gt;0,OR(O303="Sí",O303="Si")),1,0)</f>
        <v>0</v>
      </c>
      <c r="S303" s="62" t="n">
        <f aca="false">IF(AND(K303&gt;0,R303=0),1,0)</f>
        <v>0</v>
      </c>
    </row>
    <row r="304" customFormat="false" ht="15" hidden="false" customHeight="false" outlineLevel="0" collapsed="false">
      <c r="B304" s="71" t="str">
        <f aca="false">IF($F$6="Sí",N($C$11)+277,"")</f>
        <v/>
      </c>
      <c r="C304" s="72" t="str">
        <f aca="false">IF(OR($F$6&lt;&gt;"Sí",D304&lt;=0.5),"",EDATE($C$10,277))</f>
        <v/>
      </c>
      <c r="D304" s="41" t="n">
        <f aca="false">MAX(0,M303)</f>
        <v>0</v>
      </c>
      <c r="E304" s="41" t="n">
        <f aca="false">D304*$F$7</f>
        <v>0</v>
      </c>
      <c r="F304" s="41" t="n">
        <f aca="false">IF(D304&gt;0.5,N($C$15),0)</f>
        <v>0</v>
      </c>
      <c r="G304" s="41" t="n">
        <f aca="false">IF(AND(D304&gt;0.5,N($C$19)&gt;0,N(B304)&lt;=N($C$20)),D304*$F$8,0)</f>
        <v>0</v>
      </c>
      <c r="H304" s="41" t="n">
        <f aca="false">IF(D304&lt;=0.5,0,MIN(IF(N(I304)&gt;0,I304,$F$9),D304+E304+F304))</f>
        <v>0</v>
      </c>
      <c r="I304" s="77"/>
      <c r="J304" s="77"/>
      <c r="K304" s="41" t="n">
        <f aca="false">IF(D304&lt;=0.5,0,MIN(H304+N(J304),D304+E304+F304))</f>
        <v>0</v>
      </c>
      <c r="L304" s="41" t="n">
        <f aca="false">K304-E304-F304</f>
        <v>0</v>
      </c>
      <c r="M304" s="41" t="n">
        <f aca="false">D304-L304</f>
        <v>0</v>
      </c>
      <c r="N304" s="42" t="n">
        <f aca="false">K304-G304</f>
        <v>0</v>
      </c>
      <c r="O304" s="78"/>
      <c r="P304" s="79"/>
      <c r="Q304" s="16" t="str">
        <f aca="false">IF(K304=0,"",IF(R304=1,"Pagada",IF(C304&lt;$F$12,"Vencida",IF(278=$F$13,"Próxima","Pendiente"))))</f>
        <v/>
      </c>
      <c r="R304" s="62" t="n">
        <f aca="false">IF(AND(K304&gt;0,OR(O304="Sí",O304="Si")),1,0)</f>
        <v>0</v>
      </c>
      <c r="S304" s="62" t="n">
        <f aca="false">IF(AND(K304&gt;0,R304=0),1,0)</f>
        <v>0</v>
      </c>
    </row>
    <row r="305" customFormat="false" ht="15" hidden="false" customHeight="false" outlineLevel="0" collapsed="false">
      <c r="B305" s="71" t="str">
        <f aca="false">IF($F$6="Sí",N($C$11)+278,"")</f>
        <v/>
      </c>
      <c r="C305" s="72" t="str">
        <f aca="false">IF(OR($F$6&lt;&gt;"Sí",D305&lt;=0.5),"",EDATE($C$10,278))</f>
        <v/>
      </c>
      <c r="D305" s="41" t="n">
        <f aca="false">MAX(0,M304)</f>
        <v>0</v>
      </c>
      <c r="E305" s="41" t="n">
        <f aca="false">D305*$F$7</f>
        <v>0</v>
      </c>
      <c r="F305" s="41" t="n">
        <f aca="false">IF(D305&gt;0.5,N($C$15),0)</f>
        <v>0</v>
      </c>
      <c r="G305" s="41" t="n">
        <f aca="false">IF(AND(D305&gt;0.5,N($C$19)&gt;0,N(B305)&lt;=N($C$20)),D305*$F$8,0)</f>
        <v>0</v>
      </c>
      <c r="H305" s="41" t="n">
        <f aca="false">IF(D305&lt;=0.5,0,MIN(IF(N(I305)&gt;0,I305,$F$9),D305+E305+F305))</f>
        <v>0</v>
      </c>
      <c r="I305" s="77"/>
      <c r="J305" s="77"/>
      <c r="K305" s="41" t="n">
        <f aca="false">IF(D305&lt;=0.5,0,MIN(H305+N(J305),D305+E305+F305))</f>
        <v>0</v>
      </c>
      <c r="L305" s="41" t="n">
        <f aca="false">K305-E305-F305</f>
        <v>0</v>
      </c>
      <c r="M305" s="41" t="n">
        <f aca="false">D305-L305</f>
        <v>0</v>
      </c>
      <c r="N305" s="42" t="n">
        <f aca="false">K305-G305</f>
        <v>0</v>
      </c>
      <c r="O305" s="78"/>
      <c r="P305" s="79"/>
      <c r="Q305" s="16" t="str">
        <f aca="false">IF(K305=0,"",IF(R305=1,"Pagada",IF(C305&lt;$F$12,"Vencida",IF(279=$F$13,"Próxima","Pendiente"))))</f>
        <v/>
      </c>
      <c r="R305" s="62" t="n">
        <f aca="false">IF(AND(K305&gt;0,OR(O305="Sí",O305="Si")),1,0)</f>
        <v>0</v>
      </c>
      <c r="S305" s="62" t="n">
        <f aca="false">IF(AND(K305&gt;0,R305=0),1,0)</f>
        <v>0</v>
      </c>
    </row>
    <row r="306" customFormat="false" ht="15" hidden="false" customHeight="false" outlineLevel="0" collapsed="false">
      <c r="B306" s="71" t="str">
        <f aca="false">IF($F$6="Sí",N($C$11)+279,"")</f>
        <v/>
      </c>
      <c r="C306" s="72" t="str">
        <f aca="false">IF(OR($F$6&lt;&gt;"Sí",D306&lt;=0.5),"",EDATE($C$10,279))</f>
        <v/>
      </c>
      <c r="D306" s="41" t="n">
        <f aca="false">MAX(0,M305)</f>
        <v>0</v>
      </c>
      <c r="E306" s="41" t="n">
        <f aca="false">D306*$F$7</f>
        <v>0</v>
      </c>
      <c r="F306" s="41" t="n">
        <f aca="false">IF(D306&gt;0.5,N($C$15),0)</f>
        <v>0</v>
      </c>
      <c r="G306" s="41" t="n">
        <f aca="false">IF(AND(D306&gt;0.5,N($C$19)&gt;0,N(B306)&lt;=N($C$20)),D306*$F$8,0)</f>
        <v>0</v>
      </c>
      <c r="H306" s="41" t="n">
        <f aca="false">IF(D306&lt;=0.5,0,MIN(IF(N(I306)&gt;0,I306,$F$9),D306+E306+F306))</f>
        <v>0</v>
      </c>
      <c r="I306" s="77"/>
      <c r="J306" s="77"/>
      <c r="K306" s="41" t="n">
        <f aca="false">IF(D306&lt;=0.5,0,MIN(H306+N(J306),D306+E306+F306))</f>
        <v>0</v>
      </c>
      <c r="L306" s="41" t="n">
        <f aca="false">K306-E306-F306</f>
        <v>0</v>
      </c>
      <c r="M306" s="41" t="n">
        <f aca="false">D306-L306</f>
        <v>0</v>
      </c>
      <c r="N306" s="42" t="n">
        <f aca="false">K306-G306</f>
        <v>0</v>
      </c>
      <c r="O306" s="78"/>
      <c r="P306" s="79"/>
      <c r="Q306" s="16" t="str">
        <f aca="false">IF(K306=0,"",IF(R306=1,"Pagada",IF(C306&lt;$F$12,"Vencida",IF(280=$F$13,"Próxima","Pendiente"))))</f>
        <v/>
      </c>
      <c r="R306" s="62" t="n">
        <f aca="false">IF(AND(K306&gt;0,OR(O306="Sí",O306="Si")),1,0)</f>
        <v>0</v>
      </c>
      <c r="S306" s="62" t="n">
        <f aca="false">IF(AND(K306&gt;0,R306=0),1,0)</f>
        <v>0</v>
      </c>
    </row>
    <row r="307" customFormat="false" ht="15" hidden="false" customHeight="false" outlineLevel="0" collapsed="false">
      <c r="B307" s="71" t="str">
        <f aca="false">IF($F$6="Sí",N($C$11)+280,"")</f>
        <v/>
      </c>
      <c r="C307" s="72" t="str">
        <f aca="false">IF(OR($F$6&lt;&gt;"Sí",D307&lt;=0.5),"",EDATE($C$10,280))</f>
        <v/>
      </c>
      <c r="D307" s="41" t="n">
        <f aca="false">MAX(0,M306)</f>
        <v>0</v>
      </c>
      <c r="E307" s="41" t="n">
        <f aca="false">D307*$F$7</f>
        <v>0</v>
      </c>
      <c r="F307" s="41" t="n">
        <f aca="false">IF(D307&gt;0.5,N($C$15),0)</f>
        <v>0</v>
      </c>
      <c r="G307" s="41" t="n">
        <f aca="false">IF(AND(D307&gt;0.5,N($C$19)&gt;0,N(B307)&lt;=N($C$20)),D307*$F$8,0)</f>
        <v>0</v>
      </c>
      <c r="H307" s="41" t="n">
        <f aca="false">IF(D307&lt;=0.5,0,MIN(IF(N(I307)&gt;0,I307,$F$9),D307+E307+F307))</f>
        <v>0</v>
      </c>
      <c r="I307" s="77"/>
      <c r="J307" s="77"/>
      <c r="K307" s="41" t="n">
        <f aca="false">IF(D307&lt;=0.5,0,MIN(H307+N(J307),D307+E307+F307))</f>
        <v>0</v>
      </c>
      <c r="L307" s="41" t="n">
        <f aca="false">K307-E307-F307</f>
        <v>0</v>
      </c>
      <c r="M307" s="41" t="n">
        <f aca="false">D307-L307</f>
        <v>0</v>
      </c>
      <c r="N307" s="42" t="n">
        <f aca="false">K307-G307</f>
        <v>0</v>
      </c>
      <c r="O307" s="78"/>
      <c r="P307" s="79"/>
      <c r="Q307" s="16" t="str">
        <f aca="false">IF(K307=0,"",IF(R307=1,"Pagada",IF(C307&lt;$F$12,"Vencida",IF(281=$F$13,"Próxima","Pendiente"))))</f>
        <v/>
      </c>
      <c r="R307" s="62" t="n">
        <f aca="false">IF(AND(K307&gt;0,OR(O307="Sí",O307="Si")),1,0)</f>
        <v>0</v>
      </c>
      <c r="S307" s="62" t="n">
        <f aca="false">IF(AND(K307&gt;0,R307=0),1,0)</f>
        <v>0</v>
      </c>
    </row>
    <row r="308" customFormat="false" ht="15" hidden="false" customHeight="false" outlineLevel="0" collapsed="false">
      <c r="B308" s="71" t="str">
        <f aca="false">IF($F$6="Sí",N($C$11)+281,"")</f>
        <v/>
      </c>
      <c r="C308" s="72" t="str">
        <f aca="false">IF(OR($F$6&lt;&gt;"Sí",D308&lt;=0.5),"",EDATE($C$10,281))</f>
        <v/>
      </c>
      <c r="D308" s="41" t="n">
        <f aca="false">MAX(0,M307)</f>
        <v>0</v>
      </c>
      <c r="E308" s="41" t="n">
        <f aca="false">D308*$F$7</f>
        <v>0</v>
      </c>
      <c r="F308" s="41" t="n">
        <f aca="false">IF(D308&gt;0.5,N($C$15),0)</f>
        <v>0</v>
      </c>
      <c r="G308" s="41" t="n">
        <f aca="false">IF(AND(D308&gt;0.5,N($C$19)&gt;0,N(B308)&lt;=N($C$20)),D308*$F$8,0)</f>
        <v>0</v>
      </c>
      <c r="H308" s="41" t="n">
        <f aca="false">IF(D308&lt;=0.5,0,MIN(IF(N(I308)&gt;0,I308,$F$9),D308+E308+F308))</f>
        <v>0</v>
      </c>
      <c r="I308" s="77"/>
      <c r="J308" s="77"/>
      <c r="K308" s="41" t="n">
        <f aca="false">IF(D308&lt;=0.5,0,MIN(H308+N(J308),D308+E308+F308))</f>
        <v>0</v>
      </c>
      <c r="L308" s="41" t="n">
        <f aca="false">K308-E308-F308</f>
        <v>0</v>
      </c>
      <c r="M308" s="41" t="n">
        <f aca="false">D308-L308</f>
        <v>0</v>
      </c>
      <c r="N308" s="42" t="n">
        <f aca="false">K308-G308</f>
        <v>0</v>
      </c>
      <c r="O308" s="78"/>
      <c r="P308" s="79"/>
      <c r="Q308" s="16" t="str">
        <f aca="false">IF(K308=0,"",IF(R308=1,"Pagada",IF(C308&lt;$F$12,"Vencida",IF(282=$F$13,"Próxima","Pendiente"))))</f>
        <v/>
      </c>
      <c r="R308" s="62" t="n">
        <f aca="false">IF(AND(K308&gt;0,OR(O308="Sí",O308="Si")),1,0)</f>
        <v>0</v>
      </c>
      <c r="S308" s="62" t="n">
        <f aca="false">IF(AND(K308&gt;0,R308=0),1,0)</f>
        <v>0</v>
      </c>
    </row>
    <row r="309" customFormat="false" ht="15" hidden="false" customHeight="false" outlineLevel="0" collapsed="false">
      <c r="B309" s="71" t="str">
        <f aca="false">IF($F$6="Sí",N($C$11)+282,"")</f>
        <v/>
      </c>
      <c r="C309" s="72" t="str">
        <f aca="false">IF(OR($F$6&lt;&gt;"Sí",D309&lt;=0.5),"",EDATE($C$10,282))</f>
        <v/>
      </c>
      <c r="D309" s="41" t="n">
        <f aca="false">MAX(0,M308)</f>
        <v>0</v>
      </c>
      <c r="E309" s="41" t="n">
        <f aca="false">D309*$F$7</f>
        <v>0</v>
      </c>
      <c r="F309" s="41" t="n">
        <f aca="false">IF(D309&gt;0.5,N($C$15),0)</f>
        <v>0</v>
      </c>
      <c r="G309" s="41" t="n">
        <f aca="false">IF(AND(D309&gt;0.5,N($C$19)&gt;0,N(B309)&lt;=N($C$20)),D309*$F$8,0)</f>
        <v>0</v>
      </c>
      <c r="H309" s="41" t="n">
        <f aca="false">IF(D309&lt;=0.5,0,MIN(IF(N(I309)&gt;0,I309,$F$9),D309+E309+F309))</f>
        <v>0</v>
      </c>
      <c r="I309" s="77"/>
      <c r="J309" s="77"/>
      <c r="K309" s="41" t="n">
        <f aca="false">IF(D309&lt;=0.5,0,MIN(H309+N(J309),D309+E309+F309))</f>
        <v>0</v>
      </c>
      <c r="L309" s="41" t="n">
        <f aca="false">K309-E309-F309</f>
        <v>0</v>
      </c>
      <c r="M309" s="41" t="n">
        <f aca="false">D309-L309</f>
        <v>0</v>
      </c>
      <c r="N309" s="42" t="n">
        <f aca="false">K309-G309</f>
        <v>0</v>
      </c>
      <c r="O309" s="78"/>
      <c r="P309" s="79"/>
      <c r="Q309" s="16" t="str">
        <f aca="false">IF(K309=0,"",IF(R309=1,"Pagada",IF(C309&lt;$F$12,"Vencida",IF(283=$F$13,"Próxima","Pendiente"))))</f>
        <v/>
      </c>
      <c r="R309" s="62" t="n">
        <f aca="false">IF(AND(K309&gt;0,OR(O309="Sí",O309="Si")),1,0)</f>
        <v>0</v>
      </c>
      <c r="S309" s="62" t="n">
        <f aca="false">IF(AND(K309&gt;0,R309=0),1,0)</f>
        <v>0</v>
      </c>
    </row>
    <row r="310" customFormat="false" ht="15" hidden="false" customHeight="false" outlineLevel="0" collapsed="false">
      <c r="B310" s="71" t="str">
        <f aca="false">IF($F$6="Sí",N($C$11)+283,"")</f>
        <v/>
      </c>
      <c r="C310" s="72" t="str">
        <f aca="false">IF(OR($F$6&lt;&gt;"Sí",D310&lt;=0.5),"",EDATE($C$10,283))</f>
        <v/>
      </c>
      <c r="D310" s="41" t="n">
        <f aca="false">MAX(0,M309)</f>
        <v>0</v>
      </c>
      <c r="E310" s="41" t="n">
        <f aca="false">D310*$F$7</f>
        <v>0</v>
      </c>
      <c r="F310" s="41" t="n">
        <f aca="false">IF(D310&gt;0.5,N($C$15),0)</f>
        <v>0</v>
      </c>
      <c r="G310" s="41" t="n">
        <f aca="false">IF(AND(D310&gt;0.5,N($C$19)&gt;0,N(B310)&lt;=N($C$20)),D310*$F$8,0)</f>
        <v>0</v>
      </c>
      <c r="H310" s="41" t="n">
        <f aca="false">IF(D310&lt;=0.5,0,MIN(IF(N(I310)&gt;0,I310,$F$9),D310+E310+F310))</f>
        <v>0</v>
      </c>
      <c r="I310" s="77"/>
      <c r="J310" s="77"/>
      <c r="K310" s="41" t="n">
        <f aca="false">IF(D310&lt;=0.5,0,MIN(H310+N(J310),D310+E310+F310))</f>
        <v>0</v>
      </c>
      <c r="L310" s="41" t="n">
        <f aca="false">K310-E310-F310</f>
        <v>0</v>
      </c>
      <c r="M310" s="41" t="n">
        <f aca="false">D310-L310</f>
        <v>0</v>
      </c>
      <c r="N310" s="42" t="n">
        <f aca="false">K310-G310</f>
        <v>0</v>
      </c>
      <c r="O310" s="78"/>
      <c r="P310" s="79"/>
      <c r="Q310" s="16" t="str">
        <f aca="false">IF(K310=0,"",IF(R310=1,"Pagada",IF(C310&lt;$F$12,"Vencida",IF(284=$F$13,"Próxima","Pendiente"))))</f>
        <v/>
      </c>
      <c r="R310" s="62" t="n">
        <f aca="false">IF(AND(K310&gt;0,OR(O310="Sí",O310="Si")),1,0)</f>
        <v>0</v>
      </c>
      <c r="S310" s="62" t="n">
        <f aca="false">IF(AND(K310&gt;0,R310=0),1,0)</f>
        <v>0</v>
      </c>
    </row>
    <row r="311" customFormat="false" ht="15" hidden="false" customHeight="false" outlineLevel="0" collapsed="false">
      <c r="B311" s="71" t="str">
        <f aca="false">IF($F$6="Sí",N($C$11)+284,"")</f>
        <v/>
      </c>
      <c r="C311" s="72" t="str">
        <f aca="false">IF(OR($F$6&lt;&gt;"Sí",D311&lt;=0.5),"",EDATE($C$10,284))</f>
        <v/>
      </c>
      <c r="D311" s="41" t="n">
        <f aca="false">MAX(0,M310)</f>
        <v>0</v>
      </c>
      <c r="E311" s="41" t="n">
        <f aca="false">D311*$F$7</f>
        <v>0</v>
      </c>
      <c r="F311" s="41" t="n">
        <f aca="false">IF(D311&gt;0.5,N($C$15),0)</f>
        <v>0</v>
      </c>
      <c r="G311" s="41" t="n">
        <f aca="false">IF(AND(D311&gt;0.5,N($C$19)&gt;0,N(B311)&lt;=N($C$20)),D311*$F$8,0)</f>
        <v>0</v>
      </c>
      <c r="H311" s="41" t="n">
        <f aca="false">IF(D311&lt;=0.5,0,MIN(IF(N(I311)&gt;0,I311,$F$9),D311+E311+F311))</f>
        <v>0</v>
      </c>
      <c r="I311" s="77"/>
      <c r="J311" s="77"/>
      <c r="K311" s="41" t="n">
        <f aca="false">IF(D311&lt;=0.5,0,MIN(H311+N(J311),D311+E311+F311))</f>
        <v>0</v>
      </c>
      <c r="L311" s="41" t="n">
        <f aca="false">K311-E311-F311</f>
        <v>0</v>
      </c>
      <c r="M311" s="41" t="n">
        <f aca="false">D311-L311</f>
        <v>0</v>
      </c>
      <c r="N311" s="42" t="n">
        <f aca="false">K311-G311</f>
        <v>0</v>
      </c>
      <c r="O311" s="78"/>
      <c r="P311" s="79"/>
      <c r="Q311" s="16" t="str">
        <f aca="false">IF(K311=0,"",IF(R311=1,"Pagada",IF(C311&lt;$F$12,"Vencida",IF(285=$F$13,"Próxima","Pendiente"))))</f>
        <v/>
      </c>
      <c r="R311" s="62" t="n">
        <f aca="false">IF(AND(K311&gt;0,OR(O311="Sí",O311="Si")),1,0)</f>
        <v>0</v>
      </c>
      <c r="S311" s="62" t="n">
        <f aca="false">IF(AND(K311&gt;0,R311=0),1,0)</f>
        <v>0</v>
      </c>
    </row>
    <row r="312" customFormat="false" ht="15" hidden="false" customHeight="false" outlineLevel="0" collapsed="false">
      <c r="B312" s="71" t="str">
        <f aca="false">IF($F$6="Sí",N($C$11)+285,"")</f>
        <v/>
      </c>
      <c r="C312" s="72" t="str">
        <f aca="false">IF(OR($F$6&lt;&gt;"Sí",D312&lt;=0.5),"",EDATE($C$10,285))</f>
        <v/>
      </c>
      <c r="D312" s="41" t="n">
        <f aca="false">MAX(0,M311)</f>
        <v>0</v>
      </c>
      <c r="E312" s="41" t="n">
        <f aca="false">D312*$F$7</f>
        <v>0</v>
      </c>
      <c r="F312" s="41" t="n">
        <f aca="false">IF(D312&gt;0.5,N($C$15),0)</f>
        <v>0</v>
      </c>
      <c r="G312" s="41" t="n">
        <f aca="false">IF(AND(D312&gt;0.5,N($C$19)&gt;0,N(B312)&lt;=N($C$20)),D312*$F$8,0)</f>
        <v>0</v>
      </c>
      <c r="H312" s="41" t="n">
        <f aca="false">IF(D312&lt;=0.5,0,MIN(IF(N(I312)&gt;0,I312,$F$9),D312+E312+F312))</f>
        <v>0</v>
      </c>
      <c r="I312" s="77"/>
      <c r="J312" s="77"/>
      <c r="K312" s="41" t="n">
        <f aca="false">IF(D312&lt;=0.5,0,MIN(H312+N(J312),D312+E312+F312))</f>
        <v>0</v>
      </c>
      <c r="L312" s="41" t="n">
        <f aca="false">K312-E312-F312</f>
        <v>0</v>
      </c>
      <c r="M312" s="41" t="n">
        <f aca="false">D312-L312</f>
        <v>0</v>
      </c>
      <c r="N312" s="42" t="n">
        <f aca="false">K312-G312</f>
        <v>0</v>
      </c>
      <c r="O312" s="78"/>
      <c r="P312" s="79"/>
      <c r="Q312" s="16" t="str">
        <f aca="false">IF(K312=0,"",IF(R312=1,"Pagada",IF(C312&lt;$F$12,"Vencida",IF(286=$F$13,"Próxima","Pendiente"))))</f>
        <v/>
      </c>
      <c r="R312" s="62" t="n">
        <f aca="false">IF(AND(K312&gt;0,OR(O312="Sí",O312="Si")),1,0)</f>
        <v>0</v>
      </c>
      <c r="S312" s="62" t="n">
        <f aca="false">IF(AND(K312&gt;0,R312=0),1,0)</f>
        <v>0</v>
      </c>
    </row>
    <row r="313" customFormat="false" ht="15" hidden="false" customHeight="false" outlineLevel="0" collapsed="false">
      <c r="B313" s="71" t="str">
        <f aca="false">IF($F$6="Sí",N($C$11)+286,"")</f>
        <v/>
      </c>
      <c r="C313" s="72" t="str">
        <f aca="false">IF(OR($F$6&lt;&gt;"Sí",D313&lt;=0.5),"",EDATE($C$10,286))</f>
        <v/>
      </c>
      <c r="D313" s="41" t="n">
        <f aca="false">MAX(0,M312)</f>
        <v>0</v>
      </c>
      <c r="E313" s="41" t="n">
        <f aca="false">D313*$F$7</f>
        <v>0</v>
      </c>
      <c r="F313" s="41" t="n">
        <f aca="false">IF(D313&gt;0.5,N($C$15),0)</f>
        <v>0</v>
      </c>
      <c r="G313" s="41" t="n">
        <f aca="false">IF(AND(D313&gt;0.5,N($C$19)&gt;0,N(B313)&lt;=N($C$20)),D313*$F$8,0)</f>
        <v>0</v>
      </c>
      <c r="H313" s="41" t="n">
        <f aca="false">IF(D313&lt;=0.5,0,MIN(IF(N(I313)&gt;0,I313,$F$9),D313+E313+F313))</f>
        <v>0</v>
      </c>
      <c r="I313" s="77"/>
      <c r="J313" s="77"/>
      <c r="K313" s="41" t="n">
        <f aca="false">IF(D313&lt;=0.5,0,MIN(H313+N(J313),D313+E313+F313))</f>
        <v>0</v>
      </c>
      <c r="L313" s="41" t="n">
        <f aca="false">K313-E313-F313</f>
        <v>0</v>
      </c>
      <c r="M313" s="41" t="n">
        <f aca="false">D313-L313</f>
        <v>0</v>
      </c>
      <c r="N313" s="42" t="n">
        <f aca="false">K313-G313</f>
        <v>0</v>
      </c>
      <c r="O313" s="78"/>
      <c r="P313" s="79"/>
      <c r="Q313" s="16" t="str">
        <f aca="false">IF(K313=0,"",IF(R313=1,"Pagada",IF(C313&lt;$F$12,"Vencida",IF(287=$F$13,"Próxima","Pendiente"))))</f>
        <v/>
      </c>
      <c r="R313" s="62" t="n">
        <f aca="false">IF(AND(K313&gt;0,OR(O313="Sí",O313="Si")),1,0)</f>
        <v>0</v>
      </c>
      <c r="S313" s="62" t="n">
        <f aca="false">IF(AND(K313&gt;0,R313=0),1,0)</f>
        <v>0</v>
      </c>
    </row>
    <row r="314" customFormat="false" ht="15" hidden="false" customHeight="false" outlineLevel="0" collapsed="false">
      <c r="B314" s="71" t="str">
        <f aca="false">IF($F$6="Sí",N($C$11)+287,"")</f>
        <v/>
      </c>
      <c r="C314" s="72" t="str">
        <f aca="false">IF(OR($F$6&lt;&gt;"Sí",D314&lt;=0.5),"",EDATE($C$10,287))</f>
        <v/>
      </c>
      <c r="D314" s="41" t="n">
        <f aca="false">MAX(0,M313)</f>
        <v>0</v>
      </c>
      <c r="E314" s="41" t="n">
        <f aca="false">D314*$F$7</f>
        <v>0</v>
      </c>
      <c r="F314" s="41" t="n">
        <f aca="false">IF(D314&gt;0.5,N($C$15),0)</f>
        <v>0</v>
      </c>
      <c r="G314" s="41" t="n">
        <f aca="false">IF(AND(D314&gt;0.5,N($C$19)&gt;0,N(B314)&lt;=N($C$20)),D314*$F$8,0)</f>
        <v>0</v>
      </c>
      <c r="H314" s="41" t="n">
        <f aca="false">IF(D314&lt;=0.5,0,MIN(IF(N(I314)&gt;0,I314,$F$9),D314+E314+F314))</f>
        <v>0</v>
      </c>
      <c r="I314" s="77"/>
      <c r="J314" s="77"/>
      <c r="K314" s="41" t="n">
        <f aca="false">IF(D314&lt;=0.5,0,MIN(H314+N(J314),D314+E314+F314))</f>
        <v>0</v>
      </c>
      <c r="L314" s="41" t="n">
        <f aca="false">K314-E314-F314</f>
        <v>0</v>
      </c>
      <c r="M314" s="41" t="n">
        <f aca="false">D314-L314</f>
        <v>0</v>
      </c>
      <c r="N314" s="42" t="n">
        <f aca="false">K314-G314</f>
        <v>0</v>
      </c>
      <c r="O314" s="78"/>
      <c r="P314" s="79"/>
      <c r="Q314" s="16" t="str">
        <f aca="false">IF(K314=0,"",IF(R314=1,"Pagada",IF(C314&lt;$F$12,"Vencida",IF(288=$F$13,"Próxima","Pendiente"))))</f>
        <v/>
      </c>
      <c r="R314" s="62" t="n">
        <f aca="false">IF(AND(K314&gt;0,OR(O314="Sí",O314="Si")),1,0)</f>
        <v>0</v>
      </c>
      <c r="S314" s="62" t="n">
        <f aca="false">IF(AND(K314&gt;0,R314=0),1,0)</f>
        <v>0</v>
      </c>
    </row>
    <row r="315" customFormat="false" ht="15" hidden="false" customHeight="false" outlineLevel="0" collapsed="false">
      <c r="B315" s="71" t="str">
        <f aca="false">IF($F$6="Sí",N($C$11)+288,"")</f>
        <v/>
      </c>
      <c r="C315" s="72" t="str">
        <f aca="false">IF(OR($F$6&lt;&gt;"Sí",D315&lt;=0.5),"",EDATE($C$10,288))</f>
        <v/>
      </c>
      <c r="D315" s="41" t="n">
        <f aca="false">MAX(0,M314)</f>
        <v>0</v>
      </c>
      <c r="E315" s="41" t="n">
        <f aca="false">D315*$F$7</f>
        <v>0</v>
      </c>
      <c r="F315" s="41" t="n">
        <f aca="false">IF(D315&gt;0.5,N($C$15),0)</f>
        <v>0</v>
      </c>
      <c r="G315" s="41" t="n">
        <f aca="false">IF(AND(D315&gt;0.5,N($C$19)&gt;0,N(B315)&lt;=N($C$20)),D315*$F$8,0)</f>
        <v>0</v>
      </c>
      <c r="H315" s="41" t="n">
        <f aca="false">IF(D315&lt;=0.5,0,MIN(IF(N(I315)&gt;0,I315,$F$9),D315+E315+F315))</f>
        <v>0</v>
      </c>
      <c r="I315" s="77"/>
      <c r="J315" s="77"/>
      <c r="K315" s="41" t="n">
        <f aca="false">IF(D315&lt;=0.5,0,MIN(H315+N(J315),D315+E315+F315))</f>
        <v>0</v>
      </c>
      <c r="L315" s="41" t="n">
        <f aca="false">K315-E315-F315</f>
        <v>0</v>
      </c>
      <c r="M315" s="41" t="n">
        <f aca="false">D315-L315</f>
        <v>0</v>
      </c>
      <c r="N315" s="42" t="n">
        <f aca="false">K315-G315</f>
        <v>0</v>
      </c>
      <c r="O315" s="78"/>
      <c r="P315" s="79"/>
      <c r="Q315" s="16" t="str">
        <f aca="false">IF(K315=0,"",IF(R315=1,"Pagada",IF(C315&lt;$F$12,"Vencida",IF(289=$F$13,"Próxima","Pendiente"))))</f>
        <v/>
      </c>
      <c r="R315" s="62" t="n">
        <f aca="false">IF(AND(K315&gt;0,OR(O315="Sí",O315="Si")),1,0)</f>
        <v>0</v>
      </c>
      <c r="S315" s="62" t="n">
        <f aca="false">IF(AND(K315&gt;0,R315=0),1,0)</f>
        <v>0</v>
      </c>
    </row>
    <row r="316" customFormat="false" ht="15" hidden="false" customHeight="false" outlineLevel="0" collapsed="false">
      <c r="B316" s="71" t="str">
        <f aca="false">IF($F$6="Sí",N($C$11)+289,"")</f>
        <v/>
      </c>
      <c r="C316" s="72" t="str">
        <f aca="false">IF(OR($F$6&lt;&gt;"Sí",D316&lt;=0.5),"",EDATE($C$10,289))</f>
        <v/>
      </c>
      <c r="D316" s="41" t="n">
        <f aca="false">MAX(0,M315)</f>
        <v>0</v>
      </c>
      <c r="E316" s="41" t="n">
        <f aca="false">D316*$F$7</f>
        <v>0</v>
      </c>
      <c r="F316" s="41" t="n">
        <f aca="false">IF(D316&gt;0.5,N($C$15),0)</f>
        <v>0</v>
      </c>
      <c r="G316" s="41" t="n">
        <f aca="false">IF(AND(D316&gt;0.5,N($C$19)&gt;0,N(B316)&lt;=N($C$20)),D316*$F$8,0)</f>
        <v>0</v>
      </c>
      <c r="H316" s="41" t="n">
        <f aca="false">IF(D316&lt;=0.5,0,MIN(IF(N(I316)&gt;0,I316,$F$9),D316+E316+F316))</f>
        <v>0</v>
      </c>
      <c r="I316" s="77"/>
      <c r="J316" s="77"/>
      <c r="K316" s="41" t="n">
        <f aca="false">IF(D316&lt;=0.5,0,MIN(H316+N(J316),D316+E316+F316))</f>
        <v>0</v>
      </c>
      <c r="L316" s="41" t="n">
        <f aca="false">K316-E316-F316</f>
        <v>0</v>
      </c>
      <c r="M316" s="41" t="n">
        <f aca="false">D316-L316</f>
        <v>0</v>
      </c>
      <c r="N316" s="42" t="n">
        <f aca="false">K316-G316</f>
        <v>0</v>
      </c>
      <c r="O316" s="78"/>
      <c r="P316" s="79"/>
      <c r="Q316" s="16" t="str">
        <f aca="false">IF(K316=0,"",IF(R316=1,"Pagada",IF(C316&lt;$F$12,"Vencida",IF(290=$F$13,"Próxima","Pendiente"))))</f>
        <v/>
      </c>
      <c r="R316" s="62" t="n">
        <f aca="false">IF(AND(K316&gt;0,OR(O316="Sí",O316="Si")),1,0)</f>
        <v>0</v>
      </c>
      <c r="S316" s="62" t="n">
        <f aca="false">IF(AND(K316&gt;0,R316=0),1,0)</f>
        <v>0</v>
      </c>
    </row>
    <row r="317" customFormat="false" ht="15" hidden="false" customHeight="false" outlineLevel="0" collapsed="false">
      <c r="B317" s="71" t="str">
        <f aca="false">IF($F$6="Sí",N($C$11)+290,"")</f>
        <v/>
      </c>
      <c r="C317" s="72" t="str">
        <f aca="false">IF(OR($F$6&lt;&gt;"Sí",D317&lt;=0.5),"",EDATE($C$10,290))</f>
        <v/>
      </c>
      <c r="D317" s="41" t="n">
        <f aca="false">MAX(0,M316)</f>
        <v>0</v>
      </c>
      <c r="E317" s="41" t="n">
        <f aca="false">D317*$F$7</f>
        <v>0</v>
      </c>
      <c r="F317" s="41" t="n">
        <f aca="false">IF(D317&gt;0.5,N($C$15),0)</f>
        <v>0</v>
      </c>
      <c r="G317" s="41" t="n">
        <f aca="false">IF(AND(D317&gt;0.5,N($C$19)&gt;0,N(B317)&lt;=N($C$20)),D317*$F$8,0)</f>
        <v>0</v>
      </c>
      <c r="H317" s="41" t="n">
        <f aca="false">IF(D317&lt;=0.5,0,MIN(IF(N(I317)&gt;0,I317,$F$9),D317+E317+F317))</f>
        <v>0</v>
      </c>
      <c r="I317" s="77"/>
      <c r="J317" s="77"/>
      <c r="K317" s="41" t="n">
        <f aca="false">IF(D317&lt;=0.5,0,MIN(H317+N(J317),D317+E317+F317))</f>
        <v>0</v>
      </c>
      <c r="L317" s="41" t="n">
        <f aca="false">K317-E317-F317</f>
        <v>0</v>
      </c>
      <c r="M317" s="41" t="n">
        <f aca="false">D317-L317</f>
        <v>0</v>
      </c>
      <c r="N317" s="42" t="n">
        <f aca="false">K317-G317</f>
        <v>0</v>
      </c>
      <c r="O317" s="78"/>
      <c r="P317" s="79"/>
      <c r="Q317" s="16" t="str">
        <f aca="false">IF(K317=0,"",IF(R317=1,"Pagada",IF(C317&lt;$F$12,"Vencida",IF(291=$F$13,"Próxima","Pendiente"))))</f>
        <v/>
      </c>
      <c r="R317" s="62" t="n">
        <f aca="false">IF(AND(K317&gt;0,OR(O317="Sí",O317="Si")),1,0)</f>
        <v>0</v>
      </c>
      <c r="S317" s="62" t="n">
        <f aca="false">IF(AND(K317&gt;0,R317=0),1,0)</f>
        <v>0</v>
      </c>
    </row>
    <row r="318" customFormat="false" ht="15" hidden="false" customHeight="false" outlineLevel="0" collapsed="false">
      <c r="B318" s="71" t="str">
        <f aca="false">IF($F$6="Sí",N($C$11)+291,"")</f>
        <v/>
      </c>
      <c r="C318" s="72" t="str">
        <f aca="false">IF(OR($F$6&lt;&gt;"Sí",D318&lt;=0.5),"",EDATE($C$10,291))</f>
        <v/>
      </c>
      <c r="D318" s="41" t="n">
        <f aca="false">MAX(0,M317)</f>
        <v>0</v>
      </c>
      <c r="E318" s="41" t="n">
        <f aca="false">D318*$F$7</f>
        <v>0</v>
      </c>
      <c r="F318" s="41" t="n">
        <f aca="false">IF(D318&gt;0.5,N($C$15),0)</f>
        <v>0</v>
      </c>
      <c r="G318" s="41" t="n">
        <f aca="false">IF(AND(D318&gt;0.5,N($C$19)&gt;0,N(B318)&lt;=N($C$20)),D318*$F$8,0)</f>
        <v>0</v>
      </c>
      <c r="H318" s="41" t="n">
        <f aca="false">IF(D318&lt;=0.5,0,MIN(IF(N(I318)&gt;0,I318,$F$9),D318+E318+F318))</f>
        <v>0</v>
      </c>
      <c r="I318" s="77"/>
      <c r="J318" s="77"/>
      <c r="K318" s="41" t="n">
        <f aca="false">IF(D318&lt;=0.5,0,MIN(H318+N(J318),D318+E318+F318))</f>
        <v>0</v>
      </c>
      <c r="L318" s="41" t="n">
        <f aca="false">K318-E318-F318</f>
        <v>0</v>
      </c>
      <c r="M318" s="41" t="n">
        <f aca="false">D318-L318</f>
        <v>0</v>
      </c>
      <c r="N318" s="42" t="n">
        <f aca="false">K318-G318</f>
        <v>0</v>
      </c>
      <c r="O318" s="78"/>
      <c r="P318" s="79"/>
      <c r="Q318" s="16" t="str">
        <f aca="false">IF(K318=0,"",IF(R318=1,"Pagada",IF(C318&lt;$F$12,"Vencida",IF(292=$F$13,"Próxima","Pendiente"))))</f>
        <v/>
      </c>
      <c r="R318" s="62" t="n">
        <f aca="false">IF(AND(K318&gt;0,OR(O318="Sí",O318="Si")),1,0)</f>
        <v>0</v>
      </c>
      <c r="S318" s="62" t="n">
        <f aca="false">IF(AND(K318&gt;0,R318=0),1,0)</f>
        <v>0</v>
      </c>
    </row>
    <row r="319" customFormat="false" ht="15" hidden="false" customHeight="false" outlineLevel="0" collapsed="false">
      <c r="B319" s="71" t="str">
        <f aca="false">IF($F$6="Sí",N($C$11)+292,"")</f>
        <v/>
      </c>
      <c r="C319" s="72" t="str">
        <f aca="false">IF(OR($F$6&lt;&gt;"Sí",D319&lt;=0.5),"",EDATE($C$10,292))</f>
        <v/>
      </c>
      <c r="D319" s="41" t="n">
        <f aca="false">MAX(0,M318)</f>
        <v>0</v>
      </c>
      <c r="E319" s="41" t="n">
        <f aca="false">D319*$F$7</f>
        <v>0</v>
      </c>
      <c r="F319" s="41" t="n">
        <f aca="false">IF(D319&gt;0.5,N($C$15),0)</f>
        <v>0</v>
      </c>
      <c r="G319" s="41" t="n">
        <f aca="false">IF(AND(D319&gt;0.5,N($C$19)&gt;0,N(B319)&lt;=N($C$20)),D319*$F$8,0)</f>
        <v>0</v>
      </c>
      <c r="H319" s="41" t="n">
        <f aca="false">IF(D319&lt;=0.5,0,MIN(IF(N(I319)&gt;0,I319,$F$9),D319+E319+F319))</f>
        <v>0</v>
      </c>
      <c r="I319" s="77"/>
      <c r="J319" s="77"/>
      <c r="K319" s="41" t="n">
        <f aca="false">IF(D319&lt;=0.5,0,MIN(H319+N(J319),D319+E319+F319))</f>
        <v>0</v>
      </c>
      <c r="L319" s="41" t="n">
        <f aca="false">K319-E319-F319</f>
        <v>0</v>
      </c>
      <c r="M319" s="41" t="n">
        <f aca="false">D319-L319</f>
        <v>0</v>
      </c>
      <c r="N319" s="42" t="n">
        <f aca="false">K319-G319</f>
        <v>0</v>
      </c>
      <c r="O319" s="78"/>
      <c r="P319" s="79"/>
      <c r="Q319" s="16" t="str">
        <f aca="false">IF(K319=0,"",IF(R319=1,"Pagada",IF(C319&lt;$F$12,"Vencida",IF(293=$F$13,"Próxima","Pendiente"))))</f>
        <v/>
      </c>
      <c r="R319" s="62" t="n">
        <f aca="false">IF(AND(K319&gt;0,OR(O319="Sí",O319="Si")),1,0)</f>
        <v>0</v>
      </c>
      <c r="S319" s="62" t="n">
        <f aca="false">IF(AND(K319&gt;0,R319=0),1,0)</f>
        <v>0</v>
      </c>
    </row>
    <row r="320" customFormat="false" ht="15" hidden="false" customHeight="false" outlineLevel="0" collapsed="false">
      <c r="B320" s="71" t="str">
        <f aca="false">IF($F$6="Sí",N($C$11)+293,"")</f>
        <v/>
      </c>
      <c r="C320" s="72" t="str">
        <f aca="false">IF(OR($F$6&lt;&gt;"Sí",D320&lt;=0.5),"",EDATE($C$10,293))</f>
        <v/>
      </c>
      <c r="D320" s="41" t="n">
        <f aca="false">MAX(0,M319)</f>
        <v>0</v>
      </c>
      <c r="E320" s="41" t="n">
        <f aca="false">D320*$F$7</f>
        <v>0</v>
      </c>
      <c r="F320" s="41" t="n">
        <f aca="false">IF(D320&gt;0.5,N($C$15),0)</f>
        <v>0</v>
      </c>
      <c r="G320" s="41" t="n">
        <f aca="false">IF(AND(D320&gt;0.5,N($C$19)&gt;0,N(B320)&lt;=N($C$20)),D320*$F$8,0)</f>
        <v>0</v>
      </c>
      <c r="H320" s="41" t="n">
        <f aca="false">IF(D320&lt;=0.5,0,MIN(IF(N(I320)&gt;0,I320,$F$9),D320+E320+F320))</f>
        <v>0</v>
      </c>
      <c r="I320" s="77"/>
      <c r="J320" s="77"/>
      <c r="K320" s="41" t="n">
        <f aca="false">IF(D320&lt;=0.5,0,MIN(H320+N(J320),D320+E320+F320))</f>
        <v>0</v>
      </c>
      <c r="L320" s="41" t="n">
        <f aca="false">K320-E320-F320</f>
        <v>0</v>
      </c>
      <c r="M320" s="41" t="n">
        <f aca="false">D320-L320</f>
        <v>0</v>
      </c>
      <c r="N320" s="42" t="n">
        <f aca="false">K320-G320</f>
        <v>0</v>
      </c>
      <c r="O320" s="78"/>
      <c r="P320" s="79"/>
      <c r="Q320" s="16" t="str">
        <f aca="false">IF(K320=0,"",IF(R320=1,"Pagada",IF(C320&lt;$F$12,"Vencida",IF(294=$F$13,"Próxima","Pendiente"))))</f>
        <v/>
      </c>
      <c r="R320" s="62" t="n">
        <f aca="false">IF(AND(K320&gt;0,OR(O320="Sí",O320="Si")),1,0)</f>
        <v>0</v>
      </c>
      <c r="S320" s="62" t="n">
        <f aca="false">IF(AND(K320&gt;0,R320=0),1,0)</f>
        <v>0</v>
      </c>
    </row>
    <row r="321" customFormat="false" ht="15" hidden="false" customHeight="false" outlineLevel="0" collapsed="false">
      <c r="B321" s="71" t="str">
        <f aca="false">IF($F$6="Sí",N($C$11)+294,"")</f>
        <v/>
      </c>
      <c r="C321" s="72" t="str">
        <f aca="false">IF(OR($F$6&lt;&gt;"Sí",D321&lt;=0.5),"",EDATE($C$10,294))</f>
        <v/>
      </c>
      <c r="D321" s="41" t="n">
        <f aca="false">MAX(0,M320)</f>
        <v>0</v>
      </c>
      <c r="E321" s="41" t="n">
        <f aca="false">D321*$F$7</f>
        <v>0</v>
      </c>
      <c r="F321" s="41" t="n">
        <f aca="false">IF(D321&gt;0.5,N($C$15),0)</f>
        <v>0</v>
      </c>
      <c r="G321" s="41" t="n">
        <f aca="false">IF(AND(D321&gt;0.5,N($C$19)&gt;0,N(B321)&lt;=N($C$20)),D321*$F$8,0)</f>
        <v>0</v>
      </c>
      <c r="H321" s="41" t="n">
        <f aca="false">IF(D321&lt;=0.5,0,MIN(IF(N(I321)&gt;0,I321,$F$9),D321+E321+F321))</f>
        <v>0</v>
      </c>
      <c r="I321" s="77"/>
      <c r="J321" s="77"/>
      <c r="K321" s="41" t="n">
        <f aca="false">IF(D321&lt;=0.5,0,MIN(H321+N(J321),D321+E321+F321))</f>
        <v>0</v>
      </c>
      <c r="L321" s="41" t="n">
        <f aca="false">K321-E321-F321</f>
        <v>0</v>
      </c>
      <c r="M321" s="41" t="n">
        <f aca="false">D321-L321</f>
        <v>0</v>
      </c>
      <c r="N321" s="42" t="n">
        <f aca="false">K321-G321</f>
        <v>0</v>
      </c>
      <c r="O321" s="78"/>
      <c r="P321" s="79"/>
      <c r="Q321" s="16" t="str">
        <f aca="false">IF(K321=0,"",IF(R321=1,"Pagada",IF(C321&lt;$F$12,"Vencida",IF(295=$F$13,"Próxima","Pendiente"))))</f>
        <v/>
      </c>
      <c r="R321" s="62" t="n">
        <f aca="false">IF(AND(K321&gt;0,OR(O321="Sí",O321="Si")),1,0)</f>
        <v>0</v>
      </c>
      <c r="S321" s="62" t="n">
        <f aca="false">IF(AND(K321&gt;0,R321=0),1,0)</f>
        <v>0</v>
      </c>
    </row>
    <row r="322" customFormat="false" ht="15" hidden="false" customHeight="false" outlineLevel="0" collapsed="false">
      <c r="B322" s="71" t="str">
        <f aca="false">IF($F$6="Sí",N($C$11)+295,"")</f>
        <v/>
      </c>
      <c r="C322" s="72" t="str">
        <f aca="false">IF(OR($F$6&lt;&gt;"Sí",D322&lt;=0.5),"",EDATE($C$10,295))</f>
        <v/>
      </c>
      <c r="D322" s="41" t="n">
        <f aca="false">MAX(0,M321)</f>
        <v>0</v>
      </c>
      <c r="E322" s="41" t="n">
        <f aca="false">D322*$F$7</f>
        <v>0</v>
      </c>
      <c r="F322" s="41" t="n">
        <f aca="false">IF(D322&gt;0.5,N($C$15),0)</f>
        <v>0</v>
      </c>
      <c r="G322" s="41" t="n">
        <f aca="false">IF(AND(D322&gt;0.5,N($C$19)&gt;0,N(B322)&lt;=N($C$20)),D322*$F$8,0)</f>
        <v>0</v>
      </c>
      <c r="H322" s="41" t="n">
        <f aca="false">IF(D322&lt;=0.5,0,MIN(IF(N(I322)&gt;0,I322,$F$9),D322+E322+F322))</f>
        <v>0</v>
      </c>
      <c r="I322" s="77"/>
      <c r="J322" s="77"/>
      <c r="K322" s="41" t="n">
        <f aca="false">IF(D322&lt;=0.5,0,MIN(H322+N(J322),D322+E322+F322))</f>
        <v>0</v>
      </c>
      <c r="L322" s="41" t="n">
        <f aca="false">K322-E322-F322</f>
        <v>0</v>
      </c>
      <c r="M322" s="41" t="n">
        <f aca="false">D322-L322</f>
        <v>0</v>
      </c>
      <c r="N322" s="42" t="n">
        <f aca="false">K322-G322</f>
        <v>0</v>
      </c>
      <c r="O322" s="78"/>
      <c r="P322" s="79"/>
      <c r="Q322" s="16" t="str">
        <f aca="false">IF(K322=0,"",IF(R322=1,"Pagada",IF(C322&lt;$F$12,"Vencida",IF(296=$F$13,"Próxima","Pendiente"))))</f>
        <v/>
      </c>
      <c r="R322" s="62" t="n">
        <f aca="false">IF(AND(K322&gt;0,OR(O322="Sí",O322="Si")),1,0)</f>
        <v>0</v>
      </c>
      <c r="S322" s="62" t="n">
        <f aca="false">IF(AND(K322&gt;0,R322=0),1,0)</f>
        <v>0</v>
      </c>
    </row>
    <row r="323" customFormat="false" ht="15" hidden="false" customHeight="false" outlineLevel="0" collapsed="false">
      <c r="B323" s="71" t="str">
        <f aca="false">IF($F$6="Sí",N($C$11)+296,"")</f>
        <v/>
      </c>
      <c r="C323" s="72" t="str">
        <f aca="false">IF(OR($F$6&lt;&gt;"Sí",D323&lt;=0.5),"",EDATE($C$10,296))</f>
        <v/>
      </c>
      <c r="D323" s="41" t="n">
        <f aca="false">MAX(0,M322)</f>
        <v>0</v>
      </c>
      <c r="E323" s="41" t="n">
        <f aca="false">D323*$F$7</f>
        <v>0</v>
      </c>
      <c r="F323" s="41" t="n">
        <f aca="false">IF(D323&gt;0.5,N($C$15),0)</f>
        <v>0</v>
      </c>
      <c r="G323" s="41" t="n">
        <f aca="false">IF(AND(D323&gt;0.5,N($C$19)&gt;0,N(B323)&lt;=N($C$20)),D323*$F$8,0)</f>
        <v>0</v>
      </c>
      <c r="H323" s="41" t="n">
        <f aca="false">IF(D323&lt;=0.5,0,MIN(IF(N(I323)&gt;0,I323,$F$9),D323+E323+F323))</f>
        <v>0</v>
      </c>
      <c r="I323" s="77"/>
      <c r="J323" s="77"/>
      <c r="K323" s="41" t="n">
        <f aca="false">IF(D323&lt;=0.5,0,MIN(H323+N(J323),D323+E323+F323))</f>
        <v>0</v>
      </c>
      <c r="L323" s="41" t="n">
        <f aca="false">K323-E323-F323</f>
        <v>0</v>
      </c>
      <c r="M323" s="41" t="n">
        <f aca="false">D323-L323</f>
        <v>0</v>
      </c>
      <c r="N323" s="42" t="n">
        <f aca="false">K323-G323</f>
        <v>0</v>
      </c>
      <c r="O323" s="78"/>
      <c r="P323" s="79"/>
      <c r="Q323" s="16" t="str">
        <f aca="false">IF(K323=0,"",IF(R323=1,"Pagada",IF(C323&lt;$F$12,"Vencida",IF(297=$F$13,"Próxima","Pendiente"))))</f>
        <v/>
      </c>
      <c r="R323" s="62" t="n">
        <f aca="false">IF(AND(K323&gt;0,OR(O323="Sí",O323="Si")),1,0)</f>
        <v>0</v>
      </c>
      <c r="S323" s="62" t="n">
        <f aca="false">IF(AND(K323&gt;0,R323=0),1,0)</f>
        <v>0</v>
      </c>
    </row>
    <row r="324" customFormat="false" ht="15" hidden="false" customHeight="false" outlineLevel="0" collapsed="false">
      <c r="B324" s="71" t="str">
        <f aca="false">IF($F$6="Sí",N($C$11)+297,"")</f>
        <v/>
      </c>
      <c r="C324" s="72" t="str">
        <f aca="false">IF(OR($F$6&lt;&gt;"Sí",D324&lt;=0.5),"",EDATE($C$10,297))</f>
        <v/>
      </c>
      <c r="D324" s="41" t="n">
        <f aca="false">MAX(0,M323)</f>
        <v>0</v>
      </c>
      <c r="E324" s="41" t="n">
        <f aca="false">D324*$F$7</f>
        <v>0</v>
      </c>
      <c r="F324" s="41" t="n">
        <f aca="false">IF(D324&gt;0.5,N($C$15),0)</f>
        <v>0</v>
      </c>
      <c r="G324" s="41" t="n">
        <f aca="false">IF(AND(D324&gt;0.5,N($C$19)&gt;0,N(B324)&lt;=N($C$20)),D324*$F$8,0)</f>
        <v>0</v>
      </c>
      <c r="H324" s="41" t="n">
        <f aca="false">IF(D324&lt;=0.5,0,MIN(IF(N(I324)&gt;0,I324,$F$9),D324+E324+F324))</f>
        <v>0</v>
      </c>
      <c r="I324" s="77"/>
      <c r="J324" s="77"/>
      <c r="K324" s="41" t="n">
        <f aca="false">IF(D324&lt;=0.5,0,MIN(H324+N(J324),D324+E324+F324))</f>
        <v>0</v>
      </c>
      <c r="L324" s="41" t="n">
        <f aca="false">K324-E324-F324</f>
        <v>0</v>
      </c>
      <c r="M324" s="41" t="n">
        <f aca="false">D324-L324</f>
        <v>0</v>
      </c>
      <c r="N324" s="42" t="n">
        <f aca="false">K324-G324</f>
        <v>0</v>
      </c>
      <c r="O324" s="78"/>
      <c r="P324" s="79"/>
      <c r="Q324" s="16" t="str">
        <f aca="false">IF(K324=0,"",IF(R324=1,"Pagada",IF(C324&lt;$F$12,"Vencida",IF(298=$F$13,"Próxima","Pendiente"))))</f>
        <v/>
      </c>
      <c r="R324" s="62" t="n">
        <f aca="false">IF(AND(K324&gt;0,OR(O324="Sí",O324="Si")),1,0)</f>
        <v>0</v>
      </c>
      <c r="S324" s="62" t="n">
        <f aca="false">IF(AND(K324&gt;0,R324=0),1,0)</f>
        <v>0</v>
      </c>
    </row>
    <row r="325" customFormat="false" ht="15" hidden="false" customHeight="false" outlineLevel="0" collapsed="false">
      <c r="B325" s="71" t="str">
        <f aca="false">IF($F$6="Sí",N($C$11)+298,"")</f>
        <v/>
      </c>
      <c r="C325" s="72" t="str">
        <f aca="false">IF(OR($F$6&lt;&gt;"Sí",D325&lt;=0.5),"",EDATE($C$10,298))</f>
        <v/>
      </c>
      <c r="D325" s="41" t="n">
        <f aca="false">MAX(0,M324)</f>
        <v>0</v>
      </c>
      <c r="E325" s="41" t="n">
        <f aca="false">D325*$F$7</f>
        <v>0</v>
      </c>
      <c r="F325" s="41" t="n">
        <f aca="false">IF(D325&gt;0.5,N($C$15),0)</f>
        <v>0</v>
      </c>
      <c r="G325" s="41" t="n">
        <f aca="false">IF(AND(D325&gt;0.5,N($C$19)&gt;0,N(B325)&lt;=N($C$20)),D325*$F$8,0)</f>
        <v>0</v>
      </c>
      <c r="H325" s="41" t="n">
        <f aca="false">IF(D325&lt;=0.5,0,MIN(IF(N(I325)&gt;0,I325,$F$9),D325+E325+F325))</f>
        <v>0</v>
      </c>
      <c r="I325" s="77"/>
      <c r="J325" s="77"/>
      <c r="K325" s="41" t="n">
        <f aca="false">IF(D325&lt;=0.5,0,MIN(H325+N(J325),D325+E325+F325))</f>
        <v>0</v>
      </c>
      <c r="L325" s="41" t="n">
        <f aca="false">K325-E325-F325</f>
        <v>0</v>
      </c>
      <c r="M325" s="41" t="n">
        <f aca="false">D325-L325</f>
        <v>0</v>
      </c>
      <c r="N325" s="42" t="n">
        <f aca="false">K325-G325</f>
        <v>0</v>
      </c>
      <c r="O325" s="78"/>
      <c r="P325" s="79"/>
      <c r="Q325" s="16" t="str">
        <f aca="false">IF(K325=0,"",IF(R325=1,"Pagada",IF(C325&lt;$F$12,"Vencida",IF(299=$F$13,"Próxima","Pendiente"))))</f>
        <v/>
      </c>
      <c r="R325" s="62" t="n">
        <f aca="false">IF(AND(K325&gt;0,OR(O325="Sí",O325="Si")),1,0)</f>
        <v>0</v>
      </c>
      <c r="S325" s="62" t="n">
        <f aca="false">IF(AND(K325&gt;0,R325=0),1,0)</f>
        <v>0</v>
      </c>
    </row>
    <row r="326" customFormat="false" ht="15" hidden="false" customHeight="false" outlineLevel="0" collapsed="false">
      <c r="B326" s="71" t="str">
        <f aca="false">IF($F$6="Sí",N($C$11)+299,"")</f>
        <v/>
      </c>
      <c r="C326" s="72" t="str">
        <f aca="false">IF(OR($F$6&lt;&gt;"Sí",D326&lt;=0.5),"",EDATE($C$10,299))</f>
        <v/>
      </c>
      <c r="D326" s="41" t="n">
        <f aca="false">MAX(0,M325)</f>
        <v>0</v>
      </c>
      <c r="E326" s="41" t="n">
        <f aca="false">D326*$F$7</f>
        <v>0</v>
      </c>
      <c r="F326" s="41" t="n">
        <f aca="false">IF(D326&gt;0.5,N($C$15),0)</f>
        <v>0</v>
      </c>
      <c r="G326" s="41" t="n">
        <f aca="false">IF(AND(D326&gt;0.5,N($C$19)&gt;0,N(B326)&lt;=N($C$20)),D326*$F$8,0)</f>
        <v>0</v>
      </c>
      <c r="H326" s="41" t="n">
        <f aca="false">IF(D326&lt;=0.5,0,MIN(IF(N(I326)&gt;0,I326,$F$9),D326+E326+F326))</f>
        <v>0</v>
      </c>
      <c r="I326" s="77"/>
      <c r="J326" s="77"/>
      <c r="K326" s="41" t="n">
        <f aca="false">IF(D326&lt;=0.5,0,MIN(H326+N(J326),D326+E326+F326))</f>
        <v>0</v>
      </c>
      <c r="L326" s="41" t="n">
        <f aca="false">K326-E326-F326</f>
        <v>0</v>
      </c>
      <c r="M326" s="41" t="n">
        <f aca="false">D326-L326</f>
        <v>0</v>
      </c>
      <c r="N326" s="42" t="n">
        <f aca="false">K326-G326</f>
        <v>0</v>
      </c>
      <c r="O326" s="78"/>
      <c r="P326" s="79"/>
      <c r="Q326" s="16" t="str">
        <f aca="false">IF(K326=0,"",IF(R326=1,"Pagada",IF(C326&lt;$F$12,"Vencida",IF(300=$F$13,"Próxima","Pendiente"))))</f>
        <v/>
      </c>
      <c r="R326" s="62" t="n">
        <f aca="false">IF(AND(K326&gt;0,OR(O326="Sí",O326="Si")),1,0)</f>
        <v>0</v>
      </c>
      <c r="S326" s="62" t="n">
        <f aca="false">IF(AND(K326&gt;0,R326=0),1,0)</f>
        <v>0</v>
      </c>
    </row>
    <row r="327" customFormat="false" ht="15" hidden="false" customHeight="false" outlineLevel="0" collapsed="false">
      <c r="B327" s="71" t="str">
        <f aca="false">IF($F$6="Sí",N($C$11)+300,"")</f>
        <v/>
      </c>
      <c r="C327" s="72" t="str">
        <f aca="false">IF(OR($F$6&lt;&gt;"Sí",D327&lt;=0.5),"",EDATE($C$10,300))</f>
        <v/>
      </c>
      <c r="D327" s="41" t="n">
        <f aca="false">MAX(0,M326)</f>
        <v>0</v>
      </c>
      <c r="E327" s="41" t="n">
        <f aca="false">D327*$F$7</f>
        <v>0</v>
      </c>
      <c r="F327" s="41" t="n">
        <f aca="false">IF(D327&gt;0.5,N($C$15),0)</f>
        <v>0</v>
      </c>
      <c r="G327" s="41" t="n">
        <f aca="false">IF(AND(D327&gt;0.5,N($C$19)&gt;0,N(B327)&lt;=N($C$20)),D327*$F$8,0)</f>
        <v>0</v>
      </c>
      <c r="H327" s="41" t="n">
        <f aca="false">IF(D327&lt;=0.5,0,MIN(IF(N(I327)&gt;0,I327,$F$9),D327+E327+F327))</f>
        <v>0</v>
      </c>
      <c r="I327" s="77"/>
      <c r="J327" s="77"/>
      <c r="K327" s="41" t="n">
        <f aca="false">IF(D327&lt;=0.5,0,MIN(H327+N(J327),D327+E327+F327))</f>
        <v>0</v>
      </c>
      <c r="L327" s="41" t="n">
        <f aca="false">K327-E327-F327</f>
        <v>0</v>
      </c>
      <c r="M327" s="41" t="n">
        <f aca="false">D327-L327</f>
        <v>0</v>
      </c>
      <c r="N327" s="42" t="n">
        <f aca="false">K327-G327</f>
        <v>0</v>
      </c>
      <c r="O327" s="78"/>
      <c r="P327" s="79"/>
      <c r="Q327" s="16" t="str">
        <f aca="false">IF(K327=0,"",IF(R327=1,"Pagada",IF(C327&lt;$F$12,"Vencida",IF(301=$F$13,"Próxima","Pendiente"))))</f>
        <v/>
      </c>
      <c r="R327" s="62" t="n">
        <f aca="false">IF(AND(K327&gt;0,OR(O327="Sí",O327="Si")),1,0)</f>
        <v>0</v>
      </c>
      <c r="S327" s="62" t="n">
        <f aca="false">IF(AND(K327&gt;0,R327=0),1,0)</f>
        <v>0</v>
      </c>
    </row>
    <row r="328" customFormat="false" ht="15" hidden="false" customHeight="false" outlineLevel="0" collapsed="false">
      <c r="B328" s="71" t="str">
        <f aca="false">IF($F$6="Sí",N($C$11)+301,"")</f>
        <v/>
      </c>
      <c r="C328" s="72" t="str">
        <f aca="false">IF(OR($F$6&lt;&gt;"Sí",D328&lt;=0.5),"",EDATE($C$10,301))</f>
        <v/>
      </c>
      <c r="D328" s="41" t="n">
        <f aca="false">MAX(0,M327)</f>
        <v>0</v>
      </c>
      <c r="E328" s="41" t="n">
        <f aca="false">D328*$F$7</f>
        <v>0</v>
      </c>
      <c r="F328" s="41" t="n">
        <f aca="false">IF(D328&gt;0.5,N($C$15),0)</f>
        <v>0</v>
      </c>
      <c r="G328" s="41" t="n">
        <f aca="false">IF(AND(D328&gt;0.5,N($C$19)&gt;0,N(B328)&lt;=N($C$20)),D328*$F$8,0)</f>
        <v>0</v>
      </c>
      <c r="H328" s="41" t="n">
        <f aca="false">IF(D328&lt;=0.5,0,MIN(IF(N(I328)&gt;0,I328,$F$9),D328+E328+F328))</f>
        <v>0</v>
      </c>
      <c r="I328" s="77"/>
      <c r="J328" s="77"/>
      <c r="K328" s="41" t="n">
        <f aca="false">IF(D328&lt;=0.5,0,MIN(H328+N(J328),D328+E328+F328))</f>
        <v>0</v>
      </c>
      <c r="L328" s="41" t="n">
        <f aca="false">K328-E328-F328</f>
        <v>0</v>
      </c>
      <c r="M328" s="41" t="n">
        <f aca="false">D328-L328</f>
        <v>0</v>
      </c>
      <c r="N328" s="42" t="n">
        <f aca="false">K328-G328</f>
        <v>0</v>
      </c>
      <c r="O328" s="78"/>
      <c r="P328" s="79"/>
      <c r="Q328" s="16" t="str">
        <f aca="false">IF(K328=0,"",IF(R328=1,"Pagada",IF(C328&lt;$F$12,"Vencida",IF(302=$F$13,"Próxima","Pendiente"))))</f>
        <v/>
      </c>
      <c r="R328" s="62" t="n">
        <f aca="false">IF(AND(K328&gt;0,OR(O328="Sí",O328="Si")),1,0)</f>
        <v>0</v>
      </c>
      <c r="S328" s="62" t="n">
        <f aca="false">IF(AND(K328&gt;0,R328=0),1,0)</f>
        <v>0</v>
      </c>
    </row>
    <row r="329" customFormat="false" ht="15" hidden="false" customHeight="false" outlineLevel="0" collapsed="false">
      <c r="B329" s="71" t="str">
        <f aca="false">IF($F$6="Sí",N($C$11)+302,"")</f>
        <v/>
      </c>
      <c r="C329" s="72" t="str">
        <f aca="false">IF(OR($F$6&lt;&gt;"Sí",D329&lt;=0.5),"",EDATE($C$10,302))</f>
        <v/>
      </c>
      <c r="D329" s="41" t="n">
        <f aca="false">MAX(0,M328)</f>
        <v>0</v>
      </c>
      <c r="E329" s="41" t="n">
        <f aca="false">D329*$F$7</f>
        <v>0</v>
      </c>
      <c r="F329" s="41" t="n">
        <f aca="false">IF(D329&gt;0.5,N($C$15),0)</f>
        <v>0</v>
      </c>
      <c r="G329" s="41" t="n">
        <f aca="false">IF(AND(D329&gt;0.5,N($C$19)&gt;0,N(B329)&lt;=N($C$20)),D329*$F$8,0)</f>
        <v>0</v>
      </c>
      <c r="H329" s="41" t="n">
        <f aca="false">IF(D329&lt;=0.5,0,MIN(IF(N(I329)&gt;0,I329,$F$9),D329+E329+F329))</f>
        <v>0</v>
      </c>
      <c r="I329" s="77"/>
      <c r="J329" s="77"/>
      <c r="K329" s="41" t="n">
        <f aca="false">IF(D329&lt;=0.5,0,MIN(H329+N(J329),D329+E329+F329))</f>
        <v>0</v>
      </c>
      <c r="L329" s="41" t="n">
        <f aca="false">K329-E329-F329</f>
        <v>0</v>
      </c>
      <c r="M329" s="41" t="n">
        <f aca="false">D329-L329</f>
        <v>0</v>
      </c>
      <c r="N329" s="42" t="n">
        <f aca="false">K329-G329</f>
        <v>0</v>
      </c>
      <c r="O329" s="78"/>
      <c r="P329" s="79"/>
      <c r="Q329" s="16" t="str">
        <f aca="false">IF(K329=0,"",IF(R329=1,"Pagada",IF(C329&lt;$F$12,"Vencida",IF(303=$F$13,"Próxima","Pendiente"))))</f>
        <v/>
      </c>
      <c r="R329" s="62" t="n">
        <f aca="false">IF(AND(K329&gt;0,OR(O329="Sí",O329="Si")),1,0)</f>
        <v>0</v>
      </c>
      <c r="S329" s="62" t="n">
        <f aca="false">IF(AND(K329&gt;0,R329=0),1,0)</f>
        <v>0</v>
      </c>
    </row>
    <row r="330" customFormat="false" ht="15" hidden="false" customHeight="false" outlineLevel="0" collapsed="false">
      <c r="B330" s="71" t="str">
        <f aca="false">IF($F$6="Sí",N($C$11)+303,"")</f>
        <v/>
      </c>
      <c r="C330" s="72" t="str">
        <f aca="false">IF(OR($F$6&lt;&gt;"Sí",D330&lt;=0.5),"",EDATE($C$10,303))</f>
        <v/>
      </c>
      <c r="D330" s="41" t="n">
        <f aca="false">MAX(0,M329)</f>
        <v>0</v>
      </c>
      <c r="E330" s="41" t="n">
        <f aca="false">D330*$F$7</f>
        <v>0</v>
      </c>
      <c r="F330" s="41" t="n">
        <f aca="false">IF(D330&gt;0.5,N($C$15),0)</f>
        <v>0</v>
      </c>
      <c r="G330" s="41" t="n">
        <f aca="false">IF(AND(D330&gt;0.5,N($C$19)&gt;0,N(B330)&lt;=N($C$20)),D330*$F$8,0)</f>
        <v>0</v>
      </c>
      <c r="H330" s="41" t="n">
        <f aca="false">IF(D330&lt;=0.5,0,MIN(IF(N(I330)&gt;0,I330,$F$9),D330+E330+F330))</f>
        <v>0</v>
      </c>
      <c r="I330" s="77"/>
      <c r="J330" s="77"/>
      <c r="K330" s="41" t="n">
        <f aca="false">IF(D330&lt;=0.5,0,MIN(H330+N(J330),D330+E330+F330))</f>
        <v>0</v>
      </c>
      <c r="L330" s="41" t="n">
        <f aca="false">K330-E330-F330</f>
        <v>0</v>
      </c>
      <c r="M330" s="41" t="n">
        <f aca="false">D330-L330</f>
        <v>0</v>
      </c>
      <c r="N330" s="42" t="n">
        <f aca="false">K330-G330</f>
        <v>0</v>
      </c>
      <c r="O330" s="78"/>
      <c r="P330" s="79"/>
      <c r="Q330" s="16" t="str">
        <f aca="false">IF(K330=0,"",IF(R330=1,"Pagada",IF(C330&lt;$F$12,"Vencida",IF(304=$F$13,"Próxima","Pendiente"))))</f>
        <v/>
      </c>
      <c r="R330" s="62" t="n">
        <f aca="false">IF(AND(K330&gt;0,OR(O330="Sí",O330="Si")),1,0)</f>
        <v>0</v>
      </c>
      <c r="S330" s="62" t="n">
        <f aca="false">IF(AND(K330&gt;0,R330=0),1,0)</f>
        <v>0</v>
      </c>
    </row>
    <row r="331" customFormat="false" ht="15" hidden="false" customHeight="false" outlineLevel="0" collapsed="false">
      <c r="B331" s="71" t="str">
        <f aca="false">IF($F$6="Sí",N($C$11)+304,"")</f>
        <v/>
      </c>
      <c r="C331" s="72" t="str">
        <f aca="false">IF(OR($F$6&lt;&gt;"Sí",D331&lt;=0.5),"",EDATE($C$10,304))</f>
        <v/>
      </c>
      <c r="D331" s="41" t="n">
        <f aca="false">MAX(0,M330)</f>
        <v>0</v>
      </c>
      <c r="E331" s="41" t="n">
        <f aca="false">D331*$F$7</f>
        <v>0</v>
      </c>
      <c r="F331" s="41" t="n">
        <f aca="false">IF(D331&gt;0.5,N($C$15),0)</f>
        <v>0</v>
      </c>
      <c r="G331" s="41" t="n">
        <f aca="false">IF(AND(D331&gt;0.5,N($C$19)&gt;0,N(B331)&lt;=N($C$20)),D331*$F$8,0)</f>
        <v>0</v>
      </c>
      <c r="H331" s="41" t="n">
        <f aca="false">IF(D331&lt;=0.5,0,MIN(IF(N(I331)&gt;0,I331,$F$9),D331+E331+F331))</f>
        <v>0</v>
      </c>
      <c r="I331" s="77"/>
      <c r="J331" s="77"/>
      <c r="K331" s="41" t="n">
        <f aca="false">IF(D331&lt;=0.5,0,MIN(H331+N(J331),D331+E331+F331))</f>
        <v>0</v>
      </c>
      <c r="L331" s="41" t="n">
        <f aca="false">K331-E331-F331</f>
        <v>0</v>
      </c>
      <c r="M331" s="41" t="n">
        <f aca="false">D331-L331</f>
        <v>0</v>
      </c>
      <c r="N331" s="42" t="n">
        <f aca="false">K331-G331</f>
        <v>0</v>
      </c>
      <c r="O331" s="78"/>
      <c r="P331" s="79"/>
      <c r="Q331" s="16" t="str">
        <f aca="false">IF(K331=0,"",IF(R331=1,"Pagada",IF(C331&lt;$F$12,"Vencida",IF(305=$F$13,"Próxima","Pendiente"))))</f>
        <v/>
      </c>
      <c r="R331" s="62" t="n">
        <f aca="false">IF(AND(K331&gt;0,OR(O331="Sí",O331="Si")),1,0)</f>
        <v>0</v>
      </c>
      <c r="S331" s="62" t="n">
        <f aca="false">IF(AND(K331&gt;0,R331=0),1,0)</f>
        <v>0</v>
      </c>
    </row>
    <row r="332" customFormat="false" ht="15" hidden="false" customHeight="false" outlineLevel="0" collapsed="false">
      <c r="B332" s="71" t="str">
        <f aca="false">IF($F$6="Sí",N($C$11)+305,"")</f>
        <v/>
      </c>
      <c r="C332" s="72" t="str">
        <f aca="false">IF(OR($F$6&lt;&gt;"Sí",D332&lt;=0.5),"",EDATE($C$10,305))</f>
        <v/>
      </c>
      <c r="D332" s="41" t="n">
        <f aca="false">MAX(0,M331)</f>
        <v>0</v>
      </c>
      <c r="E332" s="41" t="n">
        <f aca="false">D332*$F$7</f>
        <v>0</v>
      </c>
      <c r="F332" s="41" t="n">
        <f aca="false">IF(D332&gt;0.5,N($C$15),0)</f>
        <v>0</v>
      </c>
      <c r="G332" s="41" t="n">
        <f aca="false">IF(AND(D332&gt;0.5,N($C$19)&gt;0,N(B332)&lt;=N($C$20)),D332*$F$8,0)</f>
        <v>0</v>
      </c>
      <c r="H332" s="41" t="n">
        <f aca="false">IF(D332&lt;=0.5,0,MIN(IF(N(I332)&gt;0,I332,$F$9),D332+E332+F332))</f>
        <v>0</v>
      </c>
      <c r="I332" s="77"/>
      <c r="J332" s="77"/>
      <c r="K332" s="41" t="n">
        <f aca="false">IF(D332&lt;=0.5,0,MIN(H332+N(J332),D332+E332+F332))</f>
        <v>0</v>
      </c>
      <c r="L332" s="41" t="n">
        <f aca="false">K332-E332-F332</f>
        <v>0</v>
      </c>
      <c r="M332" s="41" t="n">
        <f aca="false">D332-L332</f>
        <v>0</v>
      </c>
      <c r="N332" s="42" t="n">
        <f aca="false">K332-G332</f>
        <v>0</v>
      </c>
      <c r="O332" s="78"/>
      <c r="P332" s="79"/>
      <c r="Q332" s="16" t="str">
        <f aca="false">IF(K332=0,"",IF(R332=1,"Pagada",IF(C332&lt;$F$12,"Vencida",IF(306=$F$13,"Próxima","Pendiente"))))</f>
        <v/>
      </c>
      <c r="R332" s="62" t="n">
        <f aca="false">IF(AND(K332&gt;0,OR(O332="Sí",O332="Si")),1,0)</f>
        <v>0</v>
      </c>
      <c r="S332" s="62" t="n">
        <f aca="false">IF(AND(K332&gt;0,R332=0),1,0)</f>
        <v>0</v>
      </c>
    </row>
    <row r="333" customFormat="false" ht="15" hidden="false" customHeight="false" outlineLevel="0" collapsed="false">
      <c r="B333" s="71" t="str">
        <f aca="false">IF($F$6="Sí",N($C$11)+306,"")</f>
        <v/>
      </c>
      <c r="C333" s="72" t="str">
        <f aca="false">IF(OR($F$6&lt;&gt;"Sí",D333&lt;=0.5),"",EDATE($C$10,306))</f>
        <v/>
      </c>
      <c r="D333" s="41" t="n">
        <f aca="false">MAX(0,M332)</f>
        <v>0</v>
      </c>
      <c r="E333" s="41" t="n">
        <f aca="false">D333*$F$7</f>
        <v>0</v>
      </c>
      <c r="F333" s="41" t="n">
        <f aca="false">IF(D333&gt;0.5,N($C$15),0)</f>
        <v>0</v>
      </c>
      <c r="G333" s="41" t="n">
        <f aca="false">IF(AND(D333&gt;0.5,N($C$19)&gt;0,N(B333)&lt;=N($C$20)),D333*$F$8,0)</f>
        <v>0</v>
      </c>
      <c r="H333" s="41" t="n">
        <f aca="false">IF(D333&lt;=0.5,0,MIN(IF(N(I333)&gt;0,I333,$F$9),D333+E333+F333))</f>
        <v>0</v>
      </c>
      <c r="I333" s="77"/>
      <c r="J333" s="77"/>
      <c r="K333" s="41" t="n">
        <f aca="false">IF(D333&lt;=0.5,0,MIN(H333+N(J333),D333+E333+F333))</f>
        <v>0</v>
      </c>
      <c r="L333" s="41" t="n">
        <f aca="false">K333-E333-F333</f>
        <v>0</v>
      </c>
      <c r="M333" s="41" t="n">
        <f aca="false">D333-L333</f>
        <v>0</v>
      </c>
      <c r="N333" s="42" t="n">
        <f aca="false">K333-G333</f>
        <v>0</v>
      </c>
      <c r="O333" s="78"/>
      <c r="P333" s="79"/>
      <c r="Q333" s="16" t="str">
        <f aca="false">IF(K333=0,"",IF(R333=1,"Pagada",IF(C333&lt;$F$12,"Vencida",IF(307=$F$13,"Próxima","Pendiente"))))</f>
        <v/>
      </c>
      <c r="R333" s="62" t="n">
        <f aca="false">IF(AND(K333&gt;0,OR(O333="Sí",O333="Si")),1,0)</f>
        <v>0</v>
      </c>
      <c r="S333" s="62" t="n">
        <f aca="false">IF(AND(K333&gt;0,R333=0),1,0)</f>
        <v>0</v>
      </c>
    </row>
    <row r="334" customFormat="false" ht="15" hidden="false" customHeight="false" outlineLevel="0" collapsed="false">
      <c r="B334" s="71" t="str">
        <f aca="false">IF($F$6="Sí",N($C$11)+307,"")</f>
        <v/>
      </c>
      <c r="C334" s="72" t="str">
        <f aca="false">IF(OR($F$6&lt;&gt;"Sí",D334&lt;=0.5),"",EDATE($C$10,307))</f>
        <v/>
      </c>
      <c r="D334" s="41" t="n">
        <f aca="false">MAX(0,M333)</f>
        <v>0</v>
      </c>
      <c r="E334" s="41" t="n">
        <f aca="false">D334*$F$7</f>
        <v>0</v>
      </c>
      <c r="F334" s="41" t="n">
        <f aca="false">IF(D334&gt;0.5,N($C$15),0)</f>
        <v>0</v>
      </c>
      <c r="G334" s="41" t="n">
        <f aca="false">IF(AND(D334&gt;0.5,N($C$19)&gt;0,N(B334)&lt;=N($C$20)),D334*$F$8,0)</f>
        <v>0</v>
      </c>
      <c r="H334" s="41" t="n">
        <f aca="false">IF(D334&lt;=0.5,0,MIN(IF(N(I334)&gt;0,I334,$F$9),D334+E334+F334))</f>
        <v>0</v>
      </c>
      <c r="I334" s="77"/>
      <c r="J334" s="77"/>
      <c r="K334" s="41" t="n">
        <f aca="false">IF(D334&lt;=0.5,0,MIN(H334+N(J334),D334+E334+F334))</f>
        <v>0</v>
      </c>
      <c r="L334" s="41" t="n">
        <f aca="false">K334-E334-F334</f>
        <v>0</v>
      </c>
      <c r="M334" s="41" t="n">
        <f aca="false">D334-L334</f>
        <v>0</v>
      </c>
      <c r="N334" s="42" t="n">
        <f aca="false">K334-G334</f>
        <v>0</v>
      </c>
      <c r="O334" s="78"/>
      <c r="P334" s="79"/>
      <c r="Q334" s="16" t="str">
        <f aca="false">IF(K334=0,"",IF(R334=1,"Pagada",IF(C334&lt;$F$12,"Vencida",IF(308=$F$13,"Próxima","Pendiente"))))</f>
        <v/>
      </c>
      <c r="R334" s="62" t="n">
        <f aca="false">IF(AND(K334&gt;0,OR(O334="Sí",O334="Si")),1,0)</f>
        <v>0</v>
      </c>
      <c r="S334" s="62" t="n">
        <f aca="false">IF(AND(K334&gt;0,R334=0),1,0)</f>
        <v>0</v>
      </c>
    </row>
    <row r="335" customFormat="false" ht="15" hidden="false" customHeight="false" outlineLevel="0" collapsed="false">
      <c r="B335" s="71" t="str">
        <f aca="false">IF($F$6="Sí",N($C$11)+308,"")</f>
        <v/>
      </c>
      <c r="C335" s="72" t="str">
        <f aca="false">IF(OR($F$6&lt;&gt;"Sí",D335&lt;=0.5),"",EDATE($C$10,308))</f>
        <v/>
      </c>
      <c r="D335" s="41" t="n">
        <f aca="false">MAX(0,M334)</f>
        <v>0</v>
      </c>
      <c r="E335" s="41" t="n">
        <f aca="false">D335*$F$7</f>
        <v>0</v>
      </c>
      <c r="F335" s="41" t="n">
        <f aca="false">IF(D335&gt;0.5,N($C$15),0)</f>
        <v>0</v>
      </c>
      <c r="G335" s="41" t="n">
        <f aca="false">IF(AND(D335&gt;0.5,N($C$19)&gt;0,N(B335)&lt;=N($C$20)),D335*$F$8,0)</f>
        <v>0</v>
      </c>
      <c r="H335" s="41" t="n">
        <f aca="false">IF(D335&lt;=0.5,0,MIN(IF(N(I335)&gt;0,I335,$F$9),D335+E335+F335))</f>
        <v>0</v>
      </c>
      <c r="I335" s="77"/>
      <c r="J335" s="77"/>
      <c r="K335" s="41" t="n">
        <f aca="false">IF(D335&lt;=0.5,0,MIN(H335+N(J335),D335+E335+F335))</f>
        <v>0</v>
      </c>
      <c r="L335" s="41" t="n">
        <f aca="false">K335-E335-F335</f>
        <v>0</v>
      </c>
      <c r="M335" s="41" t="n">
        <f aca="false">D335-L335</f>
        <v>0</v>
      </c>
      <c r="N335" s="42" t="n">
        <f aca="false">K335-G335</f>
        <v>0</v>
      </c>
      <c r="O335" s="78"/>
      <c r="P335" s="79"/>
      <c r="Q335" s="16" t="str">
        <f aca="false">IF(K335=0,"",IF(R335=1,"Pagada",IF(C335&lt;$F$12,"Vencida",IF(309=$F$13,"Próxima","Pendiente"))))</f>
        <v/>
      </c>
      <c r="R335" s="62" t="n">
        <f aca="false">IF(AND(K335&gt;0,OR(O335="Sí",O335="Si")),1,0)</f>
        <v>0</v>
      </c>
      <c r="S335" s="62" t="n">
        <f aca="false">IF(AND(K335&gt;0,R335=0),1,0)</f>
        <v>0</v>
      </c>
    </row>
    <row r="336" customFormat="false" ht="15" hidden="false" customHeight="false" outlineLevel="0" collapsed="false">
      <c r="B336" s="71" t="str">
        <f aca="false">IF($F$6="Sí",N($C$11)+309,"")</f>
        <v/>
      </c>
      <c r="C336" s="72" t="str">
        <f aca="false">IF(OR($F$6&lt;&gt;"Sí",D336&lt;=0.5),"",EDATE($C$10,309))</f>
        <v/>
      </c>
      <c r="D336" s="41" t="n">
        <f aca="false">MAX(0,M335)</f>
        <v>0</v>
      </c>
      <c r="E336" s="41" t="n">
        <f aca="false">D336*$F$7</f>
        <v>0</v>
      </c>
      <c r="F336" s="41" t="n">
        <f aca="false">IF(D336&gt;0.5,N($C$15),0)</f>
        <v>0</v>
      </c>
      <c r="G336" s="41" t="n">
        <f aca="false">IF(AND(D336&gt;0.5,N($C$19)&gt;0,N(B336)&lt;=N($C$20)),D336*$F$8,0)</f>
        <v>0</v>
      </c>
      <c r="H336" s="41" t="n">
        <f aca="false">IF(D336&lt;=0.5,0,MIN(IF(N(I336)&gt;0,I336,$F$9),D336+E336+F336))</f>
        <v>0</v>
      </c>
      <c r="I336" s="77"/>
      <c r="J336" s="77"/>
      <c r="K336" s="41" t="n">
        <f aca="false">IF(D336&lt;=0.5,0,MIN(H336+N(J336),D336+E336+F336))</f>
        <v>0</v>
      </c>
      <c r="L336" s="41" t="n">
        <f aca="false">K336-E336-F336</f>
        <v>0</v>
      </c>
      <c r="M336" s="41" t="n">
        <f aca="false">D336-L336</f>
        <v>0</v>
      </c>
      <c r="N336" s="42" t="n">
        <f aca="false">K336-G336</f>
        <v>0</v>
      </c>
      <c r="O336" s="78"/>
      <c r="P336" s="79"/>
      <c r="Q336" s="16" t="str">
        <f aca="false">IF(K336=0,"",IF(R336=1,"Pagada",IF(C336&lt;$F$12,"Vencida",IF(310=$F$13,"Próxima","Pendiente"))))</f>
        <v/>
      </c>
      <c r="R336" s="62" t="n">
        <f aca="false">IF(AND(K336&gt;0,OR(O336="Sí",O336="Si")),1,0)</f>
        <v>0</v>
      </c>
      <c r="S336" s="62" t="n">
        <f aca="false">IF(AND(K336&gt;0,R336=0),1,0)</f>
        <v>0</v>
      </c>
    </row>
    <row r="337" customFormat="false" ht="15" hidden="false" customHeight="false" outlineLevel="0" collapsed="false">
      <c r="B337" s="71" t="str">
        <f aca="false">IF($F$6="Sí",N($C$11)+310,"")</f>
        <v/>
      </c>
      <c r="C337" s="72" t="str">
        <f aca="false">IF(OR($F$6&lt;&gt;"Sí",D337&lt;=0.5),"",EDATE($C$10,310))</f>
        <v/>
      </c>
      <c r="D337" s="41" t="n">
        <f aca="false">MAX(0,M336)</f>
        <v>0</v>
      </c>
      <c r="E337" s="41" t="n">
        <f aca="false">D337*$F$7</f>
        <v>0</v>
      </c>
      <c r="F337" s="41" t="n">
        <f aca="false">IF(D337&gt;0.5,N($C$15),0)</f>
        <v>0</v>
      </c>
      <c r="G337" s="41" t="n">
        <f aca="false">IF(AND(D337&gt;0.5,N($C$19)&gt;0,N(B337)&lt;=N($C$20)),D337*$F$8,0)</f>
        <v>0</v>
      </c>
      <c r="H337" s="41" t="n">
        <f aca="false">IF(D337&lt;=0.5,0,MIN(IF(N(I337)&gt;0,I337,$F$9),D337+E337+F337))</f>
        <v>0</v>
      </c>
      <c r="I337" s="77"/>
      <c r="J337" s="77"/>
      <c r="K337" s="41" t="n">
        <f aca="false">IF(D337&lt;=0.5,0,MIN(H337+N(J337),D337+E337+F337))</f>
        <v>0</v>
      </c>
      <c r="L337" s="41" t="n">
        <f aca="false">K337-E337-F337</f>
        <v>0</v>
      </c>
      <c r="M337" s="41" t="n">
        <f aca="false">D337-L337</f>
        <v>0</v>
      </c>
      <c r="N337" s="42" t="n">
        <f aca="false">K337-G337</f>
        <v>0</v>
      </c>
      <c r="O337" s="78"/>
      <c r="P337" s="79"/>
      <c r="Q337" s="16" t="str">
        <f aca="false">IF(K337=0,"",IF(R337=1,"Pagada",IF(C337&lt;$F$12,"Vencida",IF(311=$F$13,"Próxima","Pendiente"))))</f>
        <v/>
      </c>
      <c r="R337" s="62" t="n">
        <f aca="false">IF(AND(K337&gt;0,OR(O337="Sí",O337="Si")),1,0)</f>
        <v>0</v>
      </c>
      <c r="S337" s="62" t="n">
        <f aca="false">IF(AND(K337&gt;0,R337=0),1,0)</f>
        <v>0</v>
      </c>
    </row>
    <row r="338" customFormat="false" ht="15" hidden="false" customHeight="false" outlineLevel="0" collapsed="false">
      <c r="B338" s="71" t="str">
        <f aca="false">IF($F$6="Sí",N($C$11)+311,"")</f>
        <v/>
      </c>
      <c r="C338" s="72" t="str">
        <f aca="false">IF(OR($F$6&lt;&gt;"Sí",D338&lt;=0.5),"",EDATE($C$10,311))</f>
        <v/>
      </c>
      <c r="D338" s="41" t="n">
        <f aca="false">MAX(0,M337)</f>
        <v>0</v>
      </c>
      <c r="E338" s="41" t="n">
        <f aca="false">D338*$F$7</f>
        <v>0</v>
      </c>
      <c r="F338" s="41" t="n">
        <f aca="false">IF(D338&gt;0.5,N($C$15),0)</f>
        <v>0</v>
      </c>
      <c r="G338" s="41" t="n">
        <f aca="false">IF(AND(D338&gt;0.5,N($C$19)&gt;0,N(B338)&lt;=N($C$20)),D338*$F$8,0)</f>
        <v>0</v>
      </c>
      <c r="H338" s="41" t="n">
        <f aca="false">IF(D338&lt;=0.5,0,MIN(IF(N(I338)&gt;0,I338,$F$9),D338+E338+F338))</f>
        <v>0</v>
      </c>
      <c r="I338" s="77"/>
      <c r="J338" s="77"/>
      <c r="K338" s="41" t="n">
        <f aca="false">IF(D338&lt;=0.5,0,MIN(H338+N(J338),D338+E338+F338))</f>
        <v>0</v>
      </c>
      <c r="L338" s="41" t="n">
        <f aca="false">K338-E338-F338</f>
        <v>0</v>
      </c>
      <c r="M338" s="41" t="n">
        <f aca="false">D338-L338</f>
        <v>0</v>
      </c>
      <c r="N338" s="42" t="n">
        <f aca="false">K338-G338</f>
        <v>0</v>
      </c>
      <c r="O338" s="78"/>
      <c r="P338" s="79"/>
      <c r="Q338" s="16" t="str">
        <f aca="false">IF(K338=0,"",IF(R338=1,"Pagada",IF(C338&lt;$F$12,"Vencida",IF(312=$F$13,"Próxima","Pendiente"))))</f>
        <v/>
      </c>
      <c r="R338" s="62" t="n">
        <f aca="false">IF(AND(K338&gt;0,OR(O338="Sí",O338="Si")),1,0)</f>
        <v>0</v>
      </c>
      <c r="S338" s="62" t="n">
        <f aca="false">IF(AND(K338&gt;0,R338=0),1,0)</f>
        <v>0</v>
      </c>
    </row>
    <row r="339" customFormat="false" ht="15" hidden="false" customHeight="false" outlineLevel="0" collapsed="false">
      <c r="B339" s="71" t="str">
        <f aca="false">IF($F$6="Sí",N($C$11)+312,"")</f>
        <v/>
      </c>
      <c r="C339" s="72" t="str">
        <f aca="false">IF(OR($F$6&lt;&gt;"Sí",D339&lt;=0.5),"",EDATE($C$10,312))</f>
        <v/>
      </c>
      <c r="D339" s="41" t="n">
        <f aca="false">MAX(0,M338)</f>
        <v>0</v>
      </c>
      <c r="E339" s="41" t="n">
        <f aca="false">D339*$F$7</f>
        <v>0</v>
      </c>
      <c r="F339" s="41" t="n">
        <f aca="false">IF(D339&gt;0.5,N($C$15),0)</f>
        <v>0</v>
      </c>
      <c r="G339" s="41" t="n">
        <f aca="false">IF(AND(D339&gt;0.5,N($C$19)&gt;0,N(B339)&lt;=N($C$20)),D339*$F$8,0)</f>
        <v>0</v>
      </c>
      <c r="H339" s="41" t="n">
        <f aca="false">IF(D339&lt;=0.5,0,MIN(IF(N(I339)&gt;0,I339,$F$9),D339+E339+F339))</f>
        <v>0</v>
      </c>
      <c r="I339" s="77"/>
      <c r="J339" s="77"/>
      <c r="K339" s="41" t="n">
        <f aca="false">IF(D339&lt;=0.5,0,MIN(H339+N(J339),D339+E339+F339))</f>
        <v>0</v>
      </c>
      <c r="L339" s="41" t="n">
        <f aca="false">K339-E339-F339</f>
        <v>0</v>
      </c>
      <c r="M339" s="41" t="n">
        <f aca="false">D339-L339</f>
        <v>0</v>
      </c>
      <c r="N339" s="42" t="n">
        <f aca="false">K339-G339</f>
        <v>0</v>
      </c>
      <c r="O339" s="78"/>
      <c r="P339" s="79"/>
      <c r="Q339" s="16" t="str">
        <f aca="false">IF(K339=0,"",IF(R339=1,"Pagada",IF(C339&lt;$F$12,"Vencida",IF(313=$F$13,"Próxima","Pendiente"))))</f>
        <v/>
      </c>
      <c r="R339" s="62" t="n">
        <f aca="false">IF(AND(K339&gt;0,OR(O339="Sí",O339="Si")),1,0)</f>
        <v>0</v>
      </c>
      <c r="S339" s="62" t="n">
        <f aca="false">IF(AND(K339&gt;0,R339=0),1,0)</f>
        <v>0</v>
      </c>
    </row>
    <row r="340" customFormat="false" ht="15" hidden="false" customHeight="false" outlineLevel="0" collapsed="false">
      <c r="B340" s="71" t="str">
        <f aca="false">IF($F$6="Sí",N($C$11)+313,"")</f>
        <v/>
      </c>
      <c r="C340" s="72" t="str">
        <f aca="false">IF(OR($F$6&lt;&gt;"Sí",D340&lt;=0.5),"",EDATE($C$10,313))</f>
        <v/>
      </c>
      <c r="D340" s="41" t="n">
        <f aca="false">MAX(0,M339)</f>
        <v>0</v>
      </c>
      <c r="E340" s="41" t="n">
        <f aca="false">D340*$F$7</f>
        <v>0</v>
      </c>
      <c r="F340" s="41" t="n">
        <f aca="false">IF(D340&gt;0.5,N($C$15),0)</f>
        <v>0</v>
      </c>
      <c r="G340" s="41" t="n">
        <f aca="false">IF(AND(D340&gt;0.5,N($C$19)&gt;0,N(B340)&lt;=N($C$20)),D340*$F$8,0)</f>
        <v>0</v>
      </c>
      <c r="H340" s="41" t="n">
        <f aca="false">IF(D340&lt;=0.5,0,MIN(IF(N(I340)&gt;0,I340,$F$9),D340+E340+F340))</f>
        <v>0</v>
      </c>
      <c r="I340" s="77"/>
      <c r="J340" s="77"/>
      <c r="K340" s="41" t="n">
        <f aca="false">IF(D340&lt;=0.5,0,MIN(H340+N(J340),D340+E340+F340))</f>
        <v>0</v>
      </c>
      <c r="L340" s="41" t="n">
        <f aca="false">K340-E340-F340</f>
        <v>0</v>
      </c>
      <c r="M340" s="41" t="n">
        <f aca="false">D340-L340</f>
        <v>0</v>
      </c>
      <c r="N340" s="42" t="n">
        <f aca="false">K340-G340</f>
        <v>0</v>
      </c>
      <c r="O340" s="78"/>
      <c r="P340" s="79"/>
      <c r="Q340" s="16" t="str">
        <f aca="false">IF(K340=0,"",IF(R340=1,"Pagada",IF(C340&lt;$F$12,"Vencida",IF(314=$F$13,"Próxima","Pendiente"))))</f>
        <v/>
      </c>
      <c r="R340" s="62" t="n">
        <f aca="false">IF(AND(K340&gt;0,OR(O340="Sí",O340="Si")),1,0)</f>
        <v>0</v>
      </c>
      <c r="S340" s="62" t="n">
        <f aca="false">IF(AND(K340&gt;0,R340=0),1,0)</f>
        <v>0</v>
      </c>
    </row>
    <row r="341" customFormat="false" ht="15" hidden="false" customHeight="false" outlineLevel="0" collapsed="false">
      <c r="B341" s="71" t="str">
        <f aca="false">IF($F$6="Sí",N($C$11)+314,"")</f>
        <v/>
      </c>
      <c r="C341" s="72" t="str">
        <f aca="false">IF(OR($F$6&lt;&gt;"Sí",D341&lt;=0.5),"",EDATE($C$10,314))</f>
        <v/>
      </c>
      <c r="D341" s="41" t="n">
        <f aca="false">MAX(0,M340)</f>
        <v>0</v>
      </c>
      <c r="E341" s="41" t="n">
        <f aca="false">D341*$F$7</f>
        <v>0</v>
      </c>
      <c r="F341" s="41" t="n">
        <f aca="false">IF(D341&gt;0.5,N($C$15),0)</f>
        <v>0</v>
      </c>
      <c r="G341" s="41" t="n">
        <f aca="false">IF(AND(D341&gt;0.5,N($C$19)&gt;0,N(B341)&lt;=N($C$20)),D341*$F$8,0)</f>
        <v>0</v>
      </c>
      <c r="H341" s="41" t="n">
        <f aca="false">IF(D341&lt;=0.5,0,MIN(IF(N(I341)&gt;0,I341,$F$9),D341+E341+F341))</f>
        <v>0</v>
      </c>
      <c r="I341" s="77"/>
      <c r="J341" s="77"/>
      <c r="K341" s="41" t="n">
        <f aca="false">IF(D341&lt;=0.5,0,MIN(H341+N(J341),D341+E341+F341))</f>
        <v>0</v>
      </c>
      <c r="L341" s="41" t="n">
        <f aca="false">K341-E341-F341</f>
        <v>0</v>
      </c>
      <c r="M341" s="41" t="n">
        <f aca="false">D341-L341</f>
        <v>0</v>
      </c>
      <c r="N341" s="42" t="n">
        <f aca="false">K341-G341</f>
        <v>0</v>
      </c>
      <c r="O341" s="78"/>
      <c r="P341" s="79"/>
      <c r="Q341" s="16" t="str">
        <f aca="false">IF(K341=0,"",IF(R341=1,"Pagada",IF(C341&lt;$F$12,"Vencida",IF(315=$F$13,"Próxima","Pendiente"))))</f>
        <v/>
      </c>
      <c r="R341" s="62" t="n">
        <f aca="false">IF(AND(K341&gt;0,OR(O341="Sí",O341="Si")),1,0)</f>
        <v>0</v>
      </c>
      <c r="S341" s="62" t="n">
        <f aca="false">IF(AND(K341&gt;0,R341=0),1,0)</f>
        <v>0</v>
      </c>
    </row>
    <row r="342" customFormat="false" ht="15" hidden="false" customHeight="false" outlineLevel="0" collapsed="false">
      <c r="B342" s="71" t="str">
        <f aca="false">IF($F$6="Sí",N($C$11)+315,"")</f>
        <v/>
      </c>
      <c r="C342" s="72" t="str">
        <f aca="false">IF(OR($F$6&lt;&gt;"Sí",D342&lt;=0.5),"",EDATE($C$10,315))</f>
        <v/>
      </c>
      <c r="D342" s="41" t="n">
        <f aca="false">MAX(0,M341)</f>
        <v>0</v>
      </c>
      <c r="E342" s="41" t="n">
        <f aca="false">D342*$F$7</f>
        <v>0</v>
      </c>
      <c r="F342" s="41" t="n">
        <f aca="false">IF(D342&gt;0.5,N($C$15),0)</f>
        <v>0</v>
      </c>
      <c r="G342" s="41" t="n">
        <f aca="false">IF(AND(D342&gt;0.5,N($C$19)&gt;0,N(B342)&lt;=N($C$20)),D342*$F$8,0)</f>
        <v>0</v>
      </c>
      <c r="H342" s="41" t="n">
        <f aca="false">IF(D342&lt;=0.5,0,MIN(IF(N(I342)&gt;0,I342,$F$9),D342+E342+F342))</f>
        <v>0</v>
      </c>
      <c r="I342" s="77"/>
      <c r="J342" s="77"/>
      <c r="K342" s="41" t="n">
        <f aca="false">IF(D342&lt;=0.5,0,MIN(H342+N(J342),D342+E342+F342))</f>
        <v>0</v>
      </c>
      <c r="L342" s="41" t="n">
        <f aca="false">K342-E342-F342</f>
        <v>0</v>
      </c>
      <c r="M342" s="41" t="n">
        <f aca="false">D342-L342</f>
        <v>0</v>
      </c>
      <c r="N342" s="42" t="n">
        <f aca="false">K342-G342</f>
        <v>0</v>
      </c>
      <c r="O342" s="78"/>
      <c r="P342" s="79"/>
      <c r="Q342" s="16" t="str">
        <f aca="false">IF(K342=0,"",IF(R342=1,"Pagada",IF(C342&lt;$F$12,"Vencida",IF(316=$F$13,"Próxima","Pendiente"))))</f>
        <v/>
      </c>
      <c r="R342" s="62" t="n">
        <f aca="false">IF(AND(K342&gt;0,OR(O342="Sí",O342="Si")),1,0)</f>
        <v>0</v>
      </c>
      <c r="S342" s="62" t="n">
        <f aca="false">IF(AND(K342&gt;0,R342=0),1,0)</f>
        <v>0</v>
      </c>
    </row>
    <row r="343" customFormat="false" ht="15" hidden="false" customHeight="false" outlineLevel="0" collapsed="false">
      <c r="B343" s="71" t="str">
        <f aca="false">IF($F$6="Sí",N($C$11)+316,"")</f>
        <v/>
      </c>
      <c r="C343" s="72" t="str">
        <f aca="false">IF(OR($F$6&lt;&gt;"Sí",D343&lt;=0.5),"",EDATE($C$10,316))</f>
        <v/>
      </c>
      <c r="D343" s="41" t="n">
        <f aca="false">MAX(0,M342)</f>
        <v>0</v>
      </c>
      <c r="E343" s="41" t="n">
        <f aca="false">D343*$F$7</f>
        <v>0</v>
      </c>
      <c r="F343" s="41" t="n">
        <f aca="false">IF(D343&gt;0.5,N($C$15),0)</f>
        <v>0</v>
      </c>
      <c r="G343" s="41" t="n">
        <f aca="false">IF(AND(D343&gt;0.5,N($C$19)&gt;0,N(B343)&lt;=N($C$20)),D343*$F$8,0)</f>
        <v>0</v>
      </c>
      <c r="H343" s="41" t="n">
        <f aca="false">IF(D343&lt;=0.5,0,MIN(IF(N(I343)&gt;0,I343,$F$9),D343+E343+F343))</f>
        <v>0</v>
      </c>
      <c r="I343" s="77"/>
      <c r="J343" s="77"/>
      <c r="K343" s="41" t="n">
        <f aca="false">IF(D343&lt;=0.5,0,MIN(H343+N(J343),D343+E343+F343))</f>
        <v>0</v>
      </c>
      <c r="L343" s="41" t="n">
        <f aca="false">K343-E343-F343</f>
        <v>0</v>
      </c>
      <c r="M343" s="41" t="n">
        <f aca="false">D343-L343</f>
        <v>0</v>
      </c>
      <c r="N343" s="42" t="n">
        <f aca="false">K343-G343</f>
        <v>0</v>
      </c>
      <c r="O343" s="78"/>
      <c r="P343" s="79"/>
      <c r="Q343" s="16" t="str">
        <f aca="false">IF(K343=0,"",IF(R343=1,"Pagada",IF(C343&lt;$F$12,"Vencida",IF(317=$F$13,"Próxima","Pendiente"))))</f>
        <v/>
      </c>
      <c r="R343" s="62" t="n">
        <f aca="false">IF(AND(K343&gt;0,OR(O343="Sí",O343="Si")),1,0)</f>
        <v>0</v>
      </c>
      <c r="S343" s="62" t="n">
        <f aca="false">IF(AND(K343&gt;0,R343=0),1,0)</f>
        <v>0</v>
      </c>
    </row>
    <row r="344" customFormat="false" ht="15" hidden="false" customHeight="false" outlineLevel="0" collapsed="false">
      <c r="B344" s="71" t="str">
        <f aca="false">IF($F$6="Sí",N($C$11)+317,"")</f>
        <v/>
      </c>
      <c r="C344" s="72" t="str">
        <f aca="false">IF(OR($F$6&lt;&gt;"Sí",D344&lt;=0.5),"",EDATE($C$10,317))</f>
        <v/>
      </c>
      <c r="D344" s="41" t="n">
        <f aca="false">MAX(0,M343)</f>
        <v>0</v>
      </c>
      <c r="E344" s="41" t="n">
        <f aca="false">D344*$F$7</f>
        <v>0</v>
      </c>
      <c r="F344" s="41" t="n">
        <f aca="false">IF(D344&gt;0.5,N($C$15),0)</f>
        <v>0</v>
      </c>
      <c r="G344" s="41" t="n">
        <f aca="false">IF(AND(D344&gt;0.5,N($C$19)&gt;0,N(B344)&lt;=N($C$20)),D344*$F$8,0)</f>
        <v>0</v>
      </c>
      <c r="H344" s="41" t="n">
        <f aca="false">IF(D344&lt;=0.5,0,MIN(IF(N(I344)&gt;0,I344,$F$9),D344+E344+F344))</f>
        <v>0</v>
      </c>
      <c r="I344" s="77"/>
      <c r="J344" s="77"/>
      <c r="K344" s="41" t="n">
        <f aca="false">IF(D344&lt;=0.5,0,MIN(H344+N(J344),D344+E344+F344))</f>
        <v>0</v>
      </c>
      <c r="L344" s="41" t="n">
        <f aca="false">K344-E344-F344</f>
        <v>0</v>
      </c>
      <c r="M344" s="41" t="n">
        <f aca="false">D344-L344</f>
        <v>0</v>
      </c>
      <c r="N344" s="42" t="n">
        <f aca="false">K344-G344</f>
        <v>0</v>
      </c>
      <c r="O344" s="78"/>
      <c r="P344" s="79"/>
      <c r="Q344" s="16" t="str">
        <f aca="false">IF(K344=0,"",IF(R344=1,"Pagada",IF(C344&lt;$F$12,"Vencida",IF(318=$F$13,"Próxima","Pendiente"))))</f>
        <v/>
      </c>
      <c r="R344" s="62" t="n">
        <f aca="false">IF(AND(K344&gt;0,OR(O344="Sí",O344="Si")),1,0)</f>
        <v>0</v>
      </c>
      <c r="S344" s="62" t="n">
        <f aca="false">IF(AND(K344&gt;0,R344=0),1,0)</f>
        <v>0</v>
      </c>
    </row>
    <row r="345" customFormat="false" ht="15" hidden="false" customHeight="false" outlineLevel="0" collapsed="false">
      <c r="B345" s="71" t="str">
        <f aca="false">IF($F$6="Sí",N($C$11)+318,"")</f>
        <v/>
      </c>
      <c r="C345" s="72" t="str">
        <f aca="false">IF(OR($F$6&lt;&gt;"Sí",D345&lt;=0.5),"",EDATE($C$10,318))</f>
        <v/>
      </c>
      <c r="D345" s="41" t="n">
        <f aca="false">MAX(0,M344)</f>
        <v>0</v>
      </c>
      <c r="E345" s="41" t="n">
        <f aca="false">D345*$F$7</f>
        <v>0</v>
      </c>
      <c r="F345" s="41" t="n">
        <f aca="false">IF(D345&gt;0.5,N($C$15),0)</f>
        <v>0</v>
      </c>
      <c r="G345" s="41" t="n">
        <f aca="false">IF(AND(D345&gt;0.5,N($C$19)&gt;0,N(B345)&lt;=N($C$20)),D345*$F$8,0)</f>
        <v>0</v>
      </c>
      <c r="H345" s="41" t="n">
        <f aca="false">IF(D345&lt;=0.5,0,MIN(IF(N(I345)&gt;0,I345,$F$9),D345+E345+F345))</f>
        <v>0</v>
      </c>
      <c r="I345" s="77"/>
      <c r="J345" s="77"/>
      <c r="K345" s="41" t="n">
        <f aca="false">IF(D345&lt;=0.5,0,MIN(H345+N(J345),D345+E345+F345))</f>
        <v>0</v>
      </c>
      <c r="L345" s="41" t="n">
        <f aca="false">K345-E345-F345</f>
        <v>0</v>
      </c>
      <c r="M345" s="41" t="n">
        <f aca="false">D345-L345</f>
        <v>0</v>
      </c>
      <c r="N345" s="42" t="n">
        <f aca="false">K345-G345</f>
        <v>0</v>
      </c>
      <c r="O345" s="78"/>
      <c r="P345" s="79"/>
      <c r="Q345" s="16" t="str">
        <f aca="false">IF(K345=0,"",IF(R345=1,"Pagada",IF(C345&lt;$F$12,"Vencida",IF(319=$F$13,"Próxima","Pendiente"))))</f>
        <v/>
      </c>
      <c r="R345" s="62" t="n">
        <f aca="false">IF(AND(K345&gt;0,OR(O345="Sí",O345="Si")),1,0)</f>
        <v>0</v>
      </c>
      <c r="S345" s="62" t="n">
        <f aca="false">IF(AND(K345&gt;0,R345=0),1,0)</f>
        <v>0</v>
      </c>
    </row>
    <row r="346" customFormat="false" ht="15" hidden="false" customHeight="false" outlineLevel="0" collapsed="false">
      <c r="B346" s="71" t="str">
        <f aca="false">IF($F$6="Sí",N($C$11)+319,"")</f>
        <v/>
      </c>
      <c r="C346" s="72" t="str">
        <f aca="false">IF(OR($F$6&lt;&gt;"Sí",D346&lt;=0.5),"",EDATE($C$10,319))</f>
        <v/>
      </c>
      <c r="D346" s="41" t="n">
        <f aca="false">MAX(0,M345)</f>
        <v>0</v>
      </c>
      <c r="E346" s="41" t="n">
        <f aca="false">D346*$F$7</f>
        <v>0</v>
      </c>
      <c r="F346" s="41" t="n">
        <f aca="false">IF(D346&gt;0.5,N($C$15),0)</f>
        <v>0</v>
      </c>
      <c r="G346" s="41" t="n">
        <f aca="false">IF(AND(D346&gt;0.5,N($C$19)&gt;0,N(B346)&lt;=N($C$20)),D346*$F$8,0)</f>
        <v>0</v>
      </c>
      <c r="H346" s="41" t="n">
        <f aca="false">IF(D346&lt;=0.5,0,MIN(IF(N(I346)&gt;0,I346,$F$9),D346+E346+F346))</f>
        <v>0</v>
      </c>
      <c r="I346" s="77"/>
      <c r="J346" s="77"/>
      <c r="K346" s="41" t="n">
        <f aca="false">IF(D346&lt;=0.5,0,MIN(H346+N(J346),D346+E346+F346))</f>
        <v>0</v>
      </c>
      <c r="L346" s="41" t="n">
        <f aca="false">K346-E346-F346</f>
        <v>0</v>
      </c>
      <c r="M346" s="41" t="n">
        <f aca="false">D346-L346</f>
        <v>0</v>
      </c>
      <c r="N346" s="42" t="n">
        <f aca="false">K346-G346</f>
        <v>0</v>
      </c>
      <c r="O346" s="78"/>
      <c r="P346" s="79"/>
      <c r="Q346" s="16" t="str">
        <f aca="false">IF(K346=0,"",IF(R346=1,"Pagada",IF(C346&lt;$F$12,"Vencida",IF(320=$F$13,"Próxima","Pendiente"))))</f>
        <v/>
      </c>
      <c r="R346" s="62" t="n">
        <f aca="false">IF(AND(K346&gt;0,OR(O346="Sí",O346="Si")),1,0)</f>
        <v>0</v>
      </c>
      <c r="S346" s="62" t="n">
        <f aca="false">IF(AND(K346&gt;0,R346=0),1,0)</f>
        <v>0</v>
      </c>
    </row>
    <row r="347" customFormat="false" ht="15" hidden="false" customHeight="false" outlineLevel="0" collapsed="false">
      <c r="B347" s="71" t="str">
        <f aca="false">IF($F$6="Sí",N($C$11)+320,"")</f>
        <v/>
      </c>
      <c r="C347" s="72" t="str">
        <f aca="false">IF(OR($F$6&lt;&gt;"Sí",D347&lt;=0.5),"",EDATE($C$10,320))</f>
        <v/>
      </c>
      <c r="D347" s="41" t="n">
        <f aca="false">MAX(0,M346)</f>
        <v>0</v>
      </c>
      <c r="E347" s="41" t="n">
        <f aca="false">D347*$F$7</f>
        <v>0</v>
      </c>
      <c r="F347" s="41" t="n">
        <f aca="false">IF(D347&gt;0.5,N($C$15),0)</f>
        <v>0</v>
      </c>
      <c r="G347" s="41" t="n">
        <f aca="false">IF(AND(D347&gt;0.5,N($C$19)&gt;0,N(B347)&lt;=N($C$20)),D347*$F$8,0)</f>
        <v>0</v>
      </c>
      <c r="H347" s="41" t="n">
        <f aca="false">IF(D347&lt;=0.5,0,MIN(IF(N(I347)&gt;0,I347,$F$9),D347+E347+F347))</f>
        <v>0</v>
      </c>
      <c r="I347" s="77"/>
      <c r="J347" s="77"/>
      <c r="K347" s="41" t="n">
        <f aca="false">IF(D347&lt;=0.5,0,MIN(H347+N(J347),D347+E347+F347))</f>
        <v>0</v>
      </c>
      <c r="L347" s="41" t="n">
        <f aca="false">K347-E347-F347</f>
        <v>0</v>
      </c>
      <c r="M347" s="41" t="n">
        <f aca="false">D347-L347</f>
        <v>0</v>
      </c>
      <c r="N347" s="42" t="n">
        <f aca="false">K347-G347</f>
        <v>0</v>
      </c>
      <c r="O347" s="78"/>
      <c r="P347" s="79"/>
      <c r="Q347" s="16" t="str">
        <f aca="false">IF(K347=0,"",IF(R347=1,"Pagada",IF(C347&lt;$F$12,"Vencida",IF(321=$F$13,"Próxima","Pendiente"))))</f>
        <v/>
      </c>
      <c r="R347" s="62" t="n">
        <f aca="false">IF(AND(K347&gt;0,OR(O347="Sí",O347="Si")),1,0)</f>
        <v>0</v>
      </c>
      <c r="S347" s="62" t="n">
        <f aca="false">IF(AND(K347&gt;0,R347=0),1,0)</f>
        <v>0</v>
      </c>
    </row>
    <row r="348" customFormat="false" ht="15" hidden="false" customHeight="false" outlineLevel="0" collapsed="false">
      <c r="B348" s="71" t="str">
        <f aca="false">IF($F$6="Sí",N($C$11)+321,"")</f>
        <v/>
      </c>
      <c r="C348" s="72" t="str">
        <f aca="false">IF(OR($F$6&lt;&gt;"Sí",D348&lt;=0.5),"",EDATE($C$10,321))</f>
        <v/>
      </c>
      <c r="D348" s="41" t="n">
        <f aca="false">MAX(0,M347)</f>
        <v>0</v>
      </c>
      <c r="E348" s="41" t="n">
        <f aca="false">D348*$F$7</f>
        <v>0</v>
      </c>
      <c r="F348" s="41" t="n">
        <f aca="false">IF(D348&gt;0.5,N($C$15),0)</f>
        <v>0</v>
      </c>
      <c r="G348" s="41" t="n">
        <f aca="false">IF(AND(D348&gt;0.5,N($C$19)&gt;0,N(B348)&lt;=N($C$20)),D348*$F$8,0)</f>
        <v>0</v>
      </c>
      <c r="H348" s="41" t="n">
        <f aca="false">IF(D348&lt;=0.5,0,MIN(IF(N(I348)&gt;0,I348,$F$9),D348+E348+F348))</f>
        <v>0</v>
      </c>
      <c r="I348" s="77"/>
      <c r="J348" s="77"/>
      <c r="K348" s="41" t="n">
        <f aca="false">IF(D348&lt;=0.5,0,MIN(H348+N(J348),D348+E348+F348))</f>
        <v>0</v>
      </c>
      <c r="L348" s="41" t="n">
        <f aca="false">K348-E348-F348</f>
        <v>0</v>
      </c>
      <c r="M348" s="41" t="n">
        <f aca="false">D348-L348</f>
        <v>0</v>
      </c>
      <c r="N348" s="42" t="n">
        <f aca="false">K348-G348</f>
        <v>0</v>
      </c>
      <c r="O348" s="78"/>
      <c r="P348" s="79"/>
      <c r="Q348" s="16" t="str">
        <f aca="false">IF(K348=0,"",IF(R348=1,"Pagada",IF(C348&lt;$F$12,"Vencida",IF(322=$F$13,"Próxima","Pendiente"))))</f>
        <v/>
      </c>
      <c r="R348" s="62" t="n">
        <f aca="false">IF(AND(K348&gt;0,OR(O348="Sí",O348="Si")),1,0)</f>
        <v>0</v>
      </c>
      <c r="S348" s="62" t="n">
        <f aca="false">IF(AND(K348&gt;0,R348=0),1,0)</f>
        <v>0</v>
      </c>
    </row>
    <row r="349" customFormat="false" ht="15" hidden="false" customHeight="false" outlineLevel="0" collapsed="false">
      <c r="B349" s="71" t="str">
        <f aca="false">IF($F$6="Sí",N($C$11)+322,"")</f>
        <v/>
      </c>
      <c r="C349" s="72" t="str">
        <f aca="false">IF(OR($F$6&lt;&gt;"Sí",D349&lt;=0.5),"",EDATE($C$10,322))</f>
        <v/>
      </c>
      <c r="D349" s="41" t="n">
        <f aca="false">MAX(0,M348)</f>
        <v>0</v>
      </c>
      <c r="E349" s="41" t="n">
        <f aca="false">D349*$F$7</f>
        <v>0</v>
      </c>
      <c r="F349" s="41" t="n">
        <f aca="false">IF(D349&gt;0.5,N($C$15),0)</f>
        <v>0</v>
      </c>
      <c r="G349" s="41" t="n">
        <f aca="false">IF(AND(D349&gt;0.5,N($C$19)&gt;0,N(B349)&lt;=N($C$20)),D349*$F$8,0)</f>
        <v>0</v>
      </c>
      <c r="H349" s="41" t="n">
        <f aca="false">IF(D349&lt;=0.5,0,MIN(IF(N(I349)&gt;0,I349,$F$9),D349+E349+F349))</f>
        <v>0</v>
      </c>
      <c r="I349" s="77"/>
      <c r="J349" s="77"/>
      <c r="K349" s="41" t="n">
        <f aca="false">IF(D349&lt;=0.5,0,MIN(H349+N(J349),D349+E349+F349))</f>
        <v>0</v>
      </c>
      <c r="L349" s="41" t="n">
        <f aca="false">K349-E349-F349</f>
        <v>0</v>
      </c>
      <c r="M349" s="41" t="n">
        <f aca="false">D349-L349</f>
        <v>0</v>
      </c>
      <c r="N349" s="42" t="n">
        <f aca="false">K349-G349</f>
        <v>0</v>
      </c>
      <c r="O349" s="78"/>
      <c r="P349" s="79"/>
      <c r="Q349" s="16" t="str">
        <f aca="false">IF(K349=0,"",IF(R349=1,"Pagada",IF(C349&lt;$F$12,"Vencida",IF(323=$F$13,"Próxima","Pendiente"))))</f>
        <v/>
      </c>
      <c r="R349" s="62" t="n">
        <f aca="false">IF(AND(K349&gt;0,OR(O349="Sí",O349="Si")),1,0)</f>
        <v>0</v>
      </c>
      <c r="S349" s="62" t="n">
        <f aca="false">IF(AND(K349&gt;0,R349=0),1,0)</f>
        <v>0</v>
      </c>
    </row>
    <row r="350" customFormat="false" ht="15" hidden="false" customHeight="false" outlineLevel="0" collapsed="false">
      <c r="B350" s="71" t="str">
        <f aca="false">IF($F$6="Sí",N($C$11)+323,"")</f>
        <v/>
      </c>
      <c r="C350" s="72" t="str">
        <f aca="false">IF(OR($F$6&lt;&gt;"Sí",D350&lt;=0.5),"",EDATE($C$10,323))</f>
        <v/>
      </c>
      <c r="D350" s="41" t="n">
        <f aca="false">MAX(0,M349)</f>
        <v>0</v>
      </c>
      <c r="E350" s="41" t="n">
        <f aca="false">D350*$F$7</f>
        <v>0</v>
      </c>
      <c r="F350" s="41" t="n">
        <f aca="false">IF(D350&gt;0.5,N($C$15),0)</f>
        <v>0</v>
      </c>
      <c r="G350" s="41" t="n">
        <f aca="false">IF(AND(D350&gt;0.5,N($C$19)&gt;0,N(B350)&lt;=N($C$20)),D350*$F$8,0)</f>
        <v>0</v>
      </c>
      <c r="H350" s="41" t="n">
        <f aca="false">IF(D350&lt;=0.5,0,MIN(IF(N(I350)&gt;0,I350,$F$9),D350+E350+F350))</f>
        <v>0</v>
      </c>
      <c r="I350" s="77"/>
      <c r="J350" s="77"/>
      <c r="K350" s="41" t="n">
        <f aca="false">IF(D350&lt;=0.5,0,MIN(H350+N(J350),D350+E350+F350))</f>
        <v>0</v>
      </c>
      <c r="L350" s="41" t="n">
        <f aca="false">K350-E350-F350</f>
        <v>0</v>
      </c>
      <c r="M350" s="41" t="n">
        <f aca="false">D350-L350</f>
        <v>0</v>
      </c>
      <c r="N350" s="42" t="n">
        <f aca="false">K350-G350</f>
        <v>0</v>
      </c>
      <c r="O350" s="78"/>
      <c r="P350" s="79"/>
      <c r="Q350" s="16" t="str">
        <f aca="false">IF(K350=0,"",IF(R350=1,"Pagada",IF(C350&lt;$F$12,"Vencida",IF(324=$F$13,"Próxima","Pendiente"))))</f>
        <v/>
      </c>
      <c r="R350" s="62" t="n">
        <f aca="false">IF(AND(K350&gt;0,OR(O350="Sí",O350="Si")),1,0)</f>
        <v>0</v>
      </c>
      <c r="S350" s="62" t="n">
        <f aca="false">IF(AND(K350&gt;0,R350=0),1,0)</f>
        <v>0</v>
      </c>
    </row>
    <row r="351" customFormat="false" ht="15" hidden="false" customHeight="false" outlineLevel="0" collapsed="false">
      <c r="B351" s="71" t="str">
        <f aca="false">IF($F$6="Sí",N($C$11)+324,"")</f>
        <v/>
      </c>
      <c r="C351" s="72" t="str">
        <f aca="false">IF(OR($F$6&lt;&gt;"Sí",D351&lt;=0.5),"",EDATE($C$10,324))</f>
        <v/>
      </c>
      <c r="D351" s="41" t="n">
        <f aca="false">MAX(0,M350)</f>
        <v>0</v>
      </c>
      <c r="E351" s="41" t="n">
        <f aca="false">D351*$F$7</f>
        <v>0</v>
      </c>
      <c r="F351" s="41" t="n">
        <f aca="false">IF(D351&gt;0.5,N($C$15),0)</f>
        <v>0</v>
      </c>
      <c r="G351" s="41" t="n">
        <f aca="false">IF(AND(D351&gt;0.5,N($C$19)&gt;0,N(B351)&lt;=N($C$20)),D351*$F$8,0)</f>
        <v>0</v>
      </c>
      <c r="H351" s="41" t="n">
        <f aca="false">IF(D351&lt;=0.5,0,MIN(IF(N(I351)&gt;0,I351,$F$9),D351+E351+F351))</f>
        <v>0</v>
      </c>
      <c r="I351" s="77"/>
      <c r="J351" s="77"/>
      <c r="K351" s="41" t="n">
        <f aca="false">IF(D351&lt;=0.5,0,MIN(H351+N(J351),D351+E351+F351))</f>
        <v>0</v>
      </c>
      <c r="L351" s="41" t="n">
        <f aca="false">K351-E351-F351</f>
        <v>0</v>
      </c>
      <c r="M351" s="41" t="n">
        <f aca="false">D351-L351</f>
        <v>0</v>
      </c>
      <c r="N351" s="42" t="n">
        <f aca="false">K351-G351</f>
        <v>0</v>
      </c>
      <c r="O351" s="78"/>
      <c r="P351" s="79"/>
      <c r="Q351" s="16" t="str">
        <f aca="false">IF(K351=0,"",IF(R351=1,"Pagada",IF(C351&lt;$F$12,"Vencida",IF(325=$F$13,"Próxima","Pendiente"))))</f>
        <v/>
      </c>
      <c r="R351" s="62" t="n">
        <f aca="false">IF(AND(K351&gt;0,OR(O351="Sí",O351="Si")),1,0)</f>
        <v>0</v>
      </c>
      <c r="S351" s="62" t="n">
        <f aca="false">IF(AND(K351&gt;0,R351=0),1,0)</f>
        <v>0</v>
      </c>
    </row>
    <row r="352" customFormat="false" ht="15" hidden="false" customHeight="false" outlineLevel="0" collapsed="false">
      <c r="B352" s="71" t="str">
        <f aca="false">IF($F$6="Sí",N($C$11)+325,"")</f>
        <v/>
      </c>
      <c r="C352" s="72" t="str">
        <f aca="false">IF(OR($F$6&lt;&gt;"Sí",D352&lt;=0.5),"",EDATE($C$10,325))</f>
        <v/>
      </c>
      <c r="D352" s="41" t="n">
        <f aca="false">MAX(0,M351)</f>
        <v>0</v>
      </c>
      <c r="E352" s="41" t="n">
        <f aca="false">D352*$F$7</f>
        <v>0</v>
      </c>
      <c r="F352" s="41" t="n">
        <f aca="false">IF(D352&gt;0.5,N($C$15),0)</f>
        <v>0</v>
      </c>
      <c r="G352" s="41" t="n">
        <f aca="false">IF(AND(D352&gt;0.5,N($C$19)&gt;0,N(B352)&lt;=N($C$20)),D352*$F$8,0)</f>
        <v>0</v>
      </c>
      <c r="H352" s="41" t="n">
        <f aca="false">IF(D352&lt;=0.5,0,MIN(IF(N(I352)&gt;0,I352,$F$9),D352+E352+F352))</f>
        <v>0</v>
      </c>
      <c r="I352" s="77"/>
      <c r="J352" s="77"/>
      <c r="K352" s="41" t="n">
        <f aca="false">IF(D352&lt;=0.5,0,MIN(H352+N(J352),D352+E352+F352))</f>
        <v>0</v>
      </c>
      <c r="L352" s="41" t="n">
        <f aca="false">K352-E352-F352</f>
        <v>0</v>
      </c>
      <c r="M352" s="41" t="n">
        <f aca="false">D352-L352</f>
        <v>0</v>
      </c>
      <c r="N352" s="42" t="n">
        <f aca="false">K352-G352</f>
        <v>0</v>
      </c>
      <c r="O352" s="78"/>
      <c r="P352" s="79"/>
      <c r="Q352" s="16" t="str">
        <f aca="false">IF(K352=0,"",IF(R352=1,"Pagada",IF(C352&lt;$F$12,"Vencida",IF(326=$F$13,"Próxima","Pendiente"))))</f>
        <v/>
      </c>
      <c r="R352" s="62" t="n">
        <f aca="false">IF(AND(K352&gt;0,OR(O352="Sí",O352="Si")),1,0)</f>
        <v>0</v>
      </c>
      <c r="S352" s="62" t="n">
        <f aca="false">IF(AND(K352&gt;0,R352=0),1,0)</f>
        <v>0</v>
      </c>
    </row>
    <row r="353" customFormat="false" ht="15" hidden="false" customHeight="false" outlineLevel="0" collapsed="false">
      <c r="B353" s="71" t="str">
        <f aca="false">IF($F$6="Sí",N($C$11)+326,"")</f>
        <v/>
      </c>
      <c r="C353" s="72" t="str">
        <f aca="false">IF(OR($F$6&lt;&gt;"Sí",D353&lt;=0.5),"",EDATE($C$10,326))</f>
        <v/>
      </c>
      <c r="D353" s="41" t="n">
        <f aca="false">MAX(0,M352)</f>
        <v>0</v>
      </c>
      <c r="E353" s="41" t="n">
        <f aca="false">D353*$F$7</f>
        <v>0</v>
      </c>
      <c r="F353" s="41" t="n">
        <f aca="false">IF(D353&gt;0.5,N($C$15),0)</f>
        <v>0</v>
      </c>
      <c r="G353" s="41" t="n">
        <f aca="false">IF(AND(D353&gt;0.5,N($C$19)&gt;0,N(B353)&lt;=N($C$20)),D353*$F$8,0)</f>
        <v>0</v>
      </c>
      <c r="H353" s="41" t="n">
        <f aca="false">IF(D353&lt;=0.5,0,MIN(IF(N(I353)&gt;0,I353,$F$9),D353+E353+F353))</f>
        <v>0</v>
      </c>
      <c r="I353" s="77"/>
      <c r="J353" s="77"/>
      <c r="K353" s="41" t="n">
        <f aca="false">IF(D353&lt;=0.5,0,MIN(H353+N(J353),D353+E353+F353))</f>
        <v>0</v>
      </c>
      <c r="L353" s="41" t="n">
        <f aca="false">K353-E353-F353</f>
        <v>0</v>
      </c>
      <c r="M353" s="41" t="n">
        <f aca="false">D353-L353</f>
        <v>0</v>
      </c>
      <c r="N353" s="42" t="n">
        <f aca="false">K353-G353</f>
        <v>0</v>
      </c>
      <c r="O353" s="78"/>
      <c r="P353" s="79"/>
      <c r="Q353" s="16" t="str">
        <f aca="false">IF(K353=0,"",IF(R353=1,"Pagada",IF(C353&lt;$F$12,"Vencida",IF(327=$F$13,"Próxima","Pendiente"))))</f>
        <v/>
      </c>
      <c r="R353" s="62" t="n">
        <f aca="false">IF(AND(K353&gt;0,OR(O353="Sí",O353="Si")),1,0)</f>
        <v>0</v>
      </c>
      <c r="S353" s="62" t="n">
        <f aca="false">IF(AND(K353&gt;0,R353=0),1,0)</f>
        <v>0</v>
      </c>
    </row>
    <row r="354" customFormat="false" ht="15" hidden="false" customHeight="false" outlineLevel="0" collapsed="false">
      <c r="B354" s="71" t="str">
        <f aca="false">IF($F$6="Sí",N($C$11)+327,"")</f>
        <v/>
      </c>
      <c r="C354" s="72" t="str">
        <f aca="false">IF(OR($F$6&lt;&gt;"Sí",D354&lt;=0.5),"",EDATE($C$10,327))</f>
        <v/>
      </c>
      <c r="D354" s="41" t="n">
        <f aca="false">MAX(0,M353)</f>
        <v>0</v>
      </c>
      <c r="E354" s="41" t="n">
        <f aca="false">D354*$F$7</f>
        <v>0</v>
      </c>
      <c r="F354" s="41" t="n">
        <f aca="false">IF(D354&gt;0.5,N($C$15),0)</f>
        <v>0</v>
      </c>
      <c r="G354" s="41" t="n">
        <f aca="false">IF(AND(D354&gt;0.5,N($C$19)&gt;0,N(B354)&lt;=N($C$20)),D354*$F$8,0)</f>
        <v>0</v>
      </c>
      <c r="H354" s="41" t="n">
        <f aca="false">IF(D354&lt;=0.5,0,MIN(IF(N(I354)&gt;0,I354,$F$9),D354+E354+F354))</f>
        <v>0</v>
      </c>
      <c r="I354" s="77"/>
      <c r="J354" s="77"/>
      <c r="K354" s="41" t="n">
        <f aca="false">IF(D354&lt;=0.5,0,MIN(H354+N(J354),D354+E354+F354))</f>
        <v>0</v>
      </c>
      <c r="L354" s="41" t="n">
        <f aca="false">K354-E354-F354</f>
        <v>0</v>
      </c>
      <c r="M354" s="41" t="n">
        <f aca="false">D354-L354</f>
        <v>0</v>
      </c>
      <c r="N354" s="42" t="n">
        <f aca="false">K354-G354</f>
        <v>0</v>
      </c>
      <c r="O354" s="78"/>
      <c r="P354" s="79"/>
      <c r="Q354" s="16" t="str">
        <f aca="false">IF(K354=0,"",IF(R354=1,"Pagada",IF(C354&lt;$F$12,"Vencida",IF(328=$F$13,"Próxima","Pendiente"))))</f>
        <v/>
      </c>
      <c r="R354" s="62" t="n">
        <f aca="false">IF(AND(K354&gt;0,OR(O354="Sí",O354="Si")),1,0)</f>
        <v>0</v>
      </c>
      <c r="S354" s="62" t="n">
        <f aca="false">IF(AND(K354&gt;0,R354=0),1,0)</f>
        <v>0</v>
      </c>
    </row>
    <row r="355" customFormat="false" ht="15" hidden="false" customHeight="false" outlineLevel="0" collapsed="false">
      <c r="B355" s="71" t="str">
        <f aca="false">IF($F$6="Sí",N($C$11)+328,"")</f>
        <v/>
      </c>
      <c r="C355" s="72" t="str">
        <f aca="false">IF(OR($F$6&lt;&gt;"Sí",D355&lt;=0.5),"",EDATE($C$10,328))</f>
        <v/>
      </c>
      <c r="D355" s="41" t="n">
        <f aca="false">MAX(0,M354)</f>
        <v>0</v>
      </c>
      <c r="E355" s="41" t="n">
        <f aca="false">D355*$F$7</f>
        <v>0</v>
      </c>
      <c r="F355" s="41" t="n">
        <f aca="false">IF(D355&gt;0.5,N($C$15),0)</f>
        <v>0</v>
      </c>
      <c r="G355" s="41" t="n">
        <f aca="false">IF(AND(D355&gt;0.5,N($C$19)&gt;0,N(B355)&lt;=N($C$20)),D355*$F$8,0)</f>
        <v>0</v>
      </c>
      <c r="H355" s="41" t="n">
        <f aca="false">IF(D355&lt;=0.5,0,MIN(IF(N(I355)&gt;0,I355,$F$9),D355+E355+F355))</f>
        <v>0</v>
      </c>
      <c r="I355" s="77"/>
      <c r="J355" s="77"/>
      <c r="K355" s="41" t="n">
        <f aca="false">IF(D355&lt;=0.5,0,MIN(H355+N(J355),D355+E355+F355))</f>
        <v>0</v>
      </c>
      <c r="L355" s="41" t="n">
        <f aca="false">K355-E355-F355</f>
        <v>0</v>
      </c>
      <c r="M355" s="41" t="n">
        <f aca="false">D355-L355</f>
        <v>0</v>
      </c>
      <c r="N355" s="42" t="n">
        <f aca="false">K355-G355</f>
        <v>0</v>
      </c>
      <c r="O355" s="78"/>
      <c r="P355" s="79"/>
      <c r="Q355" s="16" t="str">
        <f aca="false">IF(K355=0,"",IF(R355=1,"Pagada",IF(C355&lt;$F$12,"Vencida",IF(329=$F$13,"Próxima","Pendiente"))))</f>
        <v/>
      </c>
      <c r="R355" s="62" t="n">
        <f aca="false">IF(AND(K355&gt;0,OR(O355="Sí",O355="Si")),1,0)</f>
        <v>0</v>
      </c>
      <c r="S355" s="62" t="n">
        <f aca="false">IF(AND(K355&gt;0,R355=0),1,0)</f>
        <v>0</v>
      </c>
    </row>
    <row r="356" customFormat="false" ht="15" hidden="false" customHeight="false" outlineLevel="0" collapsed="false">
      <c r="B356" s="71" t="str">
        <f aca="false">IF($F$6="Sí",N($C$11)+329,"")</f>
        <v/>
      </c>
      <c r="C356" s="72" t="str">
        <f aca="false">IF(OR($F$6&lt;&gt;"Sí",D356&lt;=0.5),"",EDATE($C$10,329))</f>
        <v/>
      </c>
      <c r="D356" s="41" t="n">
        <f aca="false">MAX(0,M355)</f>
        <v>0</v>
      </c>
      <c r="E356" s="41" t="n">
        <f aca="false">D356*$F$7</f>
        <v>0</v>
      </c>
      <c r="F356" s="41" t="n">
        <f aca="false">IF(D356&gt;0.5,N($C$15),0)</f>
        <v>0</v>
      </c>
      <c r="G356" s="41" t="n">
        <f aca="false">IF(AND(D356&gt;0.5,N($C$19)&gt;0,N(B356)&lt;=N($C$20)),D356*$F$8,0)</f>
        <v>0</v>
      </c>
      <c r="H356" s="41" t="n">
        <f aca="false">IF(D356&lt;=0.5,0,MIN(IF(N(I356)&gt;0,I356,$F$9),D356+E356+F356))</f>
        <v>0</v>
      </c>
      <c r="I356" s="77"/>
      <c r="J356" s="77"/>
      <c r="K356" s="41" t="n">
        <f aca="false">IF(D356&lt;=0.5,0,MIN(H356+N(J356),D356+E356+F356))</f>
        <v>0</v>
      </c>
      <c r="L356" s="41" t="n">
        <f aca="false">K356-E356-F356</f>
        <v>0</v>
      </c>
      <c r="M356" s="41" t="n">
        <f aca="false">D356-L356</f>
        <v>0</v>
      </c>
      <c r="N356" s="42" t="n">
        <f aca="false">K356-G356</f>
        <v>0</v>
      </c>
      <c r="O356" s="78"/>
      <c r="P356" s="79"/>
      <c r="Q356" s="16" t="str">
        <f aca="false">IF(K356=0,"",IF(R356=1,"Pagada",IF(C356&lt;$F$12,"Vencida",IF(330=$F$13,"Próxima","Pendiente"))))</f>
        <v/>
      </c>
      <c r="R356" s="62" t="n">
        <f aca="false">IF(AND(K356&gt;0,OR(O356="Sí",O356="Si")),1,0)</f>
        <v>0</v>
      </c>
      <c r="S356" s="62" t="n">
        <f aca="false">IF(AND(K356&gt;0,R356=0),1,0)</f>
        <v>0</v>
      </c>
    </row>
    <row r="357" customFormat="false" ht="15" hidden="false" customHeight="false" outlineLevel="0" collapsed="false">
      <c r="B357" s="71" t="str">
        <f aca="false">IF($F$6="Sí",N($C$11)+330,"")</f>
        <v/>
      </c>
      <c r="C357" s="72" t="str">
        <f aca="false">IF(OR($F$6&lt;&gt;"Sí",D357&lt;=0.5),"",EDATE($C$10,330))</f>
        <v/>
      </c>
      <c r="D357" s="41" t="n">
        <f aca="false">MAX(0,M356)</f>
        <v>0</v>
      </c>
      <c r="E357" s="41" t="n">
        <f aca="false">D357*$F$7</f>
        <v>0</v>
      </c>
      <c r="F357" s="41" t="n">
        <f aca="false">IF(D357&gt;0.5,N($C$15),0)</f>
        <v>0</v>
      </c>
      <c r="G357" s="41" t="n">
        <f aca="false">IF(AND(D357&gt;0.5,N($C$19)&gt;0,N(B357)&lt;=N($C$20)),D357*$F$8,0)</f>
        <v>0</v>
      </c>
      <c r="H357" s="41" t="n">
        <f aca="false">IF(D357&lt;=0.5,0,MIN(IF(N(I357)&gt;0,I357,$F$9),D357+E357+F357))</f>
        <v>0</v>
      </c>
      <c r="I357" s="77"/>
      <c r="J357" s="77"/>
      <c r="K357" s="41" t="n">
        <f aca="false">IF(D357&lt;=0.5,0,MIN(H357+N(J357),D357+E357+F357))</f>
        <v>0</v>
      </c>
      <c r="L357" s="41" t="n">
        <f aca="false">K357-E357-F357</f>
        <v>0</v>
      </c>
      <c r="M357" s="41" t="n">
        <f aca="false">D357-L357</f>
        <v>0</v>
      </c>
      <c r="N357" s="42" t="n">
        <f aca="false">K357-G357</f>
        <v>0</v>
      </c>
      <c r="O357" s="78"/>
      <c r="P357" s="79"/>
      <c r="Q357" s="16" t="str">
        <f aca="false">IF(K357=0,"",IF(R357=1,"Pagada",IF(C357&lt;$F$12,"Vencida",IF(331=$F$13,"Próxima","Pendiente"))))</f>
        <v/>
      </c>
      <c r="R357" s="62" t="n">
        <f aca="false">IF(AND(K357&gt;0,OR(O357="Sí",O357="Si")),1,0)</f>
        <v>0</v>
      </c>
      <c r="S357" s="62" t="n">
        <f aca="false">IF(AND(K357&gt;0,R357=0),1,0)</f>
        <v>0</v>
      </c>
    </row>
    <row r="358" customFormat="false" ht="15" hidden="false" customHeight="false" outlineLevel="0" collapsed="false">
      <c r="B358" s="71" t="str">
        <f aca="false">IF($F$6="Sí",N($C$11)+331,"")</f>
        <v/>
      </c>
      <c r="C358" s="72" t="str">
        <f aca="false">IF(OR($F$6&lt;&gt;"Sí",D358&lt;=0.5),"",EDATE($C$10,331))</f>
        <v/>
      </c>
      <c r="D358" s="41" t="n">
        <f aca="false">MAX(0,M357)</f>
        <v>0</v>
      </c>
      <c r="E358" s="41" t="n">
        <f aca="false">D358*$F$7</f>
        <v>0</v>
      </c>
      <c r="F358" s="41" t="n">
        <f aca="false">IF(D358&gt;0.5,N($C$15),0)</f>
        <v>0</v>
      </c>
      <c r="G358" s="41" t="n">
        <f aca="false">IF(AND(D358&gt;0.5,N($C$19)&gt;0,N(B358)&lt;=N($C$20)),D358*$F$8,0)</f>
        <v>0</v>
      </c>
      <c r="H358" s="41" t="n">
        <f aca="false">IF(D358&lt;=0.5,0,MIN(IF(N(I358)&gt;0,I358,$F$9),D358+E358+F358))</f>
        <v>0</v>
      </c>
      <c r="I358" s="77"/>
      <c r="J358" s="77"/>
      <c r="K358" s="41" t="n">
        <f aca="false">IF(D358&lt;=0.5,0,MIN(H358+N(J358),D358+E358+F358))</f>
        <v>0</v>
      </c>
      <c r="L358" s="41" t="n">
        <f aca="false">K358-E358-F358</f>
        <v>0</v>
      </c>
      <c r="M358" s="41" t="n">
        <f aca="false">D358-L358</f>
        <v>0</v>
      </c>
      <c r="N358" s="42" t="n">
        <f aca="false">K358-G358</f>
        <v>0</v>
      </c>
      <c r="O358" s="78"/>
      <c r="P358" s="79"/>
      <c r="Q358" s="16" t="str">
        <f aca="false">IF(K358=0,"",IF(R358=1,"Pagada",IF(C358&lt;$F$12,"Vencida",IF(332=$F$13,"Próxima","Pendiente"))))</f>
        <v/>
      </c>
      <c r="R358" s="62" t="n">
        <f aca="false">IF(AND(K358&gt;0,OR(O358="Sí",O358="Si")),1,0)</f>
        <v>0</v>
      </c>
      <c r="S358" s="62" t="n">
        <f aca="false">IF(AND(K358&gt;0,R358=0),1,0)</f>
        <v>0</v>
      </c>
    </row>
    <row r="359" customFormat="false" ht="15" hidden="false" customHeight="false" outlineLevel="0" collapsed="false">
      <c r="B359" s="71" t="str">
        <f aca="false">IF($F$6="Sí",N($C$11)+332,"")</f>
        <v/>
      </c>
      <c r="C359" s="72" t="str">
        <f aca="false">IF(OR($F$6&lt;&gt;"Sí",D359&lt;=0.5),"",EDATE($C$10,332))</f>
        <v/>
      </c>
      <c r="D359" s="41" t="n">
        <f aca="false">MAX(0,M358)</f>
        <v>0</v>
      </c>
      <c r="E359" s="41" t="n">
        <f aca="false">D359*$F$7</f>
        <v>0</v>
      </c>
      <c r="F359" s="41" t="n">
        <f aca="false">IF(D359&gt;0.5,N($C$15),0)</f>
        <v>0</v>
      </c>
      <c r="G359" s="41" t="n">
        <f aca="false">IF(AND(D359&gt;0.5,N($C$19)&gt;0,N(B359)&lt;=N($C$20)),D359*$F$8,0)</f>
        <v>0</v>
      </c>
      <c r="H359" s="41" t="n">
        <f aca="false">IF(D359&lt;=0.5,0,MIN(IF(N(I359)&gt;0,I359,$F$9),D359+E359+F359))</f>
        <v>0</v>
      </c>
      <c r="I359" s="77"/>
      <c r="J359" s="77"/>
      <c r="K359" s="41" t="n">
        <f aca="false">IF(D359&lt;=0.5,0,MIN(H359+N(J359),D359+E359+F359))</f>
        <v>0</v>
      </c>
      <c r="L359" s="41" t="n">
        <f aca="false">K359-E359-F359</f>
        <v>0</v>
      </c>
      <c r="M359" s="41" t="n">
        <f aca="false">D359-L359</f>
        <v>0</v>
      </c>
      <c r="N359" s="42" t="n">
        <f aca="false">K359-G359</f>
        <v>0</v>
      </c>
      <c r="O359" s="78"/>
      <c r="P359" s="79"/>
      <c r="Q359" s="16" t="str">
        <f aca="false">IF(K359=0,"",IF(R359=1,"Pagada",IF(C359&lt;$F$12,"Vencida",IF(333=$F$13,"Próxima","Pendiente"))))</f>
        <v/>
      </c>
      <c r="R359" s="62" t="n">
        <f aca="false">IF(AND(K359&gt;0,OR(O359="Sí",O359="Si")),1,0)</f>
        <v>0</v>
      </c>
      <c r="S359" s="62" t="n">
        <f aca="false">IF(AND(K359&gt;0,R359=0),1,0)</f>
        <v>0</v>
      </c>
    </row>
    <row r="360" customFormat="false" ht="15" hidden="false" customHeight="false" outlineLevel="0" collapsed="false">
      <c r="B360" s="71" t="str">
        <f aca="false">IF($F$6="Sí",N($C$11)+333,"")</f>
        <v/>
      </c>
      <c r="C360" s="72" t="str">
        <f aca="false">IF(OR($F$6&lt;&gt;"Sí",D360&lt;=0.5),"",EDATE($C$10,333))</f>
        <v/>
      </c>
      <c r="D360" s="41" t="n">
        <f aca="false">MAX(0,M359)</f>
        <v>0</v>
      </c>
      <c r="E360" s="41" t="n">
        <f aca="false">D360*$F$7</f>
        <v>0</v>
      </c>
      <c r="F360" s="41" t="n">
        <f aca="false">IF(D360&gt;0.5,N($C$15),0)</f>
        <v>0</v>
      </c>
      <c r="G360" s="41" t="n">
        <f aca="false">IF(AND(D360&gt;0.5,N($C$19)&gt;0,N(B360)&lt;=N($C$20)),D360*$F$8,0)</f>
        <v>0</v>
      </c>
      <c r="H360" s="41" t="n">
        <f aca="false">IF(D360&lt;=0.5,0,MIN(IF(N(I360)&gt;0,I360,$F$9),D360+E360+F360))</f>
        <v>0</v>
      </c>
      <c r="I360" s="77"/>
      <c r="J360" s="77"/>
      <c r="K360" s="41" t="n">
        <f aca="false">IF(D360&lt;=0.5,0,MIN(H360+N(J360),D360+E360+F360))</f>
        <v>0</v>
      </c>
      <c r="L360" s="41" t="n">
        <f aca="false">K360-E360-F360</f>
        <v>0</v>
      </c>
      <c r="M360" s="41" t="n">
        <f aca="false">D360-L360</f>
        <v>0</v>
      </c>
      <c r="N360" s="42" t="n">
        <f aca="false">K360-G360</f>
        <v>0</v>
      </c>
      <c r="O360" s="78"/>
      <c r="P360" s="79"/>
      <c r="Q360" s="16" t="str">
        <f aca="false">IF(K360=0,"",IF(R360=1,"Pagada",IF(C360&lt;$F$12,"Vencida",IF(334=$F$13,"Próxima","Pendiente"))))</f>
        <v/>
      </c>
      <c r="R360" s="62" t="n">
        <f aca="false">IF(AND(K360&gt;0,OR(O360="Sí",O360="Si")),1,0)</f>
        <v>0</v>
      </c>
      <c r="S360" s="62" t="n">
        <f aca="false">IF(AND(K360&gt;0,R360=0),1,0)</f>
        <v>0</v>
      </c>
    </row>
    <row r="361" customFormat="false" ht="15" hidden="false" customHeight="false" outlineLevel="0" collapsed="false">
      <c r="B361" s="71" t="str">
        <f aca="false">IF($F$6="Sí",N($C$11)+334,"")</f>
        <v/>
      </c>
      <c r="C361" s="72" t="str">
        <f aca="false">IF(OR($F$6&lt;&gt;"Sí",D361&lt;=0.5),"",EDATE($C$10,334))</f>
        <v/>
      </c>
      <c r="D361" s="41" t="n">
        <f aca="false">MAX(0,M360)</f>
        <v>0</v>
      </c>
      <c r="E361" s="41" t="n">
        <f aca="false">D361*$F$7</f>
        <v>0</v>
      </c>
      <c r="F361" s="41" t="n">
        <f aca="false">IF(D361&gt;0.5,N($C$15),0)</f>
        <v>0</v>
      </c>
      <c r="G361" s="41" t="n">
        <f aca="false">IF(AND(D361&gt;0.5,N($C$19)&gt;0,N(B361)&lt;=N($C$20)),D361*$F$8,0)</f>
        <v>0</v>
      </c>
      <c r="H361" s="41" t="n">
        <f aca="false">IF(D361&lt;=0.5,0,MIN(IF(N(I361)&gt;0,I361,$F$9),D361+E361+F361))</f>
        <v>0</v>
      </c>
      <c r="I361" s="77"/>
      <c r="J361" s="77"/>
      <c r="K361" s="41" t="n">
        <f aca="false">IF(D361&lt;=0.5,0,MIN(H361+N(J361),D361+E361+F361))</f>
        <v>0</v>
      </c>
      <c r="L361" s="41" t="n">
        <f aca="false">K361-E361-F361</f>
        <v>0</v>
      </c>
      <c r="M361" s="41" t="n">
        <f aca="false">D361-L361</f>
        <v>0</v>
      </c>
      <c r="N361" s="42" t="n">
        <f aca="false">K361-G361</f>
        <v>0</v>
      </c>
      <c r="O361" s="78"/>
      <c r="P361" s="79"/>
      <c r="Q361" s="16" t="str">
        <f aca="false">IF(K361=0,"",IF(R361=1,"Pagada",IF(C361&lt;$F$12,"Vencida",IF(335=$F$13,"Próxima","Pendiente"))))</f>
        <v/>
      </c>
      <c r="R361" s="62" t="n">
        <f aca="false">IF(AND(K361&gt;0,OR(O361="Sí",O361="Si")),1,0)</f>
        <v>0</v>
      </c>
      <c r="S361" s="62" t="n">
        <f aca="false">IF(AND(K361&gt;0,R361=0),1,0)</f>
        <v>0</v>
      </c>
    </row>
    <row r="362" customFormat="false" ht="15" hidden="false" customHeight="false" outlineLevel="0" collapsed="false">
      <c r="B362" s="71" t="str">
        <f aca="false">IF($F$6="Sí",N($C$11)+335,"")</f>
        <v/>
      </c>
      <c r="C362" s="72" t="str">
        <f aca="false">IF(OR($F$6&lt;&gt;"Sí",D362&lt;=0.5),"",EDATE($C$10,335))</f>
        <v/>
      </c>
      <c r="D362" s="41" t="n">
        <f aca="false">MAX(0,M361)</f>
        <v>0</v>
      </c>
      <c r="E362" s="41" t="n">
        <f aca="false">D362*$F$7</f>
        <v>0</v>
      </c>
      <c r="F362" s="41" t="n">
        <f aca="false">IF(D362&gt;0.5,N($C$15),0)</f>
        <v>0</v>
      </c>
      <c r="G362" s="41" t="n">
        <f aca="false">IF(AND(D362&gt;0.5,N($C$19)&gt;0,N(B362)&lt;=N($C$20)),D362*$F$8,0)</f>
        <v>0</v>
      </c>
      <c r="H362" s="41" t="n">
        <f aca="false">IF(D362&lt;=0.5,0,MIN(IF(N(I362)&gt;0,I362,$F$9),D362+E362+F362))</f>
        <v>0</v>
      </c>
      <c r="I362" s="77"/>
      <c r="J362" s="77"/>
      <c r="K362" s="41" t="n">
        <f aca="false">IF(D362&lt;=0.5,0,MIN(H362+N(J362),D362+E362+F362))</f>
        <v>0</v>
      </c>
      <c r="L362" s="41" t="n">
        <f aca="false">K362-E362-F362</f>
        <v>0</v>
      </c>
      <c r="M362" s="41" t="n">
        <f aca="false">D362-L362</f>
        <v>0</v>
      </c>
      <c r="N362" s="42" t="n">
        <f aca="false">K362-G362</f>
        <v>0</v>
      </c>
      <c r="O362" s="78"/>
      <c r="P362" s="79"/>
      <c r="Q362" s="16" t="str">
        <f aca="false">IF(K362=0,"",IF(R362=1,"Pagada",IF(C362&lt;$F$12,"Vencida",IF(336=$F$13,"Próxima","Pendiente"))))</f>
        <v/>
      </c>
      <c r="R362" s="62" t="n">
        <f aca="false">IF(AND(K362&gt;0,OR(O362="Sí",O362="Si")),1,0)</f>
        <v>0</v>
      </c>
      <c r="S362" s="62" t="n">
        <f aca="false">IF(AND(K362&gt;0,R362=0),1,0)</f>
        <v>0</v>
      </c>
    </row>
    <row r="363" customFormat="false" ht="15" hidden="false" customHeight="false" outlineLevel="0" collapsed="false">
      <c r="B363" s="71" t="str">
        <f aca="false">IF($F$6="Sí",N($C$11)+336,"")</f>
        <v/>
      </c>
      <c r="C363" s="72" t="str">
        <f aca="false">IF(OR($F$6&lt;&gt;"Sí",D363&lt;=0.5),"",EDATE($C$10,336))</f>
        <v/>
      </c>
      <c r="D363" s="41" t="n">
        <f aca="false">MAX(0,M362)</f>
        <v>0</v>
      </c>
      <c r="E363" s="41" t="n">
        <f aca="false">D363*$F$7</f>
        <v>0</v>
      </c>
      <c r="F363" s="41" t="n">
        <f aca="false">IF(D363&gt;0.5,N($C$15),0)</f>
        <v>0</v>
      </c>
      <c r="G363" s="41" t="n">
        <f aca="false">IF(AND(D363&gt;0.5,N($C$19)&gt;0,N(B363)&lt;=N($C$20)),D363*$F$8,0)</f>
        <v>0</v>
      </c>
      <c r="H363" s="41" t="n">
        <f aca="false">IF(D363&lt;=0.5,0,MIN(IF(N(I363)&gt;0,I363,$F$9),D363+E363+F363))</f>
        <v>0</v>
      </c>
      <c r="I363" s="77"/>
      <c r="J363" s="77"/>
      <c r="K363" s="41" t="n">
        <f aca="false">IF(D363&lt;=0.5,0,MIN(H363+N(J363),D363+E363+F363))</f>
        <v>0</v>
      </c>
      <c r="L363" s="41" t="n">
        <f aca="false">K363-E363-F363</f>
        <v>0</v>
      </c>
      <c r="M363" s="41" t="n">
        <f aca="false">D363-L363</f>
        <v>0</v>
      </c>
      <c r="N363" s="42" t="n">
        <f aca="false">K363-G363</f>
        <v>0</v>
      </c>
      <c r="O363" s="78"/>
      <c r="P363" s="79"/>
      <c r="Q363" s="16" t="str">
        <f aca="false">IF(K363=0,"",IF(R363=1,"Pagada",IF(C363&lt;$F$12,"Vencida",IF(337=$F$13,"Próxima","Pendiente"))))</f>
        <v/>
      </c>
      <c r="R363" s="62" t="n">
        <f aca="false">IF(AND(K363&gt;0,OR(O363="Sí",O363="Si")),1,0)</f>
        <v>0</v>
      </c>
      <c r="S363" s="62" t="n">
        <f aca="false">IF(AND(K363&gt;0,R363=0),1,0)</f>
        <v>0</v>
      </c>
    </row>
    <row r="364" customFormat="false" ht="15" hidden="false" customHeight="false" outlineLevel="0" collapsed="false">
      <c r="B364" s="71" t="str">
        <f aca="false">IF($F$6="Sí",N($C$11)+337,"")</f>
        <v/>
      </c>
      <c r="C364" s="72" t="str">
        <f aca="false">IF(OR($F$6&lt;&gt;"Sí",D364&lt;=0.5),"",EDATE($C$10,337))</f>
        <v/>
      </c>
      <c r="D364" s="41" t="n">
        <f aca="false">MAX(0,M363)</f>
        <v>0</v>
      </c>
      <c r="E364" s="41" t="n">
        <f aca="false">D364*$F$7</f>
        <v>0</v>
      </c>
      <c r="F364" s="41" t="n">
        <f aca="false">IF(D364&gt;0.5,N($C$15),0)</f>
        <v>0</v>
      </c>
      <c r="G364" s="41" t="n">
        <f aca="false">IF(AND(D364&gt;0.5,N($C$19)&gt;0,N(B364)&lt;=N($C$20)),D364*$F$8,0)</f>
        <v>0</v>
      </c>
      <c r="H364" s="41" t="n">
        <f aca="false">IF(D364&lt;=0.5,0,MIN(IF(N(I364)&gt;0,I364,$F$9),D364+E364+F364))</f>
        <v>0</v>
      </c>
      <c r="I364" s="77"/>
      <c r="J364" s="77"/>
      <c r="K364" s="41" t="n">
        <f aca="false">IF(D364&lt;=0.5,0,MIN(H364+N(J364),D364+E364+F364))</f>
        <v>0</v>
      </c>
      <c r="L364" s="41" t="n">
        <f aca="false">K364-E364-F364</f>
        <v>0</v>
      </c>
      <c r="M364" s="41" t="n">
        <f aca="false">D364-L364</f>
        <v>0</v>
      </c>
      <c r="N364" s="42" t="n">
        <f aca="false">K364-G364</f>
        <v>0</v>
      </c>
      <c r="O364" s="78"/>
      <c r="P364" s="79"/>
      <c r="Q364" s="16" t="str">
        <f aca="false">IF(K364=0,"",IF(R364=1,"Pagada",IF(C364&lt;$F$12,"Vencida",IF(338=$F$13,"Próxima","Pendiente"))))</f>
        <v/>
      </c>
      <c r="R364" s="62" t="n">
        <f aca="false">IF(AND(K364&gt;0,OR(O364="Sí",O364="Si")),1,0)</f>
        <v>0</v>
      </c>
      <c r="S364" s="62" t="n">
        <f aca="false">IF(AND(K364&gt;0,R364=0),1,0)</f>
        <v>0</v>
      </c>
    </row>
    <row r="365" customFormat="false" ht="15" hidden="false" customHeight="false" outlineLevel="0" collapsed="false">
      <c r="B365" s="71" t="str">
        <f aca="false">IF($F$6="Sí",N($C$11)+338,"")</f>
        <v/>
      </c>
      <c r="C365" s="72" t="str">
        <f aca="false">IF(OR($F$6&lt;&gt;"Sí",D365&lt;=0.5),"",EDATE($C$10,338))</f>
        <v/>
      </c>
      <c r="D365" s="41" t="n">
        <f aca="false">MAX(0,M364)</f>
        <v>0</v>
      </c>
      <c r="E365" s="41" t="n">
        <f aca="false">D365*$F$7</f>
        <v>0</v>
      </c>
      <c r="F365" s="41" t="n">
        <f aca="false">IF(D365&gt;0.5,N($C$15),0)</f>
        <v>0</v>
      </c>
      <c r="G365" s="41" t="n">
        <f aca="false">IF(AND(D365&gt;0.5,N($C$19)&gt;0,N(B365)&lt;=N($C$20)),D365*$F$8,0)</f>
        <v>0</v>
      </c>
      <c r="H365" s="41" t="n">
        <f aca="false">IF(D365&lt;=0.5,0,MIN(IF(N(I365)&gt;0,I365,$F$9),D365+E365+F365))</f>
        <v>0</v>
      </c>
      <c r="I365" s="77"/>
      <c r="J365" s="77"/>
      <c r="K365" s="41" t="n">
        <f aca="false">IF(D365&lt;=0.5,0,MIN(H365+N(J365),D365+E365+F365))</f>
        <v>0</v>
      </c>
      <c r="L365" s="41" t="n">
        <f aca="false">K365-E365-F365</f>
        <v>0</v>
      </c>
      <c r="M365" s="41" t="n">
        <f aca="false">D365-L365</f>
        <v>0</v>
      </c>
      <c r="N365" s="42" t="n">
        <f aca="false">K365-G365</f>
        <v>0</v>
      </c>
      <c r="O365" s="78"/>
      <c r="P365" s="79"/>
      <c r="Q365" s="16" t="str">
        <f aca="false">IF(K365=0,"",IF(R365=1,"Pagada",IF(C365&lt;$F$12,"Vencida",IF(339=$F$13,"Próxima","Pendiente"))))</f>
        <v/>
      </c>
      <c r="R365" s="62" t="n">
        <f aca="false">IF(AND(K365&gt;0,OR(O365="Sí",O365="Si")),1,0)</f>
        <v>0</v>
      </c>
      <c r="S365" s="62" t="n">
        <f aca="false">IF(AND(K365&gt;0,R365=0),1,0)</f>
        <v>0</v>
      </c>
    </row>
    <row r="366" customFormat="false" ht="15" hidden="false" customHeight="false" outlineLevel="0" collapsed="false">
      <c r="B366" s="71" t="str">
        <f aca="false">IF($F$6="Sí",N($C$11)+339,"")</f>
        <v/>
      </c>
      <c r="C366" s="72" t="str">
        <f aca="false">IF(OR($F$6&lt;&gt;"Sí",D366&lt;=0.5),"",EDATE($C$10,339))</f>
        <v/>
      </c>
      <c r="D366" s="41" t="n">
        <f aca="false">MAX(0,M365)</f>
        <v>0</v>
      </c>
      <c r="E366" s="41" t="n">
        <f aca="false">D366*$F$7</f>
        <v>0</v>
      </c>
      <c r="F366" s="41" t="n">
        <f aca="false">IF(D366&gt;0.5,N($C$15),0)</f>
        <v>0</v>
      </c>
      <c r="G366" s="41" t="n">
        <f aca="false">IF(AND(D366&gt;0.5,N($C$19)&gt;0,N(B366)&lt;=N($C$20)),D366*$F$8,0)</f>
        <v>0</v>
      </c>
      <c r="H366" s="41" t="n">
        <f aca="false">IF(D366&lt;=0.5,0,MIN(IF(N(I366)&gt;0,I366,$F$9),D366+E366+F366))</f>
        <v>0</v>
      </c>
      <c r="I366" s="77"/>
      <c r="J366" s="77"/>
      <c r="K366" s="41" t="n">
        <f aca="false">IF(D366&lt;=0.5,0,MIN(H366+N(J366),D366+E366+F366))</f>
        <v>0</v>
      </c>
      <c r="L366" s="41" t="n">
        <f aca="false">K366-E366-F366</f>
        <v>0</v>
      </c>
      <c r="M366" s="41" t="n">
        <f aca="false">D366-L366</f>
        <v>0</v>
      </c>
      <c r="N366" s="42" t="n">
        <f aca="false">K366-G366</f>
        <v>0</v>
      </c>
      <c r="O366" s="78"/>
      <c r="P366" s="79"/>
      <c r="Q366" s="16" t="str">
        <f aca="false">IF(K366=0,"",IF(R366=1,"Pagada",IF(C366&lt;$F$12,"Vencida",IF(340=$F$13,"Próxima","Pendiente"))))</f>
        <v/>
      </c>
      <c r="R366" s="62" t="n">
        <f aca="false">IF(AND(K366&gt;0,OR(O366="Sí",O366="Si")),1,0)</f>
        <v>0</v>
      </c>
      <c r="S366" s="62" t="n">
        <f aca="false">IF(AND(K366&gt;0,R366=0),1,0)</f>
        <v>0</v>
      </c>
    </row>
    <row r="367" customFormat="false" ht="15" hidden="false" customHeight="false" outlineLevel="0" collapsed="false">
      <c r="B367" s="71" t="str">
        <f aca="false">IF($F$6="Sí",N($C$11)+340,"")</f>
        <v/>
      </c>
      <c r="C367" s="72" t="str">
        <f aca="false">IF(OR($F$6&lt;&gt;"Sí",D367&lt;=0.5),"",EDATE($C$10,340))</f>
        <v/>
      </c>
      <c r="D367" s="41" t="n">
        <f aca="false">MAX(0,M366)</f>
        <v>0</v>
      </c>
      <c r="E367" s="41" t="n">
        <f aca="false">D367*$F$7</f>
        <v>0</v>
      </c>
      <c r="F367" s="41" t="n">
        <f aca="false">IF(D367&gt;0.5,N($C$15),0)</f>
        <v>0</v>
      </c>
      <c r="G367" s="41" t="n">
        <f aca="false">IF(AND(D367&gt;0.5,N($C$19)&gt;0,N(B367)&lt;=N($C$20)),D367*$F$8,0)</f>
        <v>0</v>
      </c>
      <c r="H367" s="41" t="n">
        <f aca="false">IF(D367&lt;=0.5,0,MIN(IF(N(I367)&gt;0,I367,$F$9),D367+E367+F367))</f>
        <v>0</v>
      </c>
      <c r="I367" s="77"/>
      <c r="J367" s="77"/>
      <c r="K367" s="41" t="n">
        <f aca="false">IF(D367&lt;=0.5,0,MIN(H367+N(J367),D367+E367+F367))</f>
        <v>0</v>
      </c>
      <c r="L367" s="41" t="n">
        <f aca="false">K367-E367-F367</f>
        <v>0</v>
      </c>
      <c r="M367" s="41" t="n">
        <f aca="false">D367-L367</f>
        <v>0</v>
      </c>
      <c r="N367" s="42" t="n">
        <f aca="false">K367-G367</f>
        <v>0</v>
      </c>
      <c r="O367" s="78"/>
      <c r="P367" s="79"/>
      <c r="Q367" s="16" t="str">
        <f aca="false">IF(K367=0,"",IF(R367=1,"Pagada",IF(C367&lt;$F$12,"Vencida",IF(341=$F$13,"Próxima","Pendiente"))))</f>
        <v/>
      </c>
      <c r="R367" s="62" t="n">
        <f aca="false">IF(AND(K367&gt;0,OR(O367="Sí",O367="Si")),1,0)</f>
        <v>0</v>
      </c>
      <c r="S367" s="62" t="n">
        <f aca="false">IF(AND(K367&gt;0,R367=0),1,0)</f>
        <v>0</v>
      </c>
    </row>
    <row r="368" customFormat="false" ht="15" hidden="false" customHeight="false" outlineLevel="0" collapsed="false">
      <c r="B368" s="71" t="str">
        <f aca="false">IF($F$6="Sí",N($C$11)+341,"")</f>
        <v/>
      </c>
      <c r="C368" s="72" t="str">
        <f aca="false">IF(OR($F$6&lt;&gt;"Sí",D368&lt;=0.5),"",EDATE($C$10,341))</f>
        <v/>
      </c>
      <c r="D368" s="41" t="n">
        <f aca="false">MAX(0,M367)</f>
        <v>0</v>
      </c>
      <c r="E368" s="41" t="n">
        <f aca="false">D368*$F$7</f>
        <v>0</v>
      </c>
      <c r="F368" s="41" t="n">
        <f aca="false">IF(D368&gt;0.5,N($C$15),0)</f>
        <v>0</v>
      </c>
      <c r="G368" s="41" t="n">
        <f aca="false">IF(AND(D368&gt;0.5,N($C$19)&gt;0,N(B368)&lt;=N($C$20)),D368*$F$8,0)</f>
        <v>0</v>
      </c>
      <c r="H368" s="41" t="n">
        <f aca="false">IF(D368&lt;=0.5,0,MIN(IF(N(I368)&gt;0,I368,$F$9),D368+E368+F368))</f>
        <v>0</v>
      </c>
      <c r="I368" s="77"/>
      <c r="J368" s="77"/>
      <c r="K368" s="41" t="n">
        <f aca="false">IF(D368&lt;=0.5,0,MIN(H368+N(J368),D368+E368+F368))</f>
        <v>0</v>
      </c>
      <c r="L368" s="41" t="n">
        <f aca="false">K368-E368-F368</f>
        <v>0</v>
      </c>
      <c r="M368" s="41" t="n">
        <f aca="false">D368-L368</f>
        <v>0</v>
      </c>
      <c r="N368" s="42" t="n">
        <f aca="false">K368-G368</f>
        <v>0</v>
      </c>
      <c r="O368" s="78"/>
      <c r="P368" s="79"/>
      <c r="Q368" s="16" t="str">
        <f aca="false">IF(K368=0,"",IF(R368=1,"Pagada",IF(C368&lt;$F$12,"Vencida",IF(342=$F$13,"Próxima","Pendiente"))))</f>
        <v/>
      </c>
      <c r="R368" s="62" t="n">
        <f aca="false">IF(AND(K368&gt;0,OR(O368="Sí",O368="Si")),1,0)</f>
        <v>0</v>
      </c>
      <c r="S368" s="62" t="n">
        <f aca="false">IF(AND(K368&gt;0,R368=0),1,0)</f>
        <v>0</v>
      </c>
    </row>
    <row r="369" customFormat="false" ht="15" hidden="false" customHeight="false" outlineLevel="0" collapsed="false">
      <c r="B369" s="71" t="str">
        <f aca="false">IF($F$6="Sí",N($C$11)+342,"")</f>
        <v/>
      </c>
      <c r="C369" s="72" t="str">
        <f aca="false">IF(OR($F$6&lt;&gt;"Sí",D369&lt;=0.5),"",EDATE($C$10,342))</f>
        <v/>
      </c>
      <c r="D369" s="41" t="n">
        <f aca="false">MAX(0,M368)</f>
        <v>0</v>
      </c>
      <c r="E369" s="41" t="n">
        <f aca="false">D369*$F$7</f>
        <v>0</v>
      </c>
      <c r="F369" s="41" t="n">
        <f aca="false">IF(D369&gt;0.5,N($C$15),0)</f>
        <v>0</v>
      </c>
      <c r="G369" s="41" t="n">
        <f aca="false">IF(AND(D369&gt;0.5,N($C$19)&gt;0,N(B369)&lt;=N($C$20)),D369*$F$8,0)</f>
        <v>0</v>
      </c>
      <c r="H369" s="41" t="n">
        <f aca="false">IF(D369&lt;=0.5,0,MIN(IF(N(I369)&gt;0,I369,$F$9),D369+E369+F369))</f>
        <v>0</v>
      </c>
      <c r="I369" s="77"/>
      <c r="J369" s="77"/>
      <c r="K369" s="41" t="n">
        <f aca="false">IF(D369&lt;=0.5,0,MIN(H369+N(J369),D369+E369+F369))</f>
        <v>0</v>
      </c>
      <c r="L369" s="41" t="n">
        <f aca="false">K369-E369-F369</f>
        <v>0</v>
      </c>
      <c r="M369" s="41" t="n">
        <f aca="false">D369-L369</f>
        <v>0</v>
      </c>
      <c r="N369" s="42" t="n">
        <f aca="false">K369-G369</f>
        <v>0</v>
      </c>
      <c r="O369" s="78"/>
      <c r="P369" s="79"/>
      <c r="Q369" s="16" t="str">
        <f aca="false">IF(K369=0,"",IF(R369=1,"Pagada",IF(C369&lt;$F$12,"Vencida",IF(343=$F$13,"Próxima","Pendiente"))))</f>
        <v/>
      </c>
      <c r="R369" s="62" t="n">
        <f aca="false">IF(AND(K369&gt;0,OR(O369="Sí",O369="Si")),1,0)</f>
        <v>0</v>
      </c>
      <c r="S369" s="62" t="n">
        <f aca="false">IF(AND(K369&gt;0,R369=0),1,0)</f>
        <v>0</v>
      </c>
    </row>
    <row r="370" customFormat="false" ht="15" hidden="false" customHeight="false" outlineLevel="0" collapsed="false">
      <c r="B370" s="71" t="str">
        <f aca="false">IF($F$6="Sí",N($C$11)+343,"")</f>
        <v/>
      </c>
      <c r="C370" s="72" t="str">
        <f aca="false">IF(OR($F$6&lt;&gt;"Sí",D370&lt;=0.5),"",EDATE($C$10,343))</f>
        <v/>
      </c>
      <c r="D370" s="41" t="n">
        <f aca="false">MAX(0,M369)</f>
        <v>0</v>
      </c>
      <c r="E370" s="41" t="n">
        <f aca="false">D370*$F$7</f>
        <v>0</v>
      </c>
      <c r="F370" s="41" t="n">
        <f aca="false">IF(D370&gt;0.5,N($C$15),0)</f>
        <v>0</v>
      </c>
      <c r="G370" s="41" t="n">
        <f aca="false">IF(AND(D370&gt;0.5,N($C$19)&gt;0,N(B370)&lt;=N($C$20)),D370*$F$8,0)</f>
        <v>0</v>
      </c>
      <c r="H370" s="41" t="n">
        <f aca="false">IF(D370&lt;=0.5,0,MIN(IF(N(I370)&gt;0,I370,$F$9),D370+E370+F370))</f>
        <v>0</v>
      </c>
      <c r="I370" s="77"/>
      <c r="J370" s="77"/>
      <c r="K370" s="41" t="n">
        <f aca="false">IF(D370&lt;=0.5,0,MIN(H370+N(J370),D370+E370+F370))</f>
        <v>0</v>
      </c>
      <c r="L370" s="41" t="n">
        <f aca="false">K370-E370-F370</f>
        <v>0</v>
      </c>
      <c r="M370" s="41" t="n">
        <f aca="false">D370-L370</f>
        <v>0</v>
      </c>
      <c r="N370" s="42" t="n">
        <f aca="false">K370-G370</f>
        <v>0</v>
      </c>
      <c r="O370" s="78"/>
      <c r="P370" s="79"/>
      <c r="Q370" s="16" t="str">
        <f aca="false">IF(K370=0,"",IF(R370=1,"Pagada",IF(C370&lt;$F$12,"Vencida",IF(344=$F$13,"Próxima","Pendiente"))))</f>
        <v/>
      </c>
      <c r="R370" s="62" t="n">
        <f aca="false">IF(AND(K370&gt;0,OR(O370="Sí",O370="Si")),1,0)</f>
        <v>0</v>
      </c>
      <c r="S370" s="62" t="n">
        <f aca="false">IF(AND(K370&gt;0,R370=0),1,0)</f>
        <v>0</v>
      </c>
    </row>
    <row r="371" customFormat="false" ht="15" hidden="false" customHeight="false" outlineLevel="0" collapsed="false">
      <c r="B371" s="71" t="str">
        <f aca="false">IF($F$6="Sí",N($C$11)+344,"")</f>
        <v/>
      </c>
      <c r="C371" s="72" t="str">
        <f aca="false">IF(OR($F$6&lt;&gt;"Sí",D371&lt;=0.5),"",EDATE($C$10,344))</f>
        <v/>
      </c>
      <c r="D371" s="41" t="n">
        <f aca="false">MAX(0,M370)</f>
        <v>0</v>
      </c>
      <c r="E371" s="41" t="n">
        <f aca="false">D371*$F$7</f>
        <v>0</v>
      </c>
      <c r="F371" s="41" t="n">
        <f aca="false">IF(D371&gt;0.5,N($C$15),0)</f>
        <v>0</v>
      </c>
      <c r="G371" s="41" t="n">
        <f aca="false">IF(AND(D371&gt;0.5,N($C$19)&gt;0,N(B371)&lt;=N($C$20)),D371*$F$8,0)</f>
        <v>0</v>
      </c>
      <c r="H371" s="41" t="n">
        <f aca="false">IF(D371&lt;=0.5,0,MIN(IF(N(I371)&gt;0,I371,$F$9),D371+E371+F371))</f>
        <v>0</v>
      </c>
      <c r="I371" s="77"/>
      <c r="J371" s="77"/>
      <c r="K371" s="41" t="n">
        <f aca="false">IF(D371&lt;=0.5,0,MIN(H371+N(J371),D371+E371+F371))</f>
        <v>0</v>
      </c>
      <c r="L371" s="41" t="n">
        <f aca="false">K371-E371-F371</f>
        <v>0</v>
      </c>
      <c r="M371" s="41" t="n">
        <f aca="false">D371-L371</f>
        <v>0</v>
      </c>
      <c r="N371" s="42" t="n">
        <f aca="false">K371-G371</f>
        <v>0</v>
      </c>
      <c r="O371" s="78"/>
      <c r="P371" s="79"/>
      <c r="Q371" s="16" t="str">
        <f aca="false">IF(K371=0,"",IF(R371=1,"Pagada",IF(C371&lt;$F$12,"Vencida",IF(345=$F$13,"Próxima","Pendiente"))))</f>
        <v/>
      </c>
      <c r="R371" s="62" t="n">
        <f aca="false">IF(AND(K371&gt;0,OR(O371="Sí",O371="Si")),1,0)</f>
        <v>0</v>
      </c>
      <c r="S371" s="62" t="n">
        <f aca="false">IF(AND(K371&gt;0,R371=0),1,0)</f>
        <v>0</v>
      </c>
    </row>
    <row r="372" customFormat="false" ht="15" hidden="false" customHeight="false" outlineLevel="0" collapsed="false">
      <c r="B372" s="71" t="str">
        <f aca="false">IF($F$6="Sí",N($C$11)+345,"")</f>
        <v/>
      </c>
      <c r="C372" s="72" t="str">
        <f aca="false">IF(OR($F$6&lt;&gt;"Sí",D372&lt;=0.5),"",EDATE($C$10,345))</f>
        <v/>
      </c>
      <c r="D372" s="41" t="n">
        <f aca="false">MAX(0,M371)</f>
        <v>0</v>
      </c>
      <c r="E372" s="41" t="n">
        <f aca="false">D372*$F$7</f>
        <v>0</v>
      </c>
      <c r="F372" s="41" t="n">
        <f aca="false">IF(D372&gt;0.5,N($C$15),0)</f>
        <v>0</v>
      </c>
      <c r="G372" s="41" t="n">
        <f aca="false">IF(AND(D372&gt;0.5,N($C$19)&gt;0,N(B372)&lt;=N($C$20)),D372*$F$8,0)</f>
        <v>0</v>
      </c>
      <c r="H372" s="41" t="n">
        <f aca="false">IF(D372&lt;=0.5,0,MIN(IF(N(I372)&gt;0,I372,$F$9),D372+E372+F372))</f>
        <v>0</v>
      </c>
      <c r="I372" s="77"/>
      <c r="J372" s="77"/>
      <c r="K372" s="41" t="n">
        <f aca="false">IF(D372&lt;=0.5,0,MIN(H372+N(J372),D372+E372+F372))</f>
        <v>0</v>
      </c>
      <c r="L372" s="41" t="n">
        <f aca="false">K372-E372-F372</f>
        <v>0</v>
      </c>
      <c r="M372" s="41" t="n">
        <f aca="false">D372-L372</f>
        <v>0</v>
      </c>
      <c r="N372" s="42" t="n">
        <f aca="false">K372-G372</f>
        <v>0</v>
      </c>
      <c r="O372" s="78"/>
      <c r="P372" s="79"/>
      <c r="Q372" s="16" t="str">
        <f aca="false">IF(K372=0,"",IF(R372=1,"Pagada",IF(C372&lt;$F$12,"Vencida",IF(346=$F$13,"Próxima","Pendiente"))))</f>
        <v/>
      </c>
      <c r="R372" s="62" t="n">
        <f aca="false">IF(AND(K372&gt;0,OR(O372="Sí",O372="Si")),1,0)</f>
        <v>0</v>
      </c>
      <c r="S372" s="62" t="n">
        <f aca="false">IF(AND(K372&gt;0,R372=0),1,0)</f>
        <v>0</v>
      </c>
    </row>
    <row r="373" customFormat="false" ht="15" hidden="false" customHeight="false" outlineLevel="0" collapsed="false">
      <c r="B373" s="71" t="str">
        <f aca="false">IF($F$6="Sí",N($C$11)+346,"")</f>
        <v/>
      </c>
      <c r="C373" s="72" t="str">
        <f aca="false">IF(OR($F$6&lt;&gt;"Sí",D373&lt;=0.5),"",EDATE($C$10,346))</f>
        <v/>
      </c>
      <c r="D373" s="41" t="n">
        <f aca="false">MAX(0,M372)</f>
        <v>0</v>
      </c>
      <c r="E373" s="41" t="n">
        <f aca="false">D373*$F$7</f>
        <v>0</v>
      </c>
      <c r="F373" s="41" t="n">
        <f aca="false">IF(D373&gt;0.5,N($C$15),0)</f>
        <v>0</v>
      </c>
      <c r="G373" s="41" t="n">
        <f aca="false">IF(AND(D373&gt;0.5,N($C$19)&gt;0,N(B373)&lt;=N($C$20)),D373*$F$8,0)</f>
        <v>0</v>
      </c>
      <c r="H373" s="41" t="n">
        <f aca="false">IF(D373&lt;=0.5,0,MIN(IF(N(I373)&gt;0,I373,$F$9),D373+E373+F373))</f>
        <v>0</v>
      </c>
      <c r="I373" s="77"/>
      <c r="J373" s="77"/>
      <c r="K373" s="41" t="n">
        <f aca="false">IF(D373&lt;=0.5,0,MIN(H373+N(J373),D373+E373+F373))</f>
        <v>0</v>
      </c>
      <c r="L373" s="41" t="n">
        <f aca="false">K373-E373-F373</f>
        <v>0</v>
      </c>
      <c r="M373" s="41" t="n">
        <f aca="false">D373-L373</f>
        <v>0</v>
      </c>
      <c r="N373" s="42" t="n">
        <f aca="false">K373-G373</f>
        <v>0</v>
      </c>
      <c r="O373" s="78"/>
      <c r="P373" s="79"/>
      <c r="Q373" s="16" t="str">
        <f aca="false">IF(K373=0,"",IF(R373=1,"Pagada",IF(C373&lt;$F$12,"Vencida",IF(347=$F$13,"Próxima","Pendiente"))))</f>
        <v/>
      </c>
      <c r="R373" s="62" t="n">
        <f aca="false">IF(AND(K373&gt;0,OR(O373="Sí",O373="Si")),1,0)</f>
        <v>0</v>
      </c>
      <c r="S373" s="62" t="n">
        <f aca="false">IF(AND(K373&gt;0,R373=0),1,0)</f>
        <v>0</v>
      </c>
    </row>
    <row r="374" customFormat="false" ht="15" hidden="false" customHeight="false" outlineLevel="0" collapsed="false">
      <c r="B374" s="71" t="str">
        <f aca="false">IF($F$6="Sí",N($C$11)+347,"")</f>
        <v/>
      </c>
      <c r="C374" s="72" t="str">
        <f aca="false">IF(OR($F$6&lt;&gt;"Sí",D374&lt;=0.5),"",EDATE($C$10,347))</f>
        <v/>
      </c>
      <c r="D374" s="41" t="n">
        <f aca="false">MAX(0,M373)</f>
        <v>0</v>
      </c>
      <c r="E374" s="41" t="n">
        <f aca="false">D374*$F$7</f>
        <v>0</v>
      </c>
      <c r="F374" s="41" t="n">
        <f aca="false">IF(D374&gt;0.5,N($C$15),0)</f>
        <v>0</v>
      </c>
      <c r="G374" s="41" t="n">
        <f aca="false">IF(AND(D374&gt;0.5,N($C$19)&gt;0,N(B374)&lt;=N($C$20)),D374*$F$8,0)</f>
        <v>0</v>
      </c>
      <c r="H374" s="41" t="n">
        <f aca="false">IF(D374&lt;=0.5,0,MIN(IF(N(I374)&gt;0,I374,$F$9),D374+E374+F374))</f>
        <v>0</v>
      </c>
      <c r="I374" s="77"/>
      <c r="J374" s="77"/>
      <c r="K374" s="41" t="n">
        <f aca="false">IF(D374&lt;=0.5,0,MIN(H374+N(J374),D374+E374+F374))</f>
        <v>0</v>
      </c>
      <c r="L374" s="41" t="n">
        <f aca="false">K374-E374-F374</f>
        <v>0</v>
      </c>
      <c r="M374" s="41" t="n">
        <f aca="false">D374-L374</f>
        <v>0</v>
      </c>
      <c r="N374" s="42" t="n">
        <f aca="false">K374-G374</f>
        <v>0</v>
      </c>
      <c r="O374" s="78"/>
      <c r="P374" s="79"/>
      <c r="Q374" s="16" t="str">
        <f aca="false">IF(K374=0,"",IF(R374=1,"Pagada",IF(C374&lt;$F$12,"Vencida",IF(348=$F$13,"Próxima","Pendiente"))))</f>
        <v/>
      </c>
      <c r="R374" s="62" t="n">
        <f aca="false">IF(AND(K374&gt;0,OR(O374="Sí",O374="Si")),1,0)</f>
        <v>0</v>
      </c>
      <c r="S374" s="62" t="n">
        <f aca="false">IF(AND(K374&gt;0,R374=0),1,0)</f>
        <v>0</v>
      </c>
    </row>
    <row r="375" customFormat="false" ht="15" hidden="false" customHeight="false" outlineLevel="0" collapsed="false">
      <c r="B375" s="71" t="str">
        <f aca="false">IF($F$6="Sí",N($C$11)+348,"")</f>
        <v/>
      </c>
      <c r="C375" s="72" t="str">
        <f aca="false">IF(OR($F$6&lt;&gt;"Sí",D375&lt;=0.5),"",EDATE($C$10,348))</f>
        <v/>
      </c>
      <c r="D375" s="41" t="n">
        <f aca="false">MAX(0,M374)</f>
        <v>0</v>
      </c>
      <c r="E375" s="41" t="n">
        <f aca="false">D375*$F$7</f>
        <v>0</v>
      </c>
      <c r="F375" s="41" t="n">
        <f aca="false">IF(D375&gt;0.5,N($C$15),0)</f>
        <v>0</v>
      </c>
      <c r="G375" s="41" t="n">
        <f aca="false">IF(AND(D375&gt;0.5,N($C$19)&gt;0,N(B375)&lt;=N($C$20)),D375*$F$8,0)</f>
        <v>0</v>
      </c>
      <c r="H375" s="41" t="n">
        <f aca="false">IF(D375&lt;=0.5,0,MIN(IF(N(I375)&gt;0,I375,$F$9),D375+E375+F375))</f>
        <v>0</v>
      </c>
      <c r="I375" s="77"/>
      <c r="J375" s="77"/>
      <c r="K375" s="41" t="n">
        <f aca="false">IF(D375&lt;=0.5,0,MIN(H375+N(J375),D375+E375+F375))</f>
        <v>0</v>
      </c>
      <c r="L375" s="41" t="n">
        <f aca="false">K375-E375-F375</f>
        <v>0</v>
      </c>
      <c r="M375" s="41" t="n">
        <f aca="false">D375-L375</f>
        <v>0</v>
      </c>
      <c r="N375" s="42" t="n">
        <f aca="false">K375-G375</f>
        <v>0</v>
      </c>
      <c r="O375" s="78"/>
      <c r="P375" s="79"/>
      <c r="Q375" s="16" t="str">
        <f aca="false">IF(K375=0,"",IF(R375=1,"Pagada",IF(C375&lt;$F$12,"Vencida",IF(349=$F$13,"Próxima","Pendiente"))))</f>
        <v/>
      </c>
      <c r="R375" s="62" t="n">
        <f aca="false">IF(AND(K375&gt;0,OR(O375="Sí",O375="Si")),1,0)</f>
        <v>0</v>
      </c>
      <c r="S375" s="62" t="n">
        <f aca="false">IF(AND(K375&gt;0,R375=0),1,0)</f>
        <v>0</v>
      </c>
    </row>
    <row r="376" customFormat="false" ht="15" hidden="false" customHeight="false" outlineLevel="0" collapsed="false">
      <c r="B376" s="71" t="str">
        <f aca="false">IF($F$6="Sí",N($C$11)+349,"")</f>
        <v/>
      </c>
      <c r="C376" s="72" t="str">
        <f aca="false">IF(OR($F$6&lt;&gt;"Sí",D376&lt;=0.5),"",EDATE($C$10,349))</f>
        <v/>
      </c>
      <c r="D376" s="41" t="n">
        <f aca="false">MAX(0,M375)</f>
        <v>0</v>
      </c>
      <c r="E376" s="41" t="n">
        <f aca="false">D376*$F$7</f>
        <v>0</v>
      </c>
      <c r="F376" s="41" t="n">
        <f aca="false">IF(D376&gt;0.5,N($C$15),0)</f>
        <v>0</v>
      </c>
      <c r="G376" s="41" t="n">
        <f aca="false">IF(AND(D376&gt;0.5,N($C$19)&gt;0,N(B376)&lt;=N($C$20)),D376*$F$8,0)</f>
        <v>0</v>
      </c>
      <c r="H376" s="41" t="n">
        <f aca="false">IF(D376&lt;=0.5,0,MIN(IF(N(I376)&gt;0,I376,$F$9),D376+E376+F376))</f>
        <v>0</v>
      </c>
      <c r="I376" s="77"/>
      <c r="J376" s="77"/>
      <c r="K376" s="41" t="n">
        <f aca="false">IF(D376&lt;=0.5,0,MIN(H376+N(J376),D376+E376+F376))</f>
        <v>0</v>
      </c>
      <c r="L376" s="41" t="n">
        <f aca="false">K376-E376-F376</f>
        <v>0</v>
      </c>
      <c r="M376" s="41" t="n">
        <f aca="false">D376-L376</f>
        <v>0</v>
      </c>
      <c r="N376" s="42" t="n">
        <f aca="false">K376-G376</f>
        <v>0</v>
      </c>
      <c r="O376" s="78"/>
      <c r="P376" s="79"/>
      <c r="Q376" s="16" t="str">
        <f aca="false">IF(K376=0,"",IF(R376=1,"Pagada",IF(C376&lt;$F$12,"Vencida",IF(350=$F$13,"Próxima","Pendiente"))))</f>
        <v/>
      </c>
      <c r="R376" s="62" t="n">
        <f aca="false">IF(AND(K376&gt;0,OR(O376="Sí",O376="Si")),1,0)</f>
        <v>0</v>
      </c>
      <c r="S376" s="62" t="n">
        <f aca="false">IF(AND(K376&gt;0,R376=0),1,0)</f>
        <v>0</v>
      </c>
    </row>
    <row r="377" customFormat="false" ht="15" hidden="false" customHeight="false" outlineLevel="0" collapsed="false">
      <c r="B377" s="71" t="str">
        <f aca="false">IF($F$6="Sí",N($C$11)+350,"")</f>
        <v/>
      </c>
      <c r="C377" s="72" t="str">
        <f aca="false">IF(OR($F$6&lt;&gt;"Sí",D377&lt;=0.5),"",EDATE($C$10,350))</f>
        <v/>
      </c>
      <c r="D377" s="41" t="n">
        <f aca="false">MAX(0,M376)</f>
        <v>0</v>
      </c>
      <c r="E377" s="41" t="n">
        <f aca="false">D377*$F$7</f>
        <v>0</v>
      </c>
      <c r="F377" s="41" t="n">
        <f aca="false">IF(D377&gt;0.5,N($C$15),0)</f>
        <v>0</v>
      </c>
      <c r="G377" s="41" t="n">
        <f aca="false">IF(AND(D377&gt;0.5,N($C$19)&gt;0,N(B377)&lt;=N($C$20)),D377*$F$8,0)</f>
        <v>0</v>
      </c>
      <c r="H377" s="41" t="n">
        <f aca="false">IF(D377&lt;=0.5,0,MIN(IF(N(I377)&gt;0,I377,$F$9),D377+E377+F377))</f>
        <v>0</v>
      </c>
      <c r="I377" s="77"/>
      <c r="J377" s="77"/>
      <c r="K377" s="41" t="n">
        <f aca="false">IF(D377&lt;=0.5,0,MIN(H377+N(J377),D377+E377+F377))</f>
        <v>0</v>
      </c>
      <c r="L377" s="41" t="n">
        <f aca="false">K377-E377-F377</f>
        <v>0</v>
      </c>
      <c r="M377" s="41" t="n">
        <f aca="false">D377-L377</f>
        <v>0</v>
      </c>
      <c r="N377" s="42" t="n">
        <f aca="false">K377-G377</f>
        <v>0</v>
      </c>
      <c r="O377" s="78"/>
      <c r="P377" s="79"/>
      <c r="Q377" s="16" t="str">
        <f aca="false">IF(K377=0,"",IF(R377=1,"Pagada",IF(C377&lt;$F$12,"Vencida",IF(351=$F$13,"Próxima","Pendiente"))))</f>
        <v/>
      </c>
      <c r="R377" s="62" t="n">
        <f aca="false">IF(AND(K377&gt;0,OR(O377="Sí",O377="Si")),1,0)</f>
        <v>0</v>
      </c>
      <c r="S377" s="62" t="n">
        <f aca="false">IF(AND(K377&gt;0,R377=0),1,0)</f>
        <v>0</v>
      </c>
    </row>
    <row r="378" customFormat="false" ht="15" hidden="false" customHeight="false" outlineLevel="0" collapsed="false">
      <c r="B378" s="71" t="str">
        <f aca="false">IF($F$6="Sí",N($C$11)+351,"")</f>
        <v/>
      </c>
      <c r="C378" s="72" t="str">
        <f aca="false">IF(OR($F$6&lt;&gt;"Sí",D378&lt;=0.5),"",EDATE($C$10,351))</f>
        <v/>
      </c>
      <c r="D378" s="41" t="n">
        <f aca="false">MAX(0,M377)</f>
        <v>0</v>
      </c>
      <c r="E378" s="41" t="n">
        <f aca="false">D378*$F$7</f>
        <v>0</v>
      </c>
      <c r="F378" s="41" t="n">
        <f aca="false">IF(D378&gt;0.5,N($C$15),0)</f>
        <v>0</v>
      </c>
      <c r="G378" s="41" t="n">
        <f aca="false">IF(AND(D378&gt;0.5,N($C$19)&gt;0,N(B378)&lt;=N($C$20)),D378*$F$8,0)</f>
        <v>0</v>
      </c>
      <c r="H378" s="41" t="n">
        <f aca="false">IF(D378&lt;=0.5,0,MIN(IF(N(I378)&gt;0,I378,$F$9),D378+E378+F378))</f>
        <v>0</v>
      </c>
      <c r="I378" s="77"/>
      <c r="J378" s="77"/>
      <c r="K378" s="41" t="n">
        <f aca="false">IF(D378&lt;=0.5,0,MIN(H378+N(J378),D378+E378+F378))</f>
        <v>0</v>
      </c>
      <c r="L378" s="41" t="n">
        <f aca="false">K378-E378-F378</f>
        <v>0</v>
      </c>
      <c r="M378" s="41" t="n">
        <f aca="false">D378-L378</f>
        <v>0</v>
      </c>
      <c r="N378" s="42" t="n">
        <f aca="false">K378-G378</f>
        <v>0</v>
      </c>
      <c r="O378" s="78"/>
      <c r="P378" s="79"/>
      <c r="Q378" s="16" t="str">
        <f aca="false">IF(K378=0,"",IF(R378=1,"Pagada",IF(C378&lt;$F$12,"Vencida",IF(352=$F$13,"Próxima","Pendiente"))))</f>
        <v/>
      </c>
      <c r="R378" s="62" t="n">
        <f aca="false">IF(AND(K378&gt;0,OR(O378="Sí",O378="Si")),1,0)</f>
        <v>0</v>
      </c>
      <c r="S378" s="62" t="n">
        <f aca="false">IF(AND(K378&gt;0,R378=0),1,0)</f>
        <v>0</v>
      </c>
    </row>
    <row r="379" customFormat="false" ht="15" hidden="false" customHeight="false" outlineLevel="0" collapsed="false">
      <c r="B379" s="71" t="str">
        <f aca="false">IF($F$6="Sí",N($C$11)+352,"")</f>
        <v/>
      </c>
      <c r="C379" s="72" t="str">
        <f aca="false">IF(OR($F$6&lt;&gt;"Sí",D379&lt;=0.5),"",EDATE($C$10,352))</f>
        <v/>
      </c>
      <c r="D379" s="41" t="n">
        <f aca="false">MAX(0,M378)</f>
        <v>0</v>
      </c>
      <c r="E379" s="41" t="n">
        <f aca="false">D379*$F$7</f>
        <v>0</v>
      </c>
      <c r="F379" s="41" t="n">
        <f aca="false">IF(D379&gt;0.5,N($C$15),0)</f>
        <v>0</v>
      </c>
      <c r="G379" s="41" t="n">
        <f aca="false">IF(AND(D379&gt;0.5,N($C$19)&gt;0,N(B379)&lt;=N($C$20)),D379*$F$8,0)</f>
        <v>0</v>
      </c>
      <c r="H379" s="41" t="n">
        <f aca="false">IF(D379&lt;=0.5,0,MIN(IF(N(I379)&gt;0,I379,$F$9),D379+E379+F379))</f>
        <v>0</v>
      </c>
      <c r="I379" s="77"/>
      <c r="J379" s="77"/>
      <c r="K379" s="41" t="n">
        <f aca="false">IF(D379&lt;=0.5,0,MIN(H379+N(J379),D379+E379+F379))</f>
        <v>0</v>
      </c>
      <c r="L379" s="41" t="n">
        <f aca="false">K379-E379-F379</f>
        <v>0</v>
      </c>
      <c r="M379" s="41" t="n">
        <f aca="false">D379-L379</f>
        <v>0</v>
      </c>
      <c r="N379" s="42" t="n">
        <f aca="false">K379-G379</f>
        <v>0</v>
      </c>
      <c r="O379" s="78"/>
      <c r="P379" s="79"/>
      <c r="Q379" s="16" t="str">
        <f aca="false">IF(K379=0,"",IF(R379=1,"Pagada",IF(C379&lt;$F$12,"Vencida",IF(353=$F$13,"Próxima","Pendiente"))))</f>
        <v/>
      </c>
      <c r="R379" s="62" t="n">
        <f aca="false">IF(AND(K379&gt;0,OR(O379="Sí",O379="Si")),1,0)</f>
        <v>0</v>
      </c>
      <c r="S379" s="62" t="n">
        <f aca="false">IF(AND(K379&gt;0,R379=0),1,0)</f>
        <v>0</v>
      </c>
    </row>
    <row r="380" customFormat="false" ht="15" hidden="false" customHeight="false" outlineLevel="0" collapsed="false">
      <c r="B380" s="71" t="str">
        <f aca="false">IF($F$6="Sí",N($C$11)+353,"")</f>
        <v/>
      </c>
      <c r="C380" s="72" t="str">
        <f aca="false">IF(OR($F$6&lt;&gt;"Sí",D380&lt;=0.5),"",EDATE($C$10,353))</f>
        <v/>
      </c>
      <c r="D380" s="41" t="n">
        <f aca="false">MAX(0,M379)</f>
        <v>0</v>
      </c>
      <c r="E380" s="41" t="n">
        <f aca="false">D380*$F$7</f>
        <v>0</v>
      </c>
      <c r="F380" s="41" t="n">
        <f aca="false">IF(D380&gt;0.5,N($C$15),0)</f>
        <v>0</v>
      </c>
      <c r="G380" s="41" t="n">
        <f aca="false">IF(AND(D380&gt;0.5,N($C$19)&gt;0,N(B380)&lt;=N($C$20)),D380*$F$8,0)</f>
        <v>0</v>
      </c>
      <c r="H380" s="41" t="n">
        <f aca="false">IF(D380&lt;=0.5,0,MIN(IF(N(I380)&gt;0,I380,$F$9),D380+E380+F380))</f>
        <v>0</v>
      </c>
      <c r="I380" s="77"/>
      <c r="J380" s="77"/>
      <c r="K380" s="41" t="n">
        <f aca="false">IF(D380&lt;=0.5,0,MIN(H380+N(J380),D380+E380+F380))</f>
        <v>0</v>
      </c>
      <c r="L380" s="41" t="n">
        <f aca="false">K380-E380-F380</f>
        <v>0</v>
      </c>
      <c r="M380" s="41" t="n">
        <f aca="false">D380-L380</f>
        <v>0</v>
      </c>
      <c r="N380" s="42" t="n">
        <f aca="false">K380-G380</f>
        <v>0</v>
      </c>
      <c r="O380" s="78"/>
      <c r="P380" s="79"/>
      <c r="Q380" s="16" t="str">
        <f aca="false">IF(K380=0,"",IF(R380=1,"Pagada",IF(C380&lt;$F$12,"Vencida",IF(354=$F$13,"Próxima","Pendiente"))))</f>
        <v/>
      </c>
      <c r="R380" s="62" t="n">
        <f aca="false">IF(AND(K380&gt;0,OR(O380="Sí",O380="Si")),1,0)</f>
        <v>0</v>
      </c>
      <c r="S380" s="62" t="n">
        <f aca="false">IF(AND(K380&gt;0,R380=0),1,0)</f>
        <v>0</v>
      </c>
    </row>
    <row r="381" customFormat="false" ht="15" hidden="false" customHeight="false" outlineLevel="0" collapsed="false">
      <c r="B381" s="71" t="str">
        <f aca="false">IF($F$6="Sí",N($C$11)+354,"")</f>
        <v/>
      </c>
      <c r="C381" s="72" t="str">
        <f aca="false">IF(OR($F$6&lt;&gt;"Sí",D381&lt;=0.5),"",EDATE($C$10,354))</f>
        <v/>
      </c>
      <c r="D381" s="41" t="n">
        <f aca="false">MAX(0,M380)</f>
        <v>0</v>
      </c>
      <c r="E381" s="41" t="n">
        <f aca="false">D381*$F$7</f>
        <v>0</v>
      </c>
      <c r="F381" s="41" t="n">
        <f aca="false">IF(D381&gt;0.5,N($C$15),0)</f>
        <v>0</v>
      </c>
      <c r="G381" s="41" t="n">
        <f aca="false">IF(AND(D381&gt;0.5,N($C$19)&gt;0,N(B381)&lt;=N($C$20)),D381*$F$8,0)</f>
        <v>0</v>
      </c>
      <c r="H381" s="41" t="n">
        <f aca="false">IF(D381&lt;=0.5,0,MIN(IF(N(I381)&gt;0,I381,$F$9),D381+E381+F381))</f>
        <v>0</v>
      </c>
      <c r="I381" s="77"/>
      <c r="J381" s="77"/>
      <c r="K381" s="41" t="n">
        <f aca="false">IF(D381&lt;=0.5,0,MIN(H381+N(J381),D381+E381+F381))</f>
        <v>0</v>
      </c>
      <c r="L381" s="41" t="n">
        <f aca="false">K381-E381-F381</f>
        <v>0</v>
      </c>
      <c r="M381" s="41" t="n">
        <f aca="false">D381-L381</f>
        <v>0</v>
      </c>
      <c r="N381" s="42" t="n">
        <f aca="false">K381-G381</f>
        <v>0</v>
      </c>
      <c r="O381" s="78"/>
      <c r="P381" s="79"/>
      <c r="Q381" s="16" t="str">
        <f aca="false">IF(K381=0,"",IF(R381=1,"Pagada",IF(C381&lt;$F$12,"Vencida",IF(355=$F$13,"Próxima","Pendiente"))))</f>
        <v/>
      </c>
      <c r="R381" s="62" t="n">
        <f aca="false">IF(AND(K381&gt;0,OR(O381="Sí",O381="Si")),1,0)</f>
        <v>0</v>
      </c>
      <c r="S381" s="62" t="n">
        <f aca="false">IF(AND(K381&gt;0,R381=0),1,0)</f>
        <v>0</v>
      </c>
    </row>
    <row r="382" customFormat="false" ht="15" hidden="false" customHeight="false" outlineLevel="0" collapsed="false">
      <c r="B382" s="71" t="str">
        <f aca="false">IF($F$6="Sí",N($C$11)+355,"")</f>
        <v/>
      </c>
      <c r="C382" s="72" t="str">
        <f aca="false">IF(OR($F$6&lt;&gt;"Sí",D382&lt;=0.5),"",EDATE($C$10,355))</f>
        <v/>
      </c>
      <c r="D382" s="41" t="n">
        <f aca="false">MAX(0,M381)</f>
        <v>0</v>
      </c>
      <c r="E382" s="41" t="n">
        <f aca="false">D382*$F$7</f>
        <v>0</v>
      </c>
      <c r="F382" s="41" t="n">
        <f aca="false">IF(D382&gt;0.5,N($C$15),0)</f>
        <v>0</v>
      </c>
      <c r="G382" s="41" t="n">
        <f aca="false">IF(AND(D382&gt;0.5,N($C$19)&gt;0,N(B382)&lt;=N($C$20)),D382*$F$8,0)</f>
        <v>0</v>
      </c>
      <c r="H382" s="41" t="n">
        <f aca="false">IF(D382&lt;=0.5,0,MIN(IF(N(I382)&gt;0,I382,$F$9),D382+E382+F382))</f>
        <v>0</v>
      </c>
      <c r="I382" s="77"/>
      <c r="J382" s="77"/>
      <c r="K382" s="41" t="n">
        <f aca="false">IF(D382&lt;=0.5,0,MIN(H382+N(J382),D382+E382+F382))</f>
        <v>0</v>
      </c>
      <c r="L382" s="41" t="n">
        <f aca="false">K382-E382-F382</f>
        <v>0</v>
      </c>
      <c r="M382" s="41" t="n">
        <f aca="false">D382-L382</f>
        <v>0</v>
      </c>
      <c r="N382" s="42" t="n">
        <f aca="false">K382-G382</f>
        <v>0</v>
      </c>
      <c r="O382" s="78"/>
      <c r="P382" s="79"/>
      <c r="Q382" s="16" t="str">
        <f aca="false">IF(K382=0,"",IF(R382=1,"Pagada",IF(C382&lt;$F$12,"Vencida",IF(356=$F$13,"Próxima","Pendiente"))))</f>
        <v/>
      </c>
      <c r="R382" s="62" t="n">
        <f aca="false">IF(AND(K382&gt;0,OR(O382="Sí",O382="Si")),1,0)</f>
        <v>0</v>
      </c>
      <c r="S382" s="62" t="n">
        <f aca="false">IF(AND(K382&gt;0,R382=0),1,0)</f>
        <v>0</v>
      </c>
    </row>
    <row r="383" customFormat="false" ht="15" hidden="false" customHeight="false" outlineLevel="0" collapsed="false">
      <c r="B383" s="71" t="str">
        <f aca="false">IF($F$6="Sí",N($C$11)+356,"")</f>
        <v/>
      </c>
      <c r="C383" s="72" t="str">
        <f aca="false">IF(OR($F$6&lt;&gt;"Sí",D383&lt;=0.5),"",EDATE($C$10,356))</f>
        <v/>
      </c>
      <c r="D383" s="41" t="n">
        <f aca="false">MAX(0,M382)</f>
        <v>0</v>
      </c>
      <c r="E383" s="41" t="n">
        <f aca="false">D383*$F$7</f>
        <v>0</v>
      </c>
      <c r="F383" s="41" t="n">
        <f aca="false">IF(D383&gt;0.5,N($C$15),0)</f>
        <v>0</v>
      </c>
      <c r="G383" s="41" t="n">
        <f aca="false">IF(AND(D383&gt;0.5,N($C$19)&gt;0,N(B383)&lt;=N($C$20)),D383*$F$8,0)</f>
        <v>0</v>
      </c>
      <c r="H383" s="41" t="n">
        <f aca="false">IF(D383&lt;=0.5,0,MIN(IF(N(I383)&gt;0,I383,$F$9),D383+E383+F383))</f>
        <v>0</v>
      </c>
      <c r="I383" s="77"/>
      <c r="J383" s="77"/>
      <c r="K383" s="41" t="n">
        <f aca="false">IF(D383&lt;=0.5,0,MIN(H383+N(J383),D383+E383+F383))</f>
        <v>0</v>
      </c>
      <c r="L383" s="41" t="n">
        <f aca="false">K383-E383-F383</f>
        <v>0</v>
      </c>
      <c r="M383" s="41" t="n">
        <f aca="false">D383-L383</f>
        <v>0</v>
      </c>
      <c r="N383" s="42" t="n">
        <f aca="false">K383-G383</f>
        <v>0</v>
      </c>
      <c r="O383" s="78"/>
      <c r="P383" s="79"/>
      <c r="Q383" s="16" t="str">
        <f aca="false">IF(K383=0,"",IF(R383=1,"Pagada",IF(C383&lt;$F$12,"Vencida",IF(357=$F$13,"Próxima","Pendiente"))))</f>
        <v/>
      </c>
      <c r="R383" s="62" t="n">
        <f aca="false">IF(AND(K383&gt;0,OR(O383="Sí",O383="Si")),1,0)</f>
        <v>0</v>
      </c>
      <c r="S383" s="62" t="n">
        <f aca="false">IF(AND(K383&gt;0,R383=0),1,0)</f>
        <v>0</v>
      </c>
    </row>
    <row r="384" customFormat="false" ht="15" hidden="false" customHeight="false" outlineLevel="0" collapsed="false">
      <c r="B384" s="71" t="str">
        <f aca="false">IF($F$6="Sí",N($C$11)+357,"")</f>
        <v/>
      </c>
      <c r="C384" s="72" t="str">
        <f aca="false">IF(OR($F$6&lt;&gt;"Sí",D384&lt;=0.5),"",EDATE($C$10,357))</f>
        <v/>
      </c>
      <c r="D384" s="41" t="n">
        <f aca="false">MAX(0,M383)</f>
        <v>0</v>
      </c>
      <c r="E384" s="41" t="n">
        <f aca="false">D384*$F$7</f>
        <v>0</v>
      </c>
      <c r="F384" s="41" t="n">
        <f aca="false">IF(D384&gt;0.5,N($C$15),0)</f>
        <v>0</v>
      </c>
      <c r="G384" s="41" t="n">
        <f aca="false">IF(AND(D384&gt;0.5,N($C$19)&gt;0,N(B384)&lt;=N($C$20)),D384*$F$8,0)</f>
        <v>0</v>
      </c>
      <c r="H384" s="41" t="n">
        <f aca="false">IF(D384&lt;=0.5,0,MIN(IF(N(I384)&gt;0,I384,$F$9),D384+E384+F384))</f>
        <v>0</v>
      </c>
      <c r="I384" s="77"/>
      <c r="J384" s="77"/>
      <c r="K384" s="41" t="n">
        <f aca="false">IF(D384&lt;=0.5,0,MIN(H384+N(J384),D384+E384+F384))</f>
        <v>0</v>
      </c>
      <c r="L384" s="41" t="n">
        <f aca="false">K384-E384-F384</f>
        <v>0</v>
      </c>
      <c r="M384" s="41" t="n">
        <f aca="false">D384-L384</f>
        <v>0</v>
      </c>
      <c r="N384" s="42" t="n">
        <f aca="false">K384-G384</f>
        <v>0</v>
      </c>
      <c r="O384" s="78"/>
      <c r="P384" s="79"/>
      <c r="Q384" s="16" t="str">
        <f aca="false">IF(K384=0,"",IF(R384=1,"Pagada",IF(C384&lt;$F$12,"Vencida",IF(358=$F$13,"Próxima","Pendiente"))))</f>
        <v/>
      </c>
      <c r="R384" s="62" t="n">
        <f aca="false">IF(AND(K384&gt;0,OR(O384="Sí",O384="Si")),1,0)</f>
        <v>0</v>
      </c>
      <c r="S384" s="62" t="n">
        <f aca="false">IF(AND(K384&gt;0,R384=0),1,0)</f>
        <v>0</v>
      </c>
    </row>
    <row r="385" customFormat="false" ht="15" hidden="false" customHeight="false" outlineLevel="0" collapsed="false">
      <c r="B385" s="71" t="str">
        <f aca="false">IF($F$6="Sí",N($C$11)+358,"")</f>
        <v/>
      </c>
      <c r="C385" s="72" t="str">
        <f aca="false">IF(OR($F$6&lt;&gt;"Sí",D385&lt;=0.5),"",EDATE($C$10,358))</f>
        <v/>
      </c>
      <c r="D385" s="41" t="n">
        <f aca="false">MAX(0,M384)</f>
        <v>0</v>
      </c>
      <c r="E385" s="41" t="n">
        <f aca="false">D385*$F$7</f>
        <v>0</v>
      </c>
      <c r="F385" s="41" t="n">
        <f aca="false">IF(D385&gt;0.5,N($C$15),0)</f>
        <v>0</v>
      </c>
      <c r="G385" s="41" t="n">
        <f aca="false">IF(AND(D385&gt;0.5,N($C$19)&gt;0,N(B385)&lt;=N($C$20)),D385*$F$8,0)</f>
        <v>0</v>
      </c>
      <c r="H385" s="41" t="n">
        <f aca="false">IF(D385&lt;=0.5,0,MIN(IF(N(I385)&gt;0,I385,$F$9),D385+E385+F385))</f>
        <v>0</v>
      </c>
      <c r="I385" s="77"/>
      <c r="J385" s="77"/>
      <c r="K385" s="41" t="n">
        <f aca="false">IF(D385&lt;=0.5,0,MIN(H385+N(J385),D385+E385+F385))</f>
        <v>0</v>
      </c>
      <c r="L385" s="41" t="n">
        <f aca="false">K385-E385-F385</f>
        <v>0</v>
      </c>
      <c r="M385" s="41" t="n">
        <f aca="false">D385-L385</f>
        <v>0</v>
      </c>
      <c r="N385" s="42" t="n">
        <f aca="false">K385-G385</f>
        <v>0</v>
      </c>
      <c r="O385" s="78"/>
      <c r="P385" s="79"/>
      <c r="Q385" s="16" t="str">
        <f aca="false">IF(K385=0,"",IF(R385=1,"Pagada",IF(C385&lt;$F$12,"Vencida",IF(359=$F$13,"Próxima","Pendiente"))))</f>
        <v/>
      </c>
      <c r="R385" s="62" t="n">
        <f aca="false">IF(AND(K385&gt;0,OR(O385="Sí",O385="Si")),1,0)</f>
        <v>0</v>
      </c>
      <c r="S385" s="62" t="n">
        <f aca="false">IF(AND(K385&gt;0,R385=0),1,0)</f>
        <v>0</v>
      </c>
    </row>
    <row r="386" customFormat="false" ht="15" hidden="false" customHeight="false" outlineLevel="0" collapsed="false">
      <c r="B386" s="71" t="str">
        <f aca="false">IF($F$6="Sí",N($C$11)+359,"")</f>
        <v/>
      </c>
      <c r="C386" s="72" t="str">
        <f aca="false">IF(OR($F$6&lt;&gt;"Sí",D386&lt;=0.5),"",EDATE($C$10,359))</f>
        <v/>
      </c>
      <c r="D386" s="41" t="n">
        <f aca="false">MAX(0,M385)</f>
        <v>0</v>
      </c>
      <c r="E386" s="41" t="n">
        <f aca="false">D386*$F$7</f>
        <v>0</v>
      </c>
      <c r="F386" s="41" t="n">
        <f aca="false">IF(D386&gt;0.5,N($C$15),0)</f>
        <v>0</v>
      </c>
      <c r="G386" s="41" t="n">
        <f aca="false">IF(AND(D386&gt;0.5,N($C$19)&gt;0,N(B386)&lt;=N($C$20)),D386*$F$8,0)</f>
        <v>0</v>
      </c>
      <c r="H386" s="41" t="n">
        <f aca="false">IF(D386&lt;=0.5,0,MIN(IF(N(I386)&gt;0,I386,$F$9),D386+E386+F386))</f>
        <v>0</v>
      </c>
      <c r="I386" s="77"/>
      <c r="J386" s="77"/>
      <c r="K386" s="41" t="n">
        <f aca="false">IF(D386&lt;=0.5,0,MIN(H386+N(J386),D386+E386+F386))</f>
        <v>0</v>
      </c>
      <c r="L386" s="41" t="n">
        <f aca="false">K386-E386-F386</f>
        <v>0</v>
      </c>
      <c r="M386" s="41" t="n">
        <f aca="false">D386-L386</f>
        <v>0</v>
      </c>
      <c r="N386" s="42" t="n">
        <f aca="false">K386-G386</f>
        <v>0</v>
      </c>
      <c r="O386" s="78"/>
      <c r="P386" s="79"/>
      <c r="Q386" s="16" t="str">
        <f aca="false">IF(K386=0,"",IF(R386=1,"Pagada",IF(C386&lt;$F$12,"Vencida",IF(360=$F$13,"Próxima","Pendiente"))))</f>
        <v/>
      </c>
      <c r="R386" s="62" t="n">
        <f aca="false">IF(AND(K386&gt;0,OR(O386="Sí",O386="Si")),1,0)</f>
        <v>0</v>
      </c>
      <c r="S386" s="62" t="n">
        <f aca="false">IF(AND(K386&gt;0,R386=0),1,0)</f>
        <v>0</v>
      </c>
    </row>
  </sheetData>
  <conditionalFormatting sqref="B27:Q386">
    <cfRule type="expression" priority="2" aboveAverage="0" equalAverage="0" bottom="0" percent="0" rank="0" text="" dxfId="5">
      <formula>$Q27="Pagada"</formula>
    </cfRule>
    <cfRule type="expression" priority="3" aboveAverage="0" equalAverage="0" bottom="0" percent="0" rank="0" text="" dxfId="3">
      <formula>$Q27="Vencida"</formula>
    </cfRule>
    <cfRule type="expression" priority="4" aboveAverage="0" equalAverage="0" bottom="0" percent="0" rank="0" text="" dxfId="6">
      <formula>$Q27="Próxima"</formula>
    </cfRule>
  </conditionalFormatting>
  <dataValidations count="3">
    <dataValidation allowBlank="true" error="Elige un valor de la lista." errorStyle="stop" errorTitle="Valor no válido" operator="between" showDropDown="false" showErrorMessage="true" showInputMessage="false" sqref="C8" type="list">
      <formula1>Listas!$A$2:$A$8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C17" type="list">
      <formula1>Listas!$B$2:$B$3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O27:O386" type="list">
      <formula1>Listas!$B$2:$B$3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04A"/>
    <pageSetUpPr fitToPage="true"/>
  </sheetPr>
  <dimension ref="B1:S38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26" topLeftCell="C27" activePane="bottomRight" state="frozen"/>
      <selection pane="topLeft" activeCell="A1" activeCellId="0" sqref="A1"/>
      <selection pane="topRight" activeCell="C1" activeCellId="0" sqref="C1"/>
      <selection pane="bottomLeft" activeCell="A27" activeCellId="0" sqref="A2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4" min="3" style="0" width="15"/>
    <col collapsed="false" customWidth="true" hidden="false" outlineLevel="0" max="5" min="5" style="0" width="30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34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2" min="11" style="0" width="14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5" min="15" style="0" width="9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9" min="18" style="0" width="5"/>
  </cols>
  <sheetData>
    <row r="1" customFormat="false" ht="19.7" hidden="false" customHeight="false" outlineLevel="0" collapsed="false">
      <c r="B1" s="19" t="str">
        <f aca="false">IF(C6="","Crédito 5: sin datos","Crédito 5: "&amp;C6)</f>
        <v>Crédito 5: sin datos</v>
      </c>
    </row>
    <row r="2" customFormat="false" ht="15" hidden="false" customHeight="false" outlineLevel="0" collapsed="false">
      <c r="B2" s="20" t="s">
        <v>161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5" customFormat="false" ht="15" hidden="false" customHeight="false" outlineLevel="0" collapsed="false">
      <c r="B5" s="7" t="s">
        <v>162</v>
      </c>
      <c r="C5" s="8"/>
      <c r="E5" s="7" t="s">
        <v>163</v>
      </c>
      <c r="F5" s="8"/>
      <c r="H5" s="7" t="s">
        <v>164</v>
      </c>
      <c r="I5" s="8"/>
    </row>
    <row r="6" customFormat="false" ht="15" hidden="false" customHeight="false" outlineLevel="0" collapsed="false">
      <c r="B6" s="16" t="s">
        <v>165</v>
      </c>
      <c r="C6" s="15"/>
      <c r="E6" s="16" t="s">
        <v>166</v>
      </c>
      <c r="F6" s="16" t="str">
        <f aca="false">IF(AND(C6&lt;&gt;"",N(C9)&gt;0,ISNUMBER(C10)),"Sí","No")</f>
        <v>No</v>
      </c>
      <c r="H6" s="28" t="s">
        <v>46</v>
      </c>
      <c r="I6" s="42" t="n">
        <f aca="false">IF($F$6&lt;&gt;"Sí",0,MAX(0,$C$9-SUMIFS(L27:L386,R27:R386,1)))</f>
        <v>0</v>
      </c>
    </row>
    <row r="7" customFormat="false" ht="15" hidden="false" customHeight="false" outlineLevel="0" collapsed="false">
      <c r="B7" s="16" t="s">
        <v>167</v>
      </c>
      <c r="C7" s="15"/>
      <c r="E7" s="16" t="s">
        <v>130</v>
      </c>
      <c r="F7" s="70" t="n">
        <f aca="false">(1+N(C13))^(1/12)-1</f>
        <v>0</v>
      </c>
      <c r="H7" s="16" t="s">
        <v>168</v>
      </c>
      <c r="I7" s="71" t="n">
        <f aca="false">SUM(R27:R386)</f>
        <v>0</v>
      </c>
    </row>
    <row r="8" customFormat="false" ht="15" hidden="false" customHeight="false" outlineLevel="0" collapsed="false">
      <c r="B8" s="16" t="s">
        <v>91</v>
      </c>
      <c r="C8" s="15"/>
      <c r="E8" s="16" t="s">
        <v>169</v>
      </c>
      <c r="F8" s="70" t="n">
        <f aca="false">IF(N(C19)=0,0,F7-((1+MAX(0,N(C13)-C19))^(1/12)-1))</f>
        <v>0</v>
      </c>
      <c r="H8" s="16" t="s">
        <v>170</v>
      </c>
      <c r="I8" s="71" t="str">
        <f aca="false">IF($F$13=0,"",INDEX(B27:B386,$F$13))</f>
        <v/>
      </c>
    </row>
    <row r="9" customFormat="false" ht="15" hidden="false" customHeight="false" outlineLevel="0" collapsed="false">
      <c r="B9" s="16" t="s">
        <v>171</v>
      </c>
      <c r="C9" s="53"/>
      <c r="E9" s="16" t="s">
        <v>172</v>
      </c>
      <c r="F9" s="41" t="n">
        <f aca="false">IF(N(C14)&gt;0,C14,IF(AND(N(C12)&gt;0,N(C9)&gt;0,N(C12)-N(C11)+1&gt;0),IF(F7=0,C9/(C12-N(C11)+1),PMT(F7,C12-N(C11)+1,-C9))+N(C15),0))</f>
        <v>0</v>
      </c>
      <c r="H9" s="16" t="s">
        <v>173</v>
      </c>
      <c r="I9" s="72" t="str">
        <f aca="false">IF($F$13=0,"",INDEX(C27:C386,$F$13))</f>
        <v/>
      </c>
    </row>
    <row r="10" customFormat="false" ht="15" hidden="false" customHeight="false" outlineLevel="0" collapsed="false">
      <c r="B10" s="16" t="s">
        <v>174</v>
      </c>
      <c r="C10" s="46"/>
      <c r="E10" s="16" t="s">
        <v>175</v>
      </c>
      <c r="F10" s="71" t="str">
        <f aca="false">IF(ISNUMBER(C10),DAY(C10),"")</f>
        <v/>
      </c>
      <c r="H10" s="28" t="s">
        <v>176</v>
      </c>
      <c r="I10" s="42" t="n">
        <f aca="false">IF($F$13=0,0,INDEX(N27:N386,$F$13))</f>
        <v>0</v>
      </c>
    </row>
    <row r="11" customFormat="false" ht="15" hidden="false" customHeight="false" outlineLevel="0" collapsed="false">
      <c r="B11" s="16" t="s">
        <v>177</v>
      </c>
      <c r="C11" s="73" t="n">
        <v>1</v>
      </c>
      <c r="E11" s="16" t="s">
        <v>178</v>
      </c>
      <c r="F11" s="72" t="str">
        <f aca="false">IF(OR(C17="No",N(C18)=0,NOT(ISNUMBER(C10))),"",EDATE(C10,C18-N(C11)))</f>
        <v/>
      </c>
      <c r="H11" s="16" t="s">
        <v>49</v>
      </c>
      <c r="I11" s="71" t="n">
        <f aca="false">SUM(S27:S386)</f>
        <v>0</v>
      </c>
    </row>
    <row r="12" customFormat="false" ht="15" hidden="false" customHeight="false" outlineLevel="0" collapsed="false">
      <c r="B12" s="16" t="s">
        <v>179</v>
      </c>
      <c r="C12" s="73"/>
      <c r="E12" s="16" t="s">
        <v>100</v>
      </c>
      <c r="F12" s="72" t="n">
        <f aca="false">Datos!$C$7</f>
        <v>46290</v>
      </c>
      <c r="H12" s="16" t="s">
        <v>50</v>
      </c>
      <c r="I12" s="72" t="str">
        <f aca="false">IF($F$6&lt;&gt;"Sí","",IF(M386&gt;0.5,"Más de 360 cuotas",_xlfn.MAXIFS(C27:C386,K27:K386,"&gt;0")))</f>
        <v/>
      </c>
    </row>
    <row r="13" customFormat="false" ht="15" hidden="false" customHeight="false" outlineLevel="0" collapsed="false">
      <c r="B13" s="16" t="s">
        <v>180</v>
      </c>
      <c r="C13" s="74"/>
      <c r="E13" s="16" t="s">
        <v>181</v>
      </c>
      <c r="F13" s="71" t="n">
        <f aca="false">IFERROR(MATCH(1,S27:S386,0),0)</f>
        <v>0</v>
      </c>
      <c r="H13" s="16" t="s">
        <v>51</v>
      </c>
      <c r="I13" s="41" t="n">
        <f aca="false">SUMIFS(E27:E386,S27:S386,1)</f>
        <v>0</v>
      </c>
    </row>
    <row r="14" customFormat="false" ht="15" hidden="false" customHeight="false" outlineLevel="0" collapsed="false">
      <c r="B14" s="16" t="s">
        <v>182</v>
      </c>
      <c r="C14" s="53"/>
      <c r="E14" s="18" t="s">
        <v>183</v>
      </c>
      <c r="H14" s="16" t="s">
        <v>184</v>
      </c>
      <c r="I14" s="41" t="n">
        <f aca="false">SUMIFS(N27:N386,S27:S386,1)</f>
        <v>0</v>
      </c>
    </row>
    <row r="15" customFormat="false" ht="15" hidden="false" customHeight="false" outlineLevel="0" collapsed="false">
      <c r="B15" s="16" t="s">
        <v>185</v>
      </c>
      <c r="C15" s="53" t="n">
        <v>0</v>
      </c>
      <c r="H15" s="16" t="s">
        <v>186</v>
      </c>
      <c r="I15" s="75" t="n">
        <f aca="false">IF($F$6&lt;&gt;"Sí",0,IF(N(C16)&gt;0,1-I6/C16,IF(N(C9)&gt;0,1-I6/C9,0)))</f>
        <v>0</v>
      </c>
    </row>
    <row r="16" customFormat="false" ht="15" hidden="false" customHeight="false" outlineLevel="0" collapsed="false">
      <c r="B16" s="16" t="s">
        <v>187</v>
      </c>
      <c r="C16" s="53"/>
      <c r="H16" s="16" t="s">
        <v>188</v>
      </c>
      <c r="I16" s="75" t="str">
        <f aca="false">IF(N(C12)=0,"",(N(C11)-1+I7)/C12)</f>
        <v/>
      </c>
    </row>
    <row r="17" customFormat="false" ht="15" hidden="false" customHeight="false" outlineLevel="0" collapsed="false">
      <c r="B17" s="16" t="s">
        <v>94</v>
      </c>
      <c r="C17" s="15" t="s">
        <v>189</v>
      </c>
      <c r="H17" s="16" t="s">
        <v>42</v>
      </c>
      <c r="I17" s="71" t="n">
        <f aca="false">COUNTIFS(S27:S386,1,C27:C386,"&lt;"&amp;$F$12)</f>
        <v>0</v>
      </c>
    </row>
    <row r="18" customFormat="false" ht="15" hidden="false" customHeight="false" outlineLevel="0" collapsed="false">
      <c r="B18" s="16" t="s">
        <v>190</v>
      </c>
      <c r="C18" s="73"/>
      <c r="H18" s="16" t="s">
        <v>191</v>
      </c>
      <c r="I18" s="41" t="n">
        <f aca="false">F9</f>
        <v>0</v>
      </c>
    </row>
    <row r="19" customFormat="false" ht="15" hidden="false" customHeight="false" outlineLevel="0" collapsed="false">
      <c r="B19" s="16" t="s">
        <v>192</v>
      </c>
      <c r="C19" s="74"/>
      <c r="H19" s="28" t="s">
        <v>54</v>
      </c>
      <c r="I19" s="28" t="str">
        <f aca="false">IF(F6&lt;&gt;"Sí","Sin datos",IF(I17&gt;0,"Vencidas sin marcar",IF(I11=0,"Pagado","Al día")))</f>
        <v>Sin datos</v>
      </c>
    </row>
    <row r="20" customFormat="false" ht="15" hidden="false" customHeight="false" outlineLevel="0" collapsed="false">
      <c r="B20" s="16" t="s">
        <v>193</v>
      </c>
      <c r="C20" s="73"/>
    </row>
    <row r="21" customFormat="false" ht="15" hidden="false" customHeight="false" outlineLevel="0" collapsed="false">
      <c r="B21" s="7" t="s">
        <v>194</v>
      </c>
      <c r="C21" s="8"/>
      <c r="D21" s="8"/>
      <c r="E21" s="8"/>
      <c r="F21" s="8"/>
      <c r="G21" s="8"/>
    </row>
    <row r="22" customFormat="false" ht="15" hidden="false" customHeight="false" outlineLevel="0" collapsed="false">
      <c r="B22" s="16" t="s">
        <v>195</v>
      </c>
      <c r="C22" s="53"/>
      <c r="E22" s="16" t="s">
        <v>196</v>
      </c>
      <c r="F22" s="76" t="str">
        <f aca="false">IF(OR(I6&lt;=0,F9-N(C15)+N(C22)&lt;=0),"",IFERROR(IF(F7=0,I6/(F9-N(C15)+N(C22)),NPER(F7,-(F9-N(C15)+N(C22)),I6)),"No alcanza"))</f>
        <v/>
      </c>
      <c r="G22" s="41" t="str">
        <f aca="false">IF(OR(F22="",NOT(ISNUMBER(F22))),"",(F9-N(C15)+N(C22))*F22-I6)</f>
        <v/>
      </c>
    </row>
    <row r="23" customFormat="false" ht="15" hidden="false" customHeight="false" outlineLevel="0" collapsed="false">
      <c r="B23" s="16" t="s">
        <v>197</v>
      </c>
      <c r="C23" s="73"/>
      <c r="E23" s="16" t="s">
        <v>198</v>
      </c>
      <c r="F23" s="41" t="str">
        <f aca="false">IF(OR(N(C23)=0,I6&lt;=0),"",IF(F7=0,I6/C23,PMT(F7,C23,-I6))+N(C15))</f>
        <v/>
      </c>
      <c r="G23" s="18" t="s">
        <v>199</v>
      </c>
    </row>
    <row r="25" customFormat="false" ht="15" hidden="false" customHeight="false" outlineLevel="0" collapsed="false">
      <c r="B25" s="18" t="s">
        <v>200</v>
      </c>
    </row>
    <row r="26" customFormat="false" ht="30" hidden="false" customHeight="true" outlineLevel="0" collapsed="false">
      <c r="B26" s="9" t="s">
        <v>201</v>
      </c>
      <c r="C26" s="10" t="s">
        <v>146</v>
      </c>
      <c r="D26" s="10" t="s">
        <v>202</v>
      </c>
      <c r="E26" s="10" t="s">
        <v>203</v>
      </c>
      <c r="F26" s="10" t="s">
        <v>204</v>
      </c>
      <c r="G26" s="10" t="s">
        <v>205</v>
      </c>
      <c r="H26" s="10" t="s">
        <v>206</v>
      </c>
      <c r="I26" s="10" t="s">
        <v>207</v>
      </c>
      <c r="J26" s="10" t="s">
        <v>208</v>
      </c>
      <c r="K26" s="10" t="s">
        <v>209</v>
      </c>
      <c r="L26" s="10" t="s">
        <v>210</v>
      </c>
      <c r="M26" s="10" t="s">
        <v>211</v>
      </c>
      <c r="N26" s="10" t="s">
        <v>212</v>
      </c>
      <c r="O26" s="10" t="s">
        <v>213</v>
      </c>
      <c r="P26" s="10" t="s">
        <v>214</v>
      </c>
      <c r="Q26" s="10" t="s">
        <v>54</v>
      </c>
      <c r="R26" s="10" t="s">
        <v>215</v>
      </c>
      <c r="S26" s="10" t="s">
        <v>215</v>
      </c>
    </row>
    <row r="27" customFormat="false" ht="15" hidden="false" customHeight="false" outlineLevel="0" collapsed="false">
      <c r="B27" s="71" t="str">
        <f aca="false">IF($F$6="Sí",N($C$11)+0,"")</f>
        <v/>
      </c>
      <c r="C27" s="72" t="str">
        <f aca="false">IF(OR($F$6&lt;&gt;"Sí",D27&lt;=0.5),"",EDATE($C$10,0))</f>
        <v/>
      </c>
      <c r="D27" s="41" t="n">
        <f aca="false">IF($F$6="Sí",$C$9,0)</f>
        <v>0</v>
      </c>
      <c r="E27" s="41" t="n">
        <f aca="false">D27*$F$7</f>
        <v>0</v>
      </c>
      <c r="F27" s="41" t="n">
        <f aca="false">IF(D27&gt;0.5,N($C$15),0)</f>
        <v>0</v>
      </c>
      <c r="G27" s="41" t="n">
        <f aca="false">IF(AND(D27&gt;0.5,N($C$19)&gt;0,N(B27)&lt;=N($C$20)),D27*$F$8,0)</f>
        <v>0</v>
      </c>
      <c r="H27" s="41" t="n">
        <f aca="false">IF(D27&lt;=0.5,0,MIN(IF(N(I27)&gt;0,I27,$F$9),D27+E27+F27))</f>
        <v>0</v>
      </c>
      <c r="I27" s="77"/>
      <c r="J27" s="77"/>
      <c r="K27" s="41" t="n">
        <f aca="false">IF(D27&lt;=0.5,0,MIN(H27+N(J27),D27+E27+F27))</f>
        <v>0</v>
      </c>
      <c r="L27" s="41" t="n">
        <f aca="false">K27-E27-F27</f>
        <v>0</v>
      </c>
      <c r="M27" s="41" t="n">
        <f aca="false">D27-L27</f>
        <v>0</v>
      </c>
      <c r="N27" s="42" t="n">
        <f aca="false">K27-G27</f>
        <v>0</v>
      </c>
      <c r="O27" s="78"/>
      <c r="P27" s="79"/>
      <c r="Q27" s="16" t="str">
        <f aca="false">IF(K27=0,"",IF(R27=1,"Pagada",IF(C27&lt;$F$12,"Vencida",IF(1=$F$13,"Próxima","Pendiente"))))</f>
        <v/>
      </c>
      <c r="R27" s="62" t="n">
        <f aca="false">IF(AND(K27&gt;0,OR(O27="Sí",O27="Si")),1,0)</f>
        <v>0</v>
      </c>
      <c r="S27" s="62" t="n">
        <f aca="false">IF(AND(K27&gt;0,R27=0),1,0)</f>
        <v>0</v>
      </c>
    </row>
    <row r="28" customFormat="false" ht="15" hidden="false" customHeight="false" outlineLevel="0" collapsed="false">
      <c r="B28" s="71" t="str">
        <f aca="false">IF($F$6="Sí",N($C$11)+1,"")</f>
        <v/>
      </c>
      <c r="C28" s="72" t="str">
        <f aca="false">IF(OR($F$6&lt;&gt;"Sí",D28&lt;=0.5),"",EDATE($C$10,1))</f>
        <v/>
      </c>
      <c r="D28" s="41" t="n">
        <f aca="false">MAX(0,M27)</f>
        <v>0</v>
      </c>
      <c r="E28" s="41" t="n">
        <f aca="false">D28*$F$7</f>
        <v>0</v>
      </c>
      <c r="F28" s="41" t="n">
        <f aca="false">IF(D28&gt;0.5,N($C$15),0)</f>
        <v>0</v>
      </c>
      <c r="G28" s="41" t="n">
        <f aca="false">IF(AND(D28&gt;0.5,N($C$19)&gt;0,N(B28)&lt;=N($C$20)),D28*$F$8,0)</f>
        <v>0</v>
      </c>
      <c r="H28" s="41" t="n">
        <f aca="false">IF(D28&lt;=0.5,0,MIN(IF(N(I28)&gt;0,I28,$F$9),D28+E28+F28))</f>
        <v>0</v>
      </c>
      <c r="I28" s="77"/>
      <c r="J28" s="77"/>
      <c r="K28" s="41" t="n">
        <f aca="false">IF(D28&lt;=0.5,0,MIN(H28+N(J28),D28+E28+F28))</f>
        <v>0</v>
      </c>
      <c r="L28" s="41" t="n">
        <f aca="false">K28-E28-F28</f>
        <v>0</v>
      </c>
      <c r="M28" s="41" t="n">
        <f aca="false">D28-L28</f>
        <v>0</v>
      </c>
      <c r="N28" s="42" t="n">
        <f aca="false">K28-G28</f>
        <v>0</v>
      </c>
      <c r="O28" s="78"/>
      <c r="P28" s="79"/>
      <c r="Q28" s="16" t="str">
        <f aca="false">IF(K28=0,"",IF(R28=1,"Pagada",IF(C28&lt;$F$12,"Vencida",IF(2=$F$13,"Próxima","Pendiente"))))</f>
        <v/>
      </c>
      <c r="R28" s="62" t="n">
        <f aca="false">IF(AND(K28&gt;0,OR(O28="Sí",O28="Si")),1,0)</f>
        <v>0</v>
      </c>
      <c r="S28" s="62" t="n">
        <f aca="false">IF(AND(K28&gt;0,R28=0),1,0)</f>
        <v>0</v>
      </c>
    </row>
    <row r="29" customFormat="false" ht="15" hidden="false" customHeight="false" outlineLevel="0" collapsed="false">
      <c r="B29" s="71" t="str">
        <f aca="false">IF($F$6="Sí",N($C$11)+2,"")</f>
        <v/>
      </c>
      <c r="C29" s="72" t="str">
        <f aca="false">IF(OR($F$6&lt;&gt;"Sí",D29&lt;=0.5),"",EDATE($C$10,2))</f>
        <v/>
      </c>
      <c r="D29" s="41" t="n">
        <f aca="false">MAX(0,M28)</f>
        <v>0</v>
      </c>
      <c r="E29" s="41" t="n">
        <f aca="false">D29*$F$7</f>
        <v>0</v>
      </c>
      <c r="F29" s="41" t="n">
        <f aca="false">IF(D29&gt;0.5,N($C$15),0)</f>
        <v>0</v>
      </c>
      <c r="G29" s="41" t="n">
        <f aca="false">IF(AND(D29&gt;0.5,N($C$19)&gt;0,N(B29)&lt;=N($C$20)),D29*$F$8,0)</f>
        <v>0</v>
      </c>
      <c r="H29" s="41" t="n">
        <f aca="false">IF(D29&lt;=0.5,0,MIN(IF(N(I29)&gt;0,I29,$F$9),D29+E29+F29))</f>
        <v>0</v>
      </c>
      <c r="I29" s="77"/>
      <c r="J29" s="77"/>
      <c r="K29" s="41" t="n">
        <f aca="false">IF(D29&lt;=0.5,0,MIN(H29+N(J29),D29+E29+F29))</f>
        <v>0</v>
      </c>
      <c r="L29" s="41" t="n">
        <f aca="false">K29-E29-F29</f>
        <v>0</v>
      </c>
      <c r="M29" s="41" t="n">
        <f aca="false">D29-L29</f>
        <v>0</v>
      </c>
      <c r="N29" s="42" t="n">
        <f aca="false">K29-G29</f>
        <v>0</v>
      </c>
      <c r="O29" s="78"/>
      <c r="P29" s="79"/>
      <c r="Q29" s="16" t="str">
        <f aca="false">IF(K29=0,"",IF(R29=1,"Pagada",IF(C29&lt;$F$12,"Vencida",IF(3=$F$13,"Próxima","Pendiente"))))</f>
        <v/>
      </c>
      <c r="R29" s="62" t="n">
        <f aca="false">IF(AND(K29&gt;0,OR(O29="Sí",O29="Si")),1,0)</f>
        <v>0</v>
      </c>
      <c r="S29" s="62" t="n">
        <f aca="false">IF(AND(K29&gt;0,R29=0),1,0)</f>
        <v>0</v>
      </c>
    </row>
    <row r="30" customFormat="false" ht="15" hidden="false" customHeight="false" outlineLevel="0" collapsed="false">
      <c r="B30" s="71" t="str">
        <f aca="false">IF($F$6="Sí",N($C$11)+3,"")</f>
        <v/>
      </c>
      <c r="C30" s="72" t="str">
        <f aca="false">IF(OR($F$6&lt;&gt;"Sí",D30&lt;=0.5),"",EDATE($C$10,3))</f>
        <v/>
      </c>
      <c r="D30" s="41" t="n">
        <f aca="false">MAX(0,M29)</f>
        <v>0</v>
      </c>
      <c r="E30" s="41" t="n">
        <f aca="false">D30*$F$7</f>
        <v>0</v>
      </c>
      <c r="F30" s="41" t="n">
        <f aca="false">IF(D30&gt;0.5,N($C$15),0)</f>
        <v>0</v>
      </c>
      <c r="G30" s="41" t="n">
        <f aca="false">IF(AND(D30&gt;0.5,N($C$19)&gt;0,N(B30)&lt;=N($C$20)),D30*$F$8,0)</f>
        <v>0</v>
      </c>
      <c r="H30" s="41" t="n">
        <f aca="false">IF(D30&lt;=0.5,0,MIN(IF(N(I30)&gt;0,I30,$F$9),D30+E30+F30))</f>
        <v>0</v>
      </c>
      <c r="I30" s="77"/>
      <c r="J30" s="77"/>
      <c r="K30" s="41" t="n">
        <f aca="false">IF(D30&lt;=0.5,0,MIN(H30+N(J30),D30+E30+F30))</f>
        <v>0</v>
      </c>
      <c r="L30" s="41" t="n">
        <f aca="false">K30-E30-F30</f>
        <v>0</v>
      </c>
      <c r="M30" s="41" t="n">
        <f aca="false">D30-L30</f>
        <v>0</v>
      </c>
      <c r="N30" s="42" t="n">
        <f aca="false">K30-G30</f>
        <v>0</v>
      </c>
      <c r="O30" s="78"/>
      <c r="P30" s="79"/>
      <c r="Q30" s="16" t="str">
        <f aca="false">IF(K30=0,"",IF(R30=1,"Pagada",IF(C30&lt;$F$12,"Vencida",IF(4=$F$13,"Próxima","Pendiente"))))</f>
        <v/>
      </c>
      <c r="R30" s="62" t="n">
        <f aca="false">IF(AND(K30&gt;0,OR(O30="Sí",O30="Si")),1,0)</f>
        <v>0</v>
      </c>
      <c r="S30" s="62" t="n">
        <f aca="false">IF(AND(K30&gt;0,R30=0),1,0)</f>
        <v>0</v>
      </c>
    </row>
    <row r="31" customFormat="false" ht="15" hidden="false" customHeight="false" outlineLevel="0" collapsed="false">
      <c r="B31" s="71" t="str">
        <f aca="false">IF($F$6="Sí",N($C$11)+4,"")</f>
        <v/>
      </c>
      <c r="C31" s="72" t="str">
        <f aca="false">IF(OR($F$6&lt;&gt;"Sí",D31&lt;=0.5),"",EDATE($C$10,4))</f>
        <v/>
      </c>
      <c r="D31" s="41" t="n">
        <f aca="false">MAX(0,M30)</f>
        <v>0</v>
      </c>
      <c r="E31" s="41" t="n">
        <f aca="false">D31*$F$7</f>
        <v>0</v>
      </c>
      <c r="F31" s="41" t="n">
        <f aca="false">IF(D31&gt;0.5,N($C$15),0)</f>
        <v>0</v>
      </c>
      <c r="G31" s="41" t="n">
        <f aca="false">IF(AND(D31&gt;0.5,N($C$19)&gt;0,N(B31)&lt;=N($C$20)),D31*$F$8,0)</f>
        <v>0</v>
      </c>
      <c r="H31" s="41" t="n">
        <f aca="false">IF(D31&lt;=0.5,0,MIN(IF(N(I31)&gt;0,I31,$F$9),D31+E31+F31))</f>
        <v>0</v>
      </c>
      <c r="I31" s="77"/>
      <c r="J31" s="77"/>
      <c r="K31" s="41" t="n">
        <f aca="false">IF(D31&lt;=0.5,0,MIN(H31+N(J31),D31+E31+F31))</f>
        <v>0</v>
      </c>
      <c r="L31" s="41" t="n">
        <f aca="false">K31-E31-F31</f>
        <v>0</v>
      </c>
      <c r="M31" s="41" t="n">
        <f aca="false">D31-L31</f>
        <v>0</v>
      </c>
      <c r="N31" s="42" t="n">
        <f aca="false">K31-G31</f>
        <v>0</v>
      </c>
      <c r="O31" s="78"/>
      <c r="P31" s="79"/>
      <c r="Q31" s="16" t="str">
        <f aca="false">IF(K31=0,"",IF(R31=1,"Pagada",IF(C31&lt;$F$12,"Vencida",IF(5=$F$13,"Próxima","Pendiente"))))</f>
        <v/>
      </c>
      <c r="R31" s="62" t="n">
        <f aca="false">IF(AND(K31&gt;0,OR(O31="Sí",O31="Si")),1,0)</f>
        <v>0</v>
      </c>
      <c r="S31" s="62" t="n">
        <f aca="false">IF(AND(K31&gt;0,R31=0),1,0)</f>
        <v>0</v>
      </c>
    </row>
    <row r="32" customFormat="false" ht="15" hidden="false" customHeight="false" outlineLevel="0" collapsed="false">
      <c r="B32" s="71" t="str">
        <f aca="false">IF($F$6="Sí",N($C$11)+5,"")</f>
        <v/>
      </c>
      <c r="C32" s="72" t="str">
        <f aca="false">IF(OR($F$6&lt;&gt;"Sí",D32&lt;=0.5),"",EDATE($C$10,5))</f>
        <v/>
      </c>
      <c r="D32" s="41" t="n">
        <f aca="false">MAX(0,M31)</f>
        <v>0</v>
      </c>
      <c r="E32" s="41" t="n">
        <f aca="false">D32*$F$7</f>
        <v>0</v>
      </c>
      <c r="F32" s="41" t="n">
        <f aca="false">IF(D32&gt;0.5,N($C$15),0)</f>
        <v>0</v>
      </c>
      <c r="G32" s="41" t="n">
        <f aca="false">IF(AND(D32&gt;0.5,N($C$19)&gt;0,N(B32)&lt;=N($C$20)),D32*$F$8,0)</f>
        <v>0</v>
      </c>
      <c r="H32" s="41" t="n">
        <f aca="false">IF(D32&lt;=0.5,0,MIN(IF(N(I32)&gt;0,I32,$F$9),D32+E32+F32))</f>
        <v>0</v>
      </c>
      <c r="I32" s="77"/>
      <c r="J32" s="77"/>
      <c r="K32" s="41" t="n">
        <f aca="false">IF(D32&lt;=0.5,0,MIN(H32+N(J32),D32+E32+F32))</f>
        <v>0</v>
      </c>
      <c r="L32" s="41" t="n">
        <f aca="false">K32-E32-F32</f>
        <v>0</v>
      </c>
      <c r="M32" s="41" t="n">
        <f aca="false">D32-L32</f>
        <v>0</v>
      </c>
      <c r="N32" s="42" t="n">
        <f aca="false">K32-G32</f>
        <v>0</v>
      </c>
      <c r="O32" s="78"/>
      <c r="P32" s="79"/>
      <c r="Q32" s="16" t="str">
        <f aca="false">IF(K32=0,"",IF(R32=1,"Pagada",IF(C32&lt;$F$12,"Vencida",IF(6=$F$13,"Próxima","Pendiente"))))</f>
        <v/>
      </c>
      <c r="R32" s="62" t="n">
        <f aca="false">IF(AND(K32&gt;0,OR(O32="Sí",O32="Si")),1,0)</f>
        <v>0</v>
      </c>
      <c r="S32" s="62" t="n">
        <f aca="false">IF(AND(K32&gt;0,R32=0),1,0)</f>
        <v>0</v>
      </c>
    </row>
    <row r="33" customFormat="false" ht="15" hidden="false" customHeight="false" outlineLevel="0" collapsed="false">
      <c r="B33" s="71" t="str">
        <f aca="false">IF($F$6="Sí",N($C$11)+6,"")</f>
        <v/>
      </c>
      <c r="C33" s="72" t="str">
        <f aca="false">IF(OR($F$6&lt;&gt;"Sí",D33&lt;=0.5),"",EDATE($C$10,6))</f>
        <v/>
      </c>
      <c r="D33" s="41" t="n">
        <f aca="false">MAX(0,M32)</f>
        <v>0</v>
      </c>
      <c r="E33" s="41" t="n">
        <f aca="false">D33*$F$7</f>
        <v>0</v>
      </c>
      <c r="F33" s="41" t="n">
        <f aca="false">IF(D33&gt;0.5,N($C$15),0)</f>
        <v>0</v>
      </c>
      <c r="G33" s="41" t="n">
        <f aca="false">IF(AND(D33&gt;0.5,N($C$19)&gt;0,N(B33)&lt;=N($C$20)),D33*$F$8,0)</f>
        <v>0</v>
      </c>
      <c r="H33" s="41" t="n">
        <f aca="false">IF(D33&lt;=0.5,0,MIN(IF(N(I33)&gt;0,I33,$F$9),D33+E33+F33))</f>
        <v>0</v>
      </c>
      <c r="I33" s="77"/>
      <c r="J33" s="77"/>
      <c r="K33" s="41" t="n">
        <f aca="false">IF(D33&lt;=0.5,0,MIN(H33+N(J33),D33+E33+F33))</f>
        <v>0</v>
      </c>
      <c r="L33" s="41" t="n">
        <f aca="false">K33-E33-F33</f>
        <v>0</v>
      </c>
      <c r="M33" s="41" t="n">
        <f aca="false">D33-L33</f>
        <v>0</v>
      </c>
      <c r="N33" s="42" t="n">
        <f aca="false">K33-G33</f>
        <v>0</v>
      </c>
      <c r="O33" s="78"/>
      <c r="P33" s="79"/>
      <c r="Q33" s="16" t="str">
        <f aca="false">IF(K33=0,"",IF(R33=1,"Pagada",IF(C33&lt;$F$12,"Vencida",IF(7=$F$13,"Próxima","Pendiente"))))</f>
        <v/>
      </c>
      <c r="R33" s="62" t="n">
        <f aca="false">IF(AND(K33&gt;0,OR(O33="Sí",O33="Si")),1,0)</f>
        <v>0</v>
      </c>
      <c r="S33" s="62" t="n">
        <f aca="false">IF(AND(K33&gt;0,R33=0),1,0)</f>
        <v>0</v>
      </c>
    </row>
    <row r="34" customFormat="false" ht="15" hidden="false" customHeight="false" outlineLevel="0" collapsed="false">
      <c r="B34" s="71" t="str">
        <f aca="false">IF($F$6="Sí",N($C$11)+7,"")</f>
        <v/>
      </c>
      <c r="C34" s="72" t="str">
        <f aca="false">IF(OR($F$6&lt;&gt;"Sí",D34&lt;=0.5),"",EDATE($C$10,7))</f>
        <v/>
      </c>
      <c r="D34" s="41" t="n">
        <f aca="false">MAX(0,M33)</f>
        <v>0</v>
      </c>
      <c r="E34" s="41" t="n">
        <f aca="false">D34*$F$7</f>
        <v>0</v>
      </c>
      <c r="F34" s="41" t="n">
        <f aca="false">IF(D34&gt;0.5,N($C$15),0)</f>
        <v>0</v>
      </c>
      <c r="G34" s="41" t="n">
        <f aca="false">IF(AND(D34&gt;0.5,N($C$19)&gt;0,N(B34)&lt;=N($C$20)),D34*$F$8,0)</f>
        <v>0</v>
      </c>
      <c r="H34" s="41" t="n">
        <f aca="false">IF(D34&lt;=0.5,0,MIN(IF(N(I34)&gt;0,I34,$F$9),D34+E34+F34))</f>
        <v>0</v>
      </c>
      <c r="I34" s="77"/>
      <c r="J34" s="77"/>
      <c r="K34" s="41" t="n">
        <f aca="false">IF(D34&lt;=0.5,0,MIN(H34+N(J34),D34+E34+F34))</f>
        <v>0</v>
      </c>
      <c r="L34" s="41" t="n">
        <f aca="false">K34-E34-F34</f>
        <v>0</v>
      </c>
      <c r="M34" s="41" t="n">
        <f aca="false">D34-L34</f>
        <v>0</v>
      </c>
      <c r="N34" s="42" t="n">
        <f aca="false">K34-G34</f>
        <v>0</v>
      </c>
      <c r="O34" s="78"/>
      <c r="P34" s="79"/>
      <c r="Q34" s="16" t="str">
        <f aca="false">IF(K34=0,"",IF(R34=1,"Pagada",IF(C34&lt;$F$12,"Vencida",IF(8=$F$13,"Próxima","Pendiente"))))</f>
        <v/>
      </c>
      <c r="R34" s="62" t="n">
        <f aca="false">IF(AND(K34&gt;0,OR(O34="Sí",O34="Si")),1,0)</f>
        <v>0</v>
      </c>
      <c r="S34" s="62" t="n">
        <f aca="false">IF(AND(K34&gt;0,R34=0),1,0)</f>
        <v>0</v>
      </c>
    </row>
    <row r="35" customFormat="false" ht="15" hidden="false" customHeight="false" outlineLevel="0" collapsed="false">
      <c r="B35" s="71" t="str">
        <f aca="false">IF($F$6="Sí",N($C$11)+8,"")</f>
        <v/>
      </c>
      <c r="C35" s="72" t="str">
        <f aca="false">IF(OR($F$6&lt;&gt;"Sí",D35&lt;=0.5),"",EDATE($C$10,8))</f>
        <v/>
      </c>
      <c r="D35" s="41" t="n">
        <f aca="false">MAX(0,M34)</f>
        <v>0</v>
      </c>
      <c r="E35" s="41" t="n">
        <f aca="false">D35*$F$7</f>
        <v>0</v>
      </c>
      <c r="F35" s="41" t="n">
        <f aca="false">IF(D35&gt;0.5,N($C$15),0)</f>
        <v>0</v>
      </c>
      <c r="G35" s="41" t="n">
        <f aca="false">IF(AND(D35&gt;0.5,N($C$19)&gt;0,N(B35)&lt;=N($C$20)),D35*$F$8,0)</f>
        <v>0</v>
      </c>
      <c r="H35" s="41" t="n">
        <f aca="false">IF(D35&lt;=0.5,0,MIN(IF(N(I35)&gt;0,I35,$F$9),D35+E35+F35))</f>
        <v>0</v>
      </c>
      <c r="I35" s="77"/>
      <c r="J35" s="77"/>
      <c r="K35" s="41" t="n">
        <f aca="false">IF(D35&lt;=0.5,0,MIN(H35+N(J35),D35+E35+F35))</f>
        <v>0</v>
      </c>
      <c r="L35" s="41" t="n">
        <f aca="false">K35-E35-F35</f>
        <v>0</v>
      </c>
      <c r="M35" s="41" t="n">
        <f aca="false">D35-L35</f>
        <v>0</v>
      </c>
      <c r="N35" s="42" t="n">
        <f aca="false">K35-G35</f>
        <v>0</v>
      </c>
      <c r="O35" s="78"/>
      <c r="P35" s="79"/>
      <c r="Q35" s="16" t="str">
        <f aca="false">IF(K35=0,"",IF(R35=1,"Pagada",IF(C35&lt;$F$12,"Vencida",IF(9=$F$13,"Próxima","Pendiente"))))</f>
        <v/>
      </c>
      <c r="R35" s="62" t="n">
        <f aca="false">IF(AND(K35&gt;0,OR(O35="Sí",O35="Si")),1,0)</f>
        <v>0</v>
      </c>
      <c r="S35" s="62" t="n">
        <f aca="false">IF(AND(K35&gt;0,R35=0),1,0)</f>
        <v>0</v>
      </c>
    </row>
    <row r="36" customFormat="false" ht="15" hidden="false" customHeight="false" outlineLevel="0" collapsed="false">
      <c r="B36" s="71" t="str">
        <f aca="false">IF($F$6="Sí",N($C$11)+9,"")</f>
        <v/>
      </c>
      <c r="C36" s="72" t="str">
        <f aca="false">IF(OR($F$6&lt;&gt;"Sí",D36&lt;=0.5),"",EDATE($C$10,9))</f>
        <v/>
      </c>
      <c r="D36" s="41" t="n">
        <f aca="false">MAX(0,M35)</f>
        <v>0</v>
      </c>
      <c r="E36" s="41" t="n">
        <f aca="false">D36*$F$7</f>
        <v>0</v>
      </c>
      <c r="F36" s="41" t="n">
        <f aca="false">IF(D36&gt;0.5,N($C$15),0)</f>
        <v>0</v>
      </c>
      <c r="G36" s="41" t="n">
        <f aca="false">IF(AND(D36&gt;0.5,N($C$19)&gt;0,N(B36)&lt;=N($C$20)),D36*$F$8,0)</f>
        <v>0</v>
      </c>
      <c r="H36" s="41" t="n">
        <f aca="false">IF(D36&lt;=0.5,0,MIN(IF(N(I36)&gt;0,I36,$F$9),D36+E36+F36))</f>
        <v>0</v>
      </c>
      <c r="I36" s="77"/>
      <c r="J36" s="77"/>
      <c r="K36" s="41" t="n">
        <f aca="false">IF(D36&lt;=0.5,0,MIN(H36+N(J36),D36+E36+F36))</f>
        <v>0</v>
      </c>
      <c r="L36" s="41" t="n">
        <f aca="false">K36-E36-F36</f>
        <v>0</v>
      </c>
      <c r="M36" s="41" t="n">
        <f aca="false">D36-L36</f>
        <v>0</v>
      </c>
      <c r="N36" s="42" t="n">
        <f aca="false">K36-G36</f>
        <v>0</v>
      </c>
      <c r="O36" s="78"/>
      <c r="P36" s="79"/>
      <c r="Q36" s="16" t="str">
        <f aca="false">IF(K36=0,"",IF(R36=1,"Pagada",IF(C36&lt;$F$12,"Vencida",IF(10=$F$13,"Próxima","Pendiente"))))</f>
        <v/>
      </c>
      <c r="R36" s="62" t="n">
        <f aca="false">IF(AND(K36&gt;0,OR(O36="Sí",O36="Si")),1,0)</f>
        <v>0</v>
      </c>
      <c r="S36" s="62" t="n">
        <f aca="false">IF(AND(K36&gt;0,R36=0),1,0)</f>
        <v>0</v>
      </c>
    </row>
    <row r="37" customFormat="false" ht="15" hidden="false" customHeight="false" outlineLevel="0" collapsed="false">
      <c r="B37" s="71" t="str">
        <f aca="false">IF($F$6="Sí",N($C$11)+10,"")</f>
        <v/>
      </c>
      <c r="C37" s="72" t="str">
        <f aca="false">IF(OR($F$6&lt;&gt;"Sí",D37&lt;=0.5),"",EDATE($C$10,10))</f>
        <v/>
      </c>
      <c r="D37" s="41" t="n">
        <f aca="false">MAX(0,M36)</f>
        <v>0</v>
      </c>
      <c r="E37" s="41" t="n">
        <f aca="false">D37*$F$7</f>
        <v>0</v>
      </c>
      <c r="F37" s="41" t="n">
        <f aca="false">IF(D37&gt;0.5,N($C$15),0)</f>
        <v>0</v>
      </c>
      <c r="G37" s="41" t="n">
        <f aca="false">IF(AND(D37&gt;0.5,N($C$19)&gt;0,N(B37)&lt;=N($C$20)),D37*$F$8,0)</f>
        <v>0</v>
      </c>
      <c r="H37" s="41" t="n">
        <f aca="false">IF(D37&lt;=0.5,0,MIN(IF(N(I37)&gt;0,I37,$F$9),D37+E37+F37))</f>
        <v>0</v>
      </c>
      <c r="I37" s="77"/>
      <c r="J37" s="77"/>
      <c r="K37" s="41" t="n">
        <f aca="false">IF(D37&lt;=0.5,0,MIN(H37+N(J37),D37+E37+F37))</f>
        <v>0</v>
      </c>
      <c r="L37" s="41" t="n">
        <f aca="false">K37-E37-F37</f>
        <v>0</v>
      </c>
      <c r="M37" s="41" t="n">
        <f aca="false">D37-L37</f>
        <v>0</v>
      </c>
      <c r="N37" s="42" t="n">
        <f aca="false">K37-G37</f>
        <v>0</v>
      </c>
      <c r="O37" s="78"/>
      <c r="P37" s="79"/>
      <c r="Q37" s="16" t="str">
        <f aca="false">IF(K37=0,"",IF(R37=1,"Pagada",IF(C37&lt;$F$12,"Vencida",IF(11=$F$13,"Próxima","Pendiente"))))</f>
        <v/>
      </c>
      <c r="R37" s="62" t="n">
        <f aca="false">IF(AND(K37&gt;0,OR(O37="Sí",O37="Si")),1,0)</f>
        <v>0</v>
      </c>
      <c r="S37" s="62" t="n">
        <f aca="false">IF(AND(K37&gt;0,R37=0),1,0)</f>
        <v>0</v>
      </c>
    </row>
    <row r="38" customFormat="false" ht="15" hidden="false" customHeight="false" outlineLevel="0" collapsed="false">
      <c r="B38" s="71" t="str">
        <f aca="false">IF($F$6="Sí",N($C$11)+11,"")</f>
        <v/>
      </c>
      <c r="C38" s="72" t="str">
        <f aca="false">IF(OR($F$6&lt;&gt;"Sí",D38&lt;=0.5),"",EDATE($C$10,11))</f>
        <v/>
      </c>
      <c r="D38" s="41" t="n">
        <f aca="false">MAX(0,M37)</f>
        <v>0</v>
      </c>
      <c r="E38" s="41" t="n">
        <f aca="false">D38*$F$7</f>
        <v>0</v>
      </c>
      <c r="F38" s="41" t="n">
        <f aca="false">IF(D38&gt;0.5,N($C$15),0)</f>
        <v>0</v>
      </c>
      <c r="G38" s="41" t="n">
        <f aca="false">IF(AND(D38&gt;0.5,N($C$19)&gt;0,N(B38)&lt;=N($C$20)),D38*$F$8,0)</f>
        <v>0</v>
      </c>
      <c r="H38" s="41" t="n">
        <f aca="false">IF(D38&lt;=0.5,0,MIN(IF(N(I38)&gt;0,I38,$F$9),D38+E38+F38))</f>
        <v>0</v>
      </c>
      <c r="I38" s="77"/>
      <c r="J38" s="77"/>
      <c r="K38" s="41" t="n">
        <f aca="false">IF(D38&lt;=0.5,0,MIN(H38+N(J38),D38+E38+F38))</f>
        <v>0</v>
      </c>
      <c r="L38" s="41" t="n">
        <f aca="false">K38-E38-F38</f>
        <v>0</v>
      </c>
      <c r="M38" s="41" t="n">
        <f aca="false">D38-L38</f>
        <v>0</v>
      </c>
      <c r="N38" s="42" t="n">
        <f aca="false">K38-G38</f>
        <v>0</v>
      </c>
      <c r="O38" s="78"/>
      <c r="P38" s="79"/>
      <c r="Q38" s="16" t="str">
        <f aca="false">IF(K38=0,"",IF(R38=1,"Pagada",IF(C38&lt;$F$12,"Vencida",IF(12=$F$13,"Próxima","Pendiente"))))</f>
        <v/>
      </c>
      <c r="R38" s="62" t="n">
        <f aca="false">IF(AND(K38&gt;0,OR(O38="Sí",O38="Si")),1,0)</f>
        <v>0</v>
      </c>
      <c r="S38" s="62" t="n">
        <f aca="false">IF(AND(K38&gt;0,R38=0),1,0)</f>
        <v>0</v>
      </c>
    </row>
    <row r="39" customFormat="false" ht="15" hidden="false" customHeight="false" outlineLevel="0" collapsed="false">
      <c r="B39" s="71" t="str">
        <f aca="false">IF($F$6="Sí",N($C$11)+12,"")</f>
        <v/>
      </c>
      <c r="C39" s="72" t="str">
        <f aca="false">IF(OR($F$6&lt;&gt;"Sí",D39&lt;=0.5),"",EDATE($C$10,12))</f>
        <v/>
      </c>
      <c r="D39" s="41" t="n">
        <f aca="false">MAX(0,M38)</f>
        <v>0</v>
      </c>
      <c r="E39" s="41" t="n">
        <f aca="false">D39*$F$7</f>
        <v>0</v>
      </c>
      <c r="F39" s="41" t="n">
        <f aca="false">IF(D39&gt;0.5,N($C$15),0)</f>
        <v>0</v>
      </c>
      <c r="G39" s="41" t="n">
        <f aca="false">IF(AND(D39&gt;0.5,N($C$19)&gt;0,N(B39)&lt;=N($C$20)),D39*$F$8,0)</f>
        <v>0</v>
      </c>
      <c r="H39" s="41" t="n">
        <f aca="false">IF(D39&lt;=0.5,0,MIN(IF(N(I39)&gt;0,I39,$F$9),D39+E39+F39))</f>
        <v>0</v>
      </c>
      <c r="I39" s="77"/>
      <c r="J39" s="77"/>
      <c r="K39" s="41" t="n">
        <f aca="false">IF(D39&lt;=0.5,0,MIN(H39+N(J39),D39+E39+F39))</f>
        <v>0</v>
      </c>
      <c r="L39" s="41" t="n">
        <f aca="false">K39-E39-F39</f>
        <v>0</v>
      </c>
      <c r="M39" s="41" t="n">
        <f aca="false">D39-L39</f>
        <v>0</v>
      </c>
      <c r="N39" s="42" t="n">
        <f aca="false">K39-G39</f>
        <v>0</v>
      </c>
      <c r="O39" s="78"/>
      <c r="P39" s="79"/>
      <c r="Q39" s="16" t="str">
        <f aca="false">IF(K39=0,"",IF(R39=1,"Pagada",IF(C39&lt;$F$12,"Vencida",IF(13=$F$13,"Próxima","Pendiente"))))</f>
        <v/>
      </c>
      <c r="R39" s="62" t="n">
        <f aca="false">IF(AND(K39&gt;0,OR(O39="Sí",O39="Si")),1,0)</f>
        <v>0</v>
      </c>
      <c r="S39" s="62" t="n">
        <f aca="false">IF(AND(K39&gt;0,R39=0),1,0)</f>
        <v>0</v>
      </c>
    </row>
    <row r="40" customFormat="false" ht="15" hidden="false" customHeight="false" outlineLevel="0" collapsed="false">
      <c r="B40" s="71" t="str">
        <f aca="false">IF($F$6="Sí",N($C$11)+13,"")</f>
        <v/>
      </c>
      <c r="C40" s="72" t="str">
        <f aca="false">IF(OR($F$6&lt;&gt;"Sí",D40&lt;=0.5),"",EDATE($C$10,13))</f>
        <v/>
      </c>
      <c r="D40" s="41" t="n">
        <f aca="false">MAX(0,M39)</f>
        <v>0</v>
      </c>
      <c r="E40" s="41" t="n">
        <f aca="false">D40*$F$7</f>
        <v>0</v>
      </c>
      <c r="F40" s="41" t="n">
        <f aca="false">IF(D40&gt;0.5,N($C$15),0)</f>
        <v>0</v>
      </c>
      <c r="G40" s="41" t="n">
        <f aca="false">IF(AND(D40&gt;0.5,N($C$19)&gt;0,N(B40)&lt;=N($C$20)),D40*$F$8,0)</f>
        <v>0</v>
      </c>
      <c r="H40" s="41" t="n">
        <f aca="false">IF(D40&lt;=0.5,0,MIN(IF(N(I40)&gt;0,I40,$F$9),D40+E40+F40))</f>
        <v>0</v>
      </c>
      <c r="I40" s="77"/>
      <c r="J40" s="77"/>
      <c r="K40" s="41" t="n">
        <f aca="false">IF(D40&lt;=0.5,0,MIN(H40+N(J40),D40+E40+F40))</f>
        <v>0</v>
      </c>
      <c r="L40" s="41" t="n">
        <f aca="false">K40-E40-F40</f>
        <v>0</v>
      </c>
      <c r="M40" s="41" t="n">
        <f aca="false">D40-L40</f>
        <v>0</v>
      </c>
      <c r="N40" s="42" t="n">
        <f aca="false">K40-G40</f>
        <v>0</v>
      </c>
      <c r="O40" s="78"/>
      <c r="P40" s="79"/>
      <c r="Q40" s="16" t="str">
        <f aca="false">IF(K40=0,"",IF(R40=1,"Pagada",IF(C40&lt;$F$12,"Vencida",IF(14=$F$13,"Próxima","Pendiente"))))</f>
        <v/>
      </c>
      <c r="R40" s="62" t="n">
        <f aca="false">IF(AND(K40&gt;0,OR(O40="Sí",O40="Si")),1,0)</f>
        <v>0</v>
      </c>
      <c r="S40" s="62" t="n">
        <f aca="false">IF(AND(K40&gt;0,R40=0),1,0)</f>
        <v>0</v>
      </c>
    </row>
    <row r="41" customFormat="false" ht="15" hidden="false" customHeight="false" outlineLevel="0" collapsed="false">
      <c r="B41" s="71" t="str">
        <f aca="false">IF($F$6="Sí",N($C$11)+14,"")</f>
        <v/>
      </c>
      <c r="C41" s="72" t="str">
        <f aca="false">IF(OR($F$6&lt;&gt;"Sí",D41&lt;=0.5),"",EDATE($C$10,14))</f>
        <v/>
      </c>
      <c r="D41" s="41" t="n">
        <f aca="false">MAX(0,M40)</f>
        <v>0</v>
      </c>
      <c r="E41" s="41" t="n">
        <f aca="false">D41*$F$7</f>
        <v>0</v>
      </c>
      <c r="F41" s="41" t="n">
        <f aca="false">IF(D41&gt;0.5,N($C$15),0)</f>
        <v>0</v>
      </c>
      <c r="G41" s="41" t="n">
        <f aca="false">IF(AND(D41&gt;0.5,N($C$19)&gt;0,N(B41)&lt;=N($C$20)),D41*$F$8,0)</f>
        <v>0</v>
      </c>
      <c r="H41" s="41" t="n">
        <f aca="false">IF(D41&lt;=0.5,0,MIN(IF(N(I41)&gt;0,I41,$F$9),D41+E41+F41))</f>
        <v>0</v>
      </c>
      <c r="I41" s="77"/>
      <c r="J41" s="77"/>
      <c r="K41" s="41" t="n">
        <f aca="false">IF(D41&lt;=0.5,0,MIN(H41+N(J41),D41+E41+F41))</f>
        <v>0</v>
      </c>
      <c r="L41" s="41" t="n">
        <f aca="false">K41-E41-F41</f>
        <v>0</v>
      </c>
      <c r="M41" s="41" t="n">
        <f aca="false">D41-L41</f>
        <v>0</v>
      </c>
      <c r="N41" s="42" t="n">
        <f aca="false">K41-G41</f>
        <v>0</v>
      </c>
      <c r="O41" s="78"/>
      <c r="P41" s="79"/>
      <c r="Q41" s="16" t="str">
        <f aca="false">IF(K41=0,"",IF(R41=1,"Pagada",IF(C41&lt;$F$12,"Vencida",IF(15=$F$13,"Próxima","Pendiente"))))</f>
        <v/>
      </c>
      <c r="R41" s="62" t="n">
        <f aca="false">IF(AND(K41&gt;0,OR(O41="Sí",O41="Si")),1,0)</f>
        <v>0</v>
      </c>
      <c r="S41" s="62" t="n">
        <f aca="false">IF(AND(K41&gt;0,R41=0),1,0)</f>
        <v>0</v>
      </c>
    </row>
    <row r="42" customFormat="false" ht="15" hidden="false" customHeight="false" outlineLevel="0" collapsed="false">
      <c r="B42" s="71" t="str">
        <f aca="false">IF($F$6="Sí",N($C$11)+15,"")</f>
        <v/>
      </c>
      <c r="C42" s="72" t="str">
        <f aca="false">IF(OR($F$6&lt;&gt;"Sí",D42&lt;=0.5),"",EDATE($C$10,15))</f>
        <v/>
      </c>
      <c r="D42" s="41" t="n">
        <f aca="false">MAX(0,M41)</f>
        <v>0</v>
      </c>
      <c r="E42" s="41" t="n">
        <f aca="false">D42*$F$7</f>
        <v>0</v>
      </c>
      <c r="F42" s="41" t="n">
        <f aca="false">IF(D42&gt;0.5,N($C$15),0)</f>
        <v>0</v>
      </c>
      <c r="G42" s="41" t="n">
        <f aca="false">IF(AND(D42&gt;0.5,N($C$19)&gt;0,N(B42)&lt;=N($C$20)),D42*$F$8,0)</f>
        <v>0</v>
      </c>
      <c r="H42" s="41" t="n">
        <f aca="false">IF(D42&lt;=0.5,0,MIN(IF(N(I42)&gt;0,I42,$F$9),D42+E42+F42))</f>
        <v>0</v>
      </c>
      <c r="I42" s="77"/>
      <c r="J42" s="77"/>
      <c r="K42" s="41" t="n">
        <f aca="false">IF(D42&lt;=0.5,0,MIN(H42+N(J42),D42+E42+F42))</f>
        <v>0</v>
      </c>
      <c r="L42" s="41" t="n">
        <f aca="false">K42-E42-F42</f>
        <v>0</v>
      </c>
      <c r="M42" s="41" t="n">
        <f aca="false">D42-L42</f>
        <v>0</v>
      </c>
      <c r="N42" s="42" t="n">
        <f aca="false">K42-G42</f>
        <v>0</v>
      </c>
      <c r="O42" s="78"/>
      <c r="P42" s="79"/>
      <c r="Q42" s="16" t="str">
        <f aca="false">IF(K42=0,"",IF(R42=1,"Pagada",IF(C42&lt;$F$12,"Vencida",IF(16=$F$13,"Próxima","Pendiente"))))</f>
        <v/>
      </c>
      <c r="R42" s="62" t="n">
        <f aca="false">IF(AND(K42&gt;0,OR(O42="Sí",O42="Si")),1,0)</f>
        <v>0</v>
      </c>
      <c r="S42" s="62" t="n">
        <f aca="false">IF(AND(K42&gt;0,R42=0),1,0)</f>
        <v>0</v>
      </c>
    </row>
    <row r="43" customFormat="false" ht="15" hidden="false" customHeight="false" outlineLevel="0" collapsed="false">
      <c r="B43" s="71" t="str">
        <f aca="false">IF($F$6="Sí",N($C$11)+16,"")</f>
        <v/>
      </c>
      <c r="C43" s="72" t="str">
        <f aca="false">IF(OR($F$6&lt;&gt;"Sí",D43&lt;=0.5),"",EDATE($C$10,16))</f>
        <v/>
      </c>
      <c r="D43" s="41" t="n">
        <f aca="false">MAX(0,M42)</f>
        <v>0</v>
      </c>
      <c r="E43" s="41" t="n">
        <f aca="false">D43*$F$7</f>
        <v>0</v>
      </c>
      <c r="F43" s="41" t="n">
        <f aca="false">IF(D43&gt;0.5,N($C$15),0)</f>
        <v>0</v>
      </c>
      <c r="G43" s="41" t="n">
        <f aca="false">IF(AND(D43&gt;0.5,N($C$19)&gt;0,N(B43)&lt;=N($C$20)),D43*$F$8,0)</f>
        <v>0</v>
      </c>
      <c r="H43" s="41" t="n">
        <f aca="false">IF(D43&lt;=0.5,0,MIN(IF(N(I43)&gt;0,I43,$F$9),D43+E43+F43))</f>
        <v>0</v>
      </c>
      <c r="I43" s="77"/>
      <c r="J43" s="77"/>
      <c r="K43" s="41" t="n">
        <f aca="false">IF(D43&lt;=0.5,0,MIN(H43+N(J43),D43+E43+F43))</f>
        <v>0</v>
      </c>
      <c r="L43" s="41" t="n">
        <f aca="false">K43-E43-F43</f>
        <v>0</v>
      </c>
      <c r="M43" s="41" t="n">
        <f aca="false">D43-L43</f>
        <v>0</v>
      </c>
      <c r="N43" s="42" t="n">
        <f aca="false">K43-G43</f>
        <v>0</v>
      </c>
      <c r="O43" s="78"/>
      <c r="P43" s="79"/>
      <c r="Q43" s="16" t="str">
        <f aca="false">IF(K43=0,"",IF(R43=1,"Pagada",IF(C43&lt;$F$12,"Vencida",IF(17=$F$13,"Próxima","Pendiente"))))</f>
        <v/>
      </c>
      <c r="R43" s="62" t="n">
        <f aca="false">IF(AND(K43&gt;0,OR(O43="Sí",O43="Si")),1,0)</f>
        <v>0</v>
      </c>
      <c r="S43" s="62" t="n">
        <f aca="false">IF(AND(K43&gt;0,R43=0),1,0)</f>
        <v>0</v>
      </c>
    </row>
    <row r="44" customFormat="false" ht="15" hidden="false" customHeight="false" outlineLevel="0" collapsed="false">
      <c r="B44" s="71" t="str">
        <f aca="false">IF($F$6="Sí",N($C$11)+17,"")</f>
        <v/>
      </c>
      <c r="C44" s="72" t="str">
        <f aca="false">IF(OR($F$6&lt;&gt;"Sí",D44&lt;=0.5),"",EDATE($C$10,17))</f>
        <v/>
      </c>
      <c r="D44" s="41" t="n">
        <f aca="false">MAX(0,M43)</f>
        <v>0</v>
      </c>
      <c r="E44" s="41" t="n">
        <f aca="false">D44*$F$7</f>
        <v>0</v>
      </c>
      <c r="F44" s="41" t="n">
        <f aca="false">IF(D44&gt;0.5,N($C$15),0)</f>
        <v>0</v>
      </c>
      <c r="G44" s="41" t="n">
        <f aca="false">IF(AND(D44&gt;0.5,N($C$19)&gt;0,N(B44)&lt;=N($C$20)),D44*$F$8,0)</f>
        <v>0</v>
      </c>
      <c r="H44" s="41" t="n">
        <f aca="false">IF(D44&lt;=0.5,0,MIN(IF(N(I44)&gt;0,I44,$F$9),D44+E44+F44))</f>
        <v>0</v>
      </c>
      <c r="I44" s="77"/>
      <c r="J44" s="77"/>
      <c r="K44" s="41" t="n">
        <f aca="false">IF(D44&lt;=0.5,0,MIN(H44+N(J44),D44+E44+F44))</f>
        <v>0</v>
      </c>
      <c r="L44" s="41" t="n">
        <f aca="false">K44-E44-F44</f>
        <v>0</v>
      </c>
      <c r="M44" s="41" t="n">
        <f aca="false">D44-L44</f>
        <v>0</v>
      </c>
      <c r="N44" s="42" t="n">
        <f aca="false">K44-G44</f>
        <v>0</v>
      </c>
      <c r="O44" s="78"/>
      <c r="P44" s="79"/>
      <c r="Q44" s="16" t="str">
        <f aca="false">IF(K44=0,"",IF(R44=1,"Pagada",IF(C44&lt;$F$12,"Vencida",IF(18=$F$13,"Próxima","Pendiente"))))</f>
        <v/>
      </c>
      <c r="R44" s="62" t="n">
        <f aca="false">IF(AND(K44&gt;0,OR(O44="Sí",O44="Si")),1,0)</f>
        <v>0</v>
      </c>
      <c r="S44" s="62" t="n">
        <f aca="false">IF(AND(K44&gt;0,R44=0),1,0)</f>
        <v>0</v>
      </c>
    </row>
    <row r="45" customFormat="false" ht="15" hidden="false" customHeight="false" outlineLevel="0" collapsed="false">
      <c r="B45" s="71" t="str">
        <f aca="false">IF($F$6="Sí",N($C$11)+18,"")</f>
        <v/>
      </c>
      <c r="C45" s="72" t="str">
        <f aca="false">IF(OR($F$6&lt;&gt;"Sí",D45&lt;=0.5),"",EDATE($C$10,18))</f>
        <v/>
      </c>
      <c r="D45" s="41" t="n">
        <f aca="false">MAX(0,M44)</f>
        <v>0</v>
      </c>
      <c r="E45" s="41" t="n">
        <f aca="false">D45*$F$7</f>
        <v>0</v>
      </c>
      <c r="F45" s="41" t="n">
        <f aca="false">IF(D45&gt;0.5,N($C$15),0)</f>
        <v>0</v>
      </c>
      <c r="G45" s="41" t="n">
        <f aca="false">IF(AND(D45&gt;0.5,N($C$19)&gt;0,N(B45)&lt;=N($C$20)),D45*$F$8,0)</f>
        <v>0</v>
      </c>
      <c r="H45" s="41" t="n">
        <f aca="false">IF(D45&lt;=0.5,0,MIN(IF(N(I45)&gt;0,I45,$F$9),D45+E45+F45))</f>
        <v>0</v>
      </c>
      <c r="I45" s="77"/>
      <c r="J45" s="77"/>
      <c r="K45" s="41" t="n">
        <f aca="false">IF(D45&lt;=0.5,0,MIN(H45+N(J45),D45+E45+F45))</f>
        <v>0</v>
      </c>
      <c r="L45" s="41" t="n">
        <f aca="false">K45-E45-F45</f>
        <v>0</v>
      </c>
      <c r="M45" s="41" t="n">
        <f aca="false">D45-L45</f>
        <v>0</v>
      </c>
      <c r="N45" s="42" t="n">
        <f aca="false">K45-G45</f>
        <v>0</v>
      </c>
      <c r="O45" s="78"/>
      <c r="P45" s="79"/>
      <c r="Q45" s="16" t="str">
        <f aca="false">IF(K45=0,"",IF(R45=1,"Pagada",IF(C45&lt;$F$12,"Vencida",IF(19=$F$13,"Próxima","Pendiente"))))</f>
        <v/>
      </c>
      <c r="R45" s="62" t="n">
        <f aca="false">IF(AND(K45&gt;0,OR(O45="Sí",O45="Si")),1,0)</f>
        <v>0</v>
      </c>
      <c r="S45" s="62" t="n">
        <f aca="false">IF(AND(K45&gt;0,R45=0),1,0)</f>
        <v>0</v>
      </c>
    </row>
    <row r="46" customFormat="false" ht="15" hidden="false" customHeight="false" outlineLevel="0" collapsed="false">
      <c r="B46" s="71" t="str">
        <f aca="false">IF($F$6="Sí",N($C$11)+19,"")</f>
        <v/>
      </c>
      <c r="C46" s="72" t="str">
        <f aca="false">IF(OR($F$6&lt;&gt;"Sí",D46&lt;=0.5),"",EDATE($C$10,19))</f>
        <v/>
      </c>
      <c r="D46" s="41" t="n">
        <f aca="false">MAX(0,M45)</f>
        <v>0</v>
      </c>
      <c r="E46" s="41" t="n">
        <f aca="false">D46*$F$7</f>
        <v>0</v>
      </c>
      <c r="F46" s="41" t="n">
        <f aca="false">IF(D46&gt;0.5,N($C$15),0)</f>
        <v>0</v>
      </c>
      <c r="G46" s="41" t="n">
        <f aca="false">IF(AND(D46&gt;0.5,N($C$19)&gt;0,N(B46)&lt;=N($C$20)),D46*$F$8,0)</f>
        <v>0</v>
      </c>
      <c r="H46" s="41" t="n">
        <f aca="false">IF(D46&lt;=0.5,0,MIN(IF(N(I46)&gt;0,I46,$F$9),D46+E46+F46))</f>
        <v>0</v>
      </c>
      <c r="I46" s="77"/>
      <c r="J46" s="77"/>
      <c r="K46" s="41" t="n">
        <f aca="false">IF(D46&lt;=0.5,0,MIN(H46+N(J46),D46+E46+F46))</f>
        <v>0</v>
      </c>
      <c r="L46" s="41" t="n">
        <f aca="false">K46-E46-F46</f>
        <v>0</v>
      </c>
      <c r="M46" s="41" t="n">
        <f aca="false">D46-L46</f>
        <v>0</v>
      </c>
      <c r="N46" s="42" t="n">
        <f aca="false">K46-G46</f>
        <v>0</v>
      </c>
      <c r="O46" s="78"/>
      <c r="P46" s="79"/>
      <c r="Q46" s="16" t="str">
        <f aca="false">IF(K46=0,"",IF(R46=1,"Pagada",IF(C46&lt;$F$12,"Vencida",IF(20=$F$13,"Próxima","Pendiente"))))</f>
        <v/>
      </c>
      <c r="R46" s="62" t="n">
        <f aca="false">IF(AND(K46&gt;0,OR(O46="Sí",O46="Si")),1,0)</f>
        <v>0</v>
      </c>
      <c r="S46" s="62" t="n">
        <f aca="false">IF(AND(K46&gt;0,R46=0),1,0)</f>
        <v>0</v>
      </c>
    </row>
    <row r="47" customFormat="false" ht="15" hidden="false" customHeight="false" outlineLevel="0" collapsed="false">
      <c r="B47" s="71" t="str">
        <f aca="false">IF($F$6="Sí",N($C$11)+20,"")</f>
        <v/>
      </c>
      <c r="C47" s="72" t="str">
        <f aca="false">IF(OR($F$6&lt;&gt;"Sí",D47&lt;=0.5),"",EDATE($C$10,20))</f>
        <v/>
      </c>
      <c r="D47" s="41" t="n">
        <f aca="false">MAX(0,M46)</f>
        <v>0</v>
      </c>
      <c r="E47" s="41" t="n">
        <f aca="false">D47*$F$7</f>
        <v>0</v>
      </c>
      <c r="F47" s="41" t="n">
        <f aca="false">IF(D47&gt;0.5,N($C$15),0)</f>
        <v>0</v>
      </c>
      <c r="G47" s="41" t="n">
        <f aca="false">IF(AND(D47&gt;0.5,N($C$19)&gt;0,N(B47)&lt;=N($C$20)),D47*$F$8,0)</f>
        <v>0</v>
      </c>
      <c r="H47" s="41" t="n">
        <f aca="false">IF(D47&lt;=0.5,0,MIN(IF(N(I47)&gt;0,I47,$F$9),D47+E47+F47))</f>
        <v>0</v>
      </c>
      <c r="I47" s="77"/>
      <c r="J47" s="77"/>
      <c r="K47" s="41" t="n">
        <f aca="false">IF(D47&lt;=0.5,0,MIN(H47+N(J47),D47+E47+F47))</f>
        <v>0</v>
      </c>
      <c r="L47" s="41" t="n">
        <f aca="false">K47-E47-F47</f>
        <v>0</v>
      </c>
      <c r="M47" s="41" t="n">
        <f aca="false">D47-L47</f>
        <v>0</v>
      </c>
      <c r="N47" s="42" t="n">
        <f aca="false">K47-G47</f>
        <v>0</v>
      </c>
      <c r="O47" s="78"/>
      <c r="P47" s="79"/>
      <c r="Q47" s="16" t="str">
        <f aca="false">IF(K47=0,"",IF(R47=1,"Pagada",IF(C47&lt;$F$12,"Vencida",IF(21=$F$13,"Próxima","Pendiente"))))</f>
        <v/>
      </c>
      <c r="R47" s="62" t="n">
        <f aca="false">IF(AND(K47&gt;0,OR(O47="Sí",O47="Si")),1,0)</f>
        <v>0</v>
      </c>
      <c r="S47" s="62" t="n">
        <f aca="false">IF(AND(K47&gt;0,R47=0),1,0)</f>
        <v>0</v>
      </c>
    </row>
    <row r="48" customFormat="false" ht="15" hidden="false" customHeight="false" outlineLevel="0" collapsed="false">
      <c r="B48" s="71" t="str">
        <f aca="false">IF($F$6="Sí",N($C$11)+21,"")</f>
        <v/>
      </c>
      <c r="C48" s="72" t="str">
        <f aca="false">IF(OR($F$6&lt;&gt;"Sí",D48&lt;=0.5),"",EDATE($C$10,21))</f>
        <v/>
      </c>
      <c r="D48" s="41" t="n">
        <f aca="false">MAX(0,M47)</f>
        <v>0</v>
      </c>
      <c r="E48" s="41" t="n">
        <f aca="false">D48*$F$7</f>
        <v>0</v>
      </c>
      <c r="F48" s="41" t="n">
        <f aca="false">IF(D48&gt;0.5,N($C$15),0)</f>
        <v>0</v>
      </c>
      <c r="G48" s="41" t="n">
        <f aca="false">IF(AND(D48&gt;0.5,N($C$19)&gt;0,N(B48)&lt;=N($C$20)),D48*$F$8,0)</f>
        <v>0</v>
      </c>
      <c r="H48" s="41" t="n">
        <f aca="false">IF(D48&lt;=0.5,0,MIN(IF(N(I48)&gt;0,I48,$F$9),D48+E48+F48))</f>
        <v>0</v>
      </c>
      <c r="I48" s="77"/>
      <c r="J48" s="77"/>
      <c r="K48" s="41" t="n">
        <f aca="false">IF(D48&lt;=0.5,0,MIN(H48+N(J48),D48+E48+F48))</f>
        <v>0</v>
      </c>
      <c r="L48" s="41" t="n">
        <f aca="false">K48-E48-F48</f>
        <v>0</v>
      </c>
      <c r="M48" s="41" t="n">
        <f aca="false">D48-L48</f>
        <v>0</v>
      </c>
      <c r="N48" s="42" t="n">
        <f aca="false">K48-G48</f>
        <v>0</v>
      </c>
      <c r="O48" s="78"/>
      <c r="P48" s="79"/>
      <c r="Q48" s="16" t="str">
        <f aca="false">IF(K48=0,"",IF(R48=1,"Pagada",IF(C48&lt;$F$12,"Vencida",IF(22=$F$13,"Próxima","Pendiente"))))</f>
        <v/>
      </c>
      <c r="R48" s="62" t="n">
        <f aca="false">IF(AND(K48&gt;0,OR(O48="Sí",O48="Si")),1,0)</f>
        <v>0</v>
      </c>
      <c r="S48" s="62" t="n">
        <f aca="false">IF(AND(K48&gt;0,R48=0),1,0)</f>
        <v>0</v>
      </c>
    </row>
    <row r="49" customFormat="false" ht="15" hidden="false" customHeight="false" outlineLevel="0" collapsed="false">
      <c r="B49" s="71" t="str">
        <f aca="false">IF($F$6="Sí",N($C$11)+22,"")</f>
        <v/>
      </c>
      <c r="C49" s="72" t="str">
        <f aca="false">IF(OR($F$6&lt;&gt;"Sí",D49&lt;=0.5),"",EDATE($C$10,22))</f>
        <v/>
      </c>
      <c r="D49" s="41" t="n">
        <f aca="false">MAX(0,M48)</f>
        <v>0</v>
      </c>
      <c r="E49" s="41" t="n">
        <f aca="false">D49*$F$7</f>
        <v>0</v>
      </c>
      <c r="F49" s="41" t="n">
        <f aca="false">IF(D49&gt;0.5,N($C$15),0)</f>
        <v>0</v>
      </c>
      <c r="G49" s="41" t="n">
        <f aca="false">IF(AND(D49&gt;0.5,N($C$19)&gt;0,N(B49)&lt;=N($C$20)),D49*$F$8,0)</f>
        <v>0</v>
      </c>
      <c r="H49" s="41" t="n">
        <f aca="false">IF(D49&lt;=0.5,0,MIN(IF(N(I49)&gt;0,I49,$F$9),D49+E49+F49))</f>
        <v>0</v>
      </c>
      <c r="I49" s="77"/>
      <c r="J49" s="77"/>
      <c r="K49" s="41" t="n">
        <f aca="false">IF(D49&lt;=0.5,0,MIN(H49+N(J49),D49+E49+F49))</f>
        <v>0</v>
      </c>
      <c r="L49" s="41" t="n">
        <f aca="false">K49-E49-F49</f>
        <v>0</v>
      </c>
      <c r="M49" s="41" t="n">
        <f aca="false">D49-L49</f>
        <v>0</v>
      </c>
      <c r="N49" s="42" t="n">
        <f aca="false">K49-G49</f>
        <v>0</v>
      </c>
      <c r="O49" s="78"/>
      <c r="P49" s="79"/>
      <c r="Q49" s="16" t="str">
        <f aca="false">IF(K49=0,"",IF(R49=1,"Pagada",IF(C49&lt;$F$12,"Vencida",IF(23=$F$13,"Próxima","Pendiente"))))</f>
        <v/>
      </c>
      <c r="R49" s="62" t="n">
        <f aca="false">IF(AND(K49&gt;0,OR(O49="Sí",O49="Si")),1,0)</f>
        <v>0</v>
      </c>
      <c r="S49" s="62" t="n">
        <f aca="false">IF(AND(K49&gt;0,R49=0),1,0)</f>
        <v>0</v>
      </c>
    </row>
    <row r="50" customFormat="false" ht="15" hidden="false" customHeight="false" outlineLevel="0" collapsed="false">
      <c r="B50" s="71" t="str">
        <f aca="false">IF($F$6="Sí",N($C$11)+23,"")</f>
        <v/>
      </c>
      <c r="C50" s="72" t="str">
        <f aca="false">IF(OR($F$6&lt;&gt;"Sí",D50&lt;=0.5),"",EDATE($C$10,23))</f>
        <v/>
      </c>
      <c r="D50" s="41" t="n">
        <f aca="false">MAX(0,M49)</f>
        <v>0</v>
      </c>
      <c r="E50" s="41" t="n">
        <f aca="false">D50*$F$7</f>
        <v>0</v>
      </c>
      <c r="F50" s="41" t="n">
        <f aca="false">IF(D50&gt;0.5,N($C$15),0)</f>
        <v>0</v>
      </c>
      <c r="G50" s="41" t="n">
        <f aca="false">IF(AND(D50&gt;0.5,N($C$19)&gt;0,N(B50)&lt;=N($C$20)),D50*$F$8,0)</f>
        <v>0</v>
      </c>
      <c r="H50" s="41" t="n">
        <f aca="false">IF(D50&lt;=0.5,0,MIN(IF(N(I50)&gt;0,I50,$F$9),D50+E50+F50))</f>
        <v>0</v>
      </c>
      <c r="I50" s="77"/>
      <c r="J50" s="77"/>
      <c r="K50" s="41" t="n">
        <f aca="false">IF(D50&lt;=0.5,0,MIN(H50+N(J50),D50+E50+F50))</f>
        <v>0</v>
      </c>
      <c r="L50" s="41" t="n">
        <f aca="false">K50-E50-F50</f>
        <v>0</v>
      </c>
      <c r="M50" s="41" t="n">
        <f aca="false">D50-L50</f>
        <v>0</v>
      </c>
      <c r="N50" s="42" t="n">
        <f aca="false">K50-G50</f>
        <v>0</v>
      </c>
      <c r="O50" s="78"/>
      <c r="P50" s="79"/>
      <c r="Q50" s="16" t="str">
        <f aca="false">IF(K50=0,"",IF(R50=1,"Pagada",IF(C50&lt;$F$12,"Vencida",IF(24=$F$13,"Próxima","Pendiente"))))</f>
        <v/>
      </c>
      <c r="R50" s="62" t="n">
        <f aca="false">IF(AND(K50&gt;0,OR(O50="Sí",O50="Si")),1,0)</f>
        <v>0</v>
      </c>
      <c r="S50" s="62" t="n">
        <f aca="false">IF(AND(K50&gt;0,R50=0),1,0)</f>
        <v>0</v>
      </c>
    </row>
    <row r="51" customFormat="false" ht="15" hidden="false" customHeight="false" outlineLevel="0" collapsed="false">
      <c r="B51" s="71" t="str">
        <f aca="false">IF($F$6="Sí",N($C$11)+24,"")</f>
        <v/>
      </c>
      <c r="C51" s="72" t="str">
        <f aca="false">IF(OR($F$6&lt;&gt;"Sí",D51&lt;=0.5),"",EDATE($C$10,24))</f>
        <v/>
      </c>
      <c r="D51" s="41" t="n">
        <f aca="false">MAX(0,M50)</f>
        <v>0</v>
      </c>
      <c r="E51" s="41" t="n">
        <f aca="false">D51*$F$7</f>
        <v>0</v>
      </c>
      <c r="F51" s="41" t="n">
        <f aca="false">IF(D51&gt;0.5,N($C$15),0)</f>
        <v>0</v>
      </c>
      <c r="G51" s="41" t="n">
        <f aca="false">IF(AND(D51&gt;0.5,N($C$19)&gt;0,N(B51)&lt;=N($C$20)),D51*$F$8,0)</f>
        <v>0</v>
      </c>
      <c r="H51" s="41" t="n">
        <f aca="false">IF(D51&lt;=0.5,0,MIN(IF(N(I51)&gt;0,I51,$F$9),D51+E51+F51))</f>
        <v>0</v>
      </c>
      <c r="I51" s="77"/>
      <c r="J51" s="77"/>
      <c r="K51" s="41" t="n">
        <f aca="false">IF(D51&lt;=0.5,0,MIN(H51+N(J51),D51+E51+F51))</f>
        <v>0</v>
      </c>
      <c r="L51" s="41" t="n">
        <f aca="false">K51-E51-F51</f>
        <v>0</v>
      </c>
      <c r="M51" s="41" t="n">
        <f aca="false">D51-L51</f>
        <v>0</v>
      </c>
      <c r="N51" s="42" t="n">
        <f aca="false">K51-G51</f>
        <v>0</v>
      </c>
      <c r="O51" s="78"/>
      <c r="P51" s="79"/>
      <c r="Q51" s="16" t="str">
        <f aca="false">IF(K51=0,"",IF(R51=1,"Pagada",IF(C51&lt;$F$12,"Vencida",IF(25=$F$13,"Próxima","Pendiente"))))</f>
        <v/>
      </c>
      <c r="R51" s="62" t="n">
        <f aca="false">IF(AND(K51&gt;0,OR(O51="Sí",O51="Si")),1,0)</f>
        <v>0</v>
      </c>
      <c r="S51" s="62" t="n">
        <f aca="false">IF(AND(K51&gt;0,R51=0),1,0)</f>
        <v>0</v>
      </c>
    </row>
    <row r="52" customFormat="false" ht="15" hidden="false" customHeight="false" outlineLevel="0" collapsed="false">
      <c r="B52" s="71" t="str">
        <f aca="false">IF($F$6="Sí",N($C$11)+25,"")</f>
        <v/>
      </c>
      <c r="C52" s="72" t="str">
        <f aca="false">IF(OR($F$6&lt;&gt;"Sí",D52&lt;=0.5),"",EDATE($C$10,25))</f>
        <v/>
      </c>
      <c r="D52" s="41" t="n">
        <f aca="false">MAX(0,M51)</f>
        <v>0</v>
      </c>
      <c r="E52" s="41" t="n">
        <f aca="false">D52*$F$7</f>
        <v>0</v>
      </c>
      <c r="F52" s="41" t="n">
        <f aca="false">IF(D52&gt;0.5,N($C$15),0)</f>
        <v>0</v>
      </c>
      <c r="G52" s="41" t="n">
        <f aca="false">IF(AND(D52&gt;0.5,N($C$19)&gt;0,N(B52)&lt;=N($C$20)),D52*$F$8,0)</f>
        <v>0</v>
      </c>
      <c r="H52" s="41" t="n">
        <f aca="false">IF(D52&lt;=0.5,0,MIN(IF(N(I52)&gt;0,I52,$F$9),D52+E52+F52))</f>
        <v>0</v>
      </c>
      <c r="I52" s="77"/>
      <c r="J52" s="77"/>
      <c r="K52" s="41" t="n">
        <f aca="false">IF(D52&lt;=0.5,0,MIN(H52+N(J52),D52+E52+F52))</f>
        <v>0</v>
      </c>
      <c r="L52" s="41" t="n">
        <f aca="false">K52-E52-F52</f>
        <v>0</v>
      </c>
      <c r="M52" s="41" t="n">
        <f aca="false">D52-L52</f>
        <v>0</v>
      </c>
      <c r="N52" s="42" t="n">
        <f aca="false">K52-G52</f>
        <v>0</v>
      </c>
      <c r="O52" s="78"/>
      <c r="P52" s="79"/>
      <c r="Q52" s="16" t="str">
        <f aca="false">IF(K52=0,"",IF(R52=1,"Pagada",IF(C52&lt;$F$12,"Vencida",IF(26=$F$13,"Próxima","Pendiente"))))</f>
        <v/>
      </c>
      <c r="R52" s="62" t="n">
        <f aca="false">IF(AND(K52&gt;0,OR(O52="Sí",O52="Si")),1,0)</f>
        <v>0</v>
      </c>
      <c r="S52" s="62" t="n">
        <f aca="false">IF(AND(K52&gt;0,R52=0),1,0)</f>
        <v>0</v>
      </c>
    </row>
    <row r="53" customFormat="false" ht="15" hidden="false" customHeight="false" outlineLevel="0" collapsed="false">
      <c r="B53" s="71" t="str">
        <f aca="false">IF($F$6="Sí",N($C$11)+26,"")</f>
        <v/>
      </c>
      <c r="C53" s="72" t="str">
        <f aca="false">IF(OR($F$6&lt;&gt;"Sí",D53&lt;=0.5),"",EDATE($C$10,26))</f>
        <v/>
      </c>
      <c r="D53" s="41" t="n">
        <f aca="false">MAX(0,M52)</f>
        <v>0</v>
      </c>
      <c r="E53" s="41" t="n">
        <f aca="false">D53*$F$7</f>
        <v>0</v>
      </c>
      <c r="F53" s="41" t="n">
        <f aca="false">IF(D53&gt;0.5,N($C$15),0)</f>
        <v>0</v>
      </c>
      <c r="G53" s="41" t="n">
        <f aca="false">IF(AND(D53&gt;0.5,N($C$19)&gt;0,N(B53)&lt;=N($C$20)),D53*$F$8,0)</f>
        <v>0</v>
      </c>
      <c r="H53" s="41" t="n">
        <f aca="false">IF(D53&lt;=0.5,0,MIN(IF(N(I53)&gt;0,I53,$F$9),D53+E53+F53))</f>
        <v>0</v>
      </c>
      <c r="I53" s="77"/>
      <c r="J53" s="77"/>
      <c r="K53" s="41" t="n">
        <f aca="false">IF(D53&lt;=0.5,0,MIN(H53+N(J53),D53+E53+F53))</f>
        <v>0</v>
      </c>
      <c r="L53" s="41" t="n">
        <f aca="false">K53-E53-F53</f>
        <v>0</v>
      </c>
      <c r="M53" s="41" t="n">
        <f aca="false">D53-L53</f>
        <v>0</v>
      </c>
      <c r="N53" s="42" t="n">
        <f aca="false">K53-G53</f>
        <v>0</v>
      </c>
      <c r="O53" s="78"/>
      <c r="P53" s="79"/>
      <c r="Q53" s="16" t="str">
        <f aca="false">IF(K53=0,"",IF(R53=1,"Pagada",IF(C53&lt;$F$12,"Vencida",IF(27=$F$13,"Próxima","Pendiente"))))</f>
        <v/>
      </c>
      <c r="R53" s="62" t="n">
        <f aca="false">IF(AND(K53&gt;0,OR(O53="Sí",O53="Si")),1,0)</f>
        <v>0</v>
      </c>
      <c r="S53" s="62" t="n">
        <f aca="false">IF(AND(K53&gt;0,R53=0),1,0)</f>
        <v>0</v>
      </c>
    </row>
    <row r="54" customFormat="false" ht="15" hidden="false" customHeight="false" outlineLevel="0" collapsed="false">
      <c r="B54" s="71" t="str">
        <f aca="false">IF($F$6="Sí",N($C$11)+27,"")</f>
        <v/>
      </c>
      <c r="C54" s="72" t="str">
        <f aca="false">IF(OR($F$6&lt;&gt;"Sí",D54&lt;=0.5),"",EDATE($C$10,27))</f>
        <v/>
      </c>
      <c r="D54" s="41" t="n">
        <f aca="false">MAX(0,M53)</f>
        <v>0</v>
      </c>
      <c r="E54" s="41" t="n">
        <f aca="false">D54*$F$7</f>
        <v>0</v>
      </c>
      <c r="F54" s="41" t="n">
        <f aca="false">IF(D54&gt;0.5,N($C$15),0)</f>
        <v>0</v>
      </c>
      <c r="G54" s="41" t="n">
        <f aca="false">IF(AND(D54&gt;0.5,N($C$19)&gt;0,N(B54)&lt;=N($C$20)),D54*$F$8,0)</f>
        <v>0</v>
      </c>
      <c r="H54" s="41" t="n">
        <f aca="false">IF(D54&lt;=0.5,0,MIN(IF(N(I54)&gt;0,I54,$F$9),D54+E54+F54))</f>
        <v>0</v>
      </c>
      <c r="I54" s="77"/>
      <c r="J54" s="77"/>
      <c r="K54" s="41" t="n">
        <f aca="false">IF(D54&lt;=0.5,0,MIN(H54+N(J54),D54+E54+F54))</f>
        <v>0</v>
      </c>
      <c r="L54" s="41" t="n">
        <f aca="false">K54-E54-F54</f>
        <v>0</v>
      </c>
      <c r="M54" s="41" t="n">
        <f aca="false">D54-L54</f>
        <v>0</v>
      </c>
      <c r="N54" s="42" t="n">
        <f aca="false">K54-G54</f>
        <v>0</v>
      </c>
      <c r="O54" s="78"/>
      <c r="P54" s="79"/>
      <c r="Q54" s="16" t="str">
        <f aca="false">IF(K54=0,"",IF(R54=1,"Pagada",IF(C54&lt;$F$12,"Vencida",IF(28=$F$13,"Próxima","Pendiente"))))</f>
        <v/>
      </c>
      <c r="R54" s="62" t="n">
        <f aca="false">IF(AND(K54&gt;0,OR(O54="Sí",O54="Si")),1,0)</f>
        <v>0</v>
      </c>
      <c r="S54" s="62" t="n">
        <f aca="false">IF(AND(K54&gt;0,R54=0),1,0)</f>
        <v>0</v>
      </c>
    </row>
    <row r="55" customFormat="false" ht="15" hidden="false" customHeight="false" outlineLevel="0" collapsed="false">
      <c r="B55" s="71" t="str">
        <f aca="false">IF($F$6="Sí",N($C$11)+28,"")</f>
        <v/>
      </c>
      <c r="C55" s="72" t="str">
        <f aca="false">IF(OR($F$6&lt;&gt;"Sí",D55&lt;=0.5),"",EDATE($C$10,28))</f>
        <v/>
      </c>
      <c r="D55" s="41" t="n">
        <f aca="false">MAX(0,M54)</f>
        <v>0</v>
      </c>
      <c r="E55" s="41" t="n">
        <f aca="false">D55*$F$7</f>
        <v>0</v>
      </c>
      <c r="F55" s="41" t="n">
        <f aca="false">IF(D55&gt;0.5,N($C$15),0)</f>
        <v>0</v>
      </c>
      <c r="G55" s="41" t="n">
        <f aca="false">IF(AND(D55&gt;0.5,N($C$19)&gt;0,N(B55)&lt;=N($C$20)),D55*$F$8,0)</f>
        <v>0</v>
      </c>
      <c r="H55" s="41" t="n">
        <f aca="false">IF(D55&lt;=0.5,0,MIN(IF(N(I55)&gt;0,I55,$F$9),D55+E55+F55))</f>
        <v>0</v>
      </c>
      <c r="I55" s="77"/>
      <c r="J55" s="77"/>
      <c r="K55" s="41" t="n">
        <f aca="false">IF(D55&lt;=0.5,0,MIN(H55+N(J55),D55+E55+F55))</f>
        <v>0</v>
      </c>
      <c r="L55" s="41" t="n">
        <f aca="false">K55-E55-F55</f>
        <v>0</v>
      </c>
      <c r="M55" s="41" t="n">
        <f aca="false">D55-L55</f>
        <v>0</v>
      </c>
      <c r="N55" s="42" t="n">
        <f aca="false">K55-G55</f>
        <v>0</v>
      </c>
      <c r="O55" s="78"/>
      <c r="P55" s="79"/>
      <c r="Q55" s="16" t="str">
        <f aca="false">IF(K55=0,"",IF(R55=1,"Pagada",IF(C55&lt;$F$12,"Vencida",IF(29=$F$13,"Próxima","Pendiente"))))</f>
        <v/>
      </c>
      <c r="R55" s="62" t="n">
        <f aca="false">IF(AND(K55&gt;0,OR(O55="Sí",O55="Si")),1,0)</f>
        <v>0</v>
      </c>
      <c r="S55" s="62" t="n">
        <f aca="false">IF(AND(K55&gt;0,R55=0),1,0)</f>
        <v>0</v>
      </c>
    </row>
    <row r="56" customFormat="false" ht="15" hidden="false" customHeight="false" outlineLevel="0" collapsed="false">
      <c r="B56" s="71" t="str">
        <f aca="false">IF($F$6="Sí",N($C$11)+29,"")</f>
        <v/>
      </c>
      <c r="C56" s="72" t="str">
        <f aca="false">IF(OR($F$6&lt;&gt;"Sí",D56&lt;=0.5),"",EDATE($C$10,29))</f>
        <v/>
      </c>
      <c r="D56" s="41" t="n">
        <f aca="false">MAX(0,M55)</f>
        <v>0</v>
      </c>
      <c r="E56" s="41" t="n">
        <f aca="false">D56*$F$7</f>
        <v>0</v>
      </c>
      <c r="F56" s="41" t="n">
        <f aca="false">IF(D56&gt;0.5,N($C$15),0)</f>
        <v>0</v>
      </c>
      <c r="G56" s="41" t="n">
        <f aca="false">IF(AND(D56&gt;0.5,N($C$19)&gt;0,N(B56)&lt;=N($C$20)),D56*$F$8,0)</f>
        <v>0</v>
      </c>
      <c r="H56" s="41" t="n">
        <f aca="false">IF(D56&lt;=0.5,0,MIN(IF(N(I56)&gt;0,I56,$F$9),D56+E56+F56))</f>
        <v>0</v>
      </c>
      <c r="I56" s="77"/>
      <c r="J56" s="77"/>
      <c r="K56" s="41" t="n">
        <f aca="false">IF(D56&lt;=0.5,0,MIN(H56+N(J56),D56+E56+F56))</f>
        <v>0</v>
      </c>
      <c r="L56" s="41" t="n">
        <f aca="false">K56-E56-F56</f>
        <v>0</v>
      </c>
      <c r="M56" s="41" t="n">
        <f aca="false">D56-L56</f>
        <v>0</v>
      </c>
      <c r="N56" s="42" t="n">
        <f aca="false">K56-G56</f>
        <v>0</v>
      </c>
      <c r="O56" s="78"/>
      <c r="P56" s="79"/>
      <c r="Q56" s="16" t="str">
        <f aca="false">IF(K56=0,"",IF(R56=1,"Pagada",IF(C56&lt;$F$12,"Vencida",IF(30=$F$13,"Próxima","Pendiente"))))</f>
        <v/>
      </c>
      <c r="R56" s="62" t="n">
        <f aca="false">IF(AND(K56&gt;0,OR(O56="Sí",O56="Si")),1,0)</f>
        <v>0</v>
      </c>
      <c r="S56" s="62" t="n">
        <f aca="false">IF(AND(K56&gt;0,R56=0),1,0)</f>
        <v>0</v>
      </c>
    </row>
    <row r="57" customFormat="false" ht="15" hidden="false" customHeight="false" outlineLevel="0" collapsed="false">
      <c r="B57" s="71" t="str">
        <f aca="false">IF($F$6="Sí",N($C$11)+30,"")</f>
        <v/>
      </c>
      <c r="C57" s="72" t="str">
        <f aca="false">IF(OR($F$6&lt;&gt;"Sí",D57&lt;=0.5),"",EDATE($C$10,30))</f>
        <v/>
      </c>
      <c r="D57" s="41" t="n">
        <f aca="false">MAX(0,M56)</f>
        <v>0</v>
      </c>
      <c r="E57" s="41" t="n">
        <f aca="false">D57*$F$7</f>
        <v>0</v>
      </c>
      <c r="F57" s="41" t="n">
        <f aca="false">IF(D57&gt;0.5,N($C$15),0)</f>
        <v>0</v>
      </c>
      <c r="G57" s="41" t="n">
        <f aca="false">IF(AND(D57&gt;0.5,N($C$19)&gt;0,N(B57)&lt;=N($C$20)),D57*$F$8,0)</f>
        <v>0</v>
      </c>
      <c r="H57" s="41" t="n">
        <f aca="false">IF(D57&lt;=0.5,0,MIN(IF(N(I57)&gt;0,I57,$F$9),D57+E57+F57))</f>
        <v>0</v>
      </c>
      <c r="I57" s="77"/>
      <c r="J57" s="77"/>
      <c r="K57" s="41" t="n">
        <f aca="false">IF(D57&lt;=0.5,0,MIN(H57+N(J57),D57+E57+F57))</f>
        <v>0</v>
      </c>
      <c r="L57" s="41" t="n">
        <f aca="false">K57-E57-F57</f>
        <v>0</v>
      </c>
      <c r="M57" s="41" t="n">
        <f aca="false">D57-L57</f>
        <v>0</v>
      </c>
      <c r="N57" s="42" t="n">
        <f aca="false">K57-G57</f>
        <v>0</v>
      </c>
      <c r="O57" s="78"/>
      <c r="P57" s="79"/>
      <c r="Q57" s="16" t="str">
        <f aca="false">IF(K57=0,"",IF(R57=1,"Pagada",IF(C57&lt;$F$12,"Vencida",IF(31=$F$13,"Próxima","Pendiente"))))</f>
        <v/>
      </c>
      <c r="R57" s="62" t="n">
        <f aca="false">IF(AND(K57&gt;0,OR(O57="Sí",O57="Si")),1,0)</f>
        <v>0</v>
      </c>
      <c r="S57" s="62" t="n">
        <f aca="false">IF(AND(K57&gt;0,R57=0),1,0)</f>
        <v>0</v>
      </c>
    </row>
    <row r="58" customFormat="false" ht="15" hidden="false" customHeight="false" outlineLevel="0" collapsed="false">
      <c r="B58" s="71" t="str">
        <f aca="false">IF($F$6="Sí",N($C$11)+31,"")</f>
        <v/>
      </c>
      <c r="C58" s="72" t="str">
        <f aca="false">IF(OR($F$6&lt;&gt;"Sí",D58&lt;=0.5),"",EDATE($C$10,31))</f>
        <v/>
      </c>
      <c r="D58" s="41" t="n">
        <f aca="false">MAX(0,M57)</f>
        <v>0</v>
      </c>
      <c r="E58" s="41" t="n">
        <f aca="false">D58*$F$7</f>
        <v>0</v>
      </c>
      <c r="F58" s="41" t="n">
        <f aca="false">IF(D58&gt;0.5,N($C$15),0)</f>
        <v>0</v>
      </c>
      <c r="G58" s="41" t="n">
        <f aca="false">IF(AND(D58&gt;0.5,N($C$19)&gt;0,N(B58)&lt;=N($C$20)),D58*$F$8,0)</f>
        <v>0</v>
      </c>
      <c r="H58" s="41" t="n">
        <f aca="false">IF(D58&lt;=0.5,0,MIN(IF(N(I58)&gt;0,I58,$F$9),D58+E58+F58))</f>
        <v>0</v>
      </c>
      <c r="I58" s="77"/>
      <c r="J58" s="77"/>
      <c r="K58" s="41" t="n">
        <f aca="false">IF(D58&lt;=0.5,0,MIN(H58+N(J58),D58+E58+F58))</f>
        <v>0</v>
      </c>
      <c r="L58" s="41" t="n">
        <f aca="false">K58-E58-F58</f>
        <v>0</v>
      </c>
      <c r="M58" s="41" t="n">
        <f aca="false">D58-L58</f>
        <v>0</v>
      </c>
      <c r="N58" s="42" t="n">
        <f aca="false">K58-G58</f>
        <v>0</v>
      </c>
      <c r="O58" s="78"/>
      <c r="P58" s="79"/>
      <c r="Q58" s="16" t="str">
        <f aca="false">IF(K58=0,"",IF(R58=1,"Pagada",IF(C58&lt;$F$12,"Vencida",IF(32=$F$13,"Próxima","Pendiente"))))</f>
        <v/>
      </c>
      <c r="R58" s="62" t="n">
        <f aca="false">IF(AND(K58&gt;0,OR(O58="Sí",O58="Si")),1,0)</f>
        <v>0</v>
      </c>
      <c r="S58" s="62" t="n">
        <f aca="false">IF(AND(K58&gt;0,R58=0),1,0)</f>
        <v>0</v>
      </c>
    </row>
    <row r="59" customFormat="false" ht="15" hidden="false" customHeight="false" outlineLevel="0" collapsed="false">
      <c r="B59" s="71" t="str">
        <f aca="false">IF($F$6="Sí",N($C$11)+32,"")</f>
        <v/>
      </c>
      <c r="C59" s="72" t="str">
        <f aca="false">IF(OR($F$6&lt;&gt;"Sí",D59&lt;=0.5),"",EDATE($C$10,32))</f>
        <v/>
      </c>
      <c r="D59" s="41" t="n">
        <f aca="false">MAX(0,M58)</f>
        <v>0</v>
      </c>
      <c r="E59" s="41" t="n">
        <f aca="false">D59*$F$7</f>
        <v>0</v>
      </c>
      <c r="F59" s="41" t="n">
        <f aca="false">IF(D59&gt;0.5,N($C$15),0)</f>
        <v>0</v>
      </c>
      <c r="G59" s="41" t="n">
        <f aca="false">IF(AND(D59&gt;0.5,N($C$19)&gt;0,N(B59)&lt;=N($C$20)),D59*$F$8,0)</f>
        <v>0</v>
      </c>
      <c r="H59" s="41" t="n">
        <f aca="false">IF(D59&lt;=0.5,0,MIN(IF(N(I59)&gt;0,I59,$F$9),D59+E59+F59))</f>
        <v>0</v>
      </c>
      <c r="I59" s="77"/>
      <c r="J59" s="77"/>
      <c r="K59" s="41" t="n">
        <f aca="false">IF(D59&lt;=0.5,0,MIN(H59+N(J59),D59+E59+F59))</f>
        <v>0</v>
      </c>
      <c r="L59" s="41" t="n">
        <f aca="false">K59-E59-F59</f>
        <v>0</v>
      </c>
      <c r="M59" s="41" t="n">
        <f aca="false">D59-L59</f>
        <v>0</v>
      </c>
      <c r="N59" s="42" t="n">
        <f aca="false">K59-G59</f>
        <v>0</v>
      </c>
      <c r="O59" s="78"/>
      <c r="P59" s="79"/>
      <c r="Q59" s="16" t="str">
        <f aca="false">IF(K59=0,"",IF(R59=1,"Pagada",IF(C59&lt;$F$12,"Vencida",IF(33=$F$13,"Próxima","Pendiente"))))</f>
        <v/>
      </c>
      <c r="R59" s="62" t="n">
        <f aca="false">IF(AND(K59&gt;0,OR(O59="Sí",O59="Si")),1,0)</f>
        <v>0</v>
      </c>
      <c r="S59" s="62" t="n">
        <f aca="false">IF(AND(K59&gt;0,R59=0),1,0)</f>
        <v>0</v>
      </c>
    </row>
    <row r="60" customFormat="false" ht="15" hidden="false" customHeight="false" outlineLevel="0" collapsed="false">
      <c r="B60" s="71" t="str">
        <f aca="false">IF($F$6="Sí",N($C$11)+33,"")</f>
        <v/>
      </c>
      <c r="C60" s="72" t="str">
        <f aca="false">IF(OR($F$6&lt;&gt;"Sí",D60&lt;=0.5),"",EDATE($C$10,33))</f>
        <v/>
      </c>
      <c r="D60" s="41" t="n">
        <f aca="false">MAX(0,M59)</f>
        <v>0</v>
      </c>
      <c r="E60" s="41" t="n">
        <f aca="false">D60*$F$7</f>
        <v>0</v>
      </c>
      <c r="F60" s="41" t="n">
        <f aca="false">IF(D60&gt;0.5,N($C$15),0)</f>
        <v>0</v>
      </c>
      <c r="G60" s="41" t="n">
        <f aca="false">IF(AND(D60&gt;0.5,N($C$19)&gt;0,N(B60)&lt;=N($C$20)),D60*$F$8,0)</f>
        <v>0</v>
      </c>
      <c r="H60" s="41" t="n">
        <f aca="false">IF(D60&lt;=0.5,0,MIN(IF(N(I60)&gt;0,I60,$F$9),D60+E60+F60))</f>
        <v>0</v>
      </c>
      <c r="I60" s="77"/>
      <c r="J60" s="77"/>
      <c r="K60" s="41" t="n">
        <f aca="false">IF(D60&lt;=0.5,0,MIN(H60+N(J60),D60+E60+F60))</f>
        <v>0</v>
      </c>
      <c r="L60" s="41" t="n">
        <f aca="false">K60-E60-F60</f>
        <v>0</v>
      </c>
      <c r="M60" s="41" t="n">
        <f aca="false">D60-L60</f>
        <v>0</v>
      </c>
      <c r="N60" s="42" t="n">
        <f aca="false">K60-G60</f>
        <v>0</v>
      </c>
      <c r="O60" s="78"/>
      <c r="P60" s="79"/>
      <c r="Q60" s="16" t="str">
        <f aca="false">IF(K60=0,"",IF(R60=1,"Pagada",IF(C60&lt;$F$12,"Vencida",IF(34=$F$13,"Próxima","Pendiente"))))</f>
        <v/>
      </c>
      <c r="R60" s="62" t="n">
        <f aca="false">IF(AND(K60&gt;0,OR(O60="Sí",O60="Si")),1,0)</f>
        <v>0</v>
      </c>
      <c r="S60" s="62" t="n">
        <f aca="false">IF(AND(K60&gt;0,R60=0),1,0)</f>
        <v>0</v>
      </c>
    </row>
    <row r="61" customFormat="false" ht="15" hidden="false" customHeight="false" outlineLevel="0" collapsed="false">
      <c r="B61" s="71" t="str">
        <f aca="false">IF($F$6="Sí",N($C$11)+34,"")</f>
        <v/>
      </c>
      <c r="C61" s="72" t="str">
        <f aca="false">IF(OR($F$6&lt;&gt;"Sí",D61&lt;=0.5),"",EDATE($C$10,34))</f>
        <v/>
      </c>
      <c r="D61" s="41" t="n">
        <f aca="false">MAX(0,M60)</f>
        <v>0</v>
      </c>
      <c r="E61" s="41" t="n">
        <f aca="false">D61*$F$7</f>
        <v>0</v>
      </c>
      <c r="F61" s="41" t="n">
        <f aca="false">IF(D61&gt;0.5,N($C$15),0)</f>
        <v>0</v>
      </c>
      <c r="G61" s="41" t="n">
        <f aca="false">IF(AND(D61&gt;0.5,N($C$19)&gt;0,N(B61)&lt;=N($C$20)),D61*$F$8,0)</f>
        <v>0</v>
      </c>
      <c r="H61" s="41" t="n">
        <f aca="false">IF(D61&lt;=0.5,0,MIN(IF(N(I61)&gt;0,I61,$F$9),D61+E61+F61))</f>
        <v>0</v>
      </c>
      <c r="I61" s="77"/>
      <c r="J61" s="77"/>
      <c r="K61" s="41" t="n">
        <f aca="false">IF(D61&lt;=0.5,0,MIN(H61+N(J61),D61+E61+F61))</f>
        <v>0</v>
      </c>
      <c r="L61" s="41" t="n">
        <f aca="false">K61-E61-F61</f>
        <v>0</v>
      </c>
      <c r="M61" s="41" t="n">
        <f aca="false">D61-L61</f>
        <v>0</v>
      </c>
      <c r="N61" s="42" t="n">
        <f aca="false">K61-G61</f>
        <v>0</v>
      </c>
      <c r="O61" s="78"/>
      <c r="P61" s="79"/>
      <c r="Q61" s="16" t="str">
        <f aca="false">IF(K61=0,"",IF(R61=1,"Pagada",IF(C61&lt;$F$12,"Vencida",IF(35=$F$13,"Próxima","Pendiente"))))</f>
        <v/>
      </c>
      <c r="R61" s="62" t="n">
        <f aca="false">IF(AND(K61&gt;0,OR(O61="Sí",O61="Si")),1,0)</f>
        <v>0</v>
      </c>
      <c r="S61" s="62" t="n">
        <f aca="false">IF(AND(K61&gt;0,R61=0),1,0)</f>
        <v>0</v>
      </c>
    </row>
    <row r="62" customFormat="false" ht="15" hidden="false" customHeight="false" outlineLevel="0" collapsed="false">
      <c r="B62" s="71" t="str">
        <f aca="false">IF($F$6="Sí",N($C$11)+35,"")</f>
        <v/>
      </c>
      <c r="C62" s="72" t="str">
        <f aca="false">IF(OR($F$6&lt;&gt;"Sí",D62&lt;=0.5),"",EDATE($C$10,35))</f>
        <v/>
      </c>
      <c r="D62" s="41" t="n">
        <f aca="false">MAX(0,M61)</f>
        <v>0</v>
      </c>
      <c r="E62" s="41" t="n">
        <f aca="false">D62*$F$7</f>
        <v>0</v>
      </c>
      <c r="F62" s="41" t="n">
        <f aca="false">IF(D62&gt;0.5,N($C$15),0)</f>
        <v>0</v>
      </c>
      <c r="G62" s="41" t="n">
        <f aca="false">IF(AND(D62&gt;0.5,N($C$19)&gt;0,N(B62)&lt;=N($C$20)),D62*$F$8,0)</f>
        <v>0</v>
      </c>
      <c r="H62" s="41" t="n">
        <f aca="false">IF(D62&lt;=0.5,0,MIN(IF(N(I62)&gt;0,I62,$F$9),D62+E62+F62))</f>
        <v>0</v>
      </c>
      <c r="I62" s="77"/>
      <c r="J62" s="77"/>
      <c r="K62" s="41" t="n">
        <f aca="false">IF(D62&lt;=0.5,0,MIN(H62+N(J62),D62+E62+F62))</f>
        <v>0</v>
      </c>
      <c r="L62" s="41" t="n">
        <f aca="false">K62-E62-F62</f>
        <v>0</v>
      </c>
      <c r="M62" s="41" t="n">
        <f aca="false">D62-L62</f>
        <v>0</v>
      </c>
      <c r="N62" s="42" t="n">
        <f aca="false">K62-G62</f>
        <v>0</v>
      </c>
      <c r="O62" s="78"/>
      <c r="P62" s="79"/>
      <c r="Q62" s="16" t="str">
        <f aca="false">IF(K62=0,"",IF(R62=1,"Pagada",IF(C62&lt;$F$12,"Vencida",IF(36=$F$13,"Próxima","Pendiente"))))</f>
        <v/>
      </c>
      <c r="R62" s="62" t="n">
        <f aca="false">IF(AND(K62&gt;0,OR(O62="Sí",O62="Si")),1,0)</f>
        <v>0</v>
      </c>
      <c r="S62" s="62" t="n">
        <f aca="false">IF(AND(K62&gt;0,R62=0),1,0)</f>
        <v>0</v>
      </c>
    </row>
    <row r="63" customFormat="false" ht="15" hidden="false" customHeight="false" outlineLevel="0" collapsed="false">
      <c r="B63" s="71" t="str">
        <f aca="false">IF($F$6="Sí",N($C$11)+36,"")</f>
        <v/>
      </c>
      <c r="C63" s="72" t="str">
        <f aca="false">IF(OR($F$6&lt;&gt;"Sí",D63&lt;=0.5),"",EDATE($C$10,36))</f>
        <v/>
      </c>
      <c r="D63" s="41" t="n">
        <f aca="false">MAX(0,M62)</f>
        <v>0</v>
      </c>
      <c r="E63" s="41" t="n">
        <f aca="false">D63*$F$7</f>
        <v>0</v>
      </c>
      <c r="F63" s="41" t="n">
        <f aca="false">IF(D63&gt;0.5,N($C$15),0)</f>
        <v>0</v>
      </c>
      <c r="G63" s="41" t="n">
        <f aca="false">IF(AND(D63&gt;0.5,N($C$19)&gt;0,N(B63)&lt;=N($C$20)),D63*$F$8,0)</f>
        <v>0</v>
      </c>
      <c r="H63" s="41" t="n">
        <f aca="false">IF(D63&lt;=0.5,0,MIN(IF(N(I63)&gt;0,I63,$F$9),D63+E63+F63))</f>
        <v>0</v>
      </c>
      <c r="I63" s="77"/>
      <c r="J63" s="77"/>
      <c r="K63" s="41" t="n">
        <f aca="false">IF(D63&lt;=0.5,0,MIN(H63+N(J63),D63+E63+F63))</f>
        <v>0</v>
      </c>
      <c r="L63" s="41" t="n">
        <f aca="false">K63-E63-F63</f>
        <v>0</v>
      </c>
      <c r="M63" s="41" t="n">
        <f aca="false">D63-L63</f>
        <v>0</v>
      </c>
      <c r="N63" s="42" t="n">
        <f aca="false">K63-G63</f>
        <v>0</v>
      </c>
      <c r="O63" s="78"/>
      <c r="P63" s="79"/>
      <c r="Q63" s="16" t="str">
        <f aca="false">IF(K63=0,"",IF(R63=1,"Pagada",IF(C63&lt;$F$12,"Vencida",IF(37=$F$13,"Próxima","Pendiente"))))</f>
        <v/>
      </c>
      <c r="R63" s="62" t="n">
        <f aca="false">IF(AND(K63&gt;0,OR(O63="Sí",O63="Si")),1,0)</f>
        <v>0</v>
      </c>
      <c r="S63" s="62" t="n">
        <f aca="false">IF(AND(K63&gt;0,R63=0),1,0)</f>
        <v>0</v>
      </c>
    </row>
    <row r="64" customFormat="false" ht="15" hidden="false" customHeight="false" outlineLevel="0" collapsed="false">
      <c r="B64" s="71" t="str">
        <f aca="false">IF($F$6="Sí",N($C$11)+37,"")</f>
        <v/>
      </c>
      <c r="C64" s="72" t="str">
        <f aca="false">IF(OR($F$6&lt;&gt;"Sí",D64&lt;=0.5),"",EDATE($C$10,37))</f>
        <v/>
      </c>
      <c r="D64" s="41" t="n">
        <f aca="false">MAX(0,M63)</f>
        <v>0</v>
      </c>
      <c r="E64" s="41" t="n">
        <f aca="false">D64*$F$7</f>
        <v>0</v>
      </c>
      <c r="F64" s="41" t="n">
        <f aca="false">IF(D64&gt;0.5,N($C$15),0)</f>
        <v>0</v>
      </c>
      <c r="G64" s="41" t="n">
        <f aca="false">IF(AND(D64&gt;0.5,N($C$19)&gt;0,N(B64)&lt;=N($C$20)),D64*$F$8,0)</f>
        <v>0</v>
      </c>
      <c r="H64" s="41" t="n">
        <f aca="false">IF(D64&lt;=0.5,0,MIN(IF(N(I64)&gt;0,I64,$F$9),D64+E64+F64))</f>
        <v>0</v>
      </c>
      <c r="I64" s="77"/>
      <c r="J64" s="77"/>
      <c r="K64" s="41" t="n">
        <f aca="false">IF(D64&lt;=0.5,0,MIN(H64+N(J64),D64+E64+F64))</f>
        <v>0</v>
      </c>
      <c r="L64" s="41" t="n">
        <f aca="false">K64-E64-F64</f>
        <v>0</v>
      </c>
      <c r="M64" s="41" t="n">
        <f aca="false">D64-L64</f>
        <v>0</v>
      </c>
      <c r="N64" s="42" t="n">
        <f aca="false">K64-G64</f>
        <v>0</v>
      </c>
      <c r="O64" s="78"/>
      <c r="P64" s="79"/>
      <c r="Q64" s="16" t="str">
        <f aca="false">IF(K64=0,"",IF(R64=1,"Pagada",IF(C64&lt;$F$12,"Vencida",IF(38=$F$13,"Próxima","Pendiente"))))</f>
        <v/>
      </c>
      <c r="R64" s="62" t="n">
        <f aca="false">IF(AND(K64&gt;0,OR(O64="Sí",O64="Si")),1,0)</f>
        <v>0</v>
      </c>
      <c r="S64" s="62" t="n">
        <f aca="false">IF(AND(K64&gt;0,R64=0),1,0)</f>
        <v>0</v>
      </c>
    </row>
    <row r="65" customFormat="false" ht="15" hidden="false" customHeight="false" outlineLevel="0" collapsed="false">
      <c r="B65" s="71" t="str">
        <f aca="false">IF($F$6="Sí",N($C$11)+38,"")</f>
        <v/>
      </c>
      <c r="C65" s="72" t="str">
        <f aca="false">IF(OR($F$6&lt;&gt;"Sí",D65&lt;=0.5),"",EDATE($C$10,38))</f>
        <v/>
      </c>
      <c r="D65" s="41" t="n">
        <f aca="false">MAX(0,M64)</f>
        <v>0</v>
      </c>
      <c r="E65" s="41" t="n">
        <f aca="false">D65*$F$7</f>
        <v>0</v>
      </c>
      <c r="F65" s="41" t="n">
        <f aca="false">IF(D65&gt;0.5,N($C$15),0)</f>
        <v>0</v>
      </c>
      <c r="G65" s="41" t="n">
        <f aca="false">IF(AND(D65&gt;0.5,N($C$19)&gt;0,N(B65)&lt;=N($C$20)),D65*$F$8,0)</f>
        <v>0</v>
      </c>
      <c r="H65" s="41" t="n">
        <f aca="false">IF(D65&lt;=0.5,0,MIN(IF(N(I65)&gt;0,I65,$F$9),D65+E65+F65))</f>
        <v>0</v>
      </c>
      <c r="I65" s="77"/>
      <c r="J65" s="77"/>
      <c r="K65" s="41" t="n">
        <f aca="false">IF(D65&lt;=0.5,0,MIN(H65+N(J65),D65+E65+F65))</f>
        <v>0</v>
      </c>
      <c r="L65" s="41" t="n">
        <f aca="false">K65-E65-F65</f>
        <v>0</v>
      </c>
      <c r="M65" s="41" t="n">
        <f aca="false">D65-L65</f>
        <v>0</v>
      </c>
      <c r="N65" s="42" t="n">
        <f aca="false">K65-G65</f>
        <v>0</v>
      </c>
      <c r="O65" s="78"/>
      <c r="P65" s="79"/>
      <c r="Q65" s="16" t="str">
        <f aca="false">IF(K65=0,"",IF(R65=1,"Pagada",IF(C65&lt;$F$12,"Vencida",IF(39=$F$13,"Próxima","Pendiente"))))</f>
        <v/>
      </c>
      <c r="R65" s="62" t="n">
        <f aca="false">IF(AND(K65&gt;0,OR(O65="Sí",O65="Si")),1,0)</f>
        <v>0</v>
      </c>
      <c r="S65" s="62" t="n">
        <f aca="false">IF(AND(K65&gt;0,R65=0),1,0)</f>
        <v>0</v>
      </c>
    </row>
    <row r="66" customFormat="false" ht="15" hidden="false" customHeight="false" outlineLevel="0" collapsed="false">
      <c r="B66" s="71" t="str">
        <f aca="false">IF($F$6="Sí",N($C$11)+39,"")</f>
        <v/>
      </c>
      <c r="C66" s="72" t="str">
        <f aca="false">IF(OR($F$6&lt;&gt;"Sí",D66&lt;=0.5),"",EDATE($C$10,39))</f>
        <v/>
      </c>
      <c r="D66" s="41" t="n">
        <f aca="false">MAX(0,M65)</f>
        <v>0</v>
      </c>
      <c r="E66" s="41" t="n">
        <f aca="false">D66*$F$7</f>
        <v>0</v>
      </c>
      <c r="F66" s="41" t="n">
        <f aca="false">IF(D66&gt;0.5,N($C$15),0)</f>
        <v>0</v>
      </c>
      <c r="G66" s="41" t="n">
        <f aca="false">IF(AND(D66&gt;0.5,N($C$19)&gt;0,N(B66)&lt;=N($C$20)),D66*$F$8,0)</f>
        <v>0</v>
      </c>
      <c r="H66" s="41" t="n">
        <f aca="false">IF(D66&lt;=0.5,0,MIN(IF(N(I66)&gt;0,I66,$F$9),D66+E66+F66))</f>
        <v>0</v>
      </c>
      <c r="I66" s="77"/>
      <c r="J66" s="77"/>
      <c r="K66" s="41" t="n">
        <f aca="false">IF(D66&lt;=0.5,0,MIN(H66+N(J66),D66+E66+F66))</f>
        <v>0</v>
      </c>
      <c r="L66" s="41" t="n">
        <f aca="false">K66-E66-F66</f>
        <v>0</v>
      </c>
      <c r="M66" s="41" t="n">
        <f aca="false">D66-L66</f>
        <v>0</v>
      </c>
      <c r="N66" s="42" t="n">
        <f aca="false">K66-G66</f>
        <v>0</v>
      </c>
      <c r="O66" s="78"/>
      <c r="P66" s="79"/>
      <c r="Q66" s="16" t="str">
        <f aca="false">IF(K66=0,"",IF(R66=1,"Pagada",IF(C66&lt;$F$12,"Vencida",IF(40=$F$13,"Próxima","Pendiente"))))</f>
        <v/>
      </c>
      <c r="R66" s="62" t="n">
        <f aca="false">IF(AND(K66&gt;0,OR(O66="Sí",O66="Si")),1,0)</f>
        <v>0</v>
      </c>
      <c r="S66" s="62" t="n">
        <f aca="false">IF(AND(K66&gt;0,R66=0),1,0)</f>
        <v>0</v>
      </c>
    </row>
    <row r="67" customFormat="false" ht="15" hidden="false" customHeight="false" outlineLevel="0" collapsed="false">
      <c r="B67" s="71" t="str">
        <f aca="false">IF($F$6="Sí",N($C$11)+40,"")</f>
        <v/>
      </c>
      <c r="C67" s="72" t="str">
        <f aca="false">IF(OR($F$6&lt;&gt;"Sí",D67&lt;=0.5),"",EDATE($C$10,40))</f>
        <v/>
      </c>
      <c r="D67" s="41" t="n">
        <f aca="false">MAX(0,M66)</f>
        <v>0</v>
      </c>
      <c r="E67" s="41" t="n">
        <f aca="false">D67*$F$7</f>
        <v>0</v>
      </c>
      <c r="F67" s="41" t="n">
        <f aca="false">IF(D67&gt;0.5,N($C$15),0)</f>
        <v>0</v>
      </c>
      <c r="G67" s="41" t="n">
        <f aca="false">IF(AND(D67&gt;0.5,N($C$19)&gt;0,N(B67)&lt;=N($C$20)),D67*$F$8,0)</f>
        <v>0</v>
      </c>
      <c r="H67" s="41" t="n">
        <f aca="false">IF(D67&lt;=0.5,0,MIN(IF(N(I67)&gt;0,I67,$F$9),D67+E67+F67))</f>
        <v>0</v>
      </c>
      <c r="I67" s="77"/>
      <c r="J67" s="77"/>
      <c r="K67" s="41" t="n">
        <f aca="false">IF(D67&lt;=0.5,0,MIN(H67+N(J67),D67+E67+F67))</f>
        <v>0</v>
      </c>
      <c r="L67" s="41" t="n">
        <f aca="false">K67-E67-F67</f>
        <v>0</v>
      </c>
      <c r="M67" s="41" t="n">
        <f aca="false">D67-L67</f>
        <v>0</v>
      </c>
      <c r="N67" s="42" t="n">
        <f aca="false">K67-G67</f>
        <v>0</v>
      </c>
      <c r="O67" s="78"/>
      <c r="P67" s="79"/>
      <c r="Q67" s="16" t="str">
        <f aca="false">IF(K67=0,"",IF(R67=1,"Pagada",IF(C67&lt;$F$12,"Vencida",IF(41=$F$13,"Próxima","Pendiente"))))</f>
        <v/>
      </c>
      <c r="R67" s="62" t="n">
        <f aca="false">IF(AND(K67&gt;0,OR(O67="Sí",O67="Si")),1,0)</f>
        <v>0</v>
      </c>
      <c r="S67" s="62" t="n">
        <f aca="false">IF(AND(K67&gt;0,R67=0),1,0)</f>
        <v>0</v>
      </c>
    </row>
    <row r="68" customFormat="false" ht="15" hidden="false" customHeight="false" outlineLevel="0" collapsed="false">
      <c r="B68" s="71" t="str">
        <f aca="false">IF($F$6="Sí",N($C$11)+41,"")</f>
        <v/>
      </c>
      <c r="C68" s="72" t="str">
        <f aca="false">IF(OR($F$6&lt;&gt;"Sí",D68&lt;=0.5),"",EDATE($C$10,41))</f>
        <v/>
      </c>
      <c r="D68" s="41" t="n">
        <f aca="false">MAX(0,M67)</f>
        <v>0</v>
      </c>
      <c r="E68" s="41" t="n">
        <f aca="false">D68*$F$7</f>
        <v>0</v>
      </c>
      <c r="F68" s="41" t="n">
        <f aca="false">IF(D68&gt;0.5,N($C$15),0)</f>
        <v>0</v>
      </c>
      <c r="G68" s="41" t="n">
        <f aca="false">IF(AND(D68&gt;0.5,N($C$19)&gt;0,N(B68)&lt;=N($C$20)),D68*$F$8,0)</f>
        <v>0</v>
      </c>
      <c r="H68" s="41" t="n">
        <f aca="false">IF(D68&lt;=0.5,0,MIN(IF(N(I68)&gt;0,I68,$F$9),D68+E68+F68))</f>
        <v>0</v>
      </c>
      <c r="I68" s="77"/>
      <c r="J68" s="77"/>
      <c r="K68" s="41" t="n">
        <f aca="false">IF(D68&lt;=0.5,0,MIN(H68+N(J68),D68+E68+F68))</f>
        <v>0</v>
      </c>
      <c r="L68" s="41" t="n">
        <f aca="false">K68-E68-F68</f>
        <v>0</v>
      </c>
      <c r="M68" s="41" t="n">
        <f aca="false">D68-L68</f>
        <v>0</v>
      </c>
      <c r="N68" s="42" t="n">
        <f aca="false">K68-G68</f>
        <v>0</v>
      </c>
      <c r="O68" s="78"/>
      <c r="P68" s="79"/>
      <c r="Q68" s="16" t="str">
        <f aca="false">IF(K68=0,"",IF(R68=1,"Pagada",IF(C68&lt;$F$12,"Vencida",IF(42=$F$13,"Próxima","Pendiente"))))</f>
        <v/>
      </c>
      <c r="R68" s="62" t="n">
        <f aca="false">IF(AND(K68&gt;0,OR(O68="Sí",O68="Si")),1,0)</f>
        <v>0</v>
      </c>
      <c r="S68" s="62" t="n">
        <f aca="false">IF(AND(K68&gt;0,R68=0),1,0)</f>
        <v>0</v>
      </c>
    </row>
    <row r="69" customFormat="false" ht="15" hidden="false" customHeight="false" outlineLevel="0" collapsed="false">
      <c r="B69" s="71" t="str">
        <f aca="false">IF($F$6="Sí",N($C$11)+42,"")</f>
        <v/>
      </c>
      <c r="C69" s="72" t="str">
        <f aca="false">IF(OR($F$6&lt;&gt;"Sí",D69&lt;=0.5),"",EDATE($C$10,42))</f>
        <v/>
      </c>
      <c r="D69" s="41" t="n">
        <f aca="false">MAX(0,M68)</f>
        <v>0</v>
      </c>
      <c r="E69" s="41" t="n">
        <f aca="false">D69*$F$7</f>
        <v>0</v>
      </c>
      <c r="F69" s="41" t="n">
        <f aca="false">IF(D69&gt;0.5,N($C$15),0)</f>
        <v>0</v>
      </c>
      <c r="G69" s="41" t="n">
        <f aca="false">IF(AND(D69&gt;0.5,N($C$19)&gt;0,N(B69)&lt;=N($C$20)),D69*$F$8,0)</f>
        <v>0</v>
      </c>
      <c r="H69" s="41" t="n">
        <f aca="false">IF(D69&lt;=0.5,0,MIN(IF(N(I69)&gt;0,I69,$F$9),D69+E69+F69))</f>
        <v>0</v>
      </c>
      <c r="I69" s="77"/>
      <c r="J69" s="77"/>
      <c r="K69" s="41" t="n">
        <f aca="false">IF(D69&lt;=0.5,0,MIN(H69+N(J69),D69+E69+F69))</f>
        <v>0</v>
      </c>
      <c r="L69" s="41" t="n">
        <f aca="false">K69-E69-F69</f>
        <v>0</v>
      </c>
      <c r="M69" s="41" t="n">
        <f aca="false">D69-L69</f>
        <v>0</v>
      </c>
      <c r="N69" s="42" t="n">
        <f aca="false">K69-G69</f>
        <v>0</v>
      </c>
      <c r="O69" s="78"/>
      <c r="P69" s="79"/>
      <c r="Q69" s="16" t="str">
        <f aca="false">IF(K69=0,"",IF(R69=1,"Pagada",IF(C69&lt;$F$12,"Vencida",IF(43=$F$13,"Próxima","Pendiente"))))</f>
        <v/>
      </c>
      <c r="R69" s="62" t="n">
        <f aca="false">IF(AND(K69&gt;0,OR(O69="Sí",O69="Si")),1,0)</f>
        <v>0</v>
      </c>
      <c r="S69" s="62" t="n">
        <f aca="false">IF(AND(K69&gt;0,R69=0),1,0)</f>
        <v>0</v>
      </c>
    </row>
    <row r="70" customFormat="false" ht="15" hidden="false" customHeight="false" outlineLevel="0" collapsed="false">
      <c r="B70" s="71" t="str">
        <f aca="false">IF($F$6="Sí",N($C$11)+43,"")</f>
        <v/>
      </c>
      <c r="C70" s="72" t="str">
        <f aca="false">IF(OR($F$6&lt;&gt;"Sí",D70&lt;=0.5),"",EDATE($C$10,43))</f>
        <v/>
      </c>
      <c r="D70" s="41" t="n">
        <f aca="false">MAX(0,M69)</f>
        <v>0</v>
      </c>
      <c r="E70" s="41" t="n">
        <f aca="false">D70*$F$7</f>
        <v>0</v>
      </c>
      <c r="F70" s="41" t="n">
        <f aca="false">IF(D70&gt;0.5,N($C$15),0)</f>
        <v>0</v>
      </c>
      <c r="G70" s="41" t="n">
        <f aca="false">IF(AND(D70&gt;0.5,N($C$19)&gt;0,N(B70)&lt;=N($C$20)),D70*$F$8,0)</f>
        <v>0</v>
      </c>
      <c r="H70" s="41" t="n">
        <f aca="false">IF(D70&lt;=0.5,0,MIN(IF(N(I70)&gt;0,I70,$F$9),D70+E70+F70))</f>
        <v>0</v>
      </c>
      <c r="I70" s="77"/>
      <c r="J70" s="77"/>
      <c r="K70" s="41" t="n">
        <f aca="false">IF(D70&lt;=0.5,0,MIN(H70+N(J70),D70+E70+F70))</f>
        <v>0</v>
      </c>
      <c r="L70" s="41" t="n">
        <f aca="false">K70-E70-F70</f>
        <v>0</v>
      </c>
      <c r="M70" s="41" t="n">
        <f aca="false">D70-L70</f>
        <v>0</v>
      </c>
      <c r="N70" s="42" t="n">
        <f aca="false">K70-G70</f>
        <v>0</v>
      </c>
      <c r="O70" s="78"/>
      <c r="P70" s="79"/>
      <c r="Q70" s="16" t="str">
        <f aca="false">IF(K70=0,"",IF(R70=1,"Pagada",IF(C70&lt;$F$12,"Vencida",IF(44=$F$13,"Próxima","Pendiente"))))</f>
        <v/>
      </c>
      <c r="R70" s="62" t="n">
        <f aca="false">IF(AND(K70&gt;0,OR(O70="Sí",O70="Si")),1,0)</f>
        <v>0</v>
      </c>
      <c r="S70" s="62" t="n">
        <f aca="false">IF(AND(K70&gt;0,R70=0),1,0)</f>
        <v>0</v>
      </c>
    </row>
    <row r="71" customFormat="false" ht="15" hidden="false" customHeight="false" outlineLevel="0" collapsed="false">
      <c r="B71" s="71" t="str">
        <f aca="false">IF($F$6="Sí",N($C$11)+44,"")</f>
        <v/>
      </c>
      <c r="C71" s="72" t="str">
        <f aca="false">IF(OR($F$6&lt;&gt;"Sí",D71&lt;=0.5),"",EDATE($C$10,44))</f>
        <v/>
      </c>
      <c r="D71" s="41" t="n">
        <f aca="false">MAX(0,M70)</f>
        <v>0</v>
      </c>
      <c r="E71" s="41" t="n">
        <f aca="false">D71*$F$7</f>
        <v>0</v>
      </c>
      <c r="F71" s="41" t="n">
        <f aca="false">IF(D71&gt;0.5,N($C$15),0)</f>
        <v>0</v>
      </c>
      <c r="G71" s="41" t="n">
        <f aca="false">IF(AND(D71&gt;0.5,N($C$19)&gt;0,N(B71)&lt;=N($C$20)),D71*$F$8,0)</f>
        <v>0</v>
      </c>
      <c r="H71" s="41" t="n">
        <f aca="false">IF(D71&lt;=0.5,0,MIN(IF(N(I71)&gt;0,I71,$F$9),D71+E71+F71))</f>
        <v>0</v>
      </c>
      <c r="I71" s="77"/>
      <c r="J71" s="77"/>
      <c r="K71" s="41" t="n">
        <f aca="false">IF(D71&lt;=0.5,0,MIN(H71+N(J71),D71+E71+F71))</f>
        <v>0</v>
      </c>
      <c r="L71" s="41" t="n">
        <f aca="false">K71-E71-F71</f>
        <v>0</v>
      </c>
      <c r="M71" s="41" t="n">
        <f aca="false">D71-L71</f>
        <v>0</v>
      </c>
      <c r="N71" s="42" t="n">
        <f aca="false">K71-G71</f>
        <v>0</v>
      </c>
      <c r="O71" s="78"/>
      <c r="P71" s="79"/>
      <c r="Q71" s="16" t="str">
        <f aca="false">IF(K71=0,"",IF(R71=1,"Pagada",IF(C71&lt;$F$12,"Vencida",IF(45=$F$13,"Próxima","Pendiente"))))</f>
        <v/>
      </c>
      <c r="R71" s="62" t="n">
        <f aca="false">IF(AND(K71&gt;0,OR(O71="Sí",O71="Si")),1,0)</f>
        <v>0</v>
      </c>
      <c r="S71" s="62" t="n">
        <f aca="false">IF(AND(K71&gt;0,R71=0),1,0)</f>
        <v>0</v>
      </c>
    </row>
    <row r="72" customFormat="false" ht="15" hidden="false" customHeight="false" outlineLevel="0" collapsed="false">
      <c r="B72" s="71" t="str">
        <f aca="false">IF($F$6="Sí",N($C$11)+45,"")</f>
        <v/>
      </c>
      <c r="C72" s="72" t="str">
        <f aca="false">IF(OR($F$6&lt;&gt;"Sí",D72&lt;=0.5),"",EDATE($C$10,45))</f>
        <v/>
      </c>
      <c r="D72" s="41" t="n">
        <f aca="false">MAX(0,M71)</f>
        <v>0</v>
      </c>
      <c r="E72" s="41" t="n">
        <f aca="false">D72*$F$7</f>
        <v>0</v>
      </c>
      <c r="F72" s="41" t="n">
        <f aca="false">IF(D72&gt;0.5,N($C$15),0)</f>
        <v>0</v>
      </c>
      <c r="G72" s="41" t="n">
        <f aca="false">IF(AND(D72&gt;0.5,N($C$19)&gt;0,N(B72)&lt;=N($C$20)),D72*$F$8,0)</f>
        <v>0</v>
      </c>
      <c r="H72" s="41" t="n">
        <f aca="false">IF(D72&lt;=0.5,0,MIN(IF(N(I72)&gt;0,I72,$F$9),D72+E72+F72))</f>
        <v>0</v>
      </c>
      <c r="I72" s="77"/>
      <c r="J72" s="77"/>
      <c r="K72" s="41" t="n">
        <f aca="false">IF(D72&lt;=0.5,0,MIN(H72+N(J72),D72+E72+F72))</f>
        <v>0</v>
      </c>
      <c r="L72" s="41" t="n">
        <f aca="false">K72-E72-F72</f>
        <v>0</v>
      </c>
      <c r="M72" s="41" t="n">
        <f aca="false">D72-L72</f>
        <v>0</v>
      </c>
      <c r="N72" s="42" t="n">
        <f aca="false">K72-G72</f>
        <v>0</v>
      </c>
      <c r="O72" s="78"/>
      <c r="P72" s="79"/>
      <c r="Q72" s="16" t="str">
        <f aca="false">IF(K72=0,"",IF(R72=1,"Pagada",IF(C72&lt;$F$12,"Vencida",IF(46=$F$13,"Próxima","Pendiente"))))</f>
        <v/>
      </c>
      <c r="R72" s="62" t="n">
        <f aca="false">IF(AND(K72&gt;0,OR(O72="Sí",O72="Si")),1,0)</f>
        <v>0</v>
      </c>
      <c r="S72" s="62" t="n">
        <f aca="false">IF(AND(K72&gt;0,R72=0),1,0)</f>
        <v>0</v>
      </c>
    </row>
    <row r="73" customFormat="false" ht="15" hidden="false" customHeight="false" outlineLevel="0" collapsed="false">
      <c r="B73" s="71" t="str">
        <f aca="false">IF($F$6="Sí",N($C$11)+46,"")</f>
        <v/>
      </c>
      <c r="C73" s="72" t="str">
        <f aca="false">IF(OR($F$6&lt;&gt;"Sí",D73&lt;=0.5),"",EDATE($C$10,46))</f>
        <v/>
      </c>
      <c r="D73" s="41" t="n">
        <f aca="false">MAX(0,M72)</f>
        <v>0</v>
      </c>
      <c r="E73" s="41" t="n">
        <f aca="false">D73*$F$7</f>
        <v>0</v>
      </c>
      <c r="F73" s="41" t="n">
        <f aca="false">IF(D73&gt;0.5,N($C$15),0)</f>
        <v>0</v>
      </c>
      <c r="G73" s="41" t="n">
        <f aca="false">IF(AND(D73&gt;0.5,N($C$19)&gt;0,N(B73)&lt;=N($C$20)),D73*$F$8,0)</f>
        <v>0</v>
      </c>
      <c r="H73" s="41" t="n">
        <f aca="false">IF(D73&lt;=0.5,0,MIN(IF(N(I73)&gt;0,I73,$F$9),D73+E73+F73))</f>
        <v>0</v>
      </c>
      <c r="I73" s="77"/>
      <c r="J73" s="77"/>
      <c r="K73" s="41" t="n">
        <f aca="false">IF(D73&lt;=0.5,0,MIN(H73+N(J73),D73+E73+F73))</f>
        <v>0</v>
      </c>
      <c r="L73" s="41" t="n">
        <f aca="false">K73-E73-F73</f>
        <v>0</v>
      </c>
      <c r="M73" s="41" t="n">
        <f aca="false">D73-L73</f>
        <v>0</v>
      </c>
      <c r="N73" s="42" t="n">
        <f aca="false">K73-G73</f>
        <v>0</v>
      </c>
      <c r="O73" s="78"/>
      <c r="P73" s="79"/>
      <c r="Q73" s="16" t="str">
        <f aca="false">IF(K73=0,"",IF(R73=1,"Pagada",IF(C73&lt;$F$12,"Vencida",IF(47=$F$13,"Próxima","Pendiente"))))</f>
        <v/>
      </c>
      <c r="R73" s="62" t="n">
        <f aca="false">IF(AND(K73&gt;0,OR(O73="Sí",O73="Si")),1,0)</f>
        <v>0</v>
      </c>
      <c r="S73" s="62" t="n">
        <f aca="false">IF(AND(K73&gt;0,R73=0),1,0)</f>
        <v>0</v>
      </c>
    </row>
    <row r="74" customFormat="false" ht="15" hidden="false" customHeight="false" outlineLevel="0" collapsed="false">
      <c r="B74" s="71" t="str">
        <f aca="false">IF($F$6="Sí",N($C$11)+47,"")</f>
        <v/>
      </c>
      <c r="C74" s="72" t="str">
        <f aca="false">IF(OR($F$6&lt;&gt;"Sí",D74&lt;=0.5),"",EDATE($C$10,47))</f>
        <v/>
      </c>
      <c r="D74" s="41" t="n">
        <f aca="false">MAX(0,M73)</f>
        <v>0</v>
      </c>
      <c r="E74" s="41" t="n">
        <f aca="false">D74*$F$7</f>
        <v>0</v>
      </c>
      <c r="F74" s="41" t="n">
        <f aca="false">IF(D74&gt;0.5,N($C$15),0)</f>
        <v>0</v>
      </c>
      <c r="G74" s="41" t="n">
        <f aca="false">IF(AND(D74&gt;0.5,N($C$19)&gt;0,N(B74)&lt;=N($C$20)),D74*$F$8,0)</f>
        <v>0</v>
      </c>
      <c r="H74" s="41" t="n">
        <f aca="false">IF(D74&lt;=0.5,0,MIN(IF(N(I74)&gt;0,I74,$F$9),D74+E74+F74))</f>
        <v>0</v>
      </c>
      <c r="I74" s="77"/>
      <c r="J74" s="77"/>
      <c r="K74" s="41" t="n">
        <f aca="false">IF(D74&lt;=0.5,0,MIN(H74+N(J74),D74+E74+F74))</f>
        <v>0</v>
      </c>
      <c r="L74" s="41" t="n">
        <f aca="false">K74-E74-F74</f>
        <v>0</v>
      </c>
      <c r="M74" s="41" t="n">
        <f aca="false">D74-L74</f>
        <v>0</v>
      </c>
      <c r="N74" s="42" t="n">
        <f aca="false">K74-G74</f>
        <v>0</v>
      </c>
      <c r="O74" s="78"/>
      <c r="P74" s="79"/>
      <c r="Q74" s="16" t="str">
        <f aca="false">IF(K74=0,"",IF(R74=1,"Pagada",IF(C74&lt;$F$12,"Vencida",IF(48=$F$13,"Próxima","Pendiente"))))</f>
        <v/>
      </c>
      <c r="R74" s="62" t="n">
        <f aca="false">IF(AND(K74&gt;0,OR(O74="Sí",O74="Si")),1,0)</f>
        <v>0</v>
      </c>
      <c r="S74" s="62" t="n">
        <f aca="false">IF(AND(K74&gt;0,R74=0),1,0)</f>
        <v>0</v>
      </c>
    </row>
    <row r="75" customFormat="false" ht="15" hidden="false" customHeight="false" outlineLevel="0" collapsed="false">
      <c r="B75" s="71" t="str">
        <f aca="false">IF($F$6="Sí",N($C$11)+48,"")</f>
        <v/>
      </c>
      <c r="C75" s="72" t="str">
        <f aca="false">IF(OR($F$6&lt;&gt;"Sí",D75&lt;=0.5),"",EDATE($C$10,48))</f>
        <v/>
      </c>
      <c r="D75" s="41" t="n">
        <f aca="false">MAX(0,M74)</f>
        <v>0</v>
      </c>
      <c r="E75" s="41" t="n">
        <f aca="false">D75*$F$7</f>
        <v>0</v>
      </c>
      <c r="F75" s="41" t="n">
        <f aca="false">IF(D75&gt;0.5,N($C$15),0)</f>
        <v>0</v>
      </c>
      <c r="G75" s="41" t="n">
        <f aca="false">IF(AND(D75&gt;0.5,N($C$19)&gt;0,N(B75)&lt;=N($C$20)),D75*$F$8,0)</f>
        <v>0</v>
      </c>
      <c r="H75" s="41" t="n">
        <f aca="false">IF(D75&lt;=0.5,0,MIN(IF(N(I75)&gt;0,I75,$F$9),D75+E75+F75))</f>
        <v>0</v>
      </c>
      <c r="I75" s="77"/>
      <c r="J75" s="77"/>
      <c r="K75" s="41" t="n">
        <f aca="false">IF(D75&lt;=0.5,0,MIN(H75+N(J75),D75+E75+F75))</f>
        <v>0</v>
      </c>
      <c r="L75" s="41" t="n">
        <f aca="false">K75-E75-F75</f>
        <v>0</v>
      </c>
      <c r="M75" s="41" t="n">
        <f aca="false">D75-L75</f>
        <v>0</v>
      </c>
      <c r="N75" s="42" t="n">
        <f aca="false">K75-G75</f>
        <v>0</v>
      </c>
      <c r="O75" s="78"/>
      <c r="P75" s="79"/>
      <c r="Q75" s="16" t="str">
        <f aca="false">IF(K75=0,"",IF(R75=1,"Pagada",IF(C75&lt;$F$12,"Vencida",IF(49=$F$13,"Próxima","Pendiente"))))</f>
        <v/>
      </c>
      <c r="R75" s="62" t="n">
        <f aca="false">IF(AND(K75&gt;0,OR(O75="Sí",O75="Si")),1,0)</f>
        <v>0</v>
      </c>
      <c r="S75" s="62" t="n">
        <f aca="false">IF(AND(K75&gt;0,R75=0),1,0)</f>
        <v>0</v>
      </c>
    </row>
    <row r="76" customFormat="false" ht="15" hidden="false" customHeight="false" outlineLevel="0" collapsed="false">
      <c r="B76" s="71" t="str">
        <f aca="false">IF($F$6="Sí",N($C$11)+49,"")</f>
        <v/>
      </c>
      <c r="C76" s="72" t="str">
        <f aca="false">IF(OR($F$6&lt;&gt;"Sí",D76&lt;=0.5),"",EDATE($C$10,49))</f>
        <v/>
      </c>
      <c r="D76" s="41" t="n">
        <f aca="false">MAX(0,M75)</f>
        <v>0</v>
      </c>
      <c r="E76" s="41" t="n">
        <f aca="false">D76*$F$7</f>
        <v>0</v>
      </c>
      <c r="F76" s="41" t="n">
        <f aca="false">IF(D76&gt;0.5,N($C$15),0)</f>
        <v>0</v>
      </c>
      <c r="G76" s="41" t="n">
        <f aca="false">IF(AND(D76&gt;0.5,N($C$19)&gt;0,N(B76)&lt;=N($C$20)),D76*$F$8,0)</f>
        <v>0</v>
      </c>
      <c r="H76" s="41" t="n">
        <f aca="false">IF(D76&lt;=0.5,0,MIN(IF(N(I76)&gt;0,I76,$F$9),D76+E76+F76))</f>
        <v>0</v>
      </c>
      <c r="I76" s="77"/>
      <c r="J76" s="77"/>
      <c r="K76" s="41" t="n">
        <f aca="false">IF(D76&lt;=0.5,0,MIN(H76+N(J76),D76+E76+F76))</f>
        <v>0</v>
      </c>
      <c r="L76" s="41" t="n">
        <f aca="false">K76-E76-F76</f>
        <v>0</v>
      </c>
      <c r="M76" s="41" t="n">
        <f aca="false">D76-L76</f>
        <v>0</v>
      </c>
      <c r="N76" s="42" t="n">
        <f aca="false">K76-G76</f>
        <v>0</v>
      </c>
      <c r="O76" s="78"/>
      <c r="P76" s="79"/>
      <c r="Q76" s="16" t="str">
        <f aca="false">IF(K76=0,"",IF(R76=1,"Pagada",IF(C76&lt;$F$12,"Vencida",IF(50=$F$13,"Próxima","Pendiente"))))</f>
        <v/>
      </c>
      <c r="R76" s="62" t="n">
        <f aca="false">IF(AND(K76&gt;0,OR(O76="Sí",O76="Si")),1,0)</f>
        <v>0</v>
      </c>
      <c r="S76" s="62" t="n">
        <f aca="false">IF(AND(K76&gt;0,R76=0),1,0)</f>
        <v>0</v>
      </c>
    </row>
    <row r="77" customFormat="false" ht="15" hidden="false" customHeight="false" outlineLevel="0" collapsed="false">
      <c r="B77" s="71" t="str">
        <f aca="false">IF($F$6="Sí",N($C$11)+50,"")</f>
        <v/>
      </c>
      <c r="C77" s="72" t="str">
        <f aca="false">IF(OR($F$6&lt;&gt;"Sí",D77&lt;=0.5),"",EDATE($C$10,50))</f>
        <v/>
      </c>
      <c r="D77" s="41" t="n">
        <f aca="false">MAX(0,M76)</f>
        <v>0</v>
      </c>
      <c r="E77" s="41" t="n">
        <f aca="false">D77*$F$7</f>
        <v>0</v>
      </c>
      <c r="F77" s="41" t="n">
        <f aca="false">IF(D77&gt;0.5,N($C$15),0)</f>
        <v>0</v>
      </c>
      <c r="G77" s="41" t="n">
        <f aca="false">IF(AND(D77&gt;0.5,N($C$19)&gt;0,N(B77)&lt;=N($C$20)),D77*$F$8,0)</f>
        <v>0</v>
      </c>
      <c r="H77" s="41" t="n">
        <f aca="false">IF(D77&lt;=0.5,0,MIN(IF(N(I77)&gt;0,I77,$F$9),D77+E77+F77))</f>
        <v>0</v>
      </c>
      <c r="I77" s="77"/>
      <c r="J77" s="77"/>
      <c r="K77" s="41" t="n">
        <f aca="false">IF(D77&lt;=0.5,0,MIN(H77+N(J77),D77+E77+F77))</f>
        <v>0</v>
      </c>
      <c r="L77" s="41" t="n">
        <f aca="false">K77-E77-F77</f>
        <v>0</v>
      </c>
      <c r="M77" s="41" t="n">
        <f aca="false">D77-L77</f>
        <v>0</v>
      </c>
      <c r="N77" s="42" t="n">
        <f aca="false">K77-G77</f>
        <v>0</v>
      </c>
      <c r="O77" s="78"/>
      <c r="P77" s="79"/>
      <c r="Q77" s="16" t="str">
        <f aca="false">IF(K77=0,"",IF(R77=1,"Pagada",IF(C77&lt;$F$12,"Vencida",IF(51=$F$13,"Próxima","Pendiente"))))</f>
        <v/>
      </c>
      <c r="R77" s="62" t="n">
        <f aca="false">IF(AND(K77&gt;0,OR(O77="Sí",O77="Si")),1,0)</f>
        <v>0</v>
      </c>
      <c r="S77" s="62" t="n">
        <f aca="false">IF(AND(K77&gt;0,R77=0),1,0)</f>
        <v>0</v>
      </c>
    </row>
    <row r="78" customFormat="false" ht="15" hidden="false" customHeight="false" outlineLevel="0" collapsed="false">
      <c r="B78" s="71" t="str">
        <f aca="false">IF($F$6="Sí",N($C$11)+51,"")</f>
        <v/>
      </c>
      <c r="C78" s="72" t="str">
        <f aca="false">IF(OR($F$6&lt;&gt;"Sí",D78&lt;=0.5),"",EDATE($C$10,51))</f>
        <v/>
      </c>
      <c r="D78" s="41" t="n">
        <f aca="false">MAX(0,M77)</f>
        <v>0</v>
      </c>
      <c r="E78" s="41" t="n">
        <f aca="false">D78*$F$7</f>
        <v>0</v>
      </c>
      <c r="F78" s="41" t="n">
        <f aca="false">IF(D78&gt;0.5,N($C$15),0)</f>
        <v>0</v>
      </c>
      <c r="G78" s="41" t="n">
        <f aca="false">IF(AND(D78&gt;0.5,N($C$19)&gt;0,N(B78)&lt;=N($C$20)),D78*$F$8,0)</f>
        <v>0</v>
      </c>
      <c r="H78" s="41" t="n">
        <f aca="false">IF(D78&lt;=0.5,0,MIN(IF(N(I78)&gt;0,I78,$F$9),D78+E78+F78))</f>
        <v>0</v>
      </c>
      <c r="I78" s="77"/>
      <c r="J78" s="77"/>
      <c r="K78" s="41" t="n">
        <f aca="false">IF(D78&lt;=0.5,0,MIN(H78+N(J78),D78+E78+F78))</f>
        <v>0</v>
      </c>
      <c r="L78" s="41" t="n">
        <f aca="false">K78-E78-F78</f>
        <v>0</v>
      </c>
      <c r="M78" s="41" t="n">
        <f aca="false">D78-L78</f>
        <v>0</v>
      </c>
      <c r="N78" s="42" t="n">
        <f aca="false">K78-G78</f>
        <v>0</v>
      </c>
      <c r="O78" s="78"/>
      <c r="P78" s="79"/>
      <c r="Q78" s="16" t="str">
        <f aca="false">IF(K78=0,"",IF(R78=1,"Pagada",IF(C78&lt;$F$12,"Vencida",IF(52=$F$13,"Próxima","Pendiente"))))</f>
        <v/>
      </c>
      <c r="R78" s="62" t="n">
        <f aca="false">IF(AND(K78&gt;0,OR(O78="Sí",O78="Si")),1,0)</f>
        <v>0</v>
      </c>
      <c r="S78" s="62" t="n">
        <f aca="false">IF(AND(K78&gt;0,R78=0),1,0)</f>
        <v>0</v>
      </c>
    </row>
    <row r="79" customFormat="false" ht="15" hidden="false" customHeight="false" outlineLevel="0" collapsed="false">
      <c r="B79" s="71" t="str">
        <f aca="false">IF($F$6="Sí",N($C$11)+52,"")</f>
        <v/>
      </c>
      <c r="C79" s="72" t="str">
        <f aca="false">IF(OR($F$6&lt;&gt;"Sí",D79&lt;=0.5),"",EDATE($C$10,52))</f>
        <v/>
      </c>
      <c r="D79" s="41" t="n">
        <f aca="false">MAX(0,M78)</f>
        <v>0</v>
      </c>
      <c r="E79" s="41" t="n">
        <f aca="false">D79*$F$7</f>
        <v>0</v>
      </c>
      <c r="F79" s="41" t="n">
        <f aca="false">IF(D79&gt;0.5,N($C$15),0)</f>
        <v>0</v>
      </c>
      <c r="G79" s="41" t="n">
        <f aca="false">IF(AND(D79&gt;0.5,N($C$19)&gt;0,N(B79)&lt;=N($C$20)),D79*$F$8,0)</f>
        <v>0</v>
      </c>
      <c r="H79" s="41" t="n">
        <f aca="false">IF(D79&lt;=0.5,0,MIN(IF(N(I79)&gt;0,I79,$F$9),D79+E79+F79))</f>
        <v>0</v>
      </c>
      <c r="I79" s="77"/>
      <c r="J79" s="77"/>
      <c r="K79" s="41" t="n">
        <f aca="false">IF(D79&lt;=0.5,0,MIN(H79+N(J79),D79+E79+F79))</f>
        <v>0</v>
      </c>
      <c r="L79" s="41" t="n">
        <f aca="false">K79-E79-F79</f>
        <v>0</v>
      </c>
      <c r="M79" s="41" t="n">
        <f aca="false">D79-L79</f>
        <v>0</v>
      </c>
      <c r="N79" s="42" t="n">
        <f aca="false">K79-G79</f>
        <v>0</v>
      </c>
      <c r="O79" s="78"/>
      <c r="P79" s="79"/>
      <c r="Q79" s="16" t="str">
        <f aca="false">IF(K79=0,"",IF(R79=1,"Pagada",IF(C79&lt;$F$12,"Vencida",IF(53=$F$13,"Próxima","Pendiente"))))</f>
        <v/>
      </c>
      <c r="R79" s="62" t="n">
        <f aca="false">IF(AND(K79&gt;0,OR(O79="Sí",O79="Si")),1,0)</f>
        <v>0</v>
      </c>
      <c r="S79" s="62" t="n">
        <f aca="false">IF(AND(K79&gt;0,R79=0),1,0)</f>
        <v>0</v>
      </c>
    </row>
    <row r="80" customFormat="false" ht="15" hidden="false" customHeight="false" outlineLevel="0" collapsed="false">
      <c r="B80" s="71" t="str">
        <f aca="false">IF($F$6="Sí",N($C$11)+53,"")</f>
        <v/>
      </c>
      <c r="C80" s="72" t="str">
        <f aca="false">IF(OR($F$6&lt;&gt;"Sí",D80&lt;=0.5),"",EDATE($C$10,53))</f>
        <v/>
      </c>
      <c r="D80" s="41" t="n">
        <f aca="false">MAX(0,M79)</f>
        <v>0</v>
      </c>
      <c r="E80" s="41" t="n">
        <f aca="false">D80*$F$7</f>
        <v>0</v>
      </c>
      <c r="F80" s="41" t="n">
        <f aca="false">IF(D80&gt;0.5,N($C$15),0)</f>
        <v>0</v>
      </c>
      <c r="G80" s="41" t="n">
        <f aca="false">IF(AND(D80&gt;0.5,N($C$19)&gt;0,N(B80)&lt;=N($C$20)),D80*$F$8,0)</f>
        <v>0</v>
      </c>
      <c r="H80" s="41" t="n">
        <f aca="false">IF(D80&lt;=0.5,0,MIN(IF(N(I80)&gt;0,I80,$F$9),D80+E80+F80))</f>
        <v>0</v>
      </c>
      <c r="I80" s="77"/>
      <c r="J80" s="77"/>
      <c r="K80" s="41" t="n">
        <f aca="false">IF(D80&lt;=0.5,0,MIN(H80+N(J80),D80+E80+F80))</f>
        <v>0</v>
      </c>
      <c r="L80" s="41" t="n">
        <f aca="false">K80-E80-F80</f>
        <v>0</v>
      </c>
      <c r="M80" s="41" t="n">
        <f aca="false">D80-L80</f>
        <v>0</v>
      </c>
      <c r="N80" s="42" t="n">
        <f aca="false">K80-G80</f>
        <v>0</v>
      </c>
      <c r="O80" s="78"/>
      <c r="P80" s="79"/>
      <c r="Q80" s="16" t="str">
        <f aca="false">IF(K80=0,"",IF(R80=1,"Pagada",IF(C80&lt;$F$12,"Vencida",IF(54=$F$13,"Próxima","Pendiente"))))</f>
        <v/>
      </c>
      <c r="R80" s="62" t="n">
        <f aca="false">IF(AND(K80&gt;0,OR(O80="Sí",O80="Si")),1,0)</f>
        <v>0</v>
      </c>
      <c r="S80" s="62" t="n">
        <f aca="false">IF(AND(K80&gt;0,R80=0),1,0)</f>
        <v>0</v>
      </c>
    </row>
    <row r="81" customFormat="false" ht="15" hidden="false" customHeight="false" outlineLevel="0" collapsed="false">
      <c r="B81" s="71" t="str">
        <f aca="false">IF($F$6="Sí",N($C$11)+54,"")</f>
        <v/>
      </c>
      <c r="C81" s="72" t="str">
        <f aca="false">IF(OR($F$6&lt;&gt;"Sí",D81&lt;=0.5),"",EDATE($C$10,54))</f>
        <v/>
      </c>
      <c r="D81" s="41" t="n">
        <f aca="false">MAX(0,M80)</f>
        <v>0</v>
      </c>
      <c r="E81" s="41" t="n">
        <f aca="false">D81*$F$7</f>
        <v>0</v>
      </c>
      <c r="F81" s="41" t="n">
        <f aca="false">IF(D81&gt;0.5,N($C$15),0)</f>
        <v>0</v>
      </c>
      <c r="G81" s="41" t="n">
        <f aca="false">IF(AND(D81&gt;0.5,N($C$19)&gt;0,N(B81)&lt;=N($C$20)),D81*$F$8,0)</f>
        <v>0</v>
      </c>
      <c r="H81" s="41" t="n">
        <f aca="false">IF(D81&lt;=0.5,0,MIN(IF(N(I81)&gt;0,I81,$F$9),D81+E81+F81))</f>
        <v>0</v>
      </c>
      <c r="I81" s="77"/>
      <c r="J81" s="77"/>
      <c r="K81" s="41" t="n">
        <f aca="false">IF(D81&lt;=0.5,0,MIN(H81+N(J81),D81+E81+F81))</f>
        <v>0</v>
      </c>
      <c r="L81" s="41" t="n">
        <f aca="false">K81-E81-F81</f>
        <v>0</v>
      </c>
      <c r="M81" s="41" t="n">
        <f aca="false">D81-L81</f>
        <v>0</v>
      </c>
      <c r="N81" s="42" t="n">
        <f aca="false">K81-G81</f>
        <v>0</v>
      </c>
      <c r="O81" s="78"/>
      <c r="P81" s="79"/>
      <c r="Q81" s="16" t="str">
        <f aca="false">IF(K81=0,"",IF(R81=1,"Pagada",IF(C81&lt;$F$12,"Vencida",IF(55=$F$13,"Próxima","Pendiente"))))</f>
        <v/>
      </c>
      <c r="R81" s="62" t="n">
        <f aca="false">IF(AND(K81&gt;0,OR(O81="Sí",O81="Si")),1,0)</f>
        <v>0</v>
      </c>
      <c r="S81" s="62" t="n">
        <f aca="false">IF(AND(K81&gt;0,R81=0),1,0)</f>
        <v>0</v>
      </c>
    </row>
    <row r="82" customFormat="false" ht="15" hidden="false" customHeight="false" outlineLevel="0" collapsed="false">
      <c r="B82" s="71" t="str">
        <f aca="false">IF($F$6="Sí",N($C$11)+55,"")</f>
        <v/>
      </c>
      <c r="C82" s="72" t="str">
        <f aca="false">IF(OR($F$6&lt;&gt;"Sí",D82&lt;=0.5),"",EDATE($C$10,55))</f>
        <v/>
      </c>
      <c r="D82" s="41" t="n">
        <f aca="false">MAX(0,M81)</f>
        <v>0</v>
      </c>
      <c r="E82" s="41" t="n">
        <f aca="false">D82*$F$7</f>
        <v>0</v>
      </c>
      <c r="F82" s="41" t="n">
        <f aca="false">IF(D82&gt;0.5,N($C$15),0)</f>
        <v>0</v>
      </c>
      <c r="G82" s="41" t="n">
        <f aca="false">IF(AND(D82&gt;0.5,N($C$19)&gt;0,N(B82)&lt;=N($C$20)),D82*$F$8,0)</f>
        <v>0</v>
      </c>
      <c r="H82" s="41" t="n">
        <f aca="false">IF(D82&lt;=0.5,0,MIN(IF(N(I82)&gt;0,I82,$F$9),D82+E82+F82))</f>
        <v>0</v>
      </c>
      <c r="I82" s="77"/>
      <c r="J82" s="77"/>
      <c r="K82" s="41" t="n">
        <f aca="false">IF(D82&lt;=0.5,0,MIN(H82+N(J82),D82+E82+F82))</f>
        <v>0</v>
      </c>
      <c r="L82" s="41" t="n">
        <f aca="false">K82-E82-F82</f>
        <v>0</v>
      </c>
      <c r="M82" s="41" t="n">
        <f aca="false">D82-L82</f>
        <v>0</v>
      </c>
      <c r="N82" s="42" t="n">
        <f aca="false">K82-G82</f>
        <v>0</v>
      </c>
      <c r="O82" s="78"/>
      <c r="P82" s="79"/>
      <c r="Q82" s="16" t="str">
        <f aca="false">IF(K82=0,"",IF(R82=1,"Pagada",IF(C82&lt;$F$12,"Vencida",IF(56=$F$13,"Próxima","Pendiente"))))</f>
        <v/>
      </c>
      <c r="R82" s="62" t="n">
        <f aca="false">IF(AND(K82&gt;0,OR(O82="Sí",O82="Si")),1,0)</f>
        <v>0</v>
      </c>
      <c r="S82" s="62" t="n">
        <f aca="false">IF(AND(K82&gt;0,R82=0),1,0)</f>
        <v>0</v>
      </c>
    </row>
    <row r="83" customFormat="false" ht="15" hidden="false" customHeight="false" outlineLevel="0" collapsed="false">
      <c r="B83" s="71" t="str">
        <f aca="false">IF($F$6="Sí",N($C$11)+56,"")</f>
        <v/>
      </c>
      <c r="C83" s="72" t="str">
        <f aca="false">IF(OR($F$6&lt;&gt;"Sí",D83&lt;=0.5),"",EDATE($C$10,56))</f>
        <v/>
      </c>
      <c r="D83" s="41" t="n">
        <f aca="false">MAX(0,M82)</f>
        <v>0</v>
      </c>
      <c r="E83" s="41" t="n">
        <f aca="false">D83*$F$7</f>
        <v>0</v>
      </c>
      <c r="F83" s="41" t="n">
        <f aca="false">IF(D83&gt;0.5,N($C$15),0)</f>
        <v>0</v>
      </c>
      <c r="G83" s="41" t="n">
        <f aca="false">IF(AND(D83&gt;0.5,N($C$19)&gt;0,N(B83)&lt;=N($C$20)),D83*$F$8,0)</f>
        <v>0</v>
      </c>
      <c r="H83" s="41" t="n">
        <f aca="false">IF(D83&lt;=0.5,0,MIN(IF(N(I83)&gt;0,I83,$F$9),D83+E83+F83))</f>
        <v>0</v>
      </c>
      <c r="I83" s="77"/>
      <c r="J83" s="77"/>
      <c r="K83" s="41" t="n">
        <f aca="false">IF(D83&lt;=0.5,0,MIN(H83+N(J83),D83+E83+F83))</f>
        <v>0</v>
      </c>
      <c r="L83" s="41" t="n">
        <f aca="false">K83-E83-F83</f>
        <v>0</v>
      </c>
      <c r="M83" s="41" t="n">
        <f aca="false">D83-L83</f>
        <v>0</v>
      </c>
      <c r="N83" s="42" t="n">
        <f aca="false">K83-G83</f>
        <v>0</v>
      </c>
      <c r="O83" s="78"/>
      <c r="P83" s="79"/>
      <c r="Q83" s="16" t="str">
        <f aca="false">IF(K83=0,"",IF(R83=1,"Pagada",IF(C83&lt;$F$12,"Vencida",IF(57=$F$13,"Próxima","Pendiente"))))</f>
        <v/>
      </c>
      <c r="R83" s="62" t="n">
        <f aca="false">IF(AND(K83&gt;0,OR(O83="Sí",O83="Si")),1,0)</f>
        <v>0</v>
      </c>
      <c r="S83" s="62" t="n">
        <f aca="false">IF(AND(K83&gt;0,R83=0),1,0)</f>
        <v>0</v>
      </c>
    </row>
    <row r="84" customFormat="false" ht="15" hidden="false" customHeight="false" outlineLevel="0" collapsed="false">
      <c r="B84" s="71" t="str">
        <f aca="false">IF($F$6="Sí",N($C$11)+57,"")</f>
        <v/>
      </c>
      <c r="C84" s="72" t="str">
        <f aca="false">IF(OR($F$6&lt;&gt;"Sí",D84&lt;=0.5),"",EDATE($C$10,57))</f>
        <v/>
      </c>
      <c r="D84" s="41" t="n">
        <f aca="false">MAX(0,M83)</f>
        <v>0</v>
      </c>
      <c r="E84" s="41" t="n">
        <f aca="false">D84*$F$7</f>
        <v>0</v>
      </c>
      <c r="F84" s="41" t="n">
        <f aca="false">IF(D84&gt;0.5,N($C$15),0)</f>
        <v>0</v>
      </c>
      <c r="G84" s="41" t="n">
        <f aca="false">IF(AND(D84&gt;0.5,N($C$19)&gt;0,N(B84)&lt;=N($C$20)),D84*$F$8,0)</f>
        <v>0</v>
      </c>
      <c r="H84" s="41" t="n">
        <f aca="false">IF(D84&lt;=0.5,0,MIN(IF(N(I84)&gt;0,I84,$F$9),D84+E84+F84))</f>
        <v>0</v>
      </c>
      <c r="I84" s="77"/>
      <c r="J84" s="77"/>
      <c r="K84" s="41" t="n">
        <f aca="false">IF(D84&lt;=0.5,0,MIN(H84+N(J84),D84+E84+F84))</f>
        <v>0</v>
      </c>
      <c r="L84" s="41" t="n">
        <f aca="false">K84-E84-F84</f>
        <v>0</v>
      </c>
      <c r="M84" s="41" t="n">
        <f aca="false">D84-L84</f>
        <v>0</v>
      </c>
      <c r="N84" s="42" t="n">
        <f aca="false">K84-G84</f>
        <v>0</v>
      </c>
      <c r="O84" s="78"/>
      <c r="P84" s="79"/>
      <c r="Q84" s="16" t="str">
        <f aca="false">IF(K84=0,"",IF(R84=1,"Pagada",IF(C84&lt;$F$12,"Vencida",IF(58=$F$13,"Próxima","Pendiente"))))</f>
        <v/>
      </c>
      <c r="R84" s="62" t="n">
        <f aca="false">IF(AND(K84&gt;0,OR(O84="Sí",O84="Si")),1,0)</f>
        <v>0</v>
      </c>
      <c r="S84" s="62" t="n">
        <f aca="false">IF(AND(K84&gt;0,R84=0),1,0)</f>
        <v>0</v>
      </c>
    </row>
    <row r="85" customFormat="false" ht="15" hidden="false" customHeight="false" outlineLevel="0" collapsed="false">
      <c r="B85" s="71" t="str">
        <f aca="false">IF($F$6="Sí",N($C$11)+58,"")</f>
        <v/>
      </c>
      <c r="C85" s="72" t="str">
        <f aca="false">IF(OR($F$6&lt;&gt;"Sí",D85&lt;=0.5),"",EDATE($C$10,58))</f>
        <v/>
      </c>
      <c r="D85" s="41" t="n">
        <f aca="false">MAX(0,M84)</f>
        <v>0</v>
      </c>
      <c r="E85" s="41" t="n">
        <f aca="false">D85*$F$7</f>
        <v>0</v>
      </c>
      <c r="F85" s="41" t="n">
        <f aca="false">IF(D85&gt;0.5,N($C$15),0)</f>
        <v>0</v>
      </c>
      <c r="G85" s="41" t="n">
        <f aca="false">IF(AND(D85&gt;0.5,N($C$19)&gt;0,N(B85)&lt;=N($C$20)),D85*$F$8,0)</f>
        <v>0</v>
      </c>
      <c r="H85" s="41" t="n">
        <f aca="false">IF(D85&lt;=0.5,0,MIN(IF(N(I85)&gt;0,I85,$F$9),D85+E85+F85))</f>
        <v>0</v>
      </c>
      <c r="I85" s="77"/>
      <c r="J85" s="77"/>
      <c r="K85" s="41" t="n">
        <f aca="false">IF(D85&lt;=0.5,0,MIN(H85+N(J85),D85+E85+F85))</f>
        <v>0</v>
      </c>
      <c r="L85" s="41" t="n">
        <f aca="false">K85-E85-F85</f>
        <v>0</v>
      </c>
      <c r="M85" s="41" t="n">
        <f aca="false">D85-L85</f>
        <v>0</v>
      </c>
      <c r="N85" s="42" t="n">
        <f aca="false">K85-G85</f>
        <v>0</v>
      </c>
      <c r="O85" s="78"/>
      <c r="P85" s="79"/>
      <c r="Q85" s="16" t="str">
        <f aca="false">IF(K85=0,"",IF(R85=1,"Pagada",IF(C85&lt;$F$12,"Vencida",IF(59=$F$13,"Próxima","Pendiente"))))</f>
        <v/>
      </c>
      <c r="R85" s="62" t="n">
        <f aca="false">IF(AND(K85&gt;0,OR(O85="Sí",O85="Si")),1,0)</f>
        <v>0</v>
      </c>
      <c r="S85" s="62" t="n">
        <f aca="false">IF(AND(K85&gt;0,R85=0),1,0)</f>
        <v>0</v>
      </c>
    </row>
    <row r="86" customFormat="false" ht="15" hidden="false" customHeight="false" outlineLevel="0" collapsed="false">
      <c r="B86" s="71" t="str">
        <f aca="false">IF($F$6="Sí",N($C$11)+59,"")</f>
        <v/>
      </c>
      <c r="C86" s="72" t="str">
        <f aca="false">IF(OR($F$6&lt;&gt;"Sí",D86&lt;=0.5),"",EDATE($C$10,59))</f>
        <v/>
      </c>
      <c r="D86" s="41" t="n">
        <f aca="false">MAX(0,M85)</f>
        <v>0</v>
      </c>
      <c r="E86" s="41" t="n">
        <f aca="false">D86*$F$7</f>
        <v>0</v>
      </c>
      <c r="F86" s="41" t="n">
        <f aca="false">IF(D86&gt;0.5,N($C$15),0)</f>
        <v>0</v>
      </c>
      <c r="G86" s="41" t="n">
        <f aca="false">IF(AND(D86&gt;0.5,N($C$19)&gt;0,N(B86)&lt;=N($C$20)),D86*$F$8,0)</f>
        <v>0</v>
      </c>
      <c r="H86" s="41" t="n">
        <f aca="false">IF(D86&lt;=0.5,0,MIN(IF(N(I86)&gt;0,I86,$F$9),D86+E86+F86))</f>
        <v>0</v>
      </c>
      <c r="I86" s="77"/>
      <c r="J86" s="77"/>
      <c r="K86" s="41" t="n">
        <f aca="false">IF(D86&lt;=0.5,0,MIN(H86+N(J86),D86+E86+F86))</f>
        <v>0</v>
      </c>
      <c r="L86" s="41" t="n">
        <f aca="false">K86-E86-F86</f>
        <v>0</v>
      </c>
      <c r="M86" s="41" t="n">
        <f aca="false">D86-L86</f>
        <v>0</v>
      </c>
      <c r="N86" s="42" t="n">
        <f aca="false">K86-G86</f>
        <v>0</v>
      </c>
      <c r="O86" s="78"/>
      <c r="P86" s="79"/>
      <c r="Q86" s="16" t="str">
        <f aca="false">IF(K86=0,"",IF(R86=1,"Pagada",IF(C86&lt;$F$12,"Vencida",IF(60=$F$13,"Próxima","Pendiente"))))</f>
        <v/>
      </c>
      <c r="R86" s="62" t="n">
        <f aca="false">IF(AND(K86&gt;0,OR(O86="Sí",O86="Si")),1,0)</f>
        <v>0</v>
      </c>
      <c r="S86" s="62" t="n">
        <f aca="false">IF(AND(K86&gt;0,R86=0),1,0)</f>
        <v>0</v>
      </c>
    </row>
    <row r="87" customFormat="false" ht="15" hidden="false" customHeight="false" outlineLevel="0" collapsed="false">
      <c r="B87" s="71" t="str">
        <f aca="false">IF($F$6="Sí",N($C$11)+60,"")</f>
        <v/>
      </c>
      <c r="C87" s="72" t="str">
        <f aca="false">IF(OR($F$6&lt;&gt;"Sí",D87&lt;=0.5),"",EDATE($C$10,60))</f>
        <v/>
      </c>
      <c r="D87" s="41" t="n">
        <f aca="false">MAX(0,M86)</f>
        <v>0</v>
      </c>
      <c r="E87" s="41" t="n">
        <f aca="false">D87*$F$7</f>
        <v>0</v>
      </c>
      <c r="F87" s="41" t="n">
        <f aca="false">IF(D87&gt;0.5,N($C$15),0)</f>
        <v>0</v>
      </c>
      <c r="G87" s="41" t="n">
        <f aca="false">IF(AND(D87&gt;0.5,N($C$19)&gt;0,N(B87)&lt;=N($C$20)),D87*$F$8,0)</f>
        <v>0</v>
      </c>
      <c r="H87" s="41" t="n">
        <f aca="false">IF(D87&lt;=0.5,0,MIN(IF(N(I87)&gt;0,I87,$F$9),D87+E87+F87))</f>
        <v>0</v>
      </c>
      <c r="I87" s="77"/>
      <c r="J87" s="77"/>
      <c r="K87" s="41" t="n">
        <f aca="false">IF(D87&lt;=0.5,0,MIN(H87+N(J87),D87+E87+F87))</f>
        <v>0</v>
      </c>
      <c r="L87" s="41" t="n">
        <f aca="false">K87-E87-F87</f>
        <v>0</v>
      </c>
      <c r="M87" s="41" t="n">
        <f aca="false">D87-L87</f>
        <v>0</v>
      </c>
      <c r="N87" s="42" t="n">
        <f aca="false">K87-G87</f>
        <v>0</v>
      </c>
      <c r="O87" s="78"/>
      <c r="P87" s="79"/>
      <c r="Q87" s="16" t="str">
        <f aca="false">IF(K87=0,"",IF(R87=1,"Pagada",IF(C87&lt;$F$12,"Vencida",IF(61=$F$13,"Próxima","Pendiente"))))</f>
        <v/>
      </c>
      <c r="R87" s="62" t="n">
        <f aca="false">IF(AND(K87&gt;0,OR(O87="Sí",O87="Si")),1,0)</f>
        <v>0</v>
      </c>
      <c r="S87" s="62" t="n">
        <f aca="false">IF(AND(K87&gt;0,R87=0),1,0)</f>
        <v>0</v>
      </c>
    </row>
    <row r="88" customFormat="false" ht="15" hidden="false" customHeight="false" outlineLevel="0" collapsed="false">
      <c r="B88" s="71" t="str">
        <f aca="false">IF($F$6="Sí",N($C$11)+61,"")</f>
        <v/>
      </c>
      <c r="C88" s="72" t="str">
        <f aca="false">IF(OR($F$6&lt;&gt;"Sí",D88&lt;=0.5),"",EDATE($C$10,61))</f>
        <v/>
      </c>
      <c r="D88" s="41" t="n">
        <f aca="false">MAX(0,M87)</f>
        <v>0</v>
      </c>
      <c r="E88" s="41" t="n">
        <f aca="false">D88*$F$7</f>
        <v>0</v>
      </c>
      <c r="F88" s="41" t="n">
        <f aca="false">IF(D88&gt;0.5,N($C$15),0)</f>
        <v>0</v>
      </c>
      <c r="G88" s="41" t="n">
        <f aca="false">IF(AND(D88&gt;0.5,N($C$19)&gt;0,N(B88)&lt;=N($C$20)),D88*$F$8,0)</f>
        <v>0</v>
      </c>
      <c r="H88" s="41" t="n">
        <f aca="false">IF(D88&lt;=0.5,0,MIN(IF(N(I88)&gt;0,I88,$F$9),D88+E88+F88))</f>
        <v>0</v>
      </c>
      <c r="I88" s="77"/>
      <c r="J88" s="77"/>
      <c r="K88" s="41" t="n">
        <f aca="false">IF(D88&lt;=0.5,0,MIN(H88+N(J88),D88+E88+F88))</f>
        <v>0</v>
      </c>
      <c r="L88" s="41" t="n">
        <f aca="false">K88-E88-F88</f>
        <v>0</v>
      </c>
      <c r="M88" s="41" t="n">
        <f aca="false">D88-L88</f>
        <v>0</v>
      </c>
      <c r="N88" s="42" t="n">
        <f aca="false">K88-G88</f>
        <v>0</v>
      </c>
      <c r="O88" s="78"/>
      <c r="P88" s="79"/>
      <c r="Q88" s="16" t="str">
        <f aca="false">IF(K88=0,"",IF(R88=1,"Pagada",IF(C88&lt;$F$12,"Vencida",IF(62=$F$13,"Próxima","Pendiente"))))</f>
        <v/>
      </c>
      <c r="R88" s="62" t="n">
        <f aca="false">IF(AND(K88&gt;0,OR(O88="Sí",O88="Si")),1,0)</f>
        <v>0</v>
      </c>
      <c r="S88" s="62" t="n">
        <f aca="false">IF(AND(K88&gt;0,R88=0),1,0)</f>
        <v>0</v>
      </c>
    </row>
    <row r="89" customFormat="false" ht="15" hidden="false" customHeight="false" outlineLevel="0" collapsed="false">
      <c r="B89" s="71" t="str">
        <f aca="false">IF($F$6="Sí",N($C$11)+62,"")</f>
        <v/>
      </c>
      <c r="C89" s="72" t="str">
        <f aca="false">IF(OR($F$6&lt;&gt;"Sí",D89&lt;=0.5),"",EDATE($C$10,62))</f>
        <v/>
      </c>
      <c r="D89" s="41" t="n">
        <f aca="false">MAX(0,M88)</f>
        <v>0</v>
      </c>
      <c r="E89" s="41" t="n">
        <f aca="false">D89*$F$7</f>
        <v>0</v>
      </c>
      <c r="F89" s="41" t="n">
        <f aca="false">IF(D89&gt;0.5,N($C$15),0)</f>
        <v>0</v>
      </c>
      <c r="G89" s="41" t="n">
        <f aca="false">IF(AND(D89&gt;0.5,N($C$19)&gt;0,N(B89)&lt;=N($C$20)),D89*$F$8,0)</f>
        <v>0</v>
      </c>
      <c r="H89" s="41" t="n">
        <f aca="false">IF(D89&lt;=0.5,0,MIN(IF(N(I89)&gt;0,I89,$F$9),D89+E89+F89))</f>
        <v>0</v>
      </c>
      <c r="I89" s="77"/>
      <c r="J89" s="77"/>
      <c r="K89" s="41" t="n">
        <f aca="false">IF(D89&lt;=0.5,0,MIN(H89+N(J89),D89+E89+F89))</f>
        <v>0</v>
      </c>
      <c r="L89" s="41" t="n">
        <f aca="false">K89-E89-F89</f>
        <v>0</v>
      </c>
      <c r="M89" s="41" t="n">
        <f aca="false">D89-L89</f>
        <v>0</v>
      </c>
      <c r="N89" s="42" t="n">
        <f aca="false">K89-G89</f>
        <v>0</v>
      </c>
      <c r="O89" s="78"/>
      <c r="P89" s="79"/>
      <c r="Q89" s="16" t="str">
        <f aca="false">IF(K89=0,"",IF(R89=1,"Pagada",IF(C89&lt;$F$12,"Vencida",IF(63=$F$13,"Próxima","Pendiente"))))</f>
        <v/>
      </c>
      <c r="R89" s="62" t="n">
        <f aca="false">IF(AND(K89&gt;0,OR(O89="Sí",O89="Si")),1,0)</f>
        <v>0</v>
      </c>
      <c r="S89" s="62" t="n">
        <f aca="false">IF(AND(K89&gt;0,R89=0),1,0)</f>
        <v>0</v>
      </c>
    </row>
    <row r="90" customFormat="false" ht="15" hidden="false" customHeight="false" outlineLevel="0" collapsed="false">
      <c r="B90" s="71" t="str">
        <f aca="false">IF($F$6="Sí",N($C$11)+63,"")</f>
        <v/>
      </c>
      <c r="C90" s="72" t="str">
        <f aca="false">IF(OR($F$6&lt;&gt;"Sí",D90&lt;=0.5),"",EDATE($C$10,63))</f>
        <v/>
      </c>
      <c r="D90" s="41" t="n">
        <f aca="false">MAX(0,M89)</f>
        <v>0</v>
      </c>
      <c r="E90" s="41" t="n">
        <f aca="false">D90*$F$7</f>
        <v>0</v>
      </c>
      <c r="F90" s="41" t="n">
        <f aca="false">IF(D90&gt;0.5,N($C$15),0)</f>
        <v>0</v>
      </c>
      <c r="G90" s="41" t="n">
        <f aca="false">IF(AND(D90&gt;0.5,N($C$19)&gt;0,N(B90)&lt;=N($C$20)),D90*$F$8,0)</f>
        <v>0</v>
      </c>
      <c r="H90" s="41" t="n">
        <f aca="false">IF(D90&lt;=0.5,0,MIN(IF(N(I90)&gt;0,I90,$F$9),D90+E90+F90))</f>
        <v>0</v>
      </c>
      <c r="I90" s="77"/>
      <c r="J90" s="77"/>
      <c r="K90" s="41" t="n">
        <f aca="false">IF(D90&lt;=0.5,0,MIN(H90+N(J90),D90+E90+F90))</f>
        <v>0</v>
      </c>
      <c r="L90" s="41" t="n">
        <f aca="false">K90-E90-F90</f>
        <v>0</v>
      </c>
      <c r="M90" s="41" t="n">
        <f aca="false">D90-L90</f>
        <v>0</v>
      </c>
      <c r="N90" s="42" t="n">
        <f aca="false">K90-G90</f>
        <v>0</v>
      </c>
      <c r="O90" s="78"/>
      <c r="P90" s="79"/>
      <c r="Q90" s="16" t="str">
        <f aca="false">IF(K90=0,"",IF(R90=1,"Pagada",IF(C90&lt;$F$12,"Vencida",IF(64=$F$13,"Próxima","Pendiente"))))</f>
        <v/>
      </c>
      <c r="R90" s="62" t="n">
        <f aca="false">IF(AND(K90&gt;0,OR(O90="Sí",O90="Si")),1,0)</f>
        <v>0</v>
      </c>
      <c r="S90" s="62" t="n">
        <f aca="false">IF(AND(K90&gt;0,R90=0),1,0)</f>
        <v>0</v>
      </c>
    </row>
    <row r="91" customFormat="false" ht="15" hidden="false" customHeight="false" outlineLevel="0" collapsed="false">
      <c r="B91" s="71" t="str">
        <f aca="false">IF($F$6="Sí",N($C$11)+64,"")</f>
        <v/>
      </c>
      <c r="C91" s="72" t="str">
        <f aca="false">IF(OR($F$6&lt;&gt;"Sí",D91&lt;=0.5),"",EDATE($C$10,64))</f>
        <v/>
      </c>
      <c r="D91" s="41" t="n">
        <f aca="false">MAX(0,M90)</f>
        <v>0</v>
      </c>
      <c r="E91" s="41" t="n">
        <f aca="false">D91*$F$7</f>
        <v>0</v>
      </c>
      <c r="F91" s="41" t="n">
        <f aca="false">IF(D91&gt;0.5,N($C$15),0)</f>
        <v>0</v>
      </c>
      <c r="G91" s="41" t="n">
        <f aca="false">IF(AND(D91&gt;0.5,N($C$19)&gt;0,N(B91)&lt;=N($C$20)),D91*$F$8,0)</f>
        <v>0</v>
      </c>
      <c r="H91" s="41" t="n">
        <f aca="false">IF(D91&lt;=0.5,0,MIN(IF(N(I91)&gt;0,I91,$F$9),D91+E91+F91))</f>
        <v>0</v>
      </c>
      <c r="I91" s="77"/>
      <c r="J91" s="77"/>
      <c r="K91" s="41" t="n">
        <f aca="false">IF(D91&lt;=0.5,0,MIN(H91+N(J91),D91+E91+F91))</f>
        <v>0</v>
      </c>
      <c r="L91" s="41" t="n">
        <f aca="false">K91-E91-F91</f>
        <v>0</v>
      </c>
      <c r="M91" s="41" t="n">
        <f aca="false">D91-L91</f>
        <v>0</v>
      </c>
      <c r="N91" s="42" t="n">
        <f aca="false">K91-G91</f>
        <v>0</v>
      </c>
      <c r="O91" s="78"/>
      <c r="P91" s="79"/>
      <c r="Q91" s="16" t="str">
        <f aca="false">IF(K91=0,"",IF(R91=1,"Pagada",IF(C91&lt;$F$12,"Vencida",IF(65=$F$13,"Próxima","Pendiente"))))</f>
        <v/>
      </c>
      <c r="R91" s="62" t="n">
        <f aca="false">IF(AND(K91&gt;0,OR(O91="Sí",O91="Si")),1,0)</f>
        <v>0</v>
      </c>
      <c r="S91" s="62" t="n">
        <f aca="false">IF(AND(K91&gt;0,R91=0),1,0)</f>
        <v>0</v>
      </c>
    </row>
    <row r="92" customFormat="false" ht="15" hidden="false" customHeight="false" outlineLevel="0" collapsed="false">
      <c r="B92" s="71" t="str">
        <f aca="false">IF($F$6="Sí",N($C$11)+65,"")</f>
        <v/>
      </c>
      <c r="C92" s="72" t="str">
        <f aca="false">IF(OR($F$6&lt;&gt;"Sí",D92&lt;=0.5),"",EDATE($C$10,65))</f>
        <v/>
      </c>
      <c r="D92" s="41" t="n">
        <f aca="false">MAX(0,M91)</f>
        <v>0</v>
      </c>
      <c r="E92" s="41" t="n">
        <f aca="false">D92*$F$7</f>
        <v>0</v>
      </c>
      <c r="F92" s="41" t="n">
        <f aca="false">IF(D92&gt;0.5,N($C$15),0)</f>
        <v>0</v>
      </c>
      <c r="G92" s="41" t="n">
        <f aca="false">IF(AND(D92&gt;0.5,N($C$19)&gt;0,N(B92)&lt;=N($C$20)),D92*$F$8,0)</f>
        <v>0</v>
      </c>
      <c r="H92" s="41" t="n">
        <f aca="false">IF(D92&lt;=0.5,0,MIN(IF(N(I92)&gt;0,I92,$F$9),D92+E92+F92))</f>
        <v>0</v>
      </c>
      <c r="I92" s="77"/>
      <c r="J92" s="77"/>
      <c r="K92" s="41" t="n">
        <f aca="false">IF(D92&lt;=0.5,0,MIN(H92+N(J92),D92+E92+F92))</f>
        <v>0</v>
      </c>
      <c r="L92" s="41" t="n">
        <f aca="false">K92-E92-F92</f>
        <v>0</v>
      </c>
      <c r="M92" s="41" t="n">
        <f aca="false">D92-L92</f>
        <v>0</v>
      </c>
      <c r="N92" s="42" t="n">
        <f aca="false">K92-G92</f>
        <v>0</v>
      </c>
      <c r="O92" s="78"/>
      <c r="P92" s="79"/>
      <c r="Q92" s="16" t="str">
        <f aca="false">IF(K92=0,"",IF(R92=1,"Pagada",IF(C92&lt;$F$12,"Vencida",IF(66=$F$13,"Próxima","Pendiente"))))</f>
        <v/>
      </c>
      <c r="R92" s="62" t="n">
        <f aca="false">IF(AND(K92&gt;0,OR(O92="Sí",O92="Si")),1,0)</f>
        <v>0</v>
      </c>
      <c r="S92" s="62" t="n">
        <f aca="false">IF(AND(K92&gt;0,R92=0),1,0)</f>
        <v>0</v>
      </c>
    </row>
    <row r="93" customFormat="false" ht="15" hidden="false" customHeight="false" outlineLevel="0" collapsed="false">
      <c r="B93" s="71" t="str">
        <f aca="false">IF($F$6="Sí",N($C$11)+66,"")</f>
        <v/>
      </c>
      <c r="C93" s="72" t="str">
        <f aca="false">IF(OR($F$6&lt;&gt;"Sí",D93&lt;=0.5),"",EDATE($C$10,66))</f>
        <v/>
      </c>
      <c r="D93" s="41" t="n">
        <f aca="false">MAX(0,M92)</f>
        <v>0</v>
      </c>
      <c r="E93" s="41" t="n">
        <f aca="false">D93*$F$7</f>
        <v>0</v>
      </c>
      <c r="F93" s="41" t="n">
        <f aca="false">IF(D93&gt;0.5,N($C$15),0)</f>
        <v>0</v>
      </c>
      <c r="G93" s="41" t="n">
        <f aca="false">IF(AND(D93&gt;0.5,N($C$19)&gt;0,N(B93)&lt;=N($C$20)),D93*$F$8,0)</f>
        <v>0</v>
      </c>
      <c r="H93" s="41" t="n">
        <f aca="false">IF(D93&lt;=0.5,0,MIN(IF(N(I93)&gt;0,I93,$F$9),D93+E93+F93))</f>
        <v>0</v>
      </c>
      <c r="I93" s="77"/>
      <c r="J93" s="77"/>
      <c r="K93" s="41" t="n">
        <f aca="false">IF(D93&lt;=0.5,0,MIN(H93+N(J93),D93+E93+F93))</f>
        <v>0</v>
      </c>
      <c r="L93" s="41" t="n">
        <f aca="false">K93-E93-F93</f>
        <v>0</v>
      </c>
      <c r="M93" s="41" t="n">
        <f aca="false">D93-L93</f>
        <v>0</v>
      </c>
      <c r="N93" s="42" t="n">
        <f aca="false">K93-G93</f>
        <v>0</v>
      </c>
      <c r="O93" s="78"/>
      <c r="P93" s="79"/>
      <c r="Q93" s="16" t="str">
        <f aca="false">IF(K93=0,"",IF(R93=1,"Pagada",IF(C93&lt;$F$12,"Vencida",IF(67=$F$13,"Próxima","Pendiente"))))</f>
        <v/>
      </c>
      <c r="R93" s="62" t="n">
        <f aca="false">IF(AND(K93&gt;0,OR(O93="Sí",O93="Si")),1,0)</f>
        <v>0</v>
      </c>
      <c r="S93" s="62" t="n">
        <f aca="false">IF(AND(K93&gt;0,R93=0),1,0)</f>
        <v>0</v>
      </c>
    </row>
    <row r="94" customFormat="false" ht="15" hidden="false" customHeight="false" outlineLevel="0" collapsed="false">
      <c r="B94" s="71" t="str">
        <f aca="false">IF($F$6="Sí",N($C$11)+67,"")</f>
        <v/>
      </c>
      <c r="C94" s="72" t="str">
        <f aca="false">IF(OR($F$6&lt;&gt;"Sí",D94&lt;=0.5),"",EDATE($C$10,67))</f>
        <v/>
      </c>
      <c r="D94" s="41" t="n">
        <f aca="false">MAX(0,M93)</f>
        <v>0</v>
      </c>
      <c r="E94" s="41" t="n">
        <f aca="false">D94*$F$7</f>
        <v>0</v>
      </c>
      <c r="F94" s="41" t="n">
        <f aca="false">IF(D94&gt;0.5,N($C$15),0)</f>
        <v>0</v>
      </c>
      <c r="G94" s="41" t="n">
        <f aca="false">IF(AND(D94&gt;0.5,N($C$19)&gt;0,N(B94)&lt;=N($C$20)),D94*$F$8,0)</f>
        <v>0</v>
      </c>
      <c r="H94" s="41" t="n">
        <f aca="false">IF(D94&lt;=0.5,0,MIN(IF(N(I94)&gt;0,I94,$F$9),D94+E94+F94))</f>
        <v>0</v>
      </c>
      <c r="I94" s="77"/>
      <c r="J94" s="77"/>
      <c r="K94" s="41" t="n">
        <f aca="false">IF(D94&lt;=0.5,0,MIN(H94+N(J94),D94+E94+F94))</f>
        <v>0</v>
      </c>
      <c r="L94" s="41" t="n">
        <f aca="false">K94-E94-F94</f>
        <v>0</v>
      </c>
      <c r="M94" s="41" t="n">
        <f aca="false">D94-L94</f>
        <v>0</v>
      </c>
      <c r="N94" s="42" t="n">
        <f aca="false">K94-G94</f>
        <v>0</v>
      </c>
      <c r="O94" s="78"/>
      <c r="P94" s="79"/>
      <c r="Q94" s="16" t="str">
        <f aca="false">IF(K94=0,"",IF(R94=1,"Pagada",IF(C94&lt;$F$12,"Vencida",IF(68=$F$13,"Próxima","Pendiente"))))</f>
        <v/>
      </c>
      <c r="R94" s="62" t="n">
        <f aca="false">IF(AND(K94&gt;0,OR(O94="Sí",O94="Si")),1,0)</f>
        <v>0</v>
      </c>
      <c r="S94" s="62" t="n">
        <f aca="false">IF(AND(K94&gt;0,R94=0),1,0)</f>
        <v>0</v>
      </c>
    </row>
    <row r="95" customFormat="false" ht="15" hidden="false" customHeight="false" outlineLevel="0" collapsed="false">
      <c r="B95" s="71" t="str">
        <f aca="false">IF($F$6="Sí",N($C$11)+68,"")</f>
        <v/>
      </c>
      <c r="C95" s="72" t="str">
        <f aca="false">IF(OR($F$6&lt;&gt;"Sí",D95&lt;=0.5),"",EDATE($C$10,68))</f>
        <v/>
      </c>
      <c r="D95" s="41" t="n">
        <f aca="false">MAX(0,M94)</f>
        <v>0</v>
      </c>
      <c r="E95" s="41" t="n">
        <f aca="false">D95*$F$7</f>
        <v>0</v>
      </c>
      <c r="F95" s="41" t="n">
        <f aca="false">IF(D95&gt;0.5,N($C$15),0)</f>
        <v>0</v>
      </c>
      <c r="G95" s="41" t="n">
        <f aca="false">IF(AND(D95&gt;0.5,N($C$19)&gt;0,N(B95)&lt;=N($C$20)),D95*$F$8,0)</f>
        <v>0</v>
      </c>
      <c r="H95" s="41" t="n">
        <f aca="false">IF(D95&lt;=0.5,0,MIN(IF(N(I95)&gt;0,I95,$F$9),D95+E95+F95))</f>
        <v>0</v>
      </c>
      <c r="I95" s="77"/>
      <c r="J95" s="77"/>
      <c r="K95" s="41" t="n">
        <f aca="false">IF(D95&lt;=0.5,0,MIN(H95+N(J95),D95+E95+F95))</f>
        <v>0</v>
      </c>
      <c r="L95" s="41" t="n">
        <f aca="false">K95-E95-F95</f>
        <v>0</v>
      </c>
      <c r="M95" s="41" t="n">
        <f aca="false">D95-L95</f>
        <v>0</v>
      </c>
      <c r="N95" s="42" t="n">
        <f aca="false">K95-G95</f>
        <v>0</v>
      </c>
      <c r="O95" s="78"/>
      <c r="P95" s="79"/>
      <c r="Q95" s="16" t="str">
        <f aca="false">IF(K95=0,"",IF(R95=1,"Pagada",IF(C95&lt;$F$12,"Vencida",IF(69=$F$13,"Próxima","Pendiente"))))</f>
        <v/>
      </c>
      <c r="R95" s="62" t="n">
        <f aca="false">IF(AND(K95&gt;0,OR(O95="Sí",O95="Si")),1,0)</f>
        <v>0</v>
      </c>
      <c r="S95" s="62" t="n">
        <f aca="false">IF(AND(K95&gt;0,R95=0),1,0)</f>
        <v>0</v>
      </c>
    </row>
    <row r="96" customFormat="false" ht="15" hidden="false" customHeight="false" outlineLevel="0" collapsed="false">
      <c r="B96" s="71" t="str">
        <f aca="false">IF($F$6="Sí",N($C$11)+69,"")</f>
        <v/>
      </c>
      <c r="C96" s="72" t="str">
        <f aca="false">IF(OR($F$6&lt;&gt;"Sí",D96&lt;=0.5),"",EDATE($C$10,69))</f>
        <v/>
      </c>
      <c r="D96" s="41" t="n">
        <f aca="false">MAX(0,M95)</f>
        <v>0</v>
      </c>
      <c r="E96" s="41" t="n">
        <f aca="false">D96*$F$7</f>
        <v>0</v>
      </c>
      <c r="F96" s="41" t="n">
        <f aca="false">IF(D96&gt;0.5,N($C$15),0)</f>
        <v>0</v>
      </c>
      <c r="G96" s="41" t="n">
        <f aca="false">IF(AND(D96&gt;0.5,N($C$19)&gt;0,N(B96)&lt;=N($C$20)),D96*$F$8,0)</f>
        <v>0</v>
      </c>
      <c r="H96" s="41" t="n">
        <f aca="false">IF(D96&lt;=0.5,0,MIN(IF(N(I96)&gt;0,I96,$F$9),D96+E96+F96))</f>
        <v>0</v>
      </c>
      <c r="I96" s="77"/>
      <c r="J96" s="77"/>
      <c r="K96" s="41" t="n">
        <f aca="false">IF(D96&lt;=0.5,0,MIN(H96+N(J96),D96+E96+F96))</f>
        <v>0</v>
      </c>
      <c r="L96" s="41" t="n">
        <f aca="false">K96-E96-F96</f>
        <v>0</v>
      </c>
      <c r="M96" s="41" t="n">
        <f aca="false">D96-L96</f>
        <v>0</v>
      </c>
      <c r="N96" s="42" t="n">
        <f aca="false">K96-G96</f>
        <v>0</v>
      </c>
      <c r="O96" s="78"/>
      <c r="P96" s="79"/>
      <c r="Q96" s="16" t="str">
        <f aca="false">IF(K96=0,"",IF(R96=1,"Pagada",IF(C96&lt;$F$12,"Vencida",IF(70=$F$13,"Próxima","Pendiente"))))</f>
        <v/>
      </c>
      <c r="R96" s="62" t="n">
        <f aca="false">IF(AND(K96&gt;0,OR(O96="Sí",O96="Si")),1,0)</f>
        <v>0</v>
      </c>
      <c r="S96" s="62" t="n">
        <f aca="false">IF(AND(K96&gt;0,R96=0),1,0)</f>
        <v>0</v>
      </c>
    </row>
    <row r="97" customFormat="false" ht="15" hidden="false" customHeight="false" outlineLevel="0" collapsed="false">
      <c r="B97" s="71" t="str">
        <f aca="false">IF($F$6="Sí",N($C$11)+70,"")</f>
        <v/>
      </c>
      <c r="C97" s="72" t="str">
        <f aca="false">IF(OR($F$6&lt;&gt;"Sí",D97&lt;=0.5),"",EDATE($C$10,70))</f>
        <v/>
      </c>
      <c r="D97" s="41" t="n">
        <f aca="false">MAX(0,M96)</f>
        <v>0</v>
      </c>
      <c r="E97" s="41" t="n">
        <f aca="false">D97*$F$7</f>
        <v>0</v>
      </c>
      <c r="F97" s="41" t="n">
        <f aca="false">IF(D97&gt;0.5,N($C$15),0)</f>
        <v>0</v>
      </c>
      <c r="G97" s="41" t="n">
        <f aca="false">IF(AND(D97&gt;0.5,N($C$19)&gt;0,N(B97)&lt;=N($C$20)),D97*$F$8,0)</f>
        <v>0</v>
      </c>
      <c r="H97" s="41" t="n">
        <f aca="false">IF(D97&lt;=0.5,0,MIN(IF(N(I97)&gt;0,I97,$F$9),D97+E97+F97))</f>
        <v>0</v>
      </c>
      <c r="I97" s="77"/>
      <c r="J97" s="77"/>
      <c r="K97" s="41" t="n">
        <f aca="false">IF(D97&lt;=0.5,0,MIN(H97+N(J97),D97+E97+F97))</f>
        <v>0</v>
      </c>
      <c r="L97" s="41" t="n">
        <f aca="false">K97-E97-F97</f>
        <v>0</v>
      </c>
      <c r="M97" s="41" t="n">
        <f aca="false">D97-L97</f>
        <v>0</v>
      </c>
      <c r="N97" s="42" t="n">
        <f aca="false">K97-G97</f>
        <v>0</v>
      </c>
      <c r="O97" s="78"/>
      <c r="P97" s="79"/>
      <c r="Q97" s="16" t="str">
        <f aca="false">IF(K97=0,"",IF(R97=1,"Pagada",IF(C97&lt;$F$12,"Vencida",IF(71=$F$13,"Próxima","Pendiente"))))</f>
        <v/>
      </c>
      <c r="R97" s="62" t="n">
        <f aca="false">IF(AND(K97&gt;0,OR(O97="Sí",O97="Si")),1,0)</f>
        <v>0</v>
      </c>
      <c r="S97" s="62" t="n">
        <f aca="false">IF(AND(K97&gt;0,R97=0),1,0)</f>
        <v>0</v>
      </c>
    </row>
    <row r="98" customFormat="false" ht="15" hidden="false" customHeight="false" outlineLevel="0" collapsed="false">
      <c r="B98" s="71" t="str">
        <f aca="false">IF($F$6="Sí",N($C$11)+71,"")</f>
        <v/>
      </c>
      <c r="C98" s="72" t="str">
        <f aca="false">IF(OR($F$6&lt;&gt;"Sí",D98&lt;=0.5),"",EDATE($C$10,71))</f>
        <v/>
      </c>
      <c r="D98" s="41" t="n">
        <f aca="false">MAX(0,M97)</f>
        <v>0</v>
      </c>
      <c r="E98" s="41" t="n">
        <f aca="false">D98*$F$7</f>
        <v>0</v>
      </c>
      <c r="F98" s="41" t="n">
        <f aca="false">IF(D98&gt;0.5,N($C$15),0)</f>
        <v>0</v>
      </c>
      <c r="G98" s="41" t="n">
        <f aca="false">IF(AND(D98&gt;0.5,N($C$19)&gt;0,N(B98)&lt;=N($C$20)),D98*$F$8,0)</f>
        <v>0</v>
      </c>
      <c r="H98" s="41" t="n">
        <f aca="false">IF(D98&lt;=0.5,0,MIN(IF(N(I98)&gt;0,I98,$F$9),D98+E98+F98))</f>
        <v>0</v>
      </c>
      <c r="I98" s="77"/>
      <c r="J98" s="77"/>
      <c r="K98" s="41" t="n">
        <f aca="false">IF(D98&lt;=0.5,0,MIN(H98+N(J98),D98+E98+F98))</f>
        <v>0</v>
      </c>
      <c r="L98" s="41" t="n">
        <f aca="false">K98-E98-F98</f>
        <v>0</v>
      </c>
      <c r="M98" s="41" t="n">
        <f aca="false">D98-L98</f>
        <v>0</v>
      </c>
      <c r="N98" s="42" t="n">
        <f aca="false">K98-G98</f>
        <v>0</v>
      </c>
      <c r="O98" s="78"/>
      <c r="P98" s="79"/>
      <c r="Q98" s="16" t="str">
        <f aca="false">IF(K98=0,"",IF(R98=1,"Pagada",IF(C98&lt;$F$12,"Vencida",IF(72=$F$13,"Próxima","Pendiente"))))</f>
        <v/>
      </c>
      <c r="R98" s="62" t="n">
        <f aca="false">IF(AND(K98&gt;0,OR(O98="Sí",O98="Si")),1,0)</f>
        <v>0</v>
      </c>
      <c r="S98" s="62" t="n">
        <f aca="false">IF(AND(K98&gt;0,R98=0),1,0)</f>
        <v>0</v>
      </c>
    </row>
    <row r="99" customFormat="false" ht="15" hidden="false" customHeight="false" outlineLevel="0" collapsed="false">
      <c r="B99" s="71" t="str">
        <f aca="false">IF($F$6="Sí",N($C$11)+72,"")</f>
        <v/>
      </c>
      <c r="C99" s="72" t="str">
        <f aca="false">IF(OR($F$6&lt;&gt;"Sí",D99&lt;=0.5),"",EDATE($C$10,72))</f>
        <v/>
      </c>
      <c r="D99" s="41" t="n">
        <f aca="false">MAX(0,M98)</f>
        <v>0</v>
      </c>
      <c r="E99" s="41" t="n">
        <f aca="false">D99*$F$7</f>
        <v>0</v>
      </c>
      <c r="F99" s="41" t="n">
        <f aca="false">IF(D99&gt;0.5,N($C$15),0)</f>
        <v>0</v>
      </c>
      <c r="G99" s="41" t="n">
        <f aca="false">IF(AND(D99&gt;0.5,N($C$19)&gt;0,N(B99)&lt;=N($C$20)),D99*$F$8,0)</f>
        <v>0</v>
      </c>
      <c r="H99" s="41" t="n">
        <f aca="false">IF(D99&lt;=0.5,0,MIN(IF(N(I99)&gt;0,I99,$F$9),D99+E99+F99))</f>
        <v>0</v>
      </c>
      <c r="I99" s="77"/>
      <c r="J99" s="77"/>
      <c r="K99" s="41" t="n">
        <f aca="false">IF(D99&lt;=0.5,0,MIN(H99+N(J99),D99+E99+F99))</f>
        <v>0</v>
      </c>
      <c r="L99" s="41" t="n">
        <f aca="false">K99-E99-F99</f>
        <v>0</v>
      </c>
      <c r="M99" s="41" t="n">
        <f aca="false">D99-L99</f>
        <v>0</v>
      </c>
      <c r="N99" s="42" t="n">
        <f aca="false">K99-G99</f>
        <v>0</v>
      </c>
      <c r="O99" s="78"/>
      <c r="P99" s="79"/>
      <c r="Q99" s="16" t="str">
        <f aca="false">IF(K99=0,"",IF(R99=1,"Pagada",IF(C99&lt;$F$12,"Vencida",IF(73=$F$13,"Próxima","Pendiente"))))</f>
        <v/>
      </c>
      <c r="R99" s="62" t="n">
        <f aca="false">IF(AND(K99&gt;0,OR(O99="Sí",O99="Si")),1,0)</f>
        <v>0</v>
      </c>
      <c r="S99" s="62" t="n">
        <f aca="false">IF(AND(K99&gt;0,R99=0),1,0)</f>
        <v>0</v>
      </c>
    </row>
    <row r="100" customFormat="false" ht="15" hidden="false" customHeight="false" outlineLevel="0" collapsed="false">
      <c r="B100" s="71" t="str">
        <f aca="false">IF($F$6="Sí",N($C$11)+73,"")</f>
        <v/>
      </c>
      <c r="C100" s="72" t="str">
        <f aca="false">IF(OR($F$6&lt;&gt;"Sí",D100&lt;=0.5),"",EDATE($C$10,73))</f>
        <v/>
      </c>
      <c r="D100" s="41" t="n">
        <f aca="false">MAX(0,M99)</f>
        <v>0</v>
      </c>
      <c r="E100" s="41" t="n">
        <f aca="false">D100*$F$7</f>
        <v>0</v>
      </c>
      <c r="F100" s="41" t="n">
        <f aca="false">IF(D100&gt;0.5,N($C$15),0)</f>
        <v>0</v>
      </c>
      <c r="G100" s="41" t="n">
        <f aca="false">IF(AND(D100&gt;0.5,N($C$19)&gt;0,N(B100)&lt;=N($C$20)),D100*$F$8,0)</f>
        <v>0</v>
      </c>
      <c r="H100" s="41" t="n">
        <f aca="false">IF(D100&lt;=0.5,0,MIN(IF(N(I100)&gt;0,I100,$F$9),D100+E100+F100))</f>
        <v>0</v>
      </c>
      <c r="I100" s="77"/>
      <c r="J100" s="77"/>
      <c r="K100" s="41" t="n">
        <f aca="false">IF(D100&lt;=0.5,0,MIN(H100+N(J100),D100+E100+F100))</f>
        <v>0</v>
      </c>
      <c r="L100" s="41" t="n">
        <f aca="false">K100-E100-F100</f>
        <v>0</v>
      </c>
      <c r="M100" s="41" t="n">
        <f aca="false">D100-L100</f>
        <v>0</v>
      </c>
      <c r="N100" s="42" t="n">
        <f aca="false">K100-G100</f>
        <v>0</v>
      </c>
      <c r="O100" s="78"/>
      <c r="P100" s="79"/>
      <c r="Q100" s="16" t="str">
        <f aca="false">IF(K100=0,"",IF(R100=1,"Pagada",IF(C100&lt;$F$12,"Vencida",IF(74=$F$13,"Próxima","Pendiente"))))</f>
        <v/>
      </c>
      <c r="R100" s="62" t="n">
        <f aca="false">IF(AND(K100&gt;0,OR(O100="Sí",O100="Si")),1,0)</f>
        <v>0</v>
      </c>
      <c r="S100" s="62" t="n">
        <f aca="false">IF(AND(K100&gt;0,R100=0),1,0)</f>
        <v>0</v>
      </c>
    </row>
    <row r="101" customFormat="false" ht="15" hidden="false" customHeight="false" outlineLevel="0" collapsed="false">
      <c r="B101" s="71" t="str">
        <f aca="false">IF($F$6="Sí",N($C$11)+74,"")</f>
        <v/>
      </c>
      <c r="C101" s="72" t="str">
        <f aca="false">IF(OR($F$6&lt;&gt;"Sí",D101&lt;=0.5),"",EDATE($C$10,74))</f>
        <v/>
      </c>
      <c r="D101" s="41" t="n">
        <f aca="false">MAX(0,M100)</f>
        <v>0</v>
      </c>
      <c r="E101" s="41" t="n">
        <f aca="false">D101*$F$7</f>
        <v>0</v>
      </c>
      <c r="F101" s="41" t="n">
        <f aca="false">IF(D101&gt;0.5,N($C$15),0)</f>
        <v>0</v>
      </c>
      <c r="G101" s="41" t="n">
        <f aca="false">IF(AND(D101&gt;0.5,N($C$19)&gt;0,N(B101)&lt;=N($C$20)),D101*$F$8,0)</f>
        <v>0</v>
      </c>
      <c r="H101" s="41" t="n">
        <f aca="false">IF(D101&lt;=0.5,0,MIN(IF(N(I101)&gt;0,I101,$F$9),D101+E101+F101))</f>
        <v>0</v>
      </c>
      <c r="I101" s="77"/>
      <c r="J101" s="77"/>
      <c r="K101" s="41" t="n">
        <f aca="false">IF(D101&lt;=0.5,0,MIN(H101+N(J101),D101+E101+F101))</f>
        <v>0</v>
      </c>
      <c r="L101" s="41" t="n">
        <f aca="false">K101-E101-F101</f>
        <v>0</v>
      </c>
      <c r="M101" s="41" t="n">
        <f aca="false">D101-L101</f>
        <v>0</v>
      </c>
      <c r="N101" s="42" t="n">
        <f aca="false">K101-G101</f>
        <v>0</v>
      </c>
      <c r="O101" s="78"/>
      <c r="P101" s="79"/>
      <c r="Q101" s="16" t="str">
        <f aca="false">IF(K101=0,"",IF(R101=1,"Pagada",IF(C101&lt;$F$12,"Vencida",IF(75=$F$13,"Próxima","Pendiente"))))</f>
        <v/>
      </c>
      <c r="R101" s="62" t="n">
        <f aca="false">IF(AND(K101&gt;0,OR(O101="Sí",O101="Si")),1,0)</f>
        <v>0</v>
      </c>
      <c r="S101" s="62" t="n">
        <f aca="false">IF(AND(K101&gt;0,R101=0),1,0)</f>
        <v>0</v>
      </c>
    </row>
    <row r="102" customFormat="false" ht="15" hidden="false" customHeight="false" outlineLevel="0" collapsed="false">
      <c r="B102" s="71" t="str">
        <f aca="false">IF($F$6="Sí",N($C$11)+75,"")</f>
        <v/>
      </c>
      <c r="C102" s="72" t="str">
        <f aca="false">IF(OR($F$6&lt;&gt;"Sí",D102&lt;=0.5),"",EDATE($C$10,75))</f>
        <v/>
      </c>
      <c r="D102" s="41" t="n">
        <f aca="false">MAX(0,M101)</f>
        <v>0</v>
      </c>
      <c r="E102" s="41" t="n">
        <f aca="false">D102*$F$7</f>
        <v>0</v>
      </c>
      <c r="F102" s="41" t="n">
        <f aca="false">IF(D102&gt;0.5,N($C$15),0)</f>
        <v>0</v>
      </c>
      <c r="G102" s="41" t="n">
        <f aca="false">IF(AND(D102&gt;0.5,N($C$19)&gt;0,N(B102)&lt;=N($C$20)),D102*$F$8,0)</f>
        <v>0</v>
      </c>
      <c r="H102" s="41" t="n">
        <f aca="false">IF(D102&lt;=0.5,0,MIN(IF(N(I102)&gt;0,I102,$F$9),D102+E102+F102))</f>
        <v>0</v>
      </c>
      <c r="I102" s="77"/>
      <c r="J102" s="77"/>
      <c r="K102" s="41" t="n">
        <f aca="false">IF(D102&lt;=0.5,0,MIN(H102+N(J102),D102+E102+F102))</f>
        <v>0</v>
      </c>
      <c r="L102" s="41" t="n">
        <f aca="false">K102-E102-F102</f>
        <v>0</v>
      </c>
      <c r="M102" s="41" t="n">
        <f aca="false">D102-L102</f>
        <v>0</v>
      </c>
      <c r="N102" s="42" t="n">
        <f aca="false">K102-G102</f>
        <v>0</v>
      </c>
      <c r="O102" s="78"/>
      <c r="P102" s="79"/>
      <c r="Q102" s="16" t="str">
        <f aca="false">IF(K102=0,"",IF(R102=1,"Pagada",IF(C102&lt;$F$12,"Vencida",IF(76=$F$13,"Próxima","Pendiente"))))</f>
        <v/>
      </c>
      <c r="R102" s="62" t="n">
        <f aca="false">IF(AND(K102&gt;0,OR(O102="Sí",O102="Si")),1,0)</f>
        <v>0</v>
      </c>
      <c r="S102" s="62" t="n">
        <f aca="false">IF(AND(K102&gt;0,R102=0),1,0)</f>
        <v>0</v>
      </c>
    </row>
    <row r="103" customFormat="false" ht="15" hidden="false" customHeight="false" outlineLevel="0" collapsed="false">
      <c r="B103" s="71" t="str">
        <f aca="false">IF($F$6="Sí",N($C$11)+76,"")</f>
        <v/>
      </c>
      <c r="C103" s="72" t="str">
        <f aca="false">IF(OR($F$6&lt;&gt;"Sí",D103&lt;=0.5),"",EDATE($C$10,76))</f>
        <v/>
      </c>
      <c r="D103" s="41" t="n">
        <f aca="false">MAX(0,M102)</f>
        <v>0</v>
      </c>
      <c r="E103" s="41" t="n">
        <f aca="false">D103*$F$7</f>
        <v>0</v>
      </c>
      <c r="F103" s="41" t="n">
        <f aca="false">IF(D103&gt;0.5,N($C$15),0)</f>
        <v>0</v>
      </c>
      <c r="G103" s="41" t="n">
        <f aca="false">IF(AND(D103&gt;0.5,N($C$19)&gt;0,N(B103)&lt;=N($C$20)),D103*$F$8,0)</f>
        <v>0</v>
      </c>
      <c r="H103" s="41" t="n">
        <f aca="false">IF(D103&lt;=0.5,0,MIN(IF(N(I103)&gt;0,I103,$F$9),D103+E103+F103))</f>
        <v>0</v>
      </c>
      <c r="I103" s="77"/>
      <c r="J103" s="77"/>
      <c r="K103" s="41" t="n">
        <f aca="false">IF(D103&lt;=0.5,0,MIN(H103+N(J103),D103+E103+F103))</f>
        <v>0</v>
      </c>
      <c r="L103" s="41" t="n">
        <f aca="false">K103-E103-F103</f>
        <v>0</v>
      </c>
      <c r="M103" s="41" t="n">
        <f aca="false">D103-L103</f>
        <v>0</v>
      </c>
      <c r="N103" s="42" t="n">
        <f aca="false">K103-G103</f>
        <v>0</v>
      </c>
      <c r="O103" s="78"/>
      <c r="P103" s="79"/>
      <c r="Q103" s="16" t="str">
        <f aca="false">IF(K103=0,"",IF(R103=1,"Pagada",IF(C103&lt;$F$12,"Vencida",IF(77=$F$13,"Próxima","Pendiente"))))</f>
        <v/>
      </c>
      <c r="R103" s="62" t="n">
        <f aca="false">IF(AND(K103&gt;0,OR(O103="Sí",O103="Si")),1,0)</f>
        <v>0</v>
      </c>
      <c r="S103" s="62" t="n">
        <f aca="false">IF(AND(K103&gt;0,R103=0),1,0)</f>
        <v>0</v>
      </c>
    </row>
    <row r="104" customFormat="false" ht="15" hidden="false" customHeight="false" outlineLevel="0" collapsed="false">
      <c r="B104" s="71" t="str">
        <f aca="false">IF($F$6="Sí",N($C$11)+77,"")</f>
        <v/>
      </c>
      <c r="C104" s="72" t="str">
        <f aca="false">IF(OR($F$6&lt;&gt;"Sí",D104&lt;=0.5),"",EDATE($C$10,77))</f>
        <v/>
      </c>
      <c r="D104" s="41" t="n">
        <f aca="false">MAX(0,M103)</f>
        <v>0</v>
      </c>
      <c r="E104" s="41" t="n">
        <f aca="false">D104*$F$7</f>
        <v>0</v>
      </c>
      <c r="F104" s="41" t="n">
        <f aca="false">IF(D104&gt;0.5,N($C$15),0)</f>
        <v>0</v>
      </c>
      <c r="G104" s="41" t="n">
        <f aca="false">IF(AND(D104&gt;0.5,N($C$19)&gt;0,N(B104)&lt;=N($C$20)),D104*$F$8,0)</f>
        <v>0</v>
      </c>
      <c r="H104" s="41" t="n">
        <f aca="false">IF(D104&lt;=0.5,0,MIN(IF(N(I104)&gt;0,I104,$F$9),D104+E104+F104))</f>
        <v>0</v>
      </c>
      <c r="I104" s="77"/>
      <c r="J104" s="77"/>
      <c r="K104" s="41" t="n">
        <f aca="false">IF(D104&lt;=0.5,0,MIN(H104+N(J104),D104+E104+F104))</f>
        <v>0</v>
      </c>
      <c r="L104" s="41" t="n">
        <f aca="false">K104-E104-F104</f>
        <v>0</v>
      </c>
      <c r="M104" s="41" t="n">
        <f aca="false">D104-L104</f>
        <v>0</v>
      </c>
      <c r="N104" s="42" t="n">
        <f aca="false">K104-G104</f>
        <v>0</v>
      </c>
      <c r="O104" s="78"/>
      <c r="P104" s="79"/>
      <c r="Q104" s="16" t="str">
        <f aca="false">IF(K104=0,"",IF(R104=1,"Pagada",IF(C104&lt;$F$12,"Vencida",IF(78=$F$13,"Próxima","Pendiente"))))</f>
        <v/>
      </c>
      <c r="R104" s="62" t="n">
        <f aca="false">IF(AND(K104&gt;0,OR(O104="Sí",O104="Si")),1,0)</f>
        <v>0</v>
      </c>
      <c r="S104" s="62" t="n">
        <f aca="false">IF(AND(K104&gt;0,R104=0),1,0)</f>
        <v>0</v>
      </c>
    </row>
    <row r="105" customFormat="false" ht="15" hidden="false" customHeight="false" outlineLevel="0" collapsed="false">
      <c r="B105" s="71" t="str">
        <f aca="false">IF($F$6="Sí",N($C$11)+78,"")</f>
        <v/>
      </c>
      <c r="C105" s="72" t="str">
        <f aca="false">IF(OR($F$6&lt;&gt;"Sí",D105&lt;=0.5),"",EDATE($C$10,78))</f>
        <v/>
      </c>
      <c r="D105" s="41" t="n">
        <f aca="false">MAX(0,M104)</f>
        <v>0</v>
      </c>
      <c r="E105" s="41" t="n">
        <f aca="false">D105*$F$7</f>
        <v>0</v>
      </c>
      <c r="F105" s="41" t="n">
        <f aca="false">IF(D105&gt;0.5,N($C$15),0)</f>
        <v>0</v>
      </c>
      <c r="G105" s="41" t="n">
        <f aca="false">IF(AND(D105&gt;0.5,N($C$19)&gt;0,N(B105)&lt;=N($C$20)),D105*$F$8,0)</f>
        <v>0</v>
      </c>
      <c r="H105" s="41" t="n">
        <f aca="false">IF(D105&lt;=0.5,0,MIN(IF(N(I105)&gt;0,I105,$F$9),D105+E105+F105))</f>
        <v>0</v>
      </c>
      <c r="I105" s="77"/>
      <c r="J105" s="77"/>
      <c r="K105" s="41" t="n">
        <f aca="false">IF(D105&lt;=0.5,0,MIN(H105+N(J105),D105+E105+F105))</f>
        <v>0</v>
      </c>
      <c r="L105" s="41" t="n">
        <f aca="false">K105-E105-F105</f>
        <v>0</v>
      </c>
      <c r="M105" s="41" t="n">
        <f aca="false">D105-L105</f>
        <v>0</v>
      </c>
      <c r="N105" s="42" t="n">
        <f aca="false">K105-G105</f>
        <v>0</v>
      </c>
      <c r="O105" s="78"/>
      <c r="P105" s="79"/>
      <c r="Q105" s="16" t="str">
        <f aca="false">IF(K105=0,"",IF(R105=1,"Pagada",IF(C105&lt;$F$12,"Vencida",IF(79=$F$13,"Próxima","Pendiente"))))</f>
        <v/>
      </c>
      <c r="R105" s="62" t="n">
        <f aca="false">IF(AND(K105&gt;0,OR(O105="Sí",O105="Si")),1,0)</f>
        <v>0</v>
      </c>
      <c r="S105" s="62" t="n">
        <f aca="false">IF(AND(K105&gt;0,R105=0),1,0)</f>
        <v>0</v>
      </c>
    </row>
    <row r="106" customFormat="false" ht="15" hidden="false" customHeight="false" outlineLevel="0" collapsed="false">
      <c r="B106" s="71" t="str">
        <f aca="false">IF($F$6="Sí",N($C$11)+79,"")</f>
        <v/>
      </c>
      <c r="C106" s="72" t="str">
        <f aca="false">IF(OR($F$6&lt;&gt;"Sí",D106&lt;=0.5),"",EDATE($C$10,79))</f>
        <v/>
      </c>
      <c r="D106" s="41" t="n">
        <f aca="false">MAX(0,M105)</f>
        <v>0</v>
      </c>
      <c r="E106" s="41" t="n">
        <f aca="false">D106*$F$7</f>
        <v>0</v>
      </c>
      <c r="F106" s="41" t="n">
        <f aca="false">IF(D106&gt;0.5,N($C$15),0)</f>
        <v>0</v>
      </c>
      <c r="G106" s="41" t="n">
        <f aca="false">IF(AND(D106&gt;0.5,N($C$19)&gt;0,N(B106)&lt;=N($C$20)),D106*$F$8,0)</f>
        <v>0</v>
      </c>
      <c r="H106" s="41" t="n">
        <f aca="false">IF(D106&lt;=0.5,0,MIN(IF(N(I106)&gt;0,I106,$F$9),D106+E106+F106))</f>
        <v>0</v>
      </c>
      <c r="I106" s="77"/>
      <c r="J106" s="77"/>
      <c r="K106" s="41" t="n">
        <f aca="false">IF(D106&lt;=0.5,0,MIN(H106+N(J106),D106+E106+F106))</f>
        <v>0</v>
      </c>
      <c r="L106" s="41" t="n">
        <f aca="false">K106-E106-F106</f>
        <v>0</v>
      </c>
      <c r="M106" s="41" t="n">
        <f aca="false">D106-L106</f>
        <v>0</v>
      </c>
      <c r="N106" s="42" t="n">
        <f aca="false">K106-G106</f>
        <v>0</v>
      </c>
      <c r="O106" s="78"/>
      <c r="P106" s="79"/>
      <c r="Q106" s="16" t="str">
        <f aca="false">IF(K106=0,"",IF(R106=1,"Pagada",IF(C106&lt;$F$12,"Vencida",IF(80=$F$13,"Próxima","Pendiente"))))</f>
        <v/>
      </c>
      <c r="R106" s="62" t="n">
        <f aca="false">IF(AND(K106&gt;0,OR(O106="Sí",O106="Si")),1,0)</f>
        <v>0</v>
      </c>
      <c r="S106" s="62" t="n">
        <f aca="false">IF(AND(K106&gt;0,R106=0),1,0)</f>
        <v>0</v>
      </c>
    </row>
    <row r="107" customFormat="false" ht="15" hidden="false" customHeight="false" outlineLevel="0" collapsed="false">
      <c r="B107" s="71" t="str">
        <f aca="false">IF($F$6="Sí",N($C$11)+80,"")</f>
        <v/>
      </c>
      <c r="C107" s="72" t="str">
        <f aca="false">IF(OR($F$6&lt;&gt;"Sí",D107&lt;=0.5),"",EDATE($C$10,80))</f>
        <v/>
      </c>
      <c r="D107" s="41" t="n">
        <f aca="false">MAX(0,M106)</f>
        <v>0</v>
      </c>
      <c r="E107" s="41" t="n">
        <f aca="false">D107*$F$7</f>
        <v>0</v>
      </c>
      <c r="F107" s="41" t="n">
        <f aca="false">IF(D107&gt;0.5,N($C$15),0)</f>
        <v>0</v>
      </c>
      <c r="G107" s="41" t="n">
        <f aca="false">IF(AND(D107&gt;0.5,N($C$19)&gt;0,N(B107)&lt;=N($C$20)),D107*$F$8,0)</f>
        <v>0</v>
      </c>
      <c r="H107" s="41" t="n">
        <f aca="false">IF(D107&lt;=0.5,0,MIN(IF(N(I107)&gt;0,I107,$F$9),D107+E107+F107))</f>
        <v>0</v>
      </c>
      <c r="I107" s="77"/>
      <c r="J107" s="77"/>
      <c r="K107" s="41" t="n">
        <f aca="false">IF(D107&lt;=0.5,0,MIN(H107+N(J107),D107+E107+F107))</f>
        <v>0</v>
      </c>
      <c r="L107" s="41" t="n">
        <f aca="false">K107-E107-F107</f>
        <v>0</v>
      </c>
      <c r="M107" s="41" t="n">
        <f aca="false">D107-L107</f>
        <v>0</v>
      </c>
      <c r="N107" s="42" t="n">
        <f aca="false">K107-G107</f>
        <v>0</v>
      </c>
      <c r="O107" s="78"/>
      <c r="P107" s="79"/>
      <c r="Q107" s="16" t="str">
        <f aca="false">IF(K107=0,"",IF(R107=1,"Pagada",IF(C107&lt;$F$12,"Vencida",IF(81=$F$13,"Próxima","Pendiente"))))</f>
        <v/>
      </c>
      <c r="R107" s="62" t="n">
        <f aca="false">IF(AND(K107&gt;0,OR(O107="Sí",O107="Si")),1,0)</f>
        <v>0</v>
      </c>
      <c r="S107" s="62" t="n">
        <f aca="false">IF(AND(K107&gt;0,R107=0),1,0)</f>
        <v>0</v>
      </c>
    </row>
    <row r="108" customFormat="false" ht="15" hidden="false" customHeight="false" outlineLevel="0" collapsed="false">
      <c r="B108" s="71" t="str">
        <f aca="false">IF($F$6="Sí",N($C$11)+81,"")</f>
        <v/>
      </c>
      <c r="C108" s="72" t="str">
        <f aca="false">IF(OR($F$6&lt;&gt;"Sí",D108&lt;=0.5),"",EDATE($C$10,81))</f>
        <v/>
      </c>
      <c r="D108" s="41" t="n">
        <f aca="false">MAX(0,M107)</f>
        <v>0</v>
      </c>
      <c r="E108" s="41" t="n">
        <f aca="false">D108*$F$7</f>
        <v>0</v>
      </c>
      <c r="F108" s="41" t="n">
        <f aca="false">IF(D108&gt;0.5,N($C$15),0)</f>
        <v>0</v>
      </c>
      <c r="G108" s="41" t="n">
        <f aca="false">IF(AND(D108&gt;0.5,N($C$19)&gt;0,N(B108)&lt;=N($C$20)),D108*$F$8,0)</f>
        <v>0</v>
      </c>
      <c r="H108" s="41" t="n">
        <f aca="false">IF(D108&lt;=0.5,0,MIN(IF(N(I108)&gt;0,I108,$F$9),D108+E108+F108))</f>
        <v>0</v>
      </c>
      <c r="I108" s="77"/>
      <c r="J108" s="77"/>
      <c r="K108" s="41" t="n">
        <f aca="false">IF(D108&lt;=0.5,0,MIN(H108+N(J108),D108+E108+F108))</f>
        <v>0</v>
      </c>
      <c r="L108" s="41" t="n">
        <f aca="false">K108-E108-F108</f>
        <v>0</v>
      </c>
      <c r="M108" s="41" t="n">
        <f aca="false">D108-L108</f>
        <v>0</v>
      </c>
      <c r="N108" s="42" t="n">
        <f aca="false">K108-G108</f>
        <v>0</v>
      </c>
      <c r="O108" s="78"/>
      <c r="P108" s="79"/>
      <c r="Q108" s="16" t="str">
        <f aca="false">IF(K108=0,"",IF(R108=1,"Pagada",IF(C108&lt;$F$12,"Vencida",IF(82=$F$13,"Próxima","Pendiente"))))</f>
        <v/>
      </c>
      <c r="R108" s="62" t="n">
        <f aca="false">IF(AND(K108&gt;0,OR(O108="Sí",O108="Si")),1,0)</f>
        <v>0</v>
      </c>
      <c r="S108" s="62" t="n">
        <f aca="false">IF(AND(K108&gt;0,R108=0),1,0)</f>
        <v>0</v>
      </c>
    </row>
    <row r="109" customFormat="false" ht="15" hidden="false" customHeight="false" outlineLevel="0" collapsed="false">
      <c r="B109" s="71" t="str">
        <f aca="false">IF($F$6="Sí",N($C$11)+82,"")</f>
        <v/>
      </c>
      <c r="C109" s="72" t="str">
        <f aca="false">IF(OR($F$6&lt;&gt;"Sí",D109&lt;=0.5),"",EDATE($C$10,82))</f>
        <v/>
      </c>
      <c r="D109" s="41" t="n">
        <f aca="false">MAX(0,M108)</f>
        <v>0</v>
      </c>
      <c r="E109" s="41" t="n">
        <f aca="false">D109*$F$7</f>
        <v>0</v>
      </c>
      <c r="F109" s="41" t="n">
        <f aca="false">IF(D109&gt;0.5,N($C$15),0)</f>
        <v>0</v>
      </c>
      <c r="G109" s="41" t="n">
        <f aca="false">IF(AND(D109&gt;0.5,N($C$19)&gt;0,N(B109)&lt;=N($C$20)),D109*$F$8,0)</f>
        <v>0</v>
      </c>
      <c r="H109" s="41" t="n">
        <f aca="false">IF(D109&lt;=0.5,0,MIN(IF(N(I109)&gt;0,I109,$F$9),D109+E109+F109))</f>
        <v>0</v>
      </c>
      <c r="I109" s="77"/>
      <c r="J109" s="77"/>
      <c r="K109" s="41" t="n">
        <f aca="false">IF(D109&lt;=0.5,0,MIN(H109+N(J109),D109+E109+F109))</f>
        <v>0</v>
      </c>
      <c r="L109" s="41" t="n">
        <f aca="false">K109-E109-F109</f>
        <v>0</v>
      </c>
      <c r="M109" s="41" t="n">
        <f aca="false">D109-L109</f>
        <v>0</v>
      </c>
      <c r="N109" s="42" t="n">
        <f aca="false">K109-G109</f>
        <v>0</v>
      </c>
      <c r="O109" s="78"/>
      <c r="P109" s="79"/>
      <c r="Q109" s="16" t="str">
        <f aca="false">IF(K109=0,"",IF(R109=1,"Pagada",IF(C109&lt;$F$12,"Vencida",IF(83=$F$13,"Próxima","Pendiente"))))</f>
        <v/>
      </c>
      <c r="R109" s="62" t="n">
        <f aca="false">IF(AND(K109&gt;0,OR(O109="Sí",O109="Si")),1,0)</f>
        <v>0</v>
      </c>
      <c r="S109" s="62" t="n">
        <f aca="false">IF(AND(K109&gt;0,R109=0),1,0)</f>
        <v>0</v>
      </c>
    </row>
    <row r="110" customFormat="false" ht="15" hidden="false" customHeight="false" outlineLevel="0" collapsed="false">
      <c r="B110" s="71" t="str">
        <f aca="false">IF($F$6="Sí",N($C$11)+83,"")</f>
        <v/>
      </c>
      <c r="C110" s="72" t="str">
        <f aca="false">IF(OR($F$6&lt;&gt;"Sí",D110&lt;=0.5),"",EDATE($C$10,83))</f>
        <v/>
      </c>
      <c r="D110" s="41" t="n">
        <f aca="false">MAX(0,M109)</f>
        <v>0</v>
      </c>
      <c r="E110" s="41" t="n">
        <f aca="false">D110*$F$7</f>
        <v>0</v>
      </c>
      <c r="F110" s="41" t="n">
        <f aca="false">IF(D110&gt;0.5,N($C$15),0)</f>
        <v>0</v>
      </c>
      <c r="G110" s="41" t="n">
        <f aca="false">IF(AND(D110&gt;0.5,N($C$19)&gt;0,N(B110)&lt;=N($C$20)),D110*$F$8,0)</f>
        <v>0</v>
      </c>
      <c r="H110" s="41" t="n">
        <f aca="false">IF(D110&lt;=0.5,0,MIN(IF(N(I110)&gt;0,I110,$F$9),D110+E110+F110))</f>
        <v>0</v>
      </c>
      <c r="I110" s="77"/>
      <c r="J110" s="77"/>
      <c r="K110" s="41" t="n">
        <f aca="false">IF(D110&lt;=0.5,0,MIN(H110+N(J110),D110+E110+F110))</f>
        <v>0</v>
      </c>
      <c r="L110" s="41" t="n">
        <f aca="false">K110-E110-F110</f>
        <v>0</v>
      </c>
      <c r="M110" s="41" t="n">
        <f aca="false">D110-L110</f>
        <v>0</v>
      </c>
      <c r="N110" s="42" t="n">
        <f aca="false">K110-G110</f>
        <v>0</v>
      </c>
      <c r="O110" s="78"/>
      <c r="P110" s="79"/>
      <c r="Q110" s="16" t="str">
        <f aca="false">IF(K110=0,"",IF(R110=1,"Pagada",IF(C110&lt;$F$12,"Vencida",IF(84=$F$13,"Próxima","Pendiente"))))</f>
        <v/>
      </c>
      <c r="R110" s="62" t="n">
        <f aca="false">IF(AND(K110&gt;0,OR(O110="Sí",O110="Si")),1,0)</f>
        <v>0</v>
      </c>
      <c r="S110" s="62" t="n">
        <f aca="false">IF(AND(K110&gt;0,R110=0),1,0)</f>
        <v>0</v>
      </c>
    </row>
    <row r="111" customFormat="false" ht="15" hidden="false" customHeight="false" outlineLevel="0" collapsed="false">
      <c r="B111" s="71" t="str">
        <f aca="false">IF($F$6="Sí",N($C$11)+84,"")</f>
        <v/>
      </c>
      <c r="C111" s="72" t="str">
        <f aca="false">IF(OR($F$6&lt;&gt;"Sí",D111&lt;=0.5),"",EDATE($C$10,84))</f>
        <v/>
      </c>
      <c r="D111" s="41" t="n">
        <f aca="false">MAX(0,M110)</f>
        <v>0</v>
      </c>
      <c r="E111" s="41" t="n">
        <f aca="false">D111*$F$7</f>
        <v>0</v>
      </c>
      <c r="F111" s="41" t="n">
        <f aca="false">IF(D111&gt;0.5,N($C$15),0)</f>
        <v>0</v>
      </c>
      <c r="G111" s="41" t="n">
        <f aca="false">IF(AND(D111&gt;0.5,N($C$19)&gt;0,N(B111)&lt;=N($C$20)),D111*$F$8,0)</f>
        <v>0</v>
      </c>
      <c r="H111" s="41" t="n">
        <f aca="false">IF(D111&lt;=0.5,0,MIN(IF(N(I111)&gt;0,I111,$F$9),D111+E111+F111))</f>
        <v>0</v>
      </c>
      <c r="I111" s="77"/>
      <c r="J111" s="77"/>
      <c r="K111" s="41" t="n">
        <f aca="false">IF(D111&lt;=0.5,0,MIN(H111+N(J111),D111+E111+F111))</f>
        <v>0</v>
      </c>
      <c r="L111" s="41" t="n">
        <f aca="false">K111-E111-F111</f>
        <v>0</v>
      </c>
      <c r="M111" s="41" t="n">
        <f aca="false">D111-L111</f>
        <v>0</v>
      </c>
      <c r="N111" s="42" t="n">
        <f aca="false">K111-G111</f>
        <v>0</v>
      </c>
      <c r="O111" s="78"/>
      <c r="P111" s="79"/>
      <c r="Q111" s="16" t="str">
        <f aca="false">IF(K111=0,"",IF(R111=1,"Pagada",IF(C111&lt;$F$12,"Vencida",IF(85=$F$13,"Próxima","Pendiente"))))</f>
        <v/>
      </c>
      <c r="R111" s="62" t="n">
        <f aca="false">IF(AND(K111&gt;0,OR(O111="Sí",O111="Si")),1,0)</f>
        <v>0</v>
      </c>
      <c r="S111" s="62" t="n">
        <f aca="false">IF(AND(K111&gt;0,R111=0),1,0)</f>
        <v>0</v>
      </c>
    </row>
    <row r="112" customFormat="false" ht="15" hidden="false" customHeight="false" outlineLevel="0" collapsed="false">
      <c r="B112" s="71" t="str">
        <f aca="false">IF($F$6="Sí",N($C$11)+85,"")</f>
        <v/>
      </c>
      <c r="C112" s="72" t="str">
        <f aca="false">IF(OR($F$6&lt;&gt;"Sí",D112&lt;=0.5),"",EDATE($C$10,85))</f>
        <v/>
      </c>
      <c r="D112" s="41" t="n">
        <f aca="false">MAX(0,M111)</f>
        <v>0</v>
      </c>
      <c r="E112" s="41" t="n">
        <f aca="false">D112*$F$7</f>
        <v>0</v>
      </c>
      <c r="F112" s="41" t="n">
        <f aca="false">IF(D112&gt;0.5,N($C$15),0)</f>
        <v>0</v>
      </c>
      <c r="G112" s="41" t="n">
        <f aca="false">IF(AND(D112&gt;0.5,N($C$19)&gt;0,N(B112)&lt;=N($C$20)),D112*$F$8,0)</f>
        <v>0</v>
      </c>
      <c r="H112" s="41" t="n">
        <f aca="false">IF(D112&lt;=0.5,0,MIN(IF(N(I112)&gt;0,I112,$F$9),D112+E112+F112))</f>
        <v>0</v>
      </c>
      <c r="I112" s="77"/>
      <c r="J112" s="77"/>
      <c r="K112" s="41" t="n">
        <f aca="false">IF(D112&lt;=0.5,0,MIN(H112+N(J112),D112+E112+F112))</f>
        <v>0</v>
      </c>
      <c r="L112" s="41" t="n">
        <f aca="false">K112-E112-F112</f>
        <v>0</v>
      </c>
      <c r="M112" s="41" t="n">
        <f aca="false">D112-L112</f>
        <v>0</v>
      </c>
      <c r="N112" s="42" t="n">
        <f aca="false">K112-G112</f>
        <v>0</v>
      </c>
      <c r="O112" s="78"/>
      <c r="P112" s="79"/>
      <c r="Q112" s="16" t="str">
        <f aca="false">IF(K112=0,"",IF(R112=1,"Pagada",IF(C112&lt;$F$12,"Vencida",IF(86=$F$13,"Próxima","Pendiente"))))</f>
        <v/>
      </c>
      <c r="R112" s="62" t="n">
        <f aca="false">IF(AND(K112&gt;0,OR(O112="Sí",O112="Si")),1,0)</f>
        <v>0</v>
      </c>
      <c r="S112" s="62" t="n">
        <f aca="false">IF(AND(K112&gt;0,R112=0),1,0)</f>
        <v>0</v>
      </c>
    </row>
    <row r="113" customFormat="false" ht="15" hidden="false" customHeight="false" outlineLevel="0" collapsed="false">
      <c r="B113" s="71" t="str">
        <f aca="false">IF($F$6="Sí",N($C$11)+86,"")</f>
        <v/>
      </c>
      <c r="C113" s="72" t="str">
        <f aca="false">IF(OR($F$6&lt;&gt;"Sí",D113&lt;=0.5),"",EDATE($C$10,86))</f>
        <v/>
      </c>
      <c r="D113" s="41" t="n">
        <f aca="false">MAX(0,M112)</f>
        <v>0</v>
      </c>
      <c r="E113" s="41" t="n">
        <f aca="false">D113*$F$7</f>
        <v>0</v>
      </c>
      <c r="F113" s="41" t="n">
        <f aca="false">IF(D113&gt;0.5,N($C$15),0)</f>
        <v>0</v>
      </c>
      <c r="G113" s="41" t="n">
        <f aca="false">IF(AND(D113&gt;0.5,N($C$19)&gt;0,N(B113)&lt;=N($C$20)),D113*$F$8,0)</f>
        <v>0</v>
      </c>
      <c r="H113" s="41" t="n">
        <f aca="false">IF(D113&lt;=0.5,0,MIN(IF(N(I113)&gt;0,I113,$F$9),D113+E113+F113))</f>
        <v>0</v>
      </c>
      <c r="I113" s="77"/>
      <c r="J113" s="77"/>
      <c r="K113" s="41" t="n">
        <f aca="false">IF(D113&lt;=0.5,0,MIN(H113+N(J113),D113+E113+F113))</f>
        <v>0</v>
      </c>
      <c r="L113" s="41" t="n">
        <f aca="false">K113-E113-F113</f>
        <v>0</v>
      </c>
      <c r="M113" s="41" t="n">
        <f aca="false">D113-L113</f>
        <v>0</v>
      </c>
      <c r="N113" s="42" t="n">
        <f aca="false">K113-G113</f>
        <v>0</v>
      </c>
      <c r="O113" s="78"/>
      <c r="P113" s="79"/>
      <c r="Q113" s="16" t="str">
        <f aca="false">IF(K113=0,"",IF(R113=1,"Pagada",IF(C113&lt;$F$12,"Vencida",IF(87=$F$13,"Próxima","Pendiente"))))</f>
        <v/>
      </c>
      <c r="R113" s="62" t="n">
        <f aca="false">IF(AND(K113&gt;0,OR(O113="Sí",O113="Si")),1,0)</f>
        <v>0</v>
      </c>
      <c r="S113" s="62" t="n">
        <f aca="false">IF(AND(K113&gt;0,R113=0),1,0)</f>
        <v>0</v>
      </c>
    </row>
    <row r="114" customFormat="false" ht="15" hidden="false" customHeight="false" outlineLevel="0" collapsed="false">
      <c r="B114" s="71" t="str">
        <f aca="false">IF($F$6="Sí",N($C$11)+87,"")</f>
        <v/>
      </c>
      <c r="C114" s="72" t="str">
        <f aca="false">IF(OR($F$6&lt;&gt;"Sí",D114&lt;=0.5),"",EDATE($C$10,87))</f>
        <v/>
      </c>
      <c r="D114" s="41" t="n">
        <f aca="false">MAX(0,M113)</f>
        <v>0</v>
      </c>
      <c r="E114" s="41" t="n">
        <f aca="false">D114*$F$7</f>
        <v>0</v>
      </c>
      <c r="F114" s="41" t="n">
        <f aca="false">IF(D114&gt;0.5,N($C$15),0)</f>
        <v>0</v>
      </c>
      <c r="G114" s="41" t="n">
        <f aca="false">IF(AND(D114&gt;0.5,N($C$19)&gt;0,N(B114)&lt;=N($C$20)),D114*$F$8,0)</f>
        <v>0</v>
      </c>
      <c r="H114" s="41" t="n">
        <f aca="false">IF(D114&lt;=0.5,0,MIN(IF(N(I114)&gt;0,I114,$F$9),D114+E114+F114))</f>
        <v>0</v>
      </c>
      <c r="I114" s="77"/>
      <c r="J114" s="77"/>
      <c r="K114" s="41" t="n">
        <f aca="false">IF(D114&lt;=0.5,0,MIN(H114+N(J114),D114+E114+F114))</f>
        <v>0</v>
      </c>
      <c r="L114" s="41" t="n">
        <f aca="false">K114-E114-F114</f>
        <v>0</v>
      </c>
      <c r="M114" s="41" t="n">
        <f aca="false">D114-L114</f>
        <v>0</v>
      </c>
      <c r="N114" s="42" t="n">
        <f aca="false">K114-G114</f>
        <v>0</v>
      </c>
      <c r="O114" s="78"/>
      <c r="P114" s="79"/>
      <c r="Q114" s="16" t="str">
        <f aca="false">IF(K114=0,"",IF(R114=1,"Pagada",IF(C114&lt;$F$12,"Vencida",IF(88=$F$13,"Próxima","Pendiente"))))</f>
        <v/>
      </c>
      <c r="R114" s="62" t="n">
        <f aca="false">IF(AND(K114&gt;0,OR(O114="Sí",O114="Si")),1,0)</f>
        <v>0</v>
      </c>
      <c r="S114" s="62" t="n">
        <f aca="false">IF(AND(K114&gt;0,R114=0),1,0)</f>
        <v>0</v>
      </c>
    </row>
    <row r="115" customFormat="false" ht="15" hidden="false" customHeight="false" outlineLevel="0" collapsed="false">
      <c r="B115" s="71" t="str">
        <f aca="false">IF($F$6="Sí",N($C$11)+88,"")</f>
        <v/>
      </c>
      <c r="C115" s="72" t="str">
        <f aca="false">IF(OR($F$6&lt;&gt;"Sí",D115&lt;=0.5),"",EDATE($C$10,88))</f>
        <v/>
      </c>
      <c r="D115" s="41" t="n">
        <f aca="false">MAX(0,M114)</f>
        <v>0</v>
      </c>
      <c r="E115" s="41" t="n">
        <f aca="false">D115*$F$7</f>
        <v>0</v>
      </c>
      <c r="F115" s="41" t="n">
        <f aca="false">IF(D115&gt;0.5,N($C$15),0)</f>
        <v>0</v>
      </c>
      <c r="G115" s="41" t="n">
        <f aca="false">IF(AND(D115&gt;0.5,N($C$19)&gt;0,N(B115)&lt;=N($C$20)),D115*$F$8,0)</f>
        <v>0</v>
      </c>
      <c r="H115" s="41" t="n">
        <f aca="false">IF(D115&lt;=0.5,0,MIN(IF(N(I115)&gt;0,I115,$F$9),D115+E115+F115))</f>
        <v>0</v>
      </c>
      <c r="I115" s="77"/>
      <c r="J115" s="77"/>
      <c r="K115" s="41" t="n">
        <f aca="false">IF(D115&lt;=0.5,0,MIN(H115+N(J115),D115+E115+F115))</f>
        <v>0</v>
      </c>
      <c r="L115" s="41" t="n">
        <f aca="false">K115-E115-F115</f>
        <v>0</v>
      </c>
      <c r="M115" s="41" t="n">
        <f aca="false">D115-L115</f>
        <v>0</v>
      </c>
      <c r="N115" s="42" t="n">
        <f aca="false">K115-G115</f>
        <v>0</v>
      </c>
      <c r="O115" s="78"/>
      <c r="P115" s="79"/>
      <c r="Q115" s="16" t="str">
        <f aca="false">IF(K115=0,"",IF(R115=1,"Pagada",IF(C115&lt;$F$12,"Vencida",IF(89=$F$13,"Próxima","Pendiente"))))</f>
        <v/>
      </c>
      <c r="R115" s="62" t="n">
        <f aca="false">IF(AND(K115&gt;0,OR(O115="Sí",O115="Si")),1,0)</f>
        <v>0</v>
      </c>
      <c r="S115" s="62" t="n">
        <f aca="false">IF(AND(K115&gt;0,R115=0),1,0)</f>
        <v>0</v>
      </c>
    </row>
    <row r="116" customFormat="false" ht="15" hidden="false" customHeight="false" outlineLevel="0" collapsed="false">
      <c r="B116" s="71" t="str">
        <f aca="false">IF($F$6="Sí",N($C$11)+89,"")</f>
        <v/>
      </c>
      <c r="C116" s="72" t="str">
        <f aca="false">IF(OR($F$6&lt;&gt;"Sí",D116&lt;=0.5),"",EDATE($C$10,89))</f>
        <v/>
      </c>
      <c r="D116" s="41" t="n">
        <f aca="false">MAX(0,M115)</f>
        <v>0</v>
      </c>
      <c r="E116" s="41" t="n">
        <f aca="false">D116*$F$7</f>
        <v>0</v>
      </c>
      <c r="F116" s="41" t="n">
        <f aca="false">IF(D116&gt;0.5,N($C$15),0)</f>
        <v>0</v>
      </c>
      <c r="G116" s="41" t="n">
        <f aca="false">IF(AND(D116&gt;0.5,N($C$19)&gt;0,N(B116)&lt;=N($C$20)),D116*$F$8,0)</f>
        <v>0</v>
      </c>
      <c r="H116" s="41" t="n">
        <f aca="false">IF(D116&lt;=0.5,0,MIN(IF(N(I116)&gt;0,I116,$F$9),D116+E116+F116))</f>
        <v>0</v>
      </c>
      <c r="I116" s="77"/>
      <c r="J116" s="77"/>
      <c r="K116" s="41" t="n">
        <f aca="false">IF(D116&lt;=0.5,0,MIN(H116+N(J116),D116+E116+F116))</f>
        <v>0</v>
      </c>
      <c r="L116" s="41" t="n">
        <f aca="false">K116-E116-F116</f>
        <v>0</v>
      </c>
      <c r="M116" s="41" t="n">
        <f aca="false">D116-L116</f>
        <v>0</v>
      </c>
      <c r="N116" s="42" t="n">
        <f aca="false">K116-G116</f>
        <v>0</v>
      </c>
      <c r="O116" s="78"/>
      <c r="P116" s="79"/>
      <c r="Q116" s="16" t="str">
        <f aca="false">IF(K116=0,"",IF(R116=1,"Pagada",IF(C116&lt;$F$12,"Vencida",IF(90=$F$13,"Próxima","Pendiente"))))</f>
        <v/>
      </c>
      <c r="R116" s="62" t="n">
        <f aca="false">IF(AND(K116&gt;0,OR(O116="Sí",O116="Si")),1,0)</f>
        <v>0</v>
      </c>
      <c r="S116" s="62" t="n">
        <f aca="false">IF(AND(K116&gt;0,R116=0),1,0)</f>
        <v>0</v>
      </c>
    </row>
    <row r="117" customFormat="false" ht="15" hidden="false" customHeight="false" outlineLevel="0" collapsed="false">
      <c r="B117" s="71" t="str">
        <f aca="false">IF($F$6="Sí",N($C$11)+90,"")</f>
        <v/>
      </c>
      <c r="C117" s="72" t="str">
        <f aca="false">IF(OR($F$6&lt;&gt;"Sí",D117&lt;=0.5),"",EDATE($C$10,90))</f>
        <v/>
      </c>
      <c r="D117" s="41" t="n">
        <f aca="false">MAX(0,M116)</f>
        <v>0</v>
      </c>
      <c r="E117" s="41" t="n">
        <f aca="false">D117*$F$7</f>
        <v>0</v>
      </c>
      <c r="F117" s="41" t="n">
        <f aca="false">IF(D117&gt;0.5,N($C$15),0)</f>
        <v>0</v>
      </c>
      <c r="G117" s="41" t="n">
        <f aca="false">IF(AND(D117&gt;0.5,N($C$19)&gt;0,N(B117)&lt;=N($C$20)),D117*$F$8,0)</f>
        <v>0</v>
      </c>
      <c r="H117" s="41" t="n">
        <f aca="false">IF(D117&lt;=0.5,0,MIN(IF(N(I117)&gt;0,I117,$F$9),D117+E117+F117))</f>
        <v>0</v>
      </c>
      <c r="I117" s="77"/>
      <c r="J117" s="77"/>
      <c r="K117" s="41" t="n">
        <f aca="false">IF(D117&lt;=0.5,0,MIN(H117+N(J117),D117+E117+F117))</f>
        <v>0</v>
      </c>
      <c r="L117" s="41" t="n">
        <f aca="false">K117-E117-F117</f>
        <v>0</v>
      </c>
      <c r="M117" s="41" t="n">
        <f aca="false">D117-L117</f>
        <v>0</v>
      </c>
      <c r="N117" s="42" t="n">
        <f aca="false">K117-G117</f>
        <v>0</v>
      </c>
      <c r="O117" s="78"/>
      <c r="P117" s="79"/>
      <c r="Q117" s="16" t="str">
        <f aca="false">IF(K117=0,"",IF(R117=1,"Pagada",IF(C117&lt;$F$12,"Vencida",IF(91=$F$13,"Próxima","Pendiente"))))</f>
        <v/>
      </c>
      <c r="R117" s="62" t="n">
        <f aca="false">IF(AND(K117&gt;0,OR(O117="Sí",O117="Si")),1,0)</f>
        <v>0</v>
      </c>
      <c r="S117" s="62" t="n">
        <f aca="false">IF(AND(K117&gt;0,R117=0),1,0)</f>
        <v>0</v>
      </c>
    </row>
    <row r="118" customFormat="false" ht="15" hidden="false" customHeight="false" outlineLevel="0" collapsed="false">
      <c r="B118" s="71" t="str">
        <f aca="false">IF($F$6="Sí",N($C$11)+91,"")</f>
        <v/>
      </c>
      <c r="C118" s="72" t="str">
        <f aca="false">IF(OR($F$6&lt;&gt;"Sí",D118&lt;=0.5),"",EDATE($C$10,91))</f>
        <v/>
      </c>
      <c r="D118" s="41" t="n">
        <f aca="false">MAX(0,M117)</f>
        <v>0</v>
      </c>
      <c r="E118" s="41" t="n">
        <f aca="false">D118*$F$7</f>
        <v>0</v>
      </c>
      <c r="F118" s="41" t="n">
        <f aca="false">IF(D118&gt;0.5,N($C$15),0)</f>
        <v>0</v>
      </c>
      <c r="G118" s="41" t="n">
        <f aca="false">IF(AND(D118&gt;0.5,N($C$19)&gt;0,N(B118)&lt;=N($C$20)),D118*$F$8,0)</f>
        <v>0</v>
      </c>
      <c r="H118" s="41" t="n">
        <f aca="false">IF(D118&lt;=0.5,0,MIN(IF(N(I118)&gt;0,I118,$F$9),D118+E118+F118))</f>
        <v>0</v>
      </c>
      <c r="I118" s="77"/>
      <c r="J118" s="77"/>
      <c r="K118" s="41" t="n">
        <f aca="false">IF(D118&lt;=0.5,0,MIN(H118+N(J118),D118+E118+F118))</f>
        <v>0</v>
      </c>
      <c r="L118" s="41" t="n">
        <f aca="false">K118-E118-F118</f>
        <v>0</v>
      </c>
      <c r="M118" s="41" t="n">
        <f aca="false">D118-L118</f>
        <v>0</v>
      </c>
      <c r="N118" s="42" t="n">
        <f aca="false">K118-G118</f>
        <v>0</v>
      </c>
      <c r="O118" s="78"/>
      <c r="P118" s="79"/>
      <c r="Q118" s="16" t="str">
        <f aca="false">IF(K118=0,"",IF(R118=1,"Pagada",IF(C118&lt;$F$12,"Vencida",IF(92=$F$13,"Próxima","Pendiente"))))</f>
        <v/>
      </c>
      <c r="R118" s="62" t="n">
        <f aca="false">IF(AND(K118&gt;0,OR(O118="Sí",O118="Si")),1,0)</f>
        <v>0</v>
      </c>
      <c r="S118" s="62" t="n">
        <f aca="false">IF(AND(K118&gt;0,R118=0),1,0)</f>
        <v>0</v>
      </c>
    </row>
    <row r="119" customFormat="false" ht="15" hidden="false" customHeight="false" outlineLevel="0" collapsed="false">
      <c r="B119" s="71" t="str">
        <f aca="false">IF($F$6="Sí",N($C$11)+92,"")</f>
        <v/>
      </c>
      <c r="C119" s="72" t="str">
        <f aca="false">IF(OR($F$6&lt;&gt;"Sí",D119&lt;=0.5),"",EDATE($C$10,92))</f>
        <v/>
      </c>
      <c r="D119" s="41" t="n">
        <f aca="false">MAX(0,M118)</f>
        <v>0</v>
      </c>
      <c r="E119" s="41" t="n">
        <f aca="false">D119*$F$7</f>
        <v>0</v>
      </c>
      <c r="F119" s="41" t="n">
        <f aca="false">IF(D119&gt;0.5,N($C$15),0)</f>
        <v>0</v>
      </c>
      <c r="G119" s="41" t="n">
        <f aca="false">IF(AND(D119&gt;0.5,N($C$19)&gt;0,N(B119)&lt;=N($C$20)),D119*$F$8,0)</f>
        <v>0</v>
      </c>
      <c r="H119" s="41" t="n">
        <f aca="false">IF(D119&lt;=0.5,0,MIN(IF(N(I119)&gt;0,I119,$F$9),D119+E119+F119))</f>
        <v>0</v>
      </c>
      <c r="I119" s="77"/>
      <c r="J119" s="77"/>
      <c r="K119" s="41" t="n">
        <f aca="false">IF(D119&lt;=0.5,0,MIN(H119+N(J119),D119+E119+F119))</f>
        <v>0</v>
      </c>
      <c r="L119" s="41" t="n">
        <f aca="false">K119-E119-F119</f>
        <v>0</v>
      </c>
      <c r="M119" s="41" t="n">
        <f aca="false">D119-L119</f>
        <v>0</v>
      </c>
      <c r="N119" s="42" t="n">
        <f aca="false">K119-G119</f>
        <v>0</v>
      </c>
      <c r="O119" s="78"/>
      <c r="P119" s="79"/>
      <c r="Q119" s="16" t="str">
        <f aca="false">IF(K119=0,"",IF(R119=1,"Pagada",IF(C119&lt;$F$12,"Vencida",IF(93=$F$13,"Próxima","Pendiente"))))</f>
        <v/>
      </c>
      <c r="R119" s="62" t="n">
        <f aca="false">IF(AND(K119&gt;0,OR(O119="Sí",O119="Si")),1,0)</f>
        <v>0</v>
      </c>
      <c r="S119" s="62" t="n">
        <f aca="false">IF(AND(K119&gt;0,R119=0),1,0)</f>
        <v>0</v>
      </c>
    </row>
    <row r="120" customFormat="false" ht="15" hidden="false" customHeight="false" outlineLevel="0" collapsed="false">
      <c r="B120" s="71" t="str">
        <f aca="false">IF($F$6="Sí",N($C$11)+93,"")</f>
        <v/>
      </c>
      <c r="C120" s="72" t="str">
        <f aca="false">IF(OR($F$6&lt;&gt;"Sí",D120&lt;=0.5),"",EDATE($C$10,93))</f>
        <v/>
      </c>
      <c r="D120" s="41" t="n">
        <f aca="false">MAX(0,M119)</f>
        <v>0</v>
      </c>
      <c r="E120" s="41" t="n">
        <f aca="false">D120*$F$7</f>
        <v>0</v>
      </c>
      <c r="F120" s="41" t="n">
        <f aca="false">IF(D120&gt;0.5,N($C$15),0)</f>
        <v>0</v>
      </c>
      <c r="G120" s="41" t="n">
        <f aca="false">IF(AND(D120&gt;0.5,N($C$19)&gt;0,N(B120)&lt;=N($C$20)),D120*$F$8,0)</f>
        <v>0</v>
      </c>
      <c r="H120" s="41" t="n">
        <f aca="false">IF(D120&lt;=0.5,0,MIN(IF(N(I120)&gt;0,I120,$F$9),D120+E120+F120))</f>
        <v>0</v>
      </c>
      <c r="I120" s="77"/>
      <c r="J120" s="77"/>
      <c r="K120" s="41" t="n">
        <f aca="false">IF(D120&lt;=0.5,0,MIN(H120+N(J120),D120+E120+F120))</f>
        <v>0</v>
      </c>
      <c r="L120" s="41" t="n">
        <f aca="false">K120-E120-F120</f>
        <v>0</v>
      </c>
      <c r="M120" s="41" t="n">
        <f aca="false">D120-L120</f>
        <v>0</v>
      </c>
      <c r="N120" s="42" t="n">
        <f aca="false">K120-G120</f>
        <v>0</v>
      </c>
      <c r="O120" s="78"/>
      <c r="P120" s="79"/>
      <c r="Q120" s="16" t="str">
        <f aca="false">IF(K120=0,"",IF(R120=1,"Pagada",IF(C120&lt;$F$12,"Vencida",IF(94=$F$13,"Próxima","Pendiente"))))</f>
        <v/>
      </c>
      <c r="R120" s="62" t="n">
        <f aca="false">IF(AND(K120&gt;0,OR(O120="Sí",O120="Si")),1,0)</f>
        <v>0</v>
      </c>
      <c r="S120" s="62" t="n">
        <f aca="false">IF(AND(K120&gt;0,R120=0),1,0)</f>
        <v>0</v>
      </c>
    </row>
    <row r="121" customFormat="false" ht="15" hidden="false" customHeight="false" outlineLevel="0" collapsed="false">
      <c r="B121" s="71" t="str">
        <f aca="false">IF($F$6="Sí",N($C$11)+94,"")</f>
        <v/>
      </c>
      <c r="C121" s="72" t="str">
        <f aca="false">IF(OR($F$6&lt;&gt;"Sí",D121&lt;=0.5),"",EDATE($C$10,94))</f>
        <v/>
      </c>
      <c r="D121" s="41" t="n">
        <f aca="false">MAX(0,M120)</f>
        <v>0</v>
      </c>
      <c r="E121" s="41" t="n">
        <f aca="false">D121*$F$7</f>
        <v>0</v>
      </c>
      <c r="F121" s="41" t="n">
        <f aca="false">IF(D121&gt;0.5,N($C$15),0)</f>
        <v>0</v>
      </c>
      <c r="G121" s="41" t="n">
        <f aca="false">IF(AND(D121&gt;0.5,N($C$19)&gt;0,N(B121)&lt;=N($C$20)),D121*$F$8,0)</f>
        <v>0</v>
      </c>
      <c r="H121" s="41" t="n">
        <f aca="false">IF(D121&lt;=0.5,0,MIN(IF(N(I121)&gt;0,I121,$F$9),D121+E121+F121))</f>
        <v>0</v>
      </c>
      <c r="I121" s="77"/>
      <c r="J121" s="77"/>
      <c r="K121" s="41" t="n">
        <f aca="false">IF(D121&lt;=0.5,0,MIN(H121+N(J121),D121+E121+F121))</f>
        <v>0</v>
      </c>
      <c r="L121" s="41" t="n">
        <f aca="false">K121-E121-F121</f>
        <v>0</v>
      </c>
      <c r="M121" s="41" t="n">
        <f aca="false">D121-L121</f>
        <v>0</v>
      </c>
      <c r="N121" s="42" t="n">
        <f aca="false">K121-G121</f>
        <v>0</v>
      </c>
      <c r="O121" s="78"/>
      <c r="P121" s="79"/>
      <c r="Q121" s="16" t="str">
        <f aca="false">IF(K121=0,"",IF(R121=1,"Pagada",IF(C121&lt;$F$12,"Vencida",IF(95=$F$13,"Próxima","Pendiente"))))</f>
        <v/>
      </c>
      <c r="R121" s="62" t="n">
        <f aca="false">IF(AND(K121&gt;0,OR(O121="Sí",O121="Si")),1,0)</f>
        <v>0</v>
      </c>
      <c r="S121" s="62" t="n">
        <f aca="false">IF(AND(K121&gt;0,R121=0),1,0)</f>
        <v>0</v>
      </c>
    </row>
    <row r="122" customFormat="false" ht="15" hidden="false" customHeight="false" outlineLevel="0" collapsed="false">
      <c r="B122" s="71" t="str">
        <f aca="false">IF($F$6="Sí",N($C$11)+95,"")</f>
        <v/>
      </c>
      <c r="C122" s="72" t="str">
        <f aca="false">IF(OR($F$6&lt;&gt;"Sí",D122&lt;=0.5),"",EDATE($C$10,95))</f>
        <v/>
      </c>
      <c r="D122" s="41" t="n">
        <f aca="false">MAX(0,M121)</f>
        <v>0</v>
      </c>
      <c r="E122" s="41" t="n">
        <f aca="false">D122*$F$7</f>
        <v>0</v>
      </c>
      <c r="F122" s="41" t="n">
        <f aca="false">IF(D122&gt;0.5,N($C$15),0)</f>
        <v>0</v>
      </c>
      <c r="G122" s="41" t="n">
        <f aca="false">IF(AND(D122&gt;0.5,N($C$19)&gt;0,N(B122)&lt;=N($C$20)),D122*$F$8,0)</f>
        <v>0</v>
      </c>
      <c r="H122" s="41" t="n">
        <f aca="false">IF(D122&lt;=0.5,0,MIN(IF(N(I122)&gt;0,I122,$F$9),D122+E122+F122))</f>
        <v>0</v>
      </c>
      <c r="I122" s="77"/>
      <c r="J122" s="77"/>
      <c r="K122" s="41" t="n">
        <f aca="false">IF(D122&lt;=0.5,0,MIN(H122+N(J122),D122+E122+F122))</f>
        <v>0</v>
      </c>
      <c r="L122" s="41" t="n">
        <f aca="false">K122-E122-F122</f>
        <v>0</v>
      </c>
      <c r="M122" s="41" t="n">
        <f aca="false">D122-L122</f>
        <v>0</v>
      </c>
      <c r="N122" s="42" t="n">
        <f aca="false">K122-G122</f>
        <v>0</v>
      </c>
      <c r="O122" s="78"/>
      <c r="P122" s="79"/>
      <c r="Q122" s="16" t="str">
        <f aca="false">IF(K122=0,"",IF(R122=1,"Pagada",IF(C122&lt;$F$12,"Vencida",IF(96=$F$13,"Próxima","Pendiente"))))</f>
        <v/>
      </c>
      <c r="R122" s="62" t="n">
        <f aca="false">IF(AND(K122&gt;0,OR(O122="Sí",O122="Si")),1,0)</f>
        <v>0</v>
      </c>
      <c r="S122" s="62" t="n">
        <f aca="false">IF(AND(K122&gt;0,R122=0),1,0)</f>
        <v>0</v>
      </c>
    </row>
    <row r="123" customFormat="false" ht="15" hidden="false" customHeight="false" outlineLevel="0" collapsed="false">
      <c r="B123" s="71" t="str">
        <f aca="false">IF($F$6="Sí",N($C$11)+96,"")</f>
        <v/>
      </c>
      <c r="C123" s="72" t="str">
        <f aca="false">IF(OR($F$6&lt;&gt;"Sí",D123&lt;=0.5),"",EDATE($C$10,96))</f>
        <v/>
      </c>
      <c r="D123" s="41" t="n">
        <f aca="false">MAX(0,M122)</f>
        <v>0</v>
      </c>
      <c r="E123" s="41" t="n">
        <f aca="false">D123*$F$7</f>
        <v>0</v>
      </c>
      <c r="F123" s="41" t="n">
        <f aca="false">IF(D123&gt;0.5,N($C$15),0)</f>
        <v>0</v>
      </c>
      <c r="G123" s="41" t="n">
        <f aca="false">IF(AND(D123&gt;0.5,N($C$19)&gt;0,N(B123)&lt;=N($C$20)),D123*$F$8,0)</f>
        <v>0</v>
      </c>
      <c r="H123" s="41" t="n">
        <f aca="false">IF(D123&lt;=0.5,0,MIN(IF(N(I123)&gt;0,I123,$F$9),D123+E123+F123))</f>
        <v>0</v>
      </c>
      <c r="I123" s="77"/>
      <c r="J123" s="77"/>
      <c r="K123" s="41" t="n">
        <f aca="false">IF(D123&lt;=0.5,0,MIN(H123+N(J123),D123+E123+F123))</f>
        <v>0</v>
      </c>
      <c r="L123" s="41" t="n">
        <f aca="false">K123-E123-F123</f>
        <v>0</v>
      </c>
      <c r="M123" s="41" t="n">
        <f aca="false">D123-L123</f>
        <v>0</v>
      </c>
      <c r="N123" s="42" t="n">
        <f aca="false">K123-G123</f>
        <v>0</v>
      </c>
      <c r="O123" s="78"/>
      <c r="P123" s="79"/>
      <c r="Q123" s="16" t="str">
        <f aca="false">IF(K123=0,"",IF(R123=1,"Pagada",IF(C123&lt;$F$12,"Vencida",IF(97=$F$13,"Próxima","Pendiente"))))</f>
        <v/>
      </c>
      <c r="R123" s="62" t="n">
        <f aca="false">IF(AND(K123&gt;0,OR(O123="Sí",O123="Si")),1,0)</f>
        <v>0</v>
      </c>
      <c r="S123" s="62" t="n">
        <f aca="false">IF(AND(K123&gt;0,R123=0),1,0)</f>
        <v>0</v>
      </c>
    </row>
    <row r="124" customFormat="false" ht="15" hidden="false" customHeight="false" outlineLevel="0" collapsed="false">
      <c r="B124" s="71" t="str">
        <f aca="false">IF($F$6="Sí",N($C$11)+97,"")</f>
        <v/>
      </c>
      <c r="C124" s="72" t="str">
        <f aca="false">IF(OR($F$6&lt;&gt;"Sí",D124&lt;=0.5),"",EDATE($C$10,97))</f>
        <v/>
      </c>
      <c r="D124" s="41" t="n">
        <f aca="false">MAX(0,M123)</f>
        <v>0</v>
      </c>
      <c r="E124" s="41" t="n">
        <f aca="false">D124*$F$7</f>
        <v>0</v>
      </c>
      <c r="F124" s="41" t="n">
        <f aca="false">IF(D124&gt;0.5,N($C$15),0)</f>
        <v>0</v>
      </c>
      <c r="G124" s="41" t="n">
        <f aca="false">IF(AND(D124&gt;0.5,N($C$19)&gt;0,N(B124)&lt;=N($C$20)),D124*$F$8,0)</f>
        <v>0</v>
      </c>
      <c r="H124" s="41" t="n">
        <f aca="false">IF(D124&lt;=0.5,0,MIN(IF(N(I124)&gt;0,I124,$F$9),D124+E124+F124))</f>
        <v>0</v>
      </c>
      <c r="I124" s="77"/>
      <c r="J124" s="77"/>
      <c r="K124" s="41" t="n">
        <f aca="false">IF(D124&lt;=0.5,0,MIN(H124+N(J124),D124+E124+F124))</f>
        <v>0</v>
      </c>
      <c r="L124" s="41" t="n">
        <f aca="false">K124-E124-F124</f>
        <v>0</v>
      </c>
      <c r="M124" s="41" t="n">
        <f aca="false">D124-L124</f>
        <v>0</v>
      </c>
      <c r="N124" s="42" t="n">
        <f aca="false">K124-G124</f>
        <v>0</v>
      </c>
      <c r="O124" s="78"/>
      <c r="P124" s="79"/>
      <c r="Q124" s="16" t="str">
        <f aca="false">IF(K124=0,"",IF(R124=1,"Pagada",IF(C124&lt;$F$12,"Vencida",IF(98=$F$13,"Próxima","Pendiente"))))</f>
        <v/>
      </c>
      <c r="R124" s="62" t="n">
        <f aca="false">IF(AND(K124&gt;0,OR(O124="Sí",O124="Si")),1,0)</f>
        <v>0</v>
      </c>
      <c r="S124" s="62" t="n">
        <f aca="false">IF(AND(K124&gt;0,R124=0),1,0)</f>
        <v>0</v>
      </c>
    </row>
    <row r="125" customFormat="false" ht="15" hidden="false" customHeight="false" outlineLevel="0" collapsed="false">
      <c r="B125" s="71" t="str">
        <f aca="false">IF($F$6="Sí",N($C$11)+98,"")</f>
        <v/>
      </c>
      <c r="C125" s="72" t="str">
        <f aca="false">IF(OR($F$6&lt;&gt;"Sí",D125&lt;=0.5),"",EDATE($C$10,98))</f>
        <v/>
      </c>
      <c r="D125" s="41" t="n">
        <f aca="false">MAX(0,M124)</f>
        <v>0</v>
      </c>
      <c r="E125" s="41" t="n">
        <f aca="false">D125*$F$7</f>
        <v>0</v>
      </c>
      <c r="F125" s="41" t="n">
        <f aca="false">IF(D125&gt;0.5,N($C$15),0)</f>
        <v>0</v>
      </c>
      <c r="G125" s="41" t="n">
        <f aca="false">IF(AND(D125&gt;0.5,N($C$19)&gt;0,N(B125)&lt;=N($C$20)),D125*$F$8,0)</f>
        <v>0</v>
      </c>
      <c r="H125" s="41" t="n">
        <f aca="false">IF(D125&lt;=0.5,0,MIN(IF(N(I125)&gt;0,I125,$F$9),D125+E125+F125))</f>
        <v>0</v>
      </c>
      <c r="I125" s="77"/>
      <c r="J125" s="77"/>
      <c r="K125" s="41" t="n">
        <f aca="false">IF(D125&lt;=0.5,0,MIN(H125+N(J125),D125+E125+F125))</f>
        <v>0</v>
      </c>
      <c r="L125" s="41" t="n">
        <f aca="false">K125-E125-F125</f>
        <v>0</v>
      </c>
      <c r="M125" s="41" t="n">
        <f aca="false">D125-L125</f>
        <v>0</v>
      </c>
      <c r="N125" s="42" t="n">
        <f aca="false">K125-G125</f>
        <v>0</v>
      </c>
      <c r="O125" s="78"/>
      <c r="P125" s="79"/>
      <c r="Q125" s="16" t="str">
        <f aca="false">IF(K125=0,"",IF(R125=1,"Pagada",IF(C125&lt;$F$12,"Vencida",IF(99=$F$13,"Próxima","Pendiente"))))</f>
        <v/>
      </c>
      <c r="R125" s="62" t="n">
        <f aca="false">IF(AND(K125&gt;0,OR(O125="Sí",O125="Si")),1,0)</f>
        <v>0</v>
      </c>
      <c r="S125" s="62" t="n">
        <f aca="false">IF(AND(K125&gt;0,R125=0),1,0)</f>
        <v>0</v>
      </c>
    </row>
    <row r="126" customFormat="false" ht="15" hidden="false" customHeight="false" outlineLevel="0" collapsed="false">
      <c r="B126" s="71" t="str">
        <f aca="false">IF($F$6="Sí",N($C$11)+99,"")</f>
        <v/>
      </c>
      <c r="C126" s="72" t="str">
        <f aca="false">IF(OR($F$6&lt;&gt;"Sí",D126&lt;=0.5),"",EDATE($C$10,99))</f>
        <v/>
      </c>
      <c r="D126" s="41" t="n">
        <f aca="false">MAX(0,M125)</f>
        <v>0</v>
      </c>
      <c r="E126" s="41" t="n">
        <f aca="false">D126*$F$7</f>
        <v>0</v>
      </c>
      <c r="F126" s="41" t="n">
        <f aca="false">IF(D126&gt;0.5,N($C$15),0)</f>
        <v>0</v>
      </c>
      <c r="G126" s="41" t="n">
        <f aca="false">IF(AND(D126&gt;0.5,N($C$19)&gt;0,N(B126)&lt;=N($C$20)),D126*$F$8,0)</f>
        <v>0</v>
      </c>
      <c r="H126" s="41" t="n">
        <f aca="false">IF(D126&lt;=0.5,0,MIN(IF(N(I126)&gt;0,I126,$F$9),D126+E126+F126))</f>
        <v>0</v>
      </c>
      <c r="I126" s="77"/>
      <c r="J126" s="77"/>
      <c r="K126" s="41" t="n">
        <f aca="false">IF(D126&lt;=0.5,0,MIN(H126+N(J126),D126+E126+F126))</f>
        <v>0</v>
      </c>
      <c r="L126" s="41" t="n">
        <f aca="false">K126-E126-F126</f>
        <v>0</v>
      </c>
      <c r="M126" s="41" t="n">
        <f aca="false">D126-L126</f>
        <v>0</v>
      </c>
      <c r="N126" s="42" t="n">
        <f aca="false">K126-G126</f>
        <v>0</v>
      </c>
      <c r="O126" s="78"/>
      <c r="P126" s="79"/>
      <c r="Q126" s="16" t="str">
        <f aca="false">IF(K126=0,"",IF(R126=1,"Pagada",IF(C126&lt;$F$12,"Vencida",IF(100=$F$13,"Próxima","Pendiente"))))</f>
        <v/>
      </c>
      <c r="R126" s="62" t="n">
        <f aca="false">IF(AND(K126&gt;0,OR(O126="Sí",O126="Si")),1,0)</f>
        <v>0</v>
      </c>
      <c r="S126" s="62" t="n">
        <f aca="false">IF(AND(K126&gt;0,R126=0),1,0)</f>
        <v>0</v>
      </c>
    </row>
    <row r="127" customFormat="false" ht="15" hidden="false" customHeight="false" outlineLevel="0" collapsed="false">
      <c r="B127" s="71" t="str">
        <f aca="false">IF($F$6="Sí",N($C$11)+100,"")</f>
        <v/>
      </c>
      <c r="C127" s="72" t="str">
        <f aca="false">IF(OR($F$6&lt;&gt;"Sí",D127&lt;=0.5),"",EDATE($C$10,100))</f>
        <v/>
      </c>
      <c r="D127" s="41" t="n">
        <f aca="false">MAX(0,M126)</f>
        <v>0</v>
      </c>
      <c r="E127" s="41" t="n">
        <f aca="false">D127*$F$7</f>
        <v>0</v>
      </c>
      <c r="F127" s="41" t="n">
        <f aca="false">IF(D127&gt;0.5,N($C$15),0)</f>
        <v>0</v>
      </c>
      <c r="G127" s="41" t="n">
        <f aca="false">IF(AND(D127&gt;0.5,N($C$19)&gt;0,N(B127)&lt;=N($C$20)),D127*$F$8,0)</f>
        <v>0</v>
      </c>
      <c r="H127" s="41" t="n">
        <f aca="false">IF(D127&lt;=0.5,0,MIN(IF(N(I127)&gt;0,I127,$F$9),D127+E127+F127))</f>
        <v>0</v>
      </c>
      <c r="I127" s="77"/>
      <c r="J127" s="77"/>
      <c r="K127" s="41" t="n">
        <f aca="false">IF(D127&lt;=0.5,0,MIN(H127+N(J127),D127+E127+F127))</f>
        <v>0</v>
      </c>
      <c r="L127" s="41" t="n">
        <f aca="false">K127-E127-F127</f>
        <v>0</v>
      </c>
      <c r="M127" s="41" t="n">
        <f aca="false">D127-L127</f>
        <v>0</v>
      </c>
      <c r="N127" s="42" t="n">
        <f aca="false">K127-G127</f>
        <v>0</v>
      </c>
      <c r="O127" s="78"/>
      <c r="P127" s="79"/>
      <c r="Q127" s="16" t="str">
        <f aca="false">IF(K127=0,"",IF(R127=1,"Pagada",IF(C127&lt;$F$12,"Vencida",IF(101=$F$13,"Próxima","Pendiente"))))</f>
        <v/>
      </c>
      <c r="R127" s="62" t="n">
        <f aca="false">IF(AND(K127&gt;0,OR(O127="Sí",O127="Si")),1,0)</f>
        <v>0</v>
      </c>
      <c r="S127" s="62" t="n">
        <f aca="false">IF(AND(K127&gt;0,R127=0),1,0)</f>
        <v>0</v>
      </c>
    </row>
    <row r="128" customFormat="false" ht="15" hidden="false" customHeight="false" outlineLevel="0" collapsed="false">
      <c r="B128" s="71" t="str">
        <f aca="false">IF($F$6="Sí",N($C$11)+101,"")</f>
        <v/>
      </c>
      <c r="C128" s="72" t="str">
        <f aca="false">IF(OR($F$6&lt;&gt;"Sí",D128&lt;=0.5),"",EDATE($C$10,101))</f>
        <v/>
      </c>
      <c r="D128" s="41" t="n">
        <f aca="false">MAX(0,M127)</f>
        <v>0</v>
      </c>
      <c r="E128" s="41" t="n">
        <f aca="false">D128*$F$7</f>
        <v>0</v>
      </c>
      <c r="F128" s="41" t="n">
        <f aca="false">IF(D128&gt;0.5,N($C$15),0)</f>
        <v>0</v>
      </c>
      <c r="G128" s="41" t="n">
        <f aca="false">IF(AND(D128&gt;0.5,N($C$19)&gt;0,N(B128)&lt;=N($C$20)),D128*$F$8,0)</f>
        <v>0</v>
      </c>
      <c r="H128" s="41" t="n">
        <f aca="false">IF(D128&lt;=0.5,0,MIN(IF(N(I128)&gt;0,I128,$F$9),D128+E128+F128))</f>
        <v>0</v>
      </c>
      <c r="I128" s="77"/>
      <c r="J128" s="77"/>
      <c r="K128" s="41" t="n">
        <f aca="false">IF(D128&lt;=0.5,0,MIN(H128+N(J128),D128+E128+F128))</f>
        <v>0</v>
      </c>
      <c r="L128" s="41" t="n">
        <f aca="false">K128-E128-F128</f>
        <v>0</v>
      </c>
      <c r="M128" s="41" t="n">
        <f aca="false">D128-L128</f>
        <v>0</v>
      </c>
      <c r="N128" s="42" t="n">
        <f aca="false">K128-G128</f>
        <v>0</v>
      </c>
      <c r="O128" s="78"/>
      <c r="P128" s="79"/>
      <c r="Q128" s="16" t="str">
        <f aca="false">IF(K128=0,"",IF(R128=1,"Pagada",IF(C128&lt;$F$12,"Vencida",IF(102=$F$13,"Próxima","Pendiente"))))</f>
        <v/>
      </c>
      <c r="R128" s="62" t="n">
        <f aca="false">IF(AND(K128&gt;0,OR(O128="Sí",O128="Si")),1,0)</f>
        <v>0</v>
      </c>
      <c r="S128" s="62" t="n">
        <f aca="false">IF(AND(K128&gt;0,R128=0),1,0)</f>
        <v>0</v>
      </c>
    </row>
    <row r="129" customFormat="false" ht="15" hidden="false" customHeight="false" outlineLevel="0" collapsed="false">
      <c r="B129" s="71" t="str">
        <f aca="false">IF($F$6="Sí",N($C$11)+102,"")</f>
        <v/>
      </c>
      <c r="C129" s="72" t="str">
        <f aca="false">IF(OR($F$6&lt;&gt;"Sí",D129&lt;=0.5),"",EDATE($C$10,102))</f>
        <v/>
      </c>
      <c r="D129" s="41" t="n">
        <f aca="false">MAX(0,M128)</f>
        <v>0</v>
      </c>
      <c r="E129" s="41" t="n">
        <f aca="false">D129*$F$7</f>
        <v>0</v>
      </c>
      <c r="F129" s="41" t="n">
        <f aca="false">IF(D129&gt;0.5,N($C$15),0)</f>
        <v>0</v>
      </c>
      <c r="G129" s="41" t="n">
        <f aca="false">IF(AND(D129&gt;0.5,N($C$19)&gt;0,N(B129)&lt;=N($C$20)),D129*$F$8,0)</f>
        <v>0</v>
      </c>
      <c r="H129" s="41" t="n">
        <f aca="false">IF(D129&lt;=0.5,0,MIN(IF(N(I129)&gt;0,I129,$F$9),D129+E129+F129))</f>
        <v>0</v>
      </c>
      <c r="I129" s="77"/>
      <c r="J129" s="77"/>
      <c r="K129" s="41" t="n">
        <f aca="false">IF(D129&lt;=0.5,0,MIN(H129+N(J129),D129+E129+F129))</f>
        <v>0</v>
      </c>
      <c r="L129" s="41" t="n">
        <f aca="false">K129-E129-F129</f>
        <v>0</v>
      </c>
      <c r="M129" s="41" t="n">
        <f aca="false">D129-L129</f>
        <v>0</v>
      </c>
      <c r="N129" s="42" t="n">
        <f aca="false">K129-G129</f>
        <v>0</v>
      </c>
      <c r="O129" s="78"/>
      <c r="P129" s="79"/>
      <c r="Q129" s="16" t="str">
        <f aca="false">IF(K129=0,"",IF(R129=1,"Pagada",IF(C129&lt;$F$12,"Vencida",IF(103=$F$13,"Próxima","Pendiente"))))</f>
        <v/>
      </c>
      <c r="R129" s="62" t="n">
        <f aca="false">IF(AND(K129&gt;0,OR(O129="Sí",O129="Si")),1,0)</f>
        <v>0</v>
      </c>
      <c r="S129" s="62" t="n">
        <f aca="false">IF(AND(K129&gt;0,R129=0),1,0)</f>
        <v>0</v>
      </c>
    </row>
    <row r="130" customFormat="false" ht="15" hidden="false" customHeight="false" outlineLevel="0" collapsed="false">
      <c r="B130" s="71" t="str">
        <f aca="false">IF($F$6="Sí",N($C$11)+103,"")</f>
        <v/>
      </c>
      <c r="C130" s="72" t="str">
        <f aca="false">IF(OR($F$6&lt;&gt;"Sí",D130&lt;=0.5),"",EDATE($C$10,103))</f>
        <v/>
      </c>
      <c r="D130" s="41" t="n">
        <f aca="false">MAX(0,M129)</f>
        <v>0</v>
      </c>
      <c r="E130" s="41" t="n">
        <f aca="false">D130*$F$7</f>
        <v>0</v>
      </c>
      <c r="F130" s="41" t="n">
        <f aca="false">IF(D130&gt;0.5,N($C$15),0)</f>
        <v>0</v>
      </c>
      <c r="G130" s="41" t="n">
        <f aca="false">IF(AND(D130&gt;0.5,N($C$19)&gt;0,N(B130)&lt;=N($C$20)),D130*$F$8,0)</f>
        <v>0</v>
      </c>
      <c r="H130" s="41" t="n">
        <f aca="false">IF(D130&lt;=0.5,0,MIN(IF(N(I130)&gt;0,I130,$F$9),D130+E130+F130))</f>
        <v>0</v>
      </c>
      <c r="I130" s="77"/>
      <c r="J130" s="77"/>
      <c r="K130" s="41" t="n">
        <f aca="false">IF(D130&lt;=0.5,0,MIN(H130+N(J130),D130+E130+F130))</f>
        <v>0</v>
      </c>
      <c r="L130" s="41" t="n">
        <f aca="false">K130-E130-F130</f>
        <v>0</v>
      </c>
      <c r="M130" s="41" t="n">
        <f aca="false">D130-L130</f>
        <v>0</v>
      </c>
      <c r="N130" s="42" t="n">
        <f aca="false">K130-G130</f>
        <v>0</v>
      </c>
      <c r="O130" s="78"/>
      <c r="P130" s="79"/>
      <c r="Q130" s="16" t="str">
        <f aca="false">IF(K130=0,"",IF(R130=1,"Pagada",IF(C130&lt;$F$12,"Vencida",IF(104=$F$13,"Próxima","Pendiente"))))</f>
        <v/>
      </c>
      <c r="R130" s="62" t="n">
        <f aca="false">IF(AND(K130&gt;0,OR(O130="Sí",O130="Si")),1,0)</f>
        <v>0</v>
      </c>
      <c r="S130" s="62" t="n">
        <f aca="false">IF(AND(K130&gt;0,R130=0),1,0)</f>
        <v>0</v>
      </c>
    </row>
    <row r="131" customFormat="false" ht="15" hidden="false" customHeight="false" outlineLevel="0" collapsed="false">
      <c r="B131" s="71" t="str">
        <f aca="false">IF($F$6="Sí",N($C$11)+104,"")</f>
        <v/>
      </c>
      <c r="C131" s="72" t="str">
        <f aca="false">IF(OR($F$6&lt;&gt;"Sí",D131&lt;=0.5),"",EDATE($C$10,104))</f>
        <v/>
      </c>
      <c r="D131" s="41" t="n">
        <f aca="false">MAX(0,M130)</f>
        <v>0</v>
      </c>
      <c r="E131" s="41" t="n">
        <f aca="false">D131*$F$7</f>
        <v>0</v>
      </c>
      <c r="F131" s="41" t="n">
        <f aca="false">IF(D131&gt;0.5,N($C$15),0)</f>
        <v>0</v>
      </c>
      <c r="G131" s="41" t="n">
        <f aca="false">IF(AND(D131&gt;0.5,N($C$19)&gt;0,N(B131)&lt;=N($C$20)),D131*$F$8,0)</f>
        <v>0</v>
      </c>
      <c r="H131" s="41" t="n">
        <f aca="false">IF(D131&lt;=0.5,0,MIN(IF(N(I131)&gt;0,I131,$F$9),D131+E131+F131))</f>
        <v>0</v>
      </c>
      <c r="I131" s="77"/>
      <c r="J131" s="77"/>
      <c r="K131" s="41" t="n">
        <f aca="false">IF(D131&lt;=0.5,0,MIN(H131+N(J131),D131+E131+F131))</f>
        <v>0</v>
      </c>
      <c r="L131" s="41" t="n">
        <f aca="false">K131-E131-F131</f>
        <v>0</v>
      </c>
      <c r="M131" s="41" t="n">
        <f aca="false">D131-L131</f>
        <v>0</v>
      </c>
      <c r="N131" s="42" t="n">
        <f aca="false">K131-G131</f>
        <v>0</v>
      </c>
      <c r="O131" s="78"/>
      <c r="P131" s="79"/>
      <c r="Q131" s="16" t="str">
        <f aca="false">IF(K131=0,"",IF(R131=1,"Pagada",IF(C131&lt;$F$12,"Vencida",IF(105=$F$13,"Próxima","Pendiente"))))</f>
        <v/>
      </c>
      <c r="R131" s="62" t="n">
        <f aca="false">IF(AND(K131&gt;0,OR(O131="Sí",O131="Si")),1,0)</f>
        <v>0</v>
      </c>
      <c r="S131" s="62" t="n">
        <f aca="false">IF(AND(K131&gt;0,R131=0),1,0)</f>
        <v>0</v>
      </c>
    </row>
    <row r="132" customFormat="false" ht="15" hidden="false" customHeight="false" outlineLevel="0" collapsed="false">
      <c r="B132" s="71" t="str">
        <f aca="false">IF($F$6="Sí",N($C$11)+105,"")</f>
        <v/>
      </c>
      <c r="C132" s="72" t="str">
        <f aca="false">IF(OR($F$6&lt;&gt;"Sí",D132&lt;=0.5),"",EDATE($C$10,105))</f>
        <v/>
      </c>
      <c r="D132" s="41" t="n">
        <f aca="false">MAX(0,M131)</f>
        <v>0</v>
      </c>
      <c r="E132" s="41" t="n">
        <f aca="false">D132*$F$7</f>
        <v>0</v>
      </c>
      <c r="F132" s="41" t="n">
        <f aca="false">IF(D132&gt;0.5,N($C$15),0)</f>
        <v>0</v>
      </c>
      <c r="G132" s="41" t="n">
        <f aca="false">IF(AND(D132&gt;0.5,N($C$19)&gt;0,N(B132)&lt;=N($C$20)),D132*$F$8,0)</f>
        <v>0</v>
      </c>
      <c r="H132" s="41" t="n">
        <f aca="false">IF(D132&lt;=0.5,0,MIN(IF(N(I132)&gt;0,I132,$F$9),D132+E132+F132))</f>
        <v>0</v>
      </c>
      <c r="I132" s="77"/>
      <c r="J132" s="77"/>
      <c r="K132" s="41" t="n">
        <f aca="false">IF(D132&lt;=0.5,0,MIN(H132+N(J132),D132+E132+F132))</f>
        <v>0</v>
      </c>
      <c r="L132" s="41" t="n">
        <f aca="false">K132-E132-F132</f>
        <v>0</v>
      </c>
      <c r="M132" s="41" t="n">
        <f aca="false">D132-L132</f>
        <v>0</v>
      </c>
      <c r="N132" s="42" t="n">
        <f aca="false">K132-G132</f>
        <v>0</v>
      </c>
      <c r="O132" s="78"/>
      <c r="P132" s="79"/>
      <c r="Q132" s="16" t="str">
        <f aca="false">IF(K132=0,"",IF(R132=1,"Pagada",IF(C132&lt;$F$12,"Vencida",IF(106=$F$13,"Próxima","Pendiente"))))</f>
        <v/>
      </c>
      <c r="R132" s="62" t="n">
        <f aca="false">IF(AND(K132&gt;0,OR(O132="Sí",O132="Si")),1,0)</f>
        <v>0</v>
      </c>
      <c r="S132" s="62" t="n">
        <f aca="false">IF(AND(K132&gt;0,R132=0),1,0)</f>
        <v>0</v>
      </c>
    </row>
    <row r="133" customFormat="false" ht="15" hidden="false" customHeight="false" outlineLevel="0" collapsed="false">
      <c r="B133" s="71" t="str">
        <f aca="false">IF($F$6="Sí",N($C$11)+106,"")</f>
        <v/>
      </c>
      <c r="C133" s="72" t="str">
        <f aca="false">IF(OR($F$6&lt;&gt;"Sí",D133&lt;=0.5),"",EDATE($C$10,106))</f>
        <v/>
      </c>
      <c r="D133" s="41" t="n">
        <f aca="false">MAX(0,M132)</f>
        <v>0</v>
      </c>
      <c r="E133" s="41" t="n">
        <f aca="false">D133*$F$7</f>
        <v>0</v>
      </c>
      <c r="F133" s="41" t="n">
        <f aca="false">IF(D133&gt;0.5,N($C$15),0)</f>
        <v>0</v>
      </c>
      <c r="G133" s="41" t="n">
        <f aca="false">IF(AND(D133&gt;0.5,N($C$19)&gt;0,N(B133)&lt;=N($C$20)),D133*$F$8,0)</f>
        <v>0</v>
      </c>
      <c r="H133" s="41" t="n">
        <f aca="false">IF(D133&lt;=0.5,0,MIN(IF(N(I133)&gt;0,I133,$F$9),D133+E133+F133))</f>
        <v>0</v>
      </c>
      <c r="I133" s="77"/>
      <c r="J133" s="77"/>
      <c r="K133" s="41" t="n">
        <f aca="false">IF(D133&lt;=0.5,0,MIN(H133+N(J133),D133+E133+F133))</f>
        <v>0</v>
      </c>
      <c r="L133" s="41" t="n">
        <f aca="false">K133-E133-F133</f>
        <v>0</v>
      </c>
      <c r="M133" s="41" t="n">
        <f aca="false">D133-L133</f>
        <v>0</v>
      </c>
      <c r="N133" s="42" t="n">
        <f aca="false">K133-G133</f>
        <v>0</v>
      </c>
      <c r="O133" s="78"/>
      <c r="P133" s="79"/>
      <c r="Q133" s="16" t="str">
        <f aca="false">IF(K133=0,"",IF(R133=1,"Pagada",IF(C133&lt;$F$12,"Vencida",IF(107=$F$13,"Próxima","Pendiente"))))</f>
        <v/>
      </c>
      <c r="R133" s="62" t="n">
        <f aca="false">IF(AND(K133&gt;0,OR(O133="Sí",O133="Si")),1,0)</f>
        <v>0</v>
      </c>
      <c r="S133" s="62" t="n">
        <f aca="false">IF(AND(K133&gt;0,R133=0),1,0)</f>
        <v>0</v>
      </c>
    </row>
    <row r="134" customFormat="false" ht="15" hidden="false" customHeight="false" outlineLevel="0" collapsed="false">
      <c r="B134" s="71" t="str">
        <f aca="false">IF($F$6="Sí",N($C$11)+107,"")</f>
        <v/>
      </c>
      <c r="C134" s="72" t="str">
        <f aca="false">IF(OR($F$6&lt;&gt;"Sí",D134&lt;=0.5),"",EDATE($C$10,107))</f>
        <v/>
      </c>
      <c r="D134" s="41" t="n">
        <f aca="false">MAX(0,M133)</f>
        <v>0</v>
      </c>
      <c r="E134" s="41" t="n">
        <f aca="false">D134*$F$7</f>
        <v>0</v>
      </c>
      <c r="F134" s="41" t="n">
        <f aca="false">IF(D134&gt;0.5,N($C$15),0)</f>
        <v>0</v>
      </c>
      <c r="G134" s="41" t="n">
        <f aca="false">IF(AND(D134&gt;0.5,N($C$19)&gt;0,N(B134)&lt;=N($C$20)),D134*$F$8,0)</f>
        <v>0</v>
      </c>
      <c r="H134" s="41" t="n">
        <f aca="false">IF(D134&lt;=0.5,0,MIN(IF(N(I134)&gt;0,I134,$F$9),D134+E134+F134))</f>
        <v>0</v>
      </c>
      <c r="I134" s="77"/>
      <c r="J134" s="77"/>
      <c r="K134" s="41" t="n">
        <f aca="false">IF(D134&lt;=0.5,0,MIN(H134+N(J134),D134+E134+F134))</f>
        <v>0</v>
      </c>
      <c r="L134" s="41" t="n">
        <f aca="false">K134-E134-F134</f>
        <v>0</v>
      </c>
      <c r="M134" s="41" t="n">
        <f aca="false">D134-L134</f>
        <v>0</v>
      </c>
      <c r="N134" s="42" t="n">
        <f aca="false">K134-G134</f>
        <v>0</v>
      </c>
      <c r="O134" s="78"/>
      <c r="P134" s="79"/>
      <c r="Q134" s="16" t="str">
        <f aca="false">IF(K134=0,"",IF(R134=1,"Pagada",IF(C134&lt;$F$12,"Vencida",IF(108=$F$13,"Próxima","Pendiente"))))</f>
        <v/>
      </c>
      <c r="R134" s="62" t="n">
        <f aca="false">IF(AND(K134&gt;0,OR(O134="Sí",O134="Si")),1,0)</f>
        <v>0</v>
      </c>
      <c r="S134" s="62" t="n">
        <f aca="false">IF(AND(K134&gt;0,R134=0),1,0)</f>
        <v>0</v>
      </c>
    </row>
    <row r="135" customFormat="false" ht="15" hidden="false" customHeight="false" outlineLevel="0" collapsed="false">
      <c r="B135" s="71" t="str">
        <f aca="false">IF($F$6="Sí",N($C$11)+108,"")</f>
        <v/>
      </c>
      <c r="C135" s="72" t="str">
        <f aca="false">IF(OR($F$6&lt;&gt;"Sí",D135&lt;=0.5),"",EDATE($C$10,108))</f>
        <v/>
      </c>
      <c r="D135" s="41" t="n">
        <f aca="false">MAX(0,M134)</f>
        <v>0</v>
      </c>
      <c r="E135" s="41" t="n">
        <f aca="false">D135*$F$7</f>
        <v>0</v>
      </c>
      <c r="F135" s="41" t="n">
        <f aca="false">IF(D135&gt;0.5,N($C$15),0)</f>
        <v>0</v>
      </c>
      <c r="G135" s="41" t="n">
        <f aca="false">IF(AND(D135&gt;0.5,N($C$19)&gt;0,N(B135)&lt;=N($C$20)),D135*$F$8,0)</f>
        <v>0</v>
      </c>
      <c r="H135" s="41" t="n">
        <f aca="false">IF(D135&lt;=0.5,0,MIN(IF(N(I135)&gt;0,I135,$F$9),D135+E135+F135))</f>
        <v>0</v>
      </c>
      <c r="I135" s="77"/>
      <c r="J135" s="77"/>
      <c r="K135" s="41" t="n">
        <f aca="false">IF(D135&lt;=0.5,0,MIN(H135+N(J135),D135+E135+F135))</f>
        <v>0</v>
      </c>
      <c r="L135" s="41" t="n">
        <f aca="false">K135-E135-F135</f>
        <v>0</v>
      </c>
      <c r="M135" s="41" t="n">
        <f aca="false">D135-L135</f>
        <v>0</v>
      </c>
      <c r="N135" s="42" t="n">
        <f aca="false">K135-G135</f>
        <v>0</v>
      </c>
      <c r="O135" s="78"/>
      <c r="P135" s="79"/>
      <c r="Q135" s="16" t="str">
        <f aca="false">IF(K135=0,"",IF(R135=1,"Pagada",IF(C135&lt;$F$12,"Vencida",IF(109=$F$13,"Próxima","Pendiente"))))</f>
        <v/>
      </c>
      <c r="R135" s="62" t="n">
        <f aca="false">IF(AND(K135&gt;0,OR(O135="Sí",O135="Si")),1,0)</f>
        <v>0</v>
      </c>
      <c r="S135" s="62" t="n">
        <f aca="false">IF(AND(K135&gt;0,R135=0),1,0)</f>
        <v>0</v>
      </c>
    </row>
    <row r="136" customFormat="false" ht="15" hidden="false" customHeight="false" outlineLevel="0" collapsed="false">
      <c r="B136" s="71" t="str">
        <f aca="false">IF($F$6="Sí",N($C$11)+109,"")</f>
        <v/>
      </c>
      <c r="C136" s="72" t="str">
        <f aca="false">IF(OR($F$6&lt;&gt;"Sí",D136&lt;=0.5),"",EDATE($C$10,109))</f>
        <v/>
      </c>
      <c r="D136" s="41" t="n">
        <f aca="false">MAX(0,M135)</f>
        <v>0</v>
      </c>
      <c r="E136" s="41" t="n">
        <f aca="false">D136*$F$7</f>
        <v>0</v>
      </c>
      <c r="F136" s="41" t="n">
        <f aca="false">IF(D136&gt;0.5,N($C$15),0)</f>
        <v>0</v>
      </c>
      <c r="G136" s="41" t="n">
        <f aca="false">IF(AND(D136&gt;0.5,N($C$19)&gt;0,N(B136)&lt;=N($C$20)),D136*$F$8,0)</f>
        <v>0</v>
      </c>
      <c r="H136" s="41" t="n">
        <f aca="false">IF(D136&lt;=0.5,0,MIN(IF(N(I136)&gt;0,I136,$F$9),D136+E136+F136))</f>
        <v>0</v>
      </c>
      <c r="I136" s="77"/>
      <c r="J136" s="77"/>
      <c r="K136" s="41" t="n">
        <f aca="false">IF(D136&lt;=0.5,0,MIN(H136+N(J136),D136+E136+F136))</f>
        <v>0</v>
      </c>
      <c r="L136" s="41" t="n">
        <f aca="false">K136-E136-F136</f>
        <v>0</v>
      </c>
      <c r="M136" s="41" t="n">
        <f aca="false">D136-L136</f>
        <v>0</v>
      </c>
      <c r="N136" s="42" t="n">
        <f aca="false">K136-G136</f>
        <v>0</v>
      </c>
      <c r="O136" s="78"/>
      <c r="P136" s="79"/>
      <c r="Q136" s="16" t="str">
        <f aca="false">IF(K136=0,"",IF(R136=1,"Pagada",IF(C136&lt;$F$12,"Vencida",IF(110=$F$13,"Próxima","Pendiente"))))</f>
        <v/>
      </c>
      <c r="R136" s="62" t="n">
        <f aca="false">IF(AND(K136&gt;0,OR(O136="Sí",O136="Si")),1,0)</f>
        <v>0</v>
      </c>
      <c r="S136" s="62" t="n">
        <f aca="false">IF(AND(K136&gt;0,R136=0),1,0)</f>
        <v>0</v>
      </c>
    </row>
    <row r="137" customFormat="false" ht="15" hidden="false" customHeight="false" outlineLevel="0" collapsed="false">
      <c r="B137" s="71" t="str">
        <f aca="false">IF($F$6="Sí",N($C$11)+110,"")</f>
        <v/>
      </c>
      <c r="C137" s="72" t="str">
        <f aca="false">IF(OR($F$6&lt;&gt;"Sí",D137&lt;=0.5),"",EDATE($C$10,110))</f>
        <v/>
      </c>
      <c r="D137" s="41" t="n">
        <f aca="false">MAX(0,M136)</f>
        <v>0</v>
      </c>
      <c r="E137" s="41" t="n">
        <f aca="false">D137*$F$7</f>
        <v>0</v>
      </c>
      <c r="F137" s="41" t="n">
        <f aca="false">IF(D137&gt;0.5,N($C$15),0)</f>
        <v>0</v>
      </c>
      <c r="G137" s="41" t="n">
        <f aca="false">IF(AND(D137&gt;0.5,N($C$19)&gt;0,N(B137)&lt;=N($C$20)),D137*$F$8,0)</f>
        <v>0</v>
      </c>
      <c r="H137" s="41" t="n">
        <f aca="false">IF(D137&lt;=0.5,0,MIN(IF(N(I137)&gt;0,I137,$F$9),D137+E137+F137))</f>
        <v>0</v>
      </c>
      <c r="I137" s="77"/>
      <c r="J137" s="77"/>
      <c r="K137" s="41" t="n">
        <f aca="false">IF(D137&lt;=0.5,0,MIN(H137+N(J137),D137+E137+F137))</f>
        <v>0</v>
      </c>
      <c r="L137" s="41" t="n">
        <f aca="false">K137-E137-F137</f>
        <v>0</v>
      </c>
      <c r="M137" s="41" t="n">
        <f aca="false">D137-L137</f>
        <v>0</v>
      </c>
      <c r="N137" s="42" t="n">
        <f aca="false">K137-G137</f>
        <v>0</v>
      </c>
      <c r="O137" s="78"/>
      <c r="P137" s="79"/>
      <c r="Q137" s="16" t="str">
        <f aca="false">IF(K137=0,"",IF(R137=1,"Pagada",IF(C137&lt;$F$12,"Vencida",IF(111=$F$13,"Próxima","Pendiente"))))</f>
        <v/>
      </c>
      <c r="R137" s="62" t="n">
        <f aca="false">IF(AND(K137&gt;0,OR(O137="Sí",O137="Si")),1,0)</f>
        <v>0</v>
      </c>
      <c r="S137" s="62" t="n">
        <f aca="false">IF(AND(K137&gt;0,R137=0),1,0)</f>
        <v>0</v>
      </c>
    </row>
    <row r="138" customFormat="false" ht="15" hidden="false" customHeight="false" outlineLevel="0" collapsed="false">
      <c r="B138" s="71" t="str">
        <f aca="false">IF($F$6="Sí",N($C$11)+111,"")</f>
        <v/>
      </c>
      <c r="C138" s="72" t="str">
        <f aca="false">IF(OR($F$6&lt;&gt;"Sí",D138&lt;=0.5),"",EDATE($C$10,111))</f>
        <v/>
      </c>
      <c r="D138" s="41" t="n">
        <f aca="false">MAX(0,M137)</f>
        <v>0</v>
      </c>
      <c r="E138" s="41" t="n">
        <f aca="false">D138*$F$7</f>
        <v>0</v>
      </c>
      <c r="F138" s="41" t="n">
        <f aca="false">IF(D138&gt;0.5,N($C$15),0)</f>
        <v>0</v>
      </c>
      <c r="G138" s="41" t="n">
        <f aca="false">IF(AND(D138&gt;0.5,N($C$19)&gt;0,N(B138)&lt;=N($C$20)),D138*$F$8,0)</f>
        <v>0</v>
      </c>
      <c r="H138" s="41" t="n">
        <f aca="false">IF(D138&lt;=0.5,0,MIN(IF(N(I138)&gt;0,I138,$F$9),D138+E138+F138))</f>
        <v>0</v>
      </c>
      <c r="I138" s="77"/>
      <c r="J138" s="77"/>
      <c r="K138" s="41" t="n">
        <f aca="false">IF(D138&lt;=0.5,0,MIN(H138+N(J138),D138+E138+F138))</f>
        <v>0</v>
      </c>
      <c r="L138" s="41" t="n">
        <f aca="false">K138-E138-F138</f>
        <v>0</v>
      </c>
      <c r="M138" s="41" t="n">
        <f aca="false">D138-L138</f>
        <v>0</v>
      </c>
      <c r="N138" s="42" t="n">
        <f aca="false">K138-G138</f>
        <v>0</v>
      </c>
      <c r="O138" s="78"/>
      <c r="P138" s="79"/>
      <c r="Q138" s="16" t="str">
        <f aca="false">IF(K138=0,"",IF(R138=1,"Pagada",IF(C138&lt;$F$12,"Vencida",IF(112=$F$13,"Próxima","Pendiente"))))</f>
        <v/>
      </c>
      <c r="R138" s="62" t="n">
        <f aca="false">IF(AND(K138&gt;0,OR(O138="Sí",O138="Si")),1,0)</f>
        <v>0</v>
      </c>
      <c r="S138" s="62" t="n">
        <f aca="false">IF(AND(K138&gt;0,R138=0),1,0)</f>
        <v>0</v>
      </c>
    </row>
    <row r="139" customFormat="false" ht="15" hidden="false" customHeight="false" outlineLevel="0" collapsed="false">
      <c r="B139" s="71" t="str">
        <f aca="false">IF($F$6="Sí",N($C$11)+112,"")</f>
        <v/>
      </c>
      <c r="C139" s="72" t="str">
        <f aca="false">IF(OR($F$6&lt;&gt;"Sí",D139&lt;=0.5),"",EDATE($C$10,112))</f>
        <v/>
      </c>
      <c r="D139" s="41" t="n">
        <f aca="false">MAX(0,M138)</f>
        <v>0</v>
      </c>
      <c r="E139" s="41" t="n">
        <f aca="false">D139*$F$7</f>
        <v>0</v>
      </c>
      <c r="F139" s="41" t="n">
        <f aca="false">IF(D139&gt;0.5,N($C$15),0)</f>
        <v>0</v>
      </c>
      <c r="G139" s="41" t="n">
        <f aca="false">IF(AND(D139&gt;0.5,N($C$19)&gt;0,N(B139)&lt;=N($C$20)),D139*$F$8,0)</f>
        <v>0</v>
      </c>
      <c r="H139" s="41" t="n">
        <f aca="false">IF(D139&lt;=0.5,0,MIN(IF(N(I139)&gt;0,I139,$F$9),D139+E139+F139))</f>
        <v>0</v>
      </c>
      <c r="I139" s="77"/>
      <c r="J139" s="77"/>
      <c r="K139" s="41" t="n">
        <f aca="false">IF(D139&lt;=0.5,0,MIN(H139+N(J139),D139+E139+F139))</f>
        <v>0</v>
      </c>
      <c r="L139" s="41" t="n">
        <f aca="false">K139-E139-F139</f>
        <v>0</v>
      </c>
      <c r="M139" s="41" t="n">
        <f aca="false">D139-L139</f>
        <v>0</v>
      </c>
      <c r="N139" s="42" t="n">
        <f aca="false">K139-G139</f>
        <v>0</v>
      </c>
      <c r="O139" s="78"/>
      <c r="P139" s="79"/>
      <c r="Q139" s="16" t="str">
        <f aca="false">IF(K139=0,"",IF(R139=1,"Pagada",IF(C139&lt;$F$12,"Vencida",IF(113=$F$13,"Próxima","Pendiente"))))</f>
        <v/>
      </c>
      <c r="R139" s="62" t="n">
        <f aca="false">IF(AND(K139&gt;0,OR(O139="Sí",O139="Si")),1,0)</f>
        <v>0</v>
      </c>
      <c r="S139" s="62" t="n">
        <f aca="false">IF(AND(K139&gt;0,R139=0),1,0)</f>
        <v>0</v>
      </c>
    </row>
    <row r="140" customFormat="false" ht="15" hidden="false" customHeight="false" outlineLevel="0" collapsed="false">
      <c r="B140" s="71" t="str">
        <f aca="false">IF($F$6="Sí",N($C$11)+113,"")</f>
        <v/>
      </c>
      <c r="C140" s="72" t="str">
        <f aca="false">IF(OR($F$6&lt;&gt;"Sí",D140&lt;=0.5),"",EDATE($C$10,113))</f>
        <v/>
      </c>
      <c r="D140" s="41" t="n">
        <f aca="false">MAX(0,M139)</f>
        <v>0</v>
      </c>
      <c r="E140" s="41" t="n">
        <f aca="false">D140*$F$7</f>
        <v>0</v>
      </c>
      <c r="F140" s="41" t="n">
        <f aca="false">IF(D140&gt;0.5,N($C$15),0)</f>
        <v>0</v>
      </c>
      <c r="G140" s="41" t="n">
        <f aca="false">IF(AND(D140&gt;0.5,N($C$19)&gt;0,N(B140)&lt;=N($C$20)),D140*$F$8,0)</f>
        <v>0</v>
      </c>
      <c r="H140" s="41" t="n">
        <f aca="false">IF(D140&lt;=0.5,0,MIN(IF(N(I140)&gt;0,I140,$F$9),D140+E140+F140))</f>
        <v>0</v>
      </c>
      <c r="I140" s="77"/>
      <c r="J140" s="77"/>
      <c r="K140" s="41" t="n">
        <f aca="false">IF(D140&lt;=0.5,0,MIN(H140+N(J140),D140+E140+F140))</f>
        <v>0</v>
      </c>
      <c r="L140" s="41" t="n">
        <f aca="false">K140-E140-F140</f>
        <v>0</v>
      </c>
      <c r="M140" s="41" t="n">
        <f aca="false">D140-L140</f>
        <v>0</v>
      </c>
      <c r="N140" s="42" t="n">
        <f aca="false">K140-G140</f>
        <v>0</v>
      </c>
      <c r="O140" s="78"/>
      <c r="P140" s="79"/>
      <c r="Q140" s="16" t="str">
        <f aca="false">IF(K140=0,"",IF(R140=1,"Pagada",IF(C140&lt;$F$12,"Vencida",IF(114=$F$13,"Próxima","Pendiente"))))</f>
        <v/>
      </c>
      <c r="R140" s="62" t="n">
        <f aca="false">IF(AND(K140&gt;0,OR(O140="Sí",O140="Si")),1,0)</f>
        <v>0</v>
      </c>
      <c r="S140" s="62" t="n">
        <f aca="false">IF(AND(K140&gt;0,R140=0),1,0)</f>
        <v>0</v>
      </c>
    </row>
    <row r="141" customFormat="false" ht="15" hidden="false" customHeight="false" outlineLevel="0" collapsed="false">
      <c r="B141" s="71" t="str">
        <f aca="false">IF($F$6="Sí",N($C$11)+114,"")</f>
        <v/>
      </c>
      <c r="C141" s="72" t="str">
        <f aca="false">IF(OR($F$6&lt;&gt;"Sí",D141&lt;=0.5),"",EDATE($C$10,114))</f>
        <v/>
      </c>
      <c r="D141" s="41" t="n">
        <f aca="false">MAX(0,M140)</f>
        <v>0</v>
      </c>
      <c r="E141" s="41" t="n">
        <f aca="false">D141*$F$7</f>
        <v>0</v>
      </c>
      <c r="F141" s="41" t="n">
        <f aca="false">IF(D141&gt;0.5,N($C$15),0)</f>
        <v>0</v>
      </c>
      <c r="G141" s="41" t="n">
        <f aca="false">IF(AND(D141&gt;0.5,N($C$19)&gt;0,N(B141)&lt;=N($C$20)),D141*$F$8,0)</f>
        <v>0</v>
      </c>
      <c r="H141" s="41" t="n">
        <f aca="false">IF(D141&lt;=0.5,0,MIN(IF(N(I141)&gt;0,I141,$F$9),D141+E141+F141))</f>
        <v>0</v>
      </c>
      <c r="I141" s="77"/>
      <c r="J141" s="77"/>
      <c r="K141" s="41" t="n">
        <f aca="false">IF(D141&lt;=0.5,0,MIN(H141+N(J141),D141+E141+F141))</f>
        <v>0</v>
      </c>
      <c r="L141" s="41" t="n">
        <f aca="false">K141-E141-F141</f>
        <v>0</v>
      </c>
      <c r="M141" s="41" t="n">
        <f aca="false">D141-L141</f>
        <v>0</v>
      </c>
      <c r="N141" s="42" t="n">
        <f aca="false">K141-G141</f>
        <v>0</v>
      </c>
      <c r="O141" s="78"/>
      <c r="P141" s="79"/>
      <c r="Q141" s="16" t="str">
        <f aca="false">IF(K141=0,"",IF(R141=1,"Pagada",IF(C141&lt;$F$12,"Vencida",IF(115=$F$13,"Próxima","Pendiente"))))</f>
        <v/>
      </c>
      <c r="R141" s="62" t="n">
        <f aca="false">IF(AND(K141&gt;0,OR(O141="Sí",O141="Si")),1,0)</f>
        <v>0</v>
      </c>
      <c r="S141" s="62" t="n">
        <f aca="false">IF(AND(K141&gt;0,R141=0),1,0)</f>
        <v>0</v>
      </c>
    </row>
    <row r="142" customFormat="false" ht="15" hidden="false" customHeight="false" outlineLevel="0" collapsed="false">
      <c r="B142" s="71" t="str">
        <f aca="false">IF($F$6="Sí",N($C$11)+115,"")</f>
        <v/>
      </c>
      <c r="C142" s="72" t="str">
        <f aca="false">IF(OR($F$6&lt;&gt;"Sí",D142&lt;=0.5),"",EDATE($C$10,115))</f>
        <v/>
      </c>
      <c r="D142" s="41" t="n">
        <f aca="false">MAX(0,M141)</f>
        <v>0</v>
      </c>
      <c r="E142" s="41" t="n">
        <f aca="false">D142*$F$7</f>
        <v>0</v>
      </c>
      <c r="F142" s="41" t="n">
        <f aca="false">IF(D142&gt;0.5,N($C$15),0)</f>
        <v>0</v>
      </c>
      <c r="G142" s="41" t="n">
        <f aca="false">IF(AND(D142&gt;0.5,N($C$19)&gt;0,N(B142)&lt;=N($C$20)),D142*$F$8,0)</f>
        <v>0</v>
      </c>
      <c r="H142" s="41" t="n">
        <f aca="false">IF(D142&lt;=0.5,0,MIN(IF(N(I142)&gt;0,I142,$F$9),D142+E142+F142))</f>
        <v>0</v>
      </c>
      <c r="I142" s="77"/>
      <c r="J142" s="77"/>
      <c r="K142" s="41" t="n">
        <f aca="false">IF(D142&lt;=0.5,0,MIN(H142+N(J142),D142+E142+F142))</f>
        <v>0</v>
      </c>
      <c r="L142" s="41" t="n">
        <f aca="false">K142-E142-F142</f>
        <v>0</v>
      </c>
      <c r="M142" s="41" t="n">
        <f aca="false">D142-L142</f>
        <v>0</v>
      </c>
      <c r="N142" s="42" t="n">
        <f aca="false">K142-G142</f>
        <v>0</v>
      </c>
      <c r="O142" s="78"/>
      <c r="P142" s="79"/>
      <c r="Q142" s="16" t="str">
        <f aca="false">IF(K142=0,"",IF(R142=1,"Pagada",IF(C142&lt;$F$12,"Vencida",IF(116=$F$13,"Próxima","Pendiente"))))</f>
        <v/>
      </c>
      <c r="R142" s="62" t="n">
        <f aca="false">IF(AND(K142&gt;0,OR(O142="Sí",O142="Si")),1,0)</f>
        <v>0</v>
      </c>
      <c r="S142" s="62" t="n">
        <f aca="false">IF(AND(K142&gt;0,R142=0),1,0)</f>
        <v>0</v>
      </c>
    </row>
    <row r="143" customFormat="false" ht="15" hidden="false" customHeight="false" outlineLevel="0" collapsed="false">
      <c r="B143" s="71" t="str">
        <f aca="false">IF($F$6="Sí",N($C$11)+116,"")</f>
        <v/>
      </c>
      <c r="C143" s="72" t="str">
        <f aca="false">IF(OR($F$6&lt;&gt;"Sí",D143&lt;=0.5),"",EDATE($C$10,116))</f>
        <v/>
      </c>
      <c r="D143" s="41" t="n">
        <f aca="false">MAX(0,M142)</f>
        <v>0</v>
      </c>
      <c r="E143" s="41" t="n">
        <f aca="false">D143*$F$7</f>
        <v>0</v>
      </c>
      <c r="F143" s="41" t="n">
        <f aca="false">IF(D143&gt;0.5,N($C$15),0)</f>
        <v>0</v>
      </c>
      <c r="G143" s="41" t="n">
        <f aca="false">IF(AND(D143&gt;0.5,N($C$19)&gt;0,N(B143)&lt;=N($C$20)),D143*$F$8,0)</f>
        <v>0</v>
      </c>
      <c r="H143" s="41" t="n">
        <f aca="false">IF(D143&lt;=0.5,0,MIN(IF(N(I143)&gt;0,I143,$F$9),D143+E143+F143))</f>
        <v>0</v>
      </c>
      <c r="I143" s="77"/>
      <c r="J143" s="77"/>
      <c r="K143" s="41" t="n">
        <f aca="false">IF(D143&lt;=0.5,0,MIN(H143+N(J143),D143+E143+F143))</f>
        <v>0</v>
      </c>
      <c r="L143" s="41" t="n">
        <f aca="false">K143-E143-F143</f>
        <v>0</v>
      </c>
      <c r="M143" s="41" t="n">
        <f aca="false">D143-L143</f>
        <v>0</v>
      </c>
      <c r="N143" s="42" t="n">
        <f aca="false">K143-G143</f>
        <v>0</v>
      </c>
      <c r="O143" s="78"/>
      <c r="P143" s="79"/>
      <c r="Q143" s="16" t="str">
        <f aca="false">IF(K143=0,"",IF(R143=1,"Pagada",IF(C143&lt;$F$12,"Vencida",IF(117=$F$13,"Próxima","Pendiente"))))</f>
        <v/>
      </c>
      <c r="R143" s="62" t="n">
        <f aca="false">IF(AND(K143&gt;0,OR(O143="Sí",O143="Si")),1,0)</f>
        <v>0</v>
      </c>
      <c r="S143" s="62" t="n">
        <f aca="false">IF(AND(K143&gt;0,R143=0),1,0)</f>
        <v>0</v>
      </c>
    </row>
    <row r="144" customFormat="false" ht="15" hidden="false" customHeight="false" outlineLevel="0" collapsed="false">
      <c r="B144" s="71" t="str">
        <f aca="false">IF($F$6="Sí",N($C$11)+117,"")</f>
        <v/>
      </c>
      <c r="C144" s="72" t="str">
        <f aca="false">IF(OR($F$6&lt;&gt;"Sí",D144&lt;=0.5),"",EDATE($C$10,117))</f>
        <v/>
      </c>
      <c r="D144" s="41" t="n">
        <f aca="false">MAX(0,M143)</f>
        <v>0</v>
      </c>
      <c r="E144" s="41" t="n">
        <f aca="false">D144*$F$7</f>
        <v>0</v>
      </c>
      <c r="F144" s="41" t="n">
        <f aca="false">IF(D144&gt;0.5,N($C$15),0)</f>
        <v>0</v>
      </c>
      <c r="G144" s="41" t="n">
        <f aca="false">IF(AND(D144&gt;0.5,N($C$19)&gt;0,N(B144)&lt;=N($C$20)),D144*$F$8,0)</f>
        <v>0</v>
      </c>
      <c r="H144" s="41" t="n">
        <f aca="false">IF(D144&lt;=0.5,0,MIN(IF(N(I144)&gt;0,I144,$F$9),D144+E144+F144))</f>
        <v>0</v>
      </c>
      <c r="I144" s="77"/>
      <c r="J144" s="77"/>
      <c r="K144" s="41" t="n">
        <f aca="false">IF(D144&lt;=0.5,0,MIN(H144+N(J144),D144+E144+F144))</f>
        <v>0</v>
      </c>
      <c r="L144" s="41" t="n">
        <f aca="false">K144-E144-F144</f>
        <v>0</v>
      </c>
      <c r="M144" s="41" t="n">
        <f aca="false">D144-L144</f>
        <v>0</v>
      </c>
      <c r="N144" s="42" t="n">
        <f aca="false">K144-G144</f>
        <v>0</v>
      </c>
      <c r="O144" s="78"/>
      <c r="P144" s="79"/>
      <c r="Q144" s="16" t="str">
        <f aca="false">IF(K144=0,"",IF(R144=1,"Pagada",IF(C144&lt;$F$12,"Vencida",IF(118=$F$13,"Próxima","Pendiente"))))</f>
        <v/>
      </c>
      <c r="R144" s="62" t="n">
        <f aca="false">IF(AND(K144&gt;0,OR(O144="Sí",O144="Si")),1,0)</f>
        <v>0</v>
      </c>
      <c r="S144" s="62" t="n">
        <f aca="false">IF(AND(K144&gt;0,R144=0),1,0)</f>
        <v>0</v>
      </c>
    </row>
    <row r="145" customFormat="false" ht="15" hidden="false" customHeight="false" outlineLevel="0" collapsed="false">
      <c r="B145" s="71" t="str">
        <f aca="false">IF($F$6="Sí",N($C$11)+118,"")</f>
        <v/>
      </c>
      <c r="C145" s="72" t="str">
        <f aca="false">IF(OR($F$6&lt;&gt;"Sí",D145&lt;=0.5),"",EDATE($C$10,118))</f>
        <v/>
      </c>
      <c r="D145" s="41" t="n">
        <f aca="false">MAX(0,M144)</f>
        <v>0</v>
      </c>
      <c r="E145" s="41" t="n">
        <f aca="false">D145*$F$7</f>
        <v>0</v>
      </c>
      <c r="F145" s="41" t="n">
        <f aca="false">IF(D145&gt;0.5,N($C$15),0)</f>
        <v>0</v>
      </c>
      <c r="G145" s="41" t="n">
        <f aca="false">IF(AND(D145&gt;0.5,N($C$19)&gt;0,N(B145)&lt;=N($C$20)),D145*$F$8,0)</f>
        <v>0</v>
      </c>
      <c r="H145" s="41" t="n">
        <f aca="false">IF(D145&lt;=0.5,0,MIN(IF(N(I145)&gt;0,I145,$F$9),D145+E145+F145))</f>
        <v>0</v>
      </c>
      <c r="I145" s="77"/>
      <c r="J145" s="77"/>
      <c r="K145" s="41" t="n">
        <f aca="false">IF(D145&lt;=0.5,0,MIN(H145+N(J145),D145+E145+F145))</f>
        <v>0</v>
      </c>
      <c r="L145" s="41" t="n">
        <f aca="false">K145-E145-F145</f>
        <v>0</v>
      </c>
      <c r="M145" s="41" t="n">
        <f aca="false">D145-L145</f>
        <v>0</v>
      </c>
      <c r="N145" s="42" t="n">
        <f aca="false">K145-G145</f>
        <v>0</v>
      </c>
      <c r="O145" s="78"/>
      <c r="P145" s="79"/>
      <c r="Q145" s="16" t="str">
        <f aca="false">IF(K145=0,"",IF(R145=1,"Pagada",IF(C145&lt;$F$12,"Vencida",IF(119=$F$13,"Próxima","Pendiente"))))</f>
        <v/>
      </c>
      <c r="R145" s="62" t="n">
        <f aca="false">IF(AND(K145&gt;0,OR(O145="Sí",O145="Si")),1,0)</f>
        <v>0</v>
      </c>
      <c r="S145" s="62" t="n">
        <f aca="false">IF(AND(K145&gt;0,R145=0),1,0)</f>
        <v>0</v>
      </c>
    </row>
    <row r="146" customFormat="false" ht="15" hidden="false" customHeight="false" outlineLevel="0" collapsed="false">
      <c r="B146" s="71" t="str">
        <f aca="false">IF($F$6="Sí",N($C$11)+119,"")</f>
        <v/>
      </c>
      <c r="C146" s="72" t="str">
        <f aca="false">IF(OR($F$6&lt;&gt;"Sí",D146&lt;=0.5),"",EDATE($C$10,119))</f>
        <v/>
      </c>
      <c r="D146" s="41" t="n">
        <f aca="false">MAX(0,M145)</f>
        <v>0</v>
      </c>
      <c r="E146" s="41" t="n">
        <f aca="false">D146*$F$7</f>
        <v>0</v>
      </c>
      <c r="F146" s="41" t="n">
        <f aca="false">IF(D146&gt;0.5,N($C$15),0)</f>
        <v>0</v>
      </c>
      <c r="G146" s="41" t="n">
        <f aca="false">IF(AND(D146&gt;0.5,N($C$19)&gt;0,N(B146)&lt;=N($C$20)),D146*$F$8,0)</f>
        <v>0</v>
      </c>
      <c r="H146" s="41" t="n">
        <f aca="false">IF(D146&lt;=0.5,0,MIN(IF(N(I146)&gt;0,I146,$F$9),D146+E146+F146))</f>
        <v>0</v>
      </c>
      <c r="I146" s="77"/>
      <c r="J146" s="77"/>
      <c r="K146" s="41" t="n">
        <f aca="false">IF(D146&lt;=0.5,0,MIN(H146+N(J146),D146+E146+F146))</f>
        <v>0</v>
      </c>
      <c r="L146" s="41" t="n">
        <f aca="false">K146-E146-F146</f>
        <v>0</v>
      </c>
      <c r="M146" s="41" t="n">
        <f aca="false">D146-L146</f>
        <v>0</v>
      </c>
      <c r="N146" s="42" t="n">
        <f aca="false">K146-G146</f>
        <v>0</v>
      </c>
      <c r="O146" s="78"/>
      <c r="P146" s="79"/>
      <c r="Q146" s="16" t="str">
        <f aca="false">IF(K146=0,"",IF(R146=1,"Pagada",IF(C146&lt;$F$12,"Vencida",IF(120=$F$13,"Próxima","Pendiente"))))</f>
        <v/>
      </c>
      <c r="R146" s="62" t="n">
        <f aca="false">IF(AND(K146&gt;0,OR(O146="Sí",O146="Si")),1,0)</f>
        <v>0</v>
      </c>
      <c r="S146" s="62" t="n">
        <f aca="false">IF(AND(K146&gt;0,R146=0),1,0)</f>
        <v>0</v>
      </c>
    </row>
    <row r="147" customFormat="false" ht="15" hidden="false" customHeight="false" outlineLevel="0" collapsed="false">
      <c r="B147" s="71" t="str">
        <f aca="false">IF($F$6="Sí",N($C$11)+120,"")</f>
        <v/>
      </c>
      <c r="C147" s="72" t="str">
        <f aca="false">IF(OR($F$6&lt;&gt;"Sí",D147&lt;=0.5),"",EDATE($C$10,120))</f>
        <v/>
      </c>
      <c r="D147" s="41" t="n">
        <f aca="false">MAX(0,M146)</f>
        <v>0</v>
      </c>
      <c r="E147" s="41" t="n">
        <f aca="false">D147*$F$7</f>
        <v>0</v>
      </c>
      <c r="F147" s="41" t="n">
        <f aca="false">IF(D147&gt;0.5,N($C$15),0)</f>
        <v>0</v>
      </c>
      <c r="G147" s="41" t="n">
        <f aca="false">IF(AND(D147&gt;0.5,N($C$19)&gt;0,N(B147)&lt;=N($C$20)),D147*$F$8,0)</f>
        <v>0</v>
      </c>
      <c r="H147" s="41" t="n">
        <f aca="false">IF(D147&lt;=0.5,0,MIN(IF(N(I147)&gt;0,I147,$F$9),D147+E147+F147))</f>
        <v>0</v>
      </c>
      <c r="I147" s="77"/>
      <c r="J147" s="77"/>
      <c r="K147" s="41" t="n">
        <f aca="false">IF(D147&lt;=0.5,0,MIN(H147+N(J147),D147+E147+F147))</f>
        <v>0</v>
      </c>
      <c r="L147" s="41" t="n">
        <f aca="false">K147-E147-F147</f>
        <v>0</v>
      </c>
      <c r="M147" s="41" t="n">
        <f aca="false">D147-L147</f>
        <v>0</v>
      </c>
      <c r="N147" s="42" t="n">
        <f aca="false">K147-G147</f>
        <v>0</v>
      </c>
      <c r="O147" s="78"/>
      <c r="P147" s="79"/>
      <c r="Q147" s="16" t="str">
        <f aca="false">IF(K147=0,"",IF(R147=1,"Pagada",IF(C147&lt;$F$12,"Vencida",IF(121=$F$13,"Próxima","Pendiente"))))</f>
        <v/>
      </c>
      <c r="R147" s="62" t="n">
        <f aca="false">IF(AND(K147&gt;0,OR(O147="Sí",O147="Si")),1,0)</f>
        <v>0</v>
      </c>
      <c r="S147" s="62" t="n">
        <f aca="false">IF(AND(K147&gt;0,R147=0),1,0)</f>
        <v>0</v>
      </c>
    </row>
    <row r="148" customFormat="false" ht="15" hidden="false" customHeight="false" outlineLevel="0" collapsed="false">
      <c r="B148" s="71" t="str">
        <f aca="false">IF($F$6="Sí",N($C$11)+121,"")</f>
        <v/>
      </c>
      <c r="C148" s="72" t="str">
        <f aca="false">IF(OR($F$6&lt;&gt;"Sí",D148&lt;=0.5),"",EDATE($C$10,121))</f>
        <v/>
      </c>
      <c r="D148" s="41" t="n">
        <f aca="false">MAX(0,M147)</f>
        <v>0</v>
      </c>
      <c r="E148" s="41" t="n">
        <f aca="false">D148*$F$7</f>
        <v>0</v>
      </c>
      <c r="F148" s="41" t="n">
        <f aca="false">IF(D148&gt;0.5,N($C$15),0)</f>
        <v>0</v>
      </c>
      <c r="G148" s="41" t="n">
        <f aca="false">IF(AND(D148&gt;0.5,N($C$19)&gt;0,N(B148)&lt;=N($C$20)),D148*$F$8,0)</f>
        <v>0</v>
      </c>
      <c r="H148" s="41" t="n">
        <f aca="false">IF(D148&lt;=0.5,0,MIN(IF(N(I148)&gt;0,I148,$F$9),D148+E148+F148))</f>
        <v>0</v>
      </c>
      <c r="I148" s="77"/>
      <c r="J148" s="77"/>
      <c r="K148" s="41" t="n">
        <f aca="false">IF(D148&lt;=0.5,0,MIN(H148+N(J148),D148+E148+F148))</f>
        <v>0</v>
      </c>
      <c r="L148" s="41" t="n">
        <f aca="false">K148-E148-F148</f>
        <v>0</v>
      </c>
      <c r="M148" s="41" t="n">
        <f aca="false">D148-L148</f>
        <v>0</v>
      </c>
      <c r="N148" s="42" t="n">
        <f aca="false">K148-G148</f>
        <v>0</v>
      </c>
      <c r="O148" s="78"/>
      <c r="P148" s="79"/>
      <c r="Q148" s="16" t="str">
        <f aca="false">IF(K148=0,"",IF(R148=1,"Pagada",IF(C148&lt;$F$12,"Vencida",IF(122=$F$13,"Próxima","Pendiente"))))</f>
        <v/>
      </c>
      <c r="R148" s="62" t="n">
        <f aca="false">IF(AND(K148&gt;0,OR(O148="Sí",O148="Si")),1,0)</f>
        <v>0</v>
      </c>
      <c r="S148" s="62" t="n">
        <f aca="false">IF(AND(K148&gt;0,R148=0),1,0)</f>
        <v>0</v>
      </c>
    </row>
    <row r="149" customFormat="false" ht="15" hidden="false" customHeight="false" outlineLevel="0" collapsed="false">
      <c r="B149" s="71" t="str">
        <f aca="false">IF($F$6="Sí",N($C$11)+122,"")</f>
        <v/>
      </c>
      <c r="C149" s="72" t="str">
        <f aca="false">IF(OR($F$6&lt;&gt;"Sí",D149&lt;=0.5),"",EDATE($C$10,122))</f>
        <v/>
      </c>
      <c r="D149" s="41" t="n">
        <f aca="false">MAX(0,M148)</f>
        <v>0</v>
      </c>
      <c r="E149" s="41" t="n">
        <f aca="false">D149*$F$7</f>
        <v>0</v>
      </c>
      <c r="F149" s="41" t="n">
        <f aca="false">IF(D149&gt;0.5,N($C$15),0)</f>
        <v>0</v>
      </c>
      <c r="G149" s="41" t="n">
        <f aca="false">IF(AND(D149&gt;0.5,N($C$19)&gt;0,N(B149)&lt;=N($C$20)),D149*$F$8,0)</f>
        <v>0</v>
      </c>
      <c r="H149" s="41" t="n">
        <f aca="false">IF(D149&lt;=0.5,0,MIN(IF(N(I149)&gt;0,I149,$F$9),D149+E149+F149))</f>
        <v>0</v>
      </c>
      <c r="I149" s="77"/>
      <c r="J149" s="77"/>
      <c r="K149" s="41" t="n">
        <f aca="false">IF(D149&lt;=0.5,0,MIN(H149+N(J149),D149+E149+F149))</f>
        <v>0</v>
      </c>
      <c r="L149" s="41" t="n">
        <f aca="false">K149-E149-F149</f>
        <v>0</v>
      </c>
      <c r="M149" s="41" t="n">
        <f aca="false">D149-L149</f>
        <v>0</v>
      </c>
      <c r="N149" s="42" t="n">
        <f aca="false">K149-G149</f>
        <v>0</v>
      </c>
      <c r="O149" s="78"/>
      <c r="P149" s="79"/>
      <c r="Q149" s="16" t="str">
        <f aca="false">IF(K149=0,"",IF(R149=1,"Pagada",IF(C149&lt;$F$12,"Vencida",IF(123=$F$13,"Próxima","Pendiente"))))</f>
        <v/>
      </c>
      <c r="R149" s="62" t="n">
        <f aca="false">IF(AND(K149&gt;0,OR(O149="Sí",O149="Si")),1,0)</f>
        <v>0</v>
      </c>
      <c r="S149" s="62" t="n">
        <f aca="false">IF(AND(K149&gt;0,R149=0),1,0)</f>
        <v>0</v>
      </c>
    </row>
    <row r="150" customFormat="false" ht="15" hidden="false" customHeight="false" outlineLevel="0" collapsed="false">
      <c r="B150" s="71" t="str">
        <f aca="false">IF($F$6="Sí",N($C$11)+123,"")</f>
        <v/>
      </c>
      <c r="C150" s="72" t="str">
        <f aca="false">IF(OR($F$6&lt;&gt;"Sí",D150&lt;=0.5),"",EDATE($C$10,123))</f>
        <v/>
      </c>
      <c r="D150" s="41" t="n">
        <f aca="false">MAX(0,M149)</f>
        <v>0</v>
      </c>
      <c r="E150" s="41" t="n">
        <f aca="false">D150*$F$7</f>
        <v>0</v>
      </c>
      <c r="F150" s="41" t="n">
        <f aca="false">IF(D150&gt;0.5,N($C$15),0)</f>
        <v>0</v>
      </c>
      <c r="G150" s="41" t="n">
        <f aca="false">IF(AND(D150&gt;0.5,N($C$19)&gt;0,N(B150)&lt;=N($C$20)),D150*$F$8,0)</f>
        <v>0</v>
      </c>
      <c r="H150" s="41" t="n">
        <f aca="false">IF(D150&lt;=0.5,0,MIN(IF(N(I150)&gt;0,I150,$F$9),D150+E150+F150))</f>
        <v>0</v>
      </c>
      <c r="I150" s="77"/>
      <c r="J150" s="77"/>
      <c r="K150" s="41" t="n">
        <f aca="false">IF(D150&lt;=0.5,0,MIN(H150+N(J150),D150+E150+F150))</f>
        <v>0</v>
      </c>
      <c r="L150" s="41" t="n">
        <f aca="false">K150-E150-F150</f>
        <v>0</v>
      </c>
      <c r="M150" s="41" t="n">
        <f aca="false">D150-L150</f>
        <v>0</v>
      </c>
      <c r="N150" s="42" t="n">
        <f aca="false">K150-G150</f>
        <v>0</v>
      </c>
      <c r="O150" s="78"/>
      <c r="P150" s="79"/>
      <c r="Q150" s="16" t="str">
        <f aca="false">IF(K150=0,"",IF(R150=1,"Pagada",IF(C150&lt;$F$12,"Vencida",IF(124=$F$13,"Próxima","Pendiente"))))</f>
        <v/>
      </c>
      <c r="R150" s="62" t="n">
        <f aca="false">IF(AND(K150&gt;0,OR(O150="Sí",O150="Si")),1,0)</f>
        <v>0</v>
      </c>
      <c r="S150" s="62" t="n">
        <f aca="false">IF(AND(K150&gt;0,R150=0),1,0)</f>
        <v>0</v>
      </c>
    </row>
    <row r="151" customFormat="false" ht="15" hidden="false" customHeight="false" outlineLevel="0" collapsed="false">
      <c r="B151" s="71" t="str">
        <f aca="false">IF($F$6="Sí",N($C$11)+124,"")</f>
        <v/>
      </c>
      <c r="C151" s="72" t="str">
        <f aca="false">IF(OR($F$6&lt;&gt;"Sí",D151&lt;=0.5),"",EDATE($C$10,124))</f>
        <v/>
      </c>
      <c r="D151" s="41" t="n">
        <f aca="false">MAX(0,M150)</f>
        <v>0</v>
      </c>
      <c r="E151" s="41" t="n">
        <f aca="false">D151*$F$7</f>
        <v>0</v>
      </c>
      <c r="F151" s="41" t="n">
        <f aca="false">IF(D151&gt;0.5,N($C$15),0)</f>
        <v>0</v>
      </c>
      <c r="G151" s="41" t="n">
        <f aca="false">IF(AND(D151&gt;0.5,N($C$19)&gt;0,N(B151)&lt;=N($C$20)),D151*$F$8,0)</f>
        <v>0</v>
      </c>
      <c r="H151" s="41" t="n">
        <f aca="false">IF(D151&lt;=0.5,0,MIN(IF(N(I151)&gt;0,I151,$F$9),D151+E151+F151))</f>
        <v>0</v>
      </c>
      <c r="I151" s="77"/>
      <c r="J151" s="77"/>
      <c r="K151" s="41" t="n">
        <f aca="false">IF(D151&lt;=0.5,0,MIN(H151+N(J151),D151+E151+F151))</f>
        <v>0</v>
      </c>
      <c r="L151" s="41" t="n">
        <f aca="false">K151-E151-F151</f>
        <v>0</v>
      </c>
      <c r="M151" s="41" t="n">
        <f aca="false">D151-L151</f>
        <v>0</v>
      </c>
      <c r="N151" s="42" t="n">
        <f aca="false">K151-G151</f>
        <v>0</v>
      </c>
      <c r="O151" s="78"/>
      <c r="P151" s="79"/>
      <c r="Q151" s="16" t="str">
        <f aca="false">IF(K151=0,"",IF(R151=1,"Pagada",IF(C151&lt;$F$12,"Vencida",IF(125=$F$13,"Próxima","Pendiente"))))</f>
        <v/>
      </c>
      <c r="R151" s="62" t="n">
        <f aca="false">IF(AND(K151&gt;0,OR(O151="Sí",O151="Si")),1,0)</f>
        <v>0</v>
      </c>
      <c r="S151" s="62" t="n">
        <f aca="false">IF(AND(K151&gt;0,R151=0),1,0)</f>
        <v>0</v>
      </c>
    </row>
    <row r="152" customFormat="false" ht="15" hidden="false" customHeight="false" outlineLevel="0" collapsed="false">
      <c r="B152" s="71" t="str">
        <f aca="false">IF($F$6="Sí",N($C$11)+125,"")</f>
        <v/>
      </c>
      <c r="C152" s="72" t="str">
        <f aca="false">IF(OR($F$6&lt;&gt;"Sí",D152&lt;=0.5),"",EDATE($C$10,125))</f>
        <v/>
      </c>
      <c r="D152" s="41" t="n">
        <f aca="false">MAX(0,M151)</f>
        <v>0</v>
      </c>
      <c r="E152" s="41" t="n">
        <f aca="false">D152*$F$7</f>
        <v>0</v>
      </c>
      <c r="F152" s="41" t="n">
        <f aca="false">IF(D152&gt;0.5,N($C$15),0)</f>
        <v>0</v>
      </c>
      <c r="G152" s="41" t="n">
        <f aca="false">IF(AND(D152&gt;0.5,N($C$19)&gt;0,N(B152)&lt;=N($C$20)),D152*$F$8,0)</f>
        <v>0</v>
      </c>
      <c r="H152" s="41" t="n">
        <f aca="false">IF(D152&lt;=0.5,0,MIN(IF(N(I152)&gt;0,I152,$F$9),D152+E152+F152))</f>
        <v>0</v>
      </c>
      <c r="I152" s="77"/>
      <c r="J152" s="77"/>
      <c r="K152" s="41" t="n">
        <f aca="false">IF(D152&lt;=0.5,0,MIN(H152+N(J152),D152+E152+F152))</f>
        <v>0</v>
      </c>
      <c r="L152" s="41" t="n">
        <f aca="false">K152-E152-F152</f>
        <v>0</v>
      </c>
      <c r="M152" s="41" t="n">
        <f aca="false">D152-L152</f>
        <v>0</v>
      </c>
      <c r="N152" s="42" t="n">
        <f aca="false">K152-G152</f>
        <v>0</v>
      </c>
      <c r="O152" s="78"/>
      <c r="P152" s="79"/>
      <c r="Q152" s="16" t="str">
        <f aca="false">IF(K152=0,"",IF(R152=1,"Pagada",IF(C152&lt;$F$12,"Vencida",IF(126=$F$13,"Próxima","Pendiente"))))</f>
        <v/>
      </c>
      <c r="R152" s="62" t="n">
        <f aca="false">IF(AND(K152&gt;0,OR(O152="Sí",O152="Si")),1,0)</f>
        <v>0</v>
      </c>
      <c r="S152" s="62" t="n">
        <f aca="false">IF(AND(K152&gt;0,R152=0),1,0)</f>
        <v>0</v>
      </c>
    </row>
    <row r="153" customFormat="false" ht="15" hidden="false" customHeight="false" outlineLevel="0" collapsed="false">
      <c r="B153" s="71" t="str">
        <f aca="false">IF($F$6="Sí",N($C$11)+126,"")</f>
        <v/>
      </c>
      <c r="C153" s="72" t="str">
        <f aca="false">IF(OR($F$6&lt;&gt;"Sí",D153&lt;=0.5),"",EDATE($C$10,126))</f>
        <v/>
      </c>
      <c r="D153" s="41" t="n">
        <f aca="false">MAX(0,M152)</f>
        <v>0</v>
      </c>
      <c r="E153" s="41" t="n">
        <f aca="false">D153*$F$7</f>
        <v>0</v>
      </c>
      <c r="F153" s="41" t="n">
        <f aca="false">IF(D153&gt;0.5,N($C$15),0)</f>
        <v>0</v>
      </c>
      <c r="G153" s="41" t="n">
        <f aca="false">IF(AND(D153&gt;0.5,N($C$19)&gt;0,N(B153)&lt;=N($C$20)),D153*$F$8,0)</f>
        <v>0</v>
      </c>
      <c r="H153" s="41" t="n">
        <f aca="false">IF(D153&lt;=0.5,0,MIN(IF(N(I153)&gt;0,I153,$F$9),D153+E153+F153))</f>
        <v>0</v>
      </c>
      <c r="I153" s="77"/>
      <c r="J153" s="77"/>
      <c r="K153" s="41" t="n">
        <f aca="false">IF(D153&lt;=0.5,0,MIN(H153+N(J153),D153+E153+F153))</f>
        <v>0</v>
      </c>
      <c r="L153" s="41" t="n">
        <f aca="false">K153-E153-F153</f>
        <v>0</v>
      </c>
      <c r="M153" s="41" t="n">
        <f aca="false">D153-L153</f>
        <v>0</v>
      </c>
      <c r="N153" s="42" t="n">
        <f aca="false">K153-G153</f>
        <v>0</v>
      </c>
      <c r="O153" s="78"/>
      <c r="P153" s="79"/>
      <c r="Q153" s="16" t="str">
        <f aca="false">IF(K153=0,"",IF(R153=1,"Pagada",IF(C153&lt;$F$12,"Vencida",IF(127=$F$13,"Próxima","Pendiente"))))</f>
        <v/>
      </c>
      <c r="R153" s="62" t="n">
        <f aca="false">IF(AND(K153&gt;0,OR(O153="Sí",O153="Si")),1,0)</f>
        <v>0</v>
      </c>
      <c r="S153" s="62" t="n">
        <f aca="false">IF(AND(K153&gt;0,R153=0),1,0)</f>
        <v>0</v>
      </c>
    </row>
    <row r="154" customFormat="false" ht="15" hidden="false" customHeight="false" outlineLevel="0" collapsed="false">
      <c r="B154" s="71" t="str">
        <f aca="false">IF($F$6="Sí",N($C$11)+127,"")</f>
        <v/>
      </c>
      <c r="C154" s="72" t="str">
        <f aca="false">IF(OR($F$6&lt;&gt;"Sí",D154&lt;=0.5),"",EDATE($C$10,127))</f>
        <v/>
      </c>
      <c r="D154" s="41" t="n">
        <f aca="false">MAX(0,M153)</f>
        <v>0</v>
      </c>
      <c r="E154" s="41" t="n">
        <f aca="false">D154*$F$7</f>
        <v>0</v>
      </c>
      <c r="F154" s="41" t="n">
        <f aca="false">IF(D154&gt;0.5,N($C$15),0)</f>
        <v>0</v>
      </c>
      <c r="G154" s="41" t="n">
        <f aca="false">IF(AND(D154&gt;0.5,N($C$19)&gt;0,N(B154)&lt;=N($C$20)),D154*$F$8,0)</f>
        <v>0</v>
      </c>
      <c r="H154" s="41" t="n">
        <f aca="false">IF(D154&lt;=0.5,0,MIN(IF(N(I154)&gt;0,I154,$F$9),D154+E154+F154))</f>
        <v>0</v>
      </c>
      <c r="I154" s="77"/>
      <c r="J154" s="77"/>
      <c r="K154" s="41" t="n">
        <f aca="false">IF(D154&lt;=0.5,0,MIN(H154+N(J154),D154+E154+F154))</f>
        <v>0</v>
      </c>
      <c r="L154" s="41" t="n">
        <f aca="false">K154-E154-F154</f>
        <v>0</v>
      </c>
      <c r="M154" s="41" t="n">
        <f aca="false">D154-L154</f>
        <v>0</v>
      </c>
      <c r="N154" s="42" t="n">
        <f aca="false">K154-G154</f>
        <v>0</v>
      </c>
      <c r="O154" s="78"/>
      <c r="P154" s="79"/>
      <c r="Q154" s="16" t="str">
        <f aca="false">IF(K154=0,"",IF(R154=1,"Pagada",IF(C154&lt;$F$12,"Vencida",IF(128=$F$13,"Próxima","Pendiente"))))</f>
        <v/>
      </c>
      <c r="R154" s="62" t="n">
        <f aca="false">IF(AND(K154&gt;0,OR(O154="Sí",O154="Si")),1,0)</f>
        <v>0</v>
      </c>
      <c r="S154" s="62" t="n">
        <f aca="false">IF(AND(K154&gt;0,R154=0),1,0)</f>
        <v>0</v>
      </c>
    </row>
    <row r="155" customFormat="false" ht="15" hidden="false" customHeight="false" outlineLevel="0" collapsed="false">
      <c r="B155" s="71" t="str">
        <f aca="false">IF($F$6="Sí",N($C$11)+128,"")</f>
        <v/>
      </c>
      <c r="C155" s="72" t="str">
        <f aca="false">IF(OR($F$6&lt;&gt;"Sí",D155&lt;=0.5),"",EDATE($C$10,128))</f>
        <v/>
      </c>
      <c r="D155" s="41" t="n">
        <f aca="false">MAX(0,M154)</f>
        <v>0</v>
      </c>
      <c r="E155" s="41" t="n">
        <f aca="false">D155*$F$7</f>
        <v>0</v>
      </c>
      <c r="F155" s="41" t="n">
        <f aca="false">IF(D155&gt;0.5,N($C$15),0)</f>
        <v>0</v>
      </c>
      <c r="G155" s="41" t="n">
        <f aca="false">IF(AND(D155&gt;0.5,N($C$19)&gt;0,N(B155)&lt;=N($C$20)),D155*$F$8,0)</f>
        <v>0</v>
      </c>
      <c r="H155" s="41" t="n">
        <f aca="false">IF(D155&lt;=0.5,0,MIN(IF(N(I155)&gt;0,I155,$F$9),D155+E155+F155))</f>
        <v>0</v>
      </c>
      <c r="I155" s="77"/>
      <c r="J155" s="77"/>
      <c r="K155" s="41" t="n">
        <f aca="false">IF(D155&lt;=0.5,0,MIN(H155+N(J155),D155+E155+F155))</f>
        <v>0</v>
      </c>
      <c r="L155" s="41" t="n">
        <f aca="false">K155-E155-F155</f>
        <v>0</v>
      </c>
      <c r="M155" s="41" t="n">
        <f aca="false">D155-L155</f>
        <v>0</v>
      </c>
      <c r="N155" s="42" t="n">
        <f aca="false">K155-G155</f>
        <v>0</v>
      </c>
      <c r="O155" s="78"/>
      <c r="P155" s="79"/>
      <c r="Q155" s="16" t="str">
        <f aca="false">IF(K155=0,"",IF(R155=1,"Pagada",IF(C155&lt;$F$12,"Vencida",IF(129=$F$13,"Próxima","Pendiente"))))</f>
        <v/>
      </c>
      <c r="R155" s="62" t="n">
        <f aca="false">IF(AND(K155&gt;0,OR(O155="Sí",O155="Si")),1,0)</f>
        <v>0</v>
      </c>
      <c r="S155" s="62" t="n">
        <f aca="false">IF(AND(K155&gt;0,R155=0),1,0)</f>
        <v>0</v>
      </c>
    </row>
    <row r="156" customFormat="false" ht="15" hidden="false" customHeight="false" outlineLevel="0" collapsed="false">
      <c r="B156" s="71" t="str">
        <f aca="false">IF($F$6="Sí",N($C$11)+129,"")</f>
        <v/>
      </c>
      <c r="C156" s="72" t="str">
        <f aca="false">IF(OR($F$6&lt;&gt;"Sí",D156&lt;=0.5),"",EDATE($C$10,129))</f>
        <v/>
      </c>
      <c r="D156" s="41" t="n">
        <f aca="false">MAX(0,M155)</f>
        <v>0</v>
      </c>
      <c r="E156" s="41" t="n">
        <f aca="false">D156*$F$7</f>
        <v>0</v>
      </c>
      <c r="F156" s="41" t="n">
        <f aca="false">IF(D156&gt;0.5,N($C$15),0)</f>
        <v>0</v>
      </c>
      <c r="G156" s="41" t="n">
        <f aca="false">IF(AND(D156&gt;0.5,N($C$19)&gt;0,N(B156)&lt;=N($C$20)),D156*$F$8,0)</f>
        <v>0</v>
      </c>
      <c r="H156" s="41" t="n">
        <f aca="false">IF(D156&lt;=0.5,0,MIN(IF(N(I156)&gt;0,I156,$F$9),D156+E156+F156))</f>
        <v>0</v>
      </c>
      <c r="I156" s="77"/>
      <c r="J156" s="77"/>
      <c r="K156" s="41" t="n">
        <f aca="false">IF(D156&lt;=0.5,0,MIN(H156+N(J156),D156+E156+F156))</f>
        <v>0</v>
      </c>
      <c r="L156" s="41" t="n">
        <f aca="false">K156-E156-F156</f>
        <v>0</v>
      </c>
      <c r="M156" s="41" t="n">
        <f aca="false">D156-L156</f>
        <v>0</v>
      </c>
      <c r="N156" s="42" t="n">
        <f aca="false">K156-G156</f>
        <v>0</v>
      </c>
      <c r="O156" s="78"/>
      <c r="P156" s="79"/>
      <c r="Q156" s="16" t="str">
        <f aca="false">IF(K156=0,"",IF(R156=1,"Pagada",IF(C156&lt;$F$12,"Vencida",IF(130=$F$13,"Próxima","Pendiente"))))</f>
        <v/>
      </c>
      <c r="R156" s="62" t="n">
        <f aca="false">IF(AND(K156&gt;0,OR(O156="Sí",O156="Si")),1,0)</f>
        <v>0</v>
      </c>
      <c r="S156" s="62" t="n">
        <f aca="false">IF(AND(K156&gt;0,R156=0),1,0)</f>
        <v>0</v>
      </c>
    </row>
    <row r="157" customFormat="false" ht="15" hidden="false" customHeight="false" outlineLevel="0" collapsed="false">
      <c r="B157" s="71" t="str">
        <f aca="false">IF($F$6="Sí",N($C$11)+130,"")</f>
        <v/>
      </c>
      <c r="C157" s="72" t="str">
        <f aca="false">IF(OR($F$6&lt;&gt;"Sí",D157&lt;=0.5),"",EDATE($C$10,130))</f>
        <v/>
      </c>
      <c r="D157" s="41" t="n">
        <f aca="false">MAX(0,M156)</f>
        <v>0</v>
      </c>
      <c r="E157" s="41" t="n">
        <f aca="false">D157*$F$7</f>
        <v>0</v>
      </c>
      <c r="F157" s="41" t="n">
        <f aca="false">IF(D157&gt;0.5,N($C$15),0)</f>
        <v>0</v>
      </c>
      <c r="G157" s="41" t="n">
        <f aca="false">IF(AND(D157&gt;0.5,N($C$19)&gt;0,N(B157)&lt;=N($C$20)),D157*$F$8,0)</f>
        <v>0</v>
      </c>
      <c r="H157" s="41" t="n">
        <f aca="false">IF(D157&lt;=0.5,0,MIN(IF(N(I157)&gt;0,I157,$F$9),D157+E157+F157))</f>
        <v>0</v>
      </c>
      <c r="I157" s="77"/>
      <c r="J157" s="77"/>
      <c r="K157" s="41" t="n">
        <f aca="false">IF(D157&lt;=0.5,0,MIN(H157+N(J157),D157+E157+F157))</f>
        <v>0</v>
      </c>
      <c r="L157" s="41" t="n">
        <f aca="false">K157-E157-F157</f>
        <v>0</v>
      </c>
      <c r="M157" s="41" t="n">
        <f aca="false">D157-L157</f>
        <v>0</v>
      </c>
      <c r="N157" s="42" t="n">
        <f aca="false">K157-G157</f>
        <v>0</v>
      </c>
      <c r="O157" s="78"/>
      <c r="P157" s="79"/>
      <c r="Q157" s="16" t="str">
        <f aca="false">IF(K157=0,"",IF(R157=1,"Pagada",IF(C157&lt;$F$12,"Vencida",IF(131=$F$13,"Próxima","Pendiente"))))</f>
        <v/>
      </c>
      <c r="R157" s="62" t="n">
        <f aca="false">IF(AND(K157&gt;0,OR(O157="Sí",O157="Si")),1,0)</f>
        <v>0</v>
      </c>
      <c r="S157" s="62" t="n">
        <f aca="false">IF(AND(K157&gt;0,R157=0),1,0)</f>
        <v>0</v>
      </c>
    </row>
    <row r="158" customFormat="false" ht="15" hidden="false" customHeight="false" outlineLevel="0" collapsed="false">
      <c r="B158" s="71" t="str">
        <f aca="false">IF($F$6="Sí",N($C$11)+131,"")</f>
        <v/>
      </c>
      <c r="C158" s="72" t="str">
        <f aca="false">IF(OR($F$6&lt;&gt;"Sí",D158&lt;=0.5),"",EDATE($C$10,131))</f>
        <v/>
      </c>
      <c r="D158" s="41" t="n">
        <f aca="false">MAX(0,M157)</f>
        <v>0</v>
      </c>
      <c r="E158" s="41" t="n">
        <f aca="false">D158*$F$7</f>
        <v>0</v>
      </c>
      <c r="F158" s="41" t="n">
        <f aca="false">IF(D158&gt;0.5,N($C$15),0)</f>
        <v>0</v>
      </c>
      <c r="G158" s="41" t="n">
        <f aca="false">IF(AND(D158&gt;0.5,N($C$19)&gt;0,N(B158)&lt;=N($C$20)),D158*$F$8,0)</f>
        <v>0</v>
      </c>
      <c r="H158" s="41" t="n">
        <f aca="false">IF(D158&lt;=0.5,0,MIN(IF(N(I158)&gt;0,I158,$F$9),D158+E158+F158))</f>
        <v>0</v>
      </c>
      <c r="I158" s="77"/>
      <c r="J158" s="77"/>
      <c r="K158" s="41" t="n">
        <f aca="false">IF(D158&lt;=0.5,0,MIN(H158+N(J158),D158+E158+F158))</f>
        <v>0</v>
      </c>
      <c r="L158" s="41" t="n">
        <f aca="false">K158-E158-F158</f>
        <v>0</v>
      </c>
      <c r="M158" s="41" t="n">
        <f aca="false">D158-L158</f>
        <v>0</v>
      </c>
      <c r="N158" s="42" t="n">
        <f aca="false">K158-G158</f>
        <v>0</v>
      </c>
      <c r="O158" s="78"/>
      <c r="P158" s="79"/>
      <c r="Q158" s="16" t="str">
        <f aca="false">IF(K158=0,"",IF(R158=1,"Pagada",IF(C158&lt;$F$12,"Vencida",IF(132=$F$13,"Próxima","Pendiente"))))</f>
        <v/>
      </c>
      <c r="R158" s="62" t="n">
        <f aca="false">IF(AND(K158&gt;0,OR(O158="Sí",O158="Si")),1,0)</f>
        <v>0</v>
      </c>
      <c r="S158" s="62" t="n">
        <f aca="false">IF(AND(K158&gt;0,R158=0),1,0)</f>
        <v>0</v>
      </c>
    </row>
    <row r="159" customFormat="false" ht="15" hidden="false" customHeight="false" outlineLevel="0" collapsed="false">
      <c r="B159" s="71" t="str">
        <f aca="false">IF($F$6="Sí",N($C$11)+132,"")</f>
        <v/>
      </c>
      <c r="C159" s="72" t="str">
        <f aca="false">IF(OR($F$6&lt;&gt;"Sí",D159&lt;=0.5),"",EDATE($C$10,132))</f>
        <v/>
      </c>
      <c r="D159" s="41" t="n">
        <f aca="false">MAX(0,M158)</f>
        <v>0</v>
      </c>
      <c r="E159" s="41" t="n">
        <f aca="false">D159*$F$7</f>
        <v>0</v>
      </c>
      <c r="F159" s="41" t="n">
        <f aca="false">IF(D159&gt;0.5,N($C$15),0)</f>
        <v>0</v>
      </c>
      <c r="G159" s="41" t="n">
        <f aca="false">IF(AND(D159&gt;0.5,N($C$19)&gt;0,N(B159)&lt;=N($C$20)),D159*$F$8,0)</f>
        <v>0</v>
      </c>
      <c r="H159" s="41" t="n">
        <f aca="false">IF(D159&lt;=0.5,0,MIN(IF(N(I159)&gt;0,I159,$F$9),D159+E159+F159))</f>
        <v>0</v>
      </c>
      <c r="I159" s="77"/>
      <c r="J159" s="77"/>
      <c r="K159" s="41" t="n">
        <f aca="false">IF(D159&lt;=0.5,0,MIN(H159+N(J159),D159+E159+F159))</f>
        <v>0</v>
      </c>
      <c r="L159" s="41" t="n">
        <f aca="false">K159-E159-F159</f>
        <v>0</v>
      </c>
      <c r="M159" s="41" t="n">
        <f aca="false">D159-L159</f>
        <v>0</v>
      </c>
      <c r="N159" s="42" t="n">
        <f aca="false">K159-G159</f>
        <v>0</v>
      </c>
      <c r="O159" s="78"/>
      <c r="P159" s="79"/>
      <c r="Q159" s="16" t="str">
        <f aca="false">IF(K159=0,"",IF(R159=1,"Pagada",IF(C159&lt;$F$12,"Vencida",IF(133=$F$13,"Próxima","Pendiente"))))</f>
        <v/>
      </c>
      <c r="R159" s="62" t="n">
        <f aca="false">IF(AND(K159&gt;0,OR(O159="Sí",O159="Si")),1,0)</f>
        <v>0</v>
      </c>
      <c r="S159" s="62" t="n">
        <f aca="false">IF(AND(K159&gt;0,R159=0),1,0)</f>
        <v>0</v>
      </c>
    </row>
    <row r="160" customFormat="false" ht="15" hidden="false" customHeight="false" outlineLevel="0" collapsed="false">
      <c r="B160" s="71" t="str">
        <f aca="false">IF($F$6="Sí",N($C$11)+133,"")</f>
        <v/>
      </c>
      <c r="C160" s="72" t="str">
        <f aca="false">IF(OR($F$6&lt;&gt;"Sí",D160&lt;=0.5),"",EDATE($C$10,133))</f>
        <v/>
      </c>
      <c r="D160" s="41" t="n">
        <f aca="false">MAX(0,M159)</f>
        <v>0</v>
      </c>
      <c r="E160" s="41" t="n">
        <f aca="false">D160*$F$7</f>
        <v>0</v>
      </c>
      <c r="F160" s="41" t="n">
        <f aca="false">IF(D160&gt;0.5,N($C$15),0)</f>
        <v>0</v>
      </c>
      <c r="G160" s="41" t="n">
        <f aca="false">IF(AND(D160&gt;0.5,N($C$19)&gt;0,N(B160)&lt;=N($C$20)),D160*$F$8,0)</f>
        <v>0</v>
      </c>
      <c r="H160" s="41" t="n">
        <f aca="false">IF(D160&lt;=0.5,0,MIN(IF(N(I160)&gt;0,I160,$F$9),D160+E160+F160))</f>
        <v>0</v>
      </c>
      <c r="I160" s="77"/>
      <c r="J160" s="77"/>
      <c r="K160" s="41" t="n">
        <f aca="false">IF(D160&lt;=0.5,0,MIN(H160+N(J160),D160+E160+F160))</f>
        <v>0</v>
      </c>
      <c r="L160" s="41" t="n">
        <f aca="false">K160-E160-F160</f>
        <v>0</v>
      </c>
      <c r="M160" s="41" t="n">
        <f aca="false">D160-L160</f>
        <v>0</v>
      </c>
      <c r="N160" s="42" t="n">
        <f aca="false">K160-G160</f>
        <v>0</v>
      </c>
      <c r="O160" s="78"/>
      <c r="P160" s="79"/>
      <c r="Q160" s="16" t="str">
        <f aca="false">IF(K160=0,"",IF(R160=1,"Pagada",IF(C160&lt;$F$12,"Vencida",IF(134=$F$13,"Próxima","Pendiente"))))</f>
        <v/>
      </c>
      <c r="R160" s="62" t="n">
        <f aca="false">IF(AND(K160&gt;0,OR(O160="Sí",O160="Si")),1,0)</f>
        <v>0</v>
      </c>
      <c r="S160" s="62" t="n">
        <f aca="false">IF(AND(K160&gt;0,R160=0),1,0)</f>
        <v>0</v>
      </c>
    </row>
    <row r="161" customFormat="false" ht="15" hidden="false" customHeight="false" outlineLevel="0" collapsed="false">
      <c r="B161" s="71" t="str">
        <f aca="false">IF($F$6="Sí",N($C$11)+134,"")</f>
        <v/>
      </c>
      <c r="C161" s="72" t="str">
        <f aca="false">IF(OR($F$6&lt;&gt;"Sí",D161&lt;=0.5),"",EDATE($C$10,134))</f>
        <v/>
      </c>
      <c r="D161" s="41" t="n">
        <f aca="false">MAX(0,M160)</f>
        <v>0</v>
      </c>
      <c r="E161" s="41" t="n">
        <f aca="false">D161*$F$7</f>
        <v>0</v>
      </c>
      <c r="F161" s="41" t="n">
        <f aca="false">IF(D161&gt;0.5,N($C$15),0)</f>
        <v>0</v>
      </c>
      <c r="G161" s="41" t="n">
        <f aca="false">IF(AND(D161&gt;0.5,N($C$19)&gt;0,N(B161)&lt;=N($C$20)),D161*$F$8,0)</f>
        <v>0</v>
      </c>
      <c r="H161" s="41" t="n">
        <f aca="false">IF(D161&lt;=0.5,0,MIN(IF(N(I161)&gt;0,I161,$F$9),D161+E161+F161))</f>
        <v>0</v>
      </c>
      <c r="I161" s="77"/>
      <c r="J161" s="77"/>
      <c r="K161" s="41" t="n">
        <f aca="false">IF(D161&lt;=0.5,0,MIN(H161+N(J161),D161+E161+F161))</f>
        <v>0</v>
      </c>
      <c r="L161" s="41" t="n">
        <f aca="false">K161-E161-F161</f>
        <v>0</v>
      </c>
      <c r="M161" s="41" t="n">
        <f aca="false">D161-L161</f>
        <v>0</v>
      </c>
      <c r="N161" s="42" t="n">
        <f aca="false">K161-G161</f>
        <v>0</v>
      </c>
      <c r="O161" s="78"/>
      <c r="P161" s="79"/>
      <c r="Q161" s="16" t="str">
        <f aca="false">IF(K161=0,"",IF(R161=1,"Pagada",IF(C161&lt;$F$12,"Vencida",IF(135=$F$13,"Próxima","Pendiente"))))</f>
        <v/>
      </c>
      <c r="R161" s="62" t="n">
        <f aca="false">IF(AND(K161&gt;0,OR(O161="Sí",O161="Si")),1,0)</f>
        <v>0</v>
      </c>
      <c r="S161" s="62" t="n">
        <f aca="false">IF(AND(K161&gt;0,R161=0),1,0)</f>
        <v>0</v>
      </c>
    </row>
    <row r="162" customFormat="false" ht="15" hidden="false" customHeight="false" outlineLevel="0" collapsed="false">
      <c r="B162" s="71" t="str">
        <f aca="false">IF($F$6="Sí",N($C$11)+135,"")</f>
        <v/>
      </c>
      <c r="C162" s="72" t="str">
        <f aca="false">IF(OR($F$6&lt;&gt;"Sí",D162&lt;=0.5),"",EDATE($C$10,135))</f>
        <v/>
      </c>
      <c r="D162" s="41" t="n">
        <f aca="false">MAX(0,M161)</f>
        <v>0</v>
      </c>
      <c r="E162" s="41" t="n">
        <f aca="false">D162*$F$7</f>
        <v>0</v>
      </c>
      <c r="F162" s="41" t="n">
        <f aca="false">IF(D162&gt;0.5,N($C$15),0)</f>
        <v>0</v>
      </c>
      <c r="G162" s="41" t="n">
        <f aca="false">IF(AND(D162&gt;0.5,N($C$19)&gt;0,N(B162)&lt;=N($C$20)),D162*$F$8,0)</f>
        <v>0</v>
      </c>
      <c r="H162" s="41" t="n">
        <f aca="false">IF(D162&lt;=0.5,0,MIN(IF(N(I162)&gt;0,I162,$F$9),D162+E162+F162))</f>
        <v>0</v>
      </c>
      <c r="I162" s="77"/>
      <c r="J162" s="77"/>
      <c r="K162" s="41" t="n">
        <f aca="false">IF(D162&lt;=0.5,0,MIN(H162+N(J162),D162+E162+F162))</f>
        <v>0</v>
      </c>
      <c r="L162" s="41" t="n">
        <f aca="false">K162-E162-F162</f>
        <v>0</v>
      </c>
      <c r="M162" s="41" t="n">
        <f aca="false">D162-L162</f>
        <v>0</v>
      </c>
      <c r="N162" s="42" t="n">
        <f aca="false">K162-G162</f>
        <v>0</v>
      </c>
      <c r="O162" s="78"/>
      <c r="P162" s="79"/>
      <c r="Q162" s="16" t="str">
        <f aca="false">IF(K162=0,"",IF(R162=1,"Pagada",IF(C162&lt;$F$12,"Vencida",IF(136=$F$13,"Próxima","Pendiente"))))</f>
        <v/>
      </c>
      <c r="R162" s="62" t="n">
        <f aca="false">IF(AND(K162&gt;0,OR(O162="Sí",O162="Si")),1,0)</f>
        <v>0</v>
      </c>
      <c r="S162" s="62" t="n">
        <f aca="false">IF(AND(K162&gt;0,R162=0),1,0)</f>
        <v>0</v>
      </c>
    </row>
    <row r="163" customFormat="false" ht="15" hidden="false" customHeight="false" outlineLevel="0" collapsed="false">
      <c r="B163" s="71" t="str">
        <f aca="false">IF($F$6="Sí",N($C$11)+136,"")</f>
        <v/>
      </c>
      <c r="C163" s="72" t="str">
        <f aca="false">IF(OR($F$6&lt;&gt;"Sí",D163&lt;=0.5),"",EDATE($C$10,136))</f>
        <v/>
      </c>
      <c r="D163" s="41" t="n">
        <f aca="false">MAX(0,M162)</f>
        <v>0</v>
      </c>
      <c r="E163" s="41" t="n">
        <f aca="false">D163*$F$7</f>
        <v>0</v>
      </c>
      <c r="F163" s="41" t="n">
        <f aca="false">IF(D163&gt;0.5,N($C$15),0)</f>
        <v>0</v>
      </c>
      <c r="G163" s="41" t="n">
        <f aca="false">IF(AND(D163&gt;0.5,N($C$19)&gt;0,N(B163)&lt;=N($C$20)),D163*$F$8,0)</f>
        <v>0</v>
      </c>
      <c r="H163" s="41" t="n">
        <f aca="false">IF(D163&lt;=0.5,0,MIN(IF(N(I163)&gt;0,I163,$F$9),D163+E163+F163))</f>
        <v>0</v>
      </c>
      <c r="I163" s="77"/>
      <c r="J163" s="77"/>
      <c r="K163" s="41" t="n">
        <f aca="false">IF(D163&lt;=0.5,0,MIN(H163+N(J163),D163+E163+F163))</f>
        <v>0</v>
      </c>
      <c r="L163" s="41" t="n">
        <f aca="false">K163-E163-F163</f>
        <v>0</v>
      </c>
      <c r="M163" s="41" t="n">
        <f aca="false">D163-L163</f>
        <v>0</v>
      </c>
      <c r="N163" s="42" t="n">
        <f aca="false">K163-G163</f>
        <v>0</v>
      </c>
      <c r="O163" s="78"/>
      <c r="P163" s="79"/>
      <c r="Q163" s="16" t="str">
        <f aca="false">IF(K163=0,"",IF(R163=1,"Pagada",IF(C163&lt;$F$12,"Vencida",IF(137=$F$13,"Próxima","Pendiente"))))</f>
        <v/>
      </c>
      <c r="R163" s="62" t="n">
        <f aca="false">IF(AND(K163&gt;0,OR(O163="Sí",O163="Si")),1,0)</f>
        <v>0</v>
      </c>
      <c r="S163" s="62" t="n">
        <f aca="false">IF(AND(K163&gt;0,R163=0),1,0)</f>
        <v>0</v>
      </c>
    </row>
    <row r="164" customFormat="false" ht="15" hidden="false" customHeight="false" outlineLevel="0" collapsed="false">
      <c r="B164" s="71" t="str">
        <f aca="false">IF($F$6="Sí",N($C$11)+137,"")</f>
        <v/>
      </c>
      <c r="C164" s="72" t="str">
        <f aca="false">IF(OR($F$6&lt;&gt;"Sí",D164&lt;=0.5),"",EDATE($C$10,137))</f>
        <v/>
      </c>
      <c r="D164" s="41" t="n">
        <f aca="false">MAX(0,M163)</f>
        <v>0</v>
      </c>
      <c r="E164" s="41" t="n">
        <f aca="false">D164*$F$7</f>
        <v>0</v>
      </c>
      <c r="F164" s="41" t="n">
        <f aca="false">IF(D164&gt;0.5,N($C$15),0)</f>
        <v>0</v>
      </c>
      <c r="G164" s="41" t="n">
        <f aca="false">IF(AND(D164&gt;0.5,N($C$19)&gt;0,N(B164)&lt;=N($C$20)),D164*$F$8,0)</f>
        <v>0</v>
      </c>
      <c r="H164" s="41" t="n">
        <f aca="false">IF(D164&lt;=0.5,0,MIN(IF(N(I164)&gt;0,I164,$F$9),D164+E164+F164))</f>
        <v>0</v>
      </c>
      <c r="I164" s="77"/>
      <c r="J164" s="77"/>
      <c r="K164" s="41" t="n">
        <f aca="false">IF(D164&lt;=0.5,0,MIN(H164+N(J164),D164+E164+F164))</f>
        <v>0</v>
      </c>
      <c r="L164" s="41" t="n">
        <f aca="false">K164-E164-F164</f>
        <v>0</v>
      </c>
      <c r="M164" s="41" t="n">
        <f aca="false">D164-L164</f>
        <v>0</v>
      </c>
      <c r="N164" s="42" t="n">
        <f aca="false">K164-G164</f>
        <v>0</v>
      </c>
      <c r="O164" s="78"/>
      <c r="P164" s="79"/>
      <c r="Q164" s="16" t="str">
        <f aca="false">IF(K164=0,"",IF(R164=1,"Pagada",IF(C164&lt;$F$12,"Vencida",IF(138=$F$13,"Próxima","Pendiente"))))</f>
        <v/>
      </c>
      <c r="R164" s="62" t="n">
        <f aca="false">IF(AND(K164&gt;0,OR(O164="Sí",O164="Si")),1,0)</f>
        <v>0</v>
      </c>
      <c r="S164" s="62" t="n">
        <f aca="false">IF(AND(K164&gt;0,R164=0),1,0)</f>
        <v>0</v>
      </c>
    </row>
    <row r="165" customFormat="false" ht="15" hidden="false" customHeight="false" outlineLevel="0" collapsed="false">
      <c r="B165" s="71" t="str">
        <f aca="false">IF($F$6="Sí",N($C$11)+138,"")</f>
        <v/>
      </c>
      <c r="C165" s="72" t="str">
        <f aca="false">IF(OR($F$6&lt;&gt;"Sí",D165&lt;=0.5),"",EDATE($C$10,138))</f>
        <v/>
      </c>
      <c r="D165" s="41" t="n">
        <f aca="false">MAX(0,M164)</f>
        <v>0</v>
      </c>
      <c r="E165" s="41" t="n">
        <f aca="false">D165*$F$7</f>
        <v>0</v>
      </c>
      <c r="F165" s="41" t="n">
        <f aca="false">IF(D165&gt;0.5,N($C$15),0)</f>
        <v>0</v>
      </c>
      <c r="G165" s="41" t="n">
        <f aca="false">IF(AND(D165&gt;0.5,N($C$19)&gt;0,N(B165)&lt;=N($C$20)),D165*$F$8,0)</f>
        <v>0</v>
      </c>
      <c r="H165" s="41" t="n">
        <f aca="false">IF(D165&lt;=0.5,0,MIN(IF(N(I165)&gt;0,I165,$F$9),D165+E165+F165))</f>
        <v>0</v>
      </c>
      <c r="I165" s="77"/>
      <c r="J165" s="77"/>
      <c r="K165" s="41" t="n">
        <f aca="false">IF(D165&lt;=0.5,0,MIN(H165+N(J165),D165+E165+F165))</f>
        <v>0</v>
      </c>
      <c r="L165" s="41" t="n">
        <f aca="false">K165-E165-F165</f>
        <v>0</v>
      </c>
      <c r="M165" s="41" t="n">
        <f aca="false">D165-L165</f>
        <v>0</v>
      </c>
      <c r="N165" s="42" t="n">
        <f aca="false">K165-G165</f>
        <v>0</v>
      </c>
      <c r="O165" s="78"/>
      <c r="P165" s="79"/>
      <c r="Q165" s="16" t="str">
        <f aca="false">IF(K165=0,"",IF(R165=1,"Pagada",IF(C165&lt;$F$12,"Vencida",IF(139=$F$13,"Próxima","Pendiente"))))</f>
        <v/>
      </c>
      <c r="R165" s="62" t="n">
        <f aca="false">IF(AND(K165&gt;0,OR(O165="Sí",O165="Si")),1,0)</f>
        <v>0</v>
      </c>
      <c r="S165" s="62" t="n">
        <f aca="false">IF(AND(K165&gt;0,R165=0),1,0)</f>
        <v>0</v>
      </c>
    </row>
    <row r="166" customFormat="false" ht="15" hidden="false" customHeight="false" outlineLevel="0" collapsed="false">
      <c r="B166" s="71" t="str">
        <f aca="false">IF($F$6="Sí",N($C$11)+139,"")</f>
        <v/>
      </c>
      <c r="C166" s="72" t="str">
        <f aca="false">IF(OR($F$6&lt;&gt;"Sí",D166&lt;=0.5),"",EDATE($C$10,139))</f>
        <v/>
      </c>
      <c r="D166" s="41" t="n">
        <f aca="false">MAX(0,M165)</f>
        <v>0</v>
      </c>
      <c r="E166" s="41" t="n">
        <f aca="false">D166*$F$7</f>
        <v>0</v>
      </c>
      <c r="F166" s="41" t="n">
        <f aca="false">IF(D166&gt;0.5,N($C$15),0)</f>
        <v>0</v>
      </c>
      <c r="G166" s="41" t="n">
        <f aca="false">IF(AND(D166&gt;0.5,N($C$19)&gt;0,N(B166)&lt;=N($C$20)),D166*$F$8,0)</f>
        <v>0</v>
      </c>
      <c r="H166" s="41" t="n">
        <f aca="false">IF(D166&lt;=0.5,0,MIN(IF(N(I166)&gt;0,I166,$F$9),D166+E166+F166))</f>
        <v>0</v>
      </c>
      <c r="I166" s="77"/>
      <c r="J166" s="77"/>
      <c r="K166" s="41" t="n">
        <f aca="false">IF(D166&lt;=0.5,0,MIN(H166+N(J166),D166+E166+F166))</f>
        <v>0</v>
      </c>
      <c r="L166" s="41" t="n">
        <f aca="false">K166-E166-F166</f>
        <v>0</v>
      </c>
      <c r="M166" s="41" t="n">
        <f aca="false">D166-L166</f>
        <v>0</v>
      </c>
      <c r="N166" s="42" t="n">
        <f aca="false">K166-G166</f>
        <v>0</v>
      </c>
      <c r="O166" s="78"/>
      <c r="P166" s="79"/>
      <c r="Q166" s="16" t="str">
        <f aca="false">IF(K166=0,"",IF(R166=1,"Pagada",IF(C166&lt;$F$12,"Vencida",IF(140=$F$13,"Próxima","Pendiente"))))</f>
        <v/>
      </c>
      <c r="R166" s="62" t="n">
        <f aca="false">IF(AND(K166&gt;0,OR(O166="Sí",O166="Si")),1,0)</f>
        <v>0</v>
      </c>
      <c r="S166" s="62" t="n">
        <f aca="false">IF(AND(K166&gt;0,R166=0),1,0)</f>
        <v>0</v>
      </c>
    </row>
    <row r="167" customFormat="false" ht="15" hidden="false" customHeight="false" outlineLevel="0" collapsed="false">
      <c r="B167" s="71" t="str">
        <f aca="false">IF($F$6="Sí",N($C$11)+140,"")</f>
        <v/>
      </c>
      <c r="C167" s="72" t="str">
        <f aca="false">IF(OR($F$6&lt;&gt;"Sí",D167&lt;=0.5),"",EDATE($C$10,140))</f>
        <v/>
      </c>
      <c r="D167" s="41" t="n">
        <f aca="false">MAX(0,M166)</f>
        <v>0</v>
      </c>
      <c r="E167" s="41" t="n">
        <f aca="false">D167*$F$7</f>
        <v>0</v>
      </c>
      <c r="F167" s="41" t="n">
        <f aca="false">IF(D167&gt;0.5,N($C$15),0)</f>
        <v>0</v>
      </c>
      <c r="G167" s="41" t="n">
        <f aca="false">IF(AND(D167&gt;0.5,N($C$19)&gt;0,N(B167)&lt;=N($C$20)),D167*$F$8,0)</f>
        <v>0</v>
      </c>
      <c r="H167" s="41" t="n">
        <f aca="false">IF(D167&lt;=0.5,0,MIN(IF(N(I167)&gt;0,I167,$F$9),D167+E167+F167))</f>
        <v>0</v>
      </c>
      <c r="I167" s="77"/>
      <c r="J167" s="77"/>
      <c r="K167" s="41" t="n">
        <f aca="false">IF(D167&lt;=0.5,0,MIN(H167+N(J167),D167+E167+F167))</f>
        <v>0</v>
      </c>
      <c r="L167" s="41" t="n">
        <f aca="false">K167-E167-F167</f>
        <v>0</v>
      </c>
      <c r="M167" s="41" t="n">
        <f aca="false">D167-L167</f>
        <v>0</v>
      </c>
      <c r="N167" s="42" t="n">
        <f aca="false">K167-G167</f>
        <v>0</v>
      </c>
      <c r="O167" s="78"/>
      <c r="P167" s="79"/>
      <c r="Q167" s="16" t="str">
        <f aca="false">IF(K167=0,"",IF(R167=1,"Pagada",IF(C167&lt;$F$12,"Vencida",IF(141=$F$13,"Próxima","Pendiente"))))</f>
        <v/>
      </c>
      <c r="R167" s="62" t="n">
        <f aca="false">IF(AND(K167&gt;0,OR(O167="Sí",O167="Si")),1,0)</f>
        <v>0</v>
      </c>
      <c r="S167" s="62" t="n">
        <f aca="false">IF(AND(K167&gt;0,R167=0),1,0)</f>
        <v>0</v>
      </c>
    </row>
    <row r="168" customFormat="false" ht="15" hidden="false" customHeight="false" outlineLevel="0" collapsed="false">
      <c r="B168" s="71" t="str">
        <f aca="false">IF($F$6="Sí",N($C$11)+141,"")</f>
        <v/>
      </c>
      <c r="C168" s="72" t="str">
        <f aca="false">IF(OR($F$6&lt;&gt;"Sí",D168&lt;=0.5),"",EDATE($C$10,141))</f>
        <v/>
      </c>
      <c r="D168" s="41" t="n">
        <f aca="false">MAX(0,M167)</f>
        <v>0</v>
      </c>
      <c r="E168" s="41" t="n">
        <f aca="false">D168*$F$7</f>
        <v>0</v>
      </c>
      <c r="F168" s="41" t="n">
        <f aca="false">IF(D168&gt;0.5,N($C$15),0)</f>
        <v>0</v>
      </c>
      <c r="G168" s="41" t="n">
        <f aca="false">IF(AND(D168&gt;0.5,N($C$19)&gt;0,N(B168)&lt;=N($C$20)),D168*$F$8,0)</f>
        <v>0</v>
      </c>
      <c r="H168" s="41" t="n">
        <f aca="false">IF(D168&lt;=0.5,0,MIN(IF(N(I168)&gt;0,I168,$F$9),D168+E168+F168))</f>
        <v>0</v>
      </c>
      <c r="I168" s="77"/>
      <c r="J168" s="77"/>
      <c r="K168" s="41" t="n">
        <f aca="false">IF(D168&lt;=0.5,0,MIN(H168+N(J168),D168+E168+F168))</f>
        <v>0</v>
      </c>
      <c r="L168" s="41" t="n">
        <f aca="false">K168-E168-F168</f>
        <v>0</v>
      </c>
      <c r="M168" s="41" t="n">
        <f aca="false">D168-L168</f>
        <v>0</v>
      </c>
      <c r="N168" s="42" t="n">
        <f aca="false">K168-G168</f>
        <v>0</v>
      </c>
      <c r="O168" s="78"/>
      <c r="P168" s="79"/>
      <c r="Q168" s="16" t="str">
        <f aca="false">IF(K168=0,"",IF(R168=1,"Pagada",IF(C168&lt;$F$12,"Vencida",IF(142=$F$13,"Próxima","Pendiente"))))</f>
        <v/>
      </c>
      <c r="R168" s="62" t="n">
        <f aca="false">IF(AND(K168&gt;0,OR(O168="Sí",O168="Si")),1,0)</f>
        <v>0</v>
      </c>
      <c r="S168" s="62" t="n">
        <f aca="false">IF(AND(K168&gt;0,R168=0),1,0)</f>
        <v>0</v>
      </c>
    </row>
    <row r="169" customFormat="false" ht="15" hidden="false" customHeight="false" outlineLevel="0" collapsed="false">
      <c r="B169" s="71" t="str">
        <f aca="false">IF($F$6="Sí",N($C$11)+142,"")</f>
        <v/>
      </c>
      <c r="C169" s="72" t="str">
        <f aca="false">IF(OR($F$6&lt;&gt;"Sí",D169&lt;=0.5),"",EDATE($C$10,142))</f>
        <v/>
      </c>
      <c r="D169" s="41" t="n">
        <f aca="false">MAX(0,M168)</f>
        <v>0</v>
      </c>
      <c r="E169" s="41" t="n">
        <f aca="false">D169*$F$7</f>
        <v>0</v>
      </c>
      <c r="F169" s="41" t="n">
        <f aca="false">IF(D169&gt;0.5,N($C$15),0)</f>
        <v>0</v>
      </c>
      <c r="G169" s="41" t="n">
        <f aca="false">IF(AND(D169&gt;0.5,N($C$19)&gt;0,N(B169)&lt;=N($C$20)),D169*$F$8,0)</f>
        <v>0</v>
      </c>
      <c r="H169" s="41" t="n">
        <f aca="false">IF(D169&lt;=0.5,0,MIN(IF(N(I169)&gt;0,I169,$F$9),D169+E169+F169))</f>
        <v>0</v>
      </c>
      <c r="I169" s="77"/>
      <c r="J169" s="77"/>
      <c r="K169" s="41" t="n">
        <f aca="false">IF(D169&lt;=0.5,0,MIN(H169+N(J169),D169+E169+F169))</f>
        <v>0</v>
      </c>
      <c r="L169" s="41" t="n">
        <f aca="false">K169-E169-F169</f>
        <v>0</v>
      </c>
      <c r="M169" s="41" t="n">
        <f aca="false">D169-L169</f>
        <v>0</v>
      </c>
      <c r="N169" s="42" t="n">
        <f aca="false">K169-G169</f>
        <v>0</v>
      </c>
      <c r="O169" s="78"/>
      <c r="P169" s="79"/>
      <c r="Q169" s="16" t="str">
        <f aca="false">IF(K169=0,"",IF(R169=1,"Pagada",IF(C169&lt;$F$12,"Vencida",IF(143=$F$13,"Próxima","Pendiente"))))</f>
        <v/>
      </c>
      <c r="R169" s="62" t="n">
        <f aca="false">IF(AND(K169&gt;0,OR(O169="Sí",O169="Si")),1,0)</f>
        <v>0</v>
      </c>
      <c r="S169" s="62" t="n">
        <f aca="false">IF(AND(K169&gt;0,R169=0),1,0)</f>
        <v>0</v>
      </c>
    </row>
    <row r="170" customFormat="false" ht="15" hidden="false" customHeight="false" outlineLevel="0" collapsed="false">
      <c r="B170" s="71" t="str">
        <f aca="false">IF($F$6="Sí",N($C$11)+143,"")</f>
        <v/>
      </c>
      <c r="C170" s="72" t="str">
        <f aca="false">IF(OR($F$6&lt;&gt;"Sí",D170&lt;=0.5),"",EDATE($C$10,143))</f>
        <v/>
      </c>
      <c r="D170" s="41" t="n">
        <f aca="false">MAX(0,M169)</f>
        <v>0</v>
      </c>
      <c r="E170" s="41" t="n">
        <f aca="false">D170*$F$7</f>
        <v>0</v>
      </c>
      <c r="F170" s="41" t="n">
        <f aca="false">IF(D170&gt;0.5,N($C$15),0)</f>
        <v>0</v>
      </c>
      <c r="G170" s="41" t="n">
        <f aca="false">IF(AND(D170&gt;0.5,N($C$19)&gt;0,N(B170)&lt;=N($C$20)),D170*$F$8,0)</f>
        <v>0</v>
      </c>
      <c r="H170" s="41" t="n">
        <f aca="false">IF(D170&lt;=0.5,0,MIN(IF(N(I170)&gt;0,I170,$F$9),D170+E170+F170))</f>
        <v>0</v>
      </c>
      <c r="I170" s="77"/>
      <c r="J170" s="77"/>
      <c r="K170" s="41" t="n">
        <f aca="false">IF(D170&lt;=0.5,0,MIN(H170+N(J170),D170+E170+F170))</f>
        <v>0</v>
      </c>
      <c r="L170" s="41" t="n">
        <f aca="false">K170-E170-F170</f>
        <v>0</v>
      </c>
      <c r="M170" s="41" t="n">
        <f aca="false">D170-L170</f>
        <v>0</v>
      </c>
      <c r="N170" s="42" t="n">
        <f aca="false">K170-G170</f>
        <v>0</v>
      </c>
      <c r="O170" s="78"/>
      <c r="P170" s="79"/>
      <c r="Q170" s="16" t="str">
        <f aca="false">IF(K170=0,"",IF(R170=1,"Pagada",IF(C170&lt;$F$12,"Vencida",IF(144=$F$13,"Próxima","Pendiente"))))</f>
        <v/>
      </c>
      <c r="R170" s="62" t="n">
        <f aca="false">IF(AND(K170&gt;0,OR(O170="Sí",O170="Si")),1,0)</f>
        <v>0</v>
      </c>
      <c r="S170" s="62" t="n">
        <f aca="false">IF(AND(K170&gt;0,R170=0),1,0)</f>
        <v>0</v>
      </c>
    </row>
    <row r="171" customFormat="false" ht="15" hidden="false" customHeight="false" outlineLevel="0" collapsed="false">
      <c r="B171" s="71" t="str">
        <f aca="false">IF($F$6="Sí",N($C$11)+144,"")</f>
        <v/>
      </c>
      <c r="C171" s="72" t="str">
        <f aca="false">IF(OR($F$6&lt;&gt;"Sí",D171&lt;=0.5),"",EDATE($C$10,144))</f>
        <v/>
      </c>
      <c r="D171" s="41" t="n">
        <f aca="false">MAX(0,M170)</f>
        <v>0</v>
      </c>
      <c r="E171" s="41" t="n">
        <f aca="false">D171*$F$7</f>
        <v>0</v>
      </c>
      <c r="F171" s="41" t="n">
        <f aca="false">IF(D171&gt;0.5,N($C$15),0)</f>
        <v>0</v>
      </c>
      <c r="G171" s="41" t="n">
        <f aca="false">IF(AND(D171&gt;0.5,N($C$19)&gt;0,N(B171)&lt;=N($C$20)),D171*$F$8,0)</f>
        <v>0</v>
      </c>
      <c r="H171" s="41" t="n">
        <f aca="false">IF(D171&lt;=0.5,0,MIN(IF(N(I171)&gt;0,I171,$F$9),D171+E171+F171))</f>
        <v>0</v>
      </c>
      <c r="I171" s="77"/>
      <c r="J171" s="77"/>
      <c r="K171" s="41" t="n">
        <f aca="false">IF(D171&lt;=0.5,0,MIN(H171+N(J171),D171+E171+F171))</f>
        <v>0</v>
      </c>
      <c r="L171" s="41" t="n">
        <f aca="false">K171-E171-F171</f>
        <v>0</v>
      </c>
      <c r="M171" s="41" t="n">
        <f aca="false">D171-L171</f>
        <v>0</v>
      </c>
      <c r="N171" s="42" t="n">
        <f aca="false">K171-G171</f>
        <v>0</v>
      </c>
      <c r="O171" s="78"/>
      <c r="P171" s="79"/>
      <c r="Q171" s="16" t="str">
        <f aca="false">IF(K171=0,"",IF(R171=1,"Pagada",IF(C171&lt;$F$12,"Vencida",IF(145=$F$13,"Próxima","Pendiente"))))</f>
        <v/>
      </c>
      <c r="R171" s="62" t="n">
        <f aca="false">IF(AND(K171&gt;0,OR(O171="Sí",O171="Si")),1,0)</f>
        <v>0</v>
      </c>
      <c r="S171" s="62" t="n">
        <f aca="false">IF(AND(K171&gt;0,R171=0),1,0)</f>
        <v>0</v>
      </c>
    </row>
    <row r="172" customFormat="false" ht="15" hidden="false" customHeight="false" outlineLevel="0" collapsed="false">
      <c r="B172" s="71" t="str">
        <f aca="false">IF($F$6="Sí",N($C$11)+145,"")</f>
        <v/>
      </c>
      <c r="C172" s="72" t="str">
        <f aca="false">IF(OR($F$6&lt;&gt;"Sí",D172&lt;=0.5),"",EDATE($C$10,145))</f>
        <v/>
      </c>
      <c r="D172" s="41" t="n">
        <f aca="false">MAX(0,M171)</f>
        <v>0</v>
      </c>
      <c r="E172" s="41" t="n">
        <f aca="false">D172*$F$7</f>
        <v>0</v>
      </c>
      <c r="F172" s="41" t="n">
        <f aca="false">IF(D172&gt;0.5,N($C$15),0)</f>
        <v>0</v>
      </c>
      <c r="G172" s="41" t="n">
        <f aca="false">IF(AND(D172&gt;0.5,N($C$19)&gt;0,N(B172)&lt;=N($C$20)),D172*$F$8,0)</f>
        <v>0</v>
      </c>
      <c r="H172" s="41" t="n">
        <f aca="false">IF(D172&lt;=0.5,0,MIN(IF(N(I172)&gt;0,I172,$F$9),D172+E172+F172))</f>
        <v>0</v>
      </c>
      <c r="I172" s="77"/>
      <c r="J172" s="77"/>
      <c r="K172" s="41" t="n">
        <f aca="false">IF(D172&lt;=0.5,0,MIN(H172+N(J172),D172+E172+F172))</f>
        <v>0</v>
      </c>
      <c r="L172" s="41" t="n">
        <f aca="false">K172-E172-F172</f>
        <v>0</v>
      </c>
      <c r="M172" s="41" t="n">
        <f aca="false">D172-L172</f>
        <v>0</v>
      </c>
      <c r="N172" s="42" t="n">
        <f aca="false">K172-G172</f>
        <v>0</v>
      </c>
      <c r="O172" s="78"/>
      <c r="P172" s="79"/>
      <c r="Q172" s="16" t="str">
        <f aca="false">IF(K172=0,"",IF(R172=1,"Pagada",IF(C172&lt;$F$12,"Vencida",IF(146=$F$13,"Próxima","Pendiente"))))</f>
        <v/>
      </c>
      <c r="R172" s="62" t="n">
        <f aca="false">IF(AND(K172&gt;0,OR(O172="Sí",O172="Si")),1,0)</f>
        <v>0</v>
      </c>
      <c r="S172" s="62" t="n">
        <f aca="false">IF(AND(K172&gt;0,R172=0),1,0)</f>
        <v>0</v>
      </c>
    </row>
    <row r="173" customFormat="false" ht="15" hidden="false" customHeight="false" outlineLevel="0" collapsed="false">
      <c r="B173" s="71" t="str">
        <f aca="false">IF($F$6="Sí",N($C$11)+146,"")</f>
        <v/>
      </c>
      <c r="C173" s="72" t="str">
        <f aca="false">IF(OR($F$6&lt;&gt;"Sí",D173&lt;=0.5),"",EDATE($C$10,146))</f>
        <v/>
      </c>
      <c r="D173" s="41" t="n">
        <f aca="false">MAX(0,M172)</f>
        <v>0</v>
      </c>
      <c r="E173" s="41" t="n">
        <f aca="false">D173*$F$7</f>
        <v>0</v>
      </c>
      <c r="F173" s="41" t="n">
        <f aca="false">IF(D173&gt;0.5,N($C$15),0)</f>
        <v>0</v>
      </c>
      <c r="G173" s="41" t="n">
        <f aca="false">IF(AND(D173&gt;0.5,N($C$19)&gt;0,N(B173)&lt;=N($C$20)),D173*$F$8,0)</f>
        <v>0</v>
      </c>
      <c r="H173" s="41" t="n">
        <f aca="false">IF(D173&lt;=0.5,0,MIN(IF(N(I173)&gt;0,I173,$F$9),D173+E173+F173))</f>
        <v>0</v>
      </c>
      <c r="I173" s="77"/>
      <c r="J173" s="77"/>
      <c r="K173" s="41" t="n">
        <f aca="false">IF(D173&lt;=0.5,0,MIN(H173+N(J173),D173+E173+F173))</f>
        <v>0</v>
      </c>
      <c r="L173" s="41" t="n">
        <f aca="false">K173-E173-F173</f>
        <v>0</v>
      </c>
      <c r="M173" s="41" t="n">
        <f aca="false">D173-L173</f>
        <v>0</v>
      </c>
      <c r="N173" s="42" t="n">
        <f aca="false">K173-G173</f>
        <v>0</v>
      </c>
      <c r="O173" s="78"/>
      <c r="P173" s="79"/>
      <c r="Q173" s="16" t="str">
        <f aca="false">IF(K173=0,"",IF(R173=1,"Pagada",IF(C173&lt;$F$12,"Vencida",IF(147=$F$13,"Próxima","Pendiente"))))</f>
        <v/>
      </c>
      <c r="R173" s="62" t="n">
        <f aca="false">IF(AND(K173&gt;0,OR(O173="Sí",O173="Si")),1,0)</f>
        <v>0</v>
      </c>
      <c r="S173" s="62" t="n">
        <f aca="false">IF(AND(K173&gt;0,R173=0),1,0)</f>
        <v>0</v>
      </c>
    </row>
    <row r="174" customFormat="false" ht="15" hidden="false" customHeight="false" outlineLevel="0" collapsed="false">
      <c r="B174" s="71" t="str">
        <f aca="false">IF($F$6="Sí",N($C$11)+147,"")</f>
        <v/>
      </c>
      <c r="C174" s="72" t="str">
        <f aca="false">IF(OR($F$6&lt;&gt;"Sí",D174&lt;=0.5),"",EDATE($C$10,147))</f>
        <v/>
      </c>
      <c r="D174" s="41" t="n">
        <f aca="false">MAX(0,M173)</f>
        <v>0</v>
      </c>
      <c r="E174" s="41" t="n">
        <f aca="false">D174*$F$7</f>
        <v>0</v>
      </c>
      <c r="F174" s="41" t="n">
        <f aca="false">IF(D174&gt;0.5,N($C$15),0)</f>
        <v>0</v>
      </c>
      <c r="G174" s="41" t="n">
        <f aca="false">IF(AND(D174&gt;0.5,N($C$19)&gt;0,N(B174)&lt;=N($C$20)),D174*$F$8,0)</f>
        <v>0</v>
      </c>
      <c r="H174" s="41" t="n">
        <f aca="false">IF(D174&lt;=0.5,0,MIN(IF(N(I174)&gt;0,I174,$F$9),D174+E174+F174))</f>
        <v>0</v>
      </c>
      <c r="I174" s="77"/>
      <c r="J174" s="77"/>
      <c r="K174" s="41" t="n">
        <f aca="false">IF(D174&lt;=0.5,0,MIN(H174+N(J174),D174+E174+F174))</f>
        <v>0</v>
      </c>
      <c r="L174" s="41" t="n">
        <f aca="false">K174-E174-F174</f>
        <v>0</v>
      </c>
      <c r="M174" s="41" t="n">
        <f aca="false">D174-L174</f>
        <v>0</v>
      </c>
      <c r="N174" s="42" t="n">
        <f aca="false">K174-G174</f>
        <v>0</v>
      </c>
      <c r="O174" s="78"/>
      <c r="P174" s="79"/>
      <c r="Q174" s="16" t="str">
        <f aca="false">IF(K174=0,"",IF(R174=1,"Pagada",IF(C174&lt;$F$12,"Vencida",IF(148=$F$13,"Próxima","Pendiente"))))</f>
        <v/>
      </c>
      <c r="R174" s="62" t="n">
        <f aca="false">IF(AND(K174&gt;0,OR(O174="Sí",O174="Si")),1,0)</f>
        <v>0</v>
      </c>
      <c r="S174" s="62" t="n">
        <f aca="false">IF(AND(K174&gt;0,R174=0),1,0)</f>
        <v>0</v>
      </c>
    </row>
    <row r="175" customFormat="false" ht="15" hidden="false" customHeight="false" outlineLevel="0" collapsed="false">
      <c r="B175" s="71" t="str">
        <f aca="false">IF($F$6="Sí",N($C$11)+148,"")</f>
        <v/>
      </c>
      <c r="C175" s="72" t="str">
        <f aca="false">IF(OR($F$6&lt;&gt;"Sí",D175&lt;=0.5),"",EDATE($C$10,148))</f>
        <v/>
      </c>
      <c r="D175" s="41" t="n">
        <f aca="false">MAX(0,M174)</f>
        <v>0</v>
      </c>
      <c r="E175" s="41" t="n">
        <f aca="false">D175*$F$7</f>
        <v>0</v>
      </c>
      <c r="F175" s="41" t="n">
        <f aca="false">IF(D175&gt;0.5,N($C$15),0)</f>
        <v>0</v>
      </c>
      <c r="G175" s="41" t="n">
        <f aca="false">IF(AND(D175&gt;0.5,N($C$19)&gt;0,N(B175)&lt;=N($C$20)),D175*$F$8,0)</f>
        <v>0</v>
      </c>
      <c r="H175" s="41" t="n">
        <f aca="false">IF(D175&lt;=0.5,0,MIN(IF(N(I175)&gt;0,I175,$F$9),D175+E175+F175))</f>
        <v>0</v>
      </c>
      <c r="I175" s="77"/>
      <c r="J175" s="77"/>
      <c r="K175" s="41" t="n">
        <f aca="false">IF(D175&lt;=0.5,0,MIN(H175+N(J175),D175+E175+F175))</f>
        <v>0</v>
      </c>
      <c r="L175" s="41" t="n">
        <f aca="false">K175-E175-F175</f>
        <v>0</v>
      </c>
      <c r="M175" s="41" t="n">
        <f aca="false">D175-L175</f>
        <v>0</v>
      </c>
      <c r="N175" s="42" t="n">
        <f aca="false">K175-G175</f>
        <v>0</v>
      </c>
      <c r="O175" s="78"/>
      <c r="P175" s="79"/>
      <c r="Q175" s="16" t="str">
        <f aca="false">IF(K175=0,"",IF(R175=1,"Pagada",IF(C175&lt;$F$12,"Vencida",IF(149=$F$13,"Próxima","Pendiente"))))</f>
        <v/>
      </c>
      <c r="R175" s="62" t="n">
        <f aca="false">IF(AND(K175&gt;0,OR(O175="Sí",O175="Si")),1,0)</f>
        <v>0</v>
      </c>
      <c r="S175" s="62" t="n">
        <f aca="false">IF(AND(K175&gt;0,R175=0),1,0)</f>
        <v>0</v>
      </c>
    </row>
    <row r="176" customFormat="false" ht="15" hidden="false" customHeight="false" outlineLevel="0" collapsed="false">
      <c r="B176" s="71" t="str">
        <f aca="false">IF($F$6="Sí",N($C$11)+149,"")</f>
        <v/>
      </c>
      <c r="C176" s="72" t="str">
        <f aca="false">IF(OR($F$6&lt;&gt;"Sí",D176&lt;=0.5),"",EDATE($C$10,149))</f>
        <v/>
      </c>
      <c r="D176" s="41" t="n">
        <f aca="false">MAX(0,M175)</f>
        <v>0</v>
      </c>
      <c r="E176" s="41" t="n">
        <f aca="false">D176*$F$7</f>
        <v>0</v>
      </c>
      <c r="F176" s="41" t="n">
        <f aca="false">IF(D176&gt;0.5,N($C$15),0)</f>
        <v>0</v>
      </c>
      <c r="G176" s="41" t="n">
        <f aca="false">IF(AND(D176&gt;0.5,N($C$19)&gt;0,N(B176)&lt;=N($C$20)),D176*$F$8,0)</f>
        <v>0</v>
      </c>
      <c r="H176" s="41" t="n">
        <f aca="false">IF(D176&lt;=0.5,0,MIN(IF(N(I176)&gt;0,I176,$F$9),D176+E176+F176))</f>
        <v>0</v>
      </c>
      <c r="I176" s="77"/>
      <c r="J176" s="77"/>
      <c r="K176" s="41" t="n">
        <f aca="false">IF(D176&lt;=0.5,0,MIN(H176+N(J176),D176+E176+F176))</f>
        <v>0</v>
      </c>
      <c r="L176" s="41" t="n">
        <f aca="false">K176-E176-F176</f>
        <v>0</v>
      </c>
      <c r="M176" s="41" t="n">
        <f aca="false">D176-L176</f>
        <v>0</v>
      </c>
      <c r="N176" s="42" t="n">
        <f aca="false">K176-G176</f>
        <v>0</v>
      </c>
      <c r="O176" s="78"/>
      <c r="P176" s="79"/>
      <c r="Q176" s="16" t="str">
        <f aca="false">IF(K176=0,"",IF(R176=1,"Pagada",IF(C176&lt;$F$12,"Vencida",IF(150=$F$13,"Próxima","Pendiente"))))</f>
        <v/>
      </c>
      <c r="R176" s="62" t="n">
        <f aca="false">IF(AND(K176&gt;0,OR(O176="Sí",O176="Si")),1,0)</f>
        <v>0</v>
      </c>
      <c r="S176" s="62" t="n">
        <f aca="false">IF(AND(K176&gt;0,R176=0),1,0)</f>
        <v>0</v>
      </c>
    </row>
    <row r="177" customFormat="false" ht="15" hidden="false" customHeight="false" outlineLevel="0" collapsed="false">
      <c r="B177" s="71" t="str">
        <f aca="false">IF($F$6="Sí",N($C$11)+150,"")</f>
        <v/>
      </c>
      <c r="C177" s="72" t="str">
        <f aca="false">IF(OR($F$6&lt;&gt;"Sí",D177&lt;=0.5),"",EDATE($C$10,150))</f>
        <v/>
      </c>
      <c r="D177" s="41" t="n">
        <f aca="false">MAX(0,M176)</f>
        <v>0</v>
      </c>
      <c r="E177" s="41" t="n">
        <f aca="false">D177*$F$7</f>
        <v>0</v>
      </c>
      <c r="F177" s="41" t="n">
        <f aca="false">IF(D177&gt;0.5,N($C$15),0)</f>
        <v>0</v>
      </c>
      <c r="G177" s="41" t="n">
        <f aca="false">IF(AND(D177&gt;0.5,N($C$19)&gt;0,N(B177)&lt;=N($C$20)),D177*$F$8,0)</f>
        <v>0</v>
      </c>
      <c r="H177" s="41" t="n">
        <f aca="false">IF(D177&lt;=0.5,0,MIN(IF(N(I177)&gt;0,I177,$F$9),D177+E177+F177))</f>
        <v>0</v>
      </c>
      <c r="I177" s="77"/>
      <c r="J177" s="77"/>
      <c r="K177" s="41" t="n">
        <f aca="false">IF(D177&lt;=0.5,0,MIN(H177+N(J177),D177+E177+F177))</f>
        <v>0</v>
      </c>
      <c r="L177" s="41" t="n">
        <f aca="false">K177-E177-F177</f>
        <v>0</v>
      </c>
      <c r="M177" s="41" t="n">
        <f aca="false">D177-L177</f>
        <v>0</v>
      </c>
      <c r="N177" s="42" t="n">
        <f aca="false">K177-G177</f>
        <v>0</v>
      </c>
      <c r="O177" s="78"/>
      <c r="P177" s="79"/>
      <c r="Q177" s="16" t="str">
        <f aca="false">IF(K177=0,"",IF(R177=1,"Pagada",IF(C177&lt;$F$12,"Vencida",IF(151=$F$13,"Próxima","Pendiente"))))</f>
        <v/>
      </c>
      <c r="R177" s="62" t="n">
        <f aca="false">IF(AND(K177&gt;0,OR(O177="Sí",O177="Si")),1,0)</f>
        <v>0</v>
      </c>
      <c r="S177" s="62" t="n">
        <f aca="false">IF(AND(K177&gt;0,R177=0),1,0)</f>
        <v>0</v>
      </c>
    </row>
    <row r="178" customFormat="false" ht="15" hidden="false" customHeight="false" outlineLevel="0" collapsed="false">
      <c r="B178" s="71" t="str">
        <f aca="false">IF($F$6="Sí",N($C$11)+151,"")</f>
        <v/>
      </c>
      <c r="C178" s="72" t="str">
        <f aca="false">IF(OR($F$6&lt;&gt;"Sí",D178&lt;=0.5),"",EDATE($C$10,151))</f>
        <v/>
      </c>
      <c r="D178" s="41" t="n">
        <f aca="false">MAX(0,M177)</f>
        <v>0</v>
      </c>
      <c r="E178" s="41" t="n">
        <f aca="false">D178*$F$7</f>
        <v>0</v>
      </c>
      <c r="F178" s="41" t="n">
        <f aca="false">IF(D178&gt;0.5,N($C$15),0)</f>
        <v>0</v>
      </c>
      <c r="G178" s="41" t="n">
        <f aca="false">IF(AND(D178&gt;0.5,N($C$19)&gt;0,N(B178)&lt;=N($C$20)),D178*$F$8,0)</f>
        <v>0</v>
      </c>
      <c r="H178" s="41" t="n">
        <f aca="false">IF(D178&lt;=0.5,0,MIN(IF(N(I178)&gt;0,I178,$F$9),D178+E178+F178))</f>
        <v>0</v>
      </c>
      <c r="I178" s="77"/>
      <c r="J178" s="77"/>
      <c r="K178" s="41" t="n">
        <f aca="false">IF(D178&lt;=0.5,0,MIN(H178+N(J178),D178+E178+F178))</f>
        <v>0</v>
      </c>
      <c r="L178" s="41" t="n">
        <f aca="false">K178-E178-F178</f>
        <v>0</v>
      </c>
      <c r="M178" s="41" t="n">
        <f aca="false">D178-L178</f>
        <v>0</v>
      </c>
      <c r="N178" s="42" t="n">
        <f aca="false">K178-G178</f>
        <v>0</v>
      </c>
      <c r="O178" s="78"/>
      <c r="P178" s="79"/>
      <c r="Q178" s="16" t="str">
        <f aca="false">IF(K178=0,"",IF(R178=1,"Pagada",IF(C178&lt;$F$12,"Vencida",IF(152=$F$13,"Próxima","Pendiente"))))</f>
        <v/>
      </c>
      <c r="R178" s="62" t="n">
        <f aca="false">IF(AND(K178&gt;0,OR(O178="Sí",O178="Si")),1,0)</f>
        <v>0</v>
      </c>
      <c r="S178" s="62" t="n">
        <f aca="false">IF(AND(K178&gt;0,R178=0),1,0)</f>
        <v>0</v>
      </c>
    </row>
    <row r="179" customFormat="false" ht="15" hidden="false" customHeight="false" outlineLevel="0" collapsed="false">
      <c r="B179" s="71" t="str">
        <f aca="false">IF($F$6="Sí",N($C$11)+152,"")</f>
        <v/>
      </c>
      <c r="C179" s="72" t="str">
        <f aca="false">IF(OR($F$6&lt;&gt;"Sí",D179&lt;=0.5),"",EDATE($C$10,152))</f>
        <v/>
      </c>
      <c r="D179" s="41" t="n">
        <f aca="false">MAX(0,M178)</f>
        <v>0</v>
      </c>
      <c r="E179" s="41" t="n">
        <f aca="false">D179*$F$7</f>
        <v>0</v>
      </c>
      <c r="F179" s="41" t="n">
        <f aca="false">IF(D179&gt;0.5,N($C$15),0)</f>
        <v>0</v>
      </c>
      <c r="G179" s="41" t="n">
        <f aca="false">IF(AND(D179&gt;0.5,N($C$19)&gt;0,N(B179)&lt;=N($C$20)),D179*$F$8,0)</f>
        <v>0</v>
      </c>
      <c r="H179" s="41" t="n">
        <f aca="false">IF(D179&lt;=0.5,0,MIN(IF(N(I179)&gt;0,I179,$F$9),D179+E179+F179))</f>
        <v>0</v>
      </c>
      <c r="I179" s="77"/>
      <c r="J179" s="77"/>
      <c r="K179" s="41" t="n">
        <f aca="false">IF(D179&lt;=0.5,0,MIN(H179+N(J179),D179+E179+F179))</f>
        <v>0</v>
      </c>
      <c r="L179" s="41" t="n">
        <f aca="false">K179-E179-F179</f>
        <v>0</v>
      </c>
      <c r="M179" s="41" t="n">
        <f aca="false">D179-L179</f>
        <v>0</v>
      </c>
      <c r="N179" s="42" t="n">
        <f aca="false">K179-G179</f>
        <v>0</v>
      </c>
      <c r="O179" s="78"/>
      <c r="P179" s="79"/>
      <c r="Q179" s="16" t="str">
        <f aca="false">IF(K179=0,"",IF(R179=1,"Pagada",IF(C179&lt;$F$12,"Vencida",IF(153=$F$13,"Próxima","Pendiente"))))</f>
        <v/>
      </c>
      <c r="R179" s="62" t="n">
        <f aca="false">IF(AND(K179&gt;0,OR(O179="Sí",O179="Si")),1,0)</f>
        <v>0</v>
      </c>
      <c r="S179" s="62" t="n">
        <f aca="false">IF(AND(K179&gt;0,R179=0),1,0)</f>
        <v>0</v>
      </c>
    </row>
    <row r="180" customFormat="false" ht="15" hidden="false" customHeight="false" outlineLevel="0" collapsed="false">
      <c r="B180" s="71" t="str">
        <f aca="false">IF($F$6="Sí",N($C$11)+153,"")</f>
        <v/>
      </c>
      <c r="C180" s="72" t="str">
        <f aca="false">IF(OR($F$6&lt;&gt;"Sí",D180&lt;=0.5),"",EDATE($C$10,153))</f>
        <v/>
      </c>
      <c r="D180" s="41" t="n">
        <f aca="false">MAX(0,M179)</f>
        <v>0</v>
      </c>
      <c r="E180" s="41" t="n">
        <f aca="false">D180*$F$7</f>
        <v>0</v>
      </c>
      <c r="F180" s="41" t="n">
        <f aca="false">IF(D180&gt;0.5,N($C$15),0)</f>
        <v>0</v>
      </c>
      <c r="G180" s="41" t="n">
        <f aca="false">IF(AND(D180&gt;0.5,N($C$19)&gt;0,N(B180)&lt;=N($C$20)),D180*$F$8,0)</f>
        <v>0</v>
      </c>
      <c r="H180" s="41" t="n">
        <f aca="false">IF(D180&lt;=0.5,0,MIN(IF(N(I180)&gt;0,I180,$F$9),D180+E180+F180))</f>
        <v>0</v>
      </c>
      <c r="I180" s="77"/>
      <c r="J180" s="77"/>
      <c r="K180" s="41" t="n">
        <f aca="false">IF(D180&lt;=0.5,0,MIN(H180+N(J180),D180+E180+F180))</f>
        <v>0</v>
      </c>
      <c r="L180" s="41" t="n">
        <f aca="false">K180-E180-F180</f>
        <v>0</v>
      </c>
      <c r="M180" s="41" t="n">
        <f aca="false">D180-L180</f>
        <v>0</v>
      </c>
      <c r="N180" s="42" t="n">
        <f aca="false">K180-G180</f>
        <v>0</v>
      </c>
      <c r="O180" s="78"/>
      <c r="P180" s="79"/>
      <c r="Q180" s="16" t="str">
        <f aca="false">IF(K180=0,"",IF(R180=1,"Pagada",IF(C180&lt;$F$12,"Vencida",IF(154=$F$13,"Próxima","Pendiente"))))</f>
        <v/>
      </c>
      <c r="R180" s="62" t="n">
        <f aca="false">IF(AND(K180&gt;0,OR(O180="Sí",O180="Si")),1,0)</f>
        <v>0</v>
      </c>
      <c r="S180" s="62" t="n">
        <f aca="false">IF(AND(K180&gt;0,R180=0),1,0)</f>
        <v>0</v>
      </c>
    </row>
    <row r="181" customFormat="false" ht="15" hidden="false" customHeight="false" outlineLevel="0" collapsed="false">
      <c r="B181" s="71" t="str">
        <f aca="false">IF($F$6="Sí",N($C$11)+154,"")</f>
        <v/>
      </c>
      <c r="C181" s="72" t="str">
        <f aca="false">IF(OR($F$6&lt;&gt;"Sí",D181&lt;=0.5),"",EDATE($C$10,154))</f>
        <v/>
      </c>
      <c r="D181" s="41" t="n">
        <f aca="false">MAX(0,M180)</f>
        <v>0</v>
      </c>
      <c r="E181" s="41" t="n">
        <f aca="false">D181*$F$7</f>
        <v>0</v>
      </c>
      <c r="F181" s="41" t="n">
        <f aca="false">IF(D181&gt;0.5,N($C$15),0)</f>
        <v>0</v>
      </c>
      <c r="G181" s="41" t="n">
        <f aca="false">IF(AND(D181&gt;0.5,N($C$19)&gt;0,N(B181)&lt;=N($C$20)),D181*$F$8,0)</f>
        <v>0</v>
      </c>
      <c r="H181" s="41" t="n">
        <f aca="false">IF(D181&lt;=0.5,0,MIN(IF(N(I181)&gt;0,I181,$F$9),D181+E181+F181))</f>
        <v>0</v>
      </c>
      <c r="I181" s="77"/>
      <c r="J181" s="77"/>
      <c r="K181" s="41" t="n">
        <f aca="false">IF(D181&lt;=0.5,0,MIN(H181+N(J181),D181+E181+F181))</f>
        <v>0</v>
      </c>
      <c r="L181" s="41" t="n">
        <f aca="false">K181-E181-F181</f>
        <v>0</v>
      </c>
      <c r="M181" s="41" t="n">
        <f aca="false">D181-L181</f>
        <v>0</v>
      </c>
      <c r="N181" s="42" t="n">
        <f aca="false">K181-G181</f>
        <v>0</v>
      </c>
      <c r="O181" s="78"/>
      <c r="P181" s="79"/>
      <c r="Q181" s="16" t="str">
        <f aca="false">IF(K181=0,"",IF(R181=1,"Pagada",IF(C181&lt;$F$12,"Vencida",IF(155=$F$13,"Próxima","Pendiente"))))</f>
        <v/>
      </c>
      <c r="R181" s="62" t="n">
        <f aca="false">IF(AND(K181&gt;0,OR(O181="Sí",O181="Si")),1,0)</f>
        <v>0</v>
      </c>
      <c r="S181" s="62" t="n">
        <f aca="false">IF(AND(K181&gt;0,R181=0),1,0)</f>
        <v>0</v>
      </c>
    </row>
    <row r="182" customFormat="false" ht="15" hidden="false" customHeight="false" outlineLevel="0" collapsed="false">
      <c r="B182" s="71" t="str">
        <f aca="false">IF($F$6="Sí",N($C$11)+155,"")</f>
        <v/>
      </c>
      <c r="C182" s="72" t="str">
        <f aca="false">IF(OR($F$6&lt;&gt;"Sí",D182&lt;=0.5),"",EDATE($C$10,155))</f>
        <v/>
      </c>
      <c r="D182" s="41" t="n">
        <f aca="false">MAX(0,M181)</f>
        <v>0</v>
      </c>
      <c r="E182" s="41" t="n">
        <f aca="false">D182*$F$7</f>
        <v>0</v>
      </c>
      <c r="F182" s="41" t="n">
        <f aca="false">IF(D182&gt;0.5,N($C$15),0)</f>
        <v>0</v>
      </c>
      <c r="G182" s="41" t="n">
        <f aca="false">IF(AND(D182&gt;0.5,N($C$19)&gt;0,N(B182)&lt;=N($C$20)),D182*$F$8,0)</f>
        <v>0</v>
      </c>
      <c r="H182" s="41" t="n">
        <f aca="false">IF(D182&lt;=0.5,0,MIN(IF(N(I182)&gt;0,I182,$F$9),D182+E182+F182))</f>
        <v>0</v>
      </c>
      <c r="I182" s="77"/>
      <c r="J182" s="77"/>
      <c r="K182" s="41" t="n">
        <f aca="false">IF(D182&lt;=0.5,0,MIN(H182+N(J182),D182+E182+F182))</f>
        <v>0</v>
      </c>
      <c r="L182" s="41" t="n">
        <f aca="false">K182-E182-F182</f>
        <v>0</v>
      </c>
      <c r="M182" s="41" t="n">
        <f aca="false">D182-L182</f>
        <v>0</v>
      </c>
      <c r="N182" s="42" t="n">
        <f aca="false">K182-G182</f>
        <v>0</v>
      </c>
      <c r="O182" s="78"/>
      <c r="P182" s="79"/>
      <c r="Q182" s="16" t="str">
        <f aca="false">IF(K182=0,"",IF(R182=1,"Pagada",IF(C182&lt;$F$12,"Vencida",IF(156=$F$13,"Próxima","Pendiente"))))</f>
        <v/>
      </c>
      <c r="R182" s="62" t="n">
        <f aca="false">IF(AND(K182&gt;0,OR(O182="Sí",O182="Si")),1,0)</f>
        <v>0</v>
      </c>
      <c r="S182" s="62" t="n">
        <f aca="false">IF(AND(K182&gt;0,R182=0),1,0)</f>
        <v>0</v>
      </c>
    </row>
    <row r="183" customFormat="false" ht="15" hidden="false" customHeight="false" outlineLevel="0" collapsed="false">
      <c r="B183" s="71" t="str">
        <f aca="false">IF($F$6="Sí",N($C$11)+156,"")</f>
        <v/>
      </c>
      <c r="C183" s="72" t="str">
        <f aca="false">IF(OR($F$6&lt;&gt;"Sí",D183&lt;=0.5),"",EDATE($C$10,156))</f>
        <v/>
      </c>
      <c r="D183" s="41" t="n">
        <f aca="false">MAX(0,M182)</f>
        <v>0</v>
      </c>
      <c r="E183" s="41" t="n">
        <f aca="false">D183*$F$7</f>
        <v>0</v>
      </c>
      <c r="F183" s="41" t="n">
        <f aca="false">IF(D183&gt;0.5,N($C$15),0)</f>
        <v>0</v>
      </c>
      <c r="G183" s="41" t="n">
        <f aca="false">IF(AND(D183&gt;0.5,N($C$19)&gt;0,N(B183)&lt;=N($C$20)),D183*$F$8,0)</f>
        <v>0</v>
      </c>
      <c r="H183" s="41" t="n">
        <f aca="false">IF(D183&lt;=0.5,0,MIN(IF(N(I183)&gt;0,I183,$F$9),D183+E183+F183))</f>
        <v>0</v>
      </c>
      <c r="I183" s="77"/>
      <c r="J183" s="77"/>
      <c r="K183" s="41" t="n">
        <f aca="false">IF(D183&lt;=0.5,0,MIN(H183+N(J183),D183+E183+F183))</f>
        <v>0</v>
      </c>
      <c r="L183" s="41" t="n">
        <f aca="false">K183-E183-F183</f>
        <v>0</v>
      </c>
      <c r="M183" s="41" t="n">
        <f aca="false">D183-L183</f>
        <v>0</v>
      </c>
      <c r="N183" s="42" t="n">
        <f aca="false">K183-G183</f>
        <v>0</v>
      </c>
      <c r="O183" s="78"/>
      <c r="P183" s="79"/>
      <c r="Q183" s="16" t="str">
        <f aca="false">IF(K183=0,"",IF(R183=1,"Pagada",IF(C183&lt;$F$12,"Vencida",IF(157=$F$13,"Próxima","Pendiente"))))</f>
        <v/>
      </c>
      <c r="R183" s="62" t="n">
        <f aca="false">IF(AND(K183&gt;0,OR(O183="Sí",O183="Si")),1,0)</f>
        <v>0</v>
      </c>
      <c r="S183" s="62" t="n">
        <f aca="false">IF(AND(K183&gt;0,R183=0),1,0)</f>
        <v>0</v>
      </c>
    </row>
    <row r="184" customFormat="false" ht="15" hidden="false" customHeight="false" outlineLevel="0" collapsed="false">
      <c r="B184" s="71" t="str">
        <f aca="false">IF($F$6="Sí",N($C$11)+157,"")</f>
        <v/>
      </c>
      <c r="C184" s="72" t="str">
        <f aca="false">IF(OR($F$6&lt;&gt;"Sí",D184&lt;=0.5),"",EDATE($C$10,157))</f>
        <v/>
      </c>
      <c r="D184" s="41" t="n">
        <f aca="false">MAX(0,M183)</f>
        <v>0</v>
      </c>
      <c r="E184" s="41" t="n">
        <f aca="false">D184*$F$7</f>
        <v>0</v>
      </c>
      <c r="F184" s="41" t="n">
        <f aca="false">IF(D184&gt;0.5,N($C$15),0)</f>
        <v>0</v>
      </c>
      <c r="G184" s="41" t="n">
        <f aca="false">IF(AND(D184&gt;0.5,N($C$19)&gt;0,N(B184)&lt;=N($C$20)),D184*$F$8,0)</f>
        <v>0</v>
      </c>
      <c r="H184" s="41" t="n">
        <f aca="false">IF(D184&lt;=0.5,0,MIN(IF(N(I184)&gt;0,I184,$F$9),D184+E184+F184))</f>
        <v>0</v>
      </c>
      <c r="I184" s="77"/>
      <c r="J184" s="77"/>
      <c r="K184" s="41" t="n">
        <f aca="false">IF(D184&lt;=0.5,0,MIN(H184+N(J184),D184+E184+F184))</f>
        <v>0</v>
      </c>
      <c r="L184" s="41" t="n">
        <f aca="false">K184-E184-F184</f>
        <v>0</v>
      </c>
      <c r="M184" s="41" t="n">
        <f aca="false">D184-L184</f>
        <v>0</v>
      </c>
      <c r="N184" s="42" t="n">
        <f aca="false">K184-G184</f>
        <v>0</v>
      </c>
      <c r="O184" s="78"/>
      <c r="P184" s="79"/>
      <c r="Q184" s="16" t="str">
        <f aca="false">IF(K184=0,"",IF(R184=1,"Pagada",IF(C184&lt;$F$12,"Vencida",IF(158=$F$13,"Próxima","Pendiente"))))</f>
        <v/>
      </c>
      <c r="R184" s="62" t="n">
        <f aca="false">IF(AND(K184&gt;0,OR(O184="Sí",O184="Si")),1,0)</f>
        <v>0</v>
      </c>
      <c r="S184" s="62" t="n">
        <f aca="false">IF(AND(K184&gt;0,R184=0),1,0)</f>
        <v>0</v>
      </c>
    </row>
    <row r="185" customFormat="false" ht="15" hidden="false" customHeight="false" outlineLevel="0" collapsed="false">
      <c r="B185" s="71" t="str">
        <f aca="false">IF($F$6="Sí",N($C$11)+158,"")</f>
        <v/>
      </c>
      <c r="C185" s="72" t="str">
        <f aca="false">IF(OR($F$6&lt;&gt;"Sí",D185&lt;=0.5),"",EDATE($C$10,158))</f>
        <v/>
      </c>
      <c r="D185" s="41" t="n">
        <f aca="false">MAX(0,M184)</f>
        <v>0</v>
      </c>
      <c r="E185" s="41" t="n">
        <f aca="false">D185*$F$7</f>
        <v>0</v>
      </c>
      <c r="F185" s="41" t="n">
        <f aca="false">IF(D185&gt;0.5,N($C$15),0)</f>
        <v>0</v>
      </c>
      <c r="G185" s="41" t="n">
        <f aca="false">IF(AND(D185&gt;0.5,N($C$19)&gt;0,N(B185)&lt;=N($C$20)),D185*$F$8,0)</f>
        <v>0</v>
      </c>
      <c r="H185" s="41" t="n">
        <f aca="false">IF(D185&lt;=0.5,0,MIN(IF(N(I185)&gt;0,I185,$F$9),D185+E185+F185))</f>
        <v>0</v>
      </c>
      <c r="I185" s="77"/>
      <c r="J185" s="77"/>
      <c r="K185" s="41" t="n">
        <f aca="false">IF(D185&lt;=0.5,0,MIN(H185+N(J185),D185+E185+F185))</f>
        <v>0</v>
      </c>
      <c r="L185" s="41" t="n">
        <f aca="false">K185-E185-F185</f>
        <v>0</v>
      </c>
      <c r="M185" s="41" t="n">
        <f aca="false">D185-L185</f>
        <v>0</v>
      </c>
      <c r="N185" s="42" t="n">
        <f aca="false">K185-G185</f>
        <v>0</v>
      </c>
      <c r="O185" s="78"/>
      <c r="P185" s="79"/>
      <c r="Q185" s="16" t="str">
        <f aca="false">IF(K185=0,"",IF(R185=1,"Pagada",IF(C185&lt;$F$12,"Vencida",IF(159=$F$13,"Próxima","Pendiente"))))</f>
        <v/>
      </c>
      <c r="R185" s="62" t="n">
        <f aca="false">IF(AND(K185&gt;0,OR(O185="Sí",O185="Si")),1,0)</f>
        <v>0</v>
      </c>
      <c r="S185" s="62" t="n">
        <f aca="false">IF(AND(K185&gt;0,R185=0),1,0)</f>
        <v>0</v>
      </c>
    </row>
    <row r="186" customFormat="false" ht="15" hidden="false" customHeight="false" outlineLevel="0" collapsed="false">
      <c r="B186" s="71" t="str">
        <f aca="false">IF($F$6="Sí",N($C$11)+159,"")</f>
        <v/>
      </c>
      <c r="C186" s="72" t="str">
        <f aca="false">IF(OR($F$6&lt;&gt;"Sí",D186&lt;=0.5),"",EDATE($C$10,159))</f>
        <v/>
      </c>
      <c r="D186" s="41" t="n">
        <f aca="false">MAX(0,M185)</f>
        <v>0</v>
      </c>
      <c r="E186" s="41" t="n">
        <f aca="false">D186*$F$7</f>
        <v>0</v>
      </c>
      <c r="F186" s="41" t="n">
        <f aca="false">IF(D186&gt;0.5,N($C$15),0)</f>
        <v>0</v>
      </c>
      <c r="G186" s="41" t="n">
        <f aca="false">IF(AND(D186&gt;0.5,N($C$19)&gt;0,N(B186)&lt;=N($C$20)),D186*$F$8,0)</f>
        <v>0</v>
      </c>
      <c r="H186" s="41" t="n">
        <f aca="false">IF(D186&lt;=0.5,0,MIN(IF(N(I186)&gt;0,I186,$F$9),D186+E186+F186))</f>
        <v>0</v>
      </c>
      <c r="I186" s="77"/>
      <c r="J186" s="77"/>
      <c r="K186" s="41" t="n">
        <f aca="false">IF(D186&lt;=0.5,0,MIN(H186+N(J186),D186+E186+F186))</f>
        <v>0</v>
      </c>
      <c r="L186" s="41" t="n">
        <f aca="false">K186-E186-F186</f>
        <v>0</v>
      </c>
      <c r="M186" s="41" t="n">
        <f aca="false">D186-L186</f>
        <v>0</v>
      </c>
      <c r="N186" s="42" t="n">
        <f aca="false">K186-G186</f>
        <v>0</v>
      </c>
      <c r="O186" s="78"/>
      <c r="P186" s="79"/>
      <c r="Q186" s="16" t="str">
        <f aca="false">IF(K186=0,"",IF(R186=1,"Pagada",IF(C186&lt;$F$12,"Vencida",IF(160=$F$13,"Próxima","Pendiente"))))</f>
        <v/>
      </c>
      <c r="R186" s="62" t="n">
        <f aca="false">IF(AND(K186&gt;0,OR(O186="Sí",O186="Si")),1,0)</f>
        <v>0</v>
      </c>
      <c r="S186" s="62" t="n">
        <f aca="false">IF(AND(K186&gt;0,R186=0),1,0)</f>
        <v>0</v>
      </c>
    </row>
    <row r="187" customFormat="false" ht="15" hidden="false" customHeight="false" outlineLevel="0" collapsed="false">
      <c r="B187" s="71" t="str">
        <f aca="false">IF($F$6="Sí",N($C$11)+160,"")</f>
        <v/>
      </c>
      <c r="C187" s="72" t="str">
        <f aca="false">IF(OR($F$6&lt;&gt;"Sí",D187&lt;=0.5),"",EDATE($C$10,160))</f>
        <v/>
      </c>
      <c r="D187" s="41" t="n">
        <f aca="false">MAX(0,M186)</f>
        <v>0</v>
      </c>
      <c r="E187" s="41" t="n">
        <f aca="false">D187*$F$7</f>
        <v>0</v>
      </c>
      <c r="F187" s="41" t="n">
        <f aca="false">IF(D187&gt;0.5,N($C$15),0)</f>
        <v>0</v>
      </c>
      <c r="G187" s="41" t="n">
        <f aca="false">IF(AND(D187&gt;0.5,N($C$19)&gt;0,N(B187)&lt;=N($C$20)),D187*$F$8,0)</f>
        <v>0</v>
      </c>
      <c r="H187" s="41" t="n">
        <f aca="false">IF(D187&lt;=0.5,0,MIN(IF(N(I187)&gt;0,I187,$F$9),D187+E187+F187))</f>
        <v>0</v>
      </c>
      <c r="I187" s="77"/>
      <c r="J187" s="77"/>
      <c r="K187" s="41" t="n">
        <f aca="false">IF(D187&lt;=0.5,0,MIN(H187+N(J187),D187+E187+F187))</f>
        <v>0</v>
      </c>
      <c r="L187" s="41" t="n">
        <f aca="false">K187-E187-F187</f>
        <v>0</v>
      </c>
      <c r="M187" s="41" t="n">
        <f aca="false">D187-L187</f>
        <v>0</v>
      </c>
      <c r="N187" s="42" t="n">
        <f aca="false">K187-G187</f>
        <v>0</v>
      </c>
      <c r="O187" s="78"/>
      <c r="P187" s="79"/>
      <c r="Q187" s="16" t="str">
        <f aca="false">IF(K187=0,"",IF(R187=1,"Pagada",IF(C187&lt;$F$12,"Vencida",IF(161=$F$13,"Próxima","Pendiente"))))</f>
        <v/>
      </c>
      <c r="R187" s="62" t="n">
        <f aca="false">IF(AND(K187&gt;0,OR(O187="Sí",O187="Si")),1,0)</f>
        <v>0</v>
      </c>
      <c r="S187" s="62" t="n">
        <f aca="false">IF(AND(K187&gt;0,R187=0),1,0)</f>
        <v>0</v>
      </c>
    </row>
    <row r="188" customFormat="false" ht="15" hidden="false" customHeight="false" outlineLevel="0" collapsed="false">
      <c r="B188" s="71" t="str">
        <f aca="false">IF($F$6="Sí",N($C$11)+161,"")</f>
        <v/>
      </c>
      <c r="C188" s="72" t="str">
        <f aca="false">IF(OR($F$6&lt;&gt;"Sí",D188&lt;=0.5),"",EDATE($C$10,161))</f>
        <v/>
      </c>
      <c r="D188" s="41" t="n">
        <f aca="false">MAX(0,M187)</f>
        <v>0</v>
      </c>
      <c r="E188" s="41" t="n">
        <f aca="false">D188*$F$7</f>
        <v>0</v>
      </c>
      <c r="F188" s="41" t="n">
        <f aca="false">IF(D188&gt;0.5,N($C$15),0)</f>
        <v>0</v>
      </c>
      <c r="G188" s="41" t="n">
        <f aca="false">IF(AND(D188&gt;0.5,N($C$19)&gt;0,N(B188)&lt;=N($C$20)),D188*$F$8,0)</f>
        <v>0</v>
      </c>
      <c r="H188" s="41" t="n">
        <f aca="false">IF(D188&lt;=0.5,0,MIN(IF(N(I188)&gt;0,I188,$F$9),D188+E188+F188))</f>
        <v>0</v>
      </c>
      <c r="I188" s="77"/>
      <c r="J188" s="77"/>
      <c r="K188" s="41" t="n">
        <f aca="false">IF(D188&lt;=0.5,0,MIN(H188+N(J188),D188+E188+F188))</f>
        <v>0</v>
      </c>
      <c r="L188" s="41" t="n">
        <f aca="false">K188-E188-F188</f>
        <v>0</v>
      </c>
      <c r="M188" s="41" t="n">
        <f aca="false">D188-L188</f>
        <v>0</v>
      </c>
      <c r="N188" s="42" t="n">
        <f aca="false">K188-G188</f>
        <v>0</v>
      </c>
      <c r="O188" s="78"/>
      <c r="P188" s="79"/>
      <c r="Q188" s="16" t="str">
        <f aca="false">IF(K188=0,"",IF(R188=1,"Pagada",IF(C188&lt;$F$12,"Vencida",IF(162=$F$13,"Próxima","Pendiente"))))</f>
        <v/>
      </c>
      <c r="R188" s="62" t="n">
        <f aca="false">IF(AND(K188&gt;0,OR(O188="Sí",O188="Si")),1,0)</f>
        <v>0</v>
      </c>
      <c r="S188" s="62" t="n">
        <f aca="false">IF(AND(K188&gt;0,R188=0),1,0)</f>
        <v>0</v>
      </c>
    </row>
    <row r="189" customFormat="false" ht="15" hidden="false" customHeight="false" outlineLevel="0" collapsed="false">
      <c r="B189" s="71" t="str">
        <f aca="false">IF($F$6="Sí",N($C$11)+162,"")</f>
        <v/>
      </c>
      <c r="C189" s="72" t="str">
        <f aca="false">IF(OR($F$6&lt;&gt;"Sí",D189&lt;=0.5),"",EDATE($C$10,162))</f>
        <v/>
      </c>
      <c r="D189" s="41" t="n">
        <f aca="false">MAX(0,M188)</f>
        <v>0</v>
      </c>
      <c r="E189" s="41" t="n">
        <f aca="false">D189*$F$7</f>
        <v>0</v>
      </c>
      <c r="F189" s="41" t="n">
        <f aca="false">IF(D189&gt;0.5,N($C$15),0)</f>
        <v>0</v>
      </c>
      <c r="G189" s="41" t="n">
        <f aca="false">IF(AND(D189&gt;0.5,N($C$19)&gt;0,N(B189)&lt;=N($C$20)),D189*$F$8,0)</f>
        <v>0</v>
      </c>
      <c r="H189" s="41" t="n">
        <f aca="false">IF(D189&lt;=0.5,0,MIN(IF(N(I189)&gt;0,I189,$F$9),D189+E189+F189))</f>
        <v>0</v>
      </c>
      <c r="I189" s="77"/>
      <c r="J189" s="77"/>
      <c r="K189" s="41" t="n">
        <f aca="false">IF(D189&lt;=0.5,0,MIN(H189+N(J189),D189+E189+F189))</f>
        <v>0</v>
      </c>
      <c r="L189" s="41" t="n">
        <f aca="false">K189-E189-F189</f>
        <v>0</v>
      </c>
      <c r="M189" s="41" t="n">
        <f aca="false">D189-L189</f>
        <v>0</v>
      </c>
      <c r="N189" s="42" t="n">
        <f aca="false">K189-G189</f>
        <v>0</v>
      </c>
      <c r="O189" s="78"/>
      <c r="P189" s="79"/>
      <c r="Q189" s="16" t="str">
        <f aca="false">IF(K189=0,"",IF(R189=1,"Pagada",IF(C189&lt;$F$12,"Vencida",IF(163=$F$13,"Próxima","Pendiente"))))</f>
        <v/>
      </c>
      <c r="R189" s="62" t="n">
        <f aca="false">IF(AND(K189&gt;0,OR(O189="Sí",O189="Si")),1,0)</f>
        <v>0</v>
      </c>
      <c r="S189" s="62" t="n">
        <f aca="false">IF(AND(K189&gt;0,R189=0),1,0)</f>
        <v>0</v>
      </c>
    </row>
    <row r="190" customFormat="false" ht="15" hidden="false" customHeight="false" outlineLevel="0" collapsed="false">
      <c r="B190" s="71" t="str">
        <f aca="false">IF($F$6="Sí",N($C$11)+163,"")</f>
        <v/>
      </c>
      <c r="C190" s="72" t="str">
        <f aca="false">IF(OR($F$6&lt;&gt;"Sí",D190&lt;=0.5),"",EDATE($C$10,163))</f>
        <v/>
      </c>
      <c r="D190" s="41" t="n">
        <f aca="false">MAX(0,M189)</f>
        <v>0</v>
      </c>
      <c r="E190" s="41" t="n">
        <f aca="false">D190*$F$7</f>
        <v>0</v>
      </c>
      <c r="F190" s="41" t="n">
        <f aca="false">IF(D190&gt;0.5,N($C$15),0)</f>
        <v>0</v>
      </c>
      <c r="G190" s="41" t="n">
        <f aca="false">IF(AND(D190&gt;0.5,N($C$19)&gt;0,N(B190)&lt;=N($C$20)),D190*$F$8,0)</f>
        <v>0</v>
      </c>
      <c r="H190" s="41" t="n">
        <f aca="false">IF(D190&lt;=0.5,0,MIN(IF(N(I190)&gt;0,I190,$F$9),D190+E190+F190))</f>
        <v>0</v>
      </c>
      <c r="I190" s="77"/>
      <c r="J190" s="77"/>
      <c r="K190" s="41" t="n">
        <f aca="false">IF(D190&lt;=0.5,0,MIN(H190+N(J190),D190+E190+F190))</f>
        <v>0</v>
      </c>
      <c r="L190" s="41" t="n">
        <f aca="false">K190-E190-F190</f>
        <v>0</v>
      </c>
      <c r="M190" s="41" t="n">
        <f aca="false">D190-L190</f>
        <v>0</v>
      </c>
      <c r="N190" s="42" t="n">
        <f aca="false">K190-G190</f>
        <v>0</v>
      </c>
      <c r="O190" s="78"/>
      <c r="P190" s="79"/>
      <c r="Q190" s="16" t="str">
        <f aca="false">IF(K190=0,"",IF(R190=1,"Pagada",IF(C190&lt;$F$12,"Vencida",IF(164=$F$13,"Próxima","Pendiente"))))</f>
        <v/>
      </c>
      <c r="R190" s="62" t="n">
        <f aca="false">IF(AND(K190&gt;0,OR(O190="Sí",O190="Si")),1,0)</f>
        <v>0</v>
      </c>
      <c r="S190" s="62" t="n">
        <f aca="false">IF(AND(K190&gt;0,R190=0),1,0)</f>
        <v>0</v>
      </c>
    </row>
    <row r="191" customFormat="false" ht="15" hidden="false" customHeight="false" outlineLevel="0" collapsed="false">
      <c r="B191" s="71" t="str">
        <f aca="false">IF($F$6="Sí",N($C$11)+164,"")</f>
        <v/>
      </c>
      <c r="C191" s="72" t="str">
        <f aca="false">IF(OR($F$6&lt;&gt;"Sí",D191&lt;=0.5),"",EDATE($C$10,164))</f>
        <v/>
      </c>
      <c r="D191" s="41" t="n">
        <f aca="false">MAX(0,M190)</f>
        <v>0</v>
      </c>
      <c r="E191" s="41" t="n">
        <f aca="false">D191*$F$7</f>
        <v>0</v>
      </c>
      <c r="F191" s="41" t="n">
        <f aca="false">IF(D191&gt;0.5,N($C$15),0)</f>
        <v>0</v>
      </c>
      <c r="G191" s="41" t="n">
        <f aca="false">IF(AND(D191&gt;0.5,N($C$19)&gt;0,N(B191)&lt;=N($C$20)),D191*$F$8,0)</f>
        <v>0</v>
      </c>
      <c r="H191" s="41" t="n">
        <f aca="false">IF(D191&lt;=0.5,0,MIN(IF(N(I191)&gt;0,I191,$F$9),D191+E191+F191))</f>
        <v>0</v>
      </c>
      <c r="I191" s="77"/>
      <c r="J191" s="77"/>
      <c r="K191" s="41" t="n">
        <f aca="false">IF(D191&lt;=0.5,0,MIN(H191+N(J191),D191+E191+F191))</f>
        <v>0</v>
      </c>
      <c r="L191" s="41" t="n">
        <f aca="false">K191-E191-F191</f>
        <v>0</v>
      </c>
      <c r="M191" s="41" t="n">
        <f aca="false">D191-L191</f>
        <v>0</v>
      </c>
      <c r="N191" s="42" t="n">
        <f aca="false">K191-G191</f>
        <v>0</v>
      </c>
      <c r="O191" s="78"/>
      <c r="P191" s="79"/>
      <c r="Q191" s="16" t="str">
        <f aca="false">IF(K191=0,"",IF(R191=1,"Pagada",IF(C191&lt;$F$12,"Vencida",IF(165=$F$13,"Próxima","Pendiente"))))</f>
        <v/>
      </c>
      <c r="R191" s="62" t="n">
        <f aca="false">IF(AND(K191&gt;0,OR(O191="Sí",O191="Si")),1,0)</f>
        <v>0</v>
      </c>
      <c r="S191" s="62" t="n">
        <f aca="false">IF(AND(K191&gt;0,R191=0),1,0)</f>
        <v>0</v>
      </c>
    </row>
    <row r="192" customFormat="false" ht="15" hidden="false" customHeight="false" outlineLevel="0" collapsed="false">
      <c r="B192" s="71" t="str">
        <f aca="false">IF($F$6="Sí",N($C$11)+165,"")</f>
        <v/>
      </c>
      <c r="C192" s="72" t="str">
        <f aca="false">IF(OR($F$6&lt;&gt;"Sí",D192&lt;=0.5),"",EDATE($C$10,165))</f>
        <v/>
      </c>
      <c r="D192" s="41" t="n">
        <f aca="false">MAX(0,M191)</f>
        <v>0</v>
      </c>
      <c r="E192" s="41" t="n">
        <f aca="false">D192*$F$7</f>
        <v>0</v>
      </c>
      <c r="F192" s="41" t="n">
        <f aca="false">IF(D192&gt;0.5,N($C$15),0)</f>
        <v>0</v>
      </c>
      <c r="G192" s="41" t="n">
        <f aca="false">IF(AND(D192&gt;0.5,N($C$19)&gt;0,N(B192)&lt;=N($C$20)),D192*$F$8,0)</f>
        <v>0</v>
      </c>
      <c r="H192" s="41" t="n">
        <f aca="false">IF(D192&lt;=0.5,0,MIN(IF(N(I192)&gt;0,I192,$F$9),D192+E192+F192))</f>
        <v>0</v>
      </c>
      <c r="I192" s="77"/>
      <c r="J192" s="77"/>
      <c r="K192" s="41" t="n">
        <f aca="false">IF(D192&lt;=0.5,0,MIN(H192+N(J192),D192+E192+F192))</f>
        <v>0</v>
      </c>
      <c r="L192" s="41" t="n">
        <f aca="false">K192-E192-F192</f>
        <v>0</v>
      </c>
      <c r="M192" s="41" t="n">
        <f aca="false">D192-L192</f>
        <v>0</v>
      </c>
      <c r="N192" s="42" t="n">
        <f aca="false">K192-G192</f>
        <v>0</v>
      </c>
      <c r="O192" s="78"/>
      <c r="P192" s="79"/>
      <c r="Q192" s="16" t="str">
        <f aca="false">IF(K192=0,"",IF(R192=1,"Pagada",IF(C192&lt;$F$12,"Vencida",IF(166=$F$13,"Próxima","Pendiente"))))</f>
        <v/>
      </c>
      <c r="R192" s="62" t="n">
        <f aca="false">IF(AND(K192&gt;0,OR(O192="Sí",O192="Si")),1,0)</f>
        <v>0</v>
      </c>
      <c r="S192" s="62" t="n">
        <f aca="false">IF(AND(K192&gt;0,R192=0),1,0)</f>
        <v>0</v>
      </c>
    </row>
    <row r="193" customFormat="false" ht="15" hidden="false" customHeight="false" outlineLevel="0" collapsed="false">
      <c r="B193" s="71" t="str">
        <f aca="false">IF($F$6="Sí",N($C$11)+166,"")</f>
        <v/>
      </c>
      <c r="C193" s="72" t="str">
        <f aca="false">IF(OR($F$6&lt;&gt;"Sí",D193&lt;=0.5),"",EDATE($C$10,166))</f>
        <v/>
      </c>
      <c r="D193" s="41" t="n">
        <f aca="false">MAX(0,M192)</f>
        <v>0</v>
      </c>
      <c r="E193" s="41" t="n">
        <f aca="false">D193*$F$7</f>
        <v>0</v>
      </c>
      <c r="F193" s="41" t="n">
        <f aca="false">IF(D193&gt;0.5,N($C$15),0)</f>
        <v>0</v>
      </c>
      <c r="G193" s="41" t="n">
        <f aca="false">IF(AND(D193&gt;0.5,N($C$19)&gt;0,N(B193)&lt;=N($C$20)),D193*$F$8,0)</f>
        <v>0</v>
      </c>
      <c r="H193" s="41" t="n">
        <f aca="false">IF(D193&lt;=0.5,0,MIN(IF(N(I193)&gt;0,I193,$F$9),D193+E193+F193))</f>
        <v>0</v>
      </c>
      <c r="I193" s="77"/>
      <c r="J193" s="77"/>
      <c r="K193" s="41" t="n">
        <f aca="false">IF(D193&lt;=0.5,0,MIN(H193+N(J193),D193+E193+F193))</f>
        <v>0</v>
      </c>
      <c r="L193" s="41" t="n">
        <f aca="false">K193-E193-F193</f>
        <v>0</v>
      </c>
      <c r="M193" s="41" t="n">
        <f aca="false">D193-L193</f>
        <v>0</v>
      </c>
      <c r="N193" s="42" t="n">
        <f aca="false">K193-G193</f>
        <v>0</v>
      </c>
      <c r="O193" s="78"/>
      <c r="P193" s="79"/>
      <c r="Q193" s="16" t="str">
        <f aca="false">IF(K193=0,"",IF(R193=1,"Pagada",IF(C193&lt;$F$12,"Vencida",IF(167=$F$13,"Próxima","Pendiente"))))</f>
        <v/>
      </c>
      <c r="R193" s="62" t="n">
        <f aca="false">IF(AND(K193&gt;0,OR(O193="Sí",O193="Si")),1,0)</f>
        <v>0</v>
      </c>
      <c r="S193" s="62" t="n">
        <f aca="false">IF(AND(K193&gt;0,R193=0),1,0)</f>
        <v>0</v>
      </c>
    </row>
    <row r="194" customFormat="false" ht="15" hidden="false" customHeight="false" outlineLevel="0" collapsed="false">
      <c r="B194" s="71" t="str">
        <f aca="false">IF($F$6="Sí",N($C$11)+167,"")</f>
        <v/>
      </c>
      <c r="C194" s="72" t="str">
        <f aca="false">IF(OR($F$6&lt;&gt;"Sí",D194&lt;=0.5),"",EDATE($C$10,167))</f>
        <v/>
      </c>
      <c r="D194" s="41" t="n">
        <f aca="false">MAX(0,M193)</f>
        <v>0</v>
      </c>
      <c r="E194" s="41" t="n">
        <f aca="false">D194*$F$7</f>
        <v>0</v>
      </c>
      <c r="F194" s="41" t="n">
        <f aca="false">IF(D194&gt;0.5,N($C$15),0)</f>
        <v>0</v>
      </c>
      <c r="G194" s="41" t="n">
        <f aca="false">IF(AND(D194&gt;0.5,N($C$19)&gt;0,N(B194)&lt;=N($C$20)),D194*$F$8,0)</f>
        <v>0</v>
      </c>
      <c r="H194" s="41" t="n">
        <f aca="false">IF(D194&lt;=0.5,0,MIN(IF(N(I194)&gt;0,I194,$F$9),D194+E194+F194))</f>
        <v>0</v>
      </c>
      <c r="I194" s="77"/>
      <c r="J194" s="77"/>
      <c r="K194" s="41" t="n">
        <f aca="false">IF(D194&lt;=0.5,0,MIN(H194+N(J194),D194+E194+F194))</f>
        <v>0</v>
      </c>
      <c r="L194" s="41" t="n">
        <f aca="false">K194-E194-F194</f>
        <v>0</v>
      </c>
      <c r="M194" s="41" t="n">
        <f aca="false">D194-L194</f>
        <v>0</v>
      </c>
      <c r="N194" s="42" t="n">
        <f aca="false">K194-G194</f>
        <v>0</v>
      </c>
      <c r="O194" s="78"/>
      <c r="P194" s="79"/>
      <c r="Q194" s="16" t="str">
        <f aca="false">IF(K194=0,"",IF(R194=1,"Pagada",IF(C194&lt;$F$12,"Vencida",IF(168=$F$13,"Próxima","Pendiente"))))</f>
        <v/>
      </c>
      <c r="R194" s="62" t="n">
        <f aca="false">IF(AND(K194&gt;0,OR(O194="Sí",O194="Si")),1,0)</f>
        <v>0</v>
      </c>
      <c r="S194" s="62" t="n">
        <f aca="false">IF(AND(K194&gt;0,R194=0),1,0)</f>
        <v>0</v>
      </c>
    </row>
    <row r="195" customFormat="false" ht="15" hidden="false" customHeight="false" outlineLevel="0" collapsed="false">
      <c r="B195" s="71" t="str">
        <f aca="false">IF($F$6="Sí",N($C$11)+168,"")</f>
        <v/>
      </c>
      <c r="C195" s="72" t="str">
        <f aca="false">IF(OR($F$6&lt;&gt;"Sí",D195&lt;=0.5),"",EDATE($C$10,168))</f>
        <v/>
      </c>
      <c r="D195" s="41" t="n">
        <f aca="false">MAX(0,M194)</f>
        <v>0</v>
      </c>
      <c r="E195" s="41" t="n">
        <f aca="false">D195*$F$7</f>
        <v>0</v>
      </c>
      <c r="F195" s="41" t="n">
        <f aca="false">IF(D195&gt;0.5,N($C$15),0)</f>
        <v>0</v>
      </c>
      <c r="G195" s="41" t="n">
        <f aca="false">IF(AND(D195&gt;0.5,N($C$19)&gt;0,N(B195)&lt;=N($C$20)),D195*$F$8,0)</f>
        <v>0</v>
      </c>
      <c r="H195" s="41" t="n">
        <f aca="false">IF(D195&lt;=0.5,0,MIN(IF(N(I195)&gt;0,I195,$F$9),D195+E195+F195))</f>
        <v>0</v>
      </c>
      <c r="I195" s="77"/>
      <c r="J195" s="77"/>
      <c r="K195" s="41" t="n">
        <f aca="false">IF(D195&lt;=0.5,0,MIN(H195+N(J195),D195+E195+F195))</f>
        <v>0</v>
      </c>
      <c r="L195" s="41" t="n">
        <f aca="false">K195-E195-F195</f>
        <v>0</v>
      </c>
      <c r="M195" s="41" t="n">
        <f aca="false">D195-L195</f>
        <v>0</v>
      </c>
      <c r="N195" s="42" t="n">
        <f aca="false">K195-G195</f>
        <v>0</v>
      </c>
      <c r="O195" s="78"/>
      <c r="P195" s="79"/>
      <c r="Q195" s="16" t="str">
        <f aca="false">IF(K195=0,"",IF(R195=1,"Pagada",IF(C195&lt;$F$12,"Vencida",IF(169=$F$13,"Próxima","Pendiente"))))</f>
        <v/>
      </c>
      <c r="R195" s="62" t="n">
        <f aca="false">IF(AND(K195&gt;0,OR(O195="Sí",O195="Si")),1,0)</f>
        <v>0</v>
      </c>
      <c r="S195" s="62" t="n">
        <f aca="false">IF(AND(K195&gt;0,R195=0),1,0)</f>
        <v>0</v>
      </c>
    </row>
    <row r="196" customFormat="false" ht="15" hidden="false" customHeight="false" outlineLevel="0" collapsed="false">
      <c r="B196" s="71" t="str">
        <f aca="false">IF($F$6="Sí",N($C$11)+169,"")</f>
        <v/>
      </c>
      <c r="C196" s="72" t="str">
        <f aca="false">IF(OR($F$6&lt;&gt;"Sí",D196&lt;=0.5),"",EDATE($C$10,169))</f>
        <v/>
      </c>
      <c r="D196" s="41" t="n">
        <f aca="false">MAX(0,M195)</f>
        <v>0</v>
      </c>
      <c r="E196" s="41" t="n">
        <f aca="false">D196*$F$7</f>
        <v>0</v>
      </c>
      <c r="F196" s="41" t="n">
        <f aca="false">IF(D196&gt;0.5,N($C$15),0)</f>
        <v>0</v>
      </c>
      <c r="G196" s="41" t="n">
        <f aca="false">IF(AND(D196&gt;0.5,N($C$19)&gt;0,N(B196)&lt;=N($C$20)),D196*$F$8,0)</f>
        <v>0</v>
      </c>
      <c r="H196" s="41" t="n">
        <f aca="false">IF(D196&lt;=0.5,0,MIN(IF(N(I196)&gt;0,I196,$F$9),D196+E196+F196))</f>
        <v>0</v>
      </c>
      <c r="I196" s="77"/>
      <c r="J196" s="77"/>
      <c r="K196" s="41" t="n">
        <f aca="false">IF(D196&lt;=0.5,0,MIN(H196+N(J196),D196+E196+F196))</f>
        <v>0</v>
      </c>
      <c r="L196" s="41" t="n">
        <f aca="false">K196-E196-F196</f>
        <v>0</v>
      </c>
      <c r="M196" s="41" t="n">
        <f aca="false">D196-L196</f>
        <v>0</v>
      </c>
      <c r="N196" s="42" t="n">
        <f aca="false">K196-G196</f>
        <v>0</v>
      </c>
      <c r="O196" s="78"/>
      <c r="P196" s="79"/>
      <c r="Q196" s="16" t="str">
        <f aca="false">IF(K196=0,"",IF(R196=1,"Pagada",IF(C196&lt;$F$12,"Vencida",IF(170=$F$13,"Próxima","Pendiente"))))</f>
        <v/>
      </c>
      <c r="R196" s="62" t="n">
        <f aca="false">IF(AND(K196&gt;0,OR(O196="Sí",O196="Si")),1,0)</f>
        <v>0</v>
      </c>
      <c r="S196" s="62" t="n">
        <f aca="false">IF(AND(K196&gt;0,R196=0),1,0)</f>
        <v>0</v>
      </c>
    </row>
    <row r="197" customFormat="false" ht="15" hidden="false" customHeight="false" outlineLevel="0" collapsed="false">
      <c r="B197" s="71" t="str">
        <f aca="false">IF($F$6="Sí",N($C$11)+170,"")</f>
        <v/>
      </c>
      <c r="C197" s="72" t="str">
        <f aca="false">IF(OR($F$6&lt;&gt;"Sí",D197&lt;=0.5),"",EDATE($C$10,170))</f>
        <v/>
      </c>
      <c r="D197" s="41" t="n">
        <f aca="false">MAX(0,M196)</f>
        <v>0</v>
      </c>
      <c r="E197" s="41" t="n">
        <f aca="false">D197*$F$7</f>
        <v>0</v>
      </c>
      <c r="F197" s="41" t="n">
        <f aca="false">IF(D197&gt;0.5,N($C$15),0)</f>
        <v>0</v>
      </c>
      <c r="G197" s="41" t="n">
        <f aca="false">IF(AND(D197&gt;0.5,N($C$19)&gt;0,N(B197)&lt;=N($C$20)),D197*$F$8,0)</f>
        <v>0</v>
      </c>
      <c r="H197" s="41" t="n">
        <f aca="false">IF(D197&lt;=0.5,0,MIN(IF(N(I197)&gt;0,I197,$F$9),D197+E197+F197))</f>
        <v>0</v>
      </c>
      <c r="I197" s="77"/>
      <c r="J197" s="77"/>
      <c r="K197" s="41" t="n">
        <f aca="false">IF(D197&lt;=0.5,0,MIN(H197+N(J197),D197+E197+F197))</f>
        <v>0</v>
      </c>
      <c r="L197" s="41" t="n">
        <f aca="false">K197-E197-F197</f>
        <v>0</v>
      </c>
      <c r="M197" s="41" t="n">
        <f aca="false">D197-L197</f>
        <v>0</v>
      </c>
      <c r="N197" s="42" t="n">
        <f aca="false">K197-G197</f>
        <v>0</v>
      </c>
      <c r="O197" s="78"/>
      <c r="P197" s="79"/>
      <c r="Q197" s="16" t="str">
        <f aca="false">IF(K197=0,"",IF(R197=1,"Pagada",IF(C197&lt;$F$12,"Vencida",IF(171=$F$13,"Próxima","Pendiente"))))</f>
        <v/>
      </c>
      <c r="R197" s="62" t="n">
        <f aca="false">IF(AND(K197&gt;0,OR(O197="Sí",O197="Si")),1,0)</f>
        <v>0</v>
      </c>
      <c r="S197" s="62" t="n">
        <f aca="false">IF(AND(K197&gt;0,R197=0),1,0)</f>
        <v>0</v>
      </c>
    </row>
    <row r="198" customFormat="false" ht="15" hidden="false" customHeight="false" outlineLevel="0" collapsed="false">
      <c r="B198" s="71" t="str">
        <f aca="false">IF($F$6="Sí",N($C$11)+171,"")</f>
        <v/>
      </c>
      <c r="C198" s="72" t="str">
        <f aca="false">IF(OR($F$6&lt;&gt;"Sí",D198&lt;=0.5),"",EDATE($C$10,171))</f>
        <v/>
      </c>
      <c r="D198" s="41" t="n">
        <f aca="false">MAX(0,M197)</f>
        <v>0</v>
      </c>
      <c r="E198" s="41" t="n">
        <f aca="false">D198*$F$7</f>
        <v>0</v>
      </c>
      <c r="F198" s="41" t="n">
        <f aca="false">IF(D198&gt;0.5,N($C$15),0)</f>
        <v>0</v>
      </c>
      <c r="G198" s="41" t="n">
        <f aca="false">IF(AND(D198&gt;0.5,N($C$19)&gt;0,N(B198)&lt;=N($C$20)),D198*$F$8,0)</f>
        <v>0</v>
      </c>
      <c r="H198" s="41" t="n">
        <f aca="false">IF(D198&lt;=0.5,0,MIN(IF(N(I198)&gt;0,I198,$F$9),D198+E198+F198))</f>
        <v>0</v>
      </c>
      <c r="I198" s="77"/>
      <c r="J198" s="77"/>
      <c r="K198" s="41" t="n">
        <f aca="false">IF(D198&lt;=0.5,0,MIN(H198+N(J198),D198+E198+F198))</f>
        <v>0</v>
      </c>
      <c r="L198" s="41" t="n">
        <f aca="false">K198-E198-F198</f>
        <v>0</v>
      </c>
      <c r="M198" s="41" t="n">
        <f aca="false">D198-L198</f>
        <v>0</v>
      </c>
      <c r="N198" s="42" t="n">
        <f aca="false">K198-G198</f>
        <v>0</v>
      </c>
      <c r="O198" s="78"/>
      <c r="P198" s="79"/>
      <c r="Q198" s="16" t="str">
        <f aca="false">IF(K198=0,"",IF(R198=1,"Pagada",IF(C198&lt;$F$12,"Vencida",IF(172=$F$13,"Próxima","Pendiente"))))</f>
        <v/>
      </c>
      <c r="R198" s="62" t="n">
        <f aca="false">IF(AND(K198&gt;0,OR(O198="Sí",O198="Si")),1,0)</f>
        <v>0</v>
      </c>
      <c r="S198" s="62" t="n">
        <f aca="false">IF(AND(K198&gt;0,R198=0),1,0)</f>
        <v>0</v>
      </c>
    </row>
    <row r="199" customFormat="false" ht="15" hidden="false" customHeight="false" outlineLevel="0" collapsed="false">
      <c r="B199" s="71" t="str">
        <f aca="false">IF($F$6="Sí",N($C$11)+172,"")</f>
        <v/>
      </c>
      <c r="C199" s="72" t="str">
        <f aca="false">IF(OR($F$6&lt;&gt;"Sí",D199&lt;=0.5),"",EDATE($C$10,172))</f>
        <v/>
      </c>
      <c r="D199" s="41" t="n">
        <f aca="false">MAX(0,M198)</f>
        <v>0</v>
      </c>
      <c r="E199" s="41" t="n">
        <f aca="false">D199*$F$7</f>
        <v>0</v>
      </c>
      <c r="F199" s="41" t="n">
        <f aca="false">IF(D199&gt;0.5,N($C$15),0)</f>
        <v>0</v>
      </c>
      <c r="G199" s="41" t="n">
        <f aca="false">IF(AND(D199&gt;0.5,N($C$19)&gt;0,N(B199)&lt;=N($C$20)),D199*$F$8,0)</f>
        <v>0</v>
      </c>
      <c r="H199" s="41" t="n">
        <f aca="false">IF(D199&lt;=0.5,0,MIN(IF(N(I199)&gt;0,I199,$F$9),D199+E199+F199))</f>
        <v>0</v>
      </c>
      <c r="I199" s="77"/>
      <c r="J199" s="77"/>
      <c r="K199" s="41" t="n">
        <f aca="false">IF(D199&lt;=0.5,0,MIN(H199+N(J199),D199+E199+F199))</f>
        <v>0</v>
      </c>
      <c r="L199" s="41" t="n">
        <f aca="false">K199-E199-F199</f>
        <v>0</v>
      </c>
      <c r="M199" s="41" t="n">
        <f aca="false">D199-L199</f>
        <v>0</v>
      </c>
      <c r="N199" s="42" t="n">
        <f aca="false">K199-G199</f>
        <v>0</v>
      </c>
      <c r="O199" s="78"/>
      <c r="P199" s="79"/>
      <c r="Q199" s="16" t="str">
        <f aca="false">IF(K199=0,"",IF(R199=1,"Pagada",IF(C199&lt;$F$12,"Vencida",IF(173=$F$13,"Próxima","Pendiente"))))</f>
        <v/>
      </c>
      <c r="R199" s="62" t="n">
        <f aca="false">IF(AND(K199&gt;0,OR(O199="Sí",O199="Si")),1,0)</f>
        <v>0</v>
      </c>
      <c r="S199" s="62" t="n">
        <f aca="false">IF(AND(K199&gt;0,R199=0),1,0)</f>
        <v>0</v>
      </c>
    </row>
    <row r="200" customFormat="false" ht="15" hidden="false" customHeight="false" outlineLevel="0" collapsed="false">
      <c r="B200" s="71" t="str">
        <f aca="false">IF($F$6="Sí",N($C$11)+173,"")</f>
        <v/>
      </c>
      <c r="C200" s="72" t="str">
        <f aca="false">IF(OR($F$6&lt;&gt;"Sí",D200&lt;=0.5),"",EDATE($C$10,173))</f>
        <v/>
      </c>
      <c r="D200" s="41" t="n">
        <f aca="false">MAX(0,M199)</f>
        <v>0</v>
      </c>
      <c r="E200" s="41" t="n">
        <f aca="false">D200*$F$7</f>
        <v>0</v>
      </c>
      <c r="F200" s="41" t="n">
        <f aca="false">IF(D200&gt;0.5,N($C$15),0)</f>
        <v>0</v>
      </c>
      <c r="G200" s="41" t="n">
        <f aca="false">IF(AND(D200&gt;0.5,N($C$19)&gt;0,N(B200)&lt;=N($C$20)),D200*$F$8,0)</f>
        <v>0</v>
      </c>
      <c r="H200" s="41" t="n">
        <f aca="false">IF(D200&lt;=0.5,0,MIN(IF(N(I200)&gt;0,I200,$F$9),D200+E200+F200))</f>
        <v>0</v>
      </c>
      <c r="I200" s="77"/>
      <c r="J200" s="77"/>
      <c r="K200" s="41" t="n">
        <f aca="false">IF(D200&lt;=0.5,0,MIN(H200+N(J200),D200+E200+F200))</f>
        <v>0</v>
      </c>
      <c r="L200" s="41" t="n">
        <f aca="false">K200-E200-F200</f>
        <v>0</v>
      </c>
      <c r="M200" s="41" t="n">
        <f aca="false">D200-L200</f>
        <v>0</v>
      </c>
      <c r="N200" s="42" t="n">
        <f aca="false">K200-G200</f>
        <v>0</v>
      </c>
      <c r="O200" s="78"/>
      <c r="P200" s="79"/>
      <c r="Q200" s="16" t="str">
        <f aca="false">IF(K200=0,"",IF(R200=1,"Pagada",IF(C200&lt;$F$12,"Vencida",IF(174=$F$13,"Próxima","Pendiente"))))</f>
        <v/>
      </c>
      <c r="R200" s="62" t="n">
        <f aca="false">IF(AND(K200&gt;0,OR(O200="Sí",O200="Si")),1,0)</f>
        <v>0</v>
      </c>
      <c r="S200" s="62" t="n">
        <f aca="false">IF(AND(K200&gt;0,R200=0),1,0)</f>
        <v>0</v>
      </c>
    </row>
    <row r="201" customFormat="false" ht="15" hidden="false" customHeight="false" outlineLevel="0" collapsed="false">
      <c r="B201" s="71" t="str">
        <f aca="false">IF($F$6="Sí",N($C$11)+174,"")</f>
        <v/>
      </c>
      <c r="C201" s="72" t="str">
        <f aca="false">IF(OR($F$6&lt;&gt;"Sí",D201&lt;=0.5),"",EDATE($C$10,174))</f>
        <v/>
      </c>
      <c r="D201" s="41" t="n">
        <f aca="false">MAX(0,M200)</f>
        <v>0</v>
      </c>
      <c r="E201" s="41" t="n">
        <f aca="false">D201*$F$7</f>
        <v>0</v>
      </c>
      <c r="F201" s="41" t="n">
        <f aca="false">IF(D201&gt;0.5,N($C$15),0)</f>
        <v>0</v>
      </c>
      <c r="G201" s="41" t="n">
        <f aca="false">IF(AND(D201&gt;0.5,N($C$19)&gt;0,N(B201)&lt;=N($C$20)),D201*$F$8,0)</f>
        <v>0</v>
      </c>
      <c r="H201" s="41" t="n">
        <f aca="false">IF(D201&lt;=0.5,0,MIN(IF(N(I201)&gt;0,I201,$F$9),D201+E201+F201))</f>
        <v>0</v>
      </c>
      <c r="I201" s="77"/>
      <c r="J201" s="77"/>
      <c r="K201" s="41" t="n">
        <f aca="false">IF(D201&lt;=0.5,0,MIN(H201+N(J201),D201+E201+F201))</f>
        <v>0</v>
      </c>
      <c r="L201" s="41" t="n">
        <f aca="false">K201-E201-F201</f>
        <v>0</v>
      </c>
      <c r="M201" s="41" t="n">
        <f aca="false">D201-L201</f>
        <v>0</v>
      </c>
      <c r="N201" s="42" t="n">
        <f aca="false">K201-G201</f>
        <v>0</v>
      </c>
      <c r="O201" s="78"/>
      <c r="P201" s="79"/>
      <c r="Q201" s="16" t="str">
        <f aca="false">IF(K201=0,"",IF(R201=1,"Pagada",IF(C201&lt;$F$12,"Vencida",IF(175=$F$13,"Próxima","Pendiente"))))</f>
        <v/>
      </c>
      <c r="R201" s="62" t="n">
        <f aca="false">IF(AND(K201&gt;0,OR(O201="Sí",O201="Si")),1,0)</f>
        <v>0</v>
      </c>
      <c r="S201" s="62" t="n">
        <f aca="false">IF(AND(K201&gt;0,R201=0),1,0)</f>
        <v>0</v>
      </c>
    </row>
    <row r="202" customFormat="false" ht="15" hidden="false" customHeight="false" outlineLevel="0" collapsed="false">
      <c r="B202" s="71" t="str">
        <f aca="false">IF($F$6="Sí",N($C$11)+175,"")</f>
        <v/>
      </c>
      <c r="C202" s="72" t="str">
        <f aca="false">IF(OR($F$6&lt;&gt;"Sí",D202&lt;=0.5),"",EDATE($C$10,175))</f>
        <v/>
      </c>
      <c r="D202" s="41" t="n">
        <f aca="false">MAX(0,M201)</f>
        <v>0</v>
      </c>
      <c r="E202" s="41" t="n">
        <f aca="false">D202*$F$7</f>
        <v>0</v>
      </c>
      <c r="F202" s="41" t="n">
        <f aca="false">IF(D202&gt;0.5,N($C$15),0)</f>
        <v>0</v>
      </c>
      <c r="G202" s="41" t="n">
        <f aca="false">IF(AND(D202&gt;0.5,N($C$19)&gt;0,N(B202)&lt;=N($C$20)),D202*$F$8,0)</f>
        <v>0</v>
      </c>
      <c r="H202" s="41" t="n">
        <f aca="false">IF(D202&lt;=0.5,0,MIN(IF(N(I202)&gt;0,I202,$F$9),D202+E202+F202))</f>
        <v>0</v>
      </c>
      <c r="I202" s="77"/>
      <c r="J202" s="77"/>
      <c r="K202" s="41" t="n">
        <f aca="false">IF(D202&lt;=0.5,0,MIN(H202+N(J202),D202+E202+F202))</f>
        <v>0</v>
      </c>
      <c r="L202" s="41" t="n">
        <f aca="false">K202-E202-F202</f>
        <v>0</v>
      </c>
      <c r="M202" s="41" t="n">
        <f aca="false">D202-L202</f>
        <v>0</v>
      </c>
      <c r="N202" s="42" t="n">
        <f aca="false">K202-G202</f>
        <v>0</v>
      </c>
      <c r="O202" s="78"/>
      <c r="P202" s="79"/>
      <c r="Q202" s="16" t="str">
        <f aca="false">IF(K202=0,"",IF(R202=1,"Pagada",IF(C202&lt;$F$12,"Vencida",IF(176=$F$13,"Próxima","Pendiente"))))</f>
        <v/>
      </c>
      <c r="R202" s="62" t="n">
        <f aca="false">IF(AND(K202&gt;0,OR(O202="Sí",O202="Si")),1,0)</f>
        <v>0</v>
      </c>
      <c r="S202" s="62" t="n">
        <f aca="false">IF(AND(K202&gt;0,R202=0),1,0)</f>
        <v>0</v>
      </c>
    </row>
    <row r="203" customFormat="false" ht="15" hidden="false" customHeight="false" outlineLevel="0" collapsed="false">
      <c r="B203" s="71" t="str">
        <f aca="false">IF($F$6="Sí",N($C$11)+176,"")</f>
        <v/>
      </c>
      <c r="C203" s="72" t="str">
        <f aca="false">IF(OR($F$6&lt;&gt;"Sí",D203&lt;=0.5),"",EDATE($C$10,176))</f>
        <v/>
      </c>
      <c r="D203" s="41" t="n">
        <f aca="false">MAX(0,M202)</f>
        <v>0</v>
      </c>
      <c r="E203" s="41" t="n">
        <f aca="false">D203*$F$7</f>
        <v>0</v>
      </c>
      <c r="F203" s="41" t="n">
        <f aca="false">IF(D203&gt;0.5,N($C$15),0)</f>
        <v>0</v>
      </c>
      <c r="G203" s="41" t="n">
        <f aca="false">IF(AND(D203&gt;0.5,N($C$19)&gt;0,N(B203)&lt;=N($C$20)),D203*$F$8,0)</f>
        <v>0</v>
      </c>
      <c r="H203" s="41" t="n">
        <f aca="false">IF(D203&lt;=0.5,0,MIN(IF(N(I203)&gt;0,I203,$F$9),D203+E203+F203))</f>
        <v>0</v>
      </c>
      <c r="I203" s="77"/>
      <c r="J203" s="77"/>
      <c r="K203" s="41" t="n">
        <f aca="false">IF(D203&lt;=0.5,0,MIN(H203+N(J203),D203+E203+F203))</f>
        <v>0</v>
      </c>
      <c r="L203" s="41" t="n">
        <f aca="false">K203-E203-F203</f>
        <v>0</v>
      </c>
      <c r="M203" s="41" t="n">
        <f aca="false">D203-L203</f>
        <v>0</v>
      </c>
      <c r="N203" s="42" t="n">
        <f aca="false">K203-G203</f>
        <v>0</v>
      </c>
      <c r="O203" s="78"/>
      <c r="P203" s="79"/>
      <c r="Q203" s="16" t="str">
        <f aca="false">IF(K203=0,"",IF(R203=1,"Pagada",IF(C203&lt;$F$12,"Vencida",IF(177=$F$13,"Próxima","Pendiente"))))</f>
        <v/>
      </c>
      <c r="R203" s="62" t="n">
        <f aca="false">IF(AND(K203&gt;0,OR(O203="Sí",O203="Si")),1,0)</f>
        <v>0</v>
      </c>
      <c r="S203" s="62" t="n">
        <f aca="false">IF(AND(K203&gt;0,R203=0),1,0)</f>
        <v>0</v>
      </c>
    </row>
    <row r="204" customFormat="false" ht="15" hidden="false" customHeight="false" outlineLevel="0" collapsed="false">
      <c r="B204" s="71" t="str">
        <f aca="false">IF($F$6="Sí",N($C$11)+177,"")</f>
        <v/>
      </c>
      <c r="C204" s="72" t="str">
        <f aca="false">IF(OR($F$6&lt;&gt;"Sí",D204&lt;=0.5),"",EDATE($C$10,177))</f>
        <v/>
      </c>
      <c r="D204" s="41" t="n">
        <f aca="false">MAX(0,M203)</f>
        <v>0</v>
      </c>
      <c r="E204" s="41" t="n">
        <f aca="false">D204*$F$7</f>
        <v>0</v>
      </c>
      <c r="F204" s="41" t="n">
        <f aca="false">IF(D204&gt;0.5,N($C$15),0)</f>
        <v>0</v>
      </c>
      <c r="G204" s="41" t="n">
        <f aca="false">IF(AND(D204&gt;0.5,N($C$19)&gt;0,N(B204)&lt;=N($C$20)),D204*$F$8,0)</f>
        <v>0</v>
      </c>
      <c r="H204" s="41" t="n">
        <f aca="false">IF(D204&lt;=0.5,0,MIN(IF(N(I204)&gt;0,I204,$F$9),D204+E204+F204))</f>
        <v>0</v>
      </c>
      <c r="I204" s="77"/>
      <c r="J204" s="77"/>
      <c r="K204" s="41" t="n">
        <f aca="false">IF(D204&lt;=0.5,0,MIN(H204+N(J204),D204+E204+F204))</f>
        <v>0</v>
      </c>
      <c r="L204" s="41" t="n">
        <f aca="false">K204-E204-F204</f>
        <v>0</v>
      </c>
      <c r="M204" s="41" t="n">
        <f aca="false">D204-L204</f>
        <v>0</v>
      </c>
      <c r="N204" s="42" t="n">
        <f aca="false">K204-G204</f>
        <v>0</v>
      </c>
      <c r="O204" s="78"/>
      <c r="P204" s="79"/>
      <c r="Q204" s="16" t="str">
        <f aca="false">IF(K204=0,"",IF(R204=1,"Pagada",IF(C204&lt;$F$12,"Vencida",IF(178=$F$13,"Próxima","Pendiente"))))</f>
        <v/>
      </c>
      <c r="R204" s="62" t="n">
        <f aca="false">IF(AND(K204&gt;0,OR(O204="Sí",O204="Si")),1,0)</f>
        <v>0</v>
      </c>
      <c r="S204" s="62" t="n">
        <f aca="false">IF(AND(K204&gt;0,R204=0),1,0)</f>
        <v>0</v>
      </c>
    </row>
    <row r="205" customFormat="false" ht="15" hidden="false" customHeight="false" outlineLevel="0" collapsed="false">
      <c r="B205" s="71" t="str">
        <f aca="false">IF($F$6="Sí",N($C$11)+178,"")</f>
        <v/>
      </c>
      <c r="C205" s="72" t="str">
        <f aca="false">IF(OR($F$6&lt;&gt;"Sí",D205&lt;=0.5),"",EDATE($C$10,178))</f>
        <v/>
      </c>
      <c r="D205" s="41" t="n">
        <f aca="false">MAX(0,M204)</f>
        <v>0</v>
      </c>
      <c r="E205" s="41" t="n">
        <f aca="false">D205*$F$7</f>
        <v>0</v>
      </c>
      <c r="F205" s="41" t="n">
        <f aca="false">IF(D205&gt;0.5,N($C$15),0)</f>
        <v>0</v>
      </c>
      <c r="G205" s="41" t="n">
        <f aca="false">IF(AND(D205&gt;0.5,N($C$19)&gt;0,N(B205)&lt;=N($C$20)),D205*$F$8,0)</f>
        <v>0</v>
      </c>
      <c r="H205" s="41" t="n">
        <f aca="false">IF(D205&lt;=0.5,0,MIN(IF(N(I205)&gt;0,I205,$F$9),D205+E205+F205))</f>
        <v>0</v>
      </c>
      <c r="I205" s="77"/>
      <c r="J205" s="77"/>
      <c r="K205" s="41" t="n">
        <f aca="false">IF(D205&lt;=0.5,0,MIN(H205+N(J205),D205+E205+F205))</f>
        <v>0</v>
      </c>
      <c r="L205" s="41" t="n">
        <f aca="false">K205-E205-F205</f>
        <v>0</v>
      </c>
      <c r="M205" s="41" t="n">
        <f aca="false">D205-L205</f>
        <v>0</v>
      </c>
      <c r="N205" s="42" t="n">
        <f aca="false">K205-G205</f>
        <v>0</v>
      </c>
      <c r="O205" s="78"/>
      <c r="P205" s="79"/>
      <c r="Q205" s="16" t="str">
        <f aca="false">IF(K205=0,"",IF(R205=1,"Pagada",IF(C205&lt;$F$12,"Vencida",IF(179=$F$13,"Próxima","Pendiente"))))</f>
        <v/>
      </c>
      <c r="R205" s="62" t="n">
        <f aca="false">IF(AND(K205&gt;0,OR(O205="Sí",O205="Si")),1,0)</f>
        <v>0</v>
      </c>
      <c r="S205" s="62" t="n">
        <f aca="false">IF(AND(K205&gt;0,R205=0),1,0)</f>
        <v>0</v>
      </c>
    </row>
    <row r="206" customFormat="false" ht="15" hidden="false" customHeight="false" outlineLevel="0" collapsed="false">
      <c r="B206" s="71" t="str">
        <f aca="false">IF($F$6="Sí",N($C$11)+179,"")</f>
        <v/>
      </c>
      <c r="C206" s="72" t="str">
        <f aca="false">IF(OR($F$6&lt;&gt;"Sí",D206&lt;=0.5),"",EDATE($C$10,179))</f>
        <v/>
      </c>
      <c r="D206" s="41" t="n">
        <f aca="false">MAX(0,M205)</f>
        <v>0</v>
      </c>
      <c r="E206" s="41" t="n">
        <f aca="false">D206*$F$7</f>
        <v>0</v>
      </c>
      <c r="F206" s="41" t="n">
        <f aca="false">IF(D206&gt;0.5,N($C$15),0)</f>
        <v>0</v>
      </c>
      <c r="G206" s="41" t="n">
        <f aca="false">IF(AND(D206&gt;0.5,N($C$19)&gt;0,N(B206)&lt;=N($C$20)),D206*$F$8,0)</f>
        <v>0</v>
      </c>
      <c r="H206" s="41" t="n">
        <f aca="false">IF(D206&lt;=0.5,0,MIN(IF(N(I206)&gt;0,I206,$F$9),D206+E206+F206))</f>
        <v>0</v>
      </c>
      <c r="I206" s="77"/>
      <c r="J206" s="77"/>
      <c r="K206" s="41" t="n">
        <f aca="false">IF(D206&lt;=0.5,0,MIN(H206+N(J206),D206+E206+F206))</f>
        <v>0</v>
      </c>
      <c r="L206" s="41" t="n">
        <f aca="false">K206-E206-F206</f>
        <v>0</v>
      </c>
      <c r="M206" s="41" t="n">
        <f aca="false">D206-L206</f>
        <v>0</v>
      </c>
      <c r="N206" s="42" t="n">
        <f aca="false">K206-G206</f>
        <v>0</v>
      </c>
      <c r="O206" s="78"/>
      <c r="P206" s="79"/>
      <c r="Q206" s="16" t="str">
        <f aca="false">IF(K206=0,"",IF(R206=1,"Pagada",IF(C206&lt;$F$12,"Vencida",IF(180=$F$13,"Próxima","Pendiente"))))</f>
        <v/>
      </c>
      <c r="R206" s="62" t="n">
        <f aca="false">IF(AND(K206&gt;0,OR(O206="Sí",O206="Si")),1,0)</f>
        <v>0</v>
      </c>
      <c r="S206" s="62" t="n">
        <f aca="false">IF(AND(K206&gt;0,R206=0),1,0)</f>
        <v>0</v>
      </c>
    </row>
    <row r="207" customFormat="false" ht="15" hidden="false" customHeight="false" outlineLevel="0" collapsed="false">
      <c r="B207" s="71" t="str">
        <f aca="false">IF($F$6="Sí",N($C$11)+180,"")</f>
        <v/>
      </c>
      <c r="C207" s="72" t="str">
        <f aca="false">IF(OR($F$6&lt;&gt;"Sí",D207&lt;=0.5),"",EDATE($C$10,180))</f>
        <v/>
      </c>
      <c r="D207" s="41" t="n">
        <f aca="false">MAX(0,M206)</f>
        <v>0</v>
      </c>
      <c r="E207" s="41" t="n">
        <f aca="false">D207*$F$7</f>
        <v>0</v>
      </c>
      <c r="F207" s="41" t="n">
        <f aca="false">IF(D207&gt;0.5,N($C$15),0)</f>
        <v>0</v>
      </c>
      <c r="G207" s="41" t="n">
        <f aca="false">IF(AND(D207&gt;0.5,N($C$19)&gt;0,N(B207)&lt;=N($C$20)),D207*$F$8,0)</f>
        <v>0</v>
      </c>
      <c r="H207" s="41" t="n">
        <f aca="false">IF(D207&lt;=0.5,0,MIN(IF(N(I207)&gt;0,I207,$F$9),D207+E207+F207))</f>
        <v>0</v>
      </c>
      <c r="I207" s="77"/>
      <c r="J207" s="77"/>
      <c r="K207" s="41" t="n">
        <f aca="false">IF(D207&lt;=0.5,0,MIN(H207+N(J207),D207+E207+F207))</f>
        <v>0</v>
      </c>
      <c r="L207" s="41" t="n">
        <f aca="false">K207-E207-F207</f>
        <v>0</v>
      </c>
      <c r="M207" s="41" t="n">
        <f aca="false">D207-L207</f>
        <v>0</v>
      </c>
      <c r="N207" s="42" t="n">
        <f aca="false">K207-G207</f>
        <v>0</v>
      </c>
      <c r="O207" s="78"/>
      <c r="P207" s="79"/>
      <c r="Q207" s="16" t="str">
        <f aca="false">IF(K207=0,"",IF(R207=1,"Pagada",IF(C207&lt;$F$12,"Vencida",IF(181=$F$13,"Próxima","Pendiente"))))</f>
        <v/>
      </c>
      <c r="R207" s="62" t="n">
        <f aca="false">IF(AND(K207&gt;0,OR(O207="Sí",O207="Si")),1,0)</f>
        <v>0</v>
      </c>
      <c r="S207" s="62" t="n">
        <f aca="false">IF(AND(K207&gt;0,R207=0),1,0)</f>
        <v>0</v>
      </c>
    </row>
    <row r="208" customFormat="false" ht="15" hidden="false" customHeight="false" outlineLevel="0" collapsed="false">
      <c r="B208" s="71" t="str">
        <f aca="false">IF($F$6="Sí",N($C$11)+181,"")</f>
        <v/>
      </c>
      <c r="C208" s="72" t="str">
        <f aca="false">IF(OR($F$6&lt;&gt;"Sí",D208&lt;=0.5),"",EDATE($C$10,181))</f>
        <v/>
      </c>
      <c r="D208" s="41" t="n">
        <f aca="false">MAX(0,M207)</f>
        <v>0</v>
      </c>
      <c r="E208" s="41" t="n">
        <f aca="false">D208*$F$7</f>
        <v>0</v>
      </c>
      <c r="F208" s="41" t="n">
        <f aca="false">IF(D208&gt;0.5,N($C$15),0)</f>
        <v>0</v>
      </c>
      <c r="G208" s="41" t="n">
        <f aca="false">IF(AND(D208&gt;0.5,N($C$19)&gt;0,N(B208)&lt;=N($C$20)),D208*$F$8,0)</f>
        <v>0</v>
      </c>
      <c r="H208" s="41" t="n">
        <f aca="false">IF(D208&lt;=0.5,0,MIN(IF(N(I208)&gt;0,I208,$F$9),D208+E208+F208))</f>
        <v>0</v>
      </c>
      <c r="I208" s="77"/>
      <c r="J208" s="77"/>
      <c r="K208" s="41" t="n">
        <f aca="false">IF(D208&lt;=0.5,0,MIN(H208+N(J208),D208+E208+F208))</f>
        <v>0</v>
      </c>
      <c r="L208" s="41" t="n">
        <f aca="false">K208-E208-F208</f>
        <v>0</v>
      </c>
      <c r="M208" s="41" t="n">
        <f aca="false">D208-L208</f>
        <v>0</v>
      </c>
      <c r="N208" s="42" t="n">
        <f aca="false">K208-G208</f>
        <v>0</v>
      </c>
      <c r="O208" s="78"/>
      <c r="P208" s="79"/>
      <c r="Q208" s="16" t="str">
        <f aca="false">IF(K208=0,"",IF(R208=1,"Pagada",IF(C208&lt;$F$12,"Vencida",IF(182=$F$13,"Próxima","Pendiente"))))</f>
        <v/>
      </c>
      <c r="R208" s="62" t="n">
        <f aca="false">IF(AND(K208&gt;0,OR(O208="Sí",O208="Si")),1,0)</f>
        <v>0</v>
      </c>
      <c r="S208" s="62" t="n">
        <f aca="false">IF(AND(K208&gt;0,R208=0),1,0)</f>
        <v>0</v>
      </c>
    </row>
    <row r="209" customFormat="false" ht="15" hidden="false" customHeight="false" outlineLevel="0" collapsed="false">
      <c r="B209" s="71" t="str">
        <f aca="false">IF($F$6="Sí",N($C$11)+182,"")</f>
        <v/>
      </c>
      <c r="C209" s="72" t="str">
        <f aca="false">IF(OR($F$6&lt;&gt;"Sí",D209&lt;=0.5),"",EDATE($C$10,182))</f>
        <v/>
      </c>
      <c r="D209" s="41" t="n">
        <f aca="false">MAX(0,M208)</f>
        <v>0</v>
      </c>
      <c r="E209" s="41" t="n">
        <f aca="false">D209*$F$7</f>
        <v>0</v>
      </c>
      <c r="F209" s="41" t="n">
        <f aca="false">IF(D209&gt;0.5,N($C$15),0)</f>
        <v>0</v>
      </c>
      <c r="G209" s="41" t="n">
        <f aca="false">IF(AND(D209&gt;0.5,N($C$19)&gt;0,N(B209)&lt;=N($C$20)),D209*$F$8,0)</f>
        <v>0</v>
      </c>
      <c r="H209" s="41" t="n">
        <f aca="false">IF(D209&lt;=0.5,0,MIN(IF(N(I209)&gt;0,I209,$F$9),D209+E209+F209))</f>
        <v>0</v>
      </c>
      <c r="I209" s="77"/>
      <c r="J209" s="77"/>
      <c r="K209" s="41" t="n">
        <f aca="false">IF(D209&lt;=0.5,0,MIN(H209+N(J209),D209+E209+F209))</f>
        <v>0</v>
      </c>
      <c r="L209" s="41" t="n">
        <f aca="false">K209-E209-F209</f>
        <v>0</v>
      </c>
      <c r="M209" s="41" t="n">
        <f aca="false">D209-L209</f>
        <v>0</v>
      </c>
      <c r="N209" s="42" t="n">
        <f aca="false">K209-G209</f>
        <v>0</v>
      </c>
      <c r="O209" s="78"/>
      <c r="P209" s="79"/>
      <c r="Q209" s="16" t="str">
        <f aca="false">IF(K209=0,"",IF(R209=1,"Pagada",IF(C209&lt;$F$12,"Vencida",IF(183=$F$13,"Próxima","Pendiente"))))</f>
        <v/>
      </c>
      <c r="R209" s="62" t="n">
        <f aca="false">IF(AND(K209&gt;0,OR(O209="Sí",O209="Si")),1,0)</f>
        <v>0</v>
      </c>
      <c r="S209" s="62" t="n">
        <f aca="false">IF(AND(K209&gt;0,R209=0),1,0)</f>
        <v>0</v>
      </c>
    </row>
    <row r="210" customFormat="false" ht="15" hidden="false" customHeight="false" outlineLevel="0" collapsed="false">
      <c r="B210" s="71" t="str">
        <f aca="false">IF($F$6="Sí",N($C$11)+183,"")</f>
        <v/>
      </c>
      <c r="C210" s="72" t="str">
        <f aca="false">IF(OR($F$6&lt;&gt;"Sí",D210&lt;=0.5),"",EDATE($C$10,183))</f>
        <v/>
      </c>
      <c r="D210" s="41" t="n">
        <f aca="false">MAX(0,M209)</f>
        <v>0</v>
      </c>
      <c r="E210" s="41" t="n">
        <f aca="false">D210*$F$7</f>
        <v>0</v>
      </c>
      <c r="F210" s="41" t="n">
        <f aca="false">IF(D210&gt;0.5,N($C$15),0)</f>
        <v>0</v>
      </c>
      <c r="G210" s="41" t="n">
        <f aca="false">IF(AND(D210&gt;0.5,N($C$19)&gt;0,N(B210)&lt;=N($C$20)),D210*$F$8,0)</f>
        <v>0</v>
      </c>
      <c r="H210" s="41" t="n">
        <f aca="false">IF(D210&lt;=0.5,0,MIN(IF(N(I210)&gt;0,I210,$F$9),D210+E210+F210))</f>
        <v>0</v>
      </c>
      <c r="I210" s="77"/>
      <c r="J210" s="77"/>
      <c r="K210" s="41" t="n">
        <f aca="false">IF(D210&lt;=0.5,0,MIN(H210+N(J210),D210+E210+F210))</f>
        <v>0</v>
      </c>
      <c r="L210" s="41" t="n">
        <f aca="false">K210-E210-F210</f>
        <v>0</v>
      </c>
      <c r="M210" s="41" t="n">
        <f aca="false">D210-L210</f>
        <v>0</v>
      </c>
      <c r="N210" s="42" t="n">
        <f aca="false">K210-G210</f>
        <v>0</v>
      </c>
      <c r="O210" s="78"/>
      <c r="P210" s="79"/>
      <c r="Q210" s="16" t="str">
        <f aca="false">IF(K210=0,"",IF(R210=1,"Pagada",IF(C210&lt;$F$12,"Vencida",IF(184=$F$13,"Próxima","Pendiente"))))</f>
        <v/>
      </c>
      <c r="R210" s="62" t="n">
        <f aca="false">IF(AND(K210&gt;0,OR(O210="Sí",O210="Si")),1,0)</f>
        <v>0</v>
      </c>
      <c r="S210" s="62" t="n">
        <f aca="false">IF(AND(K210&gt;0,R210=0),1,0)</f>
        <v>0</v>
      </c>
    </row>
    <row r="211" customFormat="false" ht="15" hidden="false" customHeight="false" outlineLevel="0" collapsed="false">
      <c r="B211" s="71" t="str">
        <f aca="false">IF($F$6="Sí",N($C$11)+184,"")</f>
        <v/>
      </c>
      <c r="C211" s="72" t="str">
        <f aca="false">IF(OR($F$6&lt;&gt;"Sí",D211&lt;=0.5),"",EDATE($C$10,184))</f>
        <v/>
      </c>
      <c r="D211" s="41" t="n">
        <f aca="false">MAX(0,M210)</f>
        <v>0</v>
      </c>
      <c r="E211" s="41" t="n">
        <f aca="false">D211*$F$7</f>
        <v>0</v>
      </c>
      <c r="F211" s="41" t="n">
        <f aca="false">IF(D211&gt;0.5,N($C$15),0)</f>
        <v>0</v>
      </c>
      <c r="G211" s="41" t="n">
        <f aca="false">IF(AND(D211&gt;0.5,N($C$19)&gt;0,N(B211)&lt;=N($C$20)),D211*$F$8,0)</f>
        <v>0</v>
      </c>
      <c r="H211" s="41" t="n">
        <f aca="false">IF(D211&lt;=0.5,0,MIN(IF(N(I211)&gt;0,I211,$F$9),D211+E211+F211))</f>
        <v>0</v>
      </c>
      <c r="I211" s="77"/>
      <c r="J211" s="77"/>
      <c r="K211" s="41" t="n">
        <f aca="false">IF(D211&lt;=0.5,0,MIN(H211+N(J211),D211+E211+F211))</f>
        <v>0</v>
      </c>
      <c r="L211" s="41" t="n">
        <f aca="false">K211-E211-F211</f>
        <v>0</v>
      </c>
      <c r="M211" s="41" t="n">
        <f aca="false">D211-L211</f>
        <v>0</v>
      </c>
      <c r="N211" s="42" t="n">
        <f aca="false">K211-G211</f>
        <v>0</v>
      </c>
      <c r="O211" s="78"/>
      <c r="P211" s="79"/>
      <c r="Q211" s="16" t="str">
        <f aca="false">IF(K211=0,"",IF(R211=1,"Pagada",IF(C211&lt;$F$12,"Vencida",IF(185=$F$13,"Próxima","Pendiente"))))</f>
        <v/>
      </c>
      <c r="R211" s="62" t="n">
        <f aca="false">IF(AND(K211&gt;0,OR(O211="Sí",O211="Si")),1,0)</f>
        <v>0</v>
      </c>
      <c r="S211" s="62" t="n">
        <f aca="false">IF(AND(K211&gt;0,R211=0),1,0)</f>
        <v>0</v>
      </c>
    </row>
    <row r="212" customFormat="false" ht="15" hidden="false" customHeight="false" outlineLevel="0" collapsed="false">
      <c r="B212" s="71" t="str">
        <f aca="false">IF($F$6="Sí",N($C$11)+185,"")</f>
        <v/>
      </c>
      <c r="C212" s="72" t="str">
        <f aca="false">IF(OR($F$6&lt;&gt;"Sí",D212&lt;=0.5),"",EDATE($C$10,185))</f>
        <v/>
      </c>
      <c r="D212" s="41" t="n">
        <f aca="false">MAX(0,M211)</f>
        <v>0</v>
      </c>
      <c r="E212" s="41" t="n">
        <f aca="false">D212*$F$7</f>
        <v>0</v>
      </c>
      <c r="F212" s="41" t="n">
        <f aca="false">IF(D212&gt;0.5,N($C$15),0)</f>
        <v>0</v>
      </c>
      <c r="G212" s="41" t="n">
        <f aca="false">IF(AND(D212&gt;0.5,N($C$19)&gt;0,N(B212)&lt;=N($C$20)),D212*$F$8,0)</f>
        <v>0</v>
      </c>
      <c r="H212" s="41" t="n">
        <f aca="false">IF(D212&lt;=0.5,0,MIN(IF(N(I212)&gt;0,I212,$F$9),D212+E212+F212))</f>
        <v>0</v>
      </c>
      <c r="I212" s="77"/>
      <c r="J212" s="77"/>
      <c r="K212" s="41" t="n">
        <f aca="false">IF(D212&lt;=0.5,0,MIN(H212+N(J212),D212+E212+F212))</f>
        <v>0</v>
      </c>
      <c r="L212" s="41" t="n">
        <f aca="false">K212-E212-F212</f>
        <v>0</v>
      </c>
      <c r="M212" s="41" t="n">
        <f aca="false">D212-L212</f>
        <v>0</v>
      </c>
      <c r="N212" s="42" t="n">
        <f aca="false">K212-G212</f>
        <v>0</v>
      </c>
      <c r="O212" s="78"/>
      <c r="P212" s="79"/>
      <c r="Q212" s="16" t="str">
        <f aca="false">IF(K212=0,"",IF(R212=1,"Pagada",IF(C212&lt;$F$12,"Vencida",IF(186=$F$13,"Próxima","Pendiente"))))</f>
        <v/>
      </c>
      <c r="R212" s="62" t="n">
        <f aca="false">IF(AND(K212&gt;0,OR(O212="Sí",O212="Si")),1,0)</f>
        <v>0</v>
      </c>
      <c r="S212" s="62" t="n">
        <f aca="false">IF(AND(K212&gt;0,R212=0),1,0)</f>
        <v>0</v>
      </c>
    </row>
    <row r="213" customFormat="false" ht="15" hidden="false" customHeight="false" outlineLevel="0" collapsed="false">
      <c r="B213" s="71" t="str">
        <f aca="false">IF($F$6="Sí",N($C$11)+186,"")</f>
        <v/>
      </c>
      <c r="C213" s="72" t="str">
        <f aca="false">IF(OR($F$6&lt;&gt;"Sí",D213&lt;=0.5),"",EDATE($C$10,186))</f>
        <v/>
      </c>
      <c r="D213" s="41" t="n">
        <f aca="false">MAX(0,M212)</f>
        <v>0</v>
      </c>
      <c r="E213" s="41" t="n">
        <f aca="false">D213*$F$7</f>
        <v>0</v>
      </c>
      <c r="F213" s="41" t="n">
        <f aca="false">IF(D213&gt;0.5,N($C$15),0)</f>
        <v>0</v>
      </c>
      <c r="G213" s="41" t="n">
        <f aca="false">IF(AND(D213&gt;0.5,N($C$19)&gt;0,N(B213)&lt;=N($C$20)),D213*$F$8,0)</f>
        <v>0</v>
      </c>
      <c r="H213" s="41" t="n">
        <f aca="false">IF(D213&lt;=0.5,0,MIN(IF(N(I213)&gt;0,I213,$F$9),D213+E213+F213))</f>
        <v>0</v>
      </c>
      <c r="I213" s="77"/>
      <c r="J213" s="77"/>
      <c r="K213" s="41" t="n">
        <f aca="false">IF(D213&lt;=0.5,0,MIN(H213+N(J213),D213+E213+F213))</f>
        <v>0</v>
      </c>
      <c r="L213" s="41" t="n">
        <f aca="false">K213-E213-F213</f>
        <v>0</v>
      </c>
      <c r="M213" s="41" t="n">
        <f aca="false">D213-L213</f>
        <v>0</v>
      </c>
      <c r="N213" s="42" t="n">
        <f aca="false">K213-G213</f>
        <v>0</v>
      </c>
      <c r="O213" s="78"/>
      <c r="P213" s="79"/>
      <c r="Q213" s="16" t="str">
        <f aca="false">IF(K213=0,"",IF(R213=1,"Pagada",IF(C213&lt;$F$12,"Vencida",IF(187=$F$13,"Próxima","Pendiente"))))</f>
        <v/>
      </c>
      <c r="R213" s="62" t="n">
        <f aca="false">IF(AND(K213&gt;0,OR(O213="Sí",O213="Si")),1,0)</f>
        <v>0</v>
      </c>
      <c r="S213" s="62" t="n">
        <f aca="false">IF(AND(K213&gt;0,R213=0),1,0)</f>
        <v>0</v>
      </c>
    </row>
    <row r="214" customFormat="false" ht="15" hidden="false" customHeight="false" outlineLevel="0" collapsed="false">
      <c r="B214" s="71" t="str">
        <f aca="false">IF($F$6="Sí",N($C$11)+187,"")</f>
        <v/>
      </c>
      <c r="C214" s="72" t="str">
        <f aca="false">IF(OR($F$6&lt;&gt;"Sí",D214&lt;=0.5),"",EDATE($C$10,187))</f>
        <v/>
      </c>
      <c r="D214" s="41" t="n">
        <f aca="false">MAX(0,M213)</f>
        <v>0</v>
      </c>
      <c r="E214" s="41" t="n">
        <f aca="false">D214*$F$7</f>
        <v>0</v>
      </c>
      <c r="F214" s="41" t="n">
        <f aca="false">IF(D214&gt;0.5,N($C$15),0)</f>
        <v>0</v>
      </c>
      <c r="G214" s="41" t="n">
        <f aca="false">IF(AND(D214&gt;0.5,N($C$19)&gt;0,N(B214)&lt;=N($C$20)),D214*$F$8,0)</f>
        <v>0</v>
      </c>
      <c r="H214" s="41" t="n">
        <f aca="false">IF(D214&lt;=0.5,0,MIN(IF(N(I214)&gt;0,I214,$F$9),D214+E214+F214))</f>
        <v>0</v>
      </c>
      <c r="I214" s="77"/>
      <c r="J214" s="77"/>
      <c r="K214" s="41" t="n">
        <f aca="false">IF(D214&lt;=0.5,0,MIN(H214+N(J214),D214+E214+F214))</f>
        <v>0</v>
      </c>
      <c r="L214" s="41" t="n">
        <f aca="false">K214-E214-F214</f>
        <v>0</v>
      </c>
      <c r="M214" s="41" t="n">
        <f aca="false">D214-L214</f>
        <v>0</v>
      </c>
      <c r="N214" s="42" t="n">
        <f aca="false">K214-G214</f>
        <v>0</v>
      </c>
      <c r="O214" s="78"/>
      <c r="P214" s="79"/>
      <c r="Q214" s="16" t="str">
        <f aca="false">IF(K214=0,"",IF(R214=1,"Pagada",IF(C214&lt;$F$12,"Vencida",IF(188=$F$13,"Próxima","Pendiente"))))</f>
        <v/>
      </c>
      <c r="R214" s="62" t="n">
        <f aca="false">IF(AND(K214&gt;0,OR(O214="Sí",O214="Si")),1,0)</f>
        <v>0</v>
      </c>
      <c r="S214" s="62" t="n">
        <f aca="false">IF(AND(K214&gt;0,R214=0),1,0)</f>
        <v>0</v>
      </c>
    </row>
    <row r="215" customFormat="false" ht="15" hidden="false" customHeight="false" outlineLevel="0" collapsed="false">
      <c r="B215" s="71" t="str">
        <f aca="false">IF($F$6="Sí",N($C$11)+188,"")</f>
        <v/>
      </c>
      <c r="C215" s="72" t="str">
        <f aca="false">IF(OR($F$6&lt;&gt;"Sí",D215&lt;=0.5),"",EDATE($C$10,188))</f>
        <v/>
      </c>
      <c r="D215" s="41" t="n">
        <f aca="false">MAX(0,M214)</f>
        <v>0</v>
      </c>
      <c r="E215" s="41" t="n">
        <f aca="false">D215*$F$7</f>
        <v>0</v>
      </c>
      <c r="F215" s="41" t="n">
        <f aca="false">IF(D215&gt;0.5,N($C$15),0)</f>
        <v>0</v>
      </c>
      <c r="G215" s="41" t="n">
        <f aca="false">IF(AND(D215&gt;0.5,N($C$19)&gt;0,N(B215)&lt;=N($C$20)),D215*$F$8,0)</f>
        <v>0</v>
      </c>
      <c r="H215" s="41" t="n">
        <f aca="false">IF(D215&lt;=0.5,0,MIN(IF(N(I215)&gt;0,I215,$F$9),D215+E215+F215))</f>
        <v>0</v>
      </c>
      <c r="I215" s="77"/>
      <c r="J215" s="77"/>
      <c r="K215" s="41" t="n">
        <f aca="false">IF(D215&lt;=0.5,0,MIN(H215+N(J215),D215+E215+F215))</f>
        <v>0</v>
      </c>
      <c r="L215" s="41" t="n">
        <f aca="false">K215-E215-F215</f>
        <v>0</v>
      </c>
      <c r="M215" s="41" t="n">
        <f aca="false">D215-L215</f>
        <v>0</v>
      </c>
      <c r="N215" s="42" t="n">
        <f aca="false">K215-G215</f>
        <v>0</v>
      </c>
      <c r="O215" s="78"/>
      <c r="P215" s="79"/>
      <c r="Q215" s="16" t="str">
        <f aca="false">IF(K215=0,"",IF(R215=1,"Pagada",IF(C215&lt;$F$12,"Vencida",IF(189=$F$13,"Próxima","Pendiente"))))</f>
        <v/>
      </c>
      <c r="R215" s="62" t="n">
        <f aca="false">IF(AND(K215&gt;0,OR(O215="Sí",O215="Si")),1,0)</f>
        <v>0</v>
      </c>
      <c r="S215" s="62" t="n">
        <f aca="false">IF(AND(K215&gt;0,R215=0),1,0)</f>
        <v>0</v>
      </c>
    </row>
    <row r="216" customFormat="false" ht="15" hidden="false" customHeight="false" outlineLevel="0" collapsed="false">
      <c r="B216" s="71" t="str">
        <f aca="false">IF($F$6="Sí",N($C$11)+189,"")</f>
        <v/>
      </c>
      <c r="C216" s="72" t="str">
        <f aca="false">IF(OR($F$6&lt;&gt;"Sí",D216&lt;=0.5),"",EDATE($C$10,189))</f>
        <v/>
      </c>
      <c r="D216" s="41" t="n">
        <f aca="false">MAX(0,M215)</f>
        <v>0</v>
      </c>
      <c r="E216" s="41" t="n">
        <f aca="false">D216*$F$7</f>
        <v>0</v>
      </c>
      <c r="F216" s="41" t="n">
        <f aca="false">IF(D216&gt;0.5,N($C$15),0)</f>
        <v>0</v>
      </c>
      <c r="G216" s="41" t="n">
        <f aca="false">IF(AND(D216&gt;0.5,N($C$19)&gt;0,N(B216)&lt;=N($C$20)),D216*$F$8,0)</f>
        <v>0</v>
      </c>
      <c r="H216" s="41" t="n">
        <f aca="false">IF(D216&lt;=0.5,0,MIN(IF(N(I216)&gt;0,I216,$F$9),D216+E216+F216))</f>
        <v>0</v>
      </c>
      <c r="I216" s="77"/>
      <c r="J216" s="77"/>
      <c r="K216" s="41" t="n">
        <f aca="false">IF(D216&lt;=0.5,0,MIN(H216+N(J216),D216+E216+F216))</f>
        <v>0</v>
      </c>
      <c r="L216" s="41" t="n">
        <f aca="false">K216-E216-F216</f>
        <v>0</v>
      </c>
      <c r="M216" s="41" t="n">
        <f aca="false">D216-L216</f>
        <v>0</v>
      </c>
      <c r="N216" s="42" t="n">
        <f aca="false">K216-G216</f>
        <v>0</v>
      </c>
      <c r="O216" s="78"/>
      <c r="P216" s="79"/>
      <c r="Q216" s="16" t="str">
        <f aca="false">IF(K216=0,"",IF(R216=1,"Pagada",IF(C216&lt;$F$12,"Vencida",IF(190=$F$13,"Próxima","Pendiente"))))</f>
        <v/>
      </c>
      <c r="R216" s="62" t="n">
        <f aca="false">IF(AND(K216&gt;0,OR(O216="Sí",O216="Si")),1,0)</f>
        <v>0</v>
      </c>
      <c r="S216" s="62" t="n">
        <f aca="false">IF(AND(K216&gt;0,R216=0),1,0)</f>
        <v>0</v>
      </c>
    </row>
    <row r="217" customFormat="false" ht="15" hidden="false" customHeight="false" outlineLevel="0" collapsed="false">
      <c r="B217" s="71" t="str">
        <f aca="false">IF($F$6="Sí",N($C$11)+190,"")</f>
        <v/>
      </c>
      <c r="C217" s="72" t="str">
        <f aca="false">IF(OR($F$6&lt;&gt;"Sí",D217&lt;=0.5),"",EDATE($C$10,190))</f>
        <v/>
      </c>
      <c r="D217" s="41" t="n">
        <f aca="false">MAX(0,M216)</f>
        <v>0</v>
      </c>
      <c r="E217" s="41" t="n">
        <f aca="false">D217*$F$7</f>
        <v>0</v>
      </c>
      <c r="F217" s="41" t="n">
        <f aca="false">IF(D217&gt;0.5,N($C$15),0)</f>
        <v>0</v>
      </c>
      <c r="G217" s="41" t="n">
        <f aca="false">IF(AND(D217&gt;0.5,N($C$19)&gt;0,N(B217)&lt;=N($C$20)),D217*$F$8,0)</f>
        <v>0</v>
      </c>
      <c r="H217" s="41" t="n">
        <f aca="false">IF(D217&lt;=0.5,0,MIN(IF(N(I217)&gt;0,I217,$F$9),D217+E217+F217))</f>
        <v>0</v>
      </c>
      <c r="I217" s="77"/>
      <c r="J217" s="77"/>
      <c r="K217" s="41" t="n">
        <f aca="false">IF(D217&lt;=0.5,0,MIN(H217+N(J217),D217+E217+F217))</f>
        <v>0</v>
      </c>
      <c r="L217" s="41" t="n">
        <f aca="false">K217-E217-F217</f>
        <v>0</v>
      </c>
      <c r="M217" s="41" t="n">
        <f aca="false">D217-L217</f>
        <v>0</v>
      </c>
      <c r="N217" s="42" t="n">
        <f aca="false">K217-G217</f>
        <v>0</v>
      </c>
      <c r="O217" s="78"/>
      <c r="P217" s="79"/>
      <c r="Q217" s="16" t="str">
        <f aca="false">IF(K217=0,"",IF(R217=1,"Pagada",IF(C217&lt;$F$12,"Vencida",IF(191=$F$13,"Próxima","Pendiente"))))</f>
        <v/>
      </c>
      <c r="R217" s="62" t="n">
        <f aca="false">IF(AND(K217&gt;0,OR(O217="Sí",O217="Si")),1,0)</f>
        <v>0</v>
      </c>
      <c r="S217" s="62" t="n">
        <f aca="false">IF(AND(K217&gt;0,R217=0),1,0)</f>
        <v>0</v>
      </c>
    </row>
    <row r="218" customFormat="false" ht="15" hidden="false" customHeight="false" outlineLevel="0" collapsed="false">
      <c r="B218" s="71" t="str">
        <f aca="false">IF($F$6="Sí",N($C$11)+191,"")</f>
        <v/>
      </c>
      <c r="C218" s="72" t="str">
        <f aca="false">IF(OR($F$6&lt;&gt;"Sí",D218&lt;=0.5),"",EDATE($C$10,191))</f>
        <v/>
      </c>
      <c r="D218" s="41" t="n">
        <f aca="false">MAX(0,M217)</f>
        <v>0</v>
      </c>
      <c r="E218" s="41" t="n">
        <f aca="false">D218*$F$7</f>
        <v>0</v>
      </c>
      <c r="F218" s="41" t="n">
        <f aca="false">IF(D218&gt;0.5,N($C$15),0)</f>
        <v>0</v>
      </c>
      <c r="G218" s="41" t="n">
        <f aca="false">IF(AND(D218&gt;0.5,N($C$19)&gt;0,N(B218)&lt;=N($C$20)),D218*$F$8,0)</f>
        <v>0</v>
      </c>
      <c r="H218" s="41" t="n">
        <f aca="false">IF(D218&lt;=0.5,0,MIN(IF(N(I218)&gt;0,I218,$F$9),D218+E218+F218))</f>
        <v>0</v>
      </c>
      <c r="I218" s="77"/>
      <c r="J218" s="77"/>
      <c r="K218" s="41" t="n">
        <f aca="false">IF(D218&lt;=0.5,0,MIN(H218+N(J218),D218+E218+F218))</f>
        <v>0</v>
      </c>
      <c r="L218" s="41" t="n">
        <f aca="false">K218-E218-F218</f>
        <v>0</v>
      </c>
      <c r="M218" s="41" t="n">
        <f aca="false">D218-L218</f>
        <v>0</v>
      </c>
      <c r="N218" s="42" t="n">
        <f aca="false">K218-G218</f>
        <v>0</v>
      </c>
      <c r="O218" s="78"/>
      <c r="P218" s="79"/>
      <c r="Q218" s="16" t="str">
        <f aca="false">IF(K218=0,"",IF(R218=1,"Pagada",IF(C218&lt;$F$12,"Vencida",IF(192=$F$13,"Próxima","Pendiente"))))</f>
        <v/>
      </c>
      <c r="R218" s="62" t="n">
        <f aca="false">IF(AND(K218&gt;0,OR(O218="Sí",O218="Si")),1,0)</f>
        <v>0</v>
      </c>
      <c r="S218" s="62" t="n">
        <f aca="false">IF(AND(K218&gt;0,R218=0),1,0)</f>
        <v>0</v>
      </c>
    </row>
    <row r="219" customFormat="false" ht="15" hidden="false" customHeight="false" outlineLevel="0" collapsed="false">
      <c r="B219" s="71" t="str">
        <f aca="false">IF($F$6="Sí",N($C$11)+192,"")</f>
        <v/>
      </c>
      <c r="C219" s="72" t="str">
        <f aca="false">IF(OR($F$6&lt;&gt;"Sí",D219&lt;=0.5),"",EDATE($C$10,192))</f>
        <v/>
      </c>
      <c r="D219" s="41" t="n">
        <f aca="false">MAX(0,M218)</f>
        <v>0</v>
      </c>
      <c r="E219" s="41" t="n">
        <f aca="false">D219*$F$7</f>
        <v>0</v>
      </c>
      <c r="F219" s="41" t="n">
        <f aca="false">IF(D219&gt;0.5,N($C$15),0)</f>
        <v>0</v>
      </c>
      <c r="G219" s="41" t="n">
        <f aca="false">IF(AND(D219&gt;0.5,N($C$19)&gt;0,N(B219)&lt;=N($C$20)),D219*$F$8,0)</f>
        <v>0</v>
      </c>
      <c r="H219" s="41" t="n">
        <f aca="false">IF(D219&lt;=0.5,0,MIN(IF(N(I219)&gt;0,I219,$F$9),D219+E219+F219))</f>
        <v>0</v>
      </c>
      <c r="I219" s="77"/>
      <c r="J219" s="77"/>
      <c r="K219" s="41" t="n">
        <f aca="false">IF(D219&lt;=0.5,0,MIN(H219+N(J219),D219+E219+F219))</f>
        <v>0</v>
      </c>
      <c r="L219" s="41" t="n">
        <f aca="false">K219-E219-F219</f>
        <v>0</v>
      </c>
      <c r="M219" s="41" t="n">
        <f aca="false">D219-L219</f>
        <v>0</v>
      </c>
      <c r="N219" s="42" t="n">
        <f aca="false">K219-G219</f>
        <v>0</v>
      </c>
      <c r="O219" s="78"/>
      <c r="P219" s="79"/>
      <c r="Q219" s="16" t="str">
        <f aca="false">IF(K219=0,"",IF(R219=1,"Pagada",IF(C219&lt;$F$12,"Vencida",IF(193=$F$13,"Próxima","Pendiente"))))</f>
        <v/>
      </c>
      <c r="R219" s="62" t="n">
        <f aca="false">IF(AND(K219&gt;0,OR(O219="Sí",O219="Si")),1,0)</f>
        <v>0</v>
      </c>
      <c r="S219" s="62" t="n">
        <f aca="false">IF(AND(K219&gt;0,R219=0),1,0)</f>
        <v>0</v>
      </c>
    </row>
    <row r="220" customFormat="false" ht="15" hidden="false" customHeight="false" outlineLevel="0" collapsed="false">
      <c r="B220" s="71" t="str">
        <f aca="false">IF($F$6="Sí",N($C$11)+193,"")</f>
        <v/>
      </c>
      <c r="C220" s="72" t="str">
        <f aca="false">IF(OR($F$6&lt;&gt;"Sí",D220&lt;=0.5),"",EDATE($C$10,193))</f>
        <v/>
      </c>
      <c r="D220" s="41" t="n">
        <f aca="false">MAX(0,M219)</f>
        <v>0</v>
      </c>
      <c r="E220" s="41" t="n">
        <f aca="false">D220*$F$7</f>
        <v>0</v>
      </c>
      <c r="F220" s="41" t="n">
        <f aca="false">IF(D220&gt;0.5,N($C$15),0)</f>
        <v>0</v>
      </c>
      <c r="G220" s="41" t="n">
        <f aca="false">IF(AND(D220&gt;0.5,N($C$19)&gt;0,N(B220)&lt;=N($C$20)),D220*$F$8,0)</f>
        <v>0</v>
      </c>
      <c r="H220" s="41" t="n">
        <f aca="false">IF(D220&lt;=0.5,0,MIN(IF(N(I220)&gt;0,I220,$F$9),D220+E220+F220))</f>
        <v>0</v>
      </c>
      <c r="I220" s="77"/>
      <c r="J220" s="77"/>
      <c r="K220" s="41" t="n">
        <f aca="false">IF(D220&lt;=0.5,0,MIN(H220+N(J220),D220+E220+F220))</f>
        <v>0</v>
      </c>
      <c r="L220" s="41" t="n">
        <f aca="false">K220-E220-F220</f>
        <v>0</v>
      </c>
      <c r="M220" s="41" t="n">
        <f aca="false">D220-L220</f>
        <v>0</v>
      </c>
      <c r="N220" s="42" t="n">
        <f aca="false">K220-G220</f>
        <v>0</v>
      </c>
      <c r="O220" s="78"/>
      <c r="P220" s="79"/>
      <c r="Q220" s="16" t="str">
        <f aca="false">IF(K220=0,"",IF(R220=1,"Pagada",IF(C220&lt;$F$12,"Vencida",IF(194=$F$13,"Próxima","Pendiente"))))</f>
        <v/>
      </c>
      <c r="R220" s="62" t="n">
        <f aca="false">IF(AND(K220&gt;0,OR(O220="Sí",O220="Si")),1,0)</f>
        <v>0</v>
      </c>
      <c r="S220" s="62" t="n">
        <f aca="false">IF(AND(K220&gt;0,R220=0),1,0)</f>
        <v>0</v>
      </c>
    </row>
    <row r="221" customFormat="false" ht="15" hidden="false" customHeight="false" outlineLevel="0" collapsed="false">
      <c r="B221" s="71" t="str">
        <f aca="false">IF($F$6="Sí",N($C$11)+194,"")</f>
        <v/>
      </c>
      <c r="C221" s="72" t="str">
        <f aca="false">IF(OR($F$6&lt;&gt;"Sí",D221&lt;=0.5),"",EDATE($C$10,194))</f>
        <v/>
      </c>
      <c r="D221" s="41" t="n">
        <f aca="false">MAX(0,M220)</f>
        <v>0</v>
      </c>
      <c r="E221" s="41" t="n">
        <f aca="false">D221*$F$7</f>
        <v>0</v>
      </c>
      <c r="F221" s="41" t="n">
        <f aca="false">IF(D221&gt;0.5,N($C$15),0)</f>
        <v>0</v>
      </c>
      <c r="G221" s="41" t="n">
        <f aca="false">IF(AND(D221&gt;0.5,N($C$19)&gt;0,N(B221)&lt;=N($C$20)),D221*$F$8,0)</f>
        <v>0</v>
      </c>
      <c r="H221" s="41" t="n">
        <f aca="false">IF(D221&lt;=0.5,0,MIN(IF(N(I221)&gt;0,I221,$F$9),D221+E221+F221))</f>
        <v>0</v>
      </c>
      <c r="I221" s="77"/>
      <c r="J221" s="77"/>
      <c r="K221" s="41" t="n">
        <f aca="false">IF(D221&lt;=0.5,0,MIN(H221+N(J221),D221+E221+F221))</f>
        <v>0</v>
      </c>
      <c r="L221" s="41" t="n">
        <f aca="false">K221-E221-F221</f>
        <v>0</v>
      </c>
      <c r="M221" s="41" t="n">
        <f aca="false">D221-L221</f>
        <v>0</v>
      </c>
      <c r="N221" s="42" t="n">
        <f aca="false">K221-G221</f>
        <v>0</v>
      </c>
      <c r="O221" s="78"/>
      <c r="P221" s="79"/>
      <c r="Q221" s="16" t="str">
        <f aca="false">IF(K221=0,"",IF(R221=1,"Pagada",IF(C221&lt;$F$12,"Vencida",IF(195=$F$13,"Próxima","Pendiente"))))</f>
        <v/>
      </c>
      <c r="R221" s="62" t="n">
        <f aca="false">IF(AND(K221&gt;0,OR(O221="Sí",O221="Si")),1,0)</f>
        <v>0</v>
      </c>
      <c r="S221" s="62" t="n">
        <f aca="false">IF(AND(K221&gt;0,R221=0),1,0)</f>
        <v>0</v>
      </c>
    </row>
    <row r="222" customFormat="false" ht="15" hidden="false" customHeight="false" outlineLevel="0" collapsed="false">
      <c r="B222" s="71" t="str">
        <f aca="false">IF($F$6="Sí",N($C$11)+195,"")</f>
        <v/>
      </c>
      <c r="C222" s="72" t="str">
        <f aca="false">IF(OR($F$6&lt;&gt;"Sí",D222&lt;=0.5),"",EDATE($C$10,195))</f>
        <v/>
      </c>
      <c r="D222" s="41" t="n">
        <f aca="false">MAX(0,M221)</f>
        <v>0</v>
      </c>
      <c r="E222" s="41" t="n">
        <f aca="false">D222*$F$7</f>
        <v>0</v>
      </c>
      <c r="F222" s="41" t="n">
        <f aca="false">IF(D222&gt;0.5,N($C$15),0)</f>
        <v>0</v>
      </c>
      <c r="G222" s="41" t="n">
        <f aca="false">IF(AND(D222&gt;0.5,N($C$19)&gt;0,N(B222)&lt;=N($C$20)),D222*$F$8,0)</f>
        <v>0</v>
      </c>
      <c r="H222" s="41" t="n">
        <f aca="false">IF(D222&lt;=0.5,0,MIN(IF(N(I222)&gt;0,I222,$F$9),D222+E222+F222))</f>
        <v>0</v>
      </c>
      <c r="I222" s="77"/>
      <c r="J222" s="77"/>
      <c r="K222" s="41" t="n">
        <f aca="false">IF(D222&lt;=0.5,0,MIN(H222+N(J222),D222+E222+F222))</f>
        <v>0</v>
      </c>
      <c r="L222" s="41" t="n">
        <f aca="false">K222-E222-F222</f>
        <v>0</v>
      </c>
      <c r="M222" s="41" t="n">
        <f aca="false">D222-L222</f>
        <v>0</v>
      </c>
      <c r="N222" s="42" t="n">
        <f aca="false">K222-G222</f>
        <v>0</v>
      </c>
      <c r="O222" s="78"/>
      <c r="P222" s="79"/>
      <c r="Q222" s="16" t="str">
        <f aca="false">IF(K222=0,"",IF(R222=1,"Pagada",IF(C222&lt;$F$12,"Vencida",IF(196=$F$13,"Próxima","Pendiente"))))</f>
        <v/>
      </c>
      <c r="R222" s="62" t="n">
        <f aca="false">IF(AND(K222&gt;0,OR(O222="Sí",O222="Si")),1,0)</f>
        <v>0</v>
      </c>
      <c r="S222" s="62" t="n">
        <f aca="false">IF(AND(K222&gt;0,R222=0),1,0)</f>
        <v>0</v>
      </c>
    </row>
    <row r="223" customFormat="false" ht="15" hidden="false" customHeight="false" outlineLevel="0" collapsed="false">
      <c r="B223" s="71" t="str">
        <f aca="false">IF($F$6="Sí",N($C$11)+196,"")</f>
        <v/>
      </c>
      <c r="C223" s="72" t="str">
        <f aca="false">IF(OR($F$6&lt;&gt;"Sí",D223&lt;=0.5),"",EDATE($C$10,196))</f>
        <v/>
      </c>
      <c r="D223" s="41" t="n">
        <f aca="false">MAX(0,M222)</f>
        <v>0</v>
      </c>
      <c r="E223" s="41" t="n">
        <f aca="false">D223*$F$7</f>
        <v>0</v>
      </c>
      <c r="F223" s="41" t="n">
        <f aca="false">IF(D223&gt;0.5,N($C$15),0)</f>
        <v>0</v>
      </c>
      <c r="G223" s="41" t="n">
        <f aca="false">IF(AND(D223&gt;0.5,N($C$19)&gt;0,N(B223)&lt;=N($C$20)),D223*$F$8,0)</f>
        <v>0</v>
      </c>
      <c r="H223" s="41" t="n">
        <f aca="false">IF(D223&lt;=0.5,0,MIN(IF(N(I223)&gt;0,I223,$F$9),D223+E223+F223))</f>
        <v>0</v>
      </c>
      <c r="I223" s="77"/>
      <c r="J223" s="77"/>
      <c r="K223" s="41" t="n">
        <f aca="false">IF(D223&lt;=0.5,0,MIN(H223+N(J223),D223+E223+F223))</f>
        <v>0</v>
      </c>
      <c r="L223" s="41" t="n">
        <f aca="false">K223-E223-F223</f>
        <v>0</v>
      </c>
      <c r="M223" s="41" t="n">
        <f aca="false">D223-L223</f>
        <v>0</v>
      </c>
      <c r="N223" s="42" t="n">
        <f aca="false">K223-G223</f>
        <v>0</v>
      </c>
      <c r="O223" s="78"/>
      <c r="P223" s="79"/>
      <c r="Q223" s="16" t="str">
        <f aca="false">IF(K223=0,"",IF(R223=1,"Pagada",IF(C223&lt;$F$12,"Vencida",IF(197=$F$13,"Próxima","Pendiente"))))</f>
        <v/>
      </c>
      <c r="R223" s="62" t="n">
        <f aca="false">IF(AND(K223&gt;0,OR(O223="Sí",O223="Si")),1,0)</f>
        <v>0</v>
      </c>
      <c r="S223" s="62" t="n">
        <f aca="false">IF(AND(K223&gt;0,R223=0),1,0)</f>
        <v>0</v>
      </c>
    </row>
    <row r="224" customFormat="false" ht="15" hidden="false" customHeight="false" outlineLevel="0" collapsed="false">
      <c r="B224" s="71" t="str">
        <f aca="false">IF($F$6="Sí",N($C$11)+197,"")</f>
        <v/>
      </c>
      <c r="C224" s="72" t="str">
        <f aca="false">IF(OR($F$6&lt;&gt;"Sí",D224&lt;=0.5),"",EDATE($C$10,197))</f>
        <v/>
      </c>
      <c r="D224" s="41" t="n">
        <f aca="false">MAX(0,M223)</f>
        <v>0</v>
      </c>
      <c r="E224" s="41" t="n">
        <f aca="false">D224*$F$7</f>
        <v>0</v>
      </c>
      <c r="F224" s="41" t="n">
        <f aca="false">IF(D224&gt;0.5,N($C$15),0)</f>
        <v>0</v>
      </c>
      <c r="G224" s="41" t="n">
        <f aca="false">IF(AND(D224&gt;0.5,N($C$19)&gt;0,N(B224)&lt;=N($C$20)),D224*$F$8,0)</f>
        <v>0</v>
      </c>
      <c r="H224" s="41" t="n">
        <f aca="false">IF(D224&lt;=0.5,0,MIN(IF(N(I224)&gt;0,I224,$F$9),D224+E224+F224))</f>
        <v>0</v>
      </c>
      <c r="I224" s="77"/>
      <c r="J224" s="77"/>
      <c r="K224" s="41" t="n">
        <f aca="false">IF(D224&lt;=0.5,0,MIN(H224+N(J224),D224+E224+F224))</f>
        <v>0</v>
      </c>
      <c r="L224" s="41" t="n">
        <f aca="false">K224-E224-F224</f>
        <v>0</v>
      </c>
      <c r="M224" s="41" t="n">
        <f aca="false">D224-L224</f>
        <v>0</v>
      </c>
      <c r="N224" s="42" t="n">
        <f aca="false">K224-G224</f>
        <v>0</v>
      </c>
      <c r="O224" s="78"/>
      <c r="P224" s="79"/>
      <c r="Q224" s="16" t="str">
        <f aca="false">IF(K224=0,"",IF(R224=1,"Pagada",IF(C224&lt;$F$12,"Vencida",IF(198=$F$13,"Próxima","Pendiente"))))</f>
        <v/>
      </c>
      <c r="R224" s="62" t="n">
        <f aca="false">IF(AND(K224&gt;0,OR(O224="Sí",O224="Si")),1,0)</f>
        <v>0</v>
      </c>
      <c r="S224" s="62" t="n">
        <f aca="false">IF(AND(K224&gt;0,R224=0),1,0)</f>
        <v>0</v>
      </c>
    </row>
    <row r="225" customFormat="false" ht="15" hidden="false" customHeight="false" outlineLevel="0" collapsed="false">
      <c r="B225" s="71" t="str">
        <f aca="false">IF($F$6="Sí",N($C$11)+198,"")</f>
        <v/>
      </c>
      <c r="C225" s="72" t="str">
        <f aca="false">IF(OR($F$6&lt;&gt;"Sí",D225&lt;=0.5),"",EDATE($C$10,198))</f>
        <v/>
      </c>
      <c r="D225" s="41" t="n">
        <f aca="false">MAX(0,M224)</f>
        <v>0</v>
      </c>
      <c r="E225" s="41" t="n">
        <f aca="false">D225*$F$7</f>
        <v>0</v>
      </c>
      <c r="F225" s="41" t="n">
        <f aca="false">IF(D225&gt;0.5,N($C$15),0)</f>
        <v>0</v>
      </c>
      <c r="G225" s="41" t="n">
        <f aca="false">IF(AND(D225&gt;0.5,N($C$19)&gt;0,N(B225)&lt;=N($C$20)),D225*$F$8,0)</f>
        <v>0</v>
      </c>
      <c r="H225" s="41" t="n">
        <f aca="false">IF(D225&lt;=0.5,0,MIN(IF(N(I225)&gt;0,I225,$F$9),D225+E225+F225))</f>
        <v>0</v>
      </c>
      <c r="I225" s="77"/>
      <c r="J225" s="77"/>
      <c r="K225" s="41" t="n">
        <f aca="false">IF(D225&lt;=0.5,0,MIN(H225+N(J225),D225+E225+F225))</f>
        <v>0</v>
      </c>
      <c r="L225" s="41" t="n">
        <f aca="false">K225-E225-F225</f>
        <v>0</v>
      </c>
      <c r="M225" s="41" t="n">
        <f aca="false">D225-L225</f>
        <v>0</v>
      </c>
      <c r="N225" s="42" t="n">
        <f aca="false">K225-G225</f>
        <v>0</v>
      </c>
      <c r="O225" s="78"/>
      <c r="P225" s="79"/>
      <c r="Q225" s="16" t="str">
        <f aca="false">IF(K225=0,"",IF(R225=1,"Pagada",IF(C225&lt;$F$12,"Vencida",IF(199=$F$13,"Próxima","Pendiente"))))</f>
        <v/>
      </c>
      <c r="R225" s="62" t="n">
        <f aca="false">IF(AND(K225&gt;0,OR(O225="Sí",O225="Si")),1,0)</f>
        <v>0</v>
      </c>
      <c r="S225" s="62" t="n">
        <f aca="false">IF(AND(K225&gt;0,R225=0),1,0)</f>
        <v>0</v>
      </c>
    </row>
    <row r="226" customFormat="false" ht="15" hidden="false" customHeight="false" outlineLevel="0" collapsed="false">
      <c r="B226" s="71" t="str">
        <f aca="false">IF($F$6="Sí",N($C$11)+199,"")</f>
        <v/>
      </c>
      <c r="C226" s="72" t="str">
        <f aca="false">IF(OR($F$6&lt;&gt;"Sí",D226&lt;=0.5),"",EDATE($C$10,199))</f>
        <v/>
      </c>
      <c r="D226" s="41" t="n">
        <f aca="false">MAX(0,M225)</f>
        <v>0</v>
      </c>
      <c r="E226" s="41" t="n">
        <f aca="false">D226*$F$7</f>
        <v>0</v>
      </c>
      <c r="F226" s="41" t="n">
        <f aca="false">IF(D226&gt;0.5,N($C$15),0)</f>
        <v>0</v>
      </c>
      <c r="G226" s="41" t="n">
        <f aca="false">IF(AND(D226&gt;0.5,N($C$19)&gt;0,N(B226)&lt;=N($C$20)),D226*$F$8,0)</f>
        <v>0</v>
      </c>
      <c r="H226" s="41" t="n">
        <f aca="false">IF(D226&lt;=0.5,0,MIN(IF(N(I226)&gt;0,I226,$F$9),D226+E226+F226))</f>
        <v>0</v>
      </c>
      <c r="I226" s="77"/>
      <c r="J226" s="77"/>
      <c r="K226" s="41" t="n">
        <f aca="false">IF(D226&lt;=0.5,0,MIN(H226+N(J226),D226+E226+F226))</f>
        <v>0</v>
      </c>
      <c r="L226" s="41" t="n">
        <f aca="false">K226-E226-F226</f>
        <v>0</v>
      </c>
      <c r="M226" s="41" t="n">
        <f aca="false">D226-L226</f>
        <v>0</v>
      </c>
      <c r="N226" s="42" t="n">
        <f aca="false">K226-G226</f>
        <v>0</v>
      </c>
      <c r="O226" s="78"/>
      <c r="P226" s="79"/>
      <c r="Q226" s="16" t="str">
        <f aca="false">IF(K226=0,"",IF(R226=1,"Pagada",IF(C226&lt;$F$12,"Vencida",IF(200=$F$13,"Próxima","Pendiente"))))</f>
        <v/>
      </c>
      <c r="R226" s="62" t="n">
        <f aca="false">IF(AND(K226&gt;0,OR(O226="Sí",O226="Si")),1,0)</f>
        <v>0</v>
      </c>
      <c r="S226" s="62" t="n">
        <f aca="false">IF(AND(K226&gt;0,R226=0),1,0)</f>
        <v>0</v>
      </c>
    </row>
    <row r="227" customFormat="false" ht="15" hidden="false" customHeight="false" outlineLevel="0" collapsed="false">
      <c r="B227" s="71" t="str">
        <f aca="false">IF($F$6="Sí",N($C$11)+200,"")</f>
        <v/>
      </c>
      <c r="C227" s="72" t="str">
        <f aca="false">IF(OR($F$6&lt;&gt;"Sí",D227&lt;=0.5),"",EDATE($C$10,200))</f>
        <v/>
      </c>
      <c r="D227" s="41" t="n">
        <f aca="false">MAX(0,M226)</f>
        <v>0</v>
      </c>
      <c r="E227" s="41" t="n">
        <f aca="false">D227*$F$7</f>
        <v>0</v>
      </c>
      <c r="F227" s="41" t="n">
        <f aca="false">IF(D227&gt;0.5,N($C$15),0)</f>
        <v>0</v>
      </c>
      <c r="G227" s="41" t="n">
        <f aca="false">IF(AND(D227&gt;0.5,N($C$19)&gt;0,N(B227)&lt;=N($C$20)),D227*$F$8,0)</f>
        <v>0</v>
      </c>
      <c r="H227" s="41" t="n">
        <f aca="false">IF(D227&lt;=0.5,0,MIN(IF(N(I227)&gt;0,I227,$F$9),D227+E227+F227))</f>
        <v>0</v>
      </c>
      <c r="I227" s="77"/>
      <c r="J227" s="77"/>
      <c r="K227" s="41" t="n">
        <f aca="false">IF(D227&lt;=0.5,0,MIN(H227+N(J227),D227+E227+F227))</f>
        <v>0</v>
      </c>
      <c r="L227" s="41" t="n">
        <f aca="false">K227-E227-F227</f>
        <v>0</v>
      </c>
      <c r="M227" s="41" t="n">
        <f aca="false">D227-L227</f>
        <v>0</v>
      </c>
      <c r="N227" s="42" t="n">
        <f aca="false">K227-G227</f>
        <v>0</v>
      </c>
      <c r="O227" s="78"/>
      <c r="P227" s="79"/>
      <c r="Q227" s="16" t="str">
        <f aca="false">IF(K227=0,"",IF(R227=1,"Pagada",IF(C227&lt;$F$12,"Vencida",IF(201=$F$13,"Próxima","Pendiente"))))</f>
        <v/>
      </c>
      <c r="R227" s="62" t="n">
        <f aca="false">IF(AND(K227&gt;0,OR(O227="Sí",O227="Si")),1,0)</f>
        <v>0</v>
      </c>
      <c r="S227" s="62" t="n">
        <f aca="false">IF(AND(K227&gt;0,R227=0),1,0)</f>
        <v>0</v>
      </c>
    </row>
    <row r="228" customFormat="false" ht="15" hidden="false" customHeight="false" outlineLevel="0" collapsed="false">
      <c r="B228" s="71" t="str">
        <f aca="false">IF($F$6="Sí",N($C$11)+201,"")</f>
        <v/>
      </c>
      <c r="C228" s="72" t="str">
        <f aca="false">IF(OR($F$6&lt;&gt;"Sí",D228&lt;=0.5),"",EDATE($C$10,201))</f>
        <v/>
      </c>
      <c r="D228" s="41" t="n">
        <f aca="false">MAX(0,M227)</f>
        <v>0</v>
      </c>
      <c r="E228" s="41" t="n">
        <f aca="false">D228*$F$7</f>
        <v>0</v>
      </c>
      <c r="F228" s="41" t="n">
        <f aca="false">IF(D228&gt;0.5,N($C$15),0)</f>
        <v>0</v>
      </c>
      <c r="G228" s="41" t="n">
        <f aca="false">IF(AND(D228&gt;0.5,N($C$19)&gt;0,N(B228)&lt;=N($C$20)),D228*$F$8,0)</f>
        <v>0</v>
      </c>
      <c r="H228" s="41" t="n">
        <f aca="false">IF(D228&lt;=0.5,0,MIN(IF(N(I228)&gt;0,I228,$F$9),D228+E228+F228))</f>
        <v>0</v>
      </c>
      <c r="I228" s="77"/>
      <c r="J228" s="77"/>
      <c r="K228" s="41" t="n">
        <f aca="false">IF(D228&lt;=0.5,0,MIN(H228+N(J228),D228+E228+F228))</f>
        <v>0</v>
      </c>
      <c r="L228" s="41" t="n">
        <f aca="false">K228-E228-F228</f>
        <v>0</v>
      </c>
      <c r="M228" s="41" t="n">
        <f aca="false">D228-L228</f>
        <v>0</v>
      </c>
      <c r="N228" s="42" t="n">
        <f aca="false">K228-G228</f>
        <v>0</v>
      </c>
      <c r="O228" s="78"/>
      <c r="P228" s="79"/>
      <c r="Q228" s="16" t="str">
        <f aca="false">IF(K228=0,"",IF(R228=1,"Pagada",IF(C228&lt;$F$12,"Vencida",IF(202=$F$13,"Próxima","Pendiente"))))</f>
        <v/>
      </c>
      <c r="R228" s="62" t="n">
        <f aca="false">IF(AND(K228&gt;0,OR(O228="Sí",O228="Si")),1,0)</f>
        <v>0</v>
      </c>
      <c r="S228" s="62" t="n">
        <f aca="false">IF(AND(K228&gt;0,R228=0),1,0)</f>
        <v>0</v>
      </c>
    </row>
    <row r="229" customFormat="false" ht="15" hidden="false" customHeight="false" outlineLevel="0" collapsed="false">
      <c r="B229" s="71" t="str">
        <f aca="false">IF($F$6="Sí",N($C$11)+202,"")</f>
        <v/>
      </c>
      <c r="C229" s="72" t="str">
        <f aca="false">IF(OR($F$6&lt;&gt;"Sí",D229&lt;=0.5),"",EDATE($C$10,202))</f>
        <v/>
      </c>
      <c r="D229" s="41" t="n">
        <f aca="false">MAX(0,M228)</f>
        <v>0</v>
      </c>
      <c r="E229" s="41" t="n">
        <f aca="false">D229*$F$7</f>
        <v>0</v>
      </c>
      <c r="F229" s="41" t="n">
        <f aca="false">IF(D229&gt;0.5,N($C$15),0)</f>
        <v>0</v>
      </c>
      <c r="G229" s="41" t="n">
        <f aca="false">IF(AND(D229&gt;0.5,N($C$19)&gt;0,N(B229)&lt;=N($C$20)),D229*$F$8,0)</f>
        <v>0</v>
      </c>
      <c r="H229" s="41" t="n">
        <f aca="false">IF(D229&lt;=0.5,0,MIN(IF(N(I229)&gt;0,I229,$F$9),D229+E229+F229))</f>
        <v>0</v>
      </c>
      <c r="I229" s="77"/>
      <c r="J229" s="77"/>
      <c r="K229" s="41" t="n">
        <f aca="false">IF(D229&lt;=0.5,0,MIN(H229+N(J229),D229+E229+F229))</f>
        <v>0</v>
      </c>
      <c r="L229" s="41" t="n">
        <f aca="false">K229-E229-F229</f>
        <v>0</v>
      </c>
      <c r="M229" s="41" t="n">
        <f aca="false">D229-L229</f>
        <v>0</v>
      </c>
      <c r="N229" s="42" t="n">
        <f aca="false">K229-G229</f>
        <v>0</v>
      </c>
      <c r="O229" s="78"/>
      <c r="P229" s="79"/>
      <c r="Q229" s="16" t="str">
        <f aca="false">IF(K229=0,"",IF(R229=1,"Pagada",IF(C229&lt;$F$12,"Vencida",IF(203=$F$13,"Próxima","Pendiente"))))</f>
        <v/>
      </c>
      <c r="R229" s="62" t="n">
        <f aca="false">IF(AND(K229&gt;0,OR(O229="Sí",O229="Si")),1,0)</f>
        <v>0</v>
      </c>
      <c r="S229" s="62" t="n">
        <f aca="false">IF(AND(K229&gt;0,R229=0),1,0)</f>
        <v>0</v>
      </c>
    </row>
    <row r="230" customFormat="false" ht="15" hidden="false" customHeight="false" outlineLevel="0" collapsed="false">
      <c r="B230" s="71" t="str">
        <f aca="false">IF($F$6="Sí",N($C$11)+203,"")</f>
        <v/>
      </c>
      <c r="C230" s="72" t="str">
        <f aca="false">IF(OR($F$6&lt;&gt;"Sí",D230&lt;=0.5),"",EDATE($C$10,203))</f>
        <v/>
      </c>
      <c r="D230" s="41" t="n">
        <f aca="false">MAX(0,M229)</f>
        <v>0</v>
      </c>
      <c r="E230" s="41" t="n">
        <f aca="false">D230*$F$7</f>
        <v>0</v>
      </c>
      <c r="F230" s="41" t="n">
        <f aca="false">IF(D230&gt;0.5,N($C$15),0)</f>
        <v>0</v>
      </c>
      <c r="G230" s="41" t="n">
        <f aca="false">IF(AND(D230&gt;0.5,N($C$19)&gt;0,N(B230)&lt;=N($C$20)),D230*$F$8,0)</f>
        <v>0</v>
      </c>
      <c r="H230" s="41" t="n">
        <f aca="false">IF(D230&lt;=0.5,0,MIN(IF(N(I230)&gt;0,I230,$F$9),D230+E230+F230))</f>
        <v>0</v>
      </c>
      <c r="I230" s="77"/>
      <c r="J230" s="77"/>
      <c r="K230" s="41" t="n">
        <f aca="false">IF(D230&lt;=0.5,0,MIN(H230+N(J230),D230+E230+F230))</f>
        <v>0</v>
      </c>
      <c r="L230" s="41" t="n">
        <f aca="false">K230-E230-F230</f>
        <v>0</v>
      </c>
      <c r="M230" s="41" t="n">
        <f aca="false">D230-L230</f>
        <v>0</v>
      </c>
      <c r="N230" s="42" t="n">
        <f aca="false">K230-G230</f>
        <v>0</v>
      </c>
      <c r="O230" s="78"/>
      <c r="P230" s="79"/>
      <c r="Q230" s="16" t="str">
        <f aca="false">IF(K230=0,"",IF(R230=1,"Pagada",IF(C230&lt;$F$12,"Vencida",IF(204=$F$13,"Próxima","Pendiente"))))</f>
        <v/>
      </c>
      <c r="R230" s="62" t="n">
        <f aca="false">IF(AND(K230&gt;0,OR(O230="Sí",O230="Si")),1,0)</f>
        <v>0</v>
      </c>
      <c r="S230" s="62" t="n">
        <f aca="false">IF(AND(K230&gt;0,R230=0),1,0)</f>
        <v>0</v>
      </c>
    </row>
    <row r="231" customFormat="false" ht="15" hidden="false" customHeight="false" outlineLevel="0" collapsed="false">
      <c r="B231" s="71" t="str">
        <f aca="false">IF($F$6="Sí",N($C$11)+204,"")</f>
        <v/>
      </c>
      <c r="C231" s="72" t="str">
        <f aca="false">IF(OR($F$6&lt;&gt;"Sí",D231&lt;=0.5),"",EDATE($C$10,204))</f>
        <v/>
      </c>
      <c r="D231" s="41" t="n">
        <f aca="false">MAX(0,M230)</f>
        <v>0</v>
      </c>
      <c r="E231" s="41" t="n">
        <f aca="false">D231*$F$7</f>
        <v>0</v>
      </c>
      <c r="F231" s="41" t="n">
        <f aca="false">IF(D231&gt;0.5,N($C$15),0)</f>
        <v>0</v>
      </c>
      <c r="G231" s="41" t="n">
        <f aca="false">IF(AND(D231&gt;0.5,N($C$19)&gt;0,N(B231)&lt;=N($C$20)),D231*$F$8,0)</f>
        <v>0</v>
      </c>
      <c r="H231" s="41" t="n">
        <f aca="false">IF(D231&lt;=0.5,0,MIN(IF(N(I231)&gt;0,I231,$F$9),D231+E231+F231))</f>
        <v>0</v>
      </c>
      <c r="I231" s="77"/>
      <c r="J231" s="77"/>
      <c r="K231" s="41" t="n">
        <f aca="false">IF(D231&lt;=0.5,0,MIN(H231+N(J231),D231+E231+F231))</f>
        <v>0</v>
      </c>
      <c r="L231" s="41" t="n">
        <f aca="false">K231-E231-F231</f>
        <v>0</v>
      </c>
      <c r="M231" s="41" t="n">
        <f aca="false">D231-L231</f>
        <v>0</v>
      </c>
      <c r="N231" s="42" t="n">
        <f aca="false">K231-G231</f>
        <v>0</v>
      </c>
      <c r="O231" s="78"/>
      <c r="P231" s="79"/>
      <c r="Q231" s="16" t="str">
        <f aca="false">IF(K231=0,"",IF(R231=1,"Pagada",IF(C231&lt;$F$12,"Vencida",IF(205=$F$13,"Próxima","Pendiente"))))</f>
        <v/>
      </c>
      <c r="R231" s="62" t="n">
        <f aca="false">IF(AND(K231&gt;0,OR(O231="Sí",O231="Si")),1,0)</f>
        <v>0</v>
      </c>
      <c r="S231" s="62" t="n">
        <f aca="false">IF(AND(K231&gt;0,R231=0),1,0)</f>
        <v>0</v>
      </c>
    </row>
    <row r="232" customFormat="false" ht="15" hidden="false" customHeight="false" outlineLevel="0" collapsed="false">
      <c r="B232" s="71" t="str">
        <f aca="false">IF($F$6="Sí",N($C$11)+205,"")</f>
        <v/>
      </c>
      <c r="C232" s="72" t="str">
        <f aca="false">IF(OR($F$6&lt;&gt;"Sí",D232&lt;=0.5),"",EDATE($C$10,205))</f>
        <v/>
      </c>
      <c r="D232" s="41" t="n">
        <f aca="false">MAX(0,M231)</f>
        <v>0</v>
      </c>
      <c r="E232" s="41" t="n">
        <f aca="false">D232*$F$7</f>
        <v>0</v>
      </c>
      <c r="F232" s="41" t="n">
        <f aca="false">IF(D232&gt;0.5,N($C$15),0)</f>
        <v>0</v>
      </c>
      <c r="G232" s="41" t="n">
        <f aca="false">IF(AND(D232&gt;0.5,N($C$19)&gt;0,N(B232)&lt;=N($C$20)),D232*$F$8,0)</f>
        <v>0</v>
      </c>
      <c r="H232" s="41" t="n">
        <f aca="false">IF(D232&lt;=0.5,0,MIN(IF(N(I232)&gt;0,I232,$F$9),D232+E232+F232))</f>
        <v>0</v>
      </c>
      <c r="I232" s="77"/>
      <c r="J232" s="77"/>
      <c r="K232" s="41" t="n">
        <f aca="false">IF(D232&lt;=0.5,0,MIN(H232+N(J232),D232+E232+F232))</f>
        <v>0</v>
      </c>
      <c r="L232" s="41" t="n">
        <f aca="false">K232-E232-F232</f>
        <v>0</v>
      </c>
      <c r="M232" s="41" t="n">
        <f aca="false">D232-L232</f>
        <v>0</v>
      </c>
      <c r="N232" s="42" t="n">
        <f aca="false">K232-G232</f>
        <v>0</v>
      </c>
      <c r="O232" s="78"/>
      <c r="P232" s="79"/>
      <c r="Q232" s="16" t="str">
        <f aca="false">IF(K232=0,"",IF(R232=1,"Pagada",IF(C232&lt;$F$12,"Vencida",IF(206=$F$13,"Próxima","Pendiente"))))</f>
        <v/>
      </c>
      <c r="R232" s="62" t="n">
        <f aca="false">IF(AND(K232&gt;0,OR(O232="Sí",O232="Si")),1,0)</f>
        <v>0</v>
      </c>
      <c r="S232" s="62" t="n">
        <f aca="false">IF(AND(K232&gt;0,R232=0),1,0)</f>
        <v>0</v>
      </c>
    </row>
    <row r="233" customFormat="false" ht="15" hidden="false" customHeight="false" outlineLevel="0" collapsed="false">
      <c r="B233" s="71" t="str">
        <f aca="false">IF($F$6="Sí",N($C$11)+206,"")</f>
        <v/>
      </c>
      <c r="C233" s="72" t="str">
        <f aca="false">IF(OR($F$6&lt;&gt;"Sí",D233&lt;=0.5),"",EDATE($C$10,206))</f>
        <v/>
      </c>
      <c r="D233" s="41" t="n">
        <f aca="false">MAX(0,M232)</f>
        <v>0</v>
      </c>
      <c r="E233" s="41" t="n">
        <f aca="false">D233*$F$7</f>
        <v>0</v>
      </c>
      <c r="F233" s="41" t="n">
        <f aca="false">IF(D233&gt;0.5,N($C$15),0)</f>
        <v>0</v>
      </c>
      <c r="G233" s="41" t="n">
        <f aca="false">IF(AND(D233&gt;0.5,N($C$19)&gt;0,N(B233)&lt;=N($C$20)),D233*$F$8,0)</f>
        <v>0</v>
      </c>
      <c r="H233" s="41" t="n">
        <f aca="false">IF(D233&lt;=0.5,0,MIN(IF(N(I233)&gt;0,I233,$F$9),D233+E233+F233))</f>
        <v>0</v>
      </c>
      <c r="I233" s="77"/>
      <c r="J233" s="77"/>
      <c r="K233" s="41" t="n">
        <f aca="false">IF(D233&lt;=0.5,0,MIN(H233+N(J233),D233+E233+F233))</f>
        <v>0</v>
      </c>
      <c r="L233" s="41" t="n">
        <f aca="false">K233-E233-F233</f>
        <v>0</v>
      </c>
      <c r="M233" s="41" t="n">
        <f aca="false">D233-L233</f>
        <v>0</v>
      </c>
      <c r="N233" s="42" t="n">
        <f aca="false">K233-G233</f>
        <v>0</v>
      </c>
      <c r="O233" s="78"/>
      <c r="P233" s="79"/>
      <c r="Q233" s="16" t="str">
        <f aca="false">IF(K233=0,"",IF(R233=1,"Pagada",IF(C233&lt;$F$12,"Vencida",IF(207=$F$13,"Próxima","Pendiente"))))</f>
        <v/>
      </c>
      <c r="R233" s="62" t="n">
        <f aca="false">IF(AND(K233&gt;0,OR(O233="Sí",O233="Si")),1,0)</f>
        <v>0</v>
      </c>
      <c r="S233" s="62" t="n">
        <f aca="false">IF(AND(K233&gt;0,R233=0),1,0)</f>
        <v>0</v>
      </c>
    </row>
    <row r="234" customFormat="false" ht="15" hidden="false" customHeight="false" outlineLevel="0" collapsed="false">
      <c r="B234" s="71" t="str">
        <f aca="false">IF($F$6="Sí",N($C$11)+207,"")</f>
        <v/>
      </c>
      <c r="C234" s="72" t="str">
        <f aca="false">IF(OR($F$6&lt;&gt;"Sí",D234&lt;=0.5),"",EDATE($C$10,207))</f>
        <v/>
      </c>
      <c r="D234" s="41" t="n">
        <f aca="false">MAX(0,M233)</f>
        <v>0</v>
      </c>
      <c r="E234" s="41" t="n">
        <f aca="false">D234*$F$7</f>
        <v>0</v>
      </c>
      <c r="F234" s="41" t="n">
        <f aca="false">IF(D234&gt;0.5,N($C$15),0)</f>
        <v>0</v>
      </c>
      <c r="G234" s="41" t="n">
        <f aca="false">IF(AND(D234&gt;0.5,N($C$19)&gt;0,N(B234)&lt;=N($C$20)),D234*$F$8,0)</f>
        <v>0</v>
      </c>
      <c r="H234" s="41" t="n">
        <f aca="false">IF(D234&lt;=0.5,0,MIN(IF(N(I234)&gt;0,I234,$F$9),D234+E234+F234))</f>
        <v>0</v>
      </c>
      <c r="I234" s="77"/>
      <c r="J234" s="77"/>
      <c r="K234" s="41" t="n">
        <f aca="false">IF(D234&lt;=0.5,0,MIN(H234+N(J234),D234+E234+F234))</f>
        <v>0</v>
      </c>
      <c r="L234" s="41" t="n">
        <f aca="false">K234-E234-F234</f>
        <v>0</v>
      </c>
      <c r="M234" s="41" t="n">
        <f aca="false">D234-L234</f>
        <v>0</v>
      </c>
      <c r="N234" s="42" t="n">
        <f aca="false">K234-G234</f>
        <v>0</v>
      </c>
      <c r="O234" s="78"/>
      <c r="P234" s="79"/>
      <c r="Q234" s="16" t="str">
        <f aca="false">IF(K234=0,"",IF(R234=1,"Pagada",IF(C234&lt;$F$12,"Vencida",IF(208=$F$13,"Próxima","Pendiente"))))</f>
        <v/>
      </c>
      <c r="R234" s="62" t="n">
        <f aca="false">IF(AND(K234&gt;0,OR(O234="Sí",O234="Si")),1,0)</f>
        <v>0</v>
      </c>
      <c r="S234" s="62" t="n">
        <f aca="false">IF(AND(K234&gt;0,R234=0),1,0)</f>
        <v>0</v>
      </c>
    </row>
    <row r="235" customFormat="false" ht="15" hidden="false" customHeight="false" outlineLevel="0" collapsed="false">
      <c r="B235" s="71" t="str">
        <f aca="false">IF($F$6="Sí",N($C$11)+208,"")</f>
        <v/>
      </c>
      <c r="C235" s="72" t="str">
        <f aca="false">IF(OR($F$6&lt;&gt;"Sí",D235&lt;=0.5),"",EDATE($C$10,208))</f>
        <v/>
      </c>
      <c r="D235" s="41" t="n">
        <f aca="false">MAX(0,M234)</f>
        <v>0</v>
      </c>
      <c r="E235" s="41" t="n">
        <f aca="false">D235*$F$7</f>
        <v>0</v>
      </c>
      <c r="F235" s="41" t="n">
        <f aca="false">IF(D235&gt;0.5,N($C$15),0)</f>
        <v>0</v>
      </c>
      <c r="G235" s="41" t="n">
        <f aca="false">IF(AND(D235&gt;0.5,N($C$19)&gt;0,N(B235)&lt;=N($C$20)),D235*$F$8,0)</f>
        <v>0</v>
      </c>
      <c r="H235" s="41" t="n">
        <f aca="false">IF(D235&lt;=0.5,0,MIN(IF(N(I235)&gt;0,I235,$F$9),D235+E235+F235))</f>
        <v>0</v>
      </c>
      <c r="I235" s="77"/>
      <c r="J235" s="77"/>
      <c r="K235" s="41" t="n">
        <f aca="false">IF(D235&lt;=0.5,0,MIN(H235+N(J235),D235+E235+F235))</f>
        <v>0</v>
      </c>
      <c r="L235" s="41" t="n">
        <f aca="false">K235-E235-F235</f>
        <v>0</v>
      </c>
      <c r="M235" s="41" t="n">
        <f aca="false">D235-L235</f>
        <v>0</v>
      </c>
      <c r="N235" s="42" t="n">
        <f aca="false">K235-G235</f>
        <v>0</v>
      </c>
      <c r="O235" s="78"/>
      <c r="P235" s="79"/>
      <c r="Q235" s="16" t="str">
        <f aca="false">IF(K235=0,"",IF(R235=1,"Pagada",IF(C235&lt;$F$12,"Vencida",IF(209=$F$13,"Próxima","Pendiente"))))</f>
        <v/>
      </c>
      <c r="R235" s="62" t="n">
        <f aca="false">IF(AND(K235&gt;0,OR(O235="Sí",O235="Si")),1,0)</f>
        <v>0</v>
      </c>
      <c r="S235" s="62" t="n">
        <f aca="false">IF(AND(K235&gt;0,R235=0),1,0)</f>
        <v>0</v>
      </c>
    </row>
    <row r="236" customFormat="false" ht="15" hidden="false" customHeight="false" outlineLevel="0" collapsed="false">
      <c r="B236" s="71" t="str">
        <f aca="false">IF($F$6="Sí",N($C$11)+209,"")</f>
        <v/>
      </c>
      <c r="C236" s="72" t="str">
        <f aca="false">IF(OR($F$6&lt;&gt;"Sí",D236&lt;=0.5),"",EDATE($C$10,209))</f>
        <v/>
      </c>
      <c r="D236" s="41" t="n">
        <f aca="false">MAX(0,M235)</f>
        <v>0</v>
      </c>
      <c r="E236" s="41" t="n">
        <f aca="false">D236*$F$7</f>
        <v>0</v>
      </c>
      <c r="F236" s="41" t="n">
        <f aca="false">IF(D236&gt;0.5,N($C$15),0)</f>
        <v>0</v>
      </c>
      <c r="G236" s="41" t="n">
        <f aca="false">IF(AND(D236&gt;0.5,N($C$19)&gt;0,N(B236)&lt;=N($C$20)),D236*$F$8,0)</f>
        <v>0</v>
      </c>
      <c r="H236" s="41" t="n">
        <f aca="false">IF(D236&lt;=0.5,0,MIN(IF(N(I236)&gt;0,I236,$F$9),D236+E236+F236))</f>
        <v>0</v>
      </c>
      <c r="I236" s="77"/>
      <c r="J236" s="77"/>
      <c r="K236" s="41" t="n">
        <f aca="false">IF(D236&lt;=0.5,0,MIN(H236+N(J236),D236+E236+F236))</f>
        <v>0</v>
      </c>
      <c r="L236" s="41" t="n">
        <f aca="false">K236-E236-F236</f>
        <v>0</v>
      </c>
      <c r="M236" s="41" t="n">
        <f aca="false">D236-L236</f>
        <v>0</v>
      </c>
      <c r="N236" s="42" t="n">
        <f aca="false">K236-G236</f>
        <v>0</v>
      </c>
      <c r="O236" s="78"/>
      <c r="P236" s="79"/>
      <c r="Q236" s="16" t="str">
        <f aca="false">IF(K236=0,"",IF(R236=1,"Pagada",IF(C236&lt;$F$12,"Vencida",IF(210=$F$13,"Próxima","Pendiente"))))</f>
        <v/>
      </c>
      <c r="R236" s="62" t="n">
        <f aca="false">IF(AND(K236&gt;0,OR(O236="Sí",O236="Si")),1,0)</f>
        <v>0</v>
      </c>
      <c r="S236" s="62" t="n">
        <f aca="false">IF(AND(K236&gt;0,R236=0),1,0)</f>
        <v>0</v>
      </c>
    </row>
    <row r="237" customFormat="false" ht="15" hidden="false" customHeight="false" outlineLevel="0" collapsed="false">
      <c r="B237" s="71" t="str">
        <f aca="false">IF($F$6="Sí",N($C$11)+210,"")</f>
        <v/>
      </c>
      <c r="C237" s="72" t="str">
        <f aca="false">IF(OR($F$6&lt;&gt;"Sí",D237&lt;=0.5),"",EDATE($C$10,210))</f>
        <v/>
      </c>
      <c r="D237" s="41" t="n">
        <f aca="false">MAX(0,M236)</f>
        <v>0</v>
      </c>
      <c r="E237" s="41" t="n">
        <f aca="false">D237*$F$7</f>
        <v>0</v>
      </c>
      <c r="F237" s="41" t="n">
        <f aca="false">IF(D237&gt;0.5,N($C$15),0)</f>
        <v>0</v>
      </c>
      <c r="G237" s="41" t="n">
        <f aca="false">IF(AND(D237&gt;0.5,N($C$19)&gt;0,N(B237)&lt;=N($C$20)),D237*$F$8,0)</f>
        <v>0</v>
      </c>
      <c r="H237" s="41" t="n">
        <f aca="false">IF(D237&lt;=0.5,0,MIN(IF(N(I237)&gt;0,I237,$F$9),D237+E237+F237))</f>
        <v>0</v>
      </c>
      <c r="I237" s="77"/>
      <c r="J237" s="77"/>
      <c r="K237" s="41" t="n">
        <f aca="false">IF(D237&lt;=0.5,0,MIN(H237+N(J237),D237+E237+F237))</f>
        <v>0</v>
      </c>
      <c r="L237" s="41" t="n">
        <f aca="false">K237-E237-F237</f>
        <v>0</v>
      </c>
      <c r="M237" s="41" t="n">
        <f aca="false">D237-L237</f>
        <v>0</v>
      </c>
      <c r="N237" s="42" t="n">
        <f aca="false">K237-G237</f>
        <v>0</v>
      </c>
      <c r="O237" s="78"/>
      <c r="P237" s="79"/>
      <c r="Q237" s="16" t="str">
        <f aca="false">IF(K237=0,"",IF(R237=1,"Pagada",IF(C237&lt;$F$12,"Vencida",IF(211=$F$13,"Próxima","Pendiente"))))</f>
        <v/>
      </c>
      <c r="R237" s="62" t="n">
        <f aca="false">IF(AND(K237&gt;0,OR(O237="Sí",O237="Si")),1,0)</f>
        <v>0</v>
      </c>
      <c r="S237" s="62" t="n">
        <f aca="false">IF(AND(K237&gt;0,R237=0),1,0)</f>
        <v>0</v>
      </c>
    </row>
    <row r="238" customFormat="false" ht="15" hidden="false" customHeight="false" outlineLevel="0" collapsed="false">
      <c r="B238" s="71" t="str">
        <f aca="false">IF($F$6="Sí",N($C$11)+211,"")</f>
        <v/>
      </c>
      <c r="C238" s="72" t="str">
        <f aca="false">IF(OR($F$6&lt;&gt;"Sí",D238&lt;=0.5),"",EDATE($C$10,211))</f>
        <v/>
      </c>
      <c r="D238" s="41" t="n">
        <f aca="false">MAX(0,M237)</f>
        <v>0</v>
      </c>
      <c r="E238" s="41" t="n">
        <f aca="false">D238*$F$7</f>
        <v>0</v>
      </c>
      <c r="F238" s="41" t="n">
        <f aca="false">IF(D238&gt;0.5,N($C$15),0)</f>
        <v>0</v>
      </c>
      <c r="G238" s="41" t="n">
        <f aca="false">IF(AND(D238&gt;0.5,N($C$19)&gt;0,N(B238)&lt;=N($C$20)),D238*$F$8,0)</f>
        <v>0</v>
      </c>
      <c r="H238" s="41" t="n">
        <f aca="false">IF(D238&lt;=0.5,0,MIN(IF(N(I238)&gt;0,I238,$F$9),D238+E238+F238))</f>
        <v>0</v>
      </c>
      <c r="I238" s="77"/>
      <c r="J238" s="77"/>
      <c r="K238" s="41" t="n">
        <f aca="false">IF(D238&lt;=0.5,0,MIN(H238+N(J238),D238+E238+F238))</f>
        <v>0</v>
      </c>
      <c r="L238" s="41" t="n">
        <f aca="false">K238-E238-F238</f>
        <v>0</v>
      </c>
      <c r="M238" s="41" t="n">
        <f aca="false">D238-L238</f>
        <v>0</v>
      </c>
      <c r="N238" s="42" t="n">
        <f aca="false">K238-G238</f>
        <v>0</v>
      </c>
      <c r="O238" s="78"/>
      <c r="P238" s="79"/>
      <c r="Q238" s="16" t="str">
        <f aca="false">IF(K238=0,"",IF(R238=1,"Pagada",IF(C238&lt;$F$12,"Vencida",IF(212=$F$13,"Próxima","Pendiente"))))</f>
        <v/>
      </c>
      <c r="R238" s="62" t="n">
        <f aca="false">IF(AND(K238&gt;0,OR(O238="Sí",O238="Si")),1,0)</f>
        <v>0</v>
      </c>
      <c r="S238" s="62" t="n">
        <f aca="false">IF(AND(K238&gt;0,R238=0),1,0)</f>
        <v>0</v>
      </c>
    </row>
    <row r="239" customFormat="false" ht="15" hidden="false" customHeight="false" outlineLevel="0" collapsed="false">
      <c r="B239" s="71" t="str">
        <f aca="false">IF($F$6="Sí",N($C$11)+212,"")</f>
        <v/>
      </c>
      <c r="C239" s="72" t="str">
        <f aca="false">IF(OR($F$6&lt;&gt;"Sí",D239&lt;=0.5),"",EDATE($C$10,212))</f>
        <v/>
      </c>
      <c r="D239" s="41" t="n">
        <f aca="false">MAX(0,M238)</f>
        <v>0</v>
      </c>
      <c r="E239" s="41" t="n">
        <f aca="false">D239*$F$7</f>
        <v>0</v>
      </c>
      <c r="F239" s="41" t="n">
        <f aca="false">IF(D239&gt;0.5,N($C$15),0)</f>
        <v>0</v>
      </c>
      <c r="G239" s="41" t="n">
        <f aca="false">IF(AND(D239&gt;0.5,N($C$19)&gt;0,N(B239)&lt;=N($C$20)),D239*$F$8,0)</f>
        <v>0</v>
      </c>
      <c r="H239" s="41" t="n">
        <f aca="false">IF(D239&lt;=0.5,0,MIN(IF(N(I239)&gt;0,I239,$F$9),D239+E239+F239))</f>
        <v>0</v>
      </c>
      <c r="I239" s="77"/>
      <c r="J239" s="77"/>
      <c r="K239" s="41" t="n">
        <f aca="false">IF(D239&lt;=0.5,0,MIN(H239+N(J239),D239+E239+F239))</f>
        <v>0</v>
      </c>
      <c r="L239" s="41" t="n">
        <f aca="false">K239-E239-F239</f>
        <v>0</v>
      </c>
      <c r="M239" s="41" t="n">
        <f aca="false">D239-L239</f>
        <v>0</v>
      </c>
      <c r="N239" s="42" t="n">
        <f aca="false">K239-G239</f>
        <v>0</v>
      </c>
      <c r="O239" s="78"/>
      <c r="P239" s="79"/>
      <c r="Q239" s="16" t="str">
        <f aca="false">IF(K239=0,"",IF(R239=1,"Pagada",IF(C239&lt;$F$12,"Vencida",IF(213=$F$13,"Próxima","Pendiente"))))</f>
        <v/>
      </c>
      <c r="R239" s="62" t="n">
        <f aca="false">IF(AND(K239&gt;0,OR(O239="Sí",O239="Si")),1,0)</f>
        <v>0</v>
      </c>
      <c r="S239" s="62" t="n">
        <f aca="false">IF(AND(K239&gt;0,R239=0),1,0)</f>
        <v>0</v>
      </c>
    </row>
    <row r="240" customFormat="false" ht="15" hidden="false" customHeight="false" outlineLevel="0" collapsed="false">
      <c r="B240" s="71" t="str">
        <f aca="false">IF($F$6="Sí",N($C$11)+213,"")</f>
        <v/>
      </c>
      <c r="C240" s="72" t="str">
        <f aca="false">IF(OR($F$6&lt;&gt;"Sí",D240&lt;=0.5),"",EDATE($C$10,213))</f>
        <v/>
      </c>
      <c r="D240" s="41" t="n">
        <f aca="false">MAX(0,M239)</f>
        <v>0</v>
      </c>
      <c r="E240" s="41" t="n">
        <f aca="false">D240*$F$7</f>
        <v>0</v>
      </c>
      <c r="F240" s="41" t="n">
        <f aca="false">IF(D240&gt;0.5,N($C$15),0)</f>
        <v>0</v>
      </c>
      <c r="G240" s="41" t="n">
        <f aca="false">IF(AND(D240&gt;0.5,N($C$19)&gt;0,N(B240)&lt;=N($C$20)),D240*$F$8,0)</f>
        <v>0</v>
      </c>
      <c r="H240" s="41" t="n">
        <f aca="false">IF(D240&lt;=0.5,0,MIN(IF(N(I240)&gt;0,I240,$F$9),D240+E240+F240))</f>
        <v>0</v>
      </c>
      <c r="I240" s="77"/>
      <c r="J240" s="77"/>
      <c r="K240" s="41" t="n">
        <f aca="false">IF(D240&lt;=0.5,0,MIN(H240+N(J240),D240+E240+F240))</f>
        <v>0</v>
      </c>
      <c r="L240" s="41" t="n">
        <f aca="false">K240-E240-F240</f>
        <v>0</v>
      </c>
      <c r="M240" s="41" t="n">
        <f aca="false">D240-L240</f>
        <v>0</v>
      </c>
      <c r="N240" s="42" t="n">
        <f aca="false">K240-G240</f>
        <v>0</v>
      </c>
      <c r="O240" s="78"/>
      <c r="P240" s="79"/>
      <c r="Q240" s="16" t="str">
        <f aca="false">IF(K240=0,"",IF(R240=1,"Pagada",IF(C240&lt;$F$12,"Vencida",IF(214=$F$13,"Próxima","Pendiente"))))</f>
        <v/>
      </c>
      <c r="R240" s="62" t="n">
        <f aca="false">IF(AND(K240&gt;0,OR(O240="Sí",O240="Si")),1,0)</f>
        <v>0</v>
      </c>
      <c r="S240" s="62" t="n">
        <f aca="false">IF(AND(K240&gt;0,R240=0),1,0)</f>
        <v>0</v>
      </c>
    </row>
    <row r="241" customFormat="false" ht="15" hidden="false" customHeight="false" outlineLevel="0" collapsed="false">
      <c r="B241" s="71" t="str">
        <f aca="false">IF($F$6="Sí",N($C$11)+214,"")</f>
        <v/>
      </c>
      <c r="C241" s="72" t="str">
        <f aca="false">IF(OR($F$6&lt;&gt;"Sí",D241&lt;=0.5),"",EDATE($C$10,214))</f>
        <v/>
      </c>
      <c r="D241" s="41" t="n">
        <f aca="false">MAX(0,M240)</f>
        <v>0</v>
      </c>
      <c r="E241" s="41" t="n">
        <f aca="false">D241*$F$7</f>
        <v>0</v>
      </c>
      <c r="F241" s="41" t="n">
        <f aca="false">IF(D241&gt;0.5,N($C$15),0)</f>
        <v>0</v>
      </c>
      <c r="G241" s="41" t="n">
        <f aca="false">IF(AND(D241&gt;0.5,N($C$19)&gt;0,N(B241)&lt;=N($C$20)),D241*$F$8,0)</f>
        <v>0</v>
      </c>
      <c r="H241" s="41" t="n">
        <f aca="false">IF(D241&lt;=0.5,0,MIN(IF(N(I241)&gt;0,I241,$F$9),D241+E241+F241))</f>
        <v>0</v>
      </c>
      <c r="I241" s="77"/>
      <c r="J241" s="77"/>
      <c r="K241" s="41" t="n">
        <f aca="false">IF(D241&lt;=0.5,0,MIN(H241+N(J241),D241+E241+F241))</f>
        <v>0</v>
      </c>
      <c r="L241" s="41" t="n">
        <f aca="false">K241-E241-F241</f>
        <v>0</v>
      </c>
      <c r="M241" s="41" t="n">
        <f aca="false">D241-L241</f>
        <v>0</v>
      </c>
      <c r="N241" s="42" t="n">
        <f aca="false">K241-G241</f>
        <v>0</v>
      </c>
      <c r="O241" s="78"/>
      <c r="P241" s="79"/>
      <c r="Q241" s="16" t="str">
        <f aca="false">IF(K241=0,"",IF(R241=1,"Pagada",IF(C241&lt;$F$12,"Vencida",IF(215=$F$13,"Próxima","Pendiente"))))</f>
        <v/>
      </c>
      <c r="R241" s="62" t="n">
        <f aca="false">IF(AND(K241&gt;0,OR(O241="Sí",O241="Si")),1,0)</f>
        <v>0</v>
      </c>
      <c r="S241" s="62" t="n">
        <f aca="false">IF(AND(K241&gt;0,R241=0),1,0)</f>
        <v>0</v>
      </c>
    </row>
    <row r="242" customFormat="false" ht="15" hidden="false" customHeight="false" outlineLevel="0" collapsed="false">
      <c r="B242" s="71" t="str">
        <f aca="false">IF($F$6="Sí",N($C$11)+215,"")</f>
        <v/>
      </c>
      <c r="C242" s="72" t="str">
        <f aca="false">IF(OR($F$6&lt;&gt;"Sí",D242&lt;=0.5),"",EDATE($C$10,215))</f>
        <v/>
      </c>
      <c r="D242" s="41" t="n">
        <f aca="false">MAX(0,M241)</f>
        <v>0</v>
      </c>
      <c r="E242" s="41" t="n">
        <f aca="false">D242*$F$7</f>
        <v>0</v>
      </c>
      <c r="F242" s="41" t="n">
        <f aca="false">IF(D242&gt;0.5,N($C$15),0)</f>
        <v>0</v>
      </c>
      <c r="G242" s="41" t="n">
        <f aca="false">IF(AND(D242&gt;0.5,N($C$19)&gt;0,N(B242)&lt;=N($C$20)),D242*$F$8,0)</f>
        <v>0</v>
      </c>
      <c r="H242" s="41" t="n">
        <f aca="false">IF(D242&lt;=0.5,0,MIN(IF(N(I242)&gt;0,I242,$F$9),D242+E242+F242))</f>
        <v>0</v>
      </c>
      <c r="I242" s="77"/>
      <c r="J242" s="77"/>
      <c r="K242" s="41" t="n">
        <f aca="false">IF(D242&lt;=0.5,0,MIN(H242+N(J242),D242+E242+F242))</f>
        <v>0</v>
      </c>
      <c r="L242" s="41" t="n">
        <f aca="false">K242-E242-F242</f>
        <v>0</v>
      </c>
      <c r="M242" s="41" t="n">
        <f aca="false">D242-L242</f>
        <v>0</v>
      </c>
      <c r="N242" s="42" t="n">
        <f aca="false">K242-G242</f>
        <v>0</v>
      </c>
      <c r="O242" s="78"/>
      <c r="P242" s="79"/>
      <c r="Q242" s="16" t="str">
        <f aca="false">IF(K242=0,"",IF(R242=1,"Pagada",IF(C242&lt;$F$12,"Vencida",IF(216=$F$13,"Próxima","Pendiente"))))</f>
        <v/>
      </c>
      <c r="R242" s="62" t="n">
        <f aca="false">IF(AND(K242&gt;0,OR(O242="Sí",O242="Si")),1,0)</f>
        <v>0</v>
      </c>
      <c r="S242" s="62" t="n">
        <f aca="false">IF(AND(K242&gt;0,R242=0),1,0)</f>
        <v>0</v>
      </c>
    </row>
    <row r="243" customFormat="false" ht="15" hidden="false" customHeight="false" outlineLevel="0" collapsed="false">
      <c r="B243" s="71" t="str">
        <f aca="false">IF($F$6="Sí",N($C$11)+216,"")</f>
        <v/>
      </c>
      <c r="C243" s="72" t="str">
        <f aca="false">IF(OR($F$6&lt;&gt;"Sí",D243&lt;=0.5),"",EDATE($C$10,216))</f>
        <v/>
      </c>
      <c r="D243" s="41" t="n">
        <f aca="false">MAX(0,M242)</f>
        <v>0</v>
      </c>
      <c r="E243" s="41" t="n">
        <f aca="false">D243*$F$7</f>
        <v>0</v>
      </c>
      <c r="F243" s="41" t="n">
        <f aca="false">IF(D243&gt;0.5,N($C$15),0)</f>
        <v>0</v>
      </c>
      <c r="G243" s="41" t="n">
        <f aca="false">IF(AND(D243&gt;0.5,N($C$19)&gt;0,N(B243)&lt;=N($C$20)),D243*$F$8,0)</f>
        <v>0</v>
      </c>
      <c r="H243" s="41" t="n">
        <f aca="false">IF(D243&lt;=0.5,0,MIN(IF(N(I243)&gt;0,I243,$F$9),D243+E243+F243))</f>
        <v>0</v>
      </c>
      <c r="I243" s="77"/>
      <c r="J243" s="77"/>
      <c r="K243" s="41" t="n">
        <f aca="false">IF(D243&lt;=0.5,0,MIN(H243+N(J243),D243+E243+F243))</f>
        <v>0</v>
      </c>
      <c r="L243" s="41" t="n">
        <f aca="false">K243-E243-F243</f>
        <v>0</v>
      </c>
      <c r="M243" s="41" t="n">
        <f aca="false">D243-L243</f>
        <v>0</v>
      </c>
      <c r="N243" s="42" t="n">
        <f aca="false">K243-G243</f>
        <v>0</v>
      </c>
      <c r="O243" s="78"/>
      <c r="P243" s="79"/>
      <c r="Q243" s="16" t="str">
        <f aca="false">IF(K243=0,"",IF(R243=1,"Pagada",IF(C243&lt;$F$12,"Vencida",IF(217=$F$13,"Próxima","Pendiente"))))</f>
        <v/>
      </c>
      <c r="R243" s="62" t="n">
        <f aca="false">IF(AND(K243&gt;0,OR(O243="Sí",O243="Si")),1,0)</f>
        <v>0</v>
      </c>
      <c r="S243" s="62" t="n">
        <f aca="false">IF(AND(K243&gt;0,R243=0),1,0)</f>
        <v>0</v>
      </c>
    </row>
    <row r="244" customFormat="false" ht="15" hidden="false" customHeight="false" outlineLevel="0" collapsed="false">
      <c r="B244" s="71" t="str">
        <f aca="false">IF($F$6="Sí",N($C$11)+217,"")</f>
        <v/>
      </c>
      <c r="C244" s="72" t="str">
        <f aca="false">IF(OR($F$6&lt;&gt;"Sí",D244&lt;=0.5),"",EDATE($C$10,217))</f>
        <v/>
      </c>
      <c r="D244" s="41" t="n">
        <f aca="false">MAX(0,M243)</f>
        <v>0</v>
      </c>
      <c r="E244" s="41" t="n">
        <f aca="false">D244*$F$7</f>
        <v>0</v>
      </c>
      <c r="F244" s="41" t="n">
        <f aca="false">IF(D244&gt;0.5,N($C$15),0)</f>
        <v>0</v>
      </c>
      <c r="G244" s="41" t="n">
        <f aca="false">IF(AND(D244&gt;0.5,N($C$19)&gt;0,N(B244)&lt;=N($C$20)),D244*$F$8,0)</f>
        <v>0</v>
      </c>
      <c r="H244" s="41" t="n">
        <f aca="false">IF(D244&lt;=0.5,0,MIN(IF(N(I244)&gt;0,I244,$F$9),D244+E244+F244))</f>
        <v>0</v>
      </c>
      <c r="I244" s="77"/>
      <c r="J244" s="77"/>
      <c r="K244" s="41" t="n">
        <f aca="false">IF(D244&lt;=0.5,0,MIN(H244+N(J244),D244+E244+F244))</f>
        <v>0</v>
      </c>
      <c r="L244" s="41" t="n">
        <f aca="false">K244-E244-F244</f>
        <v>0</v>
      </c>
      <c r="M244" s="41" t="n">
        <f aca="false">D244-L244</f>
        <v>0</v>
      </c>
      <c r="N244" s="42" t="n">
        <f aca="false">K244-G244</f>
        <v>0</v>
      </c>
      <c r="O244" s="78"/>
      <c r="P244" s="79"/>
      <c r="Q244" s="16" t="str">
        <f aca="false">IF(K244=0,"",IF(R244=1,"Pagada",IF(C244&lt;$F$12,"Vencida",IF(218=$F$13,"Próxima","Pendiente"))))</f>
        <v/>
      </c>
      <c r="R244" s="62" t="n">
        <f aca="false">IF(AND(K244&gt;0,OR(O244="Sí",O244="Si")),1,0)</f>
        <v>0</v>
      </c>
      <c r="S244" s="62" t="n">
        <f aca="false">IF(AND(K244&gt;0,R244=0),1,0)</f>
        <v>0</v>
      </c>
    </row>
    <row r="245" customFormat="false" ht="15" hidden="false" customHeight="false" outlineLevel="0" collapsed="false">
      <c r="B245" s="71" t="str">
        <f aca="false">IF($F$6="Sí",N($C$11)+218,"")</f>
        <v/>
      </c>
      <c r="C245" s="72" t="str">
        <f aca="false">IF(OR($F$6&lt;&gt;"Sí",D245&lt;=0.5),"",EDATE($C$10,218))</f>
        <v/>
      </c>
      <c r="D245" s="41" t="n">
        <f aca="false">MAX(0,M244)</f>
        <v>0</v>
      </c>
      <c r="E245" s="41" t="n">
        <f aca="false">D245*$F$7</f>
        <v>0</v>
      </c>
      <c r="F245" s="41" t="n">
        <f aca="false">IF(D245&gt;0.5,N($C$15),0)</f>
        <v>0</v>
      </c>
      <c r="G245" s="41" t="n">
        <f aca="false">IF(AND(D245&gt;0.5,N($C$19)&gt;0,N(B245)&lt;=N($C$20)),D245*$F$8,0)</f>
        <v>0</v>
      </c>
      <c r="H245" s="41" t="n">
        <f aca="false">IF(D245&lt;=0.5,0,MIN(IF(N(I245)&gt;0,I245,$F$9),D245+E245+F245))</f>
        <v>0</v>
      </c>
      <c r="I245" s="77"/>
      <c r="J245" s="77"/>
      <c r="K245" s="41" t="n">
        <f aca="false">IF(D245&lt;=0.5,0,MIN(H245+N(J245),D245+E245+F245))</f>
        <v>0</v>
      </c>
      <c r="L245" s="41" t="n">
        <f aca="false">K245-E245-F245</f>
        <v>0</v>
      </c>
      <c r="M245" s="41" t="n">
        <f aca="false">D245-L245</f>
        <v>0</v>
      </c>
      <c r="N245" s="42" t="n">
        <f aca="false">K245-G245</f>
        <v>0</v>
      </c>
      <c r="O245" s="78"/>
      <c r="P245" s="79"/>
      <c r="Q245" s="16" t="str">
        <f aca="false">IF(K245=0,"",IF(R245=1,"Pagada",IF(C245&lt;$F$12,"Vencida",IF(219=$F$13,"Próxima","Pendiente"))))</f>
        <v/>
      </c>
      <c r="R245" s="62" t="n">
        <f aca="false">IF(AND(K245&gt;0,OR(O245="Sí",O245="Si")),1,0)</f>
        <v>0</v>
      </c>
      <c r="S245" s="62" t="n">
        <f aca="false">IF(AND(K245&gt;0,R245=0),1,0)</f>
        <v>0</v>
      </c>
    </row>
    <row r="246" customFormat="false" ht="15" hidden="false" customHeight="false" outlineLevel="0" collapsed="false">
      <c r="B246" s="71" t="str">
        <f aca="false">IF($F$6="Sí",N($C$11)+219,"")</f>
        <v/>
      </c>
      <c r="C246" s="72" t="str">
        <f aca="false">IF(OR($F$6&lt;&gt;"Sí",D246&lt;=0.5),"",EDATE($C$10,219))</f>
        <v/>
      </c>
      <c r="D246" s="41" t="n">
        <f aca="false">MAX(0,M245)</f>
        <v>0</v>
      </c>
      <c r="E246" s="41" t="n">
        <f aca="false">D246*$F$7</f>
        <v>0</v>
      </c>
      <c r="F246" s="41" t="n">
        <f aca="false">IF(D246&gt;0.5,N($C$15),0)</f>
        <v>0</v>
      </c>
      <c r="G246" s="41" t="n">
        <f aca="false">IF(AND(D246&gt;0.5,N($C$19)&gt;0,N(B246)&lt;=N($C$20)),D246*$F$8,0)</f>
        <v>0</v>
      </c>
      <c r="H246" s="41" t="n">
        <f aca="false">IF(D246&lt;=0.5,0,MIN(IF(N(I246)&gt;0,I246,$F$9),D246+E246+F246))</f>
        <v>0</v>
      </c>
      <c r="I246" s="77"/>
      <c r="J246" s="77"/>
      <c r="K246" s="41" t="n">
        <f aca="false">IF(D246&lt;=0.5,0,MIN(H246+N(J246),D246+E246+F246))</f>
        <v>0</v>
      </c>
      <c r="L246" s="41" t="n">
        <f aca="false">K246-E246-F246</f>
        <v>0</v>
      </c>
      <c r="M246" s="41" t="n">
        <f aca="false">D246-L246</f>
        <v>0</v>
      </c>
      <c r="N246" s="42" t="n">
        <f aca="false">K246-G246</f>
        <v>0</v>
      </c>
      <c r="O246" s="78"/>
      <c r="P246" s="79"/>
      <c r="Q246" s="16" t="str">
        <f aca="false">IF(K246=0,"",IF(R246=1,"Pagada",IF(C246&lt;$F$12,"Vencida",IF(220=$F$13,"Próxima","Pendiente"))))</f>
        <v/>
      </c>
      <c r="R246" s="62" t="n">
        <f aca="false">IF(AND(K246&gt;0,OR(O246="Sí",O246="Si")),1,0)</f>
        <v>0</v>
      </c>
      <c r="S246" s="62" t="n">
        <f aca="false">IF(AND(K246&gt;0,R246=0),1,0)</f>
        <v>0</v>
      </c>
    </row>
    <row r="247" customFormat="false" ht="15" hidden="false" customHeight="false" outlineLevel="0" collapsed="false">
      <c r="B247" s="71" t="str">
        <f aca="false">IF($F$6="Sí",N($C$11)+220,"")</f>
        <v/>
      </c>
      <c r="C247" s="72" t="str">
        <f aca="false">IF(OR($F$6&lt;&gt;"Sí",D247&lt;=0.5),"",EDATE($C$10,220))</f>
        <v/>
      </c>
      <c r="D247" s="41" t="n">
        <f aca="false">MAX(0,M246)</f>
        <v>0</v>
      </c>
      <c r="E247" s="41" t="n">
        <f aca="false">D247*$F$7</f>
        <v>0</v>
      </c>
      <c r="F247" s="41" t="n">
        <f aca="false">IF(D247&gt;0.5,N($C$15),0)</f>
        <v>0</v>
      </c>
      <c r="G247" s="41" t="n">
        <f aca="false">IF(AND(D247&gt;0.5,N($C$19)&gt;0,N(B247)&lt;=N($C$20)),D247*$F$8,0)</f>
        <v>0</v>
      </c>
      <c r="H247" s="41" t="n">
        <f aca="false">IF(D247&lt;=0.5,0,MIN(IF(N(I247)&gt;0,I247,$F$9),D247+E247+F247))</f>
        <v>0</v>
      </c>
      <c r="I247" s="77"/>
      <c r="J247" s="77"/>
      <c r="K247" s="41" t="n">
        <f aca="false">IF(D247&lt;=0.5,0,MIN(H247+N(J247),D247+E247+F247))</f>
        <v>0</v>
      </c>
      <c r="L247" s="41" t="n">
        <f aca="false">K247-E247-F247</f>
        <v>0</v>
      </c>
      <c r="M247" s="41" t="n">
        <f aca="false">D247-L247</f>
        <v>0</v>
      </c>
      <c r="N247" s="42" t="n">
        <f aca="false">K247-G247</f>
        <v>0</v>
      </c>
      <c r="O247" s="78"/>
      <c r="P247" s="79"/>
      <c r="Q247" s="16" t="str">
        <f aca="false">IF(K247=0,"",IF(R247=1,"Pagada",IF(C247&lt;$F$12,"Vencida",IF(221=$F$13,"Próxima","Pendiente"))))</f>
        <v/>
      </c>
      <c r="R247" s="62" t="n">
        <f aca="false">IF(AND(K247&gt;0,OR(O247="Sí",O247="Si")),1,0)</f>
        <v>0</v>
      </c>
      <c r="S247" s="62" t="n">
        <f aca="false">IF(AND(K247&gt;0,R247=0),1,0)</f>
        <v>0</v>
      </c>
    </row>
    <row r="248" customFormat="false" ht="15" hidden="false" customHeight="false" outlineLevel="0" collapsed="false">
      <c r="B248" s="71" t="str">
        <f aca="false">IF($F$6="Sí",N($C$11)+221,"")</f>
        <v/>
      </c>
      <c r="C248" s="72" t="str">
        <f aca="false">IF(OR($F$6&lt;&gt;"Sí",D248&lt;=0.5),"",EDATE($C$10,221))</f>
        <v/>
      </c>
      <c r="D248" s="41" t="n">
        <f aca="false">MAX(0,M247)</f>
        <v>0</v>
      </c>
      <c r="E248" s="41" t="n">
        <f aca="false">D248*$F$7</f>
        <v>0</v>
      </c>
      <c r="F248" s="41" t="n">
        <f aca="false">IF(D248&gt;0.5,N($C$15),0)</f>
        <v>0</v>
      </c>
      <c r="G248" s="41" t="n">
        <f aca="false">IF(AND(D248&gt;0.5,N($C$19)&gt;0,N(B248)&lt;=N($C$20)),D248*$F$8,0)</f>
        <v>0</v>
      </c>
      <c r="H248" s="41" t="n">
        <f aca="false">IF(D248&lt;=0.5,0,MIN(IF(N(I248)&gt;0,I248,$F$9),D248+E248+F248))</f>
        <v>0</v>
      </c>
      <c r="I248" s="77"/>
      <c r="J248" s="77"/>
      <c r="K248" s="41" t="n">
        <f aca="false">IF(D248&lt;=0.5,0,MIN(H248+N(J248),D248+E248+F248))</f>
        <v>0</v>
      </c>
      <c r="L248" s="41" t="n">
        <f aca="false">K248-E248-F248</f>
        <v>0</v>
      </c>
      <c r="M248" s="41" t="n">
        <f aca="false">D248-L248</f>
        <v>0</v>
      </c>
      <c r="N248" s="42" t="n">
        <f aca="false">K248-G248</f>
        <v>0</v>
      </c>
      <c r="O248" s="78"/>
      <c r="P248" s="79"/>
      <c r="Q248" s="16" t="str">
        <f aca="false">IF(K248=0,"",IF(R248=1,"Pagada",IF(C248&lt;$F$12,"Vencida",IF(222=$F$13,"Próxima","Pendiente"))))</f>
        <v/>
      </c>
      <c r="R248" s="62" t="n">
        <f aca="false">IF(AND(K248&gt;0,OR(O248="Sí",O248="Si")),1,0)</f>
        <v>0</v>
      </c>
      <c r="S248" s="62" t="n">
        <f aca="false">IF(AND(K248&gt;0,R248=0),1,0)</f>
        <v>0</v>
      </c>
    </row>
    <row r="249" customFormat="false" ht="15" hidden="false" customHeight="false" outlineLevel="0" collapsed="false">
      <c r="B249" s="71" t="str">
        <f aca="false">IF($F$6="Sí",N($C$11)+222,"")</f>
        <v/>
      </c>
      <c r="C249" s="72" t="str">
        <f aca="false">IF(OR($F$6&lt;&gt;"Sí",D249&lt;=0.5),"",EDATE($C$10,222))</f>
        <v/>
      </c>
      <c r="D249" s="41" t="n">
        <f aca="false">MAX(0,M248)</f>
        <v>0</v>
      </c>
      <c r="E249" s="41" t="n">
        <f aca="false">D249*$F$7</f>
        <v>0</v>
      </c>
      <c r="F249" s="41" t="n">
        <f aca="false">IF(D249&gt;0.5,N($C$15),0)</f>
        <v>0</v>
      </c>
      <c r="G249" s="41" t="n">
        <f aca="false">IF(AND(D249&gt;0.5,N($C$19)&gt;0,N(B249)&lt;=N($C$20)),D249*$F$8,0)</f>
        <v>0</v>
      </c>
      <c r="H249" s="41" t="n">
        <f aca="false">IF(D249&lt;=0.5,0,MIN(IF(N(I249)&gt;0,I249,$F$9),D249+E249+F249))</f>
        <v>0</v>
      </c>
      <c r="I249" s="77"/>
      <c r="J249" s="77"/>
      <c r="K249" s="41" t="n">
        <f aca="false">IF(D249&lt;=0.5,0,MIN(H249+N(J249),D249+E249+F249))</f>
        <v>0</v>
      </c>
      <c r="L249" s="41" t="n">
        <f aca="false">K249-E249-F249</f>
        <v>0</v>
      </c>
      <c r="M249" s="41" t="n">
        <f aca="false">D249-L249</f>
        <v>0</v>
      </c>
      <c r="N249" s="42" t="n">
        <f aca="false">K249-G249</f>
        <v>0</v>
      </c>
      <c r="O249" s="78"/>
      <c r="P249" s="79"/>
      <c r="Q249" s="16" t="str">
        <f aca="false">IF(K249=0,"",IF(R249=1,"Pagada",IF(C249&lt;$F$12,"Vencida",IF(223=$F$13,"Próxima","Pendiente"))))</f>
        <v/>
      </c>
      <c r="R249" s="62" t="n">
        <f aca="false">IF(AND(K249&gt;0,OR(O249="Sí",O249="Si")),1,0)</f>
        <v>0</v>
      </c>
      <c r="S249" s="62" t="n">
        <f aca="false">IF(AND(K249&gt;0,R249=0),1,0)</f>
        <v>0</v>
      </c>
    </row>
    <row r="250" customFormat="false" ht="15" hidden="false" customHeight="false" outlineLevel="0" collapsed="false">
      <c r="B250" s="71" t="str">
        <f aca="false">IF($F$6="Sí",N($C$11)+223,"")</f>
        <v/>
      </c>
      <c r="C250" s="72" t="str">
        <f aca="false">IF(OR($F$6&lt;&gt;"Sí",D250&lt;=0.5),"",EDATE($C$10,223))</f>
        <v/>
      </c>
      <c r="D250" s="41" t="n">
        <f aca="false">MAX(0,M249)</f>
        <v>0</v>
      </c>
      <c r="E250" s="41" t="n">
        <f aca="false">D250*$F$7</f>
        <v>0</v>
      </c>
      <c r="F250" s="41" t="n">
        <f aca="false">IF(D250&gt;0.5,N($C$15),0)</f>
        <v>0</v>
      </c>
      <c r="G250" s="41" t="n">
        <f aca="false">IF(AND(D250&gt;0.5,N($C$19)&gt;0,N(B250)&lt;=N($C$20)),D250*$F$8,0)</f>
        <v>0</v>
      </c>
      <c r="H250" s="41" t="n">
        <f aca="false">IF(D250&lt;=0.5,0,MIN(IF(N(I250)&gt;0,I250,$F$9),D250+E250+F250))</f>
        <v>0</v>
      </c>
      <c r="I250" s="77"/>
      <c r="J250" s="77"/>
      <c r="K250" s="41" t="n">
        <f aca="false">IF(D250&lt;=0.5,0,MIN(H250+N(J250),D250+E250+F250))</f>
        <v>0</v>
      </c>
      <c r="L250" s="41" t="n">
        <f aca="false">K250-E250-F250</f>
        <v>0</v>
      </c>
      <c r="M250" s="41" t="n">
        <f aca="false">D250-L250</f>
        <v>0</v>
      </c>
      <c r="N250" s="42" t="n">
        <f aca="false">K250-G250</f>
        <v>0</v>
      </c>
      <c r="O250" s="78"/>
      <c r="P250" s="79"/>
      <c r="Q250" s="16" t="str">
        <f aca="false">IF(K250=0,"",IF(R250=1,"Pagada",IF(C250&lt;$F$12,"Vencida",IF(224=$F$13,"Próxima","Pendiente"))))</f>
        <v/>
      </c>
      <c r="R250" s="62" t="n">
        <f aca="false">IF(AND(K250&gt;0,OR(O250="Sí",O250="Si")),1,0)</f>
        <v>0</v>
      </c>
      <c r="S250" s="62" t="n">
        <f aca="false">IF(AND(K250&gt;0,R250=0),1,0)</f>
        <v>0</v>
      </c>
    </row>
    <row r="251" customFormat="false" ht="15" hidden="false" customHeight="false" outlineLevel="0" collapsed="false">
      <c r="B251" s="71" t="str">
        <f aca="false">IF($F$6="Sí",N($C$11)+224,"")</f>
        <v/>
      </c>
      <c r="C251" s="72" t="str">
        <f aca="false">IF(OR($F$6&lt;&gt;"Sí",D251&lt;=0.5),"",EDATE($C$10,224))</f>
        <v/>
      </c>
      <c r="D251" s="41" t="n">
        <f aca="false">MAX(0,M250)</f>
        <v>0</v>
      </c>
      <c r="E251" s="41" t="n">
        <f aca="false">D251*$F$7</f>
        <v>0</v>
      </c>
      <c r="F251" s="41" t="n">
        <f aca="false">IF(D251&gt;0.5,N($C$15),0)</f>
        <v>0</v>
      </c>
      <c r="G251" s="41" t="n">
        <f aca="false">IF(AND(D251&gt;0.5,N($C$19)&gt;0,N(B251)&lt;=N($C$20)),D251*$F$8,0)</f>
        <v>0</v>
      </c>
      <c r="H251" s="41" t="n">
        <f aca="false">IF(D251&lt;=0.5,0,MIN(IF(N(I251)&gt;0,I251,$F$9),D251+E251+F251))</f>
        <v>0</v>
      </c>
      <c r="I251" s="77"/>
      <c r="J251" s="77"/>
      <c r="K251" s="41" t="n">
        <f aca="false">IF(D251&lt;=0.5,0,MIN(H251+N(J251),D251+E251+F251))</f>
        <v>0</v>
      </c>
      <c r="L251" s="41" t="n">
        <f aca="false">K251-E251-F251</f>
        <v>0</v>
      </c>
      <c r="M251" s="41" t="n">
        <f aca="false">D251-L251</f>
        <v>0</v>
      </c>
      <c r="N251" s="42" t="n">
        <f aca="false">K251-G251</f>
        <v>0</v>
      </c>
      <c r="O251" s="78"/>
      <c r="P251" s="79"/>
      <c r="Q251" s="16" t="str">
        <f aca="false">IF(K251=0,"",IF(R251=1,"Pagada",IF(C251&lt;$F$12,"Vencida",IF(225=$F$13,"Próxima","Pendiente"))))</f>
        <v/>
      </c>
      <c r="R251" s="62" t="n">
        <f aca="false">IF(AND(K251&gt;0,OR(O251="Sí",O251="Si")),1,0)</f>
        <v>0</v>
      </c>
      <c r="S251" s="62" t="n">
        <f aca="false">IF(AND(K251&gt;0,R251=0),1,0)</f>
        <v>0</v>
      </c>
    </row>
    <row r="252" customFormat="false" ht="15" hidden="false" customHeight="false" outlineLevel="0" collapsed="false">
      <c r="B252" s="71" t="str">
        <f aca="false">IF($F$6="Sí",N($C$11)+225,"")</f>
        <v/>
      </c>
      <c r="C252" s="72" t="str">
        <f aca="false">IF(OR($F$6&lt;&gt;"Sí",D252&lt;=0.5),"",EDATE($C$10,225))</f>
        <v/>
      </c>
      <c r="D252" s="41" t="n">
        <f aca="false">MAX(0,M251)</f>
        <v>0</v>
      </c>
      <c r="E252" s="41" t="n">
        <f aca="false">D252*$F$7</f>
        <v>0</v>
      </c>
      <c r="F252" s="41" t="n">
        <f aca="false">IF(D252&gt;0.5,N($C$15),0)</f>
        <v>0</v>
      </c>
      <c r="G252" s="41" t="n">
        <f aca="false">IF(AND(D252&gt;0.5,N($C$19)&gt;0,N(B252)&lt;=N($C$20)),D252*$F$8,0)</f>
        <v>0</v>
      </c>
      <c r="H252" s="41" t="n">
        <f aca="false">IF(D252&lt;=0.5,0,MIN(IF(N(I252)&gt;0,I252,$F$9),D252+E252+F252))</f>
        <v>0</v>
      </c>
      <c r="I252" s="77"/>
      <c r="J252" s="77"/>
      <c r="K252" s="41" t="n">
        <f aca="false">IF(D252&lt;=0.5,0,MIN(H252+N(J252),D252+E252+F252))</f>
        <v>0</v>
      </c>
      <c r="L252" s="41" t="n">
        <f aca="false">K252-E252-F252</f>
        <v>0</v>
      </c>
      <c r="M252" s="41" t="n">
        <f aca="false">D252-L252</f>
        <v>0</v>
      </c>
      <c r="N252" s="42" t="n">
        <f aca="false">K252-G252</f>
        <v>0</v>
      </c>
      <c r="O252" s="78"/>
      <c r="P252" s="79"/>
      <c r="Q252" s="16" t="str">
        <f aca="false">IF(K252=0,"",IF(R252=1,"Pagada",IF(C252&lt;$F$12,"Vencida",IF(226=$F$13,"Próxima","Pendiente"))))</f>
        <v/>
      </c>
      <c r="R252" s="62" t="n">
        <f aca="false">IF(AND(K252&gt;0,OR(O252="Sí",O252="Si")),1,0)</f>
        <v>0</v>
      </c>
      <c r="S252" s="62" t="n">
        <f aca="false">IF(AND(K252&gt;0,R252=0),1,0)</f>
        <v>0</v>
      </c>
    </row>
    <row r="253" customFormat="false" ht="15" hidden="false" customHeight="false" outlineLevel="0" collapsed="false">
      <c r="B253" s="71" t="str">
        <f aca="false">IF($F$6="Sí",N($C$11)+226,"")</f>
        <v/>
      </c>
      <c r="C253" s="72" t="str">
        <f aca="false">IF(OR($F$6&lt;&gt;"Sí",D253&lt;=0.5),"",EDATE($C$10,226))</f>
        <v/>
      </c>
      <c r="D253" s="41" t="n">
        <f aca="false">MAX(0,M252)</f>
        <v>0</v>
      </c>
      <c r="E253" s="41" t="n">
        <f aca="false">D253*$F$7</f>
        <v>0</v>
      </c>
      <c r="F253" s="41" t="n">
        <f aca="false">IF(D253&gt;0.5,N($C$15),0)</f>
        <v>0</v>
      </c>
      <c r="G253" s="41" t="n">
        <f aca="false">IF(AND(D253&gt;0.5,N($C$19)&gt;0,N(B253)&lt;=N($C$20)),D253*$F$8,0)</f>
        <v>0</v>
      </c>
      <c r="H253" s="41" t="n">
        <f aca="false">IF(D253&lt;=0.5,0,MIN(IF(N(I253)&gt;0,I253,$F$9),D253+E253+F253))</f>
        <v>0</v>
      </c>
      <c r="I253" s="77"/>
      <c r="J253" s="77"/>
      <c r="K253" s="41" t="n">
        <f aca="false">IF(D253&lt;=0.5,0,MIN(H253+N(J253),D253+E253+F253))</f>
        <v>0</v>
      </c>
      <c r="L253" s="41" t="n">
        <f aca="false">K253-E253-F253</f>
        <v>0</v>
      </c>
      <c r="M253" s="41" t="n">
        <f aca="false">D253-L253</f>
        <v>0</v>
      </c>
      <c r="N253" s="42" t="n">
        <f aca="false">K253-G253</f>
        <v>0</v>
      </c>
      <c r="O253" s="78"/>
      <c r="P253" s="79"/>
      <c r="Q253" s="16" t="str">
        <f aca="false">IF(K253=0,"",IF(R253=1,"Pagada",IF(C253&lt;$F$12,"Vencida",IF(227=$F$13,"Próxima","Pendiente"))))</f>
        <v/>
      </c>
      <c r="R253" s="62" t="n">
        <f aca="false">IF(AND(K253&gt;0,OR(O253="Sí",O253="Si")),1,0)</f>
        <v>0</v>
      </c>
      <c r="S253" s="62" t="n">
        <f aca="false">IF(AND(K253&gt;0,R253=0),1,0)</f>
        <v>0</v>
      </c>
    </row>
    <row r="254" customFormat="false" ht="15" hidden="false" customHeight="false" outlineLevel="0" collapsed="false">
      <c r="B254" s="71" t="str">
        <f aca="false">IF($F$6="Sí",N($C$11)+227,"")</f>
        <v/>
      </c>
      <c r="C254" s="72" t="str">
        <f aca="false">IF(OR($F$6&lt;&gt;"Sí",D254&lt;=0.5),"",EDATE($C$10,227))</f>
        <v/>
      </c>
      <c r="D254" s="41" t="n">
        <f aca="false">MAX(0,M253)</f>
        <v>0</v>
      </c>
      <c r="E254" s="41" t="n">
        <f aca="false">D254*$F$7</f>
        <v>0</v>
      </c>
      <c r="F254" s="41" t="n">
        <f aca="false">IF(D254&gt;0.5,N($C$15),0)</f>
        <v>0</v>
      </c>
      <c r="G254" s="41" t="n">
        <f aca="false">IF(AND(D254&gt;0.5,N($C$19)&gt;0,N(B254)&lt;=N($C$20)),D254*$F$8,0)</f>
        <v>0</v>
      </c>
      <c r="H254" s="41" t="n">
        <f aca="false">IF(D254&lt;=0.5,0,MIN(IF(N(I254)&gt;0,I254,$F$9),D254+E254+F254))</f>
        <v>0</v>
      </c>
      <c r="I254" s="77"/>
      <c r="J254" s="77"/>
      <c r="K254" s="41" t="n">
        <f aca="false">IF(D254&lt;=0.5,0,MIN(H254+N(J254),D254+E254+F254))</f>
        <v>0</v>
      </c>
      <c r="L254" s="41" t="n">
        <f aca="false">K254-E254-F254</f>
        <v>0</v>
      </c>
      <c r="M254" s="41" t="n">
        <f aca="false">D254-L254</f>
        <v>0</v>
      </c>
      <c r="N254" s="42" t="n">
        <f aca="false">K254-G254</f>
        <v>0</v>
      </c>
      <c r="O254" s="78"/>
      <c r="P254" s="79"/>
      <c r="Q254" s="16" t="str">
        <f aca="false">IF(K254=0,"",IF(R254=1,"Pagada",IF(C254&lt;$F$12,"Vencida",IF(228=$F$13,"Próxima","Pendiente"))))</f>
        <v/>
      </c>
      <c r="R254" s="62" t="n">
        <f aca="false">IF(AND(K254&gt;0,OR(O254="Sí",O254="Si")),1,0)</f>
        <v>0</v>
      </c>
      <c r="S254" s="62" t="n">
        <f aca="false">IF(AND(K254&gt;0,R254=0),1,0)</f>
        <v>0</v>
      </c>
    </row>
    <row r="255" customFormat="false" ht="15" hidden="false" customHeight="false" outlineLevel="0" collapsed="false">
      <c r="B255" s="71" t="str">
        <f aca="false">IF($F$6="Sí",N($C$11)+228,"")</f>
        <v/>
      </c>
      <c r="C255" s="72" t="str">
        <f aca="false">IF(OR($F$6&lt;&gt;"Sí",D255&lt;=0.5),"",EDATE($C$10,228))</f>
        <v/>
      </c>
      <c r="D255" s="41" t="n">
        <f aca="false">MAX(0,M254)</f>
        <v>0</v>
      </c>
      <c r="E255" s="41" t="n">
        <f aca="false">D255*$F$7</f>
        <v>0</v>
      </c>
      <c r="F255" s="41" t="n">
        <f aca="false">IF(D255&gt;0.5,N($C$15),0)</f>
        <v>0</v>
      </c>
      <c r="G255" s="41" t="n">
        <f aca="false">IF(AND(D255&gt;0.5,N($C$19)&gt;0,N(B255)&lt;=N($C$20)),D255*$F$8,0)</f>
        <v>0</v>
      </c>
      <c r="H255" s="41" t="n">
        <f aca="false">IF(D255&lt;=0.5,0,MIN(IF(N(I255)&gt;0,I255,$F$9),D255+E255+F255))</f>
        <v>0</v>
      </c>
      <c r="I255" s="77"/>
      <c r="J255" s="77"/>
      <c r="K255" s="41" t="n">
        <f aca="false">IF(D255&lt;=0.5,0,MIN(H255+N(J255),D255+E255+F255))</f>
        <v>0</v>
      </c>
      <c r="L255" s="41" t="n">
        <f aca="false">K255-E255-F255</f>
        <v>0</v>
      </c>
      <c r="M255" s="41" t="n">
        <f aca="false">D255-L255</f>
        <v>0</v>
      </c>
      <c r="N255" s="42" t="n">
        <f aca="false">K255-G255</f>
        <v>0</v>
      </c>
      <c r="O255" s="78"/>
      <c r="P255" s="79"/>
      <c r="Q255" s="16" t="str">
        <f aca="false">IF(K255=0,"",IF(R255=1,"Pagada",IF(C255&lt;$F$12,"Vencida",IF(229=$F$13,"Próxima","Pendiente"))))</f>
        <v/>
      </c>
      <c r="R255" s="62" t="n">
        <f aca="false">IF(AND(K255&gt;0,OR(O255="Sí",O255="Si")),1,0)</f>
        <v>0</v>
      </c>
      <c r="S255" s="62" t="n">
        <f aca="false">IF(AND(K255&gt;0,R255=0),1,0)</f>
        <v>0</v>
      </c>
    </row>
    <row r="256" customFormat="false" ht="15" hidden="false" customHeight="false" outlineLevel="0" collapsed="false">
      <c r="B256" s="71" t="str">
        <f aca="false">IF($F$6="Sí",N($C$11)+229,"")</f>
        <v/>
      </c>
      <c r="C256" s="72" t="str">
        <f aca="false">IF(OR($F$6&lt;&gt;"Sí",D256&lt;=0.5),"",EDATE($C$10,229))</f>
        <v/>
      </c>
      <c r="D256" s="41" t="n">
        <f aca="false">MAX(0,M255)</f>
        <v>0</v>
      </c>
      <c r="E256" s="41" t="n">
        <f aca="false">D256*$F$7</f>
        <v>0</v>
      </c>
      <c r="F256" s="41" t="n">
        <f aca="false">IF(D256&gt;0.5,N($C$15),0)</f>
        <v>0</v>
      </c>
      <c r="G256" s="41" t="n">
        <f aca="false">IF(AND(D256&gt;0.5,N($C$19)&gt;0,N(B256)&lt;=N($C$20)),D256*$F$8,0)</f>
        <v>0</v>
      </c>
      <c r="H256" s="41" t="n">
        <f aca="false">IF(D256&lt;=0.5,0,MIN(IF(N(I256)&gt;0,I256,$F$9),D256+E256+F256))</f>
        <v>0</v>
      </c>
      <c r="I256" s="77"/>
      <c r="J256" s="77"/>
      <c r="K256" s="41" t="n">
        <f aca="false">IF(D256&lt;=0.5,0,MIN(H256+N(J256),D256+E256+F256))</f>
        <v>0</v>
      </c>
      <c r="L256" s="41" t="n">
        <f aca="false">K256-E256-F256</f>
        <v>0</v>
      </c>
      <c r="M256" s="41" t="n">
        <f aca="false">D256-L256</f>
        <v>0</v>
      </c>
      <c r="N256" s="42" t="n">
        <f aca="false">K256-G256</f>
        <v>0</v>
      </c>
      <c r="O256" s="78"/>
      <c r="P256" s="79"/>
      <c r="Q256" s="16" t="str">
        <f aca="false">IF(K256=0,"",IF(R256=1,"Pagada",IF(C256&lt;$F$12,"Vencida",IF(230=$F$13,"Próxima","Pendiente"))))</f>
        <v/>
      </c>
      <c r="R256" s="62" t="n">
        <f aca="false">IF(AND(K256&gt;0,OR(O256="Sí",O256="Si")),1,0)</f>
        <v>0</v>
      </c>
      <c r="S256" s="62" t="n">
        <f aca="false">IF(AND(K256&gt;0,R256=0),1,0)</f>
        <v>0</v>
      </c>
    </row>
    <row r="257" customFormat="false" ht="15" hidden="false" customHeight="false" outlineLevel="0" collapsed="false">
      <c r="B257" s="71" t="str">
        <f aca="false">IF($F$6="Sí",N($C$11)+230,"")</f>
        <v/>
      </c>
      <c r="C257" s="72" t="str">
        <f aca="false">IF(OR($F$6&lt;&gt;"Sí",D257&lt;=0.5),"",EDATE($C$10,230))</f>
        <v/>
      </c>
      <c r="D257" s="41" t="n">
        <f aca="false">MAX(0,M256)</f>
        <v>0</v>
      </c>
      <c r="E257" s="41" t="n">
        <f aca="false">D257*$F$7</f>
        <v>0</v>
      </c>
      <c r="F257" s="41" t="n">
        <f aca="false">IF(D257&gt;0.5,N($C$15),0)</f>
        <v>0</v>
      </c>
      <c r="G257" s="41" t="n">
        <f aca="false">IF(AND(D257&gt;0.5,N($C$19)&gt;0,N(B257)&lt;=N($C$20)),D257*$F$8,0)</f>
        <v>0</v>
      </c>
      <c r="H257" s="41" t="n">
        <f aca="false">IF(D257&lt;=0.5,0,MIN(IF(N(I257)&gt;0,I257,$F$9),D257+E257+F257))</f>
        <v>0</v>
      </c>
      <c r="I257" s="77"/>
      <c r="J257" s="77"/>
      <c r="K257" s="41" t="n">
        <f aca="false">IF(D257&lt;=0.5,0,MIN(H257+N(J257),D257+E257+F257))</f>
        <v>0</v>
      </c>
      <c r="L257" s="41" t="n">
        <f aca="false">K257-E257-F257</f>
        <v>0</v>
      </c>
      <c r="M257" s="41" t="n">
        <f aca="false">D257-L257</f>
        <v>0</v>
      </c>
      <c r="N257" s="42" t="n">
        <f aca="false">K257-G257</f>
        <v>0</v>
      </c>
      <c r="O257" s="78"/>
      <c r="P257" s="79"/>
      <c r="Q257" s="16" t="str">
        <f aca="false">IF(K257=0,"",IF(R257=1,"Pagada",IF(C257&lt;$F$12,"Vencida",IF(231=$F$13,"Próxima","Pendiente"))))</f>
        <v/>
      </c>
      <c r="R257" s="62" t="n">
        <f aca="false">IF(AND(K257&gt;0,OR(O257="Sí",O257="Si")),1,0)</f>
        <v>0</v>
      </c>
      <c r="S257" s="62" t="n">
        <f aca="false">IF(AND(K257&gt;0,R257=0),1,0)</f>
        <v>0</v>
      </c>
    </row>
    <row r="258" customFormat="false" ht="15" hidden="false" customHeight="false" outlineLevel="0" collapsed="false">
      <c r="B258" s="71" t="str">
        <f aca="false">IF($F$6="Sí",N($C$11)+231,"")</f>
        <v/>
      </c>
      <c r="C258" s="72" t="str">
        <f aca="false">IF(OR($F$6&lt;&gt;"Sí",D258&lt;=0.5),"",EDATE($C$10,231))</f>
        <v/>
      </c>
      <c r="D258" s="41" t="n">
        <f aca="false">MAX(0,M257)</f>
        <v>0</v>
      </c>
      <c r="E258" s="41" t="n">
        <f aca="false">D258*$F$7</f>
        <v>0</v>
      </c>
      <c r="F258" s="41" t="n">
        <f aca="false">IF(D258&gt;0.5,N($C$15),0)</f>
        <v>0</v>
      </c>
      <c r="G258" s="41" t="n">
        <f aca="false">IF(AND(D258&gt;0.5,N($C$19)&gt;0,N(B258)&lt;=N($C$20)),D258*$F$8,0)</f>
        <v>0</v>
      </c>
      <c r="H258" s="41" t="n">
        <f aca="false">IF(D258&lt;=0.5,0,MIN(IF(N(I258)&gt;0,I258,$F$9),D258+E258+F258))</f>
        <v>0</v>
      </c>
      <c r="I258" s="77"/>
      <c r="J258" s="77"/>
      <c r="K258" s="41" t="n">
        <f aca="false">IF(D258&lt;=0.5,0,MIN(H258+N(J258),D258+E258+F258))</f>
        <v>0</v>
      </c>
      <c r="L258" s="41" t="n">
        <f aca="false">K258-E258-F258</f>
        <v>0</v>
      </c>
      <c r="M258" s="41" t="n">
        <f aca="false">D258-L258</f>
        <v>0</v>
      </c>
      <c r="N258" s="42" t="n">
        <f aca="false">K258-G258</f>
        <v>0</v>
      </c>
      <c r="O258" s="78"/>
      <c r="P258" s="79"/>
      <c r="Q258" s="16" t="str">
        <f aca="false">IF(K258=0,"",IF(R258=1,"Pagada",IF(C258&lt;$F$12,"Vencida",IF(232=$F$13,"Próxima","Pendiente"))))</f>
        <v/>
      </c>
      <c r="R258" s="62" t="n">
        <f aca="false">IF(AND(K258&gt;0,OR(O258="Sí",O258="Si")),1,0)</f>
        <v>0</v>
      </c>
      <c r="S258" s="62" t="n">
        <f aca="false">IF(AND(K258&gt;0,R258=0),1,0)</f>
        <v>0</v>
      </c>
    </row>
    <row r="259" customFormat="false" ht="15" hidden="false" customHeight="false" outlineLevel="0" collapsed="false">
      <c r="B259" s="71" t="str">
        <f aca="false">IF($F$6="Sí",N($C$11)+232,"")</f>
        <v/>
      </c>
      <c r="C259" s="72" t="str">
        <f aca="false">IF(OR($F$6&lt;&gt;"Sí",D259&lt;=0.5),"",EDATE($C$10,232))</f>
        <v/>
      </c>
      <c r="D259" s="41" t="n">
        <f aca="false">MAX(0,M258)</f>
        <v>0</v>
      </c>
      <c r="E259" s="41" t="n">
        <f aca="false">D259*$F$7</f>
        <v>0</v>
      </c>
      <c r="F259" s="41" t="n">
        <f aca="false">IF(D259&gt;0.5,N($C$15),0)</f>
        <v>0</v>
      </c>
      <c r="G259" s="41" t="n">
        <f aca="false">IF(AND(D259&gt;0.5,N($C$19)&gt;0,N(B259)&lt;=N($C$20)),D259*$F$8,0)</f>
        <v>0</v>
      </c>
      <c r="H259" s="41" t="n">
        <f aca="false">IF(D259&lt;=0.5,0,MIN(IF(N(I259)&gt;0,I259,$F$9),D259+E259+F259))</f>
        <v>0</v>
      </c>
      <c r="I259" s="77"/>
      <c r="J259" s="77"/>
      <c r="K259" s="41" t="n">
        <f aca="false">IF(D259&lt;=0.5,0,MIN(H259+N(J259),D259+E259+F259))</f>
        <v>0</v>
      </c>
      <c r="L259" s="41" t="n">
        <f aca="false">K259-E259-F259</f>
        <v>0</v>
      </c>
      <c r="M259" s="41" t="n">
        <f aca="false">D259-L259</f>
        <v>0</v>
      </c>
      <c r="N259" s="42" t="n">
        <f aca="false">K259-G259</f>
        <v>0</v>
      </c>
      <c r="O259" s="78"/>
      <c r="P259" s="79"/>
      <c r="Q259" s="16" t="str">
        <f aca="false">IF(K259=0,"",IF(R259=1,"Pagada",IF(C259&lt;$F$12,"Vencida",IF(233=$F$13,"Próxima","Pendiente"))))</f>
        <v/>
      </c>
      <c r="R259" s="62" t="n">
        <f aca="false">IF(AND(K259&gt;0,OR(O259="Sí",O259="Si")),1,0)</f>
        <v>0</v>
      </c>
      <c r="S259" s="62" t="n">
        <f aca="false">IF(AND(K259&gt;0,R259=0),1,0)</f>
        <v>0</v>
      </c>
    </row>
    <row r="260" customFormat="false" ht="15" hidden="false" customHeight="false" outlineLevel="0" collapsed="false">
      <c r="B260" s="71" t="str">
        <f aca="false">IF($F$6="Sí",N($C$11)+233,"")</f>
        <v/>
      </c>
      <c r="C260" s="72" t="str">
        <f aca="false">IF(OR($F$6&lt;&gt;"Sí",D260&lt;=0.5),"",EDATE($C$10,233))</f>
        <v/>
      </c>
      <c r="D260" s="41" t="n">
        <f aca="false">MAX(0,M259)</f>
        <v>0</v>
      </c>
      <c r="E260" s="41" t="n">
        <f aca="false">D260*$F$7</f>
        <v>0</v>
      </c>
      <c r="F260" s="41" t="n">
        <f aca="false">IF(D260&gt;0.5,N($C$15),0)</f>
        <v>0</v>
      </c>
      <c r="G260" s="41" t="n">
        <f aca="false">IF(AND(D260&gt;0.5,N($C$19)&gt;0,N(B260)&lt;=N($C$20)),D260*$F$8,0)</f>
        <v>0</v>
      </c>
      <c r="H260" s="41" t="n">
        <f aca="false">IF(D260&lt;=0.5,0,MIN(IF(N(I260)&gt;0,I260,$F$9),D260+E260+F260))</f>
        <v>0</v>
      </c>
      <c r="I260" s="77"/>
      <c r="J260" s="77"/>
      <c r="K260" s="41" t="n">
        <f aca="false">IF(D260&lt;=0.5,0,MIN(H260+N(J260),D260+E260+F260))</f>
        <v>0</v>
      </c>
      <c r="L260" s="41" t="n">
        <f aca="false">K260-E260-F260</f>
        <v>0</v>
      </c>
      <c r="M260" s="41" t="n">
        <f aca="false">D260-L260</f>
        <v>0</v>
      </c>
      <c r="N260" s="42" t="n">
        <f aca="false">K260-G260</f>
        <v>0</v>
      </c>
      <c r="O260" s="78"/>
      <c r="P260" s="79"/>
      <c r="Q260" s="16" t="str">
        <f aca="false">IF(K260=0,"",IF(R260=1,"Pagada",IF(C260&lt;$F$12,"Vencida",IF(234=$F$13,"Próxima","Pendiente"))))</f>
        <v/>
      </c>
      <c r="R260" s="62" t="n">
        <f aca="false">IF(AND(K260&gt;0,OR(O260="Sí",O260="Si")),1,0)</f>
        <v>0</v>
      </c>
      <c r="S260" s="62" t="n">
        <f aca="false">IF(AND(K260&gt;0,R260=0),1,0)</f>
        <v>0</v>
      </c>
    </row>
    <row r="261" customFormat="false" ht="15" hidden="false" customHeight="false" outlineLevel="0" collapsed="false">
      <c r="B261" s="71" t="str">
        <f aca="false">IF($F$6="Sí",N($C$11)+234,"")</f>
        <v/>
      </c>
      <c r="C261" s="72" t="str">
        <f aca="false">IF(OR($F$6&lt;&gt;"Sí",D261&lt;=0.5),"",EDATE($C$10,234))</f>
        <v/>
      </c>
      <c r="D261" s="41" t="n">
        <f aca="false">MAX(0,M260)</f>
        <v>0</v>
      </c>
      <c r="E261" s="41" t="n">
        <f aca="false">D261*$F$7</f>
        <v>0</v>
      </c>
      <c r="F261" s="41" t="n">
        <f aca="false">IF(D261&gt;0.5,N($C$15),0)</f>
        <v>0</v>
      </c>
      <c r="G261" s="41" t="n">
        <f aca="false">IF(AND(D261&gt;0.5,N($C$19)&gt;0,N(B261)&lt;=N($C$20)),D261*$F$8,0)</f>
        <v>0</v>
      </c>
      <c r="H261" s="41" t="n">
        <f aca="false">IF(D261&lt;=0.5,0,MIN(IF(N(I261)&gt;0,I261,$F$9),D261+E261+F261))</f>
        <v>0</v>
      </c>
      <c r="I261" s="77"/>
      <c r="J261" s="77"/>
      <c r="K261" s="41" t="n">
        <f aca="false">IF(D261&lt;=0.5,0,MIN(H261+N(J261),D261+E261+F261))</f>
        <v>0</v>
      </c>
      <c r="L261" s="41" t="n">
        <f aca="false">K261-E261-F261</f>
        <v>0</v>
      </c>
      <c r="M261" s="41" t="n">
        <f aca="false">D261-L261</f>
        <v>0</v>
      </c>
      <c r="N261" s="42" t="n">
        <f aca="false">K261-G261</f>
        <v>0</v>
      </c>
      <c r="O261" s="78"/>
      <c r="P261" s="79"/>
      <c r="Q261" s="16" t="str">
        <f aca="false">IF(K261=0,"",IF(R261=1,"Pagada",IF(C261&lt;$F$12,"Vencida",IF(235=$F$13,"Próxima","Pendiente"))))</f>
        <v/>
      </c>
      <c r="R261" s="62" t="n">
        <f aca="false">IF(AND(K261&gt;0,OR(O261="Sí",O261="Si")),1,0)</f>
        <v>0</v>
      </c>
      <c r="S261" s="62" t="n">
        <f aca="false">IF(AND(K261&gt;0,R261=0),1,0)</f>
        <v>0</v>
      </c>
    </row>
    <row r="262" customFormat="false" ht="15" hidden="false" customHeight="false" outlineLevel="0" collapsed="false">
      <c r="B262" s="71" t="str">
        <f aca="false">IF($F$6="Sí",N($C$11)+235,"")</f>
        <v/>
      </c>
      <c r="C262" s="72" t="str">
        <f aca="false">IF(OR($F$6&lt;&gt;"Sí",D262&lt;=0.5),"",EDATE($C$10,235))</f>
        <v/>
      </c>
      <c r="D262" s="41" t="n">
        <f aca="false">MAX(0,M261)</f>
        <v>0</v>
      </c>
      <c r="E262" s="41" t="n">
        <f aca="false">D262*$F$7</f>
        <v>0</v>
      </c>
      <c r="F262" s="41" t="n">
        <f aca="false">IF(D262&gt;0.5,N($C$15),0)</f>
        <v>0</v>
      </c>
      <c r="G262" s="41" t="n">
        <f aca="false">IF(AND(D262&gt;0.5,N($C$19)&gt;0,N(B262)&lt;=N($C$20)),D262*$F$8,0)</f>
        <v>0</v>
      </c>
      <c r="H262" s="41" t="n">
        <f aca="false">IF(D262&lt;=0.5,0,MIN(IF(N(I262)&gt;0,I262,$F$9),D262+E262+F262))</f>
        <v>0</v>
      </c>
      <c r="I262" s="77"/>
      <c r="J262" s="77"/>
      <c r="K262" s="41" t="n">
        <f aca="false">IF(D262&lt;=0.5,0,MIN(H262+N(J262),D262+E262+F262))</f>
        <v>0</v>
      </c>
      <c r="L262" s="41" t="n">
        <f aca="false">K262-E262-F262</f>
        <v>0</v>
      </c>
      <c r="M262" s="41" t="n">
        <f aca="false">D262-L262</f>
        <v>0</v>
      </c>
      <c r="N262" s="42" t="n">
        <f aca="false">K262-G262</f>
        <v>0</v>
      </c>
      <c r="O262" s="78"/>
      <c r="P262" s="79"/>
      <c r="Q262" s="16" t="str">
        <f aca="false">IF(K262=0,"",IF(R262=1,"Pagada",IF(C262&lt;$F$12,"Vencida",IF(236=$F$13,"Próxima","Pendiente"))))</f>
        <v/>
      </c>
      <c r="R262" s="62" t="n">
        <f aca="false">IF(AND(K262&gt;0,OR(O262="Sí",O262="Si")),1,0)</f>
        <v>0</v>
      </c>
      <c r="S262" s="62" t="n">
        <f aca="false">IF(AND(K262&gt;0,R262=0),1,0)</f>
        <v>0</v>
      </c>
    </row>
    <row r="263" customFormat="false" ht="15" hidden="false" customHeight="false" outlineLevel="0" collapsed="false">
      <c r="B263" s="71" t="str">
        <f aca="false">IF($F$6="Sí",N($C$11)+236,"")</f>
        <v/>
      </c>
      <c r="C263" s="72" t="str">
        <f aca="false">IF(OR($F$6&lt;&gt;"Sí",D263&lt;=0.5),"",EDATE($C$10,236))</f>
        <v/>
      </c>
      <c r="D263" s="41" t="n">
        <f aca="false">MAX(0,M262)</f>
        <v>0</v>
      </c>
      <c r="E263" s="41" t="n">
        <f aca="false">D263*$F$7</f>
        <v>0</v>
      </c>
      <c r="F263" s="41" t="n">
        <f aca="false">IF(D263&gt;0.5,N($C$15),0)</f>
        <v>0</v>
      </c>
      <c r="G263" s="41" t="n">
        <f aca="false">IF(AND(D263&gt;0.5,N($C$19)&gt;0,N(B263)&lt;=N($C$20)),D263*$F$8,0)</f>
        <v>0</v>
      </c>
      <c r="H263" s="41" t="n">
        <f aca="false">IF(D263&lt;=0.5,0,MIN(IF(N(I263)&gt;0,I263,$F$9),D263+E263+F263))</f>
        <v>0</v>
      </c>
      <c r="I263" s="77"/>
      <c r="J263" s="77"/>
      <c r="K263" s="41" t="n">
        <f aca="false">IF(D263&lt;=0.5,0,MIN(H263+N(J263),D263+E263+F263))</f>
        <v>0</v>
      </c>
      <c r="L263" s="41" t="n">
        <f aca="false">K263-E263-F263</f>
        <v>0</v>
      </c>
      <c r="M263" s="41" t="n">
        <f aca="false">D263-L263</f>
        <v>0</v>
      </c>
      <c r="N263" s="42" t="n">
        <f aca="false">K263-G263</f>
        <v>0</v>
      </c>
      <c r="O263" s="78"/>
      <c r="P263" s="79"/>
      <c r="Q263" s="16" t="str">
        <f aca="false">IF(K263=0,"",IF(R263=1,"Pagada",IF(C263&lt;$F$12,"Vencida",IF(237=$F$13,"Próxima","Pendiente"))))</f>
        <v/>
      </c>
      <c r="R263" s="62" t="n">
        <f aca="false">IF(AND(K263&gt;0,OR(O263="Sí",O263="Si")),1,0)</f>
        <v>0</v>
      </c>
      <c r="S263" s="62" t="n">
        <f aca="false">IF(AND(K263&gt;0,R263=0),1,0)</f>
        <v>0</v>
      </c>
    </row>
    <row r="264" customFormat="false" ht="15" hidden="false" customHeight="false" outlineLevel="0" collapsed="false">
      <c r="B264" s="71" t="str">
        <f aca="false">IF($F$6="Sí",N($C$11)+237,"")</f>
        <v/>
      </c>
      <c r="C264" s="72" t="str">
        <f aca="false">IF(OR($F$6&lt;&gt;"Sí",D264&lt;=0.5),"",EDATE($C$10,237))</f>
        <v/>
      </c>
      <c r="D264" s="41" t="n">
        <f aca="false">MAX(0,M263)</f>
        <v>0</v>
      </c>
      <c r="E264" s="41" t="n">
        <f aca="false">D264*$F$7</f>
        <v>0</v>
      </c>
      <c r="F264" s="41" t="n">
        <f aca="false">IF(D264&gt;0.5,N($C$15),0)</f>
        <v>0</v>
      </c>
      <c r="G264" s="41" t="n">
        <f aca="false">IF(AND(D264&gt;0.5,N($C$19)&gt;0,N(B264)&lt;=N($C$20)),D264*$F$8,0)</f>
        <v>0</v>
      </c>
      <c r="H264" s="41" t="n">
        <f aca="false">IF(D264&lt;=0.5,0,MIN(IF(N(I264)&gt;0,I264,$F$9),D264+E264+F264))</f>
        <v>0</v>
      </c>
      <c r="I264" s="77"/>
      <c r="J264" s="77"/>
      <c r="K264" s="41" t="n">
        <f aca="false">IF(D264&lt;=0.5,0,MIN(H264+N(J264),D264+E264+F264))</f>
        <v>0</v>
      </c>
      <c r="L264" s="41" t="n">
        <f aca="false">K264-E264-F264</f>
        <v>0</v>
      </c>
      <c r="M264" s="41" t="n">
        <f aca="false">D264-L264</f>
        <v>0</v>
      </c>
      <c r="N264" s="42" t="n">
        <f aca="false">K264-G264</f>
        <v>0</v>
      </c>
      <c r="O264" s="78"/>
      <c r="P264" s="79"/>
      <c r="Q264" s="16" t="str">
        <f aca="false">IF(K264=0,"",IF(R264=1,"Pagada",IF(C264&lt;$F$12,"Vencida",IF(238=$F$13,"Próxima","Pendiente"))))</f>
        <v/>
      </c>
      <c r="R264" s="62" t="n">
        <f aca="false">IF(AND(K264&gt;0,OR(O264="Sí",O264="Si")),1,0)</f>
        <v>0</v>
      </c>
      <c r="S264" s="62" t="n">
        <f aca="false">IF(AND(K264&gt;0,R264=0),1,0)</f>
        <v>0</v>
      </c>
    </row>
    <row r="265" customFormat="false" ht="15" hidden="false" customHeight="false" outlineLevel="0" collapsed="false">
      <c r="B265" s="71" t="str">
        <f aca="false">IF($F$6="Sí",N($C$11)+238,"")</f>
        <v/>
      </c>
      <c r="C265" s="72" t="str">
        <f aca="false">IF(OR($F$6&lt;&gt;"Sí",D265&lt;=0.5),"",EDATE($C$10,238))</f>
        <v/>
      </c>
      <c r="D265" s="41" t="n">
        <f aca="false">MAX(0,M264)</f>
        <v>0</v>
      </c>
      <c r="E265" s="41" t="n">
        <f aca="false">D265*$F$7</f>
        <v>0</v>
      </c>
      <c r="F265" s="41" t="n">
        <f aca="false">IF(D265&gt;0.5,N($C$15),0)</f>
        <v>0</v>
      </c>
      <c r="G265" s="41" t="n">
        <f aca="false">IF(AND(D265&gt;0.5,N($C$19)&gt;0,N(B265)&lt;=N($C$20)),D265*$F$8,0)</f>
        <v>0</v>
      </c>
      <c r="H265" s="41" t="n">
        <f aca="false">IF(D265&lt;=0.5,0,MIN(IF(N(I265)&gt;0,I265,$F$9),D265+E265+F265))</f>
        <v>0</v>
      </c>
      <c r="I265" s="77"/>
      <c r="J265" s="77"/>
      <c r="K265" s="41" t="n">
        <f aca="false">IF(D265&lt;=0.5,0,MIN(H265+N(J265),D265+E265+F265))</f>
        <v>0</v>
      </c>
      <c r="L265" s="41" t="n">
        <f aca="false">K265-E265-F265</f>
        <v>0</v>
      </c>
      <c r="M265" s="41" t="n">
        <f aca="false">D265-L265</f>
        <v>0</v>
      </c>
      <c r="N265" s="42" t="n">
        <f aca="false">K265-G265</f>
        <v>0</v>
      </c>
      <c r="O265" s="78"/>
      <c r="P265" s="79"/>
      <c r="Q265" s="16" t="str">
        <f aca="false">IF(K265=0,"",IF(R265=1,"Pagada",IF(C265&lt;$F$12,"Vencida",IF(239=$F$13,"Próxima","Pendiente"))))</f>
        <v/>
      </c>
      <c r="R265" s="62" t="n">
        <f aca="false">IF(AND(K265&gt;0,OR(O265="Sí",O265="Si")),1,0)</f>
        <v>0</v>
      </c>
      <c r="S265" s="62" t="n">
        <f aca="false">IF(AND(K265&gt;0,R265=0),1,0)</f>
        <v>0</v>
      </c>
    </row>
    <row r="266" customFormat="false" ht="15" hidden="false" customHeight="false" outlineLevel="0" collapsed="false">
      <c r="B266" s="71" t="str">
        <f aca="false">IF($F$6="Sí",N($C$11)+239,"")</f>
        <v/>
      </c>
      <c r="C266" s="72" t="str">
        <f aca="false">IF(OR($F$6&lt;&gt;"Sí",D266&lt;=0.5),"",EDATE($C$10,239))</f>
        <v/>
      </c>
      <c r="D266" s="41" t="n">
        <f aca="false">MAX(0,M265)</f>
        <v>0</v>
      </c>
      <c r="E266" s="41" t="n">
        <f aca="false">D266*$F$7</f>
        <v>0</v>
      </c>
      <c r="F266" s="41" t="n">
        <f aca="false">IF(D266&gt;0.5,N($C$15),0)</f>
        <v>0</v>
      </c>
      <c r="G266" s="41" t="n">
        <f aca="false">IF(AND(D266&gt;0.5,N($C$19)&gt;0,N(B266)&lt;=N($C$20)),D266*$F$8,0)</f>
        <v>0</v>
      </c>
      <c r="H266" s="41" t="n">
        <f aca="false">IF(D266&lt;=0.5,0,MIN(IF(N(I266)&gt;0,I266,$F$9),D266+E266+F266))</f>
        <v>0</v>
      </c>
      <c r="I266" s="77"/>
      <c r="J266" s="77"/>
      <c r="K266" s="41" t="n">
        <f aca="false">IF(D266&lt;=0.5,0,MIN(H266+N(J266),D266+E266+F266))</f>
        <v>0</v>
      </c>
      <c r="L266" s="41" t="n">
        <f aca="false">K266-E266-F266</f>
        <v>0</v>
      </c>
      <c r="M266" s="41" t="n">
        <f aca="false">D266-L266</f>
        <v>0</v>
      </c>
      <c r="N266" s="42" t="n">
        <f aca="false">K266-G266</f>
        <v>0</v>
      </c>
      <c r="O266" s="78"/>
      <c r="P266" s="79"/>
      <c r="Q266" s="16" t="str">
        <f aca="false">IF(K266=0,"",IF(R266=1,"Pagada",IF(C266&lt;$F$12,"Vencida",IF(240=$F$13,"Próxima","Pendiente"))))</f>
        <v/>
      </c>
      <c r="R266" s="62" t="n">
        <f aca="false">IF(AND(K266&gt;0,OR(O266="Sí",O266="Si")),1,0)</f>
        <v>0</v>
      </c>
      <c r="S266" s="62" t="n">
        <f aca="false">IF(AND(K266&gt;0,R266=0),1,0)</f>
        <v>0</v>
      </c>
    </row>
    <row r="267" customFormat="false" ht="15" hidden="false" customHeight="false" outlineLevel="0" collapsed="false">
      <c r="B267" s="71" t="str">
        <f aca="false">IF($F$6="Sí",N($C$11)+240,"")</f>
        <v/>
      </c>
      <c r="C267" s="72" t="str">
        <f aca="false">IF(OR($F$6&lt;&gt;"Sí",D267&lt;=0.5),"",EDATE($C$10,240))</f>
        <v/>
      </c>
      <c r="D267" s="41" t="n">
        <f aca="false">MAX(0,M266)</f>
        <v>0</v>
      </c>
      <c r="E267" s="41" t="n">
        <f aca="false">D267*$F$7</f>
        <v>0</v>
      </c>
      <c r="F267" s="41" t="n">
        <f aca="false">IF(D267&gt;0.5,N($C$15),0)</f>
        <v>0</v>
      </c>
      <c r="G267" s="41" t="n">
        <f aca="false">IF(AND(D267&gt;0.5,N($C$19)&gt;0,N(B267)&lt;=N($C$20)),D267*$F$8,0)</f>
        <v>0</v>
      </c>
      <c r="H267" s="41" t="n">
        <f aca="false">IF(D267&lt;=0.5,0,MIN(IF(N(I267)&gt;0,I267,$F$9),D267+E267+F267))</f>
        <v>0</v>
      </c>
      <c r="I267" s="77"/>
      <c r="J267" s="77"/>
      <c r="K267" s="41" t="n">
        <f aca="false">IF(D267&lt;=0.5,0,MIN(H267+N(J267),D267+E267+F267))</f>
        <v>0</v>
      </c>
      <c r="L267" s="41" t="n">
        <f aca="false">K267-E267-F267</f>
        <v>0</v>
      </c>
      <c r="M267" s="41" t="n">
        <f aca="false">D267-L267</f>
        <v>0</v>
      </c>
      <c r="N267" s="42" t="n">
        <f aca="false">K267-G267</f>
        <v>0</v>
      </c>
      <c r="O267" s="78"/>
      <c r="P267" s="79"/>
      <c r="Q267" s="16" t="str">
        <f aca="false">IF(K267=0,"",IF(R267=1,"Pagada",IF(C267&lt;$F$12,"Vencida",IF(241=$F$13,"Próxima","Pendiente"))))</f>
        <v/>
      </c>
      <c r="R267" s="62" t="n">
        <f aca="false">IF(AND(K267&gt;0,OR(O267="Sí",O267="Si")),1,0)</f>
        <v>0</v>
      </c>
      <c r="S267" s="62" t="n">
        <f aca="false">IF(AND(K267&gt;0,R267=0),1,0)</f>
        <v>0</v>
      </c>
    </row>
    <row r="268" customFormat="false" ht="15" hidden="false" customHeight="false" outlineLevel="0" collapsed="false">
      <c r="B268" s="71" t="str">
        <f aca="false">IF($F$6="Sí",N($C$11)+241,"")</f>
        <v/>
      </c>
      <c r="C268" s="72" t="str">
        <f aca="false">IF(OR($F$6&lt;&gt;"Sí",D268&lt;=0.5),"",EDATE($C$10,241))</f>
        <v/>
      </c>
      <c r="D268" s="41" t="n">
        <f aca="false">MAX(0,M267)</f>
        <v>0</v>
      </c>
      <c r="E268" s="41" t="n">
        <f aca="false">D268*$F$7</f>
        <v>0</v>
      </c>
      <c r="F268" s="41" t="n">
        <f aca="false">IF(D268&gt;0.5,N($C$15),0)</f>
        <v>0</v>
      </c>
      <c r="G268" s="41" t="n">
        <f aca="false">IF(AND(D268&gt;0.5,N($C$19)&gt;0,N(B268)&lt;=N($C$20)),D268*$F$8,0)</f>
        <v>0</v>
      </c>
      <c r="H268" s="41" t="n">
        <f aca="false">IF(D268&lt;=0.5,0,MIN(IF(N(I268)&gt;0,I268,$F$9),D268+E268+F268))</f>
        <v>0</v>
      </c>
      <c r="I268" s="77"/>
      <c r="J268" s="77"/>
      <c r="K268" s="41" t="n">
        <f aca="false">IF(D268&lt;=0.5,0,MIN(H268+N(J268),D268+E268+F268))</f>
        <v>0</v>
      </c>
      <c r="L268" s="41" t="n">
        <f aca="false">K268-E268-F268</f>
        <v>0</v>
      </c>
      <c r="M268" s="41" t="n">
        <f aca="false">D268-L268</f>
        <v>0</v>
      </c>
      <c r="N268" s="42" t="n">
        <f aca="false">K268-G268</f>
        <v>0</v>
      </c>
      <c r="O268" s="78"/>
      <c r="P268" s="79"/>
      <c r="Q268" s="16" t="str">
        <f aca="false">IF(K268=0,"",IF(R268=1,"Pagada",IF(C268&lt;$F$12,"Vencida",IF(242=$F$13,"Próxima","Pendiente"))))</f>
        <v/>
      </c>
      <c r="R268" s="62" t="n">
        <f aca="false">IF(AND(K268&gt;0,OR(O268="Sí",O268="Si")),1,0)</f>
        <v>0</v>
      </c>
      <c r="S268" s="62" t="n">
        <f aca="false">IF(AND(K268&gt;0,R268=0),1,0)</f>
        <v>0</v>
      </c>
    </row>
    <row r="269" customFormat="false" ht="15" hidden="false" customHeight="false" outlineLevel="0" collapsed="false">
      <c r="B269" s="71" t="str">
        <f aca="false">IF($F$6="Sí",N($C$11)+242,"")</f>
        <v/>
      </c>
      <c r="C269" s="72" t="str">
        <f aca="false">IF(OR($F$6&lt;&gt;"Sí",D269&lt;=0.5),"",EDATE($C$10,242))</f>
        <v/>
      </c>
      <c r="D269" s="41" t="n">
        <f aca="false">MAX(0,M268)</f>
        <v>0</v>
      </c>
      <c r="E269" s="41" t="n">
        <f aca="false">D269*$F$7</f>
        <v>0</v>
      </c>
      <c r="F269" s="41" t="n">
        <f aca="false">IF(D269&gt;0.5,N($C$15),0)</f>
        <v>0</v>
      </c>
      <c r="G269" s="41" t="n">
        <f aca="false">IF(AND(D269&gt;0.5,N($C$19)&gt;0,N(B269)&lt;=N($C$20)),D269*$F$8,0)</f>
        <v>0</v>
      </c>
      <c r="H269" s="41" t="n">
        <f aca="false">IF(D269&lt;=0.5,0,MIN(IF(N(I269)&gt;0,I269,$F$9),D269+E269+F269))</f>
        <v>0</v>
      </c>
      <c r="I269" s="77"/>
      <c r="J269" s="77"/>
      <c r="K269" s="41" t="n">
        <f aca="false">IF(D269&lt;=0.5,0,MIN(H269+N(J269),D269+E269+F269))</f>
        <v>0</v>
      </c>
      <c r="L269" s="41" t="n">
        <f aca="false">K269-E269-F269</f>
        <v>0</v>
      </c>
      <c r="M269" s="41" t="n">
        <f aca="false">D269-L269</f>
        <v>0</v>
      </c>
      <c r="N269" s="42" t="n">
        <f aca="false">K269-G269</f>
        <v>0</v>
      </c>
      <c r="O269" s="78"/>
      <c r="P269" s="79"/>
      <c r="Q269" s="16" t="str">
        <f aca="false">IF(K269=0,"",IF(R269=1,"Pagada",IF(C269&lt;$F$12,"Vencida",IF(243=$F$13,"Próxima","Pendiente"))))</f>
        <v/>
      </c>
      <c r="R269" s="62" t="n">
        <f aca="false">IF(AND(K269&gt;0,OR(O269="Sí",O269="Si")),1,0)</f>
        <v>0</v>
      </c>
      <c r="S269" s="62" t="n">
        <f aca="false">IF(AND(K269&gt;0,R269=0),1,0)</f>
        <v>0</v>
      </c>
    </row>
    <row r="270" customFormat="false" ht="15" hidden="false" customHeight="false" outlineLevel="0" collapsed="false">
      <c r="B270" s="71" t="str">
        <f aca="false">IF($F$6="Sí",N($C$11)+243,"")</f>
        <v/>
      </c>
      <c r="C270" s="72" t="str">
        <f aca="false">IF(OR($F$6&lt;&gt;"Sí",D270&lt;=0.5),"",EDATE($C$10,243))</f>
        <v/>
      </c>
      <c r="D270" s="41" t="n">
        <f aca="false">MAX(0,M269)</f>
        <v>0</v>
      </c>
      <c r="E270" s="41" t="n">
        <f aca="false">D270*$F$7</f>
        <v>0</v>
      </c>
      <c r="F270" s="41" t="n">
        <f aca="false">IF(D270&gt;0.5,N($C$15),0)</f>
        <v>0</v>
      </c>
      <c r="G270" s="41" t="n">
        <f aca="false">IF(AND(D270&gt;0.5,N($C$19)&gt;0,N(B270)&lt;=N($C$20)),D270*$F$8,0)</f>
        <v>0</v>
      </c>
      <c r="H270" s="41" t="n">
        <f aca="false">IF(D270&lt;=0.5,0,MIN(IF(N(I270)&gt;0,I270,$F$9),D270+E270+F270))</f>
        <v>0</v>
      </c>
      <c r="I270" s="77"/>
      <c r="J270" s="77"/>
      <c r="K270" s="41" t="n">
        <f aca="false">IF(D270&lt;=0.5,0,MIN(H270+N(J270),D270+E270+F270))</f>
        <v>0</v>
      </c>
      <c r="L270" s="41" t="n">
        <f aca="false">K270-E270-F270</f>
        <v>0</v>
      </c>
      <c r="M270" s="41" t="n">
        <f aca="false">D270-L270</f>
        <v>0</v>
      </c>
      <c r="N270" s="42" t="n">
        <f aca="false">K270-G270</f>
        <v>0</v>
      </c>
      <c r="O270" s="78"/>
      <c r="P270" s="79"/>
      <c r="Q270" s="16" t="str">
        <f aca="false">IF(K270=0,"",IF(R270=1,"Pagada",IF(C270&lt;$F$12,"Vencida",IF(244=$F$13,"Próxima","Pendiente"))))</f>
        <v/>
      </c>
      <c r="R270" s="62" t="n">
        <f aca="false">IF(AND(K270&gt;0,OR(O270="Sí",O270="Si")),1,0)</f>
        <v>0</v>
      </c>
      <c r="S270" s="62" t="n">
        <f aca="false">IF(AND(K270&gt;0,R270=0),1,0)</f>
        <v>0</v>
      </c>
    </row>
    <row r="271" customFormat="false" ht="15" hidden="false" customHeight="false" outlineLevel="0" collapsed="false">
      <c r="B271" s="71" t="str">
        <f aca="false">IF($F$6="Sí",N($C$11)+244,"")</f>
        <v/>
      </c>
      <c r="C271" s="72" t="str">
        <f aca="false">IF(OR($F$6&lt;&gt;"Sí",D271&lt;=0.5),"",EDATE($C$10,244))</f>
        <v/>
      </c>
      <c r="D271" s="41" t="n">
        <f aca="false">MAX(0,M270)</f>
        <v>0</v>
      </c>
      <c r="E271" s="41" t="n">
        <f aca="false">D271*$F$7</f>
        <v>0</v>
      </c>
      <c r="F271" s="41" t="n">
        <f aca="false">IF(D271&gt;0.5,N($C$15),0)</f>
        <v>0</v>
      </c>
      <c r="G271" s="41" t="n">
        <f aca="false">IF(AND(D271&gt;0.5,N($C$19)&gt;0,N(B271)&lt;=N($C$20)),D271*$F$8,0)</f>
        <v>0</v>
      </c>
      <c r="H271" s="41" t="n">
        <f aca="false">IF(D271&lt;=0.5,0,MIN(IF(N(I271)&gt;0,I271,$F$9),D271+E271+F271))</f>
        <v>0</v>
      </c>
      <c r="I271" s="77"/>
      <c r="J271" s="77"/>
      <c r="K271" s="41" t="n">
        <f aca="false">IF(D271&lt;=0.5,0,MIN(H271+N(J271),D271+E271+F271))</f>
        <v>0</v>
      </c>
      <c r="L271" s="41" t="n">
        <f aca="false">K271-E271-F271</f>
        <v>0</v>
      </c>
      <c r="M271" s="41" t="n">
        <f aca="false">D271-L271</f>
        <v>0</v>
      </c>
      <c r="N271" s="42" t="n">
        <f aca="false">K271-G271</f>
        <v>0</v>
      </c>
      <c r="O271" s="78"/>
      <c r="P271" s="79"/>
      <c r="Q271" s="16" t="str">
        <f aca="false">IF(K271=0,"",IF(R271=1,"Pagada",IF(C271&lt;$F$12,"Vencida",IF(245=$F$13,"Próxima","Pendiente"))))</f>
        <v/>
      </c>
      <c r="R271" s="62" t="n">
        <f aca="false">IF(AND(K271&gt;0,OR(O271="Sí",O271="Si")),1,0)</f>
        <v>0</v>
      </c>
      <c r="S271" s="62" t="n">
        <f aca="false">IF(AND(K271&gt;0,R271=0),1,0)</f>
        <v>0</v>
      </c>
    </row>
    <row r="272" customFormat="false" ht="15" hidden="false" customHeight="false" outlineLevel="0" collapsed="false">
      <c r="B272" s="71" t="str">
        <f aca="false">IF($F$6="Sí",N($C$11)+245,"")</f>
        <v/>
      </c>
      <c r="C272" s="72" t="str">
        <f aca="false">IF(OR($F$6&lt;&gt;"Sí",D272&lt;=0.5),"",EDATE($C$10,245))</f>
        <v/>
      </c>
      <c r="D272" s="41" t="n">
        <f aca="false">MAX(0,M271)</f>
        <v>0</v>
      </c>
      <c r="E272" s="41" t="n">
        <f aca="false">D272*$F$7</f>
        <v>0</v>
      </c>
      <c r="F272" s="41" t="n">
        <f aca="false">IF(D272&gt;0.5,N($C$15),0)</f>
        <v>0</v>
      </c>
      <c r="G272" s="41" t="n">
        <f aca="false">IF(AND(D272&gt;0.5,N($C$19)&gt;0,N(B272)&lt;=N($C$20)),D272*$F$8,0)</f>
        <v>0</v>
      </c>
      <c r="H272" s="41" t="n">
        <f aca="false">IF(D272&lt;=0.5,0,MIN(IF(N(I272)&gt;0,I272,$F$9),D272+E272+F272))</f>
        <v>0</v>
      </c>
      <c r="I272" s="77"/>
      <c r="J272" s="77"/>
      <c r="K272" s="41" t="n">
        <f aca="false">IF(D272&lt;=0.5,0,MIN(H272+N(J272),D272+E272+F272))</f>
        <v>0</v>
      </c>
      <c r="L272" s="41" t="n">
        <f aca="false">K272-E272-F272</f>
        <v>0</v>
      </c>
      <c r="M272" s="41" t="n">
        <f aca="false">D272-L272</f>
        <v>0</v>
      </c>
      <c r="N272" s="42" t="n">
        <f aca="false">K272-G272</f>
        <v>0</v>
      </c>
      <c r="O272" s="78"/>
      <c r="P272" s="79"/>
      <c r="Q272" s="16" t="str">
        <f aca="false">IF(K272=0,"",IF(R272=1,"Pagada",IF(C272&lt;$F$12,"Vencida",IF(246=$F$13,"Próxima","Pendiente"))))</f>
        <v/>
      </c>
      <c r="R272" s="62" t="n">
        <f aca="false">IF(AND(K272&gt;0,OR(O272="Sí",O272="Si")),1,0)</f>
        <v>0</v>
      </c>
      <c r="S272" s="62" t="n">
        <f aca="false">IF(AND(K272&gt;0,R272=0),1,0)</f>
        <v>0</v>
      </c>
    </row>
    <row r="273" customFormat="false" ht="15" hidden="false" customHeight="false" outlineLevel="0" collapsed="false">
      <c r="B273" s="71" t="str">
        <f aca="false">IF($F$6="Sí",N($C$11)+246,"")</f>
        <v/>
      </c>
      <c r="C273" s="72" t="str">
        <f aca="false">IF(OR($F$6&lt;&gt;"Sí",D273&lt;=0.5),"",EDATE($C$10,246))</f>
        <v/>
      </c>
      <c r="D273" s="41" t="n">
        <f aca="false">MAX(0,M272)</f>
        <v>0</v>
      </c>
      <c r="E273" s="41" t="n">
        <f aca="false">D273*$F$7</f>
        <v>0</v>
      </c>
      <c r="F273" s="41" t="n">
        <f aca="false">IF(D273&gt;0.5,N($C$15),0)</f>
        <v>0</v>
      </c>
      <c r="G273" s="41" t="n">
        <f aca="false">IF(AND(D273&gt;0.5,N($C$19)&gt;0,N(B273)&lt;=N($C$20)),D273*$F$8,0)</f>
        <v>0</v>
      </c>
      <c r="H273" s="41" t="n">
        <f aca="false">IF(D273&lt;=0.5,0,MIN(IF(N(I273)&gt;0,I273,$F$9),D273+E273+F273))</f>
        <v>0</v>
      </c>
      <c r="I273" s="77"/>
      <c r="J273" s="77"/>
      <c r="K273" s="41" t="n">
        <f aca="false">IF(D273&lt;=0.5,0,MIN(H273+N(J273),D273+E273+F273))</f>
        <v>0</v>
      </c>
      <c r="L273" s="41" t="n">
        <f aca="false">K273-E273-F273</f>
        <v>0</v>
      </c>
      <c r="M273" s="41" t="n">
        <f aca="false">D273-L273</f>
        <v>0</v>
      </c>
      <c r="N273" s="42" t="n">
        <f aca="false">K273-G273</f>
        <v>0</v>
      </c>
      <c r="O273" s="78"/>
      <c r="P273" s="79"/>
      <c r="Q273" s="16" t="str">
        <f aca="false">IF(K273=0,"",IF(R273=1,"Pagada",IF(C273&lt;$F$12,"Vencida",IF(247=$F$13,"Próxima","Pendiente"))))</f>
        <v/>
      </c>
      <c r="R273" s="62" t="n">
        <f aca="false">IF(AND(K273&gt;0,OR(O273="Sí",O273="Si")),1,0)</f>
        <v>0</v>
      </c>
      <c r="S273" s="62" t="n">
        <f aca="false">IF(AND(K273&gt;0,R273=0),1,0)</f>
        <v>0</v>
      </c>
    </row>
    <row r="274" customFormat="false" ht="15" hidden="false" customHeight="false" outlineLevel="0" collapsed="false">
      <c r="B274" s="71" t="str">
        <f aca="false">IF($F$6="Sí",N($C$11)+247,"")</f>
        <v/>
      </c>
      <c r="C274" s="72" t="str">
        <f aca="false">IF(OR($F$6&lt;&gt;"Sí",D274&lt;=0.5),"",EDATE($C$10,247))</f>
        <v/>
      </c>
      <c r="D274" s="41" t="n">
        <f aca="false">MAX(0,M273)</f>
        <v>0</v>
      </c>
      <c r="E274" s="41" t="n">
        <f aca="false">D274*$F$7</f>
        <v>0</v>
      </c>
      <c r="F274" s="41" t="n">
        <f aca="false">IF(D274&gt;0.5,N($C$15),0)</f>
        <v>0</v>
      </c>
      <c r="G274" s="41" t="n">
        <f aca="false">IF(AND(D274&gt;0.5,N($C$19)&gt;0,N(B274)&lt;=N($C$20)),D274*$F$8,0)</f>
        <v>0</v>
      </c>
      <c r="H274" s="41" t="n">
        <f aca="false">IF(D274&lt;=0.5,0,MIN(IF(N(I274)&gt;0,I274,$F$9),D274+E274+F274))</f>
        <v>0</v>
      </c>
      <c r="I274" s="77"/>
      <c r="J274" s="77"/>
      <c r="K274" s="41" t="n">
        <f aca="false">IF(D274&lt;=0.5,0,MIN(H274+N(J274),D274+E274+F274))</f>
        <v>0</v>
      </c>
      <c r="L274" s="41" t="n">
        <f aca="false">K274-E274-F274</f>
        <v>0</v>
      </c>
      <c r="M274" s="41" t="n">
        <f aca="false">D274-L274</f>
        <v>0</v>
      </c>
      <c r="N274" s="42" t="n">
        <f aca="false">K274-G274</f>
        <v>0</v>
      </c>
      <c r="O274" s="78"/>
      <c r="P274" s="79"/>
      <c r="Q274" s="16" t="str">
        <f aca="false">IF(K274=0,"",IF(R274=1,"Pagada",IF(C274&lt;$F$12,"Vencida",IF(248=$F$13,"Próxima","Pendiente"))))</f>
        <v/>
      </c>
      <c r="R274" s="62" t="n">
        <f aca="false">IF(AND(K274&gt;0,OR(O274="Sí",O274="Si")),1,0)</f>
        <v>0</v>
      </c>
      <c r="S274" s="62" t="n">
        <f aca="false">IF(AND(K274&gt;0,R274=0),1,0)</f>
        <v>0</v>
      </c>
    </row>
    <row r="275" customFormat="false" ht="15" hidden="false" customHeight="false" outlineLevel="0" collapsed="false">
      <c r="B275" s="71" t="str">
        <f aca="false">IF($F$6="Sí",N($C$11)+248,"")</f>
        <v/>
      </c>
      <c r="C275" s="72" t="str">
        <f aca="false">IF(OR($F$6&lt;&gt;"Sí",D275&lt;=0.5),"",EDATE($C$10,248))</f>
        <v/>
      </c>
      <c r="D275" s="41" t="n">
        <f aca="false">MAX(0,M274)</f>
        <v>0</v>
      </c>
      <c r="E275" s="41" t="n">
        <f aca="false">D275*$F$7</f>
        <v>0</v>
      </c>
      <c r="F275" s="41" t="n">
        <f aca="false">IF(D275&gt;0.5,N($C$15),0)</f>
        <v>0</v>
      </c>
      <c r="G275" s="41" t="n">
        <f aca="false">IF(AND(D275&gt;0.5,N($C$19)&gt;0,N(B275)&lt;=N($C$20)),D275*$F$8,0)</f>
        <v>0</v>
      </c>
      <c r="H275" s="41" t="n">
        <f aca="false">IF(D275&lt;=0.5,0,MIN(IF(N(I275)&gt;0,I275,$F$9),D275+E275+F275))</f>
        <v>0</v>
      </c>
      <c r="I275" s="77"/>
      <c r="J275" s="77"/>
      <c r="K275" s="41" t="n">
        <f aca="false">IF(D275&lt;=0.5,0,MIN(H275+N(J275),D275+E275+F275))</f>
        <v>0</v>
      </c>
      <c r="L275" s="41" t="n">
        <f aca="false">K275-E275-F275</f>
        <v>0</v>
      </c>
      <c r="M275" s="41" t="n">
        <f aca="false">D275-L275</f>
        <v>0</v>
      </c>
      <c r="N275" s="42" t="n">
        <f aca="false">K275-G275</f>
        <v>0</v>
      </c>
      <c r="O275" s="78"/>
      <c r="P275" s="79"/>
      <c r="Q275" s="16" t="str">
        <f aca="false">IF(K275=0,"",IF(R275=1,"Pagada",IF(C275&lt;$F$12,"Vencida",IF(249=$F$13,"Próxima","Pendiente"))))</f>
        <v/>
      </c>
      <c r="R275" s="62" t="n">
        <f aca="false">IF(AND(K275&gt;0,OR(O275="Sí",O275="Si")),1,0)</f>
        <v>0</v>
      </c>
      <c r="S275" s="62" t="n">
        <f aca="false">IF(AND(K275&gt;0,R275=0),1,0)</f>
        <v>0</v>
      </c>
    </row>
    <row r="276" customFormat="false" ht="15" hidden="false" customHeight="false" outlineLevel="0" collapsed="false">
      <c r="B276" s="71" t="str">
        <f aca="false">IF($F$6="Sí",N($C$11)+249,"")</f>
        <v/>
      </c>
      <c r="C276" s="72" t="str">
        <f aca="false">IF(OR($F$6&lt;&gt;"Sí",D276&lt;=0.5),"",EDATE($C$10,249))</f>
        <v/>
      </c>
      <c r="D276" s="41" t="n">
        <f aca="false">MAX(0,M275)</f>
        <v>0</v>
      </c>
      <c r="E276" s="41" t="n">
        <f aca="false">D276*$F$7</f>
        <v>0</v>
      </c>
      <c r="F276" s="41" t="n">
        <f aca="false">IF(D276&gt;0.5,N($C$15),0)</f>
        <v>0</v>
      </c>
      <c r="G276" s="41" t="n">
        <f aca="false">IF(AND(D276&gt;0.5,N($C$19)&gt;0,N(B276)&lt;=N($C$20)),D276*$F$8,0)</f>
        <v>0</v>
      </c>
      <c r="H276" s="41" t="n">
        <f aca="false">IF(D276&lt;=0.5,0,MIN(IF(N(I276)&gt;0,I276,$F$9),D276+E276+F276))</f>
        <v>0</v>
      </c>
      <c r="I276" s="77"/>
      <c r="J276" s="77"/>
      <c r="K276" s="41" t="n">
        <f aca="false">IF(D276&lt;=0.5,0,MIN(H276+N(J276),D276+E276+F276))</f>
        <v>0</v>
      </c>
      <c r="L276" s="41" t="n">
        <f aca="false">K276-E276-F276</f>
        <v>0</v>
      </c>
      <c r="M276" s="41" t="n">
        <f aca="false">D276-L276</f>
        <v>0</v>
      </c>
      <c r="N276" s="42" t="n">
        <f aca="false">K276-G276</f>
        <v>0</v>
      </c>
      <c r="O276" s="78"/>
      <c r="P276" s="79"/>
      <c r="Q276" s="16" t="str">
        <f aca="false">IF(K276=0,"",IF(R276=1,"Pagada",IF(C276&lt;$F$12,"Vencida",IF(250=$F$13,"Próxima","Pendiente"))))</f>
        <v/>
      </c>
      <c r="R276" s="62" t="n">
        <f aca="false">IF(AND(K276&gt;0,OR(O276="Sí",O276="Si")),1,0)</f>
        <v>0</v>
      </c>
      <c r="S276" s="62" t="n">
        <f aca="false">IF(AND(K276&gt;0,R276=0),1,0)</f>
        <v>0</v>
      </c>
    </row>
    <row r="277" customFormat="false" ht="15" hidden="false" customHeight="false" outlineLevel="0" collapsed="false">
      <c r="B277" s="71" t="str">
        <f aca="false">IF($F$6="Sí",N($C$11)+250,"")</f>
        <v/>
      </c>
      <c r="C277" s="72" t="str">
        <f aca="false">IF(OR($F$6&lt;&gt;"Sí",D277&lt;=0.5),"",EDATE($C$10,250))</f>
        <v/>
      </c>
      <c r="D277" s="41" t="n">
        <f aca="false">MAX(0,M276)</f>
        <v>0</v>
      </c>
      <c r="E277" s="41" t="n">
        <f aca="false">D277*$F$7</f>
        <v>0</v>
      </c>
      <c r="F277" s="41" t="n">
        <f aca="false">IF(D277&gt;0.5,N($C$15),0)</f>
        <v>0</v>
      </c>
      <c r="G277" s="41" t="n">
        <f aca="false">IF(AND(D277&gt;0.5,N($C$19)&gt;0,N(B277)&lt;=N($C$20)),D277*$F$8,0)</f>
        <v>0</v>
      </c>
      <c r="H277" s="41" t="n">
        <f aca="false">IF(D277&lt;=0.5,0,MIN(IF(N(I277)&gt;0,I277,$F$9),D277+E277+F277))</f>
        <v>0</v>
      </c>
      <c r="I277" s="77"/>
      <c r="J277" s="77"/>
      <c r="K277" s="41" t="n">
        <f aca="false">IF(D277&lt;=0.5,0,MIN(H277+N(J277),D277+E277+F277))</f>
        <v>0</v>
      </c>
      <c r="L277" s="41" t="n">
        <f aca="false">K277-E277-F277</f>
        <v>0</v>
      </c>
      <c r="M277" s="41" t="n">
        <f aca="false">D277-L277</f>
        <v>0</v>
      </c>
      <c r="N277" s="42" t="n">
        <f aca="false">K277-G277</f>
        <v>0</v>
      </c>
      <c r="O277" s="78"/>
      <c r="P277" s="79"/>
      <c r="Q277" s="16" t="str">
        <f aca="false">IF(K277=0,"",IF(R277=1,"Pagada",IF(C277&lt;$F$12,"Vencida",IF(251=$F$13,"Próxima","Pendiente"))))</f>
        <v/>
      </c>
      <c r="R277" s="62" t="n">
        <f aca="false">IF(AND(K277&gt;0,OR(O277="Sí",O277="Si")),1,0)</f>
        <v>0</v>
      </c>
      <c r="S277" s="62" t="n">
        <f aca="false">IF(AND(K277&gt;0,R277=0),1,0)</f>
        <v>0</v>
      </c>
    </row>
    <row r="278" customFormat="false" ht="15" hidden="false" customHeight="false" outlineLevel="0" collapsed="false">
      <c r="B278" s="71" t="str">
        <f aca="false">IF($F$6="Sí",N($C$11)+251,"")</f>
        <v/>
      </c>
      <c r="C278" s="72" t="str">
        <f aca="false">IF(OR($F$6&lt;&gt;"Sí",D278&lt;=0.5),"",EDATE($C$10,251))</f>
        <v/>
      </c>
      <c r="D278" s="41" t="n">
        <f aca="false">MAX(0,M277)</f>
        <v>0</v>
      </c>
      <c r="E278" s="41" t="n">
        <f aca="false">D278*$F$7</f>
        <v>0</v>
      </c>
      <c r="F278" s="41" t="n">
        <f aca="false">IF(D278&gt;0.5,N($C$15),0)</f>
        <v>0</v>
      </c>
      <c r="G278" s="41" t="n">
        <f aca="false">IF(AND(D278&gt;0.5,N($C$19)&gt;0,N(B278)&lt;=N($C$20)),D278*$F$8,0)</f>
        <v>0</v>
      </c>
      <c r="H278" s="41" t="n">
        <f aca="false">IF(D278&lt;=0.5,0,MIN(IF(N(I278)&gt;0,I278,$F$9),D278+E278+F278))</f>
        <v>0</v>
      </c>
      <c r="I278" s="77"/>
      <c r="J278" s="77"/>
      <c r="K278" s="41" t="n">
        <f aca="false">IF(D278&lt;=0.5,0,MIN(H278+N(J278),D278+E278+F278))</f>
        <v>0</v>
      </c>
      <c r="L278" s="41" t="n">
        <f aca="false">K278-E278-F278</f>
        <v>0</v>
      </c>
      <c r="M278" s="41" t="n">
        <f aca="false">D278-L278</f>
        <v>0</v>
      </c>
      <c r="N278" s="42" t="n">
        <f aca="false">K278-G278</f>
        <v>0</v>
      </c>
      <c r="O278" s="78"/>
      <c r="P278" s="79"/>
      <c r="Q278" s="16" t="str">
        <f aca="false">IF(K278=0,"",IF(R278=1,"Pagada",IF(C278&lt;$F$12,"Vencida",IF(252=$F$13,"Próxima","Pendiente"))))</f>
        <v/>
      </c>
      <c r="R278" s="62" t="n">
        <f aca="false">IF(AND(K278&gt;0,OR(O278="Sí",O278="Si")),1,0)</f>
        <v>0</v>
      </c>
      <c r="S278" s="62" t="n">
        <f aca="false">IF(AND(K278&gt;0,R278=0),1,0)</f>
        <v>0</v>
      </c>
    </row>
    <row r="279" customFormat="false" ht="15" hidden="false" customHeight="false" outlineLevel="0" collapsed="false">
      <c r="B279" s="71" t="str">
        <f aca="false">IF($F$6="Sí",N($C$11)+252,"")</f>
        <v/>
      </c>
      <c r="C279" s="72" t="str">
        <f aca="false">IF(OR($F$6&lt;&gt;"Sí",D279&lt;=0.5),"",EDATE($C$10,252))</f>
        <v/>
      </c>
      <c r="D279" s="41" t="n">
        <f aca="false">MAX(0,M278)</f>
        <v>0</v>
      </c>
      <c r="E279" s="41" t="n">
        <f aca="false">D279*$F$7</f>
        <v>0</v>
      </c>
      <c r="F279" s="41" t="n">
        <f aca="false">IF(D279&gt;0.5,N($C$15),0)</f>
        <v>0</v>
      </c>
      <c r="G279" s="41" t="n">
        <f aca="false">IF(AND(D279&gt;0.5,N($C$19)&gt;0,N(B279)&lt;=N($C$20)),D279*$F$8,0)</f>
        <v>0</v>
      </c>
      <c r="H279" s="41" t="n">
        <f aca="false">IF(D279&lt;=0.5,0,MIN(IF(N(I279)&gt;0,I279,$F$9),D279+E279+F279))</f>
        <v>0</v>
      </c>
      <c r="I279" s="77"/>
      <c r="J279" s="77"/>
      <c r="K279" s="41" t="n">
        <f aca="false">IF(D279&lt;=0.5,0,MIN(H279+N(J279),D279+E279+F279))</f>
        <v>0</v>
      </c>
      <c r="L279" s="41" t="n">
        <f aca="false">K279-E279-F279</f>
        <v>0</v>
      </c>
      <c r="M279" s="41" t="n">
        <f aca="false">D279-L279</f>
        <v>0</v>
      </c>
      <c r="N279" s="42" t="n">
        <f aca="false">K279-G279</f>
        <v>0</v>
      </c>
      <c r="O279" s="78"/>
      <c r="P279" s="79"/>
      <c r="Q279" s="16" t="str">
        <f aca="false">IF(K279=0,"",IF(R279=1,"Pagada",IF(C279&lt;$F$12,"Vencida",IF(253=$F$13,"Próxima","Pendiente"))))</f>
        <v/>
      </c>
      <c r="R279" s="62" t="n">
        <f aca="false">IF(AND(K279&gt;0,OR(O279="Sí",O279="Si")),1,0)</f>
        <v>0</v>
      </c>
      <c r="S279" s="62" t="n">
        <f aca="false">IF(AND(K279&gt;0,R279=0),1,0)</f>
        <v>0</v>
      </c>
    </row>
    <row r="280" customFormat="false" ht="15" hidden="false" customHeight="false" outlineLevel="0" collapsed="false">
      <c r="B280" s="71" t="str">
        <f aca="false">IF($F$6="Sí",N($C$11)+253,"")</f>
        <v/>
      </c>
      <c r="C280" s="72" t="str">
        <f aca="false">IF(OR($F$6&lt;&gt;"Sí",D280&lt;=0.5),"",EDATE($C$10,253))</f>
        <v/>
      </c>
      <c r="D280" s="41" t="n">
        <f aca="false">MAX(0,M279)</f>
        <v>0</v>
      </c>
      <c r="E280" s="41" t="n">
        <f aca="false">D280*$F$7</f>
        <v>0</v>
      </c>
      <c r="F280" s="41" t="n">
        <f aca="false">IF(D280&gt;0.5,N($C$15),0)</f>
        <v>0</v>
      </c>
      <c r="G280" s="41" t="n">
        <f aca="false">IF(AND(D280&gt;0.5,N($C$19)&gt;0,N(B280)&lt;=N($C$20)),D280*$F$8,0)</f>
        <v>0</v>
      </c>
      <c r="H280" s="41" t="n">
        <f aca="false">IF(D280&lt;=0.5,0,MIN(IF(N(I280)&gt;0,I280,$F$9),D280+E280+F280))</f>
        <v>0</v>
      </c>
      <c r="I280" s="77"/>
      <c r="J280" s="77"/>
      <c r="K280" s="41" t="n">
        <f aca="false">IF(D280&lt;=0.5,0,MIN(H280+N(J280),D280+E280+F280))</f>
        <v>0</v>
      </c>
      <c r="L280" s="41" t="n">
        <f aca="false">K280-E280-F280</f>
        <v>0</v>
      </c>
      <c r="M280" s="41" t="n">
        <f aca="false">D280-L280</f>
        <v>0</v>
      </c>
      <c r="N280" s="42" t="n">
        <f aca="false">K280-G280</f>
        <v>0</v>
      </c>
      <c r="O280" s="78"/>
      <c r="P280" s="79"/>
      <c r="Q280" s="16" t="str">
        <f aca="false">IF(K280=0,"",IF(R280=1,"Pagada",IF(C280&lt;$F$12,"Vencida",IF(254=$F$13,"Próxima","Pendiente"))))</f>
        <v/>
      </c>
      <c r="R280" s="62" t="n">
        <f aca="false">IF(AND(K280&gt;0,OR(O280="Sí",O280="Si")),1,0)</f>
        <v>0</v>
      </c>
      <c r="S280" s="62" t="n">
        <f aca="false">IF(AND(K280&gt;0,R280=0),1,0)</f>
        <v>0</v>
      </c>
    </row>
    <row r="281" customFormat="false" ht="15" hidden="false" customHeight="false" outlineLevel="0" collapsed="false">
      <c r="B281" s="71" t="str">
        <f aca="false">IF($F$6="Sí",N($C$11)+254,"")</f>
        <v/>
      </c>
      <c r="C281" s="72" t="str">
        <f aca="false">IF(OR($F$6&lt;&gt;"Sí",D281&lt;=0.5),"",EDATE($C$10,254))</f>
        <v/>
      </c>
      <c r="D281" s="41" t="n">
        <f aca="false">MAX(0,M280)</f>
        <v>0</v>
      </c>
      <c r="E281" s="41" t="n">
        <f aca="false">D281*$F$7</f>
        <v>0</v>
      </c>
      <c r="F281" s="41" t="n">
        <f aca="false">IF(D281&gt;0.5,N($C$15),0)</f>
        <v>0</v>
      </c>
      <c r="G281" s="41" t="n">
        <f aca="false">IF(AND(D281&gt;0.5,N($C$19)&gt;0,N(B281)&lt;=N($C$20)),D281*$F$8,0)</f>
        <v>0</v>
      </c>
      <c r="H281" s="41" t="n">
        <f aca="false">IF(D281&lt;=0.5,0,MIN(IF(N(I281)&gt;0,I281,$F$9),D281+E281+F281))</f>
        <v>0</v>
      </c>
      <c r="I281" s="77"/>
      <c r="J281" s="77"/>
      <c r="K281" s="41" t="n">
        <f aca="false">IF(D281&lt;=0.5,0,MIN(H281+N(J281),D281+E281+F281))</f>
        <v>0</v>
      </c>
      <c r="L281" s="41" t="n">
        <f aca="false">K281-E281-F281</f>
        <v>0</v>
      </c>
      <c r="M281" s="41" t="n">
        <f aca="false">D281-L281</f>
        <v>0</v>
      </c>
      <c r="N281" s="42" t="n">
        <f aca="false">K281-G281</f>
        <v>0</v>
      </c>
      <c r="O281" s="78"/>
      <c r="P281" s="79"/>
      <c r="Q281" s="16" t="str">
        <f aca="false">IF(K281=0,"",IF(R281=1,"Pagada",IF(C281&lt;$F$12,"Vencida",IF(255=$F$13,"Próxima","Pendiente"))))</f>
        <v/>
      </c>
      <c r="R281" s="62" t="n">
        <f aca="false">IF(AND(K281&gt;0,OR(O281="Sí",O281="Si")),1,0)</f>
        <v>0</v>
      </c>
      <c r="S281" s="62" t="n">
        <f aca="false">IF(AND(K281&gt;0,R281=0),1,0)</f>
        <v>0</v>
      </c>
    </row>
    <row r="282" customFormat="false" ht="15" hidden="false" customHeight="false" outlineLevel="0" collapsed="false">
      <c r="B282" s="71" t="str">
        <f aca="false">IF($F$6="Sí",N($C$11)+255,"")</f>
        <v/>
      </c>
      <c r="C282" s="72" t="str">
        <f aca="false">IF(OR($F$6&lt;&gt;"Sí",D282&lt;=0.5),"",EDATE($C$10,255))</f>
        <v/>
      </c>
      <c r="D282" s="41" t="n">
        <f aca="false">MAX(0,M281)</f>
        <v>0</v>
      </c>
      <c r="E282" s="41" t="n">
        <f aca="false">D282*$F$7</f>
        <v>0</v>
      </c>
      <c r="F282" s="41" t="n">
        <f aca="false">IF(D282&gt;0.5,N($C$15),0)</f>
        <v>0</v>
      </c>
      <c r="G282" s="41" t="n">
        <f aca="false">IF(AND(D282&gt;0.5,N($C$19)&gt;0,N(B282)&lt;=N($C$20)),D282*$F$8,0)</f>
        <v>0</v>
      </c>
      <c r="H282" s="41" t="n">
        <f aca="false">IF(D282&lt;=0.5,0,MIN(IF(N(I282)&gt;0,I282,$F$9),D282+E282+F282))</f>
        <v>0</v>
      </c>
      <c r="I282" s="77"/>
      <c r="J282" s="77"/>
      <c r="K282" s="41" t="n">
        <f aca="false">IF(D282&lt;=0.5,0,MIN(H282+N(J282),D282+E282+F282))</f>
        <v>0</v>
      </c>
      <c r="L282" s="41" t="n">
        <f aca="false">K282-E282-F282</f>
        <v>0</v>
      </c>
      <c r="M282" s="41" t="n">
        <f aca="false">D282-L282</f>
        <v>0</v>
      </c>
      <c r="N282" s="42" t="n">
        <f aca="false">K282-G282</f>
        <v>0</v>
      </c>
      <c r="O282" s="78"/>
      <c r="P282" s="79"/>
      <c r="Q282" s="16" t="str">
        <f aca="false">IF(K282=0,"",IF(R282=1,"Pagada",IF(C282&lt;$F$12,"Vencida",IF(256=$F$13,"Próxima","Pendiente"))))</f>
        <v/>
      </c>
      <c r="R282" s="62" t="n">
        <f aca="false">IF(AND(K282&gt;0,OR(O282="Sí",O282="Si")),1,0)</f>
        <v>0</v>
      </c>
      <c r="S282" s="62" t="n">
        <f aca="false">IF(AND(K282&gt;0,R282=0),1,0)</f>
        <v>0</v>
      </c>
    </row>
    <row r="283" customFormat="false" ht="15" hidden="false" customHeight="false" outlineLevel="0" collapsed="false">
      <c r="B283" s="71" t="str">
        <f aca="false">IF($F$6="Sí",N($C$11)+256,"")</f>
        <v/>
      </c>
      <c r="C283" s="72" t="str">
        <f aca="false">IF(OR($F$6&lt;&gt;"Sí",D283&lt;=0.5),"",EDATE($C$10,256))</f>
        <v/>
      </c>
      <c r="D283" s="41" t="n">
        <f aca="false">MAX(0,M282)</f>
        <v>0</v>
      </c>
      <c r="E283" s="41" t="n">
        <f aca="false">D283*$F$7</f>
        <v>0</v>
      </c>
      <c r="F283" s="41" t="n">
        <f aca="false">IF(D283&gt;0.5,N($C$15),0)</f>
        <v>0</v>
      </c>
      <c r="G283" s="41" t="n">
        <f aca="false">IF(AND(D283&gt;0.5,N($C$19)&gt;0,N(B283)&lt;=N($C$20)),D283*$F$8,0)</f>
        <v>0</v>
      </c>
      <c r="H283" s="41" t="n">
        <f aca="false">IF(D283&lt;=0.5,0,MIN(IF(N(I283)&gt;0,I283,$F$9),D283+E283+F283))</f>
        <v>0</v>
      </c>
      <c r="I283" s="77"/>
      <c r="J283" s="77"/>
      <c r="K283" s="41" t="n">
        <f aca="false">IF(D283&lt;=0.5,0,MIN(H283+N(J283),D283+E283+F283))</f>
        <v>0</v>
      </c>
      <c r="L283" s="41" t="n">
        <f aca="false">K283-E283-F283</f>
        <v>0</v>
      </c>
      <c r="M283" s="41" t="n">
        <f aca="false">D283-L283</f>
        <v>0</v>
      </c>
      <c r="N283" s="42" t="n">
        <f aca="false">K283-G283</f>
        <v>0</v>
      </c>
      <c r="O283" s="78"/>
      <c r="P283" s="79"/>
      <c r="Q283" s="16" t="str">
        <f aca="false">IF(K283=0,"",IF(R283=1,"Pagada",IF(C283&lt;$F$12,"Vencida",IF(257=$F$13,"Próxima","Pendiente"))))</f>
        <v/>
      </c>
      <c r="R283" s="62" t="n">
        <f aca="false">IF(AND(K283&gt;0,OR(O283="Sí",O283="Si")),1,0)</f>
        <v>0</v>
      </c>
      <c r="S283" s="62" t="n">
        <f aca="false">IF(AND(K283&gt;0,R283=0),1,0)</f>
        <v>0</v>
      </c>
    </row>
    <row r="284" customFormat="false" ht="15" hidden="false" customHeight="false" outlineLevel="0" collapsed="false">
      <c r="B284" s="71" t="str">
        <f aca="false">IF($F$6="Sí",N($C$11)+257,"")</f>
        <v/>
      </c>
      <c r="C284" s="72" t="str">
        <f aca="false">IF(OR($F$6&lt;&gt;"Sí",D284&lt;=0.5),"",EDATE($C$10,257))</f>
        <v/>
      </c>
      <c r="D284" s="41" t="n">
        <f aca="false">MAX(0,M283)</f>
        <v>0</v>
      </c>
      <c r="E284" s="41" t="n">
        <f aca="false">D284*$F$7</f>
        <v>0</v>
      </c>
      <c r="F284" s="41" t="n">
        <f aca="false">IF(D284&gt;0.5,N($C$15),0)</f>
        <v>0</v>
      </c>
      <c r="G284" s="41" t="n">
        <f aca="false">IF(AND(D284&gt;0.5,N($C$19)&gt;0,N(B284)&lt;=N($C$20)),D284*$F$8,0)</f>
        <v>0</v>
      </c>
      <c r="H284" s="41" t="n">
        <f aca="false">IF(D284&lt;=0.5,0,MIN(IF(N(I284)&gt;0,I284,$F$9),D284+E284+F284))</f>
        <v>0</v>
      </c>
      <c r="I284" s="77"/>
      <c r="J284" s="77"/>
      <c r="K284" s="41" t="n">
        <f aca="false">IF(D284&lt;=0.5,0,MIN(H284+N(J284),D284+E284+F284))</f>
        <v>0</v>
      </c>
      <c r="L284" s="41" t="n">
        <f aca="false">K284-E284-F284</f>
        <v>0</v>
      </c>
      <c r="M284" s="41" t="n">
        <f aca="false">D284-L284</f>
        <v>0</v>
      </c>
      <c r="N284" s="42" t="n">
        <f aca="false">K284-G284</f>
        <v>0</v>
      </c>
      <c r="O284" s="78"/>
      <c r="P284" s="79"/>
      <c r="Q284" s="16" t="str">
        <f aca="false">IF(K284=0,"",IF(R284=1,"Pagada",IF(C284&lt;$F$12,"Vencida",IF(258=$F$13,"Próxima","Pendiente"))))</f>
        <v/>
      </c>
      <c r="R284" s="62" t="n">
        <f aca="false">IF(AND(K284&gt;0,OR(O284="Sí",O284="Si")),1,0)</f>
        <v>0</v>
      </c>
      <c r="S284" s="62" t="n">
        <f aca="false">IF(AND(K284&gt;0,R284=0),1,0)</f>
        <v>0</v>
      </c>
    </row>
    <row r="285" customFormat="false" ht="15" hidden="false" customHeight="false" outlineLevel="0" collapsed="false">
      <c r="B285" s="71" t="str">
        <f aca="false">IF($F$6="Sí",N($C$11)+258,"")</f>
        <v/>
      </c>
      <c r="C285" s="72" t="str">
        <f aca="false">IF(OR($F$6&lt;&gt;"Sí",D285&lt;=0.5),"",EDATE($C$10,258))</f>
        <v/>
      </c>
      <c r="D285" s="41" t="n">
        <f aca="false">MAX(0,M284)</f>
        <v>0</v>
      </c>
      <c r="E285" s="41" t="n">
        <f aca="false">D285*$F$7</f>
        <v>0</v>
      </c>
      <c r="F285" s="41" t="n">
        <f aca="false">IF(D285&gt;0.5,N($C$15),0)</f>
        <v>0</v>
      </c>
      <c r="G285" s="41" t="n">
        <f aca="false">IF(AND(D285&gt;0.5,N($C$19)&gt;0,N(B285)&lt;=N($C$20)),D285*$F$8,0)</f>
        <v>0</v>
      </c>
      <c r="H285" s="41" t="n">
        <f aca="false">IF(D285&lt;=0.5,0,MIN(IF(N(I285)&gt;0,I285,$F$9),D285+E285+F285))</f>
        <v>0</v>
      </c>
      <c r="I285" s="77"/>
      <c r="J285" s="77"/>
      <c r="K285" s="41" t="n">
        <f aca="false">IF(D285&lt;=0.5,0,MIN(H285+N(J285),D285+E285+F285))</f>
        <v>0</v>
      </c>
      <c r="L285" s="41" t="n">
        <f aca="false">K285-E285-F285</f>
        <v>0</v>
      </c>
      <c r="M285" s="41" t="n">
        <f aca="false">D285-L285</f>
        <v>0</v>
      </c>
      <c r="N285" s="42" t="n">
        <f aca="false">K285-G285</f>
        <v>0</v>
      </c>
      <c r="O285" s="78"/>
      <c r="P285" s="79"/>
      <c r="Q285" s="16" t="str">
        <f aca="false">IF(K285=0,"",IF(R285=1,"Pagada",IF(C285&lt;$F$12,"Vencida",IF(259=$F$13,"Próxima","Pendiente"))))</f>
        <v/>
      </c>
      <c r="R285" s="62" t="n">
        <f aca="false">IF(AND(K285&gt;0,OR(O285="Sí",O285="Si")),1,0)</f>
        <v>0</v>
      </c>
      <c r="S285" s="62" t="n">
        <f aca="false">IF(AND(K285&gt;0,R285=0),1,0)</f>
        <v>0</v>
      </c>
    </row>
    <row r="286" customFormat="false" ht="15" hidden="false" customHeight="false" outlineLevel="0" collapsed="false">
      <c r="B286" s="71" t="str">
        <f aca="false">IF($F$6="Sí",N($C$11)+259,"")</f>
        <v/>
      </c>
      <c r="C286" s="72" t="str">
        <f aca="false">IF(OR($F$6&lt;&gt;"Sí",D286&lt;=0.5),"",EDATE($C$10,259))</f>
        <v/>
      </c>
      <c r="D286" s="41" t="n">
        <f aca="false">MAX(0,M285)</f>
        <v>0</v>
      </c>
      <c r="E286" s="41" t="n">
        <f aca="false">D286*$F$7</f>
        <v>0</v>
      </c>
      <c r="F286" s="41" t="n">
        <f aca="false">IF(D286&gt;0.5,N($C$15),0)</f>
        <v>0</v>
      </c>
      <c r="G286" s="41" t="n">
        <f aca="false">IF(AND(D286&gt;0.5,N($C$19)&gt;0,N(B286)&lt;=N($C$20)),D286*$F$8,0)</f>
        <v>0</v>
      </c>
      <c r="H286" s="41" t="n">
        <f aca="false">IF(D286&lt;=0.5,0,MIN(IF(N(I286)&gt;0,I286,$F$9),D286+E286+F286))</f>
        <v>0</v>
      </c>
      <c r="I286" s="77"/>
      <c r="J286" s="77"/>
      <c r="K286" s="41" t="n">
        <f aca="false">IF(D286&lt;=0.5,0,MIN(H286+N(J286),D286+E286+F286))</f>
        <v>0</v>
      </c>
      <c r="L286" s="41" t="n">
        <f aca="false">K286-E286-F286</f>
        <v>0</v>
      </c>
      <c r="M286" s="41" t="n">
        <f aca="false">D286-L286</f>
        <v>0</v>
      </c>
      <c r="N286" s="42" t="n">
        <f aca="false">K286-G286</f>
        <v>0</v>
      </c>
      <c r="O286" s="78"/>
      <c r="P286" s="79"/>
      <c r="Q286" s="16" t="str">
        <f aca="false">IF(K286=0,"",IF(R286=1,"Pagada",IF(C286&lt;$F$12,"Vencida",IF(260=$F$13,"Próxima","Pendiente"))))</f>
        <v/>
      </c>
      <c r="R286" s="62" t="n">
        <f aca="false">IF(AND(K286&gt;0,OR(O286="Sí",O286="Si")),1,0)</f>
        <v>0</v>
      </c>
      <c r="S286" s="62" t="n">
        <f aca="false">IF(AND(K286&gt;0,R286=0),1,0)</f>
        <v>0</v>
      </c>
    </row>
    <row r="287" customFormat="false" ht="15" hidden="false" customHeight="false" outlineLevel="0" collapsed="false">
      <c r="B287" s="71" t="str">
        <f aca="false">IF($F$6="Sí",N($C$11)+260,"")</f>
        <v/>
      </c>
      <c r="C287" s="72" t="str">
        <f aca="false">IF(OR($F$6&lt;&gt;"Sí",D287&lt;=0.5),"",EDATE($C$10,260))</f>
        <v/>
      </c>
      <c r="D287" s="41" t="n">
        <f aca="false">MAX(0,M286)</f>
        <v>0</v>
      </c>
      <c r="E287" s="41" t="n">
        <f aca="false">D287*$F$7</f>
        <v>0</v>
      </c>
      <c r="F287" s="41" t="n">
        <f aca="false">IF(D287&gt;0.5,N($C$15),0)</f>
        <v>0</v>
      </c>
      <c r="G287" s="41" t="n">
        <f aca="false">IF(AND(D287&gt;0.5,N($C$19)&gt;0,N(B287)&lt;=N($C$20)),D287*$F$8,0)</f>
        <v>0</v>
      </c>
      <c r="H287" s="41" t="n">
        <f aca="false">IF(D287&lt;=0.5,0,MIN(IF(N(I287)&gt;0,I287,$F$9),D287+E287+F287))</f>
        <v>0</v>
      </c>
      <c r="I287" s="77"/>
      <c r="J287" s="77"/>
      <c r="K287" s="41" t="n">
        <f aca="false">IF(D287&lt;=0.5,0,MIN(H287+N(J287),D287+E287+F287))</f>
        <v>0</v>
      </c>
      <c r="L287" s="41" t="n">
        <f aca="false">K287-E287-F287</f>
        <v>0</v>
      </c>
      <c r="M287" s="41" t="n">
        <f aca="false">D287-L287</f>
        <v>0</v>
      </c>
      <c r="N287" s="42" t="n">
        <f aca="false">K287-G287</f>
        <v>0</v>
      </c>
      <c r="O287" s="78"/>
      <c r="P287" s="79"/>
      <c r="Q287" s="16" t="str">
        <f aca="false">IF(K287=0,"",IF(R287=1,"Pagada",IF(C287&lt;$F$12,"Vencida",IF(261=$F$13,"Próxima","Pendiente"))))</f>
        <v/>
      </c>
      <c r="R287" s="62" t="n">
        <f aca="false">IF(AND(K287&gt;0,OR(O287="Sí",O287="Si")),1,0)</f>
        <v>0</v>
      </c>
      <c r="S287" s="62" t="n">
        <f aca="false">IF(AND(K287&gt;0,R287=0),1,0)</f>
        <v>0</v>
      </c>
    </row>
    <row r="288" customFormat="false" ht="15" hidden="false" customHeight="false" outlineLevel="0" collapsed="false">
      <c r="B288" s="71" t="str">
        <f aca="false">IF($F$6="Sí",N($C$11)+261,"")</f>
        <v/>
      </c>
      <c r="C288" s="72" t="str">
        <f aca="false">IF(OR($F$6&lt;&gt;"Sí",D288&lt;=0.5),"",EDATE($C$10,261))</f>
        <v/>
      </c>
      <c r="D288" s="41" t="n">
        <f aca="false">MAX(0,M287)</f>
        <v>0</v>
      </c>
      <c r="E288" s="41" t="n">
        <f aca="false">D288*$F$7</f>
        <v>0</v>
      </c>
      <c r="F288" s="41" t="n">
        <f aca="false">IF(D288&gt;0.5,N($C$15),0)</f>
        <v>0</v>
      </c>
      <c r="G288" s="41" t="n">
        <f aca="false">IF(AND(D288&gt;0.5,N($C$19)&gt;0,N(B288)&lt;=N($C$20)),D288*$F$8,0)</f>
        <v>0</v>
      </c>
      <c r="H288" s="41" t="n">
        <f aca="false">IF(D288&lt;=0.5,0,MIN(IF(N(I288)&gt;0,I288,$F$9),D288+E288+F288))</f>
        <v>0</v>
      </c>
      <c r="I288" s="77"/>
      <c r="J288" s="77"/>
      <c r="K288" s="41" t="n">
        <f aca="false">IF(D288&lt;=0.5,0,MIN(H288+N(J288),D288+E288+F288))</f>
        <v>0</v>
      </c>
      <c r="L288" s="41" t="n">
        <f aca="false">K288-E288-F288</f>
        <v>0</v>
      </c>
      <c r="M288" s="41" t="n">
        <f aca="false">D288-L288</f>
        <v>0</v>
      </c>
      <c r="N288" s="42" t="n">
        <f aca="false">K288-G288</f>
        <v>0</v>
      </c>
      <c r="O288" s="78"/>
      <c r="P288" s="79"/>
      <c r="Q288" s="16" t="str">
        <f aca="false">IF(K288=0,"",IF(R288=1,"Pagada",IF(C288&lt;$F$12,"Vencida",IF(262=$F$13,"Próxima","Pendiente"))))</f>
        <v/>
      </c>
      <c r="R288" s="62" t="n">
        <f aca="false">IF(AND(K288&gt;0,OR(O288="Sí",O288="Si")),1,0)</f>
        <v>0</v>
      </c>
      <c r="S288" s="62" t="n">
        <f aca="false">IF(AND(K288&gt;0,R288=0),1,0)</f>
        <v>0</v>
      </c>
    </row>
    <row r="289" customFormat="false" ht="15" hidden="false" customHeight="false" outlineLevel="0" collapsed="false">
      <c r="B289" s="71" t="str">
        <f aca="false">IF($F$6="Sí",N($C$11)+262,"")</f>
        <v/>
      </c>
      <c r="C289" s="72" t="str">
        <f aca="false">IF(OR($F$6&lt;&gt;"Sí",D289&lt;=0.5),"",EDATE($C$10,262))</f>
        <v/>
      </c>
      <c r="D289" s="41" t="n">
        <f aca="false">MAX(0,M288)</f>
        <v>0</v>
      </c>
      <c r="E289" s="41" t="n">
        <f aca="false">D289*$F$7</f>
        <v>0</v>
      </c>
      <c r="F289" s="41" t="n">
        <f aca="false">IF(D289&gt;0.5,N($C$15),0)</f>
        <v>0</v>
      </c>
      <c r="G289" s="41" t="n">
        <f aca="false">IF(AND(D289&gt;0.5,N($C$19)&gt;0,N(B289)&lt;=N($C$20)),D289*$F$8,0)</f>
        <v>0</v>
      </c>
      <c r="H289" s="41" t="n">
        <f aca="false">IF(D289&lt;=0.5,0,MIN(IF(N(I289)&gt;0,I289,$F$9),D289+E289+F289))</f>
        <v>0</v>
      </c>
      <c r="I289" s="77"/>
      <c r="J289" s="77"/>
      <c r="K289" s="41" t="n">
        <f aca="false">IF(D289&lt;=0.5,0,MIN(H289+N(J289),D289+E289+F289))</f>
        <v>0</v>
      </c>
      <c r="L289" s="41" t="n">
        <f aca="false">K289-E289-F289</f>
        <v>0</v>
      </c>
      <c r="M289" s="41" t="n">
        <f aca="false">D289-L289</f>
        <v>0</v>
      </c>
      <c r="N289" s="42" t="n">
        <f aca="false">K289-G289</f>
        <v>0</v>
      </c>
      <c r="O289" s="78"/>
      <c r="P289" s="79"/>
      <c r="Q289" s="16" t="str">
        <f aca="false">IF(K289=0,"",IF(R289=1,"Pagada",IF(C289&lt;$F$12,"Vencida",IF(263=$F$13,"Próxima","Pendiente"))))</f>
        <v/>
      </c>
      <c r="R289" s="62" t="n">
        <f aca="false">IF(AND(K289&gt;0,OR(O289="Sí",O289="Si")),1,0)</f>
        <v>0</v>
      </c>
      <c r="S289" s="62" t="n">
        <f aca="false">IF(AND(K289&gt;0,R289=0),1,0)</f>
        <v>0</v>
      </c>
    </row>
    <row r="290" customFormat="false" ht="15" hidden="false" customHeight="false" outlineLevel="0" collapsed="false">
      <c r="B290" s="71" t="str">
        <f aca="false">IF($F$6="Sí",N($C$11)+263,"")</f>
        <v/>
      </c>
      <c r="C290" s="72" t="str">
        <f aca="false">IF(OR($F$6&lt;&gt;"Sí",D290&lt;=0.5),"",EDATE($C$10,263))</f>
        <v/>
      </c>
      <c r="D290" s="41" t="n">
        <f aca="false">MAX(0,M289)</f>
        <v>0</v>
      </c>
      <c r="E290" s="41" t="n">
        <f aca="false">D290*$F$7</f>
        <v>0</v>
      </c>
      <c r="F290" s="41" t="n">
        <f aca="false">IF(D290&gt;0.5,N($C$15),0)</f>
        <v>0</v>
      </c>
      <c r="G290" s="41" t="n">
        <f aca="false">IF(AND(D290&gt;0.5,N($C$19)&gt;0,N(B290)&lt;=N($C$20)),D290*$F$8,0)</f>
        <v>0</v>
      </c>
      <c r="H290" s="41" t="n">
        <f aca="false">IF(D290&lt;=0.5,0,MIN(IF(N(I290)&gt;0,I290,$F$9),D290+E290+F290))</f>
        <v>0</v>
      </c>
      <c r="I290" s="77"/>
      <c r="J290" s="77"/>
      <c r="K290" s="41" t="n">
        <f aca="false">IF(D290&lt;=0.5,0,MIN(H290+N(J290),D290+E290+F290))</f>
        <v>0</v>
      </c>
      <c r="L290" s="41" t="n">
        <f aca="false">K290-E290-F290</f>
        <v>0</v>
      </c>
      <c r="M290" s="41" t="n">
        <f aca="false">D290-L290</f>
        <v>0</v>
      </c>
      <c r="N290" s="42" t="n">
        <f aca="false">K290-G290</f>
        <v>0</v>
      </c>
      <c r="O290" s="78"/>
      <c r="P290" s="79"/>
      <c r="Q290" s="16" t="str">
        <f aca="false">IF(K290=0,"",IF(R290=1,"Pagada",IF(C290&lt;$F$12,"Vencida",IF(264=$F$13,"Próxima","Pendiente"))))</f>
        <v/>
      </c>
      <c r="R290" s="62" t="n">
        <f aca="false">IF(AND(K290&gt;0,OR(O290="Sí",O290="Si")),1,0)</f>
        <v>0</v>
      </c>
      <c r="S290" s="62" t="n">
        <f aca="false">IF(AND(K290&gt;0,R290=0),1,0)</f>
        <v>0</v>
      </c>
    </row>
    <row r="291" customFormat="false" ht="15" hidden="false" customHeight="false" outlineLevel="0" collapsed="false">
      <c r="B291" s="71" t="str">
        <f aca="false">IF($F$6="Sí",N($C$11)+264,"")</f>
        <v/>
      </c>
      <c r="C291" s="72" t="str">
        <f aca="false">IF(OR($F$6&lt;&gt;"Sí",D291&lt;=0.5),"",EDATE($C$10,264))</f>
        <v/>
      </c>
      <c r="D291" s="41" t="n">
        <f aca="false">MAX(0,M290)</f>
        <v>0</v>
      </c>
      <c r="E291" s="41" t="n">
        <f aca="false">D291*$F$7</f>
        <v>0</v>
      </c>
      <c r="F291" s="41" t="n">
        <f aca="false">IF(D291&gt;0.5,N($C$15),0)</f>
        <v>0</v>
      </c>
      <c r="G291" s="41" t="n">
        <f aca="false">IF(AND(D291&gt;0.5,N($C$19)&gt;0,N(B291)&lt;=N($C$20)),D291*$F$8,0)</f>
        <v>0</v>
      </c>
      <c r="H291" s="41" t="n">
        <f aca="false">IF(D291&lt;=0.5,0,MIN(IF(N(I291)&gt;0,I291,$F$9),D291+E291+F291))</f>
        <v>0</v>
      </c>
      <c r="I291" s="77"/>
      <c r="J291" s="77"/>
      <c r="K291" s="41" t="n">
        <f aca="false">IF(D291&lt;=0.5,0,MIN(H291+N(J291),D291+E291+F291))</f>
        <v>0</v>
      </c>
      <c r="L291" s="41" t="n">
        <f aca="false">K291-E291-F291</f>
        <v>0</v>
      </c>
      <c r="M291" s="41" t="n">
        <f aca="false">D291-L291</f>
        <v>0</v>
      </c>
      <c r="N291" s="42" t="n">
        <f aca="false">K291-G291</f>
        <v>0</v>
      </c>
      <c r="O291" s="78"/>
      <c r="P291" s="79"/>
      <c r="Q291" s="16" t="str">
        <f aca="false">IF(K291=0,"",IF(R291=1,"Pagada",IF(C291&lt;$F$12,"Vencida",IF(265=$F$13,"Próxima","Pendiente"))))</f>
        <v/>
      </c>
      <c r="R291" s="62" t="n">
        <f aca="false">IF(AND(K291&gt;0,OR(O291="Sí",O291="Si")),1,0)</f>
        <v>0</v>
      </c>
      <c r="S291" s="62" t="n">
        <f aca="false">IF(AND(K291&gt;0,R291=0),1,0)</f>
        <v>0</v>
      </c>
    </row>
    <row r="292" customFormat="false" ht="15" hidden="false" customHeight="false" outlineLevel="0" collapsed="false">
      <c r="B292" s="71" t="str">
        <f aca="false">IF($F$6="Sí",N($C$11)+265,"")</f>
        <v/>
      </c>
      <c r="C292" s="72" t="str">
        <f aca="false">IF(OR($F$6&lt;&gt;"Sí",D292&lt;=0.5),"",EDATE($C$10,265))</f>
        <v/>
      </c>
      <c r="D292" s="41" t="n">
        <f aca="false">MAX(0,M291)</f>
        <v>0</v>
      </c>
      <c r="E292" s="41" t="n">
        <f aca="false">D292*$F$7</f>
        <v>0</v>
      </c>
      <c r="F292" s="41" t="n">
        <f aca="false">IF(D292&gt;0.5,N($C$15),0)</f>
        <v>0</v>
      </c>
      <c r="G292" s="41" t="n">
        <f aca="false">IF(AND(D292&gt;0.5,N($C$19)&gt;0,N(B292)&lt;=N($C$20)),D292*$F$8,0)</f>
        <v>0</v>
      </c>
      <c r="H292" s="41" t="n">
        <f aca="false">IF(D292&lt;=0.5,0,MIN(IF(N(I292)&gt;0,I292,$F$9),D292+E292+F292))</f>
        <v>0</v>
      </c>
      <c r="I292" s="77"/>
      <c r="J292" s="77"/>
      <c r="K292" s="41" t="n">
        <f aca="false">IF(D292&lt;=0.5,0,MIN(H292+N(J292),D292+E292+F292))</f>
        <v>0</v>
      </c>
      <c r="L292" s="41" t="n">
        <f aca="false">K292-E292-F292</f>
        <v>0</v>
      </c>
      <c r="M292" s="41" t="n">
        <f aca="false">D292-L292</f>
        <v>0</v>
      </c>
      <c r="N292" s="42" t="n">
        <f aca="false">K292-G292</f>
        <v>0</v>
      </c>
      <c r="O292" s="78"/>
      <c r="P292" s="79"/>
      <c r="Q292" s="16" t="str">
        <f aca="false">IF(K292=0,"",IF(R292=1,"Pagada",IF(C292&lt;$F$12,"Vencida",IF(266=$F$13,"Próxima","Pendiente"))))</f>
        <v/>
      </c>
      <c r="R292" s="62" t="n">
        <f aca="false">IF(AND(K292&gt;0,OR(O292="Sí",O292="Si")),1,0)</f>
        <v>0</v>
      </c>
      <c r="S292" s="62" t="n">
        <f aca="false">IF(AND(K292&gt;0,R292=0),1,0)</f>
        <v>0</v>
      </c>
    </row>
    <row r="293" customFormat="false" ht="15" hidden="false" customHeight="false" outlineLevel="0" collapsed="false">
      <c r="B293" s="71" t="str">
        <f aca="false">IF($F$6="Sí",N($C$11)+266,"")</f>
        <v/>
      </c>
      <c r="C293" s="72" t="str">
        <f aca="false">IF(OR($F$6&lt;&gt;"Sí",D293&lt;=0.5),"",EDATE($C$10,266))</f>
        <v/>
      </c>
      <c r="D293" s="41" t="n">
        <f aca="false">MAX(0,M292)</f>
        <v>0</v>
      </c>
      <c r="E293" s="41" t="n">
        <f aca="false">D293*$F$7</f>
        <v>0</v>
      </c>
      <c r="F293" s="41" t="n">
        <f aca="false">IF(D293&gt;0.5,N($C$15),0)</f>
        <v>0</v>
      </c>
      <c r="G293" s="41" t="n">
        <f aca="false">IF(AND(D293&gt;0.5,N($C$19)&gt;0,N(B293)&lt;=N($C$20)),D293*$F$8,0)</f>
        <v>0</v>
      </c>
      <c r="H293" s="41" t="n">
        <f aca="false">IF(D293&lt;=0.5,0,MIN(IF(N(I293)&gt;0,I293,$F$9),D293+E293+F293))</f>
        <v>0</v>
      </c>
      <c r="I293" s="77"/>
      <c r="J293" s="77"/>
      <c r="K293" s="41" t="n">
        <f aca="false">IF(D293&lt;=0.5,0,MIN(H293+N(J293),D293+E293+F293))</f>
        <v>0</v>
      </c>
      <c r="L293" s="41" t="n">
        <f aca="false">K293-E293-F293</f>
        <v>0</v>
      </c>
      <c r="M293" s="41" t="n">
        <f aca="false">D293-L293</f>
        <v>0</v>
      </c>
      <c r="N293" s="42" t="n">
        <f aca="false">K293-G293</f>
        <v>0</v>
      </c>
      <c r="O293" s="78"/>
      <c r="P293" s="79"/>
      <c r="Q293" s="16" t="str">
        <f aca="false">IF(K293=0,"",IF(R293=1,"Pagada",IF(C293&lt;$F$12,"Vencida",IF(267=$F$13,"Próxima","Pendiente"))))</f>
        <v/>
      </c>
      <c r="R293" s="62" t="n">
        <f aca="false">IF(AND(K293&gt;0,OR(O293="Sí",O293="Si")),1,0)</f>
        <v>0</v>
      </c>
      <c r="S293" s="62" t="n">
        <f aca="false">IF(AND(K293&gt;0,R293=0),1,0)</f>
        <v>0</v>
      </c>
    </row>
    <row r="294" customFormat="false" ht="15" hidden="false" customHeight="false" outlineLevel="0" collapsed="false">
      <c r="B294" s="71" t="str">
        <f aca="false">IF($F$6="Sí",N($C$11)+267,"")</f>
        <v/>
      </c>
      <c r="C294" s="72" t="str">
        <f aca="false">IF(OR($F$6&lt;&gt;"Sí",D294&lt;=0.5),"",EDATE($C$10,267))</f>
        <v/>
      </c>
      <c r="D294" s="41" t="n">
        <f aca="false">MAX(0,M293)</f>
        <v>0</v>
      </c>
      <c r="E294" s="41" t="n">
        <f aca="false">D294*$F$7</f>
        <v>0</v>
      </c>
      <c r="F294" s="41" t="n">
        <f aca="false">IF(D294&gt;0.5,N($C$15),0)</f>
        <v>0</v>
      </c>
      <c r="G294" s="41" t="n">
        <f aca="false">IF(AND(D294&gt;0.5,N($C$19)&gt;0,N(B294)&lt;=N($C$20)),D294*$F$8,0)</f>
        <v>0</v>
      </c>
      <c r="H294" s="41" t="n">
        <f aca="false">IF(D294&lt;=0.5,0,MIN(IF(N(I294)&gt;0,I294,$F$9),D294+E294+F294))</f>
        <v>0</v>
      </c>
      <c r="I294" s="77"/>
      <c r="J294" s="77"/>
      <c r="K294" s="41" t="n">
        <f aca="false">IF(D294&lt;=0.5,0,MIN(H294+N(J294),D294+E294+F294))</f>
        <v>0</v>
      </c>
      <c r="L294" s="41" t="n">
        <f aca="false">K294-E294-F294</f>
        <v>0</v>
      </c>
      <c r="M294" s="41" t="n">
        <f aca="false">D294-L294</f>
        <v>0</v>
      </c>
      <c r="N294" s="42" t="n">
        <f aca="false">K294-G294</f>
        <v>0</v>
      </c>
      <c r="O294" s="78"/>
      <c r="P294" s="79"/>
      <c r="Q294" s="16" t="str">
        <f aca="false">IF(K294=0,"",IF(R294=1,"Pagada",IF(C294&lt;$F$12,"Vencida",IF(268=$F$13,"Próxima","Pendiente"))))</f>
        <v/>
      </c>
      <c r="R294" s="62" t="n">
        <f aca="false">IF(AND(K294&gt;0,OR(O294="Sí",O294="Si")),1,0)</f>
        <v>0</v>
      </c>
      <c r="S294" s="62" t="n">
        <f aca="false">IF(AND(K294&gt;0,R294=0),1,0)</f>
        <v>0</v>
      </c>
    </row>
    <row r="295" customFormat="false" ht="15" hidden="false" customHeight="false" outlineLevel="0" collapsed="false">
      <c r="B295" s="71" t="str">
        <f aca="false">IF($F$6="Sí",N($C$11)+268,"")</f>
        <v/>
      </c>
      <c r="C295" s="72" t="str">
        <f aca="false">IF(OR($F$6&lt;&gt;"Sí",D295&lt;=0.5),"",EDATE($C$10,268))</f>
        <v/>
      </c>
      <c r="D295" s="41" t="n">
        <f aca="false">MAX(0,M294)</f>
        <v>0</v>
      </c>
      <c r="E295" s="41" t="n">
        <f aca="false">D295*$F$7</f>
        <v>0</v>
      </c>
      <c r="F295" s="41" t="n">
        <f aca="false">IF(D295&gt;0.5,N($C$15),0)</f>
        <v>0</v>
      </c>
      <c r="G295" s="41" t="n">
        <f aca="false">IF(AND(D295&gt;0.5,N($C$19)&gt;0,N(B295)&lt;=N($C$20)),D295*$F$8,0)</f>
        <v>0</v>
      </c>
      <c r="H295" s="41" t="n">
        <f aca="false">IF(D295&lt;=0.5,0,MIN(IF(N(I295)&gt;0,I295,$F$9),D295+E295+F295))</f>
        <v>0</v>
      </c>
      <c r="I295" s="77"/>
      <c r="J295" s="77"/>
      <c r="K295" s="41" t="n">
        <f aca="false">IF(D295&lt;=0.5,0,MIN(H295+N(J295),D295+E295+F295))</f>
        <v>0</v>
      </c>
      <c r="L295" s="41" t="n">
        <f aca="false">K295-E295-F295</f>
        <v>0</v>
      </c>
      <c r="M295" s="41" t="n">
        <f aca="false">D295-L295</f>
        <v>0</v>
      </c>
      <c r="N295" s="42" t="n">
        <f aca="false">K295-G295</f>
        <v>0</v>
      </c>
      <c r="O295" s="78"/>
      <c r="P295" s="79"/>
      <c r="Q295" s="16" t="str">
        <f aca="false">IF(K295=0,"",IF(R295=1,"Pagada",IF(C295&lt;$F$12,"Vencida",IF(269=$F$13,"Próxima","Pendiente"))))</f>
        <v/>
      </c>
      <c r="R295" s="62" t="n">
        <f aca="false">IF(AND(K295&gt;0,OR(O295="Sí",O295="Si")),1,0)</f>
        <v>0</v>
      </c>
      <c r="S295" s="62" t="n">
        <f aca="false">IF(AND(K295&gt;0,R295=0),1,0)</f>
        <v>0</v>
      </c>
    </row>
    <row r="296" customFormat="false" ht="15" hidden="false" customHeight="false" outlineLevel="0" collapsed="false">
      <c r="B296" s="71" t="str">
        <f aca="false">IF($F$6="Sí",N($C$11)+269,"")</f>
        <v/>
      </c>
      <c r="C296" s="72" t="str">
        <f aca="false">IF(OR($F$6&lt;&gt;"Sí",D296&lt;=0.5),"",EDATE($C$10,269))</f>
        <v/>
      </c>
      <c r="D296" s="41" t="n">
        <f aca="false">MAX(0,M295)</f>
        <v>0</v>
      </c>
      <c r="E296" s="41" t="n">
        <f aca="false">D296*$F$7</f>
        <v>0</v>
      </c>
      <c r="F296" s="41" t="n">
        <f aca="false">IF(D296&gt;0.5,N($C$15),0)</f>
        <v>0</v>
      </c>
      <c r="G296" s="41" t="n">
        <f aca="false">IF(AND(D296&gt;0.5,N($C$19)&gt;0,N(B296)&lt;=N($C$20)),D296*$F$8,0)</f>
        <v>0</v>
      </c>
      <c r="H296" s="41" t="n">
        <f aca="false">IF(D296&lt;=0.5,0,MIN(IF(N(I296)&gt;0,I296,$F$9),D296+E296+F296))</f>
        <v>0</v>
      </c>
      <c r="I296" s="77"/>
      <c r="J296" s="77"/>
      <c r="K296" s="41" t="n">
        <f aca="false">IF(D296&lt;=0.5,0,MIN(H296+N(J296),D296+E296+F296))</f>
        <v>0</v>
      </c>
      <c r="L296" s="41" t="n">
        <f aca="false">K296-E296-F296</f>
        <v>0</v>
      </c>
      <c r="M296" s="41" t="n">
        <f aca="false">D296-L296</f>
        <v>0</v>
      </c>
      <c r="N296" s="42" t="n">
        <f aca="false">K296-G296</f>
        <v>0</v>
      </c>
      <c r="O296" s="78"/>
      <c r="P296" s="79"/>
      <c r="Q296" s="16" t="str">
        <f aca="false">IF(K296=0,"",IF(R296=1,"Pagada",IF(C296&lt;$F$12,"Vencida",IF(270=$F$13,"Próxima","Pendiente"))))</f>
        <v/>
      </c>
      <c r="R296" s="62" t="n">
        <f aca="false">IF(AND(K296&gt;0,OR(O296="Sí",O296="Si")),1,0)</f>
        <v>0</v>
      </c>
      <c r="S296" s="62" t="n">
        <f aca="false">IF(AND(K296&gt;0,R296=0),1,0)</f>
        <v>0</v>
      </c>
    </row>
    <row r="297" customFormat="false" ht="15" hidden="false" customHeight="false" outlineLevel="0" collapsed="false">
      <c r="B297" s="71" t="str">
        <f aca="false">IF($F$6="Sí",N($C$11)+270,"")</f>
        <v/>
      </c>
      <c r="C297" s="72" t="str">
        <f aca="false">IF(OR($F$6&lt;&gt;"Sí",D297&lt;=0.5),"",EDATE($C$10,270))</f>
        <v/>
      </c>
      <c r="D297" s="41" t="n">
        <f aca="false">MAX(0,M296)</f>
        <v>0</v>
      </c>
      <c r="E297" s="41" t="n">
        <f aca="false">D297*$F$7</f>
        <v>0</v>
      </c>
      <c r="F297" s="41" t="n">
        <f aca="false">IF(D297&gt;0.5,N($C$15),0)</f>
        <v>0</v>
      </c>
      <c r="G297" s="41" t="n">
        <f aca="false">IF(AND(D297&gt;0.5,N($C$19)&gt;0,N(B297)&lt;=N($C$20)),D297*$F$8,0)</f>
        <v>0</v>
      </c>
      <c r="H297" s="41" t="n">
        <f aca="false">IF(D297&lt;=0.5,0,MIN(IF(N(I297)&gt;0,I297,$F$9),D297+E297+F297))</f>
        <v>0</v>
      </c>
      <c r="I297" s="77"/>
      <c r="J297" s="77"/>
      <c r="K297" s="41" t="n">
        <f aca="false">IF(D297&lt;=0.5,0,MIN(H297+N(J297),D297+E297+F297))</f>
        <v>0</v>
      </c>
      <c r="L297" s="41" t="n">
        <f aca="false">K297-E297-F297</f>
        <v>0</v>
      </c>
      <c r="M297" s="41" t="n">
        <f aca="false">D297-L297</f>
        <v>0</v>
      </c>
      <c r="N297" s="42" t="n">
        <f aca="false">K297-G297</f>
        <v>0</v>
      </c>
      <c r="O297" s="78"/>
      <c r="P297" s="79"/>
      <c r="Q297" s="16" t="str">
        <f aca="false">IF(K297=0,"",IF(R297=1,"Pagada",IF(C297&lt;$F$12,"Vencida",IF(271=$F$13,"Próxima","Pendiente"))))</f>
        <v/>
      </c>
      <c r="R297" s="62" t="n">
        <f aca="false">IF(AND(K297&gt;0,OR(O297="Sí",O297="Si")),1,0)</f>
        <v>0</v>
      </c>
      <c r="S297" s="62" t="n">
        <f aca="false">IF(AND(K297&gt;0,R297=0),1,0)</f>
        <v>0</v>
      </c>
    </row>
    <row r="298" customFormat="false" ht="15" hidden="false" customHeight="false" outlineLevel="0" collapsed="false">
      <c r="B298" s="71" t="str">
        <f aca="false">IF($F$6="Sí",N($C$11)+271,"")</f>
        <v/>
      </c>
      <c r="C298" s="72" t="str">
        <f aca="false">IF(OR($F$6&lt;&gt;"Sí",D298&lt;=0.5),"",EDATE($C$10,271))</f>
        <v/>
      </c>
      <c r="D298" s="41" t="n">
        <f aca="false">MAX(0,M297)</f>
        <v>0</v>
      </c>
      <c r="E298" s="41" t="n">
        <f aca="false">D298*$F$7</f>
        <v>0</v>
      </c>
      <c r="F298" s="41" t="n">
        <f aca="false">IF(D298&gt;0.5,N($C$15),0)</f>
        <v>0</v>
      </c>
      <c r="G298" s="41" t="n">
        <f aca="false">IF(AND(D298&gt;0.5,N($C$19)&gt;0,N(B298)&lt;=N($C$20)),D298*$F$8,0)</f>
        <v>0</v>
      </c>
      <c r="H298" s="41" t="n">
        <f aca="false">IF(D298&lt;=0.5,0,MIN(IF(N(I298)&gt;0,I298,$F$9),D298+E298+F298))</f>
        <v>0</v>
      </c>
      <c r="I298" s="77"/>
      <c r="J298" s="77"/>
      <c r="K298" s="41" t="n">
        <f aca="false">IF(D298&lt;=0.5,0,MIN(H298+N(J298),D298+E298+F298))</f>
        <v>0</v>
      </c>
      <c r="L298" s="41" t="n">
        <f aca="false">K298-E298-F298</f>
        <v>0</v>
      </c>
      <c r="M298" s="41" t="n">
        <f aca="false">D298-L298</f>
        <v>0</v>
      </c>
      <c r="N298" s="42" t="n">
        <f aca="false">K298-G298</f>
        <v>0</v>
      </c>
      <c r="O298" s="78"/>
      <c r="P298" s="79"/>
      <c r="Q298" s="16" t="str">
        <f aca="false">IF(K298=0,"",IF(R298=1,"Pagada",IF(C298&lt;$F$12,"Vencida",IF(272=$F$13,"Próxima","Pendiente"))))</f>
        <v/>
      </c>
      <c r="R298" s="62" t="n">
        <f aca="false">IF(AND(K298&gt;0,OR(O298="Sí",O298="Si")),1,0)</f>
        <v>0</v>
      </c>
      <c r="S298" s="62" t="n">
        <f aca="false">IF(AND(K298&gt;0,R298=0),1,0)</f>
        <v>0</v>
      </c>
    </row>
    <row r="299" customFormat="false" ht="15" hidden="false" customHeight="false" outlineLevel="0" collapsed="false">
      <c r="B299" s="71" t="str">
        <f aca="false">IF($F$6="Sí",N($C$11)+272,"")</f>
        <v/>
      </c>
      <c r="C299" s="72" t="str">
        <f aca="false">IF(OR($F$6&lt;&gt;"Sí",D299&lt;=0.5),"",EDATE($C$10,272))</f>
        <v/>
      </c>
      <c r="D299" s="41" t="n">
        <f aca="false">MAX(0,M298)</f>
        <v>0</v>
      </c>
      <c r="E299" s="41" t="n">
        <f aca="false">D299*$F$7</f>
        <v>0</v>
      </c>
      <c r="F299" s="41" t="n">
        <f aca="false">IF(D299&gt;0.5,N($C$15),0)</f>
        <v>0</v>
      </c>
      <c r="G299" s="41" t="n">
        <f aca="false">IF(AND(D299&gt;0.5,N($C$19)&gt;0,N(B299)&lt;=N($C$20)),D299*$F$8,0)</f>
        <v>0</v>
      </c>
      <c r="H299" s="41" t="n">
        <f aca="false">IF(D299&lt;=0.5,0,MIN(IF(N(I299)&gt;0,I299,$F$9),D299+E299+F299))</f>
        <v>0</v>
      </c>
      <c r="I299" s="77"/>
      <c r="J299" s="77"/>
      <c r="K299" s="41" t="n">
        <f aca="false">IF(D299&lt;=0.5,0,MIN(H299+N(J299),D299+E299+F299))</f>
        <v>0</v>
      </c>
      <c r="L299" s="41" t="n">
        <f aca="false">K299-E299-F299</f>
        <v>0</v>
      </c>
      <c r="M299" s="41" t="n">
        <f aca="false">D299-L299</f>
        <v>0</v>
      </c>
      <c r="N299" s="42" t="n">
        <f aca="false">K299-G299</f>
        <v>0</v>
      </c>
      <c r="O299" s="78"/>
      <c r="P299" s="79"/>
      <c r="Q299" s="16" t="str">
        <f aca="false">IF(K299=0,"",IF(R299=1,"Pagada",IF(C299&lt;$F$12,"Vencida",IF(273=$F$13,"Próxima","Pendiente"))))</f>
        <v/>
      </c>
      <c r="R299" s="62" t="n">
        <f aca="false">IF(AND(K299&gt;0,OR(O299="Sí",O299="Si")),1,0)</f>
        <v>0</v>
      </c>
      <c r="S299" s="62" t="n">
        <f aca="false">IF(AND(K299&gt;0,R299=0),1,0)</f>
        <v>0</v>
      </c>
    </row>
    <row r="300" customFormat="false" ht="15" hidden="false" customHeight="false" outlineLevel="0" collapsed="false">
      <c r="B300" s="71" t="str">
        <f aca="false">IF($F$6="Sí",N($C$11)+273,"")</f>
        <v/>
      </c>
      <c r="C300" s="72" t="str">
        <f aca="false">IF(OR($F$6&lt;&gt;"Sí",D300&lt;=0.5),"",EDATE($C$10,273))</f>
        <v/>
      </c>
      <c r="D300" s="41" t="n">
        <f aca="false">MAX(0,M299)</f>
        <v>0</v>
      </c>
      <c r="E300" s="41" t="n">
        <f aca="false">D300*$F$7</f>
        <v>0</v>
      </c>
      <c r="F300" s="41" t="n">
        <f aca="false">IF(D300&gt;0.5,N($C$15),0)</f>
        <v>0</v>
      </c>
      <c r="G300" s="41" t="n">
        <f aca="false">IF(AND(D300&gt;0.5,N($C$19)&gt;0,N(B300)&lt;=N($C$20)),D300*$F$8,0)</f>
        <v>0</v>
      </c>
      <c r="H300" s="41" t="n">
        <f aca="false">IF(D300&lt;=0.5,0,MIN(IF(N(I300)&gt;0,I300,$F$9),D300+E300+F300))</f>
        <v>0</v>
      </c>
      <c r="I300" s="77"/>
      <c r="J300" s="77"/>
      <c r="K300" s="41" t="n">
        <f aca="false">IF(D300&lt;=0.5,0,MIN(H300+N(J300),D300+E300+F300))</f>
        <v>0</v>
      </c>
      <c r="L300" s="41" t="n">
        <f aca="false">K300-E300-F300</f>
        <v>0</v>
      </c>
      <c r="M300" s="41" t="n">
        <f aca="false">D300-L300</f>
        <v>0</v>
      </c>
      <c r="N300" s="42" t="n">
        <f aca="false">K300-G300</f>
        <v>0</v>
      </c>
      <c r="O300" s="78"/>
      <c r="P300" s="79"/>
      <c r="Q300" s="16" t="str">
        <f aca="false">IF(K300=0,"",IF(R300=1,"Pagada",IF(C300&lt;$F$12,"Vencida",IF(274=$F$13,"Próxima","Pendiente"))))</f>
        <v/>
      </c>
      <c r="R300" s="62" t="n">
        <f aca="false">IF(AND(K300&gt;0,OR(O300="Sí",O300="Si")),1,0)</f>
        <v>0</v>
      </c>
      <c r="S300" s="62" t="n">
        <f aca="false">IF(AND(K300&gt;0,R300=0),1,0)</f>
        <v>0</v>
      </c>
    </row>
    <row r="301" customFormat="false" ht="15" hidden="false" customHeight="false" outlineLevel="0" collapsed="false">
      <c r="B301" s="71" t="str">
        <f aca="false">IF($F$6="Sí",N($C$11)+274,"")</f>
        <v/>
      </c>
      <c r="C301" s="72" t="str">
        <f aca="false">IF(OR($F$6&lt;&gt;"Sí",D301&lt;=0.5),"",EDATE($C$10,274))</f>
        <v/>
      </c>
      <c r="D301" s="41" t="n">
        <f aca="false">MAX(0,M300)</f>
        <v>0</v>
      </c>
      <c r="E301" s="41" t="n">
        <f aca="false">D301*$F$7</f>
        <v>0</v>
      </c>
      <c r="F301" s="41" t="n">
        <f aca="false">IF(D301&gt;0.5,N($C$15),0)</f>
        <v>0</v>
      </c>
      <c r="G301" s="41" t="n">
        <f aca="false">IF(AND(D301&gt;0.5,N($C$19)&gt;0,N(B301)&lt;=N($C$20)),D301*$F$8,0)</f>
        <v>0</v>
      </c>
      <c r="H301" s="41" t="n">
        <f aca="false">IF(D301&lt;=0.5,0,MIN(IF(N(I301)&gt;0,I301,$F$9),D301+E301+F301))</f>
        <v>0</v>
      </c>
      <c r="I301" s="77"/>
      <c r="J301" s="77"/>
      <c r="K301" s="41" t="n">
        <f aca="false">IF(D301&lt;=0.5,0,MIN(H301+N(J301),D301+E301+F301))</f>
        <v>0</v>
      </c>
      <c r="L301" s="41" t="n">
        <f aca="false">K301-E301-F301</f>
        <v>0</v>
      </c>
      <c r="M301" s="41" t="n">
        <f aca="false">D301-L301</f>
        <v>0</v>
      </c>
      <c r="N301" s="42" t="n">
        <f aca="false">K301-G301</f>
        <v>0</v>
      </c>
      <c r="O301" s="78"/>
      <c r="P301" s="79"/>
      <c r="Q301" s="16" t="str">
        <f aca="false">IF(K301=0,"",IF(R301=1,"Pagada",IF(C301&lt;$F$12,"Vencida",IF(275=$F$13,"Próxima","Pendiente"))))</f>
        <v/>
      </c>
      <c r="R301" s="62" t="n">
        <f aca="false">IF(AND(K301&gt;0,OR(O301="Sí",O301="Si")),1,0)</f>
        <v>0</v>
      </c>
      <c r="S301" s="62" t="n">
        <f aca="false">IF(AND(K301&gt;0,R301=0),1,0)</f>
        <v>0</v>
      </c>
    </row>
    <row r="302" customFormat="false" ht="15" hidden="false" customHeight="false" outlineLevel="0" collapsed="false">
      <c r="B302" s="71" t="str">
        <f aca="false">IF($F$6="Sí",N($C$11)+275,"")</f>
        <v/>
      </c>
      <c r="C302" s="72" t="str">
        <f aca="false">IF(OR($F$6&lt;&gt;"Sí",D302&lt;=0.5),"",EDATE($C$10,275))</f>
        <v/>
      </c>
      <c r="D302" s="41" t="n">
        <f aca="false">MAX(0,M301)</f>
        <v>0</v>
      </c>
      <c r="E302" s="41" t="n">
        <f aca="false">D302*$F$7</f>
        <v>0</v>
      </c>
      <c r="F302" s="41" t="n">
        <f aca="false">IF(D302&gt;0.5,N($C$15),0)</f>
        <v>0</v>
      </c>
      <c r="G302" s="41" t="n">
        <f aca="false">IF(AND(D302&gt;0.5,N($C$19)&gt;0,N(B302)&lt;=N($C$20)),D302*$F$8,0)</f>
        <v>0</v>
      </c>
      <c r="H302" s="41" t="n">
        <f aca="false">IF(D302&lt;=0.5,0,MIN(IF(N(I302)&gt;0,I302,$F$9),D302+E302+F302))</f>
        <v>0</v>
      </c>
      <c r="I302" s="77"/>
      <c r="J302" s="77"/>
      <c r="K302" s="41" t="n">
        <f aca="false">IF(D302&lt;=0.5,0,MIN(H302+N(J302),D302+E302+F302))</f>
        <v>0</v>
      </c>
      <c r="L302" s="41" t="n">
        <f aca="false">K302-E302-F302</f>
        <v>0</v>
      </c>
      <c r="M302" s="41" t="n">
        <f aca="false">D302-L302</f>
        <v>0</v>
      </c>
      <c r="N302" s="42" t="n">
        <f aca="false">K302-G302</f>
        <v>0</v>
      </c>
      <c r="O302" s="78"/>
      <c r="P302" s="79"/>
      <c r="Q302" s="16" t="str">
        <f aca="false">IF(K302=0,"",IF(R302=1,"Pagada",IF(C302&lt;$F$12,"Vencida",IF(276=$F$13,"Próxima","Pendiente"))))</f>
        <v/>
      </c>
      <c r="R302" s="62" t="n">
        <f aca="false">IF(AND(K302&gt;0,OR(O302="Sí",O302="Si")),1,0)</f>
        <v>0</v>
      </c>
      <c r="S302" s="62" t="n">
        <f aca="false">IF(AND(K302&gt;0,R302=0),1,0)</f>
        <v>0</v>
      </c>
    </row>
    <row r="303" customFormat="false" ht="15" hidden="false" customHeight="false" outlineLevel="0" collapsed="false">
      <c r="B303" s="71" t="str">
        <f aca="false">IF($F$6="Sí",N($C$11)+276,"")</f>
        <v/>
      </c>
      <c r="C303" s="72" t="str">
        <f aca="false">IF(OR($F$6&lt;&gt;"Sí",D303&lt;=0.5),"",EDATE($C$10,276))</f>
        <v/>
      </c>
      <c r="D303" s="41" t="n">
        <f aca="false">MAX(0,M302)</f>
        <v>0</v>
      </c>
      <c r="E303" s="41" t="n">
        <f aca="false">D303*$F$7</f>
        <v>0</v>
      </c>
      <c r="F303" s="41" t="n">
        <f aca="false">IF(D303&gt;0.5,N($C$15),0)</f>
        <v>0</v>
      </c>
      <c r="G303" s="41" t="n">
        <f aca="false">IF(AND(D303&gt;0.5,N($C$19)&gt;0,N(B303)&lt;=N($C$20)),D303*$F$8,0)</f>
        <v>0</v>
      </c>
      <c r="H303" s="41" t="n">
        <f aca="false">IF(D303&lt;=0.5,0,MIN(IF(N(I303)&gt;0,I303,$F$9),D303+E303+F303))</f>
        <v>0</v>
      </c>
      <c r="I303" s="77"/>
      <c r="J303" s="77"/>
      <c r="K303" s="41" t="n">
        <f aca="false">IF(D303&lt;=0.5,0,MIN(H303+N(J303),D303+E303+F303))</f>
        <v>0</v>
      </c>
      <c r="L303" s="41" t="n">
        <f aca="false">K303-E303-F303</f>
        <v>0</v>
      </c>
      <c r="M303" s="41" t="n">
        <f aca="false">D303-L303</f>
        <v>0</v>
      </c>
      <c r="N303" s="42" t="n">
        <f aca="false">K303-G303</f>
        <v>0</v>
      </c>
      <c r="O303" s="78"/>
      <c r="P303" s="79"/>
      <c r="Q303" s="16" t="str">
        <f aca="false">IF(K303=0,"",IF(R303=1,"Pagada",IF(C303&lt;$F$12,"Vencida",IF(277=$F$13,"Próxima","Pendiente"))))</f>
        <v/>
      </c>
      <c r="R303" s="62" t="n">
        <f aca="false">IF(AND(K303&gt;0,OR(O303="Sí",O303="Si")),1,0)</f>
        <v>0</v>
      </c>
      <c r="S303" s="62" t="n">
        <f aca="false">IF(AND(K303&gt;0,R303=0),1,0)</f>
        <v>0</v>
      </c>
    </row>
    <row r="304" customFormat="false" ht="15" hidden="false" customHeight="false" outlineLevel="0" collapsed="false">
      <c r="B304" s="71" t="str">
        <f aca="false">IF($F$6="Sí",N($C$11)+277,"")</f>
        <v/>
      </c>
      <c r="C304" s="72" t="str">
        <f aca="false">IF(OR($F$6&lt;&gt;"Sí",D304&lt;=0.5),"",EDATE($C$10,277))</f>
        <v/>
      </c>
      <c r="D304" s="41" t="n">
        <f aca="false">MAX(0,M303)</f>
        <v>0</v>
      </c>
      <c r="E304" s="41" t="n">
        <f aca="false">D304*$F$7</f>
        <v>0</v>
      </c>
      <c r="F304" s="41" t="n">
        <f aca="false">IF(D304&gt;0.5,N($C$15),0)</f>
        <v>0</v>
      </c>
      <c r="G304" s="41" t="n">
        <f aca="false">IF(AND(D304&gt;0.5,N($C$19)&gt;0,N(B304)&lt;=N($C$20)),D304*$F$8,0)</f>
        <v>0</v>
      </c>
      <c r="H304" s="41" t="n">
        <f aca="false">IF(D304&lt;=0.5,0,MIN(IF(N(I304)&gt;0,I304,$F$9),D304+E304+F304))</f>
        <v>0</v>
      </c>
      <c r="I304" s="77"/>
      <c r="J304" s="77"/>
      <c r="K304" s="41" t="n">
        <f aca="false">IF(D304&lt;=0.5,0,MIN(H304+N(J304),D304+E304+F304))</f>
        <v>0</v>
      </c>
      <c r="L304" s="41" t="n">
        <f aca="false">K304-E304-F304</f>
        <v>0</v>
      </c>
      <c r="M304" s="41" t="n">
        <f aca="false">D304-L304</f>
        <v>0</v>
      </c>
      <c r="N304" s="42" t="n">
        <f aca="false">K304-G304</f>
        <v>0</v>
      </c>
      <c r="O304" s="78"/>
      <c r="P304" s="79"/>
      <c r="Q304" s="16" t="str">
        <f aca="false">IF(K304=0,"",IF(R304=1,"Pagada",IF(C304&lt;$F$12,"Vencida",IF(278=$F$13,"Próxima","Pendiente"))))</f>
        <v/>
      </c>
      <c r="R304" s="62" t="n">
        <f aca="false">IF(AND(K304&gt;0,OR(O304="Sí",O304="Si")),1,0)</f>
        <v>0</v>
      </c>
      <c r="S304" s="62" t="n">
        <f aca="false">IF(AND(K304&gt;0,R304=0),1,0)</f>
        <v>0</v>
      </c>
    </row>
    <row r="305" customFormat="false" ht="15" hidden="false" customHeight="false" outlineLevel="0" collapsed="false">
      <c r="B305" s="71" t="str">
        <f aca="false">IF($F$6="Sí",N($C$11)+278,"")</f>
        <v/>
      </c>
      <c r="C305" s="72" t="str">
        <f aca="false">IF(OR($F$6&lt;&gt;"Sí",D305&lt;=0.5),"",EDATE($C$10,278))</f>
        <v/>
      </c>
      <c r="D305" s="41" t="n">
        <f aca="false">MAX(0,M304)</f>
        <v>0</v>
      </c>
      <c r="E305" s="41" t="n">
        <f aca="false">D305*$F$7</f>
        <v>0</v>
      </c>
      <c r="F305" s="41" t="n">
        <f aca="false">IF(D305&gt;0.5,N($C$15),0)</f>
        <v>0</v>
      </c>
      <c r="G305" s="41" t="n">
        <f aca="false">IF(AND(D305&gt;0.5,N($C$19)&gt;0,N(B305)&lt;=N($C$20)),D305*$F$8,0)</f>
        <v>0</v>
      </c>
      <c r="H305" s="41" t="n">
        <f aca="false">IF(D305&lt;=0.5,0,MIN(IF(N(I305)&gt;0,I305,$F$9),D305+E305+F305))</f>
        <v>0</v>
      </c>
      <c r="I305" s="77"/>
      <c r="J305" s="77"/>
      <c r="K305" s="41" t="n">
        <f aca="false">IF(D305&lt;=0.5,0,MIN(H305+N(J305),D305+E305+F305))</f>
        <v>0</v>
      </c>
      <c r="L305" s="41" t="n">
        <f aca="false">K305-E305-F305</f>
        <v>0</v>
      </c>
      <c r="M305" s="41" t="n">
        <f aca="false">D305-L305</f>
        <v>0</v>
      </c>
      <c r="N305" s="42" t="n">
        <f aca="false">K305-G305</f>
        <v>0</v>
      </c>
      <c r="O305" s="78"/>
      <c r="P305" s="79"/>
      <c r="Q305" s="16" t="str">
        <f aca="false">IF(K305=0,"",IF(R305=1,"Pagada",IF(C305&lt;$F$12,"Vencida",IF(279=$F$13,"Próxima","Pendiente"))))</f>
        <v/>
      </c>
      <c r="R305" s="62" t="n">
        <f aca="false">IF(AND(K305&gt;0,OR(O305="Sí",O305="Si")),1,0)</f>
        <v>0</v>
      </c>
      <c r="S305" s="62" t="n">
        <f aca="false">IF(AND(K305&gt;0,R305=0),1,0)</f>
        <v>0</v>
      </c>
    </row>
    <row r="306" customFormat="false" ht="15" hidden="false" customHeight="false" outlineLevel="0" collapsed="false">
      <c r="B306" s="71" t="str">
        <f aca="false">IF($F$6="Sí",N($C$11)+279,"")</f>
        <v/>
      </c>
      <c r="C306" s="72" t="str">
        <f aca="false">IF(OR($F$6&lt;&gt;"Sí",D306&lt;=0.5),"",EDATE($C$10,279))</f>
        <v/>
      </c>
      <c r="D306" s="41" t="n">
        <f aca="false">MAX(0,M305)</f>
        <v>0</v>
      </c>
      <c r="E306" s="41" t="n">
        <f aca="false">D306*$F$7</f>
        <v>0</v>
      </c>
      <c r="F306" s="41" t="n">
        <f aca="false">IF(D306&gt;0.5,N($C$15),0)</f>
        <v>0</v>
      </c>
      <c r="G306" s="41" t="n">
        <f aca="false">IF(AND(D306&gt;0.5,N($C$19)&gt;0,N(B306)&lt;=N($C$20)),D306*$F$8,0)</f>
        <v>0</v>
      </c>
      <c r="H306" s="41" t="n">
        <f aca="false">IF(D306&lt;=0.5,0,MIN(IF(N(I306)&gt;0,I306,$F$9),D306+E306+F306))</f>
        <v>0</v>
      </c>
      <c r="I306" s="77"/>
      <c r="J306" s="77"/>
      <c r="K306" s="41" t="n">
        <f aca="false">IF(D306&lt;=0.5,0,MIN(H306+N(J306),D306+E306+F306))</f>
        <v>0</v>
      </c>
      <c r="L306" s="41" t="n">
        <f aca="false">K306-E306-F306</f>
        <v>0</v>
      </c>
      <c r="M306" s="41" t="n">
        <f aca="false">D306-L306</f>
        <v>0</v>
      </c>
      <c r="N306" s="42" t="n">
        <f aca="false">K306-G306</f>
        <v>0</v>
      </c>
      <c r="O306" s="78"/>
      <c r="P306" s="79"/>
      <c r="Q306" s="16" t="str">
        <f aca="false">IF(K306=0,"",IF(R306=1,"Pagada",IF(C306&lt;$F$12,"Vencida",IF(280=$F$13,"Próxima","Pendiente"))))</f>
        <v/>
      </c>
      <c r="R306" s="62" t="n">
        <f aca="false">IF(AND(K306&gt;0,OR(O306="Sí",O306="Si")),1,0)</f>
        <v>0</v>
      </c>
      <c r="S306" s="62" t="n">
        <f aca="false">IF(AND(K306&gt;0,R306=0),1,0)</f>
        <v>0</v>
      </c>
    </row>
    <row r="307" customFormat="false" ht="15" hidden="false" customHeight="false" outlineLevel="0" collapsed="false">
      <c r="B307" s="71" t="str">
        <f aca="false">IF($F$6="Sí",N($C$11)+280,"")</f>
        <v/>
      </c>
      <c r="C307" s="72" t="str">
        <f aca="false">IF(OR($F$6&lt;&gt;"Sí",D307&lt;=0.5),"",EDATE($C$10,280))</f>
        <v/>
      </c>
      <c r="D307" s="41" t="n">
        <f aca="false">MAX(0,M306)</f>
        <v>0</v>
      </c>
      <c r="E307" s="41" t="n">
        <f aca="false">D307*$F$7</f>
        <v>0</v>
      </c>
      <c r="F307" s="41" t="n">
        <f aca="false">IF(D307&gt;0.5,N($C$15),0)</f>
        <v>0</v>
      </c>
      <c r="G307" s="41" t="n">
        <f aca="false">IF(AND(D307&gt;0.5,N($C$19)&gt;0,N(B307)&lt;=N($C$20)),D307*$F$8,0)</f>
        <v>0</v>
      </c>
      <c r="H307" s="41" t="n">
        <f aca="false">IF(D307&lt;=0.5,0,MIN(IF(N(I307)&gt;0,I307,$F$9),D307+E307+F307))</f>
        <v>0</v>
      </c>
      <c r="I307" s="77"/>
      <c r="J307" s="77"/>
      <c r="K307" s="41" t="n">
        <f aca="false">IF(D307&lt;=0.5,0,MIN(H307+N(J307),D307+E307+F307))</f>
        <v>0</v>
      </c>
      <c r="L307" s="41" t="n">
        <f aca="false">K307-E307-F307</f>
        <v>0</v>
      </c>
      <c r="M307" s="41" t="n">
        <f aca="false">D307-L307</f>
        <v>0</v>
      </c>
      <c r="N307" s="42" t="n">
        <f aca="false">K307-G307</f>
        <v>0</v>
      </c>
      <c r="O307" s="78"/>
      <c r="P307" s="79"/>
      <c r="Q307" s="16" t="str">
        <f aca="false">IF(K307=0,"",IF(R307=1,"Pagada",IF(C307&lt;$F$12,"Vencida",IF(281=$F$13,"Próxima","Pendiente"))))</f>
        <v/>
      </c>
      <c r="R307" s="62" t="n">
        <f aca="false">IF(AND(K307&gt;0,OR(O307="Sí",O307="Si")),1,0)</f>
        <v>0</v>
      </c>
      <c r="S307" s="62" t="n">
        <f aca="false">IF(AND(K307&gt;0,R307=0),1,0)</f>
        <v>0</v>
      </c>
    </row>
    <row r="308" customFormat="false" ht="15" hidden="false" customHeight="false" outlineLevel="0" collapsed="false">
      <c r="B308" s="71" t="str">
        <f aca="false">IF($F$6="Sí",N($C$11)+281,"")</f>
        <v/>
      </c>
      <c r="C308" s="72" t="str">
        <f aca="false">IF(OR($F$6&lt;&gt;"Sí",D308&lt;=0.5),"",EDATE($C$10,281))</f>
        <v/>
      </c>
      <c r="D308" s="41" t="n">
        <f aca="false">MAX(0,M307)</f>
        <v>0</v>
      </c>
      <c r="E308" s="41" t="n">
        <f aca="false">D308*$F$7</f>
        <v>0</v>
      </c>
      <c r="F308" s="41" t="n">
        <f aca="false">IF(D308&gt;0.5,N($C$15),0)</f>
        <v>0</v>
      </c>
      <c r="G308" s="41" t="n">
        <f aca="false">IF(AND(D308&gt;0.5,N($C$19)&gt;0,N(B308)&lt;=N($C$20)),D308*$F$8,0)</f>
        <v>0</v>
      </c>
      <c r="H308" s="41" t="n">
        <f aca="false">IF(D308&lt;=0.5,0,MIN(IF(N(I308)&gt;0,I308,$F$9),D308+E308+F308))</f>
        <v>0</v>
      </c>
      <c r="I308" s="77"/>
      <c r="J308" s="77"/>
      <c r="K308" s="41" t="n">
        <f aca="false">IF(D308&lt;=0.5,0,MIN(H308+N(J308),D308+E308+F308))</f>
        <v>0</v>
      </c>
      <c r="L308" s="41" t="n">
        <f aca="false">K308-E308-F308</f>
        <v>0</v>
      </c>
      <c r="M308" s="41" t="n">
        <f aca="false">D308-L308</f>
        <v>0</v>
      </c>
      <c r="N308" s="42" t="n">
        <f aca="false">K308-G308</f>
        <v>0</v>
      </c>
      <c r="O308" s="78"/>
      <c r="P308" s="79"/>
      <c r="Q308" s="16" t="str">
        <f aca="false">IF(K308=0,"",IF(R308=1,"Pagada",IF(C308&lt;$F$12,"Vencida",IF(282=$F$13,"Próxima","Pendiente"))))</f>
        <v/>
      </c>
      <c r="R308" s="62" t="n">
        <f aca="false">IF(AND(K308&gt;0,OR(O308="Sí",O308="Si")),1,0)</f>
        <v>0</v>
      </c>
      <c r="S308" s="62" t="n">
        <f aca="false">IF(AND(K308&gt;0,R308=0),1,0)</f>
        <v>0</v>
      </c>
    </row>
    <row r="309" customFormat="false" ht="15" hidden="false" customHeight="false" outlineLevel="0" collapsed="false">
      <c r="B309" s="71" t="str">
        <f aca="false">IF($F$6="Sí",N($C$11)+282,"")</f>
        <v/>
      </c>
      <c r="C309" s="72" t="str">
        <f aca="false">IF(OR($F$6&lt;&gt;"Sí",D309&lt;=0.5),"",EDATE($C$10,282))</f>
        <v/>
      </c>
      <c r="D309" s="41" t="n">
        <f aca="false">MAX(0,M308)</f>
        <v>0</v>
      </c>
      <c r="E309" s="41" t="n">
        <f aca="false">D309*$F$7</f>
        <v>0</v>
      </c>
      <c r="F309" s="41" t="n">
        <f aca="false">IF(D309&gt;0.5,N($C$15),0)</f>
        <v>0</v>
      </c>
      <c r="G309" s="41" t="n">
        <f aca="false">IF(AND(D309&gt;0.5,N($C$19)&gt;0,N(B309)&lt;=N($C$20)),D309*$F$8,0)</f>
        <v>0</v>
      </c>
      <c r="H309" s="41" t="n">
        <f aca="false">IF(D309&lt;=0.5,0,MIN(IF(N(I309)&gt;0,I309,$F$9),D309+E309+F309))</f>
        <v>0</v>
      </c>
      <c r="I309" s="77"/>
      <c r="J309" s="77"/>
      <c r="K309" s="41" t="n">
        <f aca="false">IF(D309&lt;=0.5,0,MIN(H309+N(J309),D309+E309+F309))</f>
        <v>0</v>
      </c>
      <c r="L309" s="41" t="n">
        <f aca="false">K309-E309-F309</f>
        <v>0</v>
      </c>
      <c r="M309" s="41" t="n">
        <f aca="false">D309-L309</f>
        <v>0</v>
      </c>
      <c r="N309" s="42" t="n">
        <f aca="false">K309-G309</f>
        <v>0</v>
      </c>
      <c r="O309" s="78"/>
      <c r="P309" s="79"/>
      <c r="Q309" s="16" t="str">
        <f aca="false">IF(K309=0,"",IF(R309=1,"Pagada",IF(C309&lt;$F$12,"Vencida",IF(283=$F$13,"Próxima","Pendiente"))))</f>
        <v/>
      </c>
      <c r="R309" s="62" t="n">
        <f aca="false">IF(AND(K309&gt;0,OR(O309="Sí",O309="Si")),1,0)</f>
        <v>0</v>
      </c>
      <c r="S309" s="62" t="n">
        <f aca="false">IF(AND(K309&gt;0,R309=0),1,0)</f>
        <v>0</v>
      </c>
    </row>
    <row r="310" customFormat="false" ht="15" hidden="false" customHeight="false" outlineLevel="0" collapsed="false">
      <c r="B310" s="71" t="str">
        <f aca="false">IF($F$6="Sí",N($C$11)+283,"")</f>
        <v/>
      </c>
      <c r="C310" s="72" t="str">
        <f aca="false">IF(OR($F$6&lt;&gt;"Sí",D310&lt;=0.5),"",EDATE($C$10,283))</f>
        <v/>
      </c>
      <c r="D310" s="41" t="n">
        <f aca="false">MAX(0,M309)</f>
        <v>0</v>
      </c>
      <c r="E310" s="41" t="n">
        <f aca="false">D310*$F$7</f>
        <v>0</v>
      </c>
      <c r="F310" s="41" t="n">
        <f aca="false">IF(D310&gt;0.5,N($C$15),0)</f>
        <v>0</v>
      </c>
      <c r="G310" s="41" t="n">
        <f aca="false">IF(AND(D310&gt;0.5,N($C$19)&gt;0,N(B310)&lt;=N($C$20)),D310*$F$8,0)</f>
        <v>0</v>
      </c>
      <c r="H310" s="41" t="n">
        <f aca="false">IF(D310&lt;=0.5,0,MIN(IF(N(I310)&gt;0,I310,$F$9),D310+E310+F310))</f>
        <v>0</v>
      </c>
      <c r="I310" s="77"/>
      <c r="J310" s="77"/>
      <c r="K310" s="41" t="n">
        <f aca="false">IF(D310&lt;=0.5,0,MIN(H310+N(J310),D310+E310+F310))</f>
        <v>0</v>
      </c>
      <c r="L310" s="41" t="n">
        <f aca="false">K310-E310-F310</f>
        <v>0</v>
      </c>
      <c r="M310" s="41" t="n">
        <f aca="false">D310-L310</f>
        <v>0</v>
      </c>
      <c r="N310" s="42" t="n">
        <f aca="false">K310-G310</f>
        <v>0</v>
      </c>
      <c r="O310" s="78"/>
      <c r="P310" s="79"/>
      <c r="Q310" s="16" t="str">
        <f aca="false">IF(K310=0,"",IF(R310=1,"Pagada",IF(C310&lt;$F$12,"Vencida",IF(284=$F$13,"Próxima","Pendiente"))))</f>
        <v/>
      </c>
      <c r="R310" s="62" t="n">
        <f aca="false">IF(AND(K310&gt;0,OR(O310="Sí",O310="Si")),1,0)</f>
        <v>0</v>
      </c>
      <c r="S310" s="62" t="n">
        <f aca="false">IF(AND(K310&gt;0,R310=0),1,0)</f>
        <v>0</v>
      </c>
    </row>
    <row r="311" customFormat="false" ht="15" hidden="false" customHeight="false" outlineLevel="0" collapsed="false">
      <c r="B311" s="71" t="str">
        <f aca="false">IF($F$6="Sí",N($C$11)+284,"")</f>
        <v/>
      </c>
      <c r="C311" s="72" t="str">
        <f aca="false">IF(OR($F$6&lt;&gt;"Sí",D311&lt;=0.5),"",EDATE($C$10,284))</f>
        <v/>
      </c>
      <c r="D311" s="41" t="n">
        <f aca="false">MAX(0,M310)</f>
        <v>0</v>
      </c>
      <c r="E311" s="41" t="n">
        <f aca="false">D311*$F$7</f>
        <v>0</v>
      </c>
      <c r="F311" s="41" t="n">
        <f aca="false">IF(D311&gt;0.5,N($C$15),0)</f>
        <v>0</v>
      </c>
      <c r="G311" s="41" t="n">
        <f aca="false">IF(AND(D311&gt;0.5,N($C$19)&gt;0,N(B311)&lt;=N($C$20)),D311*$F$8,0)</f>
        <v>0</v>
      </c>
      <c r="H311" s="41" t="n">
        <f aca="false">IF(D311&lt;=0.5,0,MIN(IF(N(I311)&gt;0,I311,$F$9),D311+E311+F311))</f>
        <v>0</v>
      </c>
      <c r="I311" s="77"/>
      <c r="J311" s="77"/>
      <c r="K311" s="41" t="n">
        <f aca="false">IF(D311&lt;=0.5,0,MIN(H311+N(J311),D311+E311+F311))</f>
        <v>0</v>
      </c>
      <c r="L311" s="41" t="n">
        <f aca="false">K311-E311-F311</f>
        <v>0</v>
      </c>
      <c r="M311" s="41" t="n">
        <f aca="false">D311-L311</f>
        <v>0</v>
      </c>
      <c r="N311" s="42" t="n">
        <f aca="false">K311-G311</f>
        <v>0</v>
      </c>
      <c r="O311" s="78"/>
      <c r="P311" s="79"/>
      <c r="Q311" s="16" t="str">
        <f aca="false">IF(K311=0,"",IF(R311=1,"Pagada",IF(C311&lt;$F$12,"Vencida",IF(285=$F$13,"Próxima","Pendiente"))))</f>
        <v/>
      </c>
      <c r="R311" s="62" t="n">
        <f aca="false">IF(AND(K311&gt;0,OR(O311="Sí",O311="Si")),1,0)</f>
        <v>0</v>
      </c>
      <c r="S311" s="62" t="n">
        <f aca="false">IF(AND(K311&gt;0,R311=0),1,0)</f>
        <v>0</v>
      </c>
    </row>
    <row r="312" customFormat="false" ht="15" hidden="false" customHeight="false" outlineLevel="0" collapsed="false">
      <c r="B312" s="71" t="str">
        <f aca="false">IF($F$6="Sí",N($C$11)+285,"")</f>
        <v/>
      </c>
      <c r="C312" s="72" t="str">
        <f aca="false">IF(OR($F$6&lt;&gt;"Sí",D312&lt;=0.5),"",EDATE($C$10,285))</f>
        <v/>
      </c>
      <c r="D312" s="41" t="n">
        <f aca="false">MAX(0,M311)</f>
        <v>0</v>
      </c>
      <c r="E312" s="41" t="n">
        <f aca="false">D312*$F$7</f>
        <v>0</v>
      </c>
      <c r="F312" s="41" t="n">
        <f aca="false">IF(D312&gt;0.5,N($C$15),0)</f>
        <v>0</v>
      </c>
      <c r="G312" s="41" t="n">
        <f aca="false">IF(AND(D312&gt;0.5,N($C$19)&gt;0,N(B312)&lt;=N($C$20)),D312*$F$8,0)</f>
        <v>0</v>
      </c>
      <c r="H312" s="41" t="n">
        <f aca="false">IF(D312&lt;=0.5,0,MIN(IF(N(I312)&gt;0,I312,$F$9),D312+E312+F312))</f>
        <v>0</v>
      </c>
      <c r="I312" s="77"/>
      <c r="J312" s="77"/>
      <c r="K312" s="41" t="n">
        <f aca="false">IF(D312&lt;=0.5,0,MIN(H312+N(J312),D312+E312+F312))</f>
        <v>0</v>
      </c>
      <c r="L312" s="41" t="n">
        <f aca="false">K312-E312-F312</f>
        <v>0</v>
      </c>
      <c r="M312" s="41" t="n">
        <f aca="false">D312-L312</f>
        <v>0</v>
      </c>
      <c r="N312" s="42" t="n">
        <f aca="false">K312-G312</f>
        <v>0</v>
      </c>
      <c r="O312" s="78"/>
      <c r="P312" s="79"/>
      <c r="Q312" s="16" t="str">
        <f aca="false">IF(K312=0,"",IF(R312=1,"Pagada",IF(C312&lt;$F$12,"Vencida",IF(286=$F$13,"Próxima","Pendiente"))))</f>
        <v/>
      </c>
      <c r="R312" s="62" t="n">
        <f aca="false">IF(AND(K312&gt;0,OR(O312="Sí",O312="Si")),1,0)</f>
        <v>0</v>
      </c>
      <c r="S312" s="62" t="n">
        <f aca="false">IF(AND(K312&gt;0,R312=0),1,0)</f>
        <v>0</v>
      </c>
    </row>
    <row r="313" customFormat="false" ht="15" hidden="false" customHeight="false" outlineLevel="0" collapsed="false">
      <c r="B313" s="71" t="str">
        <f aca="false">IF($F$6="Sí",N($C$11)+286,"")</f>
        <v/>
      </c>
      <c r="C313" s="72" t="str">
        <f aca="false">IF(OR($F$6&lt;&gt;"Sí",D313&lt;=0.5),"",EDATE($C$10,286))</f>
        <v/>
      </c>
      <c r="D313" s="41" t="n">
        <f aca="false">MAX(0,M312)</f>
        <v>0</v>
      </c>
      <c r="E313" s="41" t="n">
        <f aca="false">D313*$F$7</f>
        <v>0</v>
      </c>
      <c r="F313" s="41" t="n">
        <f aca="false">IF(D313&gt;0.5,N($C$15),0)</f>
        <v>0</v>
      </c>
      <c r="G313" s="41" t="n">
        <f aca="false">IF(AND(D313&gt;0.5,N($C$19)&gt;0,N(B313)&lt;=N($C$20)),D313*$F$8,0)</f>
        <v>0</v>
      </c>
      <c r="H313" s="41" t="n">
        <f aca="false">IF(D313&lt;=0.5,0,MIN(IF(N(I313)&gt;0,I313,$F$9),D313+E313+F313))</f>
        <v>0</v>
      </c>
      <c r="I313" s="77"/>
      <c r="J313" s="77"/>
      <c r="K313" s="41" t="n">
        <f aca="false">IF(D313&lt;=0.5,0,MIN(H313+N(J313),D313+E313+F313))</f>
        <v>0</v>
      </c>
      <c r="L313" s="41" t="n">
        <f aca="false">K313-E313-F313</f>
        <v>0</v>
      </c>
      <c r="M313" s="41" t="n">
        <f aca="false">D313-L313</f>
        <v>0</v>
      </c>
      <c r="N313" s="42" t="n">
        <f aca="false">K313-G313</f>
        <v>0</v>
      </c>
      <c r="O313" s="78"/>
      <c r="P313" s="79"/>
      <c r="Q313" s="16" t="str">
        <f aca="false">IF(K313=0,"",IF(R313=1,"Pagada",IF(C313&lt;$F$12,"Vencida",IF(287=$F$13,"Próxima","Pendiente"))))</f>
        <v/>
      </c>
      <c r="R313" s="62" t="n">
        <f aca="false">IF(AND(K313&gt;0,OR(O313="Sí",O313="Si")),1,0)</f>
        <v>0</v>
      </c>
      <c r="S313" s="62" t="n">
        <f aca="false">IF(AND(K313&gt;0,R313=0),1,0)</f>
        <v>0</v>
      </c>
    </row>
    <row r="314" customFormat="false" ht="15" hidden="false" customHeight="false" outlineLevel="0" collapsed="false">
      <c r="B314" s="71" t="str">
        <f aca="false">IF($F$6="Sí",N($C$11)+287,"")</f>
        <v/>
      </c>
      <c r="C314" s="72" t="str">
        <f aca="false">IF(OR($F$6&lt;&gt;"Sí",D314&lt;=0.5),"",EDATE($C$10,287))</f>
        <v/>
      </c>
      <c r="D314" s="41" t="n">
        <f aca="false">MAX(0,M313)</f>
        <v>0</v>
      </c>
      <c r="E314" s="41" t="n">
        <f aca="false">D314*$F$7</f>
        <v>0</v>
      </c>
      <c r="F314" s="41" t="n">
        <f aca="false">IF(D314&gt;0.5,N($C$15),0)</f>
        <v>0</v>
      </c>
      <c r="G314" s="41" t="n">
        <f aca="false">IF(AND(D314&gt;0.5,N($C$19)&gt;0,N(B314)&lt;=N($C$20)),D314*$F$8,0)</f>
        <v>0</v>
      </c>
      <c r="H314" s="41" t="n">
        <f aca="false">IF(D314&lt;=0.5,0,MIN(IF(N(I314)&gt;0,I314,$F$9),D314+E314+F314))</f>
        <v>0</v>
      </c>
      <c r="I314" s="77"/>
      <c r="J314" s="77"/>
      <c r="K314" s="41" t="n">
        <f aca="false">IF(D314&lt;=0.5,0,MIN(H314+N(J314),D314+E314+F314))</f>
        <v>0</v>
      </c>
      <c r="L314" s="41" t="n">
        <f aca="false">K314-E314-F314</f>
        <v>0</v>
      </c>
      <c r="M314" s="41" t="n">
        <f aca="false">D314-L314</f>
        <v>0</v>
      </c>
      <c r="N314" s="42" t="n">
        <f aca="false">K314-G314</f>
        <v>0</v>
      </c>
      <c r="O314" s="78"/>
      <c r="P314" s="79"/>
      <c r="Q314" s="16" t="str">
        <f aca="false">IF(K314=0,"",IF(R314=1,"Pagada",IF(C314&lt;$F$12,"Vencida",IF(288=$F$13,"Próxima","Pendiente"))))</f>
        <v/>
      </c>
      <c r="R314" s="62" t="n">
        <f aca="false">IF(AND(K314&gt;0,OR(O314="Sí",O314="Si")),1,0)</f>
        <v>0</v>
      </c>
      <c r="S314" s="62" t="n">
        <f aca="false">IF(AND(K314&gt;0,R314=0),1,0)</f>
        <v>0</v>
      </c>
    </row>
    <row r="315" customFormat="false" ht="15" hidden="false" customHeight="false" outlineLevel="0" collapsed="false">
      <c r="B315" s="71" t="str">
        <f aca="false">IF($F$6="Sí",N($C$11)+288,"")</f>
        <v/>
      </c>
      <c r="C315" s="72" t="str">
        <f aca="false">IF(OR($F$6&lt;&gt;"Sí",D315&lt;=0.5),"",EDATE($C$10,288))</f>
        <v/>
      </c>
      <c r="D315" s="41" t="n">
        <f aca="false">MAX(0,M314)</f>
        <v>0</v>
      </c>
      <c r="E315" s="41" t="n">
        <f aca="false">D315*$F$7</f>
        <v>0</v>
      </c>
      <c r="F315" s="41" t="n">
        <f aca="false">IF(D315&gt;0.5,N($C$15),0)</f>
        <v>0</v>
      </c>
      <c r="G315" s="41" t="n">
        <f aca="false">IF(AND(D315&gt;0.5,N($C$19)&gt;0,N(B315)&lt;=N($C$20)),D315*$F$8,0)</f>
        <v>0</v>
      </c>
      <c r="H315" s="41" t="n">
        <f aca="false">IF(D315&lt;=0.5,0,MIN(IF(N(I315)&gt;0,I315,$F$9),D315+E315+F315))</f>
        <v>0</v>
      </c>
      <c r="I315" s="77"/>
      <c r="J315" s="77"/>
      <c r="K315" s="41" t="n">
        <f aca="false">IF(D315&lt;=0.5,0,MIN(H315+N(J315),D315+E315+F315))</f>
        <v>0</v>
      </c>
      <c r="L315" s="41" t="n">
        <f aca="false">K315-E315-F315</f>
        <v>0</v>
      </c>
      <c r="M315" s="41" t="n">
        <f aca="false">D315-L315</f>
        <v>0</v>
      </c>
      <c r="N315" s="42" t="n">
        <f aca="false">K315-G315</f>
        <v>0</v>
      </c>
      <c r="O315" s="78"/>
      <c r="P315" s="79"/>
      <c r="Q315" s="16" t="str">
        <f aca="false">IF(K315=0,"",IF(R315=1,"Pagada",IF(C315&lt;$F$12,"Vencida",IF(289=$F$13,"Próxima","Pendiente"))))</f>
        <v/>
      </c>
      <c r="R315" s="62" t="n">
        <f aca="false">IF(AND(K315&gt;0,OR(O315="Sí",O315="Si")),1,0)</f>
        <v>0</v>
      </c>
      <c r="S315" s="62" t="n">
        <f aca="false">IF(AND(K315&gt;0,R315=0),1,0)</f>
        <v>0</v>
      </c>
    </row>
    <row r="316" customFormat="false" ht="15" hidden="false" customHeight="false" outlineLevel="0" collapsed="false">
      <c r="B316" s="71" t="str">
        <f aca="false">IF($F$6="Sí",N($C$11)+289,"")</f>
        <v/>
      </c>
      <c r="C316" s="72" t="str">
        <f aca="false">IF(OR($F$6&lt;&gt;"Sí",D316&lt;=0.5),"",EDATE($C$10,289))</f>
        <v/>
      </c>
      <c r="D316" s="41" t="n">
        <f aca="false">MAX(0,M315)</f>
        <v>0</v>
      </c>
      <c r="E316" s="41" t="n">
        <f aca="false">D316*$F$7</f>
        <v>0</v>
      </c>
      <c r="F316" s="41" t="n">
        <f aca="false">IF(D316&gt;0.5,N($C$15),0)</f>
        <v>0</v>
      </c>
      <c r="G316" s="41" t="n">
        <f aca="false">IF(AND(D316&gt;0.5,N($C$19)&gt;0,N(B316)&lt;=N($C$20)),D316*$F$8,0)</f>
        <v>0</v>
      </c>
      <c r="H316" s="41" t="n">
        <f aca="false">IF(D316&lt;=0.5,0,MIN(IF(N(I316)&gt;0,I316,$F$9),D316+E316+F316))</f>
        <v>0</v>
      </c>
      <c r="I316" s="77"/>
      <c r="J316" s="77"/>
      <c r="K316" s="41" t="n">
        <f aca="false">IF(D316&lt;=0.5,0,MIN(H316+N(J316),D316+E316+F316))</f>
        <v>0</v>
      </c>
      <c r="L316" s="41" t="n">
        <f aca="false">K316-E316-F316</f>
        <v>0</v>
      </c>
      <c r="M316" s="41" t="n">
        <f aca="false">D316-L316</f>
        <v>0</v>
      </c>
      <c r="N316" s="42" t="n">
        <f aca="false">K316-G316</f>
        <v>0</v>
      </c>
      <c r="O316" s="78"/>
      <c r="P316" s="79"/>
      <c r="Q316" s="16" t="str">
        <f aca="false">IF(K316=0,"",IF(R316=1,"Pagada",IF(C316&lt;$F$12,"Vencida",IF(290=$F$13,"Próxima","Pendiente"))))</f>
        <v/>
      </c>
      <c r="R316" s="62" t="n">
        <f aca="false">IF(AND(K316&gt;0,OR(O316="Sí",O316="Si")),1,0)</f>
        <v>0</v>
      </c>
      <c r="S316" s="62" t="n">
        <f aca="false">IF(AND(K316&gt;0,R316=0),1,0)</f>
        <v>0</v>
      </c>
    </row>
    <row r="317" customFormat="false" ht="15" hidden="false" customHeight="false" outlineLevel="0" collapsed="false">
      <c r="B317" s="71" t="str">
        <f aca="false">IF($F$6="Sí",N($C$11)+290,"")</f>
        <v/>
      </c>
      <c r="C317" s="72" t="str">
        <f aca="false">IF(OR($F$6&lt;&gt;"Sí",D317&lt;=0.5),"",EDATE($C$10,290))</f>
        <v/>
      </c>
      <c r="D317" s="41" t="n">
        <f aca="false">MAX(0,M316)</f>
        <v>0</v>
      </c>
      <c r="E317" s="41" t="n">
        <f aca="false">D317*$F$7</f>
        <v>0</v>
      </c>
      <c r="F317" s="41" t="n">
        <f aca="false">IF(D317&gt;0.5,N($C$15),0)</f>
        <v>0</v>
      </c>
      <c r="G317" s="41" t="n">
        <f aca="false">IF(AND(D317&gt;0.5,N($C$19)&gt;0,N(B317)&lt;=N($C$20)),D317*$F$8,0)</f>
        <v>0</v>
      </c>
      <c r="H317" s="41" t="n">
        <f aca="false">IF(D317&lt;=0.5,0,MIN(IF(N(I317)&gt;0,I317,$F$9),D317+E317+F317))</f>
        <v>0</v>
      </c>
      <c r="I317" s="77"/>
      <c r="J317" s="77"/>
      <c r="K317" s="41" t="n">
        <f aca="false">IF(D317&lt;=0.5,0,MIN(H317+N(J317),D317+E317+F317))</f>
        <v>0</v>
      </c>
      <c r="L317" s="41" t="n">
        <f aca="false">K317-E317-F317</f>
        <v>0</v>
      </c>
      <c r="M317" s="41" t="n">
        <f aca="false">D317-L317</f>
        <v>0</v>
      </c>
      <c r="N317" s="42" t="n">
        <f aca="false">K317-G317</f>
        <v>0</v>
      </c>
      <c r="O317" s="78"/>
      <c r="P317" s="79"/>
      <c r="Q317" s="16" t="str">
        <f aca="false">IF(K317=0,"",IF(R317=1,"Pagada",IF(C317&lt;$F$12,"Vencida",IF(291=$F$13,"Próxima","Pendiente"))))</f>
        <v/>
      </c>
      <c r="R317" s="62" t="n">
        <f aca="false">IF(AND(K317&gt;0,OR(O317="Sí",O317="Si")),1,0)</f>
        <v>0</v>
      </c>
      <c r="S317" s="62" t="n">
        <f aca="false">IF(AND(K317&gt;0,R317=0),1,0)</f>
        <v>0</v>
      </c>
    </row>
    <row r="318" customFormat="false" ht="15" hidden="false" customHeight="false" outlineLevel="0" collapsed="false">
      <c r="B318" s="71" t="str">
        <f aca="false">IF($F$6="Sí",N($C$11)+291,"")</f>
        <v/>
      </c>
      <c r="C318" s="72" t="str">
        <f aca="false">IF(OR($F$6&lt;&gt;"Sí",D318&lt;=0.5),"",EDATE($C$10,291))</f>
        <v/>
      </c>
      <c r="D318" s="41" t="n">
        <f aca="false">MAX(0,M317)</f>
        <v>0</v>
      </c>
      <c r="E318" s="41" t="n">
        <f aca="false">D318*$F$7</f>
        <v>0</v>
      </c>
      <c r="F318" s="41" t="n">
        <f aca="false">IF(D318&gt;0.5,N($C$15),0)</f>
        <v>0</v>
      </c>
      <c r="G318" s="41" t="n">
        <f aca="false">IF(AND(D318&gt;0.5,N($C$19)&gt;0,N(B318)&lt;=N($C$20)),D318*$F$8,0)</f>
        <v>0</v>
      </c>
      <c r="H318" s="41" t="n">
        <f aca="false">IF(D318&lt;=0.5,0,MIN(IF(N(I318)&gt;0,I318,$F$9),D318+E318+F318))</f>
        <v>0</v>
      </c>
      <c r="I318" s="77"/>
      <c r="J318" s="77"/>
      <c r="K318" s="41" t="n">
        <f aca="false">IF(D318&lt;=0.5,0,MIN(H318+N(J318),D318+E318+F318))</f>
        <v>0</v>
      </c>
      <c r="L318" s="41" t="n">
        <f aca="false">K318-E318-F318</f>
        <v>0</v>
      </c>
      <c r="M318" s="41" t="n">
        <f aca="false">D318-L318</f>
        <v>0</v>
      </c>
      <c r="N318" s="42" t="n">
        <f aca="false">K318-G318</f>
        <v>0</v>
      </c>
      <c r="O318" s="78"/>
      <c r="P318" s="79"/>
      <c r="Q318" s="16" t="str">
        <f aca="false">IF(K318=0,"",IF(R318=1,"Pagada",IF(C318&lt;$F$12,"Vencida",IF(292=$F$13,"Próxima","Pendiente"))))</f>
        <v/>
      </c>
      <c r="R318" s="62" t="n">
        <f aca="false">IF(AND(K318&gt;0,OR(O318="Sí",O318="Si")),1,0)</f>
        <v>0</v>
      </c>
      <c r="S318" s="62" t="n">
        <f aca="false">IF(AND(K318&gt;0,R318=0),1,0)</f>
        <v>0</v>
      </c>
    </row>
    <row r="319" customFormat="false" ht="15" hidden="false" customHeight="false" outlineLevel="0" collapsed="false">
      <c r="B319" s="71" t="str">
        <f aca="false">IF($F$6="Sí",N($C$11)+292,"")</f>
        <v/>
      </c>
      <c r="C319" s="72" t="str">
        <f aca="false">IF(OR($F$6&lt;&gt;"Sí",D319&lt;=0.5),"",EDATE($C$10,292))</f>
        <v/>
      </c>
      <c r="D319" s="41" t="n">
        <f aca="false">MAX(0,M318)</f>
        <v>0</v>
      </c>
      <c r="E319" s="41" t="n">
        <f aca="false">D319*$F$7</f>
        <v>0</v>
      </c>
      <c r="F319" s="41" t="n">
        <f aca="false">IF(D319&gt;0.5,N($C$15),0)</f>
        <v>0</v>
      </c>
      <c r="G319" s="41" t="n">
        <f aca="false">IF(AND(D319&gt;0.5,N($C$19)&gt;0,N(B319)&lt;=N($C$20)),D319*$F$8,0)</f>
        <v>0</v>
      </c>
      <c r="H319" s="41" t="n">
        <f aca="false">IF(D319&lt;=0.5,0,MIN(IF(N(I319)&gt;0,I319,$F$9),D319+E319+F319))</f>
        <v>0</v>
      </c>
      <c r="I319" s="77"/>
      <c r="J319" s="77"/>
      <c r="K319" s="41" t="n">
        <f aca="false">IF(D319&lt;=0.5,0,MIN(H319+N(J319),D319+E319+F319))</f>
        <v>0</v>
      </c>
      <c r="L319" s="41" t="n">
        <f aca="false">K319-E319-F319</f>
        <v>0</v>
      </c>
      <c r="M319" s="41" t="n">
        <f aca="false">D319-L319</f>
        <v>0</v>
      </c>
      <c r="N319" s="42" t="n">
        <f aca="false">K319-G319</f>
        <v>0</v>
      </c>
      <c r="O319" s="78"/>
      <c r="P319" s="79"/>
      <c r="Q319" s="16" t="str">
        <f aca="false">IF(K319=0,"",IF(R319=1,"Pagada",IF(C319&lt;$F$12,"Vencida",IF(293=$F$13,"Próxima","Pendiente"))))</f>
        <v/>
      </c>
      <c r="R319" s="62" t="n">
        <f aca="false">IF(AND(K319&gt;0,OR(O319="Sí",O319="Si")),1,0)</f>
        <v>0</v>
      </c>
      <c r="S319" s="62" t="n">
        <f aca="false">IF(AND(K319&gt;0,R319=0),1,0)</f>
        <v>0</v>
      </c>
    </row>
    <row r="320" customFormat="false" ht="15" hidden="false" customHeight="false" outlineLevel="0" collapsed="false">
      <c r="B320" s="71" t="str">
        <f aca="false">IF($F$6="Sí",N($C$11)+293,"")</f>
        <v/>
      </c>
      <c r="C320" s="72" t="str">
        <f aca="false">IF(OR($F$6&lt;&gt;"Sí",D320&lt;=0.5),"",EDATE($C$10,293))</f>
        <v/>
      </c>
      <c r="D320" s="41" t="n">
        <f aca="false">MAX(0,M319)</f>
        <v>0</v>
      </c>
      <c r="E320" s="41" t="n">
        <f aca="false">D320*$F$7</f>
        <v>0</v>
      </c>
      <c r="F320" s="41" t="n">
        <f aca="false">IF(D320&gt;0.5,N($C$15),0)</f>
        <v>0</v>
      </c>
      <c r="G320" s="41" t="n">
        <f aca="false">IF(AND(D320&gt;0.5,N($C$19)&gt;0,N(B320)&lt;=N($C$20)),D320*$F$8,0)</f>
        <v>0</v>
      </c>
      <c r="H320" s="41" t="n">
        <f aca="false">IF(D320&lt;=0.5,0,MIN(IF(N(I320)&gt;0,I320,$F$9),D320+E320+F320))</f>
        <v>0</v>
      </c>
      <c r="I320" s="77"/>
      <c r="J320" s="77"/>
      <c r="K320" s="41" t="n">
        <f aca="false">IF(D320&lt;=0.5,0,MIN(H320+N(J320),D320+E320+F320))</f>
        <v>0</v>
      </c>
      <c r="L320" s="41" t="n">
        <f aca="false">K320-E320-F320</f>
        <v>0</v>
      </c>
      <c r="M320" s="41" t="n">
        <f aca="false">D320-L320</f>
        <v>0</v>
      </c>
      <c r="N320" s="42" t="n">
        <f aca="false">K320-G320</f>
        <v>0</v>
      </c>
      <c r="O320" s="78"/>
      <c r="P320" s="79"/>
      <c r="Q320" s="16" t="str">
        <f aca="false">IF(K320=0,"",IF(R320=1,"Pagada",IF(C320&lt;$F$12,"Vencida",IF(294=$F$13,"Próxima","Pendiente"))))</f>
        <v/>
      </c>
      <c r="R320" s="62" t="n">
        <f aca="false">IF(AND(K320&gt;0,OR(O320="Sí",O320="Si")),1,0)</f>
        <v>0</v>
      </c>
      <c r="S320" s="62" t="n">
        <f aca="false">IF(AND(K320&gt;0,R320=0),1,0)</f>
        <v>0</v>
      </c>
    </row>
    <row r="321" customFormat="false" ht="15" hidden="false" customHeight="false" outlineLevel="0" collapsed="false">
      <c r="B321" s="71" t="str">
        <f aca="false">IF($F$6="Sí",N($C$11)+294,"")</f>
        <v/>
      </c>
      <c r="C321" s="72" t="str">
        <f aca="false">IF(OR($F$6&lt;&gt;"Sí",D321&lt;=0.5),"",EDATE($C$10,294))</f>
        <v/>
      </c>
      <c r="D321" s="41" t="n">
        <f aca="false">MAX(0,M320)</f>
        <v>0</v>
      </c>
      <c r="E321" s="41" t="n">
        <f aca="false">D321*$F$7</f>
        <v>0</v>
      </c>
      <c r="F321" s="41" t="n">
        <f aca="false">IF(D321&gt;0.5,N($C$15),0)</f>
        <v>0</v>
      </c>
      <c r="G321" s="41" t="n">
        <f aca="false">IF(AND(D321&gt;0.5,N($C$19)&gt;0,N(B321)&lt;=N($C$20)),D321*$F$8,0)</f>
        <v>0</v>
      </c>
      <c r="H321" s="41" t="n">
        <f aca="false">IF(D321&lt;=0.5,0,MIN(IF(N(I321)&gt;0,I321,$F$9),D321+E321+F321))</f>
        <v>0</v>
      </c>
      <c r="I321" s="77"/>
      <c r="J321" s="77"/>
      <c r="K321" s="41" t="n">
        <f aca="false">IF(D321&lt;=0.5,0,MIN(H321+N(J321),D321+E321+F321))</f>
        <v>0</v>
      </c>
      <c r="L321" s="41" t="n">
        <f aca="false">K321-E321-F321</f>
        <v>0</v>
      </c>
      <c r="M321" s="41" t="n">
        <f aca="false">D321-L321</f>
        <v>0</v>
      </c>
      <c r="N321" s="42" t="n">
        <f aca="false">K321-G321</f>
        <v>0</v>
      </c>
      <c r="O321" s="78"/>
      <c r="P321" s="79"/>
      <c r="Q321" s="16" t="str">
        <f aca="false">IF(K321=0,"",IF(R321=1,"Pagada",IF(C321&lt;$F$12,"Vencida",IF(295=$F$13,"Próxima","Pendiente"))))</f>
        <v/>
      </c>
      <c r="R321" s="62" t="n">
        <f aca="false">IF(AND(K321&gt;0,OR(O321="Sí",O321="Si")),1,0)</f>
        <v>0</v>
      </c>
      <c r="S321" s="62" t="n">
        <f aca="false">IF(AND(K321&gt;0,R321=0),1,0)</f>
        <v>0</v>
      </c>
    </row>
    <row r="322" customFormat="false" ht="15" hidden="false" customHeight="false" outlineLevel="0" collapsed="false">
      <c r="B322" s="71" t="str">
        <f aca="false">IF($F$6="Sí",N($C$11)+295,"")</f>
        <v/>
      </c>
      <c r="C322" s="72" t="str">
        <f aca="false">IF(OR($F$6&lt;&gt;"Sí",D322&lt;=0.5),"",EDATE($C$10,295))</f>
        <v/>
      </c>
      <c r="D322" s="41" t="n">
        <f aca="false">MAX(0,M321)</f>
        <v>0</v>
      </c>
      <c r="E322" s="41" t="n">
        <f aca="false">D322*$F$7</f>
        <v>0</v>
      </c>
      <c r="F322" s="41" t="n">
        <f aca="false">IF(D322&gt;0.5,N($C$15),0)</f>
        <v>0</v>
      </c>
      <c r="G322" s="41" t="n">
        <f aca="false">IF(AND(D322&gt;0.5,N($C$19)&gt;0,N(B322)&lt;=N($C$20)),D322*$F$8,0)</f>
        <v>0</v>
      </c>
      <c r="H322" s="41" t="n">
        <f aca="false">IF(D322&lt;=0.5,0,MIN(IF(N(I322)&gt;0,I322,$F$9),D322+E322+F322))</f>
        <v>0</v>
      </c>
      <c r="I322" s="77"/>
      <c r="J322" s="77"/>
      <c r="K322" s="41" t="n">
        <f aca="false">IF(D322&lt;=0.5,0,MIN(H322+N(J322),D322+E322+F322))</f>
        <v>0</v>
      </c>
      <c r="L322" s="41" t="n">
        <f aca="false">K322-E322-F322</f>
        <v>0</v>
      </c>
      <c r="M322" s="41" t="n">
        <f aca="false">D322-L322</f>
        <v>0</v>
      </c>
      <c r="N322" s="42" t="n">
        <f aca="false">K322-G322</f>
        <v>0</v>
      </c>
      <c r="O322" s="78"/>
      <c r="P322" s="79"/>
      <c r="Q322" s="16" t="str">
        <f aca="false">IF(K322=0,"",IF(R322=1,"Pagada",IF(C322&lt;$F$12,"Vencida",IF(296=$F$13,"Próxima","Pendiente"))))</f>
        <v/>
      </c>
      <c r="R322" s="62" t="n">
        <f aca="false">IF(AND(K322&gt;0,OR(O322="Sí",O322="Si")),1,0)</f>
        <v>0</v>
      </c>
      <c r="S322" s="62" t="n">
        <f aca="false">IF(AND(K322&gt;0,R322=0),1,0)</f>
        <v>0</v>
      </c>
    </row>
    <row r="323" customFormat="false" ht="15" hidden="false" customHeight="false" outlineLevel="0" collapsed="false">
      <c r="B323" s="71" t="str">
        <f aca="false">IF($F$6="Sí",N($C$11)+296,"")</f>
        <v/>
      </c>
      <c r="C323" s="72" t="str">
        <f aca="false">IF(OR($F$6&lt;&gt;"Sí",D323&lt;=0.5),"",EDATE($C$10,296))</f>
        <v/>
      </c>
      <c r="D323" s="41" t="n">
        <f aca="false">MAX(0,M322)</f>
        <v>0</v>
      </c>
      <c r="E323" s="41" t="n">
        <f aca="false">D323*$F$7</f>
        <v>0</v>
      </c>
      <c r="F323" s="41" t="n">
        <f aca="false">IF(D323&gt;0.5,N($C$15),0)</f>
        <v>0</v>
      </c>
      <c r="G323" s="41" t="n">
        <f aca="false">IF(AND(D323&gt;0.5,N($C$19)&gt;0,N(B323)&lt;=N($C$20)),D323*$F$8,0)</f>
        <v>0</v>
      </c>
      <c r="H323" s="41" t="n">
        <f aca="false">IF(D323&lt;=0.5,0,MIN(IF(N(I323)&gt;0,I323,$F$9),D323+E323+F323))</f>
        <v>0</v>
      </c>
      <c r="I323" s="77"/>
      <c r="J323" s="77"/>
      <c r="K323" s="41" t="n">
        <f aca="false">IF(D323&lt;=0.5,0,MIN(H323+N(J323),D323+E323+F323))</f>
        <v>0</v>
      </c>
      <c r="L323" s="41" t="n">
        <f aca="false">K323-E323-F323</f>
        <v>0</v>
      </c>
      <c r="M323" s="41" t="n">
        <f aca="false">D323-L323</f>
        <v>0</v>
      </c>
      <c r="N323" s="42" t="n">
        <f aca="false">K323-G323</f>
        <v>0</v>
      </c>
      <c r="O323" s="78"/>
      <c r="P323" s="79"/>
      <c r="Q323" s="16" t="str">
        <f aca="false">IF(K323=0,"",IF(R323=1,"Pagada",IF(C323&lt;$F$12,"Vencida",IF(297=$F$13,"Próxima","Pendiente"))))</f>
        <v/>
      </c>
      <c r="R323" s="62" t="n">
        <f aca="false">IF(AND(K323&gt;0,OR(O323="Sí",O323="Si")),1,0)</f>
        <v>0</v>
      </c>
      <c r="S323" s="62" t="n">
        <f aca="false">IF(AND(K323&gt;0,R323=0),1,0)</f>
        <v>0</v>
      </c>
    </row>
    <row r="324" customFormat="false" ht="15" hidden="false" customHeight="false" outlineLevel="0" collapsed="false">
      <c r="B324" s="71" t="str">
        <f aca="false">IF($F$6="Sí",N($C$11)+297,"")</f>
        <v/>
      </c>
      <c r="C324" s="72" t="str">
        <f aca="false">IF(OR($F$6&lt;&gt;"Sí",D324&lt;=0.5),"",EDATE($C$10,297))</f>
        <v/>
      </c>
      <c r="D324" s="41" t="n">
        <f aca="false">MAX(0,M323)</f>
        <v>0</v>
      </c>
      <c r="E324" s="41" t="n">
        <f aca="false">D324*$F$7</f>
        <v>0</v>
      </c>
      <c r="F324" s="41" t="n">
        <f aca="false">IF(D324&gt;0.5,N($C$15),0)</f>
        <v>0</v>
      </c>
      <c r="G324" s="41" t="n">
        <f aca="false">IF(AND(D324&gt;0.5,N($C$19)&gt;0,N(B324)&lt;=N($C$20)),D324*$F$8,0)</f>
        <v>0</v>
      </c>
      <c r="H324" s="41" t="n">
        <f aca="false">IF(D324&lt;=0.5,0,MIN(IF(N(I324)&gt;0,I324,$F$9),D324+E324+F324))</f>
        <v>0</v>
      </c>
      <c r="I324" s="77"/>
      <c r="J324" s="77"/>
      <c r="K324" s="41" t="n">
        <f aca="false">IF(D324&lt;=0.5,0,MIN(H324+N(J324),D324+E324+F324))</f>
        <v>0</v>
      </c>
      <c r="L324" s="41" t="n">
        <f aca="false">K324-E324-F324</f>
        <v>0</v>
      </c>
      <c r="M324" s="41" t="n">
        <f aca="false">D324-L324</f>
        <v>0</v>
      </c>
      <c r="N324" s="42" t="n">
        <f aca="false">K324-G324</f>
        <v>0</v>
      </c>
      <c r="O324" s="78"/>
      <c r="P324" s="79"/>
      <c r="Q324" s="16" t="str">
        <f aca="false">IF(K324=0,"",IF(R324=1,"Pagada",IF(C324&lt;$F$12,"Vencida",IF(298=$F$13,"Próxima","Pendiente"))))</f>
        <v/>
      </c>
      <c r="R324" s="62" t="n">
        <f aca="false">IF(AND(K324&gt;0,OR(O324="Sí",O324="Si")),1,0)</f>
        <v>0</v>
      </c>
      <c r="S324" s="62" t="n">
        <f aca="false">IF(AND(K324&gt;0,R324=0),1,0)</f>
        <v>0</v>
      </c>
    </row>
    <row r="325" customFormat="false" ht="15" hidden="false" customHeight="false" outlineLevel="0" collapsed="false">
      <c r="B325" s="71" t="str">
        <f aca="false">IF($F$6="Sí",N($C$11)+298,"")</f>
        <v/>
      </c>
      <c r="C325" s="72" t="str">
        <f aca="false">IF(OR($F$6&lt;&gt;"Sí",D325&lt;=0.5),"",EDATE($C$10,298))</f>
        <v/>
      </c>
      <c r="D325" s="41" t="n">
        <f aca="false">MAX(0,M324)</f>
        <v>0</v>
      </c>
      <c r="E325" s="41" t="n">
        <f aca="false">D325*$F$7</f>
        <v>0</v>
      </c>
      <c r="F325" s="41" t="n">
        <f aca="false">IF(D325&gt;0.5,N($C$15),0)</f>
        <v>0</v>
      </c>
      <c r="G325" s="41" t="n">
        <f aca="false">IF(AND(D325&gt;0.5,N($C$19)&gt;0,N(B325)&lt;=N($C$20)),D325*$F$8,0)</f>
        <v>0</v>
      </c>
      <c r="H325" s="41" t="n">
        <f aca="false">IF(D325&lt;=0.5,0,MIN(IF(N(I325)&gt;0,I325,$F$9),D325+E325+F325))</f>
        <v>0</v>
      </c>
      <c r="I325" s="77"/>
      <c r="J325" s="77"/>
      <c r="K325" s="41" t="n">
        <f aca="false">IF(D325&lt;=0.5,0,MIN(H325+N(J325),D325+E325+F325))</f>
        <v>0</v>
      </c>
      <c r="L325" s="41" t="n">
        <f aca="false">K325-E325-F325</f>
        <v>0</v>
      </c>
      <c r="M325" s="41" t="n">
        <f aca="false">D325-L325</f>
        <v>0</v>
      </c>
      <c r="N325" s="42" t="n">
        <f aca="false">K325-G325</f>
        <v>0</v>
      </c>
      <c r="O325" s="78"/>
      <c r="P325" s="79"/>
      <c r="Q325" s="16" t="str">
        <f aca="false">IF(K325=0,"",IF(R325=1,"Pagada",IF(C325&lt;$F$12,"Vencida",IF(299=$F$13,"Próxima","Pendiente"))))</f>
        <v/>
      </c>
      <c r="R325" s="62" t="n">
        <f aca="false">IF(AND(K325&gt;0,OR(O325="Sí",O325="Si")),1,0)</f>
        <v>0</v>
      </c>
      <c r="S325" s="62" t="n">
        <f aca="false">IF(AND(K325&gt;0,R325=0),1,0)</f>
        <v>0</v>
      </c>
    </row>
    <row r="326" customFormat="false" ht="15" hidden="false" customHeight="false" outlineLevel="0" collapsed="false">
      <c r="B326" s="71" t="str">
        <f aca="false">IF($F$6="Sí",N($C$11)+299,"")</f>
        <v/>
      </c>
      <c r="C326" s="72" t="str">
        <f aca="false">IF(OR($F$6&lt;&gt;"Sí",D326&lt;=0.5),"",EDATE($C$10,299))</f>
        <v/>
      </c>
      <c r="D326" s="41" t="n">
        <f aca="false">MAX(0,M325)</f>
        <v>0</v>
      </c>
      <c r="E326" s="41" t="n">
        <f aca="false">D326*$F$7</f>
        <v>0</v>
      </c>
      <c r="F326" s="41" t="n">
        <f aca="false">IF(D326&gt;0.5,N($C$15),0)</f>
        <v>0</v>
      </c>
      <c r="G326" s="41" t="n">
        <f aca="false">IF(AND(D326&gt;0.5,N($C$19)&gt;0,N(B326)&lt;=N($C$20)),D326*$F$8,0)</f>
        <v>0</v>
      </c>
      <c r="H326" s="41" t="n">
        <f aca="false">IF(D326&lt;=0.5,0,MIN(IF(N(I326)&gt;0,I326,$F$9),D326+E326+F326))</f>
        <v>0</v>
      </c>
      <c r="I326" s="77"/>
      <c r="J326" s="77"/>
      <c r="K326" s="41" t="n">
        <f aca="false">IF(D326&lt;=0.5,0,MIN(H326+N(J326),D326+E326+F326))</f>
        <v>0</v>
      </c>
      <c r="L326" s="41" t="n">
        <f aca="false">K326-E326-F326</f>
        <v>0</v>
      </c>
      <c r="M326" s="41" t="n">
        <f aca="false">D326-L326</f>
        <v>0</v>
      </c>
      <c r="N326" s="42" t="n">
        <f aca="false">K326-G326</f>
        <v>0</v>
      </c>
      <c r="O326" s="78"/>
      <c r="P326" s="79"/>
      <c r="Q326" s="16" t="str">
        <f aca="false">IF(K326=0,"",IF(R326=1,"Pagada",IF(C326&lt;$F$12,"Vencida",IF(300=$F$13,"Próxima","Pendiente"))))</f>
        <v/>
      </c>
      <c r="R326" s="62" t="n">
        <f aca="false">IF(AND(K326&gt;0,OR(O326="Sí",O326="Si")),1,0)</f>
        <v>0</v>
      </c>
      <c r="S326" s="62" t="n">
        <f aca="false">IF(AND(K326&gt;0,R326=0),1,0)</f>
        <v>0</v>
      </c>
    </row>
    <row r="327" customFormat="false" ht="15" hidden="false" customHeight="false" outlineLevel="0" collapsed="false">
      <c r="B327" s="71" t="str">
        <f aca="false">IF($F$6="Sí",N($C$11)+300,"")</f>
        <v/>
      </c>
      <c r="C327" s="72" t="str">
        <f aca="false">IF(OR($F$6&lt;&gt;"Sí",D327&lt;=0.5),"",EDATE($C$10,300))</f>
        <v/>
      </c>
      <c r="D327" s="41" t="n">
        <f aca="false">MAX(0,M326)</f>
        <v>0</v>
      </c>
      <c r="E327" s="41" t="n">
        <f aca="false">D327*$F$7</f>
        <v>0</v>
      </c>
      <c r="F327" s="41" t="n">
        <f aca="false">IF(D327&gt;0.5,N($C$15),0)</f>
        <v>0</v>
      </c>
      <c r="G327" s="41" t="n">
        <f aca="false">IF(AND(D327&gt;0.5,N($C$19)&gt;0,N(B327)&lt;=N($C$20)),D327*$F$8,0)</f>
        <v>0</v>
      </c>
      <c r="H327" s="41" t="n">
        <f aca="false">IF(D327&lt;=0.5,0,MIN(IF(N(I327)&gt;0,I327,$F$9),D327+E327+F327))</f>
        <v>0</v>
      </c>
      <c r="I327" s="77"/>
      <c r="J327" s="77"/>
      <c r="K327" s="41" t="n">
        <f aca="false">IF(D327&lt;=0.5,0,MIN(H327+N(J327),D327+E327+F327))</f>
        <v>0</v>
      </c>
      <c r="L327" s="41" t="n">
        <f aca="false">K327-E327-F327</f>
        <v>0</v>
      </c>
      <c r="M327" s="41" t="n">
        <f aca="false">D327-L327</f>
        <v>0</v>
      </c>
      <c r="N327" s="42" t="n">
        <f aca="false">K327-G327</f>
        <v>0</v>
      </c>
      <c r="O327" s="78"/>
      <c r="P327" s="79"/>
      <c r="Q327" s="16" t="str">
        <f aca="false">IF(K327=0,"",IF(R327=1,"Pagada",IF(C327&lt;$F$12,"Vencida",IF(301=$F$13,"Próxima","Pendiente"))))</f>
        <v/>
      </c>
      <c r="R327" s="62" t="n">
        <f aca="false">IF(AND(K327&gt;0,OR(O327="Sí",O327="Si")),1,0)</f>
        <v>0</v>
      </c>
      <c r="S327" s="62" t="n">
        <f aca="false">IF(AND(K327&gt;0,R327=0),1,0)</f>
        <v>0</v>
      </c>
    </row>
    <row r="328" customFormat="false" ht="15" hidden="false" customHeight="false" outlineLevel="0" collapsed="false">
      <c r="B328" s="71" t="str">
        <f aca="false">IF($F$6="Sí",N($C$11)+301,"")</f>
        <v/>
      </c>
      <c r="C328" s="72" t="str">
        <f aca="false">IF(OR($F$6&lt;&gt;"Sí",D328&lt;=0.5),"",EDATE($C$10,301))</f>
        <v/>
      </c>
      <c r="D328" s="41" t="n">
        <f aca="false">MAX(0,M327)</f>
        <v>0</v>
      </c>
      <c r="E328" s="41" t="n">
        <f aca="false">D328*$F$7</f>
        <v>0</v>
      </c>
      <c r="F328" s="41" t="n">
        <f aca="false">IF(D328&gt;0.5,N($C$15),0)</f>
        <v>0</v>
      </c>
      <c r="G328" s="41" t="n">
        <f aca="false">IF(AND(D328&gt;0.5,N($C$19)&gt;0,N(B328)&lt;=N($C$20)),D328*$F$8,0)</f>
        <v>0</v>
      </c>
      <c r="H328" s="41" t="n">
        <f aca="false">IF(D328&lt;=0.5,0,MIN(IF(N(I328)&gt;0,I328,$F$9),D328+E328+F328))</f>
        <v>0</v>
      </c>
      <c r="I328" s="77"/>
      <c r="J328" s="77"/>
      <c r="K328" s="41" t="n">
        <f aca="false">IF(D328&lt;=0.5,0,MIN(H328+N(J328),D328+E328+F328))</f>
        <v>0</v>
      </c>
      <c r="L328" s="41" t="n">
        <f aca="false">K328-E328-F328</f>
        <v>0</v>
      </c>
      <c r="M328" s="41" t="n">
        <f aca="false">D328-L328</f>
        <v>0</v>
      </c>
      <c r="N328" s="42" t="n">
        <f aca="false">K328-G328</f>
        <v>0</v>
      </c>
      <c r="O328" s="78"/>
      <c r="P328" s="79"/>
      <c r="Q328" s="16" t="str">
        <f aca="false">IF(K328=0,"",IF(R328=1,"Pagada",IF(C328&lt;$F$12,"Vencida",IF(302=$F$13,"Próxima","Pendiente"))))</f>
        <v/>
      </c>
      <c r="R328" s="62" t="n">
        <f aca="false">IF(AND(K328&gt;0,OR(O328="Sí",O328="Si")),1,0)</f>
        <v>0</v>
      </c>
      <c r="S328" s="62" t="n">
        <f aca="false">IF(AND(K328&gt;0,R328=0),1,0)</f>
        <v>0</v>
      </c>
    </row>
    <row r="329" customFormat="false" ht="15" hidden="false" customHeight="false" outlineLevel="0" collapsed="false">
      <c r="B329" s="71" t="str">
        <f aca="false">IF($F$6="Sí",N($C$11)+302,"")</f>
        <v/>
      </c>
      <c r="C329" s="72" t="str">
        <f aca="false">IF(OR($F$6&lt;&gt;"Sí",D329&lt;=0.5),"",EDATE($C$10,302))</f>
        <v/>
      </c>
      <c r="D329" s="41" t="n">
        <f aca="false">MAX(0,M328)</f>
        <v>0</v>
      </c>
      <c r="E329" s="41" t="n">
        <f aca="false">D329*$F$7</f>
        <v>0</v>
      </c>
      <c r="F329" s="41" t="n">
        <f aca="false">IF(D329&gt;0.5,N($C$15),0)</f>
        <v>0</v>
      </c>
      <c r="G329" s="41" t="n">
        <f aca="false">IF(AND(D329&gt;0.5,N($C$19)&gt;0,N(B329)&lt;=N($C$20)),D329*$F$8,0)</f>
        <v>0</v>
      </c>
      <c r="H329" s="41" t="n">
        <f aca="false">IF(D329&lt;=0.5,0,MIN(IF(N(I329)&gt;0,I329,$F$9),D329+E329+F329))</f>
        <v>0</v>
      </c>
      <c r="I329" s="77"/>
      <c r="J329" s="77"/>
      <c r="K329" s="41" t="n">
        <f aca="false">IF(D329&lt;=0.5,0,MIN(H329+N(J329),D329+E329+F329))</f>
        <v>0</v>
      </c>
      <c r="L329" s="41" t="n">
        <f aca="false">K329-E329-F329</f>
        <v>0</v>
      </c>
      <c r="M329" s="41" t="n">
        <f aca="false">D329-L329</f>
        <v>0</v>
      </c>
      <c r="N329" s="42" t="n">
        <f aca="false">K329-G329</f>
        <v>0</v>
      </c>
      <c r="O329" s="78"/>
      <c r="P329" s="79"/>
      <c r="Q329" s="16" t="str">
        <f aca="false">IF(K329=0,"",IF(R329=1,"Pagada",IF(C329&lt;$F$12,"Vencida",IF(303=$F$13,"Próxima","Pendiente"))))</f>
        <v/>
      </c>
      <c r="R329" s="62" t="n">
        <f aca="false">IF(AND(K329&gt;0,OR(O329="Sí",O329="Si")),1,0)</f>
        <v>0</v>
      </c>
      <c r="S329" s="62" t="n">
        <f aca="false">IF(AND(K329&gt;0,R329=0),1,0)</f>
        <v>0</v>
      </c>
    </row>
    <row r="330" customFormat="false" ht="15" hidden="false" customHeight="false" outlineLevel="0" collapsed="false">
      <c r="B330" s="71" t="str">
        <f aca="false">IF($F$6="Sí",N($C$11)+303,"")</f>
        <v/>
      </c>
      <c r="C330" s="72" t="str">
        <f aca="false">IF(OR($F$6&lt;&gt;"Sí",D330&lt;=0.5),"",EDATE($C$10,303))</f>
        <v/>
      </c>
      <c r="D330" s="41" t="n">
        <f aca="false">MAX(0,M329)</f>
        <v>0</v>
      </c>
      <c r="E330" s="41" t="n">
        <f aca="false">D330*$F$7</f>
        <v>0</v>
      </c>
      <c r="F330" s="41" t="n">
        <f aca="false">IF(D330&gt;0.5,N($C$15),0)</f>
        <v>0</v>
      </c>
      <c r="G330" s="41" t="n">
        <f aca="false">IF(AND(D330&gt;0.5,N($C$19)&gt;0,N(B330)&lt;=N($C$20)),D330*$F$8,0)</f>
        <v>0</v>
      </c>
      <c r="H330" s="41" t="n">
        <f aca="false">IF(D330&lt;=0.5,0,MIN(IF(N(I330)&gt;0,I330,$F$9),D330+E330+F330))</f>
        <v>0</v>
      </c>
      <c r="I330" s="77"/>
      <c r="J330" s="77"/>
      <c r="K330" s="41" t="n">
        <f aca="false">IF(D330&lt;=0.5,0,MIN(H330+N(J330),D330+E330+F330))</f>
        <v>0</v>
      </c>
      <c r="L330" s="41" t="n">
        <f aca="false">K330-E330-F330</f>
        <v>0</v>
      </c>
      <c r="M330" s="41" t="n">
        <f aca="false">D330-L330</f>
        <v>0</v>
      </c>
      <c r="N330" s="42" t="n">
        <f aca="false">K330-G330</f>
        <v>0</v>
      </c>
      <c r="O330" s="78"/>
      <c r="P330" s="79"/>
      <c r="Q330" s="16" t="str">
        <f aca="false">IF(K330=0,"",IF(R330=1,"Pagada",IF(C330&lt;$F$12,"Vencida",IF(304=$F$13,"Próxima","Pendiente"))))</f>
        <v/>
      </c>
      <c r="R330" s="62" t="n">
        <f aca="false">IF(AND(K330&gt;0,OR(O330="Sí",O330="Si")),1,0)</f>
        <v>0</v>
      </c>
      <c r="S330" s="62" t="n">
        <f aca="false">IF(AND(K330&gt;0,R330=0),1,0)</f>
        <v>0</v>
      </c>
    </row>
    <row r="331" customFormat="false" ht="15" hidden="false" customHeight="false" outlineLevel="0" collapsed="false">
      <c r="B331" s="71" t="str">
        <f aca="false">IF($F$6="Sí",N($C$11)+304,"")</f>
        <v/>
      </c>
      <c r="C331" s="72" t="str">
        <f aca="false">IF(OR($F$6&lt;&gt;"Sí",D331&lt;=0.5),"",EDATE($C$10,304))</f>
        <v/>
      </c>
      <c r="D331" s="41" t="n">
        <f aca="false">MAX(0,M330)</f>
        <v>0</v>
      </c>
      <c r="E331" s="41" t="n">
        <f aca="false">D331*$F$7</f>
        <v>0</v>
      </c>
      <c r="F331" s="41" t="n">
        <f aca="false">IF(D331&gt;0.5,N($C$15),0)</f>
        <v>0</v>
      </c>
      <c r="G331" s="41" t="n">
        <f aca="false">IF(AND(D331&gt;0.5,N($C$19)&gt;0,N(B331)&lt;=N($C$20)),D331*$F$8,0)</f>
        <v>0</v>
      </c>
      <c r="H331" s="41" t="n">
        <f aca="false">IF(D331&lt;=0.5,0,MIN(IF(N(I331)&gt;0,I331,$F$9),D331+E331+F331))</f>
        <v>0</v>
      </c>
      <c r="I331" s="77"/>
      <c r="J331" s="77"/>
      <c r="K331" s="41" t="n">
        <f aca="false">IF(D331&lt;=0.5,0,MIN(H331+N(J331),D331+E331+F331))</f>
        <v>0</v>
      </c>
      <c r="L331" s="41" t="n">
        <f aca="false">K331-E331-F331</f>
        <v>0</v>
      </c>
      <c r="M331" s="41" t="n">
        <f aca="false">D331-L331</f>
        <v>0</v>
      </c>
      <c r="N331" s="42" t="n">
        <f aca="false">K331-G331</f>
        <v>0</v>
      </c>
      <c r="O331" s="78"/>
      <c r="P331" s="79"/>
      <c r="Q331" s="16" t="str">
        <f aca="false">IF(K331=0,"",IF(R331=1,"Pagada",IF(C331&lt;$F$12,"Vencida",IF(305=$F$13,"Próxima","Pendiente"))))</f>
        <v/>
      </c>
      <c r="R331" s="62" t="n">
        <f aca="false">IF(AND(K331&gt;0,OR(O331="Sí",O331="Si")),1,0)</f>
        <v>0</v>
      </c>
      <c r="S331" s="62" t="n">
        <f aca="false">IF(AND(K331&gt;0,R331=0),1,0)</f>
        <v>0</v>
      </c>
    </row>
    <row r="332" customFormat="false" ht="15" hidden="false" customHeight="false" outlineLevel="0" collapsed="false">
      <c r="B332" s="71" t="str">
        <f aca="false">IF($F$6="Sí",N($C$11)+305,"")</f>
        <v/>
      </c>
      <c r="C332" s="72" t="str">
        <f aca="false">IF(OR($F$6&lt;&gt;"Sí",D332&lt;=0.5),"",EDATE($C$10,305))</f>
        <v/>
      </c>
      <c r="D332" s="41" t="n">
        <f aca="false">MAX(0,M331)</f>
        <v>0</v>
      </c>
      <c r="E332" s="41" t="n">
        <f aca="false">D332*$F$7</f>
        <v>0</v>
      </c>
      <c r="F332" s="41" t="n">
        <f aca="false">IF(D332&gt;0.5,N($C$15),0)</f>
        <v>0</v>
      </c>
      <c r="G332" s="41" t="n">
        <f aca="false">IF(AND(D332&gt;0.5,N($C$19)&gt;0,N(B332)&lt;=N($C$20)),D332*$F$8,0)</f>
        <v>0</v>
      </c>
      <c r="H332" s="41" t="n">
        <f aca="false">IF(D332&lt;=0.5,0,MIN(IF(N(I332)&gt;0,I332,$F$9),D332+E332+F332))</f>
        <v>0</v>
      </c>
      <c r="I332" s="77"/>
      <c r="J332" s="77"/>
      <c r="K332" s="41" t="n">
        <f aca="false">IF(D332&lt;=0.5,0,MIN(H332+N(J332),D332+E332+F332))</f>
        <v>0</v>
      </c>
      <c r="L332" s="41" t="n">
        <f aca="false">K332-E332-F332</f>
        <v>0</v>
      </c>
      <c r="M332" s="41" t="n">
        <f aca="false">D332-L332</f>
        <v>0</v>
      </c>
      <c r="N332" s="42" t="n">
        <f aca="false">K332-G332</f>
        <v>0</v>
      </c>
      <c r="O332" s="78"/>
      <c r="P332" s="79"/>
      <c r="Q332" s="16" t="str">
        <f aca="false">IF(K332=0,"",IF(R332=1,"Pagada",IF(C332&lt;$F$12,"Vencida",IF(306=$F$13,"Próxima","Pendiente"))))</f>
        <v/>
      </c>
      <c r="R332" s="62" t="n">
        <f aca="false">IF(AND(K332&gt;0,OR(O332="Sí",O332="Si")),1,0)</f>
        <v>0</v>
      </c>
      <c r="S332" s="62" t="n">
        <f aca="false">IF(AND(K332&gt;0,R332=0),1,0)</f>
        <v>0</v>
      </c>
    </row>
    <row r="333" customFormat="false" ht="15" hidden="false" customHeight="false" outlineLevel="0" collapsed="false">
      <c r="B333" s="71" t="str">
        <f aca="false">IF($F$6="Sí",N($C$11)+306,"")</f>
        <v/>
      </c>
      <c r="C333" s="72" t="str">
        <f aca="false">IF(OR($F$6&lt;&gt;"Sí",D333&lt;=0.5),"",EDATE($C$10,306))</f>
        <v/>
      </c>
      <c r="D333" s="41" t="n">
        <f aca="false">MAX(0,M332)</f>
        <v>0</v>
      </c>
      <c r="E333" s="41" t="n">
        <f aca="false">D333*$F$7</f>
        <v>0</v>
      </c>
      <c r="F333" s="41" t="n">
        <f aca="false">IF(D333&gt;0.5,N($C$15),0)</f>
        <v>0</v>
      </c>
      <c r="G333" s="41" t="n">
        <f aca="false">IF(AND(D333&gt;0.5,N($C$19)&gt;0,N(B333)&lt;=N($C$20)),D333*$F$8,0)</f>
        <v>0</v>
      </c>
      <c r="H333" s="41" t="n">
        <f aca="false">IF(D333&lt;=0.5,0,MIN(IF(N(I333)&gt;0,I333,$F$9),D333+E333+F333))</f>
        <v>0</v>
      </c>
      <c r="I333" s="77"/>
      <c r="J333" s="77"/>
      <c r="K333" s="41" t="n">
        <f aca="false">IF(D333&lt;=0.5,0,MIN(H333+N(J333),D333+E333+F333))</f>
        <v>0</v>
      </c>
      <c r="L333" s="41" t="n">
        <f aca="false">K333-E333-F333</f>
        <v>0</v>
      </c>
      <c r="M333" s="41" t="n">
        <f aca="false">D333-L333</f>
        <v>0</v>
      </c>
      <c r="N333" s="42" t="n">
        <f aca="false">K333-G333</f>
        <v>0</v>
      </c>
      <c r="O333" s="78"/>
      <c r="P333" s="79"/>
      <c r="Q333" s="16" t="str">
        <f aca="false">IF(K333=0,"",IF(R333=1,"Pagada",IF(C333&lt;$F$12,"Vencida",IF(307=$F$13,"Próxima","Pendiente"))))</f>
        <v/>
      </c>
      <c r="R333" s="62" t="n">
        <f aca="false">IF(AND(K333&gt;0,OR(O333="Sí",O333="Si")),1,0)</f>
        <v>0</v>
      </c>
      <c r="S333" s="62" t="n">
        <f aca="false">IF(AND(K333&gt;0,R333=0),1,0)</f>
        <v>0</v>
      </c>
    </row>
    <row r="334" customFormat="false" ht="15" hidden="false" customHeight="false" outlineLevel="0" collapsed="false">
      <c r="B334" s="71" t="str">
        <f aca="false">IF($F$6="Sí",N($C$11)+307,"")</f>
        <v/>
      </c>
      <c r="C334" s="72" t="str">
        <f aca="false">IF(OR($F$6&lt;&gt;"Sí",D334&lt;=0.5),"",EDATE($C$10,307))</f>
        <v/>
      </c>
      <c r="D334" s="41" t="n">
        <f aca="false">MAX(0,M333)</f>
        <v>0</v>
      </c>
      <c r="E334" s="41" t="n">
        <f aca="false">D334*$F$7</f>
        <v>0</v>
      </c>
      <c r="F334" s="41" t="n">
        <f aca="false">IF(D334&gt;0.5,N($C$15),0)</f>
        <v>0</v>
      </c>
      <c r="G334" s="41" t="n">
        <f aca="false">IF(AND(D334&gt;0.5,N($C$19)&gt;0,N(B334)&lt;=N($C$20)),D334*$F$8,0)</f>
        <v>0</v>
      </c>
      <c r="H334" s="41" t="n">
        <f aca="false">IF(D334&lt;=0.5,0,MIN(IF(N(I334)&gt;0,I334,$F$9),D334+E334+F334))</f>
        <v>0</v>
      </c>
      <c r="I334" s="77"/>
      <c r="J334" s="77"/>
      <c r="K334" s="41" t="n">
        <f aca="false">IF(D334&lt;=0.5,0,MIN(H334+N(J334),D334+E334+F334))</f>
        <v>0</v>
      </c>
      <c r="L334" s="41" t="n">
        <f aca="false">K334-E334-F334</f>
        <v>0</v>
      </c>
      <c r="M334" s="41" t="n">
        <f aca="false">D334-L334</f>
        <v>0</v>
      </c>
      <c r="N334" s="42" t="n">
        <f aca="false">K334-G334</f>
        <v>0</v>
      </c>
      <c r="O334" s="78"/>
      <c r="P334" s="79"/>
      <c r="Q334" s="16" t="str">
        <f aca="false">IF(K334=0,"",IF(R334=1,"Pagada",IF(C334&lt;$F$12,"Vencida",IF(308=$F$13,"Próxima","Pendiente"))))</f>
        <v/>
      </c>
      <c r="R334" s="62" t="n">
        <f aca="false">IF(AND(K334&gt;0,OR(O334="Sí",O334="Si")),1,0)</f>
        <v>0</v>
      </c>
      <c r="S334" s="62" t="n">
        <f aca="false">IF(AND(K334&gt;0,R334=0),1,0)</f>
        <v>0</v>
      </c>
    </row>
    <row r="335" customFormat="false" ht="15" hidden="false" customHeight="false" outlineLevel="0" collapsed="false">
      <c r="B335" s="71" t="str">
        <f aca="false">IF($F$6="Sí",N($C$11)+308,"")</f>
        <v/>
      </c>
      <c r="C335" s="72" t="str">
        <f aca="false">IF(OR($F$6&lt;&gt;"Sí",D335&lt;=0.5),"",EDATE($C$10,308))</f>
        <v/>
      </c>
      <c r="D335" s="41" t="n">
        <f aca="false">MAX(0,M334)</f>
        <v>0</v>
      </c>
      <c r="E335" s="41" t="n">
        <f aca="false">D335*$F$7</f>
        <v>0</v>
      </c>
      <c r="F335" s="41" t="n">
        <f aca="false">IF(D335&gt;0.5,N($C$15),0)</f>
        <v>0</v>
      </c>
      <c r="G335" s="41" t="n">
        <f aca="false">IF(AND(D335&gt;0.5,N($C$19)&gt;0,N(B335)&lt;=N($C$20)),D335*$F$8,0)</f>
        <v>0</v>
      </c>
      <c r="H335" s="41" t="n">
        <f aca="false">IF(D335&lt;=0.5,0,MIN(IF(N(I335)&gt;0,I335,$F$9),D335+E335+F335))</f>
        <v>0</v>
      </c>
      <c r="I335" s="77"/>
      <c r="J335" s="77"/>
      <c r="K335" s="41" t="n">
        <f aca="false">IF(D335&lt;=0.5,0,MIN(H335+N(J335),D335+E335+F335))</f>
        <v>0</v>
      </c>
      <c r="L335" s="41" t="n">
        <f aca="false">K335-E335-F335</f>
        <v>0</v>
      </c>
      <c r="M335" s="41" t="n">
        <f aca="false">D335-L335</f>
        <v>0</v>
      </c>
      <c r="N335" s="42" t="n">
        <f aca="false">K335-G335</f>
        <v>0</v>
      </c>
      <c r="O335" s="78"/>
      <c r="P335" s="79"/>
      <c r="Q335" s="16" t="str">
        <f aca="false">IF(K335=0,"",IF(R335=1,"Pagada",IF(C335&lt;$F$12,"Vencida",IF(309=$F$13,"Próxima","Pendiente"))))</f>
        <v/>
      </c>
      <c r="R335" s="62" t="n">
        <f aca="false">IF(AND(K335&gt;0,OR(O335="Sí",O335="Si")),1,0)</f>
        <v>0</v>
      </c>
      <c r="S335" s="62" t="n">
        <f aca="false">IF(AND(K335&gt;0,R335=0),1,0)</f>
        <v>0</v>
      </c>
    </row>
    <row r="336" customFormat="false" ht="15" hidden="false" customHeight="false" outlineLevel="0" collapsed="false">
      <c r="B336" s="71" t="str">
        <f aca="false">IF($F$6="Sí",N($C$11)+309,"")</f>
        <v/>
      </c>
      <c r="C336" s="72" t="str">
        <f aca="false">IF(OR($F$6&lt;&gt;"Sí",D336&lt;=0.5),"",EDATE($C$10,309))</f>
        <v/>
      </c>
      <c r="D336" s="41" t="n">
        <f aca="false">MAX(0,M335)</f>
        <v>0</v>
      </c>
      <c r="E336" s="41" t="n">
        <f aca="false">D336*$F$7</f>
        <v>0</v>
      </c>
      <c r="F336" s="41" t="n">
        <f aca="false">IF(D336&gt;0.5,N($C$15),0)</f>
        <v>0</v>
      </c>
      <c r="G336" s="41" t="n">
        <f aca="false">IF(AND(D336&gt;0.5,N($C$19)&gt;0,N(B336)&lt;=N($C$20)),D336*$F$8,0)</f>
        <v>0</v>
      </c>
      <c r="H336" s="41" t="n">
        <f aca="false">IF(D336&lt;=0.5,0,MIN(IF(N(I336)&gt;0,I336,$F$9),D336+E336+F336))</f>
        <v>0</v>
      </c>
      <c r="I336" s="77"/>
      <c r="J336" s="77"/>
      <c r="K336" s="41" t="n">
        <f aca="false">IF(D336&lt;=0.5,0,MIN(H336+N(J336),D336+E336+F336))</f>
        <v>0</v>
      </c>
      <c r="L336" s="41" t="n">
        <f aca="false">K336-E336-F336</f>
        <v>0</v>
      </c>
      <c r="M336" s="41" t="n">
        <f aca="false">D336-L336</f>
        <v>0</v>
      </c>
      <c r="N336" s="42" t="n">
        <f aca="false">K336-G336</f>
        <v>0</v>
      </c>
      <c r="O336" s="78"/>
      <c r="P336" s="79"/>
      <c r="Q336" s="16" t="str">
        <f aca="false">IF(K336=0,"",IF(R336=1,"Pagada",IF(C336&lt;$F$12,"Vencida",IF(310=$F$13,"Próxima","Pendiente"))))</f>
        <v/>
      </c>
      <c r="R336" s="62" t="n">
        <f aca="false">IF(AND(K336&gt;0,OR(O336="Sí",O336="Si")),1,0)</f>
        <v>0</v>
      </c>
      <c r="S336" s="62" t="n">
        <f aca="false">IF(AND(K336&gt;0,R336=0),1,0)</f>
        <v>0</v>
      </c>
    </row>
    <row r="337" customFormat="false" ht="15" hidden="false" customHeight="false" outlineLevel="0" collapsed="false">
      <c r="B337" s="71" t="str">
        <f aca="false">IF($F$6="Sí",N($C$11)+310,"")</f>
        <v/>
      </c>
      <c r="C337" s="72" t="str">
        <f aca="false">IF(OR($F$6&lt;&gt;"Sí",D337&lt;=0.5),"",EDATE($C$10,310))</f>
        <v/>
      </c>
      <c r="D337" s="41" t="n">
        <f aca="false">MAX(0,M336)</f>
        <v>0</v>
      </c>
      <c r="E337" s="41" t="n">
        <f aca="false">D337*$F$7</f>
        <v>0</v>
      </c>
      <c r="F337" s="41" t="n">
        <f aca="false">IF(D337&gt;0.5,N($C$15),0)</f>
        <v>0</v>
      </c>
      <c r="G337" s="41" t="n">
        <f aca="false">IF(AND(D337&gt;0.5,N($C$19)&gt;0,N(B337)&lt;=N($C$20)),D337*$F$8,0)</f>
        <v>0</v>
      </c>
      <c r="H337" s="41" t="n">
        <f aca="false">IF(D337&lt;=0.5,0,MIN(IF(N(I337)&gt;0,I337,$F$9),D337+E337+F337))</f>
        <v>0</v>
      </c>
      <c r="I337" s="77"/>
      <c r="J337" s="77"/>
      <c r="K337" s="41" t="n">
        <f aca="false">IF(D337&lt;=0.5,0,MIN(H337+N(J337),D337+E337+F337))</f>
        <v>0</v>
      </c>
      <c r="L337" s="41" t="n">
        <f aca="false">K337-E337-F337</f>
        <v>0</v>
      </c>
      <c r="M337" s="41" t="n">
        <f aca="false">D337-L337</f>
        <v>0</v>
      </c>
      <c r="N337" s="42" t="n">
        <f aca="false">K337-G337</f>
        <v>0</v>
      </c>
      <c r="O337" s="78"/>
      <c r="P337" s="79"/>
      <c r="Q337" s="16" t="str">
        <f aca="false">IF(K337=0,"",IF(R337=1,"Pagada",IF(C337&lt;$F$12,"Vencida",IF(311=$F$13,"Próxima","Pendiente"))))</f>
        <v/>
      </c>
      <c r="R337" s="62" t="n">
        <f aca="false">IF(AND(K337&gt;0,OR(O337="Sí",O337="Si")),1,0)</f>
        <v>0</v>
      </c>
      <c r="S337" s="62" t="n">
        <f aca="false">IF(AND(K337&gt;0,R337=0),1,0)</f>
        <v>0</v>
      </c>
    </row>
    <row r="338" customFormat="false" ht="15" hidden="false" customHeight="false" outlineLevel="0" collapsed="false">
      <c r="B338" s="71" t="str">
        <f aca="false">IF($F$6="Sí",N($C$11)+311,"")</f>
        <v/>
      </c>
      <c r="C338" s="72" t="str">
        <f aca="false">IF(OR($F$6&lt;&gt;"Sí",D338&lt;=0.5),"",EDATE($C$10,311))</f>
        <v/>
      </c>
      <c r="D338" s="41" t="n">
        <f aca="false">MAX(0,M337)</f>
        <v>0</v>
      </c>
      <c r="E338" s="41" t="n">
        <f aca="false">D338*$F$7</f>
        <v>0</v>
      </c>
      <c r="F338" s="41" t="n">
        <f aca="false">IF(D338&gt;0.5,N($C$15),0)</f>
        <v>0</v>
      </c>
      <c r="G338" s="41" t="n">
        <f aca="false">IF(AND(D338&gt;0.5,N($C$19)&gt;0,N(B338)&lt;=N($C$20)),D338*$F$8,0)</f>
        <v>0</v>
      </c>
      <c r="H338" s="41" t="n">
        <f aca="false">IF(D338&lt;=0.5,0,MIN(IF(N(I338)&gt;0,I338,$F$9),D338+E338+F338))</f>
        <v>0</v>
      </c>
      <c r="I338" s="77"/>
      <c r="J338" s="77"/>
      <c r="K338" s="41" t="n">
        <f aca="false">IF(D338&lt;=0.5,0,MIN(H338+N(J338),D338+E338+F338))</f>
        <v>0</v>
      </c>
      <c r="L338" s="41" t="n">
        <f aca="false">K338-E338-F338</f>
        <v>0</v>
      </c>
      <c r="M338" s="41" t="n">
        <f aca="false">D338-L338</f>
        <v>0</v>
      </c>
      <c r="N338" s="42" t="n">
        <f aca="false">K338-G338</f>
        <v>0</v>
      </c>
      <c r="O338" s="78"/>
      <c r="P338" s="79"/>
      <c r="Q338" s="16" t="str">
        <f aca="false">IF(K338=0,"",IF(R338=1,"Pagada",IF(C338&lt;$F$12,"Vencida",IF(312=$F$13,"Próxima","Pendiente"))))</f>
        <v/>
      </c>
      <c r="R338" s="62" t="n">
        <f aca="false">IF(AND(K338&gt;0,OR(O338="Sí",O338="Si")),1,0)</f>
        <v>0</v>
      </c>
      <c r="S338" s="62" t="n">
        <f aca="false">IF(AND(K338&gt;0,R338=0),1,0)</f>
        <v>0</v>
      </c>
    </row>
    <row r="339" customFormat="false" ht="15" hidden="false" customHeight="false" outlineLevel="0" collapsed="false">
      <c r="B339" s="71" t="str">
        <f aca="false">IF($F$6="Sí",N($C$11)+312,"")</f>
        <v/>
      </c>
      <c r="C339" s="72" t="str">
        <f aca="false">IF(OR($F$6&lt;&gt;"Sí",D339&lt;=0.5),"",EDATE($C$10,312))</f>
        <v/>
      </c>
      <c r="D339" s="41" t="n">
        <f aca="false">MAX(0,M338)</f>
        <v>0</v>
      </c>
      <c r="E339" s="41" t="n">
        <f aca="false">D339*$F$7</f>
        <v>0</v>
      </c>
      <c r="F339" s="41" t="n">
        <f aca="false">IF(D339&gt;0.5,N($C$15),0)</f>
        <v>0</v>
      </c>
      <c r="G339" s="41" t="n">
        <f aca="false">IF(AND(D339&gt;0.5,N($C$19)&gt;0,N(B339)&lt;=N($C$20)),D339*$F$8,0)</f>
        <v>0</v>
      </c>
      <c r="H339" s="41" t="n">
        <f aca="false">IF(D339&lt;=0.5,0,MIN(IF(N(I339)&gt;0,I339,$F$9),D339+E339+F339))</f>
        <v>0</v>
      </c>
      <c r="I339" s="77"/>
      <c r="J339" s="77"/>
      <c r="K339" s="41" t="n">
        <f aca="false">IF(D339&lt;=0.5,0,MIN(H339+N(J339),D339+E339+F339))</f>
        <v>0</v>
      </c>
      <c r="L339" s="41" t="n">
        <f aca="false">K339-E339-F339</f>
        <v>0</v>
      </c>
      <c r="M339" s="41" t="n">
        <f aca="false">D339-L339</f>
        <v>0</v>
      </c>
      <c r="N339" s="42" t="n">
        <f aca="false">K339-G339</f>
        <v>0</v>
      </c>
      <c r="O339" s="78"/>
      <c r="P339" s="79"/>
      <c r="Q339" s="16" t="str">
        <f aca="false">IF(K339=0,"",IF(R339=1,"Pagada",IF(C339&lt;$F$12,"Vencida",IF(313=$F$13,"Próxima","Pendiente"))))</f>
        <v/>
      </c>
      <c r="R339" s="62" t="n">
        <f aca="false">IF(AND(K339&gt;0,OR(O339="Sí",O339="Si")),1,0)</f>
        <v>0</v>
      </c>
      <c r="S339" s="62" t="n">
        <f aca="false">IF(AND(K339&gt;0,R339=0),1,0)</f>
        <v>0</v>
      </c>
    </row>
    <row r="340" customFormat="false" ht="15" hidden="false" customHeight="false" outlineLevel="0" collapsed="false">
      <c r="B340" s="71" t="str">
        <f aca="false">IF($F$6="Sí",N($C$11)+313,"")</f>
        <v/>
      </c>
      <c r="C340" s="72" t="str">
        <f aca="false">IF(OR($F$6&lt;&gt;"Sí",D340&lt;=0.5),"",EDATE($C$10,313))</f>
        <v/>
      </c>
      <c r="D340" s="41" t="n">
        <f aca="false">MAX(0,M339)</f>
        <v>0</v>
      </c>
      <c r="E340" s="41" t="n">
        <f aca="false">D340*$F$7</f>
        <v>0</v>
      </c>
      <c r="F340" s="41" t="n">
        <f aca="false">IF(D340&gt;0.5,N($C$15),0)</f>
        <v>0</v>
      </c>
      <c r="G340" s="41" t="n">
        <f aca="false">IF(AND(D340&gt;0.5,N($C$19)&gt;0,N(B340)&lt;=N($C$20)),D340*$F$8,0)</f>
        <v>0</v>
      </c>
      <c r="H340" s="41" t="n">
        <f aca="false">IF(D340&lt;=0.5,0,MIN(IF(N(I340)&gt;0,I340,$F$9),D340+E340+F340))</f>
        <v>0</v>
      </c>
      <c r="I340" s="77"/>
      <c r="J340" s="77"/>
      <c r="K340" s="41" t="n">
        <f aca="false">IF(D340&lt;=0.5,0,MIN(H340+N(J340),D340+E340+F340))</f>
        <v>0</v>
      </c>
      <c r="L340" s="41" t="n">
        <f aca="false">K340-E340-F340</f>
        <v>0</v>
      </c>
      <c r="M340" s="41" t="n">
        <f aca="false">D340-L340</f>
        <v>0</v>
      </c>
      <c r="N340" s="42" t="n">
        <f aca="false">K340-G340</f>
        <v>0</v>
      </c>
      <c r="O340" s="78"/>
      <c r="P340" s="79"/>
      <c r="Q340" s="16" t="str">
        <f aca="false">IF(K340=0,"",IF(R340=1,"Pagada",IF(C340&lt;$F$12,"Vencida",IF(314=$F$13,"Próxima","Pendiente"))))</f>
        <v/>
      </c>
      <c r="R340" s="62" t="n">
        <f aca="false">IF(AND(K340&gt;0,OR(O340="Sí",O340="Si")),1,0)</f>
        <v>0</v>
      </c>
      <c r="S340" s="62" t="n">
        <f aca="false">IF(AND(K340&gt;0,R340=0),1,0)</f>
        <v>0</v>
      </c>
    </row>
    <row r="341" customFormat="false" ht="15" hidden="false" customHeight="false" outlineLevel="0" collapsed="false">
      <c r="B341" s="71" t="str">
        <f aca="false">IF($F$6="Sí",N($C$11)+314,"")</f>
        <v/>
      </c>
      <c r="C341" s="72" t="str">
        <f aca="false">IF(OR($F$6&lt;&gt;"Sí",D341&lt;=0.5),"",EDATE($C$10,314))</f>
        <v/>
      </c>
      <c r="D341" s="41" t="n">
        <f aca="false">MAX(0,M340)</f>
        <v>0</v>
      </c>
      <c r="E341" s="41" t="n">
        <f aca="false">D341*$F$7</f>
        <v>0</v>
      </c>
      <c r="F341" s="41" t="n">
        <f aca="false">IF(D341&gt;0.5,N($C$15),0)</f>
        <v>0</v>
      </c>
      <c r="G341" s="41" t="n">
        <f aca="false">IF(AND(D341&gt;0.5,N($C$19)&gt;0,N(B341)&lt;=N($C$20)),D341*$F$8,0)</f>
        <v>0</v>
      </c>
      <c r="H341" s="41" t="n">
        <f aca="false">IF(D341&lt;=0.5,0,MIN(IF(N(I341)&gt;0,I341,$F$9),D341+E341+F341))</f>
        <v>0</v>
      </c>
      <c r="I341" s="77"/>
      <c r="J341" s="77"/>
      <c r="K341" s="41" t="n">
        <f aca="false">IF(D341&lt;=0.5,0,MIN(H341+N(J341),D341+E341+F341))</f>
        <v>0</v>
      </c>
      <c r="L341" s="41" t="n">
        <f aca="false">K341-E341-F341</f>
        <v>0</v>
      </c>
      <c r="M341" s="41" t="n">
        <f aca="false">D341-L341</f>
        <v>0</v>
      </c>
      <c r="N341" s="42" t="n">
        <f aca="false">K341-G341</f>
        <v>0</v>
      </c>
      <c r="O341" s="78"/>
      <c r="P341" s="79"/>
      <c r="Q341" s="16" t="str">
        <f aca="false">IF(K341=0,"",IF(R341=1,"Pagada",IF(C341&lt;$F$12,"Vencida",IF(315=$F$13,"Próxima","Pendiente"))))</f>
        <v/>
      </c>
      <c r="R341" s="62" t="n">
        <f aca="false">IF(AND(K341&gt;0,OR(O341="Sí",O341="Si")),1,0)</f>
        <v>0</v>
      </c>
      <c r="S341" s="62" t="n">
        <f aca="false">IF(AND(K341&gt;0,R341=0),1,0)</f>
        <v>0</v>
      </c>
    </row>
    <row r="342" customFormat="false" ht="15" hidden="false" customHeight="false" outlineLevel="0" collapsed="false">
      <c r="B342" s="71" t="str">
        <f aca="false">IF($F$6="Sí",N($C$11)+315,"")</f>
        <v/>
      </c>
      <c r="C342" s="72" t="str">
        <f aca="false">IF(OR($F$6&lt;&gt;"Sí",D342&lt;=0.5),"",EDATE($C$10,315))</f>
        <v/>
      </c>
      <c r="D342" s="41" t="n">
        <f aca="false">MAX(0,M341)</f>
        <v>0</v>
      </c>
      <c r="E342" s="41" t="n">
        <f aca="false">D342*$F$7</f>
        <v>0</v>
      </c>
      <c r="F342" s="41" t="n">
        <f aca="false">IF(D342&gt;0.5,N($C$15),0)</f>
        <v>0</v>
      </c>
      <c r="G342" s="41" t="n">
        <f aca="false">IF(AND(D342&gt;0.5,N($C$19)&gt;0,N(B342)&lt;=N($C$20)),D342*$F$8,0)</f>
        <v>0</v>
      </c>
      <c r="H342" s="41" t="n">
        <f aca="false">IF(D342&lt;=0.5,0,MIN(IF(N(I342)&gt;0,I342,$F$9),D342+E342+F342))</f>
        <v>0</v>
      </c>
      <c r="I342" s="77"/>
      <c r="J342" s="77"/>
      <c r="K342" s="41" t="n">
        <f aca="false">IF(D342&lt;=0.5,0,MIN(H342+N(J342),D342+E342+F342))</f>
        <v>0</v>
      </c>
      <c r="L342" s="41" t="n">
        <f aca="false">K342-E342-F342</f>
        <v>0</v>
      </c>
      <c r="M342" s="41" t="n">
        <f aca="false">D342-L342</f>
        <v>0</v>
      </c>
      <c r="N342" s="42" t="n">
        <f aca="false">K342-G342</f>
        <v>0</v>
      </c>
      <c r="O342" s="78"/>
      <c r="P342" s="79"/>
      <c r="Q342" s="16" t="str">
        <f aca="false">IF(K342=0,"",IF(R342=1,"Pagada",IF(C342&lt;$F$12,"Vencida",IF(316=$F$13,"Próxima","Pendiente"))))</f>
        <v/>
      </c>
      <c r="R342" s="62" t="n">
        <f aca="false">IF(AND(K342&gt;0,OR(O342="Sí",O342="Si")),1,0)</f>
        <v>0</v>
      </c>
      <c r="S342" s="62" t="n">
        <f aca="false">IF(AND(K342&gt;0,R342=0),1,0)</f>
        <v>0</v>
      </c>
    </row>
    <row r="343" customFormat="false" ht="15" hidden="false" customHeight="false" outlineLevel="0" collapsed="false">
      <c r="B343" s="71" t="str">
        <f aca="false">IF($F$6="Sí",N($C$11)+316,"")</f>
        <v/>
      </c>
      <c r="C343" s="72" t="str">
        <f aca="false">IF(OR($F$6&lt;&gt;"Sí",D343&lt;=0.5),"",EDATE($C$10,316))</f>
        <v/>
      </c>
      <c r="D343" s="41" t="n">
        <f aca="false">MAX(0,M342)</f>
        <v>0</v>
      </c>
      <c r="E343" s="41" t="n">
        <f aca="false">D343*$F$7</f>
        <v>0</v>
      </c>
      <c r="F343" s="41" t="n">
        <f aca="false">IF(D343&gt;0.5,N($C$15),0)</f>
        <v>0</v>
      </c>
      <c r="G343" s="41" t="n">
        <f aca="false">IF(AND(D343&gt;0.5,N($C$19)&gt;0,N(B343)&lt;=N($C$20)),D343*$F$8,0)</f>
        <v>0</v>
      </c>
      <c r="H343" s="41" t="n">
        <f aca="false">IF(D343&lt;=0.5,0,MIN(IF(N(I343)&gt;0,I343,$F$9),D343+E343+F343))</f>
        <v>0</v>
      </c>
      <c r="I343" s="77"/>
      <c r="J343" s="77"/>
      <c r="K343" s="41" t="n">
        <f aca="false">IF(D343&lt;=0.5,0,MIN(H343+N(J343),D343+E343+F343))</f>
        <v>0</v>
      </c>
      <c r="L343" s="41" t="n">
        <f aca="false">K343-E343-F343</f>
        <v>0</v>
      </c>
      <c r="M343" s="41" t="n">
        <f aca="false">D343-L343</f>
        <v>0</v>
      </c>
      <c r="N343" s="42" t="n">
        <f aca="false">K343-G343</f>
        <v>0</v>
      </c>
      <c r="O343" s="78"/>
      <c r="P343" s="79"/>
      <c r="Q343" s="16" t="str">
        <f aca="false">IF(K343=0,"",IF(R343=1,"Pagada",IF(C343&lt;$F$12,"Vencida",IF(317=$F$13,"Próxima","Pendiente"))))</f>
        <v/>
      </c>
      <c r="R343" s="62" t="n">
        <f aca="false">IF(AND(K343&gt;0,OR(O343="Sí",O343="Si")),1,0)</f>
        <v>0</v>
      </c>
      <c r="S343" s="62" t="n">
        <f aca="false">IF(AND(K343&gt;0,R343=0),1,0)</f>
        <v>0</v>
      </c>
    </row>
    <row r="344" customFormat="false" ht="15" hidden="false" customHeight="false" outlineLevel="0" collapsed="false">
      <c r="B344" s="71" t="str">
        <f aca="false">IF($F$6="Sí",N($C$11)+317,"")</f>
        <v/>
      </c>
      <c r="C344" s="72" t="str">
        <f aca="false">IF(OR($F$6&lt;&gt;"Sí",D344&lt;=0.5),"",EDATE($C$10,317))</f>
        <v/>
      </c>
      <c r="D344" s="41" t="n">
        <f aca="false">MAX(0,M343)</f>
        <v>0</v>
      </c>
      <c r="E344" s="41" t="n">
        <f aca="false">D344*$F$7</f>
        <v>0</v>
      </c>
      <c r="F344" s="41" t="n">
        <f aca="false">IF(D344&gt;0.5,N($C$15),0)</f>
        <v>0</v>
      </c>
      <c r="G344" s="41" t="n">
        <f aca="false">IF(AND(D344&gt;0.5,N($C$19)&gt;0,N(B344)&lt;=N($C$20)),D344*$F$8,0)</f>
        <v>0</v>
      </c>
      <c r="H344" s="41" t="n">
        <f aca="false">IF(D344&lt;=0.5,0,MIN(IF(N(I344)&gt;0,I344,$F$9),D344+E344+F344))</f>
        <v>0</v>
      </c>
      <c r="I344" s="77"/>
      <c r="J344" s="77"/>
      <c r="K344" s="41" t="n">
        <f aca="false">IF(D344&lt;=0.5,0,MIN(H344+N(J344),D344+E344+F344))</f>
        <v>0</v>
      </c>
      <c r="L344" s="41" t="n">
        <f aca="false">K344-E344-F344</f>
        <v>0</v>
      </c>
      <c r="M344" s="41" t="n">
        <f aca="false">D344-L344</f>
        <v>0</v>
      </c>
      <c r="N344" s="42" t="n">
        <f aca="false">K344-G344</f>
        <v>0</v>
      </c>
      <c r="O344" s="78"/>
      <c r="P344" s="79"/>
      <c r="Q344" s="16" t="str">
        <f aca="false">IF(K344=0,"",IF(R344=1,"Pagada",IF(C344&lt;$F$12,"Vencida",IF(318=$F$13,"Próxima","Pendiente"))))</f>
        <v/>
      </c>
      <c r="R344" s="62" t="n">
        <f aca="false">IF(AND(K344&gt;0,OR(O344="Sí",O344="Si")),1,0)</f>
        <v>0</v>
      </c>
      <c r="S344" s="62" t="n">
        <f aca="false">IF(AND(K344&gt;0,R344=0),1,0)</f>
        <v>0</v>
      </c>
    </row>
    <row r="345" customFormat="false" ht="15" hidden="false" customHeight="false" outlineLevel="0" collapsed="false">
      <c r="B345" s="71" t="str">
        <f aca="false">IF($F$6="Sí",N($C$11)+318,"")</f>
        <v/>
      </c>
      <c r="C345" s="72" t="str">
        <f aca="false">IF(OR($F$6&lt;&gt;"Sí",D345&lt;=0.5),"",EDATE($C$10,318))</f>
        <v/>
      </c>
      <c r="D345" s="41" t="n">
        <f aca="false">MAX(0,M344)</f>
        <v>0</v>
      </c>
      <c r="E345" s="41" t="n">
        <f aca="false">D345*$F$7</f>
        <v>0</v>
      </c>
      <c r="F345" s="41" t="n">
        <f aca="false">IF(D345&gt;0.5,N($C$15),0)</f>
        <v>0</v>
      </c>
      <c r="G345" s="41" t="n">
        <f aca="false">IF(AND(D345&gt;0.5,N($C$19)&gt;0,N(B345)&lt;=N($C$20)),D345*$F$8,0)</f>
        <v>0</v>
      </c>
      <c r="H345" s="41" t="n">
        <f aca="false">IF(D345&lt;=0.5,0,MIN(IF(N(I345)&gt;0,I345,$F$9),D345+E345+F345))</f>
        <v>0</v>
      </c>
      <c r="I345" s="77"/>
      <c r="J345" s="77"/>
      <c r="K345" s="41" t="n">
        <f aca="false">IF(D345&lt;=0.5,0,MIN(H345+N(J345),D345+E345+F345))</f>
        <v>0</v>
      </c>
      <c r="L345" s="41" t="n">
        <f aca="false">K345-E345-F345</f>
        <v>0</v>
      </c>
      <c r="M345" s="41" t="n">
        <f aca="false">D345-L345</f>
        <v>0</v>
      </c>
      <c r="N345" s="42" t="n">
        <f aca="false">K345-G345</f>
        <v>0</v>
      </c>
      <c r="O345" s="78"/>
      <c r="P345" s="79"/>
      <c r="Q345" s="16" t="str">
        <f aca="false">IF(K345=0,"",IF(R345=1,"Pagada",IF(C345&lt;$F$12,"Vencida",IF(319=$F$13,"Próxima","Pendiente"))))</f>
        <v/>
      </c>
      <c r="R345" s="62" t="n">
        <f aca="false">IF(AND(K345&gt;0,OR(O345="Sí",O345="Si")),1,0)</f>
        <v>0</v>
      </c>
      <c r="S345" s="62" t="n">
        <f aca="false">IF(AND(K345&gt;0,R345=0),1,0)</f>
        <v>0</v>
      </c>
    </row>
    <row r="346" customFormat="false" ht="15" hidden="false" customHeight="false" outlineLevel="0" collapsed="false">
      <c r="B346" s="71" t="str">
        <f aca="false">IF($F$6="Sí",N($C$11)+319,"")</f>
        <v/>
      </c>
      <c r="C346" s="72" t="str">
        <f aca="false">IF(OR($F$6&lt;&gt;"Sí",D346&lt;=0.5),"",EDATE($C$10,319))</f>
        <v/>
      </c>
      <c r="D346" s="41" t="n">
        <f aca="false">MAX(0,M345)</f>
        <v>0</v>
      </c>
      <c r="E346" s="41" t="n">
        <f aca="false">D346*$F$7</f>
        <v>0</v>
      </c>
      <c r="F346" s="41" t="n">
        <f aca="false">IF(D346&gt;0.5,N($C$15),0)</f>
        <v>0</v>
      </c>
      <c r="G346" s="41" t="n">
        <f aca="false">IF(AND(D346&gt;0.5,N($C$19)&gt;0,N(B346)&lt;=N($C$20)),D346*$F$8,0)</f>
        <v>0</v>
      </c>
      <c r="H346" s="41" t="n">
        <f aca="false">IF(D346&lt;=0.5,0,MIN(IF(N(I346)&gt;0,I346,$F$9),D346+E346+F346))</f>
        <v>0</v>
      </c>
      <c r="I346" s="77"/>
      <c r="J346" s="77"/>
      <c r="K346" s="41" t="n">
        <f aca="false">IF(D346&lt;=0.5,0,MIN(H346+N(J346),D346+E346+F346))</f>
        <v>0</v>
      </c>
      <c r="L346" s="41" t="n">
        <f aca="false">K346-E346-F346</f>
        <v>0</v>
      </c>
      <c r="M346" s="41" t="n">
        <f aca="false">D346-L346</f>
        <v>0</v>
      </c>
      <c r="N346" s="42" t="n">
        <f aca="false">K346-G346</f>
        <v>0</v>
      </c>
      <c r="O346" s="78"/>
      <c r="P346" s="79"/>
      <c r="Q346" s="16" t="str">
        <f aca="false">IF(K346=0,"",IF(R346=1,"Pagada",IF(C346&lt;$F$12,"Vencida",IF(320=$F$13,"Próxima","Pendiente"))))</f>
        <v/>
      </c>
      <c r="R346" s="62" t="n">
        <f aca="false">IF(AND(K346&gt;0,OR(O346="Sí",O346="Si")),1,0)</f>
        <v>0</v>
      </c>
      <c r="S346" s="62" t="n">
        <f aca="false">IF(AND(K346&gt;0,R346=0),1,0)</f>
        <v>0</v>
      </c>
    </row>
    <row r="347" customFormat="false" ht="15" hidden="false" customHeight="false" outlineLevel="0" collapsed="false">
      <c r="B347" s="71" t="str">
        <f aca="false">IF($F$6="Sí",N($C$11)+320,"")</f>
        <v/>
      </c>
      <c r="C347" s="72" t="str">
        <f aca="false">IF(OR($F$6&lt;&gt;"Sí",D347&lt;=0.5),"",EDATE($C$10,320))</f>
        <v/>
      </c>
      <c r="D347" s="41" t="n">
        <f aca="false">MAX(0,M346)</f>
        <v>0</v>
      </c>
      <c r="E347" s="41" t="n">
        <f aca="false">D347*$F$7</f>
        <v>0</v>
      </c>
      <c r="F347" s="41" t="n">
        <f aca="false">IF(D347&gt;0.5,N($C$15),0)</f>
        <v>0</v>
      </c>
      <c r="G347" s="41" t="n">
        <f aca="false">IF(AND(D347&gt;0.5,N($C$19)&gt;0,N(B347)&lt;=N($C$20)),D347*$F$8,0)</f>
        <v>0</v>
      </c>
      <c r="H347" s="41" t="n">
        <f aca="false">IF(D347&lt;=0.5,0,MIN(IF(N(I347)&gt;0,I347,$F$9),D347+E347+F347))</f>
        <v>0</v>
      </c>
      <c r="I347" s="77"/>
      <c r="J347" s="77"/>
      <c r="K347" s="41" t="n">
        <f aca="false">IF(D347&lt;=0.5,0,MIN(H347+N(J347),D347+E347+F347))</f>
        <v>0</v>
      </c>
      <c r="L347" s="41" t="n">
        <f aca="false">K347-E347-F347</f>
        <v>0</v>
      </c>
      <c r="M347" s="41" t="n">
        <f aca="false">D347-L347</f>
        <v>0</v>
      </c>
      <c r="N347" s="42" t="n">
        <f aca="false">K347-G347</f>
        <v>0</v>
      </c>
      <c r="O347" s="78"/>
      <c r="P347" s="79"/>
      <c r="Q347" s="16" t="str">
        <f aca="false">IF(K347=0,"",IF(R347=1,"Pagada",IF(C347&lt;$F$12,"Vencida",IF(321=$F$13,"Próxima","Pendiente"))))</f>
        <v/>
      </c>
      <c r="R347" s="62" t="n">
        <f aca="false">IF(AND(K347&gt;0,OR(O347="Sí",O347="Si")),1,0)</f>
        <v>0</v>
      </c>
      <c r="S347" s="62" t="n">
        <f aca="false">IF(AND(K347&gt;0,R347=0),1,0)</f>
        <v>0</v>
      </c>
    </row>
    <row r="348" customFormat="false" ht="15" hidden="false" customHeight="false" outlineLevel="0" collapsed="false">
      <c r="B348" s="71" t="str">
        <f aca="false">IF($F$6="Sí",N($C$11)+321,"")</f>
        <v/>
      </c>
      <c r="C348" s="72" t="str">
        <f aca="false">IF(OR($F$6&lt;&gt;"Sí",D348&lt;=0.5),"",EDATE($C$10,321))</f>
        <v/>
      </c>
      <c r="D348" s="41" t="n">
        <f aca="false">MAX(0,M347)</f>
        <v>0</v>
      </c>
      <c r="E348" s="41" t="n">
        <f aca="false">D348*$F$7</f>
        <v>0</v>
      </c>
      <c r="F348" s="41" t="n">
        <f aca="false">IF(D348&gt;0.5,N($C$15),0)</f>
        <v>0</v>
      </c>
      <c r="G348" s="41" t="n">
        <f aca="false">IF(AND(D348&gt;0.5,N($C$19)&gt;0,N(B348)&lt;=N($C$20)),D348*$F$8,0)</f>
        <v>0</v>
      </c>
      <c r="H348" s="41" t="n">
        <f aca="false">IF(D348&lt;=0.5,0,MIN(IF(N(I348)&gt;0,I348,$F$9),D348+E348+F348))</f>
        <v>0</v>
      </c>
      <c r="I348" s="77"/>
      <c r="J348" s="77"/>
      <c r="K348" s="41" t="n">
        <f aca="false">IF(D348&lt;=0.5,0,MIN(H348+N(J348),D348+E348+F348))</f>
        <v>0</v>
      </c>
      <c r="L348" s="41" t="n">
        <f aca="false">K348-E348-F348</f>
        <v>0</v>
      </c>
      <c r="M348" s="41" t="n">
        <f aca="false">D348-L348</f>
        <v>0</v>
      </c>
      <c r="N348" s="42" t="n">
        <f aca="false">K348-G348</f>
        <v>0</v>
      </c>
      <c r="O348" s="78"/>
      <c r="P348" s="79"/>
      <c r="Q348" s="16" t="str">
        <f aca="false">IF(K348=0,"",IF(R348=1,"Pagada",IF(C348&lt;$F$12,"Vencida",IF(322=$F$13,"Próxima","Pendiente"))))</f>
        <v/>
      </c>
      <c r="R348" s="62" t="n">
        <f aca="false">IF(AND(K348&gt;0,OR(O348="Sí",O348="Si")),1,0)</f>
        <v>0</v>
      </c>
      <c r="S348" s="62" t="n">
        <f aca="false">IF(AND(K348&gt;0,R348=0),1,0)</f>
        <v>0</v>
      </c>
    </row>
    <row r="349" customFormat="false" ht="15" hidden="false" customHeight="false" outlineLevel="0" collapsed="false">
      <c r="B349" s="71" t="str">
        <f aca="false">IF($F$6="Sí",N($C$11)+322,"")</f>
        <v/>
      </c>
      <c r="C349" s="72" t="str">
        <f aca="false">IF(OR($F$6&lt;&gt;"Sí",D349&lt;=0.5),"",EDATE($C$10,322))</f>
        <v/>
      </c>
      <c r="D349" s="41" t="n">
        <f aca="false">MAX(0,M348)</f>
        <v>0</v>
      </c>
      <c r="E349" s="41" t="n">
        <f aca="false">D349*$F$7</f>
        <v>0</v>
      </c>
      <c r="F349" s="41" t="n">
        <f aca="false">IF(D349&gt;0.5,N($C$15),0)</f>
        <v>0</v>
      </c>
      <c r="G349" s="41" t="n">
        <f aca="false">IF(AND(D349&gt;0.5,N($C$19)&gt;0,N(B349)&lt;=N($C$20)),D349*$F$8,0)</f>
        <v>0</v>
      </c>
      <c r="H349" s="41" t="n">
        <f aca="false">IF(D349&lt;=0.5,0,MIN(IF(N(I349)&gt;0,I349,$F$9),D349+E349+F349))</f>
        <v>0</v>
      </c>
      <c r="I349" s="77"/>
      <c r="J349" s="77"/>
      <c r="K349" s="41" t="n">
        <f aca="false">IF(D349&lt;=0.5,0,MIN(H349+N(J349),D349+E349+F349))</f>
        <v>0</v>
      </c>
      <c r="L349" s="41" t="n">
        <f aca="false">K349-E349-F349</f>
        <v>0</v>
      </c>
      <c r="M349" s="41" t="n">
        <f aca="false">D349-L349</f>
        <v>0</v>
      </c>
      <c r="N349" s="42" t="n">
        <f aca="false">K349-G349</f>
        <v>0</v>
      </c>
      <c r="O349" s="78"/>
      <c r="P349" s="79"/>
      <c r="Q349" s="16" t="str">
        <f aca="false">IF(K349=0,"",IF(R349=1,"Pagada",IF(C349&lt;$F$12,"Vencida",IF(323=$F$13,"Próxima","Pendiente"))))</f>
        <v/>
      </c>
      <c r="R349" s="62" t="n">
        <f aca="false">IF(AND(K349&gt;0,OR(O349="Sí",O349="Si")),1,0)</f>
        <v>0</v>
      </c>
      <c r="S349" s="62" t="n">
        <f aca="false">IF(AND(K349&gt;0,R349=0),1,0)</f>
        <v>0</v>
      </c>
    </row>
    <row r="350" customFormat="false" ht="15" hidden="false" customHeight="false" outlineLevel="0" collapsed="false">
      <c r="B350" s="71" t="str">
        <f aca="false">IF($F$6="Sí",N($C$11)+323,"")</f>
        <v/>
      </c>
      <c r="C350" s="72" t="str">
        <f aca="false">IF(OR($F$6&lt;&gt;"Sí",D350&lt;=0.5),"",EDATE($C$10,323))</f>
        <v/>
      </c>
      <c r="D350" s="41" t="n">
        <f aca="false">MAX(0,M349)</f>
        <v>0</v>
      </c>
      <c r="E350" s="41" t="n">
        <f aca="false">D350*$F$7</f>
        <v>0</v>
      </c>
      <c r="F350" s="41" t="n">
        <f aca="false">IF(D350&gt;0.5,N($C$15),0)</f>
        <v>0</v>
      </c>
      <c r="G350" s="41" t="n">
        <f aca="false">IF(AND(D350&gt;0.5,N($C$19)&gt;0,N(B350)&lt;=N($C$20)),D350*$F$8,0)</f>
        <v>0</v>
      </c>
      <c r="H350" s="41" t="n">
        <f aca="false">IF(D350&lt;=0.5,0,MIN(IF(N(I350)&gt;0,I350,$F$9),D350+E350+F350))</f>
        <v>0</v>
      </c>
      <c r="I350" s="77"/>
      <c r="J350" s="77"/>
      <c r="K350" s="41" t="n">
        <f aca="false">IF(D350&lt;=0.5,0,MIN(H350+N(J350),D350+E350+F350))</f>
        <v>0</v>
      </c>
      <c r="L350" s="41" t="n">
        <f aca="false">K350-E350-F350</f>
        <v>0</v>
      </c>
      <c r="M350" s="41" t="n">
        <f aca="false">D350-L350</f>
        <v>0</v>
      </c>
      <c r="N350" s="42" t="n">
        <f aca="false">K350-G350</f>
        <v>0</v>
      </c>
      <c r="O350" s="78"/>
      <c r="P350" s="79"/>
      <c r="Q350" s="16" t="str">
        <f aca="false">IF(K350=0,"",IF(R350=1,"Pagada",IF(C350&lt;$F$12,"Vencida",IF(324=$F$13,"Próxima","Pendiente"))))</f>
        <v/>
      </c>
      <c r="R350" s="62" t="n">
        <f aca="false">IF(AND(K350&gt;0,OR(O350="Sí",O350="Si")),1,0)</f>
        <v>0</v>
      </c>
      <c r="S350" s="62" t="n">
        <f aca="false">IF(AND(K350&gt;0,R350=0),1,0)</f>
        <v>0</v>
      </c>
    </row>
    <row r="351" customFormat="false" ht="15" hidden="false" customHeight="false" outlineLevel="0" collapsed="false">
      <c r="B351" s="71" t="str">
        <f aca="false">IF($F$6="Sí",N($C$11)+324,"")</f>
        <v/>
      </c>
      <c r="C351" s="72" t="str">
        <f aca="false">IF(OR($F$6&lt;&gt;"Sí",D351&lt;=0.5),"",EDATE($C$10,324))</f>
        <v/>
      </c>
      <c r="D351" s="41" t="n">
        <f aca="false">MAX(0,M350)</f>
        <v>0</v>
      </c>
      <c r="E351" s="41" t="n">
        <f aca="false">D351*$F$7</f>
        <v>0</v>
      </c>
      <c r="F351" s="41" t="n">
        <f aca="false">IF(D351&gt;0.5,N($C$15),0)</f>
        <v>0</v>
      </c>
      <c r="G351" s="41" t="n">
        <f aca="false">IF(AND(D351&gt;0.5,N($C$19)&gt;0,N(B351)&lt;=N($C$20)),D351*$F$8,0)</f>
        <v>0</v>
      </c>
      <c r="H351" s="41" t="n">
        <f aca="false">IF(D351&lt;=0.5,0,MIN(IF(N(I351)&gt;0,I351,$F$9),D351+E351+F351))</f>
        <v>0</v>
      </c>
      <c r="I351" s="77"/>
      <c r="J351" s="77"/>
      <c r="K351" s="41" t="n">
        <f aca="false">IF(D351&lt;=0.5,0,MIN(H351+N(J351),D351+E351+F351))</f>
        <v>0</v>
      </c>
      <c r="L351" s="41" t="n">
        <f aca="false">K351-E351-F351</f>
        <v>0</v>
      </c>
      <c r="M351" s="41" t="n">
        <f aca="false">D351-L351</f>
        <v>0</v>
      </c>
      <c r="N351" s="42" t="n">
        <f aca="false">K351-G351</f>
        <v>0</v>
      </c>
      <c r="O351" s="78"/>
      <c r="P351" s="79"/>
      <c r="Q351" s="16" t="str">
        <f aca="false">IF(K351=0,"",IF(R351=1,"Pagada",IF(C351&lt;$F$12,"Vencida",IF(325=$F$13,"Próxima","Pendiente"))))</f>
        <v/>
      </c>
      <c r="R351" s="62" t="n">
        <f aca="false">IF(AND(K351&gt;0,OR(O351="Sí",O351="Si")),1,0)</f>
        <v>0</v>
      </c>
      <c r="S351" s="62" t="n">
        <f aca="false">IF(AND(K351&gt;0,R351=0),1,0)</f>
        <v>0</v>
      </c>
    </row>
    <row r="352" customFormat="false" ht="15" hidden="false" customHeight="false" outlineLevel="0" collapsed="false">
      <c r="B352" s="71" t="str">
        <f aca="false">IF($F$6="Sí",N($C$11)+325,"")</f>
        <v/>
      </c>
      <c r="C352" s="72" t="str">
        <f aca="false">IF(OR($F$6&lt;&gt;"Sí",D352&lt;=0.5),"",EDATE($C$10,325))</f>
        <v/>
      </c>
      <c r="D352" s="41" t="n">
        <f aca="false">MAX(0,M351)</f>
        <v>0</v>
      </c>
      <c r="E352" s="41" t="n">
        <f aca="false">D352*$F$7</f>
        <v>0</v>
      </c>
      <c r="F352" s="41" t="n">
        <f aca="false">IF(D352&gt;0.5,N($C$15),0)</f>
        <v>0</v>
      </c>
      <c r="G352" s="41" t="n">
        <f aca="false">IF(AND(D352&gt;0.5,N($C$19)&gt;0,N(B352)&lt;=N($C$20)),D352*$F$8,0)</f>
        <v>0</v>
      </c>
      <c r="H352" s="41" t="n">
        <f aca="false">IF(D352&lt;=0.5,0,MIN(IF(N(I352)&gt;0,I352,$F$9),D352+E352+F352))</f>
        <v>0</v>
      </c>
      <c r="I352" s="77"/>
      <c r="J352" s="77"/>
      <c r="K352" s="41" t="n">
        <f aca="false">IF(D352&lt;=0.5,0,MIN(H352+N(J352),D352+E352+F352))</f>
        <v>0</v>
      </c>
      <c r="L352" s="41" t="n">
        <f aca="false">K352-E352-F352</f>
        <v>0</v>
      </c>
      <c r="M352" s="41" t="n">
        <f aca="false">D352-L352</f>
        <v>0</v>
      </c>
      <c r="N352" s="42" t="n">
        <f aca="false">K352-G352</f>
        <v>0</v>
      </c>
      <c r="O352" s="78"/>
      <c r="P352" s="79"/>
      <c r="Q352" s="16" t="str">
        <f aca="false">IF(K352=0,"",IF(R352=1,"Pagada",IF(C352&lt;$F$12,"Vencida",IF(326=$F$13,"Próxima","Pendiente"))))</f>
        <v/>
      </c>
      <c r="R352" s="62" t="n">
        <f aca="false">IF(AND(K352&gt;0,OR(O352="Sí",O352="Si")),1,0)</f>
        <v>0</v>
      </c>
      <c r="S352" s="62" t="n">
        <f aca="false">IF(AND(K352&gt;0,R352=0),1,0)</f>
        <v>0</v>
      </c>
    </row>
    <row r="353" customFormat="false" ht="15" hidden="false" customHeight="false" outlineLevel="0" collapsed="false">
      <c r="B353" s="71" t="str">
        <f aca="false">IF($F$6="Sí",N($C$11)+326,"")</f>
        <v/>
      </c>
      <c r="C353" s="72" t="str">
        <f aca="false">IF(OR($F$6&lt;&gt;"Sí",D353&lt;=0.5),"",EDATE($C$10,326))</f>
        <v/>
      </c>
      <c r="D353" s="41" t="n">
        <f aca="false">MAX(0,M352)</f>
        <v>0</v>
      </c>
      <c r="E353" s="41" t="n">
        <f aca="false">D353*$F$7</f>
        <v>0</v>
      </c>
      <c r="F353" s="41" t="n">
        <f aca="false">IF(D353&gt;0.5,N($C$15),0)</f>
        <v>0</v>
      </c>
      <c r="G353" s="41" t="n">
        <f aca="false">IF(AND(D353&gt;0.5,N($C$19)&gt;0,N(B353)&lt;=N($C$20)),D353*$F$8,0)</f>
        <v>0</v>
      </c>
      <c r="H353" s="41" t="n">
        <f aca="false">IF(D353&lt;=0.5,0,MIN(IF(N(I353)&gt;0,I353,$F$9),D353+E353+F353))</f>
        <v>0</v>
      </c>
      <c r="I353" s="77"/>
      <c r="J353" s="77"/>
      <c r="K353" s="41" t="n">
        <f aca="false">IF(D353&lt;=0.5,0,MIN(H353+N(J353),D353+E353+F353))</f>
        <v>0</v>
      </c>
      <c r="L353" s="41" t="n">
        <f aca="false">K353-E353-F353</f>
        <v>0</v>
      </c>
      <c r="M353" s="41" t="n">
        <f aca="false">D353-L353</f>
        <v>0</v>
      </c>
      <c r="N353" s="42" t="n">
        <f aca="false">K353-G353</f>
        <v>0</v>
      </c>
      <c r="O353" s="78"/>
      <c r="P353" s="79"/>
      <c r="Q353" s="16" t="str">
        <f aca="false">IF(K353=0,"",IF(R353=1,"Pagada",IF(C353&lt;$F$12,"Vencida",IF(327=$F$13,"Próxima","Pendiente"))))</f>
        <v/>
      </c>
      <c r="R353" s="62" t="n">
        <f aca="false">IF(AND(K353&gt;0,OR(O353="Sí",O353="Si")),1,0)</f>
        <v>0</v>
      </c>
      <c r="S353" s="62" t="n">
        <f aca="false">IF(AND(K353&gt;0,R353=0),1,0)</f>
        <v>0</v>
      </c>
    </row>
    <row r="354" customFormat="false" ht="15" hidden="false" customHeight="false" outlineLevel="0" collapsed="false">
      <c r="B354" s="71" t="str">
        <f aca="false">IF($F$6="Sí",N($C$11)+327,"")</f>
        <v/>
      </c>
      <c r="C354" s="72" t="str">
        <f aca="false">IF(OR($F$6&lt;&gt;"Sí",D354&lt;=0.5),"",EDATE($C$10,327))</f>
        <v/>
      </c>
      <c r="D354" s="41" t="n">
        <f aca="false">MAX(0,M353)</f>
        <v>0</v>
      </c>
      <c r="E354" s="41" t="n">
        <f aca="false">D354*$F$7</f>
        <v>0</v>
      </c>
      <c r="F354" s="41" t="n">
        <f aca="false">IF(D354&gt;0.5,N($C$15),0)</f>
        <v>0</v>
      </c>
      <c r="G354" s="41" t="n">
        <f aca="false">IF(AND(D354&gt;0.5,N($C$19)&gt;0,N(B354)&lt;=N($C$20)),D354*$F$8,0)</f>
        <v>0</v>
      </c>
      <c r="H354" s="41" t="n">
        <f aca="false">IF(D354&lt;=0.5,0,MIN(IF(N(I354)&gt;0,I354,$F$9),D354+E354+F354))</f>
        <v>0</v>
      </c>
      <c r="I354" s="77"/>
      <c r="J354" s="77"/>
      <c r="K354" s="41" t="n">
        <f aca="false">IF(D354&lt;=0.5,0,MIN(H354+N(J354),D354+E354+F354))</f>
        <v>0</v>
      </c>
      <c r="L354" s="41" t="n">
        <f aca="false">K354-E354-F354</f>
        <v>0</v>
      </c>
      <c r="M354" s="41" t="n">
        <f aca="false">D354-L354</f>
        <v>0</v>
      </c>
      <c r="N354" s="42" t="n">
        <f aca="false">K354-G354</f>
        <v>0</v>
      </c>
      <c r="O354" s="78"/>
      <c r="P354" s="79"/>
      <c r="Q354" s="16" t="str">
        <f aca="false">IF(K354=0,"",IF(R354=1,"Pagada",IF(C354&lt;$F$12,"Vencida",IF(328=$F$13,"Próxima","Pendiente"))))</f>
        <v/>
      </c>
      <c r="R354" s="62" t="n">
        <f aca="false">IF(AND(K354&gt;0,OR(O354="Sí",O354="Si")),1,0)</f>
        <v>0</v>
      </c>
      <c r="S354" s="62" t="n">
        <f aca="false">IF(AND(K354&gt;0,R354=0),1,0)</f>
        <v>0</v>
      </c>
    </row>
    <row r="355" customFormat="false" ht="15" hidden="false" customHeight="false" outlineLevel="0" collapsed="false">
      <c r="B355" s="71" t="str">
        <f aca="false">IF($F$6="Sí",N($C$11)+328,"")</f>
        <v/>
      </c>
      <c r="C355" s="72" t="str">
        <f aca="false">IF(OR($F$6&lt;&gt;"Sí",D355&lt;=0.5),"",EDATE($C$10,328))</f>
        <v/>
      </c>
      <c r="D355" s="41" t="n">
        <f aca="false">MAX(0,M354)</f>
        <v>0</v>
      </c>
      <c r="E355" s="41" t="n">
        <f aca="false">D355*$F$7</f>
        <v>0</v>
      </c>
      <c r="F355" s="41" t="n">
        <f aca="false">IF(D355&gt;0.5,N($C$15),0)</f>
        <v>0</v>
      </c>
      <c r="G355" s="41" t="n">
        <f aca="false">IF(AND(D355&gt;0.5,N($C$19)&gt;0,N(B355)&lt;=N($C$20)),D355*$F$8,0)</f>
        <v>0</v>
      </c>
      <c r="H355" s="41" t="n">
        <f aca="false">IF(D355&lt;=0.5,0,MIN(IF(N(I355)&gt;0,I355,$F$9),D355+E355+F355))</f>
        <v>0</v>
      </c>
      <c r="I355" s="77"/>
      <c r="J355" s="77"/>
      <c r="K355" s="41" t="n">
        <f aca="false">IF(D355&lt;=0.5,0,MIN(H355+N(J355),D355+E355+F355))</f>
        <v>0</v>
      </c>
      <c r="L355" s="41" t="n">
        <f aca="false">K355-E355-F355</f>
        <v>0</v>
      </c>
      <c r="M355" s="41" t="n">
        <f aca="false">D355-L355</f>
        <v>0</v>
      </c>
      <c r="N355" s="42" t="n">
        <f aca="false">K355-G355</f>
        <v>0</v>
      </c>
      <c r="O355" s="78"/>
      <c r="P355" s="79"/>
      <c r="Q355" s="16" t="str">
        <f aca="false">IF(K355=0,"",IF(R355=1,"Pagada",IF(C355&lt;$F$12,"Vencida",IF(329=$F$13,"Próxima","Pendiente"))))</f>
        <v/>
      </c>
      <c r="R355" s="62" t="n">
        <f aca="false">IF(AND(K355&gt;0,OR(O355="Sí",O355="Si")),1,0)</f>
        <v>0</v>
      </c>
      <c r="S355" s="62" t="n">
        <f aca="false">IF(AND(K355&gt;0,R355=0),1,0)</f>
        <v>0</v>
      </c>
    </row>
    <row r="356" customFormat="false" ht="15" hidden="false" customHeight="false" outlineLevel="0" collapsed="false">
      <c r="B356" s="71" t="str">
        <f aca="false">IF($F$6="Sí",N($C$11)+329,"")</f>
        <v/>
      </c>
      <c r="C356" s="72" t="str">
        <f aca="false">IF(OR($F$6&lt;&gt;"Sí",D356&lt;=0.5),"",EDATE($C$10,329))</f>
        <v/>
      </c>
      <c r="D356" s="41" t="n">
        <f aca="false">MAX(0,M355)</f>
        <v>0</v>
      </c>
      <c r="E356" s="41" t="n">
        <f aca="false">D356*$F$7</f>
        <v>0</v>
      </c>
      <c r="F356" s="41" t="n">
        <f aca="false">IF(D356&gt;0.5,N($C$15),0)</f>
        <v>0</v>
      </c>
      <c r="G356" s="41" t="n">
        <f aca="false">IF(AND(D356&gt;0.5,N($C$19)&gt;0,N(B356)&lt;=N($C$20)),D356*$F$8,0)</f>
        <v>0</v>
      </c>
      <c r="H356" s="41" t="n">
        <f aca="false">IF(D356&lt;=0.5,0,MIN(IF(N(I356)&gt;0,I356,$F$9),D356+E356+F356))</f>
        <v>0</v>
      </c>
      <c r="I356" s="77"/>
      <c r="J356" s="77"/>
      <c r="K356" s="41" t="n">
        <f aca="false">IF(D356&lt;=0.5,0,MIN(H356+N(J356),D356+E356+F356))</f>
        <v>0</v>
      </c>
      <c r="L356" s="41" t="n">
        <f aca="false">K356-E356-F356</f>
        <v>0</v>
      </c>
      <c r="M356" s="41" t="n">
        <f aca="false">D356-L356</f>
        <v>0</v>
      </c>
      <c r="N356" s="42" t="n">
        <f aca="false">K356-G356</f>
        <v>0</v>
      </c>
      <c r="O356" s="78"/>
      <c r="P356" s="79"/>
      <c r="Q356" s="16" t="str">
        <f aca="false">IF(K356=0,"",IF(R356=1,"Pagada",IF(C356&lt;$F$12,"Vencida",IF(330=$F$13,"Próxima","Pendiente"))))</f>
        <v/>
      </c>
      <c r="R356" s="62" t="n">
        <f aca="false">IF(AND(K356&gt;0,OR(O356="Sí",O356="Si")),1,0)</f>
        <v>0</v>
      </c>
      <c r="S356" s="62" t="n">
        <f aca="false">IF(AND(K356&gt;0,R356=0),1,0)</f>
        <v>0</v>
      </c>
    </row>
    <row r="357" customFormat="false" ht="15" hidden="false" customHeight="false" outlineLevel="0" collapsed="false">
      <c r="B357" s="71" t="str">
        <f aca="false">IF($F$6="Sí",N($C$11)+330,"")</f>
        <v/>
      </c>
      <c r="C357" s="72" t="str">
        <f aca="false">IF(OR($F$6&lt;&gt;"Sí",D357&lt;=0.5),"",EDATE($C$10,330))</f>
        <v/>
      </c>
      <c r="D357" s="41" t="n">
        <f aca="false">MAX(0,M356)</f>
        <v>0</v>
      </c>
      <c r="E357" s="41" t="n">
        <f aca="false">D357*$F$7</f>
        <v>0</v>
      </c>
      <c r="F357" s="41" t="n">
        <f aca="false">IF(D357&gt;0.5,N($C$15),0)</f>
        <v>0</v>
      </c>
      <c r="G357" s="41" t="n">
        <f aca="false">IF(AND(D357&gt;0.5,N($C$19)&gt;0,N(B357)&lt;=N($C$20)),D357*$F$8,0)</f>
        <v>0</v>
      </c>
      <c r="H357" s="41" t="n">
        <f aca="false">IF(D357&lt;=0.5,0,MIN(IF(N(I357)&gt;0,I357,$F$9),D357+E357+F357))</f>
        <v>0</v>
      </c>
      <c r="I357" s="77"/>
      <c r="J357" s="77"/>
      <c r="K357" s="41" t="n">
        <f aca="false">IF(D357&lt;=0.5,0,MIN(H357+N(J357),D357+E357+F357))</f>
        <v>0</v>
      </c>
      <c r="L357" s="41" t="n">
        <f aca="false">K357-E357-F357</f>
        <v>0</v>
      </c>
      <c r="M357" s="41" t="n">
        <f aca="false">D357-L357</f>
        <v>0</v>
      </c>
      <c r="N357" s="42" t="n">
        <f aca="false">K357-G357</f>
        <v>0</v>
      </c>
      <c r="O357" s="78"/>
      <c r="P357" s="79"/>
      <c r="Q357" s="16" t="str">
        <f aca="false">IF(K357=0,"",IF(R357=1,"Pagada",IF(C357&lt;$F$12,"Vencida",IF(331=$F$13,"Próxima","Pendiente"))))</f>
        <v/>
      </c>
      <c r="R357" s="62" t="n">
        <f aca="false">IF(AND(K357&gt;0,OR(O357="Sí",O357="Si")),1,0)</f>
        <v>0</v>
      </c>
      <c r="S357" s="62" t="n">
        <f aca="false">IF(AND(K357&gt;0,R357=0),1,0)</f>
        <v>0</v>
      </c>
    </row>
    <row r="358" customFormat="false" ht="15" hidden="false" customHeight="false" outlineLevel="0" collapsed="false">
      <c r="B358" s="71" t="str">
        <f aca="false">IF($F$6="Sí",N($C$11)+331,"")</f>
        <v/>
      </c>
      <c r="C358" s="72" t="str">
        <f aca="false">IF(OR($F$6&lt;&gt;"Sí",D358&lt;=0.5),"",EDATE($C$10,331))</f>
        <v/>
      </c>
      <c r="D358" s="41" t="n">
        <f aca="false">MAX(0,M357)</f>
        <v>0</v>
      </c>
      <c r="E358" s="41" t="n">
        <f aca="false">D358*$F$7</f>
        <v>0</v>
      </c>
      <c r="F358" s="41" t="n">
        <f aca="false">IF(D358&gt;0.5,N($C$15),0)</f>
        <v>0</v>
      </c>
      <c r="G358" s="41" t="n">
        <f aca="false">IF(AND(D358&gt;0.5,N($C$19)&gt;0,N(B358)&lt;=N($C$20)),D358*$F$8,0)</f>
        <v>0</v>
      </c>
      <c r="H358" s="41" t="n">
        <f aca="false">IF(D358&lt;=0.5,0,MIN(IF(N(I358)&gt;0,I358,$F$9),D358+E358+F358))</f>
        <v>0</v>
      </c>
      <c r="I358" s="77"/>
      <c r="J358" s="77"/>
      <c r="K358" s="41" t="n">
        <f aca="false">IF(D358&lt;=0.5,0,MIN(H358+N(J358),D358+E358+F358))</f>
        <v>0</v>
      </c>
      <c r="L358" s="41" t="n">
        <f aca="false">K358-E358-F358</f>
        <v>0</v>
      </c>
      <c r="M358" s="41" t="n">
        <f aca="false">D358-L358</f>
        <v>0</v>
      </c>
      <c r="N358" s="42" t="n">
        <f aca="false">K358-G358</f>
        <v>0</v>
      </c>
      <c r="O358" s="78"/>
      <c r="P358" s="79"/>
      <c r="Q358" s="16" t="str">
        <f aca="false">IF(K358=0,"",IF(R358=1,"Pagada",IF(C358&lt;$F$12,"Vencida",IF(332=$F$13,"Próxima","Pendiente"))))</f>
        <v/>
      </c>
      <c r="R358" s="62" t="n">
        <f aca="false">IF(AND(K358&gt;0,OR(O358="Sí",O358="Si")),1,0)</f>
        <v>0</v>
      </c>
      <c r="S358" s="62" t="n">
        <f aca="false">IF(AND(K358&gt;0,R358=0),1,0)</f>
        <v>0</v>
      </c>
    </row>
    <row r="359" customFormat="false" ht="15" hidden="false" customHeight="false" outlineLevel="0" collapsed="false">
      <c r="B359" s="71" t="str">
        <f aca="false">IF($F$6="Sí",N($C$11)+332,"")</f>
        <v/>
      </c>
      <c r="C359" s="72" t="str">
        <f aca="false">IF(OR($F$6&lt;&gt;"Sí",D359&lt;=0.5),"",EDATE($C$10,332))</f>
        <v/>
      </c>
      <c r="D359" s="41" t="n">
        <f aca="false">MAX(0,M358)</f>
        <v>0</v>
      </c>
      <c r="E359" s="41" t="n">
        <f aca="false">D359*$F$7</f>
        <v>0</v>
      </c>
      <c r="F359" s="41" t="n">
        <f aca="false">IF(D359&gt;0.5,N($C$15),0)</f>
        <v>0</v>
      </c>
      <c r="G359" s="41" t="n">
        <f aca="false">IF(AND(D359&gt;0.5,N($C$19)&gt;0,N(B359)&lt;=N($C$20)),D359*$F$8,0)</f>
        <v>0</v>
      </c>
      <c r="H359" s="41" t="n">
        <f aca="false">IF(D359&lt;=0.5,0,MIN(IF(N(I359)&gt;0,I359,$F$9),D359+E359+F359))</f>
        <v>0</v>
      </c>
      <c r="I359" s="77"/>
      <c r="J359" s="77"/>
      <c r="K359" s="41" t="n">
        <f aca="false">IF(D359&lt;=0.5,0,MIN(H359+N(J359),D359+E359+F359))</f>
        <v>0</v>
      </c>
      <c r="L359" s="41" t="n">
        <f aca="false">K359-E359-F359</f>
        <v>0</v>
      </c>
      <c r="M359" s="41" t="n">
        <f aca="false">D359-L359</f>
        <v>0</v>
      </c>
      <c r="N359" s="42" t="n">
        <f aca="false">K359-G359</f>
        <v>0</v>
      </c>
      <c r="O359" s="78"/>
      <c r="P359" s="79"/>
      <c r="Q359" s="16" t="str">
        <f aca="false">IF(K359=0,"",IF(R359=1,"Pagada",IF(C359&lt;$F$12,"Vencida",IF(333=$F$13,"Próxima","Pendiente"))))</f>
        <v/>
      </c>
      <c r="R359" s="62" t="n">
        <f aca="false">IF(AND(K359&gt;0,OR(O359="Sí",O359="Si")),1,0)</f>
        <v>0</v>
      </c>
      <c r="S359" s="62" t="n">
        <f aca="false">IF(AND(K359&gt;0,R359=0),1,0)</f>
        <v>0</v>
      </c>
    </row>
    <row r="360" customFormat="false" ht="15" hidden="false" customHeight="false" outlineLevel="0" collapsed="false">
      <c r="B360" s="71" t="str">
        <f aca="false">IF($F$6="Sí",N($C$11)+333,"")</f>
        <v/>
      </c>
      <c r="C360" s="72" t="str">
        <f aca="false">IF(OR($F$6&lt;&gt;"Sí",D360&lt;=0.5),"",EDATE($C$10,333))</f>
        <v/>
      </c>
      <c r="D360" s="41" t="n">
        <f aca="false">MAX(0,M359)</f>
        <v>0</v>
      </c>
      <c r="E360" s="41" t="n">
        <f aca="false">D360*$F$7</f>
        <v>0</v>
      </c>
      <c r="F360" s="41" t="n">
        <f aca="false">IF(D360&gt;0.5,N($C$15),0)</f>
        <v>0</v>
      </c>
      <c r="G360" s="41" t="n">
        <f aca="false">IF(AND(D360&gt;0.5,N($C$19)&gt;0,N(B360)&lt;=N($C$20)),D360*$F$8,0)</f>
        <v>0</v>
      </c>
      <c r="H360" s="41" t="n">
        <f aca="false">IF(D360&lt;=0.5,0,MIN(IF(N(I360)&gt;0,I360,$F$9),D360+E360+F360))</f>
        <v>0</v>
      </c>
      <c r="I360" s="77"/>
      <c r="J360" s="77"/>
      <c r="K360" s="41" t="n">
        <f aca="false">IF(D360&lt;=0.5,0,MIN(H360+N(J360),D360+E360+F360))</f>
        <v>0</v>
      </c>
      <c r="L360" s="41" t="n">
        <f aca="false">K360-E360-F360</f>
        <v>0</v>
      </c>
      <c r="M360" s="41" t="n">
        <f aca="false">D360-L360</f>
        <v>0</v>
      </c>
      <c r="N360" s="42" t="n">
        <f aca="false">K360-G360</f>
        <v>0</v>
      </c>
      <c r="O360" s="78"/>
      <c r="P360" s="79"/>
      <c r="Q360" s="16" t="str">
        <f aca="false">IF(K360=0,"",IF(R360=1,"Pagada",IF(C360&lt;$F$12,"Vencida",IF(334=$F$13,"Próxima","Pendiente"))))</f>
        <v/>
      </c>
      <c r="R360" s="62" t="n">
        <f aca="false">IF(AND(K360&gt;0,OR(O360="Sí",O360="Si")),1,0)</f>
        <v>0</v>
      </c>
      <c r="S360" s="62" t="n">
        <f aca="false">IF(AND(K360&gt;0,R360=0),1,0)</f>
        <v>0</v>
      </c>
    </row>
    <row r="361" customFormat="false" ht="15" hidden="false" customHeight="false" outlineLevel="0" collapsed="false">
      <c r="B361" s="71" t="str">
        <f aca="false">IF($F$6="Sí",N($C$11)+334,"")</f>
        <v/>
      </c>
      <c r="C361" s="72" t="str">
        <f aca="false">IF(OR($F$6&lt;&gt;"Sí",D361&lt;=0.5),"",EDATE($C$10,334))</f>
        <v/>
      </c>
      <c r="D361" s="41" t="n">
        <f aca="false">MAX(0,M360)</f>
        <v>0</v>
      </c>
      <c r="E361" s="41" t="n">
        <f aca="false">D361*$F$7</f>
        <v>0</v>
      </c>
      <c r="F361" s="41" t="n">
        <f aca="false">IF(D361&gt;0.5,N($C$15),0)</f>
        <v>0</v>
      </c>
      <c r="G361" s="41" t="n">
        <f aca="false">IF(AND(D361&gt;0.5,N($C$19)&gt;0,N(B361)&lt;=N($C$20)),D361*$F$8,0)</f>
        <v>0</v>
      </c>
      <c r="H361" s="41" t="n">
        <f aca="false">IF(D361&lt;=0.5,0,MIN(IF(N(I361)&gt;0,I361,$F$9),D361+E361+F361))</f>
        <v>0</v>
      </c>
      <c r="I361" s="77"/>
      <c r="J361" s="77"/>
      <c r="K361" s="41" t="n">
        <f aca="false">IF(D361&lt;=0.5,0,MIN(H361+N(J361),D361+E361+F361))</f>
        <v>0</v>
      </c>
      <c r="L361" s="41" t="n">
        <f aca="false">K361-E361-F361</f>
        <v>0</v>
      </c>
      <c r="M361" s="41" t="n">
        <f aca="false">D361-L361</f>
        <v>0</v>
      </c>
      <c r="N361" s="42" t="n">
        <f aca="false">K361-G361</f>
        <v>0</v>
      </c>
      <c r="O361" s="78"/>
      <c r="P361" s="79"/>
      <c r="Q361" s="16" t="str">
        <f aca="false">IF(K361=0,"",IF(R361=1,"Pagada",IF(C361&lt;$F$12,"Vencida",IF(335=$F$13,"Próxima","Pendiente"))))</f>
        <v/>
      </c>
      <c r="R361" s="62" t="n">
        <f aca="false">IF(AND(K361&gt;0,OR(O361="Sí",O361="Si")),1,0)</f>
        <v>0</v>
      </c>
      <c r="S361" s="62" t="n">
        <f aca="false">IF(AND(K361&gt;0,R361=0),1,0)</f>
        <v>0</v>
      </c>
    </row>
    <row r="362" customFormat="false" ht="15" hidden="false" customHeight="false" outlineLevel="0" collapsed="false">
      <c r="B362" s="71" t="str">
        <f aca="false">IF($F$6="Sí",N($C$11)+335,"")</f>
        <v/>
      </c>
      <c r="C362" s="72" t="str">
        <f aca="false">IF(OR($F$6&lt;&gt;"Sí",D362&lt;=0.5),"",EDATE($C$10,335))</f>
        <v/>
      </c>
      <c r="D362" s="41" t="n">
        <f aca="false">MAX(0,M361)</f>
        <v>0</v>
      </c>
      <c r="E362" s="41" t="n">
        <f aca="false">D362*$F$7</f>
        <v>0</v>
      </c>
      <c r="F362" s="41" t="n">
        <f aca="false">IF(D362&gt;0.5,N($C$15),0)</f>
        <v>0</v>
      </c>
      <c r="G362" s="41" t="n">
        <f aca="false">IF(AND(D362&gt;0.5,N($C$19)&gt;0,N(B362)&lt;=N($C$20)),D362*$F$8,0)</f>
        <v>0</v>
      </c>
      <c r="H362" s="41" t="n">
        <f aca="false">IF(D362&lt;=0.5,0,MIN(IF(N(I362)&gt;0,I362,$F$9),D362+E362+F362))</f>
        <v>0</v>
      </c>
      <c r="I362" s="77"/>
      <c r="J362" s="77"/>
      <c r="K362" s="41" t="n">
        <f aca="false">IF(D362&lt;=0.5,0,MIN(H362+N(J362),D362+E362+F362))</f>
        <v>0</v>
      </c>
      <c r="L362" s="41" t="n">
        <f aca="false">K362-E362-F362</f>
        <v>0</v>
      </c>
      <c r="M362" s="41" t="n">
        <f aca="false">D362-L362</f>
        <v>0</v>
      </c>
      <c r="N362" s="42" t="n">
        <f aca="false">K362-G362</f>
        <v>0</v>
      </c>
      <c r="O362" s="78"/>
      <c r="P362" s="79"/>
      <c r="Q362" s="16" t="str">
        <f aca="false">IF(K362=0,"",IF(R362=1,"Pagada",IF(C362&lt;$F$12,"Vencida",IF(336=$F$13,"Próxima","Pendiente"))))</f>
        <v/>
      </c>
      <c r="R362" s="62" t="n">
        <f aca="false">IF(AND(K362&gt;0,OR(O362="Sí",O362="Si")),1,0)</f>
        <v>0</v>
      </c>
      <c r="S362" s="62" t="n">
        <f aca="false">IF(AND(K362&gt;0,R362=0),1,0)</f>
        <v>0</v>
      </c>
    </row>
    <row r="363" customFormat="false" ht="15" hidden="false" customHeight="false" outlineLevel="0" collapsed="false">
      <c r="B363" s="71" t="str">
        <f aca="false">IF($F$6="Sí",N($C$11)+336,"")</f>
        <v/>
      </c>
      <c r="C363" s="72" t="str">
        <f aca="false">IF(OR($F$6&lt;&gt;"Sí",D363&lt;=0.5),"",EDATE($C$10,336))</f>
        <v/>
      </c>
      <c r="D363" s="41" t="n">
        <f aca="false">MAX(0,M362)</f>
        <v>0</v>
      </c>
      <c r="E363" s="41" t="n">
        <f aca="false">D363*$F$7</f>
        <v>0</v>
      </c>
      <c r="F363" s="41" t="n">
        <f aca="false">IF(D363&gt;0.5,N($C$15),0)</f>
        <v>0</v>
      </c>
      <c r="G363" s="41" t="n">
        <f aca="false">IF(AND(D363&gt;0.5,N($C$19)&gt;0,N(B363)&lt;=N($C$20)),D363*$F$8,0)</f>
        <v>0</v>
      </c>
      <c r="H363" s="41" t="n">
        <f aca="false">IF(D363&lt;=0.5,0,MIN(IF(N(I363)&gt;0,I363,$F$9),D363+E363+F363))</f>
        <v>0</v>
      </c>
      <c r="I363" s="77"/>
      <c r="J363" s="77"/>
      <c r="K363" s="41" t="n">
        <f aca="false">IF(D363&lt;=0.5,0,MIN(H363+N(J363),D363+E363+F363))</f>
        <v>0</v>
      </c>
      <c r="L363" s="41" t="n">
        <f aca="false">K363-E363-F363</f>
        <v>0</v>
      </c>
      <c r="M363" s="41" t="n">
        <f aca="false">D363-L363</f>
        <v>0</v>
      </c>
      <c r="N363" s="42" t="n">
        <f aca="false">K363-G363</f>
        <v>0</v>
      </c>
      <c r="O363" s="78"/>
      <c r="P363" s="79"/>
      <c r="Q363" s="16" t="str">
        <f aca="false">IF(K363=0,"",IF(R363=1,"Pagada",IF(C363&lt;$F$12,"Vencida",IF(337=$F$13,"Próxima","Pendiente"))))</f>
        <v/>
      </c>
      <c r="R363" s="62" t="n">
        <f aca="false">IF(AND(K363&gt;0,OR(O363="Sí",O363="Si")),1,0)</f>
        <v>0</v>
      </c>
      <c r="S363" s="62" t="n">
        <f aca="false">IF(AND(K363&gt;0,R363=0),1,0)</f>
        <v>0</v>
      </c>
    </row>
    <row r="364" customFormat="false" ht="15" hidden="false" customHeight="false" outlineLevel="0" collapsed="false">
      <c r="B364" s="71" t="str">
        <f aca="false">IF($F$6="Sí",N($C$11)+337,"")</f>
        <v/>
      </c>
      <c r="C364" s="72" t="str">
        <f aca="false">IF(OR($F$6&lt;&gt;"Sí",D364&lt;=0.5),"",EDATE($C$10,337))</f>
        <v/>
      </c>
      <c r="D364" s="41" t="n">
        <f aca="false">MAX(0,M363)</f>
        <v>0</v>
      </c>
      <c r="E364" s="41" t="n">
        <f aca="false">D364*$F$7</f>
        <v>0</v>
      </c>
      <c r="F364" s="41" t="n">
        <f aca="false">IF(D364&gt;0.5,N($C$15),0)</f>
        <v>0</v>
      </c>
      <c r="G364" s="41" t="n">
        <f aca="false">IF(AND(D364&gt;0.5,N($C$19)&gt;0,N(B364)&lt;=N($C$20)),D364*$F$8,0)</f>
        <v>0</v>
      </c>
      <c r="H364" s="41" t="n">
        <f aca="false">IF(D364&lt;=0.5,0,MIN(IF(N(I364)&gt;0,I364,$F$9),D364+E364+F364))</f>
        <v>0</v>
      </c>
      <c r="I364" s="77"/>
      <c r="J364" s="77"/>
      <c r="K364" s="41" t="n">
        <f aca="false">IF(D364&lt;=0.5,0,MIN(H364+N(J364),D364+E364+F364))</f>
        <v>0</v>
      </c>
      <c r="L364" s="41" t="n">
        <f aca="false">K364-E364-F364</f>
        <v>0</v>
      </c>
      <c r="M364" s="41" t="n">
        <f aca="false">D364-L364</f>
        <v>0</v>
      </c>
      <c r="N364" s="42" t="n">
        <f aca="false">K364-G364</f>
        <v>0</v>
      </c>
      <c r="O364" s="78"/>
      <c r="P364" s="79"/>
      <c r="Q364" s="16" t="str">
        <f aca="false">IF(K364=0,"",IF(R364=1,"Pagada",IF(C364&lt;$F$12,"Vencida",IF(338=$F$13,"Próxima","Pendiente"))))</f>
        <v/>
      </c>
      <c r="R364" s="62" t="n">
        <f aca="false">IF(AND(K364&gt;0,OR(O364="Sí",O364="Si")),1,0)</f>
        <v>0</v>
      </c>
      <c r="S364" s="62" t="n">
        <f aca="false">IF(AND(K364&gt;0,R364=0),1,0)</f>
        <v>0</v>
      </c>
    </row>
    <row r="365" customFormat="false" ht="15" hidden="false" customHeight="false" outlineLevel="0" collapsed="false">
      <c r="B365" s="71" t="str">
        <f aca="false">IF($F$6="Sí",N($C$11)+338,"")</f>
        <v/>
      </c>
      <c r="C365" s="72" t="str">
        <f aca="false">IF(OR($F$6&lt;&gt;"Sí",D365&lt;=0.5),"",EDATE($C$10,338))</f>
        <v/>
      </c>
      <c r="D365" s="41" t="n">
        <f aca="false">MAX(0,M364)</f>
        <v>0</v>
      </c>
      <c r="E365" s="41" t="n">
        <f aca="false">D365*$F$7</f>
        <v>0</v>
      </c>
      <c r="F365" s="41" t="n">
        <f aca="false">IF(D365&gt;0.5,N($C$15),0)</f>
        <v>0</v>
      </c>
      <c r="G365" s="41" t="n">
        <f aca="false">IF(AND(D365&gt;0.5,N($C$19)&gt;0,N(B365)&lt;=N($C$20)),D365*$F$8,0)</f>
        <v>0</v>
      </c>
      <c r="H365" s="41" t="n">
        <f aca="false">IF(D365&lt;=0.5,0,MIN(IF(N(I365)&gt;0,I365,$F$9),D365+E365+F365))</f>
        <v>0</v>
      </c>
      <c r="I365" s="77"/>
      <c r="J365" s="77"/>
      <c r="K365" s="41" t="n">
        <f aca="false">IF(D365&lt;=0.5,0,MIN(H365+N(J365),D365+E365+F365))</f>
        <v>0</v>
      </c>
      <c r="L365" s="41" t="n">
        <f aca="false">K365-E365-F365</f>
        <v>0</v>
      </c>
      <c r="M365" s="41" t="n">
        <f aca="false">D365-L365</f>
        <v>0</v>
      </c>
      <c r="N365" s="42" t="n">
        <f aca="false">K365-G365</f>
        <v>0</v>
      </c>
      <c r="O365" s="78"/>
      <c r="P365" s="79"/>
      <c r="Q365" s="16" t="str">
        <f aca="false">IF(K365=0,"",IF(R365=1,"Pagada",IF(C365&lt;$F$12,"Vencida",IF(339=$F$13,"Próxima","Pendiente"))))</f>
        <v/>
      </c>
      <c r="R365" s="62" t="n">
        <f aca="false">IF(AND(K365&gt;0,OR(O365="Sí",O365="Si")),1,0)</f>
        <v>0</v>
      </c>
      <c r="S365" s="62" t="n">
        <f aca="false">IF(AND(K365&gt;0,R365=0),1,0)</f>
        <v>0</v>
      </c>
    </row>
    <row r="366" customFormat="false" ht="15" hidden="false" customHeight="false" outlineLevel="0" collapsed="false">
      <c r="B366" s="71" t="str">
        <f aca="false">IF($F$6="Sí",N($C$11)+339,"")</f>
        <v/>
      </c>
      <c r="C366" s="72" t="str">
        <f aca="false">IF(OR($F$6&lt;&gt;"Sí",D366&lt;=0.5),"",EDATE($C$10,339))</f>
        <v/>
      </c>
      <c r="D366" s="41" t="n">
        <f aca="false">MAX(0,M365)</f>
        <v>0</v>
      </c>
      <c r="E366" s="41" t="n">
        <f aca="false">D366*$F$7</f>
        <v>0</v>
      </c>
      <c r="F366" s="41" t="n">
        <f aca="false">IF(D366&gt;0.5,N($C$15),0)</f>
        <v>0</v>
      </c>
      <c r="G366" s="41" t="n">
        <f aca="false">IF(AND(D366&gt;0.5,N($C$19)&gt;0,N(B366)&lt;=N($C$20)),D366*$F$8,0)</f>
        <v>0</v>
      </c>
      <c r="H366" s="41" t="n">
        <f aca="false">IF(D366&lt;=0.5,0,MIN(IF(N(I366)&gt;0,I366,$F$9),D366+E366+F366))</f>
        <v>0</v>
      </c>
      <c r="I366" s="77"/>
      <c r="J366" s="77"/>
      <c r="K366" s="41" t="n">
        <f aca="false">IF(D366&lt;=0.5,0,MIN(H366+N(J366),D366+E366+F366))</f>
        <v>0</v>
      </c>
      <c r="L366" s="41" t="n">
        <f aca="false">K366-E366-F366</f>
        <v>0</v>
      </c>
      <c r="M366" s="41" t="n">
        <f aca="false">D366-L366</f>
        <v>0</v>
      </c>
      <c r="N366" s="42" t="n">
        <f aca="false">K366-G366</f>
        <v>0</v>
      </c>
      <c r="O366" s="78"/>
      <c r="P366" s="79"/>
      <c r="Q366" s="16" t="str">
        <f aca="false">IF(K366=0,"",IF(R366=1,"Pagada",IF(C366&lt;$F$12,"Vencida",IF(340=$F$13,"Próxima","Pendiente"))))</f>
        <v/>
      </c>
      <c r="R366" s="62" t="n">
        <f aca="false">IF(AND(K366&gt;0,OR(O366="Sí",O366="Si")),1,0)</f>
        <v>0</v>
      </c>
      <c r="S366" s="62" t="n">
        <f aca="false">IF(AND(K366&gt;0,R366=0),1,0)</f>
        <v>0</v>
      </c>
    </row>
    <row r="367" customFormat="false" ht="15" hidden="false" customHeight="false" outlineLevel="0" collapsed="false">
      <c r="B367" s="71" t="str">
        <f aca="false">IF($F$6="Sí",N($C$11)+340,"")</f>
        <v/>
      </c>
      <c r="C367" s="72" t="str">
        <f aca="false">IF(OR($F$6&lt;&gt;"Sí",D367&lt;=0.5),"",EDATE($C$10,340))</f>
        <v/>
      </c>
      <c r="D367" s="41" t="n">
        <f aca="false">MAX(0,M366)</f>
        <v>0</v>
      </c>
      <c r="E367" s="41" t="n">
        <f aca="false">D367*$F$7</f>
        <v>0</v>
      </c>
      <c r="F367" s="41" t="n">
        <f aca="false">IF(D367&gt;0.5,N($C$15),0)</f>
        <v>0</v>
      </c>
      <c r="G367" s="41" t="n">
        <f aca="false">IF(AND(D367&gt;0.5,N($C$19)&gt;0,N(B367)&lt;=N($C$20)),D367*$F$8,0)</f>
        <v>0</v>
      </c>
      <c r="H367" s="41" t="n">
        <f aca="false">IF(D367&lt;=0.5,0,MIN(IF(N(I367)&gt;0,I367,$F$9),D367+E367+F367))</f>
        <v>0</v>
      </c>
      <c r="I367" s="77"/>
      <c r="J367" s="77"/>
      <c r="K367" s="41" t="n">
        <f aca="false">IF(D367&lt;=0.5,0,MIN(H367+N(J367),D367+E367+F367))</f>
        <v>0</v>
      </c>
      <c r="L367" s="41" t="n">
        <f aca="false">K367-E367-F367</f>
        <v>0</v>
      </c>
      <c r="M367" s="41" t="n">
        <f aca="false">D367-L367</f>
        <v>0</v>
      </c>
      <c r="N367" s="42" t="n">
        <f aca="false">K367-G367</f>
        <v>0</v>
      </c>
      <c r="O367" s="78"/>
      <c r="P367" s="79"/>
      <c r="Q367" s="16" t="str">
        <f aca="false">IF(K367=0,"",IF(R367=1,"Pagada",IF(C367&lt;$F$12,"Vencida",IF(341=$F$13,"Próxima","Pendiente"))))</f>
        <v/>
      </c>
      <c r="R367" s="62" t="n">
        <f aca="false">IF(AND(K367&gt;0,OR(O367="Sí",O367="Si")),1,0)</f>
        <v>0</v>
      </c>
      <c r="S367" s="62" t="n">
        <f aca="false">IF(AND(K367&gt;0,R367=0),1,0)</f>
        <v>0</v>
      </c>
    </row>
    <row r="368" customFormat="false" ht="15" hidden="false" customHeight="false" outlineLevel="0" collapsed="false">
      <c r="B368" s="71" t="str">
        <f aca="false">IF($F$6="Sí",N($C$11)+341,"")</f>
        <v/>
      </c>
      <c r="C368" s="72" t="str">
        <f aca="false">IF(OR($F$6&lt;&gt;"Sí",D368&lt;=0.5),"",EDATE($C$10,341))</f>
        <v/>
      </c>
      <c r="D368" s="41" t="n">
        <f aca="false">MAX(0,M367)</f>
        <v>0</v>
      </c>
      <c r="E368" s="41" t="n">
        <f aca="false">D368*$F$7</f>
        <v>0</v>
      </c>
      <c r="F368" s="41" t="n">
        <f aca="false">IF(D368&gt;0.5,N($C$15),0)</f>
        <v>0</v>
      </c>
      <c r="G368" s="41" t="n">
        <f aca="false">IF(AND(D368&gt;0.5,N($C$19)&gt;0,N(B368)&lt;=N($C$20)),D368*$F$8,0)</f>
        <v>0</v>
      </c>
      <c r="H368" s="41" t="n">
        <f aca="false">IF(D368&lt;=0.5,0,MIN(IF(N(I368)&gt;0,I368,$F$9),D368+E368+F368))</f>
        <v>0</v>
      </c>
      <c r="I368" s="77"/>
      <c r="J368" s="77"/>
      <c r="K368" s="41" t="n">
        <f aca="false">IF(D368&lt;=0.5,0,MIN(H368+N(J368),D368+E368+F368))</f>
        <v>0</v>
      </c>
      <c r="L368" s="41" t="n">
        <f aca="false">K368-E368-F368</f>
        <v>0</v>
      </c>
      <c r="M368" s="41" t="n">
        <f aca="false">D368-L368</f>
        <v>0</v>
      </c>
      <c r="N368" s="42" t="n">
        <f aca="false">K368-G368</f>
        <v>0</v>
      </c>
      <c r="O368" s="78"/>
      <c r="P368" s="79"/>
      <c r="Q368" s="16" t="str">
        <f aca="false">IF(K368=0,"",IF(R368=1,"Pagada",IF(C368&lt;$F$12,"Vencida",IF(342=$F$13,"Próxima","Pendiente"))))</f>
        <v/>
      </c>
      <c r="R368" s="62" t="n">
        <f aca="false">IF(AND(K368&gt;0,OR(O368="Sí",O368="Si")),1,0)</f>
        <v>0</v>
      </c>
      <c r="S368" s="62" t="n">
        <f aca="false">IF(AND(K368&gt;0,R368=0),1,0)</f>
        <v>0</v>
      </c>
    </row>
    <row r="369" customFormat="false" ht="15" hidden="false" customHeight="false" outlineLevel="0" collapsed="false">
      <c r="B369" s="71" t="str">
        <f aca="false">IF($F$6="Sí",N($C$11)+342,"")</f>
        <v/>
      </c>
      <c r="C369" s="72" t="str">
        <f aca="false">IF(OR($F$6&lt;&gt;"Sí",D369&lt;=0.5),"",EDATE($C$10,342))</f>
        <v/>
      </c>
      <c r="D369" s="41" t="n">
        <f aca="false">MAX(0,M368)</f>
        <v>0</v>
      </c>
      <c r="E369" s="41" t="n">
        <f aca="false">D369*$F$7</f>
        <v>0</v>
      </c>
      <c r="F369" s="41" t="n">
        <f aca="false">IF(D369&gt;0.5,N($C$15),0)</f>
        <v>0</v>
      </c>
      <c r="G369" s="41" t="n">
        <f aca="false">IF(AND(D369&gt;0.5,N($C$19)&gt;0,N(B369)&lt;=N($C$20)),D369*$F$8,0)</f>
        <v>0</v>
      </c>
      <c r="H369" s="41" t="n">
        <f aca="false">IF(D369&lt;=0.5,0,MIN(IF(N(I369)&gt;0,I369,$F$9),D369+E369+F369))</f>
        <v>0</v>
      </c>
      <c r="I369" s="77"/>
      <c r="J369" s="77"/>
      <c r="K369" s="41" t="n">
        <f aca="false">IF(D369&lt;=0.5,0,MIN(H369+N(J369),D369+E369+F369))</f>
        <v>0</v>
      </c>
      <c r="L369" s="41" t="n">
        <f aca="false">K369-E369-F369</f>
        <v>0</v>
      </c>
      <c r="M369" s="41" t="n">
        <f aca="false">D369-L369</f>
        <v>0</v>
      </c>
      <c r="N369" s="42" t="n">
        <f aca="false">K369-G369</f>
        <v>0</v>
      </c>
      <c r="O369" s="78"/>
      <c r="P369" s="79"/>
      <c r="Q369" s="16" t="str">
        <f aca="false">IF(K369=0,"",IF(R369=1,"Pagada",IF(C369&lt;$F$12,"Vencida",IF(343=$F$13,"Próxima","Pendiente"))))</f>
        <v/>
      </c>
      <c r="R369" s="62" t="n">
        <f aca="false">IF(AND(K369&gt;0,OR(O369="Sí",O369="Si")),1,0)</f>
        <v>0</v>
      </c>
      <c r="S369" s="62" t="n">
        <f aca="false">IF(AND(K369&gt;0,R369=0),1,0)</f>
        <v>0</v>
      </c>
    </row>
    <row r="370" customFormat="false" ht="15" hidden="false" customHeight="false" outlineLevel="0" collapsed="false">
      <c r="B370" s="71" t="str">
        <f aca="false">IF($F$6="Sí",N($C$11)+343,"")</f>
        <v/>
      </c>
      <c r="C370" s="72" t="str">
        <f aca="false">IF(OR($F$6&lt;&gt;"Sí",D370&lt;=0.5),"",EDATE($C$10,343))</f>
        <v/>
      </c>
      <c r="D370" s="41" t="n">
        <f aca="false">MAX(0,M369)</f>
        <v>0</v>
      </c>
      <c r="E370" s="41" t="n">
        <f aca="false">D370*$F$7</f>
        <v>0</v>
      </c>
      <c r="F370" s="41" t="n">
        <f aca="false">IF(D370&gt;0.5,N($C$15),0)</f>
        <v>0</v>
      </c>
      <c r="G370" s="41" t="n">
        <f aca="false">IF(AND(D370&gt;0.5,N($C$19)&gt;0,N(B370)&lt;=N($C$20)),D370*$F$8,0)</f>
        <v>0</v>
      </c>
      <c r="H370" s="41" t="n">
        <f aca="false">IF(D370&lt;=0.5,0,MIN(IF(N(I370)&gt;0,I370,$F$9),D370+E370+F370))</f>
        <v>0</v>
      </c>
      <c r="I370" s="77"/>
      <c r="J370" s="77"/>
      <c r="K370" s="41" t="n">
        <f aca="false">IF(D370&lt;=0.5,0,MIN(H370+N(J370),D370+E370+F370))</f>
        <v>0</v>
      </c>
      <c r="L370" s="41" t="n">
        <f aca="false">K370-E370-F370</f>
        <v>0</v>
      </c>
      <c r="M370" s="41" t="n">
        <f aca="false">D370-L370</f>
        <v>0</v>
      </c>
      <c r="N370" s="42" t="n">
        <f aca="false">K370-G370</f>
        <v>0</v>
      </c>
      <c r="O370" s="78"/>
      <c r="P370" s="79"/>
      <c r="Q370" s="16" t="str">
        <f aca="false">IF(K370=0,"",IF(R370=1,"Pagada",IF(C370&lt;$F$12,"Vencida",IF(344=$F$13,"Próxima","Pendiente"))))</f>
        <v/>
      </c>
      <c r="R370" s="62" t="n">
        <f aca="false">IF(AND(K370&gt;0,OR(O370="Sí",O370="Si")),1,0)</f>
        <v>0</v>
      </c>
      <c r="S370" s="62" t="n">
        <f aca="false">IF(AND(K370&gt;0,R370=0),1,0)</f>
        <v>0</v>
      </c>
    </row>
    <row r="371" customFormat="false" ht="15" hidden="false" customHeight="false" outlineLevel="0" collapsed="false">
      <c r="B371" s="71" t="str">
        <f aca="false">IF($F$6="Sí",N($C$11)+344,"")</f>
        <v/>
      </c>
      <c r="C371" s="72" t="str">
        <f aca="false">IF(OR($F$6&lt;&gt;"Sí",D371&lt;=0.5),"",EDATE($C$10,344))</f>
        <v/>
      </c>
      <c r="D371" s="41" t="n">
        <f aca="false">MAX(0,M370)</f>
        <v>0</v>
      </c>
      <c r="E371" s="41" t="n">
        <f aca="false">D371*$F$7</f>
        <v>0</v>
      </c>
      <c r="F371" s="41" t="n">
        <f aca="false">IF(D371&gt;0.5,N($C$15),0)</f>
        <v>0</v>
      </c>
      <c r="G371" s="41" t="n">
        <f aca="false">IF(AND(D371&gt;0.5,N($C$19)&gt;0,N(B371)&lt;=N($C$20)),D371*$F$8,0)</f>
        <v>0</v>
      </c>
      <c r="H371" s="41" t="n">
        <f aca="false">IF(D371&lt;=0.5,0,MIN(IF(N(I371)&gt;0,I371,$F$9),D371+E371+F371))</f>
        <v>0</v>
      </c>
      <c r="I371" s="77"/>
      <c r="J371" s="77"/>
      <c r="K371" s="41" t="n">
        <f aca="false">IF(D371&lt;=0.5,0,MIN(H371+N(J371),D371+E371+F371))</f>
        <v>0</v>
      </c>
      <c r="L371" s="41" t="n">
        <f aca="false">K371-E371-F371</f>
        <v>0</v>
      </c>
      <c r="M371" s="41" t="n">
        <f aca="false">D371-L371</f>
        <v>0</v>
      </c>
      <c r="N371" s="42" t="n">
        <f aca="false">K371-G371</f>
        <v>0</v>
      </c>
      <c r="O371" s="78"/>
      <c r="P371" s="79"/>
      <c r="Q371" s="16" t="str">
        <f aca="false">IF(K371=0,"",IF(R371=1,"Pagada",IF(C371&lt;$F$12,"Vencida",IF(345=$F$13,"Próxima","Pendiente"))))</f>
        <v/>
      </c>
      <c r="R371" s="62" t="n">
        <f aca="false">IF(AND(K371&gt;0,OR(O371="Sí",O371="Si")),1,0)</f>
        <v>0</v>
      </c>
      <c r="S371" s="62" t="n">
        <f aca="false">IF(AND(K371&gt;0,R371=0),1,0)</f>
        <v>0</v>
      </c>
    </row>
    <row r="372" customFormat="false" ht="15" hidden="false" customHeight="false" outlineLevel="0" collapsed="false">
      <c r="B372" s="71" t="str">
        <f aca="false">IF($F$6="Sí",N($C$11)+345,"")</f>
        <v/>
      </c>
      <c r="C372" s="72" t="str">
        <f aca="false">IF(OR($F$6&lt;&gt;"Sí",D372&lt;=0.5),"",EDATE($C$10,345))</f>
        <v/>
      </c>
      <c r="D372" s="41" t="n">
        <f aca="false">MAX(0,M371)</f>
        <v>0</v>
      </c>
      <c r="E372" s="41" t="n">
        <f aca="false">D372*$F$7</f>
        <v>0</v>
      </c>
      <c r="F372" s="41" t="n">
        <f aca="false">IF(D372&gt;0.5,N($C$15),0)</f>
        <v>0</v>
      </c>
      <c r="G372" s="41" t="n">
        <f aca="false">IF(AND(D372&gt;0.5,N($C$19)&gt;0,N(B372)&lt;=N($C$20)),D372*$F$8,0)</f>
        <v>0</v>
      </c>
      <c r="H372" s="41" t="n">
        <f aca="false">IF(D372&lt;=0.5,0,MIN(IF(N(I372)&gt;0,I372,$F$9),D372+E372+F372))</f>
        <v>0</v>
      </c>
      <c r="I372" s="77"/>
      <c r="J372" s="77"/>
      <c r="K372" s="41" t="n">
        <f aca="false">IF(D372&lt;=0.5,0,MIN(H372+N(J372),D372+E372+F372))</f>
        <v>0</v>
      </c>
      <c r="L372" s="41" t="n">
        <f aca="false">K372-E372-F372</f>
        <v>0</v>
      </c>
      <c r="M372" s="41" t="n">
        <f aca="false">D372-L372</f>
        <v>0</v>
      </c>
      <c r="N372" s="42" t="n">
        <f aca="false">K372-G372</f>
        <v>0</v>
      </c>
      <c r="O372" s="78"/>
      <c r="P372" s="79"/>
      <c r="Q372" s="16" t="str">
        <f aca="false">IF(K372=0,"",IF(R372=1,"Pagada",IF(C372&lt;$F$12,"Vencida",IF(346=$F$13,"Próxima","Pendiente"))))</f>
        <v/>
      </c>
      <c r="R372" s="62" t="n">
        <f aca="false">IF(AND(K372&gt;0,OR(O372="Sí",O372="Si")),1,0)</f>
        <v>0</v>
      </c>
      <c r="S372" s="62" t="n">
        <f aca="false">IF(AND(K372&gt;0,R372=0),1,0)</f>
        <v>0</v>
      </c>
    </row>
    <row r="373" customFormat="false" ht="15" hidden="false" customHeight="false" outlineLevel="0" collapsed="false">
      <c r="B373" s="71" t="str">
        <f aca="false">IF($F$6="Sí",N($C$11)+346,"")</f>
        <v/>
      </c>
      <c r="C373" s="72" t="str">
        <f aca="false">IF(OR($F$6&lt;&gt;"Sí",D373&lt;=0.5),"",EDATE($C$10,346))</f>
        <v/>
      </c>
      <c r="D373" s="41" t="n">
        <f aca="false">MAX(0,M372)</f>
        <v>0</v>
      </c>
      <c r="E373" s="41" t="n">
        <f aca="false">D373*$F$7</f>
        <v>0</v>
      </c>
      <c r="F373" s="41" t="n">
        <f aca="false">IF(D373&gt;0.5,N($C$15),0)</f>
        <v>0</v>
      </c>
      <c r="G373" s="41" t="n">
        <f aca="false">IF(AND(D373&gt;0.5,N($C$19)&gt;0,N(B373)&lt;=N($C$20)),D373*$F$8,0)</f>
        <v>0</v>
      </c>
      <c r="H373" s="41" t="n">
        <f aca="false">IF(D373&lt;=0.5,0,MIN(IF(N(I373)&gt;0,I373,$F$9),D373+E373+F373))</f>
        <v>0</v>
      </c>
      <c r="I373" s="77"/>
      <c r="J373" s="77"/>
      <c r="K373" s="41" t="n">
        <f aca="false">IF(D373&lt;=0.5,0,MIN(H373+N(J373),D373+E373+F373))</f>
        <v>0</v>
      </c>
      <c r="L373" s="41" t="n">
        <f aca="false">K373-E373-F373</f>
        <v>0</v>
      </c>
      <c r="M373" s="41" t="n">
        <f aca="false">D373-L373</f>
        <v>0</v>
      </c>
      <c r="N373" s="42" t="n">
        <f aca="false">K373-G373</f>
        <v>0</v>
      </c>
      <c r="O373" s="78"/>
      <c r="P373" s="79"/>
      <c r="Q373" s="16" t="str">
        <f aca="false">IF(K373=0,"",IF(R373=1,"Pagada",IF(C373&lt;$F$12,"Vencida",IF(347=$F$13,"Próxima","Pendiente"))))</f>
        <v/>
      </c>
      <c r="R373" s="62" t="n">
        <f aca="false">IF(AND(K373&gt;0,OR(O373="Sí",O373="Si")),1,0)</f>
        <v>0</v>
      </c>
      <c r="S373" s="62" t="n">
        <f aca="false">IF(AND(K373&gt;0,R373=0),1,0)</f>
        <v>0</v>
      </c>
    </row>
    <row r="374" customFormat="false" ht="15" hidden="false" customHeight="false" outlineLevel="0" collapsed="false">
      <c r="B374" s="71" t="str">
        <f aca="false">IF($F$6="Sí",N($C$11)+347,"")</f>
        <v/>
      </c>
      <c r="C374" s="72" t="str">
        <f aca="false">IF(OR($F$6&lt;&gt;"Sí",D374&lt;=0.5),"",EDATE($C$10,347))</f>
        <v/>
      </c>
      <c r="D374" s="41" t="n">
        <f aca="false">MAX(0,M373)</f>
        <v>0</v>
      </c>
      <c r="E374" s="41" t="n">
        <f aca="false">D374*$F$7</f>
        <v>0</v>
      </c>
      <c r="F374" s="41" t="n">
        <f aca="false">IF(D374&gt;0.5,N($C$15),0)</f>
        <v>0</v>
      </c>
      <c r="G374" s="41" t="n">
        <f aca="false">IF(AND(D374&gt;0.5,N($C$19)&gt;0,N(B374)&lt;=N($C$20)),D374*$F$8,0)</f>
        <v>0</v>
      </c>
      <c r="H374" s="41" t="n">
        <f aca="false">IF(D374&lt;=0.5,0,MIN(IF(N(I374)&gt;0,I374,$F$9),D374+E374+F374))</f>
        <v>0</v>
      </c>
      <c r="I374" s="77"/>
      <c r="J374" s="77"/>
      <c r="K374" s="41" t="n">
        <f aca="false">IF(D374&lt;=0.5,0,MIN(H374+N(J374),D374+E374+F374))</f>
        <v>0</v>
      </c>
      <c r="L374" s="41" t="n">
        <f aca="false">K374-E374-F374</f>
        <v>0</v>
      </c>
      <c r="M374" s="41" t="n">
        <f aca="false">D374-L374</f>
        <v>0</v>
      </c>
      <c r="N374" s="42" t="n">
        <f aca="false">K374-G374</f>
        <v>0</v>
      </c>
      <c r="O374" s="78"/>
      <c r="P374" s="79"/>
      <c r="Q374" s="16" t="str">
        <f aca="false">IF(K374=0,"",IF(R374=1,"Pagada",IF(C374&lt;$F$12,"Vencida",IF(348=$F$13,"Próxima","Pendiente"))))</f>
        <v/>
      </c>
      <c r="R374" s="62" t="n">
        <f aca="false">IF(AND(K374&gt;0,OR(O374="Sí",O374="Si")),1,0)</f>
        <v>0</v>
      </c>
      <c r="S374" s="62" t="n">
        <f aca="false">IF(AND(K374&gt;0,R374=0),1,0)</f>
        <v>0</v>
      </c>
    </row>
    <row r="375" customFormat="false" ht="15" hidden="false" customHeight="false" outlineLevel="0" collapsed="false">
      <c r="B375" s="71" t="str">
        <f aca="false">IF($F$6="Sí",N($C$11)+348,"")</f>
        <v/>
      </c>
      <c r="C375" s="72" t="str">
        <f aca="false">IF(OR($F$6&lt;&gt;"Sí",D375&lt;=0.5),"",EDATE($C$10,348))</f>
        <v/>
      </c>
      <c r="D375" s="41" t="n">
        <f aca="false">MAX(0,M374)</f>
        <v>0</v>
      </c>
      <c r="E375" s="41" t="n">
        <f aca="false">D375*$F$7</f>
        <v>0</v>
      </c>
      <c r="F375" s="41" t="n">
        <f aca="false">IF(D375&gt;0.5,N($C$15),0)</f>
        <v>0</v>
      </c>
      <c r="G375" s="41" t="n">
        <f aca="false">IF(AND(D375&gt;0.5,N($C$19)&gt;0,N(B375)&lt;=N($C$20)),D375*$F$8,0)</f>
        <v>0</v>
      </c>
      <c r="H375" s="41" t="n">
        <f aca="false">IF(D375&lt;=0.5,0,MIN(IF(N(I375)&gt;0,I375,$F$9),D375+E375+F375))</f>
        <v>0</v>
      </c>
      <c r="I375" s="77"/>
      <c r="J375" s="77"/>
      <c r="K375" s="41" t="n">
        <f aca="false">IF(D375&lt;=0.5,0,MIN(H375+N(J375),D375+E375+F375))</f>
        <v>0</v>
      </c>
      <c r="L375" s="41" t="n">
        <f aca="false">K375-E375-F375</f>
        <v>0</v>
      </c>
      <c r="M375" s="41" t="n">
        <f aca="false">D375-L375</f>
        <v>0</v>
      </c>
      <c r="N375" s="42" t="n">
        <f aca="false">K375-G375</f>
        <v>0</v>
      </c>
      <c r="O375" s="78"/>
      <c r="P375" s="79"/>
      <c r="Q375" s="16" t="str">
        <f aca="false">IF(K375=0,"",IF(R375=1,"Pagada",IF(C375&lt;$F$12,"Vencida",IF(349=$F$13,"Próxima","Pendiente"))))</f>
        <v/>
      </c>
      <c r="R375" s="62" t="n">
        <f aca="false">IF(AND(K375&gt;0,OR(O375="Sí",O375="Si")),1,0)</f>
        <v>0</v>
      </c>
      <c r="S375" s="62" t="n">
        <f aca="false">IF(AND(K375&gt;0,R375=0),1,0)</f>
        <v>0</v>
      </c>
    </row>
    <row r="376" customFormat="false" ht="15" hidden="false" customHeight="false" outlineLevel="0" collapsed="false">
      <c r="B376" s="71" t="str">
        <f aca="false">IF($F$6="Sí",N($C$11)+349,"")</f>
        <v/>
      </c>
      <c r="C376" s="72" t="str">
        <f aca="false">IF(OR($F$6&lt;&gt;"Sí",D376&lt;=0.5),"",EDATE($C$10,349))</f>
        <v/>
      </c>
      <c r="D376" s="41" t="n">
        <f aca="false">MAX(0,M375)</f>
        <v>0</v>
      </c>
      <c r="E376" s="41" t="n">
        <f aca="false">D376*$F$7</f>
        <v>0</v>
      </c>
      <c r="F376" s="41" t="n">
        <f aca="false">IF(D376&gt;0.5,N($C$15),0)</f>
        <v>0</v>
      </c>
      <c r="G376" s="41" t="n">
        <f aca="false">IF(AND(D376&gt;0.5,N($C$19)&gt;0,N(B376)&lt;=N($C$20)),D376*$F$8,0)</f>
        <v>0</v>
      </c>
      <c r="H376" s="41" t="n">
        <f aca="false">IF(D376&lt;=0.5,0,MIN(IF(N(I376)&gt;0,I376,$F$9),D376+E376+F376))</f>
        <v>0</v>
      </c>
      <c r="I376" s="77"/>
      <c r="J376" s="77"/>
      <c r="K376" s="41" t="n">
        <f aca="false">IF(D376&lt;=0.5,0,MIN(H376+N(J376),D376+E376+F376))</f>
        <v>0</v>
      </c>
      <c r="L376" s="41" t="n">
        <f aca="false">K376-E376-F376</f>
        <v>0</v>
      </c>
      <c r="M376" s="41" t="n">
        <f aca="false">D376-L376</f>
        <v>0</v>
      </c>
      <c r="N376" s="42" t="n">
        <f aca="false">K376-G376</f>
        <v>0</v>
      </c>
      <c r="O376" s="78"/>
      <c r="P376" s="79"/>
      <c r="Q376" s="16" t="str">
        <f aca="false">IF(K376=0,"",IF(R376=1,"Pagada",IF(C376&lt;$F$12,"Vencida",IF(350=$F$13,"Próxima","Pendiente"))))</f>
        <v/>
      </c>
      <c r="R376" s="62" t="n">
        <f aca="false">IF(AND(K376&gt;0,OR(O376="Sí",O376="Si")),1,0)</f>
        <v>0</v>
      </c>
      <c r="S376" s="62" t="n">
        <f aca="false">IF(AND(K376&gt;0,R376=0),1,0)</f>
        <v>0</v>
      </c>
    </row>
    <row r="377" customFormat="false" ht="15" hidden="false" customHeight="false" outlineLevel="0" collapsed="false">
      <c r="B377" s="71" t="str">
        <f aca="false">IF($F$6="Sí",N($C$11)+350,"")</f>
        <v/>
      </c>
      <c r="C377" s="72" t="str">
        <f aca="false">IF(OR($F$6&lt;&gt;"Sí",D377&lt;=0.5),"",EDATE($C$10,350))</f>
        <v/>
      </c>
      <c r="D377" s="41" t="n">
        <f aca="false">MAX(0,M376)</f>
        <v>0</v>
      </c>
      <c r="E377" s="41" t="n">
        <f aca="false">D377*$F$7</f>
        <v>0</v>
      </c>
      <c r="F377" s="41" t="n">
        <f aca="false">IF(D377&gt;0.5,N($C$15),0)</f>
        <v>0</v>
      </c>
      <c r="G377" s="41" t="n">
        <f aca="false">IF(AND(D377&gt;0.5,N($C$19)&gt;0,N(B377)&lt;=N($C$20)),D377*$F$8,0)</f>
        <v>0</v>
      </c>
      <c r="H377" s="41" t="n">
        <f aca="false">IF(D377&lt;=0.5,0,MIN(IF(N(I377)&gt;0,I377,$F$9),D377+E377+F377))</f>
        <v>0</v>
      </c>
      <c r="I377" s="77"/>
      <c r="J377" s="77"/>
      <c r="K377" s="41" t="n">
        <f aca="false">IF(D377&lt;=0.5,0,MIN(H377+N(J377),D377+E377+F377))</f>
        <v>0</v>
      </c>
      <c r="L377" s="41" t="n">
        <f aca="false">K377-E377-F377</f>
        <v>0</v>
      </c>
      <c r="M377" s="41" t="n">
        <f aca="false">D377-L377</f>
        <v>0</v>
      </c>
      <c r="N377" s="42" t="n">
        <f aca="false">K377-G377</f>
        <v>0</v>
      </c>
      <c r="O377" s="78"/>
      <c r="P377" s="79"/>
      <c r="Q377" s="16" t="str">
        <f aca="false">IF(K377=0,"",IF(R377=1,"Pagada",IF(C377&lt;$F$12,"Vencida",IF(351=$F$13,"Próxima","Pendiente"))))</f>
        <v/>
      </c>
      <c r="R377" s="62" t="n">
        <f aca="false">IF(AND(K377&gt;0,OR(O377="Sí",O377="Si")),1,0)</f>
        <v>0</v>
      </c>
      <c r="S377" s="62" t="n">
        <f aca="false">IF(AND(K377&gt;0,R377=0),1,0)</f>
        <v>0</v>
      </c>
    </row>
    <row r="378" customFormat="false" ht="15" hidden="false" customHeight="false" outlineLevel="0" collapsed="false">
      <c r="B378" s="71" t="str">
        <f aca="false">IF($F$6="Sí",N($C$11)+351,"")</f>
        <v/>
      </c>
      <c r="C378" s="72" t="str">
        <f aca="false">IF(OR($F$6&lt;&gt;"Sí",D378&lt;=0.5),"",EDATE($C$10,351))</f>
        <v/>
      </c>
      <c r="D378" s="41" t="n">
        <f aca="false">MAX(0,M377)</f>
        <v>0</v>
      </c>
      <c r="E378" s="41" t="n">
        <f aca="false">D378*$F$7</f>
        <v>0</v>
      </c>
      <c r="F378" s="41" t="n">
        <f aca="false">IF(D378&gt;0.5,N($C$15),0)</f>
        <v>0</v>
      </c>
      <c r="G378" s="41" t="n">
        <f aca="false">IF(AND(D378&gt;0.5,N($C$19)&gt;0,N(B378)&lt;=N($C$20)),D378*$F$8,0)</f>
        <v>0</v>
      </c>
      <c r="H378" s="41" t="n">
        <f aca="false">IF(D378&lt;=0.5,0,MIN(IF(N(I378)&gt;0,I378,$F$9),D378+E378+F378))</f>
        <v>0</v>
      </c>
      <c r="I378" s="77"/>
      <c r="J378" s="77"/>
      <c r="K378" s="41" t="n">
        <f aca="false">IF(D378&lt;=0.5,0,MIN(H378+N(J378),D378+E378+F378))</f>
        <v>0</v>
      </c>
      <c r="L378" s="41" t="n">
        <f aca="false">K378-E378-F378</f>
        <v>0</v>
      </c>
      <c r="M378" s="41" t="n">
        <f aca="false">D378-L378</f>
        <v>0</v>
      </c>
      <c r="N378" s="42" t="n">
        <f aca="false">K378-G378</f>
        <v>0</v>
      </c>
      <c r="O378" s="78"/>
      <c r="P378" s="79"/>
      <c r="Q378" s="16" t="str">
        <f aca="false">IF(K378=0,"",IF(R378=1,"Pagada",IF(C378&lt;$F$12,"Vencida",IF(352=$F$13,"Próxima","Pendiente"))))</f>
        <v/>
      </c>
      <c r="R378" s="62" t="n">
        <f aca="false">IF(AND(K378&gt;0,OR(O378="Sí",O378="Si")),1,0)</f>
        <v>0</v>
      </c>
      <c r="S378" s="62" t="n">
        <f aca="false">IF(AND(K378&gt;0,R378=0),1,0)</f>
        <v>0</v>
      </c>
    </row>
    <row r="379" customFormat="false" ht="15" hidden="false" customHeight="false" outlineLevel="0" collapsed="false">
      <c r="B379" s="71" t="str">
        <f aca="false">IF($F$6="Sí",N($C$11)+352,"")</f>
        <v/>
      </c>
      <c r="C379" s="72" t="str">
        <f aca="false">IF(OR($F$6&lt;&gt;"Sí",D379&lt;=0.5),"",EDATE($C$10,352))</f>
        <v/>
      </c>
      <c r="D379" s="41" t="n">
        <f aca="false">MAX(0,M378)</f>
        <v>0</v>
      </c>
      <c r="E379" s="41" t="n">
        <f aca="false">D379*$F$7</f>
        <v>0</v>
      </c>
      <c r="F379" s="41" t="n">
        <f aca="false">IF(D379&gt;0.5,N($C$15),0)</f>
        <v>0</v>
      </c>
      <c r="G379" s="41" t="n">
        <f aca="false">IF(AND(D379&gt;0.5,N($C$19)&gt;0,N(B379)&lt;=N($C$20)),D379*$F$8,0)</f>
        <v>0</v>
      </c>
      <c r="H379" s="41" t="n">
        <f aca="false">IF(D379&lt;=0.5,0,MIN(IF(N(I379)&gt;0,I379,$F$9),D379+E379+F379))</f>
        <v>0</v>
      </c>
      <c r="I379" s="77"/>
      <c r="J379" s="77"/>
      <c r="K379" s="41" t="n">
        <f aca="false">IF(D379&lt;=0.5,0,MIN(H379+N(J379),D379+E379+F379))</f>
        <v>0</v>
      </c>
      <c r="L379" s="41" t="n">
        <f aca="false">K379-E379-F379</f>
        <v>0</v>
      </c>
      <c r="M379" s="41" t="n">
        <f aca="false">D379-L379</f>
        <v>0</v>
      </c>
      <c r="N379" s="42" t="n">
        <f aca="false">K379-G379</f>
        <v>0</v>
      </c>
      <c r="O379" s="78"/>
      <c r="P379" s="79"/>
      <c r="Q379" s="16" t="str">
        <f aca="false">IF(K379=0,"",IF(R379=1,"Pagada",IF(C379&lt;$F$12,"Vencida",IF(353=$F$13,"Próxima","Pendiente"))))</f>
        <v/>
      </c>
      <c r="R379" s="62" t="n">
        <f aca="false">IF(AND(K379&gt;0,OR(O379="Sí",O379="Si")),1,0)</f>
        <v>0</v>
      </c>
      <c r="S379" s="62" t="n">
        <f aca="false">IF(AND(K379&gt;0,R379=0),1,0)</f>
        <v>0</v>
      </c>
    </row>
    <row r="380" customFormat="false" ht="15" hidden="false" customHeight="false" outlineLevel="0" collapsed="false">
      <c r="B380" s="71" t="str">
        <f aca="false">IF($F$6="Sí",N($C$11)+353,"")</f>
        <v/>
      </c>
      <c r="C380" s="72" t="str">
        <f aca="false">IF(OR($F$6&lt;&gt;"Sí",D380&lt;=0.5),"",EDATE($C$10,353))</f>
        <v/>
      </c>
      <c r="D380" s="41" t="n">
        <f aca="false">MAX(0,M379)</f>
        <v>0</v>
      </c>
      <c r="E380" s="41" t="n">
        <f aca="false">D380*$F$7</f>
        <v>0</v>
      </c>
      <c r="F380" s="41" t="n">
        <f aca="false">IF(D380&gt;0.5,N($C$15),0)</f>
        <v>0</v>
      </c>
      <c r="G380" s="41" t="n">
        <f aca="false">IF(AND(D380&gt;0.5,N($C$19)&gt;0,N(B380)&lt;=N($C$20)),D380*$F$8,0)</f>
        <v>0</v>
      </c>
      <c r="H380" s="41" t="n">
        <f aca="false">IF(D380&lt;=0.5,0,MIN(IF(N(I380)&gt;0,I380,$F$9),D380+E380+F380))</f>
        <v>0</v>
      </c>
      <c r="I380" s="77"/>
      <c r="J380" s="77"/>
      <c r="K380" s="41" t="n">
        <f aca="false">IF(D380&lt;=0.5,0,MIN(H380+N(J380),D380+E380+F380))</f>
        <v>0</v>
      </c>
      <c r="L380" s="41" t="n">
        <f aca="false">K380-E380-F380</f>
        <v>0</v>
      </c>
      <c r="M380" s="41" t="n">
        <f aca="false">D380-L380</f>
        <v>0</v>
      </c>
      <c r="N380" s="42" t="n">
        <f aca="false">K380-G380</f>
        <v>0</v>
      </c>
      <c r="O380" s="78"/>
      <c r="P380" s="79"/>
      <c r="Q380" s="16" t="str">
        <f aca="false">IF(K380=0,"",IF(R380=1,"Pagada",IF(C380&lt;$F$12,"Vencida",IF(354=$F$13,"Próxima","Pendiente"))))</f>
        <v/>
      </c>
      <c r="R380" s="62" t="n">
        <f aca="false">IF(AND(K380&gt;0,OR(O380="Sí",O380="Si")),1,0)</f>
        <v>0</v>
      </c>
      <c r="S380" s="62" t="n">
        <f aca="false">IF(AND(K380&gt;0,R380=0),1,0)</f>
        <v>0</v>
      </c>
    </row>
    <row r="381" customFormat="false" ht="15" hidden="false" customHeight="false" outlineLevel="0" collapsed="false">
      <c r="B381" s="71" t="str">
        <f aca="false">IF($F$6="Sí",N($C$11)+354,"")</f>
        <v/>
      </c>
      <c r="C381" s="72" t="str">
        <f aca="false">IF(OR($F$6&lt;&gt;"Sí",D381&lt;=0.5),"",EDATE($C$10,354))</f>
        <v/>
      </c>
      <c r="D381" s="41" t="n">
        <f aca="false">MAX(0,M380)</f>
        <v>0</v>
      </c>
      <c r="E381" s="41" t="n">
        <f aca="false">D381*$F$7</f>
        <v>0</v>
      </c>
      <c r="F381" s="41" t="n">
        <f aca="false">IF(D381&gt;0.5,N($C$15),0)</f>
        <v>0</v>
      </c>
      <c r="G381" s="41" t="n">
        <f aca="false">IF(AND(D381&gt;0.5,N($C$19)&gt;0,N(B381)&lt;=N($C$20)),D381*$F$8,0)</f>
        <v>0</v>
      </c>
      <c r="H381" s="41" t="n">
        <f aca="false">IF(D381&lt;=0.5,0,MIN(IF(N(I381)&gt;0,I381,$F$9),D381+E381+F381))</f>
        <v>0</v>
      </c>
      <c r="I381" s="77"/>
      <c r="J381" s="77"/>
      <c r="K381" s="41" t="n">
        <f aca="false">IF(D381&lt;=0.5,0,MIN(H381+N(J381),D381+E381+F381))</f>
        <v>0</v>
      </c>
      <c r="L381" s="41" t="n">
        <f aca="false">K381-E381-F381</f>
        <v>0</v>
      </c>
      <c r="M381" s="41" t="n">
        <f aca="false">D381-L381</f>
        <v>0</v>
      </c>
      <c r="N381" s="42" t="n">
        <f aca="false">K381-G381</f>
        <v>0</v>
      </c>
      <c r="O381" s="78"/>
      <c r="P381" s="79"/>
      <c r="Q381" s="16" t="str">
        <f aca="false">IF(K381=0,"",IF(R381=1,"Pagada",IF(C381&lt;$F$12,"Vencida",IF(355=$F$13,"Próxima","Pendiente"))))</f>
        <v/>
      </c>
      <c r="R381" s="62" t="n">
        <f aca="false">IF(AND(K381&gt;0,OR(O381="Sí",O381="Si")),1,0)</f>
        <v>0</v>
      </c>
      <c r="S381" s="62" t="n">
        <f aca="false">IF(AND(K381&gt;0,R381=0),1,0)</f>
        <v>0</v>
      </c>
    </row>
    <row r="382" customFormat="false" ht="15" hidden="false" customHeight="false" outlineLevel="0" collapsed="false">
      <c r="B382" s="71" t="str">
        <f aca="false">IF($F$6="Sí",N($C$11)+355,"")</f>
        <v/>
      </c>
      <c r="C382" s="72" t="str">
        <f aca="false">IF(OR($F$6&lt;&gt;"Sí",D382&lt;=0.5),"",EDATE($C$10,355))</f>
        <v/>
      </c>
      <c r="D382" s="41" t="n">
        <f aca="false">MAX(0,M381)</f>
        <v>0</v>
      </c>
      <c r="E382" s="41" t="n">
        <f aca="false">D382*$F$7</f>
        <v>0</v>
      </c>
      <c r="F382" s="41" t="n">
        <f aca="false">IF(D382&gt;0.5,N($C$15),0)</f>
        <v>0</v>
      </c>
      <c r="G382" s="41" t="n">
        <f aca="false">IF(AND(D382&gt;0.5,N($C$19)&gt;0,N(B382)&lt;=N($C$20)),D382*$F$8,0)</f>
        <v>0</v>
      </c>
      <c r="H382" s="41" t="n">
        <f aca="false">IF(D382&lt;=0.5,0,MIN(IF(N(I382)&gt;0,I382,$F$9),D382+E382+F382))</f>
        <v>0</v>
      </c>
      <c r="I382" s="77"/>
      <c r="J382" s="77"/>
      <c r="K382" s="41" t="n">
        <f aca="false">IF(D382&lt;=0.5,0,MIN(H382+N(J382),D382+E382+F382))</f>
        <v>0</v>
      </c>
      <c r="L382" s="41" t="n">
        <f aca="false">K382-E382-F382</f>
        <v>0</v>
      </c>
      <c r="M382" s="41" t="n">
        <f aca="false">D382-L382</f>
        <v>0</v>
      </c>
      <c r="N382" s="42" t="n">
        <f aca="false">K382-G382</f>
        <v>0</v>
      </c>
      <c r="O382" s="78"/>
      <c r="P382" s="79"/>
      <c r="Q382" s="16" t="str">
        <f aca="false">IF(K382=0,"",IF(R382=1,"Pagada",IF(C382&lt;$F$12,"Vencida",IF(356=$F$13,"Próxima","Pendiente"))))</f>
        <v/>
      </c>
      <c r="R382" s="62" t="n">
        <f aca="false">IF(AND(K382&gt;0,OR(O382="Sí",O382="Si")),1,0)</f>
        <v>0</v>
      </c>
      <c r="S382" s="62" t="n">
        <f aca="false">IF(AND(K382&gt;0,R382=0),1,0)</f>
        <v>0</v>
      </c>
    </row>
    <row r="383" customFormat="false" ht="15" hidden="false" customHeight="false" outlineLevel="0" collapsed="false">
      <c r="B383" s="71" t="str">
        <f aca="false">IF($F$6="Sí",N($C$11)+356,"")</f>
        <v/>
      </c>
      <c r="C383" s="72" t="str">
        <f aca="false">IF(OR($F$6&lt;&gt;"Sí",D383&lt;=0.5),"",EDATE($C$10,356))</f>
        <v/>
      </c>
      <c r="D383" s="41" t="n">
        <f aca="false">MAX(0,M382)</f>
        <v>0</v>
      </c>
      <c r="E383" s="41" t="n">
        <f aca="false">D383*$F$7</f>
        <v>0</v>
      </c>
      <c r="F383" s="41" t="n">
        <f aca="false">IF(D383&gt;0.5,N($C$15),0)</f>
        <v>0</v>
      </c>
      <c r="G383" s="41" t="n">
        <f aca="false">IF(AND(D383&gt;0.5,N($C$19)&gt;0,N(B383)&lt;=N($C$20)),D383*$F$8,0)</f>
        <v>0</v>
      </c>
      <c r="H383" s="41" t="n">
        <f aca="false">IF(D383&lt;=0.5,0,MIN(IF(N(I383)&gt;0,I383,$F$9),D383+E383+F383))</f>
        <v>0</v>
      </c>
      <c r="I383" s="77"/>
      <c r="J383" s="77"/>
      <c r="K383" s="41" t="n">
        <f aca="false">IF(D383&lt;=0.5,0,MIN(H383+N(J383),D383+E383+F383))</f>
        <v>0</v>
      </c>
      <c r="L383" s="41" t="n">
        <f aca="false">K383-E383-F383</f>
        <v>0</v>
      </c>
      <c r="M383" s="41" t="n">
        <f aca="false">D383-L383</f>
        <v>0</v>
      </c>
      <c r="N383" s="42" t="n">
        <f aca="false">K383-G383</f>
        <v>0</v>
      </c>
      <c r="O383" s="78"/>
      <c r="P383" s="79"/>
      <c r="Q383" s="16" t="str">
        <f aca="false">IF(K383=0,"",IF(R383=1,"Pagada",IF(C383&lt;$F$12,"Vencida",IF(357=$F$13,"Próxima","Pendiente"))))</f>
        <v/>
      </c>
      <c r="R383" s="62" t="n">
        <f aca="false">IF(AND(K383&gt;0,OR(O383="Sí",O383="Si")),1,0)</f>
        <v>0</v>
      </c>
      <c r="S383" s="62" t="n">
        <f aca="false">IF(AND(K383&gt;0,R383=0),1,0)</f>
        <v>0</v>
      </c>
    </row>
    <row r="384" customFormat="false" ht="15" hidden="false" customHeight="false" outlineLevel="0" collapsed="false">
      <c r="B384" s="71" t="str">
        <f aca="false">IF($F$6="Sí",N($C$11)+357,"")</f>
        <v/>
      </c>
      <c r="C384" s="72" t="str">
        <f aca="false">IF(OR($F$6&lt;&gt;"Sí",D384&lt;=0.5),"",EDATE($C$10,357))</f>
        <v/>
      </c>
      <c r="D384" s="41" t="n">
        <f aca="false">MAX(0,M383)</f>
        <v>0</v>
      </c>
      <c r="E384" s="41" t="n">
        <f aca="false">D384*$F$7</f>
        <v>0</v>
      </c>
      <c r="F384" s="41" t="n">
        <f aca="false">IF(D384&gt;0.5,N($C$15),0)</f>
        <v>0</v>
      </c>
      <c r="G384" s="41" t="n">
        <f aca="false">IF(AND(D384&gt;0.5,N($C$19)&gt;0,N(B384)&lt;=N($C$20)),D384*$F$8,0)</f>
        <v>0</v>
      </c>
      <c r="H384" s="41" t="n">
        <f aca="false">IF(D384&lt;=0.5,0,MIN(IF(N(I384)&gt;0,I384,$F$9),D384+E384+F384))</f>
        <v>0</v>
      </c>
      <c r="I384" s="77"/>
      <c r="J384" s="77"/>
      <c r="K384" s="41" t="n">
        <f aca="false">IF(D384&lt;=0.5,0,MIN(H384+N(J384),D384+E384+F384))</f>
        <v>0</v>
      </c>
      <c r="L384" s="41" t="n">
        <f aca="false">K384-E384-F384</f>
        <v>0</v>
      </c>
      <c r="M384" s="41" t="n">
        <f aca="false">D384-L384</f>
        <v>0</v>
      </c>
      <c r="N384" s="42" t="n">
        <f aca="false">K384-G384</f>
        <v>0</v>
      </c>
      <c r="O384" s="78"/>
      <c r="P384" s="79"/>
      <c r="Q384" s="16" t="str">
        <f aca="false">IF(K384=0,"",IF(R384=1,"Pagada",IF(C384&lt;$F$12,"Vencida",IF(358=$F$13,"Próxima","Pendiente"))))</f>
        <v/>
      </c>
      <c r="R384" s="62" t="n">
        <f aca="false">IF(AND(K384&gt;0,OR(O384="Sí",O384="Si")),1,0)</f>
        <v>0</v>
      </c>
      <c r="S384" s="62" t="n">
        <f aca="false">IF(AND(K384&gt;0,R384=0),1,0)</f>
        <v>0</v>
      </c>
    </row>
    <row r="385" customFormat="false" ht="15" hidden="false" customHeight="false" outlineLevel="0" collapsed="false">
      <c r="B385" s="71" t="str">
        <f aca="false">IF($F$6="Sí",N($C$11)+358,"")</f>
        <v/>
      </c>
      <c r="C385" s="72" t="str">
        <f aca="false">IF(OR($F$6&lt;&gt;"Sí",D385&lt;=0.5),"",EDATE($C$10,358))</f>
        <v/>
      </c>
      <c r="D385" s="41" t="n">
        <f aca="false">MAX(0,M384)</f>
        <v>0</v>
      </c>
      <c r="E385" s="41" t="n">
        <f aca="false">D385*$F$7</f>
        <v>0</v>
      </c>
      <c r="F385" s="41" t="n">
        <f aca="false">IF(D385&gt;0.5,N($C$15),0)</f>
        <v>0</v>
      </c>
      <c r="G385" s="41" t="n">
        <f aca="false">IF(AND(D385&gt;0.5,N($C$19)&gt;0,N(B385)&lt;=N($C$20)),D385*$F$8,0)</f>
        <v>0</v>
      </c>
      <c r="H385" s="41" t="n">
        <f aca="false">IF(D385&lt;=0.5,0,MIN(IF(N(I385)&gt;0,I385,$F$9),D385+E385+F385))</f>
        <v>0</v>
      </c>
      <c r="I385" s="77"/>
      <c r="J385" s="77"/>
      <c r="K385" s="41" t="n">
        <f aca="false">IF(D385&lt;=0.5,0,MIN(H385+N(J385),D385+E385+F385))</f>
        <v>0</v>
      </c>
      <c r="L385" s="41" t="n">
        <f aca="false">K385-E385-F385</f>
        <v>0</v>
      </c>
      <c r="M385" s="41" t="n">
        <f aca="false">D385-L385</f>
        <v>0</v>
      </c>
      <c r="N385" s="42" t="n">
        <f aca="false">K385-G385</f>
        <v>0</v>
      </c>
      <c r="O385" s="78"/>
      <c r="P385" s="79"/>
      <c r="Q385" s="16" t="str">
        <f aca="false">IF(K385=0,"",IF(R385=1,"Pagada",IF(C385&lt;$F$12,"Vencida",IF(359=$F$13,"Próxima","Pendiente"))))</f>
        <v/>
      </c>
      <c r="R385" s="62" t="n">
        <f aca="false">IF(AND(K385&gt;0,OR(O385="Sí",O385="Si")),1,0)</f>
        <v>0</v>
      </c>
      <c r="S385" s="62" t="n">
        <f aca="false">IF(AND(K385&gt;0,R385=0),1,0)</f>
        <v>0</v>
      </c>
    </row>
    <row r="386" customFormat="false" ht="15" hidden="false" customHeight="false" outlineLevel="0" collapsed="false">
      <c r="B386" s="71" t="str">
        <f aca="false">IF($F$6="Sí",N($C$11)+359,"")</f>
        <v/>
      </c>
      <c r="C386" s="72" t="str">
        <f aca="false">IF(OR($F$6&lt;&gt;"Sí",D386&lt;=0.5),"",EDATE($C$10,359))</f>
        <v/>
      </c>
      <c r="D386" s="41" t="n">
        <f aca="false">MAX(0,M385)</f>
        <v>0</v>
      </c>
      <c r="E386" s="41" t="n">
        <f aca="false">D386*$F$7</f>
        <v>0</v>
      </c>
      <c r="F386" s="41" t="n">
        <f aca="false">IF(D386&gt;0.5,N($C$15),0)</f>
        <v>0</v>
      </c>
      <c r="G386" s="41" t="n">
        <f aca="false">IF(AND(D386&gt;0.5,N($C$19)&gt;0,N(B386)&lt;=N($C$20)),D386*$F$8,0)</f>
        <v>0</v>
      </c>
      <c r="H386" s="41" t="n">
        <f aca="false">IF(D386&lt;=0.5,0,MIN(IF(N(I386)&gt;0,I386,$F$9),D386+E386+F386))</f>
        <v>0</v>
      </c>
      <c r="I386" s="77"/>
      <c r="J386" s="77"/>
      <c r="K386" s="41" t="n">
        <f aca="false">IF(D386&lt;=0.5,0,MIN(H386+N(J386),D386+E386+F386))</f>
        <v>0</v>
      </c>
      <c r="L386" s="41" t="n">
        <f aca="false">K386-E386-F386</f>
        <v>0</v>
      </c>
      <c r="M386" s="41" t="n">
        <f aca="false">D386-L386</f>
        <v>0</v>
      </c>
      <c r="N386" s="42" t="n">
        <f aca="false">K386-G386</f>
        <v>0</v>
      </c>
      <c r="O386" s="78"/>
      <c r="P386" s="79"/>
      <c r="Q386" s="16" t="str">
        <f aca="false">IF(K386=0,"",IF(R386=1,"Pagada",IF(C386&lt;$F$12,"Vencida",IF(360=$F$13,"Próxima","Pendiente"))))</f>
        <v/>
      </c>
      <c r="R386" s="62" t="n">
        <f aca="false">IF(AND(K386&gt;0,OR(O386="Sí",O386="Si")),1,0)</f>
        <v>0</v>
      </c>
      <c r="S386" s="62" t="n">
        <f aca="false">IF(AND(K386&gt;0,R386=0),1,0)</f>
        <v>0</v>
      </c>
    </row>
  </sheetData>
  <conditionalFormatting sqref="B27:Q386">
    <cfRule type="expression" priority="2" aboveAverage="0" equalAverage="0" bottom="0" percent="0" rank="0" text="" dxfId="5">
      <formula>$Q27="Pagada"</formula>
    </cfRule>
    <cfRule type="expression" priority="3" aboveAverage="0" equalAverage="0" bottom="0" percent="0" rank="0" text="" dxfId="3">
      <formula>$Q27="Vencida"</formula>
    </cfRule>
    <cfRule type="expression" priority="4" aboveAverage="0" equalAverage="0" bottom="0" percent="0" rank="0" text="" dxfId="6">
      <formula>$Q27="Próxima"</formula>
    </cfRule>
  </conditionalFormatting>
  <dataValidations count="3">
    <dataValidation allowBlank="true" error="Elige un valor de la lista." errorStyle="stop" errorTitle="Valor no válido" operator="between" showDropDown="false" showErrorMessage="true" showInputMessage="false" sqref="C8" type="list">
      <formula1>Listas!$A$2:$A$8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C17" type="list">
      <formula1>Listas!$B$2:$B$3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O27:O386" type="list">
      <formula1>Listas!$B$2:$B$3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04A"/>
    <pageSetUpPr fitToPage="true"/>
  </sheetPr>
  <dimension ref="B1:S38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26" topLeftCell="C27" activePane="bottomRight" state="frozen"/>
      <selection pane="topLeft" activeCell="A1" activeCellId="0" sqref="A1"/>
      <selection pane="topRight" activeCell="C1" activeCellId="0" sqref="C1"/>
      <selection pane="bottomLeft" activeCell="A27" activeCellId="0" sqref="A2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4" min="3" style="0" width="15"/>
    <col collapsed="false" customWidth="true" hidden="false" outlineLevel="0" max="5" min="5" style="0" width="30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34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2" min="11" style="0" width="14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5" min="15" style="0" width="9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9" min="18" style="0" width="5"/>
  </cols>
  <sheetData>
    <row r="1" customFormat="false" ht="19.7" hidden="false" customHeight="false" outlineLevel="0" collapsed="false">
      <c r="B1" s="19" t="str">
        <f aca="false">IF(C6="","Crédito 6: sin datos","Crédito 6: "&amp;C6)</f>
        <v>Crédito 6: sin datos</v>
      </c>
    </row>
    <row r="2" customFormat="false" ht="15" hidden="false" customHeight="false" outlineLevel="0" collapsed="false">
      <c r="B2" s="20" t="s">
        <v>161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5" customFormat="false" ht="15" hidden="false" customHeight="false" outlineLevel="0" collapsed="false">
      <c r="B5" s="7" t="s">
        <v>162</v>
      </c>
      <c r="C5" s="8"/>
      <c r="E5" s="7" t="s">
        <v>163</v>
      </c>
      <c r="F5" s="8"/>
      <c r="H5" s="7" t="s">
        <v>164</v>
      </c>
      <c r="I5" s="8"/>
    </row>
    <row r="6" customFormat="false" ht="15" hidden="false" customHeight="false" outlineLevel="0" collapsed="false">
      <c r="B6" s="16" t="s">
        <v>165</v>
      </c>
      <c r="C6" s="15"/>
      <c r="E6" s="16" t="s">
        <v>166</v>
      </c>
      <c r="F6" s="16" t="str">
        <f aca="false">IF(AND(C6&lt;&gt;"",N(C9)&gt;0,ISNUMBER(C10)),"Sí","No")</f>
        <v>No</v>
      </c>
      <c r="H6" s="28" t="s">
        <v>46</v>
      </c>
      <c r="I6" s="42" t="n">
        <f aca="false">IF($F$6&lt;&gt;"Sí",0,MAX(0,$C$9-SUMIFS(L27:L386,R27:R386,1)))</f>
        <v>0</v>
      </c>
    </row>
    <row r="7" customFormat="false" ht="15" hidden="false" customHeight="false" outlineLevel="0" collapsed="false">
      <c r="B7" s="16" t="s">
        <v>167</v>
      </c>
      <c r="C7" s="15"/>
      <c r="E7" s="16" t="s">
        <v>130</v>
      </c>
      <c r="F7" s="70" t="n">
        <f aca="false">(1+N(C13))^(1/12)-1</f>
        <v>0</v>
      </c>
      <c r="H7" s="16" t="s">
        <v>168</v>
      </c>
      <c r="I7" s="71" t="n">
        <f aca="false">SUM(R27:R386)</f>
        <v>0</v>
      </c>
    </row>
    <row r="8" customFormat="false" ht="15" hidden="false" customHeight="false" outlineLevel="0" collapsed="false">
      <c r="B8" s="16" t="s">
        <v>91</v>
      </c>
      <c r="C8" s="15"/>
      <c r="E8" s="16" t="s">
        <v>169</v>
      </c>
      <c r="F8" s="70" t="n">
        <f aca="false">IF(N(C19)=0,0,F7-((1+MAX(0,N(C13)-C19))^(1/12)-1))</f>
        <v>0</v>
      </c>
      <c r="H8" s="16" t="s">
        <v>170</v>
      </c>
      <c r="I8" s="71" t="str">
        <f aca="false">IF($F$13=0,"",INDEX(B27:B386,$F$13))</f>
        <v/>
      </c>
    </row>
    <row r="9" customFormat="false" ht="15" hidden="false" customHeight="false" outlineLevel="0" collapsed="false">
      <c r="B9" s="16" t="s">
        <v>171</v>
      </c>
      <c r="C9" s="53"/>
      <c r="E9" s="16" t="s">
        <v>172</v>
      </c>
      <c r="F9" s="41" t="n">
        <f aca="false">IF(N(C14)&gt;0,C14,IF(AND(N(C12)&gt;0,N(C9)&gt;0,N(C12)-N(C11)+1&gt;0),IF(F7=0,C9/(C12-N(C11)+1),PMT(F7,C12-N(C11)+1,-C9))+N(C15),0))</f>
        <v>0</v>
      </c>
      <c r="H9" s="16" t="s">
        <v>173</v>
      </c>
      <c r="I9" s="72" t="str">
        <f aca="false">IF($F$13=0,"",INDEX(C27:C386,$F$13))</f>
        <v/>
      </c>
    </row>
    <row r="10" customFormat="false" ht="15" hidden="false" customHeight="false" outlineLevel="0" collapsed="false">
      <c r="B10" s="16" t="s">
        <v>174</v>
      </c>
      <c r="C10" s="46"/>
      <c r="E10" s="16" t="s">
        <v>175</v>
      </c>
      <c r="F10" s="71" t="str">
        <f aca="false">IF(ISNUMBER(C10),DAY(C10),"")</f>
        <v/>
      </c>
      <c r="H10" s="28" t="s">
        <v>176</v>
      </c>
      <c r="I10" s="42" t="n">
        <f aca="false">IF($F$13=0,0,INDEX(N27:N386,$F$13))</f>
        <v>0</v>
      </c>
    </row>
    <row r="11" customFormat="false" ht="15" hidden="false" customHeight="false" outlineLevel="0" collapsed="false">
      <c r="B11" s="16" t="s">
        <v>177</v>
      </c>
      <c r="C11" s="73" t="n">
        <v>1</v>
      </c>
      <c r="E11" s="16" t="s">
        <v>178</v>
      </c>
      <c r="F11" s="72" t="str">
        <f aca="false">IF(OR(C17="No",N(C18)=0,NOT(ISNUMBER(C10))),"",EDATE(C10,C18-N(C11)))</f>
        <v/>
      </c>
      <c r="H11" s="16" t="s">
        <v>49</v>
      </c>
      <c r="I11" s="71" t="n">
        <f aca="false">SUM(S27:S386)</f>
        <v>0</v>
      </c>
    </row>
    <row r="12" customFormat="false" ht="15" hidden="false" customHeight="false" outlineLevel="0" collapsed="false">
      <c r="B12" s="16" t="s">
        <v>179</v>
      </c>
      <c r="C12" s="73"/>
      <c r="E12" s="16" t="s">
        <v>100</v>
      </c>
      <c r="F12" s="72" t="n">
        <f aca="false">Datos!$C$7</f>
        <v>46290</v>
      </c>
      <c r="H12" s="16" t="s">
        <v>50</v>
      </c>
      <c r="I12" s="72" t="str">
        <f aca="false">IF($F$6&lt;&gt;"Sí","",IF(M386&gt;0.5,"Más de 360 cuotas",_xlfn.MAXIFS(C27:C386,K27:K386,"&gt;0")))</f>
        <v/>
      </c>
    </row>
    <row r="13" customFormat="false" ht="15" hidden="false" customHeight="false" outlineLevel="0" collapsed="false">
      <c r="B13" s="16" t="s">
        <v>180</v>
      </c>
      <c r="C13" s="74"/>
      <c r="E13" s="16" t="s">
        <v>181</v>
      </c>
      <c r="F13" s="71" t="n">
        <f aca="false">IFERROR(MATCH(1,S27:S386,0),0)</f>
        <v>0</v>
      </c>
      <c r="H13" s="16" t="s">
        <v>51</v>
      </c>
      <c r="I13" s="41" t="n">
        <f aca="false">SUMIFS(E27:E386,S27:S386,1)</f>
        <v>0</v>
      </c>
    </row>
    <row r="14" customFormat="false" ht="15" hidden="false" customHeight="false" outlineLevel="0" collapsed="false">
      <c r="B14" s="16" t="s">
        <v>182</v>
      </c>
      <c r="C14" s="53"/>
      <c r="E14" s="18" t="s">
        <v>183</v>
      </c>
      <c r="H14" s="16" t="s">
        <v>184</v>
      </c>
      <c r="I14" s="41" t="n">
        <f aca="false">SUMIFS(N27:N386,S27:S386,1)</f>
        <v>0</v>
      </c>
    </row>
    <row r="15" customFormat="false" ht="15" hidden="false" customHeight="false" outlineLevel="0" collapsed="false">
      <c r="B15" s="16" t="s">
        <v>185</v>
      </c>
      <c r="C15" s="53" t="n">
        <v>0</v>
      </c>
      <c r="H15" s="16" t="s">
        <v>186</v>
      </c>
      <c r="I15" s="75" t="n">
        <f aca="false">IF($F$6&lt;&gt;"Sí",0,IF(N(C16)&gt;0,1-I6/C16,IF(N(C9)&gt;0,1-I6/C9,0)))</f>
        <v>0</v>
      </c>
    </row>
    <row r="16" customFormat="false" ht="15" hidden="false" customHeight="false" outlineLevel="0" collapsed="false">
      <c r="B16" s="16" t="s">
        <v>187</v>
      </c>
      <c r="C16" s="53"/>
      <c r="H16" s="16" t="s">
        <v>188</v>
      </c>
      <c r="I16" s="75" t="str">
        <f aca="false">IF(N(C12)=0,"",(N(C11)-1+I7)/C12)</f>
        <v/>
      </c>
    </row>
    <row r="17" customFormat="false" ht="15" hidden="false" customHeight="false" outlineLevel="0" collapsed="false">
      <c r="B17" s="16" t="s">
        <v>94</v>
      </c>
      <c r="C17" s="15" t="s">
        <v>189</v>
      </c>
      <c r="H17" s="16" t="s">
        <v>42</v>
      </c>
      <c r="I17" s="71" t="n">
        <f aca="false">COUNTIFS(S27:S386,1,C27:C386,"&lt;"&amp;$F$12)</f>
        <v>0</v>
      </c>
    </row>
    <row r="18" customFormat="false" ht="15" hidden="false" customHeight="false" outlineLevel="0" collapsed="false">
      <c r="B18" s="16" t="s">
        <v>190</v>
      </c>
      <c r="C18" s="73"/>
      <c r="H18" s="16" t="s">
        <v>191</v>
      </c>
      <c r="I18" s="41" t="n">
        <f aca="false">F9</f>
        <v>0</v>
      </c>
    </row>
    <row r="19" customFormat="false" ht="15" hidden="false" customHeight="false" outlineLevel="0" collapsed="false">
      <c r="B19" s="16" t="s">
        <v>192</v>
      </c>
      <c r="C19" s="74"/>
      <c r="H19" s="28" t="s">
        <v>54</v>
      </c>
      <c r="I19" s="28" t="str">
        <f aca="false">IF(F6&lt;&gt;"Sí","Sin datos",IF(I17&gt;0,"Vencidas sin marcar",IF(I11=0,"Pagado","Al día")))</f>
        <v>Sin datos</v>
      </c>
    </row>
    <row r="20" customFormat="false" ht="15" hidden="false" customHeight="false" outlineLevel="0" collapsed="false">
      <c r="B20" s="16" t="s">
        <v>193</v>
      </c>
      <c r="C20" s="73"/>
    </row>
    <row r="21" customFormat="false" ht="15" hidden="false" customHeight="false" outlineLevel="0" collapsed="false">
      <c r="B21" s="7" t="s">
        <v>194</v>
      </c>
      <c r="C21" s="8"/>
      <c r="D21" s="8"/>
      <c r="E21" s="8"/>
      <c r="F21" s="8"/>
      <c r="G21" s="8"/>
    </row>
    <row r="22" customFormat="false" ht="15" hidden="false" customHeight="false" outlineLevel="0" collapsed="false">
      <c r="B22" s="16" t="s">
        <v>195</v>
      </c>
      <c r="C22" s="53"/>
      <c r="E22" s="16" t="s">
        <v>196</v>
      </c>
      <c r="F22" s="76" t="str">
        <f aca="false">IF(OR(I6&lt;=0,F9-N(C15)+N(C22)&lt;=0),"",IFERROR(IF(F7=0,I6/(F9-N(C15)+N(C22)),NPER(F7,-(F9-N(C15)+N(C22)),I6)),"No alcanza"))</f>
        <v/>
      </c>
      <c r="G22" s="41" t="str">
        <f aca="false">IF(OR(F22="",NOT(ISNUMBER(F22))),"",(F9-N(C15)+N(C22))*F22-I6)</f>
        <v/>
      </c>
    </row>
    <row r="23" customFormat="false" ht="15" hidden="false" customHeight="false" outlineLevel="0" collapsed="false">
      <c r="B23" s="16" t="s">
        <v>197</v>
      </c>
      <c r="C23" s="73"/>
      <c r="E23" s="16" t="s">
        <v>198</v>
      </c>
      <c r="F23" s="41" t="str">
        <f aca="false">IF(OR(N(C23)=0,I6&lt;=0),"",IF(F7=0,I6/C23,PMT(F7,C23,-I6))+N(C15))</f>
        <v/>
      </c>
      <c r="G23" s="18" t="s">
        <v>199</v>
      </c>
    </row>
    <row r="25" customFormat="false" ht="15" hidden="false" customHeight="false" outlineLevel="0" collapsed="false">
      <c r="B25" s="18" t="s">
        <v>200</v>
      </c>
    </row>
    <row r="26" customFormat="false" ht="30" hidden="false" customHeight="true" outlineLevel="0" collapsed="false">
      <c r="B26" s="9" t="s">
        <v>201</v>
      </c>
      <c r="C26" s="10" t="s">
        <v>146</v>
      </c>
      <c r="D26" s="10" t="s">
        <v>202</v>
      </c>
      <c r="E26" s="10" t="s">
        <v>203</v>
      </c>
      <c r="F26" s="10" t="s">
        <v>204</v>
      </c>
      <c r="G26" s="10" t="s">
        <v>205</v>
      </c>
      <c r="H26" s="10" t="s">
        <v>206</v>
      </c>
      <c r="I26" s="10" t="s">
        <v>207</v>
      </c>
      <c r="J26" s="10" t="s">
        <v>208</v>
      </c>
      <c r="K26" s="10" t="s">
        <v>209</v>
      </c>
      <c r="L26" s="10" t="s">
        <v>210</v>
      </c>
      <c r="M26" s="10" t="s">
        <v>211</v>
      </c>
      <c r="N26" s="10" t="s">
        <v>212</v>
      </c>
      <c r="O26" s="10" t="s">
        <v>213</v>
      </c>
      <c r="P26" s="10" t="s">
        <v>214</v>
      </c>
      <c r="Q26" s="10" t="s">
        <v>54</v>
      </c>
      <c r="R26" s="10" t="s">
        <v>215</v>
      </c>
      <c r="S26" s="10" t="s">
        <v>215</v>
      </c>
    </row>
    <row r="27" customFormat="false" ht="15" hidden="false" customHeight="false" outlineLevel="0" collapsed="false">
      <c r="B27" s="71" t="str">
        <f aca="false">IF($F$6="Sí",N($C$11)+0,"")</f>
        <v/>
      </c>
      <c r="C27" s="72" t="str">
        <f aca="false">IF(OR($F$6&lt;&gt;"Sí",D27&lt;=0.5),"",EDATE($C$10,0))</f>
        <v/>
      </c>
      <c r="D27" s="41" t="n">
        <f aca="false">IF($F$6="Sí",$C$9,0)</f>
        <v>0</v>
      </c>
      <c r="E27" s="41" t="n">
        <f aca="false">D27*$F$7</f>
        <v>0</v>
      </c>
      <c r="F27" s="41" t="n">
        <f aca="false">IF(D27&gt;0.5,N($C$15),0)</f>
        <v>0</v>
      </c>
      <c r="G27" s="41" t="n">
        <f aca="false">IF(AND(D27&gt;0.5,N($C$19)&gt;0,N(B27)&lt;=N($C$20)),D27*$F$8,0)</f>
        <v>0</v>
      </c>
      <c r="H27" s="41" t="n">
        <f aca="false">IF(D27&lt;=0.5,0,MIN(IF(N(I27)&gt;0,I27,$F$9),D27+E27+F27))</f>
        <v>0</v>
      </c>
      <c r="I27" s="77"/>
      <c r="J27" s="77"/>
      <c r="K27" s="41" t="n">
        <f aca="false">IF(D27&lt;=0.5,0,MIN(H27+N(J27),D27+E27+F27))</f>
        <v>0</v>
      </c>
      <c r="L27" s="41" t="n">
        <f aca="false">K27-E27-F27</f>
        <v>0</v>
      </c>
      <c r="M27" s="41" t="n">
        <f aca="false">D27-L27</f>
        <v>0</v>
      </c>
      <c r="N27" s="42" t="n">
        <f aca="false">K27-G27</f>
        <v>0</v>
      </c>
      <c r="O27" s="78"/>
      <c r="P27" s="79"/>
      <c r="Q27" s="16" t="str">
        <f aca="false">IF(K27=0,"",IF(R27=1,"Pagada",IF(C27&lt;$F$12,"Vencida",IF(1=$F$13,"Próxima","Pendiente"))))</f>
        <v/>
      </c>
      <c r="R27" s="62" t="n">
        <f aca="false">IF(AND(K27&gt;0,OR(O27="Sí",O27="Si")),1,0)</f>
        <v>0</v>
      </c>
      <c r="S27" s="62" t="n">
        <f aca="false">IF(AND(K27&gt;0,R27=0),1,0)</f>
        <v>0</v>
      </c>
    </row>
    <row r="28" customFormat="false" ht="15" hidden="false" customHeight="false" outlineLevel="0" collapsed="false">
      <c r="B28" s="71" t="str">
        <f aca="false">IF($F$6="Sí",N($C$11)+1,"")</f>
        <v/>
      </c>
      <c r="C28" s="72" t="str">
        <f aca="false">IF(OR($F$6&lt;&gt;"Sí",D28&lt;=0.5),"",EDATE($C$10,1))</f>
        <v/>
      </c>
      <c r="D28" s="41" t="n">
        <f aca="false">MAX(0,M27)</f>
        <v>0</v>
      </c>
      <c r="E28" s="41" t="n">
        <f aca="false">D28*$F$7</f>
        <v>0</v>
      </c>
      <c r="F28" s="41" t="n">
        <f aca="false">IF(D28&gt;0.5,N($C$15),0)</f>
        <v>0</v>
      </c>
      <c r="G28" s="41" t="n">
        <f aca="false">IF(AND(D28&gt;0.5,N($C$19)&gt;0,N(B28)&lt;=N($C$20)),D28*$F$8,0)</f>
        <v>0</v>
      </c>
      <c r="H28" s="41" t="n">
        <f aca="false">IF(D28&lt;=0.5,0,MIN(IF(N(I28)&gt;0,I28,$F$9),D28+E28+F28))</f>
        <v>0</v>
      </c>
      <c r="I28" s="77"/>
      <c r="J28" s="77"/>
      <c r="K28" s="41" t="n">
        <f aca="false">IF(D28&lt;=0.5,0,MIN(H28+N(J28),D28+E28+F28))</f>
        <v>0</v>
      </c>
      <c r="L28" s="41" t="n">
        <f aca="false">K28-E28-F28</f>
        <v>0</v>
      </c>
      <c r="M28" s="41" t="n">
        <f aca="false">D28-L28</f>
        <v>0</v>
      </c>
      <c r="N28" s="42" t="n">
        <f aca="false">K28-G28</f>
        <v>0</v>
      </c>
      <c r="O28" s="78"/>
      <c r="P28" s="79"/>
      <c r="Q28" s="16" t="str">
        <f aca="false">IF(K28=0,"",IF(R28=1,"Pagada",IF(C28&lt;$F$12,"Vencida",IF(2=$F$13,"Próxima","Pendiente"))))</f>
        <v/>
      </c>
      <c r="R28" s="62" t="n">
        <f aca="false">IF(AND(K28&gt;0,OR(O28="Sí",O28="Si")),1,0)</f>
        <v>0</v>
      </c>
      <c r="S28" s="62" t="n">
        <f aca="false">IF(AND(K28&gt;0,R28=0),1,0)</f>
        <v>0</v>
      </c>
    </row>
    <row r="29" customFormat="false" ht="15" hidden="false" customHeight="false" outlineLevel="0" collapsed="false">
      <c r="B29" s="71" t="str">
        <f aca="false">IF($F$6="Sí",N($C$11)+2,"")</f>
        <v/>
      </c>
      <c r="C29" s="72" t="str">
        <f aca="false">IF(OR($F$6&lt;&gt;"Sí",D29&lt;=0.5),"",EDATE($C$10,2))</f>
        <v/>
      </c>
      <c r="D29" s="41" t="n">
        <f aca="false">MAX(0,M28)</f>
        <v>0</v>
      </c>
      <c r="E29" s="41" t="n">
        <f aca="false">D29*$F$7</f>
        <v>0</v>
      </c>
      <c r="F29" s="41" t="n">
        <f aca="false">IF(D29&gt;0.5,N($C$15),0)</f>
        <v>0</v>
      </c>
      <c r="G29" s="41" t="n">
        <f aca="false">IF(AND(D29&gt;0.5,N($C$19)&gt;0,N(B29)&lt;=N($C$20)),D29*$F$8,0)</f>
        <v>0</v>
      </c>
      <c r="H29" s="41" t="n">
        <f aca="false">IF(D29&lt;=0.5,0,MIN(IF(N(I29)&gt;0,I29,$F$9),D29+E29+F29))</f>
        <v>0</v>
      </c>
      <c r="I29" s="77"/>
      <c r="J29" s="77"/>
      <c r="K29" s="41" t="n">
        <f aca="false">IF(D29&lt;=0.5,0,MIN(H29+N(J29),D29+E29+F29))</f>
        <v>0</v>
      </c>
      <c r="L29" s="41" t="n">
        <f aca="false">K29-E29-F29</f>
        <v>0</v>
      </c>
      <c r="M29" s="41" t="n">
        <f aca="false">D29-L29</f>
        <v>0</v>
      </c>
      <c r="N29" s="42" t="n">
        <f aca="false">K29-G29</f>
        <v>0</v>
      </c>
      <c r="O29" s="78"/>
      <c r="P29" s="79"/>
      <c r="Q29" s="16" t="str">
        <f aca="false">IF(K29=0,"",IF(R29=1,"Pagada",IF(C29&lt;$F$12,"Vencida",IF(3=$F$13,"Próxima","Pendiente"))))</f>
        <v/>
      </c>
      <c r="R29" s="62" t="n">
        <f aca="false">IF(AND(K29&gt;0,OR(O29="Sí",O29="Si")),1,0)</f>
        <v>0</v>
      </c>
      <c r="S29" s="62" t="n">
        <f aca="false">IF(AND(K29&gt;0,R29=0),1,0)</f>
        <v>0</v>
      </c>
    </row>
    <row r="30" customFormat="false" ht="15" hidden="false" customHeight="false" outlineLevel="0" collapsed="false">
      <c r="B30" s="71" t="str">
        <f aca="false">IF($F$6="Sí",N($C$11)+3,"")</f>
        <v/>
      </c>
      <c r="C30" s="72" t="str">
        <f aca="false">IF(OR($F$6&lt;&gt;"Sí",D30&lt;=0.5),"",EDATE($C$10,3))</f>
        <v/>
      </c>
      <c r="D30" s="41" t="n">
        <f aca="false">MAX(0,M29)</f>
        <v>0</v>
      </c>
      <c r="E30" s="41" t="n">
        <f aca="false">D30*$F$7</f>
        <v>0</v>
      </c>
      <c r="F30" s="41" t="n">
        <f aca="false">IF(D30&gt;0.5,N($C$15),0)</f>
        <v>0</v>
      </c>
      <c r="G30" s="41" t="n">
        <f aca="false">IF(AND(D30&gt;0.5,N($C$19)&gt;0,N(B30)&lt;=N($C$20)),D30*$F$8,0)</f>
        <v>0</v>
      </c>
      <c r="H30" s="41" t="n">
        <f aca="false">IF(D30&lt;=0.5,0,MIN(IF(N(I30)&gt;0,I30,$F$9),D30+E30+F30))</f>
        <v>0</v>
      </c>
      <c r="I30" s="77"/>
      <c r="J30" s="77"/>
      <c r="K30" s="41" t="n">
        <f aca="false">IF(D30&lt;=0.5,0,MIN(H30+N(J30),D30+E30+F30))</f>
        <v>0</v>
      </c>
      <c r="L30" s="41" t="n">
        <f aca="false">K30-E30-F30</f>
        <v>0</v>
      </c>
      <c r="M30" s="41" t="n">
        <f aca="false">D30-L30</f>
        <v>0</v>
      </c>
      <c r="N30" s="42" t="n">
        <f aca="false">K30-G30</f>
        <v>0</v>
      </c>
      <c r="O30" s="78"/>
      <c r="P30" s="79"/>
      <c r="Q30" s="16" t="str">
        <f aca="false">IF(K30=0,"",IF(R30=1,"Pagada",IF(C30&lt;$F$12,"Vencida",IF(4=$F$13,"Próxima","Pendiente"))))</f>
        <v/>
      </c>
      <c r="R30" s="62" t="n">
        <f aca="false">IF(AND(K30&gt;0,OR(O30="Sí",O30="Si")),1,0)</f>
        <v>0</v>
      </c>
      <c r="S30" s="62" t="n">
        <f aca="false">IF(AND(K30&gt;0,R30=0),1,0)</f>
        <v>0</v>
      </c>
    </row>
    <row r="31" customFormat="false" ht="15" hidden="false" customHeight="false" outlineLevel="0" collapsed="false">
      <c r="B31" s="71" t="str">
        <f aca="false">IF($F$6="Sí",N($C$11)+4,"")</f>
        <v/>
      </c>
      <c r="C31" s="72" t="str">
        <f aca="false">IF(OR($F$6&lt;&gt;"Sí",D31&lt;=0.5),"",EDATE($C$10,4))</f>
        <v/>
      </c>
      <c r="D31" s="41" t="n">
        <f aca="false">MAX(0,M30)</f>
        <v>0</v>
      </c>
      <c r="E31" s="41" t="n">
        <f aca="false">D31*$F$7</f>
        <v>0</v>
      </c>
      <c r="F31" s="41" t="n">
        <f aca="false">IF(D31&gt;0.5,N($C$15),0)</f>
        <v>0</v>
      </c>
      <c r="G31" s="41" t="n">
        <f aca="false">IF(AND(D31&gt;0.5,N($C$19)&gt;0,N(B31)&lt;=N($C$20)),D31*$F$8,0)</f>
        <v>0</v>
      </c>
      <c r="H31" s="41" t="n">
        <f aca="false">IF(D31&lt;=0.5,0,MIN(IF(N(I31)&gt;0,I31,$F$9),D31+E31+F31))</f>
        <v>0</v>
      </c>
      <c r="I31" s="77"/>
      <c r="J31" s="77"/>
      <c r="K31" s="41" t="n">
        <f aca="false">IF(D31&lt;=0.5,0,MIN(H31+N(J31),D31+E31+F31))</f>
        <v>0</v>
      </c>
      <c r="L31" s="41" t="n">
        <f aca="false">K31-E31-F31</f>
        <v>0</v>
      </c>
      <c r="M31" s="41" t="n">
        <f aca="false">D31-L31</f>
        <v>0</v>
      </c>
      <c r="N31" s="42" t="n">
        <f aca="false">K31-G31</f>
        <v>0</v>
      </c>
      <c r="O31" s="78"/>
      <c r="P31" s="79"/>
      <c r="Q31" s="16" t="str">
        <f aca="false">IF(K31=0,"",IF(R31=1,"Pagada",IF(C31&lt;$F$12,"Vencida",IF(5=$F$13,"Próxima","Pendiente"))))</f>
        <v/>
      </c>
      <c r="R31" s="62" t="n">
        <f aca="false">IF(AND(K31&gt;0,OR(O31="Sí",O31="Si")),1,0)</f>
        <v>0</v>
      </c>
      <c r="S31" s="62" t="n">
        <f aca="false">IF(AND(K31&gt;0,R31=0),1,0)</f>
        <v>0</v>
      </c>
    </row>
    <row r="32" customFormat="false" ht="15" hidden="false" customHeight="false" outlineLevel="0" collapsed="false">
      <c r="B32" s="71" t="str">
        <f aca="false">IF($F$6="Sí",N($C$11)+5,"")</f>
        <v/>
      </c>
      <c r="C32" s="72" t="str">
        <f aca="false">IF(OR($F$6&lt;&gt;"Sí",D32&lt;=0.5),"",EDATE($C$10,5))</f>
        <v/>
      </c>
      <c r="D32" s="41" t="n">
        <f aca="false">MAX(0,M31)</f>
        <v>0</v>
      </c>
      <c r="E32" s="41" t="n">
        <f aca="false">D32*$F$7</f>
        <v>0</v>
      </c>
      <c r="F32" s="41" t="n">
        <f aca="false">IF(D32&gt;0.5,N($C$15),0)</f>
        <v>0</v>
      </c>
      <c r="G32" s="41" t="n">
        <f aca="false">IF(AND(D32&gt;0.5,N($C$19)&gt;0,N(B32)&lt;=N($C$20)),D32*$F$8,0)</f>
        <v>0</v>
      </c>
      <c r="H32" s="41" t="n">
        <f aca="false">IF(D32&lt;=0.5,0,MIN(IF(N(I32)&gt;0,I32,$F$9),D32+E32+F32))</f>
        <v>0</v>
      </c>
      <c r="I32" s="77"/>
      <c r="J32" s="77"/>
      <c r="K32" s="41" t="n">
        <f aca="false">IF(D32&lt;=0.5,0,MIN(H32+N(J32),D32+E32+F32))</f>
        <v>0</v>
      </c>
      <c r="L32" s="41" t="n">
        <f aca="false">K32-E32-F32</f>
        <v>0</v>
      </c>
      <c r="M32" s="41" t="n">
        <f aca="false">D32-L32</f>
        <v>0</v>
      </c>
      <c r="N32" s="42" t="n">
        <f aca="false">K32-G32</f>
        <v>0</v>
      </c>
      <c r="O32" s="78"/>
      <c r="P32" s="79"/>
      <c r="Q32" s="16" t="str">
        <f aca="false">IF(K32=0,"",IF(R32=1,"Pagada",IF(C32&lt;$F$12,"Vencida",IF(6=$F$13,"Próxima","Pendiente"))))</f>
        <v/>
      </c>
      <c r="R32" s="62" t="n">
        <f aca="false">IF(AND(K32&gt;0,OR(O32="Sí",O32="Si")),1,0)</f>
        <v>0</v>
      </c>
      <c r="S32" s="62" t="n">
        <f aca="false">IF(AND(K32&gt;0,R32=0),1,0)</f>
        <v>0</v>
      </c>
    </row>
    <row r="33" customFormat="false" ht="15" hidden="false" customHeight="false" outlineLevel="0" collapsed="false">
      <c r="B33" s="71" t="str">
        <f aca="false">IF($F$6="Sí",N($C$11)+6,"")</f>
        <v/>
      </c>
      <c r="C33" s="72" t="str">
        <f aca="false">IF(OR($F$6&lt;&gt;"Sí",D33&lt;=0.5),"",EDATE($C$10,6))</f>
        <v/>
      </c>
      <c r="D33" s="41" t="n">
        <f aca="false">MAX(0,M32)</f>
        <v>0</v>
      </c>
      <c r="E33" s="41" t="n">
        <f aca="false">D33*$F$7</f>
        <v>0</v>
      </c>
      <c r="F33" s="41" t="n">
        <f aca="false">IF(D33&gt;0.5,N($C$15),0)</f>
        <v>0</v>
      </c>
      <c r="G33" s="41" t="n">
        <f aca="false">IF(AND(D33&gt;0.5,N($C$19)&gt;0,N(B33)&lt;=N($C$20)),D33*$F$8,0)</f>
        <v>0</v>
      </c>
      <c r="H33" s="41" t="n">
        <f aca="false">IF(D33&lt;=0.5,0,MIN(IF(N(I33)&gt;0,I33,$F$9),D33+E33+F33))</f>
        <v>0</v>
      </c>
      <c r="I33" s="77"/>
      <c r="J33" s="77"/>
      <c r="K33" s="41" t="n">
        <f aca="false">IF(D33&lt;=0.5,0,MIN(H33+N(J33),D33+E33+F33))</f>
        <v>0</v>
      </c>
      <c r="L33" s="41" t="n">
        <f aca="false">K33-E33-F33</f>
        <v>0</v>
      </c>
      <c r="M33" s="41" t="n">
        <f aca="false">D33-L33</f>
        <v>0</v>
      </c>
      <c r="N33" s="42" t="n">
        <f aca="false">K33-G33</f>
        <v>0</v>
      </c>
      <c r="O33" s="78"/>
      <c r="P33" s="79"/>
      <c r="Q33" s="16" t="str">
        <f aca="false">IF(K33=0,"",IF(R33=1,"Pagada",IF(C33&lt;$F$12,"Vencida",IF(7=$F$13,"Próxima","Pendiente"))))</f>
        <v/>
      </c>
      <c r="R33" s="62" t="n">
        <f aca="false">IF(AND(K33&gt;0,OR(O33="Sí",O33="Si")),1,0)</f>
        <v>0</v>
      </c>
      <c r="S33" s="62" t="n">
        <f aca="false">IF(AND(K33&gt;0,R33=0),1,0)</f>
        <v>0</v>
      </c>
    </row>
    <row r="34" customFormat="false" ht="15" hidden="false" customHeight="false" outlineLevel="0" collapsed="false">
      <c r="B34" s="71" t="str">
        <f aca="false">IF($F$6="Sí",N($C$11)+7,"")</f>
        <v/>
      </c>
      <c r="C34" s="72" t="str">
        <f aca="false">IF(OR($F$6&lt;&gt;"Sí",D34&lt;=0.5),"",EDATE($C$10,7))</f>
        <v/>
      </c>
      <c r="D34" s="41" t="n">
        <f aca="false">MAX(0,M33)</f>
        <v>0</v>
      </c>
      <c r="E34" s="41" t="n">
        <f aca="false">D34*$F$7</f>
        <v>0</v>
      </c>
      <c r="F34" s="41" t="n">
        <f aca="false">IF(D34&gt;0.5,N($C$15),0)</f>
        <v>0</v>
      </c>
      <c r="G34" s="41" t="n">
        <f aca="false">IF(AND(D34&gt;0.5,N($C$19)&gt;0,N(B34)&lt;=N($C$20)),D34*$F$8,0)</f>
        <v>0</v>
      </c>
      <c r="H34" s="41" t="n">
        <f aca="false">IF(D34&lt;=0.5,0,MIN(IF(N(I34)&gt;0,I34,$F$9),D34+E34+F34))</f>
        <v>0</v>
      </c>
      <c r="I34" s="77"/>
      <c r="J34" s="77"/>
      <c r="K34" s="41" t="n">
        <f aca="false">IF(D34&lt;=0.5,0,MIN(H34+N(J34),D34+E34+F34))</f>
        <v>0</v>
      </c>
      <c r="L34" s="41" t="n">
        <f aca="false">K34-E34-F34</f>
        <v>0</v>
      </c>
      <c r="M34" s="41" t="n">
        <f aca="false">D34-L34</f>
        <v>0</v>
      </c>
      <c r="N34" s="42" t="n">
        <f aca="false">K34-G34</f>
        <v>0</v>
      </c>
      <c r="O34" s="78"/>
      <c r="P34" s="79"/>
      <c r="Q34" s="16" t="str">
        <f aca="false">IF(K34=0,"",IF(R34=1,"Pagada",IF(C34&lt;$F$12,"Vencida",IF(8=$F$13,"Próxima","Pendiente"))))</f>
        <v/>
      </c>
      <c r="R34" s="62" t="n">
        <f aca="false">IF(AND(K34&gt;0,OR(O34="Sí",O34="Si")),1,0)</f>
        <v>0</v>
      </c>
      <c r="S34" s="62" t="n">
        <f aca="false">IF(AND(K34&gt;0,R34=0),1,0)</f>
        <v>0</v>
      </c>
    </row>
    <row r="35" customFormat="false" ht="15" hidden="false" customHeight="false" outlineLevel="0" collapsed="false">
      <c r="B35" s="71" t="str">
        <f aca="false">IF($F$6="Sí",N($C$11)+8,"")</f>
        <v/>
      </c>
      <c r="C35" s="72" t="str">
        <f aca="false">IF(OR($F$6&lt;&gt;"Sí",D35&lt;=0.5),"",EDATE($C$10,8))</f>
        <v/>
      </c>
      <c r="D35" s="41" t="n">
        <f aca="false">MAX(0,M34)</f>
        <v>0</v>
      </c>
      <c r="E35" s="41" t="n">
        <f aca="false">D35*$F$7</f>
        <v>0</v>
      </c>
      <c r="F35" s="41" t="n">
        <f aca="false">IF(D35&gt;0.5,N($C$15),0)</f>
        <v>0</v>
      </c>
      <c r="G35" s="41" t="n">
        <f aca="false">IF(AND(D35&gt;0.5,N($C$19)&gt;0,N(B35)&lt;=N($C$20)),D35*$F$8,0)</f>
        <v>0</v>
      </c>
      <c r="H35" s="41" t="n">
        <f aca="false">IF(D35&lt;=0.5,0,MIN(IF(N(I35)&gt;0,I35,$F$9),D35+E35+F35))</f>
        <v>0</v>
      </c>
      <c r="I35" s="77"/>
      <c r="J35" s="77"/>
      <c r="K35" s="41" t="n">
        <f aca="false">IF(D35&lt;=0.5,0,MIN(H35+N(J35),D35+E35+F35))</f>
        <v>0</v>
      </c>
      <c r="L35" s="41" t="n">
        <f aca="false">K35-E35-F35</f>
        <v>0</v>
      </c>
      <c r="M35" s="41" t="n">
        <f aca="false">D35-L35</f>
        <v>0</v>
      </c>
      <c r="N35" s="42" t="n">
        <f aca="false">K35-G35</f>
        <v>0</v>
      </c>
      <c r="O35" s="78"/>
      <c r="P35" s="79"/>
      <c r="Q35" s="16" t="str">
        <f aca="false">IF(K35=0,"",IF(R35=1,"Pagada",IF(C35&lt;$F$12,"Vencida",IF(9=$F$13,"Próxima","Pendiente"))))</f>
        <v/>
      </c>
      <c r="R35" s="62" t="n">
        <f aca="false">IF(AND(K35&gt;0,OR(O35="Sí",O35="Si")),1,0)</f>
        <v>0</v>
      </c>
      <c r="S35" s="62" t="n">
        <f aca="false">IF(AND(K35&gt;0,R35=0),1,0)</f>
        <v>0</v>
      </c>
    </row>
    <row r="36" customFormat="false" ht="15" hidden="false" customHeight="false" outlineLevel="0" collapsed="false">
      <c r="B36" s="71" t="str">
        <f aca="false">IF($F$6="Sí",N($C$11)+9,"")</f>
        <v/>
      </c>
      <c r="C36" s="72" t="str">
        <f aca="false">IF(OR($F$6&lt;&gt;"Sí",D36&lt;=0.5),"",EDATE($C$10,9))</f>
        <v/>
      </c>
      <c r="D36" s="41" t="n">
        <f aca="false">MAX(0,M35)</f>
        <v>0</v>
      </c>
      <c r="E36" s="41" t="n">
        <f aca="false">D36*$F$7</f>
        <v>0</v>
      </c>
      <c r="F36" s="41" t="n">
        <f aca="false">IF(D36&gt;0.5,N($C$15),0)</f>
        <v>0</v>
      </c>
      <c r="G36" s="41" t="n">
        <f aca="false">IF(AND(D36&gt;0.5,N($C$19)&gt;0,N(B36)&lt;=N($C$20)),D36*$F$8,0)</f>
        <v>0</v>
      </c>
      <c r="H36" s="41" t="n">
        <f aca="false">IF(D36&lt;=0.5,0,MIN(IF(N(I36)&gt;0,I36,$F$9),D36+E36+F36))</f>
        <v>0</v>
      </c>
      <c r="I36" s="77"/>
      <c r="J36" s="77"/>
      <c r="K36" s="41" t="n">
        <f aca="false">IF(D36&lt;=0.5,0,MIN(H36+N(J36),D36+E36+F36))</f>
        <v>0</v>
      </c>
      <c r="L36" s="41" t="n">
        <f aca="false">K36-E36-F36</f>
        <v>0</v>
      </c>
      <c r="M36" s="41" t="n">
        <f aca="false">D36-L36</f>
        <v>0</v>
      </c>
      <c r="N36" s="42" t="n">
        <f aca="false">K36-G36</f>
        <v>0</v>
      </c>
      <c r="O36" s="78"/>
      <c r="P36" s="79"/>
      <c r="Q36" s="16" t="str">
        <f aca="false">IF(K36=0,"",IF(R36=1,"Pagada",IF(C36&lt;$F$12,"Vencida",IF(10=$F$13,"Próxima","Pendiente"))))</f>
        <v/>
      </c>
      <c r="R36" s="62" t="n">
        <f aca="false">IF(AND(K36&gt;0,OR(O36="Sí",O36="Si")),1,0)</f>
        <v>0</v>
      </c>
      <c r="S36" s="62" t="n">
        <f aca="false">IF(AND(K36&gt;0,R36=0),1,0)</f>
        <v>0</v>
      </c>
    </row>
    <row r="37" customFormat="false" ht="15" hidden="false" customHeight="false" outlineLevel="0" collapsed="false">
      <c r="B37" s="71" t="str">
        <f aca="false">IF($F$6="Sí",N($C$11)+10,"")</f>
        <v/>
      </c>
      <c r="C37" s="72" t="str">
        <f aca="false">IF(OR($F$6&lt;&gt;"Sí",D37&lt;=0.5),"",EDATE($C$10,10))</f>
        <v/>
      </c>
      <c r="D37" s="41" t="n">
        <f aca="false">MAX(0,M36)</f>
        <v>0</v>
      </c>
      <c r="E37" s="41" t="n">
        <f aca="false">D37*$F$7</f>
        <v>0</v>
      </c>
      <c r="F37" s="41" t="n">
        <f aca="false">IF(D37&gt;0.5,N($C$15),0)</f>
        <v>0</v>
      </c>
      <c r="G37" s="41" t="n">
        <f aca="false">IF(AND(D37&gt;0.5,N($C$19)&gt;0,N(B37)&lt;=N($C$20)),D37*$F$8,0)</f>
        <v>0</v>
      </c>
      <c r="H37" s="41" t="n">
        <f aca="false">IF(D37&lt;=0.5,0,MIN(IF(N(I37)&gt;0,I37,$F$9),D37+E37+F37))</f>
        <v>0</v>
      </c>
      <c r="I37" s="77"/>
      <c r="J37" s="77"/>
      <c r="K37" s="41" t="n">
        <f aca="false">IF(D37&lt;=0.5,0,MIN(H37+N(J37),D37+E37+F37))</f>
        <v>0</v>
      </c>
      <c r="L37" s="41" t="n">
        <f aca="false">K37-E37-F37</f>
        <v>0</v>
      </c>
      <c r="M37" s="41" t="n">
        <f aca="false">D37-L37</f>
        <v>0</v>
      </c>
      <c r="N37" s="42" t="n">
        <f aca="false">K37-G37</f>
        <v>0</v>
      </c>
      <c r="O37" s="78"/>
      <c r="P37" s="79"/>
      <c r="Q37" s="16" t="str">
        <f aca="false">IF(K37=0,"",IF(R37=1,"Pagada",IF(C37&lt;$F$12,"Vencida",IF(11=$F$13,"Próxima","Pendiente"))))</f>
        <v/>
      </c>
      <c r="R37" s="62" t="n">
        <f aca="false">IF(AND(K37&gt;0,OR(O37="Sí",O37="Si")),1,0)</f>
        <v>0</v>
      </c>
      <c r="S37" s="62" t="n">
        <f aca="false">IF(AND(K37&gt;0,R37=0),1,0)</f>
        <v>0</v>
      </c>
    </row>
    <row r="38" customFormat="false" ht="15" hidden="false" customHeight="false" outlineLevel="0" collapsed="false">
      <c r="B38" s="71" t="str">
        <f aca="false">IF($F$6="Sí",N($C$11)+11,"")</f>
        <v/>
      </c>
      <c r="C38" s="72" t="str">
        <f aca="false">IF(OR($F$6&lt;&gt;"Sí",D38&lt;=0.5),"",EDATE($C$10,11))</f>
        <v/>
      </c>
      <c r="D38" s="41" t="n">
        <f aca="false">MAX(0,M37)</f>
        <v>0</v>
      </c>
      <c r="E38" s="41" t="n">
        <f aca="false">D38*$F$7</f>
        <v>0</v>
      </c>
      <c r="F38" s="41" t="n">
        <f aca="false">IF(D38&gt;0.5,N($C$15),0)</f>
        <v>0</v>
      </c>
      <c r="G38" s="41" t="n">
        <f aca="false">IF(AND(D38&gt;0.5,N($C$19)&gt;0,N(B38)&lt;=N($C$20)),D38*$F$8,0)</f>
        <v>0</v>
      </c>
      <c r="H38" s="41" t="n">
        <f aca="false">IF(D38&lt;=0.5,0,MIN(IF(N(I38)&gt;0,I38,$F$9),D38+E38+F38))</f>
        <v>0</v>
      </c>
      <c r="I38" s="77"/>
      <c r="J38" s="77"/>
      <c r="K38" s="41" t="n">
        <f aca="false">IF(D38&lt;=0.5,0,MIN(H38+N(J38),D38+E38+F38))</f>
        <v>0</v>
      </c>
      <c r="L38" s="41" t="n">
        <f aca="false">K38-E38-F38</f>
        <v>0</v>
      </c>
      <c r="M38" s="41" t="n">
        <f aca="false">D38-L38</f>
        <v>0</v>
      </c>
      <c r="N38" s="42" t="n">
        <f aca="false">K38-G38</f>
        <v>0</v>
      </c>
      <c r="O38" s="78"/>
      <c r="P38" s="79"/>
      <c r="Q38" s="16" t="str">
        <f aca="false">IF(K38=0,"",IF(R38=1,"Pagada",IF(C38&lt;$F$12,"Vencida",IF(12=$F$13,"Próxima","Pendiente"))))</f>
        <v/>
      </c>
      <c r="R38" s="62" t="n">
        <f aca="false">IF(AND(K38&gt;0,OR(O38="Sí",O38="Si")),1,0)</f>
        <v>0</v>
      </c>
      <c r="S38" s="62" t="n">
        <f aca="false">IF(AND(K38&gt;0,R38=0),1,0)</f>
        <v>0</v>
      </c>
    </row>
    <row r="39" customFormat="false" ht="15" hidden="false" customHeight="false" outlineLevel="0" collapsed="false">
      <c r="B39" s="71" t="str">
        <f aca="false">IF($F$6="Sí",N($C$11)+12,"")</f>
        <v/>
      </c>
      <c r="C39" s="72" t="str">
        <f aca="false">IF(OR($F$6&lt;&gt;"Sí",D39&lt;=0.5),"",EDATE($C$10,12))</f>
        <v/>
      </c>
      <c r="D39" s="41" t="n">
        <f aca="false">MAX(0,M38)</f>
        <v>0</v>
      </c>
      <c r="E39" s="41" t="n">
        <f aca="false">D39*$F$7</f>
        <v>0</v>
      </c>
      <c r="F39" s="41" t="n">
        <f aca="false">IF(D39&gt;0.5,N($C$15),0)</f>
        <v>0</v>
      </c>
      <c r="G39" s="41" t="n">
        <f aca="false">IF(AND(D39&gt;0.5,N($C$19)&gt;0,N(B39)&lt;=N($C$20)),D39*$F$8,0)</f>
        <v>0</v>
      </c>
      <c r="H39" s="41" t="n">
        <f aca="false">IF(D39&lt;=0.5,0,MIN(IF(N(I39)&gt;0,I39,$F$9),D39+E39+F39))</f>
        <v>0</v>
      </c>
      <c r="I39" s="77"/>
      <c r="J39" s="77"/>
      <c r="K39" s="41" t="n">
        <f aca="false">IF(D39&lt;=0.5,0,MIN(H39+N(J39),D39+E39+F39))</f>
        <v>0</v>
      </c>
      <c r="L39" s="41" t="n">
        <f aca="false">K39-E39-F39</f>
        <v>0</v>
      </c>
      <c r="M39" s="41" t="n">
        <f aca="false">D39-L39</f>
        <v>0</v>
      </c>
      <c r="N39" s="42" t="n">
        <f aca="false">K39-G39</f>
        <v>0</v>
      </c>
      <c r="O39" s="78"/>
      <c r="P39" s="79"/>
      <c r="Q39" s="16" t="str">
        <f aca="false">IF(K39=0,"",IF(R39=1,"Pagada",IF(C39&lt;$F$12,"Vencida",IF(13=$F$13,"Próxima","Pendiente"))))</f>
        <v/>
      </c>
      <c r="R39" s="62" t="n">
        <f aca="false">IF(AND(K39&gt;0,OR(O39="Sí",O39="Si")),1,0)</f>
        <v>0</v>
      </c>
      <c r="S39" s="62" t="n">
        <f aca="false">IF(AND(K39&gt;0,R39=0),1,0)</f>
        <v>0</v>
      </c>
    </row>
    <row r="40" customFormat="false" ht="15" hidden="false" customHeight="false" outlineLevel="0" collapsed="false">
      <c r="B40" s="71" t="str">
        <f aca="false">IF($F$6="Sí",N($C$11)+13,"")</f>
        <v/>
      </c>
      <c r="C40" s="72" t="str">
        <f aca="false">IF(OR($F$6&lt;&gt;"Sí",D40&lt;=0.5),"",EDATE($C$10,13))</f>
        <v/>
      </c>
      <c r="D40" s="41" t="n">
        <f aca="false">MAX(0,M39)</f>
        <v>0</v>
      </c>
      <c r="E40" s="41" t="n">
        <f aca="false">D40*$F$7</f>
        <v>0</v>
      </c>
      <c r="F40" s="41" t="n">
        <f aca="false">IF(D40&gt;0.5,N($C$15),0)</f>
        <v>0</v>
      </c>
      <c r="G40" s="41" t="n">
        <f aca="false">IF(AND(D40&gt;0.5,N($C$19)&gt;0,N(B40)&lt;=N($C$20)),D40*$F$8,0)</f>
        <v>0</v>
      </c>
      <c r="H40" s="41" t="n">
        <f aca="false">IF(D40&lt;=0.5,0,MIN(IF(N(I40)&gt;0,I40,$F$9),D40+E40+F40))</f>
        <v>0</v>
      </c>
      <c r="I40" s="77"/>
      <c r="J40" s="77"/>
      <c r="K40" s="41" t="n">
        <f aca="false">IF(D40&lt;=0.5,0,MIN(H40+N(J40),D40+E40+F40))</f>
        <v>0</v>
      </c>
      <c r="L40" s="41" t="n">
        <f aca="false">K40-E40-F40</f>
        <v>0</v>
      </c>
      <c r="M40" s="41" t="n">
        <f aca="false">D40-L40</f>
        <v>0</v>
      </c>
      <c r="N40" s="42" t="n">
        <f aca="false">K40-G40</f>
        <v>0</v>
      </c>
      <c r="O40" s="78"/>
      <c r="P40" s="79"/>
      <c r="Q40" s="16" t="str">
        <f aca="false">IF(K40=0,"",IF(R40=1,"Pagada",IF(C40&lt;$F$12,"Vencida",IF(14=$F$13,"Próxima","Pendiente"))))</f>
        <v/>
      </c>
      <c r="R40" s="62" t="n">
        <f aca="false">IF(AND(K40&gt;0,OR(O40="Sí",O40="Si")),1,0)</f>
        <v>0</v>
      </c>
      <c r="S40" s="62" t="n">
        <f aca="false">IF(AND(K40&gt;0,R40=0),1,0)</f>
        <v>0</v>
      </c>
    </row>
    <row r="41" customFormat="false" ht="15" hidden="false" customHeight="false" outlineLevel="0" collapsed="false">
      <c r="B41" s="71" t="str">
        <f aca="false">IF($F$6="Sí",N($C$11)+14,"")</f>
        <v/>
      </c>
      <c r="C41" s="72" t="str">
        <f aca="false">IF(OR($F$6&lt;&gt;"Sí",D41&lt;=0.5),"",EDATE($C$10,14))</f>
        <v/>
      </c>
      <c r="D41" s="41" t="n">
        <f aca="false">MAX(0,M40)</f>
        <v>0</v>
      </c>
      <c r="E41" s="41" t="n">
        <f aca="false">D41*$F$7</f>
        <v>0</v>
      </c>
      <c r="F41" s="41" t="n">
        <f aca="false">IF(D41&gt;0.5,N($C$15),0)</f>
        <v>0</v>
      </c>
      <c r="G41" s="41" t="n">
        <f aca="false">IF(AND(D41&gt;0.5,N($C$19)&gt;0,N(B41)&lt;=N($C$20)),D41*$F$8,0)</f>
        <v>0</v>
      </c>
      <c r="H41" s="41" t="n">
        <f aca="false">IF(D41&lt;=0.5,0,MIN(IF(N(I41)&gt;0,I41,$F$9),D41+E41+F41))</f>
        <v>0</v>
      </c>
      <c r="I41" s="77"/>
      <c r="J41" s="77"/>
      <c r="K41" s="41" t="n">
        <f aca="false">IF(D41&lt;=0.5,0,MIN(H41+N(J41),D41+E41+F41))</f>
        <v>0</v>
      </c>
      <c r="L41" s="41" t="n">
        <f aca="false">K41-E41-F41</f>
        <v>0</v>
      </c>
      <c r="M41" s="41" t="n">
        <f aca="false">D41-L41</f>
        <v>0</v>
      </c>
      <c r="N41" s="42" t="n">
        <f aca="false">K41-G41</f>
        <v>0</v>
      </c>
      <c r="O41" s="78"/>
      <c r="P41" s="79"/>
      <c r="Q41" s="16" t="str">
        <f aca="false">IF(K41=0,"",IF(R41=1,"Pagada",IF(C41&lt;$F$12,"Vencida",IF(15=$F$13,"Próxima","Pendiente"))))</f>
        <v/>
      </c>
      <c r="R41" s="62" t="n">
        <f aca="false">IF(AND(K41&gt;0,OR(O41="Sí",O41="Si")),1,0)</f>
        <v>0</v>
      </c>
      <c r="S41" s="62" t="n">
        <f aca="false">IF(AND(K41&gt;0,R41=0),1,0)</f>
        <v>0</v>
      </c>
    </row>
    <row r="42" customFormat="false" ht="15" hidden="false" customHeight="false" outlineLevel="0" collapsed="false">
      <c r="B42" s="71" t="str">
        <f aca="false">IF($F$6="Sí",N($C$11)+15,"")</f>
        <v/>
      </c>
      <c r="C42" s="72" t="str">
        <f aca="false">IF(OR($F$6&lt;&gt;"Sí",D42&lt;=0.5),"",EDATE($C$10,15))</f>
        <v/>
      </c>
      <c r="D42" s="41" t="n">
        <f aca="false">MAX(0,M41)</f>
        <v>0</v>
      </c>
      <c r="E42" s="41" t="n">
        <f aca="false">D42*$F$7</f>
        <v>0</v>
      </c>
      <c r="F42" s="41" t="n">
        <f aca="false">IF(D42&gt;0.5,N($C$15),0)</f>
        <v>0</v>
      </c>
      <c r="G42" s="41" t="n">
        <f aca="false">IF(AND(D42&gt;0.5,N($C$19)&gt;0,N(B42)&lt;=N($C$20)),D42*$F$8,0)</f>
        <v>0</v>
      </c>
      <c r="H42" s="41" t="n">
        <f aca="false">IF(D42&lt;=0.5,0,MIN(IF(N(I42)&gt;0,I42,$F$9),D42+E42+F42))</f>
        <v>0</v>
      </c>
      <c r="I42" s="77"/>
      <c r="J42" s="77"/>
      <c r="K42" s="41" t="n">
        <f aca="false">IF(D42&lt;=0.5,0,MIN(H42+N(J42),D42+E42+F42))</f>
        <v>0</v>
      </c>
      <c r="L42" s="41" t="n">
        <f aca="false">K42-E42-F42</f>
        <v>0</v>
      </c>
      <c r="M42" s="41" t="n">
        <f aca="false">D42-L42</f>
        <v>0</v>
      </c>
      <c r="N42" s="42" t="n">
        <f aca="false">K42-G42</f>
        <v>0</v>
      </c>
      <c r="O42" s="78"/>
      <c r="P42" s="79"/>
      <c r="Q42" s="16" t="str">
        <f aca="false">IF(K42=0,"",IF(R42=1,"Pagada",IF(C42&lt;$F$12,"Vencida",IF(16=$F$13,"Próxima","Pendiente"))))</f>
        <v/>
      </c>
      <c r="R42" s="62" t="n">
        <f aca="false">IF(AND(K42&gt;0,OR(O42="Sí",O42="Si")),1,0)</f>
        <v>0</v>
      </c>
      <c r="S42" s="62" t="n">
        <f aca="false">IF(AND(K42&gt;0,R42=0),1,0)</f>
        <v>0</v>
      </c>
    </row>
    <row r="43" customFormat="false" ht="15" hidden="false" customHeight="false" outlineLevel="0" collapsed="false">
      <c r="B43" s="71" t="str">
        <f aca="false">IF($F$6="Sí",N($C$11)+16,"")</f>
        <v/>
      </c>
      <c r="C43" s="72" t="str">
        <f aca="false">IF(OR($F$6&lt;&gt;"Sí",D43&lt;=0.5),"",EDATE($C$10,16))</f>
        <v/>
      </c>
      <c r="D43" s="41" t="n">
        <f aca="false">MAX(0,M42)</f>
        <v>0</v>
      </c>
      <c r="E43" s="41" t="n">
        <f aca="false">D43*$F$7</f>
        <v>0</v>
      </c>
      <c r="F43" s="41" t="n">
        <f aca="false">IF(D43&gt;0.5,N($C$15),0)</f>
        <v>0</v>
      </c>
      <c r="G43" s="41" t="n">
        <f aca="false">IF(AND(D43&gt;0.5,N($C$19)&gt;0,N(B43)&lt;=N($C$20)),D43*$F$8,0)</f>
        <v>0</v>
      </c>
      <c r="H43" s="41" t="n">
        <f aca="false">IF(D43&lt;=0.5,0,MIN(IF(N(I43)&gt;0,I43,$F$9),D43+E43+F43))</f>
        <v>0</v>
      </c>
      <c r="I43" s="77"/>
      <c r="J43" s="77"/>
      <c r="K43" s="41" t="n">
        <f aca="false">IF(D43&lt;=0.5,0,MIN(H43+N(J43),D43+E43+F43))</f>
        <v>0</v>
      </c>
      <c r="L43" s="41" t="n">
        <f aca="false">K43-E43-F43</f>
        <v>0</v>
      </c>
      <c r="M43" s="41" t="n">
        <f aca="false">D43-L43</f>
        <v>0</v>
      </c>
      <c r="N43" s="42" t="n">
        <f aca="false">K43-G43</f>
        <v>0</v>
      </c>
      <c r="O43" s="78"/>
      <c r="P43" s="79"/>
      <c r="Q43" s="16" t="str">
        <f aca="false">IF(K43=0,"",IF(R43=1,"Pagada",IF(C43&lt;$F$12,"Vencida",IF(17=$F$13,"Próxima","Pendiente"))))</f>
        <v/>
      </c>
      <c r="R43" s="62" t="n">
        <f aca="false">IF(AND(K43&gt;0,OR(O43="Sí",O43="Si")),1,0)</f>
        <v>0</v>
      </c>
      <c r="S43" s="62" t="n">
        <f aca="false">IF(AND(K43&gt;0,R43=0),1,0)</f>
        <v>0</v>
      </c>
    </row>
    <row r="44" customFormat="false" ht="15" hidden="false" customHeight="false" outlineLevel="0" collapsed="false">
      <c r="B44" s="71" t="str">
        <f aca="false">IF($F$6="Sí",N($C$11)+17,"")</f>
        <v/>
      </c>
      <c r="C44" s="72" t="str">
        <f aca="false">IF(OR($F$6&lt;&gt;"Sí",D44&lt;=0.5),"",EDATE($C$10,17))</f>
        <v/>
      </c>
      <c r="D44" s="41" t="n">
        <f aca="false">MAX(0,M43)</f>
        <v>0</v>
      </c>
      <c r="E44" s="41" t="n">
        <f aca="false">D44*$F$7</f>
        <v>0</v>
      </c>
      <c r="F44" s="41" t="n">
        <f aca="false">IF(D44&gt;0.5,N($C$15),0)</f>
        <v>0</v>
      </c>
      <c r="G44" s="41" t="n">
        <f aca="false">IF(AND(D44&gt;0.5,N($C$19)&gt;0,N(B44)&lt;=N($C$20)),D44*$F$8,0)</f>
        <v>0</v>
      </c>
      <c r="H44" s="41" t="n">
        <f aca="false">IF(D44&lt;=0.5,0,MIN(IF(N(I44)&gt;0,I44,$F$9),D44+E44+F44))</f>
        <v>0</v>
      </c>
      <c r="I44" s="77"/>
      <c r="J44" s="77"/>
      <c r="K44" s="41" t="n">
        <f aca="false">IF(D44&lt;=0.5,0,MIN(H44+N(J44),D44+E44+F44))</f>
        <v>0</v>
      </c>
      <c r="L44" s="41" t="n">
        <f aca="false">K44-E44-F44</f>
        <v>0</v>
      </c>
      <c r="M44" s="41" t="n">
        <f aca="false">D44-L44</f>
        <v>0</v>
      </c>
      <c r="N44" s="42" t="n">
        <f aca="false">K44-G44</f>
        <v>0</v>
      </c>
      <c r="O44" s="78"/>
      <c r="P44" s="79"/>
      <c r="Q44" s="16" t="str">
        <f aca="false">IF(K44=0,"",IF(R44=1,"Pagada",IF(C44&lt;$F$12,"Vencida",IF(18=$F$13,"Próxima","Pendiente"))))</f>
        <v/>
      </c>
      <c r="R44" s="62" t="n">
        <f aca="false">IF(AND(K44&gt;0,OR(O44="Sí",O44="Si")),1,0)</f>
        <v>0</v>
      </c>
      <c r="S44" s="62" t="n">
        <f aca="false">IF(AND(K44&gt;0,R44=0),1,0)</f>
        <v>0</v>
      </c>
    </row>
    <row r="45" customFormat="false" ht="15" hidden="false" customHeight="false" outlineLevel="0" collapsed="false">
      <c r="B45" s="71" t="str">
        <f aca="false">IF($F$6="Sí",N($C$11)+18,"")</f>
        <v/>
      </c>
      <c r="C45" s="72" t="str">
        <f aca="false">IF(OR($F$6&lt;&gt;"Sí",D45&lt;=0.5),"",EDATE($C$10,18))</f>
        <v/>
      </c>
      <c r="D45" s="41" t="n">
        <f aca="false">MAX(0,M44)</f>
        <v>0</v>
      </c>
      <c r="E45" s="41" t="n">
        <f aca="false">D45*$F$7</f>
        <v>0</v>
      </c>
      <c r="F45" s="41" t="n">
        <f aca="false">IF(D45&gt;0.5,N($C$15),0)</f>
        <v>0</v>
      </c>
      <c r="G45" s="41" t="n">
        <f aca="false">IF(AND(D45&gt;0.5,N($C$19)&gt;0,N(B45)&lt;=N($C$20)),D45*$F$8,0)</f>
        <v>0</v>
      </c>
      <c r="H45" s="41" t="n">
        <f aca="false">IF(D45&lt;=0.5,0,MIN(IF(N(I45)&gt;0,I45,$F$9),D45+E45+F45))</f>
        <v>0</v>
      </c>
      <c r="I45" s="77"/>
      <c r="J45" s="77"/>
      <c r="K45" s="41" t="n">
        <f aca="false">IF(D45&lt;=0.5,0,MIN(H45+N(J45),D45+E45+F45))</f>
        <v>0</v>
      </c>
      <c r="L45" s="41" t="n">
        <f aca="false">K45-E45-F45</f>
        <v>0</v>
      </c>
      <c r="M45" s="41" t="n">
        <f aca="false">D45-L45</f>
        <v>0</v>
      </c>
      <c r="N45" s="42" t="n">
        <f aca="false">K45-G45</f>
        <v>0</v>
      </c>
      <c r="O45" s="78"/>
      <c r="P45" s="79"/>
      <c r="Q45" s="16" t="str">
        <f aca="false">IF(K45=0,"",IF(R45=1,"Pagada",IF(C45&lt;$F$12,"Vencida",IF(19=$F$13,"Próxima","Pendiente"))))</f>
        <v/>
      </c>
      <c r="R45" s="62" t="n">
        <f aca="false">IF(AND(K45&gt;0,OR(O45="Sí",O45="Si")),1,0)</f>
        <v>0</v>
      </c>
      <c r="S45" s="62" t="n">
        <f aca="false">IF(AND(K45&gt;0,R45=0),1,0)</f>
        <v>0</v>
      </c>
    </row>
    <row r="46" customFormat="false" ht="15" hidden="false" customHeight="false" outlineLevel="0" collapsed="false">
      <c r="B46" s="71" t="str">
        <f aca="false">IF($F$6="Sí",N($C$11)+19,"")</f>
        <v/>
      </c>
      <c r="C46" s="72" t="str">
        <f aca="false">IF(OR($F$6&lt;&gt;"Sí",D46&lt;=0.5),"",EDATE($C$10,19))</f>
        <v/>
      </c>
      <c r="D46" s="41" t="n">
        <f aca="false">MAX(0,M45)</f>
        <v>0</v>
      </c>
      <c r="E46" s="41" t="n">
        <f aca="false">D46*$F$7</f>
        <v>0</v>
      </c>
      <c r="F46" s="41" t="n">
        <f aca="false">IF(D46&gt;0.5,N($C$15),0)</f>
        <v>0</v>
      </c>
      <c r="G46" s="41" t="n">
        <f aca="false">IF(AND(D46&gt;0.5,N($C$19)&gt;0,N(B46)&lt;=N($C$20)),D46*$F$8,0)</f>
        <v>0</v>
      </c>
      <c r="H46" s="41" t="n">
        <f aca="false">IF(D46&lt;=0.5,0,MIN(IF(N(I46)&gt;0,I46,$F$9),D46+E46+F46))</f>
        <v>0</v>
      </c>
      <c r="I46" s="77"/>
      <c r="J46" s="77"/>
      <c r="K46" s="41" t="n">
        <f aca="false">IF(D46&lt;=0.5,0,MIN(H46+N(J46),D46+E46+F46))</f>
        <v>0</v>
      </c>
      <c r="L46" s="41" t="n">
        <f aca="false">K46-E46-F46</f>
        <v>0</v>
      </c>
      <c r="M46" s="41" t="n">
        <f aca="false">D46-L46</f>
        <v>0</v>
      </c>
      <c r="N46" s="42" t="n">
        <f aca="false">K46-G46</f>
        <v>0</v>
      </c>
      <c r="O46" s="78"/>
      <c r="P46" s="79"/>
      <c r="Q46" s="16" t="str">
        <f aca="false">IF(K46=0,"",IF(R46=1,"Pagada",IF(C46&lt;$F$12,"Vencida",IF(20=$F$13,"Próxima","Pendiente"))))</f>
        <v/>
      </c>
      <c r="R46" s="62" t="n">
        <f aca="false">IF(AND(K46&gt;0,OR(O46="Sí",O46="Si")),1,0)</f>
        <v>0</v>
      </c>
      <c r="S46" s="62" t="n">
        <f aca="false">IF(AND(K46&gt;0,R46=0),1,0)</f>
        <v>0</v>
      </c>
    </row>
    <row r="47" customFormat="false" ht="15" hidden="false" customHeight="false" outlineLevel="0" collapsed="false">
      <c r="B47" s="71" t="str">
        <f aca="false">IF($F$6="Sí",N($C$11)+20,"")</f>
        <v/>
      </c>
      <c r="C47" s="72" t="str">
        <f aca="false">IF(OR($F$6&lt;&gt;"Sí",D47&lt;=0.5),"",EDATE($C$10,20))</f>
        <v/>
      </c>
      <c r="D47" s="41" t="n">
        <f aca="false">MAX(0,M46)</f>
        <v>0</v>
      </c>
      <c r="E47" s="41" t="n">
        <f aca="false">D47*$F$7</f>
        <v>0</v>
      </c>
      <c r="F47" s="41" t="n">
        <f aca="false">IF(D47&gt;0.5,N($C$15),0)</f>
        <v>0</v>
      </c>
      <c r="G47" s="41" t="n">
        <f aca="false">IF(AND(D47&gt;0.5,N($C$19)&gt;0,N(B47)&lt;=N($C$20)),D47*$F$8,0)</f>
        <v>0</v>
      </c>
      <c r="H47" s="41" t="n">
        <f aca="false">IF(D47&lt;=0.5,0,MIN(IF(N(I47)&gt;0,I47,$F$9),D47+E47+F47))</f>
        <v>0</v>
      </c>
      <c r="I47" s="77"/>
      <c r="J47" s="77"/>
      <c r="K47" s="41" t="n">
        <f aca="false">IF(D47&lt;=0.5,0,MIN(H47+N(J47),D47+E47+F47))</f>
        <v>0</v>
      </c>
      <c r="L47" s="41" t="n">
        <f aca="false">K47-E47-F47</f>
        <v>0</v>
      </c>
      <c r="M47" s="41" t="n">
        <f aca="false">D47-L47</f>
        <v>0</v>
      </c>
      <c r="N47" s="42" t="n">
        <f aca="false">K47-G47</f>
        <v>0</v>
      </c>
      <c r="O47" s="78"/>
      <c r="P47" s="79"/>
      <c r="Q47" s="16" t="str">
        <f aca="false">IF(K47=0,"",IF(R47=1,"Pagada",IF(C47&lt;$F$12,"Vencida",IF(21=$F$13,"Próxima","Pendiente"))))</f>
        <v/>
      </c>
      <c r="R47" s="62" t="n">
        <f aca="false">IF(AND(K47&gt;0,OR(O47="Sí",O47="Si")),1,0)</f>
        <v>0</v>
      </c>
      <c r="S47" s="62" t="n">
        <f aca="false">IF(AND(K47&gt;0,R47=0),1,0)</f>
        <v>0</v>
      </c>
    </row>
    <row r="48" customFormat="false" ht="15" hidden="false" customHeight="false" outlineLevel="0" collapsed="false">
      <c r="B48" s="71" t="str">
        <f aca="false">IF($F$6="Sí",N($C$11)+21,"")</f>
        <v/>
      </c>
      <c r="C48" s="72" t="str">
        <f aca="false">IF(OR($F$6&lt;&gt;"Sí",D48&lt;=0.5),"",EDATE($C$10,21))</f>
        <v/>
      </c>
      <c r="D48" s="41" t="n">
        <f aca="false">MAX(0,M47)</f>
        <v>0</v>
      </c>
      <c r="E48" s="41" t="n">
        <f aca="false">D48*$F$7</f>
        <v>0</v>
      </c>
      <c r="F48" s="41" t="n">
        <f aca="false">IF(D48&gt;0.5,N($C$15),0)</f>
        <v>0</v>
      </c>
      <c r="G48" s="41" t="n">
        <f aca="false">IF(AND(D48&gt;0.5,N($C$19)&gt;0,N(B48)&lt;=N($C$20)),D48*$F$8,0)</f>
        <v>0</v>
      </c>
      <c r="H48" s="41" t="n">
        <f aca="false">IF(D48&lt;=0.5,0,MIN(IF(N(I48)&gt;0,I48,$F$9),D48+E48+F48))</f>
        <v>0</v>
      </c>
      <c r="I48" s="77"/>
      <c r="J48" s="77"/>
      <c r="K48" s="41" t="n">
        <f aca="false">IF(D48&lt;=0.5,0,MIN(H48+N(J48),D48+E48+F48))</f>
        <v>0</v>
      </c>
      <c r="L48" s="41" t="n">
        <f aca="false">K48-E48-F48</f>
        <v>0</v>
      </c>
      <c r="M48" s="41" t="n">
        <f aca="false">D48-L48</f>
        <v>0</v>
      </c>
      <c r="N48" s="42" t="n">
        <f aca="false">K48-G48</f>
        <v>0</v>
      </c>
      <c r="O48" s="78"/>
      <c r="P48" s="79"/>
      <c r="Q48" s="16" t="str">
        <f aca="false">IF(K48=0,"",IF(R48=1,"Pagada",IF(C48&lt;$F$12,"Vencida",IF(22=$F$13,"Próxima","Pendiente"))))</f>
        <v/>
      </c>
      <c r="R48" s="62" t="n">
        <f aca="false">IF(AND(K48&gt;0,OR(O48="Sí",O48="Si")),1,0)</f>
        <v>0</v>
      </c>
      <c r="S48" s="62" t="n">
        <f aca="false">IF(AND(K48&gt;0,R48=0),1,0)</f>
        <v>0</v>
      </c>
    </row>
    <row r="49" customFormat="false" ht="15" hidden="false" customHeight="false" outlineLevel="0" collapsed="false">
      <c r="B49" s="71" t="str">
        <f aca="false">IF($F$6="Sí",N($C$11)+22,"")</f>
        <v/>
      </c>
      <c r="C49" s="72" t="str">
        <f aca="false">IF(OR($F$6&lt;&gt;"Sí",D49&lt;=0.5),"",EDATE($C$10,22))</f>
        <v/>
      </c>
      <c r="D49" s="41" t="n">
        <f aca="false">MAX(0,M48)</f>
        <v>0</v>
      </c>
      <c r="E49" s="41" t="n">
        <f aca="false">D49*$F$7</f>
        <v>0</v>
      </c>
      <c r="F49" s="41" t="n">
        <f aca="false">IF(D49&gt;0.5,N($C$15),0)</f>
        <v>0</v>
      </c>
      <c r="G49" s="41" t="n">
        <f aca="false">IF(AND(D49&gt;0.5,N($C$19)&gt;0,N(B49)&lt;=N($C$20)),D49*$F$8,0)</f>
        <v>0</v>
      </c>
      <c r="H49" s="41" t="n">
        <f aca="false">IF(D49&lt;=0.5,0,MIN(IF(N(I49)&gt;0,I49,$F$9),D49+E49+F49))</f>
        <v>0</v>
      </c>
      <c r="I49" s="77"/>
      <c r="J49" s="77"/>
      <c r="K49" s="41" t="n">
        <f aca="false">IF(D49&lt;=0.5,0,MIN(H49+N(J49),D49+E49+F49))</f>
        <v>0</v>
      </c>
      <c r="L49" s="41" t="n">
        <f aca="false">K49-E49-F49</f>
        <v>0</v>
      </c>
      <c r="M49" s="41" t="n">
        <f aca="false">D49-L49</f>
        <v>0</v>
      </c>
      <c r="N49" s="42" t="n">
        <f aca="false">K49-G49</f>
        <v>0</v>
      </c>
      <c r="O49" s="78"/>
      <c r="P49" s="79"/>
      <c r="Q49" s="16" t="str">
        <f aca="false">IF(K49=0,"",IF(R49=1,"Pagada",IF(C49&lt;$F$12,"Vencida",IF(23=$F$13,"Próxima","Pendiente"))))</f>
        <v/>
      </c>
      <c r="R49" s="62" t="n">
        <f aca="false">IF(AND(K49&gt;0,OR(O49="Sí",O49="Si")),1,0)</f>
        <v>0</v>
      </c>
      <c r="S49" s="62" t="n">
        <f aca="false">IF(AND(K49&gt;0,R49=0),1,0)</f>
        <v>0</v>
      </c>
    </row>
    <row r="50" customFormat="false" ht="15" hidden="false" customHeight="false" outlineLevel="0" collapsed="false">
      <c r="B50" s="71" t="str">
        <f aca="false">IF($F$6="Sí",N($C$11)+23,"")</f>
        <v/>
      </c>
      <c r="C50" s="72" t="str">
        <f aca="false">IF(OR($F$6&lt;&gt;"Sí",D50&lt;=0.5),"",EDATE($C$10,23))</f>
        <v/>
      </c>
      <c r="D50" s="41" t="n">
        <f aca="false">MAX(0,M49)</f>
        <v>0</v>
      </c>
      <c r="E50" s="41" t="n">
        <f aca="false">D50*$F$7</f>
        <v>0</v>
      </c>
      <c r="F50" s="41" t="n">
        <f aca="false">IF(D50&gt;0.5,N($C$15),0)</f>
        <v>0</v>
      </c>
      <c r="G50" s="41" t="n">
        <f aca="false">IF(AND(D50&gt;0.5,N($C$19)&gt;0,N(B50)&lt;=N($C$20)),D50*$F$8,0)</f>
        <v>0</v>
      </c>
      <c r="H50" s="41" t="n">
        <f aca="false">IF(D50&lt;=0.5,0,MIN(IF(N(I50)&gt;0,I50,$F$9),D50+E50+F50))</f>
        <v>0</v>
      </c>
      <c r="I50" s="77"/>
      <c r="J50" s="77"/>
      <c r="K50" s="41" t="n">
        <f aca="false">IF(D50&lt;=0.5,0,MIN(H50+N(J50),D50+E50+F50))</f>
        <v>0</v>
      </c>
      <c r="L50" s="41" t="n">
        <f aca="false">K50-E50-F50</f>
        <v>0</v>
      </c>
      <c r="M50" s="41" t="n">
        <f aca="false">D50-L50</f>
        <v>0</v>
      </c>
      <c r="N50" s="42" t="n">
        <f aca="false">K50-G50</f>
        <v>0</v>
      </c>
      <c r="O50" s="78"/>
      <c r="P50" s="79"/>
      <c r="Q50" s="16" t="str">
        <f aca="false">IF(K50=0,"",IF(R50=1,"Pagada",IF(C50&lt;$F$12,"Vencida",IF(24=$F$13,"Próxima","Pendiente"))))</f>
        <v/>
      </c>
      <c r="R50" s="62" t="n">
        <f aca="false">IF(AND(K50&gt;0,OR(O50="Sí",O50="Si")),1,0)</f>
        <v>0</v>
      </c>
      <c r="S50" s="62" t="n">
        <f aca="false">IF(AND(K50&gt;0,R50=0),1,0)</f>
        <v>0</v>
      </c>
    </row>
    <row r="51" customFormat="false" ht="15" hidden="false" customHeight="false" outlineLevel="0" collapsed="false">
      <c r="B51" s="71" t="str">
        <f aca="false">IF($F$6="Sí",N($C$11)+24,"")</f>
        <v/>
      </c>
      <c r="C51" s="72" t="str">
        <f aca="false">IF(OR($F$6&lt;&gt;"Sí",D51&lt;=0.5),"",EDATE($C$10,24))</f>
        <v/>
      </c>
      <c r="D51" s="41" t="n">
        <f aca="false">MAX(0,M50)</f>
        <v>0</v>
      </c>
      <c r="E51" s="41" t="n">
        <f aca="false">D51*$F$7</f>
        <v>0</v>
      </c>
      <c r="F51" s="41" t="n">
        <f aca="false">IF(D51&gt;0.5,N($C$15),0)</f>
        <v>0</v>
      </c>
      <c r="G51" s="41" t="n">
        <f aca="false">IF(AND(D51&gt;0.5,N($C$19)&gt;0,N(B51)&lt;=N($C$20)),D51*$F$8,0)</f>
        <v>0</v>
      </c>
      <c r="H51" s="41" t="n">
        <f aca="false">IF(D51&lt;=0.5,0,MIN(IF(N(I51)&gt;0,I51,$F$9),D51+E51+F51))</f>
        <v>0</v>
      </c>
      <c r="I51" s="77"/>
      <c r="J51" s="77"/>
      <c r="K51" s="41" t="n">
        <f aca="false">IF(D51&lt;=0.5,0,MIN(H51+N(J51),D51+E51+F51))</f>
        <v>0</v>
      </c>
      <c r="L51" s="41" t="n">
        <f aca="false">K51-E51-F51</f>
        <v>0</v>
      </c>
      <c r="M51" s="41" t="n">
        <f aca="false">D51-L51</f>
        <v>0</v>
      </c>
      <c r="N51" s="42" t="n">
        <f aca="false">K51-G51</f>
        <v>0</v>
      </c>
      <c r="O51" s="78"/>
      <c r="P51" s="79"/>
      <c r="Q51" s="16" t="str">
        <f aca="false">IF(K51=0,"",IF(R51=1,"Pagada",IF(C51&lt;$F$12,"Vencida",IF(25=$F$13,"Próxima","Pendiente"))))</f>
        <v/>
      </c>
      <c r="R51" s="62" t="n">
        <f aca="false">IF(AND(K51&gt;0,OR(O51="Sí",O51="Si")),1,0)</f>
        <v>0</v>
      </c>
      <c r="S51" s="62" t="n">
        <f aca="false">IF(AND(K51&gt;0,R51=0),1,0)</f>
        <v>0</v>
      </c>
    </row>
    <row r="52" customFormat="false" ht="15" hidden="false" customHeight="false" outlineLevel="0" collapsed="false">
      <c r="B52" s="71" t="str">
        <f aca="false">IF($F$6="Sí",N($C$11)+25,"")</f>
        <v/>
      </c>
      <c r="C52" s="72" t="str">
        <f aca="false">IF(OR($F$6&lt;&gt;"Sí",D52&lt;=0.5),"",EDATE($C$10,25))</f>
        <v/>
      </c>
      <c r="D52" s="41" t="n">
        <f aca="false">MAX(0,M51)</f>
        <v>0</v>
      </c>
      <c r="E52" s="41" t="n">
        <f aca="false">D52*$F$7</f>
        <v>0</v>
      </c>
      <c r="F52" s="41" t="n">
        <f aca="false">IF(D52&gt;0.5,N($C$15),0)</f>
        <v>0</v>
      </c>
      <c r="G52" s="41" t="n">
        <f aca="false">IF(AND(D52&gt;0.5,N($C$19)&gt;0,N(B52)&lt;=N($C$20)),D52*$F$8,0)</f>
        <v>0</v>
      </c>
      <c r="H52" s="41" t="n">
        <f aca="false">IF(D52&lt;=0.5,0,MIN(IF(N(I52)&gt;0,I52,$F$9),D52+E52+F52))</f>
        <v>0</v>
      </c>
      <c r="I52" s="77"/>
      <c r="J52" s="77"/>
      <c r="K52" s="41" t="n">
        <f aca="false">IF(D52&lt;=0.5,0,MIN(H52+N(J52),D52+E52+F52))</f>
        <v>0</v>
      </c>
      <c r="L52" s="41" t="n">
        <f aca="false">K52-E52-F52</f>
        <v>0</v>
      </c>
      <c r="M52" s="41" t="n">
        <f aca="false">D52-L52</f>
        <v>0</v>
      </c>
      <c r="N52" s="42" t="n">
        <f aca="false">K52-G52</f>
        <v>0</v>
      </c>
      <c r="O52" s="78"/>
      <c r="P52" s="79"/>
      <c r="Q52" s="16" t="str">
        <f aca="false">IF(K52=0,"",IF(R52=1,"Pagada",IF(C52&lt;$F$12,"Vencida",IF(26=$F$13,"Próxima","Pendiente"))))</f>
        <v/>
      </c>
      <c r="R52" s="62" t="n">
        <f aca="false">IF(AND(K52&gt;0,OR(O52="Sí",O52="Si")),1,0)</f>
        <v>0</v>
      </c>
      <c r="S52" s="62" t="n">
        <f aca="false">IF(AND(K52&gt;0,R52=0),1,0)</f>
        <v>0</v>
      </c>
    </row>
    <row r="53" customFormat="false" ht="15" hidden="false" customHeight="false" outlineLevel="0" collapsed="false">
      <c r="B53" s="71" t="str">
        <f aca="false">IF($F$6="Sí",N($C$11)+26,"")</f>
        <v/>
      </c>
      <c r="C53" s="72" t="str">
        <f aca="false">IF(OR($F$6&lt;&gt;"Sí",D53&lt;=0.5),"",EDATE($C$10,26))</f>
        <v/>
      </c>
      <c r="D53" s="41" t="n">
        <f aca="false">MAX(0,M52)</f>
        <v>0</v>
      </c>
      <c r="E53" s="41" t="n">
        <f aca="false">D53*$F$7</f>
        <v>0</v>
      </c>
      <c r="F53" s="41" t="n">
        <f aca="false">IF(D53&gt;0.5,N($C$15),0)</f>
        <v>0</v>
      </c>
      <c r="G53" s="41" t="n">
        <f aca="false">IF(AND(D53&gt;0.5,N($C$19)&gt;0,N(B53)&lt;=N($C$20)),D53*$F$8,0)</f>
        <v>0</v>
      </c>
      <c r="H53" s="41" t="n">
        <f aca="false">IF(D53&lt;=0.5,0,MIN(IF(N(I53)&gt;0,I53,$F$9),D53+E53+F53))</f>
        <v>0</v>
      </c>
      <c r="I53" s="77"/>
      <c r="J53" s="77"/>
      <c r="K53" s="41" t="n">
        <f aca="false">IF(D53&lt;=0.5,0,MIN(H53+N(J53),D53+E53+F53))</f>
        <v>0</v>
      </c>
      <c r="L53" s="41" t="n">
        <f aca="false">K53-E53-F53</f>
        <v>0</v>
      </c>
      <c r="M53" s="41" t="n">
        <f aca="false">D53-L53</f>
        <v>0</v>
      </c>
      <c r="N53" s="42" t="n">
        <f aca="false">K53-G53</f>
        <v>0</v>
      </c>
      <c r="O53" s="78"/>
      <c r="P53" s="79"/>
      <c r="Q53" s="16" t="str">
        <f aca="false">IF(K53=0,"",IF(R53=1,"Pagada",IF(C53&lt;$F$12,"Vencida",IF(27=$F$13,"Próxima","Pendiente"))))</f>
        <v/>
      </c>
      <c r="R53" s="62" t="n">
        <f aca="false">IF(AND(K53&gt;0,OR(O53="Sí",O53="Si")),1,0)</f>
        <v>0</v>
      </c>
      <c r="S53" s="62" t="n">
        <f aca="false">IF(AND(K53&gt;0,R53=0),1,0)</f>
        <v>0</v>
      </c>
    </row>
    <row r="54" customFormat="false" ht="15" hidden="false" customHeight="false" outlineLevel="0" collapsed="false">
      <c r="B54" s="71" t="str">
        <f aca="false">IF($F$6="Sí",N($C$11)+27,"")</f>
        <v/>
      </c>
      <c r="C54" s="72" t="str">
        <f aca="false">IF(OR($F$6&lt;&gt;"Sí",D54&lt;=0.5),"",EDATE($C$10,27))</f>
        <v/>
      </c>
      <c r="D54" s="41" t="n">
        <f aca="false">MAX(0,M53)</f>
        <v>0</v>
      </c>
      <c r="E54" s="41" t="n">
        <f aca="false">D54*$F$7</f>
        <v>0</v>
      </c>
      <c r="F54" s="41" t="n">
        <f aca="false">IF(D54&gt;0.5,N($C$15),0)</f>
        <v>0</v>
      </c>
      <c r="G54" s="41" t="n">
        <f aca="false">IF(AND(D54&gt;0.5,N($C$19)&gt;0,N(B54)&lt;=N($C$20)),D54*$F$8,0)</f>
        <v>0</v>
      </c>
      <c r="H54" s="41" t="n">
        <f aca="false">IF(D54&lt;=0.5,0,MIN(IF(N(I54)&gt;0,I54,$F$9),D54+E54+F54))</f>
        <v>0</v>
      </c>
      <c r="I54" s="77"/>
      <c r="J54" s="77"/>
      <c r="K54" s="41" t="n">
        <f aca="false">IF(D54&lt;=0.5,0,MIN(H54+N(J54),D54+E54+F54))</f>
        <v>0</v>
      </c>
      <c r="L54" s="41" t="n">
        <f aca="false">K54-E54-F54</f>
        <v>0</v>
      </c>
      <c r="M54" s="41" t="n">
        <f aca="false">D54-L54</f>
        <v>0</v>
      </c>
      <c r="N54" s="42" t="n">
        <f aca="false">K54-G54</f>
        <v>0</v>
      </c>
      <c r="O54" s="78"/>
      <c r="P54" s="79"/>
      <c r="Q54" s="16" t="str">
        <f aca="false">IF(K54=0,"",IF(R54=1,"Pagada",IF(C54&lt;$F$12,"Vencida",IF(28=$F$13,"Próxima","Pendiente"))))</f>
        <v/>
      </c>
      <c r="R54" s="62" t="n">
        <f aca="false">IF(AND(K54&gt;0,OR(O54="Sí",O54="Si")),1,0)</f>
        <v>0</v>
      </c>
      <c r="S54" s="62" t="n">
        <f aca="false">IF(AND(K54&gt;0,R54=0),1,0)</f>
        <v>0</v>
      </c>
    </row>
    <row r="55" customFormat="false" ht="15" hidden="false" customHeight="false" outlineLevel="0" collapsed="false">
      <c r="B55" s="71" t="str">
        <f aca="false">IF($F$6="Sí",N($C$11)+28,"")</f>
        <v/>
      </c>
      <c r="C55" s="72" t="str">
        <f aca="false">IF(OR($F$6&lt;&gt;"Sí",D55&lt;=0.5),"",EDATE($C$10,28))</f>
        <v/>
      </c>
      <c r="D55" s="41" t="n">
        <f aca="false">MAX(0,M54)</f>
        <v>0</v>
      </c>
      <c r="E55" s="41" t="n">
        <f aca="false">D55*$F$7</f>
        <v>0</v>
      </c>
      <c r="F55" s="41" t="n">
        <f aca="false">IF(D55&gt;0.5,N($C$15),0)</f>
        <v>0</v>
      </c>
      <c r="G55" s="41" t="n">
        <f aca="false">IF(AND(D55&gt;0.5,N($C$19)&gt;0,N(B55)&lt;=N($C$20)),D55*$F$8,0)</f>
        <v>0</v>
      </c>
      <c r="H55" s="41" t="n">
        <f aca="false">IF(D55&lt;=0.5,0,MIN(IF(N(I55)&gt;0,I55,$F$9),D55+E55+F55))</f>
        <v>0</v>
      </c>
      <c r="I55" s="77"/>
      <c r="J55" s="77"/>
      <c r="K55" s="41" t="n">
        <f aca="false">IF(D55&lt;=0.5,0,MIN(H55+N(J55),D55+E55+F55))</f>
        <v>0</v>
      </c>
      <c r="L55" s="41" t="n">
        <f aca="false">K55-E55-F55</f>
        <v>0</v>
      </c>
      <c r="M55" s="41" t="n">
        <f aca="false">D55-L55</f>
        <v>0</v>
      </c>
      <c r="N55" s="42" t="n">
        <f aca="false">K55-G55</f>
        <v>0</v>
      </c>
      <c r="O55" s="78"/>
      <c r="P55" s="79"/>
      <c r="Q55" s="16" t="str">
        <f aca="false">IF(K55=0,"",IF(R55=1,"Pagada",IF(C55&lt;$F$12,"Vencida",IF(29=$F$13,"Próxima","Pendiente"))))</f>
        <v/>
      </c>
      <c r="R55" s="62" t="n">
        <f aca="false">IF(AND(K55&gt;0,OR(O55="Sí",O55="Si")),1,0)</f>
        <v>0</v>
      </c>
      <c r="S55" s="62" t="n">
        <f aca="false">IF(AND(K55&gt;0,R55=0),1,0)</f>
        <v>0</v>
      </c>
    </row>
    <row r="56" customFormat="false" ht="15" hidden="false" customHeight="false" outlineLevel="0" collapsed="false">
      <c r="B56" s="71" t="str">
        <f aca="false">IF($F$6="Sí",N($C$11)+29,"")</f>
        <v/>
      </c>
      <c r="C56" s="72" t="str">
        <f aca="false">IF(OR($F$6&lt;&gt;"Sí",D56&lt;=0.5),"",EDATE($C$10,29))</f>
        <v/>
      </c>
      <c r="D56" s="41" t="n">
        <f aca="false">MAX(0,M55)</f>
        <v>0</v>
      </c>
      <c r="E56" s="41" t="n">
        <f aca="false">D56*$F$7</f>
        <v>0</v>
      </c>
      <c r="F56" s="41" t="n">
        <f aca="false">IF(D56&gt;0.5,N($C$15),0)</f>
        <v>0</v>
      </c>
      <c r="G56" s="41" t="n">
        <f aca="false">IF(AND(D56&gt;0.5,N($C$19)&gt;0,N(B56)&lt;=N($C$20)),D56*$F$8,0)</f>
        <v>0</v>
      </c>
      <c r="H56" s="41" t="n">
        <f aca="false">IF(D56&lt;=0.5,0,MIN(IF(N(I56)&gt;0,I56,$F$9),D56+E56+F56))</f>
        <v>0</v>
      </c>
      <c r="I56" s="77"/>
      <c r="J56" s="77"/>
      <c r="K56" s="41" t="n">
        <f aca="false">IF(D56&lt;=0.5,0,MIN(H56+N(J56),D56+E56+F56))</f>
        <v>0</v>
      </c>
      <c r="L56" s="41" t="n">
        <f aca="false">K56-E56-F56</f>
        <v>0</v>
      </c>
      <c r="M56" s="41" t="n">
        <f aca="false">D56-L56</f>
        <v>0</v>
      </c>
      <c r="N56" s="42" t="n">
        <f aca="false">K56-G56</f>
        <v>0</v>
      </c>
      <c r="O56" s="78"/>
      <c r="P56" s="79"/>
      <c r="Q56" s="16" t="str">
        <f aca="false">IF(K56=0,"",IF(R56=1,"Pagada",IF(C56&lt;$F$12,"Vencida",IF(30=$F$13,"Próxima","Pendiente"))))</f>
        <v/>
      </c>
      <c r="R56" s="62" t="n">
        <f aca="false">IF(AND(K56&gt;0,OR(O56="Sí",O56="Si")),1,0)</f>
        <v>0</v>
      </c>
      <c r="S56" s="62" t="n">
        <f aca="false">IF(AND(K56&gt;0,R56=0),1,0)</f>
        <v>0</v>
      </c>
    </row>
    <row r="57" customFormat="false" ht="15" hidden="false" customHeight="false" outlineLevel="0" collapsed="false">
      <c r="B57" s="71" t="str">
        <f aca="false">IF($F$6="Sí",N($C$11)+30,"")</f>
        <v/>
      </c>
      <c r="C57" s="72" t="str">
        <f aca="false">IF(OR($F$6&lt;&gt;"Sí",D57&lt;=0.5),"",EDATE($C$10,30))</f>
        <v/>
      </c>
      <c r="D57" s="41" t="n">
        <f aca="false">MAX(0,M56)</f>
        <v>0</v>
      </c>
      <c r="E57" s="41" t="n">
        <f aca="false">D57*$F$7</f>
        <v>0</v>
      </c>
      <c r="F57" s="41" t="n">
        <f aca="false">IF(D57&gt;0.5,N($C$15),0)</f>
        <v>0</v>
      </c>
      <c r="G57" s="41" t="n">
        <f aca="false">IF(AND(D57&gt;0.5,N($C$19)&gt;0,N(B57)&lt;=N($C$20)),D57*$F$8,0)</f>
        <v>0</v>
      </c>
      <c r="H57" s="41" t="n">
        <f aca="false">IF(D57&lt;=0.5,0,MIN(IF(N(I57)&gt;0,I57,$F$9),D57+E57+F57))</f>
        <v>0</v>
      </c>
      <c r="I57" s="77"/>
      <c r="J57" s="77"/>
      <c r="K57" s="41" t="n">
        <f aca="false">IF(D57&lt;=0.5,0,MIN(H57+N(J57),D57+E57+F57))</f>
        <v>0</v>
      </c>
      <c r="L57" s="41" t="n">
        <f aca="false">K57-E57-F57</f>
        <v>0</v>
      </c>
      <c r="M57" s="41" t="n">
        <f aca="false">D57-L57</f>
        <v>0</v>
      </c>
      <c r="N57" s="42" t="n">
        <f aca="false">K57-G57</f>
        <v>0</v>
      </c>
      <c r="O57" s="78"/>
      <c r="P57" s="79"/>
      <c r="Q57" s="16" t="str">
        <f aca="false">IF(K57=0,"",IF(R57=1,"Pagada",IF(C57&lt;$F$12,"Vencida",IF(31=$F$13,"Próxima","Pendiente"))))</f>
        <v/>
      </c>
      <c r="R57" s="62" t="n">
        <f aca="false">IF(AND(K57&gt;0,OR(O57="Sí",O57="Si")),1,0)</f>
        <v>0</v>
      </c>
      <c r="S57" s="62" t="n">
        <f aca="false">IF(AND(K57&gt;0,R57=0),1,0)</f>
        <v>0</v>
      </c>
    </row>
    <row r="58" customFormat="false" ht="15" hidden="false" customHeight="false" outlineLevel="0" collapsed="false">
      <c r="B58" s="71" t="str">
        <f aca="false">IF($F$6="Sí",N($C$11)+31,"")</f>
        <v/>
      </c>
      <c r="C58" s="72" t="str">
        <f aca="false">IF(OR($F$6&lt;&gt;"Sí",D58&lt;=0.5),"",EDATE($C$10,31))</f>
        <v/>
      </c>
      <c r="D58" s="41" t="n">
        <f aca="false">MAX(0,M57)</f>
        <v>0</v>
      </c>
      <c r="E58" s="41" t="n">
        <f aca="false">D58*$F$7</f>
        <v>0</v>
      </c>
      <c r="F58" s="41" t="n">
        <f aca="false">IF(D58&gt;0.5,N($C$15),0)</f>
        <v>0</v>
      </c>
      <c r="G58" s="41" t="n">
        <f aca="false">IF(AND(D58&gt;0.5,N($C$19)&gt;0,N(B58)&lt;=N($C$20)),D58*$F$8,0)</f>
        <v>0</v>
      </c>
      <c r="H58" s="41" t="n">
        <f aca="false">IF(D58&lt;=0.5,0,MIN(IF(N(I58)&gt;0,I58,$F$9),D58+E58+F58))</f>
        <v>0</v>
      </c>
      <c r="I58" s="77"/>
      <c r="J58" s="77"/>
      <c r="K58" s="41" t="n">
        <f aca="false">IF(D58&lt;=0.5,0,MIN(H58+N(J58),D58+E58+F58))</f>
        <v>0</v>
      </c>
      <c r="L58" s="41" t="n">
        <f aca="false">K58-E58-F58</f>
        <v>0</v>
      </c>
      <c r="M58" s="41" t="n">
        <f aca="false">D58-L58</f>
        <v>0</v>
      </c>
      <c r="N58" s="42" t="n">
        <f aca="false">K58-G58</f>
        <v>0</v>
      </c>
      <c r="O58" s="78"/>
      <c r="P58" s="79"/>
      <c r="Q58" s="16" t="str">
        <f aca="false">IF(K58=0,"",IF(R58=1,"Pagada",IF(C58&lt;$F$12,"Vencida",IF(32=$F$13,"Próxima","Pendiente"))))</f>
        <v/>
      </c>
      <c r="R58" s="62" t="n">
        <f aca="false">IF(AND(K58&gt;0,OR(O58="Sí",O58="Si")),1,0)</f>
        <v>0</v>
      </c>
      <c r="S58" s="62" t="n">
        <f aca="false">IF(AND(K58&gt;0,R58=0),1,0)</f>
        <v>0</v>
      </c>
    </row>
    <row r="59" customFormat="false" ht="15" hidden="false" customHeight="false" outlineLevel="0" collapsed="false">
      <c r="B59" s="71" t="str">
        <f aca="false">IF($F$6="Sí",N($C$11)+32,"")</f>
        <v/>
      </c>
      <c r="C59" s="72" t="str">
        <f aca="false">IF(OR($F$6&lt;&gt;"Sí",D59&lt;=0.5),"",EDATE($C$10,32))</f>
        <v/>
      </c>
      <c r="D59" s="41" t="n">
        <f aca="false">MAX(0,M58)</f>
        <v>0</v>
      </c>
      <c r="E59" s="41" t="n">
        <f aca="false">D59*$F$7</f>
        <v>0</v>
      </c>
      <c r="F59" s="41" t="n">
        <f aca="false">IF(D59&gt;0.5,N($C$15),0)</f>
        <v>0</v>
      </c>
      <c r="G59" s="41" t="n">
        <f aca="false">IF(AND(D59&gt;0.5,N($C$19)&gt;0,N(B59)&lt;=N($C$20)),D59*$F$8,0)</f>
        <v>0</v>
      </c>
      <c r="H59" s="41" t="n">
        <f aca="false">IF(D59&lt;=0.5,0,MIN(IF(N(I59)&gt;0,I59,$F$9),D59+E59+F59))</f>
        <v>0</v>
      </c>
      <c r="I59" s="77"/>
      <c r="J59" s="77"/>
      <c r="K59" s="41" t="n">
        <f aca="false">IF(D59&lt;=0.5,0,MIN(H59+N(J59),D59+E59+F59))</f>
        <v>0</v>
      </c>
      <c r="L59" s="41" t="n">
        <f aca="false">K59-E59-F59</f>
        <v>0</v>
      </c>
      <c r="M59" s="41" t="n">
        <f aca="false">D59-L59</f>
        <v>0</v>
      </c>
      <c r="N59" s="42" t="n">
        <f aca="false">K59-G59</f>
        <v>0</v>
      </c>
      <c r="O59" s="78"/>
      <c r="P59" s="79"/>
      <c r="Q59" s="16" t="str">
        <f aca="false">IF(K59=0,"",IF(R59=1,"Pagada",IF(C59&lt;$F$12,"Vencida",IF(33=$F$13,"Próxima","Pendiente"))))</f>
        <v/>
      </c>
      <c r="R59" s="62" t="n">
        <f aca="false">IF(AND(K59&gt;0,OR(O59="Sí",O59="Si")),1,0)</f>
        <v>0</v>
      </c>
      <c r="S59" s="62" t="n">
        <f aca="false">IF(AND(K59&gt;0,R59=0),1,0)</f>
        <v>0</v>
      </c>
    </row>
    <row r="60" customFormat="false" ht="15" hidden="false" customHeight="false" outlineLevel="0" collapsed="false">
      <c r="B60" s="71" t="str">
        <f aca="false">IF($F$6="Sí",N($C$11)+33,"")</f>
        <v/>
      </c>
      <c r="C60" s="72" t="str">
        <f aca="false">IF(OR($F$6&lt;&gt;"Sí",D60&lt;=0.5),"",EDATE($C$10,33))</f>
        <v/>
      </c>
      <c r="D60" s="41" t="n">
        <f aca="false">MAX(0,M59)</f>
        <v>0</v>
      </c>
      <c r="E60" s="41" t="n">
        <f aca="false">D60*$F$7</f>
        <v>0</v>
      </c>
      <c r="F60" s="41" t="n">
        <f aca="false">IF(D60&gt;0.5,N($C$15),0)</f>
        <v>0</v>
      </c>
      <c r="G60" s="41" t="n">
        <f aca="false">IF(AND(D60&gt;0.5,N($C$19)&gt;0,N(B60)&lt;=N($C$20)),D60*$F$8,0)</f>
        <v>0</v>
      </c>
      <c r="H60" s="41" t="n">
        <f aca="false">IF(D60&lt;=0.5,0,MIN(IF(N(I60)&gt;0,I60,$F$9),D60+E60+F60))</f>
        <v>0</v>
      </c>
      <c r="I60" s="77"/>
      <c r="J60" s="77"/>
      <c r="K60" s="41" t="n">
        <f aca="false">IF(D60&lt;=0.5,0,MIN(H60+N(J60),D60+E60+F60))</f>
        <v>0</v>
      </c>
      <c r="L60" s="41" t="n">
        <f aca="false">K60-E60-F60</f>
        <v>0</v>
      </c>
      <c r="M60" s="41" t="n">
        <f aca="false">D60-L60</f>
        <v>0</v>
      </c>
      <c r="N60" s="42" t="n">
        <f aca="false">K60-G60</f>
        <v>0</v>
      </c>
      <c r="O60" s="78"/>
      <c r="P60" s="79"/>
      <c r="Q60" s="16" t="str">
        <f aca="false">IF(K60=0,"",IF(R60=1,"Pagada",IF(C60&lt;$F$12,"Vencida",IF(34=$F$13,"Próxima","Pendiente"))))</f>
        <v/>
      </c>
      <c r="R60" s="62" t="n">
        <f aca="false">IF(AND(K60&gt;0,OR(O60="Sí",O60="Si")),1,0)</f>
        <v>0</v>
      </c>
      <c r="S60" s="62" t="n">
        <f aca="false">IF(AND(K60&gt;0,R60=0),1,0)</f>
        <v>0</v>
      </c>
    </row>
    <row r="61" customFormat="false" ht="15" hidden="false" customHeight="false" outlineLevel="0" collapsed="false">
      <c r="B61" s="71" t="str">
        <f aca="false">IF($F$6="Sí",N($C$11)+34,"")</f>
        <v/>
      </c>
      <c r="C61" s="72" t="str">
        <f aca="false">IF(OR($F$6&lt;&gt;"Sí",D61&lt;=0.5),"",EDATE($C$10,34))</f>
        <v/>
      </c>
      <c r="D61" s="41" t="n">
        <f aca="false">MAX(0,M60)</f>
        <v>0</v>
      </c>
      <c r="E61" s="41" t="n">
        <f aca="false">D61*$F$7</f>
        <v>0</v>
      </c>
      <c r="F61" s="41" t="n">
        <f aca="false">IF(D61&gt;0.5,N($C$15),0)</f>
        <v>0</v>
      </c>
      <c r="G61" s="41" t="n">
        <f aca="false">IF(AND(D61&gt;0.5,N($C$19)&gt;0,N(B61)&lt;=N($C$20)),D61*$F$8,0)</f>
        <v>0</v>
      </c>
      <c r="H61" s="41" t="n">
        <f aca="false">IF(D61&lt;=0.5,0,MIN(IF(N(I61)&gt;0,I61,$F$9),D61+E61+F61))</f>
        <v>0</v>
      </c>
      <c r="I61" s="77"/>
      <c r="J61" s="77"/>
      <c r="K61" s="41" t="n">
        <f aca="false">IF(D61&lt;=0.5,0,MIN(H61+N(J61),D61+E61+F61))</f>
        <v>0</v>
      </c>
      <c r="L61" s="41" t="n">
        <f aca="false">K61-E61-F61</f>
        <v>0</v>
      </c>
      <c r="M61" s="41" t="n">
        <f aca="false">D61-L61</f>
        <v>0</v>
      </c>
      <c r="N61" s="42" t="n">
        <f aca="false">K61-G61</f>
        <v>0</v>
      </c>
      <c r="O61" s="78"/>
      <c r="P61" s="79"/>
      <c r="Q61" s="16" t="str">
        <f aca="false">IF(K61=0,"",IF(R61=1,"Pagada",IF(C61&lt;$F$12,"Vencida",IF(35=$F$13,"Próxima","Pendiente"))))</f>
        <v/>
      </c>
      <c r="R61" s="62" t="n">
        <f aca="false">IF(AND(K61&gt;0,OR(O61="Sí",O61="Si")),1,0)</f>
        <v>0</v>
      </c>
      <c r="S61" s="62" t="n">
        <f aca="false">IF(AND(K61&gt;0,R61=0),1,0)</f>
        <v>0</v>
      </c>
    </row>
    <row r="62" customFormat="false" ht="15" hidden="false" customHeight="false" outlineLevel="0" collapsed="false">
      <c r="B62" s="71" t="str">
        <f aca="false">IF($F$6="Sí",N($C$11)+35,"")</f>
        <v/>
      </c>
      <c r="C62" s="72" t="str">
        <f aca="false">IF(OR($F$6&lt;&gt;"Sí",D62&lt;=0.5),"",EDATE($C$10,35))</f>
        <v/>
      </c>
      <c r="D62" s="41" t="n">
        <f aca="false">MAX(0,M61)</f>
        <v>0</v>
      </c>
      <c r="E62" s="41" t="n">
        <f aca="false">D62*$F$7</f>
        <v>0</v>
      </c>
      <c r="F62" s="41" t="n">
        <f aca="false">IF(D62&gt;0.5,N($C$15),0)</f>
        <v>0</v>
      </c>
      <c r="G62" s="41" t="n">
        <f aca="false">IF(AND(D62&gt;0.5,N($C$19)&gt;0,N(B62)&lt;=N($C$20)),D62*$F$8,0)</f>
        <v>0</v>
      </c>
      <c r="H62" s="41" t="n">
        <f aca="false">IF(D62&lt;=0.5,0,MIN(IF(N(I62)&gt;0,I62,$F$9),D62+E62+F62))</f>
        <v>0</v>
      </c>
      <c r="I62" s="77"/>
      <c r="J62" s="77"/>
      <c r="K62" s="41" t="n">
        <f aca="false">IF(D62&lt;=0.5,0,MIN(H62+N(J62),D62+E62+F62))</f>
        <v>0</v>
      </c>
      <c r="L62" s="41" t="n">
        <f aca="false">K62-E62-F62</f>
        <v>0</v>
      </c>
      <c r="M62" s="41" t="n">
        <f aca="false">D62-L62</f>
        <v>0</v>
      </c>
      <c r="N62" s="42" t="n">
        <f aca="false">K62-G62</f>
        <v>0</v>
      </c>
      <c r="O62" s="78"/>
      <c r="P62" s="79"/>
      <c r="Q62" s="16" t="str">
        <f aca="false">IF(K62=0,"",IF(R62=1,"Pagada",IF(C62&lt;$F$12,"Vencida",IF(36=$F$13,"Próxima","Pendiente"))))</f>
        <v/>
      </c>
      <c r="R62" s="62" t="n">
        <f aca="false">IF(AND(K62&gt;0,OR(O62="Sí",O62="Si")),1,0)</f>
        <v>0</v>
      </c>
      <c r="S62" s="62" t="n">
        <f aca="false">IF(AND(K62&gt;0,R62=0),1,0)</f>
        <v>0</v>
      </c>
    </row>
    <row r="63" customFormat="false" ht="15" hidden="false" customHeight="false" outlineLevel="0" collapsed="false">
      <c r="B63" s="71" t="str">
        <f aca="false">IF($F$6="Sí",N($C$11)+36,"")</f>
        <v/>
      </c>
      <c r="C63" s="72" t="str">
        <f aca="false">IF(OR($F$6&lt;&gt;"Sí",D63&lt;=0.5),"",EDATE($C$10,36))</f>
        <v/>
      </c>
      <c r="D63" s="41" t="n">
        <f aca="false">MAX(0,M62)</f>
        <v>0</v>
      </c>
      <c r="E63" s="41" t="n">
        <f aca="false">D63*$F$7</f>
        <v>0</v>
      </c>
      <c r="F63" s="41" t="n">
        <f aca="false">IF(D63&gt;0.5,N($C$15),0)</f>
        <v>0</v>
      </c>
      <c r="G63" s="41" t="n">
        <f aca="false">IF(AND(D63&gt;0.5,N($C$19)&gt;0,N(B63)&lt;=N($C$20)),D63*$F$8,0)</f>
        <v>0</v>
      </c>
      <c r="H63" s="41" t="n">
        <f aca="false">IF(D63&lt;=0.5,0,MIN(IF(N(I63)&gt;0,I63,$F$9),D63+E63+F63))</f>
        <v>0</v>
      </c>
      <c r="I63" s="77"/>
      <c r="J63" s="77"/>
      <c r="K63" s="41" t="n">
        <f aca="false">IF(D63&lt;=0.5,0,MIN(H63+N(J63),D63+E63+F63))</f>
        <v>0</v>
      </c>
      <c r="L63" s="41" t="n">
        <f aca="false">K63-E63-F63</f>
        <v>0</v>
      </c>
      <c r="M63" s="41" t="n">
        <f aca="false">D63-L63</f>
        <v>0</v>
      </c>
      <c r="N63" s="42" t="n">
        <f aca="false">K63-G63</f>
        <v>0</v>
      </c>
      <c r="O63" s="78"/>
      <c r="P63" s="79"/>
      <c r="Q63" s="16" t="str">
        <f aca="false">IF(K63=0,"",IF(R63=1,"Pagada",IF(C63&lt;$F$12,"Vencida",IF(37=$F$13,"Próxima","Pendiente"))))</f>
        <v/>
      </c>
      <c r="R63" s="62" t="n">
        <f aca="false">IF(AND(K63&gt;0,OR(O63="Sí",O63="Si")),1,0)</f>
        <v>0</v>
      </c>
      <c r="S63" s="62" t="n">
        <f aca="false">IF(AND(K63&gt;0,R63=0),1,0)</f>
        <v>0</v>
      </c>
    </row>
    <row r="64" customFormat="false" ht="15" hidden="false" customHeight="false" outlineLevel="0" collapsed="false">
      <c r="B64" s="71" t="str">
        <f aca="false">IF($F$6="Sí",N($C$11)+37,"")</f>
        <v/>
      </c>
      <c r="C64" s="72" t="str">
        <f aca="false">IF(OR($F$6&lt;&gt;"Sí",D64&lt;=0.5),"",EDATE($C$10,37))</f>
        <v/>
      </c>
      <c r="D64" s="41" t="n">
        <f aca="false">MAX(0,M63)</f>
        <v>0</v>
      </c>
      <c r="E64" s="41" t="n">
        <f aca="false">D64*$F$7</f>
        <v>0</v>
      </c>
      <c r="F64" s="41" t="n">
        <f aca="false">IF(D64&gt;0.5,N($C$15),0)</f>
        <v>0</v>
      </c>
      <c r="G64" s="41" t="n">
        <f aca="false">IF(AND(D64&gt;0.5,N($C$19)&gt;0,N(B64)&lt;=N($C$20)),D64*$F$8,0)</f>
        <v>0</v>
      </c>
      <c r="H64" s="41" t="n">
        <f aca="false">IF(D64&lt;=0.5,0,MIN(IF(N(I64)&gt;0,I64,$F$9),D64+E64+F64))</f>
        <v>0</v>
      </c>
      <c r="I64" s="77"/>
      <c r="J64" s="77"/>
      <c r="K64" s="41" t="n">
        <f aca="false">IF(D64&lt;=0.5,0,MIN(H64+N(J64),D64+E64+F64))</f>
        <v>0</v>
      </c>
      <c r="L64" s="41" t="n">
        <f aca="false">K64-E64-F64</f>
        <v>0</v>
      </c>
      <c r="M64" s="41" t="n">
        <f aca="false">D64-L64</f>
        <v>0</v>
      </c>
      <c r="N64" s="42" t="n">
        <f aca="false">K64-G64</f>
        <v>0</v>
      </c>
      <c r="O64" s="78"/>
      <c r="P64" s="79"/>
      <c r="Q64" s="16" t="str">
        <f aca="false">IF(K64=0,"",IF(R64=1,"Pagada",IF(C64&lt;$F$12,"Vencida",IF(38=$F$13,"Próxima","Pendiente"))))</f>
        <v/>
      </c>
      <c r="R64" s="62" t="n">
        <f aca="false">IF(AND(K64&gt;0,OR(O64="Sí",O64="Si")),1,0)</f>
        <v>0</v>
      </c>
      <c r="S64" s="62" t="n">
        <f aca="false">IF(AND(K64&gt;0,R64=0),1,0)</f>
        <v>0</v>
      </c>
    </row>
    <row r="65" customFormat="false" ht="15" hidden="false" customHeight="false" outlineLevel="0" collapsed="false">
      <c r="B65" s="71" t="str">
        <f aca="false">IF($F$6="Sí",N($C$11)+38,"")</f>
        <v/>
      </c>
      <c r="C65" s="72" t="str">
        <f aca="false">IF(OR($F$6&lt;&gt;"Sí",D65&lt;=0.5),"",EDATE($C$10,38))</f>
        <v/>
      </c>
      <c r="D65" s="41" t="n">
        <f aca="false">MAX(0,M64)</f>
        <v>0</v>
      </c>
      <c r="E65" s="41" t="n">
        <f aca="false">D65*$F$7</f>
        <v>0</v>
      </c>
      <c r="F65" s="41" t="n">
        <f aca="false">IF(D65&gt;0.5,N($C$15),0)</f>
        <v>0</v>
      </c>
      <c r="G65" s="41" t="n">
        <f aca="false">IF(AND(D65&gt;0.5,N($C$19)&gt;0,N(B65)&lt;=N($C$20)),D65*$F$8,0)</f>
        <v>0</v>
      </c>
      <c r="H65" s="41" t="n">
        <f aca="false">IF(D65&lt;=0.5,0,MIN(IF(N(I65)&gt;0,I65,$F$9),D65+E65+F65))</f>
        <v>0</v>
      </c>
      <c r="I65" s="77"/>
      <c r="J65" s="77"/>
      <c r="K65" s="41" t="n">
        <f aca="false">IF(D65&lt;=0.5,0,MIN(H65+N(J65),D65+E65+F65))</f>
        <v>0</v>
      </c>
      <c r="L65" s="41" t="n">
        <f aca="false">K65-E65-F65</f>
        <v>0</v>
      </c>
      <c r="M65" s="41" t="n">
        <f aca="false">D65-L65</f>
        <v>0</v>
      </c>
      <c r="N65" s="42" t="n">
        <f aca="false">K65-G65</f>
        <v>0</v>
      </c>
      <c r="O65" s="78"/>
      <c r="P65" s="79"/>
      <c r="Q65" s="16" t="str">
        <f aca="false">IF(K65=0,"",IF(R65=1,"Pagada",IF(C65&lt;$F$12,"Vencida",IF(39=$F$13,"Próxima","Pendiente"))))</f>
        <v/>
      </c>
      <c r="R65" s="62" t="n">
        <f aca="false">IF(AND(K65&gt;0,OR(O65="Sí",O65="Si")),1,0)</f>
        <v>0</v>
      </c>
      <c r="S65" s="62" t="n">
        <f aca="false">IF(AND(K65&gt;0,R65=0),1,0)</f>
        <v>0</v>
      </c>
    </row>
    <row r="66" customFormat="false" ht="15" hidden="false" customHeight="false" outlineLevel="0" collapsed="false">
      <c r="B66" s="71" t="str">
        <f aca="false">IF($F$6="Sí",N($C$11)+39,"")</f>
        <v/>
      </c>
      <c r="C66" s="72" t="str">
        <f aca="false">IF(OR($F$6&lt;&gt;"Sí",D66&lt;=0.5),"",EDATE($C$10,39))</f>
        <v/>
      </c>
      <c r="D66" s="41" t="n">
        <f aca="false">MAX(0,M65)</f>
        <v>0</v>
      </c>
      <c r="E66" s="41" t="n">
        <f aca="false">D66*$F$7</f>
        <v>0</v>
      </c>
      <c r="F66" s="41" t="n">
        <f aca="false">IF(D66&gt;0.5,N($C$15),0)</f>
        <v>0</v>
      </c>
      <c r="G66" s="41" t="n">
        <f aca="false">IF(AND(D66&gt;0.5,N($C$19)&gt;0,N(B66)&lt;=N($C$20)),D66*$F$8,0)</f>
        <v>0</v>
      </c>
      <c r="H66" s="41" t="n">
        <f aca="false">IF(D66&lt;=0.5,0,MIN(IF(N(I66)&gt;0,I66,$F$9),D66+E66+F66))</f>
        <v>0</v>
      </c>
      <c r="I66" s="77"/>
      <c r="J66" s="77"/>
      <c r="K66" s="41" t="n">
        <f aca="false">IF(D66&lt;=0.5,0,MIN(H66+N(J66),D66+E66+F66))</f>
        <v>0</v>
      </c>
      <c r="L66" s="41" t="n">
        <f aca="false">K66-E66-F66</f>
        <v>0</v>
      </c>
      <c r="M66" s="41" t="n">
        <f aca="false">D66-L66</f>
        <v>0</v>
      </c>
      <c r="N66" s="42" t="n">
        <f aca="false">K66-G66</f>
        <v>0</v>
      </c>
      <c r="O66" s="78"/>
      <c r="P66" s="79"/>
      <c r="Q66" s="16" t="str">
        <f aca="false">IF(K66=0,"",IF(R66=1,"Pagada",IF(C66&lt;$F$12,"Vencida",IF(40=$F$13,"Próxima","Pendiente"))))</f>
        <v/>
      </c>
      <c r="R66" s="62" t="n">
        <f aca="false">IF(AND(K66&gt;0,OR(O66="Sí",O66="Si")),1,0)</f>
        <v>0</v>
      </c>
      <c r="S66" s="62" t="n">
        <f aca="false">IF(AND(K66&gt;0,R66=0),1,0)</f>
        <v>0</v>
      </c>
    </row>
    <row r="67" customFormat="false" ht="15" hidden="false" customHeight="false" outlineLevel="0" collapsed="false">
      <c r="B67" s="71" t="str">
        <f aca="false">IF($F$6="Sí",N($C$11)+40,"")</f>
        <v/>
      </c>
      <c r="C67" s="72" t="str">
        <f aca="false">IF(OR($F$6&lt;&gt;"Sí",D67&lt;=0.5),"",EDATE($C$10,40))</f>
        <v/>
      </c>
      <c r="D67" s="41" t="n">
        <f aca="false">MAX(0,M66)</f>
        <v>0</v>
      </c>
      <c r="E67" s="41" t="n">
        <f aca="false">D67*$F$7</f>
        <v>0</v>
      </c>
      <c r="F67" s="41" t="n">
        <f aca="false">IF(D67&gt;0.5,N($C$15),0)</f>
        <v>0</v>
      </c>
      <c r="G67" s="41" t="n">
        <f aca="false">IF(AND(D67&gt;0.5,N($C$19)&gt;0,N(B67)&lt;=N($C$20)),D67*$F$8,0)</f>
        <v>0</v>
      </c>
      <c r="H67" s="41" t="n">
        <f aca="false">IF(D67&lt;=0.5,0,MIN(IF(N(I67)&gt;0,I67,$F$9),D67+E67+F67))</f>
        <v>0</v>
      </c>
      <c r="I67" s="77"/>
      <c r="J67" s="77"/>
      <c r="K67" s="41" t="n">
        <f aca="false">IF(D67&lt;=0.5,0,MIN(H67+N(J67),D67+E67+F67))</f>
        <v>0</v>
      </c>
      <c r="L67" s="41" t="n">
        <f aca="false">K67-E67-F67</f>
        <v>0</v>
      </c>
      <c r="M67" s="41" t="n">
        <f aca="false">D67-L67</f>
        <v>0</v>
      </c>
      <c r="N67" s="42" t="n">
        <f aca="false">K67-G67</f>
        <v>0</v>
      </c>
      <c r="O67" s="78"/>
      <c r="P67" s="79"/>
      <c r="Q67" s="16" t="str">
        <f aca="false">IF(K67=0,"",IF(R67=1,"Pagada",IF(C67&lt;$F$12,"Vencida",IF(41=$F$13,"Próxima","Pendiente"))))</f>
        <v/>
      </c>
      <c r="R67" s="62" t="n">
        <f aca="false">IF(AND(K67&gt;0,OR(O67="Sí",O67="Si")),1,0)</f>
        <v>0</v>
      </c>
      <c r="S67" s="62" t="n">
        <f aca="false">IF(AND(K67&gt;0,R67=0),1,0)</f>
        <v>0</v>
      </c>
    </row>
    <row r="68" customFormat="false" ht="15" hidden="false" customHeight="false" outlineLevel="0" collapsed="false">
      <c r="B68" s="71" t="str">
        <f aca="false">IF($F$6="Sí",N($C$11)+41,"")</f>
        <v/>
      </c>
      <c r="C68" s="72" t="str">
        <f aca="false">IF(OR($F$6&lt;&gt;"Sí",D68&lt;=0.5),"",EDATE($C$10,41))</f>
        <v/>
      </c>
      <c r="D68" s="41" t="n">
        <f aca="false">MAX(0,M67)</f>
        <v>0</v>
      </c>
      <c r="E68" s="41" t="n">
        <f aca="false">D68*$F$7</f>
        <v>0</v>
      </c>
      <c r="F68" s="41" t="n">
        <f aca="false">IF(D68&gt;0.5,N($C$15),0)</f>
        <v>0</v>
      </c>
      <c r="G68" s="41" t="n">
        <f aca="false">IF(AND(D68&gt;0.5,N($C$19)&gt;0,N(B68)&lt;=N($C$20)),D68*$F$8,0)</f>
        <v>0</v>
      </c>
      <c r="H68" s="41" t="n">
        <f aca="false">IF(D68&lt;=0.5,0,MIN(IF(N(I68)&gt;0,I68,$F$9),D68+E68+F68))</f>
        <v>0</v>
      </c>
      <c r="I68" s="77"/>
      <c r="J68" s="77"/>
      <c r="K68" s="41" t="n">
        <f aca="false">IF(D68&lt;=0.5,0,MIN(H68+N(J68),D68+E68+F68))</f>
        <v>0</v>
      </c>
      <c r="L68" s="41" t="n">
        <f aca="false">K68-E68-F68</f>
        <v>0</v>
      </c>
      <c r="M68" s="41" t="n">
        <f aca="false">D68-L68</f>
        <v>0</v>
      </c>
      <c r="N68" s="42" t="n">
        <f aca="false">K68-G68</f>
        <v>0</v>
      </c>
      <c r="O68" s="78"/>
      <c r="P68" s="79"/>
      <c r="Q68" s="16" t="str">
        <f aca="false">IF(K68=0,"",IF(R68=1,"Pagada",IF(C68&lt;$F$12,"Vencida",IF(42=$F$13,"Próxima","Pendiente"))))</f>
        <v/>
      </c>
      <c r="R68" s="62" t="n">
        <f aca="false">IF(AND(K68&gt;0,OR(O68="Sí",O68="Si")),1,0)</f>
        <v>0</v>
      </c>
      <c r="S68" s="62" t="n">
        <f aca="false">IF(AND(K68&gt;0,R68=0),1,0)</f>
        <v>0</v>
      </c>
    </row>
    <row r="69" customFormat="false" ht="15" hidden="false" customHeight="false" outlineLevel="0" collapsed="false">
      <c r="B69" s="71" t="str">
        <f aca="false">IF($F$6="Sí",N($C$11)+42,"")</f>
        <v/>
      </c>
      <c r="C69" s="72" t="str">
        <f aca="false">IF(OR($F$6&lt;&gt;"Sí",D69&lt;=0.5),"",EDATE($C$10,42))</f>
        <v/>
      </c>
      <c r="D69" s="41" t="n">
        <f aca="false">MAX(0,M68)</f>
        <v>0</v>
      </c>
      <c r="E69" s="41" t="n">
        <f aca="false">D69*$F$7</f>
        <v>0</v>
      </c>
      <c r="F69" s="41" t="n">
        <f aca="false">IF(D69&gt;0.5,N($C$15),0)</f>
        <v>0</v>
      </c>
      <c r="G69" s="41" t="n">
        <f aca="false">IF(AND(D69&gt;0.5,N($C$19)&gt;0,N(B69)&lt;=N($C$20)),D69*$F$8,0)</f>
        <v>0</v>
      </c>
      <c r="H69" s="41" t="n">
        <f aca="false">IF(D69&lt;=0.5,0,MIN(IF(N(I69)&gt;0,I69,$F$9),D69+E69+F69))</f>
        <v>0</v>
      </c>
      <c r="I69" s="77"/>
      <c r="J69" s="77"/>
      <c r="K69" s="41" t="n">
        <f aca="false">IF(D69&lt;=0.5,0,MIN(H69+N(J69),D69+E69+F69))</f>
        <v>0</v>
      </c>
      <c r="L69" s="41" t="n">
        <f aca="false">K69-E69-F69</f>
        <v>0</v>
      </c>
      <c r="M69" s="41" t="n">
        <f aca="false">D69-L69</f>
        <v>0</v>
      </c>
      <c r="N69" s="42" t="n">
        <f aca="false">K69-G69</f>
        <v>0</v>
      </c>
      <c r="O69" s="78"/>
      <c r="P69" s="79"/>
      <c r="Q69" s="16" t="str">
        <f aca="false">IF(K69=0,"",IF(R69=1,"Pagada",IF(C69&lt;$F$12,"Vencida",IF(43=$F$13,"Próxima","Pendiente"))))</f>
        <v/>
      </c>
      <c r="R69" s="62" t="n">
        <f aca="false">IF(AND(K69&gt;0,OR(O69="Sí",O69="Si")),1,0)</f>
        <v>0</v>
      </c>
      <c r="S69" s="62" t="n">
        <f aca="false">IF(AND(K69&gt;0,R69=0),1,0)</f>
        <v>0</v>
      </c>
    </row>
    <row r="70" customFormat="false" ht="15" hidden="false" customHeight="false" outlineLevel="0" collapsed="false">
      <c r="B70" s="71" t="str">
        <f aca="false">IF($F$6="Sí",N($C$11)+43,"")</f>
        <v/>
      </c>
      <c r="C70" s="72" t="str">
        <f aca="false">IF(OR($F$6&lt;&gt;"Sí",D70&lt;=0.5),"",EDATE($C$10,43))</f>
        <v/>
      </c>
      <c r="D70" s="41" t="n">
        <f aca="false">MAX(0,M69)</f>
        <v>0</v>
      </c>
      <c r="E70" s="41" t="n">
        <f aca="false">D70*$F$7</f>
        <v>0</v>
      </c>
      <c r="F70" s="41" t="n">
        <f aca="false">IF(D70&gt;0.5,N($C$15),0)</f>
        <v>0</v>
      </c>
      <c r="G70" s="41" t="n">
        <f aca="false">IF(AND(D70&gt;0.5,N($C$19)&gt;0,N(B70)&lt;=N($C$20)),D70*$F$8,0)</f>
        <v>0</v>
      </c>
      <c r="H70" s="41" t="n">
        <f aca="false">IF(D70&lt;=0.5,0,MIN(IF(N(I70)&gt;0,I70,$F$9),D70+E70+F70))</f>
        <v>0</v>
      </c>
      <c r="I70" s="77"/>
      <c r="J70" s="77"/>
      <c r="K70" s="41" t="n">
        <f aca="false">IF(D70&lt;=0.5,0,MIN(H70+N(J70),D70+E70+F70))</f>
        <v>0</v>
      </c>
      <c r="L70" s="41" t="n">
        <f aca="false">K70-E70-F70</f>
        <v>0</v>
      </c>
      <c r="M70" s="41" t="n">
        <f aca="false">D70-L70</f>
        <v>0</v>
      </c>
      <c r="N70" s="42" t="n">
        <f aca="false">K70-G70</f>
        <v>0</v>
      </c>
      <c r="O70" s="78"/>
      <c r="P70" s="79"/>
      <c r="Q70" s="16" t="str">
        <f aca="false">IF(K70=0,"",IF(R70=1,"Pagada",IF(C70&lt;$F$12,"Vencida",IF(44=$F$13,"Próxima","Pendiente"))))</f>
        <v/>
      </c>
      <c r="R70" s="62" t="n">
        <f aca="false">IF(AND(K70&gt;0,OR(O70="Sí",O70="Si")),1,0)</f>
        <v>0</v>
      </c>
      <c r="S70" s="62" t="n">
        <f aca="false">IF(AND(K70&gt;0,R70=0),1,0)</f>
        <v>0</v>
      </c>
    </row>
    <row r="71" customFormat="false" ht="15" hidden="false" customHeight="false" outlineLevel="0" collapsed="false">
      <c r="B71" s="71" t="str">
        <f aca="false">IF($F$6="Sí",N($C$11)+44,"")</f>
        <v/>
      </c>
      <c r="C71" s="72" t="str">
        <f aca="false">IF(OR($F$6&lt;&gt;"Sí",D71&lt;=0.5),"",EDATE($C$10,44))</f>
        <v/>
      </c>
      <c r="D71" s="41" t="n">
        <f aca="false">MAX(0,M70)</f>
        <v>0</v>
      </c>
      <c r="E71" s="41" t="n">
        <f aca="false">D71*$F$7</f>
        <v>0</v>
      </c>
      <c r="F71" s="41" t="n">
        <f aca="false">IF(D71&gt;0.5,N($C$15),0)</f>
        <v>0</v>
      </c>
      <c r="G71" s="41" t="n">
        <f aca="false">IF(AND(D71&gt;0.5,N($C$19)&gt;0,N(B71)&lt;=N($C$20)),D71*$F$8,0)</f>
        <v>0</v>
      </c>
      <c r="H71" s="41" t="n">
        <f aca="false">IF(D71&lt;=0.5,0,MIN(IF(N(I71)&gt;0,I71,$F$9),D71+E71+F71))</f>
        <v>0</v>
      </c>
      <c r="I71" s="77"/>
      <c r="J71" s="77"/>
      <c r="K71" s="41" t="n">
        <f aca="false">IF(D71&lt;=0.5,0,MIN(H71+N(J71),D71+E71+F71))</f>
        <v>0</v>
      </c>
      <c r="L71" s="41" t="n">
        <f aca="false">K71-E71-F71</f>
        <v>0</v>
      </c>
      <c r="M71" s="41" t="n">
        <f aca="false">D71-L71</f>
        <v>0</v>
      </c>
      <c r="N71" s="42" t="n">
        <f aca="false">K71-G71</f>
        <v>0</v>
      </c>
      <c r="O71" s="78"/>
      <c r="P71" s="79"/>
      <c r="Q71" s="16" t="str">
        <f aca="false">IF(K71=0,"",IF(R71=1,"Pagada",IF(C71&lt;$F$12,"Vencida",IF(45=$F$13,"Próxima","Pendiente"))))</f>
        <v/>
      </c>
      <c r="R71" s="62" t="n">
        <f aca="false">IF(AND(K71&gt;0,OR(O71="Sí",O71="Si")),1,0)</f>
        <v>0</v>
      </c>
      <c r="S71" s="62" t="n">
        <f aca="false">IF(AND(K71&gt;0,R71=0),1,0)</f>
        <v>0</v>
      </c>
    </row>
    <row r="72" customFormat="false" ht="15" hidden="false" customHeight="false" outlineLevel="0" collapsed="false">
      <c r="B72" s="71" t="str">
        <f aca="false">IF($F$6="Sí",N($C$11)+45,"")</f>
        <v/>
      </c>
      <c r="C72" s="72" t="str">
        <f aca="false">IF(OR($F$6&lt;&gt;"Sí",D72&lt;=0.5),"",EDATE($C$10,45))</f>
        <v/>
      </c>
      <c r="D72" s="41" t="n">
        <f aca="false">MAX(0,M71)</f>
        <v>0</v>
      </c>
      <c r="E72" s="41" t="n">
        <f aca="false">D72*$F$7</f>
        <v>0</v>
      </c>
      <c r="F72" s="41" t="n">
        <f aca="false">IF(D72&gt;0.5,N($C$15),0)</f>
        <v>0</v>
      </c>
      <c r="G72" s="41" t="n">
        <f aca="false">IF(AND(D72&gt;0.5,N($C$19)&gt;0,N(B72)&lt;=N($C$20)),D72*$F$8,0)</f>
        <v>0</v>
      </c>
      <c r="H72" s="41" t="n">
        <f aca="false">IF(D72&lt;=0.5,0,MIN(IF(N(I72)&gt;0,I72,$F$9),D72+E72+F72))</f>
        <v>0</v>
      </c>
      <c r="I72" s="77"/>
      <c r="J72" s="77"/>
      <c r="K72" s="41" t="n">
        <f aca="false">IF(D72&lt;=0.5,0,MIN(H72+N(J72),D72+E72+F72))</f>
        <v>0</v>
      </c>
      <c r="L72" s="41" t="n">
        <f aca="false">K72-E72-F72</f>
        <v>0</v>
      </c>
      <c r="M72" s="41" t="n">
        <f aca="false">D72-L72</f>
        <v>0</v>
      </c>
      <c r="N72" s="42" t="n">
        <f aca="false">K72-G72</f>
        <v>0</v>
      </c>
      <c r="O72" s="78"/>
      <c r="P72" s="79"/>
      <c r="Q72" s="16" t="str">
        <f aca="false">IF(K72=0,"",IF(R72=1,"Pagada",IF(C72&lt;$F$12,"Vencida",IF(46=$F$13,"Próxima","Pendiente"))))</f>
        <v/>
      </c>
      <c r="R72" s="62" t="n">
        <f aca="false">IF(AND(K72&gt;0,OR(O72="Sí",O72="Si")),1,0)</f>
        <v>0</v>
      </c>
      <c r="S72" s="62" t="n">
        <f aca="false">IF(AND(K72&gt;0,R72=0),1,0)</f>
        <v>0</v>
      </c>
    </row>
    <row r="73" customFormat="false" ht="15" hidden="false" customHeight="false" outlineLevel="0" collapsed="false">
      <c r="B73" s="71" t="str">
        <f aca="false">IF($F$6="Sí",N($C$11)+46,"")</f>
        <v/>
      </c>
      <c r="C73" s="72" t="str">
        <f aca="false">IF(OR($F$6&lt;&gt;"Sí",D73&lt;=0.5),"",EDATE($C$10,46))</f>
        <v/>
      </c>
      <c r="D73" s="41" t="n">
        <f aca="false">MAX(0,M72)</f>
        <v>0</v>
      </c>
      <c r="E73" s="41" t="n">
        <f aca="false">D73*$F$7</f>
        <v>0</v>
      </c>
      <c r="F73" s="41" t="n">
        <f aca="false">IF(D73&gt;0.5,N($C$15),0)</f>
        <v>0</v>
      </c>
      <c r="G73" s="41" t="n">
        <f aca="false">IF(AND(D73&gt;0.5,N($C$19)&gt;0,N(B73)&lt;=N($C$20)),D73*$F$8,0)</f>
        <v>0</v>
      </c>
      <c r="H73" s="41" t="n">
        <f aca="false">IF(D73&lt;=0.5,0,MIN(IF(N(I73)&gt;0,I73,$F$9),D73+E73+F73))</f>
        <v>0</v>
      </c>
      <c r="I73" s="77"/>
      <c r="J73" s="77"/>
      <c r="K73" s="41" t="n">
        <f aca="false">IF(D73&lt;=0.5,0,MIN(H73+N(J73),D73+E73+F73))</f>
        <v>0</v>
      </c>
      <c r="L73" s="41" t="n">
        <f aca="false">K73-E73-F73</f>
        <v>0</v>
      </c>
      <c r="M73" s="41" t="n">
        <f aca="false">D73-L73</f>
        <v>0</v>
      </c>
      <c r="N73" s="42" t="n">
        <f aca="false">K73-G73</f>
        <v>0</v>
      </c>
      <c r="O73" s="78"/>
      <c r="P73" s="79"/>
      <c r="Q73" s="16" t="str">
        <f aca="false">IF(K73=0,"",IF(R73=1,"Pagada",IF(C73&lt;$F$12,"Vencida",IF(47=$F$13,"Próxima","Pendiente"))))</f>
        <v/>
      </c>
      <c r="R73" s="62" t="n">
        <f aca="false">IF(AND(K73&gt;0,OR(O73="Sí",O73="Si")),1,0)</f>
        <v>0</v>
      </c>
      <c r="S73" s="62" t="n">
        <f aca="false">IF(AND(K73&gt;0,R73=0),1,0)</f>
        <v>0</v>
      </c>
    </row>
    <row r="74" customFormat="false" ht="15" hidden="false" customHeight="false" outlineLevel="0" collapsed="false">
      <c r="B74" s="71" t="str">
        <f aca="false">IF($F$6="Sí",N($C$11)+47,"")</f>
        <v/>
      </c>
      <c r="C74" s="72" t="str">
        <f aca="false">IF(OR($F$6&lt;&gt;"Sí",D74&lt;=0.5),"",EDATE($C$10,47))</f>
        <v/>
      </c>
      <c r="D74" s="41" t="n">
        <f aca="false">MAX(0,M73)</f>
        <v>0</v>
      </c>
      <c r="E74" s="41" t="n">
        <f aca="false">D74*$F$7</f>
        <v>0</v>
      </c>
      <c r="F74" s="41" t="n">
        <f aca="false">IF(D74&gt;0.5,N($C$15),0)</f>
        <v>0</v>
      </c>
      <c r="G74" s="41" t="n">
        <f aca="false">IF(AND(D74&gt;0.5,N($C$19)&gt;0,N(B74)&lt;=N($C$20)),D74*$F$8,0)</f>
        <v>0</v>
      </c>
      <c r="H74" s="41" t="n">
        <f aca="false">IF(D74&lt;=0.5,0,MIN(IF(N(I74)&gt;0,I74,$F$9),D74+E74+F74))</f>
        <v>0</v>
      </c>
      <c r="I74" s="77"/>
      <c r="J74" s="77"/>
      <c r="K74" s="41" t="n">
        <f aca="false">IF(D74&lt;=0.5,0,MIN(H74+N(J74),D74+E74+F74))</f>
        <v>0</v>
      </c>
      <c r="L74" s="41" t="n">
        <f aca="false">K74-E74-F74</f>
        <v>0</v>
      </c>
      <c r="M74" s="41" t="n">
        <f aca="false">D74-L74</f>
        <v>0</v>
      </c>
      <c r="N74" s="42" t="n">
        <f aca="false">K74-G74</f>
        <v>0</v>
      </c>
      <c r="O74" s="78"/>
      <c r="P74" s="79"/>
      <c r="Q74" s="16" t="str">
        <f aca="false">IF(K74=0,"",IF(R74=1,"Pagada",IF(C74&lt;$F$12,"Vencida",IF(48=$F$13,"Próxima","Pendiente"))))</f>
        <v/>
      </c>
      <c r="R74" s="62" t="n">
        <f aca="false">IF(AND(K74&gt;0,OR(O74="Sí",O74="Si")),1,0)</f>
        <v>0</v>
      </c>
      <c r="S74" s="62" t="n">
        <f aca="false">IF(AND(K74&gt;0,R74=0),1,0)</f>
        <v>0</v>
      </c>
    </row>
    <row r="75" customFormat="false" ht="15" hidden="false" customHeight="false" outlineLevel="0" collapsed="false">
      <c r="B75" s="71" t="str">
        <f aca="false">IF($F$6="Sí",N($C$11)+48,"")</f>
        <v/>
      </c>
      <c r="C75" s="72" t="str">
        <f aca="false">IF(OR($F$6&lt;&gt;"Sí",D75&lt;=0.5),"",EDATE($C$10,48))</f>
        <v/>
      </c>
      <c r="D75" s="41" t="n">
        <f aca="false">MAX(0,M74)</f>
        <v>0</v>
      </c>
      <c r="E75" s="41" t="n">
        <f aca="false">D75*$F$7</f>
        <v>0</v>
      </c>
      <c r="F75" s="41" t="n">
        <f aca="false">IF(D75&gt;0.5,N($C$15),0)</f>
        <v>0</v>
      </c>
      <c r="G75" s="41" t="n">
        <f aca="false">IF(AND(D75&gt;0.5,N($C$19)&gt;0,N(B75)&lt;=N($C$20)),D75*$F$8,0)</f>
        <v>0</v>
      </c>
      <c r="H75" s="41" t="n">
        <f aca="false">IF(D75&lt;=0.5,0,MIN(IF(N(I75)&gt;0,I75,$F$9),D75+E75+F75))</f>
        <v>0</v>
      </c>
      <c r="I75" s="77"/>
      <c r="J75" s="77"/>
      <c r="K75" s="41" t="n">
        <f aca="false">IF(D75&lt;=0.5,0,MIN(H75+N(J75),D75+E75+F75))</f>
        <v>0</v>
      </c>
      <c r="L75" s="41" t="n">
        <f aca="false">K75-E75-F75</f>
        <v>0</v>
      </c>
      <c r="M75" s="41" t="n">
        <f aca="false">D75-L75</f>
        <v>0</v>
      </c>
      <c r="N75" s="42" t="n">
        <f aca="false">K75-G75</f>
        <v>0</v>
      </c>
      <c r="O75" s="78"/>
      <c r="P75" s="79"/>
      <c r="Q75" s="16" t="str">
        <f aca="false">IF(K75=0,"",IF(R75=1,"Pagada",IF(C75&lt;$F$12,"Vencida",IF(49=$F$13,"Próxima","Pendiente"))))</f>
        <v/>
      </c>
      <c r="R75" s="62" t="n">
        <f aca="false">IF(AND(K75&gt;0,OR(O75="Sí",O75="Si")),1,0)</f>
        <v>0</v>
      </c>
      <c r="S75" s="62" t="n">
        <f aca="false">IF(AND(K75&gt;0,R75=0),1,0)</f>
        <v>0</v>
      </c>
    </row>
    <row r="76" customFormat="false" ht="15" hidden="false" customHeight="false" outlineLevel="0" collapsed="false">
      <c r="B76" s="71" t="str">
        <f aca="false">IF($F$6="Sí",N($C$11)+49,"")</f>
        <v/>
      </c>
      <c r="C76" s="72" t="str">
        <f aca="false">IF(OR($F$6&lt;&gt;"Sí",D76&lt;=0.5),"",EDATE($C$10,49))</f>
        <v/>
      </c>
      <c r="D76" s="41" t="n">
        <f aca="false">MAX(0,M75)</f>
        <v>0</v>
      </c>
      <c r="E76" s="41" t="n">
        <f aca="false">D76*$F$7</f>
        <v>0</v>
      </c>
      <c r="F76" s="41" t="n">
        <f aca="false">IF(D76&gt;0.5,N($C$15),0)</f>
        <v>0</v>
      </c>
      <c r="G76" s="41" t="n">
        <f aca="false">IF(AND(D76&gt;0.5,N($C$19)&gt;0,N(B76)&lt;=N($C$20)),D76*$F$8,0)</f>
        <v>0</v>
      </c>
      <c r="H76" s="41" t="n">
        <f aca="false">IF(D76&lt;=0.5,0,MIN(IF(N(I76)&gt;0,I76,$F$9),D76+E76+F76))</f>
        <v>0</v>
      </c>
      <c r="I76" s="77"/>
      <c r="J76" s="77"/>
      <c r="K76" s="41" t="n">
        <f aca="false">IF(D76&lt;=0.5,0,MIN(H76+N(J76),D76+E76+F76))</f>
        <v>0</v>
      </c>
      <c r="L76" s="41" t="n">
        <f aca="false">K76-E76-F76</f>
        <v>0</v>
      </c>
      <c r="M76" s="41" t="n">
        <f aca="false">D76-L76</f>
        <v>0</v>
      </c>
      <c r="N76" s="42" t="n">
        <f aca="false">K76-G76</f>
        <v>0</v>
      </c>
      <c r="O76" s="78"/>
      <c r="P76" s="79"/>
      <c r="Q76" s="16" t="str">
        <f aca="false">IF(K76=0,"",IF(R76=1,"Pagada",IF(C76&lt;$F$12,"Vencida",IF(50=$F$13,"Próxima","Pendiente"))))</f>
        <v/>
      </c>
      <c r="R76" s="62" t="n">
        <f aca="false">IF(AND(K76&gt;0,OR(O76="Sí",O76="Si")),1,0)</f>
        <v>0</v>
      </c>
      <c r="S76" s="62" t="n">
        <f aca="false">IF(AND(K76&gt;0,R76=0),1,0)</f>
        <v>0</v>
      </c>
    </row>
    <row r="77" customFormat="false" ht="15" hidden="false" customHeight="false" outlineLevel="0" collapsed="false">
      <c r="B77" s="71" t="str">
        <f aca="false">IF($F$6="Sí",N($C$11)+50,"")</f>
        <v/>
      </c>
      <c r="C77" s="72" t="str">
        <f aca="false">IF(OR($F$6&lt;&gt;"Sí",D77&lt;=0.5),"",EDATE($C$10,50))</f>
        <v/>
      </c>
      <c r="D77" s="41" t="n">
        <f aca="false">MAX(0,M76)</f>
        <v>0</v>
      </c>
      <c r="E77" s="41" t="n">
        <f aca="false">D77*$F$7</f>
        <v>0</v>
      </c>
      <c r="F77" s="41" t="n">
        <f aca="false">IF(D77&gt;0.5,N($C$15),0)</f>
        <v>0</v>
      </c>
      <c r="G77" s="41" t="n">
        <f aca="false">IF(AND(D77&gt;0.5,N($C$19)&gt;0,N(B77)&lt;=N($C$20)),D77*$F$8,0)</f>
        <v>0</v>
      </c>
      <c r="H77" s="41" t="n">
        <f aca="false">IF(D77&lt;=0.5,0,MIN(IF(N(I77)&gt;0,I77,$F$9),D77+E77+F77))</f>
        <v>0</v>
      </c>
      <c r="I77" s="77"/>
      <c r="J77" s="77"/>
      <c r="K77" s="41" t="n">
        <f aca="false">IF(D77&lt;=0.5,0,MIN(H77+N(J77),D77+E77+F77))</f>
        <v>0</v>
      </c>
      <c r="L77" s="41" t="n">
        <f aca="false">K77-E77-F77</f>
        <v>0</v>
      </c>
      <c r="M77" s="41" t="n">
        <f aca="false">D77-L77</f>
        <v>0</v>
      </c>
      <c r="N77" s="42" t="n">
        <f aca="false">K77-G77</f>
        <v>0</v>
      </c>
      <c r="O77" s="78"/>
      <c r="P77" s="79"/>
      <c r="Q77" s="16" t="str">
        <f aca="false">IF(K77=0,"",IF(R77=1,"Pagada",IF(C77&lt;$F$12,"Vencida",IF(51=$F$13,"Próxima","Pendiente"))))</f>
        <v/>
      </c>
      <c r="R77" s="62" t="n">
        <f aca="false">IF(AND(K77&gt;0,OR(O77="Sí",O77="Si")),1,0)</f>
        <v>0</v>
      </c>
      <c r="S77" s="62" t="n">
        <f aca="false">IF(AND(K77&gt;0,R77=0),1,0)</f>
        <v>0</v>
      </c>
    </row>
    <row r="78" customFormat="false" ht="15" hidden="false" customHeight="false" outlineLevel="0" collapsed="false">
      <c r="B78" s="71" t="str">
        <f aca="false">IF($F$6="Sí",N($C$11)+51,"")</f>
        <v/>
      </c>
      <c r="C78" s="72" t="str">
        <f aca="false">IF(OR($F$6&lt;&gt;"Sí",D78&lt;=0.5),"",EDATE($C$10,51))</f>
        <v/>
      </c>
      <c r="D78" s="41" t="n">
        <f aca="false">MAX(0,M77)</f>
        <v>0</v>
      </c>
      <c r="E78" s="41" t="n">
        <f aca="false">D78*$F$7</f>
        <v>0</v>
      </c>
      <c r="F78" s="41" t="n">
        <f aca="false">IF(D78&gt;0.5,N($C$15),0)</f>
        <v>0</v>
      </c>
      <c r="G78" s="41" t="n">
        <f aca="false">IF(AND(D78&gt;0.5,N($C$19)&gt;0,N(B78)&lt;=N($C$20)),D78*$F$8,0)</f>
        <v>0</v>
      </c>
      <c r="H78" s="41" t="n">
        <f aca="false">IF(D78&lt;=0.5,0,MIN(IF(N(I78)&gt;0,I78,$F$9),D78+E78+F78))</f>
        <v>0</v>
      </c>
      <c r="I78" s="77"/>
      <c r="J78" s="77"/>
      <c r="K78" s="41" t="n">
        <f aca="false">IF(D78&lt;=0.5,0,MIN(H78+N(J78),D78+E78+F78))</f>
        <v>0</v>
      </c>
      <c r="L78" s="41" t="n">
        <f aca="false">K78-E78-F78</f>
        <v>0</v>
      </c>
      <c r="M78" s="41" t="n">
        <f aca="false">D78-L78</f>
        <v>0</v>
      </c>
      <c r="N78" s="42" t="n">
        <f aca="false">K78-G78</f>
        <v>0</v>
      </c>
      <c r="O78" s="78"/>
      <c r="P78" s="79"/>
      <c r="Q78" s="16" t="str">
        <f aca="false">IF(K78=0,"",IF(R78=1,"Pagada",IF(C78&lt;$F$12,"Vencida",IF(52=$F$13,"Próxima","Pendiente"))))</f>
        <v/>
      </c>
      <c r="R78" s="62" t="n">
        <f aca="false">IF(AND(K78&gt;0,OR(O78="Sí",O78="Si")),1,0)</f>
        <v>0</v>
      </c>
      <c r="S78" s="62" t="n">
        <f aca="false">IF(AND(K78&gt;0,R78=0),1,0)</f>
        <v>0</v>
      </c>
    </row>
    <row r="79" customFormat="false" ht="15" hidden="false" customHeight="false" outlineLevel="0" collapsed="false">
      <c r="B79" s="71" t="str">
        <f aca="false">IF($F$6="Sí",N($C$11)+52,"")</f>
        <v/>
      </c>
      <c r="C79" s="72" t="str">
        <f aca="false">IF(OR($F$6&lt;&gt;"Sí",D79&lt;=0.5),"",EDATE($C$10,52))</f>
        <v/>
      </c>
      <c r="D79" s="41" t="n">
        <f aca="false">MAX(0,M78)</f>
        <v>0</v>
      </c>
      <c r="E79" s="41" t="n">
        <f aca="false">D79*$F$7</f>
        <v>0</v>
      </c>
      <c r="F79" s="41" t="n">
        <f aca="false">IF(D79&gt;0.5,N($C$15),0)</f>
        <v>0</v>
      </c>
      <c r="G79" s="41" t="n">
        <f aca="false">IF(AND(D79&gt;0.5,N($C$19)&gt;0,N(B79)&lt;=N($C$20)),D79*$F$8,0)</f>
        <v>0</v>
      </c>
      <c r="H79" s="41" t="n">
        <f aca="false">IF(D79&lt;=0.5,0,MIN(IF(N(I79)&gt;0,I79,$F$9),D79+E79+F79))</f>
        <v>0</v>
      </c>
      <c r="I79" s="77"/>
      <c r="J79" s="77"/>
      <c r="K79" s="41" t="n">
        <f aca="false">IF(D79&lt;=0.5,0,MIN(H79+N(J79),D79+E79+F79))</f>
        <v>0</v>
      </c>
      <c r="L79" s="41" t="n">
        <f aca="false">K79-E79-F79</f>
        <v>0</v>
      </c>
      <c r="M79" s="41" t="n">
        <f aca="false">D79-L79</f>
        <v>0</v>
      </c>
      <c r="N79" s="42" t="n">
        <f aca="false">K79-G79</f>
        <v>0</v>
      </c>
      <c r="O79" s="78"/>
      <c r="P79" s="79"/>
      <c r="Q79" s="16" t="str">
        <f aca="false">IF(K79=0,"",IF(R79=1,"Pagada",IF(C79&lt;$F$12,"Vencida",IF(53=$F$13,"Próxima","Pendiente"))))</f>
        <v/>
      </c>
      <c r="R79" s="62" t="n">
        <f aca="false">IF(AND(K79&gt;0,OR(O79="Sí",O79="Si")),1,0)</f>
        <v>0</v>
      </c>
      <c r="S79" s="62" t="n">
        <f aca="false">IF(AND(K79&gt;0,R79=0),1,0)</f>
        <v>0</v>
      </c>
    </row>
    <row r="80" customFormat="false" ht="15" hidden="false" customHeight="false" outlineLevel="0" collapsed="false">
      <c r="B80" s="71" t="str">
        <f aca="false">IF($F$6="Sí",N($C$11)+53,"")</f>
        <v/>
      </c>
      <c r="C80" s="72" t="str">
        <f aca="false">IF(OR($F$6&lt;&gt;"Sí",D80&lt;=0.5),"",EDATE($C$10,53))</f>
        <v/>
      </c>
      <c r="D80" s="41" t="n">
        <f aca="false">MAX(0,M79)</f>
        <v>0</v>
      </c>
      <c r="E80" s="41" t="n">
        <f aca="false">D80*$F$7</f>
        <v>0</v>
      </c>
      <c r="F80" s="41" t="n">
        <f aca="false">IF(D80&gt;0.5,N($C$15),0)</f>
        <v>0</v>
      </c>
      <c r="G80" s="41" t="n">
        <f aca="false">IF(AND(D80&gt;0.5,N($C$19)&gt;0,N(B80)&lt;=N($C$20)),D80*$F$8,0)</f>
        <v>0</v>
      </c>
      <c r="H80" s="41" t="n">
        <f aca="false">IF(D80&lt;=0.5,0,MIN(IF(N(I80)&gt;0,I80,$F$9),D80+E80+F80))</f>
        <v>0</v>
      </c>
      <c r="I80" s="77"/>
      <c r="J80" s="77"/>
      <c r="K80" s="41" t="n">
        <f aca="false">IF(D80&lt;=0.5,0,MIN(H80+N(J80),D80+E80+F80))</f>
        <v>0</v>
      </c>
      <c r="L80" s="41" t="n">
        <f aca="false">K80-E80-F80</f>
        <v>0</v>
      </c>
      <c r="M80" s="41" t="n">
        <f aca="false">D80-L80</f>
        <v>0</v>
      </c>
      <c r="N80" s="42" t="n">
        <f aca="false">K80-G80</f>
        <v>0</v>
      </c>
      <c r="O80" s="78"/>
      <c r="P80" s="79"/>
      <c r="Q80" s="16" t="str">
        <f aca="false">IF(K80=0,"",IF(R80=1,"Pagada",IF(C80&lt;$F$12,"Vencida",IF(54=$F$13,"Próxima","Pendiente"))))</f>
        <v/>
      </c>
      <c r="R80" s="62" t="n">
        <f aca="false">IF(AND(K80&gt;0,OR(O80="Sí",O80="Si")),1,0)</f>
        <v>0</v>
      </c>
      <c r="S80" s="62" t="n">
        <f aca="false">IF(AND(K80&gt;0,R80=0),1,0)</f>
        <v>0</v>
      </c>
    </row>
    <row r="81" customFormat="false" ht="15" hidden="false" customHeight="false" outlineLevel="0" collapsed="false">
      <c r="B81" s="71" t="str">
        <f aca="false">IF($F$6="Sí",N($C$11)+54,"")</f>
        <v/>
      </c>
      <c r="C81" s="72" t="str">
        <f aca="false">IF(OR($F$6&lt;&gt;"Sí",D81&lt;=0.5),"",EDATE($C$10,54))</f>
        <v/>
      </c>
      <c r="D81" s="41" t="n">
        <f aca="false">MAX(0,M80)</f>
        <v>0</v>
      </c>
      <c r="E81" s="41" t="n">
        <f aca="false">D81*$F$7</f>
        <v>0</v>
      </c>
      <c r="F81" s="41" t="n">
        <f aca="false">IF(D81&gt;0.5,N($C$15),0)</f>
        <v>0</v>
      </c>
      <c r="G81" s="41" t="n">
        <f aca="false">IF(AND(D81&gt;0.5,N($C$19)&gt;0,N(B81)&lt;=N($C$20)),D81*$F$8,0)</f>
        <v>0</v>
      </c>
      <c r="H81" s="41" t="n">
        <f aca="false">IF(D81&lt;=0.5,0,MIN(IF(N(I81)&gt;0,I81,$F$9),D81+E81+F81))</f>
        <v>0</v>
      </c>
      <c r="I81" s="77"/>
      <c r="J81" s="77"/>
      <c r="K81" s="41" t="n">
        <f aca="false">IF(D81&lt;=0.5,0,MIN(H81+N(J81),D81+E81+F81))</f>
        <v>0</v>
      </c>
      <c r="L81" s="41" t="n">
        <f aca="false">K81-E81-F81</f>
        <v>0</v>
      </c>
      <c r="M81" s="41" t="n">
        <f aca="false">D81-L81</f>
        <v>0</v>
      </c>
      <c r="N81" s="42" t="n">
        <f aca="false">K81-G81</f>
        <v>0</v>
      </c>
      <c r="O81" s="78"/>
      <c r="P81" s="79"/>
      <c r="Q81" s="16" t="str">
        <f aca="false">IF(K81=0,"",IF(R81=1,"Pagada",IF(C81&lt;$F$12,"Vencida",IF(55=$F$13,"Próxima","Pendiente"))))</f>
        <v/>
      </c>
      <c r="R81" s="62" t="n">
        <f aca="false">IF(AND(K81&gt;0,OR(O81="Sí",O81="Si")),1,0)</f>
        <v>0</v>
      </c>
      <c r="S81" s="62" t="n">
        <f aca="false">IF(AND(K81&gt;0,R81=0),1,0)</f>
        <v>0</v>
      </c>
    </row>
    <row r="82" customFormat="false" ht="15" hidden="false" customHeight="false" outlineLevel="0" collapsed="false">
      <c r="B82" s="71" t="str">
        <f aca="false">IF($F$6="Sí",N($C$11)+55,"")</f>
        <v/>
      </c>
      <c r="C82" s="72" t="str">
        <f aca="false">IF(OR($F$6&lt;&gt;"Sí",D82&lt;=0.5),"",EDATE($C$10,55))</f>
        <v/>
      </c>
      <c r="D82" s="41" t="n">
        <f aca="false">MAX(0,M81)</f>
        <v>0</v>
      </c>
      <c r="E82" s="41" t="n">
        <f aca="false">D82*$F$7</f>
        <v>0</v>
      </c>
      <c r="F82" s="41" t="n">
        <f aca="false">IF(D82&gt;0.5,N($C$15),0)</f>
        <v>0</v>
      </c>
      <c r="G82" s="41" t="n">
        <f aca="false">IF(AND(D82&gt;0.5,N($C$19)&gt;0,N(B82)&lt;=N($C$20)),D82*$F$8,0)</f>
        <v>0</v>
      </c>
      <c r="H82" s="41" t="n">
        <f aca="false">IF(D82&lt;=0.5,0,MIN(IF(N(I82)&gt;0,I82,$F$9),D82+E82+F82))</f>
        <v>0</v>
      </c>
      <c r="I82" s="77"/>
      <c r="J82" s="77"/>
      <c r="K82" s="41" t="n">
        <f aca="false">IF(D82&lt;=0.5,0,MIN(H82+N(J82),D82+E82+F82))</f>
        <v>0</v>
      </c>
      <c r="L82" s="41" t="n">
        <f aca="false">K82-E82-F82</f>
        <v>0</v>
      </c>
      <c r="M82" s="41" t="n">
        <f aca="false">D82-L82</f>
        <v>0</v>
      </c>
      <c r="N82" s="42" t="n">
        <f aca="false">K82-G82</f>
        <v>0</v>
      </c>
      <c r="O82" s="78"/>
      <c r="P82" s="79"/>
      <c r="Q82" s="16" t="str">
        <f aca="false">IF(K82=0,"",IF(R82=1,"Pagada",IF(C82&lt;$F$12,"Vencida",IF(56=$F$13,"Próxima","Pendiente"))))</f>
        <v/>
      </c>
      <c r="R82" s="62" t="n">
        <f aca="false">IF(AND(K82&gt;0,OR(O82="Sí",O82="Si")),1,0)</f>
        <v>0</v>
      </c>
      <c r="S82" s="62" t="n">
        <f aca="false">IF(AND(K82&gt;0,R82=0),1,0)</f>
        <v>0</v>
      </c>
    </row>
    <row r="83" customFormat="false" ht="15" hidden="false" customHeight="false" outlineLevel="0" collapsed="false">
      <c r="B83" s="71" t="str">
        <f aca="false">IF($F$6="Sí",N($C$11)+56,"")</f>
        <v/>
      </c>
      <c r="C83" s="72" t="str">
        <f aca="false">IF(OR($F$6&lt;&gt;"Sí",D83&lt;=0.5),"",EDATE($C$10,56))</f>
        <v/>
      </c>
      <c r="D83" s="41" t="n">
        <f aca="false">MAX(0,M82)</f>
        <v>0</v>
      </c>
      <c r="E83" s="41" t="n">
        <f aca="false">D83*$F$7</f>
        <v>0</v>
      </c>
      <c r="F83" s="41" t="n">
        <f aca="false">IF(D83&gt;0.5,N($C$15),0)</f>
        <v>0</v>
      </c>
      <c r="G83" s="41" t="n">
        <f aca="false">IF(AND(D83&gt;0.5,N($C$19)&gt;0,N(B83)&lt;=N($C$20)),D83*$F$8,0)</f>
        <v>0</v>
      </c>
      <c r="H83" s="41" t="n">
        <f aca="false">IF(D83&lt;=0.5,0,MIN(IF(N(I83)&gt;0,I83,$F$9),D83+E83+F83))</f>
        <v>0</v>
      </c>
      <c r="I83" s="77"/>
      <c r="J83" s="77"/>
      <c r="K83" s="41" t="n">
        <f aca="false">IF(D83&lt;=0.5,0,MIN(H83+N(J83),D83+E83+F83))</f>
        <v>0</v>
      </c>
      <c r="L83" s="41" t="n">
        <f aca="false">K83-E83-F83</f>
        <v>0</v>
      </c>
      <c r="M83" s="41" t="n">
        <f aca="false">D83-L83</f>
        <v>0</v>
      </c>
      <c r="N83" s="42" t="n">
        <f aca="false">K83-G83</f>
        <v>0</v>
      </c>
      <c r="O83" s="78"/>
      <c r="P83" s="79"/>
      <c r="Q83" s="16" t="str">
        <f aca="false">IF(K83=0,"",IF(R83=1,"Pagada",IF(C83&lt;$F$12,"Vencida",IF(57=$F$13,"Próxima","Pendiente"))))</f>
        <v/>
      </c>
      <c r="R83" s="62" t="n">
        <f aca="false">IF(AND(K83&gt;0,OR(O83="Sí",O83="Si")),1,0)</f>
        <v>0</v>
      </c>
      <c r="S83" s="62" t="n">
        <f aca="false">IF(AND(K83&gt;0,R83=0),1,0)</f>
        <v>0</v>
      </c>
    </row>
    <row r="84" customFormat="false" ht="15" hidden="false" customHeight="false" outlineLevel="0" collapsed="false">
      <c r="B84" s="71" t="str">
        <f aca="false">IF($F$6="Sí",N($C$11)+57,"")</f>
        <v/>
      </c>
      <c r="C84" s="72" t="str">
        <f aca="false">IF(OR($F$6&lt;&gt;"Sí",D84&lt;=0.5),"",EDATE($C$10,57))</f>
        <v/>
      </c>
      <c r="D84" s="41" t="n">
        <f aca="false">MAX(0,M83)</f>
        <v>0</v>
      </c>
      <c r="E84" s="41" t="n">
        <f aca="false">D84*$F$7</f>
        <v>0</v>
      </c>
      <c r="F84" s="41" t="n">
        <f aca="false">IF(D84&gt;0.5,N($C$15),0)</f>
        <v>0</v>
      </c>
      <c r="G84" s="41" t="n">
        <f aca="false">IF(AND(D84&gt;0.5,N($C$19)&gt;0,N(B84)&lt;=N($C$20)),D84*$F$8,0)</f>
        <v>0</v>
      </c>
      <c r="H84" s="41" t="n">
        <f aca="false">IF(D84&lt;=0.5,0,MIN(IF(N(I84)&gt;0,I84,$F$9),D84+E84+F84))</f>
        <v>0</v>
      </c>
      <c r="I84" s="77"/>
      <c r="J84" s="77"/>
      <c r="K84" s="41" t="n">
        <f aca="false">IF(D84&lt;=0.5,0,MIN(H84+N(J84),D84+E84+F84))</f>
        <v>0</v>
      </c>
      <c r="L84" s="41" t="n">
        <f aca="false">K84-E84-F84</f>
        <v>0</v>
      </c>
      <c r="M84" s="41" t="n">
        <f aca="false">D84-L84</f>
        <v>0</v>
      </c>
      <c r="N84" s="42" t="n">
        <f aca="false">K84-G84</f>
        <v>0</v>
      </c>
      <c r="O84" s="78"/>
      <c r="P84" s="79"/>
      <c r="Q84" s="16" t="str">
        <f aca="false">IF(K84=0,"",IF(R84=1,"Pagada",IF(C84&lt;$F$12,"Vencida",IF(58=$F$13,"Próxima","Pendiente"))))</f>
        <v/>
      </c>
      <c r="R84" s="62" t="n">
        <f aca="false">IF(AND(K84&gt;0,OR(O84="Sí",O84="Si")),1,0)</f>
        <v>0</v>
      </c>
      <c r="S84" s="62" t="n">
        <f aca="false">IF(AND(K84&gt;0,R84=0),1,0)</f>
        <v>0</v>
      </c>
    </row>
    <row r="85" customFormat="false" ht="15" hidden="false" customHeight="false" outlineLevel="0" collapsed="false">
      <c r="B85" s="71" t="str">
        <f aca="false">IF($F$6="Sí",N($C$11)+58,"")</f>
        <v/>
      </c>
      <c r="C85" s="72" t="str">
        <f aca="false">IF(OR($F$6&lt;&gt;"Sí",D85&lt;=0.5),"",EDATE($C$10,58))</f>
        <v/>
      </c>
      <c r="D85" s="41" t="n">
        <f aca="false">MAX(0,M84)</f>
        <v>0</v>
      </c>
      <c r="E85" s="41" t="n">
        <f aca="false">D85*$F$7</f>
        <v>0</v>
      </c>
      <c r="F85" s="41" t="n">
        <f aca="false">IF(D85&gt;0.5,N($C$15),0)</f>
        <v>0</v>
      </c>
      <c r="G85" s="41" t="n">
        <f aca="false">IF(AND(D85&gt;0.5,N($C$19)&gt;0,N(B85)&lt;=N($C$20)),D85*$F$8,0)</f>
        <v>0</v>
      </c>
      <c r="H85" s="41" t="n">
        <f aca="false">IF(D85&lt;=0.5,0,MIN(IF(N(I85)&gt;0,I85,$F$9),D85+E85+F85))</f>
        <v>0</v>
      </c>
      <c r="I85" s="77"/>
      <c r="J85" s="77"/>
      <c r="K85" s="41" t="n">
        <f aca="false">IF(D85&lt;=0.5,0,MIN(H85+N(J85),D85+E85+F85))</f>
        <v>0</v>
      </c>
      <c r="L85" s="41" t="n">
        <f aca="false">K85-E85-F85</f>
        <v>0</v>
      </c>
      <c r="M85" s="41" t="n">
        <f aca="false">D85-L85</f>
        <v>0</v>
      </c>
      <c r="N85" s="42" t="n">
        <f aca="false">K85-G85</f>
        <v>0</v>
      </c>
      <c r="O85" s="78"/>
      <c r="P85" s="79"/>
      <c r="Q85" s="16" t="str">
        <f aca="false">IF(K85=0,"",IF(R85=1,"Pagada",IF(C85&lt;$F$12,"Vencida",IF(59=$F$13,"Próxima","Pendiente"))))</f>
        <v/>
      </c>
      <c r="R85" s="62" t="n">
        <f aca="false">IF(AND(K85&gt;0,OR(O85="Sí",O85="Si")),1,0)</f>
        <v>0</v>
      </c>
      <c r="S85" s="62" t="n">
        <f aca="false">IF(AND(K85&gt;0,R85=0),1,0)</f>
        <v>0</v>
      </c>
    </row>
    <row r="86" customFormat="false" ht="15" hidden="false" customHeight="false" outlineLevel="0" collapsed="false">
      <c r="B86" s="71" t="str">
        <f aca="false">IF($F$6="Sí",N($C$11)+59,"")</f>
        <v/>
      </c>
      <c r="C86" s="72" t="str">
        <f aca="false">IF(OR($F$6&lt;&gt;"Sí",D86&lt;=0.5),"",EDATE($C$10,59))</f>
        <v/>
      </c>
      <c r="D86" s="41" t="n">
        <f aca="false">MAX(0,M85)</f>
        <v>0</v>
      </c>
      <c r="E86" s="41" t="n">
        <f aca="false">D86*$F$7</f>
        <v>0</v>
      </c>
      <c r="F86" s="41" t="n">
        <f aca="false">IF(D86&gt;0.5,N($C$15),0)</f>
        <v>0</v>
      </c>
      <c r="G86" s="41" t="n">
        <f aca="false">IF(AND(D86&gt;0.5,N($C$19)&gt;0,N(B86)&lt;=N($C$20)),D86*$F$8,0)</f>
        <v>0</v>
      </c>
      <c r="H86" s="41" t="n">
        <f aca="false">IF(D86&lt;=0.5,0,MIN(IF(N(I86)&gt;0,I86,$F$9),D86+E86+F86))</f>
        <v>0</v>
      </c>
      <c r="I86" s="77"/>
      <c r="J86" s="77"/>
      <c r="K86" s="41" t="n">
        <f aca="false">IF(D86&lt;=0.5,0,MIN(H86+N(J86),D86+E86+F86))</f>
        <v>0</v>
      </c>
      <c r="L86" s="41" t="n">
        <f aca="false">K86-E86-F86</f>
        <v>0</v>
      </c>
      <c r="M86" s="41" t="n">
        <f aca="false">D86-L86</f>
        <v>0</v>
      </c>
      <c r="N86" s="42" t="n">
        <f aca="false">K86-G86</f>
        <v>0</v>
      </c>
      <c r="O86" s="78"/>
      <c r="P86" s="79"/>
      <c r="Q86" s="16" t="str">
        <f aca="false">IF(K86=0,"",IF(R86=1,"Pagada",IF(C86&lt;$F$12,"Vencida",IF(60=$F$13,"Próxima","Pendiente"))))</f>
        <v/>
      </c>
      <c r="R86" s="62" t="n">
        <f aca="false">IF(AND(K86&gt;0,OR(O86="Sí",O86="Si")),1,0)</f>
        <v>0</v>
      </c>
      <c r="S86" s="62" t="n">
        <f aca="false">IF(AND(K86&gt;0,R86=0),1,0)</f>
        <v>0</v>
      </c>
    </row>
    <row r="87" customFormat="false" ht="15" hidden="false" customHeight="false" outlineLevel="0" collapsed="false">
      <c r="B87" s="71" t="str">
        <f aca="false">IF($F$6="Sí",N($C$11)+60,"")</f>
        <v/>
      </c>
      <c r="C87" s="72" t="str">
        <f aca="false">IF(OR($F$6&lt;&gt;"Sí",D87&lt;=0.5),"",EDATE($C$10,60))</f>
        <v/>
      </c>
      <c r="D87" s="41" t="n">
        <f aca="false">MAX(0,M86)</f>
        <v>0</v>
      </c>
      <c r="E87" s="41" t="n">
        <f aca="false">D87*$F$7</f>
        <v>0</v>
      </c>
      <c r="F87" s="41" t="n">
        <f aca="false">IF(D87&gt;0.5,N($C$15),0)</f>
        <v>0</v>
      </c>
      <c r="G87" s="41" t="n">
        <f aca="false">IF(AND(D87&gt;0.5,N($C$19)&gt;0,N(B87)&lt;=N($C$20)),D87*$F$8,0)</f>
        <v>0</v>
      </c>
      <c r="H87" s="41" t="n">
        <f aca="false">IF(D87&lt;=0.5,0,MIN(IF(N(I87)&gt;0,I87,$F$9),D87+E87+F87))</f>
        <v>0</v>
      </c>
      <c r="I87" s="77"/>
      <c r="J87" s="77"/>
      <c r="K87" s="41" t="n">
        <f aca="false">IF(D87&lt;=0.5,0,MIN(H87+N(J87),D87+E87+F87))</f>
        <v>0</v>
      </c>
      <c r="L87" s="41" t="n">
        <f aca="false">K87-E87-F87</f>
        <v>0</v>
      </c>
      <c r="M87" s="41" t="n">
        <f aca="false">D87-L87</f>
        <v>0</v>
      </c>
      <c r="N87" s="42" t="n">
        <f aca="false">K87-G87</f>
        <v>0</v>
      </c>
      <c r="O87" s="78"/>
      <c r="P87" s="79"/>
      <c r="Q87" s="16" t="str">
        <f aca="false">IF(K87=0,"",IF(R87=1,"Pagada",IF(C87&lt;$F$12,"Vencida",IF(61=$F$13,"Próxima","Pendiente"))))</f>
        <v/>
      </c>
      <c r="R87" s="62" t="n">
        <f aca="false">IF(AND(K87&gt;0,OR(O87="Sí",O87="Si")),1,0)</f>
        <v>0</v>
      </c>
      <c r="S87" s="62" t="n">
        <f aca="false">IF(AND(K87&gt;0,R87=0),1,0)</f>
        <v>0</v>
      </c>
    </row>
    <row r="88" customFormat="false" ht="15" hidden="false" customHeight="false" outlineLevel="0" collapsed="false">
      <c r="B88" s="71" t="str">
        <f aca="false">IF($F$6="Sí",N($C$11)+61,"")</f>
        <v/>
      </c>
      <c r="C88" s="72" t="str">
        <f aca="false">IF(OR($F$6&lt;&gt;"Sí",D88&lt;=0.5),"",EDATE($C$10,61))</f>
        <v/>
      </c>
      <c r="D88" s="41" t="n">
        <f aca="false">MAX(0,M87)</f>
        <v>0</v>
      </c>
      <c r="E88" s="41" t="n">
        <f aca="false">D88*$F$7</f>
        <v>0</v>
      </c>
      <c r="F88" s="41" t="n">
        <f aca="false">IF(D88&gt;0.5,N($C$15),0)</f>
        <v>0</v>
      </c>
      <c r="G88" s="41" t="n">
        <f aca="false">IF(AND(D88&gt;0.5,N($C$19)&gt;0,N(B88)&lt;=N($C$20)),D88*$F$8,0)</f>
        <v>0</v>
      </c>
      <c r="H88" s="41" t="n">
        <f aca="false">IF(D88&lt;=0.5,0,MIN(IF(N(I88)&gt;0,I88,$F$9),D88+E88+F88))</f>
        <v>0</v>
      </c>
      <c r="I88" s="77"/>
      <c r="J88" s="77"/>
      <c r="K88" s="41" t="n">
        <f aca="false">IF(D88&lt;=0.5,0,MIN(H88+N(J88),D88+E88+F88))</f>
        <v>0</v>
      </c>
      <c r="L88" s="41" t="n">
        <f aca="false">K88-E88-F88</f>
        <v>0</v>
      </c>
      <c r="M88" s="41" t="n">
        <f aca="false">D88-L88</f>
        <v>0</v>
      </c>
      <c r="N88" s="42" t="n">
        <f aca="false">K88-G88</f>
        <v>0</v>
      </c>
      <c r="O88" s="78"/>
      <c r="P88" s="79"/>
      <c r="Q88" s="16" t="str">
        <f aca="false">IF(K88=0,"",IF(R88=1,"Pagada",IF(C88&lt;$F$12,"Vencida",IF(62=$F$13,"Próxima","Pendiente"))))</f>
        <v/>
      </c>
      <c r="R88" s="62" t="n">
        <f aca="false">IF(AND(K88&gt;0,OR(O88="Sí",O88="Si")),1,0)</f>
        <v>0</v>
      </c>
      <c r="S88" s="62" t="n">
        <f aca="false">IF(AND(K88&gt;0,R88=0),1,0)</f>
        <v>0</v>
      </c>
    </row>
    <row r="89" customFormat="false" ht="15" hidden="false" customHeight="false" outlineLevel="0" collapsed="false">
      <c r="B89" s="71" t="str">
        <f aca="false">IF($F$6="Sí",N($C$11)+62,"")</f>
        <v/>
      </c>
      <c r="C89" s="72" t="str">
        <f aca="false">IF(OR($F$6&lt;&gt;"Sí",D89&lt;=0.5),"",EDATE($C$10,62))</f>
        <v/>
      </c>
      <c r="D89" s="41" t="n">
        <f aca="false">MAX(0,M88)</f>
        <v>0</v>
      </c>
      <c r="E89" s="41" t="n">
        <f aca="false">D89*$F$7</f>
        <v>0</v>
      </c>
      <c r="F89" s="41" t="n">
        <f aca="false">IF(D89&gt;0.5,N($C$15),0)</f>
        <v>0</v>
      </c>
      <c r="G89" s="41" t="n">
        <f aca="false">IF(AND(D89&gt;0.5,N($C$19)&gt;0,N(B89)&lt;=N($C$20)),D89*$F$8,0)</f>
        <v>0</v>
      </c>
      <c r="H89" s="41" t="n">
        <f aca="false">IF(D89&lt;=0.5,0,MIN(IF(N(I89)&gt;0,I89,$F$9),D89+E89+F89))</f>
        <v>0</v>
      </c>
      <c r="I89" s="77"/>
      <c r="J89" s="77"/>
      <c r="K89" s="41" t="n">
        <f aca="false">IF(D89&lt;=0.5,0,MIN(H89+N(J89),D89+E89+F89))</f>
        <v>0</v>
      </c>
      <c r="L89" s="41" t="n">
        <f aca="false">K89-E89-F89</f>
        <v>0</v>
      </c>
      <c r="M89" s="41" t="n">
        <f aca="false">D89-L89</f>
        <v>0</v>
      </c>
      <c r="N89" s="42" t="n">
        <f aca="false">K89-G89</f>
        <v>0</v>
      </c>
      <c r="O89" s="78"/>
      <c r="P89" s="79"/>
      <c r="Q89" s="16" t="str">
        <f aca="false">IF(K89=0,"",IF(R89=1,"Pagada",IF(C89&lt;$F$12,"Vencida",IF(63=$F$13,"Próxima","Pendiente"))))</f>
        <v/>
      </c>
      <c r="R89" s="62" t="n">
        <f aca="false">IF(AND(K89&gt;0,OR(O89="Sí",O89="Si")),1,0)</f>
        <v>0</v>
      </c>
      <c r="S89" s="62" t="n">
        <f aca="false">IF(AND(K89&gt;0,R89=0),1,0)</f>
        <v>0</v>
      </c>
    </row>
    <row r="90" customFormat="false" ht="15" hidden="false" customHeight="false" outlineLevel="0" collapsed="false">
      <c r="B90" s="71" t="str">
        <f aca="false">IF($F$6="Sí",N($C$11)+63,"")</f>
        <v/>
      </c>
      <c r="C90" s="72" t="str">
        <f aca="false">IF(OR($F$6&lt;&gt;"Sí",D90&lt;=0.5),"",EDATE($C$10,63))</f>
        <v/>
      </c>
      <c r="D90" s="41" t="n">
        <f aca="false">MAX(0,M89)</f>
        <v>0</v>
      </c>
      <c r="E90" s="41" t="n">
        <f aca="false">D90*$F$7</f>
        <v>0</v>
      </c>
      <c r="F90" s="41" t="n">
        <f aca="false">IF(D90&gt;0.5,N($C$15),0)</f>
        <v>0</v>
      </c>
      <c r="G90" s="41" t="n">
        <f aca="false">IF(AND(D90&gt;0.5,N($C$19)&gt;0,N(B90)&lt;=N($C$20)),D90*$F$8,0)</f>
        <v>0</v>
      </c>
      <c r="H90" s="41" t="n">
        <f aca="false">IF(D90&lt;=0.5,0,MIN(IF(N(I90)&gt;0,I90,$F$9),D90+E90+F90))</f>
        <v>0</v>
      </c>
      <c r="I90" s="77"/>
      <c r="J90" s="77"/>
      <c r="K90" s="41" t="n">
        <f aca="false">IF(D90&lt;=0.5,0,MIN(H90+N(J90),D90+E90+F90))</f>
        <v>0</v>
      </c>
      <c r="L90" s="41" t="n">
        <f aca="false">K90-E90-F90</f>
        <v>0</v>
      </c>
      <c r="M90" s="41" t="n">
        <f aca="false">D90-L90</f>
        <v>0</v>
      </c>
      <c r="N90" s="42" t="n">
        <f aca="false">K90-G90</f>
        <v>0</v>
      </c>
      <c r="O90" s="78"/>
      <c r="P90" s="79"/>
      <c r="Q90" s="16" t="str">
        <f aca="false">IF(K90=0,"",IF(R90=1,"Pagada",IF(C90&lt;$F$12,"Vencida",IF(64=$F$13,"Próxima","Pendiente"))))</f>
        <v/>
      </c>
      <c r="R90" s="62" t="n">
        <f aca="false">IF(AND(K90&gt;0,OR(O90="Sí",O90="Si")),1,0)</f>
        <v>0</v>
      </c>
      <c r="S90" s="62" t="n">
        <f aca="false">IF(AND(K90&gt;0,R90=0),1,0)</f>
        <v>0</v>
      </c>
    </row>
    <row r="91" customFormat="false" ht="15" hidden="false" customHeight="false" outlineLevel="0" collapsed="false">
      <c r="B91" s="71" t="str">
        <f aca="false">IF($F$6="Sí",N($C$11)+64,"")</f>
        <v/>
      </c>
      <c r="C91" s="72" t="str">
        <f aca="false">IF(OR($F$6&lt;&gt;"Sí",D91&lt;=0.5),"",EDATE($C$10,64))</f>
        <v/>
      </c>
      <c r="D91" s="41" t="n">
        <f aca="false">MAX(0,M90)</f>
        <v>0</v>
      </c>
      <c r="E91" s="41" t="n">
        <f aca="false">D91*$F$7</f>
        <v>0</v>
      </c>
      <c r="F91" s="41" t="n">
        <f aca="false">IF(D91&gt;0.5,N($C$15),0)</f>
        <v>0</v>
      </c>
      <c r="G91" s="41" t="n">
        <f aca="false">IF(AND(D91&gt;0.5,N($C$19)&gt;0,N(B91)&lt;=N($C$20)),D91*$F$8,0)</f>
        <v>0</v>
      </c>
      <c r="H91" s="41" t="n">
        <f aca="false">IF(D91&lt;=0.5,0,MIN(IF(N(I91)&gt;0,I91,$F$9),D91+E91+F91))</f>
        <v>0</v>
      </c>
      <c r="I91" s="77"/>
      <c r="J91" s="77"/>
      <c r="K91" s="41" t="n">
        <f aca="false">IF(D91&lt;=0.5,0,MIN(H91+N(J91),D91+E91+F91))</f>
        <v>0</v>
      </c>
      <c r="L91" s="41" t="n">
        <f aca="false">K91-E91-F91</f>
        <v>0</v>
      </c>
      <c r="M91" s="41" t="n">
        <f aca="false">D91-L91</f>
        <v>0</v>
      </c>
      <c r="N91" s="42" t="n">
        <f aca="false">K91-G91</f>
        <v>0</v>
      </c>
      <c r="O91" s="78"/>
      <c r="P91" s="79"/>
      <c r="Q91" s="16" t="str">
        <f aca="false">IF(K91=0,"",IF(R91=1,"Pagada",IF(C91&lt;$F$12,"Vencida",IF(65=$F$13,"Próxima","Pendiente"))))</f>
        <v/>
      </c>
      <c r="R91" s="62" t="n">
        <f aca="false">IF(AND(K91&gt;0,OR(O91="Sí",O91="Si")),1,0)</f>
        <v>0</v>
      </c>
      <c r="S91" s="62" t="n">
        <f aca="false">IF(AND(K91&gt;0,R91=0),1,0)</f>
        <v>0</v>
      </c>
    </row>
    <row r="92" customFormat="false" ht="15" hidden="false" customHeight="false" outlineLevel="0" collapsed="false">
      <c r="B92" s="71" t="str">
        <f aca="false">IF($F$6="Sí",N($C$11)+65,"")</f>
        <v/>
      </c>
      <c r="C92" s="72" t="str">
        <f aca="false">IF(OR($F$6&lt;&gt;"Sí",D92&lt;=0.5),"",EDATE($C$10,65))</f>
        <v/>
      </c>
      <c r="D92" s="41" t="n">
        <f aca="false">MAX(0,M91)</f>
        <v>0</v>
      </c>
      <c r="E92" s="41" t="n">
        <f aca="false">D92*$F$7</f>
        <v>0</v>
      </c>
      <c r="F92" s="41" t="n">
        <f aca="false">IF(D92&gt;0.5,N($C$15),0)</f>
        <v>0</v>
      </c>
      <c r="G92" s="41" t="n">
        <f aca="false">IF(AND(D92&gt;0.5,N($C$19)&gt;0,N(B92)&lt;=N($C$20)),D92*$F$8,0)</f>
        <v>0</v>
      </c>
      <c r="H92" s="41" t="n">
        <f aca="false">IF(D92&lt;=0.5,0,MIN(IF(N(I92)&gt;0,I92,$F$9),D92+E92+F92))</f>
        <v>0</v>
      </c>
      <c r="I92" s="77"/>
      <c r="J92" s="77"/>
      <c r="K92" s="41" t="n">
        <f aca="false">IF(D92&lt;=0.5,0,MIN(H92+N(J92),D92+E92+F92))</f>
        <v>0</v>
      </c>
      <c r="L92" s="41" t="n">
        <f aca="false">K92-E92-F92</f>
        <v>0</v>
      </c>
      <c r="M92" s="41" t="n">
        <f aca="false">D92-L92</f>
        <v>0</v>
      </c>
      <c r="N92" s="42" t="n">
        <f aca="false">K92-G92</f>
        <v>0</v>
      </c>
      <c r="O92" s="78"/>
      <c r="P92" s="79"/>
      <c r="Q92" s="16" t="str">
        <f aca="false">IF(K92=0,"",IF(R92=1,"Pagada",IF(C92&lt;$F$12,"Vencida",IF(66=$F$13,"Próxima","Pendiente"))))</f>
        <v/>
      </c>
      <c r="R92" s="62" t="n">
        <f aca="false">IF(AND(K92&gt;0,OR(O92="Sí",O92="Si")),1,0)</f>
        <v>0</v>
      </c>
      <c r="S92" s="62" t="n">
        <f aca="false">IF(AND(K92&gt;0,R92=0),1,0)</f>
        <v>0</v>
      </c>
    </row>
    <row r="93" customFormat="false" ht="15" hidden="false" customHeight="false" outlineLevel="0" collapsed="false">
      <c r="B93" s="71" t="str">
        <f aca="false">IF($F$6="Sí",N($C$11)+66,"")</f>
        <v/>
      </c>
      <c r="C93" s="72" t="str">
        <f aca="false">IF(OR($F$6&lt;&gt;"Sí",D93&lt;=0.5),"",EDATE($C$10,66))</f>
        <v/>
      </c>
      <c r="D93" s="41" t="n">
        <f aca="false">MAX(0,M92)</f>
        <v>0</v>
      </c>
      <c r="E93" s="41" t="n">
        <f aca="false">D93*$F$7</f>
        <v>0</v>
      </c>
      <c r="F93" s="41" t="n">
        <f aca="false">IF(D93&gt;0.5,N($C$15),0)</f>
        <v>0</v>
      </c>
      <c r="G93" s="41" t="n">
        <f aca="false">IF(AND(D93&gt;0.5,N($C$19)&gt;0,N(B93)&lt;=N($C$20)),D93*$F$8,0)</f>
        <v>0</v>
      </c>
      <c r="H93" s="41" t="n">
        <f aca="false">IF(D93&lt;=0.5,0,MIN(IF(N(I93)&gt;0,I93,$F$9),D93+E93+F93))</f>
        <v>0</v>
      </c>
      <c r="I93" s="77"/>
      <c r="J93" s="77"/>
      <c r="K93" s="41" t="n">
        <f aca="false">IF(D93&lt;=0.5,0,MIN(H93+N(J93),D93+E93+F93))</f>
        <v>0</v>
      </c>
      <c r="L93" s="41" t="n">
        <f aca="false">K93-E93-F93</f>
        <v>0</v>
      </c>
      <c r="M93" s="41" t="n">
        <f aca="false">D93-L93</f>
        <v>0</v>
      </c>
      <c r="N93" s="42" t="n">
        <f aca="false">K93-G93</f>
        <v>0</v>
      </c>
      <c r="O93" s="78"/>
      <c r="P93" s="79"/>
      <c r="Q93" s="16" t="str">
        <f aca="false">IF(K93=0,"",IF(R93=1,"Pagada",IF(C93&lt;$F$12,"Vencida",IF(67=$F$13,"Próxima","Pendiente"))))</f>
        <v/>
      </c>
      <c r="R93" s="62" t="n">
        <f aca="false">IF(AND(K93&gt;0,OR(O93="Sí",O93="Si")),1,0)</f>
        <v>0</v>
      </c>
      <c r="S93" s="62" t="n">
        <f aca="false">IF(AND(K93&gt;0,R93=0),1,0)</f>
        <v>0</v>
      </c>
    </row>
    <row r="94" customFormat="false" ht="15" hidden="false" customHeight="false" outlineLevel="0" collapsed="false">
      <c r="B94" s="71" t="str">
        <f aca="false">IF($F$6="Sí",N($C$11)+67,"")</f>
        <v/>
      </c>
      <c r="C94" s="72" t="str">
        <f aca="false">IF(OR($F$6&lt;&gt;"Sí",D94&lt;=0.5),"",EDATE($C$10,67))</f>
        <v/>
      </c>
      <c r="D94" s="41" t="n">
        <f aca="false">MAX(0,M93)</f>
        <v>0</v>
      </c>
      <c r="E94" s="41" t="n">
        <f aca="false">D94*$F$7</f>
        <v>0</v>
      </c>
      <c r="F94" s="41" t="n">
        <f aca="false">IF(D94&gt;0.5,N($C$15),0)</f>
        <v>0</v>
      </c>
      <c r="G94" s="41" t="n">
        <f aca="false">IF(AND(D94&gt;0.5,N($C$19)&gt;0,N(B94)&lt;=N($C$20)),D94*$F$8,0)</f>
        <v>0</v>
      </c>
      <c r="H94" s="41" t="n">
        <f aca="false">IF(D94&lt;=0.5,0,MIN(IF(N(I94)&gt;0,I94,$F$9),D94+E94+F94))</f>
        <v>0</v>
      </c>
      <c r="I94" s="77"/>
      <c r="J94" s="77"/>
      <c r="K94" s="41" t="n">
        <f aca="false">IF(D94&lt;=0.5,0,MIN(H94+N(J94),D94+E94+F94))</f>
        <v>0</v>
      </c>
      <c r="L94" s="41" t="n">
        <f aca="false">K94-E94-F94</f>
        <v>0</v>
      </c>
      <c r="M94" s="41" t="n">
        <f aca="false">D94-L94</f>
        <v>0</v>
      </c>
      <c r="N94" s="42" t="n">
        <f aca="false">K94-G94</f>
        <v>0</v>
      </c>
      <c r="O94" s="78"/>
      <c r="P94" s="79"/>
      <c r="Q94" s="16" t="str">
        <f aca="false">IF(K94=0,"",IF(R94=1,"Pagada",IF(C94&lt;$F$12,"Vencida",IF(68=$F$13,"Próxima","Pendiente"))))</f>
        <v/>
      </c>
      <c r="R94" s="62" t="n">
        <f aca="false">IF(AND(K94&gt;0,OR(O94="Sí",O94="Si")),1,0)</f>
        <v>0</v>
      </c>
      <c r="S94" s="62" t="n">
        <f aca="false">IF(AND(K94&gt;0,R94=0),1,0)</f>
        <v>0</v>
      </c>
    </row>
    <row r="95" customFormat="false" ht="15" hidden="false" customHeight="false" outlineLevel="0" collapsed="false">
      <c r="B95" s="71" t="str">
        <f aca="false">IF($F$6="Sí",N($C$11)+68,"")</f>
        <v/>
      </c>
      <c r="C95" s="72" t="str">
        <f aca="false">IF(OR($F$6&lt;&gt;"Sí",D95&lt;=0.5),"",EDATE($C$10,68))</f>
        <v/>
      </c>
      <c r="D95" s="41" t="n">
        <f aca="false">MAX(0,M94)</f>
        <v>0</v>
      </c>
      <c r="E95" s="41" t="n">
        <f aca="false">D95*$F$7</f>
        <v>0</v>
      </c>
      <c r="F95" s="41" t="n">
        <f aca="false">IF(D95&gt;0.5,N($C$15),0)</f>
        <v>0</v>
      </c>
      <c r="G95" s="41" t="n">
        <f aca="false">IF(AND(D95&gt;0.5,N($C$19)&gt;0,N(B95)&lt;=N($C$20)),D95*$F$8,0)</f>
        <v>0</v>
      </c>
      <c r="H95" s="41" t="n">
        <f aca="false">IF(D95&lt;=0.5,0,MIN(IF(N(I95)&gt;0,I95,$F$9),D95+E95+F95))</f>
        <v>0</v>
      </c>
      <c r="I95" s="77"/>
      <c r="J95" s="77"/>
      <c r="K95" s="41" t="n">
        <f aca="false">IF(D95&lt;=0.5,0,MIN(H95+N(J95),D95+E95+F95))</f>
        <v>0</v>
      </c>
      <c r="L95" s="41" t="n">
        <f aca="false">K95-E95-F95</f>
        <v>0</v>
      </c>
      <c r="M95" s="41" t="n">
        <f aca="false">D95-L95</f>
        <v>0</v>
      </c>
      <c r="N95" s="42" t="n">
        <f aca="false">K95-G95</f>
        <v>0</v>
      </c>
      <c r="O95" s="78"/>
      <c r="P95" s="79"/>
      <c r="Q95" s="16" t="str">
        <f aca="false">IF(K95=0,"",IF(R95=1,"Pagada",IF(C95&lt;$F$12,"Vencida",IF(69=$F$13,"Próxima","Pendiente"))))</f>
        <v/>
      </c>
      <c r="R95" s="62" t="n">
        <f aca="false">IF(AND(K95&gt;0,OR(O95="Sí",O95="Si")),1,0)</f>
        <v>0</v>
      </c>
      <c r="S95" s="62" t="n">
        <f aca="false">IF(AND(K95&gt;0,R95=0),1,0)</f>
        <v>0</v>
      </c>
    </row>
    <row r="96" customFormat="false" ht="15" hidden="false" customHeight="false" outlineLevel="0" collapsed="false">
      <c r="B96" s="71" t="str">
        <f aca="false">IF($F$6="Sí",N($C$11)+69,"")</f>
        <v/>
      </c>
      <c r="C96" s="72" t="str">
        <f aca="false">IF(OR($F$6&lt;&gt;"Sí",D96&lt;=0.5),"",EDATE($C$10,69))</f>
        <v/>
      </c>
      <c r="D96" s="41" t="n">
        <f aca="false">MAX(0,M95)</f>
        <v>0</v>
      </c>
      <c r="E96" s="41" t="n">
        <f aca="false">D96*$F$7</f>
        <v>0</v>
      </c>
      <c r="F96" s="41" t="n">
        <f aca="false">IF(D96&gt;0.5,N($C$15),0)</f>
        <v>0</v>
      </c>
      <c r="G96" s="41" t="n">
        <f aca="false">IF(AND(D96&gt;0.5,N($C$19)&gt;0,N(B96)&lt;=N($C$20)),D96*$F$8,0)</f>
        <v>0</v>
      </c>
      <c r="H96" s="41" t="n">
        <f aca="false">IF(D96&lt;=0.5,0,MIN(IF(N(I96)&gt;0,I96,$F$9),D96+E96+F96))</f>
        <v>0</v>
      </c>
      <c r="I96" s="77"/>
      <c r="J96" s="77"/>
      <c r="K96" s="41" t="n">
        <f aca="false">IF(D96&lt;=0.5,0,MIN(H96+N(J96),D96+E96+F96))</f>
        <v>0</v>
      </c>
      <c r="L96" s="41" t="n">
        <f aca="false">K96-E96-F96</f>
        <v>0</v>
      </c>
      <c r="M96" s="41" t="n">
        <f aca="false">D96-L96</f>
        <v>0</v>
      </c>
      <c r="N96" s="42" t="n">
        <f aca="false">K96-G96</f>
        <v>0</v>
      </c>
      <c r="O96" s="78"/>
      <c r="P96" s="79"/>
      <c r="Q96" s="16" t="str">
        <f aca="false">IF(K96=0,"",IF(R96=1,"Pagada",IF(C96&lt;$F$12,"Vencida",IF(70=$F$13,"Próxima","Pendiente"))))</f>
        <v/>
      </c>
      <c r="R96" s="62" t="n">
        <f aca="false">IF(AND(K96&gt;0,OR(O96="Sí",O96="Si")),1,0)</f>
        <v>0</v>
      </c>
      <c r="S96" s="62" t="n">
        <f aca="false">IF(AND(K96&gt;0,R96=0),1,0)</f>
        <v>0</v>
      </c>
    </row>
    <row r="97" customFormat="false" ht="15" hidden="false" customHeight="false" outlineLevel="0" collapsed="false">
      <c r="B97" s="71" t="str">
        <f aca="false">IF($F$6="Sí",N($C$11)+70,"")</f>
        <v/>
      </c>
      <c r="C97" s="72" t="str">
        <f aca="false">IF(OR($F$6&lt;&gt;"Sí",D97&lt;=0.5),"",EDATE($C$10,70))</f>
        <v/>
      </c>
      <c r="D97" s="41" t="n">
        <f aca="false">MAX(0,M96)</f>
        <v>0</v>
      </c>
      <c r="E97" s="41" t="n">
        <f aca="false">D97*$F$7</f>
        <v>0</v>
      </c>
      <c r="F97" s="41" t="n">
        <f aca="false">IF(D97&gt;0.5,N($C$15),0)</f>
        <v>0</v>
      </c>
      <c r="G97" s="41" t="n">
        <f aca="false">IF(AND(D97&gt;0.5,N($C$19)&gt;0,N(B97)&lt;=N($C$20)),D97*$F$8,0)</f>
        <v>0</v>
      </c>
      <c r="H97" s="41" t="n">
        <f aca="false">IF(D97&lt;=0.5,0,MIN(IF(N(I97)&gt;0,I97,$F$9),D97+E97+F97))</f>
        <v>0</v>
      </c>
      <c r="I97" s="77"/>
      <c r="J97" s="77"/>
      <c r="K97" s="41" t="n">
        <f aca="false">IF(D97&lt;=0.5,0,MIN(H97+N(J97),D97+E97+F97))</f>
        <v>0</v>
      </c>
      <c r="L97" s="41" t="n">
        <f aca="false">K97-E97-F97</f>
        <v>0</v>
      </c>
      <c r="M97" s="41" t="n">
        <f aca="false">D97-L97</f>
        <v>0</v>
      </c>
      <c r="N97" s="42" t="n">
        <f aca="false">K97-G97</f>
        <v>0</v>
      </c>
      <c r="O97" s="78"/>
      <c r="P97" s="79"/>
      <c r="Q97" s="16" t="str">
        <f aca="false">IF(K97=0,"",IF(R97=1,"Pagada",IF(C97&lt;$F$12,"Vencida",IF(71=$F$13,"Próxima","Pendiente"))))</f>
        <v/>
      </c>
      <c r="R97" s="62" t="n">
        <f aca="false">IF(AND(K97&gt;0,OR(O97="Sí",O97="Si")),1,0)</f>
        <v>0</v>
      </c>
      <c r="S97" s="62" t="n">
        <f aca="false">IF(AND(K97&gt;0,R97=0),1,0)</f>
        <v>0</v>
      </c>
    </row>
    <row r="98" customFormat="false" ht="15" hidden="false" customHeight="false" outlineLevel="0" collapsed="false">
      <c r="B98" s="71" t="str">
        <f aca="false">IF($F$6="Sí",N($C$11)+71,"")</f>
        <v/>
      </c>
      <c r="C98" s="72" t="str">
        <f aca="false">IF(OR($F$6&lt;&gt;"Sí",D98&lt;=0.5),"",EDATE($C$10,71))</f>
        <v/>
      </c>
      <c r="D98" s="41" t="n">
        <f aca="false">MAX(0,M97)</f>
        <v>0</v>
      </c>
      <c r="E98" s="41" t="n">
        <f aca="false">D98*$F$7</f>
        <v>0</v>
      </c>
      <c r="F98" s="41" t="n">
        <f aca="false">IF(D98&gt;0.5,N($C$15),0)</f>
        <v>0</v>
      </c>
      <c r="G98" s="41" t="n">
        <f aca="false">IF(AND(D98&gt;0.5,N($C$19)&gt;0,N(B98)&lt;=N($C$20)),D98*$F$8,0)</f>
        <v>0</v>
      </c>
      <c r="H98" s="41" t="n">
        <f aca="false">IF(D98&lt;=0.5,0,MIN(IF(N(I98)&gt;0,I98,$F$9),D98+E98+F98))</f>
        <v>0</v>
      </c>
      <c r="I98" s="77"/>
      <c r="J98" s="77"/>
      <c r="K98" s="41" t="n">
        <f aca="false">IF(D98&lt;=0.5,0,MIN(H98+N(J98),D98+E98+F98))</f>
        <v>0</v>
      </c>
      <c r="L98" s="41" t="n">
        <f aca="false">K98-E98-F98</f>
        <v>0</v>
      </c>
      <c r="M98" s="41" t="n">
        <f aca="false">D98-L98</f>
        <v>0</v>
      </c>
      <c r="N98" s="42" t="n">
        <f aca="false">K98-G98</f>
        <v>0</v>
      </c>
      <c r="O98" s="78"/>
      <c r="P98" s="79"/>
      <c r="Q98" s="16" t="str">
        <f aca="false">IF(K98=0,"",IF(R98=1,"Pagada",IF(C98&lt;$F$12,"Vencida",IF(72=$F$13,"Próxima","Pendiente"))))</f>
        <v/>
      </c>
      <c r="R98" s="62" t="n">
        <f aca="false">IF(AND(K98&gt;0,OR(O98="Sí",O98="Si")),1,0)</f>
        <v>0</v>
      </c>
      <c r="S98" s="62" t="n">
        <f aca="false">IF(AND(K98&gt;0,R98=0),1,0)</f>
        <v>0</v>
      </c>
    </row>
    <row r="99" customFormat="false" ht="15" hidden="false" customHeight="false" outlineLevel="0" collapsed="false">
      <c r="B99" s="71" t="str">
        <f aca="false">IF($F$6="Sí",N($C$11)+72,"")</f>
        <v/>
      </c>
      <c r="C99" s="72" t="str">
        <f aca="false">IF(OR($F$6&lt;&gt;"Sí",D99&lt;=0.5),"",EDATE($C$10,72))</f>
        <v/>
      </c>
      <c r="D99" s="41" t="n">
        <f aca="false">MAX(0,M98)</f>
        <v>0</v>
      </c>
      <c r="E99" s="41" t="n">
        <f aca="false">D99*$F$7</f>
        <v>0</v>
      </c>
      <c r="F99" s="41" t="n">
        <f aca="false">IF(D99&gt;0.5,N($C$15),0)</f>
        <v>0</v>
      </c>
      <c r="G99" s="41" t="n">
        <f aca="false">IF(AND(D99&gt;0.5,N($C$19)&gt;0,N(B99)&lt;=N($C$20)),D99*$F$8,0)</f>
        <v>0</v>
      </c>
      <c r="H99" s="41" t="n">
        <f aca="false">IF(D99&lt;=0.5,0,MIN(IF(N(I99)&gt;0,I99,$F$9),D99+E99+F99))</f>
        <v>0</v>
      </c>
      <c r="I99" s="77"/>
      <c r="J99" s="77"/>
      <c r="K99" s="41" t="n">
        <f aca="false">IF(D99&lt;=0.5,0,MIN(H99+N(J99),D99+E99+F99))</f>
        <v>0</v>
      </c>
      <c r="L99" s="41" t="n">
        <f aca="false">K99-E99-F99</f>
        <v>0</v>
      </c>
      <c r="M99" s="41" t="n">
        <f aca="false">D99-L99</f>
        <v>0</v>
      </c>
      <c r="N99" s="42" t="n">
        <f aca="false">K99-G99</f>
        <v>0</v>
      </c>
      <c r="O99" s="78"/>
      <c r="P99" s="79"/>
      <c r="Q99" s="16" t="str">
        <f aca="false">IF(K99=0,"",IF(R99=1,"Pagada",IF(C99&lt;$F$12,"Vencida",IF(73=$F$13,"Próxima","Pendiente"))))</f>
        <v/>
      </c>
      <c r="R99" s="62" t="n">
        <f aca="false">IF(AND(K99&gt;0,OR(O99="Sí",O99="Si")),1,0)</f>
        <v>0</v>
      </c>
      <c r="S99" s="62" t="n">
        <f aca="false">IF(AND(K99&gt;0,R99=0),1,0)</f>
        <v>0</v>
      </c>
    </row>
    <row r="100" customFormat="false" ht="15" hidden="false" customHeight="false" outlineLevel="0" collapsed="false">
      <c r="B100" s="71" t="str">
        <f aca="false">IF($F$6="Sí",N($C$11)+73,"")</f>
        <v/>
      </c>
      <c r="C100" s="72" t="str">
        <f aca="false">IF(OR($F$6&lt;&gt;"Sí",D100&lt;=0.5),"",EDATE($C$10,73))</f>
        <v/>
      </c>
      <c r="D100" s="41" t="n">
        <f aca="false">MAX(0,M99)</f>
        <v>0</v>
      </c>
      <c r="E100" s="41" t="n">
        <f aca="false">D100*$F$7</f>
        <v>0</v>
      </c>
      <c r="F100" s="41" t="n">
        <f aca="false">IF(D100&gt;0.5,N($C$15),0)</f>
        <v>0</v>
      </c>
      <c r="G100" s="41" t="n">
        <f aca="false">IF(AND(D100&gt;0.5,N($C$19)&gt;0,N(B100)&lt;=N($C$20)),D100*$F$8,0)</f>
        <v>0</v>
      </c>
      <c r="H100" s="41" t="n">
        <f aca="false">IF(D100&lt;=0.5,0,MIN(IF(N(I100)&gt;0,I100,$F$9),D100+E100+F100))</f>
        <v>0</v>
      </c>
      <c r="I100" s="77"/>
      <c r="J100" s="77"/>
      <c r="K100" s="41" t="n">
        <f aca="false">IF(D100&lt;=0.5,0,MIN(H100+N(J100),D100+E100+F100))</f>
        <v>0</v>
      </c>
      <c r="L100" s="41" t="n">
        <f aca="false">K100-E100-F100</f>
        <v>0</v>
      </c>
      <c r="M100" s="41" t="n">
        <f aca="false">D100-L100</f>
        <v>0</v>
      </c>
      <c r="N100" s="42" t="n">
        <f aca="false">K100-G100</f>
        <v>0</v>
      </c>
      <c r="O100" s="78"/>
      <c r="P100" s="79"/>
      <c r="Q100" s="16" t="str">
        <f aca="false">IF(K100=0,"",IF(R100=1,"Pagada",IF(C100&lt;$F$12,"Vencida",IF(74=$F$13,"Próxima","Pendiente"))))</f>
        <v/>
      </c>
      <c r="R100" s="62" t="n">
        <f aca="false">IF(AND(K100&gt;0,OR(O100="Sí",O100="Si")),1,0)</f>
        <v>0</v>
      </c>
      <c r="S100" s="62" t="n">
        <f aca="false">IF(AND(K100&gt;0,R100=0),1,0)</f>
        <v>0</v>
      </c>
    </row>
    <row r="101" customFormat="false" ht="15" hidden="false" customHeight="false" outlineLevel="0" collapsed="false">
      <c r="B101" s="71" t="str">
        <f aca="false">IF($F$6="Sí",N($C$11)+74,"")</f>
        <v/>
      </c>
      <c r="C101" s="72" t="str">
        <f aca="false">IF(OR($F$6&lt;&gt;"Sí",D101&lt;=0.5),"",EDATE($C$10,74))</f>
        <v/>
      </c>
      <c r="D101" s="41" t="n">
        <f aca="false">MAX(0,M100)</f>
        <v>0</v>
      </c>
      <c r="E101" s="41" t="n">
        <f aca="false">D101*$F$7</f>
        <v>0</v>
      </c>
      <c r="F101" s="41" t="n">
        <f aca="false">IF(D101&gt;0.5,N($C$15),0)</f>
        <v>0</v>
      </c>
      <c r="G101" s="41" t="n">
        <f aca="false">IF(AND(D101&gt;0.5,N($C$19)&gt;0,N(B101)&lt;=N($C$20)),D101*$F$8,0)</f>
        <v>0</v>
      </c>
      <c r="H101" s="41" t="n">
        <f aca="false">IF(D101&lt;=0.5,0,MIN(IF(N(I101)&gt;0,I101,$F$9),D101+E101+F101))</f>
        <v>0</v>
      </c>
      <c r="I101" s="77"/>
      <c r="J101" s="77"/>
      <c r="K101" s="41" t="n">
        <f aca="false">IF(D101&lt;=0.5,0,MIN(H101+N(J101),D101+E101+F101))</f>
        <v>0</v>
      </c>
      <c r="L101" s="41" t="n">
        <f aca="false">K101-E101-F101</f>
        <v>0</v>
      </c>
      <c r="M101" s="41" t="n">
        <f aca="false">D101-L101</f>
        <v>0</v>
      </c>
      <c r="N101" s="42" t="n">
        <f aca="false">K101-G101</f>
        <v>0</v>
      </c>
      <c r="O101" s="78"/>
      <c r="P101" s="79"/>
      <c r="Q101" s="16" t="str">
        <f aca="false">IF(K101=0,"",IF(R101=1,"Pagada",IF(C101&lt;$F$12,"Vencida",IF(75=$F$13,"Próxima","Pendiente"))))</f>
        <v/>
      </c>
      <c r="R101" s="62" t="n">
        <f aca="false">IF(AND(K101&gt;0,OR(O101="Sí",O101="Si")),1,0)</f>
        <v>0</v>
      </c>
      <c r="S101" s="62" t="n">
        <f aca="false">IF(AND(K101&gt;0,R101=0),1,0)</f>
        <v>0</v>
      </c>
    </row>
    <row r="102" customFormat="false" ht="15" hidden="false" customHeight="false" outlineLevel="0" collapsed="false">
      <c r="B102" s="71" t="str">
        <f aca="false">IF($F$6="Sí",N($C$11)+75,"")</f>
        <v/>
      </c>
      <c r="C102" s="72" t="str">
        <f aca="false">IF(OR($F$6&lt;&gt;"Sí",D102&lt;=0.5),"",EDATE($C$10,75))</f>
        <v/>
      </c>
      <c r="D102" s="41" t="n">
        <f aca="false">MAX(0,M101)</f>
        <v>0</v>
      </c>
      <c r="E102" s="41" t="n">
        <f aca="false">D102*$F$7</f>
        <v>0</v>
      </c>
      <c r="F102" s="41" t="n">
        <f aca="false">IF(D102&gt;0.5,N($C$15),0)</f>
        <v>0</v>
      </c>
      <c r="G102" s="41" t="n">
        <f aca="false">IF(AND(D102&gt;0.5,N($C$19)&gt;0,N(B102)&lt;=N($C$20)),D102*$F$8,0)</f>
        <v>0</v>
      </c>
      <c r="H102" s="41" t="n">
        <f aca="false">IF(D102&lt;=0.5,0,MIN(IF(N(I102)&gt;0,I102,$F$9),D102+E102+F102))</f>
        <v>0</v>
      </c>
      <c r="I102" s="77"/>
      <c r="J102" s="77"/>
      <c r="K102" s="41" t="n">
        <f aca="false">IF(D102&lt;=0.5,0,MIN(H102+N(J102),D102+E102+F102))</f>
        <v>0</v>
      </c>
      <c r="L102" s="41" t="n">
        <f aca="false">K102-E102-F102</f>
        <v>0</v>
      </c>
      <c r="M102" s="41" t="n">
        <f aca="false">D102-L102</f>
        <v>0</v>
      </c>
      <c r="N102" s="42" t="n">
        <f aca="false">K102-G102</f>
        <v>0</v>
      </c>
      <c r="O102" s="78"/>
      <c r="P102" s="79"/>
      <c r="Q102" s="16" t="str">
        <f aca="false">IF(K102=0,"",IF(R102=1,"Pagada",IF(C102&lt;$F$12,"Vencida",IF(76=$F$13,"Próxima","Pendiente"))))</f>
        <v/>
      </c>
      <c r="R102" s="62" t="n">
        <f aca="false">IF(AND(K102&gt;0,OR(O102="Sí",O102="Si")),1,0)</f>
        <v>0</v>
      </c>
      <c r="S102" s="62" t="n">
        <f aca="false">IF(AND(K102&gt;0,R102=0),1,0)</f>
        <v>0</v>
      </c>
    </row>
    <row r="103" customFormat="false" ht="15" hidden="false" customHeight="false" outlineLevel="0" collapsed="false">
      <c r="B103" s="71" t="str">
        <f aca="false">IF($F$6="Sí",N($C$11)+76,"")</f>
        <v/>
      </c>
      <c r="C103" s="72" t="str">
        <f aca="false">IF(OR($F$6&lt;&gt;"Sí",D103&lt;=0.5),"",EDATE($C$10,76))</f>
        <v/>
      </c>
      <c r="D103" s="41" t="n">
        <f aca="false">MAX(0,M102)</f>
        <v>0</v>
      </c>
      <c r="E103" s="41" t="n">
        <f aca="false">D103*$F$7</f>
        <v>0</v>
      </c>
      <c r="F103" s="41" t="n">
        <f aca="false">IF(D103&gt;0.5,N($C$15),0)</f>
        <v>0</v>
      </c>
      <c r="G103" s="41" t="n">
        <f aca="false">IF(AND(D103&gt;0.5,N($C$19)&gt;0,N(B103)&lt;=N($C$20)),D103*$F$8,0)</f>
        <v>0</v>
      </c>
      <c r="H103" s="41" t="n">
        <f aca="false">IF(D103&lt;=0.5,0,MIN(IF(N(I103)&gt;0,I103,$F$9),D103+E103+F103))</f>
        <v>0</v>
      </c>
      <c r="I103" s="77"/>
      <c r="J103" s="77"/>
      <c r="K103" s="41" t="n">
        <f aca="false">IF(D103&lt;=0.5,0,MIN(H103+N(J103),D103+E103+F103))</f>
        <v>0</v>
      </c>
      <c r="L103" s="41" t="n">
        <f aca="false">K103-E103-F103</f>
        <v>0</v>
      </c>
      <c r="M103" s="41" t="n">
        <f aca="false">D103-L103</f>
        <v>0</v>
      </c>
      <c r="N103" s="42" t="n">
        <f aca="false">K103-G103</f>
        <v>0</v>
      </c>
      <c r="O103" s="78"/>
      <c r="P103" s="79"/>
      <c r="Q103" s="16" t="str">
        <f aca="false">IF(K103=0,"",IF(R103=1,"Pagada",IF(C103&lt;$F$12,"Vencida",IF(77=$F$13,"Próxima","Pendiente"))))</f>
        <v/>
      </c>
      <c r="R103" s="62" t="n">
        <f aca="false">IF(AND(K103&gt;0,OR(O103="Sí",O103="Si")),1,0)</f>
        <v>0</v>
      </c>
      <c r="S103" s="62" t="n">
        <f aca="false">IF(AND(K103&gt;0,R103=0),1,0)</f>
        <v>0</v>
      </c>
    </row>
    <row r="104" customFormat="false" ht="15" hidden="false" customHeight="false" outlineLevel="0" collapsed="false">
      <c r="B104" s="71" t="str">
        <f aca="false">IF($F$6="Sí",N($C$11)+77,"")</f>
        <v/>
      </c>
      <c r="C104" s="72" t="str">
        <f aca="false">IF(OR($F$6&lt;&gt;"Sí",D104&lt;=0.5),"",EDATE($C$10,77))</f>
        <v/>
      </c>
      <c r="D104" s="41" t="n">
        <f aca="false">MAX(0,M103)</f>
        <v>0</v>
      </c>
      <c r="E104" s="41" t="n">
        <f aca="false">D104*$F$7</f>
        <v>0</v>
      </c>
      <c r="F104" s="41" t="n">
        <f aca="false">IF(D104&gt;0.5,N($C$15),0)</f>
        <v>0</v>
      </c>
      <c r="G104" s="41" t="n">
        <f aca="false">IF(AND(D104&gt;0.5,N($C$19)&gt;0,N(B104)&lt;=N($C$20)),D104*$F$8,0)</f>
        <v>0</v>
      </c>
      <c r="H104" s="41" t="n">
        <f aca="false">IF(D104&lt;=0.5,0,MIN(IF(N(I104)&gt;0,I104,$F$9),D104+E104+F104))</f>
        <v>0</v>
      </c>
      <c r="I104" s="77"/>
      <c r="J104" s="77"/>
      <c r="K104" s="41" t="n">
        <f aca="false">IF(D104&lt;=0.5,0,MIN(H104+N(J104),D104+E104+F104))</f>
        <v>0</v>
      </c>
      <c r="L104" s="41" t="n">
        <f aca="false">K104-E104-F104</f>
        <v>0</v>
      </c>
      <c r="M104" s="41" t="n">
        <f aca="false">D104-L104</f>
        <v>0</v>
      </c>
      <c r="N104" s="42" t="n">
        <f aca="false">K104-G104</f>
        <v>0</v>
      </c>
      <c r="O104" s="78"/>
      <c r="P104" s="79"/>
      <c r="Q104" s="16" t="str">
        <f aca="false">IF(K104=0,"",IF(R104=1,"Pagada",IF(C104&lt;$F$12,"Vencida",IF(78=$F$13,"Próxima","Pendiente"))))</f>
        <v/>
      </c>
      <c r="R104" s="62" t="n">
        <f aca="false">IF(AND(K104&gt;0,OR(O104="Sí",O104="Si")),1,0)</f>
        <v>0</v>
      </c>
      <c r="S104" s="62" t="n">
        <f aca="false">IF(AND(K104&gt;0,R104=0),1,0)</f>
        <v>0</v>
      </c>
    </row>
    <row r="105" customFormat="false" ht="15" hidden="false" customHeight="false" outlineLevel="0" collapsed="false">
      <c r="B105" s="71" t="str">
        <f aca="false">IF($F$6="Sí",N($C$11)+78,"")</f>
        <v/>
      </c>
      <c r="C105" s="72" t="str">
        <f aca="false">IF(OR($F$6&lt;&gt;"Sí",D105&lt;=0.5),"",EDATE($C$10,78))</f>
        <v/>
      </c>
      <c r="D105" s="41" t="n">
        <f aca="false">MAX(0,M104)</f>
        <v>0</v>
      </c>
      <c r="E105" s="41" t="n">
        <f aca="false">D105*$F$7</f>
        <v>0</v>
      </c>
      <c r="F105" s="41" t="n">
        <f aca="false">IF(D105&gt;0.5,N($C$15),0)</f>
        <v>0</v>
      </c>
      <c r="G105" s="41" t="n">
        <f aca="false">IF(AND(D105&gt;0.5,N($C$19)&gt;0,N(B105)&lt;=N($C$20)),D105*$F$8,0)</f>
        <v>0</v>
      </c>
      <c r="H105" s="41" t="n">
        <f aca="false">IF(D105&lt;=0.5,0,MIN(IF(N(I105)&gt;0,I105,$F$9),D105+E105+F105))</f>
        <v>0</v>
      </c>
      <c r="I105" s="77"/>
      <c r="J105" s="77"/>
      <c r="K105" s="41" t="n">
        <f aca="false">IF(D105&lt;=0.5,0,MIN(H105+N(J105),D105+E105+F105))</f>
        <v>0</v>
      </c>
      <c r="L105" s="41" t="n">
        <f aca="false">K105-E105-F105</f>
        <v>0</v>
      </c>
      <c r="M105" s="41" t="n">
        <f aca="false">D105-L105</f>
        <v>0</v>
      </c>
      <c r="N105" s="42" t="n">
        <f aca="false">K105-G105</f>
        <v>0</v>
      </c>
      <c r="O105" s="78"/>
      <c r="P105" s="79"/>
      <c r="Q105" s="16" t="str">
        <f aca="false">IF(K105=0,"",IF(R105=1,"Pagada",IF(C105&lt;$F$12,"Vencida",IF(79=$F$13,"Próxima","Pendiente"))))</f>
        <v/>
      </c>
      <c r="R105" s="62" t="n">
        <f aca="false">IF(AND(K105&gt;0,OR(O105="Sí",O105="Si")),1,0)</f>
        <v>0</v>
      </c>
      <c r="S105" s="62" t="n">
        <f aca="false">IF(AND(K105&gt;0,R105=0),1,0)</f>
        <v>0</v>
      </c>
    </row>
    <row r="106" customFormat="false" ht="15" hidden="false" customHeight="false" outlineLevel="0" collapsed="false">
      <c r="B106" s="71" t="str">
        <f aca="false">IF($F$6="Sí",N($C$11)+79,"")</f>
        <v/>
      </c>
      <c r="C106" s="72" t="str">
        <f aca="false">IF(OR($F$6&lt;&gt;"Sí",D106&lt;=0.5),"",EDATE($C$10,79))</f>
        <v/>
      </c>
      <c r="D106" s="41" t="n">
        <f aca="false">MAX(0,M105)</f>
        <v>0</v>
      </c>
      <c r="E106" s="41" t="n">
        <f aca="false">D106*$F$7</f>
        <v>0</v>
      </c>
      <c r="F106" s="41" t="n">
        <f aca="false">IF(D106&gt;0.5,N($C$15),0)</f>
        <v>0</v>
      </c>
      <c r="G106" s="41" t="n">
        <f aca="false">IF(AND(D106&gt;0.5,N($C$19)&gt;0,N(B106)&lt;=N($C$20)),D106*$F$8,0)</f>
        <v>0</v>
      </c>
      <c r="H106" s="41" t="n">
        <f aca="false">IF(D106&lt;=0.5,0,MIN(IF(N(I106)&gt;0,I106,$F$9),D106+E106+F106))</f>
        <v>0</v>
      </c>
      <c r="I106" s="77"/>
      <c r="J106" s="77"/>
      <c r="K106" s="41" t="n">
        <f aca="false">IF(D106&lt;=0.5,0,MIN(H106+N(J106),D106+E106+F106))</f>
        <v>0</v>
      </c>
      <c r="L106" s="41" t="n">
        <f aca="false">K106-E106-F106</f>
        <v>0</v>
      </c>
      <c r="M106" s="41" t="n">
        <f aca="false">D106-L106</f>
        <v>0</v>
      </c>
      <c r="N106" s="42" t="n">
        <f aca="false">K106-G106</f>
        <v>0</v>
      </c>
      <c r="O106" s="78"/>
      <c r="P106" s="79"/>
      <c r="Q106" s="16" t="str">
        <f aca="false">IF(K106=0,"",IF(R106=1,"Pagada",IF(C106&lt;$F$12,"Vencida",IF(80=$F$13,"Próxima","Pendiente"))))</f>
        <v/>
      </c>
      <c r="R106" s="62" t="n">
        <f aca="false">IF(AND(K106&gt;0,OR(O106="Sí",O106="Si")),1,0)</f>
        <v>0</v>
      </c>
      <c r="S106" s="62" t="n">
        <f aca="false">IF(AND(K106&gt;0,R106=0),1,0)</f>
        <v>0</v>
      </c>
    </row>
    <row r="107" customFormat="false" ht="15" hidden="false" customHeight="false" outlineLevel="0" collapsed="false">
      <c r="B107" s="71" t="str">
        <f aca="false">IF($F$6="Sí",N($C$11)+80,"")</f>
        <v/>
      </c>
      <c r="C107" s="72" t="str">
        <f aca="false">IF(OR($F$6&lt;&gt;"Sí",D107&lt;=0.5),"",EDATE($C$10,80))</f>
        <v/>
      </c>
      <c r="D107" s="41" t="n">
        <f aca="false">MAX(0,M106)</f>
        <v>0</v>
      </c>
      <c r="E107" s="41" t="n">
        <f aca="false">D107*$F$7</f>
        <v>0</v>
      </c>
      <c r="F107" s="41" t="n">
        <f aca="false">IF(D107&gt;0.5,N($C$15),0)</f>
        <v>0</v>
      </c>
      <c r="G107" s="41" t="n">
        <f aca="false">IF(AND(D107&gt;0.5,N($C$19)&gt;0,N(B107)&lt;=N($C$20)),D107*$F$8,0)</f>
        <v>0</v>
      </c>
      <c r="H107" s="41" t="n">
        <f aca="false">IF(D107&lt;=0.5,0,MIN(IF(N(I107)&gt;0,I107,$F$9),D107+E107+F107))</f>
        <v>0</v>
      </c>
      <c r="I107" s="77"/>
      <c r="J107" s="77"/>
      <c r="K107" s="41" t="n">
        <f aca="false">IF(D107&lt;=0.5,0,MIN(H107+N(J107),D107+E107+F107))</f>
        <v>0</v>
      </c>
      <c r="L107" s="41" t="n">
        <f aca="false">K107-E107-F107</f>
        <v>0</v>
      </c>
      <c r="M107" s="41" t="n">
        <f aca="false">D107-L107</f>
        <v>0</v>
      </c>
      <c r="N107" s="42" t="n">
        <f aca="false">K107-G107</f>
        <v>0</v>
      </c>
      <c r="O107" s="78"/>
      <c r="P107" s="79"/>
      <c r="Q107" s="16" t="str">
        <f aca="false">IF(K107=0,"",IF(R107=1,"Pagada",IF(C107&lt;$F$12,"Vencida",IF(81=$F$13,"Próxima","Pendiente"))))</f>
        <v/>
      </c>
      <c r="R107" s="62" t="n">
        <f aca="false">IF(AND(K107&gt;0,OR(O107="Sí",O107="Si")),1,0)</f>
        <v>0</v>
      </c>
      <c r="S107" s="62" t="n">
        <f aca="false">IF(AND(K107&gt;0,R107=0),1,0)</f>
        <v>0</v>
      </c>
    </row>
    <row r="108" customFormat="false" ht="15" hidden="false" customHeight="false" outlineLevel="0" collapsed="false">
      <c r="B108" s="71" t="str">
        <f aca="false">IF($F$6="Sí",N($C$11)+81,"")</f>
        <v/>
      </c>
      <c r="C108" s="72" t="str">
        <f aca="false">IF(OR($F$6&lt;&gt;"Sí",D108&lt;=0.5),"",EDATE($C$10,81))</f>
        <v/>
      </c>
      <c r="D108" s="41" t="n">
        <f aca="false">MAX(0,M107)</f>
        <v>0</v>
      </c>
      <c r="E108" s="41" t="n">
        <f aca="false">D108*$F$7</f>
        <v>0</v>
      </c>
      <c r="F108" s="41" t="n">
        <f aca="false">IF(D108&gt;0.5,N($C$15),0)</f>
        <v>0</v>
      </c>
      <c r="G108" s="41" t="n">
        <f aca="false">IF(AND(D108&gt;0.5,N($C$19)&gt;0,N(B108)&lt;=N($C$20)),D108*$F$8,0)</f>
        <v>0</v>
      </c>
      <c r="H108" s="41" t="n">
        <f aca="false">IF(D108&lt;=0.5,0,MIN(IF(N(I108)&gt;0,I108,$F$9),D108+E108+F108))</f>
        <v>0</v>
      </c>
      <c r="I108" s="77"/>
      <c r="J108" s="77"/>
      <c r="K108" s="41" t="n">
        <f aca="false">IF(D108&lt;=0.5,0,MIN(H108+N(J108),D108+E108+F108))</f>
        <v>0</v>
      </c>
      <c r="L108" s="41" t="n">
        <f aca="false">K108-E108-F108</f>
        <v>0</v>
      </c>
      <c r="M108" s="41" t="n">
        <f aca="false">D108-L108</f>
        <v>0</v>
      </c>
      <c r="N108" s="42" t="n">
        <f aca="false">K108-G108</f>
        <v>0</v>
      </c>
      <c r="O108" s="78"/>
      <c r="P108" s="79"/>
      <c r="Q108" s="16" t="str">
        <f aca="false">IF(K108=0,"",IF(R108=1,"Pagada",IF(C108&lt;$F$12,"Vencida",IF(82=$F$13,"Próxima","Pendiente"))))</f>
        <v/>
      </c>
      <c r="R108" s="62" t="n">
        <f aca="false">IF(AND(K108&gt;0,OR(O108="Sí",O108="Si")),1,0)</f>
        <v>0</v>
      </c>
      <c r="S108" s="62" t="n">
        <f aca="false">IF(AND(K108&gt;0,R108=0),1,0)</f>
        <v>0</v>
      </c>
    </row>
    <row r="109" customFormat="false" ht="15" hidden="false" customHeight="false" outlineLevel="0" collapsed="false">
      <c r="B109" s="71" t="str">
        <f aca="false">IF($F$6="Sí",N($C$11)+82,"")</f>
        <v/>
      </c>
      <c r="C109" s="72" t="str">
        <f aca="false">IF(OR($F$6&lt;&gt;"Sí",D109&lt;=0.5),"",EDATE($C$10,82))</f>
        <v/>
      </c>
      <c r="D109" s="41" t="n">
        <f aca="false">MAX(0,M108)</f>
        <v>0</v>
      </c>
      <c r="E109" s="41" t="n">
        <f aca="false">D109*$F$7</f>
        <v>0</v>
      </c>
      <c r="F109" s="41" t="n">
        <f aca="false">IF(D109&gt;0.5,N($C$15),0)</f>
        <v>0</v>
      </c>
      <c r="G109" s="41" t="n">
        <f aca="false">IF(AND(D109&gt;0.5,N($C$19)&gt;0,N(B109)&lt;=N($C$20)),D109*$F$8,0)</f>
        <v>0</v>
      </c>
      <c r="H109" s="41" t="n">
        <f aca="false">IF(D109&lt;=0.5,0,MIN(IF(N(I109)&gt;0,I109,$F$9),D109+E109+F109))</f>
        <v>0</v>
      </c>
      <c r="I109" s="77"/>
      <c r="J109" s="77"/>
      <c r="K109" s="41" t="n">
        <f aca="false">IF(D109&lt;=0.5,0,MIN(H109+N(J109),D109+E109+F109))</f>
        <v>0</v>
      </c>
      <c r="L109" s="41" t="n">
        <f aca="false">K109-E109-F109</f>
        <v>0</v>
      </c>
      <c r="M109" s="41" t="n">
        <f aca="false">D109-L109</f>
        <v>0</v>
      </c>
      <c r="N109" s="42" t="n">
        <f aca="false">K109-G109</f>
        <v>0</v>
      </c>
      <c r="O109" s="78"/>
      <c r="P109" s="79"/>
      <c r="Q109" s="16" t="str">
        <f aca="false">IF(K109=0,"",IF(R109=1,"Pagada",IF(C109&lt;$F$12,"Vencida",IF(83=$F$13,"Próxima","Pendiente"))))</f>
        <v/>
      </c>
      <c r="R109" s="62" t="n">
        <f aca="false">IF(AND(K109&gt;0,OR(O109="Sí",O109="Si")),1,0)</f>
        <v>0</v>
      </c>
      <c r="S109" s="62" t="n">
        <f aca="false">IF(AND(K109&gt;0,R109=0),1,0)</f>
        <v>0</v>
      </c>
    </row>
    <row r="110" customFormat="false" ht="15" hidden="false" customHeight="false" outlineLevel="0" collapsed="false">
      <c r="B110" s="71" t="str">
        <f aca="false">IF($F$6="Sí",N($C$11)+83,"")</f>
        <v/>
      </c>
      <c r="C110" s="72" t="str">
        <f aca="false">IF(OR($F$6&lt;&gt;"Sí",D110&lt;=0.5),"",EDATE($C$10,83))</f>
        <v/>
      </c>
      <c r="D110" s="41" t="n">
        <f aca="false">MAX(0,M109)</f>
        <v>0</v>
      </c>
      <c r="E110" s="41" t="n">
        <f aca="false">D110*$F$7</f>
        <v>0</v>
      </c>
      <c r="F110" s="41" t="n">
        <f aca="false">IF(D110&gt;0.5,N($C$15),0)</f>
        <v>0</v>
      </c>
      <c r="G110" s="41" t="n">
        <f aca="false">IF(AND(D110&gt;0.5,N($C$19)&gt;0,N(B110)&lt;=N($C$20)),D110*$F$8,0)</f>
        <v>0</v>
      </c>
      <c r="H110" s="41" t="n">
        <f aca="false">IF(D110&lt;=0.5,0,MIN(IF(N(I110)&gt;0,I110,$F$9),D110+E110+F110))</f>
        <v>0</v>
      </c>
      <c r="I110" s="77"/>
      <c r="J110" s="77"/>
      <c r="K110" s="41" t="n">
        <f aca="false">IF(D110&lt;=0.5,0,MIN(H110+N(J110),D110+E110+F110))</f>
        <v>0</v>
      </c>
      <c r="L110" s="41" t="n">
        <f aca="false">K110-E110-F110</f>
        <v>0</v>
      </c>
      <c r="M110" s="41" t="n">
        <f aca="false">D110-L110</f>
        <v>0</v>
      </c>
      <c r="N110" s="42" t="n">
        <f aca="false">K110-G110</f>
        <v>0</v>
      </c>
      <c r="O110" s="78"/>
      <c r="P110" s="79"/>
      <c r="Q110" s="16" t="str">
        <f aca="false">IF(K110=0,"",IF(R110=1,"Pagada",IF(C110&lt;$F$12,"Vencida",IF(84=$F$13,"Próxima","Pendiente"))))</f>
        <v/>
      </c>
      <c r="R110" s="62" t="n">
        <f aca="false">IF(AND(K110&gt;0,OR(O110="Sí",O110="Si")),1,0)</f>
        <v>0</v>
      </c>
      <c r="S110" s="62" t="n">
        <f aca="false">IF(AND(K110&gt;0,R110=0),1,0)</f>
        <v>0</v>
      </c>
    </row>
    <row r="111" customFormat="false" ht="15" hidden="false" customHeight="false" outlineLevel="0" collapsed="false">
      <c r="B111" s="71" t="str">
        <f aca="false">IF($F$6="Sí",N($C$11)+84,"")</f>
        <v/>
      </c>
      <c r="C111" s="72" t="str">
        <f aca="false">IF(OR($F$6&lt;&gt;"Sí",D111&lt;=0.5),"",EDATE($C$10,84))</f>
        <v/>
      </c>
      <c r="D111" s="41" t="n">
        <f aca="false">MAX(0,M110)</f>
        <v>0</v>
      </c>
      <c r="E111" s="41" t="n">
        <f aca="false">D111*$F$7</f>
        <v>0</v>
      </c>
      <c r="F111" s="41" t="n">
        <f aca="false">IF(D111&gt;0.5,N($C$15),0)</f>
        <v>0</v>
      </c>
      <c r="G111" s="41" t="n">
        <f aca="false">IF(AND(D111&gt;0.5,N($C$19)&gt;0,N(B111)&lt;=N($C$20)),D111*$F$8,0)</f>
        <v>0</v>
      </c>
      <c r="H111" s="41" t="n">
        <f aca="false">IF(D111&lt;=0.5,0,MIN(IF(N(I111)&gt;0,I111,$F$9),D111+E111+F111))</f>
        <v>0</v>
      </c>
      <c r="I111" s="77"/>
      <c r="J111" s="77"/>
      <c r="K111" s="41" t="n">
        <f aca="false">IF(D111&lt;=0.5,0,MIN(H111+N(J111),D111+E111+F111))</f>
        <v>0</v>
      </c>
      <c r="L111" s="41" t="n">
        <f aca="false">K111-E111-F111</f>
        <v>0</v>
      </c>
      <c r="M111" s="41" t="n">
        <f aca="false">D111-L111</f>
        <v>0</v>
      </c>
      <c r="N111" s="42" t="n">
        <f aca="false">K111-G111</f>
        <v>0</v>
      </c>
      <c r="O111" s="78"/>
      <c r="P111" s="79"/>
      <c r="Q111" s="16" t="str">
        <f aca="false">IF(K111=0,"",IF(R111=1,"Pagada",IF(C111&lt;$F$12,"Vencida",IF(85=$F$13,"Próxima","Pendiente"))))</f>
        <v/>
      </c>
      <c r="R111" s="62" t="n">
        <f aca="false">IF(AND(K111&gt;0,OR(O111="Sí",O111="Si")),1,0)</f>
        <v>0</v>
      </c>
      <c r="S111" s="62" t="n">
        <f aca="false">IF(AND(K111&gt;0,R111=0),1,0)</f>
        <v>0</v>
      </c>
    </row>
    <row r="112" customFormat="false" ht="15" hidden="false" customHeight="false" outlineLevel="0" collapsed="false">
      <c r="B112" s="71" t="str">
        <f aca="false">IF($F$6="Sí",N($C$11)+85,"")</f>
        <v/>
      </c>
      <c r="C112" s="72" t="str">
        <f aca="false">IF(OR($F$6&lt;&gt;"Sí",D112&lt;=0.5),"",EDATE($C$10,85))</f>
        <v/>
      </c>
      <c r="D112" s="41" t="n">
        <f aca="false">MAX(0,M111)</f>
        <v>0</v>
      </c>
      <c r="E112" s="41" t="n">
        <f aca="false">D112*$F$7</f>
        <v>0</v>
      </c>
      <c r="F112" s="41" t="n">
        <f aca="false">IF(D112&gt;0.5,N($C$15),0)</f>
        <v>0</v>
      </c>
      <c r="G112" s="41" t="n">
        <f aca="false">IF(AND(D112&gt;0.5,N($C$19)&gt;0,N(B112)&lt;=N($C$20)),D112*$F$8,0)</f>
        <v>0</v>
      </c>
      <c r="H112" s="41" t="n">
        <f aca="false">IF(D112&lt;=0.5,0,MIN(IF(N(I112)&gt;0,I112,$F$9),D112+E112+F112))</f>
        <v>0</v>
      </c>
      <c r="I112" s="77"/>
      <c r="J112" s="77"/>
      <c r="K112" s="41" t="n">
        <f aca="false">IF(D112&lt;=0.5,0,MIN(H112+N(J112),D112+E112+F112))</f>
        <v>0</v>
      </c>
      <c r="L112" s="41" t="n">
        <f aca="false">K112-E112-F112</f>
        <v>0</v>
      </c>
      <c r="M112" s="41" t="n">
        <f aca="false">D112-L112</f>
        <v>0</v>
      </c>
      <c r="N112" s="42" t="n">
        <f aca="false">K112-G112</f>
        <v>0</v>
      </c>
      <c r="O112" s="78"/>
      <c r="P112" s="79"/>
      <c r="Q112" s="16" t="str">
        <f aca="false">IF(K112=0,"",IF(R112=1,"Pagada",IF(C112&lt;$F$12,"Vencida",IF(86=$F$13,"Próxima","Pendiente"))))</f>
        <v/>
      </c>
      <c r="R112" s="62" t="n">
        <f aca="false">IF(AND(K112&gt;0,OR(O112="Sí",O112="Si")),1,0)</f>
        <v>0</v>
      </c>
      <c r="S112" s="62" t="n">
        <f aca="false">IF(AND(K112&gt;0,R112=0),1,0)</f>
        <v>0</v>
      </c>
    </row>
    <row r="113" customFormat="false" ht="15" hidden="false" customHeight="false" outlineLevel="0" collapsed="false">
      <c r="B113" s="71" t="str">
        <f aca="false">IF($F$6="Sí",N($C$11)+86,"")</f>
        <v/>
      </c>
      <c r="C113" s="72" t="str">
        <f aca="false">IF(OR($F$6&lt;&gt;"Sí",D113&lt;=0.5),"",EDATE($C$10,86))</f>
        <v/>
      </c>
      <c r="D113" s="41" t="n">
        <f aca="false">MAX(0,M112)</f>
        <v>0</v>
      </c>
      <c r="E113" s="41" t="n">
        <f aca="false">D113*$F$7</f>
        <v>0</v>
      </c>
      <c r="F113" s="41" t="n">
        <f aca="false">IF(D113&gt;0.5,N($C$15),0)</f>
        <v>0</v>
      </c>
      <c r="G113" s="41" t="n">
        <f aca="false">IF(AND(D113&gt;0.5,N($C$19)&gt;0,N(B113)&lt;=N($C$20)),D113*$F$8,0)</f>
        <v>0</v>
      </c>
      <c r="H113" s="41" t="n">
        <f aca="false">IF(D113&lt;=0.5,0,MIN(IF(N(I113)&gt;0,I113,$F$9),D113+E113+F113))</f>
        <v>0</v>
      </c>
      <c r="I113" s="77"/>
      <c r="J113" s="77"/>
      <c r="K113" s="41" t="n">
        <f aca="false">IF(D113&lt;=0.5,0,MIN(H113+N(J113),D113+E113+F113))</f>
        <v>0</v>
      </c>
      <c r="L113" s="41" t="n">
        <f aca="false">K113-E113-F113</f>
        <v>0</v>
      </c>
      <c r="M113" s="41" t="n">
        <f aca="false">D113-L113</f>
        <v>0</v>
      </c>
      <c r="N113" s="42" t="n">
        <f aca="false">K113-G113</f>
        <v>0</v>
      </c>
      <c r="O113" s="78"/>
      <c r="P113" s="79"/>
      <c r="Q113" s="16" t="str">
        <f aca="false">IF(K113=0,"",IF(R113=1,"Pagada",IF(C113&lt;$F$12,"Vencida",IF(87=$F$13,"Próxima","Pendiente"))))</f>
        <v/>
      </c>
      <c r="R113" s="62" t="n">
        <f aca="false">IF(AND(K113&gt;0,OR(O113="Sí",O113="Si")),1,0)</f>
        <v>0</v>
      </c>
      <c r="S113" s="62" t="n">
        <f aca="false">IF(AND(K113&gt;0,R113=0),1,0)</f>
        <v>0</v>
      </c>
    </row>
    <row r="114" customFormat="false" ht="15" hidden="false" customHeight="false" outlineLevel="0" collapsed="false">
      <c r="B114" s="71" t="str">
        <f aca="false">IF($F$6="Sí",N($C$11)+87,"")</f>
        <v/>
      </c>
      <c r="C114" s="72" t="str">
        <f aca="false">IF(OR($F$6&lt;&gt;"Sí",D114&lt;=0.5),"",EDATE($C$10,87))</f>
        <v/>
      </c>
      <c r="D114" s="41" t="n">
        <f aca="false">MAX(0,M113)</f>
        <v>0</v>
      </c>
      <c r="E114" s="41" t="n">
        <f aca="false">D114*$F$7</f>
        <v>0</v>
      </c>
      <c r="F114" s="41" t="n">
        <f aca="false">IF(D114&gt;0.5,N($C$15),0)</f>
        <v>0</v>
      </c>
      <c r="G114" s="41" t="n">
        <f aca="false">IF(AND(D114&gt;0.5,N($C$19)&gt;0,N(B114)&lt;=N($C$20)),D114*$F$8,0)</f>
        <v>0</v>
      </c>
      <c r="H114" s="41" t="n">
        <f aca="false">IF(D114&lt;=0.5,0,MIN(IF(N(I114)&gt;0,I114,$F$9),D114+E114+F114))</f>
        <v>0</v>
      </c>
      <c r="I114" s="77"/>
      <c r="J114" s="77"/>
      <c r="K114" s="41" t="n">
        <f aca="false">IF(D114&lt;=0.5,0,MIN(H114+N(J114),D114+E114+F114))</f>
        <v>0</v>
      </c>
      <c r="L114" s="41" t="n">
        <f aca="false">K114-E114-F114</f>
        <v>0</v>
      </c>
      <c r="M114" s="41" t="n">
        <f aca="false">D114-L114</f>
        <v>0</v>
      </c>
      <c r="N114" s="42" t="n">
        <f aca="false">K114-G114</f>
        <v>0</v>
      </c>
      <c r="O114" s="78"/>
      <c r="P114" s="79"/>
      <c r="Q114" s="16" t="str">
        <f aca="false">IF(K114=0,"",IF(R114=1,"Pagada",IF(C114&lt;$F$12,"Vencida",IF(88=$F$13,"Próxima","Pendiente"))))</f>
        <v/>
      </c>
      <c r="R114" s="62" t="n">
        <f aca="false">IF(AND(K114&gt;0,OR(O114="Sí",O114="Si")),1,0)</f>
        <v>0</v>
      </c>
      <c r="S114" s="62" t="n">
        <f aca="false">IF(AND(K114&gt;0,R114=0),1,0)</f>
        <v>0</v>
      </c>
    </row>
    <row r="115" customFormat="false" ht="15" hidden="false" customHeight="false" outlineLevel="0" collapsed="false">
      <c r="B115" s="71" t="str">
        <f aca="false">IF($F$6="Sí",N($C$11)+88,"")</f>
        <v/>
      </c>
      <c r="C115" s="72" t="str">
        <f aca="false">IF(OR($F$6&lt;&gt;"Sí",D115&lt;=0.5),"",EDATE($C$10,88))</f>
        <v/>
      </c>
      <c r="D115" s="41" t="n">
        <f aca="false">MAX(0,M114)</f>
        <v>0</v>
      </c>
      <c r="E115" s="41" t="n">
        <f aca="false">D115*$F$7</f>
        <v>0</v>
      </c>
      <c r="F115" s="41" t="n">
        <f aca="false">IF(D115&gt;0.5,N($C$15),0)</f>
        <v>0</v>
      </c>
      <c r="G115" s="41" t="n">
        <f aca="false">IF(AND(D115&gt;0.5,N($C$19)&gt;0,N(B115)&lt;=N($C$20)),D115*$F$8,0)</f>
        <v>0</v>
      </c>
      <c r="H115" s="41" t="n">
        <f aca="false">IF(D115&lt;=0.5,0,MIN(IF(N(I115)&gt;0,I115,$F$9),D115+E115+F115))</f>
        <v>0</v>
      </c>
      <c r="I115" s="77"/>
      <c r="J115" s="77"/>
      <c r="K115" s="41" t="n">
        <f aca="false">IF(D115&lt;=0.5,0,MIN(H115+N(J115),D115+E115+F115))</f>
        <v>0</v>
      </c>
      <c r="L115" s="41" t="n">
        <f aca="false">K115-E115-F115</f>
        <v>0</v>
      </c>
      <c r="M115" s="41" t="n">
        <f aca="false">D115-L115</f>
        <v>0</v>
      </c>
      <c r="N115" s="42" t="n">
        <f aca="false">K115-G115</f>
        <v>0</v>
      </c>
      <c r="O115" s="78"/>
      <c r="P115" s="79"/>
      <c r="Q115" s="16" t="str">
        <f aca="false">IF(K115=0,"",IF(R115=1,"Pagada",IF(C115&lt;$F$12,"Vencida",IF(89=$F$13,"Próxima","Pendiente"))))</f>
        <v/>
      </c>
      <c r="R115" s="62" t="n">
        <f aca="false">IF(AND(K115&gt;0,OR(O115="Sí",O115="Si")),1,0)</f>
        <v>0</v>
      </c>
      <c r="S115" s="62" t="n">
        <f aca="false">IF(AND(K115&gt;0,R115=0),1,0)</f>
        <v>0</v>
      </c>
    </row>
    <row r="116" customFormat="false" ht="15" hidden="false" customHeight="false" outlineLevel="0" collapsed="false">
      <c r="B116" s="71" t="str">
        <f aca="false">IF($F$6="Sí",N($C$11)+89,"")</f>
        <v/>
      </c>
      <c r="C116" s="72" t="str">
        <f aca="false">IF(OR($F$6&lt;&gt;"Sí",D116&lt;=0.5),"",EDATE($C$10,89))</f>
        <v/>
      </c>
      <c r="D116" s="41" t="n">
        <f aca="false">MAX(0,M115)</f>
        <v>0</v>
      </c>
      <c r="E116" s="41" t="n">
        <f aca="false">D116*$F$7</f>
        <v>0</v>
      </c>
      <c r="F116" s="41" t="n">
        <f aca="false">IF(D116&gt;0.5,N($C$15),0)</f>
        <v>0</v>
      </c>
      <c r="G116" s="41" t="n">
        <f aca="false">IF(AND(D116&gt;0.5,N($C$19)&gt;0,N(B116)&lt;=N($C$20)),D116*$F$8,0)</f>
        <v>0</v>
      </c>
      <c r="H116" s="41" t="n">
        <f aca="false">IF(D116&lt;=0.5,0,MIN(IF(N(I116)&gt;0,I116,$F$9),D116+E116+F116))</f>
        <v>0</v>
      </c>
      <c r="I116" s="77"/>
      <c r="J116" s="77"/>
      <c r="K116" s="41" t="n">
        <f aca="false">IF(D116&lt;=0.5,0,MIN(H116+N(J116),D116+E116+F116))</f>
        <v>0</v>
      </c>
      <c r="L116" s="41" t="n">
        <f aca="false">K116-E116-F116</f>
        <v>0</v>
      </c>
      <c r="M116" s="41" t="n">
        <f aca="false">D116-L116</f>
        <v>0</v>
      </c>
      <c r="N116" s="42" t="n">
        <f aca="false">K116-G116</f>
        <v>0</v>
      </c>
      <c r="O116" s="78"/>
      <c r="P116" s="79"/>
      <c r="Q116" s="16" t="str">
        <f aca="false">IF(K116=0,"",IF(R116=1,"Pagada",IF(C116&lt;$F$12,"Vencida",IF(90=$F$13,"Próxima","Pendiente"))))</f>
        <v/>
      </c>
      <c r="R116" s="62" t="n">
        <f aca="false">IF(AND(K116&gt;0,OR(O116="Sí",O116="Si")),1,0)</f>
        <v>0</v>
      </c>
      <c r="S116" s="62" t="n">
        <f aca="false">IF(AND(K116&gt;0,R116=0),1,0)</f>
        <v>0</v>
      </c>
    </row>
    <row r="117" customFormat="false" ht="15" hidden="false" customHeight="false" outlineLevel="0" collapsed="false">
      <c r="B117" s="71" t="str">
        <f aca="false">IF($F$6="Sí",N($C$11)+90,"")</f>
        <v/>
      </c>
      <c r="C117" s="72" t="str">
        <f aca="false">IF(OR($F$6&lt;&gt;"Sí",D117&lt;=0.5),"",EDATE($C$10,90))</f>
        <v/>
      </c>
      <c r="D117" s="41" t="n">
        <f aca="false">MAX(0,M116)</f>
        <v>0</v>
      </c>
      <c r="E117" s="41" t="n">
        <f aca="false">D117*$F$7</f>
        <v>0</v>
      </c>
      <c r="F117" s="41" t="n">
        <f aca="false">IF(D117&gt;0.5,N($C$15),0)</f>
        <v>0</v>
      </c>
      <c r="G117" s="41" t="n">
        <f aca="false">IF(AND(D117&gt;0.5,N($C$19)&gt;0,N(B117)&lt;=N($C$20)),D117*$F$8,0)</f>
        <v>0</v>
      </c>
      <c r="H117" s="41" t="n">
        <f aca="false">IF(D117&lt;=0.5,0,MIN(IF(N(I117)&gt;0,I117,$F$9),D117+E117+F117))</f>
        <v>0</v>
      </c>
      <c r="I117" s="77"/>
      <c r="J117" s="77"/>
      <c r="K117" s="41" t="n">
        <f aca="false">IF(D117&lt;=0.5,0,MIN(H117+N(J117),D117+E117+F117))</f>
        <v>0</v>
      </c>
      <c r="L117" s="41" t="n">
        <f aca="false">K117-E117-F117</f>
        <v>0</v>
      </c>
      <c r="M117" s="41" t="n">
        <f aca="false">D117-L117</f>
        <v>0</v>
      </c>
      <c r="N117" s="42" t="n">
        <f aca="false">K117-G117</f>
        <v>0</v>
      </c>
      <c r="O117" s="78"/>
      <c r="P117" s="79"/>
      <c r="Q117" s="16" t="str">
        <f aca="false">IF(K117=0,"",IF(R117=1,"Pagada",IF(C117&lt;$F$12,"Vencida",IF(91=$F$13,"Próxima","Pendiente"))))</f>
        <v/>
      </c>
      <c r="R117" s="62" t="n">
        <f aca="false">IF(AND(K117&gt;0,OR(O117="Sí",O117="Si")),1,0)</f>
        <v>0</v>
      </c>
      <c r="S117" s="62" t="n">
        <f aca="false">IF(AND(K117&gt;0,R117=0),1,0)</f>
        <v>0</v>
      </c>
    </row>
    <row r="118" customFormat="false" ht="15" hidden="false" customHeight="false" outlineLevel="0" collapsed="false">
      <c r="B118" s="71" t="str">
        <f aca="false">IF($F$6="Sí",N($C$11)+91,"")</f>
        <v/>
      </c>
      <c r="C118" s="72" t="str">
        <f aca="false">IF(OR($F$6&lt;&gt;"Sí",D118&lt;=0.5),"",EDATE($C$10,91))</f>
        <v/>
      </c>
      <c r="D118" s="41" t="n">
        <f aca="false">MAX(0,M117)</f>
        <v>0</v>
      </c>
      <c r="E118" s="41" t="n">
        <f aca="false">D118*$F$7</f>
        <v>0</v>
      </c>
      <c r="F118" s="41" t="n">
        <f aca="false">IF(D118&gt;0.5,N($C$15),0)</f>
        <v>0</v>
      </c>
      <c r="G118" s="41" t="n">
        <f aca="false">IF(AND(D118&gt;0.5,N($C$19)&gt;0,N(B118)&lt;=N($C$20)),D118*$F$8,0)</f>
        <v>0</v>
      </c>
      <c r="H118" s="41" t="n">
        <f aca="false">IF(D118&lt;=0.5,0,MIN(IF(N(I118)&gt;0,I118,$F$9),D118+E118+F118))</f>
        <v>0</v>
      </c>
      <c r="I118" s="77"/>
      <c r="J118" s="77"/>
      <c r="K118" s="41" t="n">
        <f aca="false">IF(D118&lt;=0.5,0,MIN(H118+N(J118),D118+E118+F118))</f>
        <v>0</v>
      </c>
      <c r="L118" s="41" t="n">
        <f aca="false">K118-E118-F118</f>
        <v>0</v>
      </c>
      <c r="M118" s="41" t="n">
        <f aca="false">D118-L118</f>
        <v>0</v>
      </c>
      <c r="N118" s="42" t="n">
        <f aca="false">K118-G118</f>
        <v>0</v>
      </c>
      <c r="O118" s="78"/>
      <c r="P118" s="79"/>
      <c r="Q118" s="16" t="str">
        <f aca="false">IF(K118=0,"",IF(R118=1,"Pagada",IF(C118&lt;$F$12,"Vencida",IF(92=$F$13,"Próxima","Pendiente"))))</f>
        <v/>
      </c>
      <c r="R118" s="62" t="n">
        <f aca="false">IF(AND(K118&gt;0,OR(O118="Sí",O118="Si")),1,0)</f>
        <v>0</v>
      </c>
      <c r="S118" s="62" t="n">
        <f aca="false">IF(AND(K118&gt;0,R118=0),1,0)</f>
        <v>0</v>
      </c>
    </row>
    <row r="119" customFormat="false" ht="15" hidden="false" customHeight="false" outlineLevel="0" collapsed="false">
      <c r="B119" s="71" t="str">
        <f aca="false">IF($F$6="Sí",N($C$11)+92,"")</f>
        <v/>
      </c>
      <c r="C119" s="72" t="str">
        <f aca="false">IF(OR($F$6&lt;&gt;"Sí",D119&lt;=0.5),"",EDATE($C$10,92))</f>
        <v/>
      </c>
      <c r="D119" s="41" t="n">
        <f aca="false">MAX(0,M118)</f>
        <v>0</v>
      </c>
      <c r="E119" s="41" t="n">
        <f aca="false">D119*$F$7</f>
        <v>0</v>
      </c>
      <c r="F119" s="41" t="n">
        <f aca="false">IF(D119&gt;0.5,N($C$15),0)</f>
        <v>0</v>
      </c>
      <c r="G119" s="41" t="n">
        <f aca="false">IF(AND(D119&gt;0.5,N($C$19)&gt;0,N(B119)&lt;=N($C$20)),D119*$F$8,0)</f>
        <v>0</v>
      </c>
      <c r="H119" s="41" t="n">
        <f aca="false">IF(D119&lt;=0.5,0,MIN(IF(N(I119)&gt;0,I119,$F$9),D119+E119+F119))</f>
        <v>0</v>
      </c>
      <c r="I119" s="77"/>
      <c r="J119" s="77"/>
      <c r="K119" s="41" t="n">
        <f aca="false">IF(D119&lt;=0.5,0,MIN(H119+N(J119),D119+E119+F119))</f>
        <v>0</v>
      </c>
      <c r="L119" s="41" t="n">
        <f aca="false">K119-E119-F119</f>
        <v>0</v>
      </c>
      <c r="M119" s="41" t="n">
        <f aca="false">D119-L119</f>
        <v>0</v>
      </c>
      <c r="N119" s="42" t="n">
        <f aca="false">K119-G119</f>
        <v>0</v>
      </c>
      <c r="O119" s="78"/>
      <c r="P119" s="79"/>
      <c r="Q119" s="16" t="str">
        <f aca="false">IF(K119=0,"",IF(R119=1,"Pagada",IF(C119&lt;$F$12,"Vencida",IF(93=$F$13,"Próxima","Pendiente"))))</f>
        <v/>
      </c>
      <c r="R119" s="62" t="n">
        <f aca="false">IF(AND(K119&gt;0,OR(O119="Sí",O119="Si")),1,0)</f>
        <v>0</v>
      </c>
      <c r="S119" s="62" t="n">
        <f aca="false">IF(AND(K119&gt;0,R119=0),1,0)</f>
        <v>0</v>
      </c>
    </row>
    <row r="120" customFormat="false" ht="15" hidden="false" customHeight="false" outlineLevel="0" collapsed="false">
      <c r="B120" s="71" t="str">
        <f aca="false">IF($F$6="Sí",N($C$11)+93,"")</f>
        <v/>
      </c>
      <c r="C120" s="72" t="str">
        <f aca="false">IF(OR($F$6&lt;&gt;"Sí",D120&lt;=0.5),"",EDATE($C$10,93))</f>
        <v/>
      </c>
      <c r="D120" s="41" t="n">
        <f aca="false">MAX(0,M119)</f>
        <v>0</v>
      </c>
      <c r="E120" s="41" t="n">
        <f aca="false">D120*$F$7</f>
        <v>0</v>
      </c>
      <c r="F120" s="41" t="n">
        <f aca="false">IF(D120&gt;0.5,N($C$15),0)</f>
        <v>0</v>
      </c>
      <c r="G120" s="41" t="n">
        <f aca="false">IF(AND(D120&gt;0.5,N($C$19)&gt;0,N(B120)&lt;=N($C$20)),D120*$F$8,0)</f>
        <v>0</v>
      </c>
      <c r="H120" s="41" t="n">
        <f aca="false">IF(D120&lt;=0.5,0,MIN(IF(N(I120)&gt;0,I120,$F$9),D120+E120+F120))</f>
        <v>0</v>
      </c>
      <c r="I120" s="77"/>
      <c r="J120" s="77"/>
      <c r="K120" s="41" t="n">
        <f aca="false">IF(D120&lt;=0.5,0,MIN(H120+N(J120),D120+E120+F120))</f>
        <v>0</v>
      </c>
      <c r="L120" s="41" t="n">
        <f aca="false">K120-E120-F120</f>
        <v>0</v>
      </c>
      <c r="M120" s="41" t="n">
        <f aca="false">D120-L120</f>
        <v>0</v>
      </c>
      <c r="N120" s="42" t="n">
        <f aca="false">K120-G120</f>
        <v>0</v>
      </c>
      <c r="O120" s="78"/>
      <c r="P120" s="79"/>
      <c r="Q120" s="16" t="str">
        <f aca="false">IF(K120=0,"",IF(R120=1,"Pagada",IF(C120&lt;$F$12,"Vencida",IF(94=$F$13,"Próxima","Pendiente"))))</f>
        <v/>
      </c>
      <c r="R120" s="62" t="n">
        <f aca="false">IF(AND(K120&gt;0,OR(O120="Sí",O120="Si")),1,0)</f>
        <v>0</v>
      </c>
      <c r="S120" s="62" t="n">
        <f aca="false">IF(AND(K120&gt;0,R120=0),1,0)</f>
        <v>0</v>
      </c>
    </row>
    <row r="121" customFormat="false" ht="15" hidden="false" customHeight="false" outlineLevel="0" collapsed="false">
      <c r="B121" s="71" t="str">
        <f aca="false">IF($F$6="Sí",N($C$11)+94,"")</f>
        <v/>
      </c>
      <c r="C121" s="72" t="str">
        <f aca="false">IF(OR($F$6&lt;&gt;"Sí",D121&lt;=0.5),"",EDATE($C$10,94))</f>
        <v/>
      </c>
      <c r="D121" s="41" t="n">
        <f aca="false">MAX(0,M120)</f>
        <v>0</v>
      </c>
      <c r="E121" s="41" t="n">
        <f aca="false">D121*$F$7</f>
        <v>0</v>
      </c>
      <c r="F121" s="41" t="n">
        <f aca="false">IF(D121&gt;0.5,N($C$15),0)</f>
        <v>0</v>
      </c>
      <c r="G121" s="41" t="n">
        <f aca="false">IF(AND(D121&gt;0.5,N($C$19)&gt;0,N(B121)&lt;=N($C$20)),D121*$F$8,0)</f>
        <v>0</v>
      </c>
      <c r="H121" s="41" t="n">
        <f aca="false">IF(D121&lt;=0.5,0,MIN(IF(N(I121)&gt;0,I121,$F$9),D121+E121+F121))</f>
        <v>0</v>
      </c>
      <c r="I121" s="77"/>
      <c r="J121" s="77"/>
      <c r="K121" s="41" t="n">
        <f aca="false">IF(D121&lt;=0.5,0,MIN(H121+N(J121),D121+E121+F121))</f>
        <v>0</v>
      </c>
      <c r="L121" s="41" t="n">
        <f aca="false">K121-E121-F121</f>
        <v>0</v>
      </c>
      <c r="M121" s="41" t="n">
        <f aca="false">D121-L121</f>
        <v>0</v>
      </c>
      <c r="N121" s="42" t="n">
        <f aca="false">K121-G121</f>
        <v>0</v>
      </c>
      <c r="O121" s="78"/>
      <c r="P121" s="79"/>
      <c r="Q121" s="16" t="str">
        <f aca="false">IF(K121=0,"",IF(R121=1,"Pagada",IF(C121&lt;$F$12,"Vencida",IF(95=$F$13,"Próxima","Pendiente"))))</f>
        <v/>
      </c>
      <c r="R121" s="62" t="n">
        <f aca="false">IF(AND(K121&gt;0,OR(O121="Sí",O121="Si")),1,0)</f>
        <v>0</v>
      </c>
      <c r="S121" s="62" t="n">
        <f aca="false">IF(AND(K121&gt;0,R121=0),1,0)</f>
        <v>0</v>
      </c>
    </row>
    <row r="122" customFormat="false" ht="15" hidden="false" customHeight="false" outlineLevel="0" collapsed="false">
      <c r="B122" s="71" t="str">
        <f aca="false">IF($F$6="Sí",N($C$11)+95,"")</f>
        <v/>
      </c>
      <c r="C122" s="72" t="str">
        <f aca="false">IF(OR($F$6&lt;&gt;"Sí",D122&lt;=0.5),"",EDATE($C$10,95))</f>
        <v/>
      </c>
      <c r="D122" s="41" t="n">
        <f aca="false">MAX(0,M121)</f>
        <v>0</v>
      </c>
      <c r="E122" s="41" t="n">
        <f aca="false">D122*$F$7</f>
        <v>0</v>
      </c>
      <c r="F122" s="41" t="n">
        <f aca="false">IF(D122&gt;0.5,N($C$15),0)</f>
        <v>0</v>
      </c>
      <c r="G122" s="41" t="n">
        <f aca="false">IF(AND(D122&gt;0.5,N($C$19)&gt;0,N(B122)&lt;=N($C$20)),D122*$F$8,0)</f>
        <v>0</v>
      </c>
      <c r="H122" s="41" t="n">
        <f aca="false">IF(D122&lt;=0.5,0,MIN(IF(N(I122)&gt;0,I122,$F$9),D122+E122+F122))</f>
        <v>0</v>
      </c>
      <c r="I122" s="77"/>
      <c r="J122" s="77"/>
      <c r="K122" s="41" t="n">
        <f aca="false">IF(D122&lt;=0.5,0,MIN(H122+N(J122),D122+E122+F122))</f>
        <v>0</v>
      </c>
      <c r="L122" s="41" t="n">
        <f aca="false">K122-E122-F122</f>
        <v>0</v>
      </c>
      <c r="M122" s="41" t="n">
        <f aca="false">D122-L122</f>
        <v>0</v>
      </c>
      <c r="N122" s="42" t="n">
        <f aca="false">K122-G122</f>
        <v>0</v>
      </c>
      <c r="O122" s="78"/>
      <c r="P122" s="79"/>
      <c r="Q122" s="16" t="str">
        <f aca="false">IF(K122=0,"",IF(R122=1,"Pagada",IF(C122&lt;$F$12,"Vencida",IF(96=$F$13,"Próxima","Pendiente"))))</f>
        <v/>
      </c>
      <c r="R122" s="62" t="n">
        <f aca="false">IF(AND(K122&gt;0,OR(O122="Sí",O122="Si")),1,0)</f>
        <v>0</v>
      </c>
      <c r="S122" s="62" t="n">
        <f aca="false">IF(AND(K122&gt;0,R122=0),1,0)</f>
        <v>0</v>
      </c>
    </row>
    <row r="123" customFormat="false" ht="15" hidden="false" customHeight="false" outlineLevel="0" collapsed="false">
      <c r="B123" s="71" t="str">
        <f aca="false">IF($F$6="Sí",N($C$11)+96,"")</f>
        <v/>
      </c>
      <c r="C123" s="72" t="str">
        <f aca="false">IF(OR($F$6&lt;&gt;"Sí",D123&lt;=0.5),"",EDATE($C$10,96))</f>
        <v/>
      </c>
      <c r="D123" s="41" t="n">
        <f aca="false">MAX(0,M122)</f>
        <v>0</v>
      </c>
      <c r="E123" s="41" t="n">
        <f aca="false">D123*$F$7</f>
        <v>0</v>
      </c>
      <c r="F123" s="41" t="n">
        <f aca="false">IF(D123&gt;0.5,N($C$15),0)</f>
        <v>0</v>
      </c>
      <c r="G123" s="41" t="n">
        <f aca="false">IF(AND(D123&gt;0.5,N($C$19)&gt;0,N(B123)&lt;=N($C$20)),D123*$F$8,0)</f>
        <v>0</v>
      </c>
      <c r="H123" s="41" t="n">
        <f aca="false">IF(D123&lt;=0.5,0,MIN(IF(N(I123)&gt;0,I123,$F$9),D123+E123+F123))</f>
        <v>0</v>
      </c>
      <c r="I123" s="77"/>
      <c r="J123" s="77"/>
      <c r="K123" s="41" t="n">
        <f aca="false">IF(D123&lt;=0.5,0,MIN(H123+N(J123),D123+E123+F123))</f>
        <v>0</v>
      </c>
      <c r="L123" s="41" t="n">
        <f aca="false">K123-E123-F123</f>
        <v>0</v>
      </c>
      <c r="M123" s="41" t="n">
        <f aca="false">D123-L123</f>
        <v>0</v>
      </c>
      <c r="N123" s="42" t="n">
        <f aca="false">K123-G123</f>
        <v>0</v>
      </c>
      <c r="O123" s="78"/>
      <c r="P123" s="79"/>
      <c r="Q123" s="16" t="str">
        <f aca="false">IF(K123=0,"",IF(R123=1,"Pagada",IF(C123&lt;$F$12,"Vencida",IF(97=$F$13,"Próxima","Pendiente"))))</f>
        <v/>
      </c>
      <c r="R123" s="62" t="n">
        <f aca="false">IF(AND(K123&gt;0,OR(O123="Sí",O123="Si")),1,0)</f>
        <v>0</v>
      </c>
      <c r="S123" s="62" t="n">
        <f aca="false">IF(AND(K123&gt;0,R123=0),1,0)</f>
        <v>0</v>
      </c>
    </row>
    <row r="124" customFormat="false" ht="15" hidden="false" customHeight="false" outlineLevel="0" collapsed="false">
      <c r="B124" s="71" t="str">
        <f aca="false">IF($F$6="Sí",N($C$11)+97,"")</f>
        <v/>
      </c>
      <c r="C124" s="72" t="str">
        <f aca="false">IF(OR($F$6&lt;&gt;"Sí",D124&lt;=0.5),"",EDATE($C$10,97))</f>
        <v/>
      </c>
      <c r="D124" s="41" t="n">
        <f aca="false">MAX(0,M123)</f>
        <v>0</v>
      </c>
      <c r="E124" s="41" t="n">
        <f aca="false">D124*$F$7</f>
        <v>0</v>
      </c>
      <c r="F124" s="41" t="n">
        <f aca="false">IF(D124&gt;0.5,N($C$15),0)</f>
        <v>0</v>
      </c>
      <c r="G124" s="41" t="n">
        <f aca="false">IF(AND(D124&gt;0.5,N($C$19)&gt;0,N(B124)&lt;=N($C$20)),D124*$F$8,0)</f>
        <v>0</v>
      </c>
      <c r="H124" s="41" t="n">
        <f aca="false">IF(D124&lt;=0.5,0,MIN(IF(N(I124)&gt;0,I124,$F$9),D124+E124+F124))</f>
        <v>0</v>
      </c>
      <c r="I124" s="77"/>
      <c r="J124" s="77"/>
      <c r="K124" s="41" t="n">
        <f aca="false">IF(D124&lt;=0.5,0,MIN(H124+N(J124),D124+E124+F124))</f>
        <v>0</v>
      </c>
      <c r="L124" s="41" t="n">
        <f aca="false">K124-E124-F124</f>
        <v>0</v>
      </c>
      <c r="M124" s="41" t="n">
        <f aca="false">D124-L124</f>
        <v>0</v>
      </c>
      <c r="N124" s="42" t="n">
        <f aca="false">K124-G124</f>
        <v>0</v>
      </c>
      <c r="O124" s="78"/>
      <c r="P124" s="79"/>
      <c r="Q124" s="16" t="str">
        <f aca="false">IF(K124=0,"",IF(R124=1,"Pagada",IF(C124&lt;$F$12,"Vencida",IF(98=$F$13,"Próxima","Pendiente"))))</f>
        <v/>
      </c>
      <c r="R124" s="62" t="n">
        <f aca="false">IF(AND(K124&gt;0,OR(O124="Sí",O124="Si")),1,0)</f>
        <v>0</v>
      </c>
      <c r="S124" s="62" t="n">
        <f aca="false">IF(AND(K124&gt;0,R124=0),1,0)</f>
        <v>0</v>
      </c>
    </row>
    <row r="125" customFormat="false" ht="15" hidden="false" customHeight="false" outlineLevel="0" collapsed="false">
      <c r="B125" s="71" t="str">
        <f aca="false">IF($F$6="Sí",N($C$11)+98,"")</f>
        <v/>
      </c>
      <c r="C125" s="72" t="str">
        <f aca="false">IF(OR($F$6&lt;&gt;"Sí",D125&lt;=0.5),"",EDATE($C$10,98))</f>
        <v/>
      </c>
      <c r="D125" s="41" t="n">
        <f aca="false">MAX(0,M124)</f>
        <v>0</v>
      </c>
      <c r="E125" s="41" t="n">
        <f aca="false">D125*$F$7</f>
        <v>0</v>
      </c>
      <c r="F125" s="41" t="n">
        <f aca="false">IF(D125&gt;0.5,N($C$15),0)</f>
        <v>0</v>
      </c>
      <c r="G125" s="41" t="n">
        <f aca="false">IF(AND(D125&gt;0.5,N($C$19)&gt;0,N(B125)&lt;=N($C$20)),D125*$F$8,0)</f>
        <v>0</v>
      </c>
      <c r="H125" s="41" t="n">
        <f aca="false">IF(D125&lt;=0.5,0,MIN(IF(N(I125)&gt;0,I125,$F$9),D125+E125+F125))</f>
        <v>0</v>
      </c>
      <c r="I125" s="77"/>
      <c r="J125" s="77"/>
      <c r="K125" s="41" t="n">
        <f aca="false">IF(D125&lt;=0.5,0,MIN(H125+N(J125),D125+E125+F125))</f>
        <v>0</v>
      </c>
      <c r="L125" s="41" t="n">
        <f aca="false">K125-E125-F125</f>
        <v>0</v>
      </c>
      <c r="M125" s="41" t="n">
        <f aca="false">D125-L125</f>
        <v>0</v>
      </c>
      <c r="N125" s="42" t="n">
        <f aca="false">K125-G125</f>
        <v>0</v>
      </c>
      <c r="O125" s="78"/>
      <c r="P125" s="79"/>
      <c r="Q125" s="16" t="str">
        <f aca="false">IF(K125=0,"",IF(R125=1,"Pagada",IF(C125&lt;$F$12,"Vencida",IF(99=$F$13,"Próxima","Pendiente"))))</f>
        <v/>
      </c>
      <c r="R125" s="62" t="n">
        <f aca="false">IF(AND(K125&gt;0,OR(O125="Sí",O125="Si")),1,0)</f>
        <v>0</v>
      </c>
      <c r="S125" s="62" t="n">
        <f aca="false">IF(AND(K125&gt;0,R125=0),1,0)</f>
        <v>0</v>
      </c>
    </row>
    <row r="126" customFormat="false" ht="15" hidden="false" customHeight="false" outlineLevel="0" collapsed="false">
      <c r="B126" s="71" t="str">
        <f aca="false">IF($F$6="Sí",N($C$11)+99,"")</f>
        <v/>
      </c>
      <c r="C126" s="72" t="str">
        <f aca="false">IF(OR($F$6&lt;&gt;"Sí",D126&lt;=0.5),"",EDATE($C$10,99))</f>
        <v/>
      </c>
      <c r="D126" s="41" t="n">
        <f aca="false">MAX(0,M125)</f>
        <v>0</v>
      </c>
      <c r="E126" s="41" t="n">
        <f aca="false">D126*$F$7</f>
        <v>0</v>
      </c>
      <c r="F126" s="41" t="n">
        <f aca="false">IF(D126&gt;0.5,N($C$15),0)</f>
        <v>0</v>
      </c>
      <c r="G126" s="41" t="n">
        <f aca="false">IF(AND(D126&gt;0.5,N($C$19)&gt;0,N(B126)&lt;=N($C$20)),D126*$F$8,0)</f>
        <v>0</v>
      </c>
      <c r="H126" s="41" t="n">
        <f aca="false">IF(D126&lt;=0.5,0,MIN(IF(N(I126)&gt;0,I126,$F$9),D126+E126+F126))</f>
        <v>0</v>
      </c>
      <c r="I126" s="77"/>
      <c r="J126" s="77"/>
      <c r="K126" s="41" t="n">
        <f aca="false">IF(D126&lt;=0.5,0,MIN(H126+N(J126),D126+E126+F126))</f>
        <v>0</v>
      </c>
      <c r="L126" s="41" t="n">
        <f aca="false">K126-E126-F126</f>
        <v>0</v>
      </c>
      <c r="M126" s="41" t="n">
        <f aca="false">D126-L126</f>
        <v>0</v>
      </c>
      <c r="N126" s="42" t="n">
        <f aca="false">K126-G126</f>
        <v>0</v>
      </c>
      <c r="O126" s="78"/>
      <c r="P126" s="79"/>
      <c r="Q126" s="16" t="str">
        <f aca="false">IF(K126=0,"",IF(R126=1,"Pagada",IF(C126&lt;$F$12,"Vencida",IF(100=$F$13,"Próxima","Pendiente"))))</f>
        <v/>
      </c>
      <c r="R126" s="62" t="n">
        <f aca="false">IF(AND(K126&gt;0,OR(O126="Sí",O126="Si")),1,0)</f>
        <v>0</v>
      </c>
      <c r="S126" s="62" t="n">
        <f aca="false">IF(AND(K126&gt;0,R126=0),1,0)</f>
        <v>0</v>
      </c>
    </row>
    <row r="127" customFormat="false" ht="15" hidden="false" customHeight="false" outlineLevel="0" collapsed="false">
      <c r="B127" s="71" t="str">
        <f aca="false">IF($F$6="Sí",N($C$11)+100,"")</f>
        <v/>
      </c>
      <c r="C127" s="72" t="str">
        <f aca="false">IF(OR($F$6&lt;&gt;"Sí",D127&lt;=0.5),"",EDATE($C$10,100))</f>
        <v/>
      </c>
      <c r="D127" s="41" t="n">
        <f aca="false">MAX(0,M126)</f>
        <v>0</v>
      </c>
      <c r="E127" s="41" t="n">
        <f aca="false">D127*$F$7</f>
        <v>0</v>
      </c>
      <c r="F127" s="41" t="n">
        <f aca="false">IF(D127&gt;0.5,N($C$15),0)</f>
        <v>0</v>
      </c>
      <c r="G127" s="41" t="n">
        <f aca="false">IF(AND(D127&gt;0.5,N($C$19)&gt;0,N(B127)&lt;=N($C$20)),D127*$F$8,0)</f>
        <v>0</v>
      </c>
      <c r="H127" s="41" t="n">
        <f aca="false">IF(D127&lt;=0.5,0,MIN(IF(N(I127)&gt;0,I127,$F$9),D127+E127+F127))</f>
        <v>0</v>
      </c>
      <c r="I127" s="77"/>
      <c r="J127" s="77"/>
      <c r="K127" s="41" t="n">
        <f aca="false">IF(D127&lt;=0.5,0,MIN(H127+N(J127),D127+E127+F127))</f>
        <v>0</v>
      </c>
      <c r="L127" s="41" t="n">
        <f aca="false">K127-E127-F127</f>
        <v>0</v>
      </c>
      <c r="M127" s="41" t="n">
        <f aca="false">D127-L127</f>
        <v>0</v>
      </c>
      <c r="N127" s="42" t="n">
        <f aca="false">K127-G127</f>
        <v>0</v>
      </c>
      <c r="O127" s="78"/>
      <c r="P127" s="79"/>
      <c r="Q127" s="16" t="str">
        <f aca="false">IF(K127=0,"",IF(R127=1,"Pagada",IF(C127&lt;$F$12,"Vencida",IF(101=$F$13,"Próxima","Pendiente"))))</f>
        <v/>
      </c>
      <c r="R127" s="62" t="n">
        <f aca="false">IF(AND(K127&gt;0,OR(O127="Sí",O127="Si")),1,0)</f>
        <v>0</v>
      </c>
      <c r="S127" s="62" t="n">
        <f aca="false">IF(AND(K127&gt;0,R127=0),1,0)</f>
        <v>0</v>
      </c>
    </row>
    <row r="128" customFormat="false" ht="15" hidden="false" customHeight="false" outlineLevel="0" collapsed="false">
      <c r="B128" s="71" t="str">
        <f aca="false">IF($F$6="Sí",N($C$11)+101,"")</f>
        <v/>
      </c>
      <c r="C128" s="72" t="str">
        <f aca="false">IF(OR($F$6&lt;&gt;"Sí",D128&lt;=0.5),"",EDATE($C$10,101))</f>
        <v/>
      </c>
      <c r="D128" s="41" t="n">
        <f aca="false">MAX(0,M127)</f>
        <v>0</v>
      </c>
      <c r="E128" s="41" t="n">
        <f aca="false">D128*$F$7</f>
        <v>0</v>
      </c>
      <c r="F128" s="41" t="n">
        <f aca="false">IF(D128&gt;0.5,N($C$15),0)</f>
        <v>0</v>
      </c>
      <c r="G128" s="41" t="n">
        <f aca="false">IF(AND(D128&gt;0.5,N($C$19)&gt;0,N(B128)&lt;=N($C$20)),D128*$F$8,0)</f>
        <v>0</v>
      </c>
      <c r="H128" s="41" t="n">
        <f aca="false">IF(D128&lt;=0.5,0,MIN(IF(N(I128)&gt;0,I128,$F$9),D128+E128+F128))</f>
        <v>0</v>
      </c>
      <c r="I128" s="77"/>
      <c r="J128" s="77"/>
      <c r="K128" s="41" t="n">
        <f aca="false">IF(D128&lt;=0.5,0,MIN(H128+N(J128),D128+E128+F128))</f>
        <v>0</v>
      </c>
      <c r="L128" s="41" t="n">
        <f aca="false">K128-E128-F128</f>
        <v>0</v>
      </c>
      <c r="M128" s="41" t="n">
        <f aca="false">D128-L128</f>
        <v>0</v>
      </c>
      <c r="N128" s="42" t="n">
        <f aca="false">K128-G128</f>
        <v>0</v>
      </c>
      <c r="O128" s="78"/>
      <c r="P128" s="79"/>
      <c r="Q128" s="16" t="str">
        <f aca="false">IF(K128=0,"",IF(R128=1,"Pagada",IF(C128&lt;$F$12,"Vencida",IF(102=$F$13,"Próxima","Pendiente"))))</f>
        <v/>
      </c>
      <c r="R128" s="62" t="n">
        <f aca="false">IF(AND(K128&gt;0,OR(O128="Sí",O128="Si")),1,0)</f>
        <v>0</v>
      </c>
      <c r="S128" s="62" t="n">
        <f aca="false">IF(AND(K128&gt;0,R128=0),1,0)</f>
        <v>0</v>
      </c>
    </row>
    <row r="129" customFormat="false" ht="15" hidden="false" customHeight="false" outlineLevel="0" collapsed="false">
      <c r="B129" s="71" t="str">
        <f aca="false">IF($F$6="Sí",N($C$11)+102,"")</f>
        <v/>
      </c>
      <c r="C129" s="72" t="str">
        <f aca="false">IF(OR($F$6&lt;&gt;"Sí",D129&lt;=0.5),"",EDATE($C$10,102))</f>
        <v/>
      </c>
      <c r="D129" s="41" t="n">
        <f aca="false">MAX(0,M128)</f>
        <v>0</v>
      </c>
      <c r="E129" s="41" t="n">
        <f aca="false">D129*$F$7</f>
        <v>0</v>
      </c>
      <c r="F129" s="41" t="n">
        <f aca="false">IF(D129&gt;0.5,N($C$15),0)</f>
        <v>0</v>
      </c>
      <c r="G129" s="41" t="n">
        <f aca="false">IF(AND(D129&gt;0.5,N($C$19)&gt;0,N(B129)&lt;=N($C$20)),D129*$F$8,0)</f>
        <v>0</v>
      </c>
      <c r="H129" s="41" t="n">
        <f aca="false">IF(D129&lt;=0.5,0,MIN(IF(N(I129)&gt;0,I129,$F$9),D129+E129+F129))</f>
        <v>0</v>
      </c>
      <c r="I129" s="77"/>
      <c r="J129" s="77"/>
      <c r="K129" s="41" t="n">
        <f aca="false">IF(D129&lt;=0.5,0,MIN(H129+N(J129),D129+E129+F129))</f>
        <v>0</v>
      </c>
      <c r="L129" s="41" t="n">
        <f aca="false">K129-E129-F129</f>
        <v>0</v>
      </c>
      <c r="M129" s="41" t="n">
        <f aca="false">D129-L129</f>
        <v>0</v>
      </c>
      <c r="N129" s="42" t="n">
        <f aca="false">K129-G129</f>
        <v>0</v>
      </c>
      <c r="O129" s="78"/>
      <c r="P129" s="79"/>
      <c r="Q129" s="16" t="str">
        <f aca="false">IF(K129=0,"",IF(R129=1,"Pagada",IF(C129&lt;$F$12,"Vencida",IF(103=$F$13,"Próxima","Pendiente"))))</f>
        <v/>
      </c>
      <c r="R129" s="62" t="n">
        <f aca="false">IF(AND(K129&gt;0,OR(O129="Sí",O129="Si")),1,0)</f>
        <v>0</v>
      </c>
      <c r="S129" s="62" t="n">
        <f aca="false">IF(AND(K129&gt;0,R129=0),1,0)</f>
        <v>0</v>
      </c>
    </row>
    <row r="130" customFormat="false" ht="15" hidden="false" customHeight="false" outlineLevel="0" collapsed="false">
      <c r="B130" s="71" t="str">
        <f aca="false">IF($F$6="Sí",N($C$11)+103,"")</f>
        <v/>
      </c>
      <c r="C130" s="72" t="str">
        <f aca="false">IF(OR($F$6&lt;&gt;"Sí",D130&lt;=0.5),"",EDATE($C$10,103))</f>
        <v/>
      </c>
      <c r="D130" s="41" t="n">
        <f aca="false">MAX(0,M129)</f>
        <v>0</v>
      </c>
      <c r="E130" s="41" t="n">
        <f aca="false">D130*$F$7</f>
        <v>0</v>
      </c>
      <c r="F130" s="41" t="n">
        <f aca="false">IF(D130&gt;0.5,N($C$15),0)</f>
        <v>0</v>
      </c>
      <c r="G130" s="41" t="n">
        <f aca="false">IF(AND(D130&gt;0.5,N($C$19)&gt;0,N(B130)&lt;=N($C$20)),D130*$F$8,0)</f>
        <v>0</v>
      </c>
      <c r="H130" s="41" t="n">
        <f aca="false">IF(D130&lt;=0.5,0,MIN(IF(N(I130)&gt;0,I130,$F$9),D130+E130+F130))</f>
        <v>0</v>
      </c>
      <c r="I130" s="77"/>
      <c r="J130" s="77"/>
      <c r="K130" s="41" t="n">
        <f aca="false">IF(D130&lt;=0.5,0,MIN(H130+N(J130),D130+E130+F130))</f>
        <v>0</v>
      </c>
      <c r="L130" s="41" t="n">
        <f aca="false">K130-E130-F130</f>
        <v>0</v>
      </c>
      <c r="M130" s="41" t="n">
        <f aca="false">D130-L130</f>
        <v>0</v>
      </c>
      <c r="N130" s="42" t="n">
        <f aca="false">K130-G130</f>
        <v>0</v>
      </c>
      <c r="O130" s="78"/>
      <c r="P130" s="79"/>
      <c r="Q130" s="16" t="str">
        <f aca="false">IF(K130=0,"",IF(R130=1,"Pagada",IF(C130&lt;$F$12,"Vencida",IF(104=$F$13,"Próxima","Pendiente"))))</f>
        <v/>
      </c>
      <c r="R130" s="62" t="n">
        <f aca="false">IF(AND(K130&gt;0,OR(O130="Sí",O130="Si")),1,0)</f>
        <v>0</v>
      </c>
      <c r="S130" s="62" t="n">
        <f aca="false">IF(AND(K130&gt;0,R130=0),1,0)</f>
        <v>0</v>
      </c>
    </row>
    <row r="131" customFormat="false" ht="15" hidden="false" customHeight="false" outlineLevel="0" collapsed="false">
      <c r="B131" s="71" t="str">
        <f aca="false">IF($F$6="Sí",N($C$11)+104,"")</f>
        <v/>
      </c>
      <c r="C131" s="72" t="str">
        <f aca="false">IF(OR($F$6&lt;&gt;"Sí",D131&lt;=0.5),"",EDATE($C$10,104))</f>
        <v/>
      </c>
      <c r="D131" s="41" t="n">
        <f aca="false">MAX(0,M130)</f>
        <v>0</v>
      </c>
      <c r="E131" s="41" t="n">
        <f aca="false">D131*$F$7</f>
        <v>0</v>
      </c>
      <c r="F131" s="41" t="n">
        <f aca="false">IF(D131&gt;0.5,N($C$15),0)</f>
        <v>0</v>
      </c>
      <c r="G131" s="41" t="n">
        <f aca="false">IF(AND(D131&gt;0.5,N($C$19)&gt;0,N(B131)&lt;=N($C$20)),D131*$F$8,0)</f>
        <v>0</v>
      </c>
      <c r="H131" s="41" t="n">
        <f aca="false">IF(D131&lt;=0.5,0,MIN(IF(N(I131)&gt;0,I131,$F$9),D131+E131+F131))</f>
        <v>0</v>
      </c>
      <c r="I131" s="77"/>
      <c r="J131" s="77"/>
      <c r="K131" s="41" t="n">
        <f aca="false">IF(D131&lt;=0.5,0,MIN(H131+N(J131),D131+E131+F131))</f>
        <v>0</v>
      </c>
      <c r="L131" s="41" t="n">
        <f aca="false">K131-E131-F131</f>
        <v>0</v>
      </c>
      <c r="M131" s="41" t="n">
        <f aca="false">D131-L131</f>
        <v>0</v>
      </c>
      <c r="N131" s="42" t="n">
        <f aca="false">K131-G131</f>
        <v>0</v>
      </c>
      <c r="O131" s="78"/>
      <c r="P131" s="79"/>
      <c r="Q131" s="16" t="str">
        <f aca="false">IF(K131=0,"",IF(R131=1,"Pagada",IF(C131&lt;$F$12,"Vencida",IF(105=$F$13,"Próxima","Pendiente"))))</f>
        <v/>
      </c>
      <c r="R131" s="62" t="n">
        <f aca="false">IF(AND(K131&gt;0,OR(O131="Sí",O131="Si")),1,0)</f>
        <v>0</v>
      </c>
      <c r="S131" s="62" t="n">
        <f aca="false">IF(AND(K131&gt;0,R131=0),1,0)</f>
        <v>0</v>
      </c>
    </row>
    <row r="132" customFormat="false" ht="15" hidden="false" customHeight="false" outlineLevel="0" collapsed="false">
      <c r="B132" s="71" t="str">
        <f aca="false">IF($F$6="Sí",N($C$11)+105,"")</f>
        <v/>
      </c>
      <c r="C132" s="72" t="str">
        <f aca="false">IF(OR($F$6&lt;&gt;"Sí",D132&lt;=0.5),"",EDATE($C$10,105))</f>
        <v/>
      </c>
      <c r="D132" s="41" t="n">
        <f aca="false">MAX(0,M131)</f>
        <v>0</v>
      </c>
      <c r="E132" s="41" t="n">
        <f aca="false">D132*$F$7</f>
        <v>0</v>
      </c>
      <c r="F132" s="41" t="n">
        <f aca="false">IF(D132&gt;0.5,N($C$15),0)</f>
        <v>0</v>
      </c>
      <c r="G132" s="41" t="n">
        <f aca="false">IF(AND(D132&gt;0.5,N($C$19)&gt;0,N(B132)&lt;=N($C$20)),D132*$F$8,0)</f>
        <v>0</v>
      </c>
      <c r="H132" s="41" t="n">
        <f aca="false">IF(D132&lt;=0.5,0,MIN(IF(N(I132)&gt;0,I132,$F$9),D132+E132+F132))</f>
        <v>0</v>
      </c>
      <c r="I132" s="77"/>
      <c r="J132" s="77"/>
      <c r="K132" s="41" t="n">
        <f aca="false">IF(D132&lt;=0.5,0,MIN(H132+N(J132),D132+E132+F132))</f>
        <v>0</v>
      </c>
      <c r="L132" s="41" t="n">
        <f aca="false">K132-E132-F132</f>
        <v>0</v>
      </c>
      <c r="M132" s="41" t="n">
        <f aca="false">D132-L132</f>
        <v>0</v>
      </c>
      <c r="N132" s="42" t="n">
        <f aca="false">K132-G132</f>
        <v>0</v>
      </c>
      <c r="O132" s="78"/>
      <c r="P132" s="79"/>
      <c r="Q132" s="16" t="str">
        <f aca="false">IF(K132=0,"",IF(R132=1,"Pagada",IF(C132&lt;$F$12,"Vencida",IF(106=$F$13,"Próxima","Pendiente"))))</f>
        <v/>
      </c>
      <c r="R132" s="62" t="n">
        <f aca="false">IF(AND(K132&gt;0,OR(O132="Sí",O132="Si")),1,0)</f>
        <v>0</v>
      </c>
      <c r="S132" s="62" t="n">
        <f aca="false">IF(AND(K132&gt;0,R132=0),1,0)</f>
        <v>0</v>
      </c>
    </row>
    <row r="133" customFormat="false" ht="15" hidden="false" customHeight="false" outlineLevel="0" collapsed="false">
      <c r="B133" s="71" t="str">
        <f aca="false">IF($F$6="Sí",N($C$11)+106,"")</f>
        <v/>
      </c>
      <c r="C133" s="72" t="str">
        <f aca="false">IF(OR($F$6&lt;&gt;"Sí",D133&lt;=0.5),"",EDATE($C$10,106))</f>
        <v/>
      </c>
      <c r="D133" s="41" t="n">
        <f aca="false">MAX(0,M132)</f>
        <v>0</v>
      </c>
      <c r="E133" s="41" t="n">
        <f aca="false">D133*$F$7</f>
        <v>0</v>
      </c>
      <c r="F133" s="41" t="n">
        <f aca="false">IF(D133&gt;0.5,N($C$15),0)</f>
        <v>0</v>
      </c>
      <c r="G133" s="41" t="n">
        <f aca="false">IF(AND(D133&gt;0.5,N($C$19)&gt;0,N(B133)&lt;=N($C$20)),D133*$F$8,0)</f>
        <v>0</v>
      </c>
      <c r="H133" s="41" t="n">
        <f aca="false">IF(D133&lt;=0.5,0,MIN(IF(N(I133)&gt;0,I133,$F$9),D133+E133+F133))</f>
        <v>0</v>
      </c>
      <c r="I133" s="77"/>
      <c r="J133" s="77"/>
      <c r="K133" s="41" t="n">
        <f aca="false">IF(D133&lt;=0.5,0,MIN(H133+N(J133),D133+E133+F133))</f>
        <v>0</v>
      </c>
      <c r="L133" s="41" t="n">
        <f aca="false">K133-E133-F133</f>
        <v>0</v>
      </c>
      <c r="M133" s="41" t="n">
        <f aca="false">D133-L133</f>
        <v>0</v>
      </c>
      <c r="N133" s="42" t="n">
        <f aca="false">K133-G133</f>
        <v>0</v>
      </c>
      <c r="O133" s="78"/>
      <c r="P133" s="79"/>
      <c r="Q133" s="16" t="str">
        <f aca="false">IF(K133=0,"",IF(R133=1,"Pagada",IF(C133&lt;$F$12,"Vencida",IF(107=$F$13,"Próxima","Pendiente"))))</f>
        <v/>
      </c>
      <c r="R133" s="62" t="n">
        <f aca="false">IF(AND(K133&gt;0,OR(O133="Sí",O133="Si")),1,0)</f>
        <v>0</v>
      </c>
      <c r="S133" s="62" t="n">
        <f aca="false">IF(AND(K133&gt;0,R133=0),1,0)</f>
        <v>0</v>
      </c>
    </row>
    <row r="134" customFormat="false" ht="15" hidden="false" customHeight="false" outlineLevel="0" collapsed="false">
      <c r="B134" s="71" t="str">
        <f aca="false">IF($F$6="Sí",N($C$11)+107,"")</f>
        <v/>
      </c>
      <c r="C134" s="72" t="str">
        <f aca="false">IF(OR($F$6&lt;&gt;"Sí",D134&lt;=0.5),"",EDATE($C$10,107))</f>
        <v/>
      </c>
      <c r="D134" s="41" t="n">
        <f aca="false">MAX(0,M133)</f>
        <v>0</v>
      </c>
      <c r="E134" s="41" t="n">
        <f aca="false">D134*$F$7</f>
        <v>0</v>
      </c>
      <c r="F134" s="41" t="n">
        <f aca="false">IF(D134&gt;0.5,N($C$15),0)</f>
        <v>0</v>
      </c>
      <c r="G134" s="41" t="n">
        <f aca="false">IF(AND(D134&gt;0.5,N($C$19)&gt;0,N(B134)&lt;=N($C$20)),D134*$F$8,0)</f>
        <v>0</v>
      </c>
      <c r="H134" s="41" t="n">
        <f aca="false">IF(D134&lt;=0.5,0,MIN(IF(N(I134)&gt;0,I134,$F$9),D134+E134+F134))</f>
        <v>0</v>
      </c>
      <c r="I134" s="77"/>
      <c r="J134" s="77"/>
      <c r="K134" s="41" t="n">
        <f aca="false">IF(D134&lt;=0.5,0,MIN(H134+N(J134),D134+E134+F134))</f>
        <v>0</v>
      </c>
      <c r="L134" s="41" t="n">
        <f aca="false">K134-E134-F134</f>
        <v>0</v>
      </c>
      <c r="M134" s="41" t="n">
        <f aca="false">D134-L134</f>
        <v>0</v>
      </c>
      <c r="N134" s="42" t="n">
        <f aca="false">K134-G134</f>
        <v>0</v>
      </c>
      <c r="O134" s="78"/>
      <c r="P134" s="79"/>
      <c r="Q134" s="16" t="str">
        <f aca="false">IF(K134=0,"",IF(R134=1,"Pagada",IF(C134&lt;$F$12,"Vencida",IF(108=$F$13,"Próxima","Pendiente"))))</f>
        <v/>
      </c>
      <c r="R134" s="62" t="n">
        <f aca="false">IF(AND(K134&gt;0,OR(O134="Sí",O134="Si")),1,0)</f>
        <v>0</v>
      </c>
      <c r="S134" s="62" t="n">
        <f aca="false">IF(AND(K134&gt;0,R134=0),1,0)</f>
        <v>0</v>
      </c>
    </row>
    <row r="135" customFormat="false" ht="15" hidden="false" customHeight="false" outlineLevel="0" collapsed="false">
      <c r="B135" s="71" t="str">
        <f aca="false">IF($F$6="Sí",N($C$11)+108,"")</f>
        <v/>
      </c>
      <c r="C135" s="72" t="str">
        <f aca="false">IF(OR($F$6&lt;&gt;"Sí",D135&lt;=0.5),"",EDATE($C$10,108))</f>
        <v/>
      </c>
      <c r="D135" s="41" t="n">
        <f aca="false">MAX(0,M134)</f>
        <v>0</v>
      </c>
      <c r="E135" s="41" t="n">
        <f aca="false">D135*$F$7</f>
        <v>0</v>
      </c>
      <c r="F135" s="41" t="n">
        <f aca="false">IF(D135&gt;0.5,N($C$15),0)</f>
        <v>0</v>
      </c>
      <c r="G135" s="41" t="n">
        <f aca="false">IF(AND(D135&gt;0.5,N($C$19)&gt;0,N(B135)&lt;=N($C$20)),D135*$F$8,0)</f>
        <v>0</v>
      </c>
      <c r="H135" s="41" t="n">
        <f aca="false">IF(D135&lt;=0.5,0,MIN(IF(N(I135)&gt;0,I135,$F$9),D135+E135+F135))</f>
        <v>0</v>
      </c>
      <c r="I135" s="77"/>
      <c r="J135" s="77"/>
      <c r="K135" s="41" t="n">
        <f aca="false">IF(D135&lt;=0.5,0,MIN(H135+N(J135),D135+E135+F135))</f>
        <v>0</v>
      </c>
      <c r="L135" s="41" t="n">
        <f aca="false">K135-E135-F135</f>
        <v>0</v>
      </c>
      <c r="M135" s="41" t="n">
        <f aca="false">D135-L135</f>
        <v>0</v>
      </c>
      <c r="N135" s="42" t="n">
        <f aca="false">K135-G135</f>
        <v>0</v>
      </c>
      <c r="O135" s="78"/>
      <c r="P135" s="79"/>
      <c r="Q135" s="16" t="str">
        <f aca="false">IF(K135=0,"",IF(R135=1,"Pagada",IF(C135&lt;$F$12,"Vencida",IF(109=$F$13,"Próxima","Pendiente"))))</f>
        <v/>
      </c>
      <c r="R135" s="62" t="n">
        <f aca="false">IF(AND(K135&gt;0,OR(O135="Sí",O135="Si")),1,0)</f>
        <v>0</v>
      </c>
      <c r="S135" s="62" t="n">
        <f aca="false">IF(AND(K135&gt;0,R135=0),1,0)</f>
        <v>0</v>
      </c>
    </row>
    <row r="136" customFormat="false" ht="15" hidden="false" customHeight="false" outlineLevel="0" collapsed="false">
      <c r="B136" s="71" t="str">
        <f aca="false">IF($F$6="Sí",N($C$11)+109,"")</f>
        <v/>
      </c>
      <c r="C136" s="72" t="str">
        <f aca="false">IF(OR($F$6&lt;&gt;"Sí",D136&lt;=0.5),"",EDATE($C$10,109))</f>
        <v/>
      </c>
      <c r="D136" s="41" t="n">
        <f aca="false">MAX(0,M135)</f>
        <v>0</v>
      </c>
      <c r="E136" s="41" t="n">
        <f aca="false">D136*$F$7</f>
        <v>0</v>
      </c>
      <c r="F136" s="41" t="n">
        <f aca="false">IF(D136&gt;0.5,N($C$15),0)</f>
        <v>0</v>
      </c>
      <c r="G136" s="41" t="n">
        <f aca="false">IF(AND(D136&gt;0.5,N($C$19)&gt;0,N(B136)&lt;=N($C$20)),D136*$F$8,0)</f>
        <v>0</v>
      </c>
      <c r="H136" s="41" t="n">
        <f aca="false">IF(D136&lt;=0.5,0,MIN(IF(N(I136)&gt;0,I136,$F$9),D136+E136+F136))</f>
        <v>0</v>
      </c>
      <c r="I136" s="77"/>
      <c r="J136" s="77"/>
      <c r="K136" s="41" t="n">
        <f aca="false">IF(D136&lt;=0.5,0,MIN(H136+N(J136),D136+E136+F136))</f>
        <v>0</v>
      </c>
      <c r="L136" s="41" t="n">
        <f aca="false">K136-E136-F136</f>
        <v>0</v>
      </c>
      <c r="M136" s="41" t="n">
        <f aca="false">D136-L136</f>
        <v>0</v>
      </c>
      <c r="N136" s="42" t="n">
        <f aca="false">K136-G136</f>
        <v>0</v>
      </c>
      <c r="O136" s="78"/>
      <c r="P136" s="79"/>
      <c r="Q136" s="16" t="str">
        <f aca="false">IF(K136=0,"",IF(R136=1,"Pagada",IF(C136&lt;$F$12,"Vencida",IF(110=$F$13,"Próxima","Pendiente"))))</f>
        <v/>
      </c>
      <c r="R136" s="62" t="n">
        <f aca="false">IF(AND(K136&gt;0,OR(O136="Sí",O136="Si")),1,0)</f>
        <v>0</v>
      </c>
      <c r="S136" s="62" t="n">
        <f aca="false">IF(AND(K136&gt;0,R136=0),1,0)</f>
        <v>0</v>
      </c>
    </row>
    <row r="137" customFormat="false" ht="15" hidden="false" customHeight="false" outlineLevel="0" collapsed="false">
      <c r="B137" s="71" t="str">
        <f aca="false">IF($F$6="Sí",N($C$11)+110,"")</f>
        <v/>
      </c>
      <c r="C137" s="72" t="str">
        <f aca="false">IF(OR($F$6&lt;&gt;"Sí",D137&lt;=0.5),"",EDATE($C$10,110))</f>
        <v/>
      </c>
      <c r="D137" s="41" t="n">
        <f aca="false">MAX(0,M136)</f>
        <v>0</v>
      </c>
      <c r="E137" s="41" t="n">
        <f aca="false">D137*$F$7</f>
        <v>0</v>
      </c>
      <c r="F137" s="41" t="n">
        <f aca="false">IF(D137&gt;0.5,N($C$15),0)</f>
        <v>0</v>
      </c>
      <c r="G137" s="41" t="n">
        <f aca="false">IF(AND(D137&gt;0.5,N($C$19)&gt;0,N(B137)&lt;=N($C$20)),D137*$F$8,0)</f>
        <v>0</v>
      </c>
      <c r="H137" s="41" t="n">
        <f aca="false">IF(D137&lt;=0.5,0,MIN(IF(N(I137)&gt;0,I137,$F$9),D137+E137+F137))</f>
        <v>0</v>
      </c>
      <c r="I137" s="77"/>
      <c r="J137" s="77"/>
      <c r="K137" s="41" t="n">
        <f aca="false">IF(D137&lt;=0.5,0,MIN(H137+N(J137),D137+E137+F137))</f>
        <v>0</v>
      </c>
      <c r="L137" s="41" t="n">
        <f aca="false">K137-E137-F137</f>
        <v>0</v>
      </c>
      <c r="M137" s="41" t="n">
        <f aca="false">D137-L137</f>
        <v>0</v>
      </c>
      <c r="N137" s="42" t="n">
        <f aca="false">K137-G137</f>
        <v>0</v>
      </c>
      <c r="O137" s="78"/>
      <c r="P137" s="79"/>
      <c r="Q137" s="16" t="str">
        <f aca="false">IF(K137=0,"",IF(R137=1,"Pagada",IF(C137&lt;$F$12,"Vencida",IF(111=$F$13,"Próxima","Pendiente"))))</f>
        <v/>
      </c>
      <c r="R137" s="62" t="n">
        <f aca="false">IF(AND(K137&gt;0,OR(O137="Sí",O137="Si")),1,0)</f>
        <v>0</v>
      </c>
      <c r="S137" s="62" t="n">
        <f aca="false">IF(AND(K137&gt;0,R137=0),1,0)</f>
        <v>0</v>
      </c>
    </row>
    <row r="138" customFormat="false" ht="15" hidden="false" customHeight="false" outlineLevel="0" collapsed="false">
      <c r="B138" s="71" t="str">
        <f aca="false">IF($F$6="Sí",N($C$11)+111,"")</f>
        <v/>
      </c>
      <c r="C138" s="72" t="str">
        <f aca="false">IF(OR($F$6&lt;&gt;"Sí",D138&lt;=0.5),"",EDATE($C$10,111))</f>
        <v/>
      </c>
      <c r="D138" s="41" t="n">
        <f aca="false">MAX(0,M137)</f>
        <v>0</v>
      </c>
      <c r="E138" s="41" t="n">
        <f aca="false">D138*$F$7</f>
        <v>0</v>
      </c>
      <c r="F138" s="41" t="n">
        <f aca="false">IF(D138&gt;0.5,N($C$15),0)</f>
        <v>0</v>
      </c>
      <c r="G138" s="41" t="n">
        <f aca="false">IF(AND(D138&gt;0.5,N($C$19)&gt;0,N(B138)&lt;=N($C$20)),D138*$F$8,0)</f>
        <v>0</v>
      </c>
      <c r="H138" s="41" t="n">
        <f aca="false">IF(D138&lt;=0.5,0,MIN(IF(N(I138)&gt;0,I138,$F$9),D138+E138+F138))</f>
        <v>0</v>
      </c>
      <c r="I138" s="77"/>
      <c r="J138" s="77"/>
      <c r="K138" s="41" t="n">
        <f aca="false">IF(D138&lt;=0.5,0,MIN(H138+N(J138),D138+E138+F138))</f>
        <v>0</v>
      </c>
      <c r="L138" s="41" t="n">
        <f aca="false">K138-E138-F138</f>
        <v>0</v>
      </c>
      <c r="M138" s="41" t="n">
        <f aca="false">D138-L138</f>
        <v>0</v>
      </c>
      <c r="N138" s="42" t="n">
        <f aca="false">K138-G138</f>
        <v>0</v>
      </c>
      <c r="O138" s="78"/>
      <c r="P138" s="79"/>
      <c r="Q138" s="16" t="str">
        <f aca="false">IF(K138=0,"",IF(R138=1,"Pagada",IF(C138&lt;$F$12,"Vencida",IF(112=$F$13,"Próxima","Pendiente"))))</f>
        <v/>
      </c>
      <c r="R138" s="62" t="n">
        <f aca="false">IF(AND(K138&gt;0,OR(O138="Sí",O138="Si")),1,0)</f>
        <v>0</v>
      </c>
      <c r="S138" s="62" t="n">
        <f aca="false">IF(AND(K138&gt;0,R138=0),1,0)</f>
        <v>0</v>
      </c>
    </row>
    <row r="139" customFormat="false" ht="15" hidden="false" customHeight="false" outlineLevel="0" collapsed="false">
      <c r="B139" s="71" t="str">
        <f aca="false">IF($F$6="Sí",N($C$11)+112,"")</f>
        <v/>
      </c>
      <c r="C139" s="72" t="str">
        <f aca="false">IF(OR($F$6&lt;&gt;"Sí",D139&lt;=0.5),"",EDATE($C$10,112))</f>
        <v/>
      </c>
      <c r="D139" s="41" t="n">
        <f aca="false">MAX(0,M138)</f>
        <v>0</v>
      </c>
      <c r="E139" s="41" t="n">
        <f aca="false">D139*$F$7</f>
        <v>0</v>
      </c>
      <c r="F139" s="41" t="n">
        <f aca="false">IF(D139&gt;0.5,N($C$15),0)</f>
        <v>0</v>
      </c>
      <c r="G139" s="41" t="n">
        <f aca="false">IF(AND(D139&gt;0.5,N($C$19)&gt;0,N(B139)&lt;=N($C$20)),D139*$F$8,0)</f>
        <v>0</v>
      </c>
      <c r="H139" s="41" t="n">
        <f aca="false">IF(D139&lt;=0.5,0,MIN(IF(N(I139)&gt;0,I139,$F$9),D139+E139+F139))</f>
        <v>0</v>
      </c>
      <c r="I139" s="77"/>
      <c r="J139" s="77"/>
      <c r="K139" s="41" t="n">
        <f aca="false">IF(D139&lt;=0.5,0,MIN(H139+N(J139),D139+E139+F139))</f>
        <v>0</v>
      </c>
      <c r="L139" s="41" t="n">
        <f aca="false">K139-E139-F139</f>
        <v>0</v>
      </c>
      <c r="M139" s="41" t="n">
        <f aca="false">D139-L139</f>
        <v>0</v>
      </c>
      <c r="N139" s="42" t="n">
        <f aca="false">K139-G139</f>
        <v>0</v>
      </c>
      <c r="O139" s="78"/>
      <c r="P139" s="79"/>
      <c r="Q139" s="16" t="str">
        <f aca="false">IF(K139=0,"",IF(R139=1,"Pagada",IF(C139&lt;$F$12,"Vencida",IF(113=$F$13,"Próxima","Pendiente"))))</f>
        <v/>
      </c>
      <c r="R139" s="62" t="n">
        <f aca="false">IF(AND(K139&gt;0,OR(O139="Sí",O139="Si")),1,0)</f>
        <v>0</v>
      </c>
      <c r="S139" s="62" t="n">
        <f aca="false">IF(AND(K139&gt;0,R139=0),1,0)</f>
        <v>0</v>
      </c>
    </row>
    <row r="140" customFormat="false" ht="15" hidden="false" customHeight="false" outlineLevel="0" collapsed="false">
      <c r="B140" s="71" t="str">
        <f aca="false">IF($F$6="Sí",N($C$11)+113,"")</f>
        <v/>
      </c>
      <c r="C140" s="72" t="str">
        <f aca="false">IF(OR($F$6&lt;&gt;"Sí",D140&lt;=0.5),"",EDATE($C$10,113))</f>
        <v/>
      </c>
      <c r="D140" s="41" t="n">
        <f aca="false">MAX(0,M139)</f>
        <v>0</v>
      </c>
      <c r="E140" s="41" t="n">
        <f aca="false">D140*$F$7</f>
        <v>0</v>
      </c>
      <c r="F140" s="41" t="n">
        <f aca="false">IF(D140&gt;0.5,N($C$15),0)</f>
        <v>0</v>
      </c>
      <c r="G140" s="41" t="n">
        <f aca="false">IF(AND(D140&gt;0.5,N($C$19)&gt;0,N(B140)&lt;=N($C$20)),D140*$F$8,0)</f>
        <v>0</v>
      </c>
      <c r="H140" s="41" t="n">
        <f aca="false">IF(D140&lt;=0.5,0,MIN(IF(N(I140)&gt;0,I140,$F$9),D140+E140+F140))</f>
        <v>0</v>
      </c>
      <c r="I140" s="77"/>
      <c r="J140" s="77"/>
      <c r="K140" s="41" t="n">
        <f aca="false">IF(D140&lt;=0.5,0,MIN(H140+N(J140),D140+E140+F140))</f>
        <v>0</v>
      </c>
      <c r="L140" s="41" t="n">
        <f aca="false">K140-E140-F140</f>
        <v>0</v>
      </c>
      <c r="M140" s="41" t="n">
        <f aca="false">D140-L140</f>
        <v>0</v>
      </c>
      <c r="N140" s="42" t="n">
        <f aca="false">K140-G140</f>
        <v>0</v>
      </c>
      <c r="O140" s="78"/>
      <c r="P140" s="79"/>
      <c r="Q140" s="16" t="str">
        <f aca="false">IF(K140=0,"",IF(R140=1,"Pagada",IF(C140&lt;$F$12,"Vencida",IF(114=$F$13,"Próxima","Pendiente"))))</f>
        <v/>
      </c>
      <c r="R140" s="62" t="n">
        <f aca="false">IF(AND(K140&gt;0,OR(O140="Sí",O140="Si")),1,0)</f>
        <v>0</v>
      </c>
      <c r="S140" s="62" t="n">
        <f aca="false">IF(AND(K140&gt;0,R140=0),1,0)</f>
        <v>0</v>
      </c>
    </row>
    <row r="141" customFormat="false" ht="15" hidden="false" customHeight="false" outlineLevel="0" collapsed="false">
      <c r="B141" s="71" t="str">
        <f aca="false">IF($F$6="Sí",N($C$11)+114,"")</f>
        <v/>
      </c>
      <c r="C141" s="72" t="str">
        <f aca="false">IF(OR($F$6&lt;&gt;"Sí",D141&lt;=0.5),"",EDATE($C$10,114))</f>
        <v/>
      </c>
      <c r="D141" s="41" t="n">
        <f aca="false">MAX(0,M140)</f>
        <v>0</v>
      </c>
      <c r="E141" s="41" t="n">
        <f aca="false">D141*$F$7</f>
        <v>0</v>
      </c>
      <c r="F141" s="41" t="n">
        <f aca="false">IF(D141&gt;0.5,N($C$15),0)</f>
        <v>0</v>
      </c>
      <c r="G141" s="41" t="n">
        <f aca="false">IF(AND(D141&gt;0.5,N($C$19)&gt;0,N(B141)&lt;=N($C$20)),D141*$F$8,0)</f>
        <v>0</v>
      </c>
      <c r="H141" s="41" t="n">
        <f aca="false">IF(D141&lt;=0.5,0,MIN(IF(N(I141)&gt;0,I141,$F$9),D141+E141+F141))</f>
        <v>0</v>
      </c>
      <c r="I141" s="77"/>
      <c r="J141" s="77"/>
      <c r="K141" s="41" t="n">
        <f aca="false">IF(D141&lt;=0.5,0,MIN(H141+N(J141),D141+E141+F141))</f>
        <v>0</v>
      </c>
      <c r="L141" s="41" t="n">
        <f aca="false">K141-E141-F141</f>
        <v>0</v>
      </c>
      <c r="M141" s="41" t="n">
        <f aca="false">D141-L141</f>
        <v>0</v>
      </c>
      <c r="N141" s="42" t="n">
        <f aca="false">K141-G141</f>
        <v>0</v>
      </c>
      <c r="O141" s="78"/>
      <c r="P141" s="79"/>
      <c r="Q141" s="16" t="str">
        <f aca="false">IF(K141=0,"",IF(R141=1,"Pagada",IF(C141&lt;$F$12,"Vencida",IF(115=$F$13,"Próxima","Pendiente"))))</f>
        <v/>
      </c>
      <c r="R141" s="62" t="n">
        <f aca="false">IF(AND(K141&gt;0,OR(O141="Sí",O141="Si")),1,0)</f>
        <v>0</v>
      </c>
      <c r="S141" s="62" t="n">
        <f aca="false">IF(AND(K141&gt;0,R141=0),1,0)</f>
        <v>0</v>
      </c>
    </row>
    <row r="142" customFormat="false" ht="15" hidden="false" customHeight="false" outlineLevel="0" collapsed="false">
      <c r="B142" s="71" t="str">
        <f aca="false">IF($F$6="Sí",N($C$11)+115,"")</f>
        <v/>
      </c>
      <c r="C142" s="72" t="str">
        <f aca="false">IF(OR($F$6&lt;&gt;"Sí",D142&lt;=0.5),"",EDATE($C$10,115))</f>
        <v/>
      </c>
      <c r="D142" s="41" t="n">
        <f aca="false">MAX(0,M141)</f>
        <v>0</v>
      </c>
      <c r="E142" s="41" t="n">
        <f aca="false">D142*$F$7</f>
        <v>0</v>
      </c>
      <c r="F142" s="41" t="n">
        <f aca="false">IF(D142&gt;0.5,N($C$15),0)</f>
        <v>0</v>
      </c>
      <c r="G142" s="41" t="n">
        <f aca="false">IF(AND(D142&gt;0.5,N($C$19)&gt;0,N(B142)&lt;=N($C$20)),D142*$F$8,0)</f>
        <v>0</v>
      </c>
      <c r="H142" s="41" t="n">
        <f aca="false">IF(D142&lt;=0.5,0,MIN(IF(N(I142)&gt;0,I142,$F$9),D142+E142+F142))</f>
        <v>0</v>
      </c>
      <c r="I142" s="77"/>
      <c r="J142" s="77"/>
      <c r="K142" s="41" t="n">
        <f aca="false">IF(D142&lt;=0.5,0,MIN(H142+N(J142),D142+E142+F142))</f>
        <v>0</v>
      </c>
      <c r="L142" s="41" t="n">
        <f aca="false">K142-E142-F142</f>
        <v>0</v>
      </c>
      <c r="M142" s="41" t="n">
        <f aca="false">D142-L142</f>
        <v>0</v>
      </c>
      <c r="N142" s="42" t="n">
        <f aca="false">K142-G142</f>
        <v>0</v>
      </c>
      <c r="O142" s="78"/>
      <c r="P142" s="79"/>
      <c r="Q142" s="16" t="str">
        <f aca="false">IF(K142=0,"",IF(R142=1,"Pagada",IF(C142&lt;$F$12,"Vencida",IF(116=$F$13,"Próxima","Pendiente"))))</f>
        <v/>
      </c>
      <c r="R142" s="62" t="n">
        <f aca="false">IF(AND(K142&gt;0,OR(O142="Sí",O142="Si")),1,0)</f>
        <v>0</v>
      </c>
      <c r="S142" s="62" t="n">
        <f aca="false">IF(AND(K142&gt;0,R142=0),1,0)</f>
        <v>0</v>
      </c>
    </row>
    <row r="143" customFormat="false" ht="15" hidden="false" customHeight="false" outlineLevel="0" collapsed="false">
      <c r="B143" s="71" t="str">
        <f aca="false">IF($F$6="Sí",N($C$11)+116,"")</f>
        <v/>
      </c>
      <c r="C143" s="72" t="str">
        <f aca="false">IF(OR($F$6&lt;&gt;"Sí",D143&lt;=0.5),"",EDATE($C$10,116))</f>
        <v/>
      </c>
      <c r="D143" s="41" t="n">
        <f aca="false">MAX(0,M142)</f>
        <v>0</v>
      </c>
      <c r="E143" s="41" t="n">
        <f aca="false">D143*$F$7</f>
        <v>0</v>
      </c>
      <c r="F143" s="41" t="n">
        <f aca="false">IF(D143&gt;0.5,N($C$15),0)</f>
        <v>0</v>
      </c>
      <c r="G143" s="41" t="n">
        <f aca="false">IF(AND(D143&gt;0.5,N($C$19)&gt;0,N(B143)&lt;=N($C$20)),D143*$F$8,0)</f>
        <v>0</v>
      </c>
      <c r="H143" s="41" t="n">
        <f aca="false">IF(D143&lt;=0.5,0,MIN(IF(N(I143)&gt;0,I143,$F$9),D143+E143+F143))</f>
        <v>0</v>
      </c>
      <c r="I143" s="77"/>
      <c r="J143" s="77"/>
      <c r="K143" s="41" t="n">
        <f aca="false">IF(D143&lt;=0.5,0,MIN(H143+N(J143),D143+E143+F143))</f>
        <v>0</v>
      </c>
      <c r="L143" s="41" t="n">
        <f aca="false">K143-E143-F143</f>
        <v>0</v>
      </c>
      <c r="M143" s="41" t="n">
        <f aca="false">D143-L143</f>
        <v>0</v>
      </c>
      <c r="N143" s="42" t="n">
        <f aca="false">K143-G143</f>
        <v>0</v>
      </c>
      <c r="O143" s="78"/>
      <c r="P143" s="79"/>
      <c r="Q143" s="16" t="str">
        <f aca="false">IF(K143=0,"",IF(R143=1,"Pagada",IF(C143&lt;$F$12,"Vencida",IF(117=$F$13,"Próxima","Pendiente"))))</f>
        <v/>
      </c>
      <c r="R143" s="62" t="n">
        <f aca="false">IF(AND(K143&gt;0,OR(O143="Sí",O143="Si")),1,0)</f>
        <v>0</v>
      </c>
      <c r="S143" s="62" t="n">
        <f aca="false">IF(AND(K143&gt;0,R143=0),1,0)</f>
        <v>0</v>
      </c>
    </row>
    <row r="144" customFormat="false" ht="15" hidden="false" customHeight="false" outlineLevel="0" collapsed="false">
      <c r="B144" s="71" t="str">
        <f aca="false">IF($F$6="Sí",N($C$11)+117,"")</f>
        <v/>
      </c>
      <c r="C144" s="72" t="str">
        <f aca="false">IF(OR($F$6&lt;&gt;"Sí",D144&lt;=0.5),"",EDATE($C$10,117))</f>
        <v/>
      </c>
      <c r="D144" s="41" t="n">
        <f aca="false">MAX(0,M143)</f>
        <v>0</v>
      </c>
      <c r="E144" s="41" t="n">
        <f aca="false">D144*$F$7</f>
        <v>0</v>
      </c>
      <c r="F144" s="41" t="n">
        <f aca="false">IF(D144&gt;0.5,N($C$15),0)</f>
        <v>0</v>
      </c>
      <c r="G144" s="41" t="n">
        <f aca="false">IF(AND(D144&gt;0.5,N($C$19)&gt;0,N(B144)&lt;=N($C$20)),D144*$F$8,0)</f>
        <v>0</v>
      </c>
      <c r="H144" s="41" t="n">
        <f aca="false">IF(D144&lt;=0.5,0,MIN(IF(N(I144)&gt;0,I144,$F$9),D144+E144+F144))</f>
        <v>0</v>
      </c>
      <c r="I144" s="77"/>
      <c r="J144" s="77"/>
      <c r="K144" s="41" t="n">
        <f aca="false">IF(D144&lt;=0.5,0,MIN(H144+N(J144),D144+E144+F144))</f>
        <v>0</v>
      </c>
      <c r="L144" s="41" t="n">
        <f aca="false">K144-E144-F144</f>
        <v>0</v>
      </c>
      <c r="M144" s="41" t="n">
        <f aca="false">D144-L144</f>
        <v>0</v>
      </c>
      <c r="N144" s="42" t="n">
        <f aca="false">K144-G144</f>
        <v>0</v>
      </c>
      <c r="O144" s="78"/>
      <c r="P144" s="79"/>
      <c r="Q144" s="16" t="str">
        <f aca="false">IF(K144=0,"",IF(R144=1,"Pagada",IF(C144&lt;$F$12,"Vencida",IF(118=$F$13,"Próxima","Pendiente"))))</f>
        <v/>
      </c>
      <c r="R144" s="62" t="n">
        <f aca="false">IF(AND(K144&gt;0,OR(O144="Sí",O144="Si")),1,0)</f>
        <v>0</v>
      </c>
      <c r="S144" s="62" t="n">
        <f aca="false">IF(AND(K144&gt;0,R144=0),1,0)</f>
        <v>0</v>
      </c>
    </row>
    <row r="145" customFormat="false" ht="15" hidden="false" customHeight="false" outlineLevel="0" collapsed="false">
      <c r="B145" s="71" t="str">
        <f aca="false">IF($F$6="Sí",N($C$11)+118,"")</f>
        <v/>
      </c>
      <c r="C145" s="72" t="str">
        <f aca="false">IF(OR($F$6&lt;&gt;"Sí",D145&lt;=0.5),"",EDATE($C$10,118))</f>
        <v/>
      </c>
      <c r="D145" s="41" t="n">
        <f aca="false">MAX(0,M144)</f>
        <v>0</v>
      </c>
      <c r="E145" s="41" t="n">
        <f aca="false">D145*$F$7</f>
        <v>0</v>
      </c>
      <c r="F145" s="41" t="n">
        <f aca="false">IF(D145&gt;0.5,N($C$15),0)</f>
        <v>0</v>
      </c>
      <c r="G145" s="41" t="n">
        <f aca="false">IF(AND(D145&gt;0.5,N($C$19)&gt;0,N(B145)&lt;=N($C$20)),D145*$F$8,0)</f>
        <v>0</v>
      </c>
      <c r="H145" s="41" t="n">
        <f aca="false">IF(D145&lt;=0.5,0,MIN(IF(N(I145)&gt;0,I145,$F$9),D145+E145+F145))</f>
        <v>0</v>
      </c>
      <c r="I145" s="77"/>
      <c r="J145" s="77"/>
      <c r="K145" s="41" t="n">
        <f aca="false">IF(D145&lt;=0.5,0,MIN(H145+N(J145),D145+E145+F145))</f>
        <v>0</v>
      </c>
      <c r="L145" s="41" t="n">
        <f aca="false">K145-E145-F145</f>
        <v>0</v>
      </c>
      <c r="M145" s="41" t="n">
        <f aca="false">D145-L145</f>
        <v>0</v>
      </c>
      <c r="N145" s="42" t="n">
        <f aca="false">K145-G145</f>
        <v>0</v>
      </c>
      <c r="O145" s="78"/>
      <c r="P145" s="79"/>
      <c r="Q145" s="16" t="str">
        <f aca="false">IF(K145=0,"",IF(R145=1,"Pagada",IF(C145&lt;$F$12,"Vencida",IF(119=$F$13,"Próxima","Pendiente"))))</f>
        <v/>
      </c>
      <c r="R145" s="62" t="n">
        <f aca="false">IF(AND(K145&gt;0,OR(O145="Sí",O145="Si")),1,0)</f>
        <v>0</v>
      </c>
      <c r="S145" s="62" t="n">
        <f aca="false">IF(AND(K145&gt;0,R145=0),1,0)</f>
        <v>0</v>
      </c>
    </row>
    <row r="146" customFormat="false" ht="15" hidden="false" customHeight="false" outlineLevel="0" collapsed="false">
      <c r="B146" s="71" t="str">
        <f aca="false">IF($F$6="Sí",N($C$11)+119,"")</f>
        <v/>
      </c>
      <c r="C146" s="72" t="str">
        <f aca="false">IF(OR($F$6&lt;&gt;"Sí",D146&lt;=0.5),"",EDATE($C$10,119))</f>
        <v/>
      </c>
      <c r="D146" s="41" t="n">
        <f aca="false">MAX(0,M145)</f>
        <v>0</v>
      </c>
      <c r="E146" s="41" t="n">
        <f aca="false">D146*$F$7</f>
        <v>0</v>
      </c>
      <c r="F146" s="41" t="n">
        <f aca="false">IF(D146&gt;0.5,N($C$15),0)</f>
        <v>0</v>
      </c>
      <c r="G146" s="41" t="n">
        <f aca="false">IF(AND(D146&gt;0.5,N($C$19)&gt;0,N(B146)&lt;=N($C$20)),D146*$F$8,0)</f>
        <v>0</v>
      </c>
      <c r="H146" s="41" t="n">
        <f aca="false">IF(D146&lt;=0.5,0,MIN(IF(N(I146)&gt;0,I146,$F$9),D146+E146+F146))</f>
        <v>0</v>
      </c>
      <c r="I146" s="77"/>
      <c r="J146" s="77"/>
      <c r="K146" s="41" t="n">
        <f aca="false">IF(D146&lt;=0.5,0,MIN(H146+N(J146),D146+E146+F146))</f>
        <v>0</v>
      </c>
      <c r="L146" s="41" t="n">
        <f aca="false">K146-E146-F146</f>
        <v>0</v>
      </c>
      <c r="M146" s="41" t="n">
        <f aca="false">D146-L146</f>
        <v>0</v>
      </c>
      <c r="N146" s="42" t="n">
        <f aca="false">K146-G146</f>
        <v>0</v>
      </c>
      <c r="O146" s="78"/>
      <c r="P146" s="79"/>
      <c r="Q146" s="16" t="str">
        <f aca="false">IF(K146=0,"",IF(R146=1,"Pagada",IF(C146&lt;$F$12,"Vencida",IF(120=$F$13,"Próxima","Pendiente"))))</f>
        <v/>
      </c>
      <c r="R146" s="62" t="n">
        <f aca="false">IF(AND(K146&gt;0,OR(O146="Sí",O146="Si")),1,0)</f>
        <v>0</v>
      </c>
      <c r="S146" s="62" t="n">
        <f aca="false">IF(AND(K146&gt;0,R146=0),1,0)</f>
        <v>0</v>
      </c>
    </row>
    <row r="147" customFormat="false" ht="15" hidden="false" customHeight="false" outlineLevel="0" collapsed="false">
      <c r="B147" s="71" t="str">
        <f aca="false">IF($F$6="Sí",N($C$11)+120,"")</f>
        <v/>
      </c>
      <c r="C147" s="72" t="str">
        <f aca="false">IF(OR($F$6&lt;&gt;"Sí",D147&lt;=0.5),"",EDATE($C$10,120))</f>
        <v/>
      </c>
      <c r="D147" s="41" t="n">
        <f aca="false">MAX(0,M146)</f>
        <v>0</v>
      </c>
      <c r="E147" s="41" t="n">
        <f aca="false">D147*$F$7</f>
        <v>0</v>
      </c>
      <c r="F147" s="41" t="n">
        <f aca="false">IF(D147&gt;0.5,N($C$15),0)</f>
        <v>0</v>
      </c>
      <c r="G147" s="41" t="n">
        <f aca="false">IF(AND(D147&gt;0.5,N($C$19)&gt;0,N(B147)&lt;=N($C$20)),D147*$F$8,0)</f>
        <v>0</v>
      </c>
      <c r="H147" s="41" t="n">
        <f aca="false">IF(D147&lt;=0.5,0,MIN(IF(N(I147)&gt;0,I147,$F$9),D147+E147+F147))</f>
        <v>0</v>
      </c>
      <c r="I147" s="77"/>
      <c r="J147" s="77"/>
      <c r="K147" s="41" t="n">
        <f aca="false">IF(D147&lt;=0.5,0,MIN(H147+N(J147),D147+E147+F147))</f>
        <v>0</v>
      </c>
      <c r="L147" s="41" t="n">
        <f aca="false">K147-E147-F147</f>
        <v>0</v>
      </c>
      <c r="M147" s="41" t="n">
        <f aca="false">D147-L147</f>
        <v>0</v>
      </c>
      <c r="N147" s="42" t="n">
        <f aca="false">K147-G147</f>
        <v>0</v>
      </c>
      <c r="O147" s="78"/>
      <c r="P147" s="79"/>
      <c r="Q147" s="16" t="str">
        <f aca="false">IF(K147=0,"",IF(R147=1,"Pagada",IF(C147&lt;$F$12,"Vencida",IF(121=$F$13,"Próxima","Pendiente"))))</f>
        <v/>
      </c>
      <c r="R147" s="62" t="n">
        <f aca="false">IF(AND(K147&gt;0,OR(O147="Sí",O147="Si")),1,0)</f>
        <v>0</v>
      </c>
      <c r="S147" s="62" t="n">
        <f aca="false">IF(AND(K147&gt;0,R147=0),1,0)</f>
        <v>0</v>
      </c>
    </row>
    <row r="148" customFormat="false" ht="15" hidden="false" customHeight="false" outlineLevel="0" collapsed="false">
      <c r="B148" s="71" t="str">
        <f aca="false">IF($F$6="Sí",N($C$11)+121,"")</f>
        <v/>
      </c>
      <c r="C148" s="72" t="str">
        <f aca="false">IF(OR($F$6&lt;&gt;"Sí",D148&lt;=0.5),"",EDATE($C$10,121))</f>
        <v/>
      </c>
      <c r="D148" s="41" t="n">
        <f aca="false">MAX(0,M147)</f>
        <v>0</v>
      </c>
      <c r="E148" s="41" t="n">
        <f aca="false">D148*$F$7</f>
        <v>0</v>
      </c>
      <c r="F148" s="41" t="n">
        <f aca="false">IF(D148&gt;0.5,N($C$15),0)</f>
        <v>0</v>
      </c>
      <c r="G148" s="41" t="n">
        <f aca="false">IF(AND(D148&gt;0.5,N($C$19)&gt;0,N(B148)&lt;=N($C$20)),D148*$F$8,0)</f>
        <v>0</v>
      </c>
      <c r="H148" s="41" t="n">
        <f aca="false">IF(D148&lt;=0.5,0,MIN(IF(N(I148)&gt;0,I148,$F$9),D148+E148+F148))</f>
        <v>0</v>
      </c>
      <c r="I148" s="77"/>
      <c r="J148" s="77"/>
      <c r="K148" s="41" t="n">
        <f aca="false">IF(D148&lt;=0.5,0,MIN(H148+N(J148),D148+E148+F148))</f>
        <v>0</v>
      </c>
      <c r="L148" s="41" t="n">
        <f aca="false">K148-E148-F148</f>
        <v>0</v>
      </c>
      <c r="M148" s="41" t="n">
        <f aca="false">D148-L148</f>
        <v>0</v>
      </c>
      <c r="N148" s="42" t="n">
        <f aca="false">K148-G148</f>
        <v>0</v>
      </c>
      <c r="O148" s="78"/>
      <c r="P148" s="79"/>
      <c r="Q148" s="16" t="str">
        <f aca="false">IF(K148=0,"",IF(R148=1,"Pagada",IF(C148&lt;$F$12,"Vencida",IF(122=$F$13,"Próxima","Pendiente"))))</f>
        <v/>
      </c>
      <c r="R148" s="62" t="n">
        <f aca="false">IF(AND(K148&gt;0,OR(O148="Sí",O148="Si")),1,0)</f>
        <v>0</v>
      </c>
      <c r="S148" s="62" t="n">
        <f aca="false">IF(AND(K148&gt;0,R148=0),1,0)</f>
        <v>0</v>
      </c>
    </row>
    <row r="149" customFormat="false" ht="15" hidden="false" customHeight="false" outlineLevel="0" collapsed="false">
      <c r="B149" s="71" t="str">
        <f aca="false">IF($F$6="Sí",N($C$11)+122,"")</f>
        <v/>
      </c>
      <c r="C149" s="72" t="str">
        <f aca="false">IF(OR($F$6&lt;&gt;"Sí",D149&lt;=0.5),"",EDATE($C$10,122))</f>
        <v/>
      </c>
      <c r="D149" s="41" t="n">
        <f aca="false">MAX(0,M148)</f>
        <v>0</v>
      </c>
      <c r="E149" s="41" t="n">
        <f aca="false">D149*$F$7</f>
        <v>0</v>
      </c>
      <c r="F149" s="41" t="n">
        <f aca="false">IF(D149&gt;0.5,N($C$15),0)</f>
        <v>0</v>
      </c>
      <c r="G149" s="41" t="n">
        <f aca="false">IF(AND(D149&gt;0.5,N($C$19)&gt;0,N(B149)&lt;=N($C$20)),D149*$F$8,0)</f>
        <v>0</v>
      </c>
      <c r="H149" s="41" t="n">
        <f aca="false">IF(D149&lt;=0.5,0,MIN(IF(N(I149)&gt;0,I149,$F$9),D149+E149+F149))</f>
        <v>0</v>
      </c>
      <c r="I149" s="77"/>
      <c r="J149" s="77"/>
      <c r="K149" s="41" t="n">
        <f aca="false">IF(D149&lt;=0.5,0,MIN(H149+N(J149),D149+E149+F149))</f>
        <v>0</v>
      </c>
      <c r="L149" s="41" t="n">
        <f aca="false">K149-E149-F149</f>
        <v>0</v>
      </c>
      <c r="M149" s="41" t="n">
        <f aca="false">D149-L149</f>
        <v>0</v>
      </c>
      <c r="N149" s="42" t="n">
        <f aca="false">K149-G149</f>
        <v>0</v>
      </c>
      <c r="O149" s="78"/>
      <c r="P149" s="79"/>
      <c r="Q149" s="16" t="str">
        <f aca="false">IF(K149=0,"",IF(R149=1,"Pagada",IF(C149&lt;$F$12,"Vencida",IF(123=$F$13,"Próxima","Pendiente"))))</f>
        <v/>
      </c>
      <c r="R149" s="62" t="n">
        <f aca="false">IF(AND(K149&gt;0,OR(O149="Sí",O149="Si")),1,0)</f>
        <v>0</v>
      </c>
      <c r="S149" s="62" t="n">
        <f aca="false">IF(AND(K149&gt;0,R149=0),1,0)</f>
        <v>0</v>
      </c>
    </row>
    <row r="150" customFormat="false" ht="15" hidden="false" customHeight="false" outlineLevel="0" collapsed="false">
      <c r="B150" s="71" t="str">
        <f aca="false">IF($F$6="Sí",N($C$11)+123,"")</f>
        <v/>
      </c>
      <c r="C150" s="72" t="str">
        <f aca="false">IF(OR($F$6&lt;&gt;"Sí",D150&lt;=0.5),"",EDATE($C$10,123))</f>
        <v/>
      </c>
      <c r="D150" s="41" t="n">
        <f aca="false">MAX(0,M149)</f>
        <v>0</v>
      </c>
      <c r="E150" s="41" t="n">
        <f aca="false">D150*$F$7</f>
        <v>0</v>
      </c>
      <c r="F150" s="41" t="n">
        <f aca="false">IF(D150&gt;0.5,N($C$15),0)</f>
        <v>0</v>
      </c>
      <c r="G150" s="41" t="n">
        <f aca="false">IF(AND(D150&gt;0.5,N($C$19)&gt;0,N(B150)&lt;=N($C$20)),D150*$F$8,0)</f>
        <v>0</v>
      </c>
      <c r="H150" s="41" t="n">
        <f aca="false">IF(D150&lt;=0.5,0,MIN(IF(N(I150)&gt;0,I150,$F$9),D150+E150+F150))</f>
        <v>0</v>
      </c>
      <c r="I150" s="77"/>
      <c r="J150" s="77"/>
      <c r="K150" s="41" t="n">
        <f aca="false">IF(D150&lt;=0.5,0,MIN(H150+N(J150),D150+E150+F150))</f>
        <v>0</v>
      </c>
      <c r="L150" s="41" t="n">
        <f aca="false">K150-E150-F150</f>
        <v>0</v>
      </c>
      <c r="M150" s="41" t="n">
        <f aca="false">D150-L150</f>
        <v>0</v>
      </c>
      <c r="N150" s="42" t="n">
        <f aca="false">K150-G150</f>
        <v>0</v>
      </c>
      <c r="O150" s="78"/>
      <c r="P150" s="79"/>
      <c r="Q150" s="16" t="str">
        <f aca="false">IF(K150=0,"",IF(R150=1,"Pagada",IF(C150&lt;$F$12,"Vencida",IF(124=$F$13,"Próxima","Pendiente"))))</f>
        <v/>
      </c>
      <c r="R150" s="62" t="n">
        <f aca="false">IF(AND(K150&gt;0,OR(O150="Sí",O150="Si")),1,0)</f>
        <v>0</v>
      </c>
      <c r="S150" s="62" t="n">
        <f aca="false">IF(AND(K150&gt;0,R150=0),1,0)</f>
        <v>0</v>
      </c>
    </row>
    <row r="151" customFormat="false" ht="15" hidden="false" customHeight="false" outlineLevel="0" collapsed="false">
      <c r="B151" s="71" t="str">
        <f aca="false">IF($F$6="Sí",N($C$11)+124,"")</f>
        <v/>
      </c>
      <c r="C151" s="72" t="str">
        <f aca="false">IF(OR($F$6&lt;&gt;"Sí",D151&lt;=0.5),"",EDATE($C$10,124))</f>
        <v/>
      </c>
      <c r="D151" s="41" t="n">
        <f aca="false">MAX(0,M150)</f>
        <v>0</v>
      </c>
      <c r="E151" s="41" t="n">
        <f aca="false">D151*$F$7</f>
        <v>0</v>
      </c>
      <c r="F151" s="41" t="n">
        <f aca="false">IF(D151&gt;0.5,N($C$15),0)</f>
        <v>0</v>
      </c>
      <c r="G151" s="41" t="n">
        <f aca="false">IF(AND(D151&gt;0.5,N($C$19)&gt;0,N(B151)&lt;=N($C$20)),D151*$F$8,0)</f>
        <v>0</v>
      </c>
      <c r="H151" s="41" t="n">
        <f aca="false">IF(D151&lt;=0.5,0,MIN(IF(N(I151)&gt;0,I151,$F$9),D151+E151+F151))</f>
        <v>0</v>
      </c>
      <c r="I151" s="77"/>
      <c r="J151" s="77"/>
      <c r="K151" s="41" t="n">
        <f aca="false">IF(D151&lt;=0.5,0,MIN(H151+N(J151),D151+E151+F151))</f>
        <v>0</v>
      </c>
      <c r="L151" s="41" t="n">
        <f aca="false">K151-E151-F151</f>
        <v>0</v>
      </c>
      <c r="M151" s="41" t="n">
        <f aca="false">D151-L151</f>
        <v>0</v>
      </c>
      <c r="N151" s="42" t="n">
        <f aca="false">K151-G151</f>
        <v>0</v>
      </c>
      <c r="O151" s="78"/>
      <c r="P151" s="79"/>
      <c r="Q151" s="16" t="str">
        <f aca="false">IF(K151=0,"",IF(R151=1,"Pagada",IF(C151&lt;$F$12,"Vencida",IF(125=$F$13,"Próxima","Pendiente"))))</f>
        <v/>
      </c>
      <c r="R151" s="62" t="n">
        <f aca="false">IF(AND(K151&gt;0,OR(O151="Sí",O151="Si")),1,0)</f>
        <v>0</v>
      </c>
      <c r="S151" s="62" t="n">
        <f aca="false">IF(AND(K151&gt;0,R151=0),1,0)</f>
        <v>0</v>
      </c>
    </row>
    <row r="152" customFormat="false" ht="15" hidden="false" customHeight="false" outlineLevel="0" collapsed="false">
      <c r="B152" s="71" t="str">
        <f aca="false">IF($F$6="Sí",N($C$11)+125,"")</f>
        <v/>
      </c>
      <c r="C152" s="72" t="str">
        <f aca="false">IF(OR($F$6&lt;&gt;"Sí",D152&lt;=0.5),"",EDATE($C$10,125))</f>
        <v/>
      </c>
      <c r="D152" s="41" t="n">
        <f aca="false">MAX(0,M151)</f>
        <v>0</v>
      </c>
      <c r="E152" s="41" t="n">
        <f aca="false">D152*$F$7</f>
        <v>0</v>
      </c>
      <c r="F152" s="41" t="n">
        <f aca="false">IF(D152&gt;0.5,N($C$15),0)</f>
        <v>0</v>
      </c>
      <c r="G152" s="41" t="n">
        <f aca="false">IF(AND(D152&gt;0.5,N($C$19)&gt;0,N(B152)&lt;=N($C$20)),D152*$F$8,0)</f>
        <v>0</v>
      </c>
      <c r="H152" s="41" t="n">
        <f aca="false">IF(D152&lt;=0.5,0,MIN(IF(N(I152)&gt;0,I152,$F$9),D152+E152+F152))</f>
        <v>0</v>
      </c>
      <c r="I152" s="77"/>
      <c r="J152" s="77"/>
      <c r="K152" s="41" t="n">
        <f aca="false">IF(D152&lt;=0.5,0,MIN(H152+N(J152),D152+E152+F152))</f>
        <v>0</v>
      </c>
      <c r="L152" s="41" t="n">
        <f aca="false">K152-E152-F152</f>
        <v>0</v>
      </c>
      <c r="M152" s="41" t="n">
        <f aca="false">D152-L152</f>
        <v>0</v>
      </c>
      <c r="N152" s="42" t="n">
        <f aca="false">K152-G152</f>
        <v>0</v>
      </c>
      <c r="O152" s="78"/>
      <c r="P152" s="79"/>
      <c r="Q152" s="16" t="str">
        <f aca="false">IF(K152=0,"",IF(R152=1,"Pagada",IF(C152&lt;$F$12,"Vencida",IF(126=$F$13,"Próxima","Pendiente"))))</f>
        <v/>
      </c>
      <c r="R152" s="62" t="n">
        <f aca="false">IF(AND(K152&gt;0,OR(O152="Sí",O152="Si")),1,0)</f>
        <v>0</v>
      </c>
      <c r="S152" s="62" t="n">
        <f aca="false">IF(AND(K152&gt;0,R152=0),1,0)</f>
        <v>0</v>
      </c>
    </row>
    <row r="153" customFormat="false" ht="15" hidden="false" customHeight="false" outlineLevel="0" collapsed="false">
      <c r="B153" s="71" t="str">
        <f aca="false">IF($F$6="Sí",N($C$11)+126,"")</f>
        <v/>
      </c>
      <c r="C153" s="72" t="str">
        <f aca="false">IF(OR($F$6&lt;&gt;"Sí",D153&lt;=0.5),"",EDATE($C$10,126))</f>
        <v/>
      </c>
      <c r="D153" s="41" t="n">
        <f aca="false">MAX(0,M152)</f>
        <v>0</v>
      </c>
      <c r="E153" s="41" t="n">
        <f aca="false">D153*$F$7</f>
        <v>0</v>
      </c>
      <c r="F153" s="41" t="n">
        <f aca="false">IF(D153&gt;0.5,N($C$15),0)</f>
        <v>0</v>
      </c>
      <c r="G153" s="41" t="n">
        <f aca="false">IF(AND(D153&gt;0.5,N($C$19)&gt;0,N(B153)&lt;=N($C$20)),D153*$F$8,0)</f>
        <v>0</v>
      </c>
      <c r="H153" s="41" t="n">
        <f aca="false">IF(D153&lt;=0.5,0,MIN(IF(N(I153)&gt;0,I153,$F$9),D153+E153+F153))</f>
        <v>0</v>
      </c>
      <c r="I153" s="77"/>
      <c r="J153" s="77"/>
      <c r="K153" s="41" t="n">
        <f aca="false">IF(D153&lt;=0.5,0,MIN(H153+N(J153),D153+E153+F153))</f>
        <v>0</v>
      </c>
      <c r="L153" s="41" t="n">
        <f aca="false">K153-E153-F153</f>
        <v>0</v>
      </c>
      <c r="M153" s="41" t="n">
        <f aca="false">D153-L153</f>
        <v>0</v>
      </c>
      <c r="N153" s="42" t="n">
        <f aca="false">K153-G153</f>
        <v>0</v>
      </c>
      <c r="O153" s="78"/>
      <c r="P153" s="79"/>
      <c r="Q153" s="16" t="str">
        <f aca="false">IF(K153=0,"",IF(R153=1,"Pagada",IF(C153&lt;$F$12,"Vencida",IF(127=$F$13,"Próxima","Pendiente"))))</f>
        <v/>
      </c>
      <c r="R153" s="62" t="n">
        <f aca="false">IF(AND(K153&gt;0,OR(O153="Sí",O153="Si")),1,0)</f>
        <v>0</v>
      </c>
      <c r="S153" s="62" t="n">
        <f aca="false">IF(AND(K153&gt;0,R153=0),1,0)</f>
        <v>0</v>
      </c>
    </row>
    <row r="154" customFormat="false" ht="15" hidden="false" customHeight="false" outlineLevel="0" collapsed="false">
      <c r="B154" s="71" t="str">
        <f aca="false">IF($F$6="Sí",N($C$11)+127,"")</f>
        <v/>
      </c>
      <c r="C154" s="72" t="str">
        <f aca="false">IF(OR($F$6&lt;&gt;"Sí",D154&lt;=0.5),"",EDATE($C$10,127))</f>
        <v/>
      </c>
      <c r="D154" s="41" t="n">
        <f aca="false">MAX(0,M153)</f>
        <v>0</v>
      </c>
      <c r="E154" s="41" t="n">
        <f aca="false">D154*$F$7</f>
        <v>0</v>
      </c>
      <c r="F154" s="41" t="n">
        <f aca="false">IF(D154&gt;0.5,N($C$15),0)</f>
        <v>0</v>
      </c>
      <c r="G154" s="41" t="n">
        <f aca="false">IF(AND(D154&gt;0.5,N($C$19)&gt;0,N(B154)&lt;=N($C$20)),D154*$F$8,0)</f>
        <v>0</v>
      </c>
      <c r="H154" s="41" t="n">
        <f aca="false">IF(D154&lt;=0.5,0,MIN(IF(N(I154)&gt;0,I154,$F$9),D154+E154+F154))</f>
        <v>0</v>
      </c>
      <c r="I154" s="77"/>
      <c r="J154" s="77"/>
      <c r="K154" s="41" t="n">
        <f aca="false">IF(D154&lt;=0.5,0,MIN(H154+N(J154),D154+E154+F154))</f>
        <v>0</v>
      </c>
      <c r="L154" s="41" t="n">
        <f aca="false">K154-E154-F154</f>
        <v>0</v>
      </c>
      <c r="M154" s="41" t="n">
        <f aca="false">D154-L154</f>
        <v>0</v>
      </c>
      <c r="N154" s="42" t="n">
        <f aca="false">K154-G154</f>
        <v>0</v>
      </c>
      <c r="O154" s="78"/>
      <c r="P154" s="79"/>
      <c r="Q154" s="16" t="str">
        <f aca="false">IF(K154=0,"",IF(R154=1,"Pagada",IF(C154&lt;$F$12,"Vencida",IF(128=$F$13,"Próxima","Pendiente"))))</f>
        <v/>
      </c>
      <c r="R154" s="62" t="n">
        <f aca="false">IF(AND(K154&gt;0,OR(O154="Sí",O154="Si")),1,0)</f>
        <v>0</v>
      </c>
      <c r="S154" s="62" t="n">
        <f aca="false">IF(AND(K154&gt;0,R154=0),1,0)</f>
        <v>0</v>
      </c>
    </row>
    <row r="155" customFormat="false" ht="15" hidden="false" customHeight="false" outlineLevel="0" collapsed="false">
      <c r="B155" s="71" t="str">
        <f aca="false">IF($F$6="Sí",N($C$11)+128,"")</f>
        <v/>
      </c>
      <c r="C155" s="72" t="str">
        <f aca="false">IF(OR($F$6&lt;&gt;"Sí",D155&lt;=0.5),"",EDATE($C$10,128))</f>
        <v/>
      </c>
      <c r="D155" s="41" t="n">
        <f aca="false">MAX(0,M154)</f>
        <v>0</v>
      </c>
      <c r="E155" s="41" t="n">
        <f aca="false">D155*$F$7</f>
        <v>0</v>
      </c>
      <c r="F155" s="41" t="n">
        <f aca="false">IF(D155&gt;0.5,N($C$15),0)</f>
        <v>0</v>
      </c>
      <c r="G155" s="41" t="n">
        <f aca="false">IF(AND(D155&gt;0.5,N($C$19)&gt;0,N(B155)&lt;=N($C$20)),D155*$F$8,0)</f>
        <v>0</v>
      </c>
      <c r="H155" s="41" t="n">
        <f aca="false">IF(D155&lt;=0.5,0,MIN(IF(N(I155)&gt;0,I155,$F$9),D155+E155+F155))</f>
        <v>0</v>
      </c>
      <c r="I155" s="77"/>
      <c r="J155" s="77"/>
      <c r="K155" s="41" t="n">
        <f aca="false">IF(D155&lt;=0.5,0,MIN(H155+N(J155),D155+E155+F155))</f>
        <v>0</v>
      </c>
      <c r="L155" s="41" t="n">
        <f aca="false">K155-E155-F155</f>
        <v>0</v>
      </c>
      <c r="M155" s="41" t="n">
        <f aca="false">D155-L155</f>
        <v>0</v>
      </c>
      <c r="N155" s="42" t="n">
        <f aca="false">K155-G155</f>
        <v>0</v>
      </c>
      <c r="O155" s="78"/>
      <c r="P155" s="79"/>
      <c r="Q155" s="16" t="str">
        <f aca="false">IF(K155=0,"",IF(R155=1,"Pagada",IF(C155&lt;$F$12,"Vencida",IF(129=$F$13,"Próxima","Pendiente"))))</f>
        <v/>
      </c>
      <c r="R155" s="62" t="n">
        <f aca="false">IF(AND(K155&gt;0,OR(O155="Sí",O155="Si")),1,0)</f>
        <v>0</v>
      </c>
      <c r="S155" s="62" t="n">
        <f aca="false">IF(AND(K155&gt;0,R155=0),1,0)</f>
        <v>0</v>
      </c>
    </row>
    <row r="156" customFormat="false" ht="15" hidden="false" customHeight="false" outlineLevel="0" collapsed="false">
      <c r="B156" s="71" t="str">
        <f aca="false">IF($F$6="Sí",N($C$11)+129,"")</f>
        <v/>
      </c>
      <c r="C156" s="72" t="str">
        <f aca="false">IF(OR($F$6&lt;&gt;"Sí",D156&lt;=0.5),"",EDATE($C$10,129))</f>
        <v/>
      </c>
      <c r="D156" s="41" t="n">
        <f aca="false">MAX(0,M155)</f>
        <v>0</v>
      </c>
      <c r="E156" s="41" t="n">
        <f aca="false">D156*$F$7</f>
        <v>0</v>
      </c>
      <c r="F156" s="41" t="n">
        <f aca="false">IF(D156&gt;0.5,N($C$15),0)</f>
        <v>0</v>
      </c>
      <c r="G156" s="41" t="n">
        <f aca="false">IF(AND(D156&gt;0.5,N($C$19)&gt;0,N(B156)&lt;=N($C$20)),D156*$F$8,0)</f>
        <v>0</v>
      </c>
      <c r="H156" s="41" t="n">
        <f aca="false">IF(D156&lt;=0.5,0,MIN(IF(N(I156)&gt;0,I156,$F$9),D156+E156+F156))</f>
        <v>0</v>
      </c>
      <c r="I156" s="77"/>
      <c r="J156" s="77"/>
      <c r="K156" s="41" t="n">
        <f aca="false">IF(D156&lt;=0.5,0,MIN(H156+N(J156),D156+E156+F156))</f>
        <v>0</v>
      </c>
      <c r="L156" s="41" t="n">
        <f aca="false">K156-E156-F156</f>
        <v>0</v>
      </c>
      <c r="M156" s="41" t="n">
        <f aca="false">D156-L156</f>
        <v>0</v>
      </c>
      <c r="N156" s="42" t="n">
        <f aca="false">K156-G156</f>
        <v>0</v>
      </c>
      <c r="O156" s="78"/>
      <c r="P156" s="79"/>
      <c r="Q156" s="16" t="str">
        <f aca="false">IF(K156=0,"",IF(R156=1,"Pagada",IF(C156&lt;$F$12,"Vencida",IF(130=$F$13,"Próxima","Pendiente"))))</f>
        <v/>
      </c>
      <c r="R156" s="62" t="n">
        <f aca="false">IF(AND(K156&gt;0,OR(O156="Sí",O156="Si")),1,0)</f>
        <v>0</v>
      </c>
      <c r="S156" s="62" t="n">
        <f aca="false">IF(AND(K156&gt;0,R156=0),1,0)</f>
        <v>0</v>
      </c>
    </row>
    <row r="157" customFormat="false" ht="15" hidden="false" customHeight="false" outlineLevel="0" collapsed="false">
      <c r="B157" s="71" t="str">
        <f aca="false">IF($F$6="Sí",N($C$11)+130,"")</f>
        <v/>
      </c>
      <c r="C157" s="72" t="str">
        <f aca="false">IF(OR($F$6&lt;&gt;"Sí",D157&lt;=0.5),"",EDATE($C$10,130))</f>
        <v/>
      </c>
      <c r="D157" s="41" t="n">
        <f aca="false">MAX(0,M156)</f>
        <v>0</v>
      </c>
      <c r="E157" s="41" t="n">
        <f aca="false">D157*$F$7</f>
        <v>0</v>
      </c>
      <c r="F157" s="41" t="n">
        <f aca="false">IF(D157&gt;0.5,N($C$15),0)</f>
        <v>0</v>
      </c>
      <c r="G157" s="41" t="n">
        <f aca="false">IF(AND(D157&gt;0.5,N($C$19)&gt;0,N(B157)&lt;=N($C$20)),D157*$F$8,0)</f>
        <v>0</v>
      </c>
      <c r="H157" s="41" t="n">
        <f aca="false">IF(D157&lt;=0.5,0,MIN(IF(N(I157)&gt;0,I157,$F$9),D157+E157+F157))</f>
        <v>0</v>
      </c>
      <c r="I157" s="77"/>
      <c r="J157" s="77"/>
      <c r="K157" s="41" t="n">
        <f aca="false">IF(D157&lt;=0.5,0,MIN(H157+N(J157),D157+E157+F157))</f>
        <v>0</v>
      </c>
      <c r="L157" s="41" t="n">
        <f aca="false">K157-E157-F157</f>
        <v>0</v>
      </c>
      <c r="M157" s="41" t="n">
        <f aca="false">D157-L157</f>
        <v>0</v>
      </c>
      <c r="N157" s="42" t="n">
        <f aca="false">K157-G157</f>
        <v>0</v>
      </c>
      <c r="O157" s="78"/>
      <c r="P157" s="79"/>
      <c r="Q157" s="16" t="str">
        <f aca="false">IF(K157=0,"",IF(R157=1,"Pagada",IF(C157&lt;$F$12,"Vencida",IF(131=$F$13,"Próxima","Pendiente"))))</f>
        <v/>
      </c>
      <c r="R157" s="62" t="n">
        <f aca="false">IF(AND(K157&gt;0,OR(O157="Sí",O157="Si")),1,0)</f>
        <v>0</v>
      </c>
      <c r="S157" s="62" t="n">
        <f aca="false">IF(AND(K157&gt;0,R157=0),1,0)</f>
        <v>0</v>
      </c>
    </row>
    <row r="158" customFormat="false" ht="15" hidden="false" customHeight="false" outlineLevel="0" collapsed="false">
      <c r="B158" s="71" t="str">
        <f aca="false">IF($F$6="Sí",N($C$11)+131,"")</f>
        <v/>
      </c>
      <c r="C158" s="72" t="str">
        <f aca="false">IF(OR($F$6&lt;&gt;"Sí",D158&lt;=0.5),"",EDATE($C$10,131))</f>
        <v/>
      </c>
      <c r="D158" s="41" t="n">
        <f aca="false">MAX(0,M157)</f>
        <v>0</v>
      </c>
      <c r="E158" s="41" t="n">
        <f aca="false">D158*$F$7</f>
        <v>0</v>
      </c>
      <c r="F158" s="41" t="n">
        <f aca="false">IF(D158&gt;0.5,N($C$15),0)</f>
        <v>0</v>
      </c>
      <c r="G158" s="41" t="n">
        <f aca="false">IF(AND(D158&gt;0.5,N($C$19)&gt;0,N(B158)&lt;=N($C$20)),D158*$F$8,0)</f>
        <v>0</v>
      </c>
      <c r="H158" s="41" t="n">
        <f aca="false">IF(D158&lt;=0.5,0,MIN(IF(N(I158)&gt;0,I158,$F$9),D158+E158+F158))</f>
        <v>0</v>
      </c>
      <c r="I158" s="77"/>
      <c r="J158" s="77"/>
      <c r="K158" s="41" t="n">
        <f aca="false">IF(D158&lt;=0.5,0,MIN(H158+N(J158),D158+E158+F158))</f>
        <v>0</v>
      </c>
      <c r="L158" s="41" t="n">
        <f aca="false">K158-E158-F158</f>
        <v>0</v>
      </c>
      <c r="M158" s="41" t="n">
        <f aca="false">D158-L158</f>
        <v>0</v>
      </c>
      <c r="N158" s="42" t="n">
        <f aca="false">K158-G158</f>
        <v>0</v>
      </c>
      <c r="O158" s="78"/>
      <c r="P158" s="79"/>
      <c r="Q158" s="16" t="str">
        <f aca="false">IF(K158=0,"",IF(R158=1,"Pagada",IF(C158&lt;$F$12,"Vencida",IF(132=$F$13,"Próxima","Pendiente"))))</f>
        <v/>
      </c>
      <c r="R158" s="62" t="n">
        <f aca="false">IF(AND(K158&gt;0,OR(O158="Sí",O158="Si")),1,0)</f>
        <v>0</v>
      </c>
      <c r="S158" s="62" t="n">
        <f aca="false">IF(AND(K158&gt;0,R158=0),1,0)</f>
        <v>0</v>
      </c>
    </row>
    <row r="159" customFormat="false" ht="15" hidden="false" customHeight="false" outlineLevel="0" collapsed="false">
      <c r="B159" s="71" t="str">
        <f aca="false">IF($F$6="Sí",N($C$11)+132,"")</f>
        <v/>
      </c>
      <c r="C159" s="72" t="str">
        <f aca="false">IF(OR($F$6&lt;&gt;"Sí",D159&lt;=0.5),"",EDATE($C$10,132))</f>
        <v/>
      </c>
      <c r="D159" s="41" t="n">
        <f aca="false">MAX(0,M158)</f>
        <v>0</v>
      </c>
      <c r="E159" s="41" t="n">
        <f aca="false">D159*$F$7</f>
        <v>0</v>
      </c>
      <c r="F159" s="41" t="n">
        <f aca="false">IF(D159&gt;0.5,N($C$15),0)</f>
        <v>0</v>
      </c>
      <c r="G159" s="41" t="n">
        <f aca="false">IF(AND(D159&gt;0.5,N($C$19)&gt;0,N(B159)&lt;=N($C$20)),D159*$F$8,0)</f>
        <v>0</v>
      </c>
      <c r="H159" s="41" t="n">
        <f aca="false">IF(D159&lt;=0.5,0,MIN(IF(N(I159)&gt;0,I159,$F$9),D159+E159+F159))</f>
        <v>0</v>
      </c>
      <c r="I159" s="77"/>
      <c r="J159" s="77"/>
      <c r="K159" s="41" t="n">
        <f aca="false">IF(D159&lt;=0.5,0,MIN(H159+N(J159),D159+E159+F159))</f>
        <v>0</v>
      </c>
      <c r="L159" s="41" t="n">
        <f aca="false">K159-E159-F159</f>
        <v>0</v>
      </c>
      <c r="M159" s="41" t="n">
        <f aca="false">D159-L159</f>
        <v>0</v>
      </c>
      <c r="N159" s="42" t="n">
        <f aca="false">K159-G159</f>
        <v>0</v>
      </c>
      <c r="O159" s="78"/>
      <c r="P159" s="79"/>
      <c r="Q159" s="16" t="str">
        <f aca="false">IF(K159=0,"",IF(R159=1,"Pagada",IF(C159&lt;$F$12,"Vencida",IF(133=$F$13,"Próxima","Pendiente"))))</f>
        <v/>
      </c>
      <c r="R159" s="62" t="n">
        <f aca="false">IF(AND(K159&gt;0,OR(O159="Sí",O159="Si")),1,0)</f>
        <v>0</v>
      </c>
      <c r="S159" s="62" t="n">
        <f aca="false">IF(AND(K159&gt;0,R159=0),1,0)</f>
        <v>0</v>
      </c>
    </row>
    <row r="160" customFormat="false" ht="15" hidden="false" customHeight="false" outlineLevel="0" collapsed="false">
      <c r="B160" s="71" t="str">
        <f aca="false">IF($F$6="Sí",N($C$11)+133,"")</f>
        <v/>
      </c>
      <c r="C160" s="72" t="str">
        <f aca="false">IF(OR($F$6&lt;&gt;"Sí",D160&lt;=0.5),"",EDATE($C$10,133))</f>
        <v/>
      </c>
      <c r="D160" s="41" t="n">
        <f aca="false">MAX(0,M159)</f>
        <v>0</v>
      </c>
      <c r="E160" s="41" t="n">
        <f aca="false">D160*$F$7</f>
        <v>0</v>
      </c>
      <c r="F160" s="41" t="n">
        <f aca="false">IF(D160&gt;0.5,N($C$15),0)</f>
        <v>0</v>
      </c>
      <c r="G160" s="41" t="n">
        <f aca="false">IF(AND(D160&gt;0.5,N($C$19)&gt;0,N(B160)&lt;=N($C$20)),D160*$F$8,0)</f>
        <v>0</v>
      </c>
      <c r="H160" s="41" t="n">
        <f aca="false">IF(D160&lt;=0.5,0,MIN(IF(N(I160)&gt;0,I160,$F$9),D160+E160+F160))</f>
        <v>0</v>
      </c>
      <c r="I160" s="77"/>
      <c r="J160" s="77"/>
      <c r="K160" s="41" t="n">
        <f aca="false">IF(D160&lt;=0.5,0,MIN(H160+N(J160),D160+E160+F160))</f>
        <v>0</v>
      </c>
      <c r="L160" s="41" t="n">
        <f aca="false">K160-E160-F160</f>
        <v>0</v>
      </c>
      <c r="M160" s="41" t="n">
        <f aca="false">D160-L160</f>
        <v>0</v>
      </c>
      <c r="N160" s="42" t="n">
        <f aca="false">K160-G160</f>
        <v>0</v>
      </c>
      <c r="O160" s="78"/>
      <c r="P160" s="79"/>
      <c r="Q160" s="16" t="str">
        <f aca="false">IF(K160=0,"",IF(R160=1,"Pagada",IF(C160&lt;$F$12,"Vencida",IF(134=$F$13,"Próxima","Pendiente"))))</f>
        <v/>
      </c>
      <c r="R160" s="62" t="n">
        <f aca="false">IF(AND(K160&gt;0,OR(O160="Sí",O160="Si")),1,0)</f>
        <v>0</v>
      </c>
      <c r="S160" s="62" t="n">
        <f aca="false">IF(AND(K160&gt;0,R160=0),1,0)</f>
        <v>0</v>
      </c>
    </row>
    <row r="161" customFormat="false" ht="15" hidden="false" customHeight="false" outlineLevel="0" collapsed="false">
      <c r="B161" s="71" t="str">
        <f aca="false">IF($F$6="Sí",N($C$11)+134,"")</f>
        <v/>
      </c>
      <c r="C161" s="72" t="str">
        <f aca="false">IF(OR($F$6&lt;&gt;"Sí",D161&lt;=0.5),"",EDATE($C$10,134))</f>
        <v/>
      </c>
      <c r="D161" s="41" t="n">
        <f aca="false">MAX(0,M160)</f>
        <v>0</v>
      </c>
      <c r="E161" s="41" t="n">
        <f aca="false">D161*$F$7</f>
        <v>0</v>
      </c>
      <c r="F161" s="41" t="n">
        <f aca="false">IF(D161&gt;0.5,N($C$15),0)</f>
        <v>0</v>
      </c>
      <c r="G161" s="41" t="n">
        <f aca="false">IF(AND(D161&gt;0.5,N($C$19)&gt;0,N(B161)&lt;=N($C$20)),D161*$F$8,0)</f>
        <v>0</v>
      </c>
      <c r="H161" s="41" t="n">
        <f aca="false">IF(D161&lt;=0.5,0,MIN(IF(N(I161)&gt;0,I161,$F$9),D161+E161+F161))</f>
        <v>0</v>
      </c>
      <c r="I161" s="77"/>
      <c r="J161" s="77"/>
      <c r="K161" s="41" t="n">
        <f aca="false">IF(D161&lt;=0.5,0,MIN(H161+N(J161),D161+E161+F161))</f>
        <v>0</v>
      </c>
      <c r="L161" s="41" t="n">
        <f aca="false">K161-E161-F161</f>
        <v>0</v>
      </c>
      <c r="M161" s="41" t="n">
        <f aca="false">D161-L161</f>
        <v>0</v>
      </c>
      <c r="N161" s="42" t="n">
        <f aca="false">K161-G161</f>
        <v>0</v>
      </c>
      <c r="O161" s="78"/>
      <c r="P161" s="79"/>
      <c r="Q161" s="16" t="str">
        <f aca="false">IF(K161=0,"",IF(R161=1,"Pagada",IF(C161&lt;$F$12,"Vencida",IF(135=$F$13,"Próxima","Pendiente"))))</f>
        <v/>
      </c>
      <c r="R161" s="62" t="n">
        <f aca="false">IF(AND(K161&gt;0,OR(O161="Sí",O161="Si")),1,0)</f>
        <v>0</v>
      </c>
      <c r="S161" s="62" t="n">
        <f aca="false">IF(AND(K161&gt;0,R161=0),1,0)</f>
        <v>0</v>
      </c>
    </row>
    <row r="162" customFormat="false" ht="15" hidden="false" customHeight="false" outlineLevel="0" collapsed="false">
      <c r="B162" s="71" t="str">
        <f aca="false">IF($F$6="Sí",N($C$11)+135,"")</f>
        <v/>
      </c>
      <c r="C162" s="72" t="str">
        <f aca="false">IF(OR($F$6&lt;&gt;"Sí",D162&lt;=0.5),"",EDATE($C$10,135))</f>
        <v/>
      </c>
      <c r="D162" s="41" t="n">
        <f aca="false">MAX(0,M161)</f>
        <v>0</v>
      </c>
      <c r="E162" s="41" t="n">
        <f aca="false">D162*$F$7</f>
        <v>0</v>
      </c>
      <c r="F162" s="41" t="n">
        <f aca="false">IF(D162&gt;0.5,N($C$15),0)</f>
        <v>0</v>
      </c>
      <c r="G162" s="41" t="n">
        <f aca="false">IF(AND(D162&gt;0.5,N($C$19)&gt;0,N(B162)&lt;=N($C$20)),D162*$F$8,0)</f>
        <v>0</v>
      </c>
      <c r="H162" s="41" t="n">
        <f aca="false">IF(D162&lt;=0.5,0,MIN(IF(N(I162)&gt;0,I162,$F$9),D162+E162+F162))</f>
        <v>0</v>
      </c>
      <c r="I162" s="77"/>
      <c r="J162" s="77"/>
      <c r="K162" s="41" t="n">
        <f aca="false">IF(D162&lt;=0.5,0,MIN(H162+N(J162),D162+E162+F162))</f>
        <v>0</v>
      </c>
      <c r="L162" s="41" t="n">
        <f aca="false">K162-E162-F162</f>
        <v>0</v>
      </c>
      <c r="M162" s="41" t="n">
        <f aca="false">D162-L162</f>
        <v>0</v>
      </c>
      <c r="N162" s="42" t="n">
        <f aca="false">K162-G162</f>
        <v>0</v>
      </c>
      <c r="O162" s="78"/>
      <c r="P162" s="79"/>
      <c r="Q162" s="16" t="str">
        <f aca="false">IF(K162=0,"",IF(R162=1,"Pagada",IF(C162&lt;$F$12,"Vencida",IF(136=$F$13,"Próxima","Pendiente"))))</f>
        <v/>
      </c>
      <c r="R162" s="62" t="n">
        <f aca="false">IF(AND(K162&gt;0,OR(O162="Sí",O162="Si")),1,0)</f>
        <v>0</v>
      </c>
      <c r="S162" s="62" t="n">
        <f aca="false">IF(AND(K162&gt;0,R162=0),1,0)</f>
        <v>0</v>
      </c>
    </row>
    <row r="163" customFormat="false" ht="15" hidden="false" customHeight="false" outlineLevel="0" collapsed="false">
      <c r="B163" s="71" t="str">
        <f aca="false">IF($F$6="Sí",N($C$11)+136,"")</f>
        <v/>
      </c>
      <c r="C163" s="72" t="str">
        <f aca="false">IF(OR($F$6&lt;&gt;"Sí",D163&lt;=0.5),"",EDATE($C$10,136))</f>
        <v/>
      </c>
      <c r="D163" s="41" t="n">
        <f aca="false">MAX(0,M162)</f>
        <v>0</v>
      </c>
      <c r="E163" s="41" t="n">
        <f aca="false">D163*$F$7</f>
        <v>0</v>
      </c>
      <c r="F163" s="41" t="n">
        <f aca="false">IF(D163&gt;0.5,N($C$15),0)</f>
        <v>0</v>
      </c>
      <c r="G163" s="41" t="n">
        <f aca="false">IF(AND(D163&gt;0.5,N($C$19)&gt;0,N(B163)&lt;=N($C$20)),D163*$F$8,0)</f>
        <v>0</v>
      </c>
      <c r="H163" s="41" t="n">
        <f aca="false">IF(D163&lt;=0.5,0,MIN(IF(N(I163)&gt;0,I163,$F$9),D163+E163+F163))</f>
        <v>0</v>
      </c>
      <c r="I163" s="77"/>
      <c r="J163" s="77"/>
      <c r="K163" s="41" t="n">
        <f aca="false">IF(D163&lt;=0.5,0,MIN(H163+N(J163),D163+E163+F163))</f>
        <v>0</v>
      </c>
      <c r="L163" s="41" t="n">
        <f aca="false">K163-E163-F163</f>
        <v>0</v>
      </c>
      <c r="M163" s="41" t="n">
        <f aca="false">D163-L163</f>
        <v>0</v>
      </c>
      <c r="N163" s="42" t="n">
        <f aca="false">K163-G163</f>
        <v>0</v>
      </c>
      <c r="O163" s="78"/>
      <c r="P163" s="79"/>
      <c r="Q163" s="16" t="str">
        <f aca="false">IF(K163=0,"",IF(R163=1,"Pagada",IF(C163&lt;$F$12,"Vencida",IF(137=$F$13,"Próxima","Pendiente"))))</f>
        <v/>
      </c>
      <c r="R163" s="62" t="n">
        <f aca="false">IF(AND(K163&gt;0,OR(O163="Sí",O163="Si")),1,0)</f>
        <v>0</v>
      </c>
      <c r="S163" s="62" t="n">
        <f aca="false">IF(AND(K163&gt;0,R163=0),1,0)</f>
        <v>0</v>
      </c>
    </row>
    <row r="164" customFormat="false" ht="15" hidden="false" customHeight="false" outlineLevel="0" collapsed="false">
      <c r="B164" s="71" t="str">
        <f aca="false">IF($F$6="Sí",N($C$11)+137,"")</f>
        <v/>
      </c>
      <c r="C164" s="72" t="str">
        <f aca="false">IF(OR($F$6&lt;&gt;"Sí",D164&lt;=0.5),"",EDATE($C$10,137))</f>
        <v/>
      </c>
      <c r="D164" s="41" t="n">
        <f aca="false">MAX(0,M163)</f>
        <v>0</v>
      </c>
      <c r="E164" s="41" t="n">
        <f aca="false">D164*$F$7</f>
        <v>0</v>
      </c>
      <c r="F164" s="41" t="n">
        <f aca="false">IF(D164&gt;0.5,N($C$15),0)</f>
        <v>0</v>
      </c>
      <c r="G164" s="41" t="n">
        <f aca="false">IF(AND(D164&gt;0.5,N($C$19)&gt;0,N(B164)&lt;=N($C$20)),D164*$F$8,0)</f>
        <v>0</v>
      </c>
      <c r="H164" s="41" t="n">
        <f aca="false">IF(D164&lt;=0.5,0,MIN(IF(N(I164)&gt;0,I164,$F$9),D164+E164+F164))</f>
        <v>0</v>
      </c>
      <c r="I164" s="77"/>
      <c r="J164" s="77"/>
      <c r="K164" s="41" t="n">
        <f aca="false">IF(D164&lt;=0.5,0,MIN(H164+N(J164),D164+E164+F164))</f>
        <v>0</v>
      </c>
      <c r="L164" s="41" t="n">
        <f aca="false">K164-E164-F164</f>
        <v>0</v>
      </c>
      <c r="M164" s="41" t="n">
        <f aca="false">D164-L164</f>
        <v>0</v>
      </c>
      <c r="N164" s="42" t="n">
        <f aca="false">K164-G164</f>
        <v>0</v>
      </c>
      <c r="O164" s="78"/>
      <c r="P164" s="79"/>
      <c r="Q164" s="16" t="str">
        <f aca="false">IF(K164=0,"",IF(R164=1,"Pagada",IF(C164&lt;$F$12,"Vencida",IF(138=$F$13,"Próxima","Pendiente"))))</f>
        <v/>
      </c>
      <c r="R164" s="62" t="n">
        <f aca="false">IF(AND(K164&gt;0,OR(O164="Sí",O164="Si")),1,0)</f>
        <v>0</v>
      </c>
      <c r="S164" s="62" t="n">
        <f aca="false">IF(AND(K164&gt;0,R164=0),1,0)</f>
        <v>0</v>
      </c>
    </row>
    <row r="165" customFormat="false" ht="15" hidden="false" customHeight="false" outlineLevel="0" collapsed="false">
      <c r="B165" s="71" t="str">
        <f aca="false">IF($F$6="Sí",N($C$11)+138,"")</f>
        <v/>
      </c>
      <c r="C165" s="72" t="str">
        <f aca="false">IF(OR($F$6&lt;&gt;"Sí",D165&lt;=0.5),"",EDATE($C$10,138))</f>
        <v/>
      </c>
      <c r="D165" s="41" t="n">
        <f aca="false">MAX(0,M164)</f>
        <v>0</v>
      </c>
      <c r="E165" s="41" t="n">
        <f aca="false">D165*$F$7</f>
        <v>0</v>
      </c>
      <c r="F165" s="41" t="n">
        <f aca="false">IF(D165&gt;0.5,N($C$15),0)</f>
        <v>0</v>
      </c>
      <c r="G165" s="41" t="n">
        <f aca="false">IF(AND(D165&gt;0.5,N($C$19)&gt;0,N(B165)&lt;=N($C$20)),D165*$F$8,0)</f>
        <v>0</v>
      </c>
      <c r="H165" s="41" t="n">
        <f aca="false">IF(D165&lt;=0.5,0,MIN(IF(N(I165)&gt;0,I165,$F$9),D165+E165+F165))</f>
        <v>0</v>
      </c>
      <c r="I165" s="77"/>
      <c r="J165" s="77"/>
      <c r="K165" s="41" t="n">
        <f aca="false">IF(D165&lt;=0.5,0,MIN(H165+N(J165),D165+E165+F165))</f>
        <v>0</v>
      </c>
      <c r="L165" s="41" t="n">
        <f aca="false">K165-E165-F165</f>
        <v>0</v>
      </c>
      <c r="M165" s="41" t="n">
        <f aca="false">D165-L165</f>
        <v>0</v>
      </c>
      <c r="N165" s="42" t="n">
        <f aca="false">K165-G165</f>
        <v>0</v>
      </c>
      <c r="O165" s="78"/>
      <c r="P165" s="79"/>
      <c r="Q165" s="16" t="str">
        <f aca="false">IF(K165=0,"",IF(R165=1,"Pagada",IF(C165&lt;$F$12,"Vencida",IF(139=$F$13,"Próxima","Pendiente"))))</f>
        <v/>
      </c>
      <c r="R165" s="62" t="n">
        <f aca="false">IF(AND(K165&gt;0,OR(O165="Sí",O165="Si")),1,0)</f>
        <v>0</v>
      </c>
      <c r="S165" s="62" t="n">
        <f aca="false">IF(AND(K165&gt;0,R165=0),1,0)</f>
        <v>0</v>
      </c>
    </row>
    <row r="166" customFormat="false" ht="15" hidden="false" customHeight="false" outlineLevel="0" collapsed="false">
      <c r="B166" s="71" t="str">
        <f aca="false">IF($F$6="Sí",N($C$11)+139,"")</f>
        <v/>
      </c>
      <c r="C166" s="72" t="str">
        <f aca="false">IF(OR($F$6&lt;&gt;"Sí",D166&lt;=0.5),"",EDATE($C$10,139))</f>
        <v/>
      </c>
      <c r="D166" s="41" t="n">
        <f aca="false">MAX(0,M165)</f>
        <v>0</v>
      </c>
      <c r="E166" s="41" t="n">
        <f aca="false">D166*$F$7</f>
        <v>0</v>
      </c>
      <c r="F166" s="41" t="n">
        <f aca="false">IF(D166&gt;0.5,N($C$15),0)</f>
        <v>0</v>
      </c>
      <c r="G166" s="41" t="n">
        <f aca="false">IF(AND(D166&gt;0.5,N($C$19)&gt;0,N(B166)&lt;=N($C$20)),D166*$F$8,0)</f>
        <v>0</v>
      </c>
      <c r="H166" s="41" t="n">
        <f aca="false">IF(D166&lt;=0.5,0,MIN(IF(N(I166)&gt;0,I166,$F$9),D166+E166+F166))</f>
        <v>0</v>
      </c>
      <c r="I166" s="77"/>
      <c r="J166" s="77"/>
      <c r="K166" s="41" t="n">
        <f aca="false">IF(D166&lt;=0.5,0,MIN(H166+N(J166),D166+E166+F166))</f>
        <v>0</v>
      </c>
      <c r="L166" s="41" t="n">
        <f aca="false">K166-E166-F166</f>
        <v>0</v>
      </c>
      <c r="M166" s="41" t="n">
        <f aca="false">D166-L166</f>
        <v>0</v>
      </c>
      <c r="N166" s="42" t="n">
        <f aca="false">K166-G166</f>
        <v>0</v>
      </c>
      <c r="O166" s="78"/>
      <c r="P166" s="79"/>
      <c r="Q166" s="16" t="str">
        <f aca="false">IF(K166=0,"",IF(R166=1,"Pagada",IF(C166&lt;$F$12,"Vencida",IF(140=$F$13,"Próxima","Pendiente"))))</f>
        <v/>
      </c>
      <c r="R166" s="62" t="n">
        <f aca="false">IF(AND(K166&gt;0,OR(O166="Sí",O166="Si")),1,0)</f>
        <v>0</v>
      </c>
      <c r="S166" s="62" t="n">
        <f aca="false">IF(AND(K166&gt;0,R166=0),1,0)</f>
        <v>0</v>
      </c>
    </row>
    <row r="167" customFormat="false" ht="15" hidden="false" customHeight="false" outlineLevel="0" collapsed="false">
      <c r="B167" s="71" t="str">
        <f aca="false">IF($F$6="Sí",N($C$11)+140,"")</f>
        <v/>
      </c>
      <c r="C167" s="72" t="str">
        <f aca="false">IF(OR($F$6&lt;&gt;"Sí",D167&lt;=0.5),"",EDATE($C$10,140))</f>
        <v/>
      </c>
      <c r="D167" s="41" t="n">
        <f aca="false">MAX(0,M166)</f>
        <v>0</v>
      </c>
      <c r="E167" s="41" t="n">
        <f aca="false">D167*$F$7</f>
        <v>0</v>
      </c>
      <c r="F167" s="41" t="n">
        <f aca="false">IF(D167&gt;0.5,N($C$15),0)</f>
        <v>0</v>
      </c>
      <c r="G167" s="41" t="n">
        <f aca="false">IF(AND(D167&gt;0.5,N($C$19)&gt;0,N(B167)&lt;=N($C$20)),D167*$F$8,0)</f>
        <v>0</v>
      </c>
      <c r="H167" s="41" t="n">
        <f aca="false">IF(D167&lt;=0.5,0,MIN(IF(N(I167)&gt;0,I167,$F$9),D167+E167+F167))</f>
        <v>0</v>
      </c>
      <c r="I167" s="77"/>
      <c r="J167" s="77"/>
      <c r="K167" s="41" t="n">
        <f aca="false">IF(D167&lt;=0.5,0,MIN(H167+N(J167),D167+E167+F167))</f>
        <v>0</v>
      </c>
      <c r="L167" s="41" t="n">
        <f aca="false">K167-E167-F167</f>
        <v>0</v>
      </c>
      <c r="M167" s="41" t="n">
        <f aca="false">D167-L167</f>
        <v>0</v>
      </c>
      <c r="N167" s="42" t="n">
        <f aca="false">K167-G167</f>
        <v>0</v>
      </c>
      <c r="O167" s="78"/>
      <c r="P167" s="79"/>
      <c r="Q167" s="16" t="str">
        <f aca="false">IF(K167=0,"",IF(R167=1,"Pagada",IF(C167&lt;$F$12,"Vencida",IF(141=$F$13,"Próxima","Pendiente"))))</f>
        <v/>
      </c>
      <c r="R167" s="62" t="n">
        <f aca="false">IF(AND(K167&gt;0,OR(O167="Sí",O167="Si")),1,0)</f>
        <v>0</v>
      </c>
      <c r="S167" s="62" t="n">
        <f aca="false">IF(AND(K167&gt;0,R167=0),1,0)</f>
        <v>0</v>
      </c>
    </row>
    <row r="168" customFormat="false" ht="15" hidden="false" customHeight="false" outlineLevel="0" collapsed="false">
      <c r="B168" s="71" t="str">
        <f aca="false">IF($F$6="Sí",N($C$11)+141,"")</f>
        <v/>
      </c>
      <c r="C168" s="72" t="str">
        <f aca="false">IF(OR($F$6&lt;&gt;"Sí",D168&lt;=0.5),"",EDATE($C$10,141))</f>
        <v/>
      </c>
      <c r="D168" s="41" t="n">
        <f aca="false">MAX(0,M167)</f>
        <v>0</v>
      </c>
      <c r="E168" s="41" t="n">
        <f aca="false">D168*$F$7</f>
        <v>0</v>
      </c>
      <c r="F168" s="41" t="n">
        <f aca="false">IF(D168&gt;0.5,N($C$15),0)</f>
        <v>0</v>
      </c>
      <c r="G168" s="41" t="n">
        <f aca="false">IF(AND(D168&gt;0.5,N($C$19)&gt;0,N(B168)&lt;=N($C$20)),D168*$F$8,0)</f>
        <v>0</v>
      </c>
      <c r="H168" s="41" t="n">
        <f aca="false">IF(D168&lt;=0.5,0,MIN(IF(N(I168)&gt;0,I168,$F$9),D168+E168+F168))</f>
        <v>0</v>
      </c>
      <c r="I168" s="77"/>
      <c r="J168" s="77"/>
      <c r="K168" s="41" t="n">
        <f aca="false">IF(D168&lt;=0.5,0,MIN(H168+N(J168),D168+E168+F168))</f>
        <v>0</v>
      </c>
      <c r="L168" s="41" t="n">
        <f aca="false">K168-E168-F168</f>
        <v>0</v>
      </c>
      <c r="M168" s="41" t="n">
        <f aca="false">D168-L168</f>
        <v>0</v>
      </c>
      <c r="N168" s="42" t="n">
        <f aca="false">K168-G168</f>
        <v>0</v>
      </c>
      <c r="O168" s="78"/>
      <c r="P168" s="79"/>
      <c r="Q168" s="16" t="str">
        <f aca="false">IF(K168=0,"",IF(R168=1,"Pagada",IF(C168&lt;$F$12,"Vencida",IF(142=$F$13,"Próxima","Pendiente"))))</f>
        <v/>
      </c>
      <c r="R168" s="62" t="n">
        <f aca="false">IF(AND(K168&gt;0,OR(O168="Sí",O168="Si")),1,0)</f>
        <v>0</v>
      </c>
      <c r="S168" s="62" t="n">
        <f aca="false">IF(AND(K168&gt;0,R168=0),1,0)</f>
        <v>0</v>
      </c>
    </row>
    <row r="169" customFormat="false" ht="15" hidden="false" customHeight="false" outlineLevel="0" collapsed="false">
      <c r="B169" s="71" t="str">
        <f aca="false">IF($F$6="Sí",N($C$11)+142,"")</f>
        <v/>
      </c>
      <c r="C169" s="72" t="str">
        <f aca="false">IF(OR($F$6&lt;&gt;"Sí",D169&lt;=0.5),"",EDATE($C$10,142))</f>
        <v/>
      </c>
      <c r="D169" s="41" t="n">
        <f aca="false">MAX(0,M168)</f>
        <v>0</v>
      </c>
      <c r="E169" s="41" t="n">
        <f aca="false">D169*$F$7</f>
        <v>0</v>
      </c>
      <c r="F169" s="41" t="n">
        <f aca="false">IF(D169&gt;0.5,N($C$15),0)</f>
        <v>0</v>
      </c>
      <c r="G169" s="41" t="n">
        <f aca="false">IF(AND(D169&gt;0.5,N($C$19)&gt;0,N(B169)&lt;=N($C$20)),D169*$F$8,0)</f>
        <v>0</v>
      </c>
      <c r="H169" s="41" t="n">
        <f aca="false">IF(D169&lt;=0.5,0,MIN(IF(N(I169)&gt;0,I169,$F$9),D169+E169+F169))</f>
        <v>0</v>
      </c>
      <c r="I169" s="77"/>
      <c r="J169" s="77"/>
      <c r="K169" s="41" t="n">
        <f aca="false">IF(D169&lt;=0.5,0,MIN(H169+N(J169),D169+E169+F169))</f>
        <v>0</v>
      </c>
      <c r="L169" s="41" t="n">
        <f aca="false">K169-E169-F169</f>
        <v>0</v>
      </c>
      <c r="M169" s="41" t="n">
        <f aca="false">D169-L169</f>
        <v>0</v>
      </c>
      <c r="N169" s="42" t="n">
        <f aca="false">K169-G169</f>
        <v>0</v>
      </c>
      <c r="O169" s="78"/>
      <c r="P169" s="79"/>
      <c r="Q169" s="16" t="str">
        <f aca="false">IF(K169=0,"",IF(R169=1,"Pagada",IF(C169&lt;$F$12,"Vencida",IF(143=$F$13,"Próxima","Pendiente"))))</f>
        <v/>
      </c>
      <c r="R169" s="62" t="n">
        <f aca="false">IF(AND(K169&gt;0,OR(O169="Sí",O169="Si")),1,0)</f>
        <v>0</v>
      </c>
      <c r="S169" s="62" t="n">
        <f aca="false">IF(AND(K169&gt;0,R169=0),1,0)</f>
        <v>0</v>
      </c>
    </row>
    <row r="170" customFormat="false" ht="15" hidden="false" customHeight="false" outlineLevel="0" collapsed="false">
      <c r="B170" s="71" t="str">
        <f aca="false">IF($F$6="Sí",N($C$11)+143,"")</f>
        <v/>
      </c>
      <c r="C170" s="72" t="str">
        <f aca="false">IF(OR($F$6&lt;&gt;"Sí",D170&lt;=0.5),"",EDATE($C$10,143))</f>
        <v/>
      </c>
      <c r="D170" s="41" t="n">
        <f aca="false">MAX(0,M169)</f>
        <v>0</v>
      </c>
      <c r="E170" s="41" t="n">
        <f aca="false">D170*$F$7</f>
        <v>0</v>
      </c>
      <c r="F170" s="41" t="n">
        <f aca="false">IF(D170&gt;0.5,N($C$15),0)</f>
        <v>0</v>
      </c>
      <c r="G170" s="41" t="n">
        <f aca="false">IF(AND(D170&gt;0.5,N($C$19)&gt;0,N(B170)&lt;=N($C$20)),D170*$F$8,0)</f>
        <v>0</v>
      </c>
      <c r="H170" s="41" t="n">
        <f aca="false">IF(D170&lt;=0.5,0,MIN(IF(N(I170)&gt;0,I170,$F$9),D170+E170+F170))</f>
        <v>0</v>
      </c>
      <c r="I170" s="77"/>
      <c r="J170" s="77"/>
      <c r="K170" s="41" t="n">
        <f aca="false">IF(D170&lt;=0.5,0,MIN(H170+N(J170),D170+E170+F170))</f>
        <v>0</v>
      </c>
      <c r="L170" s="41" t="n">
        <f aca="false">K170-E170-F170</f>
        <v>0</v>
      </c>
      <c r="M170" s="41" t="n">
        <f aca="false">D170-L170</f>
        <v>0</v>
      </c>
      <c r="N170" s="42" t="n">
        <f aca="false">K170-G170</f>
        <v>0</v>
      </c>
      <c r="O170" s="78"/>
      <c r="P170" s="79"/>
      <c r="Q170" s="16" t="str">
        <f aca="false">IF(K170=0,"",IF(R170=1,"Pagada",IF(C170&lt;$F$12,"Vencida",IF(144=$F$13,"Próxima","Pendiente"))))</f>
        <v/>
      </c>
      <c r="R170" s="62" t="n">
        <f aca="false">IF(AND(K170&gt;0,OR(O170="Sí",O170="Si")),1,0)</f>
        <v>0</v>
      </c>
      <c r="S170" s="62" t="n">
        <f aca="false">IF(AND(K170&gt;0,R170=0),1,0)</f>
        <v>0</v>
      </c>
    </row>
    <row r="171" customFormat="false" ht="15" hidden="false" customHeight="false" outlineLevel="0" collapsed="false">
      <c r="B171" s="71" t="str">
        <f aca="false">IF($F$6="Sí",N($C$11)+144,"")</f>
        <v/>
      </c>
      <c r="C171" s="72" t="str">
        <f aca="false">IF(OR($F$6&lt;&gt;"Sí",D171&lt;=0.5),"",EDATE($C$10,144))</f>
        <v/>
      </c>
      <c r="D171" s="41" t="n">
        <f aca="false">MAX(0,M170)</f>
        <v>0</v>
      </c>
      <c r="E171" s="41" t="n">
        <f aca="false">D171*$F$7</f>
        <v>0</v>
      </c>
      <c r="F171" s="41" t="n">
        <f aca="false">IF(D171&gt;0.5,N($C$15),0)</f>
        <v>0</v>
      </c>
      <c r="G171" s="41" t="n">
        <f aca="false">IF(AND(D171&gt;0.5,N($C$19)&gt;0,N(B171)&lt;=N($C$20)),D171*$F$8,0)</f>
        <v>0</v>
      </c>
      <c r="H171" s="41" t="n">
        <f aca="false">IF(D171&lt;=0.5,0,MIN(IF(N(I171)&gt;0,I171,$F$9),D171+E171+F171))</f>
        <v>0</v>
      </c>
      <c r="I171" s="77"/>
      <c r="J171" s="77"/>
      <c r="K171" s="41" t="n">
        <f aca="false">IF(D171&lt;=0.5,0,MIN(H171+N(J171),D171+E171+F171))</f>
        <v>0</v>
      </c>
      <c r="L171" s="41" t="n">
        <f aca="false">K171-E171-F171</f>
        <v>0</v>
      </c>
      <c r="M171" s="41" t="n">
        <f aca="false">D171-L171</f>
        <v>0</v>
      </c>
      <c r="N171" s="42" t="n">
        <f aca="false">K171-G171</f>
        <v>0</v>
      </c>
      <c r="O171" s="78"/>
      <c r="P171" s="79"/>
      <c r="Q171" s="16" t="str">
        <f aca="false">IF(K171=0,"",IF(R171=1,"Pagada",IF(C171&lt;$F$12,"Vencida",IF(145=$F$13,"Próxima","Pendiente"))))</f>
        <v/>
      </c>
      <c r="R171" s="62" t="n">
        <f aca="false">IF(AND(K171&gt;0,OR(O171="Sí",O171="Si")),1,0)</f>
        <v>0</v>
      </c>
      <c r="S171" s="62" t="n">
        <f aca="false">IF(AND(K171&gt;0,R171=0),1,0)</f>
        <v>0</v>
      </c>
    </row>
    <row r="172" customFormat="false" ht="15" hidden="false" customHeight="false" outlineLevel="0" collapsed="false">
      <c r="B172" s="71" t="str">
        <f aca="false">IF($F$6="Sí",N($C$11)+145,"")</f>
        <v/>
      </c>
      <c r="C172" s="72" t="str">
        <f aca="false">IF(OR($F$6&lt;&gt;"Sí",D172&lt;=0.5),"",EDATE($C$10,145))</f>
        <v/>
      </c>
      <c r="D172" s="41" t="n">
        <f aca="false">MAX(0,M171)</f>
        <v>0</v>
      </c>
      <c r="E172" s="41" t="n">
        <f aca="false">D172*$F$7</f>
        <v>0</v>
      </c>
      <c r="F172" s="41" t="n">
        <f aca="false">IF(D172&gt;0.5,N($C$15),0)</f>
        <v>0</v>
      </c>
      <c r="G172" s="41" t="n">
        <f aca="false">IF(AND(D172&gt;0.5,N($C$19)&gt;0,N(B172)&lt;=N($C$20)),D172*$F$8,0)</f>
        <v>0</v>
      </c>
      <c r="H172" s="41" t="n">
        <f aca="false">IF(D172&lt;=0.5,0,MIN(IF(N(I172)&gt;0,I172,$F$9),D172+E172+F172))</f>
        <v>0</v>
      </c>
      <c r="I172" s="77"/>
      <c r="J172" s="77"/>
      <c r="K172" s="41" t="n">
        <f aca="false">IF(D172&lt;=0.5,0,MIN(H172+N(J172),D172+E172+F172))</f>
        <v>0</v>
      </c>
      <c r="L172" s="41" t="n">
        <f aca="false">K172-E172-F172</f>
        <v>0</v>
      </c>
      <c r="M172" s="41" t="n">
        <f aca="false">D172-L172</f>
        <v>0</v>
      </c>
      <c r="N172" s="42" t="n">
        <f aca="false">K172-G172</f>
        <v>0</v>
      </c>
      <c r="O172" s="78"/>
      <c r="P172" s="79"/>
      <c r="Q172" s="16" t="str">
        <f aca="false">IF(K172=0,"",IF(R172=1,"Pagada",IF(C172&lt;$F$12,"Vencida",IF(146=$F$13,"Próxima","Pendiente"))))</f>
        <v/>
      </c>
      <c r="R172" s="62" t="n">
        <f aca="false">IF(AND(K172&gt;0,OR(O172="Sí",O172="Si")),1,0)</f>
        <v>0</v>
      </c>
      <c r="S172" s="62" t="n">
        <f aca="false">IF(AND(K172&gt;0,R172=0),1,0)</f>
        <v>0</v>
      </c>
    </row>
    <row r="173" customFormat="false" ht="15" hidden="false" customHeight="false" outlineLevel="0" collapsed="false">
      <c r="B173" s="71" t="str">
        <f aca="false">IF($F$6="Sí",N($C$11)+146,"")</f>
        <v/>
      </c>
      <c r="C173" s="72" t="str">
        <f aca="false">IF(OR($F$6&lt;&gt;"Sí",D173&lt;=0.5),"",EDATE($C$10,146))</f>
        <v/>
      </c>
      <c r="D173" s="41" t="n">
        <f aca="false">MAX(0,M172)</f>
        <v>0</v>
      </c>
      <c r="E173" s="41" t="n">
        <f aca="false">D173*$F$7</f>
        <v>0</v>
      </c>
      <c r="F173" s="41" t="n">
        <f aca="false">IF(D173&gt;0.5,N($C$15),0)</f>
        <v>0</v>
      </c>
      <c r="G173" s="41" t="n">
        <f aca="false">IF(AND(D173&gt;0.5,N($C$19)&gt;0,N(B173)&lt;=N($C$20)),D173*$F$8,0)</f>
        <v>0</v>
      </c>
      <c r="H173" s="41" t="n">
        <f aca="false">IF(D173&lt;=0.5,0,MIN(IF(N(I173)&gt;0,I173,$F$9),D173+E173+F173))</f>
        <v>0</v>
      </c>
      <c r="I173" s="77"/>
      <c r="J173" s="77"/>
      <c r="K173" s="41" t="n">
        <f aca="false">IF(D173&lt;=0.5,0,MIN(H173+N(J173),D173+E173+F173))</f>
        <v>0</v>
      </c>
      <c r="L173" s="41" t="n">
        <f aca="false">K173-E173-F173</f>
        <v>0</v>
      </c>
      <c r="M173" s="41" t="n">
        <f aca="false">D173-L173</f>
        <v>0</v>
      </c>
      <c r="N173" s="42" t="n">
        <f aca="false">K173-G173</f>
        <v>0</v>
      </c>
      <c r="O173" s="78"/>
      <c r="P173" s="79"/>
      <c r="Q173" s="16" t="str">
        <f aca="false">IF(K173=0,"",IF(R173=1,"Pagada",IF(C173&lt;$F$12,"Vencida",IF(147=$F$13,"Próxima","Pendiente"))))</f>
        <v/>
      </c>
      <c r="R173" s="62" t="n">
        <f aca="false">IF(AND(K173&gt;0,OR(O173="Sí",O173="Si")),1,0)</f>
        <v>0</v>
      </c>
      <c r="S173" s="62" t="n">
        <f aca="false">IF(AND(K173&gt;0,R173=0),1,0)</f>
        <v>0</v>
      </c>
    </row>
    <row r="174" customFormat="false" ht="15" hidden="false" customHeight="false" outlineLevel="0" collapsed="false">
      <c r="B174" s="71" t="str">
        <f aca="false">IF($F$6="Sí",N($C$11)+147,"")</f>
        <v/>
      </c>
      <c r="C174" s="72" t="str">
        <f aca="false">IF(OR($F$6&lt;&gt;"Sí",D174&lt;=0.5),"",EDATE($C$10,147))</f>
        <v/>
      </c>
      <c r="D174" s="41" t="n">
        <f aca="false">MAX(0,M173)</f>
        <v>0</v>
      </c>
      <c r="E174" s="41" t="n">
        <f aca="false">D174*$F$7</f>
        <v>0</v>
      </c>
      <c r="F174" s="41" t="n">
        <f aca="false">IF(D174&gt;0.5,N($C$15),0)</f>
        <v>0</v>
      </c>
      <c r="G174" s="41" t="n">
        <f aca="false">IF(AND(D174&gt;0.5,N($C$19)&gt;0,N(B174)&lt;=N($C$20)),D174*$F$8,0)</f>
        <v>0</v>
      </c>
      <c r="H174" s="41" t="n">
        <f aca="false">IF(D174&lt;=0.5,0,MIN(IF(N(I174)&gt;0,I174,$F$9),D174+E174+F174))</f>
        <v>0</v>
      </c>
      <c r="I174" s="77"/>
      <c r="J174" s="77"/>
      <c r="K174" s="41" t="n">
        <f aca="false">IF(D174&lt;=0.5,0,MIN(H174+N(J174),D174+E174+F174))</f>
        <v>0</v>
      </c>
      <c r="L174" s="41" t="n">
        <f aca="false">K174-E174-F174</f>
        <v>0</v>
      </c>
      <c r="M174" s="41" t="n">
        <f aca="false">D174-L174</f>
        <v>0</v>
      </c>
      <c r="N174" s="42" t="n">
        <f aca="false">K174-G174</f>
        <v>0</v>
      </c>
      <c r="O174" s="78"/>
      <c r="P174" s="79"/>
      <c r="Q174" s="16" t="str">
        <f aca="false">IF(K174=0,"",IF(R174=1,"Pagada",IF(C174&lt;$F$12,"Vencida",IF(148=$F$13,"Próxima","Pendiente"))))</f>
        <v/>
      </c>
      <c r="R174" s="62" t="n">
        <f aca="false">IF(AND(K174&gt;0,OR(O174="Sí",O174="Si")),1,0)</f>
        <v>0</v>
      </c>
      <c r="S174" s="62" t="n">
        <f aca="false">IF(AND(K174&gt;0,R174=0),1,0)</f>
        <v>0</v>
      </c>
    </row>
    <row r="175" customFormat="false" ht="15" hidden="false" customHeight="false" outlineLevel="0" collapsed="false">
      <c r="B175" s="71" t="str">
        <f aca="false">IF($F$6="Sí",N($C$11)+148,"")</f>
        <v/>
      </c>
      <c r="C175" s="72" t="str">
        <f aca="false">IF(OR($F$6&lt;&gt;"Sí",D175&lt;=0.5),"",EDATE($C$10,148))</f>
        <v/>
      </c>
      <c r="D175" s="41" t="n">
        <f aca="false">MAX(0,M174)</f>
        <v>0</v>
      </c>
      <c r="E175" s="41" t="n">
        <f aca="false">D175*$F$7</f>
        <v>0</v>
      </c>
      <c r="F175" s="41" t="n">
        <f aca="false">IF(D175&gt;0.5,N($C$15),0)</f>
        <v>0</v>
      </c>
      <c r="G175" s="41" t="n">
        <f aca="false">IF(AND(D175&gt;0.5,N($C$19)&gt;0,N(B175)&lt;=N($C$20)),D175*$F$8,0)</f>
        <v>0</v>
      </c>
      <c r="H175" s="41" t="n">
        <f aca="false">IF(D175&lt;=0.5,0,MIN(IF(N(I175)&gt;0,I175,$F$9),D175+E175+F175))</f>
        <v>0</v>
      </c>
      <c r="I175" s="77"/>
      <c r="J175" s="77"/>
      <c r="K175" s="41" t="n">
        <f aca="false">IF(D175&lt;=0.5,0,MIN(H175+N(J175),D175+E175+F175))</f>
        <v>0</v>
      </c>
      <c r="L175" s="41" t="n">
        <f aca="false">K175-E175-F175</f>
        <v>0</v>
      </c>
      <c r="M175" s="41" t="n">
        <f aca="false">D175-L175</f>
        <v>0</v>
      </c>
      <c r="N175" s="42" t="n">
        <f aca="false">K175-G175</f>
        <v>0</v>
      </c>
      <c r="O175" s="78"/>
      <c r="P175" s="79"/>
      <c r="Q175" s="16" t="str">
        <f aca="false">IF(K175=0,"",IF(R175=1,"Pagada",IF(C175&lt;$F$12,"Vencida",IF(149=$F$13,"Próxima","Pendiente"))))</f>
        <v/>
      </c>
      <c r="R175" s="62" t="n">
        <f aca="false">IF(AND(K175&gt;0,OR(O175="Sí",O175="Si")),1,0)</f>
        <v>0</v>
      </c>
      <c r="S175" s="62" t="n">
        <f aca="false">IF(AND(K175&gt;0,R175=0),1,0)</f>
        <v>0</v>
      </c>
    </row>
    <row r="176" customFormat="false" ht="15" hidden="false" customHeight="false" outlineLevel="0" collapsed="false">
      <c r="B176" s="71" t="str">
        <f aca="false">IF($F$6="Sí",N($C$11)+149,"")</f>
        <v/>
      </c>
      <c r="C176" s="72" t="str">
        <f aca="false">IF(OR($F$6&lt;&gt;"Sí",D176&lt;=0.5),"",EDATE($C$10,149))</f>
        <v/>
      </c>
      <c r="D176" s="41" t="n">
        <f aca="false">MAX(0,M175)</f>
        <v>0</v>
      </c>
      <c r="E176" s="41" t="n">
        <f aca="false">D176*$F$7</f>
        <v>0</v>
      </c>
      <c r="F176" s="41" t="n">
        <f aca="false">IF(D176&gt;0.5,N($C$15),0)</f>
        <v>0</v>
      </c>
      <c r="G176" s="41" t="n">
        <f aca="false">IF(AND(D176&gt;0.5,N($C$19)&gt;0,N(B176)&lt;=N($C$20)),D176*$F$8,0)</f>
        <v>0</v>
      </c>
      <c r="H176" s="41" t="n">
        <f aca="false">IF(D176&lt;=0.5,0,MIN(IF(N(I176)&gt;0,I176,$F$9),D176+E176+F176))</f>
        <v>0</v>
      </c>
      <c r="I176" s="77"/>
      <c r="J176" s="77"/>
      <c r="K176" s="41" t="n">
        <f aca="false">IF(D176&lt;=0.5,0,MIN(H176+N(J176),D176+E176+F176))</f>
        <v>0</v>
      </c>
      <c r="L176" s="41" t="n">
        <f aca="false">K176-E176-F176</f>
        <v>0</v>
      </c>
      <c r="M176" s="41" t="n">
        <f aca="false">D176-L176</f>
        <v>0</v>
      </c>
      <c r="N176" s="42" t="n">
        <f aca="false">K176-G176</f>
        <v>0</v>
      </c>
      <c r="O176" s="78"/>
      <c r="P176" s="79"/>
      <c r="Q176" s="16" t="str">
        <f aca="false">IF(K176=0,"",IF(R176=1,"Pagada",IF(C176&lt;$F$12,"Vencida",IF(150=$F$13,"Próxima","Pendiente"))))</f>
        <v/>
      </c>
      <c r="R176" s="62" t="n">
        <f aca="false">IF(AND(K176&gt;0,OR(O176="Sí",O176="Si")),1,0)</f>
        <v>0</v>
      </c>
      <c r="S176" s="62" t="n">
        <f aca="false">IF(AND(K176&gt;0,R176=0),1,0)</f>
        <v>0</v>
      </c>
    </row>
    <row r="177" customFormat="false" ht="15" hidden="false" customHeight="false" outlineLevel="0" collapsed="false">
      <c r="B177" s="71" t="str">
        <f aca="false">IF($F$6="Sí",N($C$11)+150,"")</f>
        <v/>
      </c>
      <c r="C177" s="72" t="str">
        <f aca="false">IF(OR($F$6&lt;&gt;"Sí",D177&lt;=0.5),"",EDATE($C$10,150))</f>
        <v/>
      </c>
      <c r="D177" s="41" t="n">
        <f aca="false">MAX(0,M176)</f>
        <v>0</v>
      </c>
      <c r="E177" s="41" t="n">
        <f aca="false">D177*$F$7</f>
        <v>0</v>
      </c>
      <c r="F177" s="41" t="n">
        <f aca="false">IF(D177&gt;0.5,N($C$15),0)</f>
        <v>0</v>
      </c>
      <c r="G177" s="41" t="n">
        <f aca="false">IF(AND(D177&gt;0.5,N($C$19)&gt;0,N(B177)&lt;=N($C$20)),D177*$F$8,0)</f>
        <v>0</v>
      </c>
      <c r="H177" s="41" t="n">
        <f aca="false">IF(D177&lt;=0.5,0,MIN(IF(N(I177)&gt;0,I177,$F$9),D177+E177+F177))</f>
        <v>0</v>
      </c>
      <c r="I177" s="77"/>
      <c r="J177" s="77"/>
      <c r="K177" s="41" t="n">
        <f aca="false">IF(D177&lt;=0.5,0,MIN(H177+N(J177),D177+E177+F177))</f>
        <v>0</v>
      </c>
      <c r="L177" s="41" t="n">
        <f aca="false">K177-E177-F177</f>
        <v>0</v>
      </c>
      <c r="M177" s="41" t="n">
        <f aca="false">D177-L177</f>
        <v>0</v>
      </c>
      <c r="N177" s="42" t="n">
        <f aca="false">K177-G177</f>
        <v>0</v>
      </c>
      <c r="O177" s="78"/>
      <c r="P177" s="79"/>
      <c r="Q177" s="16" t="str">
        <f aca="false">IF(K177=0,"",IF(R177=1,"Pagada",IF(C177&lt;$F$12,"Vencida",IF(151=$F$13,"Próxima","Pendiente"))))</f>
        <v/>
      </c>
      <c r="R177" s="62" t="n">
        <f aca="false">IF(AND(K177&gt;0,OR(O177="Sí",O177="Si")),1,0)</f>
        <v>0</v>
      </c>
      <c r="S177" s="62" t="n">
        <f aca="false">IF(AND(K177&gt;0,R177=0),1,0)</f>
        <v>0</v>
      </c>
    </row>
    <row r="178" customFormat="false" ht="15" hidden="false" customHeight="false" outlineLevel="0" collapsed="false">
      <c r="B178" s="71" t="str">
        <f aca="false">IF($F$6="Sí",N($C$11)+151,"")</f>
        <v/>
      </c>
      <c r="C178" s="72" t="str">
        <f aca="false">IF(OR($F$6&lt;&gt;"Sí",D178&lt;=0.5),"",EDATE($C$10,151))</f>
        <v/>
      </c>
      <c r="D178" s="41" t="n">
        <f aca="false">MAX(0,M177)</f>
        <v>0</v>
      </c>
      <c r="E178" s="41" t="n">
        <f aca="false">D178*$F$7</f>
        <v>0</v>
      </c>
      <c r="F178" s="41" t="n">
        <f aca="false">IF(D178&gt;0.5,N($C$15),0)</f>
        <v>0</v>
      </c>
      <c r="G178" s="41" t="n">
        <f aca="false">IF(AND(D178&gt;0.5,N($C$19)&gt;0,N(B178)&lt;=N($C$20)),D178*$F$8,0)</f>
        <v>0</v>
      </c>
      <c r="H178" s="41" t="n">
        <f aca="false">IF(D178&lt;=0.5,0,MIN(IF(N(I178)&gt;0,I178,$F$9),D178+E178+F178))</f>
        <v>0</v>
      </c>
      <c r="I178" s="77"/>
      <c r="J178" s="77"/>
      <c r="K178" s="41" t="n">
        <f aca="false">IF(D178&lt;=0.5,0,MIN(H178+N(J178),D178+E178+F178))</f>
        <v>0</v>
      </c>
      <c r="L178" s="41" t="n">
        <f aca="false">K178-E178-F178</f>
        <v>0</v>
      </c>
      <c r="M178" s="41" t="n">
        <f aca="false">D178-L178</f>
        <v>0</v>
      </c>
      <c r="N178" s="42" t="n">
        <f aca="false">K178-G178</f>
        <v>0</v>
      </c>
      <c r="O178" s="78"/>
      <c r="P178" s="79"/>
      <c r="Q178" s="16" t="str">
        <f aca="false">IF(K178=0,"",IF(R178=1,"Pagada",IF(C178&lt;$F$12,"Vencida",IF(152=$F$13,"Próxima","Pendiente"))))</f>
        <v/>
      </c>
      <c r="R178" s="62" t="n">
        <f aca="false">IF(AND(K178&gt;0,OR(O178="Sí",O178="Si")),1,0)</f>
        <v>0</v>
      </c>
      <c r="S178" s="62" t="n">
        <f aca="false">IF(AND(K178&gt;0,R178=0),1,0)</f>
        <v>0</v>
      </c>
    </row>
    <row r="179" customFormat="false" ht="15" hidden="false" customHeight="false" outlineLevel="0" collapsed="false">
      <c r="B179" s="71" t="str">
        <f aca="false">IF($F$6="Sí",N($C$11)+152,"")</f>
        <v/>
      </c>
      <c r="C179" s="72" t="str">
        <f aca="false">IF(OR($F$6&lt;&gt;"Sí",D179&lt;=0.5),"",EDATE($C$10,152))</f>
        <v/>
      </c>
      <c r="D179" s="41" t="n">
        <f aca="false">MAX(0,M178)</f>
        <v>0</v>
      </c>
      <c r="E179" s="41" t="n">
        <f aca="false">D179*$F$7</f>
        <v>0</v>
      </c>
      <c r="F179" s="41" t="n">
        <f aca="false">IF(D179&gt;0.5,N($C$15),0)</f>
        <v>0</v>
      </c>
      <c r="G179" s="41" t="n">
        <f aca="false">IF(AND(D179&gt;0.5,N($C$19)&gt;0,N(B179)&lt;=N($C$20)),D179*$F$8,0)</f>
        <v>0</v>
      </c>
      <c r="H179" s="41" t="n">
        <f aca="false">IF(D179&lt;=0.5,0,MIN(IF(N(I179)&gt;0,I179,$F$9),D179+E179+F179))</f>
        <v>0</v>
      </c>
      <c r="I179" s="77"/>
      <c r="J179" s="77"/>
      <c r="K179" s="41" t="n">
        <f aca="false">IF(D179&lt;=0.5,0,MIN(H179+N(J179),D179+E179+F179))</f>
        <v>0</v>
      </c>
      <c r="L179" s="41" t="n">
        <f aca="false">K179-E179-F179</f>
        <v>0</v>
      </c>
      <c r="M179" s="41" t="n">
        <f aca="false">D179-L179</f>
        <v>0</v>
      </c>
      <c r="N179" s="42" t="n">
        <f aca="false">K179-G179</f>
        <v>0</v>
      </c>
      <c r="O179" s="78"/>
      <c r="P179" s="79"/>
      <c r="Q179" s="16" t="str">
        <f aca="false">IF(K179=0,"",IF(R179=1,"Pagada",IF(C179&lt;$F$12,"Vencida",IF(153=$F$13,"Próxima","Pendiente"))))</f>
        <v/>
      </c>
      <c r="R179" s="62" t="n">
        <f aca="false">IF(AND(K179&gt;0,OR(O179="Sí",O179="Si")),1,0)</f>
        <v>0</v>
      </c>
      <c r="S179" s="62" t="n">
        <f aca="false">IF(AND(K179&gt;0,R179=0),1,0)</f>
        <v>0</v>
      </c>
    </row>
    <row r="180" customFormat="false" ht="15" hidden="false" customHeight="false" outlineLevel="0" collapsed="false">
      <c r="B180" s="71" t="str">
        <f aca="false">IF($F$6="Sí",N($C$11)+153,"")</f>
        <v/>
      </c>
      <c r="C180" s="72" t="str">
        <f aca="false">IF(OR($F$6&lt;&gt;"Sí",D180&lt;=0.5),"",EDATE($C$10,153))</f>
        <v/>
      </c>
      <c r="D180" s="41" t="n">
        <f aca="false">MAX(0,M179)</f>
        <v>0</v>
      </c>
      <c r="E180" s="41" t="n">
        <f aca="false">D180*$F$7</f>
        <v>0</v>
      </c>
      <c r="F180" s="41" t="n">
        <f aca="false">IF(D180&gt;0.5,N($C$15),0)</f>
        <v>0</v>
      </c>
      <c r="G180" s="41" t="n">
        <f aca="false">IF(AND(D180&gt;0.5,N($C$19)&gt;0,N(B180)&lt;=N($C$20)),D180*$F$8,0)</f>
        <v>0</v>
      </c>
      <c r="H180" s="41" t="n">
        <f aca="false">IF(D180&lt;=0.5,0,MIN(IF(N(I180)&gt;0,I180,$F$9),D180+E180+F180))</f>
        <v>0</v>
      </c>
      <c r="I180" s="77"/>
      <c r="J180" s="77"/>
      <c r="K180" s="41" t="n">
        <f aca="false">IF(D180&lt;=0.5,0,MIN(H180+N(J180),D180+E180+F180))</f>
        <v>0</v>
      </c>
      <c r="L180" s="41" t="n">
        <f aca="false">K180-E180-F180</f>
        <v>0</v>
      </c>
      <c r="M180" s="41" t="n">
        <f aca="false">D180-L180</f>
        <v>0</v>
      </c>
      <c r="N180" s="42" t="n">
        <f aca="false">K180-G180</f>
        <v>0</v>
      </c>
      <c r="O180" s="78"/>
      <c r="P180" s="79"/>
      <c r="Q180" s="16" t="str">
        <f aca="false">IF(K180=0,"",IF(R180=1,"Pagada",IF(C180&lt;$F$12,"Vencida",IF(154=$F$13,"Próxima","Pendiente"))))</f>
        <v/>
      </c>
      <c r="R180" s="62" t="n">
        <f aca="false">IF(AND(K180&gt;0,OR(O180="Sí",O180="Si")),1,0)</f>
        <v>0</v>
      </c>
      <c r="S180" s="62" t="n">
        <f aca="false">IF(AND(K180&gt;0,R180=0),1,0)</f>
        <v>0</v>
      </c>
    </row>
    <row r="181" customFormat="false" ht="15" hidden="false" customHeight="false" outlineLevel="0" collapsed="false">
      <c r="B181" s="71" t="str">
        <f aca="false">IF($F$6="Sí",N($C$11)+154,"")</f>
        <v/>
      </c>
      <c r="C181" s="72" t="str">
        <f aca="false">IF(OR($F$6&lt;&gt;"Sí",D181&lt;=0.5),"",EDATE($C$10,154))</f>
        <v/>
      </c>
      <c r="D181" s="41" t="n">
        <f aca="false">MAX(0,M180)</f>
        <v>0</v>
      </c>
      <c r="E181" s="41" t="n">
        <f aca="false">D181*$F$7</f>
        <v>0</v>
      </c>
      <c r="F181" s="41" t="n">
        <f aca="false">IF(D181&gt;0.5,N($C$15),0)</f>
        <v>0</v>
      </c>
      <c r="G181" s="41" t="n">
        <f aca="false">IF(AND(D181&gt;0.5,N($C$19)&gt;0,N(B181)&lt;=N($C$20)),D181*$F$8,0)</f>
        <v>0</v>
      </c>
      <c r="H181" s="41" t="n">
        <f aca="false">IF(D181&lt;=0.5,0,MIN(IF(N(I181)&gt;0,I181,$F$9),D181+E181+F181))</f>
        <v>0</v>
      </c>
      <c r="I181" s="77"/>
      <c r="J181" s="77"/>
      <c r="K181" s="41" t="n">
        <f aca="false">IF(D181&lt;=0.5,0,MIN(H181+N(J181),D181+E181+F181))</f>
        <v>0</v>
      </c>
      <c r="L181" s="41" t="n">
        <f aca="false">K181-E181-F181</f>
        <v>0</v>
      </c>
      <c r="M181" s="41" t="n">
        <f aca="false">D181-L181</f>
        <v>0</v>
      </c>
      <c r="N181" s="42" t="n">
        <f aca="false">K181-G181</f>
        <v>0</v>
      </c>
      <c r="O181" s="78"/>
      <c r="P181" s="79"/>
      <c r="Q181" s="16" t="str">
        <f aca="false">IF(K181=0,"",IF(R181=1,"Pagada",IF(C181&lt;$F$12,"Vencida",IF(155=$F$13,"Próxima","Pendiente"))))</f>
        <v/>
      </c>
      <c r="R181" s="62" t="n">
        <f aca="false">IF(AND(K181&gt;0,OR(O181="Sí",O181="Si")),1,0)</f>
        <v>0</v>
      </c>
      <c r="S181" s="62" t="n">
        <f aca="false">IF(AND(K181&gt;0,R181=0),1,0)</f>
        <v>0</v>
      </c>
    </row>
    <row r="182" customFormat="false" ht="15" hidden="false" customHeight="false" outlineLevel="0" collapsed="false">
      <c r="B182" s="71" t="str">
        <f aca="false">IF($F$6="Sí",N($C$11)+155,"")</f>
        <v/>
      </c>
      <c r="C182" s="72" t="str">
        <f aca="false">IF(OR($F$6&lt;&gt;"Sí",D182&lt;=0.5),"",EDATE($C$10,155))</f>
        <v/>
      </c>
      <c r="D182" s="41" t="n">
        <f aca="false">MAX(0,M181)</f>
        <v>0</v>
      </c>
      <c r="E182" s="41" t="n">
        <f aca="false">D182*$F$7</f>
        <v>0</v>
      </c>
      <c r="F182" s="41" t="n">
        <f aca="false">IF(D182&gt;0.5,N($C$15),0)</f>
        <v>0</v>
      </c>
      <c r="G182" s="41" t="n">
        <f aca="false">IF(AND(D182&gt;0.5,N($C$19)&gt;0,N(B182)&lt;=N($C$20)),D182*$F$8,0)</f>
        <v>0</v>
      </c>
      <c r="H182" s="41" t="n">
        <f aca="false">IF(D182&lt;=0.5,0,MIN(IF(N(I182)&gt;0,I182,$F$9),D182+E182+F182))</f>
        <v>0</v>
      </c>
      <c r="I182" s="77"/>
      <c r="J182" s="77"/>
      <c r="K182" s="41" t="n">
        <f aca="false">IF(D182&lt;=0.5,0,MIN(H182+N(J182),D182+E182+F182))</f>
        <v>0</v>
      </c>
      <c r="L182" s="41" t="n">
        <f aca="false">K182-E182-F182</f>
        <v>0</v>
      </c>
      <c r="M182" s="41" t="n">
        <f aca="false">D182-L182</f>
        <v>0</v>
      </c>
      <c r="N182" s="42" t="n">
        <f aca="false">K182-G182</f>
        <v>0</v>
      </c>
      <c r="O182" s="78"/>
      <c r="P182" s="79"/>
      <c r="Q182" s="16" t="str">
        <f aca="false">IF(K182=0,"",IF(R182=1,"Pagada",IF(C182&lt;$F$12,"Vencida",IF(156=$F$13,"Próxima","Pendiente"))))</f>
        <v/>
      </c>
      <c r="R182" s="62" t="n">
        <f aca="false">IF(AND(K182&gt;0,OR(O182="Sí",O182="Si")),1,0)</f>
        <v>0</v>
      </c>
      <c r="S182" s="62" t="n">
        <f aca="false">IF(AND(K182&gt;0,R182=0),1,0)</f>
        <v>0</v>
      </c>
    </row>
    <row r="183" customFormat="false" ht="15" hidden="false" customHeight="false" outlineLevel="0" collapsed="false">
      <c r="B183" s="71" t="str">
        <f aca="false">IF($F$6="Sí",N($C$11)+156,"")</f>
        <v/>
      </c>
      <c r="C183" s="72" t="str">
        <f aca="false">IF(OR($F$6&lt;&gt;"Sí",D183&lt;=0.5),"",EDATE($C$10,156))</f>
        <v/>
      </c>
      <c r="D183" s="41" t="n">
        <f aca="false">MAX(0,M182)</f>
        <v>0</v>
      </c>
      <c r="E183" s="41" t="n">
        <f aca="false">D183*$F$7</f>
        <v>0</v>
      </c>
      <c r="F183" s="41" t="n">
        <f aca="false">IF(D183&gt;0.5,N($C$15),0)</f>
        <v>0</v>
      </c>
      <c r="G183" s="41" t="n">
        <f aca="false">IF(AND(D183&gt;0.5,N($C$19)&gt;0,N(B183)&lt;=N($C$20)),D183*$F$8,0)</f>
        <v>0</v>
      </c>
      <c r="H183" s="41" t="n">
        <f aca="false">IF(D183&lt;=0.5,0,MIN(IF(N(I183)&gt;0,I183,$F$9),D183+E183+F183))</f>
        <v>0</v>
      </c>
      <c r="I183" s="77"/>
      <c r="J183" s="77"/>
      <c r="K183" s="41" t="n">
        <f aca="false">IF(D183&lt;=0.5,0,MIN(H183+N(J183),D183+E183+F183))</f>
        <v>0</v>
      </c>
      <c r="L183" s="41" t="n">
        <f aca="false">K183-E183-F183</f>
        <v>0</v>
      </c>
      <c r="M183" s="41" t="n">
        <f aca="false">D183-L183</f>
        <v>0</v>
      </c>
      <c r="N183" s="42" t="n">
        <f aca="false">K183-G183</f>
        <v>0</v>
      </c>
      <c r="O183" s="78"/>
      <c r="P183" s="79"/>
      <c r="Q183" s="16" t="str">
        <f aca="false">IF(K183=0,"",IF(R183=1,"Pagada",IF(C183&lt;$F$12,"Vencida",IF(157=$F$13,"Próxima","Pendiente"))))</f>
        <v/>
      </c>
      <c r="R183" s="62" t="n">
        <f aca="false">IF(AND(K183&gt;0,OR(O183="Sí",O183="Si")),1,0)</f>
        <v>0</v>
      </c>
      <c r="S183" s="62" t="n">
        <f aca="false">IF(AND(K183&gt;0,R183=0),1,0)</f>
        <v>0</v>
      </c>
    </row>
    <row r="184" customFormat="false" ht="15" hidden="false" customHeight="false" outlineLevel="0" collapsed="false">
      <c r="B184" s="71" t="str">
        <f aca="false">IF($F$6="Sí",N($C$11)+157,"")</f>
        <v/>
      </c>
      <c r="C184" s="72" t="str">
        <f aca="false">IF(OR($F$6&lt;&gt;"Sí",D184&lt;=0.5),"",EDATE($C$10,157))</f>
        <v/>
      </c>
      <c r="D184" s="41" t="n">
        <f aca="false">MAX(0,M183)</f>
        <v>0</v>
      </c>
      <c r="E184" s="41" t="n">
        <f aca="false">D184*$F$7</f>
        <v>0</v>
      </c>
      <c r="F184" s="41" t="n">
        <f aca="false">IF(D184&gt;0.5,N($C$15),0)</f>
        <v>0</v>
      </c>
      <c r="G184" s="41" t="n">
        <f aca="false">IF(AND(D184&gt;0.5,N($C$19)&gt;0,N(B184)&lt;=N($C$20)),D184*$F$8,0)</f>
        <v>0</v>
      </c>
      <c r="H184" s="41" t="n">
        <f aca="false">IF(D184&lt;=0.5,0,MIN(IF(N(I184)&gt;0,I184,$F$9),D184+E184+F184))</f>
        <v>0</v>
      </c>
      <c r="I184" s="77"/>
      <c r="J184" s="77"/>
      <c r="K184" s="41" t="n">
        <f aca="false">IF(D184&lt;=0.5,0,MIN(H184+N(J184),D184+E184+F184))</f>
        <v>0</v>
      </c>
      <c r="L184" s="41" t="n">
        <f aca="false">K184-E184-F184</f>
        <v>0</v>
      </c>
      <c r="M184" s="41" t="n">
        <f aca="false">D184-L184</f>
        <v>0</v>
      </c>
      <c r="N184" s="42" t="n">
        <f aca="false">K184-G184</f>
        <v>0</v>
      </c>
      <c r="O184" s="78"/>
      <c r="P184" s="79"/>
      <c r="Q184" s="16" t="str">
        <f aca="false">IF(K184=0,"",IF(R184=1,"Pagada",IF(C184&lt;$F$12,"Vencida",IF(158=$F$13,"Próxima","Pendiente"))))</f>
        <v/>
      </c>
      <c r="R184" s="62" t="n">
        <f aca="false">IF(AND(K184&gt;0,OR(O184="Sí",O184="Si")),1,0)</f>
        <v>0</v>
      </c>
      <c r="S184" s="62" t="n">
        <f aca="false">IF(AND(K184&gt;0,R184=0),1,0)</f>
        <v>0</v>
      </c>
    </row>
    <row r="185" customFormat="false" ht="15" hidden="false" customHeight="false" outlineLevel="0" collapsed="false">
      <c r="B185" s="71" t="str">
        <f aca="false">IF($F$6="Sí",N($C$11)+158,"")</f>
        <v/>
      </c>
      <c r="C185" s="72" t="str">
        <f aca="false">IF(OR($F$6&lt;&gt;"Sí",D185&lt;=0.5),"",EDATE($C$10,158))</f>
        <v/>
      </c>
      <c r="D185" s="41" t="n">
        <f aca="false">MAX(0,M184)</f>
        <v>0</v>
      </c>
      <c r="E185" s="41" t="n">
        <f aca="false">D185*$F$7</f>
        <v>0</v>
      </c>
      <c r="F185" s="41" t="n">
        <f aca="false">IF(D185&gt;0.5,N($C$15),0)</f>
        <v>0</v>
      </c>
      <c r="G185" s="41" t="n">
        <f aca="false">IF(AND(D185&gt;0.5,N($C$19)&gt;0,N(B185)&lt;=N($C$20)),D185*$F$8,0)</f>
        <v>0</v>
      </c>
      <c r="H185" s="41" t="n">
        <f aca="false">IF(D185&lt;=0.5,0,MIN(IF(N(I185)&gt;0,I185,$F$9),D185+E185+F185))</f>
        <v>0</v>
      </c>
      <c r="I185" s="77"/>
      <c r="J185" s="77"/>
      <c r="K185" s="41" t="n">
        <f aca="false">IF(D185&lt;=0.5,0,MIN(H185+N(J185),D185+E185+F185))</f>
        <v>0</v>
      </c>
      <c r="L185" s="41" t="n">
        <f aca="false">K185-E185-F185</f>
        <v>0</v>
      </c>
      <c r="M185" s="41" t="n">
        <f aca="false">D185-L185</f>
        <v>0</v>
      </c>
      <c r="N185" s="42" t="n">
        <f aca="false">K185-G185</f>
        <v>0</v>
      </c>
      <c r="O185" s="78"/>
      <c r="P185" s="79"/>
      <c r="Q185" s="16" t="str">
        <f aca="false">IF(K185=0,"",IF(R185=1,"Pagada",IF(C185&lt;$F$12,"Vencida",IF(159=$F$13,"Próxima","Pendiente"))))</f>
        <v/>
      </c>
      <c r="R185" s="62" t="n">
        <f aca="false">IF(AND(K185&gt;0,OR(O185="Sí",O185="Si")),1,0)</f>
        <v>0</v>
      </c>
      <c r="S185" s="62" t="n">
        <f aca="false">IF(AND(K185&gt;0,R185=0),1,0)</f>
        <v>0</v>
      </c>
    </row>
    <row r="186" customFormat="false" ht="15" hidden="false" customHeight="false" outlineLevel="0" collapsed="false">
      <c r="B186" s="71" t="str">
        <f aca="false">IF($F$6="Sí",N($C$11)+159,"")</f>
        <v/>
      </c>
      <c r="C186" s="72" t="str">
        <f aca="false">IF(OR($F$6&lt;&gt;"Sí",D186&lt;=0.5),"",EDATE($C$10,159))</f>
        <v/>
      </c>
      <c r="D186" s="41" t="n">
        <f aca="false">MAX(0,M185)</f>
        <v>0</v>
      </c>
      <c r="E186" s="41" t="n">
        <f aca="false">D186*$F$7</f>
        <v>0</v>
      </c>
      <c r="F186" s="41" t="n">
        <f aca="false">IF(D186&gt;0.5,N($C$15),0)</f>
        <v>0</v>
      </c>
      <c r="G186" s="41" t="n">
        <f aca="false">IF(AND(D186&gt;0.5,N($C$19)&gt;0,N(B186)&lt;=N($C$20)),D186*$F$8,0)</f>
        <v>0</v>
      </c>
      <c r="H186" s="41" t="n">
        <f aca="false">IF(D186&lt;=0.5,0,MIN(IF(N(I186)&gt;0,I186,$F$9),D186+E186+F186))</f>
        <v>0</v>
      </c>
      <c r="I186" s="77"/>
      <c r="J186" s="77"/>
      <c r="K186" s="41" t="n">
        <f aca="false">IF(D186&lt;=0.5,0,MIN(H186+N(J186),D186+E186+F186))</f>
        <v>0</v>
      </c>
      <c r="L186" s="41" t="n">
        <f aca="false">K186-E186-F186</f>
        <v>0</v>
      </c>
      <c r="M186" s="41" t="n">
        <f aca="false">D186-L186</f>
        <v>0</v>
      </c>
      <c r="N186" s="42" t="n">
        <f aca="false">K186-G186</f>
        <v>0</v>
      </c>
      <c r="O186" s="78"/>
      <c r="P186" s="79"/>
      <c r="Q186" s="16" t="str">
        <f aca="false">IF(K186=0,"",IF(R186=1,"Pagada",IF(C186&lt;$F$12,"Vencida",IF(160=$F$13,"Próxima","Pendiente"))))</f>
        <v/>
      </c>
      <c r="R186" s="62" t="n">
        <f aca="false">IF(AND(K186&gt;0,OR(O186="Sí",O186="Si")),1,0)</f>
        <v>0</v>
      </c>
      <c r="S186" s="62" t="n">
        <f aca="false">IF(AND(K186&gt;0,R186=0),1,0)</f>
        <v>0</v>
      </c>
    </row>
    <row r="187" customFormat="false" ht="15" hidden="false" customHeight="false" outlineLevel="0" collapsed="false">
      <c r="B187" s="71" t="str">
        <f aca="false">IF($F$6="Sí",N($C$11)+160,"")</f>
        <v/>
      </c>
      <c r="C187" s="72" t="str">
        <f aca="false">IF(OR($F$6&lt;&gt;"Sí",D187&lt;=0.5),"",EDATE($C$10,160))</f>
        <v/>
      </c>
      <c r="D187" s="41" t="n">
        <f aca="false">MAX(0,M186)</f>
        <v>0</v>
      </c>
      <c r="E187" s="41" t="n">
        <f aca="false">D187*$F$7</f>
        <v>0</v>
      </c>
      <c r="F187" s="41" t="n">
        <f aca="false">IF(D187&gt;0.5,N($C$15),0)</f>
        <v>0</v>
      </c>
      <c r="G187" s="41" t="n">
        <f aca="false">IF(AND(D187&gt;0.5,N($C$19)&gt;0,N(B187)&lt;=N($C$20)),D187*$F$8,0)</f>
        <v>0</v>
      </c>
      <c r="H187" s="41" t="n">
        <f aca="false">IF(D187&lt;=0.5,0,MIN(IF(N(I187)&gt;0,I187,$F$9),D187+E187+F187))</f>
        <v>0</v>
      </c>
      <c r="I187" s="77"/>
      <c r="J187" s="77"/>
      <c r="K187" s="41" t="n">
        <f aca="false">IF(D187&lt;=0.5,0,MIN(H187+N(J187),D187+E187+F187))</f>
        <v>0</v>
      </c>
      <c r="L187" s="41" t="n">
        <f aca="false">K187-E187-F187</f>
        <v>0</v>
      </c>
      <c r="M187" s="41" t="n">
        <f aca="false">D187-L187</f>
        <v>0</v>
      </c>
      <c r="N187" s="42" t="n">
        <f aca="false">K187-G187</f>
        <v>0</v>
      </c>
      <c r="O187" s="78"/>
      <c r="P187" s="79"/>
      <c r="Q187" s="16" t="str">
        <f aca="false">IF(K187=0,"",IF(R187=1,"Pagada",IF(C187&lt;$F$12,"Vencida",IF(161=$F$13,"Próxima","Pendiente"))))</f>
        <v/>
      </c>
      <c r="R187" s="62" t="n">
        <f aca="false">IF(AND(K187&gt;0,OR(O187="Sí",O187="Si")),1,0)</f>
        <v>0</v>
      </c>
      <c r="S187" s="62" t="n">
        <f aca="false">IF(AND(K187&gt;0,R187=0),1,0)</f>
        <v>0</v>
      </c>
    </row>
    <row r="188" customFormat="false" ht="15" hidden="false" customHeight="false" outlineLevel="0" collapsed="false">
      <c r="B188" s="71" t="str">
        <f aca="false">IF($F$6="Sí",N($C$11)+161,"")</f>
        <v/>
      </c>
      <c r="C188" s="72" t="str">
        <f aca="false">IF(OR($F$6&lt;&gt;"Sí",D188&lt;=0.5),"",EDATE($C$10,161))</f>
        <v/>
      </c>
      <c r="D188" s="41" t="n">
        <f aca="false">MAX(0,M187)</f>
        <v>0</v>
      </c>
      <c r="E188" s="41" t="n">
        <f aca="false">D188*$F$7</f>
        <v>0</v>
      </c>
      <c r="F188" s="41" t="n">
        <f aca="false">IF(D188&gt;0.5,N($C$15),0)</f>
        <v>0</v>
      </c>
      <c r="G188" s="41" t="n">
        <f aca="false">IF(AND(D188&gt;0.5,N($C$19)&gt;0,N(B188)&lt;=N($C$20)),D188*$F$8,0)</f>
        <v>0</v>
      </c>
      <c r="H188" s="41" t="n">
        <f aca="false">IF(D188&lt;=0.5,0,MIN(IF(N(I188)&gt;0,I188,$F$9),D188+E188+F188))</f>
        <v>0</v>
      </c>
      <c r="I188" s="77"/>
      <c r="J188" s="77"/>
      <c r="K188" s="41" t="n">
        <f aca="false">IF(D188&lt;=0.5,0,MIN(H188+N(J188),D188+E188+F188))</f>
        <v>0</v>
      </c>
      <c r="L188" s="41" t="n">
        <f aca="false">K188-E188-F188</f>
        <v>0</v>
      </c>
      <c r="M188" s="41" t="n">
        <f aca="false">D188-L188</f>
        <v>0</v>
      </c>
      <c r="N188" s="42" t="n">
        <f aca="false">K188-G188</f>
        <v>0</v>
      </c>
      <c r="O188" s="78"/>
      <c r="P188" s="79"/>
      <c r="Q188" s="16" t="str">
        <f aca="false">IF(K188=0,"",IF(R188=1,"Pagada",IF(C188&lt;$F$12,"Vencida",IF(162=$F$13,"Próxima","Pendiente"))))</f>
        <v/>
      </c>
      <c r="R188" s="62" t="n">
        <f aca="false">IF(AND(K188&gt;0,OR(O188="Sí",O188="Si")),1,0)</f>
        <v>0</v>
      </c>
      <c r="S188" s="62" t="n">
        <f aca="false">IF(AND(K188&gt;0,R188=0),1,0)</f>
        <v>0</v>
      </c>
    </row>
    <row r="189" customFormat="false" ht="15" hidden="false" customHeight="false" outlineLevel="0" collapsed="false">
      <c r="B189" s="71" t="str">
        <f aca="false">IF($F$6="Sí",N($C$11)+162,"")</f>
        <v/>
      </c>
      <c r="C189" s="72" t="str">
        <f aca="false">IF(OR($F$6&lt;&gt;"Sí",D189&lt;=0.5),"",EDATE($C$10,162))</f>
        <v/>
      </c>
      <c r="D189" s="41" t="n">
        <f aca="false">MAX(0,M188)</f>
        <v>0</v>
      </c>
      <c r="E189" s="41" t="n">
        <f aca="false">D189*$F$7</f>
        <v>0</v>
      </c>
      <c r="F189" s="41" t="n">
        <f aca="false">IF(D189&gt;0.5,N($C$15),0)</f>
        <v>0</v>
      </c>
      <c r="G189" s="41" t="n">
        <f aca="false">IF(AND(D189&gt;0.5,N($C$19)&gt;0,N(B189)&lt;=N($C$20)),D189*$F$8,0)</f>
        <v>0</v>
      </c>
      <c r="H189" s="41" t="n">
        <f aca="false">IF(D189&lt;=0.5,0,MIN(IF(N(I189)&gt;0,I189,$F$9),D189+E189+F189))</f>
        <v>0</v>
      </c>
      <c r="I189" s="77"/>
      <c r="J189" s="77"/>
      <c r="K189" s="41" t="n">
        <f aca="false">IF(D189&lt;=0.5,0,MIN(H189+N(J189),D189+E189+F189))</f>
        <v>0</v>
      </c>
      <c r="L189" s="41" t="n">
        <f aca="false">K189-E189-F189</f>
        <v>0</v>
      </c>
      <c r="M189" s="41" t="n">
        <f aca="false">D189-L189</f>
        <v>0</v>
      </c>
      <c r="N189" s="42" t="n">
        <f aca="false">K189-G189</f>
        <v>0</v>
      </c>
      <c r="O189" s="78"/>
      <c r="P189" s="79"/>
      <c r="Q189" s="16" t="str">
        <f aca="false">IF(K189=0,"",IF(R189=1,"Pagada",IF(C189&lt;$F$12,"Vencida",IF(163=$F$13,"Próxima","Pendiente"))))</f>
        <v/>
      </c>
      <c r="R189" s="62" t="n">
        <f aca="false">IF(AND(K189&gt;0,OR(O189="Sí",O189="Si")),1,0)</f>
        <v>0</v>
      </c>
      <c r="S189" s="62" t="n">
        <f aca="false">IF(AND(K189&gt;0,R189=0),1,0)</f>
        <v>0</v>
      </c>
    </row>
    <row r="190" customFormat="false" ht="15" hidden="false" customHeight="false" outlineLevel="0" collapsed="false">
      <c r="B190" s="71" t="str">
        <f aca="false">IF($F$6="Sí",N($C$11)+163,"")</f>
        <v/>
      </c>
      <c r="C190" s="72" t="str">
        <f aca="false">IF(OR($F$6&lt;&gt;"Sí",D190&lt;=0.5),"",EDATE($C$10,163))</f>
        <v/>
      </c>
      <c r="D190" s="41" t="n">
        <f aca="false">MAX(0,M189)</f>
        <v>0</v>
      </c>
      <c r="E190" s="41" t="n">
        <f aca="false">D190*$F$7</f>
        <v>0</v>
      </c>
      <c r="F190" s="41" t="n">
        <f aca="false">IF(D190&gt;0.5,N($C$15),0)</f>
        <v>0</v>
      </c>
      <c r="G190" s="41" t="n">
        <f aca="false">IF(AND(D190&gt;0.5,N($C$19)&gt;0,N(B190)&lt;=N($C$20)),D190*$F$8,0)</f>
        <v>0</v>
      </c>
      <c r="H190" s="41" t="n">
        <f aca="false">IF(D190&lt;=0.5,0,MIN(IF(N(I190)&gt;0,I190,$F$9),D190+E190+F190))</f>
        <v>0</v>
      </c>
      <c r="I190" s="77"/>
      <c r="J190" s="77"/>
      <c r="K190" s="41" t="n">
        <f aca="false">IF(D190&lt;=0.5,0,MIN(H190+N(J190),D190+E190+F190))</f>
        <v>0</v>
      </c>
      <c r="L190" s="41" t="n">
        <f aca="false">K190-E190-F190</f>
        <v>0</v>
      </c>
      <c r="M190" s="41" t="n">
        <f aca="false">D190-L190</f>
        <v>0</v>
      </c>
      <c r="N190" s="42" t="n">
        <f aca="false">K190-G190</f>
        <v>0</v>
      </c>
      <c r="O190" s="78"/>
      <c r="P190" s="79"/>
      <c r="Q190" s="16" t="str">
        <f aca="false">IF(K190=0,"",IF(R190=1,"Pagada",IF(C190&lt;$F$12,"Vencida",IF(164=$F$13,"Próxima","Pendiente"))))</f>
        <v/>
      </c>
      <c r="R190" s="62" t="n">
        <f aca="false">IF(AND(K190&gt;0,OR(O190="Sí",O190="Si")),1,0)</f>
        <v>0</v>
      </c>
      <c r="S190" s="62" t="n">
        <f aca="false">IF(AND(K190&gt;0,R190=0),1,0)</f>
        <v>0</v>
      </c>
    </row>
    <row r="191" customFormat="false" ht="15" hidden="false" customHeight="false" outlineLevel="0" collapsed="false">
      <c r="B191" s="71" t="str">
        <f aca="false">IF($F$6="Sí",N($C$11)+164,"")</f>
        <v/>
      </c>
      <c r="C191" s="72" t="str">
        <f aca="false">IF(OR($F$6&lt;&gt;"Sí",D191&lt;=0.5),"",EDATE($C$10,164))</f>
        <v/>
      </c>
      <c r="D191" s="41" t="n">
        <f aca="false">MAX(0,M190)</f>
        <v>0</v>
      </c>
      <c r="E191" s="41" t="n">
        <f aca="false">D191*$F$7</f>
        <v>0</v>
      </c>
      <c r="F191" s="41" t="n">
        <f aca="false">IF(D191&gt;0.5,N($C$15),0)</f>
        <v>0</v>
      </c>
      <c r="G191" s="41" t="n">
        <f aca="false">IF(AND(D191&gt;0.5,N($C$19)&gt;0,N(B191)&lt;=N($C$20)),D191*$F$8,0)</f>
        <v>0</v>
      </c>
      <c r="H191" s="41" t="n">
        <f aca="false">IF(D191&lt;=0.5,0,MIN(IF(N(I191)&gt;0,I191,$F$9),D191+E191+F191))</f>
        <v>0</v>
      </c>
      <c r="I191" s="77"/>
      <c r="J191" s="77"/>
      <c r="K191" s="41" t="n">
        <f aca="false">IF(D191&lt;=0.5,0,MIN(H191+N(J191),D191+E191+F191))</f>
        <v>0</v>
      </c>
      <c r="L191" s="41" t="n">
        <f aca="false">K191-E191-F191</f>
        <v>0</v>
      </c>
      <c r="M191" s="41" t="n">
        <f aca="false">D191-L191</f>
        <v>0</v>
      </c>
      <c r="N191" s="42" t="n">
        <f aca="false">K191-G191</f>
        <v>0</v>
      </c>
      <c r="O191" s="78"/>
      <c r="P191" s="79"/>
      <c r="Q191" s="16" t="str">
        <f aca="false">IF(K191=0,"",IF(R191=1,"Pagada",IF(C191&lt;$F$12,"Vencida",IF(165=$F$13,"Próxima","Pendiente"))))</f>
        <v/>
      </c>
      <c r="R191" s="62" t="n">
        <f aca="false">IF(AND(K191&gt;0,OR(O191="Sí",O191="Si")),1,0)</f>
        <v>0</v>
      </c>
      <c r="S191" s="62" t="n">
        <f aca="false">IF(AND(K191&gt;0,R191=0),1,0)</f>
        <v>0</v>
      </c>
    </row>
    <row r="192" customFormat="false" ht="15" hidden="false" customHeight="false" outlineLevel="0" collapsed="false">
      <c r="B192" s="71" t="str">
        <f aca="false">IF($F$6="Sí",N($C$11)+165,"")</f>
        <v/>
      </c>
      <c r="C192" s="72" t="str">
        <f aca="false">IF(OR($F$6&lt;&gt;"Sí",D192&lt;=0.5),"",EDATE($C$10,165))</f>
        <v/>
      </c>
      <c r="D192" s="41" t="n">
        <f aca="false">MAX(0,M191)</f>
        <v>0</v>
      </c>
      <c r="E192" s="41" t="n">
        <f aca="false">D192*$F$7</f>
        <v>0</v>
      </c>
      <c r="F192" s="41" t="n">
        <f aca="false">IF(D192&gt;0.5,N($C$15),0)</f>
        <v>0</v>
      </c>
      <c r="G192" s="41" t="n">
        <f aca="false">IF(AND(D192&gt;0.5,N($C$19)&gt;0,N(B192)&lt;=N($C$20)),D192*$F$8,0)</f>
        <v>0</v>
      </c>
      <c r="H192" s="41" t="n">
        <f aca="false">IF(D192&lt;=0.5,0,MIN(IF(N(I192)&gt;0,I192,$F$9),D192+E192+F192))</f>
        <v>0</v>
      </c>
      <c r="I192" s="77"/>
      <c r="J192" s="77"/>
      <c r="K192" s="41" t="n">
        <f aca="false">IF(D192&lt;=0.5,0,MIN(H192+N(J192),D192+E192+F192))</f>
        <v>0</v>
      </c>
      <c r="L192" s="41" t="n">
        <f aca="false">K192-E192-F192</f>
        <v>0</v>
      </c>
      <c r="M192" s="41" t="n">
        <f aca="false">D192-L192</f>
        <v>0</v>
      </c>
      <c r="N192" s="42" t="n">
        <f aca="false">K192-G192</f>
        <v>0</v>
      </c>
      <c r="O192" s="78"/>
      <c r="P192" s="79"/>
      <c r="Q192" s="16" t="str">
        <f aca="false">IF(K192=0,"",IF(R192=1,"Pagada",IF(C192&lt;$F$12,"Vencida",IF(166=$F$13,"Próxima","Pendiente"))))</f>
        <v/>
      </c>
      <c r="R192" s="62" t="n">
        <f aca="false">IF(AND(K192&gt;0,OR(O192="Sí",O192="Si")),1,0)</f>
        <v>0</v>
      </c>
      <c r="S192" s="62" t="n">
        <f aca="false">IF(AND(K192&gt;0,R192=0),1,0)</f>
        <v>0</v>
      </c>
    </row>
    <row r="193" customFormat="false" ht="15" hidden="false" customHeight="false" outlineLevel="0" collapsed="false">
      <c r="B193" s="71" t="str">
        <f aca="false">IF($F$6="Sí",N($C$11)+166,"")</f>
        <v/>
      </c>
      <c r="C193" s="72" t="str">
        <f aca="false">IF(OR($F$6&lt;&gt;"Sí",D193&lt;=0.5),"",EDATE($C$10,166))</f>
        <v/>
      </c>
      <c r="D193" s="41" t="n">
        <f aca="false">MAX(0,M192)</f>
        <v>0</v>
      </c>
      <c r="E193" s="41" t="n">
        <f aca="false">D193*$F$7</f>
        <v>0</v>
      </c>
      <c r="F193" s="41" t="n">
        <f aca="false">IF(D193&gt;0.5,N($C$15),0)</f>
        <v>0</v>
      </c>
      <c r="G193" s="41" t="n">
        <f aca="false">IF(AND(D193&gt;0.5,N($C$19)&gt;0,N(B193)&lt;=N($C$20)),D193*$F$8,0)</f>
        <v>0</v>
      </c>
      <c r="H193" s="41" t="n">
        <f aca="false">IF(D193&lt;=0.5,0,MIN(IF(N(I193)&gt;0,I193,$F$9),D193+E193+F193))</f>
        <v>0</v>
      </c>
      <c r="I193" s="77"/>
      <c r="J193" s="77"/>
      <c r="K193" s="41" t="n">
        <f aca="false">IF(D193&lt;=0.5,0,MIN(H193+N(J193),D193+E193+F193))</f>
        <v>0</v>
      </c>
      <c r="L193" s="41" t="n">
        <f aca="false">K193-E193-F193</f>
        <v>0</v>
      </c>
      <c r="M193" s="41" t="n">
        <f aca="false">D193-L193</f>
        <v>0</v>
      </c>
      <c r="N193" s="42" t="n">
        <f aca="false">K193-G193</f>
        <v>0</v>
      </c>
      <c r="O193" s="78"/>
      <c r="P193" s="79"/>
      <c r="Q193" s="16" t="str">
        <f aca="false">IF(K193=0,"",IF(R193=1,"Pagada",IF(C193&lt;$F$12,"Vencida",IF(167=$F$13,"Próxima","Pendiente"))))</f>
        <v/>
      </c>
      <c r="R193" s="62" t="n">
        <f aca="false">IF(AND(K193&gt;0,OR(O193="Sí",O193="Si")),1,0)</f>
        <v>0</v>
      </c>
      <c r="S193" s="62" t="n">
        <f aca="false">IF(AND(K193&gt;0,R193=0),1,0)</f>
        <v>0</v>
      </c>
    </row>
    <row r="194" customFormat="false" ht="15" hidden="false" customHeight="false" outlineLevel="0" collapsed="false">
      <c r="B194" s="71" t="str">
        <f aca="false">IF($F$6="Sí",N($C$11)+167,"")</f>
        <v/>
      </c>
      <c r="C194" s="72" t="str">
        <f aca="false">IF(OR($F$6&lt;&gt;"Sí",D194&lt;=0.5),"",EDATE($C$10,167))</f>
        <v/>
      </c>
      <c r="D194" s="41" t="n">
        <f aca="false">MAX(0,M193)</f>
        <v>0</v>
      </c>
      <c r="E194" s="41" t="n">
        <f aca="false">D194*$F$7</f>
        <v>0</v>
      </c>
      <c r="F194" s="41" t="n">
        <f aca="false">IF(D194&gt;0.5,N($C$15),0)</f>
        <v>0</v>
      </c>
      <c r="G194" s="41" t="n">
        <f aca="false">IF(AND(D194&gt;0.5,N($C$19)&gt;0,N(B194)&lt;=N($C$20)),D194*$F$8,0)</f>
        <v>0</v>
      </c>
      <c r="H194" s="41" t="n">
        <f aca="false">IF(D194&lt;=0.5,0,MIN(IF(N(I194)&gt;0,I194,$F$9),D194+E194+F194))</f>
        <v>0</v>
      </c>
      <c r="I194" s="77"/>
      <c r="J194" s="77"/>
      <c r="K194" s="41" t="n">
        <f aca="false">IF(D194&lt;=0.5,0,MIN(H194+N(J194),D194+E194+F194))</f>
        <v>0</v>
      </c>
      <c r="L194" s="41" t="n">
        <f aca="false">K194-E194-F194</f>
        <v>0</v>
      </c>
      <c r="M194" s="41" t="n">
        <f aca="false">D194-L194</f>
        <v>0</v>
      </c>
      <c r="N194" s="42" t="n">
        <f aca="false">K194-G194</f>
        <v>0</v>
      </c>
      <c r="O194" s="78"/>
      <c r="P194" s="79"/>
      <c r="Q194" s="16" t="str">
        <f aca="false">IF(K194=0,"",IF(R194=1,"Pagada",IF(C194&lt;$F$12,"Vencida",IF(168=$F$13,"Próxima","Pendiente"))))</f>
        <v/>
      </c>
      <c r="R194" s="62" t="n">
        <f aca="false">IF(AND(K194&gt;0,OR(O194="Sí",O194="Si")),1,0)</f>
        <v>0</v>
      </c>
      <c r="S194" s="62" t="n">
        <f aca="false">IF(AND(K194&gt;0,R194=0),1,0)</f>
        <v>0</v>
      </c>
    </row>
    <row r="195" customFormat="false" ht="15" hidden="false" customHeight="false" outlineLevel="0" collapsed="false">
      <c r="B195" s="71" t="str">
        <f aca="false">IF($F$6="Sí",N($C$11)+168,"")</f>
        <v/>
      </c>
      <c r="C195" s="72" t="str">
        <f aca="false">IF(OR($F$6&lt;&gt;"Sí",D195&lt;=0.5),"",EDATE($C$10,168))</f>
        <v/>
      </c>
      <c r="D195" s="41" t="n">
        <f aca="false">MAX(0,M194)</f>
        <v>0</v>
      </c>
      <c r="E195" s="41" t="n">
        <f aca="false">D195*$F$7</f>
        <v>0</v>
      </c>
      <c r="F195" s="41" t="n">
        <f aca="false">IF(D195&gt;0.5,N($C$15),0)</f>
        <v>0</v>
      </c>
      <c r="G195" s="41" t="n">
        <f aca="false">IF(AND(D195&gt;0.5,N($C$19)&gt;0,N(B195)&lt;=N($C$20)),D195*$F$8,0)</f>
        <v>0</v>
      </c>
      <c r="H195" s="41" t="n">
        <f aca="false">IF(D195&lt;=0.5,0,MIN(IF(N(I195)&gt;0,I195,$F$9),D195+E195+F195))</f>
        <v>0</v>
      </c>
      <c r="I195" s="77"/>
      <c r="J195" s="77"/>
      <c r="K195" s="41" t="n">
        <f aca="false">IF(D195&lt;=0.5,0,MIN(H195+N(J195),D195+E195+F195))</f>
        <v>0</v>
      </c>
      <c r="L195" s="41" t="n">
        <f aca="false">K195-E195-F195</f>
        <v>0</v>
      </c>
      <c r="M195" s="41" t="n">
        <f aca="false">D195-L195</f>
        <v>0</v>
      </c>
      <c r="N195" s="42" t="n">
        <f aca="false">K195-G195</f>
        <v>0</v>
      </c>
      <c r="O195" s="78"/>
      <c r="P195" s="79"/>
      <c r="Q195" s="16" t="str">
        <f aca="false">IF(K195=0,"",IF(R195=1,"Pagada",IF(C195&lt;$F$12,"Vencida",IF(169=$F$13,"Próxima","Pendiente"))))</f>
        <v/>
      </c>
      <c r="R195" s="62" t="n">
        <f aca="false">IF(AND(K195&gt;0,OR(O195="Sí",O195="Si")),1,0)</f>
        <v>0</v>
      </c>
      <c r="S195" s="62" t="n">
        <f aca="false">IF(AND(K195&gt;0,R195=0),1,0)</f>
        <v>0</v>
      </c>
    </row>
    <row r="196" customFormat="false" ht="15" hidden="false" customHeight="false" outlineLevel="0" collapsed="false">
      <c r="B196" s="71" t="str">
        <f aca="false">IF($F$6="Sí",N($C$11)+169,"")</f>
        <v/>
      </c>
      <c r="C196" s="72" t="str">
        <f aca="false">IF(OR($F$6&lt;&gt;"Sí",D196&lt;=0.5),"",EDATE($C$10,169))</f>
        <v/>
      </c>
      <c r="D196" s="41" t="n">
        <f aca="false">MAX(0,M195)</f>
        <v>0</v>
      </c>
      <c r="E196" s="41" t="n">
        <f aca="false">D196*$F$7</f>
        <v>0</v>
      </c>
      <c r="F196" s="41" t="n">
        <f aca="false">IF(D196&gt;0.5,N($C$15),0)</f>
        <v>0</v>
      </c>
      <c r="G196" s="41" t="n">
        <f aca="false">IF(AND(D196&gt;0.5,N($C$19)&gt;0,N(B196)&lt;=N($C$20)),D196*$F$8,0)</f>
        <v>0</v>
      </c>
      <c r="H196" s="41" t="n">
        <f aca="false">IF(D196&lt;=0.5,0,MIN(IF(N(I196)&gt;0,I196,$F$9),D196+E196+F196))</f>
        <v>0</v>
      </c>
      <c r="I196" s="77"/>
      <c r="J196" s="77"/>
      <c r="K196" s="41" t="n">
        <f aca="false">IF(D196&lt;=0.5,0,MIN(H196+N(J196),D196+E196+F196))</f>
        <v>0</v>
      </c>
      <c r="L196" s="41" t="n">
        <f aca="false">K196-E196-F196</f>
        <v>0</v>
      </c>
      <c r="M196" s="41" t="n">
        <f aca="false">D196-L196</f>
        <v>0</v>
      </c>
      <c r="N196" s="42" t="n">
        <f aca="false">K196-G196</f>
        <v>0</v>
      </c>
      <c r="O196" s="78"/>
      <c r="P196" s="79"/>
      <c r="Q196" s="16" t="str">
        <f aca="false">IF(K196=0,"",IF(R196=1,"Pagada",IF(C196&lt;$F$12,"Vencida",IF(170=$F$13,"Próxima","Pendiente"))))</f>
        <v/>
      </c>
      <c r="R196" s="62" t="n">
        <f aca="false">IF(AND(K196&gt;0,OR(O196="Sí",O196="Si")),1,0)</f>
        <v>0</v>
      </c>
      <c r="S196" s="62" t="n">
        <f aca="false">IF(AND(K196&gt;0,R196=0),1,0)</f>
        <v>0</v>
      </c>
    </row>
    <row r="197" customFormat="false" ht="15" hidden="false" customHeight="false" outlineLevel="0" collapsed="false">
      <c r="B197" s="71" t="str">
        <f aca="false">IF($F$6="Sí",N($C$11)+170,"")</f>
        <v/>
      </c>
      <c r="C197" s="72" t="str">
        <f aca="false">IF(OR($F$6&lt;&gt;"Sí",D197&lt;=0.5),"",EDATE($C$10,170))</f>
        <v/>
      </c>
      <c r="D197" s="41" t="n">
        <f aca="false">MAX(0,M196)</f>
        <v>0</v>
      </c>
      <c r="E197" s="41" t="n">
        <f aca="false">D197*$F$7</f>
        <v>0</v>
      </c>
      <c r="F197" s="41" t="n">
        <f aca="false">IF(D197&gt;0.5,N($C$15),0)</f>
        <v>0</v>
      </c>
      <c r="G197" s="41" t="n">
        <f aca="false">IF(AND(D197&gt;0.5,N($C$19)&gt;0,N(B197)&lt;=N($C$20)),D197*$F$8,0)</f>
        <v>0</v>
      </c>
      <c r="H197" s="41" t="n">
        <f aca="false">IF(D197&lt;=0.5,0,MIN(IF(N(I197)&gt;0,I197,$F$9),D197+E197+F197))</f>
        <v>0</v>
      </c>
      <c r="I197" s="77"/>
      <c r="J197" s="77"/>
      <c r="K197" s="41" t="n">
        <f aca="false">IF(D197&lt;=0.5,0,MIN(H197+N(J197),D197+E197+F197))</f>
        <v>0</v>
      </c>
      <c r="L197" s="41" t="n">
        <f aca="false">K197-E197-F197</f>
        <v>0</v>
      </c>
      <c r="M197" s="41" t="n">
        <f aca="false">D197-L197</f>
        <v>0</v>
      </c>
      <c r="N197" s="42" t="n">
        <f aca="false">K197-G197</f>
        <v>0</v>
      </c>
      <c r="O197" s="78"/>
      <c r="P197" s="79"/>
      <c r="Q197" s="16" t="str">
        <f aca="false">IF(K197=0,"",IF(R197=1,"Pagada",IF(C197&lt;$F$12,"Vencida",IF(171=$F$13,"Próxima","Pendiente"))))</f>
        <v/>
      </c>
      <c r="R197" s="62" t="n">
        <f aca="false">IF(AND(K197&gt;0,OR(O197="Sí",O197="Si")),1,0)</f>
        <v>0</v>
      </c>
      <c r="S197" s="62" t="n">
        <f aca="false">IF(AND(K197&gt;0,R197=0),1,0)</f>
        <v>0</v>
      </c>
    </row>
    <row r="198" customFormat="false" ht="15" hidden="false" customHeight="false" outlineLevel="0" collapsed="false">
      <c r="B198" s="71" t="str">
        <f aca="false">IF($F$6="Sí",N($C$11)+171,"")</f>
        <v/>
      </c>
      <c r="C198" s="72" t="str">
        <f aca="false">IF(OR($F$6&lt;&gt;"Sí",D198&lt;=0.5),"",EDATE($C$10,171))</f>
        <v/>
      </c>
      <c r="D198" s="41" t="n">
        <f aca="false">MAX(0,M197)</f>
        <v>0</v>
      </c>
      <c r="E198" s="41" t="n">
        <f aca="false">D198*$F$7</f>
        <v>0</v>
      </c>
      <c r="F198" s="41" t="n">
        <f aca="false">IF(D198&gt;0.5,N($C$15),0)</f>
        <v>0</v>
      </c>
      <c r="G198" s="41" t="n">
        <f aca="false">IF(AND(D198&gt;0.5,N($C$19)&gt;0,N(B198)&lt;=N($C$20)),D198*$F$8,0)</f>
        <v>0</v>
      </c>
      <c r="H198" s="41" t="n">
        <f aca="false">IF(D198&lt;=0.5,0,MIN(IF(N(I198)&gt;0,I198,$F$9),D198+E198+F198))</f>
        <v>0</v>
      </c>
      <c r="I198" s="77"/>
      <c r="J198" s="77"/>
      <c r="K198" s="41" t="n">
        <f aca="false">IF(D198&lt;=0.5,0,MIN(H198+N(J198),D198+E198+F198))</f>
        <v>0</v>
      </c>
      <c r="L198" s="41" t="n">
        <f aca="false">K198-E198-F198</f>
        <v>0</v>
      </c>
      <c r="M198" s="41" t="n">
        <f aca="false">D198-L198</f>
        <v>0</v>
      </c>
      <c r="N198" s="42" t="n">
        <f aca="false">K198-G198</f>
        <v>0</v>
      </c>
      <c r="O198" s="78"/>
      <c r="P198" s="79"/>
      <c r="Q198" s="16" t="str">
        <f aca="false">IF(K198=0,"",IF(R198=1,"Pagada",IF(C198&lt;$F$12,"Vencida",IF(172=$F$13,"Próxima","Pendiente"))))</f>
        <v/>
      </c>
      <c r="R198" s="62" t="n">
        <f aca="false">IF(AND(K198&gt;0,OR(O198="Sí",O198="Si")),1,0)</f>
        <v>0</v>
      </c>
      <c r="S198" s="62" t="n">
        <f aca="false">IF(AND(K198&gt;0,R198=0),1,0)</f>
        <v>0</v>
      </c>
    </row>
    <row r="199" customFormat="false" ht="15" hidden="false" customHeight="false" outlineLevel="0" collapsed="false">
      <c r="B199" s="71" t="str">
        <f aca="false">IF($F$6="Sí",N($C$11)+172,"")</f>
        <v/>
      </c>
      <c r="C199" s="72" t="str">
        <f aca="false">IF(OR($F$6&lt;&gt;"Sí",D199&lt;=0.5),"",EDATE($C$10,172))</f>
        <v/>
      </c>
      <c r="D199" s="41" t="n">
        <f aca="false">MAX(0,M198)</f>
        <v>0</v>
      </c>
      <c r="E199" s="41" t="n">
        <f aca="false">D199*$F$7</f>
        <v>0</v>
      </c>
      <c r="F199" s="41" t="n">
        <f aca="false">IF(D199&gt;0.5,N($C$15),0)</f>
        <v>0</v>
      </c>
      <c r="G199" s="41" t="n">
        <f aca="false">IF(AND(D199&gt;0.5,N($C$19)&gt;0,N(B199)&lt;=N($C$20)),D199*$F$8,0)</f>
        <v>0</v>
      </c>
      <c r="H199" s="41" t="n">
        <f aca="false">IF(D199&lt;=0.5,0,MIN(IF(N(I199)&gt;0,I199,$F$9),D199+E199+F199))</f>
        <v>0</v>
      </c>
      <c r="I199" s="77"/>
      <c r="J199" s="77"/>
      <c r="K199" s="41" t="n">
        <f aca="false">IF(D199&lt;=0.5,0,MIN(H199+N(J199),D199+E199+F199))</f>
        <v>0</v>
      </c>
      <c r="L199" s="41" t="n">
        <f aca="false">K199-E199-F199</f>
        <v>0</v>
      </c>
      <c r="M199" s="41" t="n">
        <f aca="false">D199-L199</f>
        <v>0</v>
      </c>
      <c r="N199" s="42" t="n">
        <f aca="false">K199-G199</f>
        <v>0</v>
      </c>
      <c r="O199" s="78"/>
      <c r="P199" s="79"/>
      <c r="Q199" s="16" t="str">
        <f aca="false">IF(K199=0,"",IF(R199=1,"Pagada",IF(C199&lt;$F$12,"Vencida",IF(173=$F$13,"Próxima","Pendiente"))))</f>
        <v/>
      </c>
      <c r="R199" s="62" t="n">
        <f aca="false">IF(AND(K199&gt;0,OR(O199="Sí",O199="Si")),1,0)</f>
        <v>0</v>
      </c>
      <c r="S199" s="62" t="n">
        <f aca="false">IF(AND(K199&gt;0,R199=0),1,0)</f>
        <v>0</v>
      </c>
    </row>
    <row r="200" customFormat="false" ht="15" hidden="false" customHeight="false" outlineLevel="0" collapsed="false">
      <c r="B200" s="71" t="str">
        <f aca="false">IF($F$6="Sí",N($C$11)+173,"")</f>
        <v/>
      </c>
      <c r="C200" s="72" t="str">
        <f aca="false">IF(OR($F$6&lt;&gt;"Sí",D200&lt;=0.5),"",EDATE($C$10,173))</f>
        <v/>
      </c>
      <c r="D200" s="41" t="n">
        <f aca="false">MAX(0,M199)</f>
        <v>0</v>
      </c>
      <c r="E200" s="41" t="n">
        <f aca="false">D200*$F$7</f>
        <v>0</v>
      </c>
      <c r="F200" s="41" t="n">
        <f aca="false">IF(D200&gt;0.5,N($C$15),0)</f>
        <v>0</v>
      </c>
      <c r="G200" s="41" t="n">
        <f aca="false">IF(AND(D200&gt;0.5,N($C$19)&gt;0,N(B200)&lt;=N($C$20)),D200*$F$8,0)</f>
        <v>0</v>
      </c>
      <c r="H200" s="41" t="n">
        <f aca="false">IF(D200&lt;=0.5,0,MIN(IF(N(I200)&gt;0,I200,$F$9),D200+E200+F200))</f>
        <v>0</v>
      </c>
      <c r="I200" s="77"/>
      <c r="J200" s="77"/>
      <c r="K200" s="41" t="n">
        <f aca="false">IF(D200&lt;=0.5,0,MIN(H200+N(J200),D200+E200+F200))</f>
        <v>0</v>
      </c>
      <c r="L200" s="41" t="n">
        <f aca="false">K200-E200-F200</f>
        <v>0</v>
      </c>
      <c r="M200" s="41" t="n">
        <f aca="false">D200-L200</f>
        <v>0</v>
      </c>
      <c r="N200" s="42" t="n">
        <f aca="false">K200-G200</f>
        <v>0</v>
      </c>
      <c r="O200" s="78"/>
      <c r="P200" s="79"/>
      <c r="Q200" s="16" t="str">
        <f aca="false">IF(K200=0,"",IF(R200=1,"Pagada",IF(C200&lt;$F$12,"Vencida",IF(174=$F$13,"Próxima","Pendiente"))))</f>
        <v/>
      </c>
      <c r="R200" s="62" t="n">
        <f aca="false">IF(AND(K200&gt;0,OR(O200="Sí",O200="Si")),1,0)</f>
        <v>0</v>
      </c>
      <c r="S200" s="62" t="n">
        <f aca="false">IF(AND(K200&gt;0,R200=0),1,0)</f>
        <v>0</v>
      </c>
    </row>
    <row r="201" customFormat="false" ht="15" hidden="false" customHeight="false" outlineLevel="0" collapsed="false">
      <c r="B201" s="71" t="str">
        <f aca="false">IF($F$6="Sí",N($C$11)+174,"")</f>
        <v/>
      </c>
      <c r="C201" s="72" t="str">
        <f aca="false">IF(OR($F$6&lt;&gt;"Sí",D201&lt;=0.5),"",EDATE($C$10,174))</f>
        <v/>
      </c>
      <c r="D201" s="41" t="n">
        <f aca="false">MAX(0,M200)</f>
        <v>0</v>
      </c>
      <c r="E201" s="41" t="n">
        <f aca="false">D201*$F$7</f>
        <v>0</v>
      </c>
      <c r="F201" s="41" t="n">
        <f aca="false">IF(D201&gt;0.5,N($C$15),0)</f>
        <v>0</v>
      </c>
      <c r="G201" s="41" t="n">
        <f aca="false">IF(AND(D201&gt;0.5,N($C$19)&gt;0,N(B201)&lt;=N($C$20)),D201*$F$8,0)</f>
        <v>0</v>
      </c>
      <c r="H201" s="41" t="n">
        <f aca="false">IF(D201&lt;=0.5,0,MIN(IF(N(I201)&gt;0,I201,$F$9),D201+E201+F201))</f>
        <v>0</v>
      </c>
      <c r="I201" s="77"/>
      <c r="J201" s="77"/>
      <c r="K201" s="41" t="n">
        <f aca="false">IF(D201&lt;=0.5,0,MIN(H201+N(J201),D201+E201+F201))</f>
        <v>0</v>
      </c>
      <c r="L201" s="41" t="n">
        <f aca="false">K201-E201-F201</f>
        <v>0</v>
      </c>
      <c r="M201" s="41" t="n">
        <f aca="false">D201-L201</f>
        <v>0</v>
      </c>
      <c r="N201" s="42" t="n">
        <f aca="false">K201-G201</f>
        <v>0</v>
      </c>
      <c r="O201" s="78"/>
      <c r="P201" s="79"/>
      <c r="Q201" s="16" t="str">
        <f aca="false">IF(K201=0,"",IF(R201=1,"Pagada",IF(C201&lt;$F$12,"Vencida",IF(175=$F$13,"Próxima","Pendiente"))))</f>
        <v/>
      </c>
      <c r="R201" s="62" t="n">
        <f aca="false">IF(AND(K201&gt;0,OR(O201="Sí",O201="Si")),1,0)</f>
        <v>0</v>
      </c>
      <c r="S201" s="62" t="n">
        <f aca="false">IF(AND(K201&gt;0,R201=0),1,0)</f>
        <v>0</v>
      </c>
    </row>
    <row r="202" customFormat="false" ht="15" hidden="false" customHeight="false" outlineLevel="0" collapsed="false">
      <c r="B202" s="71" t="str">
        <f aca="false">IF($F$6="Sí",N($C$11)+175,"")</f>
        <v/>
      </c>
      <c r="C202" s="72" t="str">
        <f aca="false">IF(OR($F$6&lt;&gt;"Sí",D202&lt;=0.5),"",EDATE($C$10,175))</f>
        <v/>
      </c>
      <c r="D202" s="41" t="n">
        <f aca="false">MAX(0,M201)</f>
        <v>0</v>
      </c>
      <c r="E202" s="41" t="n">
        <f aca="false">D202*$F$7</f>
        <v>0</v>
      </c>
      <c r="F202" s="41" t="n">
        <f aca="false">IF(D202&gt;0.5,N($C$15),0)</f>
        <v>0</v>
      </c>
      <c r="G202" s="41" t="n">
        <f aca="false">IF(AND(D202&gt;0.5,N($C$19)&gt;0,N(B202)&lt;=N($C$20)),D202*$F$8,0)</f>
        <v>0</v>
      </c>
      <c r="H202" s="41" t="n">
        <f aca="false">IF(D202&lt;=0.5,0,MIN(IF(N(I202)&gt;0,I202,$F$9),D202+E202+F202))</f>
        <v>0</v>
      </c>
      <c r="I202" s="77"/>
      <c r="J202" s="77"/>
      <c r="K202" s="41" t="n">
        <f aca="false">IF(D202&lt;=0.5,0,MIN(H202+N(J202),D202+E202+F202))</f>
        <v>0</v>
      </c>
      <c r="L202" s="41" t="n">
        <f aca="false">K202-E202-F202</f>
        <v>0</v>
      </c>
      <c r="M202" s="41" t="n">
        <f aca="false">D202-L202</f>
        <v>0</v>
      </c>
      <c r="N202" s="42" t="n">
        <f aca="false">K202-G202</f>
        <v>0</v>
      </c>
      <c r="O202" s="78"/>
      <c r="P202" s="79"/>
      <c r="Q202" s="16" t="str">
        <f aca="false">IF(K202=0,"",IF(R202=1,"Pagada",IF(C202&lt;$F$12,"Vencida",IF(176=$F$13,"Próxima","Pendiente"))))</f>
        <v/>
      </c>
      <c r="R202" s="62" t="n">
        <f aca="false">IF(AND(K202&gt;0,OR(O202="Sí",O202="Si")),1,0)</f>
        <v>0</v>
      </c>
      <c r="S202" s="62" t="n">
        <f aca="false">IF(AND(K202&gt;0,R202=0),1,0)</f>
        <v>0</v>
      </c>
    </row>
    <row r="203" customFormat="false" ht="15" hidden="false" customHeight="false" outlineLevel="0" collapsed="false">
      <c r="B203" s="71" t="str">
        <f aca="false">IF($F$6="Sí",N($C$11)+176,"")</f>
        <v/>
      </c>
      <c r="C203" s="72" t="str">
        <f aca="false">IF(OR($F$6&lt;&gt;"Sí",D203&lt;=0.5),"",EDATE($C$10,176))</f>
        <v/>
      </c>
      <c r="D203" s="41" t="n">
        <f aca="false">MAX(0,M202)</f>
        <v>0</v>
      </c>
      <c r="E203" s="41" t="n">
        <f aca="false">D203*$F$7</f>
        <v>0</v>
      </c>
      <c r="F203" s="41" t="n">
        <f aca="false">IF(D203&gt;0.5,N($C$15),0)</f>
        <v>0</v>
      </c>
      <c r="G203" s="41" t="n">
        <f aca="false">IF(AND(D203&gt;0.5,N($C$19)&gt;0,N(B203)&lt;=N($C$20)),D203*$F$8,0)</f>
        <v>0</v>
      </c>
      <c r="H203" s="41" t="n">
        <f aca="false">IF(D203&lt;=0.5,0,MIN(IF(N(I203)&gt;0,I203,$F$9),D203+E203+F203))</f>
        <v>0</v>
      </c>
      <c r="I203" s="77"/>
      <c r="J203" s="77"/>
      <c r="K203" s="41" t="n">
        <f aca="false">IF(D203&lt;=0.5,0,MIN(H203+N(J203),D203+E203+F203))</f>
        <v>0</v>
      </c>
      <c r="L203" s="41" t="n">
        <f aca="false">K203-E203-F203</f>
        <v>0</v>
      </c>
      <c r="M203" s="41" t="n">
        <f aca="false">D203-L203</f>
        <v>0</v>
      </c>
      <c r="N203" s="42" t="n">
        <f aca="false">K203-G203</f>
        <v>0</v>
      </c>
      <c r="O203" s="78"/>
      <c r="P203" s="79"/>
      <c r="Q203" s="16" t="str">
        <f aca="false">IF(K203=0,"",IF(R203=1,"Pagada",IF(C203&lt;$F$12,"Vencida",IF(177=$F$13,"Próxima","Pendiente"))))</f>
        <v/>
      </c>
      <c r="R203" s="62" t="n">
        <f aca="false">IF(AND(K203&gt;0,OR(O203="Sí",O203="Si")),1,0)</f>
        <v>0</v>
      </c>
      <c r="S203" s="62" t="n">
        <f aca="false">IF(AND(K203&gt;0,R203=0),1,0)</f>
        <v>0</v>
      </c>
    </row>
    <row r="204" customFormat="false" ht="15" hidden="false" customHeight="false" outlineLevel="0" collapsed="false">
      <c r="B204" s="71" t="str">
        <f aca="false">IF($F$6="Sí",N($C$11)+177,"")</f>
        <v/>
      </c>
      <c r="C204" s="72" t="str">
        <f aca="false">IF(OR($F$6&lt;&gt;"Sí",D204&lt;=0.5),"",EDATE($C$10,177))</f>
        <v/>
      </c>
      <c r="D204" s="41" t="n">
        <f aca="false">MAX(0,M203)</f>
        <v>0</v>
      </c>
      <c r="E204" s="41" t="n">
        <f aca="false">D204*$F$7</f>
        <v>0</v>
      </c>
      <c r="F204" s="41" t="n">
        <f aca="false">IF(D204&gt;0.5,N($C$15),0)</f>
        <v>0</v>
      </c>
      <c r="G204" s="41" t="n">
        <f aca="false">IF(AND(D204&gt;0.5,N($C$19)&gt;0,N(B204)&lt;=N($C$20)),D204*$F$8,0)</f>
        <v>0</v>
      </c>
      <c r="H204" s="41" t="n">
        <f aca="false">IF(D204&lt;=0.5,0,MIN(IF(N(I204)&gt;0,I204,$F$9),D204+E204+F204))</f>
        <v>0</v>
      </c>
      <c r="I204" s="77"/>
      <c r="J204" s="77"/>
      <c r="K204" s="41" t="n">
        <f aca="false">IF(D204&lt;=0.5,0,MIN(H204+N(J204),D204+E204+F204))</f>
        <v>0</v>
      </c>
      <c r="L204" s="41" t="n">
        <f aca="false">K204-E204-F204</f>
        <v>0</v>
      </c>
      <c r="M204" s="41" t="n">
        <f aca="false">D204-L204</f>
        <v>0</v>
      </c>
      <c r="N204" s="42" t="n">
        <f aca="false">K204-G204</f>
        <v>0</v>
      </c>
      <c r="O204" s="78"/>
      <c r="P204" s="79"/>
      <c r="Q204" s="16" t="str">
        <f aca="false">IF(K204=0,"",IF(R204=1,"Pagada",IF(C204&lt;$F$12,"Vencida",IF(178=$F$13,"Próxima","Pendiente"))))</f>
        <v/>
      </c>
      <c r="R204" s="62" t="n">
        <f aca="false">IF(AND(K204&gt;0,OR(O204="Sí",O204="Si")),1,0)</f>
        <v>0</v>
      </c>
      <c r="S204" s="62" t="n">
        <f aca="false">IF(AND(K204&gt;0,R204=0),1,0)</f>
        <v>0</v>
      </c>
    </row>
    <row r="205" customFormat="false" ht="15" hidden="false" customHeight="false" outlineLevel="0" collapsed="false">
      <c r="B205" s="71" t="str">
        <f aca="false">IF($F$6="Sí",N($C$11)+178,"")</f>
        <v/>
      </c>
      <c r="C205" s="72" t="str">
        <f aca="false">IF(OR($F$6&lt;&gt;"Sí",D205&lt;=0.5),"",EDATE($C$10,178))</f>
        <v/>
      </c>
      <c r="D205" s="41" t="n">
        <f aca="false">MAX(0,M204)</f>
        <v>0</v>
      </c>
      <c r="E205" s="41" t="n">
        <f aca="false">D205*$F$7</f>
        <v>0</v>
      </c>
      <c r="F205" s="41" t="n">
        <f aca="false">IF(D205&gt;0.5,N($C$15),0)</f>
        <v>0</v>
      </c>
      <c r="G205" s="41" t="n">
        <f aca="false">IF(AND(D205&gt;0.5,N($C$19)&gt;0,N(B205)&lt;=N($C$20)),D205*$F$8,0)</f>
        <v>0</v>
      </c>
      <c r="H205" s="41" t="n">
        <f aca="false">IF(D205&lt;=0.5,0,MIN(IF(N(I205)&gt;0,I205,$F$9),D205+E205+F205))</f>
        <v>0</v>
      </c>
      <c r="I205" s="77"/>
      <c r="J205" s="77"/>
      <c r="K205" s="41" t="n">
        <f aca="false">IF(D205&lt;=0.5,0,MIN(H205+N(J205),D205+E205+F205))</f>
        <v>0</v>
      </c>
      <c r="L205" s="41" t="n">
        <f aca="false">K205-E205-F205</f>
        <v>0</v>
      </c>
      <c r="M205" s="41" t="n">
        <f aca="false">D205-L205</f>
        <v>0</v>
      </c>
      <c r="N205" s="42" t="n">
        <f aca="false">K205-G205</f>
        <v>0</v>
      </c>
      <c r="O205" s="78"/>
      <c r="P205" s="79"/>
      <c r="Q205" s="16" t="str">
        <f aca="false">IF(K205=0,"",IF(R205=1,"Pagada",IF(C205&lt;$F$12,"Vencida",IF(179=$F$13,"Próxima","Pendiente"))))</f>
        <v/>
      </c>
      <c r="R205" s="62" t="n">
        <f aca="false">IF(AND(K205&gt;0,OR(O205="Sí",O205="Si")),1,0)</f>
        <v>0</v>
      </c>
      <c r="S205" s="62" t="n">
        <f aca="false">IF(AND(K205&gt;0,R205=0),1,0)</f>
        <v>0</v>
      </c>
    </row>
    <row r="206" customFormat="false" ht="15" hidden="false" customHeight="false" outlineLevel="0" collapsed="false">
      <c r="B206" s="71" t="str">
        <f aca="false">IF($F$6="Sí",N($C$11)+179,"")</f>
        <v/>
      </c>
      <c r="C206" s="72" t="str">
        <f aca="false">IF(OR($F$6&lt;&gt;"Sí",D206&lt;=0.5),"",EDATE($C$10,179))</f>
        <v/>
      </c>
      <c r="D206" s="41" t="n">
        <f aca="false">MAX(0,M205)</f>
        <v>0</v>
      </c>
      <c r="E206" s="41" t="n">
        <f aca="false">D206*$F$7</f>
        <v>0</v>
      </c>
      <c r="F206" s="41" t="n">
        <f aca="false">IF(D206&gt;0.5,N($C$15),0)</f>
        <v>0</v>
      </c>
      <c r="G206" s="41" t="n">
        <f aca="false">IF(AND(D206&gt;0.5,N($C$19)&gt;0,N(B206)&lt;=N($C$20)),D206*$F$8,0)</f>
        <v>0</v>
      </c>
      <c r="H206" s="41" t="n">
        <f aca="false">IF(D206&lt;=0.5,0,MIN(IF(N(I206)&gt;0,I206,$F$9),D206+E206+F206))</f>
        <v>0</v>
      </c>
      <c r="I206" s="77"/>
      <c r="J206" s="77"/>
      <c r="K206" s="41" t="n">
        <f aca="false">IF(D206&lt;=0.5,0,MIN(H206+N(J206),D206+E206+F206))</f>
        <v>0</v>
      </c>
      <c r="L206" s="41" t="n">
        <f aca="false">K206-E206-F206</f>
        <v>0</v>
      </c>
      <c r="M206" s="41" t="n">
        <f aca="false">D206-L206</f>
        <v>0</v>
      </c>
      <c r="N206" s="42" t="n">
        <f aca="false">K206-G206</f>
        <v>0</v>
      </c>
      <c r="O206" s="78"/>
      <c r="P206" s="79"/>
      <c r="Q206" s="16" t="str">
        <f aca="false">IF(K206=0,"",IF(R206=1,"Pagada",IF(C206&lt;$F$12,"Vencida",IF(180=$F$13,"Próxima","Pendiente"))))</f>
        <v/>
      </c>
      <c r="R206" s="62" t="n">
        <f aca="false">IF(AND(K206&gt;0,OR(O206="Sí",O206="Si")),1,0)</f>
        <v>0</v>
      </c>
      <c r="S206" s="62" t="n">
        <f aca="false">IF(AND(K206&gt;0,R206=0),1,0)</f>
        <v>0</v>
      </c>
    </row>
    <row r="207" customFormat="false" ht="15" hidden="false" customHeight="false" outlineLevel="0" collapsed="false">
      <c r="B207" s="71" t="str">
        <f aca="false">IF($F$6="Sí",N($C$11)+180,"")</f>
        <v/>
      </c>
      <c r="C207" s="72" t="str">
        <f aca="false">IF(OR($F$6&lt;&gt;"Sí",D207&lt;=0.5),"",EDATE($C$10,180))</f>
        <v/>
      </c>
      <c r="D207" s="41" t="n">
        <f aca="false">MAX(0,M206)</f>
        <v>0</v>
      </c>
      <c r="E207" s="41" t="n">
        <f aca="false">D207*$F$7</f>
        <v>0</v>
      </c>
      <c r="F207" s="41" t="n">
        <f aca="false">IF(D207&gt;0.5,N($C$15),0)</f>
        <v>0</v>
      </c>
      <c r="G207" s="41" t="n">
        <f aca="false">IF(AND(D207&gt;0.5,N($C$19)&gt;0,N(B207)&lt;=N($C$20)),D207*$F$8,0)</f>
        <v>0</v>
      </c>
      <c r="H207" s="41" t="n">
        <f aca="false">IF(D207&lt;=0.5,0,MIN(IF(N(I207)&gt;0,I207,$F$9),D207+E207+F207))</f>
        <v>0</v>
      </c>
      <c r="I207" s="77"/>
      <c r="J207" s="77"/>
      <c r="K207" s="41" t="n">
        <f aca="false">IF(D207&lt;=0.5,0,MIN(H207+N(J207),D207+E207+F207))</f>
        <v>0</v>
      </c>
      <c r="L207" s="41" t="n">
        <f aca="false">K207-E207-F207</f>
        <v>0</v>
      </c>
      <c r="M207" s="41" t="n">
        <f aca="false">D207-L207</f>
        <v>0</v>
      </c>
      <c r="N207" s="42" t="n">
        <f aca="false">K207-G207</f>
        <v>0</v>
      </c>
      <c r="O207" s="78"/>
      <c r="P207" s="79"/>
      <c r="Q207" s="16" t="str">
        <f aca="false">IF(K207=0,"",IF(R207=1,"Pagada",IF(C207&lt;$F$12,"Vencida",IF(181=$F$13,"Próxima","Pendiente"))))</f>
        <v/>
      </c>
      <c r="R207" s="62" t="n">
        <f aca="false">IF(AND(K207&gt;0,OR(O207="Sí",O207="Si")),1,0)</f>
        <v>0</v>
      </c>
      <c r="S207" s="62" t="n">
        <f aca="false">IF(AND(K207&gt;0,R207=0),1,0)</f>
        <v>0</v>
      </c>
    </row>
    <row r="208" customFormat="false" ht="15" hidden="false" customHeight="false" outlineLevel="0" collapsed="false">
      <c r="B208" s="71" t="str">
        <f aca="false">IF($F$6="Sí",N($C$11)+181,"")</f>
        <v/>
      </c>
      <c r="C208" s="72" t="str">
        <f aca="false">IF(OR($F$6&lt;&gt;"Sí",D208&lt;=0.5),"",EDATE($C$10,181))</f>
        <v/>
      </c>
      <c r="D208" s="41" t="n">
        <f aca="false">MAX(0,M207)</f>
        <v>0</v>
      </c>
      <c r="E208" s="41" t="n">
        <f aca="false">D208*$F$7</f>
        <v>0</v>
      </c>
      <c r="F208" s="41" t="n">
        <f aca="false">IF(D208&gt;0.5,N($C$15),0)</f>
        <v>0</v>
      </c>
      <c r="G208" s="41" t="n">
        <f aca="false">IF(AND(D208&gt;0.5,N($C$19)&gt;0,N(B208)&lt;=N($C$20)),D208*$F$8,0)</f>
        <v>0</v>
      </c>
      <c r="H208" s="41" t="n">
        <f aca="false">IF(D208&lt;=0.5,0,MIN(IF(N(I208)&gt;0,I208,$F$9),D208+E208+F208))</f>
        <v>0</v>
      </c>
      <c r="I208" s="77"/>
      <c r="J208" s="77"/>
      <c r="K208" s="41" t="n">
        <f aca="false">IF(D208&lt;=0.5,0,MIN(H208+N(J208),D208+E208+F208))</f>
        <v>0</v>
      </c>
      <c r="L208" s="41" t="n">
        <f aca="false">K208-E208-F208</f>
        <v>0</v>
      </c>
      <c r="M208" s="41" t="n">
        <f aca="false">D208-L208</f>
        <v>0</v>
      </c>
      <c r="N208" s="42" t="n">
        <f aca="false">K208-G208</f>
        <v>0</v>
      </c>
      <c r="O208" s="78"/>
      <c r="P208" s="79"/>
      <c r="Q208" s="16" t="str">
        <f aca="false">IF(K208=0,"",IF(R208=1,"Pagada",IF(C208&lt;$F$12,"Vencida",IF(182=$F$13,"Próxima","Pendiente"))))</f>
        <v/>
      </c>
      <c r="R208" s="62" t="n">
        <f aca="false">IF(AND(K208&gt;0,OR(O208="Sí",O208="Si")),1,0)</f>
        <v>0</v>
      </c>
      <c r="S208" s="62" t="n">
        <f aca="false">IF(AND(K208&gt;0,R208=0),1,0)</f>
        <v>0</v>
      </c>
    </row>
    <row r="209" customFormat="false" ht="15" hidden="false" customHeight="false" outlineLevel="0" collapsed="false">
      <c r="B209" s="71" t="str">
        <f aca="false">IF($F$6="Sí",N($C$11)+182,"")</f>
        <v/>
      </c>
      <c r="C209" s="72" t="str">
        <f aca="false">IF(OR($F$6&lt;&gt;"Sí",D209&lt;=0.5),"",EDATE($C$10,182))</f>
        <v/>
      </c>
      <c r="D209" s="41" t="n">
        <f aca="false">MAX(0,M208)</f>
        <v>0</v>
      </c>
      <c r="E209" s="41" t="n">
        <f aca="false">D209*$F$7</f>
        <v>0</v>
      </c>
      <c r="F209" s="41" t="n">
        <f aca="false">IF(D209&gt;0.5,N($C$15),0)</f>
        <v>0</v>
      </c>
      <c r="G209" s="41" t="n">
        <f aca="false">IF(AND(D209&gt;0.5,N($C$19)&gt;0,N(B209)&lt;=N($C$20)),D209*$F$8,0)</f>
        <v>0</v>
      </c>
      <c r="H209" s="41" t="n">
        <f aca="false">IF(D209&lt;=0.5,0,MIN(IF(N(I209)&gt;0,I209,$F$9),D209+E209+F209))</f>
        <v>0</v>
      </c>
      <c r="I209" s="77"/>
      <c r="J209" s="77"/>
      <c r="K209" s="41" t="n">
        <f aca="false">IF(D209&lt;=0.5,0,MIN(H209+N(J209),D209+E209+F209))</f>
        <v>0</v>
      </c>
      <c r="L209" s="41" t="n">
        <f aca="false">K209-E209-F209</f>
        <v>0</v>
      </c>
      <c r="M209" s="41" t="n">
        <f aca="false">D209-L209</f>
        <v>0</v>
      </c>
      <c r="N209" s="42" t="n">
        <f aca="false">K209-G209</f>
        <v>0</v>
      </c>
      <c r="O209" s="78"/>
      <c r="P209" s="79"/>
      <c r="Q209" s="16" t="str">
        <f aca="false">IF(K209=0,"",IF(R209=1,"Pagada",IF(C209&lt;$F$12,"Vencida",IF(183=$F$13,"Próxima","Pendiente"))))</f>
        <v/>
      </c>
      <c r="R209" s="62" t="n">
        <f aca="false">IF(AND(K209&gt;0,OR(O209="Sí",O209="Si")),1,0)</f>
        <v>0</v>
      </c>
      <c r="S209" s="62" t="n">
        <f aca="false">IF(AND(K209&gt;0,R209=0),1,0)</f>
        <v>0</v>
      </c>
    </row>
    <row r="210" customFormat="false" ht="15" hidden="false" customHeight="false" outlineLevel="0" collapsed="false">
      <c r="B210" s="71" t="str">
        <f aca="false">IF($F$6="Sí",N($C$11)+183,"")</f>
        <v/>
      </c>
      <c r="C210" s="72" t="str">
        <f aca="false">IF(OR($F$6&lt;&gt;"Sí",D210&lt;=0.5),"",EDATE($C$10,183))</f>
        <v/>
      </c>
      <c r="D210" s="41" t="n">
        <f aca="false">MAX(0,M209)</f>
        <v>0</v>
      </c>
      <c r="E210" s="41" t="n">
        <f aca="false">D210*$F$7</f>
        <v>0</v>
      </c>
      <c r="F210" s="41" t="n">
        <f aca="false">IF(D210&gt;0.5,N($C$15),0)</f>
        <v>0</v>
      </c>
      <c r="G210" s="41" t="n">
        <f aca="false">IF(AND(D210&gt;0.5,N($C$19)&gt;0,N(B210)&lt;=N($C$20)),D210*$F$8,0)</f>
        <v>0</v>
      </c>
      <c r="H210" s="41" t="n">
        <f aca="false">IF(D210&lt;=0.5,0,MIN(IF(N(I210)&gt;0,I210,$F$9),D210+E210+F210))</f>
        <v>0</v>
      </c>
      <c r="I210" s="77"/>
      <c r="J210" s="77"/>
      <c r="K210" s="41" t="n">
        <f aca="false">IF(D210&lt;=0.5,0,MIN(H210+N(J210),D210+E210+F210))</f>
        <v>0</v>
      </c>
      <c r="L210" s="41" t="n">
        <f aca="false">K210-E210-F210</f>
        <v>0</v>
      </c>
      <c r="M210" s="41" t="n">
        <f aca="false">D210-L210</f>
        <v>0</v>
      </c>
      <c r="N210" s="42" t="n">
        <f aca="false">K210-G210</f>
        <v>0</v>
      </c>
      <c r="O210" s="78"/>
      <c r="P210" s="79"/>
      <c r="Q210" s="16" t="str">
        <f aca="false">IF(K210=0,"",IF(R210=1,"Pagada",IF(C210&lt;$F$12,"Vencida",IF(184=$F$13,"Próxima","Pendiente"))))</f>
        <v/>
      </c>
      <c r="R210" s="62" t="n">
        <f aca="false">IF(AND(K210&gt;0,OR(O210="Sí",O210="Si")),1,0)</f>
        <v>0</v>
      </c>
      <c r="S210" s="62" t="n">
        <f aca="false">IF(AND(K210&gt;0,R210=0),1,0)</f>
        <v>0</v>
      </c>
    </row>
    <row r="211" customFormat="false" ht="15" hidden="false" customHeight="false" outlineLevel="0" collapsed="false">
      <c r="B211" s="71" t="str">
        <f aca="false">IF($F$6="Sí",N($C$11)+184,"")</f>
        <v/>
      </c>
      <c r="C211" s="72" t="str">
        <f aca="false">IF(OR($F$6&lt;&gt;"Sí",D211&lt;=0.5),"",EDATE($C$10,184))</f>
        <v/>
      </c>
      <c r="D211" s="41" t="n">
        <f aca="false">MAX(0,M210)</f>
        <v>0</v>
      </c>
      <c r="E211" s="41" t="n">
        <f aca="false">D211*$F$7</f>
        <v>0</v>
      </c>
      <c r="F211" s="41" t="n">
        <f aca="false">IF(D211&gt;0.5,N($C$15),0)</f>
        <v>0</v>
      </c>
      <c r="G211" s="41" t="n">
        <f aca="false">IF(AND(D211&gt;0.5,N($C$19)&gt;0,N(B211)&lt;=N($C$20)),D211*$F$8,0)</f>
        <v>0</v>
      </c>
      <c r="H211" s="41" t="n">
        <f aca="false">IF(D211&lt;=0.5,0,MIN(IF(N(I211)&gt;0,I211,$F$9),D211+E211+F211))</f>
        <v>0</v>
      </c>
      <c r="I211" s="77"/>
      <c r="J211" s="77"/>
      <c r="K211" s="41" t="n">
        <f aca="false">IF(D211&lt;=0.5,0,MIN(H211+N(J211),D211+E211+F211))</f>
        <v>0</v>
      </c>
      <c r="L211" s="41" t="n">
        <f aca="false">K211-E211-F211</f>
        <v>0</v>
      </c>
      <c r="M211" s="41" t="n">
        <f aca="false">D211-L211</f>
        <v>0</v>
      </c>
      <c r="N211" s="42" t="n">
        <f aca="false">K211-G211</f>
        <v>0</v>
      </c>
      <c r="O211" s="78"/>
      <c r="P211" s="79"/>
      <c r="Q211" s="16" t="str">
        <f aca="false">IF(K211=0,"",IF(R211=1,"Pagada",IF(C211&lt;$F$12,"Vencida",IF(185=$F$13,"Próxima","Pendiente"))))</f>
        <v/>
      </c>
      <c r="R211" s="62" t="n">
        <f aca="false">IF(AND(K211&gt;0,OR(O211="Sí",O211="Si")),1,0)</f>
        <v>0</v>
      </c>
      <c r="S211" s="62" t="n">
        <f aca="false">IF(AND(K211&gt;0,R211=0),1,0)</f>
        <v>0</v>
      </c>
    </row>
    <row r="212" customFormat="false" ht="15" hidden="false" customHeight="false" outlineLevel="0" collapsed="false">
      <c r="B212" s="71" t="str">
        <f aca="false">IF($F$6="Sí",N($C$11)+185,"")</f>
        <v/>
      </c>
      <c r="C212" s="72" t="str">
        <f aca="false">IF(OR($F$6&lt;&gt;"Sí",D212&lt;=0.5),"",EDATE($C$10,185))</f>
        <v/>
      </c>
      <c r="D212" s="41" t="n">
        <f aca="false">MAX(0,M211)</f>
        <v>0</v>
      </c>
      <c r="E212" s="41" t="n">
        <f aca="false">D212*$F$7</f>
        <v>0</v>
      </c>
      <c r="F212" s="41" t="n">
        <f aca="false">IF(D212&gt;0.5,N($C$15),0)</f>
        <v>0</v>
      </c>
      <c r="G212" s="41" t="n">
        <f aca="false">IF(AND(D212&gt;0.5,N($C$19)&gt;0,N(B212)&lt;=N($C$20)),D212*$F$8,0)</f>
        <v>0</v>
      </c>
      <c r="H212" s="41" t="n">
        <f aca="false">IF(D212&lt;=0.5,0,MIN(IF(N(I212)&gt;0,I212,$F$9),D212+E212+F212))</f>
        <v>0</v>
      </c>
      <c r="I212" s="77"/>
      <c r="J212" s="77"/>
      <c r="K212" s="41" t="n">
        <f aca="false">IF(D212&lt;=0.5,0,MIN(H212+N(J212),D212+E212+F212))</f>
        <v>0</v>
      </c>
      <c r="L212" s="41" t="n">
        <f aca="false">K212-E212-F212</f>
        <v>0</v>
      </c>
      <c r="M212" s="41" t="n">
        <f aca="false">D212-L212</f>
        <v>0</v>
      </c>
      <c r="N212" s="42" t="n">
        <f aca="false">K212-G212</f>
        <v>0</v>
      </c>
      <c r="O212" s="78"/>
      <c r="P212" s="79"/>
      <c r="Q212" s="16" t="str">
        <f aca="false">IF(K212=0,"",IF(R212=1,"Pagada",IF(C212&lt;$F$12,"Vencida",IF(186=$F$13,"Próxima","Pendiente"))))</f>
        <v/>
      </c>
      <c r="R212" s="62" t="n">
        <f aca="false">IF(AND(K212&gt;0,OR(O212="Sí",O212="Si")),1,0)</f>
        <v>0</v>
      </c>
      <c r="S212" s="62" t="n">
        <f aca="false">IF(AND(K212&gt;0,R212=0),1,0)</f>
        <v>0</v>
      </c>
    </row>
    <row r="213" customFormat="false" ht="15" hidden="false" customHeight="false" outlineLevel="0" collapsed="false">
      <c r="B213" s="71" t="str">
        <f aca="false">IF($F$6="Sí",N($C$11)+186,"")</f>
        <v/>
      </c>
      <c r="C213" s="72" t="str">
        <f aca="false">IF(OR($F$6&lt;&gt;"Sí",D213&lt;=0.5),"",EDATE($C$10,186))</f>
        <v/>
      </c>
      <c r="D213" s="41" t="n">
        <f aca="false">MAX(0,M212)</f>
        <v>0</v>
      </c>
      <c r="E213" s="41" t="n">
        <f aca="false">D213*$F$7</f>
        <v>0</v>
      </c>
      <c r="F213" s="41" t="n">
        <f aca="false">IF(D213&gt;0.5,N($C$15),0)</f>
        <v>0</v>
      </c>
      <c r="G213" s="41" t="n">
        <f aca="false">IF(AND(D213&gt;0.5,N($C$19)&gt;0,N(B213)&lt;=N($C$20)),D213*$F$8,0)</f>
        <v>0</v>
      </c>
      <c r="H213" s="41" t="n">
        <f aca="false">IF(D213&lt;=0.5,0,MIN(IF(N(I213)&gt;0,I213,$F$9),D213+E213+F213))</f>
        <v>0</v>
      </c>
      <c r="I213" s="77"/>
      <c r="J213" s="77"/>
      <c r="K213" s="41" t="n">
        <f aca="false">IF(D213&lt;=0.5,0,MIN(H213+N(J213),D213+E213+F213))</f>
        <v>0</v>
      </c>
      <c r="L213" s="41" t="n">
        <f aca="false">K213-E213-F213</f>
        <v>0</v>
      </c>
      <c r="M213" s="41" t="n">
        <f aca="false">D213-L213</f>
        <v>0</v>
      </c>
      <c r="N213" s="42" t="n">
        <f aca="false">K213-G213</f>
        <v>0</v>
      </c>
      <c r="O213" s="78"/>
      <c r="P213" s="79"/>
      <c r="Q213" s="16" t="str">
        <f aca="false">IF(K213=0,"",IF(R213=1,"Pagada",IF(C213&lt;$F$12,"Vencida",IF(187=$F$13,"Próxima","Pendiente"))))</f>
        <v/>
      </c>
      <c r="R213" s="62" t="n">
        <f aca="false">IF(AND(K213&gt;0,OR(O213="Sí",O213="Si")),1,0)</f>
        <v>0</v>
      </c>
      <c r="S213" s="62" t="n">
        <f aca="false">IF(AND(K213&gt;0,R213=0),1,0)</f>
        <v>0</v>
      </c>
    </row>
    <row r="214" customFormat="false" ht="15" hidden="false" customHeight="false" outlineLevel="0" collapsed="false">
      <c r="B214" s="71" t="str">
        <f aca="false">IF($F$6="Sí",N($C$11)+187,"")</f>
        <v/>
      </c>
      <c r="C214" s="72" t="str">
        <f aca="false">IF(OR($F$6&lt;&gt;"Sí",D214&lt;=0.5),"",EDATE($C$10,187))</f>
        <v/>
      </c>
      <c r="D214" s="41" t="n">
        <f aca="false">MAX(0,M213)</f>
        <v>0</v>
      </c>
      <c r="E214" s="41" t="n">
        <f aca="false">D214*$F$7</f>
        <v>0</v>
      </c>
      <c r="F214" s="41" t="n">
        <f aca="false">IF(D214&gt;0.5,N($C$15),0)</f>
        <v>0</v>
      </c>
      <c r="G214" s="41" t="n">
        <f aca="false">IF(AND(D214&gt;0.5,N($C$19)&gt;0,N(B214)&lt;=N($C$20)),D214*$F$8,0)</f>
        <v>0</v>
      </c>
      <c r="H214" s="41" t="n">
        <f aca="false">IF(D214&lt;=0.5,0,MIN(IF(N(I214)&gt;0,I214,$F$9),D214+E214+F214))</f>
        <v>0</v>
      </c>
      <c r="I214" s="77"/>
      <c r="J214" s="77"/>
      <c r="K214" s="41" t="n">
        <f aca="false">IF(D214&lt;=0.5,0,MIN(H214+N(J214),D214+E214+F214))</f>
        <v>0</v>
      </c>
      <c r="L214" s="41" t="n">
        <f aca="false">K214-E214-F214</f>
        <v>0</v>
      </c>
      <c r="M214" s="41" t="n">
        <f aca="false">D214-L214</f>
        <v>0</v>
      </c>
      <c r="N214" s="42" t="n">
        <f aca="false">K214-G214</f>
        <v>0</v>
      </c>
      <c r="O214" s="78"/>
      <c r="P214" s="79"/>
      <c r="Q214" s="16" t="str">
        <f aca="false">IF(K214=0,"",IF(R214=1,"Pagada",IF(C214&lt;$F$12,"Vencida",IF(188=$F$13,"Próxima","Pendiente"))))</f>
        <v/>
      </c>
      <c r="R214" s="62" t="n">
        <f aca="false">IF(AND(K214&gt;0,OR(O214="Sí",O214="Si")),1,0)</f>
        <v>0</v>
      </c>
      <c r="S214" s="62" t="n">
        <f aca="false">IF(AND(K214&gt;0,R214=0),1,0)</f>
        <v>0</v>
      </c>
    </row>
    <row r="215" customFormat="false" ht="15" hidden="false" customHeight="false" outlineLevel="0" collapsed="false">
      <c r="B215" s="71" t="str">
        <f aca="false">IF($F$6="Sí",N($C$11)+188,"")</f>
        <v/>
      </c>
      <c r="C215" s="72" t="str">
        <f aca="false">IF(OR($F$6&lt;&gt;"Sí",D215&lt;=0.5),"",EDATE($C$10,188))</f>
        <v/>
      </c>
      <c r="D215" s="41" t="n">
        <f aca="false">MAX(0,M214)</f>
        <v>0</v>
      </c>
      <c r="E215" s="41" t="n">
        <f aca="false">D215*$F$7</f>
        <v>0</v>
      </c>
      <c r="F215" s="41" t="n">
        <f aca="false">IF(D215&gt;0.5,N($C$15),0)</f>
        <v>0</v>
      </c>
      <c r="G215" s="41" t="n">
        <f aca="false">IF(AND(D215&gt;0.5,N($C$19)&gt;0,N(B215)&lt;=N($C$20)),D215*$F$8,0)</f>
        <v>0</v>
      </c>
      <c r="H215" s="41" t="n">
        <f aca="false">IF(D215&lt;=0.5,0,MIN(IF(N(I215)&gt;0,I215,$F$9),D215+E215+F215))</f>
        <v>0</v>
      </c>
      <c r="I215" s="77"/>
      <c r="J215" s="77"/>
      <c r="K215" s="41" t="n">
        <f aca="false">IF(D215&lt;=0.5,0,MIN(H215+N(J215),D215+E215+F215))</f>
        <v>0</v>
      </c>
      <c r="L215" s="41" t="n">
        <f aca="false">K215-E215-F215</f>
        <v>0</v>
      </c>
      <c r="M215" s="41" t="n">
        <f aca="false">D215-L215</f>
        <v>0</v>
      </c>
      <c r="N215" s="42" t="n">
        <f aca="false">K215-G215</f>
        <v>0</v>
      </c>
      <c r="O215" s="78"/>
      <c r="P215" s="79"/>
      <c r="Q215" s="16" t="str">
        <f aca="false">IF(K215=0,"",IF(R215=1,"Pagada",IF(C215&lt;$F$12,"Vencida",IF(189=$F$13,"Próxima","Pendiente"))))</f>
        <v/>
      </c>
      <c r="R215" s="62" t="n">
        <f aca="false">IF(AND(K215&gt;0,OR(O215="Sí",O215="Si")),1,0)</f>
        <v>0</v>
      </c>
      <c r="S215" s="62" t="n">
        <f aca="false">IF(AND(K215&gt;0,R215=0),1,0)</f>
        <v>0</v>
      </c>
    </row>
    <row r="216" customFormat="false" ht="15" hidden="false" customHeight="false" outlineLevel="0" collapsed="false">
      <c r="B216" s="71" t="str">
        <f aca="false">IF($F$6="Sí",N($C$11)+189,"")</f>
        <v/>
      </c>
      <c r="C216" s="72" t="str">
        <f aca="false">IF(OR($F$6&lt;&gt;"Sí",D216&lt;=0.5),"",EDATE($C$10,189))</f>
        <v/>
      </c>
      <c r="D216" s="41" t="n">
        <f aca="false">MAX(0,M215)</f>
        <v>0</v>
      </c>
      <c r="E216" s="41" t="n">
        <f aca="false">D216*$F$7</f>
        <v>0</v>
      </c>
      <c r="F216" s="41" t="n">
        <f aca="false">IF(D216&gt;0.5,N($C$15),0)</f>
        <v>0</v>
      </c>
      <c r="G216" s="41" t="n">
        <f aca="false">IF(AND(D216&gt;0.5,N($C$19)&gt;0,N(B216)&lt;=N($C$20)),D216*$F$8,0)</f>
        <v>0</v>
      </c>
      <c r="H216" s="41" t="n">
        <f aca="false">IF(D216&lt;=0.5,0,MIN(IF(N(I216)&gt;0,I216,$F$9),D216+E216+F216))</f>
        <v>0</v>
      </c>
      <c r="I216" s="77"/>
      <c r="J216" s="77"/>
      <c r="K216" s="41" t="n">
        <f aca="false">IF(D216&lt;=0.5,0,MIN(H216+N(J216),D216+E216+F216))</f>
        <v>0</v>
      </c>
      <c r="L216" s="41" t="n">
        <f aca="false">K216-E216-F216</f>
        <v>0</v>
      </c>
      <c r="M216" s="41" t="n">
        <f aca="false">D216-L216</f>
        <v>0</v>
      </c>
      <c r="N216" s="42" t="n">
        <f aca="false">K216-G216</f>
        <v>0</v>
      </c>
      <c r="O216" s="78"/>
      <c r="P216" s="79"/>
      <c r="Q216" s="16" t="str">
        <f aca="false">IF(K216=0,"",IF(R216=1,"Pagada",IF(C216&lt;$F$12,"Vencida",IF(190=$F$13,"Próxima","Pendiente"))))</f>
        <v/>
      </c>
      <c r="R216" s="62" t="n">
        <f aca="false">IF(AND(K216&gt;0,OR(O216="Sí",O216="Si")),1,0)</f>
        <v>0</v>
      </c>
      <c r="S216" s="62" t="n">
        <f aca="false">IF(AND(K216&gt;0,R216=0),1,0)</f>
        <v>0</v>
      </c>
    </row>
    <row r="217" customFormat="false" ht="15" hidden="false" customHeight="false" outlineLevel="0" collapsed="false">
      <c r="B217" s="71" t="str">
        <f aca="false">IF($F$6="Sí",N($C$11)+190,"")</f>
        <v/>
      </c>
      <c r="C217" s="72" t="str">
        <f aca="false">IF(OR($F$6&lt;&gt;"Sí",D217&lt;=0.5),"",EDATE($C$10,190))</f>
        <v/>
      </c>
      <c r="D217" s="41" t="n">
        <f aca="false">MAX(0,M216)</f>
        <v>0</v>
      </c>
      <c r="E217" s="41" t="n">
        <f aca="false">D217*$F$7</f>
        <v>0</v>
      </c>
      <c r="F217" s="41" t="n">
        <f aca="false">IF(D217&gt;0.5,N($C$15),0)</f>
        <v>0</v>
      </c>
      <c r="G217" s="41" t="n">
        <f aca="false">IF(AND(D217&gt;0.5,N($C$19)&gt;0,N(B217)&lt;=N($C$20)),D217*$F$8,0)</f>
        <v>0</v>
      </c>
      <c r="H217" s="41" t="n">
        <f aca="false">IF(D217&lt;=0.5,0,MIN(IF(N(I217)&gt;0,I217,$F$9),D217+E217+F217))</f>
        <v>0</v>
      </c>
      <c r="I217" s="77"/>
      <c r="J217" s="77"/>
      <c r="K217" s="41" t="n">
        <f aca="false">IF(D217&lt;=0.5,0,MIN(H217+N(J217),D217+E217+F217))</f>
        <v>0</v>
      </c>
      <c r="L217" s="41" t="n">
        <f aca="false">K217-E217-F217</f>
        <v>0</v>
      </c>
      <c r="M217" s="41" t="n">
        <f aca="false">D217-L217</f>
        <v>0</v>
      </c>
      <c r="N217" s="42" t="n">
        <f aca="false">K217-G217</f>
        <v>0</v>
      </c>
      <c r="O217" s="78"/>
      <c r="P217" s="79"/>
      <c r="Q217" s="16" t="str">
        <f aca="false">IF(K217=0,"",IF(R217=1,"Pagada",IF(C217&lt;$F$12,"Vencida",IF(191=$F$13,"Próxima","Pendiente"))))</f>
        <v/>
      </c>
      <c r="R217" s="62" t="n">
        <f aca="false">IF(AND(K217&gt;0,OR(O217="Sí",O217="Si")),1,0)</f>
        <v>0</v>
      </c>
      <c r="S217" s="62" t="n">
        <f aca="false">IF(AND(K217&gt;0,R217=0),1,0)</f>
        <v>0</v>
      </c>
    </row>
    <row r="218" customFormat="false" ht="15" hidden="false" customHeight="false" outlineLevel="0" collapsed="false">
      <c r="B218" s="71" t="str">
        <f aca="false">IF($F$6="Sí",N($C$11)+191,"")</f>
        <v/>
      </c>
      <c r="C218" s="72" t="str">
        <f aca="false">IF(OR($F$6&lt;&gt;"Sí",D218&lt;=0.5),"",EDATE($C$10,191))</f>
        <v/>
      </c>
      <c r="D218" s="41" t="n">
        <f aca="false">MAX(0,M217)</f>
        <v>0</v>
      </c>
      <c r="E218" s="41" t="n">
        <f aca="false">D218*$F$7</f>
        <v>0</v>
      </c>
      <c r="F218" s="41" t="n">
        <f aca="false">IF(D218&gt;0.5,N($C$15),0)</f>
        <v>0</v>
      </c>
      <c r="G218" s="41" t="n">
        <f aca="false">IF(AND(D218&gt;0.5,N($C$19)&gt;0,N(B218)&lt;=N($C$20)),D218*$F$8,0)</f>
        <v>0</v>
      </c>
      <c r="H218" s="41" t="n">
        <f aca="false">IF(D218&lt;=0.5,0,MIN(IF(N(I218)&gt;0,I218,$F$9),D218+E218+F218))</f>
        <v>0</v>
      </c>
      <c r="I218" s="77"/>
      <c r="J218" s="77"/>
      <c r="K218" s="41" t="n">
        <f aca="false">IF(D218&lt;=0.5,0,MIN(H218+N(J218),D218+E218+F218))</f>
        <v>0</v>
      </c>
      <c r="L218" s="41" t="n">
        <f aca="false">K218-E218-F218</f>
        <v>0</v>
      </c>
      <c r="M218" s="41" t="n">
        <f aca="false">D218-L218</f>
        <v>0</v>
      </c>
      <c r="N218" s="42" t="n">
        <f aca="false">K218-G218</f>
        <v>0</v>
      </c>
      <c r="O218" s="78"/>
      <c r="P218" s="79"/>
      <c r="Q218" s="16" t="str">
        <f aca="false">IF(K218=0,"",IF(R218=1,"Pagada",IF(C218&lt;$F$12,"Vencida",IF(192=$F$13,"Próxima","Pendiente"))))</f>
        <v/>
      </c>
      <c r="R218" s="62" t="n">
        <f aca="false">IF(AND(K218&gt;0,OR(O218="Sí",O218="Si")),1,0)</f>
        <v>0</v>
      </c>
      <c r="S218" s="62" t="n">
        <f aca="false">IF(AND(K218&gt;0,R218=0),1,0)</f>
        <v>0</v>
      </c>
    </row>
    <row r="219" customFormat="false" ht="15" hidden="false" customHeight="false" outlineLevel="0" collapsed="false">
      <c r="B219" s="71" t="str">
        <f aca="false">IF($F$6="Sí",N($C$11)+192,"")</f>
        <v/>
      </c>
      <c r="C219" s="72" t="str">
        <f aca="false">IF(OR($F$6&lt;&gt;"Sí",D219&lt;=0.5),"",EDATE($C$10,192))</f>
        <v/>
      </c>
      <c r="D219" s="41" t="n">
        <f aca="false">MAX(0,M218)</f>
        <v>0</v>
      </c>
      <c r="E219" s="41" t="n">
        <f aca="false">D219*$F$7</f>
        <v>0</v>
      </c>
      <c r="F219" s="41" t="n">
        <f aca="false">IF(D219&gt;0.5,N($C$15),0)</f>
        <v>0</v>
      </c>
      <c r="G219" s="41" t="n">
        <f aca="false">IF(AND(D219&gt;0.5,N($C$19)&gt;0,N(B219)&lt;=N($C$20)),D219*$F$8,0)</f>
        <v>0</v>
      </c>
      <c r="H219" s="41" t="n">
        <f aca="false">IF(D219&lt;=0.5,0,MIN(IF(N(I219)&gt;0,I219,$F$9),D219+E219+F219))</f>
        <v>0</v>
      </c>
      <c r="I219" s="77"/>
      <c r="J219" s="77"/>
      <c r="K219" s="41" t="n">
        <f aca="false">IF(D219&lt;=0.5,0,MIN(H219+N(J219),D219+E219+F219))</f>
        <v>0</v>
      </c>
      <c r="L219" s="41" t="n">
        <f aca="false">K219-E219-F219</f>
        <v>0</v>
      </c>
      <c r="M219" s="41" t="n">
        <f aca="false">D219-L219</f>
        <v>0</v>
      </c>
      <c r="N219" s="42" t="n">
        <f aca="false">K219-G219</f>
        <v>0</v>
      </c>
      <c r="O219" s="78"/>
      <c r="P219" s="79"/>
      <c r="Q219" s="16" t="str">
        <f aca="false">IF(K219=0,"",IF(R219=1,"Pagada",IF(C219&lt;$F$12,"Vencida",IF(193=$F$13,"Próxima","Pendiente"))))</f>
        <v/>
      </c>
      <c r="R219" s="62" t="n">
        <f aca="false">IF(AND(K219&gt;0,OR(O219="Sí",O219="Si")),1,0)</f>
        <v>0</v>
      </c>
      <c r="S219" s="62" t="n">
        <f aca="false">IF(AND(K219&gt;0,R219=0),1,0)</f>
        <v>0</v>
      </c>
    </row>
    <row r="220" customFormat="false" ht="15" hidden="false" customHeight="false" outlineLevel="0" collapsed="false">
      <c r="B220" s="71" t="str">
        <f aca="false">IF($F$6="Sí",N($C$11)+193,"")</f>
        <v/>
      </c>
      <c r="C220" s="72" t="str">
        <f aca="false">IF(OR($F$6&lt;&gt;"Sí",D220&lt;=0.5),"",EDATE($C$10,193))</f>
        <v/>
      </c>
      <c r="D220" s="41" t="n">
        <f aca="false">MAX(0,M219)</f>
        <v>0</v>
      </c>
      <c r="E220" s="41" t="n">
        <f aca="false">D220*$F$7</f>
        <v>0</v>
      </c>
      <c r="F220" s="41" t="n">
        <f aca="false">IF(D220&gt;0.5,N($C$15),0)</f>
        <v>0</v>
      </c>
      <c r="G220" s="41" t="n">
        <f aca="false">IF(AND(D220&gt;0.5,N($C$19)&gt;0,N(B220)&lt;=N($C$20)),D220*$F$8,0)</f>
        <v>0</v>
      </c>
      <c r="H220" s="41" t="n">
        <f aca="false">IF(D220&lt;=0.5,0,MIN(IF(N(I220)&gt;0,I220,$F$9),D220+E220+F220))</f>
        <v>0</v>
      </c>
      <c r="I220" s="77"/>
      <c r="J220" s="77"/>
      <c r="K220" s="41" t="n">
        <f aca="false">IF(D220&lt;=0.5,0,MIN(H220+N(J220),D220+E220+F220))</f>
        <v>0</v>
      </c>
      <c r="L220" s="41" t="n">
        <f aca="false">K220-E220-F220</f>
        <v>0</v>
      </c>
      <c r="M220" s="41" t="n">
        <f aca="false">D220-L220</f>
        <v>0</v>
      </c>
      <c r="N220" s="42" t="n">
        <f aca="false">K220-G220</f>
        <v>0</v>
      </c>
      <c r="O220" s="78"/>
      <c r="P220" s="79"/>
      <c r="Q220" s="16" t="str">
        <f aca="false">IF(K220=0,"",IF(R220=1,"Pagada",IF(C220&lt;$F$12,"Vencida",IF(194=$F$13,"Próxima","Pendiente"))))</f>
        <v/>
      </c>
      <c r="R220" s="62" t="n">
        <f aca="false">IF(AND(K220&gt;0,OR(O220="Sí",O220="Si")),1,0)</f>
        <v>0</v>
      </c>
      <c r="S220" s="62" t="n">
        <f aca="false">IF(AND(K220&gt;0,R220=0),1,0)</f>
        <v>0</v>
      </c>
    </row>
    <row r="221" customFormat="false" ht="15" hidden="false" customHeight="false" outlineLevel="0" collapsed="false">
      <c r="B221" s="71" t="str">
        <f aca="false">IF($F$6="Sí",N($C$11)+194,"")</f>
        <v/>
      </c>
      <c r="C221" s="72" t="str">
        <f aca="false">IF(OR($F$6&lt;&gt;"Sí",D221&lt;=0.5),"",EDATE($C$10,194))</f>
        <v/>
      </c>
      <c r="D221" s="41" t="n">
        <f aca="false">MAX(0,M220)</f>
        <v>0</v>
      </c>
      <c r="E221" s="41" t="n">
        <f aca="false">D221*$F$7</f>
        <v>0</v>
      </c>
      <c r="F221" s="41" t="n">
        <f aca="false">IF(D221&gt;0.5,N($C$15),0)</f>
        <v>0</v>
      </c>
      <c r="G221" s="41" t="n">
        <f aca="false">IF(AND(D221&gt;0.5,N($C$19)&gt;0,N(B221)&lt;=N($C$20)),D221*$F$8,0)</f>
        <v>0</v>
      </c>
      <c r="H221" s="41" t="n">
        <f aca="false">IF(D221&lt;=0.5,0,MIN(IF(N(I221)&gt;0,I221,$F$9),D221+E221+F221))</f>
        <v>0</v>
      </c>
      <c r="I221" s="77"/>
      <c r="J221" s="77"/>
      <c r="K221" s="41" t="n">
        <f aca="false">IF(D221&lt;=0.5,0,MIN(H221+N(J221),D221+E221+F221))</f>
        <v>0</v>
      </c>
      <c r="L221" s="41" t="n">
        <f aca="false">K221-E221-F221</f>
        <v>0</v>
      </c>
      <c r="M221" s="41" t="n">
        <f aca="false">D221-L221</f>
        <v>0</v>
      </c>
      <c r="N221" s="42" t="n">
        <f aca="false">K221-G221</f>
        <v>0</v>
      </c>
      <c r="O221" s="78"/>
      <c r="P221" s="79"/>
      <c r="Q221" s="16" t="str">
        <f aca="false">IF(K221=0,"",IF(R221=1,"Pagada",IF(C221&lt;$F$12,"Vencida",IF(195=$F$13,"Próxima","Pendiente"))))</f>
        <v/>
      </c>
      <c r="R221" s="62" t="n">
        <f aca="false">IF(AND(K221&gt;0,OR(O221="Sí",O221="Si")),1,0)</f>
        <v>0</v>
      </c>
      <c r="S221" s="62" t="n">
        <f aca="false">IF(AND(K221&gt;0,R221=0),1,0)</f>
        <v>0</v>
      </c>
    </row>
    <row r="222" customFormat="false" ht="15" hidden="false" customHeight="false" outlineLevel="0" collapsed="false">
      <c r="B222" s="71" t="str">
        <f aca="false">IF($F$6="Sí",N($C$11)+195,"")</f>
        <v/>
      </c>
      <c r="C222" s="72" t="str">
        <f aca="false">IF(OR($F$6&lt;&gt;"Sí",D222&lt;=0.5),"",EDATE($C$10,195))</f>
        <v/>
      </c>
      <c r="D222" s="41" t="n">
        <f aca="false">MAX(0,M221)</f>
        <v>0</v>
      </c>
      <c r="E222" s="41" t="n">
        <f aca="false">D222*$F$7</f>
        <v>0</v>
      </c>
      <c r="F222" s="41" t="n">
        <f aca="false">IF(D222&gt;0.5,N($C$15),0)</f>
        <v>0</v>
      </c>
      <c r="G222" s="41" t="n">
        <f aca="false">IF(AND(D222&gt;0.5,N($C$19)&gt;0,N(B222)&lt;=N($C$20)),D222*$F$8,0)</f>
        <v>0</v>
      </c>
      <c r="H222" s="41" t="n">
        <f aca="false">IF(D222&lt;=0.5,0,MIN(IF(N(I222)&gt;0,I222,$F$9),D222+E222+F222))</f>
        <v>0</v>
      </c>
      <c r="I222" s="77"/>
      <c r="J222" s="77"/>
      <c r="K222" s="41" t="n">
        <f aca="false">IF(D222&lt;=0.5,0,MIN(H222+N(J222),D222+E222+F222))</f>
        <v>0</v>
      </c>
      <c r="L222" s="41" t="n">
        <f aca="false">K222-E222-F222</f>
        <v>0</v>
      </c>
      <c r="M222" s="41" t="n">
        <f aca="false">D222-L222</f>
        <v>0</v>
      </c>
      <c r="N222" s="42" t="n">
        <f aca="false">K222-G222</f>
        <v>0</v>
      </c>
      <c r="O222" s="78"/>
      <c r="P222" s="79"/>
      <c r="Q222" s="16" t="str">
        <f aca="false">IF(K222=0,"",IF(R222=1,"Pagada",IF(C222&lt;$F$12,"Vencida",IF(196=$F$13,"Próxima","Pendiente"))))</f>
        <v/>
      </c>
      <c r="R222" s="62" t="n">
        <f aca="false">IF(AND(K222&gt;0,OR(O222="Sí",O222="Si")),1,0)</f>
        <v>0</v>
      </c>
      <c r="S222" s="62" t="n">
        <f aca="false">IF(AND(K222&gt;0,R222=0),1,0)</f>
        <v>0</v>
      </c>
    </row>
    <row r="223" customFormat="false" ht="15" hidden="false" customHeight="false" outlineLevel="0" collapsed="false">
      <c r="B223" s="71" t="str">
        <f aca="false">IF($F$6="Sí",N($C$11)+196,"")</f>
        <v/>
      </c>
      <c r="C223" s="72" t="str">
        <f aca="false">IF(OR($F$6&lt;&gt;"Sí",D223&lt;=0.5),"",EDATE($C$10,196))</f>
        <v/>
      </c>
      <c r="D223" s="41" t="n">
        <f aca="false">MAX(0,M222)</f>
        <v>0</v>
      </c>
      <c r="E223" s="41" t="n">
        <f aca="false">D223*$F$7</f>
        <v>0</v>
      </c>
      <c r="F223" s="41" t="n">
        <f aca="false">IF(D223&gt;0.5,N($C$15),0)</f>
        <v>0</v>
      </c>
      <c r="G223" s="41" t="n">
        <f aca="false">IF(AND(D223&gt;0.5,N($C$19)&gt;0,N(B223)&lt;=N($C$20)),D223*$F$8,0)</f>
        <v>0</v>
      </c>
      <c r="H223" s="41" t="n">
        <f aca="false">IF(D223&lt;=0.5,0,MIN(IF(N(I223)&gt;0,I223,$F$9),D223+E223+F223))</f>
        <v>0</v>
      </c>
      <c r="I223" s="77"/>
      <c r="J223" s="77"/>
      <c r="K223" s="41" t="n">
        <f aca="false">IF(D223&lt;=0.5,0,MIN(H223+N(J223),D223+E223+F223))</f>
        <v>0</v>
      </c>
      <c r="L223" s="41" t="n">
        <f aca="false">K223-E223-F223</f>
        <v>0</v>
      </c>
      <c r="M223" s="41" t="n">
        <f aca="false">D223-L223</f>
        <v>0</v>
      </c>
      <c r="N223" s="42" t="n">
        <f aca="false">K223-G223</f>
        <v>0</v>
      </c>
      <c r="O223" s="78"/>
      <c r="P223" s="79"/>
      <c r="Q223" s="16" t="str">
        <f aca="false">IF(K223=0,"",IF(R223=1,"Pagada",IF(C223&lt;$F$12,"Vencida",IF(197=$F$13,"Próxima","Pendiente"))))</f>
        <v/>
      </c>
      <c r="R223" s="62" t="n">
        <f aca="false">IF(AND(K223&gt;0,OR(O223="Sí",O223="Si")),1,0)</f>
        <v>0</v>
      </c>
      <c r="S223" s="62" t="n">
        <f aca="false">IF(AND(K223&gt;0,R223=0),1,0)</f>
        <v>0</v>
      </c>
    </row>
    <row r="224" customFormat="false" ht="15" hidden="false" customHeight="false" outlineLevel="0" collapsed="false">
      <c r="B224" s="71" t="str">
        <f aca="false">IF($F$6="Sí",N($C$11)+197,"")</f>
        <v/>
      </c>
      <c r="C224" s="72" t="str">
        <f aca="false">IF(OR($F$6&lt;&gt;"Sí",D224&lt;=0.5),"",EDATE($C$10,197))</f>
        <v/>
      </c>
      <c r="D224" s="41" t="n">
        <f aca="false">MAX(0,M223)</f>
        <v>0</v>
      </c>
      <c r="E224" s="41" t="n">
        <f aca="false">D224*$F$7</f>
        <v>0</v>
      </c>
      <c r="F224" s="41" t="n">
        <f aca="false">IF(D224&gt;0.5,N($C$15),0)</f>
        <v>0</v>
      </c>
      <c r="G224" s="41" t="n">
        <f aca="false">IF(AND(D224&gt;0.5,N($C$19)&gt;0,N(B224)&lt;=N($C$20)),D224*$F$8,0)</f>
        <v>0</v>
      </c>
      <c r="H224" s="41" t="n">
        <f aca="false">IF(D224&lt;=0.5,0,MIN(IF(N(I224)&gt;0,I224,$F$9),D224+E224+F224))</f>
        <v>0</v>
      </c>
      <c r="I224" s="77"/>
      <c r="J224" s="77"/>
      <c r="K224" s="41" t="n">
        <f aca="false">IF(D224&lt;=0.5,0,MIN(H224+N(J224),D224+E224+F224))</f>
        <v>0</v>
      </c>
      <c r="L224" s="41" t="n">
        <f aca="false">K224-E224-F224</f>
        <v>0</v>
      </c>
      <c r="M224" s="41" t="n">
        <f aca="false">D224-L224</f>
        <v>0</v>
      </c>
      <c r="N224" s="42" t="n">
        <f aca="false">K224-G224</f>
        <v>0</v>
      </c>
      <c r="O224" s="78"/>
      <c r="P224" s="79"/>
      <c r="Q224" s="16" t="str">
        <f aca="false">IF(K224=0,"",IF(R224=1,"Pagada",IF(C224&lt;$F$12,"Vencida",IF(198=$F$13,"Próxima","Pendiente"))))</f>
        <v/>
      </c>
      <c r="R224" s="62" t="n">
        <f aca="false">IF(AND(K224&gt;0,OR(O224="Sí",O224="Si")),1,0)</f>
        <v>0</v>
      </c>
      <c r="S224" s="62" t="n">
        <f aca="false">IF(AND(K224&gt;0,R224=0),1,0)</f>
        <v>0</v>
      </c>
    </row>
    <row r="225" customFormat="false" ht="15" hidden="false" customHeight="false" outlineLevel="0" collapsed="false">
      <c r="B225" s="71" t="str">
        <f aca="false">IF($F$6="Sí",N($C$11)+198,"")</f>
        <v/>
      </c>
      <c r="C225" s="72" t="str">
        <f aca="false">IF(OR($F$6&lt;&gt;"Sí",D225&lt;=0.5),"",EDATE($C$10,198))</f>
        <v/>
      </c>
      <c r="D225" s="41" t="n">
        <f aca="false">MAX(0,M224)</f>
        <v>0</v>
      </c>
      <c r="E225" s="41" t="n">
        <f aca="false">D225*$F$7</f>
        <v>0</v>
      </c>
      <c r="F225" s="41" t="n">
        <f aca="false">IF(D225&gt;0.5,N($C$15),0)</f>
        <v>0</v>
      </c>
      <c r="G225" s="41" t="n">
        <f aca="false">IF(AND(D225&gt;0.5,N($C$19)&gt;0,N(B225)&lt;=N($C$20)),D225*$F$8,0)</f>
        <v>0</v>
      </c>
      <c r="H225" s="41" t="n">
        <f aca="false">IF(D225&lt;=0.5,0,MIN(IF(N(I225)&gt;0,I225,$F$9),D225+E225+F225))</f>
        <v>0</v>
      </c>
      <c r="I225" s="77"/>
      <c r="J225" s="77"/>
      <c r="K225" s="41" t="n">
        <f aca="false">IF(D225&lt;=0.5,0,MIN(H225+N(J225),D225+E225+F225))</f>
        <v>0</v>
      </c>
      <c r="L225" s="41" t="n">
        <f aca="false">K225-E225-F225</f>
        <v>0</v>
      </c>
      <c r="M225" s="41" t="n">
        <f aca="false">D225-L225</f>
        <v>0</v>
      </c>
      <c r="N225" s="42" t="n">
        <f aca="false">K225-G225</f>
        <v>0</v>
      </c>
      <c r="O225" s="78"/>
      <c r="P225" s="79"/>
      <c r="Q225" s="16" t="str">
        <f aca="false">IF(K225=0,"",IF(R225=1,"Pagada",IF(C225&lt;$F$12,"Vencida",IF(199=$F$13,"Próxima","Pendiente"))))</f>
        <v/>
      </c>
      <c r="R225" s="62" t="n">
        <f aca="false">IF(AND(K225&gt;0,OR(O225="Sí",O225="Si")),1,0)</f>
        <v>0</v>
      </c>
      <c r="S225" s="62" t="n">
        <f aca="false">IF(AND(K225&gt;0,R225=0),1,0)</f>
        <v>0</v>
      </c>
    </row>
    <row r="226" customFormat="false" ht="15" hidden="false" customHeight="false" outlineLevel="0" collapsed="false">
      <c r="B226" s="71" t="str">
        <f aca="false">IF($F$6="Sí",N($C$11)+199,"")</f>
        <v/>
      </c>
      <c r="C226" s="72" t="str">
        <f aca="false">IF(OR($F$6&lt;&gt;"Sí",D226&lt;=0.5),"",EDATE($C$10,199))</f>
        <v/>
      </c>
      <c r="D226" s="41" t="n">
        <f aca="false">MAX(0,M225)</f>
        <v>0</v>
      </c>
      <c r="E226" s="41" t="n">
        <f aca="false">D226*$F$7</f>
        <v>0</v>
      </c>
      <c r="F226" s="41" t="n">
        <f aca="false">IF(D226&gt;0.5,N($C$15),0)</f>
        <v>0</v>
      </c>
      <c r="G226" s="41" t="n">
        <f aca="false">IF(AND(D226&gt;0.5,N($C$19)&gt;0,N(B226)&lt;=N($C$20)),D226*$F$8,0)</f>
        <v>0</v>
      </c>
      <c r="H226" s="41" t="n">
        <f aca="false">IF(D226&lt;=0.5,0,MIN(IF(N(I226)&gt;0,I226,$F$9),D226+E226+F226))</f>
        <v>0</v>
      </c>
      <c r="I226" s="77"/>
      <c r="J226" s="77"/>
      <c r="K226" s="41" t="n">
        <f aca="false">IF(D226&lt;=0.5,0,MIN(H226+N(J226),D226+E226+F226))</f>
        <v>0</v>
      </c>
      <c r="L226" s="41" t="n">
        <f aca="false">K226-E226-F226</f>
        <v>0</v>
      </c>
      <c r="M226" s="41" t="n">
        <f aca="false">D226-L226</f>
        <v>0</v>
      </c>
      <c r="N226" s="42" t="n">
        <f aca="false">K226-G226</f>
        <v>0</v>
      </c>
      <c r="O226" s="78"/>
      <c r="P226" s="79"/>
      <c r="Q226" s="16" t="str">
        <f aca="false">IF(K226=0,"",IF(R226=1,"Pagada",IF(C226&lt;$F$12,"Vencida",IF(200=$F$13,"Próxima","Pendiente"))))</f>
        <v/>
      </c>
      <c r="R226" s="62" t="n">
        <f aca="false">IF(AND(K226&gt;0,OR(O226="Sí",O226="Si")),1,0)</f>
        <v>0</v>
      </c>
      <c r="S226" s="62" t="n">
        <f aca="false">IF(AND(K226&gt;0,R226=0),1,0)</f>
        <v>0</v>
      </c>
    </row>
    <row r="227" customFormat="false" ht="15" hidden="false" customHeight="false" outlineLevel="0" collapsed="false">
      <c r="B227" s="71" t="str">
        <f aca="false">IF($F$6="Sí",N($C$11)+200,"")</f>
        <v/>
      </c>
      <c r="C227" s="72" t="str">
        <f aca="false">IF(OR($F$6&lt;&gt;"Sí",D227&lt;=0.5),"",EDATE($C$10,200))</f>
        <v/>
      </c>
      <c r="D227" s="41" t="n">
        <f aca="false">MAX(0,M226)</f>
        <v>0</v>
      </c>
      <c r="E227" s="41" t="n">
        <f aca="false">D227*$F$7</f>
        <v>0</v>
      </c>
      <c r="F227" s="41" t="n">
        <f aca="false">IF(D227&gt;0.5,N($C$15),0)</f>
        <v>0</v>
      </c>
      <c r="G227" s="41" t="n">
        <f aca="false">IF(AND(D227&gt;0.5,N($C$19)&gt;0,N(B227)&lt;=N($C$20)),D227*$F$8,0)</f>
        <v>0</v>
      </c>
      <c r="H227" s="41" t="n">
        <f aca="false">IF(D227&lt;=0.5,0,MIN(IF(N(I227)&gt;0,I227,$F$9),D227+E227+F227))</f>
        <v>0</v>
      </c>
      <c r="I227" s="77"/>
      <c r="J227" s="77"/>
      <c r="K227" s="41" t="n">
        <f aca="false">IF(D227&lt;=0.5,0,MIN(H227+N(J227),D227+E227+F227))</f>
        <v>0</v>
      </c>
      <c r="L227" s="41" t="n">
        <f aca="false">K227-E227-F227</f>
        <v>0</v>
      </c>
      <c r="M227" s="41" t="n">
        <f aca="false">D227-L227</f>
        <v>0</v>
      </c>
      <c r="N227" s="42" t="n">
        <f aca="false">K227-G227</f>
        <v>0</v>
      </c>
      <c r="O227" s="78"/>
      <c r="P227" s="79"/>
      <c r="Q227" s="16" t="str">
        <f aca="false">IF(K227=0,"",IF(R227=1,"Pagada",IF(C227&lt;$F$12,"Vencida",IF(201=$F$13,"Próxima","Pendiente"))))</f>
        <v/>
      </c>
      <c r="R227" s="62" t="n">
        <f aca="false">IF(AND(K227&gt;0,OR(O227="Sí",O227="Si")),1,0)</f>
        <v>0</v>
      </c>
      <c r="S227" s="62" t="n">
        <f aca="false">IF(AND(K227&gt;0,R227=0),1,0)</f>
        <v>0</v>
      </c>
    </row>
    <row r="228" customFormat="false" ht="15" hidden="false" customHeight="false" outlineLevel="0" collapsed="false">
      <c r="B228" s="71" t="str">
        <f aca="false">IF($F$6="Sí",N($C$11)+201,"")</f>
        <v/>
      </c>
      <c r="C228" s="72" t="str">
        <f aca="false">IF(OR($F$6&lt;&gt;"Sí",D228&lt;=0.5),"",EDATE($C$10,201))</f>
        <v/>
      </c>
      <c r="D228" s="41" t="n">
        <f aca="false">MAX(0,M227)</f>
        <v>0</v>
      </c>
      <c r="E228" s="41" t="n">
        <f aca="false">D228*$F$7</f>
        <v>0</v>
      </c>
      <c r="F228" s="41" t="n">
        <f aca="false">IF(D228&gt;0.5,N($C$15),0)</f>
        <v>0</v>
      </c>
      <c r="G228" s="41" t="n">
        <f aca="false">IF(AND(D228&gt;0.5,N($C$19)&gt;0,N(B228)&lt;=N($C$20)),D228*$F$8,0)</f>
        <v>0</v>
      </c>
      <c r="H228" s="41" t="n">
        <f aca="false">IF(D228&lt;=0.5,0,MIN(IF(N(I228)&gt;0,I228,$F$9),D228+E228+F228))</f>
        <v>0</v>
      </c>
      <c r="I228" s="77"/>
      <c r="J228" s="77"/>
      <c r="K228" s="41" t="n">
        <f aca="false">IF(D228&lt;=0.5,0,MIN(H228+N(J228),D228+E228+F228))</f>
        <v>0</v>
      </c>
      <c r="L228" s="41" t="n">
        <f aca="false">K228-E228-F228</f>
        <v>0</v>
      </c>
      <c r="M228" s="41" t="n">
        <f aca="false">D228-L228</f>
        <v>0</v>
      </c>
      <c r="N228" s="42" t="n">
        <f aca="false">K228-G228</f>
        <v>0</v>
      </c>
      <c r="O228" s="78"/>
      <c r="P228" s="79"/>
      <c r="Q228" s="16" t="str">
        <f aca="false">IF(K228=0,"",IF(R228=1,"Pagada",IF(C228&lt;$F$12,"Vencida",IF(202=$F$13,"Próxima","Pendiente"))))</f>
        <v/>
      </c>
      <c r="R228" s="62" t="n">
        <f aca="false">IF(AND(K228&gt;0,OR(O228="Sí",O228="Si")),1,0)</f>
        <v>0</v>
      </c>
      <c r="S228" s="62" t="n">
        <f aca="false">IF(AND(K228&gt;0,R228=0),1,0)</f>
        <v>0</v>
      </c>
    </row>
    <row r="229" customFormat="false" ht="15" hidden="false" customHeight="false" outlineLevel="0" collapsed="false">
      <c r="B229" s="71" t="str">
        <f aca="false">IF($F$6="Sí",N($C$11)+202,"")</f>
        <v/>
      </c>
      <c r="C229" s="72" t="str">
        <f aca="false">IF(OR($F$6&lt;&gt;"Sí",D229&lt;=0.5),"",EDATE($C$10,202))</f>
        <v/>
      </c>
      <c r="D229" s="41" t="n">
        <f aca="false">MAX(0,M228)</f>
        <v>0</v>
      </c>
      <c r="E229" s="41" t="n">
        <f aca="false">D229*$F$7</f>
        <v>0</v>
      </c>
      <c r="F229" s="41" t="n">
        <f aca="false">IF(D229&gt;0.5,N($C$15),0)</f>
        <v>0</v>
      </c>
      <c r="G229" s="41" t="n">
        <f aca="false">IF(AND(D229&gt;0.5,N($C$19)&gt;0,N(B229)&lt;=N($C$20)),D229*$F$8,0)</f>
        <v>0</v>
      </c>
      <c r="H229" s="41" t="n">
        <f aca="false">IF(D229&lt;=0.5,0,MIN(IF(N(I229)&gt;0,I229,$F$9),D229+E229+F229))</f>
        <v>0</v>
      </c>
      <c r="I229" s="77"/>
      <c r="J229" s="77"/>
      <c r="K229" s="41" t="n">
        <f aca="false">IF(D229&lt;=0.5,0,MIN(H229+N(J229),D229+E229+F229))</f>
        <v>0</v>
      </c>
      <c r="L229" s="41" t="n">
        <f aca="false">K229-E229-F229</f>
        <v>0</v>
      </c>
      <c r="M229" s="41" t="n">
        <f aca="false">D229-L229</f>
        <v>0</v>
      </c>
      <c r="N229" s="42" t="n">
        <f aca="false">K229-G229</f>
        <v>0</v>
      </c>
      <c r="O229" s="78"/>
      <c r="P229" s="79"/>
      <c r="Q229" s="16" t="str">
        <f aca="false">IF(K229=0,"",IF(R229=1,"Pagada",IF(C229&lt;$F$12,"Vencida",IF(203=$F$13,"Próxima","Pendiente"))))</f>
        <v/>
      </c>
      <c r="R229" s="62" t="n">
        <f aca="false">IF(AND(K229&gt;0,OR(O229="Sí",O229="Si")),1,0)</f>
        <v>0</v>
      </c>
      <c r="S229" s="62" t="n">
        <f aca="false">IF(AND(K229&gt;0,R229=0),1,0)</f>
        <v>0</v>
      </c>
    </row>
    <row r="230" customFormat="false" ht="15" hidden="false" customHeight="false" outlineLevel="0" collapsed="false">
      <c r="B230" s="71" t="str">
        <f aca="false">IF($F$6="Sí",N($C$11)+203,"")</f>
        <v/>
      </c>
      <c r="C230" s="72" t="str">
        <f aca="false">IF(OR($F$6&lt;&gt;"Sí",D230&lt;=0.5),"",EDATE($C$10,203))</f>
        <v/>
      </c>
      <c r="D230" s="41" t="n">
        <f aca="false">MAX(0,M229)</f>
        <v>0</v>
      </c>
      <c r="E230" s="41" t="n">
        <f aca="false">D230*$F$7</f>
        <v>0</v>
      </c>
      <c r="F230" s="41" t="n">
        <f aca="false">IF(D230&gt;0.5,N($C$15),0)</f>
        <v>0</v>
      </c>
      <c r="G230" s="41" t="n">
        <f aca="false">IF(AND(D230&gt;0.5,N($C$19)&gt;0,N(B230)&lt;=N($C$20)),D230*$F$8,0)</f>
        <v>0</v>
      </c>
      <c r="H230" s="41" t="n">
        <f aca="false">IF(D230&lt;=0.5,0,MIN(IF(N(I230)&gt;0,I230,$F$9),D230+E230+F230))</f>
        <v>0</v>
      </c>
      <c r="I230" s="77"/>
      <c r="J230" s="77"/>
      <c r="K230" s="41" t="n">
        <f aca="false">IF(D230&lt;=0.5,0,MIN(H230+N(J230),D230+E230+F230))</f>
        <v>0</v>
      </c>
      <c r="L230" s="41" t="n">
        <f aca="false">K230-E230-F230</f>
        <v>0</v>
      </c>
      <c r="M230" s="41" t="n">
        <f aca="false">D230-L230</f>
        <v>0</v>
      </c>
      <c r="N230" s="42" t="n">
        <f aca="false">K230-G230</f>
        <v>0</v>
      </c>
      <c r="O230" s="78"/>
      <c r="P230" s="79"/>
      <c r="Q230" s="16" t="str">
        <f aca="false">IF(K230=0,"",IF(R230=1,"Pagada",IF(C230&lt;$F$12,"Vencida",IF(204=$F$13,"Próxima","Pendiente"))))</f>
        <v/>
      </c>
      <c r="R230" s="62" t="n">
        <f aca="false">IF(AND(K230&gt;0,OR(O230="Sí",O230="Si")),1,0)</f>
        <v>0</v>
      </c>
      <c r="S230" s="62" t="n">
        <f aca="false">IF(AND(K230&gt;0,R230=0),1,0)</f>
        <v>0</v>
      </c>
    </row>
    <row r="231" customFormat="false" ht="15" hidden="false" customHeight="false" outlineLevel="0" collapsed="false">
      <c r="B231" s="71" t="str">
        <f aca="false">IF($F$6="Sí",N($C$11)+204,"")</f>
        <v/>
      </c>
      <c r="C231" s="72" t="str">
        <f aca="false">IF(OR($F$6&lt;&gt;"Sí",D231&lt;=0.5),"",EDATE($C$10,204))</f>
        <v/>
      </c>
      <c r="D231" s="41" t="n">
        <f aca="false">MAX(0,M230)</f>
        <v>0</v>
      </c>
      <c r="E231" s="41" t="n">
        <f aca="false">D231*$F$7</f>
        <v>0</v>
      </c>
      <c r="F231" s="41" t="n">
        <f aca="false">IF(D231&gt;0.5,N($C$15),0)</f>
        <v>0</v>
      </c>
      <c r="G231" s="41" t="n">
        <f aca="false">IF(AND(D231&gt;0.5,N($C$19)&gt;0,N(B231)&lt;=N($C$20)),D231*$F$8,0)</f>
        <v>0</v>
      </c>
      <c r="H231" s="41" t="n">
        <f aca="false">IF(D231&lt;=0.5,0,MIN(IF(N(I231)&gt;0,I231,$F$9),D231+E231+F231))</f>
        <v>0</v>
      </c>
      <c r="I231" s="77"/>
      <c r="J231" s="77"/>
      <c r="K231" s="41" t="n">
        <f aca="false">IF(D231&lt;=0.5,0,MIN(H231+N(J231),D231+E231+F231))</f>
        <v>0</v>
      </c>
      <c r="L231" s="41" t="n">
        <f aca="false">K231-E231-F231</f>
        <v>0</v>
      </c>
      <c r="M231" s="41" t="n">
        <f aca="false">D231-L231</f>
        <v>0</v>
      </c>
      <c r="N231" s="42" t="n">
        <f aca="false">K231-G231</f>
        <v>0</v>
      </c>
      <c r="O231" s="78"/>
      <c r="P231" s="79"/>
      <c r="Q231" s="16" t="str">
        <f aca="false">IF(K231=0,"",IF(R231=1,"Pagada",IF(C231&lt;$F$12,"Vencida",IF(205=$F$13,"Próxima","Pendiente"))))</f>
        <v/>
      </c>
      <c r="R231" s="62" t="n">
        <f aca="false">IF(AND(K231&gt;0,OR(O231="Sí",O231="Si")),1,0)</f>
        <v>0</v>
      </c>
      <c r="S231" s="62" t="n">
        <f aca="false">IF(AND(K231&gt;0,R231=0),1,0)</f>
        <v>0</v>
      </c>
    </row>
    <row r="232" customFormat="false" ht="15" hidden="false" customHeight="false" outlineLevel="0" collapsed="false">
      <c r="B232" s="71" t="str">
        <f aca="false">IF($F$6="Sí",N($C$11)+205,"")</f>
        <v/>
      </c>
      <c r="C232" s="72" t="str">
        <f aca="false">IF(OR($F$6&lt;&gt;"Sí",D232&lt;=0.5),"",EDATE($C$10,205))</f>
        <v/>
      </c>
      <c r="D232" s="41" t="n">
        <f aca="false">MAX(0,M231)</f>
        <v>0</v>
      </c>
      <c r="E232" s="41" t="n">
        <f aca="false">D232*$F$7</f>
        <v>0</v>
      </c>
      <c r="F232" s="41" t="n">
        <f aca="false">IF(D232&gt;0.5,N($C$15),0)</f>
        <v>0</v>
      </c>
      <c r="G232" s="41" t="n">
        <f aca="false">IF(AND(D232&gt;0.5,N($C$19)&gt;0,N(B232)&lt;=N($C$20)),D232*$F$8,0)</f>
        <v>0</v>
      </c>
      <c r="H232" s="41" t="n">
        <f aca="false">IF(D232&lt;=0.5,0,MIN(IF(N(I232)&gt;0,I232,$F$9),D232+E232+F232))</f>
        <v>0</v>
      </c>
      <c r="I232" s="77"/>
      <c r="J232" s="77"/>
      <c r="K232" s="41" t="n">
        <f aca="false">IF(D232&lt;=0.5,0,MIN(H232+N(J232),D232+E232+F232))</f>
        <v>0</v>
      </c>
      <c r="L232" s="41" t="n">
        <f aca="false">K232-E232-F232</f>
        <v>0</v>
      </c>
      <c r="M232" s="41" t="n">
        <f aca="false">D232-L232</f>
        <v>0</v>
      </c>
      <c r="N232" s="42" t="n">
        <f aca="false">K232-G232</f>
        <v>0</v>
      </c>
      <c r="O232" s="78"/>
      <c r="P232" s="79"/>
      <c r="Q232" s="16" t="str">
        <f aca="false">IF(K232=0,"",IF(R232=1,"Pagada",IF(C232&lt;$F$12,"Vencida",IF(206=$F$13,"Próxima","Pendiente"))))</f>
        <v/>
      </c>
      <c r="R232" s="62" t="n">
        <f aca="false">IF(AND(K232&gt;0,OR(O232="Sí",O232="Si")),1,0)</f>
        <v>0</v>
      </c>
      <c r="S232" s="62" t="n">
        <f aca="false">IF(AND(K232&gt;0,R232=0),1,0)</f>
        <v>0</v>
      </c>
    </row>
    <row r="233" customFormat="false" ht="15" hidden="false" customHeight="false" outlineLevel="0" collapsed="false">
      <c r="B233" s="71" t="str">
        <f aca="false">IF($F$6="Sí",N($C$11)+206,"")</f>
        <v/>
      </c>
      <c r="C233" s="72" t="str">
        <f aca="false">IF(OR($F$6&lt;&gt;"Sí",D233&lt;=0.5),"",EDATE($C$10,206))</f>
        <v/>
      </c>
      <c r="D233" s="41" t="n">
        <f aca="false">MAX(0,M232)</f>
        <v>0</v>
      </c>
      <c r="E233" s="41" t="n">
        <f aca="false">D233*$F$7</f>
        <v>0</v>
      </c>
      <c r="F233" s="41" t="n">
        <f aca="false">IF(D233&gt;0.5,N($C$15),0)</f>
        <v>0</v>
      </c>
      <c r="G233" s="41" t="n">
        <f aca="false">IF(AND(D233&gt;0.5,N($C$19)&gt;0,N(B233)&lt;=N($C$20)),D233*$F$8,0)</f>
        <v>0</v>
      </c>
      <c r="H233" s="41" t="n">
        <f aca="false">IF(D233&lt;=0.5,0,MIN(IF(N(I233)&gt;0,I233,$F$9),D233+E233+F233))</f>
        <v>0</v>
      </c>
      <c r="I233" s="77"/>
      <c r="J233" s="77"/>
      <c r="K233" s="41" t="n">
        <f aca="false">IF(D233&lt;=0.5,0,MIN(H233+N(J233),D233+E233+F233))</f>
        <v>0</v>
      </c>
      <c r="L233" s="41" t="n">
        <f aca="false">K233-E233-F233</f>
        <v>0</v>
      </c>
      <c r="M233" s="41" t="n">
        <f aca="false">D233-L233</f>
        <v>0</v>
      </c>
      <c r="N233" s="42" t="n">
        <f aca="false">K233-G233</f>
        <v>0</v>
      </c>
      <c r="O233" s="78"/>
      <c r="P233" s="79"/>
      <c r="Q233" s="16" t="str">
        <f aca="false">IF(K233=0,"",IF(R233=1,"Pagada",IF(C233&lt;$F$12,"Vencida",IF(207=$F$13,"Próxima","Pendiente"))))</f>
        <v/>
      </c>
      <c r="R233" s="62" t="n">
        <f aca="false">IF(AND(K233&gt;0,OR(O233="Sí",O233="Si")),1,0)</f>
        <v>0</v>
      </c>
      <c r="S233" s="62" t="n">
        <f aca="false">IF(AND(K233&gt;0,R233=0),1,0)</f>
        <v>0</v>
      </c>
    </row>
    <row r="234" customFormat="false" ht="15" hidden="false" customHeight="false" outlineLevel="0" collapsed="false">
      <c r="B234" s="71" t="str">
        <f aca="false">IF($F$6="Sí",N($C$11)+207,"")</f>
        <v/>
      </c>
      <c r="C234" s="72" t="str">
        <f aca="false">IF(OR($F$6&lt;&gt;"Sí",D234&lt;=0.5),"",EDATE($C$10,207))</f>
        <v/>
      </c>
      <c r="D234" s="41" t="n">
        <f aca="false">MAX(0,M233)</f>
        <v>0</v>
      </c>
      <c r="E234" s="41" t="n">
        <f aca="false">D234*$F$7</f>
        <v>0</v>
      </c>
      <c r="F234" s="41" t="n">
        <f aca="false">IF(D234&gt;0.5,N($C$15),0)</f>
        <v>0</v>
      </c>
      <c r="G234" s="41" t="n">
        <f aca="false">IF(AND(D234&gt;0.5,N($C$19)&gt;0,N(B234)&lt;=N($C$20)),D234*$F$8,0)</f>
        <v>0</v>
      </c>
      <c r="H234" s="41" t="n">
        <f aca="false">IF(D234&lt;=0.5,0,MIN(IF(N(I234)&gt;0,I234,$F$9),D234+E234+F234))</f>
        <v>0</v>
      </c>
      <c r="I234" s="77"/>
      <c r="J234" s="77"/>
      <c r="K234" s="41" t="n">
        <f aca="false">IF(D234&lt;=0.5,0,MIN(H234+N(J234),D234+E234+F234))</f>
        <v>0</v>
      </c>
      <c r="L234" s="41" t="n">
        <f aca="false">K234-E234-F234</f>
        <v>0</v>
      </c>
      <c r="M234" s="41" t="n">
        <f aca="false">D234-L234</f>
        <v>0</v>
      </c>
      <c r="N234" s="42" t="n">
        <f aca="false">K234-G234</f>
        <v>0</v>
      </c>
      <c r="O234" s="78"/>
      <c r="P234" s="79"/>
      <c r="Q234" s="16" t="str">
        <f aca="false">IF(K234=0,"",IF(R234=1,"Pagada",IF(C234&lt;$F$12,"Vencida",IF(208=$F$13,"Próxima","Pendiente"))))</f>
        <v/>
      </c>
      <c r="R234" s="62" t="n">
        <f aca="false">IF(AND(K234&gt;0,OR(O234="Sí",O234="Si")),1,0)</f>
        <v>0</v>
      </c>
      <c r="S234" s="62" t="n">
        <f aca="false">IF(AND(K234&gt;0,R234=0),1,0)</f>
        <v>0</v>
      </c>
    </row>
    <row r="235" customFormat="false" ht="15" hidden="false" customHeight="false" outlineLevel="0" collapsed="false">
      <c r="B235" s="71" t="str">
        <f aca="false">IF($F$6="Sí",N($C$11)+208,"")</f>
        <v/>
      </c>
      <c r="C235" s="72" t="str">
        <f aca="false">IF(OR($F$6&lt;&gt;"Sí",D235&lt;=0.5),"",EDATE($C$10,208))</f>
        <v/>
      </c>
      <c r="D235" s="41" t="n">
        <f aca="false">MAX(0,M234)</f>
        <v>0</v>
      </c>
      <c r="E235" s="41" t="n">
        <f aca="false">D235*$F$7</f>
        <v>0</v>
      </c>
      <c r="F235" s="41" t="n">
        <f aca="false">IF(D235&gt;0.5,N($C$15),0)</f>
        <v>0</v>
      </c>
      <c r="G235" s="41" t="n">
        <f aca="false">IF(AND(D235&gt;0.5,N($C$19)&gt;0,N(B235)&lt;=N($C$20)),D235*$F$8,0)</f>
        <v>0</v>
      </c>
      <c r="H235" s="41" t="n">
        <f aca="false">IF(D235&lt;=0.5,0,MIN(IF(N(I235)&gt;0,I235,$F$9),D235+E235+F235))</f>
        <v>0</v>
      </c>
      <c r="I235" s="77"/>
      <c r="J235" s="77"/>
      <c r="K235" s="41" t="n">
        <f aca="false">IF(D235&lt;=0.5,0,MIN(H235+N(J235),D235+E235+F235))</f>
        <v>0</v>
      </c>
      <c r="L235" s="41" t="n">
        <f aca="false">K235-E235-F235</f>
        <v>0</v>
      </c>
      <c r="M235" s="41" t="n">
        <f aca="false">D235-L235</f>
        <v>0</v>
      </c>
      <c r="N235" s="42" t="n">
        <f aca="false">K235-G235</f>
        <v>0</v>
      </c>
      <c r="O235" s="78"/>
      <c r="P235" s="79"/>
      <c r="Q235" s="16" t="str">
        <f aca="false">IF(K235=0,"",IF(R235=1,"Pagada",IF(C235&lt;$F$12,"Vencida",IF(209=$F$13,"Próxima","Pendiente"))))</f>
        <v/>
      </c>
      <c r="R235" s="62" t="n">
        <f aca="false">IF(AND(K235&gt;0,OR(O235="Sí",O235="Si")),1,0)</f>
        <v>0</v>
      </c>
      <c r="S235" s="62" t="n">
        <f aca="false">IF(AND(K235&gt;0,R235=0),1,0)</f>
        <v>0</v>
      </c>
    </row>
    <row r="236" customFormat="false" ht="15" hidden="false" customHeight="false" outlineLevel="0" collapsed="false">
      <c r="B236" s="71" t="str">
        <f aca="false">IF($F$6="Sí",N($C$11)+209,"")</f>
        <v/>
      </c>
      <c r="C236" s="72" t="str">
        <f aca="false">IF(OR($F$6&lt;&gt;"Sí",D236&lt;=0.5),"",EDATE($C$10,209))</f>
        <v/>
      </c>
      <c r="D236" s="41" t="n">
        <f aca="false">MAX(0,M235)</f>
        <v>0</v>
      </c>
      <c r="E236" s="41" t="n">
        <f aca="false">D236*$F$7</f>
        <v>0</v>
      </c>
      <c r="F236" s="41" t="n">
        <f aca="false">IF(D236&gt;0.5,N($C$15),0)</f>
        <v>0</v>
      </c>
      <c r="G236" s="41" t="n">
        <f aca="false">IF(AND(D236&gt;0.5,N($C$19)&gt;0,N(B236)&lt;=N($C$20)),D236*$F$8,0)</f>
        <v>0</v>
      </c>
      <c r="H236" s="41" t="n">
        <f aca="false">IF(D236&lt;=0.5,0,MIN(IF(N(I236)&gt;0,I236,$F$9),D236+E236+F236))</f>
        <v>0</v>
      </c>
      <c r="I236" s="77"/>
      <c r="J236" s="77"/>
      <c r="K236" s="41" t="n">
        <f aca="false">IF(D236&lt;=0.5,0,MIN(H236+N(J236),D236+E236+F236))</f>
        <v>0</v>
      </c>
      <c r="L236" s="41" t="n">
        <f aca="false">K236-E236-F236</f>
        <v>0</v>
      </c>
      <c r="M236" s="41" t="n">
        <f aca="false">D236-L236</f>
        <v>0</v>
      </c>
      <c r="N236" s="42" t="n">
        <f aca="false">K236-G236</f>
        <v>0</v>
      </c>
      <c r="O236" s="78"/>
      <c r="P236" s="79"/>
      <c r="Q236" s="16" t="str">
        <f aca="false">IF(K236=0,"",IF(R236=1,"Pagada",IF(C236&lt;$F$12,"Vencida",IF(210=$F$13,"Próxima","Pendiente"))))</f>
        <v/>
      </c>
      <c r="R236" s="62" t="n">
        <f aca="false">IF(AND(K236&gt;0,OR(O236="Sí",O236="Si")),1,0)</f>
        <v>0</v>
      </c>
      <c r="S236" s="62" t="n">
        <f aca="false">IF(AND(K236&gt;0,R236=0),1,0)</f>
        <v>0</v>
      </c>
    </row>
    <row r="237" customFormat="false" ht="15" hidden="false" customHeight="false" outlineLevel="0" collapsed="false">
      <c r="B237" s="71" t="str">
        <f aca="false">IF($F$6="Sí",N($C$11)+210,"")</f>
        <v/>
      </c>
      <c r="C237" s="72" t="str">
        <f aca="false">IF(OR($F$6&lt;&gt;"Sí",D237&lt;=0.5),"",EDATE($C$10,210))</f>
        <v/>
      </c>
      <c r="D237" s="41" t="n">
        <f aca="false">MAX(0,M236)</f>
        <v>0</v>
      </c>
      <c r="E237" s="41" t="n">
        <f aca="false">D237*$F$7</f>
        <v>0</v>
      </c>
      <c r="F237" s="41" t="n">
        <f aca="false">IF(D237&gt;0.5,N($C$15),0)</f>
        <v>0</v>
      </c>
      <c r="G237" s="41" t="n">
        <f aca="false">IF(AND(D237&gt;0.5,N($C$19)&gt;0,N(B237)&lt;=N($C$20)),D237*$F$8,0)</f>
        <v>0</v>
      </c>
      <c r="H237" s="41" t="n">
        <f aca="false">IF(D237&lt;=0.5,0,MIN(IF(N(I237)&gt;0,I237,$F$9),D237+E237+F237))</f>
        <v>0</v>
      </c>
      <c r="I237" s="77"/>
      <c r="J237" s="77"/>
      <c r="K237" s="41" t="n">
        <f aca="false">IF(D237&lt;=0.5,0,MIN(H237+N(J237),D237+E237+F237))</f>
        <v>0</v>
      </c>
      <c r="L237" s="41" t="n">
        <f aca="false">K237-E237-F237</f>
        <v>0</v>
      </c>
      <c r="M237" s="41" t="n">
        <f aca="false">D237-L237</f>
        <v>0</v>
      </c>
      <c r="N237" s="42" t="n">
        <f aca="false">K237-G237</f>
        <v>0</v>
      </c>
      <c r="O237" s="78"/>
      <c r="P237" s="79"/>
      <c r="Q237" s="16" t="str">
        <f aca="false">IF(K237=0,"",IF(R237=1,"Pagada",IF(C237&lt;$F$12,"Vencida",IF(211=$F$13,"Próxima","Pendiente"))))</f>
        <v/>
      </c>
      <c r="R237" s="62" t="n">
        <f aca="false">IF(AND(K237&gt;0,OR(O237="Sí",O237="Si")),1,0)</f>
        <v>0</v>
      </c>
      <c r="S237" s="62" t="n">
        <f aca="false">IF(AND(K237&gt;0,R237=0),1,0)</f>
        <v>0</v>
      </c>
    </row>
    <row r="238" customFormat="false" ht="15" hidden="false" customHeight="false" outlineLevel="0" collapsed="false">
      <c r="B238" s="71" t="str">
        <f aca="false">IF($F$6="Sí",N($C$11)+211,"")</f>
        <v/>
      </c>
      <c r="C238" s="72" t="str">
        <f aca="false">IF(OR($F$6&lt;&gt;"Sí",D238&lt;=0.5),"",EDATE($C$10,211))</f>
        <v/>
      </c>
      <c r="D238" s="41" t="n">
        <f aca="false">MAX(0,M237)</f>
        <v>0</v>
      </c>
      <c r="E238" s="41" t="n">
        <f aca="false">D238*$F$7</f>
        <v>0</v>
      </c>
      <c r="F238" s="41" t="n">
        <f aca="false">IF(D238&gt;0.5,N($C$15),0)</f>
        <v>0</v>
      </c>
      <c r="G238" s="41" t="n">
        <f aca="false">IF(AND(D238&gt;0.5,N($C$19)&gt;0,N(B238)&lt;=N($C$20)),D238*$F$8,0)</f>
        <v>0</v>
      </c>
      <c r="H238" s="41" t="n">
        <f aca="false">IF(D238&lt;=0.5,0,MIN(IF(N(I238)&gt;0,I238,$F$9),D238+E238+F238))</f>
        <v>0</v>
      </c>
      <c r="I238" s="77"/>
      <c r="J238" s="77"/>
      <c r="K238" s="41" t="n">
        <f aca="false">IF(D238&lt;=0.5,0,MIN(H238+N(J238),D238+E238+F238))</f>
        <v>0</v>
      </c>
      <c r="L238" s="41" t="n">
        <f aca="false">K238-E238-F238</f>
        <v>0</v>
      </c>
      <c r="M238" s="41" t="n">
        <f aca="false">D238-L238</f>
        <v>0</v>
      </c>
      <c r="N238" s="42" t="n">
        <f aca="false">K238-G238</f>
        <v>0</v>
      </c>
      <c r="O238" s="78"/>
      <c r="P238" s="79"/>
      <c r="Q238" s="16" t="str">
        <f aca="false">IF(K238=0,"",IF(R238=1,"Pagada",IF(C238&lt;$F$12,"Vencida",IF(212=$F$13,"Próxima","Pendiente"))))</f>
        <v/>
      </c>
      <c r="R238" s="62" t="n">
        <f aca="false">IF(AND(K238&gt;0,OR(O238="Sí",O238="Si")),1,0)</f>
        <v>0</v>
      </c>
      <c r="S238" s="62" t="n">
        <f aca="false">IF(AND(K238&gt;0,R238=0),1,0)</f>
        <v>0</v>
      </c>
    </row>
    <row r="239" customFormat="false" ht="15" hidden="false" customHeight="false" outlineLevel="0" collapsed="false">
      <c r="B239" s="71" t="str">
        <f aca="false">IF($F$6="Sí",N($C$11)+212,"")</f>
        <v/>
      </c>
      <c r="C239" s="72" t="str">
        <f aca="false">IF(OR($F$6&lt;&gt;"Sí",D239&lt;=0.5),"",EDATE($C$10,212))</f>
        <v/>
      </c>
      <c r="D239" s="41" t="n">
        <f aca="false">MAX(0,M238)</f>
        <v>0</v>
      </c>
      <c r="E239" s="41" t="n">
        <f aca="false">D239*$F$7</f>
        <v>0</v>
      </c>
      <c r="F239" s="41" t="n">
        <f aca="false">IF(D239&gt;0.5,N($C$15),0)</f>
        <v>0</v>
      </c>
      <c r="G239" s="41" t="n">
        <f aca="false">IF(AND(D239&gt;0.5,N($C$19)&gt;0,N(B239)&lt;=N($C$20)),D239*$F$8,0)</f>
        <v>0</v>
      </c>
      <c r="H239" s="41" t="n">
        <f aca="false">IF(D239&lt;=0.5,0,MIN(IF(N(I239)&gt;0,I239,$F$9),D239+E239+F239))</f>
        <v>0</v>
      </c>
      <c r="I239" s="77"/>
      <c r="J239" s="77"/>
      <c r="K239" s="41" t="n">
        <f aca="false">IF(D239&lt;=0.5,0,MIN(H239+N(J239),D239+E239+F239))</f>
        <v>0</v>
      </c>
      <c r="L239" s="41" t="n">
        <f aca="false">K239-E239-F239</f>
        <v>0</v>
      </c>
      <c r="M239" s="41" t="n">
        <f aca="false">D239-L239</f>
        <v>0</v>
      </c>
      <c r="N239" s="42" t="n">
        <f aca="false">K239-G239</f>
        <v>0</v>
      </c>
      <c r="O239" s="78"/>
      <c r="P239" s="79"/>
      <c r="Q239" s="16" t="str">
        <f aca="false">IF(K239=0,"",IF(R239=1,"Pagada",IF(C239&lt;$F$12,"Vencida",IF(213=$F$13,"Próxima","Pendiente"))))</f>
        <v/>
      </c>
      <c r="R239" s="62" t="n">
        <f aca="false">IF(AND(K239&gt;0,OR(O239="Sí",O239="Si")),1,0)</f>
        <v>0</v>
      </c>
      <c r="S239" s="62" t="n">
        <f aca="false">IF(AND(K239&gt;0,R239=0),1,0)</f>
        <v>0</v>
      </c>
    </row>
    <row r="240" customFormat="false" ht="15" hidden="false" customHeight="false" outlineLevel="0" collapsed="false">
      <c r="B240" s="71" t="str">
        <f aca="false">IF($F$6="Sí",N($C$11)+213,"")</f>
        <v/>
      </c>
      <c r="C240" s="72" t="str">
        <f aca="false">IF(OR($F$6&lt;&gt;"Sí",D240&lt;=0.5),"",EDATE($C$10,213))</f>
        <v/>
      </c>
      <c r="D240" s="41" t="n">
        <f aca="false">MAX(0,M239)</f>
        <v>0</v>
      </c>
      <c r="E240" s="41" t="n">
        <f aca="false">D240*$F$7</f>
        <v>0</v>
      </c>
      <c r="F240" s="41" t="n">
        <f aca="false">IF(D240&gt;0.5,N($C$15),0)</f>
        <v>0</v>
      </c>
      <c r="G240" s="41" t="n">
        <f aca="false">IF(AND(D240&gt;0.5,N($C$19)&gt;0,N(B240)&lt;=N($C$20)),D240*$F$8,0)</f>
        <v>0</v>
      </c>
      <c r="H240" s="41" t="n">
        <f aca="false">IF(D240&lt;=0.5,0,MIN(IF(N(I240)&gt;0,I240,$F$9),D240+E240+F240))</f>
        <v>0</v>
      </c>
      <c r="I240" s="77"/>
      <c r="J240" s="77"/>
      <c r="K240" s="41" t="n">
        <f aca="false">IF(D240&lt;=0.5,0,MIN(H240+N(J240),D240+E240+F240))</f>
        <v>0</v>
      </c>
      <c r="L240" s="41" t="n">
        <f aca="false">K240-E240-F240</f>
        <v>0</v>
      </c>
      <c r="M240" s="41" t="n">
        <f aca="false">D240-L240</f>
        <v>0</v>
      </c>
      <c r="N240" s="42" t="n">
        <f aca="false">K240-G240</f>
        <v>0</v>
      </c>
      <c r="O240" s="78"/>
      <c r="P240" s="79"/>
      <c r="Q240" s="16" t="str">
        <f aca="false">IF(K240=0,"",IF(R240=1,"Pagada",IF(C240&lt;$F$12,"Vencida",IF(214=$F$13,"Próxima","Pendiente"))))</f>
        <v/>
      </c>
      <c r="R240" s="62" t="n">
        <f aca="false">IF(AND(K240&gt;0,OR(O240="Sí",O240="Si")),1,0)</f>
        <v>0</v>
      </c>
      <c r="S240" s="62" t="n">
        <f aca="false">IF(AND(K240&gt;0,R240=0),1,0)</f>
        <v>0</v>
      </c>
    </row>
    <row r="241" customFormat="false" ht="15" hidden="false" customHeight="false" outlineLevel="0" collapsed="false">
      <c r="B241" s="71" t="str">
        <f aca="false">IF($F$6="Sí",N($C$11)+214,"")</f>
        <v/>
      </c>
      <c r="C241" s="72" t="str">
        <f aca="false">IF(OR($F$6&lt;&gt;"Sí",D241&lt;=0.5),"",EDATE($C$10,214))</f>
        <v/>
      </c>
      <c r="D241" s="41" t="n">
        <f aca="false">MAX(0,M240)</f>
        <v>0</v>
      </c>
      <c r="E241" s="41" t="n">
        <f aca="false">D241*$F$7</f>
        <v>0</v>
      </c>
      <c r="F241" s="41" t="n">
        <f aca="false">IF(D241&gt;0.5,N($C$15),0)</f>
        <v>0</v>
      </c>
      <c r="G241" s="41" t="n">
        <f aca="false">IF(AND(D241&gt;0.5,N($C$19)&gt;0,N(B241)&lt;=N($C$20)),D241*$F$8,0)</f>
        <v>0</v>
      </c>
      <c r="H241" s="41" t="n">
        <f aca="false">IF(D241&lt;=0.5,0,MIN(IF(N(I241)&gt;0,I241,$F$9),D241+E241+F241))</f>
        <v>0</v>
      </c>
      <c r="I241" s="77"/>
      <c r="J241" s="77"/>
      <c r="K241" s="41" t="n">
        <f aca="false">IF(D241&lt;=0.5,0,MIN(H241+N(J241),D241+E241+F241))</f>
        <v>0</v>
      </c>
      <c r="L241" s="41" t="n">
        <f aca="false">K241-E241-F241</f>
        <v>0</v>
      </c>
      <c r="M241" s="41" t="n">
        <f aca="false">D241-L241</f>
        <v>0</v>
      </c>
      <c r="N241" s="42" t="n">
        <f aca="false">K241-G241</f>
        <v>0</v>
      </c>
      <c r="O241" s="78"/>
      <c r="P241" s="79"/>
      <c r="Q241" s="16" t="str">
        <f aca="false">IF(K241=0,"",IF(R241=1,"Pagada",IF(C241&lt;$F$12,"Vencida",IF(215=$F$13,"Próxima","Pendiente"))))</f>
        <v/>
      </c>
      <c r="R241" s="62" t="n">
        <f aca="false">IF(AND(K241&gt;0,OR(O241="Sí",O241="Si")),1,0)</f>
        <v>0</v>
      </c>
      <c r="S241" s="62" t="n">
        <f aca="false">IF(AND(K241&gt;0,R241=0),1,0)</f>
        <v>0</v>
      </c>
    </row>
    <row r="242" customFormat="false" ht="15" hidden="false" customHeight="false" outlineLevel="0" collapsed="false">
      <c r="B242" s="71" t="str">
        <f aca="false">IF($F$6="Sí",N($C$11)+215,"")</f>
        <v/>
      </c>
      <c r="C242" s="72" t="str">
        <f aca="false">IF(OR($F$6&lt;&gt;"Sí",D242&lt;=0.5),"",EDATE($C$10,215))</f>
        <v/>
      </c>
      <c r="D242" s="41" t="n">
        <f aca="false">MAX(0,M241)</f>
        <v>0</v>
      </c>
      <c r="E242" s="41" t="n">
        <f aca="false">D242*$F$7</f>
        <v>0</v>
      </c>
      <c r="F242" s="41" t="n">
        <f aca="false">IF(D242&gt;0.5,N($C$15),0)</f>
        <v>0</v>
      </c>
      <c r="G242" s="41" t="n">
        <f aca="false">IF(AND(D242&gt;0.5,N($C$19)&gt;0,N(B242)&lt;=N($C$20)),D242*$F$8,0)</f>
        <v>0</v>
      </c>
      <c r="H242" s="41" t="n">
        <f aca="false">IF(D242&lt;=0.5,0,MIN(IF(N(I242)&gt;0,I242,$F$9),D242+E242+F242))</f>
        <v>0</v>
      </c>
      <c r="I242" s="77"/>
      <c r="J242" s="77"/>
      <c r="K242" s="41" t="n">
        <f aca="false">IF(D242&lt;=0.5,0,MIN(H242+N(J242),D242+E242+F242))</f>
        <v>0</v>
      </c>
      <c r="L242" s="41" t="n">
        <f aca="false">K242-E242-F242</f>
        <v>0</v>
      </c>
      <c r="M242" s="41" t="n">
        <f aca="false">D242-L242</f>
        <v>0</v>
      </c>
      <c r="N242" s="42" t="n">
        <f aca="false">K242-G242</f>
        <v>0</v>
      </c>
      <c r="O242" s="78"/>
      <c r="P242" s="79"/>
      <c r="Q242" s="16" t="str">
        <f aca="false">IF(K242=0,"",IF(R242=1,"Pagada",IF(C242&lt;$F$12,"Vencida",IF(216=$F$13,"Próxima","Pendiente"))))</f>
        <v/>
      </c>
      <c r="R242" s="62" t="n">
        <f aca="false">IF(AND(K242&gt;0,OR(O242="Sí",O242="Si")),1,0)</f>
        <v>0</v>
      </c>
      <c r="S242" s="62" t="n">
        <f aca="false">IF(AND(K242&gt;0,R242=0),1,0)</f>
        <v>0</v>
      </c>
    </row>
    <row r="243" customFormat="false" ht="15" hidden="false" customHeight="false" outlineLevel="0" collapsed="false">
      <c r="B243" s="71" t="str">
        <f aca="false">IF($F$6="Sí",N($C$11)+216,"")</f>
        <v/>
      </c>
      <c r="C243" s="72" t="str">
        <f aca="false">IF(OR($F$6&lt;&gt;"Sí",D243&lt;=0.5),"",EDATE($C$10,216))</f>
        <v/>
      </c>
      <c r="D243" s="41" t="n">
        <f aca="false">MAX(0,M242)</f>
        <v>0</v>
      </c>
      <c r="E243" s="41" t="n">
        <f aca="false">D243*$F$7</f>
        <v>0</v>
      </c>
      <c r="F243" s="41" t="n">
        <f aca="false">IF(D243&gt;0.5,N($C$15),0)</f>
        <v>0</v>
      </c>
      <c r="G243" s="41" t="n">
        <f aca="false">IF(AND(D243&gt;0.5,N($C$19)&gt;0,N(B243)&lt;=N($C$20)),D243*$F$8,0)</f>
        <v>0</v>
      </c>
      <c r="H243" s="41" t="n">
        <f aca="false">IF(D243&lt;=0.5,0,MIN(IF(N(I243)&gt;0,I243,$F$9),D243+E243+F243))</f>
        <v>0</v>
      </c>
      <c r="I243" s="77"/>
      <c r="J243" s="77"/>
      <c r="K243" s="41" t="n">
        <f aca="false">IF(D243&lt;=0.5,0,MIN(H243+N(J243),D243+E243+F243))</f>
        <v>0</v>
      </c>
      <c r="L243" s="41" t="n">
        <f aca="false">K243-E243-F243</f>
        <v>0</v>
      </c>
      <c r="M243" s="41" t="n">
        <f aca="false">D243-L243</f>
        <v>0</v>
      </c>
      <c r="N243" s="42" t="n">
        <f aca="false">K243-G243</f>
        <v>0</v>
      </c>
      <c r="O243" s="78"/>
      <c r="P243" s="79"/>
      <c r="Q243" s="16" t="str">
        <f aca="false">IF(K243=0,"",IF(R243=1,"Pagada",IF(C243&lt;$F$12,"Vencida",IF(217=$F$13,"Próxima","Pendiente"))))</f>
        <v/>
      </c>
      <c r="R243" s="62" t="n">
        <f aca="false">IF(AND(K243&gt;0,OR(O243="Sí",O243="Si")),1,0)</f>
        <v>0</v>
      </c>
      <c r="S243" s="62" t="n">
        <f aca="false">IF(AND(K243&gt;0,R243=0),1,0)</f>
        <v>0</v>
      </c>
    </row>
    <row r="244" customFormat="false" ht="15" hidden="false" customHeight="false" outlineLevel="0" collapsed="false">
      <c r="B244" s="71" t="str">
        <f aca="false">IF($F$6="Sí",N($C$11)+217,"")</f>
        <v/>
      </c>
      <c r="C244" s="72" t="str">
        <f aca="false">IF(OR($F$6&lt;&gt;"Sí",D244&lt;=0.5),"",EDATE($C$10,217))</f>
        <v/>
      </c>
      <c r="D244" s="41" t="n">
        <f aca="false">MAX(0,M243)</f>
        <v>0</v>
      </c>
      <c r="E244" s="41" t="n">
        <f aca="false">D244*$F$7</f>
        <v>0</v>
      </c>
      <c r="F244" s="41" t="n">
        <f aca="false">IF(D244&gt;0.5,N($C$15),0)</f>
        <v>0</v>
      </c>
      <c r="G244" s="41" t="n">
        <f aca="false">IF(AND(D244&gt;0.5,N($C$19)&gt;0,N(B244)&lt;=N($C$20)),D244*$F$8,0)</f>
        <v>0</v>
      </c>
      <c r="H244" s="41" t="n">
        <f aca="false">IF(D244&lt;=0.5,0,MIN(IF(N(I244)&gt;0,I244,$F$9),D244+E244+F244))</f>
        <v>0</v>
      </c>
      <c r="I244" s="77"/>
      <c r="J244" s="77"/>
      <c r="K244" s="41" t="n">
        <f aca="false">IF(D244&lt;=0.5,0,MIN(H244+N(J244),D244+E244+F244))</f>
        <v>0</v>
      </c>
      <c r="L244" s="41" t="n">
        <f aca="false">K244-E244-F244</f>
        <v>0</v>
      </c>
      <c r="M244" s="41" t="n">
        <f aca="false">D244-L244</f>
        <v>0</v>
      </c>
      <c r="N244" s="42" t="n">
        <f aca="false">K244-G244</f>
        <v>0</v>
      </c>
      <c r="O244" s="78"/>
      <c r="P244" s="79"/>
      <c r="Q244" s="16" t="str">
        <f aca="false">IF(K244=0,"",IF(R244=1,"Pagada",IF(C244&lt;$F$12,"Vencida",IF(218=$F$13,"Próxima","Pendiente"))))</f>
        <v/>
      </c>
      <c r="R244" s="62" t="n">
        <f aca="false">IF(AND(K244&gt;0,OR(O244="Sí",O244="Si")),1,0)</f>
        <v>0</v>
      </c>
      <c r="S244" s="62" t="n">
        <f aca="false">IF(AND(K244&gt;0,R244=0),1,0)</f>
        <v>0</v>
      </c>
    </row>
    <row r="245" customFormat="false" ht="15" hidden="false" customHeight="false" outlineLevel="0" collapsed="false">
      <c r="B245" s="71" t="str">
        <f aca="false">IF($F$6="Sí",N($C$11)+218,"")</f>
        <v/>
      </c>
      <c r="C245" s="72" t="str">
        <f aca="false">IF(OR($F$6&lt;&gt;"Sí",D245&lt;=0.5),"",EDATE($C$10,218))</f>
        <v/>
      </c>
      <c r="D245" s="41" t="n">
        <f aca="false">MAX(0,M244)</f>
        <v>0</v>
      </c>
      <c r="E245" s="41" t="n">
        <f aca="false">D245*$F$7</f>
        <v>0</v>
      </c>
      <c r="F245" s="41" t="n">
        <f aca="false">IF(D245&gt;0.5,N($C$15),0)</f>
        <v>0</v>
      </c>
      <c r="G245" s="41" t="n">
        <f aca="false">IF(AND(D245&gt;0.5,N($C$19)&gt;0,N(B245)&lt;=N($C$20)),D245*$F$8,0)</f>
        <v>0</v>
      </c>
      <c r="H245" s="41" t="n">
        <f aca="false">IF(D245&lt;=0.5,0,MIN(IF(N(I245)&gt;0,I245,$F$9),D245+E245+F245))</f>
        <v>0</v>
      </c>
      <c r="I245" s="77"/>
      <c r="J245" s="77"/>
      <c r="K245" s="41" t="n">
        <f aca="false">IF(D245&lt;=0.5,0,MIN(H245+N(J245),D245+E245+F245))</f>
        <v>0</v>
      </c>
      <c r="L245" s="41" t="n">
        <f aca="false">K245-E245-F245</f>
        <v>0</v>
      </c>
      <c r="M245" s="41" t="n">
        <f aca="false">D245-L245</f>
        <v>0</v>
      </c>
      <c r="N245" s="42" t="n">
        <f aca="false">K245-G245</f>
        <v>0</v>
      </c>
      <c r="O245" s="78"/>
      <c r="P245" s="79"/>
      <c r="Q245" s="16" t="str">
        <f aca="false">IF(K245=0,"",IF(R245=1,"Pagada",IF(C245&lt;$F$12,"Vencida",IF(219=$F$13,"Próxima","Pendiente"))))</f>
        <v/>
      </c>
      <c r="R245" s="62" t="n">
        <f aca="false">IF(AND(K245&gt;0,OR(O245="Sí",O245="Si")),1,0)</f>
        <v>0</v>
      </c>
      <c r="S245" s="62" t="n">
        <f aca="false">IF(AND(K245&gt;0,R245=0),1,0)</f>
        <v>0</v>
      </c>
    </row>
    <row r="246" customFormat="false" ht="15" hidden="false" customHeight="false" outlineLevel="0" collapsed="false">
      <c r="B246" s="71" t="str">
        <f aca="false">IF($F$6="Sí",N($C$11)+219,"")</f>
        <v/>
      </c>
      <c r="C246" s="72" t="str">
        <f aca="false">IF(OR($F$6&lt;&gt;"Sí",D246&lt;=0.5),"",EDATE($C$10,219))</f>
        <v/>
      </c>
      <c r="D246" s="41" t="n">
        <f aca="false">MAX(0,M245)</f>
        <v>0</v>
      </c>
      <c r="E246" s="41" t="n">
        <f aca="false">D246*$F$7</f>
        <v>0</v>
      </c>
      <c r="F246" s="41" t="n">
        <f aca="false">IF(D246&gt;0.5,N($C$15),0)</f>
        <v>0</v>
      </c>
      <c r="G246" s="41" t="n">
        <f aca="false">IF(AND(D246&gt;0.5,N($C$19)&gt;0,N(B246)&lt;=N($C$20)),D246*$F$8,0)</f>
        <v>0</v>
      </c>
      <c r="H246" s="41" t="n">
        <f aca="false">IF(D246&lt;=0.5,0,MIN(IF(N(I246)&gt;0,I246,$F$9),D246+E246+F246))</f>
        <v>0</v>
      </c>
      <c r="I246" s="77"/>
      <c r="J246" s="77"/>
      <c r="K246" s="41" t="n">
        <f aca="false">IF(D246&lt;=0.5,0,MIN(H246+N(J246),D246+E246+F246))</f>
        <v>0</v>
      </c>
      <c r="L246" s="41" t="n">
        <f aca="false">K246-E246-F246</f>
        <v>0</v>
      </c>
      <c r="M246" s="41" t="n">
        <f aca="false">D246-L246</f>
        <v>0</v>
      </c>
      <c r="N246" s="42" t="n">
        <f aca="false">K246-G246</f>
        <v>0</v>
      </c>
      <c r="O246" s="78"/>
      <c r="P246" s="79"/>
      <c r="Q246" s="16" t="str">
        <f aca="false">IF(K246=0,"",IF(R246=1,"Pagada",IF(C246&lt;$F$12,"Vencida",IF(220=$F$13,"Próxima","Pendiente"))))</f>
        <v/>
      </c>
      <c r="R246" s="62" t="n">
        <f aca="false">IF(AND(K246&gt;0,OR(O246="Sí",O246="Si")),1,0)</f>
        <v>0</v>
      </c>
      <c r="S246" s="62" t="n">
        <f aca="false">IF(AND(K246&gt;0,R246=0),1,0)</f>
        <v>0</v>
      </c>
    </row>
    <row r="247" customFormat="false" ht="15" hidden="false" customHeight="false" outlineLevel="0" collapsed="false">
      <c r="B247" s="71" t="str">
        <f aca="false">IF($F$6="Sí",N($C$11)+220,"")</f>
        <v/>
      </c>
      <c r="C247" s="72" t="str">
        <f aca="false">IF(OR($F$6&lt;&gt;"Sí",D247&lt;=0.5),"",EDATE($C$10,220))</f>
        <v/>
      </c>
      <c r="D247" s="41" t="n">
        <f aca="false">MAX(0,M246)</f>
        <v>0</v>
      </c>
      <c r="E247" s="41" t="n">
        <f aca="false">D247*$F$7</f>
        <v>0</v>
      </c>
      <c r="F247" s="41" t="n">
        <f aca="false">IF(D247&gt;0.5,N($C$15),0)</f>
        <v>0</v>
      </c>
      <c r="G247" s="41" t="n">
        <f aca="false">IF(AND(D247&gt;0.5,N($C$19)&gt;0,N(B247)&lt;=N($C$20)),D247*$F$8,0)</f>
        <v>0</v>
      </c>
      <c r="H247" s="41" t="n">
        <f aca="false">IF(D247&lt;=0.5,0,MIN(IF(N(I247)&gt;0,I247,$F$9),D247+E247+F247))</f>
        <v>0</v>
      </c>
      <c r="I247" s="77"/>
      <c r="J247" s="77"/>
      <c r="K247" s="41" t="n">
        <f aca="false">IF(D247&lt;=0.5,0,MIN(H247+N(J247),D247+E247+F247))</f>
        <v>0</v>
      </c>
      <c r="L247" s="41" t="n">
        <f aca="false">K247-E247-F247</f>
        <v>0</v>
      </c>
      <c r="M247" s="41" t="n">
        <f aca="false">D247-L247</f>
        <v>0</v>
      </c>
      <c r="N247" s="42" t="n">
        <f aca="false">K247-G247</f>
        <v>0</v>
      </c>
      <c r="O247" s="78"/>
      <c r="P247" s="79"/>
      <c r="Q247" s="16" t="str">
        <f aca="false">IF(K247=0,"",IF(R247=1,"Pagada",IF(C247&lt;$F$12,"Vencida",IF(221=$F$13,"Próxima","Pendiente"))))</f>
        <v/>
      </c>
      <c r="R247" s="62" t="n">
        <f aca="false">IF(AND(K247&gt;0,OR(O247="Sí",O247="Si")),1,0)</f>
        <v>0</v>
      </c>
      <c r="S247" s="62" t="n">
        <f aca="false">IF(AND(K247&gt;0,R247=0),1,0)</f>
        <v>0</v>
      </c>
    </row>
    <row r="248" customFormat="false" ht="15" hidden="false" customHeight="false" outlineLevel="0" collapsed="false">
      <c r="B248" s="71" t="str">
        <f aca="false">IF($F$6="Sí",N($C$11)+221,"")</f>
        <v/>
      </c>
      <c r="C248" s="72" t="str">
        <f aca="false">IF(OR($F$6&lt;&gt;"Sí",D248&lt;=0.5),"",EDATE($C$10,221))</f>
        <v/>
      </c>
      <c r="D248" s="41" t="n">
        <f aca="false">MAX(0,M247)</f>
        <v>0</v>
      </c>
      <c r="E248" s="41" t="n">
        <f aca="false">D248*$F$7</f>
        <v>0</v>
      </c>
      <c r="F248" s="41" t="n">
        <f aca="false">IF(D248&gt;0.5,N($C$15),0)</f>
        <v>0</v>
      </c>
      <c r="G248" s="41" t="n">
        <f aca="false">IF(AND(D248&gt;0.5,N($C$19)&gt;0,N(B248)&lt;=N($C$20)),D248*$F$8,0)</f>
        <v>0</v>
      </c>
      <c r="H248" s="41" t="n">
        <f aca="false">IF(D248&lt;=0.5,0,MIN(IF(N(I248)&gt;0,I248,$F$9),D248+E248+F248))</f>
        <v>0</v>
      </c>
      <c r="I248" s="77"/>
      <c r="J248" s="77"/>
      <c r="K248" s="41" t="n">
        <f aca="false">IF(D248&lt;=0.5,0,MIN(H248+N(J248),D248+E248+F248))</f>
        <v>0</v>
      </c>
      <c r="L248" s="41" t="n">
        <f aca="false">K248-E248-F248</f>
        <v>0</v>
      </c>
      <c r="M248" s="41" t="n">
        <f aca="false">D248-L248</f>
        <v>0</v>
      </c>
      <c r="N248" s="42" t="n">
        <f aca="false">K248-G248</f>
        <v>0</v>
      </c>
      <c r="O248" s="78"/>
      <c r="P248" s="79"/>
      <c r="Q248" s="16" t="str">
        <f aca="false">IF(K248=0,"",IF(R248=1,"Pagada",IF(C248&lt;$F$12,"Vencida",IF(222=$F$13,"Próxima","Pendiente"))))</f>
        <v/>
      </c>
      <c r="R248" s="62" t="n">
        <f aca="false">IF(AND(K248&gt;0,OR(O248="Sí",O248="Si")),1,0)</f>
        <v>0</v>
      </c>
      <c r="S248" s="62" t="n">
        <f aca="false">IF(AND(K248&gt;0,R248=0),1,0)</f>
        <v>0</v>
      </c>
    </row>
    <row r="249" customFormat="false" ht="15" hidden="false" customHeight="false" outlineLevel="0" collapsed="false">
      <c r="B249" s="71" t="str">
        <f aca="false">IF($F$6="Sí",N($C$11)+222,"")</f>
        <v/>
      </c>
      <c r="C249" s="72" t="str">
        <f aca="false">IF(OR($F$6&lt;&gt;"Sí",D249&lt;=0.5),"",EDATE($C$10,222))</f>
        <v/>
      </c>
      <c r="D249" s="41" t="n">
        <f aca="false">MAX(0,M248)</f>
        <v>0</v>
      </c>
      <c r="E249" s="41" t="n">
        <f aca="false">D249*$F$7</f>
        <v>0</v>
      </c>
      <c r="F249" s="41" t="n">
        <f aca="false">IF(D249&gt;0.5,N($C$15),0)</f>
        <v>0</v>
      </c>
      <c r="G249" s="41" t="n">
        <f aca="false">IF(AND(D249&gt;0.5,N($C$19)&gt;0,N(B249)&lt;=N($C$20)),D249*$F$8,0)</f>
        <v>0</v>
      </c>
      <c r="H249" s="41" t="n">
        <f aca="false">IF(D249&lt;=0.5,0,MIN(IF(N(I249)&gt;0,I249,$F$9),D249+E249+F249))</f>
        <v>0</v>
      </c>
      <c r="I249" s="77"/>
      <c r="J249" s="77"/>
      <c r="K249" s="41" t="n">
        <f aca="false">IF(D249&lt;=0.5,0,MIN(H249+N(J249),D249+E249+F249))</f>
        <v>0</v>
      </c>
      <c r="L249" s="41" t="n">
        <f aca="false">K249-E249-F249</f>
        <v>0</v>
      </c>
      <c r="M249" s="41" t="n">
        <f aca="false">D249-L249</f>
        <v>0</v>
      </c>
      <c r="N249" s="42" t="n">
        <f aca="false">K249-G249</f>
        <v>0</v>
      </c>
      <c r="O249" s="78"/>
      <c r="P249" s="79"/>
      <c r="Q249" s="16" t="str">
        <f aca="false">IF(K249=0,"",IF(R249=1,"Pagada",IF(C249&lt;$F$12,"Vencida",IF(223=$F$13,"Próxima","Pendiente"))))</f>
        <v/>
      </c>
      <c r="R249" s="62" t="n">
        <f aca="false">IF(AND(K249&gt;0,OR(O249="Sí",O249="Si")),1,0)</f>
        <v>0</v>
      </c>
      <c r="S249" s="62" t="n">
        <f aca="false">IF(AND(K249&gt;0,R249=0),1,0)</f>
        <v>0</v>
      </c>
    </row>
    <row r="250" customFormat="false" ht="15" hidden="false" customHeight="false" outlineLevel="0" collapsed="false">
      <c r="B250" s="71" t="str">
        <f aca="false">IF($F$6="Sí",N($C$11)+223,"")</f>
        <v/>
      </c>
      <c r="C250" s="72" t="str">
        <f aca="false">IF(OR($F$6&lt;&gt;"Sí",D250&lt;=0.5),"",EDATE($C$10,223))</f>
        <v/>
      </c>
      <c r="D250" s="41" t="n">
        <f aca="false">MAX(0,M249)</f>
        <v>0</v>
      </c>
      <c r="E250" s="41" t="n">
        <f aca="false">D250*$F$7</f>
        <v>0</v>
      </c>
      <c r="F250" s="41" t="n">
        <f aca="false">IF(D250&gt;0.5,N($C$15),0)</f>
        <v>0</v>
      </c>
      <c r="G250" s="41" t="n">
        <f aca="false">IF(AND(D250&gt;0.5,N($C$19)&gt;0,N(B250)&lt;=N($C$20)),D250*$F$8,0)</f>
        <v>0</v>
      </c>
      <c r="H250" s="41" t="n">
        <f aca="false">IF(D250&lt;=0.5,0,MIN(IF(N(I250)&gt;0,I250,$F$9),D250+E250+F250))</f>
        <v>0</v>
      </c>
      <c r="I250" s="77"/>
      <c r="J250" s="77"/>
      <c r="K250" s="41" t="n">
        <f aca="false">IF(D250&lt;=0.5,0,MIN(H250+N(J250),D250+E250+F250))</f>
        <v>0</v>
      </c>
      <c r="L250" s="41" t="n">
        <f aca="false">K250-E250-F250</f>
        <v>0</v>
      </c>
      <c r="M250" s="41" t="n">
        <f aca="false">D250-L250</f>
        <v>0</v>
      </c>
      <c r="N250" s="42" t="n">
        <f aca="false">K250-G250</f>
        <v>0</v>
      </c>
      <c r="O250" s="78"/>
      <c r="P250" s="79"/>
      <c r="Q250" s="16" t="str">
        <f aca="false">IF(K250=0,"",IF(R250=1,"Pagada",IF(C250&lt;$F$12,"Vencida",IF(224=$F$13,"Próxima","Pendiente"))))</f>
        <v/>
      </c>
      <c r="R250" s="62" t="n">
        <f aca="false">IF(AND(K250&gt;0,OR(O250="Sí",O250="Si")),1,0)</f>
        <v>0</v>
      </c>
      <c r="S250" s="62" t="n">
        <f aca="false">IF(AND(K250&gt;0,R250=0),1,0)</f>
        <v>0</v>
      </c>
    </row>
    <row r="251" customFormat="false" ht="15" hidden="false" customHeight="false" outlineLevel="0" collapsed="false">
      <c r="B251" s="71" t="str">
        <f aca="false">IF($F$6="Sí",N($C$11)+224,"")</f>
        <v/>
      </c>
      <c r="C251" s="72" t="str">
        <f aca="false">IF(OR($F$6&lt;&gt;"Sí",D251&lt;=0.5),"",EDATE($C$10,224))</f>
        <v/>
      </c>
      <c r="D251" s="41" t="n">
        <f aca="false">MAX(0,M250)</f>
        <v>0</v>
      </c>
      <c r="E251" s="41" t="n">
        <f aca="false">D251*$F$7</f>
        <v>0</v>
      </c>
      <c r="F251" s="41" t="n">
        <f aca="false">IF(D251&gt;0.5,N($C$15),0)</f>
        <v>0</v>
      </c>
      <c r="G251" s="41" t="n">
        <f aca="false">IF(AND(D251&gt;0.5,N($C$19)&gt;0,N(B251)&lt;=N($C$20)),D251*$F$8,0)</f>
        <v>0</v>
      </c>
      <c r="H251" s="41" t="n">
        <f aca="false">IF(D251&lt;=0.5,0,MIN(IF(N(I251)&gt;0,I251,$F$9),D251+E251+F251))</f>
        <v>0</v>
      </c>
      <c r="I251" s="77"/>
      <c r="J251" s="77"/>
      <c r="K251" s="41" t="n">
        <f aca="false">IF(D251&lt;=0.5,0,MIN(H251+N(J251),D251+E251+F251))</f>
        <v>0</v>
      </c>
      <c r="L251" s="41" t="n">
        <f aca="false">K251-E251-F251</f>
        <v>0</v>
      </c>
      <c r="M251" s="41" t="n">
        <f aca="false">D251-L251</f>
        <v>0</v>
      </c>
      <c r="N251" s="42" t="n">
        <f aca="false">K251-G251</f>
        <v>0</v>
      </c>
      <c r="O251" s="78"/>
      <c r="P251" s="79"/>
      <c r="Q251" s="16" t="str">
        <f aca="false">IF(K251=0,"",IF(R251=1,"Pagada",IF(C251&lt;$F$12,"Vencida",IF(225=$F$13,"Próxima","Pendiente"))))</f>
        <v/>
      </c>
      <c r="R251" s="62" t="n">
        <f aca="false">IF(AND(K251&gt;0,OR(O251="Sí",O251="Si")),1,0)</f>
        <v>0</v>
      </c>
      <c r="S251" s="62" t="n">
        <f aca="false">IF(AND(K251&gt;0,R251=0),1,0)</f>
        <v>0</v>
      </c>
    </row>
    <row r="252" customFormat="false" ht="15" hidden="false" customHeight="false" outlineLevel="0" collapsed="false">
      <c r="B252" s="71" t="str">
        <f aca="false">IF($F$6="Sí",N($C$11)+225,"")</f>
        <v/>
      </c>
      <c r="C252" s="72" t="str">
        <f aca="false">IF(OR($F$6&lt;&gt;"Sí",D252&lt;=0.5),"",EDATE($C$10,225))</f>
        <v/>
      </c>
      <c r="D252" s="41" t="n">
        <f aca="false">MAX(0,M251)</f>
        <v>0</v>
      </c>
      <c r="E252" s="41" t="n">
        <f aca="false">D252*$F$7</f>
        <v>0</v>
      </c>
      <c r="F252" s="41" t="n">
        <f aca="false">IF(D252&gt;0.5,N($C$15),0)</f>
        <v>0</v>
      </c>
      <c r="G252" s="41" t="n">
        <f aca="false">IF(AND(D252&gt;0.5,N($C$19)&gt;0,N(B252)&lt;=N($C$20)),D252*$F$8,0)</f>
        <v>0</v>
      </c>
      <c r="H252" s="41" t="n">
        <f aca="false">IF(D252&lt;=0.5,0,MIN(IF(N(I252)&gt;0,I252,$F$9),D252+E252+F252))</f>
        <v>0</v>
      </c>
      <c r="I252" s="77"/>
      <c r="J252" s="77"/>
      <c r="K252" s="41" t="n">
        <f aca="false">IF(D252&lt;=0.5,0,MIN(H252+N(J252),D252+E252+F252))</f>
        <v>0</v>
      </c>
      <c r="L252" s="41" t="n">
        <f aca="false">K252-E252-F252</f>
        <v>0</v>
      </c>
      <c r="M252" s="41" t="n">
        <f aca="false">D252-L252</f>
        <v>0</v>
      </c>
      <c r="N252" s="42" t="n">
        <f aca="false">K252-G252</f>
        <v>0</v>
      </c>
      <c r="O252" s="78"/>
      <c r="P252" s="79"/>
      <c r="Q252" s="16" t="str">
        <f aca="false">IF(K252=0,"",IF(R252=1,"Pagada",IF(C252&lt;$F$12,"Vencida",IF(226=$F$13,"Próxima","Pendiente"))))</f>
        <v/>
      </c>
      <c r="R252" s="62" t="n">
        <f aca="false">IF(AND(K252&gt;0,OR(O252="Sí",O252="Si")),1,0)</f>
        <v>0</v>
      </c>
      <c r="S252" s="62" t="n">
        <f aca="false">IF(AND(K252&gt;0,R252=0),1,0)</f>
        <v>0</v>
      </c>
    </row>
    <row r="253" customFormat="false" ht="15" hidden="false" customHeight="false" outlineLevel="0" collapsed="false">
      <c r="B253" s="71" t="str">
        <f aca="false">IF($F$6="Sí",N($C$11)+226,"")</f>
        <v/>
      </c>
      <c r="C253" s="72" t="str">
        <f aca="false">IF(OR($F$6&lt;&gt;"Sí",D253&lt;=0.5),"",EDATE($C$10,226))</f>
        <v/>
      </c>
      <c r="D253" s="41" t="n">
        <f aca="false">MAX(0,M252)</f>
        <v>0</v>
      </c>
      <c r="E253" s="41" t="n">
        <f aca="false">D253*$F$7</f>
        <v>0</v>
      </c>
      <c r="F253" s="41" t="n">
        <f aca="false">IF(D253&gt;0.5,N($C$15),0)</f>
        <v>0</v>
      </c>
      <c r="G253" s="41" t="n">
        <f aca="false">IF(AND(D253&gt;0.5,N($C$19)&gt;0,N(B253)&lt;=N($C$20)),D253*$F$8,0)</f>
        <v>0</v>
      </c>
      <c r="H253" s="41" t="n">
        <f aca="false">IF(D253&lt;=0.5,0,MIN(IF(N(I253)&gt;0,I253,$F$9),D253+E253+F253))</f>
        <v>0</v>
      </c>
      <c r="I253" s="77"/>
      <c r="J253" s="77"/>
      <c r="K253" s="41" t="n">
        <f aca="false">IF(D253&lt;=0.5,0,MIN(H253+N(J253),D253+E253+F253))</f>
        <v>0</v>
      </c>
      <c r="L253" s="41" t="n">
        <f aca="false">K253-E253-F253</f>
        <v>0</v>
      </c>
      <c r="M253" s="41" t="n">
        <f aca="false">D253-L253</f>
        <v>0</v>
      </c>
      <c r="N253" s="42" t="n">
        <f aca="false">K253-G253</f>
        <v>0</v>
      </c>
      <c r="O253" s="78"/>
      <c r="P253" s="79"/>
      <c r="Q253" s="16" t="str">
        <f aca="false">IF(K253=0,"",IF(R253=1,"Pagada",IF(C253&lt;$F$12,"Vencida",IF(227=$F$13,"Próxima","Pendiente"))))</f>
        <v/>
      </c>
      <c r="R253" s="62" t="n">
        <f aca="false">IF(AND(K253&gt;0,OR(O253="Sí",O253="Si")),1,0)</f>
        <v>0</v>
      </c>
      <c r="S253" s="62" t="n">
        <f aca="false">IF(AND(K253&gt;0,R253=0),1,0)</f>
        <v>0</v>
      </c>
    </row>
    <row r="254" customFormat="false" ht="15" hidden="false" customHeight="false" outlineLevel="0" collapsed="false">
      <c r="B254" s="71" t="str">
        <f aca="false">IF($F$6="Sí",N($C$11)+227,"")</f>
        <v/>
      </c>
      <c r="C254" s="72" t="str">
        <f aca="false">IF(OR($F$6&lt;&gt;"Sí",D254&lt;=0.5),"",EDATE($C$10,227))</f>
        <v/>
      </c>
      <c r="D254" s="41" t="n">
        <f aca="false">MAX(0,M253)</f>
        <v>0</v>
      </c>
      <c r="E254" s="41" t="n">
        <f aca="false">D254*$F$7</f>
        <v>0</v>
      </c>
      <c r="F254" s="41" t="n">
        <f aca="false">IF(D254&gt;0.5,N($C$15),0)</f>
        <v>0</v>
      </c>
      <c r="G254" s="41" t="n">
        <f aca="false">IF(AND(D254&gt;0.5,N($C$19)&gt;0,N(B254)&lt;=N($C$20)),D254*$F$8,0)</f>
        <v>0</v>
      </c>
      <c r="H254" s="41" t="n">
        <f aca="false">IF(D254&lt;=0.5,0,MIN(IF(N(I254)&gt;0,I254,$F$9),D254+E254+F254))</f>
        <v>0</v>
      </c>
      <c r="I254" s="77"/>
      <c r="J254" s="77"/>
      <c r="K254" s="41" t="n">
        <f aca="false">IF(D254&lt;=0.5,0,MIN(H254+N(J254),D254+E254+F254))</f>
        <v>0</v>
      </c>
      <c r="L254" s="41" t="n">
        <f aca="false">K254-E254-F254</f>
        <v>0</v>
      </c>
      <c r="M254" s="41" t="n">
        <f aca="false">D254-L254</f>
        <v>0</v>
      </c>
      <c r="N254" s="42" t="n">
        <f aca="false">K254-G254</f>
        <v>0</v>
      </c>
      <c r="O254" s="78"/>
      <c r="P254" s="79"/>
      <c r="Q254" s="16" t="str">
        <f aca="false">IF(K254=0,"",IF(R254=1,"Pagada",IF(C254&lt;$F$12,"Vencida",IF(228=$F$13,"Próxima","Pendiente"))))</f>
        <v/>
      </c>
      <c r="R254" s="62" t="n">
        <f aca="false">IF(AND(K254&gt;0,OR(O254="Sí",O254="Si")),1,0)</f>
        <v>0</v>
      </c>
      <c r="S254" s="62" t="n">
        <f aca="false">IF(AND(K254&gt;0,R254=0),1,0)</f>
        <v>0</v>
      </c>
    </row>
    <row r="255" customFormat="false" ht="15" hidden="false" customHeight="false" outlineLevel="0" collapsed="false">
      <c r="B255" s="71" t="str">
        <f aca="false">IF($F$6="Sí",N($C$11)+228,"")</f>
        <v/>
      </c>
      <c r="C255" s="72" t="str">
        <f aca="false">IF(OR($F$6&lt;&gt;"Sí",D255&lt;=0.5),"",EDATE($C$10,228))</f>
        <v/>
      </c>
      <c r="D255" s="41" t="n">
        <f aca="false">MAX(0,M254)</f>
        <v>0</v>
      </c>
      <c r="E255" s="41" t="n">
        <f aca="false">D255*$F$7</f>
        <v>0</v>
      </c>
      <c r="F255" s="41" t="n">
        <f aca="false">IF(D255&gt;0.5,N($C$15),0)</f>
        <v>0</v>
      </c>
      <c r="G255" s="41" t="n">
        <f aca="false">IF(AND(D255&gt;0.5,N($C$19)&gt;0,N(B255)&lt;=N($C$20)),D255*$F$8,0)</f>
        <v>0</v>
      </c>
      <c r="H255" s="41" t="n">
        <f aca="false">IF(D255&lt;=0.5,0,MIN(IF(N(I255)&gt;0,I255,$F$9),D255+E255+F255))</f>
        <v>0</v>
      </c>
      <c r="I255" s="77"/>
      <c r="J255" s="77"/>
      <c r="K255" s="41" t="n">
        <f aca="false">IF(D255&lt;=0.5,0,MIN(H255+N(J255),D255+E255+F255))</f>
        <v>0</v>
      </c>
      <c r="L255" s="41" t="n">
        <f aca="false">K255-E255-F255</f>
        <v>0</v>
      </c>
      <c r="M255" s="41" t="n">
        <f aca="false">D255-L255</f>
        <v>0</v>
      </c>
      <c r="N255" s="42" t="n">
        <f aca="false">K255-G255</f>
        <v>0</v>
      </c>
      <c r="O255" s="78"/>
      <c r="P255" s="79"/>
      <c r="Q255" s="16" t="str">
        <f aca="false">IF(K255=0,"",IF(R255=1,"Pagada",IF(C255&lt;$F$12,"Vencida",IF(229=$F$13,"Próxima","Pendiente"))))</f>
        <v/>
      </c>
      <c r="R255" s="62" t="n">
        <f aca="false">IF(AND(K255&gt;0,OR(O255="Sí",O255="Si")),1,0)</f>
        <v>0</v>
      </c>
      <c r="S255" s="62" t="n">
        <f aca="false">IF(AND(K255&gt;0,R255=0),1,0)</f>
        <v>0</v>
      </c>
    </row>
    <row r="256" customFormat="false" ht="15" hidden="false" customHeight="false" outlineLevel="0" collapsed="false">
      <c r="B256" s="71" t="str">
        <f aca="false">IF($F$6="Sí",N($C$11)+229,"")</f>
        <v/>
      </c>
      <c r="C256" s="72" t="str">
        <f aca="false">IF(OR($F$6&lt;&gt;"Sí",D256&lt;=0.5),"",EDATE($C$10,229))</f>
        <v/>
      </c>
      <c r="D256" s="41" t="n">
        <f aca="false">MAX(0,M255)</f>
        <v>0</v>
      </c>
      <c r="E256" s="41" t="n">
        <f aca="false">D256*$F$7</f>
        <v>0</v>
      </c>
      <c r="F256" s="41" t="n">
        <f aca="false">IF(D256&gt;0.5,N($C$15),0)</f>
        <v>0</v>
      </c>
      <c r="G256" s="41" t="n">
        <f aca="false">IF(AND(D256&gt;0.5,N($C$19)&gt;0,N(B256)&lt;=N($C$20)),D256*$F$8,0)</f>
        <v>0</v>
      </c>
      <c r="H256" s="41" t="n">
        <f aca="false">IF(D256&lt;=0.5,0,MIN(IF(N(I256)&gt;0,I256,$F$9),D256+E256+F256))</f>
        <v>0</v>
      </c>
      <c r="I256" s="77"/>
      <c r="J256" s="77"/>
      <c r="K256" s="41" t="n">
        <f aca="false">IF(D256&lt;=0.5,0,MIN(H256+N(J256),D256+E256+F256))</f>
        <v>0</v>
      </c>
      <c r="L256" s="41" t="n">
        <f aca="false">K256-E256-F256</f>
        <v>0</v>
      </c>
      <c r="M256" s="41" t="n">
        <f aca="false">D256-L256</f>
        <v>0</v>
      </c>
      <c r="N256" s="42" t="n">
        <f aca="false">K256-G256</f>
        <v>0</v>
      </c>
      <c r="O256" s="78"/>
      <c r="P256" s="79"/>
      <c r="Q256" s="16" t="str">
        <f aca="false">IF(K256=0,"",IF(R256=1,"Pagada",IF(C256&lt;$F$12,"Vencida",IF(230=$F$13,"Próxima","Pendiente"))))</f>
        <v/>
      </c>
      <c r="R256" s="62" t="n">
        <f aca="false">IF(AND(K256&gt;0,OR(O256="Sí",O256="Si")),1,0)</f>
        <v>0</v>
      </c>
      <c r="S256" s="62" t="n">
        <f aca="false">IF(AND(K256&gt;0,R256=0),1,0)</f>
        <v>0</v>
      </c>
    </row>
    <row r="257" customFormat="false" ht="15" hidden="false" customHeight="false" outlineLevel="0" collapsed="false">
      <c r="B257" s="71" t="str">
        <f aca="false">IF($F$6="Sí",N($C$11)+230,"")</f>
        <v/>
      </c>
      <c r="C257" s="72" t="str">
        <f aca="false">IF(OR($F$6&lt;&gt;"Sí",D257&lt;=0.5),"",EDATE($C$10,230))</f>
        <v/>
      </c>
      <c r="D257" s="41" t="n">
        <f aca="false">MAX(0,M256)</f>
        <v>0</v>
      </c>
      <c r="E257" s="41" t="n">
        <f aca="false">D257*$F$7</f>
        <v>0</v>
      </c>
      <c r="F257" s="41" t="n">
        <f aca="false">IF(D257&gt;0.5,N($C$15),0)</f>
        <v>0</v>
      </c>
      <c r="G257" s="41" t="n">
        <f aca="false">IF(AND(D257&gt;0.5,N($C$19)&gt;0,N(B257)&lt;=N($C$20)),D257*$F$8,0)</f>
        <v>0</v>
      </c>
      <c r="H257" s="41" t="n">
        <f aca="false">IF(D257&lt;=0.5,0,MIN(IF(N(I257)&gt;0,I257,$F$9),D257+E257+F257))</f>
        <v>0</v>
      </c>
      <c r="I257" s="77"/>
      <c r="J257" s="77"/>
      <c r="K257" s="41" t="n">
        <f aca="false">IF(D257&lt;=0.5,0,MIN(H257+N(J257),D257+E257+F257))</f>
        <v>0</v>
      </c>
      <c r="L257" s="41" t="n">
        <f aca="false">K257-E257-F257</f>
        <v>0</v>
      </c>
      <c r="M257" s="41" t="n">
        <f aca="false">D257-L257</f>
        <v>0</v>
      </c>
      <c r="N257" s="42" t="n">
        <f aca="false">K257-G257</f>
        <v>0</v>
      </c>
      <c r="O257" s="78"/>
      <c r="P257" s="79"/>
      <c r="Q257" s="16" t="str">
        <f aca="false">IF(K257=0,"",IF(R257=1,"Pagada",IF(C257&lt;$F$12,"Vencida",IF(231=$F$13,"Próxima","Pendiente"))))</f>
        <v/>
      </c>
      <c r="R257" s="62" t="n">
        <f aca="false">IF(AND(K257&gt;0,OR(O257="Sí",O257="Si")),1,0)</f>
        <v>0</v>
      </c>
      <c r="S257" s="62" t="n">
        <f aca="false">IF(AND(K257&gt;0,R257=0),1,0)</f>
        <v>0</v>
      </c>
    </row>
    <row r="258" customFormat="false" ht="15" hidden="false" customHeight="false" outlineLevel="0" collapsed="false">
      <c r="B258" s="71" t="str">
        <f aca="false">IF($F$6="Sí",N($C$11)+231,"")</f>
        <v/>
      </c>
      <c r="C258" s="72" t="str">
        <f aca="false">IF(OR($F$6&lt;&gt;"Sí",D258&lt;=0.5),"",EDATE($C$10,231))</f>
        <v/>
      </c>
      <c r="D258" s="41" t="n">
        <f aca="false">MAX(0,M257)</f>
        <v>0</v>
      </c>
      <c r="E258" s="41" t="n">
        <f aca="false">D258*$F$7</f>
        <v>0</v>
      </c>
      <c r="F258" s="41" t="n">
        <f aca="false">IF(D258&gt;0.5,N($C$15),0)</f>
        <v>0</v>
      </c>
      <c r="G258" s="41" t="n">
        <f aca="false">IF(AND(D258&gt;0.5,N($C$19)&gt;0,N(B258)&lt;=N($C$20)),D258*$F$8,0)</f>
        <v>0</v>
      </c>
      <c r="H258" s="41" t="n">
        <f aca="false">IF(D258&lt;=0.5,0,MIN(IF(N(I258)&gt;0,I258,$F$9),D258+E258+F258))</f>
        <v>0</v>
      </c>
      <c r="I258" s="77"/>
      <c r="J258" s="77"/>
      <c r="K258" s="41" t="n">
        <f aca="false">IF(D258&lt;=0.5,0,MIN(H258+N(J258),D258+E258+F258))</f>
        <v>0</v>
      </c>
      <c r="L258" s="41" t="n">
        <f aca="false">K258-E258-F258</f>
        <v>0</v>
      </c>
      <c r="M258" s="41" t="n">
        <f aca="false">D258-L258</f>
        <v>0</v>
      </c>
      <c r="N258" s="42" t="n">
        <f aca="false">K258-G258</f>
        <v>0</v>
      </c>
      <c r="O258" s="78"/>
      <c r="P258" s="79"/>
      <c r="Q258" s="16" t="str">
        <f aca="false">IF(K258=0,"",IF(R258=1,"Pagada",IF(C258&lt;$F$12,"Vencida",IF(232=$F$13,"Próxima","Pendiente"))))</f>
        <v/>
      </c>
      <c r="R258" s="62" t="n">
        <f aca="false">IF(AND(K258&gt;0,OR(O258="Sí",O258="Si")),1,0)</f>
        <v>0</v>
      </c>
      <c r="S258" s="62" t="n">
        <f aca="false">IF(AND(K258&gt;0,R258=0),1,0)</f>
        <v>0</v>
      </c>
    </row>
    <row r="259" customFormat="false" ht="15" hidden="false" customHeight="false" outlineLevel="0" collapsed="false">
      <c r="B259" s="71" t="str">
        <f aca="false">IF($F$6="Sí",N($C$11)+232,"")</f>
        <v/>
      </c>
      <c r="C259" s="72" t="str">
        <f aca="false">IF(OR($F$6&lt;&gt;"Sí",D259&lt;=0.5),"",EDATE($C$10,232))</f>
        <v/>
      </c>
      <c r="D259" s="41" t="n">
        <f aca="false">MAX(0,M258)</f>
        <v>0</v>
      </c>
      <c r="E259" s="41" t="n">
        <f aca="false">D259*$F$7</f>
        <v>0</v>
      </c>
      <c r="F259" s="41" t="n">
        <f aca="false">IF(D259&gt;0.5,N($C$15),0)</f>
        <v>0</v>
      </c>
      <c r="G259" s="41" t="n">
        <f aca="false">IF(AND(D259&gt;0.5,N($C$19)&gt;0,N(B259)&lt;=N($C$20)),D259*$F$8,0)</f>
        <v>0</v>
      </c>
      <c r="H259" s="41" t="n">
        <f aca="false">IF(D259&lt;=0.5,0,MIN(IF(N(I259)&gt;0,I259,$F$9),D259+E259+F259))</f>
        <v>0</v>
      </c>
      <c r="I259" s="77"/>
      <c r="J259" s="77"/>
      <c r="K259" s="41" t="n">
        <f aca="false">IF(D259&lt;=0.5,0,MIN(H259+N(J259),D259+E259+F259))</f>
        <v>0</v>
      </c>
      <c r="L259" s="41" t="n">
        <f aca="false">K259-E259-F259</f>
        <v>0</v>
      </c>
      <c r="M259" s="41" t="n">
        <f aca="false">D259-L259</f>
        <v>0</v>
      </c>
      <c r="N259" s="42" t="n">
        <f aca="false">K259-G259</f>
        <v>0</v>
      </c>
      <c r="O259" s="78"/>
      <c r="P259" s="79"/>
      <c r="Q259" s="16" t="str">
        <f aca="false">IF(K259=0,"",IF(R259=1,"Pagada",IF(C259&lt;$F$12,"Vencida",IF(233=$F$13,"Próxima","Pendiente"))))</f>
        <v/>
      </c>
      <c r="R259" s="62" t="n">
        <f aca="false">IF(AND(K259&gt;0,OR(O259="Sí",O259="Si")),1,0)</f>
        <v>0</v>
      </c>
      <c r="S259" s="62" t="n">
        <f aca="false">IF(AND(K259&gt;0,R259=0),1,0)</f>
        <v>0</v>
      </c>
    </row>
    <row r="260" customFormat="false" ht="15" hidden="false" customHeight="false" outlineLevel="0" collapsed="false">
      <c r="B260" s="71" t="str">
        <f aca="false">IF($F$6="Sí",N($C$11)+233,"")</f>
        <v/>
      </c>
      <c r="C260" s="72" t="str">
        <f aca="false">IF(OR($F$6&lt;&gt;"Sí",D260&lt;=0.5),"",EDATE($C$10,233))</f>
        <v/>
      </c>
      <c r="D260" s="41" t="n">
        <f aca="false">MAX(0,M259)</f>
        <v>0</v>
      </c>
      <c r="E260" s="41" t="n">
        <f aca="false">D260*$F$7</f>
        <v>0</v>
      </c>
      <c r="F260" s="41" t="n">
        <f aca="false">IF(D260&gt;0.5,N($C$15),0)</f>
        <v>0</v>
      </c>
      <c r="G260" s="41" t="n">
        <f aca="false">IF(AND(D260&gt;0.5,N($C$19)&gt;0,N(B260)&lt;=N($C$20)),D260*$F$8,0)</f>
        <v>0</v>
      </c>
      <c r="H260" s="41" t="n">
        <f aca="false">IF(D260&lt;=0.5,0,MIN(IF(N(I260)&gt;0,I260,$F$9),D260+E260+F260))</f>
        <v>0</v>
      </c>
      <c r="I260" s="77"/>
      <c r="J260" s="77"/>
      <c r="K260" s="41" t="n">
        <f aca="false">IF(D260&lt;=0.5,0,MIN(H260+N(J260),D260+E260+F260))</f>
        <v>0</v>
      </c>
      <c r="L260" s="41" t="n">
        <f aca="false">K260-E260-F260</f>
        <v>0</v>
      </c>
      <c r="M260" s="41" t="n">
        <f aca="false">D260-L260</f>
        <v>0</v>
      </c>
      <c r="N260" s="42" t="n">
        <f aca="false">K260-G260</f>
        <v>0</v>
      </c>
      <c r="O260" s="78"/>
      <c r="P260" s="79"/>
      <c r="Q260" s="16" t="str">
        <f aca="false">IF(K260=0,"",IF(R260=1,"Pagada",IF(C260&lt;$F$12,"Vencida",IF(234=$F$13,"Próxima","Pendiente"))))</f>
        <v/>
      </c>
      <c r="R260" s="62" t="n">
        <f aca="false">IF(AND(K260&gt;0,OR(O260="Sí",O260="Si")),1,0)</f>
        <v>0</v>
      </c>
      <c r="S260" s="62" t="n">
        <f aca="false">IF(AND(K260&gt;0,R260=0),1,0)</f>
        <v>0</v>
      </c>
    </row>
    <row r="261" customFormat="false" ht="15" hidden="false" customHeight="false" outlineLevel="0" collapsed="false">
      <c r="B261" s="71" t="str">
        <f aca="false">IF($F$6="Sí",N($C$11)+234,"")</f>
        <v/>
      </c>
      <c r="C261" s="72" t="str">
        <f aca="false">IF(OR($F$6&lt;&gt;"Sí",D261&lt;=0.5),"",EDATE($C$10,234))</f>
        <v/>
      </c>
      <c r="D261" s="41" t="n">
        <f aca="false">MAX(0,M260)</f>
        <v>0</v>
      </c>
      <c r="E261" s="41" t="n">
        <f aca="false">D261*$F$7</f>
        <v>0</v>
      </c>
      <c r="F261" s="41" t="n">
        <f aca="false">IF(D261&gt;0.5,N($C$15),0)</f>
        <v>0</v>
      </c>
      <c r="G261" s="41" t="n">
        <f aca="false">IF(AND(D261&gt;0.5,N($C$19)&gt;0,N(B261)&lt;=N($C$20)),D261*$F$8,0)</f>
        <v>0</v>
      </c>
      <c r="H261" s="41" t="n">
        <f aca="false">IF(D261&lt;=0.5,0,MIN(IF(N(I261)&gt;0,I261,$F$9),D261+E261+F261))</f>
        <v>0</v>
      </c>
      <c r="I261" s="77"/>
      <c r="J261" s="77"/>
      <c r="K261" s="41" t="n">
        <f aca="false">IF(D261&lt;=0.5,0,MIN(H261+N(J261),D261+E261+F261))</f>
        <v>0</v>
      </c>
      <c r="L261" s="41" t="n">
        <f aca="false">K261-E261-F261</f>
        <v>0</v>
      </c>
      <c r="M261" s="41" t="n">
        <f aca="false">D261-L261</f>
        <v>0</v>
      </c>
      <c r="N261" s="42" t="n">
        <f aca="false">K261-G261</f>
        <v>0</v>
      </c>
      <c r="O261" s="78"/>
      <c r="P261" s="79"/>
      <c r="Q261" s="16" t="str">
        <f aca="false">IF(K261=0,"",IF(R261=1,"Pagada",IF(C261&lt;$F$12,"Vencida",IF(235=$F$13,"Próxima","Pendiente"))))</f>
        <v/>
      </c>
      <c r="R261" s="62" t="n">
        <f aca="false">IF(AND(K261&gt;0,OR(O261="Sí",O261="Si")),1,0)</f>
        <v>0</v>
      </c>
      <c r="S261" s="62" t="n">
        <f aca="false">IF(AND(K261&gt;0,R261=0),1,0)</f>
        <v>0</v>
      </c>
    </row>
    <row r="262" customFormat="false" ht="15" hidden="false" customHeight="false" outlineLevel="0" collapsed="false">
      <c r="B262" s="71" t="str">
        <f aca="false">IF($F$6="Sí",N($C$11)+235,"")</f>
        <v/>
      </c>
      <c r="C262" s="72" t="str">
        <f aca="false">IF(OR($F$6&lt;&gt;"Sí",D262&lt;=0.5),"",EDATE($C$10,235))</f>
        <v/>
      </c>
      <c r="D262" s="41" t="n">
        <f aca="false">MAX(0,M261)</f>
        <v>0</v>
      </c>
      <c r="E262" s="41" t="n">
        <f aca="false">D262*$F$7</f>
        <v>0</v>
      </c>
      <c r="F262" s="41" t="n">
        <f aca="false">IF(D262&gt;0.5,N($C$15),0)</f>
        <v>0</v>
      </c>
      <c r="G262" s="41" t="n">
        <f aca="false">IF(AND(D262&gt;0.5,N($C$19)&gt;0,N(B262)&lt;=N($C$20)),D262*$F$8,0)</f>
        <v>0</v>
      </c>
      <c r="H262" s="41" t="n">
        <f aca="false">IF(D262&lt;=0.5,0,MIN(IF(N(I262)&gt;0,I262,$F$9),D262+E262+F262))</f>
        <v>0</v>
      </c>
      <c r="I262" s="77"/>
      <c r="J262" s="77"/>
      <c r="K262" s="41" t="n">
        <f aca="false">IF(D262&lt;=0.5,0,MIN(H262+N(J262),D262+E262+F262))</f>
        <v>0</v>
      </c>
      <c r="L262" s="41" t="n">
        <f aca="false">K262-E262-F262</f>
        <v>0</v>
      </c>
      <c r="M262" s="41" t="n">
        <f aca="false">D262-L262</f>
        <v>0</v>
      </c>
      <c r="N262" s="42" t="n">
        <f aca="false">K262-G262</f>
        <v>0</v>
      </c>
      <c r="O262" s="78"/>
      <c r="P262" s="79"/>
      <c r="Q262" s="16" t="str">
        <f aca="false">IF(K262=0,"",IF(R262=1,"Pagada",IF(C262&lt;$F$12,"Vencida",IF(236=$F$13,"Próxima","Pendiente"))))</f>
        <v/>
      </c>
      <c r="R262" s="62" t="n">
        <f aca="false">IF(AND(K262&gt;0,OR(O262="Sí",O262="Si")),1,0)</f>
        <v>0</v>
      </c>
      <c r="S262" s="62" t="n">
        <f aca="false">IF(AND(K262&gt;0,R262=0),1,0)</f>
        <v>0</v>
      </c>
    </row>
    <row r="263" customFormat="false" ht="15" hidden="false" customHeight="false" outlineLevel="0" collapsed="false">
      <c r="B263" s="71" t="str">
        <f aca="false">IF($F$6="Sí",N($C$11)+236,"")</f>
        <v/>
      </c>
      <c r="C263" s="72" t="str">
        <f aca="false">IF(OR($F$6&lt;&gt;"Sí",D263&lt;=0.5),"",EDATE($C$10,236))</f>
        <v/>
      </c>
      <c r="D263" s="41" t="n">
        <f aca="false">MAX(0,M262)</f>
        <v>0</v>
      </c>
      <c r="E263" s="41" t="n">
        <f aca="false">D263*$F$7</f>
        <v>0</v>
      </c>
      <c r="F263" s="41" t="n">
        <f aca="false">IF(D263&gt;0.5,N($C$15),0)</f>
        <v>0</v>
      </c>
      <c r="G263" s="41" t="n">
        <f aca="false">IF(AND(D263&gt;0.5,N($C$19)&gt;0,N(B263)&lt;=N($C$20)),D263*$F$8,0)</f>
        <v>0</v>
      </c>
      <c r="H263" s="41" t="n">
        <f aca="false">IF(D263&lt;=0.5,0,MIN(IF(N(I263)&gt;0,I263,$F$9),D263+E263+F263))</f>
        <v>0</v>
      </c>
      <c r="I263" s="77"/>
      <c r="J263" s="77"/>
      <c r="K263" s="41" t="n">
        <f aca="false">IF(D263&lt;=0.5,0,MIN(H263+N(J263),D263+E263+F263))</f>
        <v>0</v>
      </c>
      <c r="L263" s="41" t="n">
        <f aca="false">K263-E263-F263</f>
        <v>0</v>
      </c>
      <c r="M263" s="41" t="n">
        <f aca="false">D263-L263</f>
        <v>0</v>
      </c>
      <c r="N263" s="42" t="n">
        <f aca="false">K263-G263</f>
        <v>0</v>
      </c>
      <c r="O263" s="78"/>
      <c r="P263" s="79"/>
      <c r="Q263" s="16" t="str">
        <f aca="false">IF(K263=0,"",IF(R263=1,"Pagada",IF(C263&lt;$F$12,"Vencida",IF(237=$F$13,"Próxima","Pendiente"))))</f>
        <v/>
      </c>
      <c r="R263" s="62" t="n">
        <f aca="false">IF(AND(K263&gt;0,OR(O263="Sí",O263="Si")),1,0)</f>
        <v>0</v>
      </c>
      <c r="S263" s="62" t="n">
        <f aca="false">IF(AND(K263&gt;0,R263=0),1,0)</f>
        <v>0</v>
      </c>
    </row>
    <row r="264" customFormat="false" ht="15" hidden="false" customHeight="false" outlineLevel="0" collapsed="false">
      <c r="B264" s="71" t="str">
        <f aca="false">IF($F$6="Sí",N($C$11)+237,"")</f>
        <v/>
      </c>
      <c r="C264" s="72" t="str">
        <f aca="false">IF(OR($F$6&lt;&gt;"Sí",D264&lt;=0.5),"",EDATE($C$10,237))</f>
        <v/>
      </c>
      <c r="D264" s="41" t="n">
        <f aca="false">MAX(0,M263)</f>
        <v>0</v>
      </c>
      <c r="E264" s="41" t="n">
        <f aca="false">D264*$F$7</f>
        <v>0</v>
      </c>
      <c r="F264" s="41" t="n">
        <f aca="false">IF(D264&gt;0.5,N($C$15),0)</f>
        <v>0</v>
      </c>
      <c r="G264" s="41" t="n">
        <f aca="false">IF(AND(D264&gt;0.5,N($C$19)&gt;0,N(B264)&lt;=N($C$20)),D264*$F$8,0)</f>
        <v>0</v>
      </c>
      <c r="H264" s="41" t="n">
        <f aca="false">IF(D264&lt;=0.5,0,MIN(IF(N(I264)&gt;0,I264,$F$9),D264+E264+F264))</f>
        <v>0</v>
      </c>
      <c r="I264" s="77"/>
      <c r="J264" s="77"/>
      <c r="K264" s="41" t="n">
        <f aca="false">IF(D264&lt;=0.5,0,MIN(H264+N(J264),D264+E264+F264))</f>
        <v>0</v>
      </c>
      <c r="L264" s="41" t="n">
        <f aca="false">K264-E264-F264</f>
        <v>0</v>
      </c>
      <c r="M264" s="41" t="n">
        <f aca="false">D264-L264</f>
        <v>0</v>
      </c>
      <c r="N264" s="42" t="n">
        <f aca="false">K264-G264</f>
        <v>0</v>
      </c>
      <c r="O264" s="78"/>
      <c r="P264" s="79"/>
      <c r="Q264" s="16" t="str">
        <f aca="false">IF(K264=0,"",IF(R264=1,"Pagada",IF(C264&lt;$F$12,"Vencida",IF(238=$F$13,"Próxima","Pendiente"))))</f>
        <v/>
      </c>
      <c r="R264" s="62" t="n">
        <f aca="false">IF(AND(K264&gt;0,OR(O264="Sí",O264="Si")),1,0)</f>
        <v>0</v>
      </c>
      <c r="S264" s="62" t="n">
        <f aca="false">IF(AND(K264&gt;0,R264=0),1,0)</f>
        <v>0</v>
      </c>
    </row>
    <row r="265" customFormat="false" ht="15" hidden="false" customHeight="false" outlineLevel="0" collapsed="false">
      <c r="B265" s="71" t="str">
        <f aca="false">IF($F$6="Sí",N($C$11)+238,"")</f>
        <v/>
      </c>
      <c r="C265" s="72" t="str">
        <f aca="false">IF(OR($F$6&lt;&gt;"Sí",D265&lt;=0.5),"",EDATE($C$10,238))</f>
        <v/>
      </c>
      <c r="D265" s="41" t="n">
        <f aca="false">MAX(0,M264)</f>
        <v>0</v>
      </c>
      <c r="E265" s="41" t="n">
        <f aca="false">D265*$F$7</f>
        <v>0</v>
      </c>
      <c r="F265" s="41" t="n">
        <f aca="false">IF(D265&gt;0.5,N($C$15),0)</f>
        <v>0</v>
      </c>
      <c r="G265" s="41" t="n">
        <f aca="false">IF(AND(D265&gt;0.5,N($C$19)&gt;0,N(B265)&lt;=N($C$20)),D265*$F$8,0)</f>
        <v>0</v>
      </c>
      <c r="H265" s="41" t="n">
        <f aca="false">IF(D265&lt;=0.5,0,MIN(IF(N(I265)&gt;0,I265,$F$9),D265+E265+F265))</f>
        <v>0</v>
      </c>
      <c r="I265" s="77"/>
      <c r="J265" s="77"/>
      <c r="K265" s="41" t="n">
        <f aca="false">IF(D265&lt;=0.5,0,MIN(H265+N(J265),D265+E265+F265))</f>
        <v>0</v>
      </c>
      <c r="L265" s="41" t="n">
        <f aca="false">K265-E265-F265</f>
        <v>0</v>
      </c>
      <c r="M265" s="41" t="n">
        <f aca="false">D265-L265</f>
        <v>0</v>
      </c>
      <c r="N265" s="42" t="n">
        <f aca="false">K265-G265</f>
        <v>0</v>
      </c>
      <c r="O265" s="78"/>
      <c r="P265" s="79"/>
      <c r="Q265" s="16" t="str">
        <f aca="false">IF(K265=0,"",IF(R265=1,"Pagada",IF(C265&lt;$F$12,"Vencida",IF(239=$F$13,"Próxima","Pendiente"))))</f>
        <v/>
      </c>
      <c r="R265" s="62" t="n">
        <f aca="false">IF(AND(K265&gt;0,OR(O265="Sí",O265="Si")),1,0)</f>
        <v>0</v>
      </c>
      <c r="S265" s="62" t="n">
        <f aca="false">IF(AND(K265&gt;0,R265=0),1,0)</f>
        <v>0</v>
      </c>
    </row>
    <row r="266" customFormat="false" ht="15" hidden="false" customHeight="false" outlineLevel="0" collapsed="false">
      <c r="B266" s="71" t="str">
        <f aca="false">IF($F$6="Sí",N($C$11)+239,"")</f>
        <v/>
      </c>
      <c r="C266" s="72" t="str">
        <f aca="false">IF(OR($F$6&lt;&gt;"Sí",D266&lt;=0.5),"",EDATE($C$10,239))</f>
        <v/>
      </c>
      <c r="D266" s="41" t="n">
        <f aca="false">MAX(0,M265)</f>
        <v>0</v>
      </c>
      <c r="E266" s="41" t="n">
        <f aca="false">D266*$F$7</f>
        <v>0</v>
      </c>
      <c r="F266" s="41" t="n">
        <f aca="false">IF(D266&gt;0.5,N($C$15),0)</f>
        <v>0</v>
      </c>
      <c r="G266" s="41" t="n">
        <f aca="false">IF(AND(D266&gt;0.5,N($C$19)&gt;0,N(B266)&lt;=N($C$20)),D266*$F$8,0)</f>
        <v>0</v>
      </c>
      <c r="H266" s="41" t="n">
        <f aca="false">IF(D266&lt;=0.5,0,MIN(IF(N(I266)&gt;0,I266,$F$9),D266+E266+F266))</f>
        <v>0</v>
      </c>
      <c r="I266" s="77"/>
      <c r="J266" s="77"/>
      <c r="K266" s="41" t="n">
        <f aca="false">IF(D266&lt;=0.5,0,MIN(H266+N(J266),D266+E266+F266))</f>
        <v>0</v>
      </c>
      <c r="L266" s="41" t="n">
        <f aca="false">K266-E266-F266</f>
        <v>0</v>
      </c>
      <c r="M266" s="41" t="n">
        <f aca="false">D266-L266</f>
        <v>0</v>
      </c>
      <c r="N266" s="42" t="n">
        <f aca="false">K266-G266</f>
        <v>0</v>
      </c>
      <c r="O266" s="78"/>
      <c r="P266" s="79"/>
      <c r="Q266" s="16" t="str">
        <f aca="false">IF(K266=0,"",IF(R266=1,"Pagada",IF(C266&lt;$F$12,"Vencida",IF(240=$F$13,"Próxima","Pendiente"))))</f>
        <v/>
      </c>
      <c r="R266" s="62" t="n">
        <f aca="false">IF(AND(K266&gt;0,OR(O266="Sí",O266="Si")),1,0)</f>
        <v>0</v>
      </c>
      <c r="S266" s="62" t="n">
        <f aca="false">IF(AND(K266&gt;0,R266=0),1,0)</f>
        <v>0</v>
      </c>
    </row>
    <row r="267" customFormat="false" ht="15" hidden="false" customHeight="false" outlineLevel="0" collapsed="false">
      <c r="B267" s="71" t="str">
        <f aca="false">IF($F$6="Sí",N($C$11)+240,"")</f>
        <v/>
      </c>
      <c r="C267" s="72" t="str">
        <f aca="false">IF(OR($F$6&lt;&gt;"Sí",D267&lt;=0.5),"",EDATE($C$10,240))</f>
        <v/>
      </c>
      <c r="D267" s="41" t="n">
        <f aca="false">MAX(0,M266)</f>
        <v>0</v>
      </c>
      <c r="E267" s="41" t="n">
        <f aca="false">D267*$F$7</f>
        <v>0</v>
      </c>
      <c r="F267" s="41" t="n">
        <f aca="false">IF(D267&gt;0.5,N($C$15),0)</f>
        <v>0</v>
      </c>
      <c r="G267" s="41" t="n">
        <f aca="false">IF(AND(D267&gt;0.5,N($C$19)&gt;0,N(B267)&lt;=N($C$20)),D267*$F$8,0)</f>
        <v>0</v>
      </c>
      <c r="H267" s="41" t="n">
        <f aca="false">IF(D267&lt;=0.5,0,MIN(IF(N(I267)&gt;0,I267,$F$9),D267+E267+F267))</f>
        <v>0</v>
      </c>
      <c r="I267" s="77"/>
      <c r="J267" s="77"/>
      <c r="K267" s="41" t="n">
        <f aca="false">IF(D267&lt;=0.5,0,MIN(H267+N(J267),D267+E267+F267))</f>
        <v>0</v>
      </c>
      <c r="L267" s="41" t="n">
        <f aca="false">K267-E267-F267</f>
        <v>0</v>
      </c>
      <c r="M267" s="41" t="n">
        <f aca="false">D267-L267</f>
        <v>0</v>
      </c>
      <c r="N267" s="42" t="n">
        <f aca="false">K267-G267</f>
        <v>0</v>
      </c>
      <c r="O267" s="78"/>
      <c r="P267" s="79"/>
      <c r="Q267" s="16" t="str">
        <f aca="false">IF(K267=0,"",IF(R267=1,"Pagada",IF(C267&lt;$F$12,"Vencida",IF(241=$F$13,"Próxima","Pendiente"))))</f>
        <v/>
      </c>
      <c r="R267" s="62" t="n">
        <f aca="false">IF(AND(K267&gt;0,OR(O267="Sí",O267="Si")),1,0)</f>
        <v>0</v>
      </c>
      <c r="S267" s="62" t="n">
        <f aca="false">IF(AND(K267&gt;0,R267=0),1,0)</f>
        <v>0</v>
      </c>
    </row>
    <row r="268" customFormat="false" ht="15" hidden="false" customHeight="false" outlineLevel="0" collapsed="false">
      <c r="B268" s="71" t="str">
        <f aca="false">IF($F$6="Sí",N($C$11)+241,"")</f>
        <v/>
      </c>
      <c r="C268" s="72" t="str">
        <f aca="false">IF(OR($F$6&lt;&gt;"Sí",D268&lt;=0.5),"",EDATE($C$10,241))</f>
        <v/>
      </c>
      <c r="D268" s="41" t="n">
        <f aca="false">MAX(0,M267)</f>
        <v>0</v>
      </c>
      <c r="E268" s="41" t="n">
        <f aca="false">D268*$F$7</f>
        <v>0</v>
      </c>
      <c r="F268" s="41" t="n">
        <f aca="false">IF(D268&gt;0.5,N($C$15),0)</f>
        <v>0</v>
      </c>
      <c r="G268" s="41" t="n">
        <f aca="false">IF(AND(D268&gt;0.5,N($C$19)&gt;0,N(B268)&lt;=N($C$20)),D268*$F$8,0)</f>
        <v>0</v>
      </c>
      <c r="H268" s="41" t="n">
        <f aca="false">IF(D268&lt;=0.5,0,MIN(IF(N(I268)&gt;0,I268,$F$9),D268+E268+F268))</f>
        <v>0</v>
      </c>
      <c r="I268" s="77"/>
      <c r="J268" s="77"/>
      <c r="K268" s="41" t="n">
        <f aca="false">IF(D268&lt;=0.5,0,MIN(H268+N(J268),D268+E268+F268))</f>
        <v>0</v>
      </c>
      <c r="L268" s="41" t="n">
        <f aca="false">K268-E268-F268</f>
        <v>0</v>
      </c>
      <c r="M268" s="41" t="n">
        <f aca="false">D268-L268</f>
        <v>0</v>
      </c>
      <c r="N268" s="42" t="n">
        <f aca="false">K268-G268</f>
        <v>0</v>
      </c>
      <c r="O268" s="78"/>
      <c r="P268" s="79"/>
      <c r="Q268" s="16" t="str">
        <f aca="false">IF(K268=0,"",IF(R268=1,"Pagada",IF(C268&lt;$F$12,"Vencida",IF(242=$F$13,"Próxima","Pendiente"))))</f>
        <v/>
      </c>
      <c r="R268" s="62" t="n">
        <f aca="false">IF(AND(K268&gt;0,OR(O268="Sí",O268="Si")),1,0)</f>
        <v>0</v>
      </c>
      <c r="S268" s="62" t="n">
        <f aca="false">IF(AND(K268&gt;0,R268=0),1,0)</f>
        <v>0</v>
      </c>
    </row>
    <row r="269" customFormat="false" ht="15" hidden="false" customHeight="false" outlineLevel="0" collapsed="false">
      <c r="B269" s="71" t="str">
        <f aca="false">IF($F$6="Sí",N($C$11)+242,"")</f>
        <v/>
      </c>
      <c r="C269" s="72" t="str">
        <f aca="false">IF(OR($F$6&lt;&gt;"Sí",D269&lt;=0.5),"",EDATE($C$10,242))</f>
        <v/>
      </c>
      <c r="D269" s="41" t="n">
        <f aca="false">MAX(0,M268)</f>
        <v>0</v>
      </c>
      <c r="E269" s="41" t="n">
        <f aca="false">D269*$F$7</f>
        <v>0</v>
      </c>
      <c r="F269" s="41" t="n">
        <f aca="false">IF(D269&gt;0.5,N($C$15),0)</f>
        <v>0</v>
      </c>
      <c r="G269" s="41" t="n">
        <f aca="false">IF(AND(D269&gt;0.5,N($C$19)&gt;0,N(B269)&lt;=N($C$20)),D269*$F$8,0)</f>
        <v>0</v>
      </c>
      <c r="H269" s="41" t="n">
        <f aca="false">IF(D269&lt;=0.5,0,MIN(IF(N(I269)&gt;0,I269,$F$9),D269+E269+F269))</f>
        <v>0</v>
      </c>
      <c r="I269" s="77"/>
      <c r="J269" s="77"/>
      <c r="K269" s="41" t="n">
        <f aca="false">IF(D269&lt;=0.5,0,MIN(H269+N(J269),D269+E269+F269))</f>
        <v>0</v>
      </c>
      <c r="L269" s="41" t="n">
        <f aca="false">K269-E269-F269</f>
        <v>0</v>
      </c>
      <c r="M269" s="41" t="n">
        <f aca="false">D269-L269</f>
        <v>0</v>
      </c>
      <c r="N269" s="42" t="n">
        <f aca="false">K269-G269</f>
        <v>0</v>
      </c>
      <c r="O269" s="78"/>
      <c r="P269" s="79"/>
      <c r="Q269" s="16" t="str">
        <f aca="false">IF(K269=0,"",IF(R269=1,"Pagada",IF(C269&lt;$F$12,"Vencida",IF(243=$F$13,"Próxima","Pendiente"))))</f>
        <v/>
      </c>
      <c r="R269" s="62" t="n">
        <f aca="false">IF(AND(K269&gt;0,OR(O269="Sí",O269="Si")),1,0)</f>
        <v>0</v>
      </c>
      <c r="S269" s="62" t="n">
        <f aca="false">IF(AND(K269&gt;0,R269=0),1,0)</f>
        <v>0</v>
      </c>
    </row>
    <row r="270" customFormat="false" ht="15" hidden="false" customHeight="false" outlineLevel="0" collapsed="false">
      <c r="B270" s="71" t="str">
        <f aca="false">IF($F$6="Sí",N($C$11)+243,"")</f>
        <v/>
      </c>
      <c r="C270" s="72" t="str">
        <f aca="false">IF(OR($F$6&lt;&gt;"Sí",D270&lt;=0.5),"",EDATE($C$10,243))</f>
        <v/>
      </c>
      <c r="D270" s="41" t="n">
        <f aca="false">MAX(0,M269)</f>
        <v>0</v>
      </c>
      <c r="E270" s="41" t="n">
        <f aca="false">D270*$F$7</f>
        <v>0</v>
      </c>
      <c r="F270" s="41" t="n">
        <f aca="false">IF(D270&gt;0.5,N($C$15),0)</f>
        <v>0</v>
      </c>
      <c r="G270" s="41" t="n">
        <f aca="false">IF(AND(D270&gt;0.5,N($C$19)&gt;0,N(B270)&lt;=N($C$20)),D270*$F$8,0)</f>
        <v>0</v>
      </c>
      <c r="H270" s="41" t="n">
        <f aca="false">IF(D270&lt;=0.5,0,MIN(IF(N(I270)&gt;0,I270,$F$9),D270+E270+F270))</f>
        <v>0</v>
      </c>
      <c r="I270" s="77"/>
      <c r="J270" s="77"/>
      <c r="K270" s="41" t="n">
        <f aca="false">IF(D270&lt;=0.5,0,MIN(H270+N(J270),D270+E270+F270))</f>
        <v>0</v>
      </c>
      <c r="L270" s="41" t="n">
        <f aca="false">K270-E270-F270</f>
        <v>0</v>
      </c>
      <c r="M270" s="41" t="n">
        <f aca="false">D270-L270</f>
        <v>0</v>
      </c>
      <c r="N270" s="42" t="n">
        <f aca="false">K270-G270</f>
        <v>0</v>
      </c>
      <c r="O270" s="78"/>
      <c r="P270" s="79"/>
      <c r="Q270" s="16" t="str">
        <f aca="false">IF(K270=0,"",IF(R270=1,"Pagada",IF(C270&lt;$F$12,"Vencida",IF(244=$F$13,"Próxima","Pendiente"))))</f>
        <v/>
      </c>
      <c r="R270" s="62" t="n">
        <f aca="false">IF(AND(K270&gt;0,OR(O270="Sí",O270="Si")),1,0)</f>
        <v>0</v>
      </c>
      <c r="S270" s="62" t="n">
        <f aca="false">IF(AND(K270&gt;0,R270=0),1,0)</f>
        <v>0</v>
      </c>
    </row>
    <row r="271" customFormat="false" ht="15" hidden="false" customHeight="false" outlineLevel="0" collapsed="false">
      <c r="B271" s="71" t="str">
        <f aca="false">IF($F$6="Sí",N($C$11)+244,"")</f>
        <v/>
      </c>
      <c r="C271" s="72" t="str">
        <f aca="false">IF(OR($F$6&lt;&gt;"Sí",D271&lt;=0.5),"",EDATE($C$10,244))</f>
        <v/>
      </c>
      <c r="D271" s="41" t="n">
        <f aca="false">MAX(0,M270)</f>
        <v>0</v>
      </c>
      <c r="E271" s="41" t="n">
        <f aca="false">D271*$F$7</f>
        <v>0</v>
      </c>
      <c r="F271" s="41" t="n">
        <f aca="false">IF(D271&gt;0.5,N($C$15),0)</f>
        <v>0</v>
      </c>
      <c r="G271" s="41" t="n">
        <f aca="false">IF(AND(D271&gt;0.5,N($C$19)&gt;0,N(B271)&lt;=N($C$20)),D271*$F$8,0)</f>
        <v>0</v>
      </c>
      <c r="H271" s="41" t="n">
        <f aca="false">IF(D271&lt;=0.5,0,MIN(IF(N(I271)&gt;0,I271,$F$9),D271+E271+F271))</f>
        <v>0</v>
      </c>
      <c r="I271" s="77"/>
      <c r="J271" s="77"/>
      <c r="K271" s="41" t="n">
        <f aca="false">IF(D271&lt;=0.5,0,MIN(H271+N(J271),D271+E271+F271))</f>
        <v>0</v>
      </c>
      <c r="L271" s="41" t="n">
        <f aca="false">K271-E271-F271</f>
        <v>0</v>
      </c>
      <c r="M271" s="41" t="n">
        <f aca="false">D271-L271</f>
        <v>0</v>
      </c>
      <c r="N271" s="42" t="n">
        <f aca="false">K271-G271</f>
        <v>0</v>
      </c>
      <c r="O271" s="78"/>
      <c r="P271" s="79"/>
      <c r="Q271" s="16" t="str">
        <f aca="false">IF(K271=0,"",IF(R271=1,"Pagada",IF(C271&lt;$F$12,"Vencida",IF(245=$F$13,"Próxima","Pendiente"))))</f>
        <v/>
      </c>
      <c r="R271" s="62" t="n">
        <f aca="false">IF(AND(K271&gt;0,OR(O271="Sí",O271="Si")),1,0)</f>
        <v>0</v>
      </c>
      <c r="S271" s="62" t="n">
        <f aca="false">IF(AND(K271&gt;0,R271=0),1,0)</f>
        <v>0</v>
      </c>
    </row>
    <row r="272" customFormat="false" ht="15" hidden="false" customHeight="false" outlineLevel="0" collapsed="false">
      <c r="B272" s="71" t="str">
        <f aca="false">IF($F$6="Sí",N($C$11)+245,"")</f>
        <v/>
      </c>
      <c r="C272" s="72" t="str">
        <f aca="false">IF(OR($F$6&lt;&gt;"Sí",D272&lt;=0.5),"",EDATE($C$10,245))</f>
        <v/>
      </c>
      <c r="D272" s="41" t="n">
        <f aca="false">MAX(0,M271)</f>
        <v>0</v>
      </c>
      <c r="E272" s="41" t="n">
        <f aca="false">D272*$F$7</f>
        <v>0</v>
      </c>
      <c r="F272" s="41" t="n">
        <f aca="false">IF(D272&gt;0.5,N($C$15),0)</f>
        <v>0</v>
      </c>
      <c r="G272" s="41" t="n">
        <f aca="false">IF(AND(D272&gt;0.5,N($C$19)&gt;0,N(B272)&lt;=N($C$20)),D272*$F$8,0)</f>
        <v>0</v>
      </c>
      <c r="H272" s="41" t="n">
        <f aca="false">IF(D272&lt;=0.5,0,MIN(IF(N(I272)&gt;0,I272,$F$9),D272+E272+F272))</f>
        <v>0</v>
      </c>
      <c r="I272" s="77"/>
      <c r="J272" s="77"/>
      <c r="K272" s="41" t="n">
        <f aca="false">IF(D272&lt;=0.5,0,MIN(H272+N(J272),D272+E272+F272))</f>
        <v>0</v>
      </c>
      <c r="L272" s="41" t="n">
        <f aca="false">K272-E272-F272</f>
        <v>0</v>
      </c>
      <c r="M272" s="41" t="n">
        <f aca="false">D272-L272</f>
        <v>0</v>
      </c>
      <c r="N272" s="42" t="n">
        <f aca="false">K272-G272</f>
        <v>0</v>
      </c>
      <c r="O272" s="78"/>
      <c r="P272" s="79"/>
      <c r="Q272" s="16" t="str">
        <f aca="false">IF(K272=0,"",IF(R272=1,"Pagada",IF(C272&lt;$F$12,"Vencida",IF(246=$F$13,"Próxima","Pendiente"))))</f>
        <v/>
      </c>
      <c r="R272" s="62" t="n">
        <f aca="false">IF(AND(K272&gt;0,OR(O272="Sí",O272="Si")),1,0)</f>
        <v>0</v>
      </c>
      <c r="S272" s="62" t="n">
        <f aca="false">IF(AND(K272&gt;0,R272=0),1,0)</f>
        <v>0</v>
      </c>
    </row>
    <row r="273" customFormat="false" ht="15" hidden="false" customHeight="false" outlineLevel="0" collapsed="false">
      <c r="B273" s="71" t="str">
        <f aca="false">IF($F$6="Sí",N($C$11)+246,"")</f>
        <v/>
      </c>
      <c r="C273" s="72" t="str">
        <f aca="false">IF(OR($F$6&lt;&gt;"Sí",D273&lt;=0.5),"",EDATE($C$10,246))</f>
        <v/>
      </c>
      <c r="D273" s="41" t="n">
        <f aca="false">MAX(0,M272)</f>
        <v>0</v>
      </c>
      <c r="E273" s="41" t="n">
        <f aca="false">D273*$F$7</f>
        <v>0</v>
      </c>
      <c r="F273" s="41" t="n">
        <f aca="false">IF(D273&gt;0.5,N($C$15),0)</f>
        <v>0</v>
      </c>
      <c r="G273" s="41" t="n">
        <f aca="false">IF(AND(D273&gt;0.5,N($C$19)&gt;0,N(B273)&lt;=N($C$20)),D273*$F$8,0)</f>
        <v>0</v>
      </c>
      <c r="H273" s="41" t="n">
        <f aca="false">IF(D273&lt;=0.5,0,MIN(IF(N(I273)&gt;0,I273,$F$9),D273+E273+F273))</f>
        <v>0</v>
      </c>
      <c r="I273" s="77"/>
      <c r="J273" s="77"/>
      <c r="K273" s="41" t="n">
        <f aca="false">IF(D273&lt;=0.5,0,MIN(H273+N(J273),D273+E273+F273))</f>
        <v>0</v>
      </c>
      <c r="L273" s="41" t="n">
        <f aca="false">K273-E273-F273</f>
        <v>0</v>
      </c>
      <c r="M273" s="41" t="n">
        <f aca="false">D273-L273</f>
        <v>0</v>
      </c>
      <c r="N273" s="42" t="n">
        <f aca="false">K273-G273</f>
        <v>0</v>
      </c>
      <c r="O273" s="78"/>
      <c r="P273" s="79"/>
      <c r="Q273" s="16" t="str">
        <f aca="false">IF(K273=0,"",IF(R273=1,"Pagada",IF(C273&lt;$F$12,"Vencida",IF(247=$F$13,"Próxima","Pendiente"))))</f>
        <v/>
      </c>
      <c r="R273" s="62" t="n">
        <f aca="false">IF(AND(K273&gt;0,OR(O273="Sí",O273="Si")),1,0)</f>
        <v>0</v>
      </c>
      <c r="S273" s="62" t="n">
        <f aca="false">IF(AND(K273&gt;0,R273=0),1,0)</f>
        <v>0</v>
      </c>
    </row>
    <row r="274" customFormat="false" ht="15" hidden="false" customHeight="false" outlineLevel="0" collapsed="false">
      <c r="B274" s="71" t="str">
        <f aca="false">IF($F$6="Sí",N($C$11)+247,"")</f>
        <v/>
      </c>
      <c r="C274" s="72" t="str">
        <f aca="false">IF(OR($F$6&lt;&gt;"Sí",D274&lt;=0.5),"",EDATE($C$10,247))</f>
        <v/>
      </c>
      <c r="D274" s="41" t="n">
        <f aca="false">MAX(0,M273)</f>
        <v>0</v>
      </c>
      <c r="E274" s="41" t="n">
        <f aca="false">D274*$F$7</f>
        <v>0</v>
      </c>
      <c r="F274" s="41" t="n">
        <f aca="false">IF(D274&gt;0.5,N($C$15),0)</f>
        <v>0</v>
      </c>
      <c r="G274" s="41" t="n">
        <f aca="false">IF(AND(D274&gt;0.5,N($C$19)&gt;0,N(B274)&lt;=N($C$20)),D274*$F$8,0)</f>
        <v>0</v>
      </c>
      <c r="H274" s="41" t="n">
        <f aca="false">IF(D274&lt;=0.5,0,MIN(IF(N(I274)&gt;0,I274,$F$9),D274+E274+F274))</f>
        <v>0</v>
      </c>
      <c r="I274" s="77"/>
      <c r="J274" s="77"/>
      <c r="K274" s="41" t="n">
        <f aca="false">IF(D274&lt;=0.5,0,MIN(H274+N(J274),D274+E274+F274))</f>
        <v>0</v>
      </c>
      <c r="L274" s="41" t="n">
        <f aca="false">K274-E274-F274</f>
        <v>0</v>
      </c>
      <c r="M274" s="41" t="n">
        <f aca="false">D274-L274</f>
        <v>0</v>
      </c>
      <c r="N274" s="42" t="n">
        <f aca="false">K274-G274</f>
        <v>0</v>
      </c>
      <c r="O274" s="78"/>
      <c r="P274" s="79"/>
      <c r="Q274" s="16" t="str">
        <f aca="false">IF(K274=0,"",IF(R274=1,"Pagada",IF(C274&lt;$F$12,"Vencida",IF(248=$F$13,"Próxima","Pendiente"))))</f>
        <v/>
      </c>
      <c r="R274" s="62" t="n">
        <f aca="false">IF(AND(K274&gt;0,OR(O274="Sí",O274="Si")),1,0)</f>
        <v>0</v>
      </c>
      <c r="S274" s="62" t="n">
        <f aca="false">IF(AND(K274&gt;0,R274=0),1,0)</f>
        <v>0</v>
      </c>
    </row>
    <row r="275" customFormat="false" ht="15" hidden="false" customHeight="false" outlineLevel="0" collapsed="false">
      <c r="B275" s="71" t="str">
        <f aca="false">IF($F$6="Sí",N($C$11)+248,"")</f>
        <v/>
      </c>
      <c r="C275" s="72" t="str">
        <f aca="false">IF(OR($F$6&lt;&gt;"Sí",D275&lt;=0.5),"",EDATE($C$10,248))</f>
        <v/>
      </c>
      <c r="D275" s="41" t="n">
        <f aca="false">MAX(0,M274)</f>
        <v>0</v>
      </c>
      <c r="E275" s="41" t="n">
        <f aca="false">D275*$F$7</f>
        <v>0</v>
      </c>
      <c r="F275" s="41" t="n">
        <f aca="false">IF(D275&gt;0.5,N($C$15),0)</f>
        <v>0</v>
      </c>
      <c r="G275" s="41" t="n">
        <f aca="false">IF(AND(D275&gt;0.5,N($C$19)&gt;0,N(B275)&lt;=N($C$20)),D275*$F$8,0)</f>
        <v>0</v>
      </c>
      <c r="H275" s="41" t="n">
        <f aca="false">IF(D275&lt;=0.5,0,MIN(IF(N(I275)&gt;0,I275,$F$9),D275+E275+F275))</f>
        <v>0</v>
      </c>
      <c r="I275" s="77"/>
      <c r="J275" s="77"/>
      <c r="K275" s="41" t="n">
        <f aca="false">IF(D275&lt;=0.5,0,MIN(H275+N(J275),D275+E275+F275))</f>
        <v>0</v>
      </c>
      <c r="L275" s="41" t="n">
        <f aca="false">K275-E275-F275</f>
        <v>0</v>
      </c>
      <c r="M275" s="41" t="n">
        <f aca="false">D275-L275</f>
        <v>0</v>
      </c>
      <c r="N275" s="42" t="n">
        <f aca="false">K275-G275</f>
        <v>0</v>
      </c>
      <c r="O275" s="78"/>
      <c r="P275" s="79"/>
      <c r="Q275" s="16" t="str">
        <f aca="false">IF(K275=0,"",IF(R275=1,"Pagada",IF(C275&lt;$F$12,"Vencida",IF(249=$F$13,"Próxima","Pendiente"))))</f>
        <v/>
      </c>
      <c r="R275" s="62" t="n">
        <f aca="false">IF(AND(K275&gt;0,OR(O275="Sí",O275="Si")),1,0)</f>
        <v>0</v>
      </c>
      <c r="S275" s="62" t="n">
        <f aca="false">IF(AND(K275&gt;0,R275=0),1,0)</f>
        <v>0</v>
      </c>
    </row>
    <row r="276" customFormat="false" ht="15" hidden="false" customHeight="false" outlineLevel="0" collapsed="false">
      <c r="B276" s="71" t="str">
        <f aca="false">IF($F$6="Sí",N($C$11)+249,"")</f>
        <v/>
      </c>
      <c r="C276" s="72" t="str">
        <f aca="false">IF(OR($F$6&lt;&gt;"Sí",D276&lt;=0.5),"",EDATE($C$10,249))</f>
        <v/>
      </c>
      <c r="D276" s="41" t="n">
        <f aca="false">MAX(0,M275)</f>
        <v>0</v>
      </c>
      <c r="E276" s="41" t="n">
        <f aca="false">D276*$F$7</f>
        <v>0</v>
      </c>
      <c r="F276" s="41" t="n">
        <f aca="false">IF(D276&gt;0.5,N($C$15),0)</f>
        <v>0</v>
      </c>
      <c r="G276" s="41" t="n">
        <f aca="false">IF(AND(D276&gt;0.5,N($C$19)&gt;0,N(B276)&lt;=N($C$20)),D276*$F$8,0)</f>
        <v>0</v>
      </c>
      <c r="H276" s="41" t="n">
        <f aca="false">IF(D276&lt;=0.5,0,MIN(IF(N(I276)&gt;0,I276,$F$9),D276+E276+F276))</f>
        <v>0</v>
      </c>
      <c r="I276" s="77"/>
      <c r="J276" s="77"/>
      <c r="K276" s="41" t="n">
        <f aca="false">IF(D276&lt;=0.5,0,MIN(H276+N(J276),D276+E276+F276))</f>
        <v>0</v>
      </c>
      <c r="L276" s="41" t="n">
        <f aca="false">K276-E276-F276</f>
        <v>0</v>
      </c>
      <c r="M276" s="41" t="n">
        <f aca="false">D276-L276</f>
        <v>0</v>
      </c>
      <c r="N276" s="42" t="n">
        <f aca="false">K276-G276</f>
        <v>0</v>
      </c>
      <c r="O276" s="78"/>
      <c r="P276" s="79"/>
      <c r="Q276" s="16" t="str">
        <f aca="false">IF(K276=0,"",IF(R276=1,"Pagada",IF(C276&lt;$F$12,"Vencida",IF(250=$F$13,"Próxima","Pendiente"))))</f>
        <v/>
      </c>
      <c r="R276" s="62" t="n">
        <f aca="false">IF(AND(K276&gt;0,OR(O276="Sí",O276="Si")),1,0)</f>
        <v>0</v>
      </c>
      <c r="S276" s="62" t="n">
        <f aca="false">IF(AND(K276&gt;0,R276=0),1,0)</f>
        <v>0</v>
      </c>
    </row>
    <row r="277" customFormat="false" ht="15" hidden="false" customHeight="false" outlineLevel="0" collapsed="false">
      <c r="B277" s="71" t="str">
        <f aca="false">IF($F$6="Sí",N($C$11)+250,"")</f>
        <v/>
      </c>
      <c r="C277" s="72" t="str">
        <f aca="false">IF(OR($F$6&lt;&gt;"Sí",D277&lt;=0.5),"",EDATE($C$10,250))</f>
        <v/>
      </c>
      <c r="D277" s="41" t="n">
        <f aca="false">MAX(0,M276)</f>
        <v>0</v>
      </c>
      <c r="E277" s="41" t="n">
        <f aca="false">D277*$F$7</f>
        <v>0</v>
      </c>
      <c r="F277" s="41" t="n">
        <f aca="false">IF(D277&gt;0.5,N($C$15),0)</f>
        <v>0</v>
      </c>
      <c r="G277" s="41" t="n">
        <f aca="false">IF(AND(D277&gt;0.5,N($C$19)&gt;0,N(B277)&lt;=N($C$20)),D277*$F$8,0)</f>
        <v>0</v>
      </c>
      <c r="H277" s="41" t="n">
        <f aca="false">IF(D277&lt;=0.5,0,MIN(IF(N(I277)&gt;0,I277,$F$9),D277+E277+F277))</f>
        <v>0</v>
      </c>
      <c r="I277" s="77"/>
      <c r="J277" s="77"/>
      <c r="K277" s="41" t="n">
        <f aca="false">IF(D277&lt;=0.5,0,MIN(H277+N(J277),D277+E277+F277))</f>
        <v>0</v>
      </c>
      <c r="L277" s="41" t="n">
        <f aca="false">K277-E277-F277</f>
        <v>0</v>
      </c>
      <c r="M277" s="41" t="n">
        <f aca="false">D277-L277</f>
        <v>0</v>
      </c>
      <c r="N277" s="42" t="n">
        <f aca="false">K277-G277</f>
        <v>0</v>
      </c>
      <c r="O277" s="78"/>
      <c r="P277" s="79"/>
      <c r="Q277" s="16" t="str">
        <f aca="false">IF(K277=0,"",IF(R277=1,"Pagada",IF(C277&lt;$F$12,"Vencida",IF(251=$F$13,"Próxima","Pendiente"))))</f>
        <v/>
      </c>
      <c r="R277" s="62" t="n">
        <f aca="false">IF(AND(K277&gt;0,OR(O277="Sí",O277="Si")),1,0)</f>
        <v>0</v>
      </c>
      <c r="S277" s="62" t="n">
        <f aca="false">IF(AND(K277&gt;0,R277=0),1,0)</f>
        <v>0</v>
      </c>
    </row>
    <row r="278" customFormat="false" ht="15" hidden="false" customHeight="false" outlineLevel="0" collapsed="false">
      <c r="B278" s="71" t="str">
        <f aca="false">IF($F$6="Sí",N($C$11)+251,"")</f>
        <v/>
      </c>
      <c r="C278" s="72" t="str">
        <f aca="false">IF(OR($F$6&lt;&gt;"Sí",D278&lt;=0.5),"",EDATE($C$10,251))</f>
        <v/>
      </c>
      <c r="D278" s="41" t="n">
        <f aca="false">MAX(0,M277)</f>
        <v>0</v>
      </c>
      <c r="E278" s="41" t="n">
        <f aca="false">D278*$F$7</f>
        <v>0</v>
      </c>
      <c r="F278" s="41" t="n">
        <f aca="false">IF(D278&gt;0.5,N($C$15),0)</f>
        <v>0</v>
      </c>
      <c r="G278" s="41" t="n">
        <f aca="false">IF(AND(D278&gt;0.5,N($C$19)&gt;0,N(B278)&lt;=N($C$20)),D278*$F$8,0)</f>
        <v>0</v>
      </c>
      <c r="H278" s="41" t="n">
        <f aca="false">IF(D278&lt;=0.5,0,MIN(IF(N(I278)&gt;0,I278,$F$9),D278+E278+F278))</f>
        <v>0</v>
      </c>
      <c r="I278" s="77"/>
      <c r="J278" s="77"/>
      <c r="K278" s="41" t="n">
        <f aca="false">IF(D278&lt;=0.5,0,MIN(H278+N(J278),D278+E278+F278))</f>
        <v>0</v>
      </c>
      <c r="L278" s="41" t="n">
        <f aca="false">K278-E278-F278</f>
        <v>0</v>
      </c>
      <c r="M278" s="41" t="n">
        <f aca="false">D278-L278</f>
        <v>0</v>
      </c>
      <c r="N278" s="42" t="n">
        <f aca="false">K278-G278</f>
        <v>0</v>
      </c>
      <c r="O278" s="78"/>
      <c r="P278" s="79"/>
      <c r="Q278" s="16" t="str">
        <f aca="false">IF(K278=0,"",IF(R278=1,"Pagada",IF(C278&lt;$F$12,"Vencida",IF(252=$F$13,"Próxima","Pendiente"))))</f>
        <v/>
      </c>
      <c r="R278" s="62" t="n">
        <f aca="false">IF(AND(K278&gt;0,OR(O278="Sí",O278="Si")),1,0)</f>
        <v>0</v>
      </c>
      <c r="S278" s="62" t="n">
        <f aca="false">IF(AND(K278&gt;0,R278=0),1,0)</f>
        <v>0</v>
      </c>
    </row>
    <row r="279" customFormat="false" ht="15" hidden="false" customHeight="false" outlineLevel="0" collapsed="false">
      <c r="B279" s="71" t="str">
        <f aca="false">IF($F$6="Sí",N($C$11)+252,"")</f>
        <v/>
      </c>
      <c r="C279" s="72" t="str">
        <f aca="false">IF(OR($F$6&lt;&gt;"Sí",D279&lt;=0.5),"",EDATE($C$10,252))</f>
        <v/>
      </c>
      <c r="D279" s="41" t="n">
        <f aca="false">MAX(0,M278)</f>
        <v>0</v>
      </c>
      <c r="E279" s="41" t="n">
        <f aca="false">D279*$F$7</f>
        <v>0</v>
      </c>
      <c r="F279" s="41" t="n">
        <f aca="false">IF(D279&gt;0.5,N($C$15),0)</f>
        <v>0</v>
      </c>
      <c r="G279" s="41" t="n">
        <f aca="false">IF(AND(D279&gt;0.5,N($C$19)&gt;0,N(B279)&lt;=N($C$20)),D279*$F$8,0)</f>
        <v>0</v>
      </c>
      <c r="H279" s="41" t="n">
        <f aca="false">IF(D279&lt;=0.5,0,MIN(IF(N(I279)&gt;0,I279,$F$9),D279+E279+F279))</f>
        <v>0</v>
      </c>
      <c r="I279" s="77"/>
      <c r="J279" s="77"/>
      <c r="K279" s="41" t="n">
        <f aca="false">IF(D279&lt;=0.5,0,MIN(H279+N(J279),D279+E279+F279))</f>
        <v>0</v>
      </c>
      <c r="L279" s="41" t="n">
        <f aca="false">K279-E279-F279</f>
        <v>0</v>
      </c>
      <c r="M279" s="41" t="n">
        <f aca="false">D279-L279</f>
        <v>0</v>
      </c>
      <c r="N279" s="42" t="n">
        <f aca="false">K279-G279</f>
        <v>0</v>
      </c>
      <c r="O279" s="78"/>
      <c r="P279" s="79"/>
      <c r="Q279" s="16" t="str">
        <f aca="false">IF(K279=0,"",IF(R279=1,"Pagada",IF(C279&lt;$F$12,"Vencida",IF(253=$F$13,"Próxima","Pendiente"))))</f>
        <v/>
      </c>
      <c r="R279" s="62" t="n">
        <f aca="false">IF(AND(K279&gt;0,OR(O279="Sí",O279="Si")),1,0)</f>
        <v>0</v>
      </c>
      <c r="S279" s="62" t="n">
        <f aca="false">IF(AND(K279&gt;0,R279=0),1,0)</f>
        <v>0</v>
      </c>
    </row>
    <row r="280" customFormat="false" ht="15" hidden="false" customHeight="false" outlineLevel="0" collapsed="false">
      <c r="B280" s="71" t="str">
        <f aca="false">IF($F$6="Sí",N($C$11)+253,"")</f>
        <v/>
      </c>
      <c r="C280" s="72" t="str">
        <f aca="false">IF(OR($F$6&lt;&gt;"Sí",D280&lt;=0.5),"",EDATE($C$10,253))</f>
        <v/>
      </c>
      <c r="D280" s="41" t="n">
        <f aca="false">MAX(0,M279)</f>
        <v>0</v>
      </c>
      <c r="E280" s="41" t="n">
        <f aca="false">D280*$F$7</f>
        <v>0</v>
      </c>
      <c r="F280" s="41" t="n">
        <f aca="false">IF(D280&gt;0.5,N($C$15),0)</f>
        <v>0</v>
      </c>
      <c r="G280" s="41" t="n">
        <f aca="false">IF(AND(D280&gt;0.5,N($C$19)&gt;0,N(B280)&lt;=N($C$20)),D280*$F$8,0)</f>
        <v>0</v>
      </c>
      <c r="H280" s="41" t="n">
        <f aca="false">IF(D280&lt;=0.5,0,MIN(IF(N(I280)&gt;0,I280,$F$9),D280+E280+F280))</f>
        <v>0</v>
      </c>
      <c r="I280" s="77"/>
      <c r="J280" s="77"/>
      <c r="K280" s="41" t="n">
        <f aca="false">IF(D280&lt;=0.5,0,MIN(H280+N(J280),D280+E280+F280))</f>
        <v>0</v>
      </c>
      <c r="L280" s="41" t="n">
        <f aca="false">K280-E280-F280</f>
        <v>0</v>
      </c>
      <c r="M280" s="41" t="n">
        <f aca="false">D280-L280</f>
        <v>0</v>
      </c>
      <c r="N280" s="42" t="n">
        <f aca="false">K280-G280</f>
        <v>0</v>
      </c>
      <c r="O280" s="78"/>
      <c r="P280" s="79"/>
      <c r="Q280" s="16" t="str">
        <f aca="false">IF(K280=0,"",IF(R280=1,"Pagada",IF(C280&lt;$F$12,"Vencida",IF(254=$F$13,"Próxima","Pendiente"))))</f>
        <v/>
      </c>
      <c r="R280" s="62" t="n">
        <f aca="false">IF(AND(K280&gt;0,OR(O280="Sí",O280="Si")),1,0)</f>
        <v>0</v>
      </c>
      <c r="S280" s="62" t="n">
        <f aca="false">IF(AND(K280&gt;0,R280=0),1,0)</f>
        <v>0</v>
      </c>
    </row>
    <row r="281" customFormat="false" ht="15" hidden="false" customHeight="false" outlineLevel="0" collapsed="false">
      <c r="B281" s="71" t="str">
        <f aca="false">IF($F$6="Sí",N($C$11)+254,"")</f>
        <v/>
      </c>
      <c r="C281" s="72" t="str">
        <f aca="false">IF(OR($F$6&lt;&gt;"Sí",D281&lt;=0.5),"",EDATE($C$10,254))</f>
        <v/>
      </c>
      <c r="D281" s="41" t="n">
        <f aca="false">MAX(0,M280)</f>
        <v>0</v>
      </c>
      <c r="E281" s="41" t="n">
        <f aca="false">D281*$F$7</f>
        <v>0</v>
      </c>
      <c r="F281" s="41" t="n">
        <f aca="false">IF(D281&gt;0.5,N($C$15),0)</f>
        <v>0</v>
      </c>
      <c r="G281" s="41" t="n">
        <f aca="false">IF(AND(D281&gt;0.5,N($C$19)&gt;0,N(B281)&lt;=N($C$20)),D281*$F$8,0)</f>
        <v>0</v>
      </c>
      <c r="H281" s="41" t="n">
        <f aca="false">IF(D281&lt;=0.5,0,MIN(IF(N(I281)&gt;0,I281,$F$9),D281+E281+F281))</f>
        <v>0</v>
      </c>
      <c r="I281" s="77"/>
      <c r="J281" s="77"/>
      <c r="K281" s="41" t="n">
        <f aca="false">IF(D281&lt;=0.5,0,MIN(H281+N(J281),D281+E281+F281))</f>
        <v>0</v>
      </c>
      <c r="L281" s="41" t="n">
        <f aca="false">K281-E281-F281</f>
        <v>0</v>
      </c>
      <c r="M281" s="41" t="n">
        <f aca="false">D281-L281</f>
        <v>0</v>
      </c>
      <c r="N281" s="42" t="n">
        <f aca="false">K281-G281</f>
        <v>0</v>
      </c>
      <c r="O281" s="78"/>
      <c r="P281" s="79"/>
      <c r="Q281" s="16" t="str">
        <f aca="false">IF(K281=0,"",IF(R281=1,"Pagada",IF(C281&lt;$F$12,"Vencida",IF(255=$F$13,"Próxima","Pendiente"))))</f>
        <v/>
      </c>
      <c r="R281" s="62" t="n">
        <f aca="false">IF(AND(K281&gt;0,OR(O281="Sí",O281="Si")),1,0)</f>
        <v>0</v>
      </c>
      <c r="S281" s="62" t="n">
        <f aca="false">IF(AND(K281&gt;0,R281=0),1,0)</f>
        <v>0</v>
      </c>
    </row>
    <row r="282" customFormat="false" ht="15" hidden="false" customHeight="false" outlineLevel="0" collapsed="false">
      <c r="B282" s="71" t="str">
        <f aca="false">IF($F$6="Sí",N($C$11)+255,"")</f>
        <v/>
      </c>
      <c r="C282" s="72" t="str">
        <f aca="false">IF(OR($F$6&lt;&gt;"Sí",D282&lt;=0.5),"",EDATE($C$10,255))</f>
        <v/>
      </c>
      <c r="D282" s="41" t="n">
        <f aca="false">MAX(0,M281)</f>
        <v>0</v>
      </c>
      <c r="E282" s="41" t="n">
        <f aca="false">D282*$F$7</f>
        <v>0</v>
      </c>
      <c r="F282" s="41" t="n">
        <f aca="false">IF(D282&gt;0.5,N($C$15),0)</f>
        <v>0</v>
      </c>
      <c r="G282" s="41" t="n">
        <f aca="false">IF(AND(D282&gt;0.5,N($C$19)&gt;0,N(B282)&lt;=N($C$20)),D282*$F$8,0)</f>
        <v>0</v>
      </c>
      <c r="H282" s="41" t="n">
        <f aca="false">IF(D282&lt;=0.5,0,MIN(IF(N(I282)&gt;0,I282,$F$9),D282+E282+F282))</f>
        <v>0</v>
      </c>
      <c r="I282" s="77"/>
      <c r="J282" s="77"/>
      <c r="K282" s="41" t="n">
        <f aca="false">IF(D282&lt;=0.5,0,MIN(H282+N(J282),D282+E282+F282))</f>
        <v>0</v>
      </c>
      <c r="L282" s="41" t="n">
        <f aca="false">K282-E282-F282</f>
        <v>0</v>
      </c>
      <c r="M282" s="41" t="n">
        <f aca="false">D282-L282</f>
        <v>0</v>
      </c>
      <c r="N282" s="42" t="n">
        <f aca="false">K282-G282</f>
        <v>0</v>
      </c>
      <c r="O282" s="78"/>
      <c r="P282" s="79"/>
      <c r="Q282" s="16" t="str">
        <f aca="false">IF(K282=0,"",IF(R282=1,"Pagada",IF(C282&lt;$F$12,"Vencida",IF(256=$F$13,"Próxima","Pendiente"))))</f>
        <v/>
      </c>
      <c r="R282" s="62" t="n">
        <f aca="false">IF(AND(K282&gt;0,OR(O282="Sí",O282="Si")),1,0)</f>
        <v>0</v>
      </c>
      <c r="S282" s="62" t="n">
        <f aca="false">IF(AND(K282&gt;0,R282=0),1,0)</f>
        <v>0</v>
      </c>
    </row>
    <row r="283" customFormat="false" ht="15" hidden="false" customHeight="false" outlineLevel="0" collapsed="false">
      <c r="B283" s="71" t="str">
        <f aca="false">IF($F$6="Sí",N($C$11)+256,"")</f>
        <v/>
      </c>
      <c r="C283" s="72" t="str">
        <f aca="false">IF(OR($F$6&lt;&gt;"Sí",D283&lt;=0.5),"",EDATE($C$10,256))</f>
        <v/>
      </c>
      <c r="D283" s="41" t="n">
        <f aca="false">MAX(0,M282)</f>
        <v>0</v>
      </c>
      <c r="E283" s="41" t="n">
        <f aca="false">D283*$F$7</f>
        <v>0</v>
      </c>
      <c r="F283" s="41" t="n">
        <f aca="false">IF(D283&gt;0.5,N($C$15),0)</f>
        <v>0</v>
      </c>
      <c r="G283" s="41" t="n">
        <f aca="false">IF(AND(D283&gt;0.5,N($C$19)&gt;0,N(B283)&lt;=N($C$20)),D283*$F$8,0)</f>
        <v>0</v>
      </c>
      <c r="H283" s="41" t="n">
        <f aca="false">IF(D283&lt;=0.5,0,MIN(IF(N(I283)&gt;0,I283,$F$9),D283+E283+F283))</f>
        <v>0</v>
      </c>
      <c r="I283" s="77"/>
      <c r="J283" s="77"/>
      <c r="K283" s="41" t="n">
        <f aca="false">IF(D283&lt;=0.5,0,MIN(H283+N(J283),D283+E283+F283))</f>
        <v>0</v>
      </c>
      <c r="L283" s="41" t="n">
        <f aca="false">K283-E283-F283</f>
        <v>0</v>
      </c>
      <c r="M283" s="41" t="n">
        <f aca="false">D283-L283</f>
        <v>0</v>
      </c>
      <c r="N283" s="42" t="n">
        <f aca="false">K283-G283</f>
        <v>0</v>
      </c>
      <c r="O283" s="78"/>
      <c r="P283" s="79"/>
      <c r="Q283" s="16" t="str">
        <f aca="false">IF(K283=0,"",IF(R283=1,"Pagada",IF(C283&lt;$F$12,"Vencida",IF(257=$F$13,"Próxima","Pendiente"))))</f>
        <v/>
      </c>
      <c r="R283" s="62" t="n">
        <f aca="false">IF(AND(K283&gt;0,OR(O283="Sí",O283="Si")),1,0)</f>
        <v>0</v>
      </c>
      <c r="S283" s="62" t="n">
        <f aca="false">IF(AND(K283&gt;0,R283=0),1,0)</f>
        <v>0</v>
      </c>
    </row>
    <row r="284" customFormat="false" ht="15" hidden="false" customHeight="false" outlineLevel="0" collapsed="false">
      <c r="B284" s="71" t="str">
        <f aca="false">IF($F$6="Sí",N($C$11)+257,"")</f>
        <v/>
      </c>
      <c r="C284" s="72" t="str">
        <f aca="false">IF(OR($F$6&lt;&gt;"Sí",D284&lt;=0.5),"",EDATE($C$10,257))</f>
        <v/>
      </c>
      <c r="D284" s="41" t="n">
        <f aca="false">MAX(0,M283)</f>
        <v>0</v>
      </c>
      <c r="E284" s="41" t="n">
        <f aca="false">D284*$F$7</f>
        <v>0</v>
      </c>
      <c r="F284" s="41" t="n">
        <f aca="false">IF(D284&gt;0.5,N($C$15),0)</f>
        <v>0</v>
      </c>
      <c r="G284" s="41" t="n">
        <f aca="false">IF(AND(D284&gt;0.5,N($C$19)&gt;0,N(B284)&lt;=N($C$20)),D284*$F$8,0)</f>
        <v>0</v>
      </c>
      <c r="H284" s="41" t="n">
        <f aca="false">IF(D284&lt;=0.5,0,MIN(IF(N(I284)&gt;0,I284,$F$9),D284+E284+F284))</f>
        <v>0</v>
      </c>
      <c r="I284" s="77"/>
      <c r="J284" s="77"/>
      <c r="K284" s="41" t="n">
        <f aca="false">IF(D284&lt;=0.5,0,MIN(H284+N(J284),D284+E284+F284))</f>
        <v>0</v>
      </c>
      <c r="L284" s="41" t="n">
        <f aca="false">K284-E284-F284</f>
        <v>0</v>
      </c>
      <c r="M284" s="41" t="n">
        <f aca="false">D284-L284</f>
        <v>0</v>
      </c>
      <c r="N284" s="42" t="n">
        <f aca="false">K284-G284</f>
        <v>0</v>
      </c>
      <c r="O284" s="78"/>
      <c r="P284" s="79"/>
      <c r="Q284" s="16" t="str">
        <f aca="false">IF(K284=0,"",IF(R284=1,"Pagada",IF(C284&lt;$F$12,"Vencida",IF(258=$F$13,"Próxima","Pendiente"))))</f>
        <v/>
      </c>
      <c r="R284" s="62" t="n">
        <f aca="false">IF(AND(K284&gt;0,OR(O284="Sí",O284="Si")),1,0)</f>
        <v>0</v>
      </c>
      <c r="S284" s="62" t="n">
        <f aca="false">IF(AND(K284&gt;0,R284=0),1,0)</f>
        <v>0</v>
      </c>
    </row>
    <row r="285" customFormat="false" ht="15" hidden="false" customHeight="false" outlineLevel="0" collapsed="false">
      <c r="B285" s="71" t="str">
        <f aca="false">IF($F$6="Sí",N($C$11)+258,"")</f>
        <v/>
      </c>
      <c r="C285" s="72" t="str">
        <f aca="false">IF(OR($F$6&lt;&gt;"Sí",D285&lt;=0.5),"",EDATE($C$10,258))</f>
        <v/>
      </c>
      <c r="D285" s="41" t="n">
        <f aca="false">MAX(0,M284)</f>
        <v>0</v>
      </c>
      <c r="E285" s="41" t="n">
        <f aca="false">D285*$F$7</f>
        <v>0</v>
      </c>
      <c r="F285" s="41" t="n">
        <f aca="false">IF(D285&gt;0.5,N($C$15),0)</f>
        <v>0</v>
      </c>
      <c r="G285" s="41" t="n">
        <f aca="false">IF(AND(D285&gt;0.5,N($C$19)&gt;0,N(B285)&lt;=N($C$20)),D285*$F$8,0)</f>
        <v>0</v>
      </c>
      <c r="H285" s="41" t="n">
        <f aca="false">IF(D285&lt;=0.5,0,MIN(IF(N(I285)&gt;0,I285,$F$9),D285+E285+F285))</f>
        <v>0</v>
      </c>
      <c r="I285" s="77"/>
      <c r="J285" s="77"/>
      <c r="K285" s="41" t="n">
        <f aca="false">IF(D285&lt;=0.5,0,MIN(H285+N(J285),D285+E285+F285))</f>
        <v>0</v>
      </c>
      <c r="L285" s="41" t="n">
        <f aca="false">K285-E285-F285</f>
        <v>0</v>
      </c>
      <c r="M285" s="41" t="n">
        <f aca="false">D285-L285</f>
        <v>0</v>
      </c>
      <c r="N285" s="42" t="n">
        <f aca="false">K285-G285</f>
        <v>0</v>
      </c>
      <c r="O285" s="78"/>
      <c r="P285" s="79"/>
      <c r="Q285" s="16" t="str">
        <f aca="false">IF(K285=0,"",IF(R285=1,"Pagada",IF(C285&lt;$F$12,"Vencida",IF(259=$F$13,"Próxima","Pendiente"))))</f>
        <v/>
      </c>
      <c r="R285" s="62" t="n">
        <f aca="false">IF(AND(K285&gt;0,OR(O285="Sí",O285="Si")),1,0)</f>
        <v>0</v>
      </c>
      <c r="S285" s="62" t="n">
        <f aca="false">IF(AND(K285&gt;0,R285=0),1,0)</f>
        <v>0</v>
      </c>
    </row>
    <row r="286" customFormat="false" ht="15" hidden="false" customHeight="false" outlineLevel="0" collapsed="false">
      <c r="B286" s="71" t="str">
        <f aca="false">IF($F$6="Sí",N($C$11)+259,"")</f>
        <v/>
      </c>
      <c r="C286" s="72" t="str">
        <f aca="false">IF(OR($F$6&lt;&gt;"Sí",D286&lt;=0.5),"",EDATE($C$10,259))</f>
        <v/>
      </c>
      <c r="D286" s="41" t="n">
        <f aca="false">MAX(0,M285)</f>
        <v>0</v>
      </c>
      <c r="E286" s="41" t="n">
        <f aca="false">D286*$F$7</f>
        <v>0</v>
      </c>
      <c r="F286" s="41" t="n">
        <f aca="false">IF(D286&gt;0.5,N($C$15),0)</f>
        <v>0</v>
      </c>
      <c r="G286" s="41" t="n">
        <f aca="false">IF(AND(D286&gt;0.5,N($C$19)&gt;0,N(B286)&lt;=N($C$20)),D286*$F$8,0)</f>
        <v>0</v>
      </c>
      <c r="H286" s="41" t="n">
        <f aca="false">IF(D286&lt;=0.5,0,MIN(IF(N(I286)&gt;0,I286,$F$9),D286+E286+F286))</f>
        <v>0</v>
      </c>
      <c r="I286" s="77"/>
      <c r="J286" s="77"/>
      <c r="K286" s="41" t="n">
        <f aca="false">IF(D286&lt;=0.5,0,MIN(H286+N(J286),D286+E286+F286))</f>
        <v>0</v>
      </c>
      <c r="L286" s="41" t="n">
        <f aca="false">K286-E286-F286</f>
        <v>0</v>
      </c>
      <c r="M286" s="41" t="n">
        <f aca="false">D286-L286</f>
        <v>0</v>
      </c>
      <c r="N286" s="42" t="n">
        <f aca="false">K286-G286</f>
        <v>0</v>
      </c>
      <c r="O286" s="78"/>
      <c r="P286" s="79"/>
      <c r="Q286" s="16" t="str">
        <f aca="false">IF(K286=0,"",IF(R286=1,"Pagada",IF(C286&lt;$F$12,"Vencida",IF(260=$F$13,"Próxima","Pendiente"))))</f>
        <v/>
      </c>
      <c r="R286" s="62" t="n">
        <f aca="false">IF(AND(K286&gt;0,OR(O286="Sí",O286="Si")),1,0)</f>
        <v>0</v>
      </c>
      <c r="S286" s="62" t="n">
        <f aca="false">IF(AND(K286&gt;0,R286=0),1,0)</f>
        <v>0</v>
      </c>
    </row>
    <row r="287" customFormat="false" ht="15" hidden="false" customHeight="false" outlineLevel="0" collapsed="false">
      <c r="B287" s="71" t="str">
        <f aca="false">IF($F$6="Sí",N($C$11)+260,"")</f>
        <v/>
      </c>
      <c r="C287" s="72" t="str">
        <f aca="false">IF(OR($F$6&lt;&gt;"Sí",D287&lt;=0.5),"",EDATE($C$10,260))</f>
        <v/>
      </c>
      <c r="D287" s="41" t="n">
        <f aca="false">MAX(0,M286)</f>
        <v>0</v>
      </c>
      <c r="E287" s="41" t="n">
        <f aca="false">D287*$F$7</f>
        <v>0</v>
      </c>
      <c r="F287" s="41" t="n">
        <f aca="false">IF(D287&gt;0.5,N($C$15),0)</f>
        <v>0</v>
      </c>
      <c r="G287" s="41" t="n">
        <f aca="false">IF(AND(D287&gt;0.5,N($C$19)&gt;0,N(B287)&lt;=N($C$20)),D287*$F$8,0)</f>
        <v>0</v>
      </c>
      <c r="H287" s="41" t="n">
        <f aca="false">IF(D287&lt;=0.5,0,MIN(IF(N(I287)&gt;0,I287,$F$9),D287+E287+F287))</f>
        <v>0</v>
      </c>
      <c r="I287" s="77"/>
      <c r="J287" s="77"/>
      <c r="K287" s="41" t="n">
        <f aca="false">IF(D287&lt;=0.5,0,MIN(H287+N(J287),D287+E287+F287))</f>
        <v>0</v>
      </c>
      <c r="L287" s="41" t="n">
        <f aca="false">K287-E287-F287</f>
        <v>0</v>
      </c>
      <c r="M287" s="41" t="n">
        <f aca="false">D287-L287</f>
        <v>0</v>
      </c>
      <c r="N287" s="42" t="n">
        <f aca="false">K287-G287</f>
        <v>0</v>
      </c>
      <c r="O287" s="78"/>
      <c r="P287" s="79"/>
      <c r="Q287" s="16" t="str">
        <f aca="false">IF(K287=0,"",IF(R287=1,"Pagada",IF(C287&lt;$F$12,"Vencida",IF(261=$F$13,"Próxima","Pendiente"))))</f>
        <v/>
      </c>
      <c r="R287" s="62" t="n">
        <f aca="false">IF(AND(K287&gt;0,OR(O287="Sí",O287="Si")),1,0)</f>
        <v>0</v>
      </c>
      <c r="S287" s="62" t="n">
        <f aca="false">IF(AND(K287&gt;0,R287=0),1,0)</f>
        <v>0</v>
      </c>
    </row>
    <row r="288" customFormat="false" ht="15" hidden="false" customHeight="false" outlineLevel="0" collapsed="false">
      <c r="B288" s="71" t="str">
        <f aca="false">IF($F$6="Sí",N($C$11)+261,"")</f>
        <v/>
      </c>
      <c r="C288" s="72" t="str">
        <f aca="false">IF(OR($F$6&lt;&gt;"Sí",D288&lt;=0.5),"",EDATE($C$10,261))</f>
        <v/>
      </c>
      <c r="D288" s="41" t="n">
        <f aca="false">MAX(0,M287)</f>
        <v>0</v>
      </c>
      <c r="E288" s="41" t="n">
        <f aca="false">D288*$F$7</f>
        <v>0</v>
      </c>
      <c r="F288" s="41" t="n">
        <f aca="false">IF(D288&gt;0.5,N($C$15),0)</f>
        <v>0</v>
      </c>
      <c r="G288" s="41" t="n">
        <f aca="false">IF(AND(D288&gt;0.5,N($C$19)&gt;0,N(B288)&lt;=N($C$20)),D288*$F$8,0)</f>
        <v>0</v>
      </c>
      <c r="H288" s="41" t="n">
        <f aca="false">IF(D288&lt;=0.5,0,MIN(IF(N(I288)&gt;0,I288,$F$9),D288+E288+F288))</f>
        <v>0</v>
      </c>
      <c r="I288" s="77"/>
      <c r="J288" s="77"/>
      <c r="K288" s="41" t="n">
        <f aca="false">IF(D288&lt;=0.5,0,MIN(H288+N(J288),D288+E288+F288))</f>
        <v>0</v>
      </c>
      <c r="L288" s="41" t="n">
        <f aca="false">K288-E288-F288</f>
        <v>0</v>
      </c>
      <c r="M288" s="41" t="n">
        <f aca="false">D288-L288</f>
        <v>0</v>
      </c>
      <c r="N288" s="42" t="n">
        <f aca="false">K288-G288</f>
        <v>0</v>
      </c>
      <c r="O288" s="78"/>
      <c r="P288" s="79"/>
      <c r="Q288" s="16" t="str">
        <f aca="false">IF(K288=0,"",IF(R288=1,"Pagada",IF(C288&lt;$F$12,"Vencida",IF(262=$F$13,"Próxima","Pendiente"))))</f>
        <v/>
      </c>
      <c r="R288" s="62" t="n">
        <f aca="false">IF(AND(K288&gt;0,OR(O288="Sí",O288="Si")),1,0)</f>
        <v>0</v>
      </c>
      <c r="S288" s="62" t="n">
        <f aca="false">IF(AND(K288&gt;0,R288=0),1,0)</f>
        <v>0</v>
      </c>
    </row>
    <row r="289" customFormat="false" ht="15" hidden="false" customHeight="false" outlineLevel="0" collapsed="false">
      <c r="B289" s="71" t="str">
        <f aca="false">IF($F$6="Sí",N($C$11)+262,"")</f>
        <v/>
      </c>
      <c r="C289" s="72" t="str">
        <f aca="false">IF(OR($F$6&lt;&gt;"Sí",D289&lt;=0.5),"",EDATE($C$10,262))</f>
        <v/>
      </c>
      <c r="D289" s="41" t="n">
        <f aca="false">MAX(0,M288)</f>
        <v>0</v>
      </c>
      <c r="E289" s="41" t="n">
        <f aca="false">D289*$F$7</f>
        <v>0</v>
      </c>
      <c r="F289" s="41" t="n">
        <f aca="false">IF(D289&gt;0.5,N($C$15),0)</f>
        <v>0</v>
      </c>
      <c r="G289" s="41" t="n">
        <f aca="false">IF(AND(D289&gt;0.5,N($C$19)&gt;0,N(B289)&lt;=N($C$20)),D289*$F$8,0)</f>
        <v>0</v>
      </c>
      <c r="H289" s="41" t="n">
        <f aca="false">IF(D289&lt;=0.5,0,MIN(IF(N(I289)&gt;0,I289,$F$9),D289+E289+F289))</f>
        <v>0</v>
      </c>
      <c r="I289" s="77"/>
      <c r="J289" s="77"/>
      <c r="K289" s="41" t="n">
        <f aca="false">IF(D289&lt;=0.5,0,MIN(H289+N(J289),D289+E289+F289))</f>
        <v>0</v>
      </c>
      <c r="L289" s="41" t="n">
        <f aca="false">K289-E289-F289</f>
        <v>0</v>
      </c>
      <c r="M289" s="41" t="n">
        <f aca="false">D289-L289</f>
        <v>0</v>
      </c>
      <c r="N289" s="42" t="n">
        <f aca="false">K289-G289</f>
        <v>0</v>
      </c>
      <c r="O289" s="78"/>
      <c r="P289" s="79"/>
      <c r="Q289" s="16" t="str">
        <f aca="false">IF(K289=0,"",IF(R289=1,"Pagada",IF(C289&lt;$F$12,"Vencida",IF(263=$F$13,"Próxima","Pendiente"))))</f>
        <v/>
      </c>
      <c r="R289" s="62" t="n">
        <f aca="false">IF(AND(K289&gt;0,OR(O289="Sí",O289="Si")),1,0)</f>
        <v>0</v>
      </c>
      <c r="S289" s="62" t="n">
        <f aca="false">IF(AND(K289&gt;0,R289=0),1,0)</f>
        <v>0</v>
      </c>
    </row>
    <row r="290" customFormat="false" ht="15" hidden="false" customHeight="false" outlineLevel="0" collapsed="false">
      <c r="B290" s="71" t="str">
        <f aca="false">IF($F$6="Sí",N($C$11)+263,"")</f>
        <v/>
      </c>
      <c r="C290" s="72" t="str">
        <f aca="false">IF(OR($F$6&lt;&gt;"Sí",D290&lt;=0.5),"",EDATE($C$10,263))</f>
        <v/>
      </c>
      <c r="D290" s="41" t="n">
        <f aca="false">MAX(0,M289)</f>
        <v>0</v>
      </c>
      <c r="E290" s="41" t="n">
        <f aca="false">D290*$F$7</f>
        <v>0</v>
      </c>
      <c r="F290" s="41" t="n">
        <f aca="false">IF(D290&gt;0.5,N($C$15),0)</f>
        <v>0</v>
      </c>
      <c r="G290" s="41" t="n">
        <f aca="false">IF(AND(D290&gt;0.5,N($C$19)&gt;0,N(B290)&lt;=N($C$20)),D290*$F$8,0)</f>
        <v>0</v>
      </c>
      <c r="H290" s="41" t="n">
        <f aca="false">IF(D290&lt;=0.5,0,MIN(IF(N(I290)&gt;0,I290,$F$9),D290+E290+F290))</f>
        <v>0</v>
      </c>
      <c r="I290" s="77"/>
      <c r="J290" s="77"/>
      <c r="K290" s="41" t="n">
        <f aca="false">IF(D290&lt;=0.5,0,MIN(H290+N(J290),D290+E290+F290))</f>
        <v>0</v>
      </c>
      <c r="L290" s="41" t="n">
        <f aca="false">K290-E290-F290</f>
        <v>0</v>
      </c>
      <c r="M290" s="41" t="n">
        <f aca="false">D290-L290</f>
        <v>0</v>
      </c>
      <c r="N290" s="42" t="n">
        <f aca="false">K290-G290</f>
        <v>0</v>
      </c>
      <c r="O290" s="78"/>
      <c r="P290" s="79"/>
      <c r="Q290" s="16" t="str">
        <f aca="false">IF(K290=0,"",IF(R290=1,"Pagada",IF(C290&lt;$F$12,"Vencida",IF(264=$F$13,"Próxima","Pendiente"))))</f>
        <v/>
      </c>
      <c r="R290" s="62" t="n">
        <f aca="false">IF(AND(K290&gt;0,OR(O290="Sí",O290="Si")),1,0)</f>
        <v>0</v>
      </c>
      <c r="S290" s="62" t="n">
        <f aca="false">IF(AND(K290&gt;0,R290=0),1,0)</f>
        <v>0</v>
      </c>
    </row>
    <row r="291" customFormat="false" ht="15" hidden="false" customHeight="false" outlineLevel="0" collapsed="false">
      <c r="B291" s="71" t="str">
        <f aca="false">IF($F$6="Sí",N($C$11)+264,"")</f>
        <v/>
      </c>
      <c r="C291" s="72" t="str">
        <f aca="false">IF(OR($F$6&lt;&gt;"Sí",D291&lt;=0.5),"",EDATE($C$10,264))</f>
        <v/>
      </c>
      <c r="D291" s="41" t="n">
        <f aca="false">MAX(0,M290)</f>
        <v>0</v>
      </c>
      <c r="E291" s="41" t="n">
        <f aca="false">D291*$F$7</f>
        <v>0</v>
      </c>
      <c r="F291" s="41" t="n">
        <f aca="false">IF(D291&gt;0.5,N($C$15),0)</f>
        <v>0</v>
      </c>
      <c r="G291" s="41" t="n">
        <f aca="false">IF(AND(D291&gt;0.5,N($C$19)&gt;0,N(B291)&lt;=N($C$20)),D291*$F$8,0)</f>
        <v>0</v>
      </c>
      <c r="H291" s="41" t="n">
        <f aca="false">IF(D291&lt;=0.5,0,MIN(IF(N(I291)&gt;0,I291,$F$9),D291+E291+F291))</f>
        <v>0</v>
      </c>
      <c r="I291" s="77"/>
      <c r="J291" s="77"/>
      <c r="K291" s="41" t="n">
        <f aca="false">IF(D291&lt;=0.5,0,MIN(H291+N(J291),D291+E291+F291))</f>
        <v>0</v>
      </c>
      <c r="L291" s="41" t="n">
        <f aca="false">K291-E291-F291</f>
        <v>0</v>
      </c>
      <c r="M291" s="41" t="n">
        <f aca="false">D291-L291</f>
        <v>0</v>
      </c>
      <c r="N291" s="42" t="n">
        <f aca="false">K291-G291</f>
        <v>0</v>
      </c>
      <c r="O291" s="78"/>
      <c r="P291" s="79"/>
      <c r="Q291" s="16" t="str">
        <f aca="false">IF(K291=0,"",IF(R291=1,"Pagada",IF(C291&lt;$F$12,"Vencida",IF(265=$F$13,"Próxima","Pendiente"))))</f>
        <v/>
      </c>
      <c r="R291" s="62" t="n">
        <f aca="false">IF(AND(K291&gt;0,OR(O291="Sí",O291="Si")),1,0)</f>
        <v>0</v>
      </c>
      <c r="S291" s="62" t="n">
        <f aca="false">IF(AND(K291&gt;0,R291=0),1,0)</f>
        <v>0</v>
      </c>
    </row>
    <row r="292" customFormat="false" ht="15" hidden="false" customHeight="false" outlineLevel="0" collapsed="false">
      <c r="B292" s="71" t="str">
        <f aca="false">IF($F$6="Sí",N($C$11)+265,"")</f>
        <v/>
      </c>
      <c r="C292" s="72" t="str">
        <f aca="false">IF(OR($F$6&lt;&gt;"Sí",D292&lt;=0.5),"",EDATE($C$10,265))</f>
        <v/>
      </c>
      <c r="D292" s="41" t="n">
        <f aca="false">MAX(0,M291)</f>
        <v>0</v>
      </c>
      <c r="E292" s="41" t="n">
        <f aca="false">D292*$F$7</f>
        <v>0</v>
      </c>
      <c r="F292" s="41" t="n">
        <f aca="false">IF(D292&gt;0.5,N($C$15),0)</f>
        <v>0</v>
      </c>
      <c r="G292" s="41" t="n">
        <f aca="false">IF(AND(D292&gt;0.5,N($C$19)&gt;0,N(B292)&lt;=N($C$20)),D292*$F$8,0)</f>
        <v>0</v>
      </c>
      <c r="H292" s="41" t="n">
        <f aca="false">IF(D292&lt;=0.5,0,MIN(IF(N(I292)&gt;0,I292,$F$9),D292+E292+F292))</f>
        <v>0</v>
      </c>
      <c r="I292" s="77"/>
      <c r="J292" s="77"/>
      <c r="K292" s="41" t="n">
        <f aca="false">IF(D292&lt;=0.5,0,MIN(H292+N(J292),D292+E292+F292))</f>
        <v>0</v>
      </c>
      <c r="L292" s="41" t="n">
        <f aca="false">K292-E292-F292</f>
        <v>0</v>
      </c>
      <c r="M292" s="41" t="n">
        <f aca="false">D292-L292</f>
        <v>0</v>
      </c>
      <c r="N292" s="42" t="n">
        <f aca="false">K292-G292</f>
        <v>0</v>
      </c>
      <c r="O292" s="78"/>
      <c r="P292" s="79"/>
      <c r="Q292" s="16" t="str">
        <f aca="false">IF(K292=0,"",IF(R292=1,"Pagada",IF(C292&lt;$F$12,"Vencida",IF(266=$F$13,"Próxima","Pendiente"))))</f>
        <v/>
      </c>
      <c r="R292" s="62" t="n">
        <f aca="false">IF(AND(K292&gt;0,OR(O292="Sí",O292="Si")),1,0)</f>
        <v>0</v>
      </c>
      <c r="S292" s="62" t="n">
        <f aca="false">IF(AND(K292&gt;0,R292=0),1,0)</f>
        <v>0</v>
      </c>
    </row>
    <row r="293" customFormat="false" ht="15" hidden="false" customHeight="false" outlineLevel="0" collapsed="false">
      <c r="B293" s="71" t="str">
        <f aca="false">IF($F$6="Sí",N($C$11)+266,"")</f>
        <v/>
      </c>
      <c r="C293" s="72" t="str">
        <f aca="false">IF(OR($F$6&lt;&gt;"Sí",D293&lt;=0.5),"",EDATE($C$10,266))</f>
        <v/>
      </c>
      <c r="D293" s="41" t="n">
        <f aca="false">MAX(0,M292)</f>
        <v>0</v>
      </c>
      <c r="E293" s="41" t="n">
        <f aca="false">D293*$F$7</f>
        <v>0</v>
      </c>
      <c r="F293" s="41" t="n">
        <f aca="false">IF(D293&gt;0.5,N($C$15),0)</f>
        <v>0</v>
      </c>
      <c r="G293" s="41" t="n">
        <f aca="false">IF(AND(D293&gt;0.5,N($C$19)&gt;0,N(B293)&lt;=N($C$20)),D293*$F$8,0)</f>
        <v>0</v>
      </c>
      <c r="H293" s="41" t="n">
        <f aca="false">IF(D293&lt;=0.5,0,MIN(IF(N(I293)&gt;0,I293,$F$9),D293+E293+F293))</f>
        <v>0</v>
      </c>
      <c r="I293" s="77"/>
      <c r="J293" s="77"/>
      <c r="K293" s="41" t="n">
        <f aca="false">IF(D293&lt;=0.5,0,MIN(H293+N(J293),D293+E293+F293))</f>
        <v>0</v>
      </c>
      <c r="L293" s="41" t="n">
        <f aca="false">K293-E293-F293</f>
        <v>0</v>
      </c>
      <c r="M293" s="41" t="n">
        <f aca="false">D293-L293</f>
        <v>0</v>
      </c>
      <c r="N293" s="42" t="n">
        <f aca="false">K293-G293</f>
        <v>0</v>
      </c>
      <c r="O293" s="78"/>
      <c r="P293" s="79"/>
      <c r="Q293" s="16" t="str">
        <f aca="false">IF(K293=0,"",IF(R293=1,"Pagada",IF(C293&lt;$F$12,"Vencida",IF(267=$F$13,"Próxima","Pendiente"))))</f>
        <v/>
      </c>
      <c r="R293" s="62" t="n">
        <f aca="false">IF(AND(K293&gt;0,OR(O293="Sí",O293="Si")),1,0)</f>
        <v>0</v>
      </c>
      <c r="S293" s="62" t="n">
        <f aca="false">IF(AND(K293&gt;0,R293=0),1,0)</f>
        <v>0</v>
      </c>
    </row>
    <row r="294" customFormat="false" ht="15" hidden="false" customHeight="false" outlineLevel="0" collapsed="false">
      <c r="B294" s="71" t="str">
        <f aca="false">IF($F$6="Sí",N($C$11)+267,"")</f>
        <v/>
      </c>
      <c r="C294" s="72" t="str">
        <f aca="false">IF(OR($F$6&lt;&gt;"Sí",D294&lt;=0.5),"",EDATE($C$10,267))</f>
        <v/>
      </c>
      <c r="D294" s="41" t="n">
        <f aca="false">MAX(0,M293)</f>
        <v>0</v>
      </c>
      <c r="E294" s="41" t="n">
        <f aca="false">D294*$F$7</f>
        <v>0</v>
      </c>
      <c r="F294" s="41" t="n">
        <f aca="false">IF(D294&gt;0.5,N($C$15),0)</f>
        <v>0</v>
      </c>
      <c r="G294" s="41" t="n">
        <f aca="false">IF(AND(D294&gt;0.5,N($C$19)&gt;0,N(B294)&lt;=N($C$20)),D294*$F$8,0)</f>
        <v>0</v>
      </c>
      <c r="H294" s="41" t="n">
        <f aca="false">IF(D294&lt;=0.5,0,MIN(IF(N(I294)&gt;0,I294,$F$9),D294+E294+F294))</f>
        <v>0</v>
      </c>
      <c r="I294" s="77"/>
      <c r="J294" s="77"/>
      <c r="K294" s="41" t="n">
        <f aca="false">IF(D294&lt;=0.5,0,MIN(H294+N(J294),D294+E294+F294))</f>
        <v>0</v>
      </c>
      <c r="L294" s="41" t="n">
        <f aca="false">K294-E294-F294</f>
        <v>0</v>
      </c>
      <c r="M294" s="41" t="n">
        <f aca="false">D294-L294</f>
        <v>0</v>
      </c>
      <c r="N294" s="42" t="n">
        <f aca="false">K294-G294</f>
        <v>0</v>
      </c>
      <c r="O294" s="78"/>
      <c r="P294" s="79"/>
      <c r="Q294" s="16" t="str">
        <f aca="false">IF(K294=0,"",IF(R294=1,"Pagada",IF(C294&lt;$F$12,"Vencida",IF(268=$F$13,"Próxima","Pendiente"))))</f>
        <v/>
      </c>
      <c r="R294" s="62" t="n">
        <f aca="false">IF(AND(K294&gt;0,OR(O294="Sí",O294="Si")),1,0)</f>
        <v>0</v>
      </c>
      <c r="S294" s="62" t="n">
        <f aca="false">IF(AND(K294&gt;0,R294=0),1,0)</f>
        <v>0</v>
      </c>
    </row>
    <row r="295" customFormat="false" ht="15" hidden="false" customHeight="false" outlineLevel="0" collapsed="false">
      <c r="B295" s="71" t="str">
        <f aca="false">IF($F$6="Sí",N($C$11)+268,"")</f>
        <v/>
      </c>
      <c r="C295" s="72" t="str">
        <f aca="false">IF(OR($F$6&lt;&gt;"Sí",D295&lt;=0.5),"",EDATE($C$10,268))</f>
        <v/>
      </c>
      <c r="D295" s="41" t="n">
        <f aca="false">MAX(0,M294)</f>
        <v>0</v>
      </c>
      <c r="E295" s="41" t="n">
        <f aca="false">D295*$F$7</f>
        <v>0</v>
      </c>
      <c r="F295" s="41" t="n">
        <f aca="false">IF(D295&gt;0.5,N($C$15),0)</f>
        <v>0</v>
      </c>
      <c r="G295" s="41" t="n">
        <f aca="false">IF(AND(D295&gt;0.5,N($C$19)&gt;0,N(B295)&lt;=N($C$20)),D295*$F$8,0)</f>
        <v>0</v>
      </c>
      <c r="H295" s="41" t="n">
        <f aca="false">IF(D295&lt;=0.5,0,MIN(IF(N(I295)&gt;0,I295,$F$9),D295+E295+F295))</f>
        <v>0</v>
      </c>
      <c r="I295" s="77"/>
      <c r="J295" s="77"/>
      <c r="K295" s="41" t="n">
        <f aca="false">IF(D295&lt;=0.5,0,MIN(H295+N(J295),D295+E295+F295))</f>
        <v>0</v>
      </c>
      <c r="L295" s="41" t="n">
        <f aca="false">K295-E295-F295</f>
        <v>0</v>
      </c>
      <c r="M295" s="41" t="n">
        <f aca="false">D295-L295</f>
        <v>0</v>
      </c>
      <c r="N295" s="42" t="n">
        <f aca="false">K295-G295</f>
        <v>0</v>
      </c>
      <c r="O295" s="78"/>
      <c r="P295" s="79"/>
      <c r="Q295" s="16" t="str">
        <f aca="false">IF(K295=0,"",IF(R295=1,"Pagada",IF(C295&lt;$F$12,"Vencida",IF(269=$F$13,"Próxima","Pendiente"))))</f>
        <v/>
      </c>
      <c r="R295" s="62" t="n">
        <f aca="false">IF(AND(K295&gt;0,OR(O295="Sí",O295="Si")),1,0)</f>
        <v>0</v>
      </c>
      <c r="S295" s="62" t="n">
        <f aca="false">IF(AND(K295&gt;0,R295=0),1,0)</f>
        <v>0</v>
      </c>
    </row>
    <row r="296" customFormat="false" ht="15" hidden="false" customHeight="false" outlineLevel="0" collapsed="false">
      <c r="B296" s="71" t="str">
        <f aca="false">IF($F$6="Sí",N($C$11)+269,"")</f>
        <v/>
      </c>
      <c r="C296" s="72" t="str">
        <f aca="false">IF(OR($F$6&lt;&gt;"Sí",D296&lt;=0.5),"",EDATE($C$10,269))</f>
        <v/>
      </c>
      <c r="D296" s="41" t="n">
        <f aca="false">MAX(0,M295)</f>
        <v>0</v>
      </c>
      <c r="E296" s="41" t="n">
        <f aca="false">D296*$F$7</f>
        <v>0</v>
      </c>
      <c r="F296" s="41" t="n">
        <f aca="false">IF(D296&gt;0.5,N($C$15),0)</f>
        <v>0</v>
      </c>
      <c r="G296" s="41" t="n">
        <f aca="false">IF(AND(D296&gt;0.5,N($C$19)&gt;0,N(B296)&lt;=N($C$20)),D296*$F$8,0)</f>
        <v>0</v>
      </c>
      <c r="H296" s="41" t="n">
        <f aca="false">IF(D296&lt;=0.5,0,MIN(IF(N(I296)&gt;0,I296,$F$9),D296+E296+F296))</f>
        <v>0</v>
      </c>
      <c r="I296" s="77"/>
      <c r="J296" s="77"/>
      <c r="K296" s="41" t="n">
        <f aca="false">IF(D296&lt;=0.5,0,MIN(H296+N(J296),D296+E296+F296))</f>
        <v>0</v>
      </c>
      <c r="L296" s="41" t="n">
        <f aca="false">K296-E296-F296</f>
        <v>0</v>
      </c>
      <c r="M296" s="41" t="n">
        <f aca="false">D296-L296</f>
        <v>0</v>
      </c>
      <c r="N296" s="42" t="n">
        <f aca="false">K296-G296</f>
        <v>0</v>
      </c>
      <c r="O296" s="78"/>
      <c r="P296" s="79"/>
      <c r="Q296" s="16" t="str">
        <f aca="false">IF(K296=0,"",IF(R296=1,"Pagada",IF(C296&lt;$F$12,"Vencida",IF(270=$F$13,"Próxima","Pendiente"))))</f>
        <v/>
      </c>
      <c r="R296" s="62" t="n">
        <f aca="false">IF(AND(K296&gt;0,OR(O296="Sí",O296="Si")),1,0)</f>
        <v>0</v>
      </c>
      <c r="S296" s="62" t="n">
        <f aca="false">IF(AND(K296&gt;0,R296=0),1,0)</f>
        <v>0</v>
      </c>
    </row>
    <row r="297" customFormat="false" ht="15" hidden="false" customHeight="false" outlineLevel="0" collapsed="false">
      <c r="B297" s="71" t="str">
        <f aca="false">IF($F$6="Sí",N($C$11)+270,"")</f>
        <v/>
      </c>
      <c r="C297" s="72" t="str">
        <f aca="false">IF(OR($F$6&lt;&gt;"Sí",D297&lt;=0.5),"",EDATE($C$10,270))</f>
        <v/>
      </c>
      <c r="D297" s="41" t="n">
        <f aca="false">MAX(0,M296)</f>
        <v>0</v>
      </c>
      <c r="E297" s="41" t="n">
        <f aca="false">D297*$F$7</f>
        <v>0</v>
      </c>
      <c r="F297" s="41" t="n">
        <f aca="false">IF(D297&gt;0.5,N($C$15),0)</f>
        <v>0</v>
      </c>
      <c r="G297" s="41" t="n">
        <f aca="false">IF(AND(D297&gt;0.5,N($C$19)&gt;0,N(B297)&lt;=N($C$20)),D297*$F$8,0)</f>
        <v>0</v>
      </c>
      <c r="H297" s="41" t="n">
        <f aca="false">IF(D297&lt;=0.5,0,MIN(IF(N(I297)&gt;0,I297,$F$9),D297+E297+F297))</f>
        <v>0</v>
      </c>
      <c r="I297" s="77"/>
      <c r="J297" s="77"/>
      <c r="K297" s="41" t="n">
        <f aca="false">IF(D297&lt;=0.5,0,MIN(H297+N(J297),D297+E297+F297))</f>
        <v>0</v>
      </c>
      <c r="L297" s="41" t="n">
        <f aca="false">K297-E297-F297</f>
        <v>0</v>
      </c>
      <c r="M297" s="41" t="n">
        <f aca="false">D297-L297</f>
        <v>0</v>
      </c>
      <c r="N297" s="42" t="n">
        <f aca="false">K297-G297</f>
        <v>0</v>
      </c>
      <c r="O297" s="78"/>
      <c r="P297" s="79"/>
      <c r="Q297" s="16" t="str">
        <f aca="false">IF(K297=0,"",IF(R297=1,"Pagada",IF(C297&lt;$F$12,"Vencida",IF(271=$F$13,"Próxima","Pendiente"))))</f>
        <v/>
      </c>
      <c r="R297" s="62" t="n">
        <f aca="false">IF(AND(K297&gt;0,OR(O297="Sí",O297="Si")),1,0)</f>
        <v>0</v>
      </c>
      <c r="S297" s="62" t="n">
        <f aca="false">IF(AND(K297&gt;0,R297=0),1,0)</f>
        <v>0</v>
      </c>
    </row>
    <row r="298" customFormat="false" ht="15" hidden="false" customHeight="false" outlineLevel="0" collapsed="false">
      <c r="B298" s="71" t="str">
        <f aca="false">IF($F$6="Sí",N($C$11)+271,"")</f>
        <v/>
      </c>
      <c r="C298" s="72" t="str">
        <f aca="false">IF(OR($F$6&lt;&gt;"Sí",D298&lt;=0.5),"",EDATE($C$10,271))</f>
        <v/>
      </c>
      <c r="D298" s="41" t="n">
        <f aca="false">MAX(0,M297)</f>
        <v>0</v>
      </c>
      <c r="E298" s="41" t="n">
        <f aca="false">D298*$F$7</f>
        <v>0</v>
      </c>
      <c r="F298" s="41" t="n">
        <f aca="false">IF(D298&gt;0.5,N($C$15),0)</f>
        <v>0</v>
      </c>
      <c r="G298" s="41" t="n">
        <f aca="false">IF(AND(D298&gt;0.5,N($C$19)&gt;0,N(B298)&lt;=N($C$20)),D298*$F$8,0)</f>
        <v>0</v>
      </c>
      <c r="H298" s="41" t="n">
        <f aca="false">IF(D298&lt;=0.5,0,MIN(IF(N(I298)&gt;0,I298,$F$9),D298+E298+F298))</f>
        <v>0</v>
      </c>
      <c r="I298" s="77"/>
      <c r="J298" s="77"/>
      <c r="K298" s="41" t="n">
        <f aca="false">IF(D298&lt;=0.5,0,MIN(H298+N(J298),D298+E298+F298))</f>
        <v>0</v>
      </c>
      <c r="L298" s="41" t="n">
        <f aca="false">K298-E298-F298</f>
        <v>0</v>
      </c>
      <c r="M298" s="41" t="n">
        <f aca="false">D298-L298</f>
        <v>0</v>
      </c>
      <c r="N298" s="42" t="n">
        <f aca="false">K298-G298</f>
        <v>0</v>
      </c>
      <c r="O298" s="78"/>
      <c r="P298" s="79"/>
      <c r="Q298" s="16" t="str">
        <f aca="false">IF(K298=0,"",IF(R298=1,"Pagada",IF(C298&lt;$F$12,"Vencida",IF(272=$F$13,"Próxima","Pendiente"))))</f>
        <v/>
      </c>
      <c r="R298" s="62" t="n">
        <f aca="false">IF(AND(K298&gt;0,OR(O298="Sí",O298="Si")),1,0)</f>
        <v>0</v>
      </c>
      <c r="S298" s="62" t="n">
        <f aca="false">IF(AND(K298&gt;0,R298=0),1,0)</f>
        <v>0</v>
      </c>
    </row>
    <row r="299" customFormat="false" ht="15" hidden="false" customHeight="false" outlineLevel="0" collapsed="false">
      <c r="B299" s="71" t="str">
        <f aca="false">IF($F$6="Sí",N($C$11)+272,"")</f>
        <v/>
      </c>
      <c r="C299" s="72" t="str">
        <f aca="false">IF(OR($F$6&lt;&gt;"Sí",D299&lt;=0.5),"",EDATE($C$10,272))</f>
        <v/>
      </c>
      <c r="D299" s="41" t="n">
        <f aca="false">MAX(0,M298)</f>
        <v>0</v>
      </c>
      <c r="E299" s="41" t="n">
        <f aca="false">D299*$F$7</f>
        <v>0</v>
      </c>
      <c r="F299" s="41" t="n">
        <f aca="false">IF(D299&gt;0.5,N($C$15),0)</f>
        <v>0</v>
      </c>
      <c r="G299" s="41" t="n">
        <f aca="false">IF(AND(D299&gt;0.5,N($C$19)&gt;0,N(B299)&lt;=N($C$20)),D299*$F$8,0)</f>
        <v>0</v>
      </c>
      <c r="H299" s="41" t="n">
        <f aca="false">IF(D299&lt;=0.5,0,MIN(IF(N(I299)&gt;0,I299,$F$9),D299+E299+F299))</f>
        <v>0</v>
      </c>
      <c r="I299" s="77"/>
      <c r="J299" s="77"/>
      <c r="K299" s="41" t="n">
        <f aca="false">IF(D299&lt;=0.5,0,MIN(H299+N(J299),D299+E299+F299))</f>
        <v>0</v>
      </c>
      <c r="L299" s="41" t="n">
        <f aca="false">K299-E299-F299</f>
        <v>0</v>
      </c>
      <c r="M299" s="41" t="n">
        <f aca="false">D299-L299</f>
        <v>0</v>
      </c>
      <c r="N299" s="42" t="n">
        <f aca="false">K299-G299</f>
        <v>0</v>
      </c>
      <c r="O299" s="78"/>
      <c r="P299" s="79"/>
      <c r="Q299" s="16" t="str">
        <f aca="false">IF(K299=0,"",IF(R299=1,"Pagada",IF(C299&lt;$F$12,"Vencida",IF(273=$F$13,"Próxima","Pendiente"))))</f>
        <v/>
      </c>
      <c r="R299" s="62" t="n">
        <f aca="false">IF(AND(K299&gt;0,OR(O299="Sí",O299="Si")),1,0)</f>
        <v>0</v>
      </c>
      <c r="S299" s="62" t="n">
        <f aca="false">IF(AND(K299&gt;0,R299=0),1,0)</f>
        <v>0</v>
      </c>
    </row>
    <row r="300" customFormat="false" ht="15" hidden="false" customHeight="false" outlineLevel="0" collapsed="false">
      <c r="B300" s="71" t="str">
        <f aca="false">IF($F$6="Sí",N($C$11)+273,"")</f>
        <v/>
      </c>
      <c r="C300" s="72" t="str">
        <f aca="false">IF(OR($F$6&lt;&gt;"Sí",D300&lt;=0.5),"",EDATE($C$10,273))</f>
        <v/>
      </c>
      <c r="D300" s="41" t="n">
        <f aca="false">MAX(0,M299)</f>
        <v>0</v>
      </c>
      <c r="E300" s="41" t="n">
        <f aca="false">D300*$F$7</f>
        <v>0</v>
      </c>
      <c r="F300" s="41" t="n">
        <f aca="false">IF(D300&gt;0.5,N($C$15),0)</f>
        <v>0</v>
      </c>
      <c r="G300" s="41" t="n">
        <f aca="false">IF(AND(D300&gt;0.5,N($C$19)&gt;0,N(B300)&lt;=N($C$20)),D300*$F$8,0)</f>
        <v>0</v>
      </c>
      <c r="H300" s="41" t="n">
        <f aca="false">IF(D300&lt;=0.5,0,MIN(IF(N(I300)&gt;0,I300,$F$9),D300+E300+F300))</f>
        <v>0</v>
      </c>
      <c r="I300" s="77"/>
      <c r="J300" s="77"/>
      <c r="K300" s="41" t="n">
        <f aca="false">IF(D300&lt;=0.5,0,MIN(H300+N(J300),D300+E300+F300))</f>
        <v>0</v>
      </c>
      <c r="L300" s="41" t="n">
        <f aca="false">K300-E300-F300</f>
        <v>0</v>
      </c>
      <c r="M300" s="41" t="n">
        <f aca="false">D300-L300</f>
        <v>0</v>
      </c>
      <c r="N300" s="42" t="n">
        <f aca="false">K300-G300</f>
        <v>0</v>
      </c>
      <c r="O300" s="78"/>
      <c r="P300" s="79"/>
      <c r="Q300" s="16" t="str">
        <f aca="false">IF(K300=0,"",IF(R300=1,"Pagada",IF(C300&lt;$F$12,"Vencida",IF(274=$F$13,"Próxima","Pendiente"))))</f>
        <v/>
      </c>
      <c r="R300" s="62" t="n">
        <f aca="false">IF(AND(K300&gt;0,OR(O300="Sí",O300="Si")),1,0)</f>
        <v>0</v>
      </c>
      <c r="S300" s="62" t="n">
        <f aca="false">IF(AND(K300&gt;0,R300=0),1,0)</f>
        <v>0</v>
      </c>
    </row>
    <row r="301" customFormat="false" ht="15" hidden="false" customHeight="false" outlineLevel="0" collapsed="false">
      <c r="B301" s="71" t="str">
        <f aca="false">IF($F$6="Sí",N($C$11)+274,"")</f>
        <v/>
      </c>
      <c r="C301" s="72" t="str">
        <f aca="false">IF(OR($F$6&lt;&gt;"Sí",D301&lt;=0.5),"",EDATE($C$10,274))</f>
        <v/>
      </c>
      <c r="D301" s="41" t="n">
        <f aca="false">MAX(0,M300)</f>
        <v>0</v>
      </c>
      <c r="E301" s="41" t="n">
        <f aca="false">D301*$F$7</f>
        <v>0</v>
      </c>
      <c r="F301" s="41" t="n">
        <f aca="false">IF(D301&gt;0.5,N($C$15),0)</f>
        <v>0</v>
      </c>
      <c r="G301" s="41" t="n">
        <f aca="false">IF(AND(D301&gt;0.5,N($C$19)&gt;0,N(B301)&lt;=N($C$20)),D301*$F$8,0)</f>
        <v>0</v>
      </c>
      <c r="H301" s="41" t="n">
        <f aca="false">IF(D301&lt;=0.5,0,MIN(IF(N(I301)&gt;0,I301,$F$9),D301+E301+F301))</f>
        <v>0</v>
      </c>
      <c r="I301" s="77"/>
      <c r="J301" s="77"/>
      <c r="K301" s="41" t="n">
        <f aca="false">IF(D301&lt;=0.5,0,MIN(H301+N(J301),D301+E301+F301))</f>
        <v>0</v>
      </c>
      <c r="L301" s="41" t="n">
        <f aca="false">K301-E301-F301</f>
        <v>0</v>
      </c>
      <c r="M301" s="41" t="n">
        <f aca="false">D301-L301</f>
        <v>0</v>
      </c>
      <c r="N301" s="42" t="n">
        <f aca="false">K301-G301</f>
        <v>0</v>
      </c>
      <c r="O301" s="78"/>
      <c r="P301" s="79"/>
      <c r="Q301" s="16" t="str">
        <f aca="false">IF(K301=0,"",IF(R301=1,"Pagada",IF(C301&lt;$F$12,"Vencida",IF(275=$F$13,"Próxima","Pendiente"))))</f>
        <v/>
      </c>
      <c r="R301" s="62" t="n">
        <f aca="false">IF(AND(K301&gt;0,OR(O301="Sí",O301="Si")),1,0)</f>
        <v>0</v>
      </c>
      <c r="S301" s="62" t="n">
        <f aca="false">IF(AND(K301&gt;0,R301=0),1,0)</f>
        <v>0</v>
      </c>
    </row>
    <row r="302" customFormat="false" ht="15" hidden="false" customHeight="false" outlineLevel="0" collapsed="false">
      <c r="B302" s="71" t="str">
        <f aca="false">IF($F$6="Sí",N($C$11)+275,"")</f>
        <v/>
      </c>
      <c r="C302" s="72" t="str">
        <f aca="false">IF(OR($F$6&lt;&gt;"Sí",D302&lt;=0.5),"",EDATE($C$10,275))</f>
        <v/>
      </c>
      <c r="D302" s="41" t="n">
        <f aca="false">MAX(0,M301)</f>
        <v>0</v>
      </c>
      <c r="E302" s="41" t="n">
        <f aca="false">D302*$F$7</f>
        <v>0</v>
      </c>
      <c r="F302" s="41" t="n">
        <f aca="false">IF(D302&gt;0.5,N($C$15),0)</f>
        <v>0</v>
      </c>
      <c r="G302" s="41" t="n">
        <f aca="false">IF(AND(D302&gt;0.5,N($C$19)&gt;0,N(B302)&lt;=N($C$20)),D302*$F$8,0)</f>
        <v>0</v>
      </c>
      <c r="H302" s="41" t="n">
        <f aca="false">IF(D302&lt;=0.5,0,MIN(IF(N(I302)&gt;0,I302,$F$9),D302+E302+F302))</f>
        <v>0</v>
      </c>
      <c r="I302" s="77"/>
      <c r="J302" s="77"/>
      <c r="K302" s="41" t="n">
        <f aca="false">IF(D302&lt;=0.5,0,MIN(H302+N(J302),D302+E302+F302))</f>
        <v>0</v>
      </c>
      <c r="L302" s="41" t="n">
        <f aca="false">K302-E302-F302</f>
        <v>0</v>
      </c>
      <c r="M302" s="41" t="n">
        <f aca="false">D302-L302</f>
        <v>0</v>
      </c>
      <c r="N302" s="42" t="n">
        <f aca="false">K302-G302</f>
        <v>0</v>
      </c>
      <c r="O302" s="78"/>
      <c r="P302" s="79"/>
      <c r="Q302" s="16" t="str">
        <f aca="false">IF(K302=0,"",IF(R302=1,"Pagada",IF(C302&lt;$F$12,"Vencida",IF(276=$F$13,"Próxima","Pendiente"))))</f>
        <v/>
      </c>
      <c r="R302" s="62" t="n">
        <f aca="false">IF(AND(K302&gt;0,OR(O302="Sí",O302="Si")),1,0)</f>
        <v>0</v>
      </c>
      <c r="S302" s="62" t="n">
        <f aca="false">IF(AND(K302&gt;0,R302=0),1,0)</f>
        <v>0</v>
      </c>
    </row>
    <row r="303" customFormat="false" ht="15" hidden="false" customHeight="false" outlineLevel="0" collapsed="false">
      <c r="B303" s="71" t="str">
        <f aca="false">IF($F$6="Sí",N($C$11)+276,"")</f>
        <v/>
      </c>
      <c r="C303" s="72" t="str">
        <f aca="false">IF(OR($F$6&lt;&gt;"Sí",D303&lt;=0.5),"",EDATE($C$10,276))</f>
        <v/>
      </c>
      <c r="D303" s="41" t="n">
        <f aca="false">MAX(0,M302)</f>
        <v>0</v>
      </c>
      <c r="E303" s="41" t="n">
        <f aca="false">D303*$F$7</f>
        <v>0</v>
      </c>
      <c r="F303" s="41" t="n">
        <f aca="false">IF(D303&gt;0.5,N($C$15),0)</f>
        <v>0</v>
      </c>
      <c r="G303" s="41" t="n">
        <f aca="false">IF(AND(D303&gt;0.5,N($C$19)&gt;0,N(B303)&lt;=N($C$20)),D303*$F$8,0)</f>
        <v>0</v>
      </c>
      <c r="H303" s="41" t="n">
        <f aca="false">IF(D303&lt;=0.5,0,MIN(IF(N(I303)&gt;0,I303,$F$9),D303+E303+F303))</f>
        <v>0</v>
      </c>
      <c r="I303" s="77"/>
      <c r="J303" s="77"/>
      <c r="K303" s="41" t="n">
        <f aca="false">IF(D303&lt;=0.5,0,MIN(H303+N(J303),D303+E303+F303))</f>
        <v>0</v>
      </c>
      <c r="L303" s="41" t="n">
        <f aca="false">K303-E303-F303</f>
        <v>0</v>
      </c>
      <c r="M303" s="41" t="n">
        <f aca="false">D303-L303</f>
        <v>0</v>
      </c>
      <c r="N303" s="42" t="n">
        <f aca="false">K303-G303</f>
        <v>0</v>
      </c>
      <c r="O303" s="78"/>
      <c r="P303" s="79"/>
      <c r="Q303" s="16" t="str">
        <f aca="false">IF(K303=0,"",IF(R303=1,"Pagada",IF(C303&lt;$F$12,"Vencida",IF(277=$F$13,"Próxima","Pendiente"))))</f>
        <v/>
      </c>
      <c r="R303" s="62" t="n">
        <f aca="false">IF(AND(K303&gt;0,OR(O303="Sí",O303="Si")),1,0)</f>
        <v>0</v>
      </c>
      <c r="S303" s="62" t="n">
        <f aca="false">IF(AND(K303&gt;0,R303=0),1,0)</f>
        <v>0</v>
      </c>
    </row>
    <row r="304" customFormat="false" ht="15" hidden="false" customHeight="false" outlineLevel="0" collapsed="false">
      <c r="B304" s="71" t="str">
        <f aca="false">IF($F$6="Sí",N($C$11)+277,"")</f>
        <v/>
      </c>
      <c r="C304" s="72" t="str">
        <f aca="false">IF(OR($F$6&lt;&gt;"Sí",D304&lt;=0.5),"",EDATE($C$10,277))</f>
        <v/>
      </c>
      <c r="D304" s="41" t="n">
        <f aca="false">MAX(0,M303)</f>
        <v>0</v>
      </c>
      <c r="E304" s="41" t="n">
        <f aca="false">D304*$F$7</f>
        <v>0</v>
      </c>
      <c r="F304" s="41" t="n">
        <f aca="false">IF(D304&gt;0.5,N($C$15),0)</f>
        <v>0</v>
      </c>
      <c r="G304" s="41" t="n">
        <f aca="false">IF(AND(D304&gt;0.5,N($C$19)&gt;0,N(B304)&lt;=N($C$20)),D304*$F$8,0)</f>
        <v>0</v>
      </c>
      <c r="H304" s="41" t="n">
        <f aca="false">IF(D304&lt;=0.5,0,MIN(IF(N(I304)&gt;0,I304,$F$9),D304+E304+F304))</f>
        <v>0</v>
      </c>
      <c r="I304" s="77"/>
      <c r="J304" s="77"/>
      <c r="K304" s="41" t="n">
        <f aca="false">IF(D304&lt;=0.5,0,MIN(H304+N(J304),D304+E304+F304))</f>
        <v>0</v>
      </c>
      <c r="L304" s="41" t="n">
        <f aca="false">K304-E304-F304</f>
        <v>0</v>
      </c>
      <c r="M304" s="41" t="n">
        <f aca="false">D304-L304</f>
        <v>0</v>
      </c>
      <c r="N304" s="42" t="n">
        <f aca="false">K304-G304</f>
        <v>0</v>
      </c>
      <c r="O304" s="78"/>
      <c r="P304" s="79"/>
      <c r="Q304" s="16" t="str">
        <f aca="false">IF(K304=0,"",IF(R304=1,"Pagada",IF(C304&lt;$F$12,"Vencida",IF(278=$F$13,"Próxima","Pendiente"))))</f>
        <v/>
      </c>
      <c r="R304" s="62" t="n">
        <f aca="false">IF(AND(K304&gt;0,OR(O304="Sí",O304="Si")),1,0)</f>
        <v>0</v>
      </c>
      <c r="S304" s="62" t="n">
        <f aca="false">IF(AND(K304&gt;0,R304=0),1,0)</f>
        <v>0</v>
      </c>
    </row>
    <row r="305" customFormat="false" ht="15" hidden="false" customHeight="false" outlineLevel="0" collapsed="false">
      <c r="B305" s="71" t="str">
        <f aca="false">IF($F$6="Sí",N($C$11)+278,"")</f>
        <v/>
      </c>
      <c r="C305" s="72" t="str">
        <f aca="false">IF(OR($F$6&lt;&gt;"Sí",D305&lt;=0.5),"",EDATE($C$10,278))</f>
        <v/>
      </c>
      <c r="D305" s="41" t="n">
        <f aca="false">MAX(0,M304)</f>
        <v>0</v>
      </c>
      <c r="E305" s="41" t="n">
        <f aca="false">D305*$F$7</f>
        <v>0</v>
      </c>
      <c r="F305" s="41" t="n">
        <f aca="false">IF(D305&gt;0.5,N($C$15),0)</f>
        <v>0</v>
      </c>
      <c r="G305" s="41" t="n">
        <f aca="false">IF(AND(D305&gt;0.5,N($C$19)&gt;0,N(B305)&lt;=N($C$20)),D305*$F$8,0)</f>
        <v>0</v>
      </c>
      <c r="H305" s="41" t="n">
        <f aca="false">IF(D305&lt;=0.5,0,MIN(IF(N(I305)&gt;0,I305,$F$9),D305+E305+F305))</f>
        <v>0</v>
      </c>
      <c r="I305" s="77"/>
      <c r="J305" s="77"/>
      <c r="K305" s="41" t="n">
        <f aca="false">IF(D305&lt;=0.5,0,MIN(H305+N(J305),D305+E305+F305))</f>
        <v>0</v>
      </c>
      <c r="L305" s="41" t="n">
        <f aca="false">K305-E305-F305</f>
        <v>0</v>
      </c>
      <c r="M305" s="41" t="n">
        <f aca="false">D305-L305</f>
        <v>0</v>
      </c>
      <c r="N305" s="42" t="n">
        <f aca="false">K305-G305</f>
        <v>0</v>
      </c>
      <c r="O305" s="78"/>
      <c r="P305" s="79"/>
      <c r="Q305" s="16" t="str">
        <f aca="false">IF(K305=0,"",IF(R305=1,"Pagada",IF(C305&lt;$F$12,"Vencida",IF(279=$F$13,"Próxima","Pendiente"))))</f>
        <v/>
      </c>
      <c r="R305" s="62" t="n">
        <f aca="false">IF(AND(K305&gt;0,OR(O305="Sí",O305="Si")),1,0)</f>
        <v>0</v>
      </c>
      <c r="S305" s="62" t="n">
        <f aca="false">IF(AND(K305&gt;0,R305=0),1,0)</f>
        <v>0</v>
      </c>
    </row>
    <row r="306" customFormat="false" ht="15" hidden="false" customHeight="false" outlineLevel="0" collapsed="false">
      <c r="B306" s="71" t="str">
        <f aca="false">IF($F$6="Sí",N($C$11)+279,"")</f>
        <v/>
      </c>
      <c r="C306" s="72" t="str">
        <f aca="false">IF(OR($F$6&lt;&gt;"Sí",D306&lt;=0.5),"",EDATE($C$10,279))</f>
        <v/>
      </c>
      <c r="D306" s="41" t="n">
        <f aca="false">MAX(0,M305)</f>
        <v>0</v>
      </c>
      <c r="E306" s="41" t="n">
        <f aca="false">D306*$F$7</f>
        <v>0</v>
      </c>
      <c r="F306" s="41" t="n">
        <f aca="false">IF(D306&gt;0.5,N($C$15),0)</f>
        <v>0</v>
      </c>
      <c r="G306" s="41" t="n">
        <f aca="false">IF(AND(D306&gt;0.5,N($C$19)&gt;0,N(B306)&lt;=N($C$20)),D306*$F$8,0)</f>
        <v>0</v>
      </c>
      <c r="H306" s="41" t="n">
        <f aca="false">IF(D306&lt;=0.5,0,MIN(IF(N(I306)&gt;0,I306,$F$9),D306+E306+F306))</f>
        <v>0</v>
      </c>
      <c r="I306" s="77"/>
      <c r="J306" s="77"/>
      <c r="K306" s="41" t="n">
        <f aca="false">IF(D306&lt;=0.5,0,MIN(H306+N(J306),D306+E306+F306))</f>
        <v>0</v>
      </c>
      <c r="L306" s="41" t="n">
        <f aca="false">K306-E306-F306</f>
        <v>0</v>
      </c>
      <c r="M306" s="41" t="n">
        <f aca="false">D306-L306</f>
        <v>0</v>
      </c>
      <c r="N306" s="42" t="n">
        <f aca="false">K306-G306</f>
        <v>0</v>
      </c>
      <c r="O306" s="78"/>
      <c r="P306" s="79"/>
      <c r="Q306" s="16" t="str">
        <f aca="false">IF(K306=0,"",IF(R306=1,"Pagada",IF(C306&lt;$F$12,"Vencida",IF(280=$F$13,"Próxima","Pendiente"))))</f>
        <v/>
      </c>
      <c r="R306" s="62" t="n">
        <f aca="false">IF(AND(K306&gt;0,OR(O306="Sí",O306="Si")),1,0)</f>
        <v>0</v>
      </c>
      <c r="S306" s="62" t="n">
        <f aca="false">IF(AND(K306&gt;0,R306=0),1,0)</f>
        <v>0</v>
      </c>
    </row>
    <row r="307" customFormat="false" ht="15" hidden="false" customHeight="false" outlineLevel="0" collapsed="false">
      <c r="B307" s="71" t="str">
        <f aca="false">IF($F$6="Sí",N($C$11)+280,"")</f>
        <v/>
      </c>
      <c r="C307" s="72" t="str">
        <f aca="false">IF(OR($F$6&lt;&gt;"Sí",D307&lt;=0.5),"",EDATE($C$10,280))</f>
        <v/>
      </c>
      <c r="D307" s="41" t="n">
        <f aca="false">MAX(0,M306)</f>
        <v>0</v>
      </c>
      <c r="E307" s="41" t="n">
        <f aca="false">D307*$F$7</f>
        <v>0</v>
      </c>
      <c r="F307" s="41" t="n">
        <f aca="false">IF(D307&gt;0.5,N($C$15),0)</f>
        <v>0</v>
      </c>
      <c r="G307" s="41" t="n">
        <f aca="false">IF(AND(D307&gt;0.5,N($C$19)&gt;0,N(B307)&lt;=N($C$20)),D307*$F$8,0)</f>
        <v>0</v>
      </c>
      <c r="H307" s="41" t="n">
        <f aca="false">IF(D307&lt;=0.5,0,MIN(IF(N(I307)&gt;0,I307,$F$9),D307+E307+F307))</f>
        <v>0</v>
      </c>
      <c r="I307" s="77"/>
      <c r="J307" s="77"/>
      <c r="K307" s="41" t="n">
        <f aca="false">IF(D307&lt;=0.5,0,MIN(H307+N(J307),D307+E307+F307))</f>
        <v>0</v>
      </c>
      <c r="L307" s="41" t="n">
        <f aca="false">K307-E307-F307</f>
        <v>0</v>
      </c>
      <c r="M307" s="41" t="n">
        <f aca="false">D307-L307</f>
        <v>0</v>
      </c>
      <c r="N307" s="42" t="n">
        <f aca="false">K307-G307</f>
        <v>0</v>
      </c>
      <c r="O307" s="78"/>
      <c r="P307" s="79"/>
      <c r="Q307" s="16" t="str">
        <f aca="false">IF(K307=0,"",IF(R307=1,"Pagada",IF(C307&lt;$F$12,"Vencida",IF(281=$F$13,"Próxima","Pendiente"))))</f>
        <v/>
      </c>
      <c r="R307" s="62" t="n">
        <f aca="false">IF(AND(K307&gt;0,OR(O307="Sí",O307="Si")),1,0)</f>
        <v>0</v>
      </c>
      <c r="S307" s="62" t="n">
        <f aca="false">IF(AND(K307&gt;0,R307=0),1,0)</f>
        <v>0</v>
      </c>
    </row>
    <row r="308" customFormat="false" ht="15" hidden="false" customHeight="false" outlineLevel="0" collapsed="false">
      <c r="B308" s="71" t="str">
        <f aca="false">IF($F$6="Sí",N($C$11)+281,"")</f>
        <v/>
      </c>
      <c r="C308" s="72" t="str">
        <f aca="false">IF(OR($F$6&lt;&gt;"Sí",D308&lt;=0.5),"",EDATE($C$10,281))</f>
        <v/>
      </c>
      <c r="D308" s="41" t="n">
        <f aca="false">MAX(0,M307)</f>
        <v>0</v>
      </c>
      <c r="E308" s="41" t="n">
        <f aca="false">D308*$F$7</f>
        <v>0</v>
      </c>
      <c r="F308" s="41" t="n">
        <f aca="false">IF(D308&gt;0.5,N($C$15),0)</f>
        <v>0</v>
      </c>
      <c r="G308" s="41" t="n">
        <f aca="false">IF(AND(D308&gt;0.5,N($C$19)&gt;0,N(B308)&lt;=N($C$20)),D308*$F$8,0)</f>
        <v>0</v>
      </c>
      <c r="H308" s="41" t="n">
        <f aca="false">IF(D308&lt;=0.5,0,MIN(IF(N(I308)&gt;0,I308,$F$9),D308+E308+F308))</f>
        <v>0</v>
      </c>
      <c r="I308" s="77"/>
      <c r="J308" s="77"/>
      <c r="K308" s="41" t="n">
        <f aca="false">IF(D308&lt;=0.5,0,MIN(H308+N(J308),D308+E308+F308))</f>
        <v>0</v>
      </c>
      <c r="L308" s="41" t="n">
        <f aca="false">K308-E308-F308</f>
        <v>0</v>
      </c>
      <c r="M308" s="41" t="n">
        <f aca="false">D308-L308</f>
        <v>0</v>
      </c>
      <c r="N308" s="42" t="n">
        <f aca="false">K308-G308</f>
        <v>0</v>
      </c>
      <c r="O308" s="78"/>
      <c r="P308" s="79"/>
      <c r="Q308" s="16" t="str">
        <f aca="false">IF(K308=0,"",IF(R308=1,"Pagada",IF(C308&lt;$F$12,"Vencida",IF(282=$F$13,"Próxima","Pendiente"))))</f>
        <v/>
      </c>
      <c r="R308" s="62" t="n">
        <f aca="false">IF(AND(K308&gt;0,OR(O308="Sí",O308="Si")),1,0)</f>
        <v>0</v>
      </c>
      <c r="S308" s="62" t="n">
        <f aca="false">IF(AND(K308&gt;0,R308=0),1,0)</f>
        <v>0</v>
      </c>
    </row>
    <row r="309" customFormat="false" ht="15" hidden="false" customHeight="false" outlineLevel="0" collapsed="false">
      <c r="B309" s="71" t="str">
        <f aca="false">IF($F$6="Sí",N($C$11)+282,"")</f>
        <v/>
      </c>
      <c r="C309" s="72" t="str">
        <f aca="false">IF(OR($F$6&lt;&gt;"Sí",D309&lt;=0.5),"",EDATE($C$10,282))</f>
        <v/>
      </c>
      <c r="D309" s="41" t="n">
        <f aca="false">MAX(0,M308)</f>
        <v>0</v>
      </c>
      <c r="E309" s="41" t="n">
        <f aca="false">D309*$F$7</f>
        <v>0</v>
      </c>
      <c r="F309" s="41" t="n">
        <f aca="false">IF(D309&gt;0.5,N($C$15),0)</f>
        <v>0</v>
      </c>
      <c r="G309" s="41" t="n">
        <f aca="false">IF(AND(D309&gt;0.5,N($C$19)&gt;0,N(B309)&lt;=N($C$20)),D309*$F$8,0)</f>
        <v>0</v>
      </c>
      <c r="H309" s="41" t="n">
        <f aca="false">IF(D309&lt;=0.5,0,MIN(IF(N(I309)&gt;0,I309,$F$9),D309+E309+F309))</f>
        <v>0</v>
      </c>
      <c r="I309" s="77"/>
      <c r="J309" s="77"/>
      <c r="K309" s="41" t="n">
        <f aca="false">IF(D309&lt;=0.5,0,MIN(H309+N(J309),D309+E309+F309))</f>
        <v>0</v>
      </c>
      <c r="L309" s="41" t="n">
        <f aca="false">K309-E309-F309</f>
        <v>0</v>
      </c>
      <c r="M309" s="41" t="n">
        <f aca="false">D309-L309</f>
        <v>0</v>
      </c>
      <c r="N309" s="42" t="n">
        <f aca="false">K309-G309</f>
        <v>0</v>
      </c>
      <c r="O309" s="78"/>
      <c r="P309" s="79"/>
      <c r="Q309" s="16" t="str">
        <f aca="false">IF(K309=0,"",IF(R309=1,"Pagada",IF(C309&lt;$F$12,"Vencida",IF(283=$F$13,"Próxima","Pendiente"))))</f>
        <v/>
      </c>
      <c r="R309" s="62" t="n">
        <f aca="false">IF(AND(K309&gt;0,OR(O309="Sí",O309="Si")),1,0)</f>
        <v>0</v>
      </c>
      <c r="S309" s="62" t="n">
        <f aca="false">IF(AND(K309&gt;0,R309=0),1,0)</f>
        <v>0</v>
      </c>
    </row>
    <row r="310" customFormat="false" ht="15" hidden="false" customHeight="false" outlineLevel="0" collapsed="false">
      <c r="B310" s="71" t="str">
        <f aca="false">IF($F$6="Sí",N($C$11)+283,"")</f>
        <v/>
      </c>
      <c r="C310" s="72" t="str">
        <f aca="false">IF(OR($F$6&lt;&gt;"Sí",D310&lt;=0.5),"",EDATE($C$10,283))</f>
        <v/>
      </c>
      <c r="D310" s="41" t="n">
        <f aca="false">MAX(0,M309)</f>
        <v>0</v>
      </c>
      <c r="E310" s="41" t="n">
        <f aca="false">D310*$F$7</f>
        <v>0</v>
      </c>
      <c r="F310" s="41" t="n">
        <f aca="false">IF(D310&gt;0.5,N($C$15),0)</f>
        <v>0</v>
      </c>
      <c r="G310" s="41" t="n">
        <f aca="false">IF(AND(D310&gt;0.5,N($C$19)&gt;0,N(B310)&lt;=N($C$20)),D310*$F$8,0)</f>
        <v>0</v>
      </c>
      <c r="H310" s="41" t="n">
        <f aca="false">IF(D310&lt;=0.5,0,MIN(IF(N(I310)&gt;0,I310,$F$9),D310+E310+F310))</f>
        <v>0</v>
      </c>
      <c r="I310" s="77"/>
      <c r="J310" s="77"/>
      <c r="K310" s="41" t="n">
        <f aca="false">IF(D310&lt;=0.5,0,MIN(H310+N(J310),D310+E310+F310))</f>
        <v>0</v>
      </c>
      <c r="L310" s="41" t="n">
        <f aca="false">K310-E310-F310</f>
        <v>0</v>
      </c>
      <c r="M310" s="41" t="n">
        <f aca="false">D310-L310</f>
        <v>0</v>
      </c>
      <c r="N310" s="42" t="n">
        <f aca="false">K310-G310</f>
        <v>0</v>
      </c>
      <c r="O310" s="78"/>
      <c r="P310" s="79"/>
      <c r="Q310" s="16" t="str">
        <f aca="false">IF(K310=0,"",IF(R310=1,"Pagada",IF(C310&lt;$F$12,"Vencida",IF(284=$F$13,"Próxima","Pendiente"))))</f>
        <v/>
      </c>
      <c r="R310" s="62" t="n">
        <f aca="false">IF(AND(K310&gt;0,OR(O310="Sí",O310="Si")),1,0)</f>
        <v>0</v>
      </c>
      <c r="S310" s="62" t="n">
        <f aca="false">IF(AND(K310&gt;0,R310=0),1,0)</f>
        <v>0</v>
      </c>
    </row>
    <row r="311" customFormat="false" ht="15" hidden="false" customHeight="false" outlineLevel="0" collapsed="false">
      <c r="B311" s="71" t="str">
        <f aca="false">IF($F$6="Sí",N($C$11)+284,"")</f>
        <v/>
      </c>
      <c r="C311" s="72" t="str">
        <f aca="false">IF(OR($F$6&lt;&gt;"Sí",D311&lt;=0.5),"",EDATE($C$10,284))</f>
        <v/>
      </c>
      <c r="D311" s="41" t="n">
        <f aca="false">MAX(0,M310)</f>
        <v>0</v>
      </c>
      <c r="E311" s="41" t="n">
        <f aca="false">D311*$F$7</f>
        <v>0</v>
      </c>
      <c r="F311" s="41" t="n">
        <f aca="false">IF(D311&gt;0.5,N($C$15),0)</f>
        <v>0</v>
      </c>
      <c r="G311" s="41" t="n">
        <f aca="false">IF(AND(D311&gt;0.5,N($C$19)&gt;0,N(B311)&lt;=N($C$20)),D311*$F$8,0)</f>
        <v>0</v>
      </c>
      <c r="H311" s="41" t="n">
        <f aca="false">IF(D311&lt;=0.5,0,MIN(IF(N(I311)&gt;0,I311,$F$9),D311+E311+F311))</f>
        <v>0</v>
      </c>
      <c r="I311" s="77"/>
      <c r="J311" s="77"/>
      <c r="K311" s="41" t="n">
        <f aca="false">IF(D311&lt;=0.5,0,MIN(H311+N(J311),D311+E311+F311))</f>
        <v>0</v>
      </c>
      <c r="L311" s="41" t="n">
        <f aca="false">K311-E311-F311</f>
        <v>0</v>
      </c>
      <c r="M311" s="41" t="n">
        <f aca="false">D311-L311</f>
        <v>0</v>
      </c>
      <c r="N311" s="42" t="n">
        <f aca="false">K311-G311</f>
        <v>0</v>
      </c>
      <c r="O311" s="78"/>
      <c r="P311" s="79"/>
      <c r="Q311" s="16" t="str">
        <f aca="false">IF(K311=0,"",IF(R311=1,"Pagada",IF(C311&lt;$F$12,"Vencida",IF(285=$F$13,"Próxima","Pendiente"))))</f>
        <v/>
      </c>
      <c r="R311" s="62" t="n">
        <f aca="false">IF(AND(K311&gt;0,OR(O311="Sí",O311="Si")),1,0)</f>
        <v>0</v>
      </c>
      <c r="S311" s="62" t="n">
        <f aca="false">IF(AND(K311&gt;0,R311=0),1,0)</f>
        <v>0</v>
      </c>
    </row>
    <row r="312" customFormat="false" ht="15" hidden="false" customHeight="false" outlineLevel="0" collapsed="false">
      <c r="B312" s="71" t="str">
        <f aca="false">IF($F$6="Sí",N($C$11)+285,"")</f>
        <v/>
      </c>
      <c r="C312" s="72" t="str">
        <f aca="false">IF(OR($F$6&lt;&gt;"Sí",D312&lt;=0.5),"",EDATE($C$10,285))</f>
        <v/>
      </c>
      <c r="D312" s="41" t="n">
        <f aca="false">MAX(0,M311)</f>
        <v>0</v>
      </c>
      <c r="E312" s="41" t="n">
        <f aca="false">D312*$F$7</f>
        <v>0</v>
      </c>
      <c r="F312" s="41" t="n">
        <f aca="false">IF(D312&gt;0.5,N($C$15),0)</f>
        <v>0</v>
      </c>
      <c r="G312" s="41" t="n">
        <f aca="false">IF(AND(D312&gt;0.5,N($C$19)&gt;0,N(B312)&lt;=N($C$20)),D312*$F$8,0)</f>
        <v>0</v>
      </c>
      <c r="H312" s="41" t="n">
        <f aca="false">IF(D312&lt;=0.5,0,MIN(IF(N(I312)&gt;0,I312,$F$9),D312+E312+F312))</f>
        <v>0</v>
      </c>
      <c r="I312" s="77"/>
      <c r="J312" s="77"/>
      <c r="K312" s="41" t="n">
        <f aca="false">IF(D312&lt;=0.5,0,MIN(H312+N(J312),D312+E312+F312))</f>
        <v>0</v>
      </c>
      <c r="L312" s="41" t="n">
        <f aca="false">K312-E312-F312</f>
        <v>0</v>
      </c>
      <c r="M312" s="41" t="n">
        <f aca="false">D312-L312</f>
        <v>0</v>
      </c>
      <c r="N312" s="42" t="n">
        <f aca="false">K312-G312</f>
        <v>0</v>
      </c>
      <c r="O312" s="78"/>
      <c r="P312" s="79"/>
      <c r="Q312" s="16" t="str">
        <f aca="false">IF(K312=0,"",IF(R312=1,"Pagada",IF(C312&lt;$F$12,"Vencida",IF(286=$F$13,"Próxima","Pendiente"))))</f>
        <v/>
      </c>
      <c r="R312" s="62" t="n">
        <f aca="false">IF(AND(K312&gt;0,OR(O312="Sí",O312="Si")),1,0)</f>
        <v>0</v>
      </c>
      <c r="S312" s="62" t="n">
        <f aca="false">IF(AND(K312&gt;0,R312=0),1,0)</f>
        <v>0</v>
      </c>
    </row>
    <row r="313" customFormat="false" ht="15" hidden="false" customHeight="false" outlineLevel="0" collapsed="false">
      <c r="B313" s="71" t="str">
        <f aca="false">IF($F$6="Sí",N($C$11)+286,"")</f>
        <v/>
      </c>
      <c r="C313" s="72" t="str">
        <f aca="false">IF(OR($F$6&lt;&gt;"Sí",D313&lt;=0.5),"",EDATE($C$10,286))</f>
        <v/>
      </c>
      <c r="D313" s="41" t="n">
        <f aca="false">MAX(0,M312)</f>
        <v>0</v>
      </c>
      <c r="E313" s="41" t="n">
        <f aca="false">D313*$F$7</f>
        <v>0</v>
      </c>
      <c r="F313" s="41" t="n">
        <f aca="false">IF(D313&gt;0.5,N($C$15),0)</f>
        <v>0</v>
      </c>
      <c r="G313" s="41" t="n">
        <f aca="false">IF(AND(D313&gt;0.5,N($C$19)&gt;0,N(B313)&lt;=N($C$20)),D313*$F$8,0)</f>
        <v>0</v>
      </c>
      <c r="H313" s="41" t="n">
        <f aca="false">IF(D313&lt;=0.5,0,MIN(IF(N(I313)&gt;0,I313,$F$9),D313+E313+F313))</f>
        <v>0</v>
      </c>
      <c r="I313" s="77"/>
      <c r="J313" s="77"/>
      <c r="K313" s="41" t="n">
        <f aca="false">IF(D313&lt;=0.5,0,MIN(H313+N(J313),D313+E313+F313))</f>
        <v>0</v>
      </c>
      <c r="L313" s="41" t="n">
        <f aca="false">K313-E313-F313</f>
        <v>0</v>
      </c>
      <c r="M313" s="41" t="n">
        <f aca="false">D313-L313</f>
        <v>0</v>
      </c>
      <c r="N313" s="42" t="n">
        <f aca="false">K313-G313</f>
        <v>0</v>
      </c>
      <c r="O313" s="78"/>
      <c r="P313" s="79"/>
      <c r="Q313" s="16" t="str">
        <f aca="false">IF(K313=0,"",IF(R313=1,"Pagada",IF(C313&lt;$F$12,"Vencida",IF(287=$F$13,"Próxima","Pendiente"))))</f>
        <v/>
      </c>
      <c r="R313" s="62" t="n">
        <f aca="false">IF(AND(K313&gt;0,OR(O313="Sí",O313="Si")),1,0)</f>
        <v>0</v>
      </c>
      <c r="S313" s="62" t="n">
        <f aca="false">IF(AND(K313&gt;0,R313=0),1,0)</f>
        <v>0</v>
      </c>
    </row>
    <row r="314" customFormat="false" ht="15" hidden="false" customHeight="false" outlineLevel="0" collapsed="false">
      <c r="B314" s="71" t="str">
        <f aca="false">IF($F$6="Sí",N($C$11)+287,"")</f>
        <v/>
      </c>
      <c r="C314" s="72" t="str">
        <f aca="false">IF(OR($F$6&lt;&gt;"Sí",D314&lt;=0.5),"",EDATE($C$10,287))</f>
        <v/>
      </c>
      <c r="D314" s="41" t="n">
        <f aca="false">MAX(0,M313)</f>
        <v>0</v>
      </c>
      <c r="E314" s="41" t="n">
        <f aca="false">D314*$F$7</f>
        <v>0</v>
      </c>
      <c r="F314" s="41" t="n">
        <f aca="false">IF(D314&gt;0.5,N($C$15),0)</f>
        <v>0</v>
      </c>
      <c r="G314" s="41" t="n">
        <f aca="false">IF(AND(D314&gt;0.5,N($C$19)&gt;0,N(B314)&lt;=N($C$20)),D314*$F$8,0)</f>
        <v>0</v>
      </c>
      <c r="H314" s="41" t="n">
        <f aca="false">IF(D314&lt;=0.5,0,MIN(IF(N(I314)&gt;0,I314,$F$9),D314+E314+F314))</f>
        <v>0</v>
      </c>
      <c r="I314" s="77"/>
      <c r="J314" s="77"/>
      <c r="K314" s="41" t="n">
        <f aca="false">IF(D314&lt;=0.5,0,MIN(H314+N(J314),D314+E314+F314))</f>
        <v>0</v>
      </c>
      <c r="L314" s="41" t="n">
        <f aca="false">K314-E314-F314</f>
        <v>0</v>
      </c>
      <c r="M314" s="41" t="n">
        <f aca="false">D314-L314</f>
        <v>0</v>
      </c>
      <c r="N314" s="42" t="n">
        <f aca="false">K314-G314</f>
        <v>0</v>
      </c>
      <c r="O314" s="78"/>
      <c r="P314" s="79"/>
      <c r="Q314" s="16" t="str">
        <f aca="false">IF(K314=0,"",IF(R314=1,"Pagada",IF(C314&lt;$F$12,"Vencida",IF(288=$F$13,"Próxima","Pendiente"))))</f>
        <v/>
      </c>
      <c r="R314" s="62" t="n">
        <f aca="false">IF(AND(K314&gt;0,OR(O314="Sí",O314="Si")),1,0)</f>
        <v>0</v>
      </c>
      <c r="S314" s="62" t="n">
        <f aca="false">IF(AND(K314&gt;0,R314=0),1,0)</f>
        <v>0</v>
      </c>
    </row>
    <row r="315" customFormat="false" ht="15" hidden="false" customHeight="false" outlineLevel="0" collapsed="false">
      <c r="B315" s="71" t="str">
        <f aca="false">IF($F$6="Sí",N($C$11)+288,"")</f>
        <v/>
      </c>
      <c r="C315" s="72" t="str">
        <f aca="false">IF(OR($F$6&lt;&gt;"Sí",D315&lt;=0.5),"",EDATE($C$10,288))</f>
        <v/>
      </c>
      <c r="D315" s="41" t="n">
        <f aca="false">MAX(0,M314)</f>
        <v>0</v>
      </c>
      <c r="E315" s="41" t="n">
        <f aca="false">D315*$F$7</f>
        <v>0</v>
      </c>
      <c r="F315" s="41" t="n">
        <f aca="false">IF(D315&gt;0.5,N($C$15),0)</f>
        <v>0</v>
      </c>
      <c r="G315" s="41" t="n">
        <f aca="false">IF(AND(D315&gt;0.5,N($C$19)&gt;0,N(B315)&lt;=N($C$20)),D315*$F$8,0)</f>
        <v>0</v>
      </c>
      <c r="H315" s="41" t="n">
        <f aca="false">IF(D315&lt;=0.5,0,MIN(IF(N(I315)&gt;0,I315,$F$9),D315+E315+F315))</f>
        <v>0</v>
      </c>
      <c r="I315" s="77"/>
      <c r="J315" s="77"/>
      <c r="K315" s="41" t="n">
        <f aca="false">IF(D315&lt;=0.5,0,MIN(H315+N(J315),D315+E315+F315))</f>
        <v>0</v>
      </c>
      <c r="L315" s="41" t="n">
        <f aca="false">K315-E315-F315</f>
        <v>0</v>
      </c>
      <c r="M315" s="41" t="n">
        <f aca="false">D315-L315</f>
        <v>0</v>
      </c>
      <c r="N315" s="42" t="n">
        <f aca="false">K315-G315</f>
        <v>0</v>
      </c>
      <c r="O315" s="78"/>
      <c r="P315" s="79"/>
      <c r="Q315" s="16" t="str">
        <f aca="false">IF(K315=0,"",IF(R315=1,"Pagada",IF(C315&lt;$F$12,"Vencida",IF(289=$F$13,"Próxima","Pendiente"))))</f>
        <v/>
      </c>
      <c r="R315" s="62" t="n">
        <f aca="false">IF(AND(K315&gt;0,OR(O315="Sí",O315="Si")),1,0)</f>
        <v>0</v>
      </c>
      <c r="S315" s="62" t="n">
        <f aca="false">IF(AND(K315&gt;0,R315=0),1,0)</f>
        <v>0</v>
      </c>
    </row>
    <row r="316" customFormat="false" ht="15" hidden="false" customHeight="false" outlineLevel="0" collapsed="false">
      <c r="B316" s="71" t="str">
        <f aca="false">IF($F$6="Sí",N($C$11)+289,"")</f>
        <v/>
      </c>
      <c r="C316" s="72" t="str">
        <f aca="false">IF(OR($F$6&lt;&gt;"Sí",D316&lt;=0.5),"",EDATE($C$10,289))</f>
        <v/>
      </c>
      <c r="D316" s="41" t="n">
        <f aca="false">MAX(0,M315)</f>
        <v>0</v>
      </c>
      <c r="E316" s="41" t="n">
        <f aca="false">D316*$F$7</f>
        <v>0</v>
      </c>
      <c r="F316" s="41" t="n">
        <f aca="false">IF(D316&gt;0.5,N($C$15),0)</f>
        <v>0</v>
      </c>
      <c r="G316" s="41" t="n">
        <f aca="false">IF(AND(D316&gt;0.5,N($C$19)&gt;0,N(B316)&lt;=N($C$20)),D316*$F$8,0)</f>
        <v>0</v>
      </c>
      <c r="H316" s="41" t="n">
        <f aca="false">IF(D316&lt;=0.5,0,MIN(IF(N(I316)&gt;0,I316,$F$9),D316+E316+F316))</f>
        <v>0</v>
      </c>
      <c r="I316" s="77"/>
      <c r="J316" s="77"/>
      <c r="K316" s="41" t="n">
        <f aca="false">IF(D316&lt;=0.5,0,MIN(H316+N(J316),D316+E316+F316))</f>
        <v>0</v>
      </c>
      <c r="L316" s="41" t="n">
        <f aca="false">K316-E316-F316</f>
        <v>0</v>
      </c>
      <c r="M316" s="41" t="n">
        <f aca="false">D316-L316</f>
        <v>0</v>
      </c>
      <c r="N316" s="42" t="n">
        <f aca="false">K316-G316</f>
        <v>0</v>
      </c>
      <c r="O316" s="78"/>
      <c r="P316" s="79"/>
      <c r="Q316" s="16" t="str">
        <f aca="false">IF(K316=0,"",IF(R316=1,"Pagada",IF(C316&lt;$F$12,"Vencida",IF(290=$F$13,"Próxima","Pendiente"))))</f>
        <v/>
      </c>
      <c r="R316" s="62" t="n">
        <f aca="false">IF(AND(K316&gt;0,OR(O316="Sí",O316="Si")),1,0)</f>
        <v>0</v>
      </c>
      <c r="S316" s="62" t="n">
        <f aca="false">IF(AND(K316&gt;0,R316=0),1,0)</f>
        <v>0</v>
      </c>
    </row>
    <row r="317" customFormat="false" ht="15" hidden="false" customHeight="false" outlineLevel="0" collapsed="false">
      <c r="B317" s="71" t="str">
        <f aca="false">IF($F$6="Sí",N($C$11)+290,"")</f>
        <v/>
      </c>
      <c r="C317" s="72" t="str">
        <f aca="false">IF(OR($F$6&lt;&gt;"Sí",D317&lt;=0.5),"",EDATE($C$10,290))</f>
        <v/>
      </c>
      <c r="D317" s="41" t="n">
        <f aca="false">MAX(0,M316)</f>
        <v>0</v>
      </c>
      <c r="E317" s="41" t="n">
        <f aca="false">D317*$F$7</f>
        <v>0</v>
      </c>
      <c r="F317" s="41" t="n">
        <f aca="false">IF(D317&gt;0.5,N($C$15),0)</f>
        <v>0</v>
      </c>
      <c r="G317" s="41" t="n">
        <f aca="false">IF(AND(D317&gt;0.5,N($C$19)&gt;0,N(B317)&lt;=N($C$20)),D317*$F$8,0)</f>
        <v>0</v>
      </c>
      <c r="H317" s="41" t="n">
        <f aca="false">IF(D317&lt;=0.5,0,MIN(IF(N(I317)&gt;0,I317,$F$9),D317+E317+F317))</f>
        <v>0</v>
      </c>
      <c r="I317" s="77"/>
      <c r="J317" s="77"/>
      <c r="K317" s="41" t="n">
        <f aca="false">IF(D317&lt;=0.5,0,MIN(H317+N(J317),D317+E317+F317))</f>
        <v>0</v>
      </c>
      <c r="L317" s="41" t="n">
        <f aca="false">K317-E317-F317</f>
        <v>0</v>
      </c>
      <c r="M317" s="41" t="n">
        <f aca="false">D317-L317</f>
        <v>0</v>
      </c>
      <c r="N317" s="42" t="n">
        <f aca="false">K317-G317</f>
        <v>0</v>
      </c>
      <c r="O317" s="78"/>
      <c r="P317" s="79"/>
      <c r="Q317" s="16" t="str">
        <f aca="false">IF(K317=0,"",IF(R317=1,"Pagada",IF(C317&lt;$F$12,"Vencida",IF(291=$F$13,"Próxima","Pendiente"))))</f>
        <v/>
      </c>
      <c r="R317" s="62" t="n">
        <f aca="false">IF(AND(K317&gt;0,OR(O317="Sí",O317="Si")),1,0)</f>
        <v>0</v>
      </c>
      <c r="S317" s="62" t="n">
        <f aca="false">IF(AND(K317&gt;0,R317=0),1,0)</f>
        <v>0</v>
      </c>
    </row>
    <row r="318" customFormat="false" ht="15" hidden="false" customHeight="false" outlineLevel="0" collapsed="false">
      <c r="B318" s="71" t="str">
        <f aca="false">IF($F$6="Sí",N($C$11)+291,"")</f>
        <v/>
      </c>
      <c r="C318" s="72" t="str">
        <f aca="false">IF(OR($F$6&lt;&gt;"Sí",D318&lt;=0.5),"",EDATE($C$10,291))</f>
        <v/>
      </c>
      <c r="D318" s="41" t="n">
        <f aca="false">MAX(0,M317)</f>
        <v>0</v>
      </c>
      <c r="E318" s="41" t="n">
        <f aca="false">D318*$F$7</f>
        <v>0</v>
      </c>
      <c r="F318" s="41" t="n">
        <f aca="false">IF(D318&gt;0.5,N($C$15),0)</f>
        <v>0</v>
      </c>
      <c r="G318" s="41" t="n">
        <f aca="false">IF(AND(D318&gt;0.5,N($C$19)&gt;0,N(B318)&lt;=N($C$20)),D318*$F$8,0)</f>
        <v>0</v>
      </c>
      <c r="H318" s="41" t="n">
        <f aca="false">IF(D318&lt;=0.5,0,MIN(IF(N(I318)&gt;0,I318,$F$9),D318+E318+F318))</f>
        <v>0</v>
      </c>
      <c r="I318" s="77"/>
      <c r="J318" s="77"/>
      <c r="K318" s="41" t="n">
        <f aca="false">IF(D318&lt;=0.5,0,MIN(H318+N(J318),D318+E318+F318))</f>
        <v>0</v>
      </c>
      <c r="L318" s="41" t="n">
        <f aca="false">K318-E318-F318</f>
        <v>0</v>
      </c>
      <c r="M318" s="41" t="n">
        <f aca="false">D318-L318</f>
        <v>0</v>
      </c>
      <c r="N318" s="42" t="n">
        <f aca="false">K318-G318</f>
        <v>0</v>
      </c>
      <c r="O318" s="78"/>
      <c r="P318" s="79"/>
      <c r="Q318" s="16" t="str">
        <f aca="false">IF(K318=0,"",IF(R318=1,"Pagada",IF(C318&lt;$F$12,"Vencida",IF(292=$F$13,"Próxima","Pendiente"))))</f>
        <v/>
      </c>
      <c r="R318" s="62" t="n">
        <f aca="false">IF(AND(K318&gt;0,OR(O318="Sí",O318="Si")),1,0)</f>
        <v>0</v>
      </c>
      <c r="S318" s="62" t="n">
        <f aca="false">IF(AND(K318&gt;0,R318=0),1,0)</f>
        <v>0</v>
      </c>
    </row>
    <row r="319" customFormat="false" ht="15" hidden="false" customHeight="false" outlineLevel="0" collapsed="false">
      <c r="B319" s="71" t="str">
        <f aca="false">IF($F$6="Sí",N($C$11)+292,"")</f>
        <v/>
      </c>
      <c r="C319" s="72" t="str">
        <f aca="false">IF(OR($F$6&lt;&gt;"Sí",D319&lt;=0.5),"",EDATE($C$10,292))</f>
        <v/>
      </c>
      <c r="D319" s="41" t="n">
        <f aca="false">MAX(0,M318)</f>
        <v>0</v>
      </c>
      <c r="E319" s="41" t="n">
        <f aca="false">D319*$F$7</f>
        <v>0</v>
      </c>
      <c r="F319" s="41" t="n">
        <f aca="false">IF(D319&gt;0.5,N($C$15),0)</f>
        <v>0</v>
      </c>
      <c r="G319" s="41" t="n">
        <f aca="false">IF(AND(D319&gt;0.5,N($C$19)&gt;0,N(B319)&lt;=N($C$20)),D319*$F$8,0)</f>
        <v>0</v>
      </c>
      <c r="H319" s="41" t="n">
        <f aca="false">IF(D319&lt;=0.5,0,MIN(IF(N(I319)&gt;0,I319,$F$9),D319+E319+F319))</f>
        <v>0</v>
      </c>
      <c r="I319" s="77"/>
      <c r="J319" s="77"/>
      <c r="K319" s="41" t="n">
        <f aca="false">IF(D319&lt;=0.5,0,MIN(H319+N(J319),D319+E319+F319))</f>
        <v>0</v>
      </c>
      <c r="L319" s="41" t="n">
        <f aca="false">K319-E319-F319</f>
        <v>0</v>
      </c>
      <c r="M319" s="41" t="n">
        <f aca="false">D319-L319</f>
        <v>0</v>
      </c>
      <c r="N319" s="42" t="n">
        <f aca="false">K319-G319</f>
        <v>0</v>
      </c>
      <c r="O319" s="78"/>
      <c r="P319" s="79"/>
      <c r="Q319" s="16" t="str">
        <f aca="false">IF(K319=0,"",IF(R319=1,"Pagada",IF(C319&lt;$F$12,"Vencida",IF(293=$F$13,"Próxima","Pendiente"))))</f>
        <v/>
      </c>
      <c r="R319" s="62" t="n">
        <f aca="false">IF(AND(K319&gt;0,OR(O319="Sí",O319="Si")),1,0)</f>
        <v>0</v>
      </c>
      <c r="S319" s="62" t="n">
        <f aca="false">IF(AND(K319&gt;0,R319=0),1,0)</f>
        <v>0</v>
      </c>
    </row>
    <row r="320" customFormat="false" ht="15" hidden="false" customHeight="false" outlineLevel="0" collapsed="false">
      <c r="B320" s="71" t="str">
        <f aca="false">IF($F$6="Sí",N($C$11)+293,"")</f>
        <v/>
      </c>
      <c r="C320" s="72" t="str">
        <f aca="false">IF(OR($F$6&lt;&gt;"Sí",D320&lt;=0.5),"",EDATE($C$10,293))</f>
        <v/>
      </c>
      <c r="D320" s="41" t="n">
        <f aca="false">MAX(0,M319)</f>
        <v>0</v>
      </c>
      <c r="E320" s="41" t="n">
        <f aca="false">D320*$F$7</f>
        <v>0</v>
      </c>
      <c r="F320" s="41" t="n">
        <f aca="false">IF(D320&gt;0.5,N($C$15),0)</f>
        <v>0</v>
      </c>
      <c r="G320" s="41" t="n">
        <f aca="false">IF(AND(D320&gt;0.5,N($C$19)&gt;0,N(B320)&lt;=N($C$20)),D320*$F$8,0)</f>
        <v>0</v>
      </c>
      <c r="H320" s="41" t="n">
        <f aca="false">IF(D320&lt;=0.5,0,MIN(IF(N(I320)&gt;0,I320,$F$9),D320+E320+F320))</f>
        <v>0</v>
      </c>
      <c r="I320" s="77"/>
      <c r="J320" s="77"/>
      <c r="K320" s="41" t="n">
        <f aca="false">IF(D320&lt;=0.5,0,MIN(H320+N(J320),D320+E320+F320))</f>
        <v>0</v>
      </c>
      <c r="L320" s="41" t="n">
        <f aca="false">K320-E320-F320</f>
        <v>0</v>
      </c>
      <c r="M320" s="41" t="n">
        <f aca="false">D320-L320</f>
        <v>0</v>
      </c>
      <c r="N320" s="42" t="n">
        <f aca="false">K320-G320</f>
        <v>0</v>
      </c>
      <c r="O320" s="78"/>
      <c r="P320" s="79"/>
      <c r="Q320" s="16" t="str">
        <f aca="false">IF(K320=0,"",IF(R320=1,"Pagada",IF(C320&lt;$F$12,"Vencida",IF(294=$F$13,"Próxima","Pendiente"))))</f>
        <v/>
      </c>
      <c r="R320" s="62" t="n">
        <f aca="false">IF(AND(K320&gt;0,OR(O320="Sí",O320="Si")),1,0)</f>
        <v>0</v>
      </c>
      <c r="S320" s="62" t="n">
        <f aca="false">IF(AND(K320&gt;0,R320=0),1,0)</f>
        <v>0</v>
      </c>
    </row>
    <row r="321" customFormat="false" ht="15" hidden="false" customHeight="false" outlineLevel="0" collapsed="false">
      <c r="B321" s="71" t="str">
        <f aca="false">IF($F$6="Sí",N($C$11)+294,"")</f>
        <v/>
      </c>
      <c r="C321" s="72" t="str">
        <f aca="false">IF(OR($F$6&lt;&gt;"Sí",D321&lt;=0.5),"",EDATE($C$10,294))</f>
        <v/>
      </c>
      <c r="D321" s="41" t="n">
        <f aca="false">MAX(0,M320)</f>
        <v>0</v>
      </c>
      <c r="E321" s="41" t="n">
        <f aca="false">D321*$F$7</f>
        <v>0</v>
      </c>
      <c r="F321" s="41" t="n">
        <f aca="false">IF(D321&gt;0.5,N($C$15),0)</f>
        <v>0</v>
      </c>
      <c r="G321" s="41" t="n">
        <f aca="false">IF(AND(D321&gt;0.5,N($C$19)&gt;0,N(B321)&lt;=N($C$20)),D321*$F$8,0)</f>
        <v>0</v>
      </c>
      <c r="H321" s="41" t="n">
        <f aca="false">IF(D321&lt;=0.5,0,MIN(IF(N(I321)&gt;0,I321,$F$9),D321+E321+F321))</f>
        <v>0</v>
      </c>
      <c r="I321" s="77"/>
      <c r="J321" s="77"/>
      <c r="K321" s="41" t="n">
        <f aca="false">IF(D321&lt;=0.5,0,MIN(H321+N(J321),D321+E321+F321))</f>
        <v>0</v>
      </c>
      <c r="L321" s="41" t="n">
        <f aca="false">K321-E321-F321</f>
        <v>0</v>
      </c>
      <c r="M321" s="41" t="n">
        <f aca="false">D321-L321</f>
        <v>0</v>
      </c>
      <c r="N321" s="42" t="n">
        <f aca="false">K321-G321</f>
        <v>0</v>
      </c>
      <c r="O321" s="78"/>
      <c r="P321" s="79"/>
      <c r="Q321" s="16" t="str">
        <f aca="false">IF(K321=0,"",IF(R321=1,"Pagada",IF(C321&lt;$F$12,"Vencida",IF(295=$F$13,"Próxima","Pendiente"))))</f>
        <v/>
      </c>
      <c r="R321" s="62" t="n">
        <f aca="false">IF(AND(K321&gt;0,OR(O321="Sí",O321="Si")),1,0)</f>
        <v>0</v>
      </c>
      <c r="S321" s="62" t="n">
        <f aca="false">IF(AND(K321&gt;0,R321=0),1,0)</f>
        <v>0</v>
      </c>
    </row>
    <row r="322" customFormat="false" ht="15" hidden="false" customHeight="false" outlineLevel="0" collapsed="false">
      <c r="B322" s="71" t="str">
        <f aca="false">IF($F$6="Sí",N($C$11)+295,"")</f>
        <v/>
      </c>
      <c r="C322" s="72" t="str">
        <f aca="false">IF(OR($F$6&lt;&gt;"Sí",D322&lt;=0.5),"",EDATE($C$10,295))</f>
        <v/>
      </c>
      <c r="D322" s="41" t="n">
        <f aca="false">MAX(0,M321)</f>
        <v>0</v>
      </c>
      <c r="E322" s="41" t="n">
        <f aca="false">D322*$F$7</f>
        <v>0</v>
      </c>
      <c r="F322" s="41" t="n">
        <f aca="false">IF(D322&gt;0.5,N($C$15),0)</f>
        <v>0</v>
      </c>
      <c r="G322" s="41" t="n">
        <f aca="false">IF(AND(D322&gt;0.5,N($C$19)&gt;0,N(B322)&lt;=N($C$20)),D322*$F$8,0)</f>
        <v>0</v>
      </c>
      <c r="H322" s="41" t="n">
        <f aca="false">IF(D322&lt;=0.5,0,MIN(IF(N(I322)&gt;0,I322,$F$9),D322+E322+F322))</f>
        <v>0</v>
      </c>
      <c r="I322" s="77"/>
      <c r="J322" s="77"/>
      <c r="K322" s="41" t="n">
        <f aca="false">IF(D322&lt;=0.5,0,MIN(H322+N(J322),D322+E322+F322))</f>
        <v>0</v>
      </c>
      <c r="L322" s="41" t="n">
        <f aca="false">K322-E322-F322</f>
        <v>0</v>
      </c>
      <c r="M322" s="41" t="n">
        <f aca="false">D322-L322</f>
        <v>0</v>
      </c>
      <c r="N322" s="42" t="n">
        <f aca="false">K322-G322</f>
        <v>0</v>
      </c>
      <c r="O322" s="78"/>
      <c r="P322" s="79"/>
      <c r="Q322" s="16" t="str">
        <f aca="false">IF(K322=0,"",IF(R322=1,"Pagada",IF(C322&lt;$F$12,"Vencida",IF(296=$F$13,"Próxima","Pendiente"))))</f>
        <v/>
      </c>
      <c r="R322" s="62" t="n">
        <f aca="false">IF(AND(K322&gt;0,OR(O322="Sí",O322="Si")),1,0)</f>
        <v>0</v>
      </c>
      <c r="S322" s="62" t="n">
        <f aca="false">IF(AND(K322&gt;0,R322=0),1,0)</f>
        <v>0</v>
      </c>
    </row>
    <row r="323" customFormat="false" ht="15" hidden="false" customHeight="false" outlineLevel="0" collapsed="false">
      <c r="B323" s="71" t="str">
        <f aca="false">IF($F$6="Sí",N($C$11)+296,"")</f>
        <v/>
      </c>
      <c r="C323" s="72" t="str">
        <f aca="false">IF(OR($F$6&lt;&gt;"Sí",D323&lt;=0.5),"",EDATE($C$10,296))</f>
        <v/>
      </c>
      <c r="D323" s="41" t="n">
        <f aca="false">MAX(0,M322)</f>
        <v>0</v>
      </c>
      <c r="E323" s="41" t="n">
        <f aca="false">D323*$F$7</f>
        <v>0</v>
      </c>
      <c r="F323" s="41" t="n">
        <f aca="false">IF(D323&gt;0.5,N($C$15),0)</f>
        <v>0</v>
      </c>
      <c r="G323" s="41" t="n">
        <f aca="false">IF(AND(D323&gt;0.5,N($C$19)&gt;0,N(B323)&lt;=N($C$20)),D323*$F$8,0)</f>
        <v>0</v>
      </c>
      <c r="H323" s="41" t="n">
        <f aca="false">IF(D323&lt;=0.5,0,MIN(IF(N(I323)&gt;0,I323,$F$9),D323+E323+F323))</f>
        <v>0</v>
      </c>
      <c r="I323" s="77"/>
      <c r="J323" s="77"/>
      <c r="K323" s="41" t="n">
        <f aca="false">IF(D323&lt;=0.5,0,MIN(H323+N(J323),D323+E323+F323))</f>
        <v>0</v>
      </c>
      <c r="L323" s="41" t="n">
        <f aca="false">K323-E323-F323</f>
        <v>0</v>
      </c>
      <c r="M323" s="41" t="n">
        <f aca="false">D323-L323</f>
        <v>0</v>
      </c>
      <c r="N323" s="42" t="n">
        <f aca="false">K323-G323</f>
        <v>0</v>
      </c>
      <c r="O323" s="78"/>
      <c r="P323" s="79"/>
      <c r="Q323" s="16" t="str">
        <f aca="false">IF(K323=0,"",IF(R323=1,"Pagada",IF(C323&lt;$F$12,"Vencida",IF(297=$F$13,"Próxima","Pendiente"))))</f>
        <v/>
      </c>
      <c r="R323" s="62" t="n">
        <f aca="false">IF(AND(K323&gt;0,OR(O323="Sí",O323="Si")),1,0)</f>
        <v>0</v>
      </c>
      <c r="S323" s="62" t="n">
        <f aca="false">IF(AND(K323&gt;0,R323=0),1,0)</f>
        <v>0</v>
      </c>
    </row>
    <row r="324" customFormat="false" ht="15" hidden="false" customHeight="false" outlineLevel="0" collapsed="false">
      <c r="B324" s="71" t="str">
        <f aca="false">IF($F$6="Sí",N($C$11)+297,"")</f>
        <v/>
      </c>
      <c r="C324" s="72" t="str">
        <f aca="false">IF(OR($F$6&lt;&gt;"Sí",D324&lt;=0.5),"",EDATE($C$10,297))</f>
        <v/>
      </c>
      <c r="D324" s="41" t="n">
        <f aca="false">MAX(0,M323)</f>
        <v>0</v>
      </c>
      <c r="E324" s="41" t="n">
        <f aca="false">D324*$F$7</f>
        <v>0</v>
      </c>
      <c r="F324" s="41" t="n">
        <f aca="false">IF(D324&gt;0.5,N($C$15),0)</f>
        <v>0</v>
      </c>
      <c r="G324" s="41" t="n">
        <f aca="false">IF(AND(D324&gt;0.5,N($C$19)&gt;0,N(B324)&lt;=N($C$20)),D324*$F$8,0)</f>
        <v>0</v>
      </c>
      <c r="H324" s="41" t="n">
        <f aca="false">IF(D324&lt;=0.5,0,MIN(IF(N(I324)&gt;0,I324,$F$9),D324+E324+F324))</f>
        <v>0</v>
      </c>
      <c r="I324" s="77"/>
      <c r="J324" s="77"/>
      <c r="K324" s="41" t="n">
        <f aca="false">IF(D324&lt;=0.5,0,MIN(H324+N(J324),D324+E324+F324))</f>
        <v>0</v>
      </c>
      <c r="L324" s="41" t="n">
        <f aca="false">K324-E324-F324</f>
        <v>0</v>
      </c>
      <c r="M324" s="41" t="n">
        <f aca="false">D324-L324</f>
        <v>0</v>
      </c>
      <c r="N324" s="42" t="n">
        <f aca="false">K324-G324</f>
        <v>0</v>
      </c>
      <c r="O324" s="78"/>
      <c r="P324" s="79"/>
      <c r="Q324" s="16" t="str">
        <f aca="false">IF(K324=0,"",IF(R324=1,"Pagada",IF(C324&lt;$F$12,"Vencida",IF(298=$F$13,"Próxima","Pendiente"))))</f>
        <v/>
      </c>
      <c r="R324" s="62" t="n">
        <f aca="false">IF(AND(K324&gt;0,OR(O324="Sí",O324="Si")),1,0)</f>
        <v>0</v>
      </c>
      <c r="S324" s="62" t="n">
        <f aca="false">IF(AND(K324&gt;0,R324=0),1,0)</f>
        <v>0</v>
      </c>
    </row>
    <row r="325" customFormat="false" ht="15" hidden="false" customHeight="false" outlineLevel="0" collapsed="false">
      <c r="B325" s="71" t="str">
        <f aca="false">IF($F$6="Sí",N($C$11)+298,"")</f>
        <v/>
      </c>
      <c r="C325" s="72" t="str">
        <f aca="false">IF(OR($F$6&lt;&gt;"Sí",D325&lt;=0.5),"",EDATE($C$10,298))</f>
        <v/>
      </c>
      <c r="D325" s="41" t="n">
        <f aca="false">MAX(0,M324)</f>
        <v>0</v>
      </c>
      <c r="E325" s="41" t="n">
        <f aca="false">D325*$F$7</f>
        <v>0</v>
      </c>
      <c r="F325" s="41" t="n">
        <f aca="false">IF(D325&gt;0.5,N($C$15),0)</f>
        <v>0</v>
      </c>
      <c r="G325" s="41" t="n">
        <f aca="false">IF(AND(D325&gt;0.5,N($C$19)&gt;0,N(B325)&lt;=N($C$20)),D325*$F$8,0)</f>
        <v>0</v>
      </c>
      <c r="H325" s="41" t="n">
        <f aca="false">IF(D325&lt;=0.5,0,MIN(IF(N(I325)&gt;0,I325,$F$9),D325+E325+F325))</f>
        <v>0</v>
      </c>
      <c r="I325" s="77"/>
      <c r="J325" s="77"/>
      <c r="K325" s="41" t="n">
        <f aca="false">IF(D325&lt;=0.5,0,MIN(H325+N(J325),D325+E325+F325))</f>
        <v>0</v>
      </c>
      <c r="L325" s="41" t="n">
        <f aca="false">K325-E325-F325</f>
        <v>0</v>
      </c>
      <c r="M325" s="41" t="n">
        <f aca="false">D325-L325</f>
        <v>0</v>
      </c>
      <c r="N325" s="42" t="n">
        <f aca="false">K325-G325</f>
        <v>0</v>
      </c>
      <c r="O325" s="78"/>
      <c r="P325" s="79"/>
      <c r="Q325" s="16" t="str">
        <f aca="false">IF(K325=0,"",IF(R325=1,"Pagada",IF(C325&lt;$F$12,"Vencida",IF(299=$F$13,"Próxima","Pendiente"))))</f>
        <v/>
      </c>
      <c r="R325" s="62" t="n">
        <f aca="false">IF(AND(K325&gt;0,OR(O325="Sí",O325="Si")),1,0)</f>
        <v>0</v>
      </c>
      <c r="S325" s="62" t="n">
        <f aca="false">IF(AND(K325&gt;0,R325=0),1,0)</f>
        <v>0</v>
      </c>
    </row>
    <row r="326" customFormat="false" ht="15" hidden="false" customHeight="false" outlineLevel="0" collapsed="false">
      <c r="B326" s="71" t="str">
        <f aca="false">IF($F$6="Sí",N($C$11)+299,"")</f>
        <v/>
      </c>
      <c r="C326" s="72" t="str">
        <f aca="false">IF(OR($F$6&lt;&gt;"Sí",D326&lt;=0.5),"",EDATE($C$10,299))</f>
        <v/>
      </c>
      <c r="D326" s="41" t="n">
        <f aca="false">MAX(0,M325)</f>
        <v>0</v>
      </c>
      <c r="E326" s="41" t="n">
        <f aca="false">D326*$F$7</f>
        <v>0</v>
      </c>
      <c r="F326" s="41" t="n">
        <f aca="false">IF(D326&gt;0.5,N($C$15),0)</f>
        <v>0</v>
      </c>
      <c r="G326" s="41" t="n">
        <f aca="false">IF(AND(D326&gt;0.5,N($C$19)&gt;0,N(B326)&lt;=N($C$20)),D326*$F$8,0)</f>
        <v>0</v>
      </c>
      <c r="H326" s="41" t="n">
        <f aca="false">IF(D326&lt;=0.5,0,MIN(IF(N(I326)&gt;0,I326,$F$9),D326+E326+F326))</f>
        <v>0</v>
      </c>
      <c r="I326" s="77"/>
      <c r="J326" s="77"/>
      <c r="K326" s="41" t="n">
        <f aca="false">IF(D326&lt;=0.5,0,MIN(H326+N(J326),D326+E326+F326))</f>
        <v>0</v>
      </c>
      <c r="L326" s="41" t="n">
        <f aca="false">K326-E326-F326</f>
        <v>0</v>
      </c>
      <c r="M326" s="41" t="n">
        <f aca="false">D326-L326</f>
        <v>0</v>
      </c>
      <c r="N326" s="42" t="n">
        <f aca="false">K326-G326</f>
        <v>0</v>
      </c>
      <c r="O326" s="78"/>
      <c r="P326" s="79"/>
      <c r="Q326" s="16" t="str">
        <f aca="false">IF(K326=0,"",IF(R326=1,"Pagada",IF(C326&lt;$F$12,"Vencida",IF(300=$F$13,"Próxima","Pendiente"))))</f>
        <v/>
      </c>
      <c r="R326" s="62" t="n">
        <f aca="false">IF(AND(K326&gt;0,OR(O326="Sí",O326="Si")),1,0)</f>
        <v>0</v>
      </c>
      <c r="S326" s="62" t="n">
        <f aca="false">IF(AND(K326&gt;0,R326=0),1,0)</f>
        <v>0</v>
      </c>
    </row>
    <row r="327" customFormat="false" ht="15" hidden="false" customHeight="false" outlineLevel="0" collapsed="false">
      <c r="B327" s="71" t="str">
        <f aca="false">IF($F$6="Sí",N($C$11)+300,"")</f>
        <v/>
      </c>
      <c r="C327" s="72" t="str">
        <f aca="false">IF(OR($F$6&lt;&gt;"Sí",D327&lt;=0.5),"",EDATE($C$10,300))</f>
        <v/>
      </c>
      <c r="D327" s="41" t="n">
        <f aca="false">MAX(0,M326)</f>
        <v>0</v>
      </c>
      <c r="E327" s="41" t="n">
        <f aca="false">D327*$F$7</f>
        <v>0</v>
      </c>
      <c r="F327" s="41" t="n">
        <f aca="false">IF(D327&gt;0.5,N($C$15),0)</f>
        <v>0</v>
      </c>
      <c r="G327" s="41" t="n">
        <f aca="false">IF(AND(D327&gt;0.5,N($C$19)&gt;0,N(B327)&lt;=N($C$20)),D327*$F$8,0)</f>
        <v>0</v>
      </c>
      <c r="H327" s="41" t="n">
        <f aca="false">IF(D327&lt;=0.5,0,MIN(IF(N(I327)&gt;0,I327,$F$9),D327+E327+F327))</f>
        <v>0</v>
      </c>
      <c r="I327" s="77"/>
      <c r="J327" s="77"/>
      <c r="K327" s="41" t="n">
        <f aca="false">IF(D327&lt;=0.5,0,MIN(H327+N(J327),D327+E327+F327))</f>
        <v>0</v>
      </c>
      <c r="L327" s="41" t="n">
        <f aca="false">K327-E327-F327</f>
        <v>0</v>
      </c>
      <c r="M327" s="41" t="n">
        <f aca="false">D327-L327</f>
        <v>0</v>
      </c>
      <c r="N327" s="42" t="n">
        <f aca="false">K327-G327</f>
        <v>0</v>
      </c>
      <c r="O327" s="78"/>
      <c r="P327" s="79"/>
      <c r="Q327" s="16" t="str">
        <f aca="false">IF(K327=0,"",IF(R327=1,"Pagada",IF(C327&lt;$F$12,"Vencida",IF(301=$F$13,"Próxima","Pendiente"))))</f>
        <v/>
      </c>
      <c r="R327" s="62" t="n">
        <f aca="false">IF(AND(K327&gt;0,OR(O327="Sí",O327="Si")),1,0)</f>
        <v>0</v>
      </c>
      <c r="S327" s="62" t="n">
        <f aca="false">IF(AND(K327&gt;0,R327=0),1,0)</f>
        <v>0</v>
      </c>
    </row>
    <row r="328" customFormat="false" ht="15" hidden="false" customHeight="false" outlineLevel="0" collapsed="false">
      <c r="B328" s="71" t="str">
        <f aca="false">IF($F$6="Sí",N($C$11)+301,"")</f>
        <v/>
      </c>
      <c r="C328" s="72" t="str">
        <f aca="false">IF(OR($F$6&lt;&gt;"Sí",D328&lt;=0.5),"",EDATE($C$10,301))</f>
        <v/>
      </c>
      <c r="D328" s="41" t="n">
        <f aca="false">MAX(0,M327)</f>
        <v>0</v>
      </c>
      <c r="E328" s="41" t="n">
        <f aca="false">D328*$F$7</f>
        <v>0</v>
      </c>
      <c r="F328" s="41" t="n">
        <f aca="false">IF(D328&gt;0.5,N($C$15),0)</f>
        <v>0</v>
      </c>
      <c r="G328" s="41" t="n">
        <f aca="false">IF(AND(D328&gt;0.5,N($C$19)&gt;0,N(B328)&lt;=N($C$20)),D328*$F$8,0)</f>
        <v>0</v>
      </c>
      <c r="H328" s="41" t="n">
        <f aca="false">IF(D328&lt;=0.5,0,MIN(IF(N(I328)&gt;0,I328,$F$9),D328+E328+F328))</f>
        <v>0</v>
      </c>
      <c r="I328" s="77"/>
      <c r="J328" s="77"/>
      <c r="K328" s="41" t="n">
        <f aca="false">IF(D328&lt;=0.5,0,MIN(H328+N(J328),D328+E328+F328))</f>
        <v>0</v>
      </c>
      <c r="L328" s="41" t="n">
        <f aca="false">K328-E328-F328</f>
        <v>0</v>
      </c>
      <c r="M328" s="41" t="n">
        <f aca="false">D328-L328</f>
        <v>0</v>
      </c>
      <c r="N328" s="42" t="n">
        <f aca="false">K328-G328</f>
        <v>0</v>
      </c>
      <c r="O328" s="78"/>
      <c r="P328" s="79"/>
      <c r="Q328" s="16" t="str">
        <f aca="false">IF(K328=0,"",IF(R328=1,"Pagada",IF(C328&lt;$F$12,"Vencida",IF(302=$F$13,"Próxima","Pendiente"))))</f>
        <v/>
      </c>
      <c r="R328" s="62" t="n">
        <f aca="false">IF(AND(K328&gt;0,OR(O328="Sí",O328="Si")),1,0)</f>
        <v>0</v>
      </c>
      <c r="S328" s="62" t="n">
        <f aca="false">IF(AND(K328&gt;0,R328=0),1,0)</f>
        <v>0</v>
      </c>
    </row>
    <row r="329" customFormat="false" ht="15" hidden="false" customHeight="false" outlineLevel="0" collapsed="false">
      <c r="B329" s="71" t="str">
        <f aca="false">IF($F$6="Sí",N($C$11)+302,"")</f>
        <v/>
      </c>
      <c r="C329" s="72" t="str">
        <f aca="false">IF(OR($F$6&lt;&gt;"Sí",D329&lt;=0.5),"",EDATE($C$10,302))</f>
        <v/>
      </c>
      <c r="D329" s="41" t="n">
        <f aca="false">MAX(0,M328)</f>
        <v>0</v>
      </c>
      <c r="E329" s="41" t="n">
        <f aca="false">D329*$F$7</f>
        <v>0</v>
      </c>
      <c r="F329" s="41" t="n">
        <f aca="false">IF(D329&gt;0.5,N($C$15),0)</f>
        <v>0</v>
      </c>
      <c r="G329" s="41" t="n">
        <f aca="false">IF(AND(D329&gt;0.5,N($C$19)&gt;0,N(B329)&lt;=N($C$20)),D329*$F$8,0)</f>
        <v>0</v>
      </c>
      <c r="H329" s="41" t="n">
        <f aca="false">IF(D329&lt;=0.5,0,MIN(IF(N(I329)&gt;0,I329,$F$9),D329+E329+F329))</f>
        <v>0</v>
      </c>
      <c r="I329" s="77"/>
      <c r="J329" s="77"/>
      <c r="K329" s="41" t="n">
        <f aca="false">IF(D329&lt;=0.5,0,MIN(H329+N(J329),D329+E329+F329))</f>
        <v>0</v>
      </c>
      <c r="L329" s="41" t="n">
        <f aca="false">K329-E329-F329</f>
        <v>0</v>
      </c>
      <c r="M329" s="41" t="n">
        <f aca="false">D329-L329</f>
        <v>0</v>
      </c>
      <c r="N329" s="42" t="n">
        <f aca="false">K329-G329</f>
        <v>0</v>
      </c>
      <c r="O329" s="78"/>
      <c r="P329" s="79"/>
      <c r="Q329" s="16" t="str">
        <f aca="false">IF(K329=0,"",IF(R329=1,"Pagada",IF(C329&lt;$F$12,"Vencida",IF(303=$F$13,"Próxima","Pendiente"))))</f>
        <v/>
      </c>
      <c r="R329" s="62" t="n">
        <f aca="false">IF(AND(K329&gt;0,OR(O329="Sí",O329="Si")),1,0)</f>
        <v>0</v>
      </c>
      <c r="S329" s="62" t="n">
        <f aca="false">IF(AND(K329&gt;0,R329=0),1,0)</f>
        <v>0</v>
      </c>
    </row>
    <row r="330" customFormat="false" ht="15" hidden="false" customHeight="false" outlineLevel="0" collapsed="false">
      <c r="B330" s="71" t="str">
        <f aca="false">IF($F$6="Sí",N($C$11)+303,"")</f>
        <v/>
      </c>
      <c r="C330" s="72" t="str">
        <f aca="false">IF(OR($F$6&lt;&gt;"Sí",D330&lt;=0.5),"",EDATE($C$10,303))</f>
        <v/>
      </c>
      <c r="D330" s="41" t="n">
        <f aca="false">MAX(0,M329)</f>
        <v>0</v>
      </c>
      <c r="E330" s="41" t="n">
        <f aca="false">D330*$F$7</f>
        <v>0</v>
      </c>
      <c r="F330" s="41" t="n">
        <f aca="false">IF(D330&gt;0.5,N($C$15),0)</f>
        <v>0</v>
      </c>
      <c r="G330" s="41" t="n">
        <f aca="false">IF(AND(D330&gt;0.5,N($C$19)&gt;0,N(B330)&lt;=N($C$20)),D330*$F$8,0)</f>
        <v>0</v>
      </c>
      <c r="H330" s="41" t="n">
        <f aca="false">IF(D330&lt;=0.5,0,MIN(IF(N(I330)&gt;0,I330,$F$9),D330+E330+F330))</f>
        <v>0</v>
      </c>
      <c r="I330" s="77"/>
      <c r="J330" s="77"/>
      <c r="K330" s="41" t="n">
        <f aca="false">IF(D330&lt;=0.5,0,MIN(H330+N(J330),D330+E330+F330))</f>
        <v>0</v>
      </c>
      <c r="L330" s="41" t="n">
        <f aca="false">K330-E330-F330</f>
        <v>0</v>
      </c>
      <c r="M330" s="41" t="n">
        <f aca="false">D330-L330</f>
        <v>0</v>
      </c>
      <c r="N330" s="42" t="n">
        <f aca="false">K330-G330</f>
        <v>0</v>
      </c>
      <c r="O330" s="78"/>
      <c r="P330" s="79"/>
      <c r="Q330" s="16" t="str">
        <f aca="false">IF(K330=0,"",IF(R330=1,"Pagada",IF(C330&lt;$F$12,"Vencida",IF(304=$F$13,"Próxima","Pendiente"))))</f>
        <v/>
      </c>
      <c r="R330" s="62" t="n">
        <f aca="false">IF(AND(K330&gt;0,OR(O330="Sí",O330="Si")),1,0)</f>
        <v>0</v>
      </c>
      <c r="S330" s="62" t="n">
        <f aca="false">IF(AND(K330&gt;0,R330=0),1,0)</f>
        <v>0</v>
      </c>
    </row>
    <row r="331" customFormat="false" ht="15" hidden="false" customHeight="false" outlineLevel="0" collapsed="false">
      <c r="B331" s="71" t="str">
        <f aca="false">IF($F$6="Sí",N($C$11)+304,"")</f>
        <v/>
      </c>
      <c r="C331" s="72" t="str">
        <f aca="false">IF(OR($F$6&lt;&gt;"Sí",D331&lt;=0.5),"",EDATE($C$10,304))</f>
        <v/>
      </c>
      <c r="D331" s="41" t="n">
        <f aca="false">MAX(0,M330)</f>
        <v>0</v>
      </c>
      <c r="E331" s="41" t="n">
        <f aca="false">D331*$F$7</f>
        <v>0</v>
      </c>
      <c r="F331" s="41" t="n">
        <f aca="false">IF(D331&gt;0.5,N($C$15),0)</f>
        <v>0</v>
      </c>
      <c r="G331" s="41" t="n">
        <f aca="false">IF(AND(D331&gt;0.5,N($C$19)&gt;0,N(B331)&lt;=N($C$20)),D331*$F$8,0)</f>
        <v>0</v>
      </c>
      <c r="H331" s="41" t="n">
        <f aca="false">IF(D331&lt;=0.5,0,MIN(IF(N(I331)&gt;0,I331,$F$9),D331+E331+F331))</f>
        <v>0</v>
      </c>
      <c r="I331" s="77"/>
      <c r="J331" s="77"/>
      <c r="K331" s="41" t="n">
        <f aca="false">IF(D331&lt;=0.5,0,MIN(H331+N(J331),D331+E331+F331))</f>
        <v>0</v>
      </c>
      <c r="L331" s="41" t="n">
        <f aca="false">K331-E331-F331</f>
        <v>0</v>
      </c>
      <c r="M331" s="41" t="n">
        <f aca="false">D331-L331</f>
        <v>0</v>
      </c>
      <c r="N331" s="42" t="n">
        <f aca="false">K331-G331</f>
        <v>0</v>
      </c>
      <c r="O331" s="78"/>
      <c r="P331" s="79"/>
      <c r="Q331" s="16" t="str">
        <f aca="false">IF(K331=0,"",IF(R331=1,"Pagada",IF(C331&lt;$F$12,"Vencida",IF(305=$F$13,"Próxima","Pendiente"))))</f>
        <v/>
      </c>
      <c r="R331" s="62" t="n">
        <f aca="false">IF(AND(K331&gt;0,OR(O331="Sí",O331="Si")),1,0)</f>
        <v>0</v>
      </c>
      <c r="S331" s="62" t="n">
        <f aca="false">IF(AND(K331&gt;0,R331=0),1,0)</f>
        <v>0</v>
      </c>
    </row>
    <row r="332" customFormat="false" ht="15" hidden="false" customHeight="false" outlineLevel="0" collapsed="false">
      <c r="B332" s="71" t="str">
        <f aca="false">IF($F$6="Sí",N($C$11)+305,"")</f>
        <v/>
      </c>
      <c r="C332" s="72" t="str">
        <f aca="false">IF(OR($F$6&lt;&gt;"Sí",D332&lt;=0.5),"",EDATE($C$10,305))</f>
        <v/>
      </c>
      <c r="D332" s="41" t="n">
        <f aca="false">MAX(0,M331)</f>
        <v>0</v>
      </c>
      <c r="E332" s="41" t="n">
        <f aca="false">D332*$F$7</f>
        <v>0</v>
      </c>
      <c r="F332" s="41" t="n">
        <f aca="false">IF(D332&gt;0.5,N($C$15),0)</f>
        <v>0</v>
      </c>
      <c r="G332" s="41" t="n">
        <f aca="false">IF(AND(D332&gt;0.5,N($C$19)&gt;0,N(B332)&lt;=N($C$20)),D332*$F$8,0)</f>
        <v>0</v>
      </c>
      <c r="H332" s="41" t="n">
        <f aca="false">IF(D332&lt;=0.5,0,MIN(IF(N(I332)&gt;0,I332,$F$9),D332+E332+F332))</f>
        <v>0</v>
      </c>
      <c r="I332" s="77"/>
      <c r="J332" s="77"/>
      <c r="K332" s="41" t="n">
        <f aca="false">IF(D332&lt;=0.5,0,MIN(H332+N(J332),D332+E332+F332))</f>
        <v>0</v>
      </c>
      <c r="L332" s="41" t="n">
        <f aca="false">K332-E332-F332</f>
        <v>0</v>
      </c>
      <c r="M332" s="41" t="n">
        <f aca="false">D332-L332</f>
        <v>0</v>
      </c>
      <c r="N332" s="42" t="n">
        <f aca="false">K332-G332</f>
        <v>0</v>
      </c>
      <c r="O332" s="78"/>
      <c r="P332" s="79"/>
      <c r="Q332" s="16" t="str">
        <f aca="false">IF(K332=0,"",IF(R332=1,"Pagada",IF(C332&lt;$F$12,"Vencida",IF(306=$F$13,"Próxima","Pendiente"))))</f>
        <v/>
      </c>
      <c r="R332" s="62" t="n">
        <f aca="false">IF(AND(K332&gt;0,OR(O332="Sí",O332="Si")),1,0)</f>
        <v>0</v>
      </c>
      <c r="S332" s="62" t="n">
        <f aca="false">IF(AND(K332&gt;0,R332=0),1,0)</f>
        <v>0</v>
      </c>
    </row>
    <row r="333" customFormat="false" ht="15" hidden="false" customHeight="false" outlineLevel="0" collapsed="false">
      <c r="B333" s="71" t="str">
        <f aca="false">IF($F$6="Sí",N($C$11)+306,"")</f>
        <v/>
      </c>
      <c r="C333" s="72" t="str">
        <f aca="false">IF(OR($F$6&lt;&gt;"Sí",D333&lt;=0.5),"",EDATE($C$10,306))</f>
        <v/>
      </c>
      <c r="D333" s="41" t="n">
        <f aca="false">MAX(0,M332)</f>
        <v>0</v>
      </c>
      <c r="E333" s="41" t="n">
        <f aca="false">D333*$F$7</f>
        <v>0</v>
      </c>
      <c r="F333" s="41" t="n">
        <f aca="false">IF(D333&gt;0.5,N($C$15),0)</f>
        <v>0</v>
      </c>
      <c r="G333" s="41" t="n">
        <f aca="false">IF(AND(D333&gt;0.5,N($C$19)&gt;0,N(B333)&lt;=N($C$20)),D333*$F$8,0)</f>
        <v>0</v>
      </c>
      <c r="H333" s="41" t="n">
        <f aca="false">IF(D333&lt;=0.5,0,MIN(IF(N(I333)&gt;0,I333,$F$9),D333+E333+F333))</f>
        <v>0</v>
      </c>
      <c r="I333" s="77"/>
      <c r="J333" s="77"/>
      <c r="K333" s="41" t="n">
        <f aca="false">IF(D333&lt;=0.5,0,MIN(H333+N(J333),D333+E333+F333))</f>
        <v>0</v>
      </c>
      <c r="L333" s="41" t="n">
        <f aca="false">K333-E333-F333</f>
        <v>0</v>
      </c>
      <c r="M333" s="41" t="n">
        <f aca="false">D333-L333</f>
        <v>0</v>
      </c>
      <c r="N333" s="42" t="n">
        <f aca="false">K333-G333</f>
        <v>0</v>
      </c>
      <c r="O333" s="78"/>
      <c r="P333" s="79"/>
      <c r="Q333" s="16" t="str">
        <f aca="false">IF(K333=0,"",IF(R333=1,"Pagada",IF(C333&lt;$F$12,"Vencida",IF(307=$F$13,"Próxima","Pendiente"))))</f>
        <v/>
      </c>
      <c r="R333" s="62" t="n">
        <f aca="false">IF(AND(K333&gt;0,OR(O333="Sí",O333="Si")),1,0)</f>
        <v>0</v>
      </c>
      <c r="S333" s="62" t="n">
        <f aca="false">IF(AND(K333&gt;0,R333=0),1,0)</f>
        <v>0</v>
      </c>
    </row>
    <row r="334" customFormat="false" ht="15" hidden="false" customHeight="false" outlineLevel="0" collapsed="false">
      <c r="B334" s="71" t="str">
        <f aca="false">IF($F$6="Sí",N($C$11)+307,"")</f>
        <v/>
      </c>
      <c r="C334" s="72" t="str">
        <f aca="false">IF(OR($F$6&lt;&gt;"Sí",D334&lt;=0.5),"",EDATE($C$10,307))</f>
        <v/>
      </c>
      <c r="D334" s="41" t="n">
        <f aca="false">MAX(0,M333)</f>
        <v>0</v>
      </c>
      <c r="E334" s="41" t="n">
        <f aca="false">D334*$F$7</f>
        <v>0</v>
      </c>
      <c r="F334" s="41" t="n">
        <f aca="false">IF(D334&gt;0.5,N($C$15),0)</f>
        <v>0</v>
      </c>
      <c r="G334" s="41" t="n">
        <f aca="false">IF(AND(D334&gt;0.5,N($C$19)&gt;0,N(B334)&lt;=N($C$20)),D334*$F$8,0)</f>
        <v>0</v>
      </c>
      <c r="H334" s="41" t="n">
        <f aca="false">IF(D334&lt;=0.5,0,MIN(IF(N(I334)&gt;0,I334,$F$9),D334+E334+F334))</f>
        <v>0</v>
      </c>
      <c r="I334" s="77"/>
      <c r="J334" s="77"/>
      <c r="K334" s="41" t="n">
        <f aca="false">IF(D334&lt;=0.5,0,MIN(H334+N(J334),D334+E334+F334))</f>
        <v>0</v>
      </c>
      <c r="L334" s="41" t="n">
        <f aca="false">K334-E334-F334</f>
        <v>0</v>
      </c>
      <c r="M334" s="41" t="n">
        <f aca="false">D334-L334</f>
        <v>0</v>
      </c>
      <c r="N334" s="42" t="n">
        <f aca="false">K334-G334</f>
        <v>0</v>
      </c>
      <c r="O334" s="78"/>
      <c r="P334" s="79"/>
      <c r="Q334" s="16" t="str">
        <f aca="false">IF(K334=0,"",IF(R334=1,"Pagada",IF(C334&lt;$F$12,"Vencida",IF(308=$F$13,"Próxima","Pendiente"))))</f>
        <v/>
      </c>
      <c r="R334" s="62" t="n">
        <f aca="false">IF(AND(K334&gt;0,OR(O334="Sí",O334="Si")),1,0)</f>
        <v>0</v>
      </c>
      <c r="S334" s="62" t="n">
        <f aca="false">IF(AND(K334&gt;0,R334=0),1,0)</f>
        <v>0</v>
      </c>
    </row>
    <row r="335" customFormat="false" ht="15" hidden="false" customHeight="false" outlineLevel="0" collapsed="false">
      <c r="B335" s="71" t="str">
        <f aca="false">IF($F$6="Sí",N($C$11)+308,"")</f>
        <v/>
      </c>
      <c r="C335" s="72" t="str">
        <f aca="false">IF(OR($F$6&lt;&gt;"Sí",D335&lt;=0.5),"",EDATE($C$10,308))</f>
        <v/>
      </c>
      <c r="D335" s="41" t="n">
        <f aca="false">MAX(0,M334)</f>
        <v>0</v>
      </c>
      <c r="E335" s="41" t="n">
        <f aca="false">D335*$F$7</f>
        <v>0</v>
      </c>
      <c r="F335" s="41" t="n">
        <f aca="false">IF(D335&gt;0.5,N($C$15),0)</f>
        <v>0</v>
      </c>
      <c r="G335" s="41" t="n">
        <f aca="false">IF(AND(D335&gt;0.5,N($C$19)&gt;0,N(B335)&lt;=N($C$20)),D335*$F$8,0)</f>
        <v>0</v>
      </c>
      <c r="H335" s="41" t="n">
        <f aca="false">IF(D335&lt;=0.5,0,MIN(IF(N(I335)&gt;0,I335,$F$9),D335+E335+F335))</f>
        <v>0</v>
      </c>
      <c r="I335" s="77"/>
      <c r="J335" s="77"/>
      <c r="K335" s="41" t="n">
        <f aca="false">IF(D335&lt;=0.5,0,MIN(H335+N(J335),D335+E335+F335))</f>
        <v>0</v>
      </c>
      <c r="L335" s="41" t="n">
        <f aca="false">K335-E335-F335</f>
        <v>0</v>
      </c>
      <c r="M335" s="41" t="n">
        <f aca="false">D335-L335</f>
        <v>0</v>
      </c>
      <c r="N335" s="42" t="n">
        <f aca="false">K335-G335</f>
        <v>0</v>
      </c>
      <c r="O335" s="78"/>
      <c r="P335" s="79"/>
      <c r="Q335" s="16" t="str">
        <f aca="false">IF(K335=0,"",IF(R335=1,"Pagada",IF(C335&lt;$F$12,"Vencida",IF(309=$F$13,"Próxima","Pendiente"))))</f>
        <v/>
      </c>
      <c r="R335" s="62" t="n">
        <f aca="false">IF(AND(K335&gt;0,OR(O335="Sí",O335="Si")),1,0)</f>
        <v>0</v>
      </c>
      <c r="S335" s="62" t="n">
        <f aca="false">IF(AND(K335&gt;0,R335=0),1,0)</f>
        <v>0</v>
      </c>
    </row>
    <row r="336" customFormat="false" ht="15" hidden="false" customHeight="false" outlineLevel="0" collapsed="false">
      <c r="B336" s="71" t="str">
        <f aca="false">IF($F$6="Sí",N($C$11)+309,"")</f>
        <v/>
      </c>
      <c r="C336" s="72" t="str">
        <f aca="false">IF(OR($F$6&lt;&gt;"Sí",D336&lt;=0.5),"",EDATE($C$10,309))</f>
        <v/>
      </c>
      <c r="D336" s="41" t="n">
        <f aca="false">MAX(0,M335)</f>
        <v>0</v>
      </c>
      <c r="E336" s="41" t="n">
        <f aca="false">D336*$F$7</f>
        <v>0</v>
      </c>
      <c r="F336" s="41" t="n">
        <f aca="false">IF(D336&gt;0.5,N($C$15),0)</f>
        <v>0</v>
      </c>
      <c r="G336" s="41" t="n">
        <f aca="false">IF(AND(D336&gt;0.5,N($C$19)&gt;0,N(B336)&lt;=N($C$20)),D336*$F$8,0)</f>
        <v>0</v>
      </c>
      <c r="H336" s="41" t="n">
        <f aca="false">IF(D336&lt;=0.5,0,MIN(IF(N(I336)&gt;0,I336,$F$9),D336+E336+F336))</f>
        <v>0</v>
      </c>
      <c r="I336" s="77"/>
      <c r="J336" s="77"/>
      <c r="K336" s="41" t="n">
        <f aca="false">IF(D336&lt;=0.5,0,MIN(H336+N(J336),D336+E336+F336))</f>
        <v>0</v>
      </c>
      <c r="L336" s="41" t="n">
        <f aca="false">K336-E336-F336</f>
        <v>0</v>
      </c>
      <c r="M336" s="41" t="n">
        <f aca="false">D336-L336</f>
        <v>0</v>
      </c>
      <c r="N336" s="42" t="n">
        <f aca="false">K336-G336</f>
        <v>0</v>
      </c>
      <c r="O336" s="78"/>
      <c r="P336" s="79"/>
      <c r="Q336" s="16" t="str">
        <f aca="false">IF(K336=0,"",IF(R336=1,"Pagada",IF(C336&lt;$F$12,"Vencida",IF(310=$F$13,"Próxima","Pendiente"))))</f>
        <v/>
      </c>
      <c r="R336" s="62" t="n">
        <f aca="false">IF(AND(K336&gt;0,OR(O336="Sí",O336="Si")),1,0)</f>
        <v>0</v>
      </c>
      <c r="S336" s="62" t="n">
        <f aca="false">IF(AND(K336&gt;0,R336=0),1,0)</f>
        <v>0</v>
      </c>
    </row>
    <row r="337" customFormat="false" ht="15" hidden="false" customHeight="false" outlineLevel="0" collapsed="false">
      <c r="B337" s="71" t="str">
        <f aca="false">IF($F$6="Sí",N($C$11)+310,"")</f>
        <v/>
      </c>
      <c r="C337" s="72" t="str">
        <f aca="false">IF(OR($F$6&lt;&gt;"Sí",D337&lt;=0.5),"",EDATE($C$10,310))</f>
        <v/>
      </c>
      <c r="D337" s="41" t="n">
        <f aca="false">MAX(0,M336)</f>
        <v>0</v>
      </c>
      <c r="E337" s="41" t="n">
        <f aca="false">D337*$F$7</f>
        <v>0</v>
      </c>
      <c r="F337" s="41" t="n">
        <f aca="false">IF(D337&gt;0.5,N($C$15),0)</f>
        <v>0</v>
      </c>
      <c r="G337" s="41" t="n">
        <f aca="false">IF(AND(D337&gt;0.5,N($C$19)&gt;0,N(B337)&lt;=N($C$20)),D337*$F$8,0)</f>
        <v>0</v>
      </c>
      <c r="H337" s="41" t="n">
        <f aca="false">IF(D337&lt;=0.5,0,MIN(IF(N(I337)&gt;0,I337,$F$9),D337+E337+F337))</f>
        <v>0</v>
      </c>
      <c r="I337" s="77"/>
      <c r="J337" s="77"/>
      <c r="K337" s="41" t="n">
        <f aca="false">IF(D337&lt;=0.5,0,MIN(H337+N(J337),D337+E337+F337))</f>
        <v>0</v>
      </c>
      <c r="L337" s="41" t="n">
        <f aca="false">K337-E337-F337</f>
        <v>0</v>
      </c>
      <c r="M337" s="41" t="n">
        <f aca="false">D337-L337</f>
        <v>0</v>
      </c>
      <c r="N337" s="42" t="n">
        <f aca="false">K337-G337</f>
        <v>0</v>
      </c>
      <c r="O337" s="78"/>
      <c r="P337" s="79"/>
      <c r="Q337" s="16" t="str">
        <f aca="false">IF(K337=0,"",IF(R337=1,"Pagada",IF(C337&lt;$F$12,"Vencida",IF(311=$F$13,"Próxima","Pendiente"))))</f>
        <v/>
      </c>
      <c r="R337" s="62" t="n">
        <f aca="false">IF(AND(K337&gt;0,OR(O337="Sí",O337="Si")),1,0)</f>
        <v>0</v>
      </c>
      <c r="S337" s="62" t="n">
        <f aca="false">IF(AND(K337&gt;0,R337=0),1,0)</f>
        <v>0</v>
      </c>
    </row>
    <row r="338" customFormat="false" ht="15" hidden="false" customHeight="false" outlineLevel="0" collapsed="false">
      <c r="B338" s="71" t="str">
        <f aca="false">IF($F$6="Sí",N($C$11)+311,"")</f>
        <v/>
      </c>
      <c r="C338" s="72" t="str">
        <f aca="false">IF(OR($F$6&lt;&gt;"Sí",D338&lt;=0.5),"",EDATE($C$10,311))</f>
        <v/>
      </c>
      <c r="D338" s="41" t="n">
        <f aca="false">MAX(0,M337)</f>
        <v>0</v>
      </c>
      <c r="E338" s="41" t="n">
        <f aca="false">D338*$F$7</f>
        <v>0</v>
      </c>
      <c r="F338" s="41" t="n">
        <f aca="false">IF(D338&gt;0.5,N($C$15),0)</f>
        <v>0</v>
      </c>
      <c r="G338" s="41" t="n">
        <f aca="false">IF(AND(D338&gt;0.5,N($C$19)&gt;0,N(B338)&lt;=N($C$20)),D338*$F$8,0)</f>
        <v>0</v>
      </c>
      <c r="H338" s="41" t="n">
        <f aca="false">IF(D338&lt;=0.5,0,MIN(IF(N(I338)&gt;0,I338,$F$9),D338+E338+F338))</f>
        <v>0</v>
      </c>
      <c r="I338" s="77"/>
      <c r="J338" s="77"/>
      <c r="K338" s="41" t="n">
        <f aca="false">IF(D338&lt;=0.5,0,MIN(H338+N(J338),D338+E338+F338))</f>
        <v>0</v>
      </c>
      <c r="L338" s="41" t="n">
        <f aca="false">K338-E338-F338</f>
        <v>0</v>
      </c>
      <c r="M338" s="41" t="n">
        <f aca="false">D338-L338</f>
        <v>0</v>
      </c>
      <c r="N338" s="42" t="n">
        <f aca="false">K338-G338</f>
        <v>0</v>
      </c>
      <c r="O338" s="78"/>
      <c r="P338" s="79"/>
      <c r="Q338" s="16" t="str">
        <f aca="false">IF(K338=0,"",IF(R338=1,"Pagada",IF(C338&lt;$F$12,"Vencida",IF(312=$F$13,"Próxima","Pendiente"))))</f>
        <v/>
      </c>
      <c r="R338" s="62" t="n">
        <f aca="false">IF(AND(K338&gt;0,OR(O338="Sí",O338="Si")),1,0)</f>
        <v>0</v>
      </c>
      <c r="S338" s="62" t="n">
        <f aca="false">IF(AND(K338&gt;0,R338=0),1,0)</f>
        <v>0</v>
      </c>
    </row>
    <row r="339" customFormat="false" ht="15" hidden="false" customHeight="false" outlineLevel="0" collapsed="false">
      <c r="B339" s="71" t="str">
        <f aca="false">IF($F$6="Sí",N($C$11)+312,"")</f>
        <v/>
      </c>
      <c r="C339" s="72" t="str">
        <f aca="false">IF(OR($F$6&lt;&gt;"Sí",D339&lt;=0.5),"",EDATE($C$10,312))</f>
        <v/>
      </c>
      <c r="D339" s="41" t="n">
        <f aca="false">MAX(0,M338)</f>
        <v>0</v>
      </c>
      <c r="E339" s="41" t="n">
        <f aca="false">D339*$F$7</f>
        <v>0</v>
      </c>
      <c r="F339" s="41" t="n">
        <f aca="false">IF(D339&gt;0.5,N($C$15),0)</f>
        <v>0</v>
      </c>
      <c r="G339" s="41" t="n">
        <f aca="false">IF(AND(D339&gt;0.5,N($C$19)&gt;0,N(B339)&lt;=N($C$20)),D339*$F$8,0)</f>
        <v>0</v>
      </c>
      <c r="H339" s="41" t="n">
        <f aca="false">IF(D339&lt;=0.5,0,MIN(IF(N(I339)&gt;0,I339,$F$9),D339+E339+F339))</f>
        <v>0</v>
      </c>
      <c r="I339" s="77"/>
      <c r="J339" s="77"/>
      <c r="K339" s="41" t="n">
        <f aca="false">IF(D339&lt;=0.5,0,MIN(H339+N(J339),D339+E339+F339))</f>
        <v>0</v>
      </c>
      <c r="L339" s="41" t="n">
        <f aca="false">K339-E339-F339</f>
        <v>0</v>
      </c>
      <c r="M339" s="41" t="n">
        <f aca="false">D339-L339</f>
        <v>0</v>
      </c>
      <c r="N339" s="42" t="n">
        <f aca="false">K339-G339</f>
        <v>0</v>
      </c>
      <c r="O339" s="78"/>
      <c r="P339" s="79"/>
      <c r="Q339" s="16" t="str">
        <f aca="false">IF(K339=0,"",IF(R339=1,"Pagada",IF(C339&lt;$F$12,"Vencida",IF(313=$F$13,"Próxima","Pendiente"))))</f>
        <v/>
      </c>
      <c r="R339" s="62" t="n">
        <f aca="false">IF(AND(K339&gt;0,OR(O339="Sí",O339="Si")),1,0)</f>
        <v>0</v>
      </c>
      <c r="S339" s="62" t="n">
        <f aca="false">IF(AND(K339&gt;0,R339=0),1,0)</f>
        <v>0</v>
      </c>
    </row>
    <row r="340" customFormat="false" ht="15" hidden="false" customHeight="false" outlineLevel="0" collapsed="false">
      <c r="B340" s="71" t="str">
        <f aca="false">IF($F$6="Sí",N($C$11)+313,"")</f>
        <v/>
      </c>
      <c r="C340" s="72" t="str">
        <f aca="false">IF(OR($F$6&lt;&gt;"Sí",D340&lt;=0.5),"",EDATE($C$10,313))</f>
        <v/>
      </c>
      <c r="D340" s="41" t="n">
        <f aca="false">MAX(0,M339)</f>
        <v>0</v>
      </c>
      <c r="E340" s="41" t="n">
        <f aca="false">D340*$F$7</f>
        <v>0</v>
      </c>
      <c r="F340" s="41" t="n">
        <f aca="false">IF(D340&gt;0.5,N($C$15),0)</f>
        <v>0</v>
      </c>
      <c r="G340" s="41" t="n">
        <f aca="false">IF(AND(D340&gt;0.5,N($C$19)&gt;0,N(B340)&lt;=N($C$20)),D340*$F$8,0)</f>
        <v>0</v>
      </c>
      <c r="H340" s="41" t="n">
        <f aca="false">IF(D340&lt;=0.5,0,MIN(IF(N(I340)&gt;0,I340,$F$9),D340+E340+F340))</f>
        <v>0</v>
      </c>
      <c r="I340" s="77"/>
      <c r="J340" s="77"/>
      <c r="K340" s="41" t="n">
        <f aca="false">IF(D340&lt;=0.5,0,MIN(H340+N(J340),D340+E340+F340))</f>
        <v>0</v>
      </c>
      <c r="L340" s="41" t="n">
        <f aca="false">K340-E340-F340</f>
        <v>0</v>
      </c>
      <c r="M340" s="41" t="n">
        <f aca="false">D340-L340</f>
        <v>0</v>
      </c>
      <c r="N340" s="42" t="n">
        <f aca="false">K340-G340</f>
        <v>0</v>
      </c>
      <c r="O340" s="78"/>
      <c r="P340" s="79"/>
      <c r="Q340" s="16" t="str">
        <f aca="false">IF(K340=0,"",IF(R340=1,"Pagada",IF(C340&lt;$F$12,"Vencida",IF(314=$F$13,"Próxima","Pendiente"))))</f>
        <v/>
      </c>
      <c r="R340" s="62" t="n">
        <f aca="false">IF(AND(K340&gt;0,OR(O340="Sí",O340="Si")),1,0)</f>
        <v>0</v>
      </c>
      <c r="S340" s="62" t="n">
        <f aca="false">IF(AND(K340&gt;0,R340=0),1,0)</f>
        <v>0</v>
      </c>
    </row>
    <row r="341" customFormat="false" ht="15" hidden="false" customHeight="false" outlineLevel="0" collapsed="false">
      <c r="B341" s="71" t="str">
        <f aca="false">IF($F$6="Sí",N($C$11)+314,"")</f>
        <v/>
      </c>
      <c r="C341" s="72" t="str">
        <f aca="false">IF(OR($F$6&lt;&gt;"Sí",D341&lt;=0.5),"",EDATE($C$10,314))</f>
        <v/>
      </c>
      <c r="D341" s="41" t="n">
        <f aca="false">MAX(0,M340)</f>
        <v>0</v>
      </c>
      <c r="E341" s="41" t="n">
        <f aca="false">D341*$F$7</f>
        <v>0</v>
      </c>
      <c r="F341" s="41" t="n">
        <f aca="false">IF(D341&gt;0.5,N($C$15),0)</f>
        <v>0</v>
      </c>
      <c r="G341" s="41" t="n">
        <f aca="false">IF(AND(D341&gt;0.5,N($C$19)&gt;0,N(B341)&lt;=N($C$20)),D341*$F$8,0)</f>
        <v>0</v>
      </c>
      <c r="H341" s="41" t="n">
        <f aca="false">IF(D341&lt;=0.5,0,MIN(IF(N(I341)&gt;0,I341,$F$9),D341+E341+F341))</f>
        <v>0</v>
      </c>
      <c r="I341" s="77"/>
      <c r="J341" s="77"/>
      <c r="K341" s="41" t="n">
        <f aca="false">IF(D341&lt;=0.5,0,MIN(H341+N(J341),D341+E341+F341))</f>
        <v>0</v>
      </c>
      <c r="L341" s="41" t="n">
        <f aca="false">K341-E341-F341</f>
        <v>0</v>
      </c>
      <c r="M341" s="41" t="n">
        <f aca="false">D341-L341</f>
        <v>0</v>
      </c>
      <c r="N341" s="42" t="n">
        <f aca="false">K341-G341</f>
        <v>0</v>
      </c>
      <c r="O341" s="78"/>
      <c r="P341" s="79"/>
      <c r="Q341" s="16" t="str">
        <f aca="false">IF(K341=0,"",IF(R341=1,"Pagada",IF(C341&lt;$F$12,"Vencida",IF(315=$F$13,"Próxima","Pendiente"))))</f>
        <v/>
      </c>
      <c r="R341" s="62" t="n">
        <f aca="false">IF(AND(K341&gt;0,OR(O341="Sí",O341="Si")),1,0)</f>
        <v>0</v>
      </c>
      <c r="S341" s="62" t="n">
        <f aca="false">IF(AND(K341&gt;0,R341=0),1,0)</f>
        <v>0</v>
      </c>
    </row>
    <row r="342" customFormat="false" ht="15" hidden="false" customHeight="false" outlineLevel="0" collapsed="false">
      <c r="B342" s="71" t="str">
        <f aca="false">IF($F$6="Sí",N($C$11)+315,"")</f>
        <v/>
      </c>
      <c r="C342" s="72" t="str">
        <f aca="false">IF(OR($F$6&lt;&gt;"Sí",D342&lt;=0.5),"",EDATE($C$10,315))</f>
        <v/>
      </c>
      <c r="D342" s="41" t="n">
        <f aca="false">MAX(0,M341)</f>
        <v>0</v>
      </c>
      <c r="E342" s="41" t="n">
        <f aca="false">D342*$F$7</f>
        <v>0</v>
      </c>
      <c r="F342" s="41" t="n">
        <f aca="false">IF(D342&gt;0.5,N($C$15),0)</f>
        <v>0</v>
      </c>
      <c r="G342" s="41" t="n">
        <f aca="false">IF(AND(D342&gt;0.5,N($C$19)&gt;0,N(B342)&lt;=N($C$20)),D342*$F$8,0)</f>
        <v>0</v>
      </c>
      <c r="H342" s="41" t="n">
        <f aca="false">IF(D342&lt;=0.5,0,MIN(IF(N(I342)&gt;0,I342,$F$9),D342+E342+F342))</f>
        <v>0</v>
      </c>
      <c r="I342" s="77"/>
      <c r="J342" s="77"/>
      <c r="K342" s="41" t="n">
        <f aca="false">IF(D342&lt;=0.5,0,MIN(H342+N(J342),D342+E342+F342))</f>
        <v>0</v>
      </c>
      <c r="L342" s="41" t="n">
        <f aca="false">K342-E342-F342</f>
        <v>0</v>
      </c>
      <c r="M342" s="41" t="n">
        <f aca="false">D342-L342</f>
        <v>0</v>
      </c>
      <c r="N342" s="42" t="n">
        <f aca="false">K342-G342</f>
        <v>0</v>
      </c>
      <c r="O342" s="78"/>
      <c r="P342" s="79"/>
      <c r="Q342" s="16" t="str">
        <f aca="false">IF(K342=0,"",IF(R342=1,"Pagada",IF(C342&lt;$F$12,"Vencida",IF(316=$F$13,"Próxima","Pendiente"))))</f>
        <v/>
      </c>
      <c r="R342" s="62" t="n">
        <f aca="false">IF(AND(K342&gt;0,OR(O342="Sí",O342="Si")),1,0)</f>
        <v>0</v>
      </c>
      <c r="S342" s="62" t="n">
        <f aca="false">IF(AND(K342&gt;0,R342=0),1,0)</f>
        <v>0</v>
      </c>
    </row>
    <row r="343" customFormat="false" ht="15" hidden="false" customHeight="false" outlineLevel="0" collapsed="false">
      <c r="B343" s="71" t="str">
        <f aca="false">IF($F$6="Sí",N($C$11)+316,"")</f>
        <v/>
      </c>
      <c r="C343" s="72" t="str">
        <f aca="false">IF(OR($F$6&lt;&gt;"Sí",D343&lt;=0.5),"",EDATE($C$10,316))</f>
        <v/>
      </c>
      <c r="D343" s="41" t="n">
        <f aca="false">MAX(0,M342)</f>
        <v>0</v>
      </c>
      <c r="E343" s="41" t="n">
        <f aca="false">D343*$F$7</f>
        <v>0</v>
      </c>
      <c r="F343" s="41" t="n">
        <f aca="false">IF(D343&gt;0.5,N($C$15),0)</f>
        <v>0</v>
      </c>
      <c r="G343" s="41" t="n">
        <f aca="false">IF(AND(D343&gt;0.5,N($C$19)&gt;0,N(B343)&lt;=N($C$20)),D343*$F$8,0)</f>
        <v>0</v>
      </c>
      <c r="H343" s="41" t="n">
        <f aca="false">IF(D343&lt;=0.5,0,MIN(IF(N(I343)&gt;0,I343,$F$9),D343+E343+F343))</f>
        <v>0</v>
      </c>
      <c r="I343" s="77"/>
      <c r="J343" s="77"/>
      <c r="K343" s="41" t="n">
        <f aca="false">IF(D343&lt;=0.5,0,MIN(H343+N(J343),D343+E343+F343))</f>
        <v>0</v>
      </c>
      <c r="L343" s="41" t="n">
        <f aca="false">K343-E343-F343</f>
        <v>0</v>
      </c>
      <c r="M343" s="41" t="n">
        <f aca="false">D343-L343</f>
        <v>0</v>
      </c>
      <c r="N343" s="42" t="n">
        <f aca="false">K343-G343</f>
        <v>0</v>
      </c>
      <c r="O343" s="78"/>
      <c r="P343" s="79"/>
      <c r="Q343" s="16" t="str">
        <f aca="false">IF(K343=0,"",IF(R343=1,"Pagada",IF(C343&lt;$F$12,"Vencida",IF(317=$F$13,"Próxima","Pendiente"))))</f>
        <v/>
      </c>
      <c r="R343" s="62" t="n">
        <f aca="false">IF(AND(K343&gt;0,OR(O343="Sí",O343="Si")),1,0)</f>
        <v>0</v>
      </c>
      <c r="S343" s="62" t="n">
        <f aca="false">IF(AND(K343&gt;0,R343=0),1,0)</f>
        <v>0</v>
      </c>
    </row>
    <row r="344" customFormat="false" ht="15" hidden="false" customHeight="false" outlineLevel="0" collapsed="false">
      <c r="B344" s="71" t="str">
        <f aca="false">IF($F$6="Sí",N($C$11)+317,"")</f>
        <v/>
      </c>
      <c r="C344" s="72" t="str">
        <f aca="false">IF(OR($F$6&lt;&gt;"Sí",D344&lt;=0.5),"",EDATE($C$10,317))</f>
        <v/>
      </c>
      <c r="D344" s="41" t="n">
        <f aca="false">MAX(0,M343)</f>
        <v>0</v>
      </c>
      <c r="E344" s="41" t="n">
        <f aca="false">D344*$F$7</f>
        <v>0</v>
      </c>
      <c r="F344" s="41" t="n">
        <f aca="false">IF(D344&gt;0.5,N($C$15),0)</f>
        <v>0</v>
      </c>
      <c r="G344" s="41" t="n">
        <f aca="false">IF(AND(D344&gt;0.5,N($C$19)&gt;0,N(B344)&lt;=N($C$20)),D344*$F$8,0)</f>
        <v>0</v>
      </c>
      <c r="H344" s="41" t="n">
        <f aca="false">IF(D344&lt;=0.5,0,MIN(IF(N(I344)&gt;0,I344,$F$9),D344+E344+F344))</f>
        <v>0</v>
      </c>
      <c r="I344" s="77"/>
      <c r="J344" s="77"/>
      <c r="K344" s="41" t="n">
        <f aca="false">IF(D344&lt;=0.5,0,MIN(H344+N(J344),D344+E344+F344))</f>
        <v>0</v>
      </c>
      <c r="L344" s="41" t="n">
        <f aca="false">K344-E344-F344</f>
        <v>0</v>
      </c>
      <c r="M344" s="41" t="n">
        <f aca="false">D344-L344</f>
        <v>0</v>
      </c>
      <c r="N344" s="42" t="n">
        <f aca="false">K344-G344</f>
        <v>0</v>
      </c>
      <c r="O344" s="78"/>
      <c r="P344" s="79"/>
      <c r="Q344" s="16" t="str">
        <f aca="false">IF(K344=0,"",IF(R344=1,"Pagada",IF(C344&lt;$F$12,"Vencida",IF(318=$F$13,"Próxima","Pendiente"))))</f>
        <v/>
      </c>
      <c r="R344" s="62" t="n">
        <f aca="false">IF(AND(K344&gt;0,OR(O344="Sí",O344="Si")),1,0)</f>
        <v>0</v>
      </c>
      <c r="S344" s="62" t="n">
        <f aca="false">IF(AND(K344&gt;0,R344=0),1,0)</f>
        <v>0</v>
      </c>
    </row>
    <row r="345" customFormat="false" ht="15" hidden="false" customHeight="false" outlineLevel="0" collapsed="false">
      <c r="B345" s="71" t="str">
        <f aca="false">IF($F$6="Sí",N($C$11)+318,"")</f>
        <v/>
      </c>
      <c r="C345" s="72" t="str">
        <f aca="false">IF(OR($F$6&lt;&gt;"Sí",D345&lt;=0.5),"",EDATE($C$10,318))</f>
        <v/>
      </c>
      <c r="D345" s="41" t="n">
        <f aca="false">MAX(0,M344)</f>
        <v>0</v>
      </c>
      <c r="E345" s="41" t="n">
        <f aca="false">D345*$F$7</f>
        <v>0</v>
      </c>
      <c r="F345" s="41" t="n">
        <f aca="false">IF(D345&gt;0.5,N($C$15),0)</f>
        <v>0</v>
      </c>
      <c r="G345" s="41" t="n">
        <f aca="false">IF(AND(D345&gt;0.5,N($C$19)&gt;0,N(B345)&lt;=N($C$20)),D345*$F$8,0)</f>
        <v>0</v>
      </c>
      <c r="H345" s="41" t="n">
        <f aca="false">IF(D345&lt;=0.5,0,MIN(IF(N(I345)&gt;0,I345,$F$9),D345+E345+F345))</f>
        <v>0</v>
      </c>
      <c r="I345" s="77"/>
      <c r="J345" s="77"/>
      <c r="K345" s="41" t="n">
        <f aca="false">IF(D345&lt;=0.5,0,MIN(H345+N(J345),D345+E345+F345))</f>
        <v>0</v>
      </c>
      <c r="L345" s="41" t="n">
        <f aca="false">K345-E345-F345</f>
        <v>0</v>
      </c>
      <c r="M345" s="41" t="n">
        <f aca="false">D345-L345</f>
        <v>0</v>
      </c>
      <c r="N345" s="42" t="n">
        <f aca="false">K345-G345</f>
        <v>0</v>
      </c>
      <c r="O345" s="78"/>
      <c r="P345" s="79"/>
      <c r="Q345" s="16" t="str">
        <f aca="false">IF(K345=0,"",IF(R345=1,"Pagada",IF(C345&lt;$F$12,"Vencida",IF(319=$F$13,"Próxima","Pendiente"))))</f>
        <v/>
      </c>
      <c r="R345" s="62" t="n">
        <f aca="false">IF(AND(K345&gt;0,OR(O345="Sí",O345="Si")),1,0)</f>
        <v>0</v>
      </c>
      <c r="S345" s="62" t="n">
        <f aca="false">IF(AND(K345&gt;0,R345=0),1,0)</f>
        <v>0</v>
      </c>
    </row>
    <row r="346" customFormat="false" ht="15" hidden="false" customHeight="false" outlineLevel="0" collapsed="false">
      <c r="B346" s="71" t="str">
        <f aca="false">IF($F$6="Sí",N($C$11)+319,"")</f>
        <v/>
      </c>
      <c r="C346" s="72" t="str">
        <f aca="false">IF(OR($F$6&lt;&gt;"Sí",D346&lt;=0.5),"",EDATE($C$10,319))</f>
        <v/>
      </c>
      <c r="D346" s="41" t="n">
        <f aca="false">MAX(0,M345)</f>
        <v>0</v>
      </c>
      <c r="E346" s="41" t="n">
        <f aca="false">D346*$F$7</f>
        <v>0</v>
      </c>
      <c r="F346" s="41" t="n">
        <f aca="false">IF(D346&gt;0.5,N($C$15),0)</f>
        <v>0</v>
      </c>
      <c r="G346" s="41" t="n">
        <f aca="false">IF(AND(D346&gt;0.5,N($C$19)&gt;0,N(B346)&lt;=N($C$20)),D346*$F$8,0)</f>
        <v>0</v>
      </c>
      <c r="H346" s="41" t="n">
        <f aca="false">IF(D346&lt;=0.5,0,MIN(IF(N(I346)&gt;0,I346,$F$9),D346+E346+F346))</f>
        <v>0</v>
      </c>
      <c r="I346" s="77"/>
      <c r="J346" s="77"/>
      <c r="K346" s="41" t="n">
        <f aca="false">IF(D346&lt;=0.5,0,MIN(H346+N(J346),D346+E346+F346))</f>
        <v>0</v>
      </c>
      <c r="L346" s="41" t="n">
        <f aca="false">K346-E346-F346</f>
        <v>0</v>
      </c>
      <c r="M346" s="41" t="n">
        <f aca="false">D346-L346</f>
        <v>0</v>
      </c>
      <c r="N346" s="42" t="n">
        <f aca="false">K346-G346</f>
        <v>0</v>
      </c>
      <c r="O346" s="78"/>
      <c r="P346" s="79"/>
      <c r="Q346" s="16" t="str">
        <f aca="false">IF(K346=0,"",IF(R346=1,"Pagada",IF(C346&lt;$F$12,"Vencida",IF(320=$F$13,"Próxima","Pendiente"))))</f>
        <v/>
      </c>
      <c r="R346" s="62" t="n">
        <f aca="false">IF(AND(K346&gt;0,OR(O346="Sí",O346="Si")),1,0)</f>
        <v>0</v>
      </c>
      <c r="S346" s="62" t="n">
        <f aca="false">IF(AND(K346&gt;0,R346=0),1,0)</f>
        <v>0</v>
      </c>
    </row>
    <row r="347" customFormat="false" ht="15" hidden="false" customHeight="false" outlineLevel="0" collapsed="false">
      <c r="B347" s="71" t="str">
        <f aca="false">IF($F$6="Sí",N($C$11)+320,"")</f>
        <v/>
      </c>
      <c r="C347" s="72" t="str">
        <f aca="false">IF(OR($F$6&lt;&gt;"Sí",D347&lt;=0.5),"",EDATE($C$10,320))</f>
        <v/>
      </c>
      <c r="D347" s="41" t="n">
        <f aca="false">MAX(0,M346)</f>
        <v>0</v>
      </c>
      <c r="E347" s="41" t="n">
        <f aca="false">D347*$F$7</f>
        <v>0</v>
      </c>
      <c r="F347" s="41" t="n">
        <f aca="false">IF(D347&gt;0.5,N($C$15),0)</f>
        <v>0</v>
      </c>
      <c r="G347" s="41" t="n">
        <f aca="false">IF(AND(D347&gt;0.5,N($C$19)&gt;0,N(B347)&lt;=N($C$20)),D347*$F$8,0)</f>
        <v>0</v>
      </c>
      <c r="H347" s="41" t="n">
        <f aca="false">IF(D347&lt;=0.5,0,MIN(IF(N(I347)&gt;0,I347,$F$9),D347+E347+F347))</f>
        <v>0</v>
      </c>
      <c r="I347" s="77"/>
      <c r="J347" s="77"/>
      <c r="K347" s="41" t="n">
        <f aca="false">IF(D347&lt;=0.5,0,MIN(H347+N(J347),D347+E347+F347))</f>
        <v>0</v>
      </c>
      <c r="L347" s="41" t="n">
        <f aca="false">K347-E347-F347</f>
        <v>0</v>
      </c>
      <c r="M347" s="41" t="n">
        <f aca="false">D347-L347</f>
        <v>0</v>
      </c>
      <c r="N347" s="42" t="n">
        <f aca="false">K347-G347</f>
        <v>0</v>
      </c>
      <c r="O347" s="78"/>
      <c r="P347" s="79"/>
      <c r="Q347" s="16" t="str">
        <f aca="false">IF(K347=0,"",IF(R347=1,"Pagada",IF(C347&lt;$F$12,"Vencida",IF(321=$F$13,"Próxima","Pendiente"))))</f>
        <v/>
      </c>
      <c r="R347" s="62" t="n">
        <f aca="false">IF(AND(K347&gt;0,OR(O347="Sí",O347="Si")),1,0)</f>
        <v>0</v>
      </c>
      <c r="S347" s="62" t="n">
        <f aca="false">IF(AND(K347&gt;0,R347=0),1,0)</f>
        <v>0</v>
      </c>
    </row>
    <row r="348" customFormat="false" ht="15" hidden="false" customHeight="false" outlineLevel="0" collapsed="false">
      <c r="B348" s="71" t="str">
        <f aca="false">IF($F$6="Sí",N($C$11)+321,"")</f>
        <v/>
      </c>
      <c r="C348" s="72" t="str">
        <f aca="false">IF(OR($F$6&lt;&gt;"Sí",D348&lt;=0.5),"",EDATE($C$10,321))</f>
        <v/>
      </c>
      <c r="D348" s="41" t="n">
        <f aca="false">MAX(0,M347)</f>
        <v>0</v>
      </c>
      <c r="E348" s="41" t="n">
        <f aca="false">D348*$F$7</f>
        <v>0</v>
      </c>
      <c r="F348" s="41" t="n">
        <f aca="false">IF(D348&gt;0.5,N($C$15),0)</f>
        <v>0</v>
      </c>
      <c r="G348" s="41" t="n">
        <f aca="false">IF(AND(D348&gt;0.5,N($C$19)&gt;0,N(B348)&lt;=N($C$20)),D348*$F$8,0)</f>
        <v>0</v>
      </c>
      <c r="H348" s="41" t="n">
        <f aca="false">IF(D348&lt;=0.5,0,MIN(IF(N(I348)&gt;0,I348,$F$9),D348+E348+F348))</f>
        <v>0</v>
      </c>
      <c r="I348" s="77"/>
      <c r="J348" s="77"/>
      <c r="K348" s="41" t="n">
        <f aca="false">IF(D348&lt;=0.5,0,MIN(H348+N(J348),D348+E348+F348))</f>
        <v>0</v>
      </c>
      <c r="L348" s="41" t="n">
        <f aca="false">K348-E348-F348</f>
        <v>0</v>
      </c>
      <c r="M348" s="41" t="n">
        <f aca="false">D348-L348</f>
        <v>0</v>
      </c>
      <c r="N348" s="42" t="n">
        <f aca="false">K348-G348</f>
        <v>0</v>
      </c>
      <c r="O348" s="78"/>
      <c r="P348" s="79"/>
      <c r="Q348" s="16" t="str">
        <f aca="false">IF(K348=0,"",IF(R348=1,"Pagada",IF(C348&lt;$F$12,"Vencida",IF(322=$F$13,"Próxima","Pendiente"))))</f>
        <v/>
      </c>
      <c r="R348" s="62" t="n">
        <f aca="false">IF(AND(K348&gt;0,OR(O348="Sí",O348="Si")),1,0)</f>
        <v>0</v>
      </c>
      <c r="S348" s="62" t="n">
        <f aca="false">IF(AND(K348&gt;0,R348=0),1,0)</f>
        <v>0</v>
      </c>
    </row>
    <row r="349" customFormat="false" ht="15" hidden="false" customHeight="false" outlineLevel="0" collapsed="false">
      <c r="B349" s="71" t="str">
        <f aca="false">IF($F$6="Sí",N($C$11)+322,"")</f>
        <v/>
      </c>
      <c r="C349" s="72" t="str">
        <f aca="false">IF(OR($F$6&lt;&gt;"Sí",D349&lt;=0.5),"",EDATE($C$10,322))</f>
        <v/>
      </c>
      <c r="D349" s="41" t="n">
        <f aca="false">MAX(0,M348)</f>
        <v>0</v>
      </c>
      <c r="E349" s="41" t="n">
        <f aca="false">D349*$F$7</f>
        <v>0</v>
      </c>
      <c r="F349" s="41" t="n">
        <f aca="false">IF(D349&gt;0.5,N($C$15),0)</f>
        <v>0</v>
      </c>
      <c r="G349" s="41" t="n">
        <f aca="false">IF(AND(D349&gt;0.5,N($C$19)&gt;0,N(B349)&lt;=N($C$20)),D349*$F$8,0)</f>
        <v>0</v>
      </c>
      <c r="H349" s="41" t="n">
        <f aca="false">IF(D349&lt;=0.5,0,MIN(IF(N(I349)&gt;0,I349,$F$9),D349+E349+F349))</f>
        <v>0</v>
      </c>
      <c r="I349" s="77"/>
      <c r="J349" s="77"/>
      <c r="K349" s="41" t="n">
        <f aca="false">IF(D349&lt;=0.5,0,MIN(H349+N(J349),D349+E349+F349))</f>
        <v>0</v>
      </c>
      <c r="L349" s="41" t="n">
        <f aca="false">K349-E349-F349</f>
        <v>0</v>
      </c>
      <c r="M349" s="41" t="n">
        <f aca="false">D349-L349</f>
        <v>0</v>
      </c>
      <c r="N349" s="42" t="n">
        <f aca="false">K349-G349</f>
        <v>0</v>
      </c>
      <c r="O349" s="78"/>
      <c r="P349" s="79"/>
      <c r="Q349" s="16" t="str">
        <f aca="false">IF(K349=0,"",IF(R349=1,"Pagada",IF(C349&lt;$F$12,"Vencida",IF(323=$F$13,"Próxima","Pendiente"))))</f>
        <v/>
      </c>
      <c r="R349" s="62" t="n">
        <f aca="false">IF(AND(K349&gt;0,OR(O349="Sí",O349="Si")),1,0)</f>
        <v>0</v>
      </c>
      <c r="S349" s="62" t="n">
        <f aca="false">IF(AND(K349&gt;0,R349=0),1,0)</f>
        <v>0</v>
      </c>
    </row>
    <row r="350" customFormat="false" ht="15" hidden="false" customHeight="false" outlineLevel="0" collapsed="false">
      <c r="B350" s="71" t="str">
        <f aca="false">IF($F$6="Sí",N($C$11)+323,"")</f>
        <v/>
      </c>
      <c r="C350" s="72" t="str">
        <f aca="false">IF(OR($F$6&lt;&gt;"Sí",D350&lt;=0.5),"",EDATE($C$10,323))</f>
        <v/>
      </c>
      <c r="D350" s="41" t="n">
        <f aca="false">MAX(0,M349)</f>
        <v>0</v>
      </c>
      <c r="E350" s="41" t="n">
        <f aca="false">D350*$F$7</f>
        <v>0</v>
      </c>
      <c r="F350" s="41" t="n">
        <f aca="false">IF(D350&gt;0.5,N($C$15),0)</f>
        <v>0</v>
      </c>
      <c r="G350" s="41" t="n">
        <f aca="false">IF(AND(D350&gt;0.5,N($C$19)&gt;0,N(B350)&lt;=N($C$20)),D350*$F$8,0)</f>
        <v>0</v>
      </c>
      <c r="H350" s="41" t="n">
        <f aca="false">IF(D350&lt;=0.5,0,MIN(IF(N(I350)&gt;0,I350,$F$9),D350+E350+F350))</f>
        <v>0</v>
      </c>
      <c r="I350" s="77"/>
      <c r="J350" s="77"/>
      <c r="K350" s="41" t="n">
        <f aca="false">IF(D350&lt;=0.5,0,MIN(H350+N(J350),D350+E350+F350))</f>
        <v>0</v>
      </c>
      <c r="L350" s="41" t="n">
        <f aca="false">K350-E350-F350</f>
        <v>0</v>
      </c>
      <c r="M350" s="41" t="n">
        <f aca="false">D350-L350</f>
        <v>0</v>
      </c>
      <c r="N350" s="42" t="n">
        <f aca="false">K350-G350</f>
        <v>0</v>
      </c>
      <c r="O350" s="78"/>
      <c r="P350" s="79"/>
      <c r="Q350" s="16" t="str">
        <f aca="false">IF(K350=0,"",IF(R350=1,"Pagada",IF(C350&lt;$F$12,"Vencida",IF(324=$F$13,"Próxima","Pendiente"))))</f>
        <v/>
      </c>
      <c r="R350" s="62" t="n">
        <f aca="false">IF(AND(K350&gt;0,OR(O350="Sí",O350="Si")),1,0)</f>
        <v>0</v>
      </c>
      <c r="S350" s="62" t="n">
        <f aca="false">IF(AND(K350&gt;0,R350=0),1,0)</f>
        <v>0</v>
      </c>
    </row>
    <row r="351" customFormat="false" ht="15" hidden="false" customHeight="false" outlineLevel="0" collapsed="false">
      <c r="B351" s="71" t="str">
        <f aca="false">IF($F$6="Sí",N($C$11)+324,"")</f>
        <v/>
      </c>
      <c r="C351" s="72" t="str">
        <f aca="false">IF(OR($F$6&lt;&gt;"Sí",D351&lt;=0.5),"",EDATE($C$10,324))</f>
        <v/>
      </c>
      <c r="D351" s="41" t="n">
        <f aca="false">MAX(0,M350)</f>
        <v>0</v>
      </c>
      <c r="E351" s="41" t="n">
        <f aca="false">D351*$F$7</f>
        <v>0</v>
      </c>
      <c r="F351" s="41" t="n">
        <f aca="false">IF(D351&gt;0.5,N($C$15),0)</f>
        <v>0</v>
      </c>
      <c r="G351" s="41" t="n">
        <f aca="false">IF(AND(D351&gt;0.5,N($C$19)&gt;0,N(B351)&lt;=N($C$20)),D351*$F$8,0)</f>
        <v>0</v>
      </c>
      <c r="H351" s="41" t="n">
        <f aca="false">IF(D351&lt;=0.5,0,MIN(IF(N(I351)&gt;0,I351,$F$9),D351+E351+F351))</f>
        <v>0</v>
      </c>
      <c r="I351" s="77"/>
      <c r="J351" s="77"/>
      <c r="K351" s="41" t="n">
        <f aca="false">IF(D351&lt;=0.5,0,MIN(H351+N(J351),D351+E351+F351))</f>
        <v>0</v>
      </c>
      <c r="L351" s="41" t="n">
        <f aca="false">K351-E351-F351</f>
        <v>0</v>
      </c>
      <c r="M351" s="41" t="n">
        <f aca="false">D351-L351</f>
        <v>0</v>
      </c>
      <c r="N351" s="42" t="n">
        <f aca="false">K351-G351</f>
        <v>0</v>
      </c>
      <c r="O351" s="78"/>
      <c r="P351" s="79"/>
      <c r="Q351" s="16" t="str">
        <f aca="false">IF(K351=0,"",IF(R351=1,"Pagada",IF(C351&lt;$F$12,"Vencida",IF(325=$F$13,"Próxima","Pendiente"))))</f>
        <v/>
      </c>
      <c r="R351" s="62" t="n">
        <f aca="false">IF(AND(K351&gt;0,OR(O351="Sí",O351="Si")),1,0)</f>
        <v>0</v>
      </c>
      <c r="S351" s="62" t="n">
        <f aca="false">IF(AND(K351&gt;0,R351=0),1,0)</f>
        <v>0</v>
      </c>
    </row>
    <row r="352" customFormat="false" ht="15" hidden="false" customHeight="false" outlineLevel="0" collapsed="false">
      <c r="B352" s="71" t="str">
        <f aca="false">IF($F$6="Sí",N($C$11)+325,"")</f>
        <v/>
      </c>
      <c r="C352" s="72" t="str">
        <f aca="false">IF(OR($F$6&lt;&gt;"Sí",D352&lt;=0.5),"",EDATE($C$10,325))</f>
        <v/>
      </c>
      <c r="D352" s="41" t="n">
        <f aca="false">MAX(0,M351)</f>
        <v>0</v>
      </c>
      <c r="E352" s="41" t="n">
        <f aca="false">D352*$F$7</f>
        <v>0</v>
      </c>
      <c r="F352" s="41" t="n">
        <f aca="false">IF(D352&gt;0.5,N($C$15),0)</f>
        <v>0</v>
      </c>
      <c r="G352" s="41" t="n">
        <f aca="false">IF(AND(D352&gt;0.5,N($C$19)&gt;0,N(B352)&lt;=N($C$20)),D352*$F$8,0)</f>
        <v>0</v>
      </c>
      <c r="H352" s="41" t="n">
        <f aca="false">IF(D352&lt;=0.5,0,MIN(IF(N(I352)&gt;0,I352,$F$9),D352+E352+F352))</f>
        <v>0</v>
      </c>
      <c r="I352" s="77"/>
      <c r="J352" s="77"/>
      <c r="K352" s="41" t="n">
        <f aca="false">IF(D352&lt;=0.5,0,MIN(H352+N(J352),D352+E352+F352))</f>
        <v>0</v>
      </c>
      <c r="L352" s="41" t="n">
        <f aca="false">K352-E352-F352</f>
        <v>0</v>
      </c>
      <c r="M352" s="41" t="n">
        <f aca="false">D352-L352</f>
        <v>0</v>
      </c>
      <c r="N352" s="42" t="n">
        <f aca="false">K352-G352</f>
        <v>0</v>
      </c>
      <c r="O352" s="78"/>
      <c r="P352" s="79"/>
      <c r="Q352" s="16" t="str">
        <f aca="false">IF(K352=0,"",IF(R352=1,"Pagada",IF(C352&lt;$F$12,"Vencida",IF(326=$F$13,"Próxima","Pendiente"))))</f>
        <v/>
      </c>
      <c r="R352" s="62" t="n">
        <f aca="false">IF(AND(K352&gt;0,OR(O352="Sí",O352="Si")),1,0)</f>
        <v>0</v>
      </c>
      <c r="S352" s="62" t="n">
        <f aca="false">IF(AND(K352&gt;0,R352=0),1,0)</f>
        <v>0</v>
      </c>
    </row>
    <row r="353" customFormat="false" ht="15" hidden="false" customHeight="false" outlineLevel="0" collapsed="false">
      <c r="B353" s="71" t="str">
        <f aca="false">IF($F$6="Sí",N($C$11)+326,"")</f>
        <v/>
      </c>
      <c r="C353" s="72" t="str">
        <f aca="false">IF(OR($F$6&lt;&gt;"Sí",D353&lt;=0.5),"",EDATE($C$10,326))</f>
        <v/>
      </c>
      <c r="D353" s="41" t="n">
        <f aca="false">MAX(0,M352)</f>
        <v>0</v>
      </c>
      <c r="E353" s="41" t="n">
        <f aca="false">D353*$F$7</f>
        <v>0</v>
      </c>
      <c r="F353" s="41" t="n">
        <f aca="false">IF(D353&gt;0.5,N($C$15),0)</f>
        <v>0</v>
      </c>
      <c r="G353" s="41" t="n">
        <f aca="false">IF(AND(D353&gt;0.5,N($C$19)&gt;0,N(B353)&lt;=N($C$20)),D353*$F$8,0)</f>
        <v>0</v>
      </c>
      <c r="H353" s="41" t="n">
        <f aca="false">IF(D353&lt;=0.5,0,MIN(IF(N(I353)&gt;0,I353,$F$9),D353+E353+F353))</f>
        <v>0</v>
      </c>
      <c r="I353" s="77"/>
      <c r="J353" s="77"/>
      <c r="K353" s="41" t="n">
        <f aca="false">IF(D353&lt;=0.5,0,MIN(H353+N(J353),D353+E353+F353))</f>
        <v>0</v>
      </c>
      <c r="L353" s="41" t="n">
        <f aca="false">K353-E353-F353</f>
        <v>0</v>
      </c>
      <c r="M353" s="41" t="n">
        <f aca="false">D353-L353</f>
        <v>0</v>
      </c>
      <c r="N353" s="42" t="n">
        <f aca="false">K353-G353</f>
        <v>0</v>
      </c>
      <c r="O353" s="78"/>
      <c r="P353" s="79"/>
      <c r="Q353" s="16" t="str">
        <f aca="false">IF(K353=0,"",IF(R353=1,"Pagada",IF(C353&lt;$F$12,"Vencida",IF(327=$F$13,"Próxima","Pendiente"))))</f>
        <v/>
      </c>
      <c r="R353" s="62" t="n">
        <f aca="false">IF(AND(K353&gt;0,OR(O353="Sí",O353="Si")),1,0)</f>
        <v>0</v>
      </c>
      <c r="S353" s="62" t="n">
        <f aca="false">IF(AND(K353&gt;0,R353=0),1,0)</f>
        <v>0</v>
      </c>
    </row>
    <row r="354" customFormat="false" ht="15" hidden="false" customHeight="false" outlineLevel="0" collapsed="false">
      <c r="B354" s="71" t="str">
        <f aca="false">IF($F$6="Sí",N($C$11)+327,"")</f>
        <v/>
      </c>
      <c r="C354" s="72" t="str">
        <f aca="false">IF(OR($F$6&lt;&gt;"Sí",D354&lt;=0.5),"",EDATE($C$10,327))</f>
        <v/>
      </c>
      <c r="D354" s="41" t="n">
        <f aca="false">MAX(0,M353)</f>
        <v>0</v>
      </c>
      <c r="E354" s="41" t="n">
        <f aca="false">D354*$F$7</f>
        <v>0</v>
      </c>
      <c r="F354" s="41" t="n">
        <f aca="false">IF(D354&gt;0.5,N($C$15),0)</f>
        <v>0</v>
      </c>
      <c r="G354" s="41" t="n">
        <f aca="false">IF(AND(D354&gt;0.5,N($C$19)&gt;0,N(B354)&lt;=N($C$20)),D354*$F$8,0)</f>
        <v>0</v>
      </c>
      <c r="H354" s="41" t="n">
        <f aca="false">IF(D354&lt;=0.5,0,MIN(IF(N(I354)&gt;0,I354,$F$9),D354+E354+F354))</f>
        <v>0</v>
      </c>
      <c r="I354" s="77"/>
      <c r="J354" s="77"/>
      <c r="K354" s="41" t="n">
        <f aca="false">IF(D354&lt;=0.5,0,MIN(H354+N(J354),D354+E354+F354))</f>
        <v>0</v>
      </c>
      <c r="L354" s="41" t="n">
        <f aca="false">K354-E354-F354</f>
        <v>0</v>
      </c>
      <c r="M354" s="41" t="n">
        <f aca="false">D354-L354</f>
        <v>0</v>
      </c>
      <c r="N354" s="42" t="n">
        <f aca="false">K354-G354</f>
        <v>0</v>
      </c>
      <c r="O354" s="78"/>
      <c r="P354" s="79"/>
      <c r="Q354" s="16" t="str">
        <f aca="false">IF(K354=0,"",IF(R354=1,"Pagada",IF(C354&lt;$F$12,"Vencida",IF(328=$F$13,"Próxima","Pendiente"))))</f>
        <v/>
      </c>
      <c r="R354" s="62" t="n">
        <f aca="false">IF(AND(K354&gt;0,OR(O354="Sí",O354="Si")),1,0)</f>
        <v>0</v>
      </c>
      <c r="S354" s="62" t="n">
        <f aca="false">IF(AND(K354&gt;0,R354=0),1,0)</f>
        <v>0</v>
      </c>
    </row>
    <row r="355" customFormat="false" ht="15" hidden="false" customHeight="false" outlineLevel="0" collapsed="false">
      <c r="B355" s="71" t="str">
        <f aca="false">IF($F$6="Sí",N($C$11)+328,"")</f>
        <v/>
      </c>
      <c r="C355" s="72" t="str">
        <f aca="false">IF(OR($F$6&lt;&gt;"Sí",D355&lt;=0.5),"",EDATE($C$10,328))</f>
        <v/>
      </c>
      <c r="D355" s="41" t="n">
        <f aca="false">MAX(0,M354)</f>
        <v>0</v>
      </c>
      <c r="E355" s="41" t="n">
        <f aca="false">D355*$F$7</f>
        <v>0</v>
      </c>
      <c r="F355" s="41" t="n">
        <f aca="false">IF(D355&gt;0.5,N($C$15),0)</f>
        <v>0</v>
      </c>
      <c r="G355" s="41" t="n">
        <f aca="false">IF(AND(D355&gt;0.5,N($C$19)&gt;0,N(B355)&lt;=N($C$20)),D355*$F$8,0)</f>
        <v>0</v>
      </c>
      <c r="H355" s="41" t="n">
        <f aca="false">IF(D355&lt;=0.5,0,MIN(IF(N(I355)&gt;0,I355,$F$9),D355+E355+F355))</f>
        <v>0</v>
      </c>
      <c r="I355" s="77"/>
      <c r="J355" s="77"/>
      <c r="K355" s="41" t="n">
        <f aca="false">IF(D355&lt;=0.5,0,MIN(H355+N(J355),D355+E355+F355))</f>
        <v>0</v>
      </c>
      <c r="L355" s="41" t="n">
        <f aca="false">K355-E355-F355</f>
        <v>0</v>
      </c>
      <c r="M355" s="41" t="n">
        <f aca="false">D355-L355</f>
        <v>0</v>
      </c>
      <c r="N355" s="42" t="n">
        <f aca="false">K355-G355</f>
        <v>0</v>
      </c>
      <c r="O355" s="78"/>
      <c r="P355" s="79"/>
      <c r="Q355" s="16" t="str">
        <f aca="false">IF(K355=0,"",IF(R355=1,"Pagada",IF(C355&lt;$F$12,"Vencida",IF(329=$F$13,"Próxima","Pendiente"))))</f>
        <v/>
      </c>
      <c r="R355" s="62" t="n">
        <f aca="false">IF(AND(K355&gt;0,OR(O355="Sí",O355="Si")),1,0)</f>
        <v>0</v>
      </c>
      <c r="S355" s="62" t="n">
        <f aca="false">IF(AND(K355&gt;0,R355=0),1,0)</f>
        <v>0</v>
      </c>
    </row>
    <row r="356" customFormat="false" ht="15" hidden="false" customHeight="false" outlineLevel="0" collapsed="false">
      <c r="B356" s="71" t="str">
        <f aca="false">IF($F$6="Sí",N($C$11)+329,"")</f>
        <v/>
      </c>
      <c r="C356" s="72" t="str">
        <f aca="false">IF(OR($F$6&lt;&gt;"Sí",D356&lt;=0.5),"",EDATE($C$10,329))</f>
        <v/>
      </c>
      <c r="D356" s="41" t="n">
        <f aca="false">MAX(0,M355)</f>
        <v>0</v>
      </c>
      <c r="E356" s="41" t="n">
        <f aca="false">D356*$F$7</f>
        <v>0</v>
      </c>
      <c r="F356" s="41" t="n">
        <f aca="false">IF(D356&gt;0.5,N($C$15),0)</f>
        <v>0</v>
      </c>
      <c r="G356" s="41" t="n">
        <f aca="false">IF(AND(D356&gt;0.5,N($C$19)&gt;0,N(B356)&lt;=N($C$20)),D356*$F$8,0)</f>
        <v>0</v>
      </c>
      <c r="H356" s="41" t="n">
        <f aca="false">IF(D356&lt;=0.5,0,MIN(IF(N(I356)&gt;0,I356,$F$9),D356+E356+F356))</f>
        <v>0</v>
      </c>
      <c r="I356" s="77"/>
      <c r="J356" s="77"/>
      <c r="K356" s="41" t="n">
        <f aca="false">IF(D356&lt;=0.5,0,MIN(H356+N(J356),D356+E356+F356))</f>
        <v>0</v>
      </c>
      <c r="L356" s="41" t="n">
        <f aca="false">K356-E356-F356</f>
        <v>0</v>
      </c>
      <c r="M356" s="41" t="n">
        <f aca="false">D356-L356</f>
        <v>0</v>
      </c>
      <c r="N356" s="42" t="n">
        <f aca="false">K356-G356</f>
        <v>0</v>
      </c>
      <c r="O356" s="78"/>
      <c r="P356" s="79"/>
      <c r="Q356" s="16" t="str">
        <f aca="false">IF(K356=0,"",IF(R356=1,"Pagada",IF(C356&lt;$F$12,"Vencida",IF(330=$F$13,"Próxima","Pendiente"))))</f>
        <v/>
      </c>
      <c r="R356" s="62" t="n">
        <f aca="false">IF(AND(K356&gt;0,OR(O356="Sí",O356="Si")),1,0)</f>
        <v>0</v>
      </c>
      <c r="S356" s="62" t="n">
        <f aca="false">IF(AND(K356&gt;0,R356=0),1,0)</f>
        <v>0</v>
      </c>
    </row>
    <row r="357" customFormat="false" ht="15" hidden="false" customHeight="false" outlineLevel="0" collapsed="false">
      <c r="B357" s="71" t="str">
        <f aca="false">IF($F$6="Sí",N($C$11)+330,"")</f>
        <v/>
      </c>
      <c r="C357" s="72" t="str">
        <f aca="false">IF(OR($F$6&lt;&gt;"Sí",D357&lt;=0.5),"",EDATE($C$10,330))</f>
        <v/>
      </c>
      <c r="D357" s="41" t="n">
        <f aca="false">MAX(0,M356)</f>
        <v>0</v>
      </c>
      <c r="E357" s="41" t="n">
        <f aca="false">D357*$F$7</f>
        <v>0</v>
      </c>
      <c r="F357" s="41" t="n">
        <f aca="false">IF(D357&gt;0.5,N($C$15),0)</f>
        <v>0</v>
      </c>
      <c r="G357" s="41" t="n">
        <f aca="false">IF(AND(D357&gt;0.5,N($C$19)&gt;0,N(B357)&lt;=N($C$20)),D357*$F$8,0)</f>
        <v>0</v>
      </c>
      <c r="H357" s="41" t="n">
        <f aca="false">IF(D357&lt;=0.5,0,MIN(IF(N(I357)&gt;0,I357,$F$9),D357+E357+F357))</f>
        <v>0</v>
      </c>
      <c r="I357" s="77"/>
      <c r="J357" s="77"/>
      <c r="K357" s="41" t="n">
        <f aca="false">IF(D357&lt;=0.5,0,MIN(H357+N(J357),D357+E357+F357))</f>
        <v>0</v>
      </c>
      <c r="L357" s="41" t="n">
        <f aca="false">K357-E357-F357</f>
        <v>0</v>
      </c>
      <c r="M357" s="41" t="n">
        <f aca="false">D357-L357</f>
        <v>0</v>
      </c>
      <c r="N357" s="42" t="n">
        <f aca="false">K357-G357</f>
        <v>0</v>
      </c>
      <c r="O357" s="78"/>
      <c r="P357" s="79"/>
      <c r="Q357" s="16" t="str">
        <f aca="false">IF(K357=0,"",IF(R357=1,"Pagada",IF(C357&lt;$F$12,"Vencida",IF(331=$F$13,"Próxima","Pendiente"))))</f>
        <v/>
      </c>
      <c r="R357" s="62" t="n">
        <f aca="false">IF(AND(K357&gt;0,OR(O357="Sí",O357="Si")),1,0)</f>
        <v>0</v>
      </c>
      <c r="S357" s="62" t="n">
        <f aca="false">IF(AND(K357&gt;0,R357=0),1,0)</f>
        <v>0</v>
      </c>
    </row>
    <row r="358" customFormat="false" ht="15" hidden="false" customHeight="false" outlineLevel="0" collapsed="false">
      <c r="B358" s="71" t="str">
        <f aca="false">IF($F$6="Sí",N($C$11)+331,"")</f>
        <v/>
      </c>
      <c r="C358" s="72" t="str">
        <f aca="false">IF(OR($F$6&lt;&gt;"Sí",D358&lt;=0.5),"",EDATE($C$10,331))</f>
        <v/>
      </c>
      <c r="D358" s="41" t="n">
        <f aca="false">MAX(0,M357)</f>
        <v>0</v>
      </c>
      <c r="E358" s="41" t="n">
        <f aca="false">D358*$F$7</f>
        <v>0</v>
      </c>
      <c r="F358" s="41" t="n">
        <f aca="false">IF(D358&gt;0.5,N($C$15),0)</f>
        <v>0</v>
      </c>
      <c r="G358" s="41" t="n">
        <f aca="false">IF(AND(D358&gt;0.5,N($C$19)&gt;0,N(B358)&lt;=N($C$20)),D358*$F$8,0)</f>
        <v>0</v>
      </c>
      <c r="H358" s="41" t="n">
        <f aca="false">IF(D358&lt;=0.5,0,MIN(IF(N(I358)&gt;0,I358,$F$9),D358+E358+F358))</f>
        <v>0</v>
      </c>
      <c r="I358" s="77"/>
      <c r="J358" s="77"/>
      <c r="K358" s="41" t="n">
        <f aca="false">IF(D358&lt;=0.5,0,MIN(H358+N(J358),D358+E358+F358))</f>
        <v>0</v>
      </c>
      <c r="L358" s="41" t="n">
        <f aca="false">K358-E358-F358</f>
        <v>0</v>
      </c>
      <c r="M358" s="41" t="n">
        <f aca="false">D358-L358</f>
        <v>0</v>
      </c>
      <c r="N358" s="42" t="n">
        <f aca="false">K358-G358</f>
        <v>0</v>
      </c>
      <c r="O358" s="78"/>
      <c r="P358" s="79"/>
      <c r="Q358" s="16" t="str">
        <f aca="false">IF(K358=0,"",IF(R358=1,"Pagada",IF(C358&lt;$F$12,"Vencida",IF(332=$F$13,"Próxima","Pendiente"))))</f>
        <v/>
      </c>
      <c r="R358" s="62" t="n">
        <f aca="false">IF(AND(K358&gt;0,OR(O358="Sí",O358="Si")),1,0)</f>
        <v>0</v>
      </c>
      <c r="S358" s="62" t="n">
        <f aca="false">IF(AND(K358&gt;0,R358=0),1,0)</f>
        <v>0</v>
      </c>
    </row>
    <row r="359" customFormat="false" ht="15" hidden="false" customHeight="false" outlineLevel="0" collapsed="false">
      <c r="B359" s="71" t="str">
        <f aca="false">IF($F$6="Sí",N($C$11)+332,"")</f>
        <v/>
      </c>
      <c r="C359" s="72" t="str">
        <f aca="false">IF(OR($F$6&lt;&gt;"Sí",D359&lt;=0.5),"",EDATE($C$10,332))</f>
        <v/>
      </c>
      <c r="D359" s="41" t="n">
        <f aca="false">MAX(0,M358)</f>
        <v>0</v>
      </c>
      <c r="E359" s="41" t="n">
        <f aca="false">D359*$F$7</f>
        <v>0</v>
      </c>
      <c r="F359" s="41" t="n">
        <f aca="false">IF(D359&gt;0.5,N($C$15),0)</f>
        <v>0</v>
      </c>
      <c r="G359" s="41" t="n">
        <f aca="false">IF(AND(D359&gt;0.5,N($C$19)&gt;0,N(B359)&lt;=N($C$20)),D359*$F$8,0)</f>
        <v>0</v>
      </c>
      <c r="H359" s="41" t="n">
        <f aca="false">IF(D359&lt;=0.5,0,MIN(IF(N(I359)&gt;0,I359,$F$9),D359+E359+F359))</f>
        <v>0</v>
      </c>
      <c r="I359" s="77"/>
      <c r="J359" s="77"/>
      <c r="K359" s="41" t="n">
        <f aca="false">IF(D359&lt;=0.5,0,MIN(H359+N(J359),D359+E359+F359))</f>
        <v>0</v>
      </c>
      <c r="L359" s="41" t="n">
        <f aca="false">K359-E359-F359</f>
        <v>0</v>
      </c>
      <c r="M359" s="41" t="n">
        <f aca="false">D359-L359</f>
        <v>0</v>
      </c>
      <c r="N359" s="42" t="n">
        <f aca="false">K359-G359</f>
        <v>0</v>
      </c>
      <c r="O359" s="78"/>
      <c r="P359" s="79"/>
      <c r="Q359" s="16" t="str">
        <f aca="false">IF(K359=0,"",IF(R359=1,"Pagada",IF(C359&lt;$F$12,"Vencida",IF(333=$F$13,"Próxima","Pendiente"))))</f>
        <v/>
      </c>
      <c r="R359" s="62" t="n">
        <f aca="false">IF(AND(K359&gt;0,OR(O359="Sí",O359="Si")),1,0)</f>
        <v>0</v>
      </c>
      <c r="S359" s="62" t="n">
        <f aca="false">IF(AND(K359&gt;0,R359=0),1,0)</f>
        <v>0</v>
      </c>
    </row>
    <row r="360" customFormat="false" ht="15" hidden="false" customHeight="false" outlineLevel="0" collapsed="false">
      <c r="B360" s="71" t="str">
        <f aca="false">IF($F$6="Sí",N($C$11)+333,"")</f>
        <v/>
      </c>
      <c r="C360" s="72" t="str">
        <f aca="false">IF(OR($F$6&lt;&gt;"Sí",D360&lt;=0.5),"",EDATE($C$10,333))</f>
        <v/>
      </c>
      <c r="D360" s="41" t="n">
        <f aca="false">MAX(0,M359)</f>
        <v>0</v>
      </c>
      <c r="E360" s="41" t="n">
        <f aca="false">D360*$F$7</f>
        <v>0</v>
      </c>
      <c r="F360" s="41" t="n">
        <f aca="false">IF(D360&gt;0.5,N($C$15),0)</f>
        <v>0</v>
      </c>
      <c r="G360" s="41" t="n">
        <f aca="false">IF(AND(D360&gt;0.5,N($C$19)&gt;0,N(B360)&lt;=N($C$20)),D360*$F$8,0)</f>
        <v>0</v>
      </c>
      <c r="H360" s="41" t="n">
        <f aca="false">IF(D360&lt;=0.5,0,MIN(IF(N(I360)&gt;0,I360,$F$9),D360+E360+F360))</f>
        <v>0</v>
      </c>
      <c r="I360" s="77"/>
      <c r="J360" s="77"/>
      <c r="K360" s="41" t="n">
        <f aca="false">IF(D360&lt;=0.5,0,MIN(H360+N(J360),D360+E360+F360))</f>
        <v>0</v>
      </c>
      <c r="L360" s="41" t="n">
        <f aca="false">K360-E360-F360</f>
        <v>0</v>
      </c>
      <c r="M360" s="41" t="n">
        <f aca="false">D360-L360</f>
        <v>0</v>
      </c>
      <c r="N360" s="42" t="n">
        <f aca="false">K360-G360</f>
        <v>0</v>
      </c>
      <c r="O360" s="78"/>
      <c r="P360" s="79"/>
      <c r="Q360" s="16" t="str">
        <f aca="false">IF(K360=0,"",IF(R360=1,"Pagada",IF(C360&lt;$F$12,"Vencida",IF(334=$F$13,"Próxima","Pendiente"))))</f>
        <v/>
      </c>
      <c r="R360" s="62" t="n">
        <f aca="false">IF(AND(K360&gt;0,OR(O360="Sí",O360="Si")),1,0)</f>
        <v>0</v>
      </c>
      <c r="S360" s="62" t="n">
        <f aca="false">IF(AND(K360&gt;0,R360=0),1,0)</f>
        <v>0</v>
      </c>
    </row>
    <row r="361" customFormat="false" ht="15" hidden="false" customHeight="false" outlineLevel="0" collapsed="false">
      <c r="B361" s="71" t="str">
        <f aca="false">IF($F$6="Sí",N($C$11)+334,"")</f>
        <v/>
      </c>
      <c r="C361" s="72" t="str">
        <f aca="false">IF(OR($F$6&lt;&gt;"Sí",D361&lt;=0.5),"",EDATE($C$10,334))</f>
        <v/>
      </c>
      <c r="D361" s="41" t="n">
        <f aca="false">MAX(0,M360)</f>
        <v>0</v>
      </c>
      <c r="E361" s="41" t="n">
        <f aca="false">D361*$F$7</f>
        <v>0</v>
      </c>
      <c r="F361" s="41" t="n">
        <f aca="false">IF(D361&gt;0.5,N($C$15),0)</f>
        <v>0</v>
      </c>
      <c r="G361" s="41" t="n">
        <f aca="false">IF(AND(D361&gt;0.5,N($C$19)&gt;0,N(B361)&lt;=N($C$20)),D361*$F$8,0)</f>
        <v>0</v>
      </c>
      <c r="H361" s="41" t="n">
        <f aca="false">IF(D361&lt;=0.5,0,MIN(IF(N(I361)&gt;0,I361,$F$9),D361+E361+F361))</f>
        <v>0</v>
      </c>
      <c r="I361" s="77"/>
      <c r="J361" s="77"/>
      <c r="K361" s="41" t="n">
        <f aca="false">IF(D361&lt;=0.5,0,MIN(H361+N(J361),D361+E361+F361))</f>
        <v>0</v>
      </c>
      <c r="L361" s="41" t="n">
        <f aca="false">K361-E361-F361</f>
        <v>0</v>
      </c>
      <c r="M361" s="41" t="n">
        <f aca="false">D361-L361</f>
        <v>0</v>
      </c>
      <c r="N361" s="42" t="n">
        <f aca="false">K361-G361</f>
        <v>0</v>
      </c>
      <c r="O361" s="78"/>
      <c r="P361" s="79"/>
      <c r="Q361" s="16" t="str">
        <f aca="false">IF(K361=0,"",IF(R361=1,"Pagada",IF(C361&lt;$F$12,"Vencida",IF(335=$F$13,"Próxima","Pendiente"))))</f>
        <v/>
      </c>
      <c r="R361" s="62" t="n">
        <f aca="false">IF(AND(K361&gt;0,OR(O361="Sí",O361="Si")),1,0)</f>
        <v>0</v>
      </c>
      <c r="S361" s="62" t="n">
        <f aca="false">IF(AND(K361&gt;0,R361=0),1,0)</f>
        <v>0</v>
      </c>
    </row>
    <row r="362" customFormat="false" ht="15" hidden="false" customHeight="false" outlineLevel="0" collapsed="false">
      <c r="B362" s="71" t="str">
        <f aca="false">IF($F$6="Sí",N($C$11)+335,"")</f>
        <v/>
      </c>
      <c r="C362" s="72" t="str">
        <f aca="false">IF(OR($F$6&lt;&gt;"Sí",D362&lt;=0.5),"",EDATE($C$10,335))</f>
        <v/>
      </c>
      <c r="D362" s="41" t="n">
        <f aca="false">MAX(0,M361)</f>
        <v>0</v>
      </c>
      <c r="E362" s="41" t="n">
        <f aca="false">D362*$F$7</f>
        <v>0</v>
      </c>
      <c r="F362" s="41" t="n">
        <f aca="false">IF(D362&gt;0.5,N($C$15),0)</f>
        <v>0</v>
      </c>
      <c r="G362" s="41" t="n">
        <f aca="false">IF(AND(D362&gt;0.5,N($C$19)&gt;0,N(B362)&lt;=N($C$20)),D362*$F$8,0)</f>
        <v>0</v>
      </c>
      <c r="H362" s="41" t="n">
        <f aca="false">IF(D362&lt;=0.5,0,MIN(IF(N(I362)&gt;0,I362,$F$9),D362+E362+F362))</f>
        <v>0</v>
      </c>
      <c r="I362" s="77"/>
      <c r="J362" s="77"/>
      <c r="K362" s="41" t="n">
        <f aca="false">IF(D362&lt;=0.5,0,MIN(H362+N(J362),D362+E362+F362))</f>
        <v>0</v>
      </c>
      <c r="L362" s="41" t="n">
        <f aca="false">K362-E362-F362</f>
        <v>0</v>
      </c>
      <c r="M362" s="41" t="n">
        <f aca="false">D362-L362</f>
        <v>0</v>
      </c>
      <c r="N362" s="42" t="n">
        <f aca="false">K362-G362</f>
        <v>0</v>
      </c>
      <c r="O362" s="78"/>
      <c r="P362" s="79"/>
      <c r="Q362" s="16" t="str">
        <f aca="false">IF(K362=0,"",IF(R362=1,"Pagada",IF(C362&lt;$F$12,"Vencida",IF(336=$F$13,"Próxima","Pendiente"))))</f>
        <v/>
      </c>
      <c r="R362" s="62" t="n">
        <f aca="false">IF(AND(K362&gt;0,OR(O362="Sí",O362="Si")),1,0)</f>
        <v>0</v>
      </c>
      <c r="S362" s="62" t="n">
        <f aca="false">IF(AND(K362&gt;0,R362=0),1,0)</f>
        <v>0</v>
      </c>
    </row>
    <row r="363" customFormat="false" ht="15" hidden="false" customHeight="false" outlineLevel="0" collapsed="false">
      <c r="B363" s="71" t="str">
        <f aca="false">IF($F$6="Sí",N($C$11)+336,"")</f>
        <v/>
      </c>
      <c r="C363" s="72" t="str">
        <f aca="false">IF(OR($F$6&lt;&gt;"Sí",D363&lt;=0.5),"",EDATE($C$10,336))</f>
        <v/>
      </c>
      <c r="D363" s="41" t="n">
        <f aca="false">MAX(0,M362)</f>
        <v>0</v>
      </c>
      <c r="E363" s="41" t="n">
        <f aca="false">D363*$F$7</f>
        <v>0</v>
      </c>
      <c r="F363" s="41" t="n">
        <f aca="false">IF(D363&gt;0.5,N($C$15),0)</f>
        <v>0</v>
      </c>
      <c r="G363" s="41" t="n">
        <f aca="false">IF(AND(D363&gt;0.5,N($C$19)&gt;0,N(B363)&lt;=N($C$20)),D363*$F$8,0)</f>
        <v>0</v>
      </c>
      <c r="H363" s="41" t="n">
        <f aca="false">IF(D363&lt;=0.5,0,MIN(IF(N(I363)&gt;0,I363,$F$9),D363+E363+F363))</f>
        <v>0</v>
      </c>
      <c r="I363" s="77"/>
      <c r="J363" s="77"/>
      <c r="K363" s="41" t="n">
        <f aca="false">IF(D363&lt;=0.5,0,MIN(H363+N(J363),D363+E363+F363))</f>
        <v>0</v>
      </c>
      <c r="L363" s="41" t="n">
        <f aca="false">K363-E363-F363</f>
        <v>0</v>
      </c>
      <c r="M363" s="41" t="n">
        <f aca="false">D363-L363</f>
        <v>0</v>
      </c>
      <c r="N363" s="42" t="n">
        <f aca="false">K363-G363</f>
        <v>0</v>
      </c>
      <c r="O363" s="78"/>
      <c r="P363" s="79"/>
      <c r="Q363" s="16" t="str">
        <f aca="false">IF(K363=0,"",IF(R363=1,"Pagada",IF(C363&lt;$F$12,"Vencida",IF(337=$F$13,"Próxima","Pendiente"))))</f>
        <v/>
      </c>
      <c r="R363" s="62" t="n">
        <f aca="false">IF(AND(K363&gt;0,OR(O363="Sí",O363="Si")),1,0)</f>
        <v>0</v>
      </c>
      <c r="S363" s="62" t="n">
        <f aca="false">IF(AND(K363&gt;0,R363=0),1,0)</f>
        <v>0</v>
      </c>
    </row>
    <row r="364" customFormat="false" ht="15" hidden="false" customHeight="false" outlineLevel="0" collapsed="false">
      <c r="B364" s="71" t="str">
        <f aca="false">IF($F$6="Sí",N($C$11)+337,"")</f>
        <v/>
      </c>
      <c r="C364" s="72" t="str">
        <f aca="false">IF(OR($F$6&lt;&gt;"Sí",D364&lt;=0.5),"",EDATE($C$10,337))</f>
        <v/>
      </c>
      <c r="D364" s="41" t="n">
        <f aca="false">MAX(0,M363)</f>
        <v>0</v>
      </c>
      <c r="E364" s="41" t="n">
        <f aca="false">D364*$F$7</f>
        <v>0</v>
      </c>
      <c r="F364" s="41" t="n">
        <f aca="false">IF(D364&gt;0.5,N($C$15),0)</f>
        <v>0</v>
      </c>
      <c r="G364" s="41" t="n">
        <f aca="false">IF(AND(D364&gt;0.5,N($C$19)&gt;0,N(B364)&lt;=N($C$20)),D364*$F$8,0)</f>
        <v>0</v>
      </c>
      <c r="H364" s="41" t="n">
        <f aca="false">IF(D364&lt;=0.5,0,MIN(IF(N(I364)&gt;0,I364,$F$9),D364+E364+F364))</f>
        <v>0</v>
      </c>
      <c r="I364" s="77"/>
      <c r="J364" s="77"/>
      <c r="K364" s="41" t="n">
        <f aca="false">IF(D364&lt;=0.5,0,MIN(H364+N(J364),D364+E364+F364))</f>
        <v>0</v>
      </c>
      <c r="L364" s="41" t="n">
        <f aca="false">K364-E364-F364</f>
        <v>0</v>
      </c>
      <c r="M364" s="41" t="n">
        <f aca="false">D364-L364</f>
        <v>0</v>
      </c>
      <c r="N364" s="42" t="n">
        <f aca="false">K364-G364</f>
        <v>0</v>
      </c>
      <c r="O364" s="78"/>
      <c r="P364" s="79"/>
      <c r="Q364" s="16" t="str">
        <f aca="false">IF(K364=0,"",IF(R364=1,"Pagada",IF(C364&lt;$F$12,"Vencida",IF(338=$F$13,"Próxima","Pendiente"))))</f>
        <v/>
      </c>
      <c r="R364" s="62" t="n">
        <f aca="false">IF(AND(K364&gt;0,OR(O364="Sí",O364="Si")),1,0)</f>
        <v>0</v>
      </c>
      <c r="S364" s="62" t="n">
        <f aca="false">IF(AND(K364&gt;0,R364=0),1,0)</f>
        <v>0</v>
      </c>
    </row>
    <row r="365" customFormat="false" ht="15" hidden="false" customHeight="false" outlineLevel="0" collapsed="false">
      <c r="B365" s="71" t="str">
        <f aca="false">IF($F$6="Sí",N($C$11)+338,"")</f>
        <v/>
      </c>
      <c r="C365" s="72" t="str">
        <f aca="false">IF(OR($F$6&lt;&gt;"Sí",D365&lt;=0.5),"",EDATE($C$10,338))</f>
        <v/>
      </c>
      <c r="D365" s="41" t="n">
        <f aca="false">MAX(0,M364)</f>
        <v>0</v>
      </c>
      <c r="E365" s="41" t="n">
        <f aca="false">D365*$F$7</f>
        <v>0</v>
      </c>
      <c r="F365" s="41" t="n">
        <f aca="false">IF(D365&gt;0.5,N($C$15),0)</f>
        <v>0</v>
      </c>
      <c r="G365" s="41" t="n">
        <f aca="false">IF(AND(D365&gt;0.5,N($C$19)&gt;0,N(B365)&lt;=N($C$20)),D365*$F$8,0)</f>
        <v>0</v>
      </c>
      <c r="H365" s="41" t="n">
        <f aca="false">IF(D365&lt;=0.5,0,MIN(IF(N(I365)&gt;0,I365,$F$9),D365+E365+F365))</f>
        <v>0</v>
      </c>
      <c r="I365" s="77"/>
      <c r="J365" s="77"/>
      <c r="K365" s="41" t="n">
        <f aca="false">IF(D365&lt;=0.5,0,MIN(H365+N(J365),D365+E365+F365))</f>
        <v>0</v>
      </c>
      <c r="L365" s="41" t="n">
        <f aca="false">K365-E365-F365</f>
        <v>0</v>
      </c>
      <c r="M365" s="41" t="n">
        <f aca="false">D365-L365</f>
        <v>0</v>
      </c>
      <c r="N365" s="42" t="n">
        <f aca="false">K365-G365</f>
        <v>0</v>
      </c>
      <c r="O365" s="78"/>
      <c r="P365" s="79"/>
      <c r="Q365" s="16" t="str">
        <f aca="false">IF(K365=0,"",IF(R365=1,"Pagada",IF(C365&lt;$F$12,"Vencida",IF(339=$F$13,"Próxima","Pendiente"))))</f>
        <v/>
      </c>
      <c r="R365" s="62" t="n">
        <f aca="false">IF(AND(K365&gt;0,OR(O365="Sí",O365="Si")),1,0)</f>
        <v>0</v>
      </c>
      <c r="S365" s="62" t="n">
        <f aca="false">IF(AND(K365&gt;0,R365=0),1,0)</f>
        <v>0</v>
      </c>
    </row>
    <row r="366" customFormat="false" ht="15" hidden="false" customHeight="false" outlineLevel="0" collapsed="false">
      <c r="B366" s="71" t="str">
        <f aca="false">IF($F$6="Sí",N($C$11)+339,"")</f>
        <v/>
      </c>
      <c r="C366" s="72" t="str">
        <f aca="false">IF(OR($F$6&lt;&gt;"Sí",D366&lt;=0.5),"",EDATE($C$10,339))</f>
        <v/>
      </c>
      <c r="D366" s="41" t="n">
        <f aca="false">MAX(0,M365)</f>
        <v>0</v>
      </c>
      <c r="E366" s="41" t="n">
        <f aca="false">D366*$F$7</f>
        <v>0</v>
      </c>
      <c r="F366" s="41" t="n">
        <f aca="false">IF(D366&gt;0.5,N($C$15),0)</f>
        <v>0</v>
      </c>
      <c r="G366" s="41" t="n">
        <f aca="false">IF(AND(D366&gt;0.5,N($C$19)&gt;0,N(B366)&lt;=N($C$20)),D366*$F$8,0)</f>
        <v>0</v>
      </c>
      <c r="H366" s="41" t="n">
        <f aca="false">IF(D366&lt;=0.5,0,MIN(IF(N(I366)&gt;0,I366,$F$9),D366+E366+F366))</f>
        <v>0</v>
      </c>
      <c r="I366" s="77"/>
      <c r="J366" s="77"/>
      <c r="K366" s="41" t="n">
        <f aca="false">IF(D366&lt;=0.5,0,MIN(H366+N(J366),D366+E366+F366))</f>
        <v>0</v>
      </c>
      <c r="L366" s="41" t="n">
        <f aca="false">K366-E366-F366</f>
        <v>0</v>
      </c>
      <c r="M366" s="41" t="n">
        <f aca="false">D366-L366</f>
        <v>0</v>
      </c>
      <c r="N366" s="42" t="n">
        <f aca="false">K366-G366</f>
        <v>0</v>
      </c>
      <c r="O366" s="78"/>
      <c r="P366" s="79"/>
      <c r="Q366" s="16" t="str">
        <f aca="false">IF(K366=0,"",IF(R366=1,"Pagada",IF(C366&lt;$F$12,"Vencida",IF(340=$F$13,"Próxima","Pendiente"))))</f>
        <v/>
      </c>
      <c r="R366" s="62" t="n">
        <f aca="false">IF(AND(K366&gt;0,OR(O366="Sí",O366="Si")),1,0)</f>
        <v>0</v>
      </c>
      <c r="S366" s="62" t="n">
        <f aca="false">IF(AND(K366&gt;0,R366=0),1,0)</f>
        <v>0</v>
      </c>
    </row>
    <row r="367" customFormat="false" ht="15" hidden="false" customHeight="false" outlineLevel="0" collapsed="false">
      <c r="B367" s="71" t="str">
        <f aca="false">IF($F$6="Sí",N($C$11)+340,"")</f>
        <v/>
      </c>
      <c r="C367" s="72" t="str">
        <f aca="false">IF(OR($F$6&lt;&gt;"Sí",D367&lt;=0.5),"",EDATE($C$10,340))</f>
        <v/>
      </c>
      <c r="D367" s="41" t="n">
        <f aca="false">MAX(0,M366)</f>
        <v>0</v>
      </c>
      <c r="E367" s="41" t="n">
        <f aca="false">D367*$F$7</f>
        <v>0</v>
      </c>
      <c r="F367" s="41" t="n">
        <f aca="false">IF(D367&gt;0.5,N($C$15),0)</f>
        <v>0</v>
      </c>
      <c r="G367" s="41" t="n">
        <f aca="false">IF(AND(D367&gt;0.5,N($C$19)&gt;0,N(B367)&lt;=N($C$20)),D367*$F$8,0)</f>
        <v>0</v>
      </c>
      <c r="H367" s="41" t="n">
        <f aca="false">IF(D367&lt;=0.5,0,MIN(IF(N(I367)&gt;0,I367,$F$9),D367+E367+F367))</f>
        <v>0</v>
      </c>
      <c r="I367" s="77"/>
      <c r="J367" s="77"/>
      <c r="K367" s="41" t="n">
        <f aca="false">IF(D367&lt;=0.5,0,MIN(H367+N(J367),D367+E367+F367))</f>
        <v>0</v>
      </c>
      <c r="L367" s="41" t="n">
        <f aca="false">K367-E367-F367</f>
        <v>0</v>
      </c>
      <c r="M367" s="41" t="n">
        <f aca="false">D367-L367</f>
        <v>0</v>
      </c>
      <c r="N367" s="42" t="n">
        <f aca="false">K367-G367</f>
        <v>0</v>
      </c>
      <c r="O367" s="78"/>
      <c r="P367" s="79"/>
      <c r="Q367" s="16" t="str">
        <f aca="false">IF(K367=0,"",IF(R367=1,"Pagada",IF(C367&lt;$F$12,"Vencida",IF(341=$F$13,"Próxima","Pendiente"))))</f>
        <v/>
      </c>
      <c r="R367" s="62" t="n">
        <f aca="false">IF(AND(K367&gt;0,OR(O367="Sí",O367="Si")),1,0)</f>
        <v>0</v>
      </c>
      <c r="S367" s="62" t="n">
        <f aca="false">IF(AND(K367&gt;0,R367=0),1,0)</f>
        <v>0</v>
      </c>
    </row>
    <row r="368" customFormat="false" ht="15" hidden="false" customHeight="false" outlineLevel="0" collapsed="false">
      <c r="B368" s="71" t="str">
        <f aca="false">IF($F$6="Sí",N($C$11)+341,"")</f>
        <v/>
      </c>
      <c r="C368" s="72" t="str">
        <f aca="false">IF(OR($F$6&lt;&gt;"Sí",D368&lt;=0.5),"",EDATE($C$10,341))</f>
        <v/>
      </c>
      <c r="D368" s="41" t="n">
        <f aca="false">MAX(0,M367)</f>
        <v>0</v>
      </c>
      <c r="E368" s="41" t="n">
        <f aca="false">D368*$F$7</f>
        <v>0</v>
      </c>
      <c r="F368" s="41" t="n">
        <f aca="false">IF(D368&gt;0.5,N($C$15),0)</f>
        <v>0</v>
      </c>
      <c r="G368" s="41" t="n">
        <f aca="false">IF(AND(D368&gt;0.5,N($C$19)&gt;0,N(B368)&lt;=N($C$20)),D368*$F$8,0)</f>
        <v>0</v>
      </c>
      <c r="H368" s="41" t="n">
        <f aca="false">IF(D368&lt;=0.5,0,MIN(IF(N(I368)&gt;0,I368,$F$9),D368+E368+F368))</f>
        <v>0</v>
      </c>
      <c r="I368" s="77"/>
      <c r="J368" s="77"/>
      <c r="K368" s="41" t="n">
        <f aca="false">IF(D368&lt;=0.5,0,MIN(H368+N(J368),D368+E368+F368))</f>
        <v>0</v>
      </c>
      <c r="L368" s="41" t="n">
        <f aca="false">K368-E368-F368</f>
        <v>0</v>
      </c>
      <c r="M368" s="41" t="n">
        <f aca="false">D368-L368</f>
        <v>0</v>
      </c>
      <c r="N368" s="42" t="n">
        <f aca="false">K368-G368</f>
        <v>0</v>
      </c>
      <c r="O368" s="78"/>
      <c r="P368" s="79"/>
      <c r="Q368" s="16" t="str">
        <f aca="false">IF(K368=0,"",IF(R368=1,"Pagada",IF(C368&lt;$F$12,"Vencida",IF(342=$F$13,"Próxima","Pendiente"))))</f>
        <v/>
      </c>
      <c r="R368" s="62" t="n">
        <f aca="false">IF(AND(K368&gt;0,OR(O368="Sí",O368="Si")),1,0)</f>
        <v>0</v>
      </c>
      <c r="S368" s="62" t="n">
        <f aca="false">IF(AND(K368&gt;0,R368=0),1,0)</f>
        <v>0</v>
      </c>
    </row>
    <row r="369" customFormat="false" ht="15" hidden="false" customHeight="false" outlineLevel="0" collapsed="false">
      <c r="B369" s="71" t="str">
        <f aca="false">IF($F$6="Sí",N($C$11)+342,"")</f>
        <v/>
      </c>
      <c r="C369" s="72" t="str">
        <f aca="false">IF(OR($F$6&lt;&gt;"Sí",D369&lt;=0.5),"",EDATE($C$10,342))</f>
        <v/>
      </c>
      <c r="D369" s="41" t="n">
        <f aca="false">MAX(0,M368)</f>
        <v>0</v>
      </c>
      <c r="E369" s="41" t="n">
        <f aca="false">D369*$F$7</f>
        <v>0</v>
      </c>
      <c r="F369" s="41" t="n">
        <f aca="false">IF(D369&gt;0.5,N($C$15),0)</f>
        <v>0</v>
      </c>
      <c r="G369" s="41" t="n">
        <f aca="false">IF(AND(D369&gt;0.5,N($C$19)&gt;0,N(B369)&lt;=N($C$20)),D369*$F$8,0)</f>
        <v>0</v>
      </c>
      <c r="H369" s="41" t="n">
        <f aca="false">IF(D369&lt;=0.5,0,MIN(IF(N(I369)&gt;0,I369,$F$9),D369+E369+F369))</f>
        <v>0</v>
      </c>
      <c r="I369" s="77"/>
      <c r="J369" s="77"/>
      <c r="K369" s="41" t="n">
        <f aca="false">IF(D369&lt;=0.5,0,MIN(H369+N(J369),D369+E369+F369))</f>
        <v>0</v>
      </c>
      <c r="L369" s="41" t="n">
        <f aca="false">K369-E369-F369</f>
        <v>0</v>
      </c>
      <c r="M369" s="41" t="n">
        <f aca="false">D369-L369</f>
        <v>0</v>
      </c>
      <c r="N369" s="42" t="n">
        <f aca="false">K369-G369</f>
        <v>0</v>
      </c>
      <c r="O369" s="78"/>
      <c r="P369" s="79"/>
      <c r="Q369" s="16" t="str">
        <f aca="false">IF(K369=0,"",IF(R369=1,"Pagada",IF(C369&lt;$F$12,"Vencida",IF(343=$F$13,"Próxima","Pendiente"))))</f>
        <v/>
      </c>
      <c r="R369" s="62" t="n">
        <f aca="false">IF(AND(K369&gt;0,OR(O369="Sí",O369="Si")),1,0)</f>
        <v>0</v>
      </c>
      <c r="S369" s="62" t="n">
        <f aca="false">IF(AND(K369&gt;0,R369=0),1,0)</f>
        <v>0</v>
      </c>
    </row>
    <row r="370" customFormat="false" ht="15" hidden="false" customHeight="false" outlineLevel="0" collapsed="false">
      <c r="B370" s="71" t="str">
        <f aca="false">IF($F$6="Sí",N($C$11)+343,"")</f>
        <v/>
      </c>
      <c r="C370" s="72" t="str">
        <f aca="false">IF(OR($F$6&lt;&gt;"Sí",D370&lt;=0.5),"",EDATE($C$10,343))</f>
        <v/>
      </c>
      <c r="D370" s="41" t="n">
        <f aca="false">MAX(0,M369)</f>
        <v>0</v>
      </c>
      <c r="E370" s="41" t="n">
        <f aca="false">D370*$F$7</f>
        <v>0</v>
      </c>
      <c r="F370" s="41" t="n">
        <f aca="false">IF(D370&gt;0.5,N($C$15),0)</f>
        <v>0</v>
      </c>
      <c r="G370" s="41" t="n">
        <f aca="false">IF(AND(D370&gt;0.5,N($C$19)&gt;0,N(B370)&lt;=N($C$20)),D370*$F$8,0)</f>
        <v>0</v>
      </c>
      <c r="H370" s="41" t="n">
        <f aca="false">IF(D370&lt;=0.5,0,MIN(IF(N(I370)&gt;0,I370,$F$9),D370+E370+F370))</f>
        <v>0</v>
      </c>
      <c r="I370" s="77"/>
      <c r="J370" s="77"/>
      <c r="K370" s="41" t="n">
        <f aca="false">IF(D370&lt;=0.5,0,MIN(H370+N(J370),D370+E370+F370))</f>
        <v>0</v>
      </c>
      <c r="L370" s="41" t="n">
        <f aca="false">K370-E370-F370</f>
        <v>0</v>
      </c>
      <c r="M370" s="41" t="n">
        <f aca="false">D370-L370</f>
        <v>0</v>
      </c>
      <c r="N370" s="42" t="n">
        <f aca="false">K370-G370</f>
        <v>0</v>
      </c>
      <c r="O370" s="78"/>
      <c r="P370" s="79"/>
      <c r="Q370" s="16" t="str">
        <f aca="false">IF(K370=0,"",IF(R370=1,"Pagada",IF(C370&lt;$F$12,"Vencida",IF(344=$F$13,"Próxima","Pendiente"))))</f>
        <v/>
      </c>
      <c r="R370" s="62" t="n">
        <f aca="false">IF(AND(K370&gt;0,OR(O370="Sí",O370="Si")),1,0)</f>
        <v>0</v>
      </c>
      <c r="S370" s="62" t="n">
        <f aca="false">IF(AND(K370&gt;0,R370=0),1,0)</f>
        <v>0</v>
      </c>
    </row>
    <row r="371" customFormat="false" ht="15" hidden="false" customHeight="false" outlineLevel="0" collapsed="false">
      <c r="B371" s="71" t="str">
        <f aca="false">IF($F$6="Sí",N($C$11)+344,"")</f>
        <v/>
      </c>
      <c r="C371" s="72" t="str">
        <f aca="false">IF(OR($F$6&lt;&gt;"Sí",D371&lt;=0.5),"",EDATE($C$10,344))</f>
        <v/>
      </c>
      <c r="D371" s="41" t="n">
        <f aca="false">MAX(0,M370)</f>
        <v>0</v>
      </c>
      <c r="E371" s="41" t="n">
        <f aca="false">D371*$F$7</f>
        <v>0</v>
      </c>
      <c r="F371" s="41" t="n">
        <f aca="false">IF(D371&gt;0.5,N($C$15),0)</f>
        <v>0</v>
      </c>
      <c r="G371" s="41" t="n">
        <f aca="false">IF(AND(D371&gt;0.5,N($C$19)&gt;0,N(B371)&lt;=N($C$20)),D371*$F$8,0)</f>
        <v>0</v>
      </c>
      <c r="H371" s="41" t="n">
        <f aca="false">IF(D371&lt;=0.5,0,MIN(IF(N(I371)&gt;0,I371,$F$9),D371+E371+F371))</f>
        <v>0</v>
      </c>
      <c r="I371" s="77"/>
      <c r="J371" s="77"/>
      <c r="K371" s="41" t="n">
        <f aca="false">IF(D371&lt;=0.5,0,MIN(H371+N(J371),D371+E371+F371))</f>
        <v>0</v>
      </c>
      <c r="L371" s="41" t="n">
        <f aca="false">K371-E371-F371</f>
        <v>0</v>
      </c>
      <c r="M371" s="41" t="n">
        <f aca="false">D371-L371</f>
        <v>0</v>
      </c>
      <c r="N371" s="42" t="n">
        <f aca="false">K371-G371</f>
        <v>0</v>
      </c>
      <c r="O371" s="78"/>
      <c r="P371" s="79"/>
      <c r="Q371" s="16" t="str">
        <f aca="false">IF(K371=0,"",IF(R371=1,"Pagada",IF(C371&lt;$F$12,"Vencida",IF(345=$F$13,"Próxima","Pendiente"))))</f>
        <v/>
      </c>
      <c r="R371" s="62" t="n">
        <f aca="false">IF(AND(K371&gt;0,OR(O371="Sí",O371="Si")),1,0)</f>
        <v>0</v>
      </c>
      <c r="S371" s="62" t="n">
        <f aca="false">IF(AND(K371&gt;0,R371=0),1,0)</f>
        <v>0</v>
      </c>
    </row>
    <row r="372" customFormat="false" ht="15" hidden="false" customHeight="false" outlineLevel="0" collapsed="false">
      <c r="B372" s="71" t="str">
        <f aca="false">IF($F$6="Sí",N($C$11)+345,"")</f>
        <v/>
      </c>
      <c r="C372" s="72" t="str">
        <f aca="false">IF(OR($F$6&lt;&gt;"Sí",D372&lt;=0.5),"",EDATE($C$10,345))</f>
        <v/>
      </c>
      <c r="D372" s="41" t="n">
        <f aca="false">MAX(0,M371)</f>
        <v>0</v>
      </c>
      <c r="E372" s="41" t="n">
        <f aca="false">D372*$F$7</f>
        <v>0</v>
      </c>
      <c r="F372" s="41" t="n">
        <f aca="false">IF(D372&gt;0.5,N($C$15),0)</f>
        <v>0</v>
      </c>
      <c r="G372" s="41" t="n">
        <f aca="false">IF(AND(D372&gt;0.5,N($C$19)&gt;0,N(B372)&lt;=N($C$20)),D372*$F$8,0)</f>
        <v>0</v>
      </c>
      <c r="H372" s="41" t="n">
        <f aca="false">IF(D372&lt;=0.5,0,MIN(IF(N(I372)&gt;0,I372,$F$9),D372+E372+F372))</f>
        <v>0</v>
      </c>
      <c r="I372" s="77"/>
      <c r="J372" s="77"/>
      <c r="K372" s="41" t="n">
        <f aca="false">IF(D372&lt;=0.5,0,MIN(H372+N(J372),D372+E372+F372))</f>
        <v>0</v>
      </c>
      <c r="L372" s="41" t="n">
        <f aca="false">K372-E372-F372</f>
        <v>0</v>
      </c>
      <c r="M372" s="41" t="n">
        <f aca="false">D372-L372</f>
        <v>0</v>
      </c>
      <c r="N372" s="42" t="n">
        <f aca="false">K372-G372</f>
        <v>0</v>
      </c>
      <c r="O372" s="78"/>
      <c r="P372" s="79"/>
      <c r="Q372" s="16" t="str">
        <f aca="false">IF(K372=0,"",IF(R372=1,"Pagada",IF(C372&lt;$F$12,"Vencida",IF(346=$F$13,"Próxima","Pendiente"))))</f>
        <v/>
      </c>
      <c r="R372" s="62" t="n">
        <f aca="false">IF(AND(K372&gt;0,OR(O372="Sí",O372="Si")),1,0)</f>
        <v>0</v>
      </c>
      <c r="S372" s="62" t="n">
        <f aca="false">IF(AND(K372&gt;0,R372=0),1,0)</f>
        <v>0</v>
      </c>
    </row>
    <row r="373" customFormat="false" ht="15" hidden="false" customHeight="false" outlineLevel="0" collapsed="false">
      <c r="B373" s="71" t="str">
        <f aca="false">IF($F$6="Sí",N($C$11)+346,"")</f>
        <v/>
      </c>
      <c r="C373" s="72" t="str">
        <f aca="false">IF(OR($F$6&lt;&gt;"Sí",D373&lt;=0.5),"",EDATE($C$10,346))</f>
        <v/>
      </c>
      <c r="D373" s="41" t="n">
        <f aca="false">MAX(0,M372)</f>
        <v>0</v>
      </c>
      <c r="E373" s="41" t="n">
        <f aca="false">D373*$F$7</f>
        <v>0</v>
      </c>
      <c r="F373" s="41" t="n">
        <f aca="false">IF(D373&gt;0.5,N($C$15),0)</f>
        <v>0</v>
      </c>
      <c r="G373" s="41" t="n">
        <f aca="false">IF(AND(D373&gt;0.5,N($C$19)&gt;0,N(B373)&lt;=N($C$20)),D373*$F$8,0)</f>
        <v>0</v>
      </c>
      <c r="H373" s="41" t="n">
        <f aca="false">IF(D373&lt;=0.5,0,MIN(IF(N(I373)&gt;0,I373,$F$9),D373+E373+F373))</f>
        <v>0</v>
      </c>
      <c r="I373" s="77"/>
      <c r="J373" s="77"/>
      <c r="K373" s="41" t="n">
        <f aca="false">IF(D373&lt;=0.5,0,MIN(H373+N(J373),D373+E373+F373))</f>
        <v>0</v>
      </c>
      <c r="L373" s="41" t="n">
        <f aca="false">K373-E373-F373</f>
        <v>0</v>
      </c>
      <c r="M373" s="41" t="n">
        <f aca="false">D373-L373</f>
        <v>0</v>
      </c>
      <c r="N373" s="42" t="n">
        <f aca="false">K373-G373</f>
        <v>0</v>
      </c>
      <c r="O373" s="78"/>
      <c r="P373" s="79"/>
      <c r="Q373" s="16" t="str">
        <f aca="false">IF(K373=0,"",IF(R373=1,"Pagada",IF(C373&lt;$F$12,"Vencida",IF(347=$F$13,"Próxima","Pendiente"))))</f>
        <v/>
      </c>
      <c r="R373" s="62" t="n">
        <f aca="false">IF(AND(K373&gt;0,OR(O373="Sí",O373="Si")),1,0)</f>
        <v>0</v>
      </c>
      <c r="S373" s="62" t="n">
        <f aca="false">IF(AND(K373&gt;0,R373=0),1,0)</f>
        <v>0</v>
      </c>
    </row>
    <row r="374" customFormat="false" ht="15" hidden="false" customHeight="false" outlineLevel="0" collapsed="false">
      <c r="B374" s="71" t="str">
        <f aca="false">IF($F$6="Sí",N($C$11)+347,"")</f>
        <v/>
      </c>
      <c r="C374" s="72" t="str">
        <f aca="false">IF(OR($F$6&lt;&gt;"Sí",D374&lt;=0.5),"",EDATE($C$10,347))</f>
        <v/>
      </c>
      <c r="D374" s="41" t="n">
        <f aca="false">MAX(0,M373)</f>
        <v>0</v>
      </c>
      <c r="E374" s="41" t="n">
        <f aca="false">D374*$F$7</f>
        <v>0</v>
      </c>
      <c r="F374" s="41" t="n">
        <f aca="false">IF(D374&gt;0.5,N($C$15),0)</f>
        <v>0</v>
      </c>
      <c r="G374" s="41" t="n">
        <f aca="false">IF(AND(D374&gt;0.5,N($C$19)&gt;0,N(B374)&lt;=N($C$20)),D374*$F$8,0)</f>
        <v>0</v>
      </c>
      <c r="H374" s="41" t="n">
        <f aca="false">IF(D374&lt;=0.5,0,MIN(IF(N(I374)&gt;0,I374,$F$9),D374+E374+F374))</f>
        <v>0</v>
      </c>
      <c r="I374" s="77"/>
      <c r="J374" s="77"/>
      <c r="K374" s="41" t="n">
        <f aca="false">IF(D374&lt;=0.5,0,MIN(H374+N(J374),D374+E374+F374))</f>
        <v>0</v>
      </c>
      <c r="L374" s="41" t="n">
        <f aca="false">K374-E374-F374</f>
        <v>0</v>
      </c>
      <c r="M374" s="41" t="n">
        <f aca="false">D374-L374</f>
        <v>0</v>
      </c>
      <c r="N374" s="42" t="n">
        <f aca="false">K374-G374</f>
        <v>0</v>
      </c>
      <c r="O374" s="78"/>
      <c r="P374" s="79"/>
      <c r="Q374" s="16" t="str">
        <f aca="false">IF(K374=0,"",IF(R374=1,"Pagada",IF(C374&lt;$F$12,"Vencida",IF(348=$F$13,"Próxima","Pendiente"))))</f>
        <v/>
      </c>
      <c r="R374" s="62" t="n">
        <f aca="false">IF(AND(K374&gt;0,OR(O374="Sí",O374="Si")),1,0)</f>
        <v>0</v>
      </c>
      <c r="S374" s="62" t="n">
        <f aca="false">IF(AND(K374&gt;0,R374=0),1,0)</f>
        <v>0</v>
      </c>
    </row>
    <row r="375" customFormat="false" ht="15" hidden="false" customHeight="false" outlineLevel="0" collapsed="false">
      <c r="B375" s="71" t="str">
        <f aca="false">IF($F$6="Sí",N($C$11)+348,"")</f>
        <v/>
      </c>
      <c r="C375" s="72" t="str">
        <f aca="false">IF(OR($F$6&lt;&gt;"Sí",D375&lt;=0.5),"",EDATE($C$10,348))</f>
        <v/>
      </c>
      <c r="D375" s="41" t="n">
        <f aca="false">MAX(0,M374)</f>
        <v>0</v>
      </c>
      <c r="E375" s="41" t="n">
        <f aca="false">D375*$F$7</f>
        <v>0</v>
      </c>
      <c r="F375" s="41" t="n">
        <f aca="false">IF(D375&gt;0.5,N($C$15),0)</f>
        <v>0</v>
      </c>
      <c r="G375" s="41" t="n">
        <f aca="false">IF(AND(D375&gt;0.5,N($C$19)&gt;0,N(B375)&lt;=N($C$20)),D375*$F$8,0)</f>
        <v>0</v>
      </c>
      <c r="H375" s="41" t="n">
        <f aca="false">IF(D375&lt;=0.5,0,MIN(IF(N(I375)&gt;0,I375,$F$9),D375+E375+F375))</f>
        <v>0</v>
      </c>
      <c r="I375" s="77"/>
      <c r="J375" s="77"/>
      <c r="K375" s="41" t="n">
        <f aca="false">IF(D375&lt;=0.5,0,MIN(H375+N(J375),D375+E375+F375))</f>
        <v>0</v>
      </c>
      <c r="L375" s="41" t="n">
        <f aca="false">K375-E375-F375</f>
        <v>0</v>
      </c>
      <c r="M375" s="41" t="n">
        <f aca="false">D375-L375</f>
        <v>0</v>
      </c>
      <c r="N375" s="42" t="n">
        <f aca="false">K375-G375</f>
        <v>0</v>
      </c>
      <c r="O375" s="78"/>
      <c r="P375" s="79"/>
      <c r="Q375" s="16" t="str">
        <f aca="false">IF(K375=0,"",IF(R375=1,"Pagada",IF(C375&lt;$F$12,"Vencida",IF(349=$F$13,"Próxima","Pendiente"))))</f>
        <v/>
      </c>
      <c r="R375" s="62" t="n">
        <f aca="false">IF(AND(K375&gt;0,OR(O375="Sí",O375="Si")),1,0)</f>
        <v>0</v>
      </c>
      <c r="S375" s="62" t="n">
        <f aca="false">IF(AND(K375&gt;0,R375=0),1,0)</f>
        <v>0</v>
      </c>
    </row>
    <row r="376" customFormat="false" ht="15" hidden="false" customHeight="false" outlineLevel="0" collapsed="false">
      <c r="B376" s="71" t="str">
        <f aca="false">IF($F$6="Sí",N($C$11)+349,"")</f>
        <v/>
      </c>
      <c r="C376" s="72" t="str">
        <f aca="false">IF(OR($F$6&lt;&gt;"Sí",D376&lt;=0.5),"",EDATE($C$10,349))</f>
        <v/>
      </c>
      <c r="D376" s="41" t="n">
        <f aca="false">MAX(0,M375)</f>
        <v>0</v>
      </c>
      <c r="E376" s="41" t="n">
        <f aca="false">D376*$F$7</f>
        <v>0</v>
      </c>
      <c r="F376" s="41" t="n">
        <f aca="false">IF(D376&gt;0.5,N($C$15),0)</f>
        <v>0</v>
      </c>
      <c r="G376" s="41" t="n">
        <f aca="false">IF(AND(D376&gt;0.5,N($C$19)&gt;0,N(B376)&lt;=N($C$20)),D376*$F$8,0)</f>
        <v>0</v>
      </c>
      <c r="H376" s="41" t="n">
        <f aca="false">IF(D376&lt;=0.5,0,MIN(IF(N(I376)&gt;0,I376,$F$9),D376+E376+F376))</f>
        <v>0</v>
      </c>
      <c r="I376" s="77"/>
      <c r="J376" s="77"/>
      <c r="K376" s="41" t="n">
        <f aca="false">IF(D376&lt;=0.5,0,MIN(H376+N(J376),D376+E376+F376))</f>
        <v>0</v>
      </c>
      <c r="L376" s="41" t="n">
        <f aca="false">K376-E376-F376</f>
        <v>0</v>
      </c>
      <c r="M376" s="41" t="n">
        <f aca="false">D376-L376</f>
        <v>0</v>
      </c>
      <c r="N376" s="42" t="n">
        <f aca="false">K376-G376</f>
        <v>0</v>
      </c>
      <c r="O376" s="78"/>
      <c r="P376" s="79"/>
      <c r="Q376" s="16" t="str">
        <f aca="false">IF(K376=0,"",IF(R376=1,"Pagada",IF(C376&lt;$F$12,"Vencida",IF(350=$F$13,"Próxima","Pendiente"))))</f>
        <v/>
      </c>
      <c r="R376" s="62" t="n">
        <f aca="false">IF(AND(K376&gt;0,OR(O376="Sí",O376="Si")),1,0)</f>
        <v>0</v>
      </c>
      <c r="S376" s="62" t="n">
        <f aca="false">IF(AND(K376&gt;0,R376=0),1,0)</f>
        <v>0</v>
      </c>
    </row>
    <row r="377" customFormat="false" ht="15" hidden="false" customHeight="false" outlineLevel="0" collapsed="false">
      <c r="B377" s="71" t="str">
        <f aca="false">IF($F$6="Sí",N($C$11)+350,"")</f>
        <v/>
      </c>
      <c r="C377" s="72" t="str">
        <f aca="false">IF(OR($F$6&lt;&gt;"Sí",D377&lt;=0.5),"",EDATE($C$10,350))</f>
        <v/>
      </c>
      <c r="D377" s="41" t="n">
        <f aca="false">MAX(0,M376)</f>
        <v>0</v>
      </c>
      <c r="E377" s="41" t="n">
        <f aca="false">D377*$F$7</f>
        <v>0</v>
      </c>
      <c r="F377" s="41" t="n">
        <f aca="false">IF(D377&gt;0.5,N($C$15),0)</f>
        <v>0</v>
      </c>
      <c r="G377" s="41" t="n">
        <f aca="false">IF(AND(D377&gt;0.5,N($C$19)&gt;0,N(B377)&lt;=N($C$20)),D377*$F$8,0)</f>
        <v>0</v>
      </c>
      <c r="H377" s="41" t="n">
        <f aca="false">IF(D377&lt;=0.5,0,MIN(IF(N(I377)&gt;0,I377,$F$9),D377+E377+F377))</f>
        <v>0</v>
      </c>
      <c r="I377" s="77"/>
      <c r="J377" s="77"/>
      <c r="K377" s="41" t="n">
        <f aca="false">IF(D377&lt;=0.5,0,MIN(H377+N(J377),D377+E377+F377))</f>
        <v>0</v>
      </c>
      <c r="L377" s="41" t="n">
        <f aca="false">K377-E377-F377</f>
        <v>0</v>
      </c>
      <c r="M377" s="41" t="n">
        <f aca="false">D377-L377</f>
        <v>0</v>
      </c>
      <c r="N377" s="42" t="n">
        <f aca="false">K377-G377</f>
        <v>0</v>
      </c>
      <c r="O377" s="78"/>
      <c r="P377" s="79"/>
      <c r="Q377" s="16" t="str">
        <f aca="false">IF(K377=0,"",IF(R377=1,"Pagada",IF(C377&lt;$F$12,"Vencida",IF(351=$F$13,"Próxima","Pendiente"))))</f>
        <v/>
      </c>
      <c r="R377" s="62" t="n">
        <f aca="false">IF(AND(K377&gt;0,OR(O377="Sí",O377="Si")),1,0)</f>
        <v>0</v>
      </c>
      <c r="S377" s="62" t="n">
        <f aca="false">IF(AND(K377&gt;0,R377=0),1,0)</f>
        <v>0</v>
      </c>
    </row>
    <row r="378" customFormat="false" ht="15" hidden="false" customHeight="false" outlineLevel="0" collapsed="false">
      <c r="B378" s="71" t="str">
        <f aca="false">IF($F$6="Sí",N($C$11)+351,"")</f>
        <v/>
      </c>
      <c r="C378" s="72" t="str">
        <f aca="false">IF(OR($F$6&lt;&gt;"Sí",D378&lt;=0.5),"",EDATE($C$10,351))</f>
        <v/>
      </c>
      <c r="D378" s="41" t="n">
        <f aca="false">MAX(0,M377)</f>
        <v>0</v>
      </c>
      <c r="E378" s="41" t="n">
        <f aca="false">D378*$F$7</f>
        <v>0</v>
      </c>
      <c r="F378" s="41" t="n">
        <f aca="false">IF(D378&gt;0.5,N($C$15),0)</f>
        <v>0</v>
      </c>
      <c r="G378" s="41" t="n">
        <f aca="false">IF(AND(D378&gt;0.5,N($C$19)&gt;0,N(B378)&lt;=N($C$20)),D378*$F$8,0)</f>
        <v>0</v>
      </c>
      <c r="H378" s="41" t="n">
        <f aca="false">IF(D378&lt;=0.5,0,MIN(IF(N(I378)&gt;0,I378,$F$9),D378+E378+F378))</f>
        <v>0</v>
      </c>
      <c r="I378" s="77"/>
      <c r="J378" s="77"/>
      <c r="K378" s="41" t="n">
        <f aca="false">IF(D378&lt;=0.5,0,MIN(H378+N(J378),D378+E378+F378))</f>
        <v>0</v>
      </c>
      <c r="L378" s="41" t="n">
        <f aca="false">K378-E378-F378</f>
        <v>0</v>
      </c>
      <c r="M378" s="41" t="n">
        <f aca="false">D378-L378</f>
        <v>0</v>
      </c>
      <c r="N378" s="42" t="n">
        <f aca="false">K378-G378</f>
        <v>0</v>
      </c>
      <c r="O378" s="78"/>
      <c r="P378" s="79"/>
      <c r="Q378" s="16" t="str">
        <f aca="false">IF(K378=0,"",IF(R378=1,"Pagada",IF(C378&lt;$F$12,"Vencida",IF(352=$F$13,"Próxima","Pendiente"))))</f>
        <v/>
      </c>
      <c r="R378" s="62" t="n">
        <f aca="false">IF(AND(K378&gt;0,OR(O378="Sí",O378="Si")),1,0)</f>
        <v>0</v>
      </c>
      <c r="S378" s="62" t="n">
        <f aca="false">IF(AND(K378&gt;0,R378=0),1,0)</f>
        <v>0</v>
      </c>
    </row>
    <row r="379" customFormat="false" ht="15" hidden="false" customHeight="false" outlineLevel="0" collapsed="false">
      <c r="B379" s="71" t="str">
        <f aca="false">IF($F$6="Sí",N($C$11)+352,"")</f>
        <v/>
      </c>
      <c r="C379" s="72" t="str">
        <f aca="false">IF(OR($F$6&lt;&gt;"Sí",D379&lt;=0.5),"",EDATE($C$10,352))</f>
        <v/>
      </c>
      <c r="D379" s="41" t="n">
        <f aca="false">MAX(0,M378)</f>
        <v>0</v>
      </c>
      <c r="E379" s="41" t="n">
        <f aca="false">D379*$F$7</f>
        <v>0</v>
      </c>
      <c r="F379" s="41" t="n">
        <f aca="false">IF(D379&gt;0.5,N($C$15),0)</f>
        <v>0</v>
      </c>
      <c r="G379" s="41" t="n">
        <f aca="false">IF(AND(D379&gt;0.5,N($C$19)&gt;0,N(B379)&lt;=N($C$20)),D379*$F$8,0)</f>
        <v>0</v>
      </c>
      <c r="H379" s="41" t="n">
        <f aca="false">IF(D379&lt;=0.5,0,MIN(IF(N(I379)&gt;0,I379,$F$9),D379+E379+F379))</f>
        <v>0</v>
      </c>
      <c r="I379" s="77"/>
      <c r="J379" s="77"/>
      <c r="K379" s="41" t="n">
        <f aca="false">IF(D379&lt;=0.5,0,MIN(H379+N(J379),D379+E379+F379))</f>
        <v>0</v>
      </c>
      <c r="L379" s="41" t="n">
        <f aca="false">K379-E379-F379</f>
        <v>0</v>
      </c>
      <c r="M379" s="41" t="n">
        <f aca="false">D379-L379</f>
        <v>0</v>
      </c>
      <c r="N379" s="42" t="n">
        <f aca="false">K379-G379</f>
        <v>0</v>
      </c>
      <c r="O379" s="78"/>
      <c r="P379" s="79"/>
      <c r="Q379" s="16" t="str">
        <f aca="false">IF(K379=0,"",IF(R379=1,"Pagada",IF(C379&lt;$F$12,"Vencida",IF(353=$F$13,"Próxima","Pendiente"))))</f>
        <v/>
      </c>
      <c r="R379" s="62" t="n">
        <f aca="false">IF(AND(K379&gt;0,OR(O379="Sí",O379="Si")),1,0)</f>
        <v>0</v>
      </c>
      <c r="S379" s="62" t="n">
        <f aca="false">IF(AND(K379&gt;0,R379=0),1,0)</f>
        <v>0</v>
      </c>
    </row>
    <row r="380" customFormat="false" ht="15" hidden="false" customHeight="false" outlineLevel="0" collapsed="false">
      <c r="B380" s="71" t="str">
        <f aca="false">IF($F$6="Sí",N($C$11)+353,"")</f>
        <v/>
      </c>
      <c r="C380" s="72" t="str">
        <f aca="false">IF(OR($F$6&lt;&gt;"Sí",D380&lt;=0.5),"",EDATE($C$10,353))</f>
        <v/>
      </c>
      <c r="D380" s="41" t="n">
        <f aca="false">MAX(0,M379)</f>
        <v>0</v>
      </c>
      <c r="E380" s="41" t="n">
        <f aca="false">D380*$F$7</f>
        <v>0</v>
      </c>
      <c r="F380" s="41" t="n">
        <f aca="false">IF(D380&gt;0.5,N($C$15),0)</f>
        <v>0</v>
      </c>
      <c r="G380" s="41" t="n">
        <f aca="false">IF(AND(D380&gt;0.5,N($C$19)&gt;0,N(B380)&lt;=N($C$20)),D380*$F$8,0)</f>
        <v>0</v>
      </c>
      <c r="H380" s="41" t="n">
        <f aca="false">IF(D380&lt;=0.5,0,MIN(IF(N(I380)&gt;0,I380,$F$9),D380+E380+F380))</f>
        <v>0</v>
      </c>
      <c r="I380" s="77"/>
      <c r="J380" s="77"/>
      <c r="K380" s="41" t="n">
        <f aca="false">IF(D380&lt;=0.5,0,MIN(H380+N(J380),D380+E380+F380))</f>
        <v>0</v>
      </c>
      <c r="L380" s="41" t="n">
        <f aca="false">K380-E380-F380</f>
        <v>0</v>
      </c>
      <c r="M380" s="41" t="n">
        <f aca="false">D380-L380</f>
        <v>0</v>
      </c>
      <c r="N380" s="42" t="n">
        <f aca="false">K380-G380</f>
        <v>0</v>
      </c>
      <c r="O380" s="78"/>
      <c r="P380" s="79"/>
      <c r="Q380" s="16" t="str">
        <f aca="false">IF(K380=0,"",IF(R380=1,"Pagada",IF(C380&lt;$F$12,"Vencida",IF(354=$F$13,"Próxima","Pendiente"))))</f>
        <v/>
      </c>
      <c r="R380" s="62" t="n">
        <f aca="false">IF(AND(K380&gt;0,OR(O380="Sí",O380="Si")),1,0)</f>
        <v>0</v>
      </c>
      <c r="S380" s="62" t="n">
        <f aca="false">IF(AND(K380&gt;0,R380=0),1,0)</f>
        <v>0</v>
      </c>
    </row>
    <row r="381" customFormat="false" ht="15" hidden="false" customHeight="false" outlineLevel="0" collapsed="false">
      <c r="B381" s="71" t="str">
        <f aca="false">IF($F$6="Sí",N($C$11)+354,"")</f>
        <v/>
      </c>
      <c r="C381" s="72" t="str">
        <f aca="false">IF(OR($F$6&lt;&gt;"Sí",D381&lt;=0.5),"",EDATE($C$10,354))</f>
        <v/>
      </c>
      <c r="D381" s="41" t="n">
        <f aca="false">MAX(0,M380)</f>
        <v>0</v>
      </c>
      <c r="E381" s="41" t="n">
        <f aca="false">D381*$F$7</f>
        <v>0</v>
      </c>
      <c r="F381" s="41" t="n">
        <f aca="false">IF(D381&gt;0.5,N($C$15),0)</f>
        <v>0</v>
      </c>
      <c r="G381" s="41" t="n">
        <f aca="false">IF(AND(D381&gt;0.5,N($C$19)&gt;0,N(B381)&lt;=N($C$20)),D381*$F$8,0)</f>
        <v>0</v>
      </c>
      <c r="H381" s="41" t="n">
        <f aca="false">IF(D381&lt;=0.5,0,MIN(IF(N(I381)&gt;0,I381,$F$9),D381+E381+F381))</f>
        <v>0</v>
      </c>
      <c r="I381" s="77"/>
      <c r="J381" s="77"/>
      <c r="K381" s="41" t="n">
        <f aca="false">IF(D381&lt;=0.5,0,MIN(H381+N(J381),D381+E381+F381))</f>
        <v>0</v>
      </c>
      <c r="L381" s="41" t="n">
        <f aca="false">K381-E381-F381</f>
        <v>0</v>
      </c>
      <c r="M381" s="41" t="n">
        <f aca="false">D381-L381</f>
        <v>0</v>
      </c>
      <c r="N381" s="42" t="n">
        <f aca="false">K381-G381</f>
        <v>0</v>
      </c>
      <c r="O381" s="78"/>
      <c r="P381" s="79"/>
      <c r="Q381" s="16" t="str">
        <f aca="false">IF(K381=0,"",IF(R381=1,"Pagada",IF(C381&lt;$F$12,"Vencida",IF(355=$F$13,"Próxima","Pendiente"))))</f>
        <v/>
      </c>
      <c r="R381" s="62" t="n">
        <f aca="false">IF(AND(K381&gt;0,OR(O381="Sí",O381="Si")),1,0)</f>
        <v>0</v>
      </c>
      <c r="S381" s="62" t="n">
        <f aca="false">IF(AND(K381&gt;0,R381=0),1,0)</f>
        <v>0</v>
      </c>
    </row>
    <row r="382" customFormat="false" ht="15" hidden="false" customHeight="false" outlineLevel="0" collapsed="false">
      <c r="B382" s="71" t="str">
        <f aca="false">IF($F$6="Sí",N($C$11)+355,"")</f>
        <v/>
      </c>
      <c r="C382" s="72" t="str">
        <f aca="false">IF(OR($F$6&lt;&gt;"Sí",D382&lt;=0.5),"",EDATE($C$10,355))</f>
        <v/>
      </c>
      <c r="D382" s="41" t="n">
        <f aca="false">MAX(0,M381)</f>
        <v>0</v>
      </c>
      <c r="E382" s="41" t="n">
        <f aca="false">D382*$F$7</f>
        <v>0</v>
      </c>
      <c r="F382" s="41" t="n">
        <f aca="false">IF(D382&gt;0.5,N($C$15),0)</f>
        <v>0</v>
      </c>
      <c r="G382" s="41" t="n">
        <f aca="false">IF(AND(D382&gt;0.5,N($C$19)&gt;0,N(B382)&lt;=N($C$20)),D382*$F$8,0)</f>
        <v>0</v>
      </c>
      <c r="H382" s="41" t="n">
        <f aca="false">IF(D382&lt;=0.5,0,MIN(IF(N(I382)&gt;0,I382,$F$9),D382+E382+F382))</f>
        <v>0</v>
      </c>
      <c r="I382" s="77"/>
      <c r="J382" s="77"/>
      <c r="K382" s="41" t="n">
        <f aca="false">IF(D382&lt;=0.5,0,MIN(H382+N(J382),D382+E382+F382))</f>
        <v>0</v>
      </c>
      <c r="L382" s="41" t="n">
        <f aca="false">K382-E382-F382</f>
        <v>0</v>
      </c>
      <c r="M382" s="41" t="n">
        <f aca="false">D382-L382</f>
        <v>0</v>
      </c>
      <c r="N382" s="42" t="n">
        <f aca="false">K382-G382</f>
        <v>0</v>
      </c>
      <c r="O382" s="78"/>
      <c r="P382" s="79"/>
      <c r="Q382" s="16" t="str">
        <f aca="false">IF(K382=0,"",IF(R382=1,"Pagada",IF(C382&lt;$F$12,"Vencida",IF(356=$F$13,"Próxima","Pendiente"))))</f>
        <v/>
      </c>
      <c r="R382" s="62" t="n">
        <f aca="false">IF(AND(K382&gt;0,OR(O382="Sí",O382="Si")),1,0)</f>
        <v>0</v>
      </c>
      <c r="S382" s="62" t="n">
        <f aca="false">IF(AND(K382&gt;0,R382=0),1,0)</f>
        <v>0</v>
      </c>
    </row>
    <row r="383" customFormat="false" ht="15" hidden="false" customHeight="false" outlineLevel="0" collapsed="false">
      <c r="B383" s="71" t="str">
        <f aca="false">IF($F$6="Sí",N($C$11)+356,"")</f>
        <v/>
      </c>
      <c r="C383" s="72" t="str">
        <f aca="false">IF(OR($F$6&lt;&gt;"Sí",D383&lt;=0.5),"",EDATE($C$10,356))</f>
        <v/>
      </c>
      <c r="D383" s="41" t="n">
        <f aca="false">MAX(0,M382)</f>
        <v>0</v>
      </c>
      <c r="E383" s="41" t="n">
        <f aca="false">D383*$F$7</f>
        <v>0</v>
      </c>
      <c r="F383" s="41" t="n">
        <f aca="false">IF(D383&gt;0.5,N($C$15),0)</f>
        <v>0</v>
      </c>
      <c r="G383" s="41" t="n">
        <f aca="false">IF(AND(D383&gt;0.5,N($C$19)&gt;0,N(B383)&lt;=N($C$20)),D383*$F$8,0)</f>
        <v>0</v>
      </c>
      <c r="H383" s="41" t="n">
        <f aca="false">IF(D383&lt;=0.5,0,MIN(IF(N(I383)&gt;0,I383,$F$9),D383+E383+F383))</f>
        <v>0</v>
      </c>
      <c r="I383" s="77"/>
      <c r="J383" s="77"/>
      <c r="K383" s="41" t="n">
        <f aca="false">IF(D383&lt;=0.5,0,MIN(H383+N(J383),D383+E383+F383))</f>
        <v>0</v>
      </c>
      <c r="L383" s="41" t="n">
        <f aca="false">K383-E383-F383</f>
        <v>0</v>
      </c>
      <c r="M383" s="41" t="n">
        <f aca="false">D383-L383</f>
        <v>0</v>
      </c>
      <c r="N383" s="42" t="n">
        <f aca="false">K383-G383</f>
        <v>0</v>
      </c>
      <c r="O383" s="78"/>
      <c r="P383" s="79"/>
      <c r="Q383" s="16" t="str">
        <f aca="false">IF(K383=0,"",IF(R383=1,"Pagada",IF(C383&lt;$F$12,"Vencida",IF(357=$F$13,"Próxima","Pendiente"))))</f>
        <v/>
      </c>
      <c r="R383" s="62" t="n">
        <f aca="false">IF(AND(K383&gt;0,OR(O383="Sí",O383="Si")),1,0)</f>
        <v>0</v>
      </c>
      <c r="S383" s="62" t="n">
        <f aca="false">IF(AND(K383&gt;0,R383=0),1,0)</f>
        <v>0</v>
      </c>
    </row>
    <row r="384" customFormat="false" ht="15" hidden="false" customHeight="false" outlineLevel="0" collapsed="false">
      <c r="B384" s="71" t="str">
        <f aca="false">IF($F$6="Sí",N($C$11)+357,"")</f>
        <v/>
      </c>
      <c r="C384" s="72" t="str">
        <f aca="false">IF(OR($F$6&lt;&gt;"Sí",D384&lt;=0.5),"",EDATE($C$10,357))</f>
        <v/>
      </c>
      <c r="D384" s="41" t="n">
        <f aca="false">MAX(0,M383)</f>
        <v>0</v>
      </c>
      <c r="E384" s="41" t="n">
        <f aca="false">D384*$F$7</f>
        <v>0</v>
      </c>
      <c r="F384" s="41" t="n">
        <f aca="false">IF(D384&gt;0.5,N($C$15),0)</f>
        <v>0</v>
      </c>
      <c r="G384" s="41" t="n">
        <f aca="false">IF(AND(D384&gt;0.5,N($C$19)&gt;0,N(B384)&lt;=N($C$20)),D384*$F$8,0)</f>
        <v>0</v>
      </c>
      <c r="H384" s="41" t="n">
        <f aca="false">IF(D384&lt;=0.5,0,MIN(IF(N(I384)&gt;0,I384,$F$9),D384+E384+F384))</f>
        <v>0</v>
      </c>
      <c r="I384" s="77"/>
      <c r="J384" s="77"/>
      <c r="K384" s="41" t="n">
        <f aca="false">IF(D384&lt;=0.5,0,MIN(H384+N(J384),D384+E384+F384))</f>
        <v>0</v>
      </c>
      <c r="L384" s="41" t="n">
        <f aca="false">K384-E384-F384</f>
        <v>0</v>
      </c>
      <c r="M384" s="41" t="n">
        <f aca="false">D384-L384</f>
        <v>0</v>
      </c>
      <c r="N384" s="42" t="n">
        <f aca="false">K384-G384</f>
        <v>0</v>
      </c>
      <c r="O384" s="78"/>
      <c r="P384" s="79"/>
      <c r="Q384" s="16" t="str">
        <f aca="false">IF(K384=0,"",IF(R384=1,"Pagada",IF(C384&lt;$F$12,"Vencida",IF(358=$F$13,"Próxima","Pendiente"))))</f>
        <v/>
      </c>
      <c r="R384" s="62" t="n">
        <f aca="false">IF(AND(K384&gt;0,OR(O384="Sí",O384="Si")),1,0)</f>
        <v>0</v>
      </c>
      <c r="S384" s="62" t="n">
        <f aca="false">IF(AND(K384&gt;0,R384=0),1,0)</f>
        <v>0</v>
      </c>
    </row>
    <row r="385" customFormat="false" ht="15" hidden="false" customHeight="false" outlineLevel="0" collapsed="false">
      <c r="B385" s="71" t="str">
        <f aca="false">IF($F$6="Sí",N($C$11)+358,"")</f>
        <v/>
      </c>
      <c r="C385" s="72" t="str">
        <f aca="false">IF(OR($F$6&lt;&gt;"Sí",D385&lt;=0.5),"",EDATE($C$10,358))</f>
        <v/>
      </c>
      <c r="D385" s="41" t="n">
        <f aca="false">MAX(0,M384)</f>
        <v>0</v>
      </c>
      <c r="E385" s="41" t="n">
        <f aca="false">D385*$F$7</f>
        <v>0</v>
      </c>
      <c r="F385" s="41" t="n">
        <f aca="false">IF(D385&gt;0.5,N($C$15),0)</f>
        <v>0</v>
      </c>
      <c r="G385" s="41" t="n">
        <f aca="false">IF(AND(D385&gt;0.5,N($C$19)&gt;0,N(B385)&lt;=N($C$20)),D385*$F$8,0)</f>
        <v>0</v>
      </c>
      <c r="H385" s="41" t="n">
        <f aca="false">IF(D385&lt;=0.5,0,MIN(IF(N(I385)&gt;0,I385,$F$9),D385+E385+F385))</f>
        <v>0</v>
      </c>
      <c r="I385" s="77"/>
      <c r="J385" s="77"/>
      <c r="K385" s="41" t="n">
        <f aca="false">IF(D385&lt;=0.5,0,MIN(H385+N(J385),D385+E385+F385))</f>
        <v>0</v>
      </c>
      <c r="L385" s="41" t="n">
        <f aca="false">K385-E385-F385</f>
        <v>0</v>
      </c>
      <c r="M385" s="41" t="n">
        <f aca="false">D385-L385</f>
        <v>0</v>
      </c>
      <c r="N385" s="42" t="n">
        <f aca="false">K385-G385</f>
        <v>0</v>
      </c>
      <c r="O385" s="78"/>
      <c r="P385" s="79"/>
      <c r="Q385" s="16" t="str">
        <f aca="false">IF(K385=0,"",IF(R385=1,"Pagada",IF(C385&lt;$F$12,"Vencida",IF(359=$F$13,"Próxima","Pendiente"))))</f>
        <v/>
      </c>
      <c r="R385" s="62" t="n">
        <f aca="false">IF(AND(K385&gt;0,OR(O385="Sí",O385="Si")),1,0)</f>
        <v>0</v>
      </c>
      <c r="S385" s="62" t="n">
        <f aca="false">IF(AND(K385&gt;0,R385=0),1,0)</f>
        <v>0</v>
      </c>
    </row>
    <row r="386" customFormat="false" ht="15" hidden="false" customHeight="false" outlineLevel="0" collapsed="false">
      <c r="B386" s="71" t="str">
        <f aca="false">IF($F$6="Sí",N($C$11)+359,"")</f>
        <v/>
      </c>
      <c r="C386" s="72" t="str">
        <f aca="false">IF(OR($F$6&lt;&gt;"Sí",D386&lt;=0.5),"",EDATE($C$10,359))</f>
        <v/>
      </c>
      <c r="D386" s="41" t="n">
        <f aca="false">MAX(0,M385)</f>
        <v>0</v>
      </c>
      <c r="E386" s="41" t="n">
        <f aca="false">D386*$F$7</f>
        <v>0</v>
      </c>
      <c r="F386" s="41" t="n">
        <f aca="false">IF(D386&gt;0.5,N($C$15),0)</f>
        <v>0</v>
      </c>
      <c r="G386" s="41" t="n">
        <f aca="false">IF(AND(D386&gt;0.5,N($C$19)&gt;0,N(B386)&lt;=N($C$20)),D386*$F$8,0)</f>
        <v>0</v>
      </c>
      <c r="H386" s="41" t="n">
        <f aca="false">IF(D386&lt;=0.5,0,MIN(IF(N(I386)&gt;0,I386,$F$9),D386+E386+F386))</f>
        <v>0</v>
      </c>
      <c r="I386" s="77"/>
      <c r="J386" s="77"/>
      <c r="K386" s="41" t="n">
        <f aca="false">IF(D386&lt;=0.5,0,MIN(H386+N(J386),D386+E386+F386))</f>
        <v>0</v>
      </c>
      <c r="L386" s="41" t="n">
        <f aca="false">K386-E386-F386</f>
        <v>0</v>
      </c>
      <c r="M386" s="41" t="n">
        <f aca="false">D386-L386</f>
        <v>0</v>
      </c>
      <c r="N386" s="42" t="n">
        <f aca="false">K386-G386</f>
        <v>0</v>
      </c>
      <c r="O386" s="78"/>
      <c r="P386" s="79"/>
      <c r="Q386" s="16" t="str">
        <f aca="false">IF(K386=0,"",IF(R386=1,"Pagada",IF(C386&lt;$F$12,"Vencida",IF(360=$F$13,"Próxima","Pendiente"))))</f>
        <v/>
      </c>
      <c r="R386" s="62" t="n">
        <f aca="false">IF(AND(K386&gt;0,OR(O386="Sí",O386="Si")),1,0)</f>
        <v>0</v>
      </c>
      <c r="S386" s="62" t="n">
        <f aca="false">IF(AND(K386&gt;0,R386=0),1,0)</f>
        <v>0</v>
      </c>
    </row>
  </sheetData>
  <conditionalFormatting sqref="B27:Q386">
    <cfRule type="expression" priority="2" aboveAverage="0" equalAverage="0" bottom="0" percent="0" rank="0" text="" dxfId="5">
      <formula>$Q27="Pagada"</formula>
    </cfRule>
    <cfRule type="expression" priority="3" aboveAverage="0" equalAverage="0" bottom="0" percent="0" rank="0" text="" dxfId="3">
      <formula>$Q27="Vencida"</formula>
    </cfRule>
    <cfRule type="expression" priority="4" aboveAverage="0" equalAverage="0" bottom="0" percent="0" rank="0" text="" dxfId="6">
      <formula>$Q27="Próxima"</formula>
    </cfRule>
  </conditionalFormatting>
  <dataValidations count="3">
    <dataValidation allowBlank="true" error="Elige un valor de la lista." errorStyle="stop" errorTitle="Valor no válido" operator="between" showDropDown="false" showErrorMessage="true" showInputMessage="false" sqref="C8" type="list">
      <formula1>Listas!$A$2:$A$8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C17" type="list">
      <formula1>Listas!$B$2:$B$3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O27:O386" type="list">
      <formula1>Listas!$B$2:$B$3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04A"/>
    <pageSetUpPr fitToPage="true"/>
  </sheetPr>
  <dimension ref="B1:S38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26" topLeftCell="C27" activePane="bottomRight" state="frozen"/>
      <selection pane="topLeft" activeCell="A1" activeCellId="0" sqref="A1"/>
      <selection pane="topRight" activeCell="C1" activeCellId="0" sqref="C1"/>
      <selection pane="bottomLeft" activeCell="A27" activeCellId="0" sqref="A2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4" min="3" style="0" width="15"/>
    <col collapsed="false" customWidth="true" hidden="false" outlineLevel="0" max="5" min="5" style="0" width="30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34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2" min="11" style="0" width="14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5" min="15" style="0" width="9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9" min="18" style="0" width="5"/>
  </cols>
  <sheetData>
    <row r="1" customFormat="false" ht="19.7" hidden="false" customHeight="false" outlineLevel="0" collapsed="false">
      <c r="B1" s="19" t="str">
        <f aca="false">IF(C6="","Crédito 7: sin datos","Crédito 7: "&amp;C6)</f>
        <v>Crédito 7: sin datos</v>
      </c>
    </row>
    <row r="2" customFormat="false" ht="15" hidden="false" customHeight="false" outlineLevel="0" collapsed="false">
      <c r="B2" s="20" t="s">
        <v>161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5" customFormat="false" ht="15" hidden="false" customHeight="false" outlineLevel="0" collapsed="false">
      <c r="B5" s="7" t="s">
        <v>162</v>
      </c>
      <c r="C5" s="8"/>
      <c r="E5" s="7" t="s">
        <v>163</v>
      </c>
      <c r="F5" s="8"/>
      <c r="H5" s="7" t="s">
        <v>164</v>
      </c>
      <c r="I5" s="8"/>
    </row>
    <row r="6" customFormat="false" ht="15" hidden="false" customHeight="false" outlineLevel="0" collapsed="false">
      <c r="B6" s="16" t="s">
        <v>165</v>
      </c>
      <c r="C6" s="15"/>
      <c r="E6" s="16" t="s">
        <v>166</v>
      </c>
      <c r="F6" s="16" t="str">
        <f aca="false">IF(AND(C6&lt;&gt;"",N(C9)&gt;0,ISNUMBER(C10)),"Sí","No")</f>
        <v>No</v>
      </c>
      <c r="H6" s="28" t="s">
        <v>46</v>
      </c>
      <c r="I6" s="42" t="n">
        <f aca="false">IF($F$6&lt;&gt;"Sí",0,MAX(0,$C$9-SUMIFS(L27:L386,R27:R386,1)))</f>
        <v>0</v>
      </c>
    </row>
    <row r="7" customFormat="false" ht="15" hidden="false" customHeight="false" outlineLevel="0" collapsed="false">
      <c r="B7" s="16" t="s">
        <v>167</v>
      </c>
      <c r="C7" s="15"/>
      <c r="E7" s="16" t="s">
        <v>130</v>
      </c>
      <c r="F7" s="70" t="n">
        <f aca="false">(1+N(C13))^(1/12)-1</f>
        <v>0</v>
      </c>
      <c r="H7" s="16" t="s">
        <v>168</v>
      </c>
      <c r="I7" s="71" t="n">
        <f aca="false">SUM(R27:R386)</f>
        <v>0</v>
      </c>
    </row>
    <row r="8" customFormat="false" ht="15" hidden="false" customHeight="false" outlineLevel="0" collapsed="false">
      <c r="B8" s="16" t="s">
        <v>91</v>
      </c>
      <c r="C8" s="15"/>
      <c r="E8" s="16" t="s">
        <v>169</v>
      </c>
      <c r="F8" s="70" t="n">
        <f aca="false">IF(N(C19)=0,0,F7-((1+MAX(0,N(C13)-C19))^(1/12)-1))</f>
        <v>0</v>
      </c>
      <c r="H8" s="16" t="s">
        <v>170</v>
      </c>
      <c r="I8" s="71" t="str">
        <f aca="false">IF($F$13=0,"",INDEX(B27:B386,$F$13))</f>
        <v/>
      </c>
    </row>
    <row r="9" customFormat="false" ht="15" hidden="false" customHeight="false" outlineLevel="0" collapsed="false">
      <c r="B9" s="16" t="s">
        <v>171</v>
      </c>
      <c r="C9" s="53"/>
      <c r="E9" s="16" t="s">
        <v>172</v>
      </c>
      <c r="F9" s="41" t="n">
        <f aca="false">IF(N(C14)&gt;0,C14,IF(AND(N(C12)&gt;0,N(C9)&gt;0,N(C12)-N(C11)+1&gt;0),IF(F7=0,C9/(C12-N(C11)+1),PMT(F7,C12-N(C11)+1,-C9))+N(C15),0))</f>
        <v>0</v>
      </c>
      <c r="H9" s="16" t="s">
        <v>173</v>
      </c>
      <c r="I9" s="72" t="str">
        <f aca="false">IF($F$13=0,"",INDEX(C27:C386,$F$13))</f>
        <v/>
      </c>
    </row>
    <row r="10" customFormat="false" ht="15" hidden="false" customHeight="false" outlineLevel="0" collapsed="false">
      <c r="B10" s="16" t="s">
        <v>174</v>
      </c>
      <c r="C10" s="46"/>
      <c r="E10" s="16" t="s">
        <v>175</v>
      </c>
      <c r="F10" s="71" t="str">
        <f aca="false">IF(ISNUMBER(C10),DAY(C10),"")</f>
        <v/>
      </c>
      <c r="H10" s="28" t="s">
        <v>176</v>
      </c>
      <c r="I10" s="42" t="n">
        <f aca="false">IF($F$13=0,0,INDEX(N27:N386,$F$13))</f>
        <v>0</v>
      </c>
    </row>
    <row r="11" customFormat="false" ht="15" hidden="false" customHeight="false" outlineLevel="0" collapsed="false">
      <c r="B11" s="16" t="s">
        <v>177</v>
      </c>
      <c r="C11" s="73" t="n">
        <v>1</v>
      </c>
      <c r="E11" s="16" t="s">
        <v>178</v>
      </c>
      <c r="F11" s="72" t="str">
        <f aca="false">IF(OR(C17="No",N(C18)=0,NOT(ISNUMBER(C10))),"",EDATE(C10,C18-N(C11)))</f>
        <v/>
      </c>
      <c r="H11" s="16" t="s">
        <v>49</v>
      </c>
      <c r="I11" s="71" t="n">
        <f aca="false">SUM(S27:S386)</f>
        <v>0</v>
      </c>
    </row>
    <row r="12" customFormat="false" ht="15" hidden="false" customHeight="false" outlineLevel="0" collapsed="false">
      <c r="B12" s="16" t="s">
        <v>179</v>
      </c>
      <c r="C12" s="73"/>
      <c r="E12" s="16" t="s">
        <v>100</v>
      </c>
      <c r="F12" s="72" t="n">
        <f aca="false">Datos!$C$7</f>
        <v>46290</v>
      </c>
      <c r="H12" s="16" t="s">
        <v>50</v>
      </c>
      <c r="I12" s="72" t="str">
        <f aca="false">IF($F$6&lt;&gt;"Sí","",IF(M386&gt;0.5,"Más de 360 cuotas",_xlfn.MAXIFS(C27:C386,K27:K386,"&gt;0")))</f>
        <v/>
      </c>
    </row>
    <row r="13" customFormat="false" ht="15" hidden="false" customHeight="false" outlineLevel="0" collapsed="false">
      <c r="B13" s="16" t="s">
        <v>180</v>
      </c>
      <c r="C13" s="74"/>
      <c r="E13" s="16" t="s">
        <v>181</v>
      </c>
      <c r="F13" s="71" t="n">
        <f aca="false">IFERROR(MATCH(1,S27:S386,0),0)</f>
        <v>0</v>
      </c>
      <c r="H13" s="16" t="s">
        <v>51</v>
      </c>
      <c r="I13" s="41" t="n">
        <f aca="false">SUMIFS(E27:E386,S27:S386,1)</f>
        <v>0</v>
      </c>
    </row>
    <row r="14" customFormat="false" ht="15" hidden="false" customHeight="false" outlineLevel="0" collapsed="false">
      <c r="B14" s="16" t="s">
        <v>182</v>
      </c>
      <c r="C14" s="53"/>
      <c r="E14" s="18" t="s">
        <v>183</v>
      </c>
      <c r="H14" s="16" t="s">
        <v>184</v>
      </c>
      <c r="I14" s="41" t="n">
        <f aca="false">SUMIFS(N27:N386,S27:S386,1)</f>
        <v>0</v>
      </c>
    </row>
    <row r="15" customFormat="false" ht="15" hidden="false" customHeight="false" outlineLevel="0" collapsed="false">
      <c r="B15" s="16" t="s">
        <v>185</v>
      </c>
      <c r="C15" s="53" t="n">
        <v>0</v>
      </c>
      <c r="H15" s="16" t="s">
        <v>186</v>
      </c>
      <c r="I15" s="75" t="n">
        <f aca="false">IF($F$6&lt;&gt;"Sí",0,IF(N(C16)&gt;0,1-I6/C16,IF(N(C9)&gt;0,1-I6/C9,0)))</f>
        <v>0</v>
      </c>
    </row>
    <row r="16" customFormat="false" ht="15" hidden="false" customHeight="false" outlineLevel="0" collapsed="false">
      <c r="B16" s="16" t="s">
        <v>187</v>
      </c>
      <c r="C16" s="53"/>
      <c r="H16" s="16" t="s">
        <v>188</v>
      </c>
      <c r="I16" s="75" t="str">
        <f aca="false">IF(N(C12)=0,"",(N(C11)-1+I7)/C12)</f>
        <v/>
      </c>
    </row>
    <row r="17" customFormat="false" ht="15" hidden="false" customHeight="false" outlineLevel="0" collapsed="false">
      <c r="B17" s="16" t="s">
        <v>94</v>
      </c>
      <c r="C17" s="15" t="s">
        <v>189</v>
      </c>
      <c r="H17" s="16" t="s">
        <v>42</v>
      </c>
      <c r="I17" s="71" t="n">
        <f aca="false">COUNTIFS(S27:S386,1,C27:C386,"&lt;"&amp;$F$12)</f>
        <v>0</v>
      </c>
    </row>
    <row r="18" customFormat="false" ht="15" hidden="false" customHeight="false" outlineLevel="0" collapsed="false">
      <c r="B18" s="16" t="s">
        <v>190</v>
      </c>
      <c r="C18" s="73"/>
      <c r="H18" s="16" t="s">
        <v>191</v>
      </c>
      <c r="I18" s="41" t="n">
        <f aca="false">F9</f>
        <v>0</v>
      </c>
    </row>
    <row r="19" customFormat="false" ht="15" hidden="false" customHeight="false" outlineLevel="0" collapsed="false">
      <c r="B19" s="16" t="s">
        <v>192</v>
      </c>
      <c r="C19" s="74"/>
      <c r="H19" s="28" t="s">
        <v>54</v>
      </c>
      <c r="I19" s="28" t="str">
        <f aca="false">IF(F6&lt;&gt;"Sí","Sin datos",IF(I17&gt;0,"Vencidas sin marcar",IF(I11=0,"Pagado","Al día")))</f>
        <v>Sin datos</v>
      </c>
    </row>
    <row r="20" customFormat="false" ht="15" hidden="false" customHeight="false" outlineLevel="0" collapsed="false">
      <c r="B20" s="16" t="s">
        <v>193</v>
      </c>
      <c r="C20" s="73"/>
    </row>
    <row r="21" customFormat="false" ht="15" hidden="false" customHeight="false" outlineLevel="0" collapsed="false">
      <c r="B21" s="7" t="s">
        <v>194</v>
      </c>
      <c r="C21" s="8"/>
      <c r="D21" s="8"/>
      <c r="E21" s="8"/>
      <c r="F21" s="8"/>
      <c r="G21" s="8"/>
    </row>
    <row r="22" customFormat="false" ht="15" hidden="false" customHeight="false" outlineLevel="0" collapsed="false">
      <c r="B22" s="16" t="s">
        <v>195</v>
      </c>
      <c r="C22" s="53"/>
      <c r="E22" s="16" t="s">
        <v>196</v>
      </c>
      <c r="F22" s="76" t="str">
        <f aca="false">IF(OR(I6&lt;=0,F9-N(C15)+N(C22)&lt;=0),"",IFERROR(IF(F7=0,I6/(F9-N(C15)+N(C22)),NPER(F7,-(F9-N(C15)+N(C22)),I6)),"No alcanza"))</f>
        <v/>
      </c>
      <c r="G22" s="41" t="str">
        <f aca="false">IF(OR(F22="",NOT(ISNUMBER(F22))),"",(F9-N(C15)+N(C22))*F22-I6)</f>
        <v/>
      </c>
    </row>
    <row r="23" customFormat="false" ht="15" hidden="false" customHeight="false" outlineLevel="0" collapsed="false">
      <c r="B23" s="16" t="s">
        <v>197</v>
      </c>
      <c r="C23" s="73"/>
      <c r="E23" s="16" t="s">
        <v>198</v>
      </c>
      <c r="F23" s="41" t="str">
        <f aca="false">IF(OR(N(C23)=0,I6&lt;=0),"",IF(F7=0,I6/C23,PMT(F7,C23,-I6))+N(C15))</f>
        <v/>
      </c>
      <c r="G23" s="18" t="s">
        <v>199</v>
      </c>
    </row>
    <row r="25" customFormat="false" ht="15" hidden="false" customHeight="false" outlineLevel="0" collapsed="false">
      <c r="B25" s="18" t="s">
        <v>200</v>
      </c>
    </row>
    <row r="26" customFormat="false" ht="30" hidden="false" customHeight="true" outlineLevel="0" collapsed="false">
      <c r="B26" s="9" t="s">
        <v>201</v>
      </c>
      <c r="C26" s="10" t="s">
        <v>146</v>
      </c>
      <c r="D26" s="10" t="s">
        <v>202</v>
      </c>
      <c r="E26" s="10" t="s">
        <v>203</v>
      </c>
      <c r="F26" s="10" t="s">
        <v>204</v>
      </c>
      <c r="G26" s="10" t="s">
        <v>205</v>
      </c>
      <c r="H26" s="10" t="s">
        <v>206</v>
      </c>
      <c r="I26" s="10" t="s">
        <v>207</v>
      </c>
      <c r="J26" s="10" t="s">
        <v>208</v>
      </c>
      <c r="K26" s="10" t="s">
        <v>209</v>
      </c>
      <c r="L26" s="10" t="s">
        <v>210</v>
      </c>
      <c r="M26" s="10" t="s">
        <v>211</v>
      </c>
      <c r="N26" s="10" t="s">
        <v>212</v>
      </c>
      <c r="O26" s="10" t="s">
        <v>213</v>
      </c>
      <c r="P26" s="10" t="s">
        <v>214</v>
      </c>
      <c r="Q26" s="10" t="s">
        <v>54</v>
      </c>
      <c r="R26" s="10" t="s">
        <v>215</v>
      </c>
      <c r="S26" s="10" t="s">
        <v>215</v>
      </c>
    </row>
    <row r="27" customFormat="false" ht="15" hidden="false" customHeight="false" outlineLevel="0" collapsed="false">
      <c r="B27" s="71" t="str">
        <f aca="false">IF($F$6="Sí",N($C$11)+0,"")</f>
        <v/>
      </c>
      <c r="C27" s="72" t="str">
        <f aca="false">IF(OR($F$6&lt;&gt;"Sí",D27&lt;=0.5),"",EDATE($C$10,0))</f>
        <v/>
      </c>
      <c r="D27" s="41" t="n">
        <f aca="false">IF($F$6="Sí",$C$9,0)</f>
        <v>0</v>
      </c>
      <c r="E27" s="41" t="n">
        <f aca="false">D27*$F$7</f>
        <v>0</v>
      </c>
      <c r="F27" s="41" t="n">
        <f aca="false">IF(D27&gt;0.5,N($C$15),0)</f>
        <v>0</v>
      </c>
      <c r="G27" s="41" t="n">
        <f aca="false">IF(AND(D27&gt;0.5,N($C$19)&gt;0,N(B27)&lt;=N($C$20)),D27*$F$8,0)</f>
        <v>0</v>
      </c>
      <c r="H27" s="41" t="n">
        <f aca="false">IF(D27&lt;=0.5,0,MIN(IF(N(I27)&gt;0,I27,$F$9),D27+E27+F27))</f>
        <v>0</v>
      </c>
      <c r="I27" s="77"/>
      <c r="J27" s="77"/>
      <c r="K27" s="41" t="n">
        <f aca="false">IF(D27&lt;=0.5,0,MIN(H27+N(J27),D27+E27+F27))</f>
        <v>0</v>
      </c>
      <c r="L27" s="41" t="n">
        <f aca="false">K27-E27-F27</f>
        <v>0</v>
      </c>
      <c r="M27" s="41" t="n">
        <f aca="false">D27-L27</f>
        <v>0</v>
      </c>
      <c r="N27" s="42" t="n">
        <f aca="false">K27-G27</f>
        <v>0</v>
      </c>
      <c r="O27" s="78"/>
      <c r="P27" s="79"/>
      <c r="Q27" s="16" t="str">
        <f aca="false">IF(K27=0,"",IF(R27=1,"Pagada",IF(C27&lt;$F$12,"Vencida",IF(1=$F$13,"Próxima","Pendiente"))))</f>
        <v/>
      </c>
      <c r="R27" s="62" t="n">
        <f aca="false">IF(AND(K27&gt;0,OR(O27="Sí",O27="Si")),1,0)</f>
        <v>0</v>
      </c>
      <c r="S27" s="62" t="n">
        <f aca="false">IF(AND(K27&gt;0,R27=0),1,0)</f>
        <v>0</v>
      </c>
    </row>
    <row r="28" customFormat="false" ht="15" hidden="false" customHeight="false" outlineLevel="0" collapsed="false">
      <c r="B28" s="71" t="str">
        <f aca="false">IF($F$6="Sí",N($C$11)+1,"")</f>
        <v/>
      </c>
      <c r="C28" s="72" t="str">
        <f aca="false">IF(OR($F$6&lt;&gt;"Sí",D28&lt;=0.5),"",EDATE($C$10,1))</f>
        <v/>
      </c>
      <c r="D28" s="41" t="n">
        <f aca="false">MAX(0,M27)</f>
        <v>0</v>
      </c>
      <c r="E28" s="41" t="n">
        <f aca="false">D28*$F$7</f>
        <v>0</v>
      </c>
      <c r="F28" s="41" t="n">
        <f aca="false">IF(D28&gt;0.5,N($C$15),0)</f>
        <v>0</v>
      </c>
      <c r="G28" s="41" t="n">
        <f aca="false">IF(AND(D28&gt;0.5,N($C$19)&gt;0,N(B28)&lt;=N($C$20)),D28*$F$8,0)</f>
        <v>0</v>
      </c>
      <c r="H28" s="41" t="n">
        <f aca="false">IF(D28&lt;=0.5,0,MIN(IF(N(I28)&gt;0,I28,$F$9),D28+E28+F28))</f>
        <v>0</v>
      </c>
      <c r="I28" s="77"/>
      <c r="J28" s="77"/>
      <c r="K28" s="41" t="n">
        <f aca="false">IF(D28&lt;=0.5,0,MIN(H28+N(J28),D28+E28+F28))</f>
        <v>0</v>
      </c>
      <c r="L28" s="41" t="n">
        <f aca="false">K28-E28-F28</f>
        <v>0</v>
      </c>
      <c r="M28" s="41" t="n">
        <f aca="false">D28-L28</f>
        <v>0</v>
      </c>
      <c r="N28" s="42" t="n">
        <f aca="false">K28-G28</f>
        <v>0</v>
      </c>
      <c r="O28" s="78"/>
      <c r="P28" s="79"/>
      <c r="Q28" s="16" t="str">
        <f aca="false">IF(K28=0,"",IF(R28=1,"Pagada",IF(C28&lt;$F$12,"Vencida",IF(2=$F$13,"Próxima","Pendiente"))))</f>
        <v/>
      </c>
      <c r="R28" s="62" t="n">
        <f aca="false">IF(AND(K28&gt;0,OR(O28="Sí",O28="Si")),1,0)</f>
        <v>0</v>
      </c>
      <c r="S28" s="62" t="n">
        <f aca="false">IF(AND(K28&gt;0,R28=0),1,0)</f>
        <v>0</v>
      </c>
    </row>
    <row r="29" customFormat="false" ht="15" hidden="false" customHeight="false" outlineLevel="0" collapsed="false">
      <c r="B29" s="71" t="str">
        <f aca="false">IF($F$6="Sí",N($C$11)+2,"")</f>
        <v/>
      </c>
      <c r="C29" s="72" t="str">
        <f aca="false">IF(OR($F$6&lt;&gt;"Sí",D29&lt;=0.5),"",EDATE($C$10,2))</f>
        <v/>
      </c>
      <c r="D29" s="41" t="n">
        <f aca="false">MAX(0,M28)</f>
        <v>0</v>
      </c>
      <c r="E29" s="41" t="n">
        <f aca="false">D29*$F$7</f>
        <v>0</v>
      </c>
      <c r="F29" s="41" t="n">
        <f aca="false">IF(D29&gt;0.5,N($C$15),0)</f>
        <v>0</v>
      </c>
      <c r="G29" s="41" t="n">
        <f aca="false">IF(AND(D29&gt;0.5,N($C$19)&gt;0,N(B29)&lt;=N($C$20)),D29*$F$8,0)</f>
        <v>0</v>
      </c>
      <c r="H29" s="41" t="n">
        <f aca="false">IF(D29&lt;=0.5,0,MIN(IF(N(I29)&gt;0,I29,$F$9),D29+E29+F29))</f>
        <v>0</v>
      </c>
      <c r="I29" s="77"/>
      <c r="J29" s="77"/>
      <c r="K29" s="41" t="n">
        <f aca="false">IF(D29&lt;=0.5,0,MIN(H29+N(J29),D29+E29+F29))</f>
        <v>0</v>
      </c>
      <c r="L29" s="41" t="n">
        <f aca="false">K29-E29-F29</f>
        <v>0</v>
      </c>
      <c r="M29" s="41" t="n">
        <f aca="false">D29-L29</f>
        <v>0</v>
      </c>
      <c r="N29" s="42" t="n">
        <f aca="false">K29-G29</f>
        <v>0</v>
      </c>
      <c r="O29" s="78"/>
      <c r="P29" s="79"/>
      <c r="Q29" s="16" t="str">
        <f aca="false">IF(K29=0,"",IF(R29=1,"Pagada",IF(C29&lt;$F$12,"Vencida",IF(3=$F$13,"Próxima","Pendiente"))))</f>
        <v/>
      </c>
      <c r="R29" s="62" t="n">
        <f aca="false">IF(AND(K29&gt;0,OR(O29="Sí",O29="Si")),1,0)</f>
        <v>0</v>
      </c>
      <c r="S29" s="62" t="n">
        <f aca="false">IF(AND(K29&gt;0,R29=0),1,0)</f>
        <v>0</v>
      </c>
    </row>
    <row r="30" customFormat="false" ht="15" hidden="false" customHeight="false" outlineLevel="0" collapsed="false">
      <c r="B30" s="71" t="str">
        <f aca="false">IF($F$6="Sí",N($C$11)+3,"")</f>
        <v/>
      </c>
      <c r="C30" s="72" t="str">
        <f aca="false">IF(OR($F$6&lt;&gt;"Sí",D30&lt;=0.5),"",EDATE($C$10,3))</f>
        <v/>
      </c>
      <c r="D30" s="41" t="n">
        <f aca="false">MAX(0,M29)</f>
        <v>0</v>
      </c>
      <c r="E30" s="41" t="n">
        <f aca="false">D30*$F$7</f>
        <v>0</v>
      </c>
      <c r="F30" s="41" t="n">
        <f aca="false">IF(D30&gt;0.5,N($C$15),0)</f>
        <v>0</v>
      </c>
      <c r="G30" s="41" t="n">
        <f aca="false">IF(AND(D30&gt;0.5,N($C$19)&gt;0,N(B30)&lt;=N($C$20)),D30*$F$8,0)</f>
        <v>0</v>
      </c>
      <c r="H30" s="41" t="n">
        <f aca="false">IF(D30&lt;=0.5,0,MIN(IF(N(I30)&gt;0,I30,$F$9),D30+E30+F30))</f>
        <v>0</v>
      </c>
      <c r="I30" s="77"/>
      <c r="J30" s="77"/>
      <c r="K30" s="41" t="n">
        <f aca="false">IF(D30&lt;=0.5,0,MIN(H30+N(J30),D30+E30+F30))</f>
        <v>0</v>
      </c>
      <c r="L30" s="41" t="n">
        <f aca="false">K30-E30-F30</f>
        <v>0</v>
      </c>
      <c r="M30" s="41" t="n">
        <f aca="false">D30-L30</f>
        <v>0</v>
      </c>
      <c r="N30" s="42" t="n">
        <f aca="false">K30-G30</f>
        <v>0</v>
      </c>
      <c r="O30" s="78"/>
      <c r="P30" s="79"/>
      <c r="Q30" s="16" t="str">
        <f aca="false">IF(K30=0,"",IF(R30=1,"Pagada",IF(C30&lt;$F$12,"Vencida",IF(4=$F$13,"Próxima","Pendiente"))))</f>
        <v/>
      </c>
      <c r="R30" s="62" t="n">
        <f aca="false">IF(AND(K30&gt;0,OR(O30="Sí",O30="Si")),1,0)</f>
        <v>0</v>
      </c>
      <c r="S30" s="62" t="n">
        <f aca="false">IF(AND(K30&gt;0,R30=0),1,0)</f>
        <v>0</v>
      </c>
    </row>
    <row r="31" customFormat="false" ht="15" hidden="false" customHeight="false" outlineLevel="0" collapsed="false">
      <c r="B31" s="71" t="str">
        <f aca="false">IF($F$6="Sí",N($C$11)+4,"")</f>
        <v/>
      </c>
      <c r="C31" s="72" t="str">
        <f aca="false">IF(OR($F$6&lt;&gt;"Sí",D31&lt;=0.5),"",EDATE($C$10,4))</f>
        <v/>
      </c>
      <c r="D31" s="41" t="n">
        <f aca="false">MAX(0,M30)</f>
        <v>0</v>
      </c>
      <c r="E31" s="41" t="n">
        <f aca="false">D31*$F$7</f>
        <v>0</v>
      </c>
      <c r="F31" s="41" t="n">
        <f aca="false">IF(D31&gt;0.5,N($C$15),0)</f>
        <v>0</v>
      </c>
      <c r="G31" s="41" t="n">
        <f aca="false">IF(AND(D31&gt;0.5,N($C$19)&gt;0,N(B31)&lt;=N($C$20)),D31*$F$8,0)</f>
        <v>0</v>
      </c>
      <c r="H31" s="41" t="n">
        <f aca="false">IF(D31&lt;=0.5,0,MIN(IF(N(I31)&gt;0,I31,$F$9),D31+E31+F31))</f>
        <v>0</v>
      </c>
      <c r="I31" s="77"/>
      <c r="J31" s="77"/>
      <c r="K31" s="41" t="n">
        <f aca="false">IF(D31&lt;=0.5,0,MIN(H31+N(J31),D31+E31+F31))</f>
        <v>0</v>
      </c>
      <c r="L31" s="41" t="n">
        <f aca="false">K31-E31-F31</f>
        <v>0</v>
      </c>
      <c r="M31" s="41" t="n">
        <f aca="false">D31-L31</f>
        <v>0</v>
      </c>
      <c r="N31" s="42" t="n">
        <f aca="false">K31-G31</f>
        <v>0</v>
      </c>
      <c r="O31" s="78"/>
      <c r="P31" s="79"/>
      <c r="Q31" s="16" t="str">
        <f aca="false">IF(K31=0,"",IF(R31=1,"Pagada",IF(C31&lt;$F$12,"Vencida",IF(5=$F$13,"Próxima","Pendiente"))))</f>
        <v/>
      </c>
      <c r="R31" s="62" t="n">
        <f aca="false">IF(AND(K31&gt;0,OR(O31="Sí",O31="Si")),1,0)</f>
        <v>0</v>
      </c>
      <c r="S31" s="62" t="n">
        <f aca="false">IF(AND(K31&gt;0,R31=0),1,0)</f>
        <v>0</v>
      </c>
    </row>
    <row r="32" customFormat="false" ht="15" hidden="false" customHeight="false" outlineLevel="0" collapsed="false">
      <c r="B32" s="71" t="str">
        <f aca="false">IF($F$6="Sí",N($C$11)+5,"")</f>
        <v/>
      </c>
      <c r="C32" s="72" t="str">
        <f aca="false">IF(OR($F$6&lt;&gt;"Sí",D32&lt;=0.5),"",EDATE($C$10,5))</f>
        <v/>
      </c>
      <c r="D32" s="41" t="n">
        <f aca="false">MAX(0,M31)</f>
        <v>0</v>
      </c>
      <c r="E32" s="41" t="n">
        <f aca="false">D32*$F$7</f>
        <v>0</v>
      </c>
      <c r="F32" s="41" t="n">
        <f aca="false">IF(D32&gt;0.5,N($C$15),0)</f>
        <v>0</v>
      </c>
      <c r="G32" s="41" t="n">
        <f aca="false">IF(AND(D32&gt;0.5,N($C$19)&gt;0,N(B32)&lt;=N($C$20)),D32*$F$8,0)</f>
        <v>0</v>
      </c>
      <c r="H32" s="41" t="n">
        <f aca="false">IF(D32&lt;=0.5,0,MIN(IF(N(I32)&gt;0,I32,$F$9),D32+E32+F32))</f>
        <v>0</v>
      </c>
      <c r="I32" s="77"/>
      <c r="J32" s="77"/>
      <c r="K32" s="41" t="n">
        <f aca="false">IF(D32&lt;=0.5,0,MIN(H32+N(J32),D32+E32+F32))</f>
        <v>0</v>
      </c>
      <c r="L32" s="41" t="n">
        <f aca="false">K32-E32-F32</f>
        <v>0</v>
      </c>
      <c r="M32" s="41" t="n">
        <f aca="false">D32-L32</f>
        <v>0</v>
      </c>
      <c r="N32" s="42" t="n">
        <f aca="false">K32-G32</f>
        <v>0</v>
      </c>
      <c r="O32" s="78"/>
      <c r="P32" s="79"/>
      <c r="Q32" s="16" t="str">
        <f aca="false">IF(K32=0,"",IF(R32=1,"Pagada",IF(C32&lt;$F$12,"Vencida",IF(6=$F$13,"Próxima","Pendiente"))))</f>
        <v/>
      </c>
      <c r="R32" s="62" t="n">
        <f aca="false">IF(AND(K32&gt;0,OR(O32="Sí",O32="Si")),1,0)</f>
        <v>0</v>
      </c>
      <c r="S32" s="62" t="n">
        <f aca="false">IF(AND(K32&gt;0,R32=0),1,0)</f>
        <v>0</v>
      </c>
    </row>
    <row r="33" customFormat="false" ht="15" hidden="false" customHeight="false" outlineLevel="0" collapsed="false">
      <c r="B33" s="71" t="str">
        <f aca="false">IF($F$6="Sí",N($C$11)+6,"")</f>
        <v/>
      </c>
      <c r="C33" s="72" t="str">
        <f aca="false">IF(OR($F$6&lt;&gt;"Sí",D33&lt;=0.5),"",EDATE($C$10,6))</f>
        <v/>
      </c>
      <c r="D33" s="41" t="n">
        <f aca="false">MAX(0,M32)</f>
        <v>0</v>
      </c>
      <c r="E33" s="41" t="n">
        <f aca="false">D33*$F$7</f>
        <v>0</v>
      </c>
      <c r="F33" s="41" t="n">
        <f aca="false">IF(D33&gt;0.5,N($C$15),0)</f>
        <v>0</v>
      </c>
      <c r="G33" s="41" t="n">
        <f aca="false">IF(AND(D33&gt;0.5,N($C$19)&gt;0,N(B33)&lt;=N($C$20)),D33*$F$8,0)</f>
        <v>0</v>
      </c>
      <c r="H33" s="41" t="n">
        <f aca="false">IF(D33&lt;=0.5,0,MIN(IF(N(I33)&gt;0,I33,$F$9),D33+E33+F33))</f>
        <v>0</v>
      </c>
      <c r="I33" s="77"/>
      <c r="J33" s="77"/>
      <c r="K33" s="41" t="n">
        <f aca="false">IF(D33&lt;=0.5,0,MIN(H33+N(J33),D33+E33+F33))</f>
        <v>0</v>
      </c>
      <c r="L33" s="41" t="n">
        <f aca="false">K33-E33-F33</f>
        <v>0</v>
      </c>
      <c r="M33" s="41" t="n">
        <f aca="false">D33-L33</f>
        <v>0</v>
      </c>
      <c r="N33" s="42" t="n">
        <f aca="false">K33-G33</f>
        <v>0</v>
      </c>
      <c r="O33" s="78"/>
      <c r="P33" s="79"/>
      <c r="Q33" s="16" t="str">
        <f aca="false">IF(K33=0,"",IF(R33=1,"Pagada",IF(C33&lt;$F$12,"Vencida",IF(7=$F$13,"Próxima","Pendiente"))))</f>
        <v/>
      </c>
      <c r="R33" s="62" t="n">
        <f aca="false">IF(AND(K33&gt;0,OR(O33="Sí",O33="Si")),1,0)</f>
        <v>0</v>
      </c>
      <c r="S33" s="62" t="n">
        <f aca="false">IF(AND(K33&gt;0,R33=0),1,0)</f>
        <v>0</v>
      </c>
    </row>
    <row r="34" customFormat="false" ht="15" hidden="false" customHeight="false" outlineLevel="0" collapsed="false">
      <c r="B34" s="71" t="str">
        <f aca="false">IF($F$6="Sí",N($C$11)+7,"")</f>
        <v/>
      </c>
      <c r="C34" s="72" t="str">
        <f aca="false">IF(OR($F$6&lt;&gt;"Sí",D34&lt;=0.5),"",EDATE($C$10,7))</f>
        <v/>
      </c>
      <c r="D34" s="41" t="n">
        <f aca="false">MAX(0,M33)</f>
        <v>0</v>
      </c>
      <c r="E34" s="41" t="n">
        <f aca="false">D34*$F$7</f>
        <v>0</v>
      </c>
      <c r="F34" s="41" t="n">
        <f aca="false">IF(D34&gt;0.5,N($C$15),0)</f>
        <v>0</v>
      </c>
      <c r="G34" s="41" t="n">
        <f aca="false">IF(AND(D34&gt;0.5,N($C$19)&gt;0,N(B34)&lt;=N($C$20)),D34*$F$8,0)</f>
        <v>0</v>
      </c>
      <c r="H34" s="41" t="n">
        <f aca="false">IF(D34&lt;=0.5,0,MIN(IF(N(I34)&gt;0,I34,$F$9),D34+E34+F34))</f>
        <v>0</v>
      </c>
      <c r="I34" s="77"/>
      <c r="J34" s="77"/>
      <c r="K34" s="41" t="n">
        <f aca="false">IF(D34&lt;=0.5,0,MIN(H34+N(J34),D34+E34+F34))</f>
        <v>0</v>
      </c>
      <c r="L34" s="41" t="n">
        <f aca="false">K34-E34-F34</f>
        <v>0</v>
      </c>
      <c r="M34" s="41" t="n">
        <f aca="false">D34-L34</f>
        <v>0</v>
      </c>
      <c r="N34" s="42" t="n">
        <f aca="false">K34-G34</f>
        <v>0</v>
      </c>
      <c r="O34" s="78"/>
      <c r="P34" s="79"/>
      <c r="Q34" s="16" t="str">
        <f aca="false">IF(K34=0,"",IF(R34=1,"Pagada",IF(C34&lt;$F$12,"Vencida",IF(8=$F$13,"Próxima","Pendiente"))))</f>
        <v/>
      </c>
      <c r="R34" s="62" t="n">
        <f aca="false">IF(AND(K34&gt;0,OR(O34="Sí",O34="Si")),1,0)</f>
        <v>0</v>
      </c>
      <c r="S34" s="62" t="n">
        <f aca="false">IF(AND(K34&gt;0,R34=0),1,0)</f>
        <v>0</v>
      </c>
    </row>
    <row r="35" customFormat="false" ht="15" hidden="false" customHeight="false" outlineLevel="0" collapsed="false">
      <c r="B35" s="71" t="str">
        <f aca="false">IF($F$6="Sí",N($C$11)+8,"")</f>
        <v/>
      </c>
      <c r="C35" s="72" t="str">
        <f aca="false">IF(OR($F$6&lt;&gt;"Sí",D35&lt;=0.5),"",EDATE($C$10,8))</f>
        <v/>
      </c>
      <c r="D35" s="41" t="n">
        <f aca="false">MAX(0,M34)</f>
        <v>0</v>
      </c>
      <c r="E35" s="41" t="n">
        <f aca="false">D35*$F$7</f>
        <v>0</v>
      </c>
      <c r="F35" s="41" t="n">
        <f aca="false">IF(D35&gt;0.5,N($C$15),0)</f>
        <v>0</v>
      </c>
      <c r="G35" s="41" t="n">
        <f aca="false">IF(AND(D35&gt;0.5,N($C$19)&gt;0,N(B35)&lt;=N($C$20)),D35*$F$8,0)</f>
        <v>0</v>
      </c>
      <c r="H35" s="41" t="n">
        <f aca="false">IF(D35&lt;=0.5,0,MIN(IF(N(I35)&gt;0,I35,$F$9),D35+E35+F35))</f>
        <v>0</v>
      </c>
      <c r="I35" s="77"/>
      <c r="J35" s="77"/>
      <c r="K35" s="41" t="n">
        <f aca="false">IF(D35&lt;=0.5,0,MIN(H35+N(J35),D35+E35+F35))</f>
        <v>0</v>
      </c>
      <c r="L35" s="41" t="n">
        <f aca="false">K35-E35-F35</f>
        <v>0</v>
      </c>
      <c r="M35" s="41" t="n">
        <f aca="false">D35-L35</f>
        <v>0</v>
      </c>
      <c r="N35" s="42" t="n">
        <f aca="false">K35-G35</f>
        <v>0</v>
      </c>
      <c r="O35" s="78"/>
      <c r="P35" s="79"/>
      <c r="Q35" s="16" t="str">
        <f aca="false">IF(K35=0,"",IF(R35=1,"Pagada",IF(C35&lt;$F$12,"Vencida",IF(9=$F$13,"Próxima","Pendiente"))))</f>
        <v/>
      </c>
      <c r="R35" s="62" t="n">
        <f aca="false">IF(AND(K35&gt;0,OR(O35="Sí",O35="Si")),1,0)</f>
        <v>0</v>
      </c>
      <c r="S35" s="62" t="n">
        <f aca="false">IF(AND(K35&gt;0,R35=0),1,0)</f>
        <v>0</v>
      </c>
    </row>
    <row r="36" customFormat="false" ht="15" hidden="false" customHeight="false" outlineLevel="0" collapsed="false">
      <c r="B36" s="71" t="str">
        <f aca="false">IF($F$6="Sí",N($C$11)+9,"")</f>
        <v/>
      </c>
      <c r="C36" s="72" t="str">
        <f aca="false">IF(OR($F$6&lt;&gt;"Sí",D36&lt;=0.5),"",EDATE($C$10,9))</f>
        <v/>
      </c>
      <c r="D36" s="41" t="n">
        <f aca="false">MAX(0,M35)</f>
        <v>0</v>
      </c>
      <c r="E36" s="41" t="n">
        <f aca="false">D36*$F$7</f>
        <v>0</v>
      </c>
      <c r="F36" s="41" t="n">
        <f aca="false">IF(D36&gt;0.5,N($C$15),0)</f>
        <v>0</v>
      </c>
      <c r="G36" s="41" t="n">
        <f aca="false">IF(AND(D36&gt;0.5,N($C$19)&gt;0,N(B36)&lt;=N($C$20)),D36*$F$8,0)</f>
        <v>0</v>
      </c>
      <c r="H36" s="41" t="n">
        <f aca="false">IF(D36&lt;=0.5,0,MIN(IF(N(I36)&gt;0,I36,$F$9),D36+E36+F36))</f>
        <v>0</v>
      </c>
      <c r="I36" s="77"/>
      <c r="J36" s="77"/>
      <c r="K36" s="41" t="n">
        <f aca="false">IF(D36&lt;=0.5,0,MIN(H36+N(J36),D36+E36+F36))</f>
        <v>0</v>
      </c>
      <c r="L36" s="41" t="n">
        <f aca="false">K36-E36-F36</f>
        <v>0</v>
      </c>
      <c r="M36" s="41" t="n">
        <f aca="false">D36-L36</f>
        <v>0</v>
      </c>
      <c r="N36" s="42" t="n">
        <f aca="false">K36-G36</f>
        <v>0</v>
      </c>
      <c r="O36" s="78"/>
      <c r="P36" s="79"/>
      <c r="Q36" s="16" t="str">
        <f aca="false">IF(K36=0,"",IF(R36=1,"Pagada",IF(C36&lt;$F$12,"Vencida",IF(10=$F$13,"Próxima","Pendiente"))))</f>
        <v/>
      </c>
      <c r="R36" s="62" t="n">
        <f aca="false">IF(AND(K36&gt;0,OR(O36="Sí",O36="Si")),1,0)</f>
        <v>0</v>
      </c>
      <c r="S36" s="62" t="n">
        <f aca="false">IF(AND(K36&gt;0,R36=0),1,0)</f>
        <v>0</v>
      </c>
    </row>
    <row r="37" customFormat="false" ht="15" hidden="false" customHeight="false" outlineLevel="0" collapsed="false">
      <c r="B37" s="71" t="str">
        <f aca="false">IF($F$6="Sí",N($C$11)+10,"")</f>
        <v/>
      </c>
      <c r="C37" s="72" t="str">
        <f aca="false">IF(OR($F$6&lt;&gt;"Sí",D37&lt;=0.5),"",EDATE($C$10,10))</f>
        <v/>
      </c>
      <c r="D37" s="41" t="n">
        <f aca="false">MAX(0,M36)</f>
        <v>0</v>
      </c>
      <c r="E37" s="41" t="n">
        <f aca="false">D37*$F$7</f>
        <v>0</v>
      </c>
      <c r="F37" s="41" t="n">
        <f aca="false">IF(D37&gt;0.5,N($C$15),0)</f>
        <v>0</v>
      </c>
      <c r="G37" s="41" t="n">
        <f aca="false">IF(AND(D37&gt;0.5,N($C$19)&gt;0,N(B37)&lt;=N($C$20)),D37*$F$8,0)</f>
        <v>0</v>
      </c>
      <c r="H37" s="41" t="n">
        <f aca="false">IF(D37&lt;=0.5,0,MIN(IF(N(I37)&gt;0,I37,$F$9),D37+E37+F37))</f>
        <v>0</v>
      </c>
      <c r="I37" s="77"/>
      <c r="J37" s="77"/>
      <c r="K37" s="41" t="n">
        <f aca="false">IF(D37&lt;=0.5,0,MIN(H37+N(J37),D37+E37+F37))</f>
        <v>0</v>
      </c>
      <c r="L37" s="41" t="n">
        <f aca="false">K37-E37-F37</f>
        <v>0</v>
      </c>
      <c r="M37" s="41" t="n">
        <f aca="false">D37-L37</f>
        <v>0</v>
      </c>
      <c r="N37" s="42" t="n">
        <f aca="false">K37-G37</f>
        <v>0</v>
      </c>
      <c r="O37" s="78"/>
      <c r="P37" s="79"/>
      <c r="Q37" s="16" t="str">
        <f aca="false">IF(K37=0,"",IF(R37=1,"Pagada",IF(C37&lt;$F$12,"Vencida",IF(11=$F$13,"Próxima","Pendiente"))))</f>
        <v/>
      </c>
      <c r="R37" s="62" t="n">
        <f aca="false">IF(AND(K37&gt;0,OR(O37="Sí",O37="Si")),1,0)</f>
        <v>0</v>
      </c>
      <c r="S37" s="62" t="n">
        <f aca="false">IF(AND(K37&gt;0,R37=0),1,0)</f>
        <v>0</v>
      </c>
    </row>
    <row r="38" customFormat="false" ht="15" hidden="false" customHeight="false" outlineLevel="0" collapsed="false">
      <c r="B38" s="71" t="str">
        <f aca="false">IF($F$6="Sí",N($C$11)+11,"")</f>
        <v/>
      </c>
      <c r="C38" s="72" t="str">
        <f aca="false">IF(OR($F$6&lt;&gt;"Sí",D38&lt;=0.5),"",EDATE($C$10,11))</f>
        <v/>
      </c>
      <c r="D38" s="41" t="n">
        <f aca="false">MAX(0,M37)</f>
        <v>0</v>
      </c>
      <c r="E38" s="41" t="n">
        <f aca="false">D38*$F$7</f>
        <v>0</v>
      </c>
      <c r="F38" s="41" t="n">
        <f aca="false">IF(D38&gt;0.5,N($C$15),0)</f>
        <v>0</v>
      </c>
      <c r="G38" s="41" t="n">
        <f aca="false">IF(AND(D38&gt;0.5,N($C$19)&gt;0,N(B38)&lt;=N($C$20)),D38*$F$8,0)</f>
        <v>0</v>
      </c>
      <c r="H38" s="41" t="n">
        <f aca="false">IF(D38&lt;=0.5,0,MIN(IF(N(I38)&gt;0,I38,$F$9),D38+E38+F38))</f>
        <v>0</v>
      </c>
      <c r="I38" s="77"/>
      <c r="J38" s="77"/>
      <c r="K38" s="41" t="n">
        <f aca="false">IF(D38&lt;=0.5,0,MIN(H38+N(J38),D38+E38+F38))</f>
        <v>0</v>
      </c>
      <c r="L38" s="41" t="n">
        <f aca="false">K38-E38-F38</f>
        <v>0</v>
      </c>
      <c r="M38" s="41" t="n">
        <f aca="false">D38-L38</f>
        <v>0</v>
      </c>
      <c r="N38" s="42" t="n">
        <f aca="false">K38-G38</f>
        <v>0</v>
      </c>
      <c r="O38" s="78"/>
      <c r="P38" s="79"/>
      <c r="Q38" s="16" t="str">
        <f aca="false">IF(K38=0,"",IF(R38=1,"Pagada",IF(C38&lt;$F$12,"Vencida",IF(12=$F$13,"Próxima","Pendiente"))))</f>
        <v/>
      </c>
      <c r="R38" s="62" t="n">
        <f aca="false">IF(AND(K38&gt;0,OR(O38="Sí",O38="Si")),1,0)</f>
        <v>0</v>
      </c>
      <c r="S38" s="62" t="n">
        <f aca="false">IF(AND(K38&gt;0,R38=0),1,0)</f>
        <v>0</v>
      </c>
    </row>
    <row r="39" customFormat="false" ht="15" hidden="false" customHeight="false" outlineLevel="0" collapsed="false">
      <c r="B39" s="71" t="str">
        <f aca="false">IF($F$6="Sí",N($C$11)+12,"")</f>
        <v/>
      </c>
      <c r="C39" s="72" t="str">
        <f aca="false">IF(OR($F$6&lt;&gt;"Sí",D39&lt;=0.5),"",EDATE($C$10,12))</f>
        <v/>
      </c>
      <c r="D39" s="41" t="n">
        <f aca="false">MAX(0,M38)</f>
        <v>0</v>
      </c>
      <c r="E39" s="41" t="n">
        <f aca="false">D39*$F$7</f>
        <v>0</v>
      </c>
      <c r="F39" s="41" t="n">
        <f aca="false">IF(D39&gt;0.5,N($C$15),0)</f>
        <v>0</v>
      </c>
      <c r="G39" s="41" t="n">
        <f aca="false">IF(AND(D39&gt;0.5,N($C$19)&gt;0,N(B39)&lt;=N($C$20)),D39*$F$8,0)</f>
        <v>0</v>
      </c>
      <c r="H39" s="41" t="n">
        <f aca="false">IF(D39&lt;=0.5,0,MIN(IF(N(I39)&gt;0,I39,$F$9),D39+E39+F39))</f>
        <v>0</v>
      </c>
      <c r="I39" s="77"/>
      <c r="J39" s="77"/>
      <c r="K39" s="41" t="n">
        <f aca="false">IF(D39&lt;=0.5,0,MIN(H39+N(J39),D39+E39+F39))</f>
        <v>0</v>
      </c>
      <c r="L39" s="41" t="n">
        <f aca="false">K39-E39-F39</f>
        <v>0</v>
      </c>
      <c r="M39" s="41" t="n">
        <f aca="false">D39-L39</f>
        <v>0</v>
      </c>
      <c r="N39" s="42" t="n">
        <f aca="false">K39-G39</f>
        <v>0</v>
      </c>
      <c r="O39" s="78"/>
      <c r="P39" s="79"/>
      <c r="Q39" s="16" t="str">
        <f aca="false">IF(K39=0,"",IF(R39=1,"Pagada",IF(C39&lt;$F$12,"Vencida",IF(13=$F$13,"Próxima","Pendiente"))))</f>
        <v/>
      </c>
      <c r="R39" s="62" t="n">
        <f aca="false">IF(AND(K39&gt;0,OR(O39="Sí",O39="Si")),1,0)</f>
        <v>0</v>
      </c>
      <c r="S39" s="62" t="n">
        <f aca="false">IF(AND(K39&gt;0,R39=0),1,0)</f>
        <v>0</v>
      </c>
    </row>
    <row r="40" customFormat="false" ht="15" hidden="false" customHeight="false" outlineLevel="0" collapsed="false">
      <c r="B40" s="71" t="str">
        <f aca="false">IF($F$6="Sí",N($C$11)+13,"")</f>
        <v/>
      </c>
      <c r="C40" s="72" t="str">
        <f aca="false">IF(OR($F$6&lt;&gt;"Sí",D40&lt;=0.5),"",EDATE($C$10,13))</f>
        <v/>
      </c>
      <c r="D40" s="41" t="n">
        <f aca="false">MAX(0,M39)</f>
        <v>0</v>
      </c>
      <c r="E40" s="41" t="n">
        <f aca="false">D40*$F$7</f>
        <v>0</v>
      </c>
      <c r="F40" s="41" t="n">
        <f aca="false">IF(D40&gt;0.5,N($C$15),0)</f>
        <v>0</v>
      </c>
      <c r="G40" s="41" t="n">
        <f aca="false">IF(AND(D40&gt;0.5,N($C$19)&gt;0,N(B40)&lt;=N($C$20)),D40*$F$8,0)</f>
        <v>0</v>
      </c>
      <c r="H40" s="41" t="n">
        <f aca="false">IF(D40&lt;=0.5,0,MIN(IF(N(I40)&gt;0,I40,$F$9),D40+E40+F40))</f>
        <v>0</v>
      </c>
      <c r="I40" s="77"/>
      <c r="J40" s="77"/>
      <c r="K40" s="41" t="n">
        <f aca="false">IF(D40&lt;=0.5,0,MIN(H40+N(J40),D40+E40+F40))</f>
        <v>0</v>
      </c>
      <c r="L40" s="41" t="n">
        <f aca="false">K40-E40-F40</f>
        <v>0</v>
      </c>
      <c r="M40" s="41" t="n">
        <f aca="false">D40-L40</f>
        <v>0</v>
      </c>
      <c r="N40" s="42" t="n">
        <f aca="false">K40-G40</f>
        <v>0</v>
      </c>
      <c r="O40" s="78"/>
      <c r="P40" s="79"/>
      <c r="Q40" s="16" t="str">
        <f aca="false">IF(K40=0,"",IF(R40=1,"Pagada",IF(C40&lt;$F$12,"Vencida",IF(14=$F$13,"Próxima","Pendiente"))))</f>
        <v/>
      </c>
      <c r="R40" s="62" t="n">
        <f aca="false">IF(AND(K40&gt;0,OR(O40="Sí",O40="Si")),1,0)</f>
        <v>0</v>
      </c>
      <c r="S40" s="62" t="n">
        <f aca="false">IF(AND(K40&gt;0,R40=0),1,0)</f>
        <v>0</v>
      </c>
    </row>
    <row r="41" customFormat="false" ht="15" hidden="false" customHeight="false" outlineLevel="0" collapsed="false">
      <c r="B41" s="71" t="str">
        <f aca="false">IF($F$6="Sí",N($C$11)+14,"")</f>
        <v/>
      </c>
      <c r="C41" s="72" t="str">
        <f aca="false">IF(OR($F$6&lt;&gt;"Sí",D41&lt;=0.5),"",EDATE($C$10,14))</f>
        <v/>
      </c>
      <c r="D41" s="41" t="n">
        <f aca="false">MAX(0,M40)</f>
        <v>0</v>
      </c>
      <c r="E41" s="41" t="n">
        <f aca="false">D41*$F$7</f>
        <v>0</v>
      </c>
      <c r="F41" s="41" t="n">
        <f aca="false">IF(D41&gt;0.5,N($C$15),0)</f>
        <v>0</v>
      </c>
      <c r="G41" s="41" t="n">
        <f aca="false">IF(AND(D41&gt;0.5,N($C$19)&gt;0,N(B41)&lt;=N($C$20)),D41*$F$8,0)</f>
        <v>0</v>
      </c>
      <c r="H41" s="41" t="n">
        <f aca="false">IF(D41&lt;=0.5,0,MIN(IF(N(I41)&gt;0,I41,$F$9),D41+E41+F41))</f>
        <v>0</v>
      </c>
      <c r="I41" s="77"/>
      <c r="J41" s="77"/>
      <c r="K41" s="41" t="n">
        <f aca="false">IF(D41&lt;=0.5,0,MIN(H41+N(J41),D41+E41+F41))</f>
        <v>0</v>
      </c>
      <c r="L41" s="41" t="n">
        <f aca="false">K41-E41-F41</f>
        <v>0</v>
      </c>
      <c r="M41" s="41" t="n">
        <f aca="false">D41-L41</f>
        <v>0</v>
      </c>
      <c r="N41" s="42" t="n">
        <f aca="false">K41-G41</f>
        <v>0</v>
      </c>
      <c r="O41" s="78"/>
      <c r="P41" s="79"/>
      <c r="Q41" s="16" t="str">
        <f aca="false">IF(K41=0,"",IF(R41=1,"Pagada",IF(C41&lt;$F$12,"Vencida",IF(15=$F$13,"Próxima","Pendiente"))))</f>
        <v/>
      </c>
      <c r="R41" s="62" t="n">
        <f aca="false">IF(AND(K41&gt;0,OR(O41="Sí",O41="Si")),1,0)</f>
        <v>0</v>
      </c>
      <c r="S41" s="62" t="n">
        <f aca="false">IF(AND(K41&gt;0,R41=0),1,0)</f>
        <v>0</v>
      </c>
    </row>
    <row r="42" customFormat="false" ht="15" hidden="false" customHeight="false" outlineLevel="0" collapsed="false">
      <c r="B42" s="71" t="str">
        <f aca="false">IF($F$6="Sí",N($C$11)+15,"")</f>
        <v/>
      </c>
      <c r="C42" s="72" t="str">
        <f aca="false">IF(OR($F$6&lt;&gt;"Sí",D42&lt;=0.5),"",EDATE($C$10,15))</f>
        <v/>
      </c>
      <c r="D42" s="41" t="n">
        <f aca="false">MAX(0,M41)</f>
        <v>0</v>
      </c>
      <c r="E42" s="41" t="n">
        <f aca="false">D42*$F$7</f>
        <v>0</v>
      </c>
      <c r="F42" s="41" t="n">
        <f aca="false">IF(D42&gt;0.5,N($C$15),0)</f>
        <v>0</v>
      </c>
      <c r="G42" s="41" t="n">
        <f aca="false">IF(AND(D42&gt;0.5,N($C$19)&gt;0,N(B42)&lt;=N($C$20)),D42*$F$8,0)</f>
        <v>0</v>
      </c>
      <c r="H42" s="41" t="n">
        <f aca="false">IF(D42&lt;=0.5,0,MIN(IF(N(I42)&gt;0,I42,$F$9),D42+E42+F42))</f>
        <v>0</v>
      </c>
      <c r="I42" s="77"/>
      <c r="J42" s="77"/>
      <c r="K42" s="41" t="n">
        <f aca="false">IF(D42&lt;=0.5,0,MIN(H42+N(J42),D42+E42+F42))</f>
        <v>0</v>
      </c>
      <c r="L42" s="41" t="n">
        <f aca="false">K42-E42-F42</f>
        <v>0</v>
      </c>
      <c r="M42" s="41" t="n">
        <f aca="false">D42-L42</f>
        <v>0</v>
      </c>
      <c r="N42" s="42" t="n">
        <f aca="false">K42-G42</f>
        <v>0</v>
      </c>
      <c r="O42" s="78"/>
      <c r="P42" s="79"/>
      <c r="Q42" s="16" t="str">
        <f aca="false">IF(K42=0,"",IF(R42=1,"Pagada",IF(C42&lt;$F$12,"Vencida",IF(16=$F$13,"Próxima","Pendiente"))))</f>
        <v/>
      </c>
      <c r="R42" s="62" t="n">
        <f aca="false">IF(AND(K42&gt;0,OR(O42="Sí",O42="Si")),1,0)</f>
        <v>0</v>
      </c>
      <c r="S42" s="62" t="n">
        <f aca="false">IF(AND(K42&gt;0,R42=0),1,0)</f>
        <v>0</v>
      </c>
    </row>
    <row r="43" customFormat="false" ht="15" hidden="false" customHeight="false" outlineLevel="0" collapsed="false">
      <c r="B43" s="71" t="str">
        <f aca="false">IF($F$6="Sí",N($C$11)+16,"")</f>
        <v/>
      </c>
      <c r="C43" s="72" t="str">
        <f aca="false">IF(OR($F$6&lt;&gt;"Sí",D43&lt;=0.5),"",EDATE($C$10,16))</f>
        <v/>
      </c>
      <c r="D43" s="41" t="n">
        <f aca="false">MAX(0,M42)</f>
        <v>0</v>
      </c>
      <c r="E43" s="41" t="n">
        <f aca="false">D43*$F$7</f>
        <v>0</v>
      </c>
      <c r="F43" s="41" t="n">
        <f aca="false">IF(D43&gt;0.5,N($C$15),0)</f>
        <v>0</v>
      </c>
      <c r="G43" s="41" t="n">
        <f aca="false">IF(AND(D43&gt;0.5,N($C$19)&gt;0,N(B43)&lt;=N($C$20)),D43*$F$8,0)</f>
        <v>0</v>
      </c>
      <c r="H43" s="41" t="n">
        <f aca="false">IF(D43&lt;=0.5,0,MIN(IF(N(I43)&gt;0,I43,$F$9),D43+E43+F43))</f>
        <v>0</v>
      </c>
      <c r="I43" s="77"/>
      <c r="J43" s="77"/>
      <c r="K43" s="41" t="n">
        <f aca="false">IF(D43&lt;=0.5,0,MIN(H43+N(J43),D43+E43+F43))</f>
        <v>0</v>
      </c>
      <c r="L43" s="41" t="n">
        <f aca="false">K43-E43-F43</f>
        <v>0</v>
      </c>
      <c r="M43" s="41" t="n">
        <f aca="false">D43-L43</f>
        <v>0</v>
      </c>
      <c r="N43" s="42" t="n">
        <f aca="false">K43-G43</f>
        <v>0</v>
      </c>
      <c r="O43" s="78"/>
      <c r="P43" s="79"/>
      <c r="Q43" s="16" t="str">
        <f aca="false">IF(K43=0,"",IF(R43=1,"Pagada",IF(C43&lt;$F$12,"Vencida",IF(17=$F$13,"Próxima","Pendiente"))))</f>
        <v/>
      </c>
      <c r="R43" s="62" t="n">
        <f aca="false">IF(AND(K43&gt;0,OR(O43="Sí",O43="Si")),1,0)</f>
        <v>0</v>
      </c>
      <c r="S43" s="62" t="n">
        <f aca="false">IF(AND(K43&gt;0,R43=0),1,0)</f>
        <v>0</v>
      </c>
    </row>
    <row r="44" customFormat="false" ht="15" hidden="false" customHeight="false" outlineLevel="0" collapsed="false">
      <c r="B44" s="71" t="str">
        <f aca="false">IF($F$6="Sí",N($C$11)+17,"")</f>
        <v/>
      </c>
      <c r="C44" s="72" t="str">
        <f aca="false">IF(OR($F$6&lt;&gt;"Sí",D44&lt;=0.5),"",EDATE($C$10,17))</f>
        <v/>
      </c>
      <c r="D44" s="41" t="n">
        <f aca="false">MAX(0,M43)</f>
        <v>0</v>
      </c>
      <c r="E44" s="41" t="n">
        <f aca="false">D44*$F$7</f>
        <v>0</v>
      </c>
      <c r="F44" s="41" t="n">
        <f aca="false">IF(D44&gt;0.5,N($C$15),0)</f>
        <v>0</v>
      </c>
      <c r="G44" s="41" t="n">
        <f aca="false">IF(AND(D44&gt;0.5,N($C$19)&gt;0,N(B44)&lt;=N($C$20)),D44*$F$8,0)</f>
        <v>0</v>
      </c>
      <c r="H44" s="41" t="n">
        <f aca="false">IF(D44&lt;=0.5,0,MIN(IF(N(I44)&gt;0,I44,$F$9),D44+E44+F44))</f>
        <v>0</v>
      </c>
      <c r="I44" s="77"/>
      <c r="J44" s="77"/>
      <c r="K44" s="41" t="n">
        <f aca="false">IF(D44&lt;=0.5,0,MIN(H44+N(J44),D44+E44+F44))</f>
        <v>0</v>
      </c>
      <c r="L44" s="41" t="n">
        <f aca="false">K44-E44-F44</f>
        <v>0</v>
      </c>
      <c r="M44" s="41" t="n">
        <f aca="false">D44-L44</f>
        <v>0</v>
      </c>
      <c r="N44" s="42" t="n">
        <f aca="false">K44-G44</f>
        <v>0</v>
      </c>
      <c r="O44" s="78"/>
      <c r="P44" s="79"/>
      <c r="Q44" s="16" t="str">
        <f aca="false">IF(K44=0,"",IF(R44=1,"Pagada",IF(C44&lt;$F$12,"Vencida",IF(18=$F$13,"Próxima","Pendiente"))))</f>
        <v/>
      </c>
      <c r="R44" s="62" t="n">
        <f aca="false">IF(AND(K44&gt;0,OR(O44="Sí",O44="Si")),1,0)</f>
        <v>0</v>
      </c>
      <c r="S44" s="62" t="n">
        <f aca="false">IF(AND(K44&gt;0,R44=0),1,0)</f>
        <v>0</v>
      </c>
    </row>
    <row r="45" customFormat="false" ht="15" hidden="false" customHeight="false" outlineLevel="0" collapsed="false">
      <c r="B45" s="71" t="str">
        <f aca="false">IF($F$6="Sí",N($C$11)+18,"")</f>
        <v/>
      </c>
      <c r="C45" s="72" t="str">
        <f aca="false">IF(OR($F$6&lt;&gt;"Sí",D45&lt;=0.5),"",EDATE($C$10,18))</f>
        <v/>
      </c>
      <c r="D45" s="41" t="n">
        <f aca="false">MAX(0,M44)</f>
        <v>0</v>
      </c>
      <c r="E45" s="41" t="n">
        <f aca="false">D45*$F$7</f>
        <v>0</v>
      </c>
      <c r="F45" s="41" t="n">
        <f aca="false">IF(D45&gt;0.5,N($C$15),0)</f>
        <v>0</v>
      </c>
      <c r="G45" s="41" t="n">
        <f aca="false">IF(AND(D45&gt;0.5,N($C$19)&gt;0,N(B45)&lt;=N($C$20)),D45*$F$8,0)</f>
        <v>0</v>
      </c>
      <c r="H45" s="41" t="n">
        <f aca="false">IF(D45&lt;=0.5,0,MIN(IF(N(I45)&gt;0,I45,$F$9),D45+E45+F45))</f>
        <v>0</v>
      </c>
      <c r="I45" s="77"/>
      <c r="J45" s="77"/>
      <c r="K45" s="41" t="n">
        <f aca="false">IF(D45&lt;=0.5,0,MIN(H45+N(J45),D45+E45+F45))</f>
        <v>0</v>
      </c>
      <c r="L45" s="41" t="n">
        <f aca="false">K45-E45-F45</f>
        <v>0</v>
      </c>
      <c r="M45" s="41" t="n">
        <f aca="false">D45-L45</f>
        <v>0</v>
      </c>
      <c r="N45" s="42" t="n">
        <f aca="false">K45-G45</f>
        <v>0</v>
      </c>
      <c r="O45" s="78"/>
      <c r="P45" s="79"/>
      <c r="Q45" s="16" t="str">
        <f aca="false">IF(K45=0,"",IF(R45=1,"Pagada",IF(C45&lt;$F$12,"Vencida",IF(19=$F$13,"Próxima","Pendiente"))))</f>
        <v/>
      </c>
      <c r="R45" s="62" t="n">
        <f aca="false">IF(AND(K45&gt;0,OR(O45="Sí",O45="Si")),1,0)</f>
        <v>0</v>
      </c>
      <c r="S45" s="62" t="n">
        <f aca="false">IF(AND(K45&gt;0,R45=0),1,0)</f>
        <v>0</v>
      </c>
    </row>
    <row r="46" customFormat="false" ht="15" hidden="false" customHeight="false" outlineLevel="0" collapsed="false">
      <c r="B46" s="71" t="str">
        <f aca="false">IF($F$6="Sí",N($C$11)+19,"")</f>
        <v/>
      </c>
      <c r="C46" s="72" t="str">
        <f aca="false">IF(OR($F$6&lt;&gt;"Sí",D46&lt;=0.5),"",EDATE($C$10,19))</f>
        <v/>
      </c>
      <c r="D46" s="41" t="n">
        <f aca="false">MAX(0,M45)</f>
        <v>0</v>
      </c>
      <c r="E46" s="41" t="n">
        <f aca="false">D46*$F$7</f>
        <v>0</v>
      </c>
      <c r="F46" s="41" t="n">
        <f aca="false">IF(D46&gt;0.5,N($C$15),0)</f>
        <v>0</v>
      </c>
      <c r="G46" s="41" t="n">
        <f aca="false">IF(AND(D46&gt;0.5,N($C$19)&gt;0,N(B46)&lt;=N($C$20)),D46*$F$8,0)</f>
        <v>0</v>
      </c>
      <c r="H46" s="41" t="n">
        <f aca="false">IF(D46&lt;=0.5,0,MIN(IF(N(I46)&gt;0,I46,$F$9),D46+E46+F46))</f>
        <v>0</v>
      </c>
      <c r="I46" s="77"/>
      <c r="J46" s="77"/>
      <c r="K46" s="41" t="n">
        <f aca="false">IF(D46&lt;=0.5,0,MIN(H46+N(J46),D46+E46+F46))</f>
        <v>0</v>
      </c>
      <c r="L46" s="41" t="n">
        <f aca="false">K46-E46-F46</f>
        <v>0</v>
      </c>
      <c r="M46" s="41" t="n">
        <f aca="false">D46-L46</f>
        <v>0</v>
      </c>
      <c r="N46" s="42" t="n">
        <f aca="false">K46-G46</f>
        <v>0</v>
      </c>
      <c r="O46" s="78"/>
      <c r="P46" s="79"/>
      <c r="Q46" s="16" t="str">
        <f aca="false">IF(K46=0,"",IF(R46=1,"Pagada",IF(C46&lt;$F$12,"Vencida",IF(20=$F$13,"Próxima","Pendiente"))))</f>
        <v/>
      </c>
      <c r="R46" s="62" t="n">
        <f aca="false">IF(AND(K46&gt;0,OR(O46="Sí",O46="Si")),1,0)</f>
        <v>0</v>
      </c>
      <c r="S46" s="62" t="n">
        <f aca="false">IF(AND(K46&gt;0,R46=0),1,0)</f>
        <v>0</v>
      </c>
    </row>
    <row r="47" customFormat="false" ht="15" hidden="false" customHeight="false" outlineLevel="0" collapsed="false">
      <c r="B47" s="71" t="str">
        <f aca="false">IF($F$6="Sí",N($C$11)+20,"")</f>
        <v/>
      </c>
      <c r="C47" s="72" t="str">
        <f aca="false">IF(OR($F$6&lt;&gt;"Sí",D47&lt;=0.5),"",EDATE($C$10,20))</f>
        <v/>
      </c>
      <c r="D47" s="41" t="n">
        <f aca="false">MAX(0,M46)</f>
        <v>0</v>
      </c>
      <c r="E47" s="41" t="n">
        <f aca="false">D47*$F$7</f>
        <v>0</v>
      </c>
      <c r="F47" s="41" t="n">
        <f aca="false">IF(D47&gt;0.5,N($C$15),0)</f>
        <v>0</v>
      </c>
      <c r="G47" s="41" t="n">
        <f aca="false">IF(AND(D47&gt;0.5,N($C$19)&gt;0,N(B47)&lt;=N($C$20)),D47*$F$8,0)</f>
        <v>0</v>
      </c>
      <c r="H47" s="41" t="n">
        <f aca="false">IF(D47&lt;=0.5,0,MIN(IF(N(I47)&gt;0,I47,$F$9),D47+E47+F47))</f>
        <v>0</v>
      </c>
      <c r="I47" s="77"/>
      <c r="J47" s="77"/>
      <c r="K47" s="41" t="n">
        <f aca="false">IF(D47&lt;=0.5,0,MIN(H47+N(J47),D47+E47+F47))</f>
        <v>0</v>
      </c>
      <c r="L47" s="41" t="n">
        <f aca="false">K47-E47-F47</f>
        <v>0</v>
      </c>
      <c r="M47" s="41" t="n">
        <f aca="false">D47-L47</f>
        <v>0</v>
      </c>
      <c r="N47" s="42" t="n">
        <f aca="false">K47-G47</f>
        <v>0</v>
      </c>
      <c r="O47" s="78"/>
      <c r="P47" s="79"/>
      <c r="Q47" s="16" t="str">
        <f aca="false">IF(K47=0,"",IF(R47=1,"Pagada",IF(C47&lt;$F$12,"Vencida",IF(21=$F$13,"Próxima","Pendiente"))))</f>
        <v/>
      </c>
      <c r="R47" s="62" t="n">
        <f aca="false">IF(AND(K47&gt;0,OR(O47="Sí",O47="Si")),1,0)</f>
        <v>0</v>
      </c>
      <c r="S47" s="62" t="n">
        <f aca="false">IF(AND(K47&gt;0,R47=0),1,0)</f>
        <v>0</v>
      </c>
    </row>
    <row r="48" customFormat="false" ht="15" hidden="false" customHeight="false" outlineLevel="0" collapsed="false">
      <c r="B48" s="71" t="str">
        <f aca="false">IF($F$6="Sí",N($C$11)+21,"")</f>
        <v/>
      </c>
      <c r="C48" s="72" t="str">
        <f aca="false">IF(OR($F$6&lt;&gt;"Sí",D48&lt;=0.5),"",EDATE($C$10,21))</f>
        <v/>
      </c>
      <c r="D48" s="41" t="n">
        <f aca="false">MAX(0,M47)</f>
        <v>0</v>
      </c>
      <c r="E48" s="41" t="n">
        <f aca="false">D48*$F$7</f>
        <v>0</v>
      </c>
      <c r="F48" s="41" t="n">
        <f aca="false">IF(D48&gt;0.5,N($C$15),0)</f>
        <v>0</v>
      </c>
      <c r="G48" s="41" t="n">
        <f aca="false">IF(AND(D48&gt;0.5,N($C$19)&gt;0,N(B48)&lt;=N($C$20)),D48*$F$8,0)</f>
        <v>0</v>
      </c>
      <c r="H48" s="41" t="n">
        <f aca="false">IF(D48&lt;=0.5,0,MIN(IF(N(I48)&gt;0,I48,$F$9),D48+E48+F48))</f>
        <v>0</v>
      </c>
      <c r="I48" s="77"/>
      <c r="J48" s="77"/>
      <c r="K48" s="41" t="n">
        <f aca="false">IF(D48&lt;=0.5,0,MIN(H48+N(J48),D48+E48+F48))</f>
        <v>0</v>
      </c>
      <c r="L48" s="41" t="n">
        <f aca="false">K48-E48-F48</f>
        <v>0</v>
      </c>
      <c r="M48" s="41" t="n">
        <f aca="false">D48-L48</f>
        <v>0</v>
      </c>
      <c r="N48" s="42" t="n">
        <f aca="false">K48-G48</f>
        <v>0</v>
      </c>
      <c r="O48" s="78"/>
      <c r="P48" s="79"/>
      <c r="Q48" s="16" t="str">
        <f aca="false">IF(K48=0,"",IF(R48=1,"Pagada",IF(C48&lt;$F$12,"Vencida",IF(22=$F$13,"Próxima","Pendiente"))))</f>
        <v/>
      </c>
      <c r="R48" s="62" t="n">
        <f aca="false">IF(AND(K48&gt;0,OR(O48="Sí",O48="Si")),1,0)</f>
        <v>0</v>
      </c>
      <c r="S48" s="62" t="n">
        <f aca="false">IF(AND(K48&gt;0,R48=0),1,0)</f>
        <v>0</v>
      </c>
    </row>
    <row r="49" customFormat="false" ht="15" hidden="false" customHeight="false" outlineLevel="0" collapsed="false">
      <c r="B49" s="71" t="str">
        <f aca="false">IF($F$6="Sí",N($C$11)+22,"")</f>
        <v/>
      </c>
      <c r="C49" s="72" t="str">
        <f aca="false">IF(OR($F$6&lt;&gt;"Sí",D49&lt;=0.5),"",EDATE($C$10,22))</f>
        <v/>
      </c>
      <c r="D49" s="41" t="n">
        <f aca="false">MAX(0,M48)</f>
        <v>0</v>
      </c>
      <c r="E49" s="41" t="n">
        <f aca="false">D49*$F$7</f>
        <v>0</v>
      </c>
      <c r="F49" s="41" t="n">
        <f aca="false">IF(D49&gt;0.5,N($C$15),0)</f>
        <v>0</v>
      </c>
      <c r="G49" s="41" t="n">
        <f aca="false">IF(AND(D49&gt;0.5,N($C$19)&gt;0,N(B49)&lt;=N($C$20)),D49*$F$8,0)</f>
        <v>0</v>
      </c>
      <c r="H49" s="41" t="n">
        <f aca="false">IF(D49&lt;=0.5,0,MIN(IF(N(I49)&gt;0,I49,$F$9),D49+E49+F49))</f>
        <v>0</v>
      </c>
      <c r="I49" s="77"/>
      <c r="J49" s="77"/>
      <c r="K49" s="41" t="n">
        <f aca="false">IF(D49&lt;=0.5,0,MIN(H49+N(J49),D49+E49+F49))</f>
        <v>0</v>
      </c>
      <c r="L49" s="41" t="n">
        <f aca="false">K49-E49-F49</f>
        <v>0</v>
      </c>
      <c r="M49" s="41" t="n">
        <f aca="false">D49-L49</f>
        <v>0</v>
      </c>
      <c r="N49" s="42" t="n">
        <f aca="false">K49-G49</f>
        <v>0</v>
      </c>
      <c r="O49" s="78"/>
      <c r="P49" s="79"/>
      <c r="Q49" s="16" t="str">
        <f aca="false">IF(K49=0,"",IF(R49=1,"Pagada",IF(C49&lt;$F$12,"Vencida",IF(23=$F$13,"Próxima","Pendiente"))))</f>
        <v/>
      </c>
      <c r="R49" s="62" t="n">
        <f aca="false">IF(AND(K49&gt;0,OR(O49="Sí",O49="Si")),1,0)</f>
        <v>0</v>
      </c>
      <c r="S49" s="62" t="n">
        <f aca="false">IF(AND(K49&gt;0,R49=0),1,0)</f>
        <v>0</v>
      </c>
    </row>
    <row r="50" customFormat="false" ht="15" hidden="false" customHeight="false" outlineLevel="0" collapsed="false">
      <c r="B50" s="71" t="str">
        <f aca="false">IF($F$6="Sí",N($C$11)+23,"")</f>
        <v/>
      </c>
      <c r="C50" s="72" t="str">
        <f aca="false">IF(OR($F$6&lt;&gt;"Sí",D50&lt;=0.5),"",EDATE($C$10,23))</f>
        <v/>
      </c>
      <c r="D50" s="41" t="n">
        <f aca="false">MAX(0,M49)</f>
        <v>0</v>
      </c>
      <c r="E50" s="41" t="n">
        <f aca="false">D50*$F$7</f>
        <v>0</v>
      </c>
      <c r="F50" s="41" t="n">
        <f aca="false">IF(D50&gt;0.5,N($C$15),0)</f>
        <v>0</v>
      </c>
      <c r="G50" s="41" t="n">
        <f aca="false">IF(AND(D50&gt;0.5,N($C$19)&gt;0,N(B50)&lt;=N($C$20)),D50*$F$8,0)</f>
        <v>0</v>
      </c>
      <c r="H50" s="41" t="n">
        <f aca="false">IF(D50&lt;=0.5,0,MIN(IF(N(I50)&gt;0,I50,$F$9),D50+E50+F50))</f>
        <v>0</v>
      </c>
      <c r="I50" s="77"/>
      <c r="J50" s="77"/>
      <c r="K50" s="41" t="n">
        <f aca="false">IF(D50&lt;=0.5,0,MIN(H50+N(J50),D50+E50+F50))</f>
        <v>0</v>
      </c>
      <c r="L50" s="41" t="n">
        <f aca="false">K50-E50-F50</f>
        <v>0</v>
      </c>
      <c r="M50" s="41" t="n">
        <f aca="false">D50-L50</f>
        <v>0</v>
      </c>
      <c r="N50" s="42" t="n">
        <f aca="false">K50-G50</f>
        <v>0</v>
      </c>
      <c r="O50" s="78"/>
      <c r="P50" s="79"/>
      <c r="Q50" s="16" t="str">
        <f aca="false">IF(K50=0,"",IF(R50=1,"Pagada",IF(C50&lt;$F$12,"Vencida",IF(24=$F$13,"Próxima","Pendiente"))))</f>
        <v/>
      </c>
      <c r="R50" s="62" t="n">
        <f aca="false">IF(AND(K50&gt;0,OR(O50="Sí",O50="Si")),1,0)</f>
        <v>0</v>
      </c>
      <c r="S50" s="62" t="n">
        <f aca="false">IF(AND(K50&gt;0,R50=0),1,0)</f>
        <v>0</v>
      </c>
    </row>
    <row r="51" customFormat="false" ht="15" hidden="false" customHeight="false" outlineLevel="0" collapsed="false">
      <c r="B51" s="71" t="str">
        <f aca="false">IF($F$6="Sí",N($C$11)+24,"")</f>
        <v/>
      </c>
      <c r="C51" s="72" t="str">
        <f aca="false">IF(OR($F$6&lt;&gt;"Sí",D51&lt;=0.5),"",EDATE($C$10,24))</f>
        <v/>
      </c>
      <c r="D51" s="41" t="n">
        <f aca="false">MAX(0,M50)</f>
        <v>0</v>
      </c>
      <c r="E51" s="41" t="n">
        <f aca="false">D51*$F$7</f>
        <v>0</v>
      </c>
      <c r="F51" s="41" t="n">
        <f aca="false">IF(D51&gt;0.5,N($C$15),0)</f>
        <v>0</v>
      </c>
      <c r="G51" s="41" t="n">
        <f aca="false">IF(AND(D51&gt;0.5,N($C$19)&gt;0,N(B51)&lt;=N($C$20)),D51*$F$8,0)</f>
        <v>0</v>
      </c>
      <c r="H51" s="41" t="n">
        <f aca="false">IF(D51&lt;=0.5,0,MIN(IF(N(I51)&gt;0,I51,$F$9),D51+E51+F51))</f>
        <v>0</v>
      </c>
      <c r="I51" s="77"/>
      <c r="J51" s="77"/>
      <c r="K51" s="41" t="n">
        <f aca="false">IF(D51&lt;=0.5,0,MIN(H51+N(J51),D51+E51+F51))</f>
        <v>0</v>
      </c>
      <c r="L51" s="41" t="n">
        <f aca="false">K51-E51-F51</f>
        <v>0</v>
      </c>
      <c r="M51" s="41" t="n">
        <f aca="false">D51-L51</f>
        <v>0</v>
      </c>
      <c r="N51" s="42" t="n">
        <f aca="false">K51-G51</f>
        <v>0</v>
      </c>
      <c r="O51" s="78"/>
      <c r="P51" s="79"/>
      <c r="Q51" s="16" t="str">
        <f aca="false">IF(K51=0,"",IF(R51=1,"Pagada",IF(C51&lt;$F$12,"Vencida",IF(25=$F$13,"Próxima","Pendiente"))))</f>
        <v/>
      </c>
      <c r="R51" s="62" t="n">
        <f aca="false">IF(AND(K51&gt;0,OR(O51="Sí",O51="Si")),1,0)</f>
        <v>0</v>
      </c>
      <c r="S51" s="62" t="n">
        <f aca="false">IF(AND(K51&gt;0,R51=0),1,0)</f>
        <v>0</v>
      </c>
    </row>
    <row r="52" customFormat="false" ht="15" hidden="false" customHeight="false" outlineLevel="0" collapsed="false">
      <c r="B52" s="71" t="str">
        <f aca="false">IF($F$6="Sí",N($C$11)+25,"")</f>
        <v/>
      </c>
      <c r="C52" s="72" t="str">
        <f aca="false">IF(OR($F$6&lt;&gt;"Sí",D52&lt;=0.5),"",EDATE($C$10,25))</f>
        <v/>
      </c>
      <c r="D52" s="41" t="n">
        <f aca="false">MAX(0,M51)</f>
        <v>0</v>
      </c>
      <c r="E52" s="41" t="n">
        <f aca="false">D52*$F$7</f>
        <v>0</v>
      </c>
      <c r="F52" s="41" t="n">
        <f aca="false">IF(D52&gt;0.5,N($C$15),0)</f>
        <v>0</v>
      </c>
      <c r="G52" s="41" t="n">
        <f aca="false">IF(AND(D52&gt;0.5,N($C$19)&gt;0,N(B52)&lt;=N($C$20)),D52*$F$8,0)</f>
        <v>0</v>
      </c>
      <c r="H52" s="41" t="n">
        <f aca="false">IF(D52&lt;=0.5,0,MIN(IF(N(I52)&gt;0,I52,$F$9),D52+E52+F52))</f>
        <v>0</v>
      </c>
      <c r="I52" s="77"/>
      <c r="J52" s="77"/>
      <c r="K52" s="41" t="n">
        <f aca="false">IF(D52&lt;=0.5,0,MIN(H52+N(J52),D52+E52+F52))</f>
        <v>0</v>
      </c>
      <c r="L52" s="41" t="n">
        <f aca="false">K52-E52-F52</f>
        <v>0</v>
      </c>
      <c r="M52" s="41" t="n">
        <f aca="false">D52-L52</f>
        <v>0</v>
      </c>
      <c r="N52" s="42" t="n">
        <f aca="false">K52-G52</f>
        <v>0</v>
      </c>
      <c r="O52" s="78"/>
      <c r="P52" s="79"/>
      <c r="Q52" s="16" t="str">
        <f aca="false">IF(K52=0,"",IF(R52=1,"Pagada",IF(C52&lt;$F$12,"Vencida",IF(26=$F$13,"Próxima","Pendiente"))))</f>
        <v/>
      </c>
      <c r="R52" s="62" t="n">
        <f aca="false">IF(AND(K52&gt;0,OR(O52="Sí",O52="Si")),1,0)</f>
        <v>0</v>
      </c>
      <c r="S52" s="62" t="n">
        <f aca="false">IF(AND(K52&gt;0,R52=0),1,0)</f>
        <v>0</v>
      </c>
    </row>
    <row r="53" customFormat="false" ht="15" hidden="false" customHeight="false" outlineLevel="0" collapsed="false">
      <c r="B53" s="71" t="str">
        <f aca="false">IF($F$6="Sí",N($C$11)+26,"")</f>
        <v/>
      </c>
      <c r="C53" s="72" t="str">
        <f aca="false">IF(OR($F$6&lt;&gt;"Sí",D53&lt;=0.5),"",EDATE($C$10,26))</f>
        <v/>
      </c>
      <c r="D53" s="41" t="n">
        <f aca="false">MAX(0,M52)</f>
        <v>0</v>
      </c>
      <c r="E53" s="41" t="n">
        <f aca="false">D53*$F$7</f>
        <v>0</v>
      </c>
      <c r="F53" s="41" t="n">
        <f aca="false">IF(D53&gt;0.5,N($C$15),0)</f>
        <v>0</v>
      </c>
      <c r="G53" s="41" t="n">
        <f aca="false">IF(AND(D53&gt;0.5,N($C$19)&gt;0,N(B53)&lt;=N($C$20)),D53*$F$8,0)</f>
        <v>0</v>
      </c>
      <c r="H53" s="41" t="n">
        <f aca="false">IF(D53&lt;=0.5,0,MIN(IF(N(I53)&gt;0,I53,$F$9),D53+E53+F53))</f>
        <v>0</v>
      </c>
      <c r="I53" s="77"/>
      <c r="J53" s="77"/>
      <c r="K53" s="41" t="n">
        <f aca="false">IF(D53&lt;=0.5,0,MIN(H53+N(J53),D53+E53+F53))</f>
        <v>0</v>
      </c>
      <c r="L53" s="41" t="n">
        <f aca="false">K53-E53-F53</f>
        <v>0</v>
      </c>
      <c r="M53" s="41" t="n">
        <f aca="false">D53-L53</f>
        <v>0</v>
      </c>
      <c r="N53" s="42" t="n">
        <f aca="false">K53-G53</f>
        <v>0</v>
      </c>
      <c r="O53" s="78"/>
      <c r="P53" s="79"/>
      <c r="Q53" s="16" t="str">
        <f aca="false">IF(K53=0,"",IF(R53=1,"Pagada",IF(C53&lt;$F$12,"Vencida",IF(27=$F$13,"Próxima","Pendiente"))))</f>
        <v/>
      </c>
      <c r="R53" s="62" t="n">
        <f aca="false">IF(AND(K53&gt;0,OR(O53="Sí",O53="Si")),1,0)</f>
        <v>0</v>
      </c>
      <c r="S53" s="62" t="n">
        <f aca="false">IF(AND(K53&gt;0,R53=0),1,0)</f>
        <v>0</v>
      </c>
    </row>
    <row r="54" customFormat="false" ht="15" hidden="false" customHeight="false" outlineLevel="0" collapsed="false">
      <c r="B54" s="71" t="str">
        <f aca="false">IF($F$6="Sí",N($C$11)+27,"")</f>
        <v/>
      </c>
      <c r="C54" s="72" t="str">
        <f aca="false">IF(OR($F$6&lt;&gt;"Sí",D54&lt;=0.5),"",EDATE($C$10,27))</f>
        <v/>
      </c>
      <c r="D54" s="41" t="n">
        <f aca="false">MAX(0,M53)</f>
        <v>0</v>
      </c>
      <c r="E54" s="41" t="n">
        <f aca="false">D54*$F$7</f>
        <v>0</v>
      </c>
      <c r="F54" s="41" t="n">
        <f aca="false">IF(D54&gt;0.5,N($C$15),0)</f>
        <v>0</v>
      </c>
      <c r="G54" s="41" t="n">
        <f aca="false">IF(AND(D54&gt;0.5,N($C$19)&gt;0,N(B54)&lt;=N($C$20)),D54*$F$8,0)</f>
        <v>0</v>
      </c>
      <c r="H54" s="41" t="n">
        <f aca="false">IF(D54&lt;=0.5,0,MIN(IF(N(I54)&gt;0,I54,$F$9),D54+E54+F54))</f>
        <v>0</v>
      </c>
      <c r="I54" s="77"/>
      <c r="J54" s="77"/>
      <c r="K54" s="41" t="n">
        <f aca="false">IF(D54&lt;=0.5,0,MIN(H54+N(J54),D54+E54+F54))</f>
        <v>0</v>
      </c>
      <c r="L54" s="41" t="n">
        <f aca="false">K54-E54-F54</f>
        <v>0</v>
      </c>
      <c r="M54" s="41" t="n">
        <f aca="false">D54-L54</f>
        <v>0</v>
      </c>
      <c r="N54" s="42" t="n">
        <f aca="false">K54-G54</f>
        <v>0</v>
      </c>
      <c r="O54" s="78"/>
      <c r="P54" s="79"/>
      <c r="Q54" s="16" t="str">
        <f aca="false">IF(K54=0,"",IF(R54=1,"Pagada",IF(C54&lt;$F$12,"Vencida",IF(28=$F$13,"Próxima","Pendiente"))))</f>
        <v/>
      </c>
      <c r="R54" s="62" t="n">
        <f aca="false">IF(AND(K54&gt;0,OR(O54="Sí",O54="Si")),1,0)</f>
        <v>0</v>
      </c>
      <c r="S54" s="62" t="n">
        <f aca="false">IF(AND(K54&gt;0,R54=0),1,0)</f>
        <v>0</v>
      </c>
    </row>
    <row r="55" customFormat="false" ht="15" hidden="false" customHeight="false" outlineLevel="0" collapsed="false">
      <c r="B55" s="71" t="str">
        <f aca="false">IF($F$6="Sí",N($C$11)+28,"")</f>
        <v/>
      </c>
      <c r="C55" s="72" t="str">
        <f aca="false">IF(OR($F$6&lt;&gt;"Sí",D55&lt;=0.5),"",EDATE($C$10,28))</f>
        <v/>
      </c>
      <c r="D55" s="41" t="n">
        <f aca="false">MAX(0,M54)</f>
        <v>0</v>
      </c>
      <c r="E55" s="41" t="n">
        <f aca="false">D55*$F$7</f>
        <v>0</v>
      </c>
      <c r="F55" s="41" t="n">
        <f aca="false">IF(D55&gt;0.5,N($C$15),0)</f>
        <v>0</v>
      </c>
      <c r="G55" s="41" t="n">
        <f aca="false">IF(AND(D55&gt;0.5,N($C$19)&gt;0,N(B55)&lt;=N($C$20)),D55*$F$8,0)</f>
        <v>0</v>
      </c>
      <c r="H55" s="41" t="n">
        <f aca="false">IF(D55&lt;=0.5,0,MIN(IF(N(I55)&gt;0,I55,$F$9),D55+E55+F55))</f>
        <v>0</v>
      </c>
      <c r="I55" s="77"/>
      <c r="J55" s="77"/>
      <c r="K55" s="41" t="n">
        <f aca="false">IF(D55&lt;=0.5,0,MIN(H55+N(J55),D55+E55+F55))</f>
        <v>0</v>
      </c>
      <c r="L55" s="41" t="n">
        <f aca="false">K55-E55-F55</f>
        <v>0</v>
      </c>
      <c r="M55" s="41" t="n">
        <f aca="false">D55-L55</f>
        <v>0</v>
      </c>
      <c r="N55" s="42" t="n">
        <f aca="false">K55-G55</f>
        <v>0</v>
      </c>
      <c r="O55" s="78"/>
      <c r="P55" s="79"/>
      <c r="Q55" s="16" t="str">
        <f aca="false">IF(K55=0,"",IF(R55=1,"Pagada",IF(C55&lt;$F$12,"Vencida",IF(29=$F$13,"Próxima","Pendiente"))))</f>
        <v/>
      </c>
      <c r="R55" s="62" t="n">
        <f aca="false">IF(AND(K55&gt;0,OR(O55="Sí",O55="Si")),1,0)</f>
        <v>0</v>
      </c>
      <c r="S55" s="62" t="n">
        <f aca="false">IF(AND(K55&gt;0,R55=0),1,0)</f>
        <v>0</v>
      </c>
    </row>
    <row r="56" customFormat="false" ht="15" hidden="false" customHeight="false" outlineLevel="0" collapsed="false">
      <c r="B56" s="71" t="str">
        <f aca="false">IF($F$6="Sí",N($C$11)+29,"")</f>
        <v/>
      </c>
      <c r="C56" s="72" t="str">
        <f aca="false">IF(OR($F$6&lt;&gt;"Sí",D56&lt;=0.5),"",EDATE($C$10,29))</f>
        <v/>
      </c>
      <c r="D56" s="41" t="n">
        <f aca="false">MAX(0,M55)</f>
        <v>0</v>
      </c>
      <c r="E56" s="41" t="n">
        <f aca="false">D56*$F$7</f>
        <v>0</v>
      </c>
      <c r="F56" s="41" t="n">
        <f aca="false">IF(D56&gt;0.5,N($C$15),0)</f>
        <v>0</v>
      </c>
      <c r="G56" s="41" t="n">
        <f aca="false">IF(AND(D56&gt;0.5,N($C$19)&gt;0,N(B56)&lt;=N($C$20)),D56*$F$8,0)</f>
        <v>0</v>
      </c>
      <c r="H56" s="41" t="n">
        <f aca="false">IF(D56&lt;=0.5,0,MIN(IF(N(I56)&gt;0,I56,$F$9),D56+E56+F56))</f>
        <v>0</v>
      </c>
      <c r="I56" s="77"/>
      <c r="J56" s="77"/>
      <c r="K56" s="41" t="n">
        <f aca="false">IF(D56&lt;=0.5,0,MIN(H56+N(J56),D56+E56+F56))</f>
        <v>0</v>
      </c>
      <c r="L56" s="41" t="n">
        <f aca="false">K56-E56-F56</f>
        <v>0</v>
      </c>
      <c r="M56" s="41" t="n">
        <f aca="false">D56-L56</f>
        <v>0</v>
      </c>
      <c r="N56" s="42" t="n">
        <f aca="false">K56-G56</f>
        <v>0</v>
      </c>
      <c r="O56" s="78"/>
      <c r="P56" s="79"/>
      <c r="Q56" s="16" t="str">
        <f aca="false">IF(K56=0,"",IF(R56=1,"Pagada",IF(C56&lt;$F$12,"Vencida",IF(30=$F$13,"Próxima","Pendiente"))))</f>
        <v/>
      </c>
      <c r="R56" s="62" t="n">
        <f aca="false">IF(AND(K56&gt;0,OR(O56="Sí",O56="Si")),1,0)</f>
        <v>0</v>
      </c>
      <c r="S56" s="62" t="n">
        <f aca="false">IF(AND(K56&gt;0,R56=0),1,0)</f>
        <v>0</v>
      </c>
    </row>
    <row r="57" customFormat="false" ht="15" hidden="false" customHeight="false" outlineLevel="0" collapsed="false">
      <c r="B57" s="71" t="str">
        <f aca="false">IF($F$6="Sí",N($C$11)+30,"")</f>
        <v/>
      </c>
      <c r="C57" s="72" t="str">
        <f aca="false">IF(OR($F$6&lt;&gt;"Sí",D57&lt;=0.5),"",EDATE($C$10,30))</f>
        <v/>
      </c>
      <c r="D57" s="41" t="n">
        <f aca="false">MAX(0,M56)</f>
        <v>0</v>
      </c>
      <c r="E57" s="41" t="n">
        <f aca="false">D57*$F$7</f>
        <v>0</v>
      </c>
      <c r="F57" s="41" t="n">
        <f aca="false">IF(D57&gt;0.5,N($C$15),0)</f>
        <v>0</v>
      </c>
      <c r="G57" s="41" t="n">
        <f aca="false">IF(AND(D57&gt;0.5,N($C$19)&gt;0,N(B57)&lt;=N($C$20)),D57*$F$8,0)</f>
        <v>0</v>
      </c>
      <c r="H57" s="41" t="n">
        <f aca="false">IF(D57&lt;=0.5,0,MIN(IF(N(I57)&gt;0,I57,$F$9),D57+E57+F57))</f>
        <v>0</v>
      </c>
      <c r="I57" s="77"/>
      <c r="J57" s="77"/>
      <c r="K57" s="41" t="n">
        <f aca="false">IF(D57&lt;=0.5,0,MIN(H57+N(J57),D57+E57+F57))</f>
        <v>0</v>
      </c>
      <c r="L57" s="41" t="n">
        <f aca="false">K57-E57-F57</f>
        <v>0</v>
      </c>
      <c r="M57" s="41" t="n">
        <f aca="false">D57-L57</f>
        <v>0</v>
      </c>
      <c r="N57" s="42" t="n">
        <f aca="false">K57-G57</f>
        <v>0</v>
      </c>
      <c r="O57" s="78"/>
      <c r="P57" s="79"/>
      <c r="Q57" s="16" t="str">
        <f aca="false">IF(K57=0,"",IF(R57=1,"Pagada",IF(C57&lt;$F$12,"Vencida",IF(31=$F$13,"Próxima","Pendiente"))))</f>
        <v/>
      </c>
      <c r="R57" s="62" t="n">
        <f aca="false">IF(AND(K57&gt;0,OR(O57="Sí",O57="Si")),1,0)</f>
        <v>0</v>
      </c>
      <c r="S57" s="62" t="n">
        <f aca="false">IF(AND(K57&gt;0,R57=0),1,0)</f>
        <v>0</v>
      </c>
    </row>
    <row r="58" customFormat="false" ht="15" hidden="false" customHeight="false" outlineLevel="0" collapsed="false">
      <c r="B58" s="71" t="str">
        <f aca="false">IF($F$6="Sí",N($C$11)+31,"")</f>
        <v/>
      </c>
      <c r="C58" s="72" t="str">
        <f aca="false">IF(OR($F$6&lt;&gt;"Sí",D58&lt;=0.5),"",EDATE($C$10,31))</f>
        <v/>
      </c>
      <c r="D58" s="41" t="n">
        <f aca="false">MAX(0,M57)</f>
        <v>0</v>
      </c>
      <c r="E58" s="41" t="n">
        <f aca="false">D58*$F$7</f>
        <v>0</v>
      </c>
      <c r="F58" s="41" t="n">
        <f aca="false">IF(D58&gt;0.5,N($C$15),0)</f>
        <v>0</v>
      </c>
      <c r="G58" s="41" t="n">
        <f aca="false">IF(AND(D58&gt;0.5,N($C$19)&gt;0,N(B58)&lt;=N($C$20)),D58*$F$8,0)</f>
        <v>0</v>
      </c>
      <c r="H58" s="41" t="n">
        <f aca="false">IF(D58&lt;=0.5,0,MIN(IF(N(I58)&gt;0,I58,$F$9),D58+E58+F58))</f>
        <v>0</v>
      </c>
      <c r="I58" s="77"/>
      <c r="J58" s="77"/>
      <c r="K58" s="41" t="n">
        <f aca="false">IF(D58&lt;=0.5,0,MIN(H58+N(J58),D58+E58+F58))</f>
        <v>0</v>
      </c>
      <c r="L58" s="41" t="n">
        <f aca="false">K58-E58-F58</f>
        <v>0</v>
      </c>
      <c r="M58" s="41" t="n">
        <f aca="false">D58-L58</f>
        <v>0</v>
      </c>
      <c r="N58" s="42" t="n">
        <f aca="false">K58-G58</f>
        <v>0</v>
      </c>
      <c r="O58" s="78"/>
      <c r="P58" s="79"/>
      <c r="Q58" s="16" t="str">
        <f aca="false">IF(K58=0,"",IF(R58=1,"Pagada",IF(C58&lt;$F$12,"Vencida",IF(32=$F$13,"Próxima","Pendiente"))))</f>
        <v/>
      </c>
      <c r="R58" s="62" t="n">
        <f aca="false">IF(AND(K58&gt;0,OR(O58="Sí",O58="Si")),1,0)</f>
        <v>0</v>
      </c>
      <c r="S58" s="62" t="n">
        <f aca="false">IF(AND(K58&gt;0,R58=0),1,0)</f>
        <v>0</v>
      </c>
    </row>
    <row r="59" customFormat="false" ht="15" hidden="false" customHeight="false" outlineLevel="0" collapsed="false">
      <c r="B59" s="71" t="str">
        <f aca="false">IF($F$6="Sí",N($C$11)+32,"")</f>
        <v/>
      </c>
      <c r="C59" s="72" t="str">
        <f aca="false">IF(OR($F$6&lt;&gt;"Sí",D59&lt;=0.5),"",EDATE($C$10,32))</f>
        <v/>
      </c>
      <c r="D59" s="41" t="n">
        <f aca="false">MAX(0,M58)</f>
        <v>0</v>
      </c>
      <c r="E59" s="41" t="n">
        <f aca="false">D59*$F$7</f>
        <v>0</v>
      </c>
      <c r="F59" s="41" t="n">
        <f aca="false">IF(D59&gt;0.5,N($C$15),0)</f>
        <v>0</v>
      </c>
      <c r="G59" s="41" t="n">
        <f aca="false">IF(AND(D59&gt;0.5,N($C$19)&gt;0,N(B59)&lt;=N($C$20)),D59*$F$8,0)</f>
        <v>0</v>
      </c>
      <c r="H59" s="41" t="n">
        <f aca="false">IF(D59&lt;=0.5,0,MIN(IF(N(I59)&gt;0,I59,$F$9),D59+E59+F59))</f>
        <v>0</v>
      </c>
      <c r="I59" s="77"/>
      <c r="J59" s="77"/>
      <c r="K59" s="41" t="n">
        <f aca="false">IF(D59&lt;=0.5,0,MIN(H59+N(J59),D59+E59+F59))</f>
        <v>0</v>
      </c>
      <c r="L59" s="41" t="n">
        <f aca="false">K59-E59-F59</f>
        <v>0</v>
      </c>
      <c r="M59" s="41" t="n">
        <f aca="false">D59-L59</f>
        <v>0</v>
      </c>
      <c r="N59" s="42" t="n">
        <f aca="false">K59-G59</f>
        <v>0</v>
      </c>
      <c r="O59" s="78"/>
      <c r="P59" s="79"/>
      <c r="Q59" s="16" t="str">
        <f aca="false">IF(K59=0,"",IF(R59=1,"Pagada",IF(C59&lt;$F$12,"Vencida",IF(33=$F$13,"Próxima","Pendiente"))))</f>
        <v/>
      </c>
      <c r="R59" s="62" t="n">
        <f aca="false">IF(AND(K59&gt;0,OR(O59="Sí",O59="Si")),1,0)</f>
        <v>0</v>
      </c>
      <c r="S59" s="62" t="n">
        <f aca="false">IF(AND(K59&gt;0,R59=0),1,0)</f>
        <v>0</v>
      </c>
    </row>
    <row r="60" customFormat="false" ht="15" hidden="false" customHeight="false" outlineLevel="0" collapsed="false">
      <c r="B60" s="71" t="str">
        <f aca="false">IF($F$6="Sí",N($C$11)+33,"")</f>
        <v/>
      </c>
      <c r="C60" s="72" t="str">
        <f aca="false">IF(OR($F$6&lt;&gt;"Sí",D60&lt;=0.5),"",EDATE($C$10,33))</f>
        <v/>
      </c>
      <c r="D60" s="41" t="n">
        <f aca="false">MAX(0,M59)</f>
        <v>0</v>
      </c>
      <c r="E60" s="41" t="n">
        <f aca="false">D60*$F$7</f>
        <v>0</v>
      </c>
      <c r="F60" s="41" t="n">
        <f aca="false">IF(D60&gt;0.5,N($C$15),0)</f>
        <v>0</v>
      </c>
      <c r="G60" s="41" t="n">
        <f aca="false">IF(AND(D60&gt;0.5,N($C$19)&gt;0,N(B60)&lt;=N($C$20)),D60*$F$8,0)</f>
        <v>0</v>
      </c>
      <c r="H60" s="41" t="n">
        <f aca="false">IF(D60&lt;=0.5,0,MIN(IF(N(I60)&gt;0,I60,$F$9),D60+E60+F60))</f>
        <v>0</v>
      </c>
      <c r="I60" s="77"/>
      <c r="J60" s="77"/>
      <c r="K60" s="41" t="n">
        <f aca="false">IF(D60&lt;=0.5,0,MIN(H60+N(J60),D60+E60+F60))</f>
        <v>0</v>
      </c>
      <c r="L60" s="41" t="n">
        <f aca="false">K60-E60-F60</f>
        <v>0</v>
      </c>
      <c r="M60" s="41" t="n">
        <f aca="false">D60-L60</f>
        <v>0</v>
      </c>
      <c r="N60" s="42" t="n">
        <f aca="false">K60-G60</f>
        <v>0</v>
      </c>
      <c r="O60" s="78"/>
      <c r="P60" s="79"/>
      <c r="Q60" s="16" t="str">
        <f aca="false">IF(K60=0,"",IF(R60=1,"Pagada",IF(C60&lt;$F$12,"Vencida",IF(34=$F$13,"Próxima","Pendiente"))))</f>
        <v/>
      </c>
      <c r="R60" s="62" t="n">
        <f aca="false">IF(AND(K60&gt;0,OR(O60="Sí",O60="Si")),1,0)</f>
        <v>0</v>
      </c>
      <c r="S60" s="62" t="n">
        <f aca="false">IF(AND(K60&gt;0,R60=0),1,0)</f>
        <v>0</v>
      </c>
    </row>
    <row r="61" customFormat="false" ht="15" hidden="false" customHeight="false" outlineLevel="0" collapsed="false">
      <c r="B61" s="71" t="str">
        <f aca="false">IF($F$6="Sí",N($C$11)+34,"")</f>
        <v/>
      </c>
      <c r="C61" s="72" t="str">
        <f aca="false">IF(OR($F$6&lt;&gt;"Sí",D61&lt;=0.5),"",EDATE($C$10,34))</f>
        <v/>
      </c>
      <c r="D61" s="41" t="n">
        <f aca="false">MAX(0,M60)</f>
        <v>0</v>
      </c>
      <c r="E61" s="41" t="n">
        <f aca="false">D61*$F$7</f>
        <v>0</v>
      </c>
      <c r="F61" s="41" t="n">
        <f aca="false">IF(D61&gt;0.5,N($C$15),0)</f>
        <v>0</v>
      </c>
      <c r="G61" s="41" t="n">
        <f aca="false">IF(AND(D61&gt;0.5,N($C$19)&gt;0,N(B61)&lt;=N($C$20)),D61*$F$8,0)</f>
        <v>0</v>
      </c>
      <c r="H61" s="41" t="n">
        <f aca="false">IF(D61&lt;=0.5,0,MIN(IF(N(I61)&gt;0,I61,$F$9),D61+E61+F61))</f>
        <v>0</v>
      </c>
      <c r="I61" s="77"/>
      <c r="J61" s="77"/>
      <c r="K61" s="41" t="n">
        <f aca="false">IF(D61&lt;=0.5,0,MIN(H61+N(J61),D61+E61+F61))</f>
        <v>0</v>
      </c>
      <c r="L61" s="41" t="n">
        <f aca="false">K61-E61-F61</f>
        <v>0</v>
      </c>
      <c r="M61" s="41" t="n">
        <f aca="false">D61-L61</f>
        <v>0</v>
      </c>
      <c r="N61" s="42" t="n">
        <f aca="false">K61-G61</f>
        <v>0</v>
      </c>
      <c r="O61" s="78"/>
      <c r="P61" s="79"/>
      <c r="Q61" s="16" t="str">
        <f aca="false">IF(K61=0,"",IF(R61=1,"Pagada",IF(C61&lt;$F$12,"Vencida",IF(35=$F$13,"Próxima","Pendiente"))))</f>
        <v/>
      </c>
      <c r="R61" s="62" t="n">
        <f aca="false">IF(AND(K61&gt;0,OR(O61="Sí",O61="Si")),1,0)</f>
        <v>0</v>
      </c>
      <c r="S61" s="62" t="n">
        <f aca="false">IF(AND(K61&gt;0,R61=0),1,0)</f>
        <v>0</v>
      </c>
    </row>
    <row r="62" customFormat="false" ht="15" hidden="false" customHeight="false" outlineLevel="0" collapsed="false">
      <c r="B62" s="71" t="str">
        <f aca="false">IF($F$6="Sí",N($C$11)+35,"")</f>
        <v/>
      </c>
      <c r="C62" s="72" t="str">
        <f aca="false">IF(OR($F$6&lt;&gt;"Sí",D62&lt;=0.5),"",EDATE($C$10,35))</f>
        <v/>
      </c>
      <c r="D62" s="41" t="n">
        <f aca="false">MAX(0,M61)</f>
        <v>0</v>
      </c>
      <c r="E62" s="41" t="n">
        <f aca="false">D62*$F$7</f>
        <v>0</v>
      </c>
      <c r="F62" s="41" t="n">
        <f aca="false">IF(D62&gt;0.5,N($C$15),0)</f>
        <v>0</v>
      </c>
      <c r="G62" s="41" t="n">
        <f aca="false">IF(AND(D62&gt;0.5,N($C$19)&gt;0,N(B62)&lt;=N($C$20)),D62*$F$8,0)</f>
        <v>0</v>
      </c>
      <c r="H62" s="41" t="n">
        <f aca="false">IF(D62&lt;=0.5,0,MIN(IF(N(I62)&gt;0,I62,$F$9),D62+E62+F62))</f>
        <v>0</v>
      </c>
      <c r="I62" s="77"/>
      <c r="J62" s="77"/>
      <c r="K62" s="41" t="n">
        <f aca="false">IF(D62&lt;=0.5,0,MIN(H62+N(J62),D62+E62+F62))</f>
        <v>0</v>
      </c>
      <c r="L62" s="41" t="n">
        <f aca="false">K62-E62-F62</f>
        <v>0</v>
      </c>
      <c r="M62" s="41" t="n">
        <f aca="false">D62-L62</f>
        <v>0</v>
      </c>
      <c r="N62" s="42" t="n">
        <f aca="false">K62-G62</f>
        <v>0</v>
      </c>
      <c r="O62" s="78"/>
      <c r="P62" s="79"/>
      <c r="Q62" s="16" t="str">
        <f aca="false">IF(K62=0,"",IF(R62=1,"Pagada",IF(C62&lt;$F$12,"Vencida",IF(36=$F$13,"Próxima","Pendiente"))))</f>
        <v/>
      </c>
      <c r="R62" s="62" t="n">
        <f aca="false">IF(AND(K62&gt;0,OR(O62="Sí",O62="Si")),1,0)</f>
        <v>0</v>
      </c>
      <c r="S62" s="62" t="n">
        <f aca="false">IF(AND(K62&gt;0,R62=0),1,0)</f>
        <v>0</v>
      </c>
    </row>
    <row r="63" customFormat="false" ht="15" hidden="false" customHeight="false" outlineLevel="0" collapsed="false">
      <c r="B63" s="71" t="str">
        <f aca="false">IF($F$6="Sí",N($C$11)+36,"")</f>
        <v/>
      </c>
      <c r="C63" s="72" t="str">
        <f aca="false">IF(OR($F$6&lt;&gt;"Sí",D63&lt;=0.5),"",EDATE($C$10,36))</f>
        <v/>
      </c>
      <c r="D63" s="41" t="n">
        <f aca="false">MAX(0,M62)</f>
        <v>0</v>
      </c>
      <c r="E63" s="41" t="n">
        <f aca="false">D63*$F$7</f>
        <v>0</v>
      </c>
      <c r="F63" s="41" t="n">
        <f aca="false">IF(D63&gt;0.5,N($C$15),0)</f>
        <v>0</v>
      </c>
      <c r="G63" s="41" t="n">
        <f aca="false">IF(AND(D63&gt;0.5,N($C$19)&gt;0,N(B63)&lt;=N($C$20)),D63*$F$8,0)</f>
        <v>0</v>
      </c>
      <c r="H63" s="41" t="n">
        <f aca="false">IF(D63&lt;=0.5,0,MIN(IF(N(I63)&gt;0,I63,$F$9),D63+E63+F63))</f>
        <v>0</v>
      </c>
      <c r="I63" s="77"/>
      <c r="J63" s="77"/>
      <c r="K63" s="41" t="n">
        <f aca="false">IF(D63&lt;=0.5,0,MIN(H63+N(J63),D63+E63+F63))</f>
        <v>0</v>
      </c>
      <c r="L63" s="41" t="n">
        <f aca="false">K63-E63-F63</f>
        <v>0</v>
      </c>
      <c r="M63" s="41" t="n">
        <f aca="false">D63-L63</f>
        <v>0</v>
      </c>
      <c r="N63" s="42" t="n">
        <f aca="false">K63-G63</f>
        <v>0</v>
      </c>
      <c r="O63" s="78"/>
      <c r="P63" s="79"/>
      <c r="Q63" s="16" t="str">
        <f aca="false">IF(K63=0,"",IF(R63=1,"Pagada",IF(C63&lt;$F$12,"Vencida",IF(37=$F$13,"Próxima","Pendiente"))))</f>
        <v/>
      </c>
      <c r="R63" s="62" t="n">
        <f aca="false">IF(AND(K63&gt;0,OR(O63="Sí",O63="Si")),1,0)</f>
        <v>0</v>
      </c>
      <c r="S63" s="62" t="n">
        <f aca="false">IF(AND(K63&gt;0,R63=0),1,0)</f>
        <v>0</v>
      </c>
    </row>
    <row r="64" customFormat="false" ht="15" hidden="false" customHeight="false" outlineLevel="0" collapsed="false">
      <c r="B64" s="71" t="str">
        <f aca="false">IF($F$6="Sí",N($C$11)+37,"")</f>
        <v/>
      </c>
      <c r="C64" s="72" t="str">
        <f aca="false">IF(OR($F$6&lt;&gt;"Sí",D64&lt;=0.5),"",EDATE($C$10,37))</f>
        <v/>
      </c>
      <c r="D64" s="41" t="n">
        <f aca="false">MAX(0,M63)</f>
        <v>0</v>
      </c>
      <c r="E64" s="41" t="n">
        <f aca="false">D64*$F$7</f>
        <v>0</v>
      </c>
      <c r="F64" s="41" t="n">
        <f aca="false">IF(D64&gt;0.5,N($C$15),0)</f>
        <v>0</v>
      </c>
      <c r="G64" s="41" t="n">
        <f aca="false">IF(AND(D64&gt;0.5,N($C$19)&gt;0,N(B64)&lt;=N($C$20)),D64*$F$8,0)</f>
        <v>0</v>
      </c>
      <c r="H64" s="41" t="n">
        <f aca="false">IF(D64&lt;=0.5,0,MIN(IF(N(I64)&gt;0,I64,$F$9),D64+E64+F64))</f>
        <v>0</v>
      </c>
      <c r="I64" s="77"/>
      <c r="J64" s="77"/>
      <c r="K64" s="41" t="n">
        <f aca="false">IF(D64&lt;=0.5,0,MIN(H64+N(J64),D64+E64+F64))</f>
        <v>0</v>
      </c>
      <c r="L64" s="41" t="n">
        <f aca="false">K64-E64-F64</f>
        <v>0</v>
      </c>
      <c r="M64" s="41" t="n">
        <f aca="false">D64-L64</f>
        <v>0</v>
      </c>
      <c r="N64" s="42" t="n">
        <f aca="false">K64-G64</f>
        <v>0</v>
      </c>
      <c r="O64" s="78"/>
      <c r="P64" s="79"/>
      <c r="Q64" s="16" t="str">
        <f aca="false">IF(K64=0,"",IF(R64=1,"Pagada",IF(C64&lt;$F$12,"Vencida",IF(38=$F$13,"Próxima","Pendiente"))))</f>
        <v/>
      </c>
      <c r="R64" s="62" t="n">
        <f aca="false">IF(AND(K64&gt;0,OR(O64="Sí",O64="Si")),1,0)</f>
        <v>0</v>
      </c>
      <c r="S64" s="62" t="n">
        <f aca="false">IF(AND(K64&gt;0,R64=0),1,0)</f>
        <v>0</v>
      </c>
    </row>
    <row r="65" customFormat="false" ht="15" hidden="false" customHeight="false" outlineLevel="0" collapsed="false">
      <c r="B65" s="71" t="str">
        <f aca="false">IF($F$6="Sí",N($C$11)+38,"")</f>
        <v/>
      </c>
      <c r="C65" s="72" t="str">
        <f aca="false">IF(OR($F$6&lt;&gt;"Sí",D65&lt;=0.5),"",EDATE($C$10,38))</f>
        <v/>
      </c>
      <c r="D65" s="41" t="n">
        <f aca="false">MAX(0,M64)</f>
        <v>0</v>
      </c>
      <c r="E65" s="41" t="n">
        <f aca="false">D65*$F$7</f>
        <v>0</v>
      </c>
      <c r="F65" s="41" t="n">
        <f aca="false">IF(D65&gt;0.5,N($C$15),0)</f>
        <v>0</v>
      </c>
      <c r="G65" s="41" t="n">
        <f aca="false">IF(AND(D65&gt;0.5,N($C$19)&gt;0,N(B65)&lt;=N($C$20)),D65*$F$8,0)</f>
        <v>0</v>
      </c>
      <c r="H65" s="41" t="n">
        <f aca="false">IF(D65&lt;=0.5,0,MIN(IF(N(I65)&gt;0,I65,$F$9),D65+E65+F65))</f>
        <v>0</v>
      </c>
      <c r="I65" s="77"/>
      <c r="J65" s="77"/>
      <c r="K65" s="41" t="n">
        <f aca="false">IF(D65&lt;=0.5,0,MIN(H65+N(J65),D65+E65+F65))</f>
        <v>0</v>
      </c>
      <c r="L65" s="41" t="n">
        <f aca="false">K65-E65-F65</f>
        <v>0</v>
      </c>
      <c r="M65" s="41" t="n">
        <f aca="false">D65-L65</f>
        <v>0</v>
      </c>
      <c r="N65" s="42" t="n">
        <f aca="false">K65-G65</f>
        <v>0</v>
      </c>
      <c r="O65" s="78"/>
      <c r="P65" s="79"/>
      <c r="Q65" s="16" t="str">
        <f aca="false">IF(K65=0,"",IF(R65=1,"Pagada",IF(C65&lt;$F$12,"Vencida",IF(39=$F$13,"Próxima","Pendiente"))))</f>
        <v/>
      </c>
      <c r="R65" s="62" t="n">
        <f aca="false">IF(AND(K65&gt;0,OR(O65="Sí",O65="Si")),1,0)</f>
        <v>0</v>
      </c>
      <c r="S65" s="62" t="n">
        <f aca="false">IF(AND(K65&gt;0,R65=0),1,0)</f>
        <v>0</v>
      </c>
    </row>
    <row r="66" customFormat="false" ht="15" hidden="false" customHeight="false" outlineLevel="0" collapsed="false">
      <c r="B66" s="71" t="str">
        <f aca="false">IF($F$6="Sí",N($C$11)+39,"")</f>
        <v/>
      </c>
      <c r="C66" s="72" t="str">
        <f aca="false">IF(OR($F$6&lt;&gt;"Sí",D66&lt;=0.5),"",EDATE($C$10,39))</f>
        <v/>
      </c>
      <c r="D66" s="41" t="n">
        <f aca="false">MAX(0,M65)</f>
        <v>0</v>
      </c>
      <c r="E66" s="41" t="n">
        <f aca="false">D66*$F$7</f>
        <v>0</v>
      </c>
      <c r="F66" s="41" t="n">
        <f aca="false">IF(D66&gt;0.5,N($C$15),0)</f>
        <v>0</v>
      </c>
      <c r="G66" s="41" t="n">
        <f aca="false">IF(AND(D66&gt;0.5,N($C$19)&gt;0,N(B66)&lt;=N($C$20)),D66*$F$8,0)</f>
        <v>0</v>
      </c>
      <c r="H66" s="41" t="n">
        <f aca="false">IF(D66&lt;=0.5,0,MIN(IF(N(I66)&gt;0,I66,$F$9),D66+E66+F66))</f>
        <v>0</v>
      </c>
      <c r="I66" s="77"/>
      <c r="J66" s="77"/>
      <c r="K66" s="41" t="n">
        <f aca="false">IF(D66&lt;=0.5,0,MIN(H66+N(J66),D66+E66+F66))</f>
        <v>0</v>
      </c>
      <c r="L66" s="41" t="n">
        <f aca="false">K66-E66-F66</f>
        <v>0</v>
      </c>
      <c r="M66" s="41" t="n">
        <f aca="false">D66-L66</f>
        <v>0</v>
      </c>
      <c r="N66" s="42" t="n">
        <f aca="false">K66-G66</f>
        <v>0</v>
      </c>
      <c r="O66" s="78"/>
      <c r="P66" s="79"/>
      <c r="Q66" s="16" t="str">
        <f aca="false">IF(K66=0,"",IF(R66=1,"Pagada",IF(C66&lt;$F$12,"Vencida",IF(40=$F$13,"Próxima","Pendiente"))))</f>
        <v/>
      </c>
      <c r="R66" s="62" t="n">
        <f aca="false">IF(AND(K66&gt;0,OR(O66="Sí",O66="Si")),1,0)</f>
        <v>0</v>
      </c>
      <c r="S66" s="62" t="n">
        <f aca="false">IF(AND(K66&gt;0,R66=0),1,0)</f>
        <v>0</v>
      </c>
    </row>
    <row r="67" customFormat="false" ht="15" hidden="false" customHeight="false" outlineLevel="0" collapsed="false">
      <c r="B67" s="71" t="str">
        <f aca="false">IF($F$6="Sí",N($C$11)+40,"")</f>
        <v/>
      </c>
      <c r="C67" s="72" t="str">
        <f aca="false">IF(OR($F$6&lt;&gt;"Sí",D67&lt;=0.5),"",EDATE($C$10,40))</f>
        <v/>
      </c>
      <c r="D67" s="41" t="n">
        <f aca="false">MAX(0,M66)</f>
        <v>0</v>
      </c>
      <c r="E67" s="41" t="n">
        <f aca="false">D67*$F$7</f>
        <v>0</v>
      </c>
      <c r="F67" s="41" t="n">
        <f aca="false">IF(D67&gt;0.5,N($C$15),0)</f>
        <v>0</v>
      </c>
      <c r="G67" s="41" t="n">
        <f aca="false">IF(AND(D67&gt;0.5,N($C$19)&gt;0,N(B67)&lt;=N($C$20)),D67*$F$8,0)</f>
        <v>0</v>
      </c>
      <c r="H67" s="41" t="n">
        <f aca="false">IF(D67&lt;=0.5,0,MIN(IF(N(I67)&gt;0,I67,$F$9),D67+E67+F67))</f>
        <v>0</v>
      </c>
      <c r="I67" s="77"/>
      <c r="J67" s="77"/>
      <c r="K67" s="41" t="n">
        <f aca="false">IF(D67&lt;=0.5,0,MIN(H67+N(J67),D67+E67+F67))</f>
        <v>0</v>
      </c>
      <c r="L67" s="41" t="n">
        <f aca="false">K67-E67-F67</f>
        <v>0</v>
      </c>
      <c r="M67" s="41" t="n">
        <f aca="false">D67-L67</f>
        <v>0</v>
      </c>
      <c r="N67" s="42" t="n">
        <f aca="false">K67-G67</f>
        <v>0</v>
      </c>
      <c r="O67" s="78"/>
      <c r="P67" s="79"/>
      <c r="Q67" s="16" t="str">
        <f aca="false">IF(K67=0,"",IF(R67=1,"Pagada",IF(C67&lt;$F$12,"Vencida",IF(41=$F$13,"Próxima","Pendiente"))))</f>
        <v/>
      </c>
      <c r="R67" s="62" t="n">
        <f aca="false">IF(AND(K67&gt;0,OR(O67="Sí",O67="Si")),1,0)</f>
        <v>0</v>
      </c>
      <c r="S67" s="62" t="n">
        <f aca="false">IF(AND(K67&gt;0,R67=0),1,0)</f>
        <v>0</v>
      </c>
    </row>
    <row r="68" customFormat="false" ht="15" hidden="false" customHeight="false" outlineLevel="0" collapsed="false">
      <c r="B68" s="71" t="str">
        <f aca="false">IF($F$6="Sí",N($C$11)+41,"")</f>
        <v/>
      </c>
      <c r="C68" s="72" t="str">
        <f aca="false">IF(OR($F$6&lt;&gt;"Sí",D68&lt;=0.5),"",EDATE($C$10,41))</f>
        <v/>
      </c>
      <c r="D68" s="41" t="n">
        <f aca="false">MAX(0,M67)</f>
        <v>0</v>
      </c>
      <c r="E68" s="41" t="n">
        <f aca="false">D68*$F$7</f>
        <v>0</v>
      </c>
      <c r="F68" s="41" t="n">
        <f aca="false">IF(D68&gt;0.5,N($C$15),0)</f>
        <v>0</v>
      </c>
      <c r="G68" s="41" t="n">
        <f aca="false">IF(AND(D68&gt;0.5,N($C$19)&gt;0,N(B68)&lt;=N($C$20)),D68*$F$8,0)</f>
        <v>0</v>
      </c>
      <c r="H68" s="41" t="n">
        <f aca="false">IF(D68&lt;=0.5,0,MIN(IF(N(I68)&gt;0,I68,$F$9),D68+E68+F68))</f>
        <v>0</v>
      </c>
      <c r="I68" s="77"/>
      <c r="J68" s="77"/>
      <c r="K68" s="41" t="n">
        <f aca="false">IF(D68&lt;=0.5,0,MIN(H68+N(J68),D68+E68+F68))</f>
        <v>0</v>
      </c>
      <c r="L68" s="41" t="n">
        <f aca="false">K68-E68-F68</f>
        <v>0</v>
      </c>
      <c r="M68" s="41" t="n">
        <f aca="false">D68-L68</f>
        <v>0</v>
      </c>
      <c r="N68" s="42" t="n">
        <f aca="false">K68-G68</f>
        <v>0</v>
      </c>
      <c r="O68" s="78"/>
      <c r="P68" s="79"/>
      <c r="Q68" s="16" t="str">
        <f aca="false">IF(K68=0,"",IF(R68=1,"Pagada",IF(C68&lt;$F$12,"Vencida",IF(42=$F$13,"Próxima","Pendiente"))))</f>
        <v/>
      </c>
      <c r="R68" s="62" t="n">
        <f aca="false">IF(AND(K68&gt;0,OR(O68="Sí",O68="Si")),1,0)</f>
        <v>0</v>
      </c>
      <c r="S68" s="62" t="n">
        <f aca="false">IF(AND(K68&gt;0,R68=0),1,0)</f>
        <v>0</v>
      </c>
    </row>
    <row r="69" customFormat="false" ht="15" hidden="false" customHeight="false" outlineLevel="0" collapsed="false">
      <c r="B69" s="71" t="str">
        <f aca="false">IF($F$6="Sí",N($C$11)+42,"")</f>
        <v/>
      </c>
      <c r="C69" s="72" t="str">
        <f aca="false">IF(OR($F$6&lt;&gt;"Sí",D69&lt;=0.5),"",EDATE($C$10,42))</f>
        <v/>
      </c>
      <c r="D69" s="41" t="n">
        <f aca="false">MAX(0,M68)</f>
        <v>0</v>
      </c>
      <c r="E69" s="41" t="n">
        <f aca="false">D69*$F$7</f>
        <v>0</v>
      </c>
      <c r="F69" s="41" t="n">
        <f aca="false">IF(D69&gt;0.5,N($C$15),0)</f>
        <v>0</v>
      </c>
      <c r="G69" s="41" t="n">
        <f aca="false">IF(AND(D69&gt;0.5,N($C$19)&gt;0,N(B69)&lt;=N($C$20)),D69*$F$8,0)</f>
        <v>0</v>
      </c>
      <c r="H69" s="41" t="n">
        <f aca="false">IF(D69&lt;=0.5,0,MIN(IF(N(I69)&gt;0,I69,$F$9),D69+E69+F69))</f>
        <v>0</v>
      </c>
      <c r="I69" s="77"/>
      <c r="J69" s="77"/>
      <c r="K69" s="41" t="n">
        <f aca="false">IF(D69&lt;=0.5,0,MIN(H69+N(J69),D69+E69+F69))</f>
        <v>0</v>
      </c>
      <c r="L69" s="41" t="n">
        <f aca="false">K69-E69-F69</f>
        <v>0</v>
      </c>
      <c r="M69" s="41" t="n">
        <f aca="false">D69-L69</f>
        <v>0</v>
      </c>
      <c r="N69" s="42" t="n">
        <f aca="false">K69-G69</f>
        <v>0</v>
      </c>
      <c r="O69" s="78"/>
      <c r="P69" s="79"/>
      <c r="Q69" s="16" t="str">
        <f aca="false">IF(K69=0,"",IF(R69=1,"Pagada",IF(C69&lt;$F$12,"Vencida",IF(43=$F$13,"Próxima","Pendiente"))))</f>
        <v/>
      </c>
      <c r="R69" s="62" t="n">
        <f aca="false">IF(AND(K69&gt;0,OR(O69="Sí",O69="Si")),1,0)</f>
        <v>0</v>
      </c>
      <c r="S69" s="62" t="n">
        <f aca="false">IF(AND(K69&gt;0,R69=0),1,0)</f>
        <v>0</v>
      </c>
    </row>
    <row r="70" customFormat="false" ht="15" hidden="false" customHeight="false" outlineLevel="0" collapsed="false">
      <c r="B70" s="71" t="str">
        <f aca="false">IF($F$6="Sí",N($C$11)+43,"")</f>
        <v/>
      </c>
      <c r="C70" s="72" t="str">
        <f aca="false">IF(OR($F$6&lt;&gt;"Sí",D70&lt;=0.5),"",EDATE($C$10,43))</f>
        <v/>
      </c>
      <c r="D70" s="41" t="n">
        <f aca="false">MAX(0,M69)</f>
        <v>0</v>
      </c>
      <c r="E70" s="41" t="n">
        <f aca="false">D70*$F$7</f>
        <v>0</v>
      </c>
      <c r="F70" s="41" t="n">
        <f aca="false">IF(D70&gt;0.5,N($C$15),0)</f>
        <v>0</v>
      </c>
      <c r="G70" s="41" t="n">
        <f aca="false">IF(AND(D70&gt;0.5,N($C$19)&gt;0,N(B70)&lt;=N($C$20)),D70*$F$8,0)</f>
        <v>0</v>
      </c>
      <c r="H70" s="41" t="n">
        <f aca="false">IF(D70&lt;=0.5,0,MIN(IF(N(I70)&gt;0,I70,$F$9),D70+E70+F70))</f>
        <v>0</v>
      </c>
      <c r="I70" s="77"/>
      <c r="J70" s="77"/>
      <c r="K70" s="41" t="n">
        <f aca="false">IF(D70&lt;=0.5,0,MIN(H70+N(J70),D70+E70+F70))</f>
        <v>0</v>
      </c>
      <c r="L70" s="41" t="n">
        <f aca="false">K70-E70-F70</f>
        <v>0</v>
      </c>
      <c r="M70" s="41" t="n">
        <f aca="false">D70-L70</f>
        <v>0</v>
      </c>
      <c r="N70" s="42" t="n">
        <f aca="false">K70-G70</f>
        <v>0</v>
      </c>
      <c r="O70" s="78"/>
      <c r="P70" s="79"/>
      <c r="Q70" s="16" t="str">
        <f aca="false">IF(K70=0,"",IF(R70=1,"Pagada",IF(C70&lt;$F$12,"Vencida",IF(44=$F$13,"Próxima","Pendiente"))))</f>
        <v/>
      </c>
      <c r="R70" s="62" t="n">
        <f aca="false">IF(AND(K70&gt;0,OR(O70="Sí",O70="Si")),1,0)</f>
        <v>0</v>
      </c>
      <c r="S70" s="62" t="n">
        <f aca="false">IF(AND(K70&gt;0,R70=0),1,0)</f>
        <v>0</v>
      </c>
    </row>
    <row r="71" customFormat="false" ht="15" hidden="false" customHeight="false" outlineLevel="0" collapsed="false">
      <c r="B71" s="71" t="str">
        <f aca="false">IF($F$6="Sí",N($C$11)+44,"")</f>
        <v/>
      </c>
      <c r="C71" s="72" t="str">
        <f aca="false">IF(OR($F$6&lt;&gt;"Sí",D71&lt;=0.5),"",EDATE($C$10,44))</f>
        <v/>
      </c>
      <c r="D71" s="41" t="n">
        <f aca="false">MAX(0,M70)</f>
        <v>0</v>
      </c>
      <c r="E71" s="41" t="n">
        <f aca="false">D71*$F$7</f>
        <v>0</v>
      </c>
      <c r="F71" s="41" t="n">
        <f aca="false">IF(D71&gt;0.5,N($C$15),0)</f>
        <v>0</v>
      </c>
      <c r="G71" s="41" t="n">
        <f aca="false">IF(AND(D71&gt;0.5,N($C$19)&gt;0,N(B71)&lt;=N($C$20)),D71*$F$8,0)</f>
        <v>0</v>
      </c>
      <c r="H71" s="41" t="n">
        <f aca="false">IF(D71&lt;=0.5,0,MIN(IF(N(I71)&gt;0,I71,$F$9),D71+E71+F71))</f>
        <v>0</v>
      </c>
      <c r="I71" s="77"/>
      <c r="J71" s="77"/>
      <c r="K71" s="41" t="n">
        <f aca="false">IF(D71&lt;=0.5,0,MIN(H71+N(J71),D71+E71+F71))</f>
        <v>0</v>
      </c>
      <c r="L71" s="41" t="n">
        <f aca="false">K71-E71-F71</f>
        <v>0</v>
      </c>
      <c r="M71" s="41" t="n">
        <f aca="false">D71-L71</f>
        <v>0</v>
      </c>
      <c r="N71" s="42" t="n">
        <f aca="false">K71-G71</f>
        <v>0</v>
      </c>
      <c r="O71" s="78"/>
      <c r="P71" s="79"/>
      <c r="Q71" s="16" t="str">
        <f aca="false">IF(K71=0,"",IF(R71=1,"Pagada",IF(C71&lt;$F$12,"Vencida",IF(45=$F$13,"Próxima","Pendiente"))))</f>
        <v/>
      </c>
      <c r="R71" s="62" t="n">
        <f aca="false">IF(AND(K71&gt;0,OR(O71="Sí",O71="Si")),1,0)</f>
        <v>0</v>
      </c>
      <c r="S71" s="62" t="n">
        <f aca="false">IF(AND(K71&gt;0,R71=0),1,0)</f>
        <v>0</v>
      </c>
    </row>
    <row r="72" customFormat="false" ht="15" hidden="false" customHeight="false" outlineLevel="0" collapsed="false">
      <c r="B72" s="71" t="str">
        <f aca="false">IF($F$6="Sí",N($C$11)+45,"")</f>
        <v/>
      </c>
      <c r="C72" s="72" t="str">
        <f aca="false">IF(OR($F$6&lt;&gt;"Sí",D72&lt;=0.5),"",EDATE($C$10,45))</f>
        <v/>
      </c>
      <c r="D72" s="41" t="n">
        <f aca="false">MAX(0,M71)</f>
        <v>0</v>
      </c>
      <c r="E72" s="41" t="n">
        <f aca="false">D72*$F$7</f>
        <v>0</v>
      </c>
      <c r="F72" s="41" t="n">
        <f aca="false">IF(D72&gt;0.5,N($C$15),0)</f>
        <v>0</v>
      </c>
      <c r="G72" s="41" t="n">
        <f aca="false">IF(AND(D72&gt;0.5,N($C$19)&gt;0,N(B72)&lt;=N($C$20)),D72*$F$8,0)</f>
        <v>0</v>
      </c>
      <c r="H72" s="41" t="n">
        <f aca="false">IF(D72&lt;=0.5,0,MIN(IF(N(I72)&gt;0,I72,$F$9),D72+E72+F72))</f>
        <v>0</v>
      </c>
      <c r="I72" s="77"/>
      <c r="J72" s="77"/>
      <c r="K72" s="41" t="n">
        <f aca="false">IF(D72&lt;=0.5,0,MIN(H72+N(J72),D72+E72+F72))</f>
        <v>0</v>
      </c>
      <c r="L72" s="41" t="n">
        <f aca="false">K72-E72-F72</f>
        <v>0</v>
      </c>
      <c r="M72" s="41" t="n">
        <f aca="false">D72-L72</f>
        <v>0</v>
      </c>
      <c r="N72" s="42" t="n">
        <f aca="false">K72-G72</f>
        <v>0</v>
      </c>
      <c r="O72" s="78"/>
      <c r="P72" s="79"/>
      <c r="Q72" s="16" t="str">
        <f aca="false">IF(K72=0,"",IF(R72=1,"Pagada",IF(C72&lt;$F$12,"Vencida",IF(46=$F$13,"Próxima","Pendiente"))))</f>
        <v/>
      </c>
      <c r="R72" s="62" t="n">
        <f aca="false">IF(AND(K72&gt;0,OR(O72="Sí",O72="Si")),1,0)</f>
        <v>0</v>
      </c>
      <c r="S72" s="62" t="n">
        <f aca="false">IF(AND(K72&gt;0,R72=0),1,0)</f>
        <v>0</v>
      </c>
    </row>
    <row r="73" customFormat="false" ht="15" hidden="false" customHeight="false" outlineLevel="0" collapsed="false">
      <c r="B73" s="71" t="str">
        <f aca="false">IF($F$6="Sí",N($C$11)+46,"")</f>
        <v/>
      </c>
      <c r="C73" s="72" t="str">
        <f aca="false">IF(OR($F$6&lt;&gt;"Sí",D73&lt;=0.5),"",EDATE($C$10,46))</f>
        <v/>
      </c>
      <c r="D73" s="41" t="n">
        <f aca="false">MAX(0,M72)</f>
        <v>0</v>
      </c>
      <c r="E73" s="41" t="n">
        <f aca="false">D73*$F$7</f>
        <v>0</v>
      </c>
      <c r="F73" s="41" t="n">
        <f aca="false">IF(D73&gt;0.5,N($C$15),0)</f>
        <v>0</v>
      </c>
      <c r="G73" s="41" t="n">
        <f aca="false">IF(AND(D73&gt;0.5,N($C$19)&gt;0,N(B73)&lt;=N($C$20)),D73*$F$8,0)</f>
        <v>0</v>
      </c>
      <c r="H73" s="41" t="n">
        <f aca="false">IF(D73&lt;=0.5,0,MIN(IF(N(I73)&gt;0,I73,$F$9),D73+E73+F73))</f>
        <v>0</v>
      </c>
      <c r="I73" s="77"/>
      <c r="J73" s="77"/>
      <c r="K73" s="41" t="n">
        <f aca="false">IF(D73&lt;=0.5,0,MIN(H73+N(J73),D73+E73+F73))</f>
        <v>0</v>
      </c>
      <c r="L73" s="41" t="n">
        <f aca="false">K73-E73-F73</f>
        <v>0</v>
      </c>
      <c r="M73" s="41" t="n">
        <f aca="false">D73-L73</f>
        <v>0</v>
      </c>
      <c r="N73" s="42" t="n">
        <f aca="false">K73-G73</f>
        <v>0</v>
      </c>
      <c r="O73" s="78"/>
      <c r="P73" s="79"/>
      <c r="Q73" s="16" t="str">
        <f aca="false">IF(K73=0,"",IF(R73=1,"Pagada",IF(C73&lt;$F$12,"Vencida",IF(47=$F$13,"Próxima","Pendiente"))))</f>
        <v/>
      </c>
      <c r="R73" s="62" t="n">
        <f aca="false">IF(AND(K73&gt;0,OR(O73="Sí",O73="Si")),1,0)</f>
        <v>0</v>
      </c>
      <c r="S73" s="62" t="n">
        <f aca="false">IF(AND(K73&gt;0,R73=0),1,0)</f>
        <v>0</v>
      </c>
    </row>
    <row r="74" customFormat="false" ht="15" hidden="false" customHeight="false" outlineLevel="0" collapsed="false">
      <c r="B74" s="71" t="str">
        <f aca="false">IF($F$6="Sí",N($C$11)+47,"")</f>
        <v/>
      </c>
      <c r="C74" s="72" t="str">
        <f aca="false">IF(OR($F$6&lt;&gt;"Sí",D74&lt;=0.5),"",EDATE($C$10,47))</f>
        <v/>
      </c>
      <c r="D74" s="41" t="n">
        <f aca="false">MAX(0,M73)</f>
        <v>0</v>
      </c>
      <c r="E74" s="41" t="n">
        <f aca="false">D74*$F$7</f>
        <v>0</v>
      </c>
      <c r="F74" s="41" t="n">
        <f aca="false">IF(D74&gt;0.5,N($C$15),0)</f>
        <v>0</v>
      </c>
      <c r="G74" s="41" t="n">
        <f aca="false">IF(AND(D74&gt;0.5,N($C$19)&gt;0,N(B74)&lt;=N($C$20)),D74*$F$8,0)</f>
        <v>0</v>
      </c>
      <c r="H74" s="41" t="n">
        <f aca="false">IF(D74&lt;=0.5,0,MIN(IF(N(I74)&gt;0,I74,$F$9),D74+E74+F74))</f>
        <v>0</v>
      </c>
      <c r="I74" s="77"/>
      <c r="J74" s="77"/>
      <c r="K74" s="41" t="n">
        <f aca="false">IF(D74&lt;=0.5,0,MIN(H74+N(J74),D74+E74+F74))</f>
        <v>0</v>
      </c>
      <c r="L74" s="41" t="n">
        <f aca="false">K74-E74-F74</f>
        <v>0</v>
      </c>
      <c r="M74" s="41" t="n">
        <f aca="false">D74-L74</f>
        <v>0</v>
      </c>
      <c r="N74" s="42" t="n">
        <f aca="false">K74-G74</f>
        <v>0</v>
      </c>
      <c r="O74" s="78"/>
      <c r="P74" s="79"/>
      <c r="Q74" s="16" t="str">
        <f aca="false">IF(K74=0,"",IF(R74=1,"Pagada",IF(C74&lt;$F$12,"Vencida",IF(48=$F$13,"Próxima","Pendiente"))))</f>
        <v/>
      </c>
      <c r="R74" s="62" t="n">
        <f aca="false">IF(AND(K74&gt;0,OR(O74="Sí",O74="Si")),1,0)</f>
        <v>0</v>
      </c>
      <c r="S74" s="62" t="n">
        <f aca="false">IF(AND(K74&gt;0,R74=0),1,0)</f>
        <v>0</v>
      </c>
    </row>
    <row r="75" customFormat="false" ht="15" hidden="false" customHeight="false" outlineLevel="0" collapsed="false">
      <c r="B75" s="71" t="str">
        <f aca="false">IF($F$6="Sí",N($C$11)+48,"")</f>
        <v/>
      </c>
      <c r="C75" s="72" t="str">
        <f aca="false">IF(OR($F$6&lt;&gt;"Sí",D75&lt;=0.5),"",EDATE($C$10,48))</f>
        <v/>
      </c>
      <c r="D75" s="41" t="n">
        <f aca="false">MAX(0,M74)</f>
        <v>0</v>
      </c>
      <c r="E75" s="41" t="n">
        <f aca="false">D75*$F$7</f>
        <v>0</v>
      </c>
      <c r="F75" s="41" t="n">
        <f aca="false">IF(D75&gt;0.5,N($C$15),0)</f>
        <v>0</v>
      </c>
      <c r="G75" s="41" t="n">
        <f aca="false">IF(AND(D75&gt;0.5,N($C$19)&gt;0,N(B75)&lt;=N($C$20)),D75*$F$8,0)</f>
        <v>0</v>
      </c>
      <c r="H75" s="41" t="n">
        <f aca="false">IF(D75&lt;=0.5,0,MIN(IF(N(I75)&gt;0,I75,$F$9),D75+E75+F75))</f>
        <v>0</v>
      </c>
      <c r="I75" s="77"/>
      <c r="J75" s="77"/>
      <c r="K75" s="41" t="n">
        <f aca="false">IF(D75&lt;=0.5,0,MIN(H75+N(J75),D75+E75+F75))</f>
        <v>0</v>
      </c>
      <c r="L75" s="41" t="n">
        <f aca="false">K75-E75-F75</f>
        <v>0</v>
      </c>
      <c r="M75" s="41" t="n">
        <f aca="false">D75-L75</f>
        <v>0</v>
      </c>
      <c r="N75" s="42" t="n">
        <f aca="false">K75-G75</f>
        <v>0</v>
      </c>
      <c r="O75" s="78"/>
      <c r="P75" s="79"/>
      <c r="Q75" s="16" t="str">
        <f aca="false">IF(K75=0,"",IF(R75=1,"Pagada",IF(C75&lt;$F$12,"Vencida",IF(49=$F$13,"Próxima","Pendiente"))))</f>
        <v/>
      </c>
      <c r="R75" s="62" t="n">
        <f aca="false">IF(AND(K75&gt;0,OR(O75="Sí",O75="Si")),1,0)</f>
        <v>0</v>
      </c>
      <c r="S75" s="62" t="n">
        <f aca="false">IF(AND(K75&gt;0,R75=0),1,0)</f>
        <v>0</v>
      </c>
    </row>
    <row r="76" customFormat="false" ht="15" hidden="false" customHeight="false" outlineLevel="0" collapsed="false">
      <c r="B76" s="71" t="str">
        <f aca="false">IF($F$6="Sí",N($C$11)+49,"")</f>
        <v/>
      </c>
      <c r="C76" s="72" t="str">
        <f aca="false">IF(OR($F$6&lt;&gt;"Sí",D76&lt;=0.5),"",EDATE($C$10,49))</f>
        <v/>
      </c>
      <c r="D76" s="41" t="n">
        <f aca="false">MAX(0,M75)</f>
        <v>0</v>
      </c>
      <c r="E76" s="41" t="n">
        <f aca="false">D76*$F$7</f>
        <v>0</v>
      </c>
      <c r="F76" s="41" t="n">
        <f aca="false">IF(D76&gt;0.5,N($C$15),0)</f>
        <v>0</v>
      </c>
      <c r="G76" s="41" t="n">
        <f aca="false">IF(AND(D76&gt;0.5,N($C$19)&gt;0,N(B76)&lt;=N($C$20)),D76*$F$8,0)</f>
        <v>0</v>
      </c>
      <c r="H76" s="41" t="n">
        <f aca="false">IF(D76&lt;=0.5,0,MIN(IF(N(I76)&gt;0,I76,$F$9),D76+E76+F76))</f>
        <v>0</v>
      </c>
      <c r="I76" s="77"/>
      <c r="J76" s="77"/>
      <c r="K76" s="41" t="n">
        <f aca="false">IF(D76&lt;=0.5,0,MIN(H76+N(J76),D76+E76+F76))</f>
        <v>0</v>
      </c>
      <c r="L76" s="41" t="n">
        <f aca="false">K76-E76-F76</f>
        <v>0</v>
      </c>
      <c r="M76" s="41" t="n">
        <f aca="false">D76-L76</f>
        <v>0</v>
      </c>
      <c r="N76" s="42" t="n">
        <f aca="false">K76-G76</f>
        <v>0</v>
      </c>
      <c r="O76" s="78"/>
      <c r="P76" s="79"/>
      <c r="Q76" s="16" t="str">
        <f aca="false">IF(K76=0,"",IF(R76=1,"Pagada",IF(C76&lt;$F$12,"Vencida",IF(50=$F$13,"Próxima","Pendiente"))))</f>
        <v/>
      </c>
      <c r="R76" s="62" t="n">
        <f aca="false">IF(AND(K76&gt;0,OR(O76="Sí",O76="Si")),1,0)</f>
        <v>0</v>
      </c>
      <c r="S76" s="62" t="n">
        <f aca="false">IF(AND(K76&gt;0,R76=0),1,0)</f>
        <v>0</v>
      </c>
    </row>
    <row r="77" customFormat="false" ht="15" hidden="false" customHeight="false" outlineLevel="0" collapsed="false">
      <c r="B77" s="71" t="str">
        <f aca="false">IF($F$6="Sí",N($C$11)+50,"")</f>
        <v/>
      </c>
      <c r="C77" s="72" t="str">
        <f aca="false">IF(OR($F$6&lt;&gt;"Sí",D77&lt;=0.5),"",EDATE($C$10,50))</f>
        <v/>
      </c>
      <c r="D77" s="41" t="n">
        <f aca="false">MAX(0,M76)</f>
        <v>0</v>
      </c>
      <c r="E77" s="41" t="n">
        <f aca="false">D77*$F$7</f>
        <v>0</v>
      </c>
      <c r="F77" s="41" t="n">
        <f aca="false">IF(D77&gt;0.5,N($C$15),0)</f>
        <v>0</v>
      </c>
      <c r="G77" s="41" t="n">
        <f aca="false">IF(AND(D77&gt;0.5,N($C$19)&gt;0,N(B77)&lt;=N($C$20)),D77*$F$8,0)</f>
        <v>0</v>
      </c>
      <c r="H77" s="41" t="n">
        <f aca="false">IF(D77&lt;=0.5,0,MIN(IF(N(I77)&gt;0,I77,$F$9),D77+E77+F77))</f>
        <v>0</v>
      </c>
      <c r="I77" s="77"/>
      <c r="J77" s="77"/>
      <c r="K77" s="41" t="n">
        <f aca="false">IF(D77&lt;=0.5,0,MIN(H77+N(J77),D77+E77+F77))</f>
        <v>0</v>
      </c>
      <c r="L77" s="41" t="n">
        <f aca="false">K77-E77-F77</f>
        <v>0</v>
      </c>
      <c r="M77" s="41" t="n">
        <f aca="false">D77-L77</f>
        <v>0</v>
      </c>
      <c r="N77" s="42" t="n">
        <f aca="false">K77-G77</f>
        <v>0</v>
      </c>
      <c r="O77" s="78"/>
      <c r="P77" s="79"/>
      <c r="Q77" s="16" t="str">
        <f aca="false">IF(K77=0,"",IF(R77=1,"Pagada",IF(C77&lt;$F$12,"Vencida",IF(51=$F$13,"Próxima","Pendiente"))))</f>
        <v/>
      </c>
      <c r="R77" s="62" t="n">
        <f aca="false">IF(AND(K77&gt;0,OR(O77="Sí",O77="Si")),1,0)</f>
        <v>0</v>
      </c>
      <c r="S77" s="62" t="n">
        <f aca="false">IF(AND(K77&gt;0,R77=0),1,0)</f>
        <v>0</v>
      </c>
    </row>
    <row r="78" customFormat="false" ht="15" hidden="false" customHeight="false" outlineLevel="0" collapsed="false">
      <c r="B78" s="71" t="str">
        <f aca="false">IF($F$6="Sí",N($C$11)+51,"")</f>
        <v/>
      </c>
      <c r="C78" s="72" t="str">
        <f aca="false">IF(OR($F$6&lt;&gt;"Sí",D78&lt;=0.5),"",EDATE($C$10,51))</f>
        <v/>
      </c>
      <c r="D78" s="41" t="n">
        <f aca="false">MAX(0,M77)</f>
        <v>0</v>
      </c>
      <c r="E78" s="41" t="n">
        <f aca="false">D78*$F$7</f>
        <v>0</v>
      </c>
      <c r="F78" s="41" t="n">
        <f aca="false">IF(D78&gt;0.5,N($C$15),0)</f>
        <v>0</v>
      </c>
      <c r="G78" s="41" t="n">
        <f aca="false">IF(AND(D78&gt;0.5,N($C$19)&gt;0,N(B78)&lt;=N($C$20)),D78*$F$8,0)</f>
        <v>0</v>
      </c>
      <c r="H78" s="41" t="n">
        <f aca="false">IF(D78&lt;=0.5,0,MIN(IF(N(I78)&gt;0,I78,$F$9),D78+E78+F78))</f>
        <v>0</v>
      </c>
      <c r="I78" s="77"/>
      <c r="J78" s="77"/>
      <c r="K78" s="41" t="n">
        <f aca="false">IF(D78&lt;=0.5,0,MIN(H78+N(J78),D78+E78+F78))</f>
        <v>0</v>
      </c>
      <c r="L78" s="41" t="n">
        <f aca="false">K78-E78-F78</f>
        <v>0</v>
      </c>
      <c r="M78" s="41" t="n">
        <f aca="false">D78-L78</f>
        <v>0</v>
      </c>
      <c r="N78" s="42" t="n">
        <f aca="false">K78-G78</f>
        <v>0</v>
      </c>
      <c r="O78" s="78"/>
      <c r="P78" s="79"/>
      <c r="Q78" s="16" t="str">
        <f aca="false">IF(K78=0,"",IF(R78=1,"Pagada",IF(C78&lt;$F$12,"Vencida",IF(52=$F$13,"Próxima","Pendiente"))))</f>
        <v/>
      </c>
      <c r="R78" s="62" t="n">
        <f aca="false">IF(AND(K78&gt;0,OR(O78="Sí",O78="Si")),1,0)</f>
        <v>0</v>
      </c>
      <c r="S78" s="62" t="n">
        <f aca="false">IF(AND(K78&gt;0,R78=0),1,0)</f>
        <v>0</v>
      </c>
    </row>
    <row r="79" customFormat="false" ht="15" hidden="false" customHeight="false" outlineLevel="0" collapsed="false">
      <c r="B79" s="71" t="str">
        <f aca="false">IF($F$6="Sí",N($C$11)+52,"")</f>
        <v/>
      </c>
      <c r="C79" s="72" t="str">
        <f aca="false">IF(OR($F$6&lt;&gt;"Sí",D79&lt;=0.5),"",EDATE($C$10,52))</f>
        <v/>
      </c>
      <c r="D79" s="41" t="n">
        <f aca="false">MAX(0,M78)</f>
        <v>0</v>
      </c>
      <c r="E79" s="41" t="n">
        <f aca="false">D79*$F$7</f>
        <v>0</v>
      </c>
      <c r="F79" s="41" t="n">
        <f aca="false">IF(D79&gt;0.5,N($C$15),0)</f>
        <v>0</v>
      </c>
      <c r="G79" s="41" t="n">
        <f aca="false">IF(AND(D79&gt;0.5,N($C$19)&gt;0,N(B79)&lt;=N($C$20)),D79*$F$8,0)</f>
        <v>0</v>
      </c>
      <c r="H79" s="41" t="n">
        <f aca="false">IF(D79&lt;=0.5,0,MIN(IF(N(I79)&gt;0,I79,$F$9),D79+E79+F79))</f>
        <v>0</v>
      </c>
      <c r="I79" s="77"/>
      <c r="J79" s="77"/>
      <c r="K79" s="41" t="n">
        <f aca="false">IF(D79&lt;=0.5,0,MIN(H79+N(J79),D79+E79+F79))</f>
        <v>0</v>
      </c>
      <c r="L79" s="41" t="n">
        <f aca="false">K79-E79-F79</f>
        <v>0</v>
      </c>
      <c r="M79" s="41" t="n">
        <f aca="false">D79-L79</f>
        <v>0</v>
      </c>
      <c r="N79" s="42" t="n">
        <f aca="false">K79-G79</f>
        <v>0</v>
      </c>
      <c r="O79" s="78"/>
      <c r="P79" s="79"/>
      <c r="Q79" s="16" t="str">
        <f aca="false">IF(K79=0,"",IF(R79=1,"Pagada",IF(C79&lt;$F$12,"Vencida",IF(53=$F$13,"Próxima","Pendiente"))))</f>
        <v/>
      </c>
      <c r="R79" s="62" t="n">
        <f aca="false">IF(AND(K79&gt;0,OR(O79="Sí",O79="Si")),1,0)</f>
        <v>0</v>
      </c>
      <c r="S79" s="62" t="n">
        <f aca="false">IF(AND(K79&gt;0,R79=0),1,0)</f>
        <v>0</v>
      </c>
    </row>
    <row r="80" customFormat="false" ht="15" hidden="false" customHeight="false" outlineLevel="0" collapsed="false">
      <c r="B80" s="71" t="str">
        <f aca="false">IF($F$6="Sí",N($C$11)+53,"")</f>
        <v/>
      </c>
      <c r="C80" s="72" t="str">
        <f aca="false">IF(OR($F$6&lt;&gt;"Sí",D80&lt;=0.5),"",EDATE($C$10,53))</f>
        <v/>
      </c>
      <c r="D80" s="41" t="n">
        <f aca="false">MAX(0,M79)</f>
        <v>0</v>
      </c>
      <c r="E80" s="41" t="n">
        <f aca="false">D80*$F$7</f>
        <v>0</v>
      </c>
      <c r="F80" s="41" t="n">
        <f aca="false">IF(D80&gt;0.5,N($C$15),0)</f>
        <v>0</v>
      </c>
      <c r="G80" s="41" t="n">
        <f aca="false">IF(AND(D80&gt;0.5,N($C$19)&gt;0,N(B80)&lt;=N($C$20)),D80*$F$8,0)</f>
        <v>0</v>
      </c>
      <c r="H80" s="41" t="n">
        <f aca="false">IF(D80&lt;=0.5,0,MIN(IF(N(I80)&gt;0,I80,$F$9),D80+E80+F80))</f>
        <v>0</v>
      </c>
      <c r="I80" s="77"/>
      <c r="J80" s="77"/>
      <c r="K80" s="41" t="n">
        <f aca="false">IF(D80&lt;=0.5,0,MIN(H80+N(J80),D80+E80+F80))</f>
        <v>0</v>
      </c>
      <c r="L80" s="41" t="n">
        <f aca="false">K80-E80-F80</f>
        <v>0</v>
      </c>
      <c r="M80" s="41" t="n">
        <f aca="false">D80-L80</f>
        <v>0</v>
      </c>
      <c r="N80" s="42" t="n">
        <f aca="false">K80-G80</f>
        <v>0</v>
      </c>
      <c r="O80" s="78"/>
      <c r="P80" s="79"/>
      <c r="Q80" s="16" t="str">
        <f aca="false">IF(K80=0,"",IF(R80=1,"Pagada",IF(C80&lt;$F$12,"Vencida",IF(54=$F$13,"Próxima","Pendiente"))))</f>
        <v/>
      </c>
      <c r="R80" s="62" t="n">
        <f aca="false">IF(AND(K80&gt;0,OR(O80="Sí",O80="Si")),1,0)</f>
        <v>0</v>
      </c>
      <c r="S80" s="62" t="n">
        <f aca="false">IF(AND(K80&gt;0,R80=0),1,0)</f>
        <v>0</v>
      </c>
    </row>
    <row r="81" customFormat="false" ht="15" hidden="false" customHeight="false" outlineLevel="0" collapsed="false">
      <c r="B81" s="71" t="str">
        <f aca="false">IF($F$6="Sí",N($C$11)+54,"")</f>
        <v/>
      </c>
      <c r="C81" s="72" t="str">
        <f aca="false">IF(OR($F$6&lt;&gt;"Sí",D81&lt;=0.5),"",EDATE($C$10,54))</f>
        <v/>
      </c>
      <c r="D81" s="41" t="n">
        <f aca="false">MAX(0,M80)</f>
        <v>0</v>
      </c>
      <c r="E81" s="41" t="n">
        <f aca="false">D81*$F$7</f>
        <v>0</v>
      </c>
      <c r="F81" s="41" t="n">
        <f aca="false">IF(D81&gt;0.5,N($C$15),0)</f>
        <v>0</v>
      </c>
      <c r="G81" s="41" t="n">
        <f aca="false">IF(AND(D81&gt;0.5,N($C$19)&gt;0,N(B81)&lt;=N($C$20)),D81*$F$8,0)</f>
        <v>0</v>
      </c>
      <c r="H81" s="41" t="n">
        <f aca="false">IF(D81&lt;=0.5,0,MIN(IF(N(I81)&gt;0,I81,$F$9),D81+E81+F81))</f>
        <v>0</v>
      </c>
      <c r="I81" s="77"/>
      <c r="J81" s="77"/>
      <c r="K81" s="41" t="n">
        <f aca="false">IF(D81&lt;=0.5,0,MIN(H81+N(J81),D81+E81+F81))</f>
        <v>0</v>
      </c>
      <c r="L81" s="41" t="n">
        <f aca="false">K81-E81-F81</f>
        <v>0</v>
      </c>
      <c r="M81" s="41" t="n">
        <f aca="false">D81-L81</f>
        <v>0</v>
      </c>
      <c r="N81" s="42" t="n">
        <f aca="false">K81-G81</f>
        <v>0</v>
      </c>
      <c r="O81" s="78"/>
      <c r="P81" s="79"/>
      <c r="Q81" s="16" t="str">
        <f aca="false">IF(K81=0,"",IF(R81=1,"Pagada",IF(C81&lt;$F$12,"Vencida",IF(55=$F$13,"Próxima","Pendiente"))))</f>
        <v/>
      </c>
      <c r="R81" s="62" t="n">
        <f aca="false">IF(AND(K81&gt;0,OR(O81="Sí",O81="Si")),1,0)</f>
        <v>0</v>
      </c>
      <c r="S81" s="62" t="n">
        <f aca="false">IF(AND(K81&gt;0,R81=0),1,0)</f>
        <v>0</v>
      </c>
    </row>
    <row r="82" customFormat="false" ht="15" hidden="false" customHeight="false" outlineLevel="0" collapsed="false">
      <c r="B82" s="71" t="str">
        <f aca="false">IF($F$6="Sí",N($C$11)+55,"")</f>
        <v/>
      </c>
      <c r="C82" s="72" t="str">
        <f aca="false">IF(OR($F$6&lt;&gt;"Sí",D82&lt;=0.5),"",EDATE($C$10,55))</f>
        <v/>
      </c>
      <c r="D82" s="41" t="n">
        <f aca="false">MAX(0,M81)</f>
        <v>0</v>
      </c>
      <c r="E82" s="41" t="n">
        <f aca="false">D82*$F$7</f>
        <v>0</v>
      </c>
      <c r="F82" s="41" t="n">
        <f aca="false">IF(D82&gt;0.5,N($C$15),0)</f>
        <v>0</v>
      </c>
      <c r="G82" s="41" t="n">
        <f aca="false">IF(AND(D82&gt;0.5,N($C$19)&gt;0,N(B82)&lt;=N($C$20)),D82*$F$8,0)</f>
        <v>0</v>
      </c>
      <c r="H82" s="41" t="n">
        <f aca="false">IF(D82&lt;=0.5,0,MIN(IF(N(I82)&gt;0,I82,$F$9),D82+E82+F82))</f>
        <v>0</v>
      </c>
      <c r="I82" s="77"/>
      <c r="J82" s="77"/>
      <c r="K82" s="41" t="n">
        <f aca="false">IF(D82&lt;=0.5,0,MIN(H82+N(J82),D82+E82+F82))</f>
        <v>0</v>
      </c>
      <c r="L82" s="41" t="n">
        <f aca="false">K82-E82-F82</f>
        <v>0</v>
      </c>
      <c r="M82" s="41" t="n">
        <f aca="false">D82-L82</f>
        <v>0</v>
      </c>
      <c r="N82" s="42" t="n">
        <f aca="false">K82-G82</f>
        <v>0</v>
      </c>
      <c r="O82" s="78"/>
      <c r="P82" s="79"/>
      <c r="Q82" s="16" t="str">
        <f aca="false">IF(K82=0,"",IF(R82=1,"Pagada",IF(C82&lt;$F$12,"Vencida",IF(56=$F$13,"Próxima","Pendiente"))))</f>
        <v/>
      </c>
      <c r="R82" s="62" t="n">
        <f aca="false">IF(AND(K82&gt;0,OR(O82="Sí",O82="Si")),1,0)</f>
        <v>0</v>
      </c>
      <c r="S82" s="62" t="n">
        <f aca="false">IF(AND(K82&gt;0,R82=0),1,0)</f>
        <v>0</v>
      </c>
    </row>
    <row r="83" customFormat="false" ht="15" hidden="false" customHeight="false" outlineLevel="0" collapsed="false">
      <c r="B83" s="71" t="str">
        <f aca="false">IF($F$6="Sí",N($C$11)+56,"")</f>
        <v/>
      </c>
      <c r="C83" s="72" t="str">
        <f aca="false">IF(OR($F$6&lt;&gt;"Sí",D83&lt;=0.5),"",EDATE($C$10,56))</f>
        <v/>
      </c>
      <c r="D83" s="41" t="n">
        <f aca="false">MAX(0,M82)</f>
        <v>0</v>
      </c>
      <c r="E83" s="41" t="n">
        <f aca="false">D83*$F$7</f>
        <v>0</v>
      </c>
      <c r="F83" s="41" t="n">
        <f aca="false">IF(D83&gt;0.5,N($C$15),0)</f>
        <v>0</v>
      </c>
      <c r="G83" s="41" t="n">
        <f aca="false">IF(AND(D83&gt;0.5,N($C$19)&gt;0,N(B83)&lt;=N($C$20)),D83*$F$8,0)</f>
        <v>0</v>
      </c>
      <c r="H83" s="41" t="n">
        <f aca="false">IF(D83&lt;=0.5,0,MIN(IF(N(I83)&gt;0,I83,$F$9),D83+E83+F83))</f>
        <v>0</v>
      </c>
      <c r="I83" s="77"/>
      <c r="J83" s="77"/>
      <c r="K83" s="41" t="n">
        <f aca="false">IF(D83&lt;=0.5,0,MIN(H83+N(J83),D83+E83+F83))</f>
        <v>0</v>
      </c>
      <c r="L83" s="41" t="n">
        <f aca="false">K83-E83-F83</f>
        <v>0</v>
      </c>
      <c r="M83" s="41" t="n">
        <f aca="false">D83-L83</f>
        <v>0</v>
      </c>
      <c r="N83" s="42" t="n">
        <f aca="false">K83-G83</f>
        <v>0</v>
      </c>
      <c r="O83" s="78"/>
      <c r="P83" s="79"/>
      <c r="Q83" s="16" t="str">
        <f aca="false">IF(K83=0,"",IF(R83=1,"Pagada",IF(C83&lt;$F$12,"Vencida",IF(57=$F$13,"Próxima","Pendiente"))))</f>
        <v/>
      </c>
      <c r="R83" s="62" t="n">
        <f aca="false">IF(AND(K83&gt;0,OR(O83="Sí",O83="Si")),1,0)</f>
        <v>0</v>
      </c>
      <c r="S83" s="62" t="n">
        <f aca="false">IF(AND(K83&gt;0,R83=0),1,0)</f>
        <v>0</v>
      </c>
    </row>
    <row r="84" customFormat="false" ht="15" hidden="false" customHeight="false" outlineLevel="0" collapsed="false">
      <c r="B84" s="71" t="str">
        <f aca="false">IF($F$6="Sí",N($C$11)+57,"")</f>
        <v/>
      </c>
      <c r="C84" s="72" t="str">
        <f aca="false">IF(OR($F$6&lt;&gt;"Sí",D84&lt;=0.5),"",EDATE($C$10,57))</f>
        <v/>
      </c>
      <c r="D84" s="41" t="n">
        <f aca="false">MAX(0,M83)</f>
        <v>0</v>
      </c>
      <c r="E84" s="41" t="n">
        <f aca="false">D84*$F$7</f>
        <v>0</v>
      </c>
      <c r="F84" s="41" t="n">
        <f aca="false">IF(D84&gt;0.5,N($C$15),0)</f>
        <v>0</v>
      </c>
      <c r="G84" s="41" t="n">
        <f aca="false">IF(AND(D84&gt;0.5,N($C$19)&gt;0,N(B84)&lt;=N($C$20)),D84*$F$8,0)</f>
        <v>0</v>
      </c>
      <c r="H84" s="41" t="n">
        <f aca="false">IF(D84&lt;=0.5,0,MIN(IF(N(I84)&gt;0,I84,$F$9),D84+E84+F84))</f>
        <v>0</v>
      </c>
      <c r="I84" s="77"/>
      <c r="J84" s="77"/>
      <c r="K84" s="41" t="n">
        <f aca="false">IF(D84&lt;=0.5,0,MIN(H84+N(J84),D84+E84+F84))</f>
        <v>0</v>
      </c>
      <c r="L84" s="41" t="n">
        <f aca="false">K84-E84-F84</f>
        <v>0</v>
      </c>
      <c r="M84" s="41" t="n">
        <f aca="false">D84-L84</f>
        <v>0</v>
      </c>
      <c r="N84" s="42" t="n">
        <f aca="false">K84-G84</f>
        <v>0</v>
      </c>
      <c r="O84" s="78"/>
      <c r="P84" s="79"/>
      <c r="Q84" s="16" t="str">
        <f aca="false">IF(K84=0,"",IF(R84=1,"Pagada",IF(C84&lt;$F$12,"Vencida",IF(58=$F$13,"Próxima","Pendiente"))))</f>
        <v/>
      </c>
      <c r="R84" s="62" t="n">
        <f aca="false">IF(AND(K84&gt;0,OR(O84="Sí",O84="Si")),1,0)</f>
        <v>0</v>
      </c>
      <c r="S84" s="62" t="n">
        <f aca="false">IF(AND(K84&gt;0,R84=0),1,0)</f>
        <v>0</v>
      </c>
    </row>
    <row r="85" customFormat="false" ht="15" hidden="false" customHeight="false" outlineLevel="0" collapsed="false">
      <c r="B85" s="71" t="str">
        <f aca="false">IF($F$6="Sí",N($C$11)+58,"")</f>
        <v/>
      </c>
      <c r="C85" s="72" t="str">
        <f aca="false">IF(OR($F$6&lt;&gt;"Sí",D85&lt;=0.5),"",EDATE($C$10,58))</f>
        <v/>
      </c>
      <c r="D85" s="41" t="n">
        <f aca="false">MAX(0,M84)</f>
        <v>0</v>
      </c>
      <c r="E85" s="41" t="n">
        <f aca="false">D85*$F$7</f>
        <v>0</v>
      </c>
      <c r="F85" s="41" t="n">
        <f aca="false">IF(D85&gt;0.5,N($C$15),0)</f>
        <v>0</v>
      </c>
      <c r="G85" s="41" t="n">
        <f aca="false">IF(AND(D85&gt;0.5,N($C$19)&gt;0,N(B85)&lt;=N($C$20)),D85*$F$8,0)</f>
        <v>0</v>
      </c>
      <c r="H85" s="41" t="n">
        <f aca="false">IF(D85&lt;=0.5,0,MIN(IF(N(I85)&gt;0,I85,$F$9),D85+E85+F85))</f>
        <v>0</v>
      </c>
      <c r="I85" s="77"/>
      <c r="J85" s="77"/>
      <c r="K85" s="41" t="n">
        <f aca="false">IF(D85&lt;=0.5,0,MIN(H85+N(J85),D85+E85+F85))</f>
        <v>0</v>
      </c>
      <c r="L85" s="41" t="n">
        <f aca="false">K85-E85-F85</f>
        <v>0</v>
      </c>
      <c r="M85" s="41" t="n">
        <f aca="false">D85-L85</f>
        <v>0</v>
      </c>
      <c r="N85" s="42" t="n">
        <f aca="false">K85-G85</f>
        <v>0</v>
      </c>
      <c r="O85" s="78"/>
      <c r="P85" s="79"/>
      <c r="Q85" s="16" t="str">
        <f aca="false">IF(K85=0,"",IF(R85=1,"Pagada",IF(C85&lt;$F$12,"Vencida",IF(59=$F$13,"Próxima","Pendiente"))))</f>
        <v/>
      </c>
      <c r="R85" s="62" t="n">
        <f aca="false">IF(AND(K85&gt;0,OR(O85="Sí",O85="Si")),1,0)</f>
        <v>0</v>
      </c>
      <c r="S85" s="62" t="n">
        <f aca="false">IF(AND(K85&gt;0,R85=0),1,0)</f>
        <v>0</v>
      </c>
    </row>
    <row r="86" customFormat="false" ht="15" hidden="false" customHeight="false" outlineLevel="0" collapsed="false">
      <c r="B86" s="71" t="str">
        <f aca="false">IF($F$6="Sí",N($C$11)+59,"")</f>
        <v/>
      </c>
      <c r="C86" s="72" t="str">
        <f aca="false">IF(OR($F$6&lt;&gt;"Sí",D86&lt;=0.5),"",EDATE($C$10,59))</f>
        <v/>
      </c>
      <c r="D86" s="41" t="n">
        <f aca="false">MAX(0,M85)</f>
        <v>0</v>
      </c>
      <c r="E86" s="41" t="n">
        <f aca="false">D86*$F$7</f>
        <v>0</v>
      </c>
      <c r="F86" s="41" t="n">
        <f aca="false">IF(D86&gt;0.5,N($C$15),0)</f>
        <v>0</v>
      </c>
      <c r="G86" s="41" t="n">
        <f aca="false">IF(AND(D86&gt;0.5,N($C$19)&gt;0,N(B86)&lt;=N($C$20)),D86*$F$8,0)</f>
        <v>0</v>
      </c>
      <c r="H86" s="41" t="n">
        <f aca="false">IF(D86&lt;=0.5,0,MIN(IF(N(I86)&gt;0,I86,$F$9),D86+E86+F86))</f>
        <v>0</v>
      </c>
      <c r="I86" s="77"/>
      <c r="J86" s="77"/>
      <c r="K86" s="41" t="n">
        <f aca="false">IF(D86&lt;=0.5,0,MIN(H86+N(J86),D86+E86+F86))</f>
        <v>0</v>
      </c>
      <c r="L86" s="41" t="n">
        <f aca="false">K86-E86-F86</f>
        <v>0</v>
      </c>
      <c r="M86" s="41" t="n">
        <f aca="false">D86-L86</f>
        <v>0</v>
      </c>
      <c r="N86" s="42" t="n">
        <f aca="false">K86-G86</f>
        <v>0</v>
      </c>
      <c r="O86" s="78"/>
      <c r="P86" s="79"/>
      <c r="Q86" s="16" t="str">
        <f aca="false">IF(K86=0,"",IF(R86=1,"Pagada",IF(C86&lt;$F$12,"Vencida",IF(60=$F$13,"Próxima","Pendiente"))))</f>
        <v/>
      </c>
      <c r="R86" s="62" t="n">
        <f aca="false">IF(AND(K86&gt;0,OR(O86="Sí",O86="Si")),1,0)</f>
        <v>0</v>
      </c>
      <c r="S86" s="62" t="n">
        <f aca="false">IF(AND(K86&gt;0,R86=0),1,0)</f>
        <v>0</v>
      </c>
    </row>
    <row r="87" customFormat="false" ht="15" hidden="false" customHeight="false" outlineLevel="0" collapsed="false">
      <c r="B87" s="71" t="str">
        <f aca="false">IF($F$6="Sí",N($C$11)+60,"")</f>
        <v/>
      </c>
      <c r="C87" s="72" t="str">
        <f aca="false">IF(OR($F$6&lt;&gt;"Sí",D87&lt;=0.5),"",EDATE($C$10,60))</f>
        <v/>
      </c>
      <c r="D87" s="41" t="n">
        <f aca="false">MAX(0,M86)</f>
        <v>0</v>
      </c>
      <c r="E87" s="41" t="n">
        <f aca="false">D87*$F$7</f>
        <v>0</v>
      </c>
      <c r="F87" s="41" t="n">
        <f aca="false">IF(D87&gt;0.5,N($C$15),0)</f>
        <v>0</v>
      </c>
      <c r="G87" s="41" t="n">
        <f aca="false">IF(AND(D87&gt;0.5,N($C$19)&gt;0,N(B87)&lt;=N($C$20)),D87*$F$8,0)</f>
        <v>0</v>
      </c>
      <c r="H87" s="41" t="n">
        <f aca="false">IF(D87&lt;=0.5,0,MIN(IF(N(I87)&gt;0,I87,$F$9),D87+E87+F87))</f>
        <v>0</v>
      </c>
      <c r="I87" s="77"/>
      <c r="J87" s="77"/>
      <c r="K87" s="41" t="n">
        <f aca="false">IF(D87&lt;=0.5,0,MIN(H87+N(J87),D87+E87+F87))</f>
        <v>0</v>
      </c>
      <c r="L87" s="41" t="n">
        <f aca="false">K87-E87-F87</f>
        <v>0</v>
      </c>
      <c r="M87" s="41" t="n">
        <f aca="false">D87-L87</f>
        <v>0</v>
      </c>
      <c r="N87" s="42" t="n">
        <f aca="false">K87-G87</f>
        <v>0</v>
      </c>
      <c r="O87" s="78"/>
      <c r="P87" s="79"/>
      <c r="Q87" s="16" t="str">
        <f aca="false">IF(K87=0,"",IF(R87=1,"Pagada",IF(C87&lt;$F$12,"Vencida",IF(61=$F$13,"Próxima","Pendiente"))))</f>
        <v/>
      </c>
      <c r="R87" s="62" t="n">
        <f aca="false">IF(AND(K87&gt;0,OR(O87="Sí",O87="Si")),1,0)</f>
        <v>0</v>
      </c>
      <c r="S87" s="62" t="n">
        <f aca="false">IF(AND(K87&gt;0,R87=0),1,0)</f>
        <v>0</v>
      </c>
    </row>
    <row r="88" customFormat="false" ht="15" hidden="false" customHeight="false" outlineLevel="0" collapsed="false">
      <c r="B88" s="71" t="str">
        <f aca="false">IF($F$6="Sí",N($C$11)+61,"")</f>
        <v/>
      </c>
      <c r="C88" s="72" t="str">
        <f aca="false">IF(OR($F$6&lt;&gt;"Sí",D88&lt;=0.5),"",EDATE($C$10,61))</f>
        <v/>
      </c>
      <c r="D88" s="41" t="n">
        <f aca="false">MAX(0,M87)</f>
        <v>0</v>
      </c>
      <c r="E88" s="41" t="n">
        <f aca="false">D88*$F$7</f>
        <v>0</v>
      </c>
      <c r="F88" s="41" t="n">
        <f aca="false">IF(D88&gt;0.5,N($C$15),0)</f>
        <v>0</v>
      </c>
      <c r="G88" s="41" t="n">
        <f aca="false">IF(AND(D88&gt;0.5,N($C$19)&gt;0,N(B88)&lt;=N($C$20)),D88*$F$8,0)</f>
        <v>0</v>
      </c>
      <c r="H88" s="41" t="n">
        <f aca="false">IF(D88&lt;=0.5,0,MIN(IF(N(I88)&gt;0,I88,$F$9),D88+E88+F88))</f>
        <v>0</v>
      </c>
      <c r="I88" s="77"/>
      <c r="J88" s="77"/>
      <c r="K88" s="41" t="n">
        <f aca="false">IF(D88&lt;=0.5,0,MIN(H88+N(J88),D88+E88+F88))</f>
        <v>0</v>
      </c>
      <c r="L88" s="41" t="n">
        <f aca="false">K88-E88-F88</f>
        <v>0</v>
      </c>
      <c r="M88" s="41" t="n">
        <f aca="false">D88-L88</f>
        <v>0</v>
      </c>
      <c r="N88" s="42" t="n">
        <f aca="false">K88-G88</f>
        <v>0</v>
      </c>
      <c r="O88" s="78"/>
      <c r="P88" s="79"/>
      <c r="Q88" s="16" t="str">
        <f aca="false">IF(K88=0,"",IF(R88=1,"Pagada",IF(C88&lt;$F$12,"Vencida",IF(62=$F$13,"Próxima","Pendiente"))))</f>
        <v/>
      </c>
      <c r="R88" s="62" t="n">
        <f aca="false">IF(AND(K88&gt;0,OR(O88="Sí",O88="Si")),1,0)</f>
        <v>0</v>
      </c>
      <c r="S88" s="62" t="n">
        <f aca="false">IF(AND(K88&gt;0,R88=0),1,0)</f>
        <v>0</v>
      </c>
    </row>
    <row r="89" customFormat="false" ht="15" hidden="false" customHeight="false" outlineLevel="0" collapsed="false">
      <c r="B89" s="71" t="str">
        <f aca="false">IF($F$6="Sí",N($C$11)+62,"")</f>
        <v/>
      </c>
      <c r="C89" s="72" t="str">
        <f aca="false">IF(OR($F$6&lt;&gt;"Sí",D89&lt;=0.5),"",EDATE($C$10,62))</f>
        <v/>
      </c>
      <c r="D89" s="41" t="n">
        <f aca="false">MAX(0,M88)</f>
        <v>0</v>
      </c>
      <c r="E89" s="41" t="n">
        <f aca="false">D89*$F$7</f>
        <v>0</v>
      </c>
      <c r="F89" s="41" t="n">
        <f aca="false">IF(D89&gt;0.5,N($C$15),0)</f>
        <v>0</v>
      </c>
      <c r="G89" s="41" t="n">
        <f aca="false">IF(AND(D89&gt;0.5,N($C$19)&gt;0,N(B89)&lt;=N($C$20)),D89*$F$8,0)</f>
        <v>0</v>
      </c>
      <c r="H89" s="41" t="n">
        <f aca="false">IF(D89&lt;=0.5,0,MIN(IF(N(I89)&gt;0,I89,$F$9),D89+E89+F89))</f>
        <v>0</v>
      </c>
      <c r="I89" s="77"/>
      <c r="J89" s="77"/>
      <c r="K89" s="41" t="n">
        <f aca="false">IF(D89&lt;=0.5,0,MIN(H89+N(J89),D89+E89+F89))</f>
        <v>0</v>
      </c>
      <c r="L89" s="41" t="n">
        <f aca="false">K89-E89-F89</f>
        <v>0</v>
      </c>
      <c r="M89" s="41" t="n">
        <f aca="false">D89-L89</f>
        <v>0</v>
      </c>
      <c r="N89" s="42" t="n">
        <f aca="false">K89-G89</f>
        <v>0</v>
      </c>
      <c r="O89" s="78"/>
      <c r="P89" s="79"/>
      <c r="Q89" s="16" t="str">
        <f aca="false">IF(K89=0,"",IF(R89=1,"Pagada",IF(C89&lt;$F$12,"Vencida",IF(63=$F$13,"Próxima","Pendiente"))))</f>
        <v/>
      </c>
      <c r="R89" s="62" t="n">
        <f aca="false">IF(AND(K89&gt;0,OR(O89="Sí",O89="Si")),1,0)</f>
        <v>0</v>
      </c>
      <c r="S89" s="62" t="n">
        <f aca="false">IF(AND(K89&gt;0,R89=0),1,0)</f>
        <v>0</v>
      </c>
    </row>
    <row r="90" customFormat="false" ht="15" hidden="false" customHeight="false" outlineLevel="0" collapsed="false">
      <c r="B90" s="71" t="str">
        <f aca="false">IF($F$6="Sí",N($C$11)+63,"")</f>
        <v/>
      </c>
      <c r="C90" s="72" t="str">
        <f aca="false">IF(OR($F$6&lt;&gt;"Sí",D90&lt;=0.5),"",EDATE($C$10,63))</f>
        <v/>
      </c>
      <c r="D90" s="41" t="n">
        <f aca="false">MAX(0,M89)</f>
        <v>0</v>
      </c>
      <c r="E90" s="41" t="n">
        <f aca="false">D90*$F$7</f>
        <v>0</v>
      </c>
      <c r="F90" s="41" t="n">
        <f aca="false">IF(D90&gt;0.5,N($C$15),0)</f>
        <v>0</v>
      </c>
      <c r="G90" s="41" t="n">
        <f aca="false">IF(AND(D90&gt;0.5,N($C$19)&gt;0,N(B90)&lt;=N($C$20)),D90*$F$8,0)</f>
        <v>0</v>
      </c>
      <c r="H90" s="41" t="n">
        <f aca="false">IF(D90&lt;=0.5,0,MIN(IF(N(I90)&gt;0,I90,$F$9),D90+E90+F90))</f>
        <v>0</v>
      </c>
      <c r="I90" s="77"/>
      <c r="J90" s="77"/>
      <c r="K90" s="41" t="n">
        <f aca="false">IF(D90&lt;=0.5,0,MIN(H90+N(J90),D90+E90+F90))</f>
        <v>0</v>
      </c>
      <c r="L90" s="41" t="n">
        <f aca="false">K90-E90-F90</f>
        <v>0</v>
      </c>
      <c r="M90" s="41" t="n">
        <f aca="false">D90-L90</f>
        <v>0</v>
      </c>
      <c r="N90" s="42" t="n">
        <f aca="false">K90-G90</f>
        <v>0</v>
      </c>
      <c r="O90" s="78"/>
      <c r="P90" s="79"/>
      <c r="Q90" s="16" t="str">
        <f aca="false">IF(K90=0,"",IF(R90=1,"Pagada",IF(C90&lt;$F$12,"Vencida",IF(64=$F$13,"Próxima","Pendiente"))))</f>
        <v/>
      </c>
      <c r="R90" s="62" t="n">
        <f aca="false">IF(AND(K90&gt;0,OR(O90="Sí",O90="Si")),1,0)</f>
        <v>0</v>
      </c>
      <c r="S90" s="62" t="n">
        <f aca="false">IF(AND(K90&gt;0,R90=0),1,0)</f>
        <v>0</v>
      </c>
    </row>
    <row r="91" customFormat="false" ht="15" hidden="false" customHeight="false" outlineLevel="0" collapsed="false">
      <c r="B91" s="71" t="str">
        <f aca="false">IF($F$6="Sí",N($C$11)+64,"")</f>
        <v/>
      </c>
      <c r="C91" s="72" t="str">
        <f aca="false">IF(OR($F$6&lt;&gt;"Sí",D91&lt;=0.5),"",EDATE($C$10,64))</f>
        <v/>
      </c>
      <c r="D91" s="41" t="n">
        <f aca="false">MAX(0,M90)</f>
        <v>0</v>
      </c>
      <c r="E91" s="41" t="n">
        <f aca="false">D91*$F$7</f>
        <v>0</v>
      </c>
      <c r="F91" s="41" t="n">
        <f aca="false">IF(D91&gt;0.5,N($C$15),0)</f>
        <v>0</v>
      </c>
      <c r="G91" s="41" t="n">
        <f aca="false">IF(AND(D91&gt;0.5,N($C$19)&gt;0,N(B91)&lt;=N($C$20)),D91*$F$8,0)</f>
        <v>0</v>
      </c>
      <c r="H91" s="41" t="n">
        <f aca="false">IF(D91&lt;=0.5,0,MIN(IF(N(I91)&gt;0,I91,$F$9),D91+E91+F91))</f>
        <v>0</v>
      </c>
      <c r="I91" s="77"/>
      <c r="J91" s="77"/>
      <c r="K91" s="41" t="n">
        <f aca="false">IF(D91&lt;=0.5,0,MIN(H91+N(J91),D91+E91+F91))</f>
        <v>0</v>
      </c>
      <c r="L91" s="41" t="n">
        <f aca="false">K91-E91-F91</f>
        <v>0</v>
      </c>
      <c r="M91" s="41" t="n">
        <f aca="false">D91-L91</f>
        <v>0</v>
      </c>
      <c r="N91" s="42" t="n">
        <f aca="false">K91-G91</f>
        <v>0</v>
      </c>
      <c r="O91" s="78"/>
      <c r="P91" s="79"/>
      <c r="Q91" s="16" t="str">
        <f aca="false">IF(K91=0,"",IF(R91=1,"Pagada",IF(C91&lt;$F$12,"Vencida",IF(65=$F$13,"Próxima","Pendiente"))))</f>
        <v/>
      </c>
      <c r="R91" s="62" t="n">
        <f aca="false">IF(AND(K91&gt;0,OR(O91="Sí",O91="Si")),1,0)</f>
        <v>0</v>
      </c>
      <c r="S91" s="62" t="n">
        <f aca="false">IF(AND(K91&gt;0,R91=0),1,0)</f>
        <v>0</v>
      </c>
    </row>
    <row r="92" customFormat="false" ht="15" hidden="false" customHeight="false" outlineLevel="0" collapsed="false">
      <c r="B92" s="71" t="str">
        <f aca="false">IF($F$6="Sí",N($C$11)+65,"")</f>
        <v/>
      </c>
      <c r="C92" s="72" t="str">
        <f aca="false">IF(OR($F$6&lt;&gt;"Sí",D92&lt;=0.5),"",EDATE($C$10,65))</f>
        <v/>
      </c>
      <c r="D92" s="41" t="n">
        <f aca="false">MAX(0,M91)</f>
        <v>0</v>
      </c>
      <c r="E92" s="41" t="n">
        <f aca="false">D92*$F$7</f>
        <v>0</v>
      </c>
      <c r="F92" s="41" t="n">
        <f aca="false">IF(D92&gt;0.5,N($C$15),0)</f>
        <v>0</v>
      </c>
      <c r="G92" s="41" t="n">
        <f aca="false">IF(AND(D92&gt;0.5,N($C$19)&gt;0,N(B92)&lt;=N($C$20)),D92*$F$8,0)</f>
        <v>0</v>
      </c>
      <c r="H92" s="41" t="n">
        <f aca="false">IF(D92&lt;=0.5,0,MIN(IF(N(I92)&gt;0,I92,$F$9),D92+E92+F92))</f>
        <v>0</v>
      </c>
      <c r="I92" s="77"/>
      <c r="J92" s="77"/>
      <c r="K92" s="41" t="n">
        <f aca="false">IF(D92&lt;=0.5,0,MIN(H92+N(J92),D92+E92+F92))</f>
        <v>0</v>
      </c>
      <c r="L92" s="41" t="n">
        <f aca="false">K92-E92-F92</f>
        <v>0</v>
      </c>
      <c r="M92" s="41" t="n">
        <f aca="false">D92-L92</f>
        <v>0</v>
      </c>
      <c r="N92" s="42" t="n">
        <f aca="false">K92-G92</f>
        <v>0</v>
      </c>
      <c r="O92" s="78"/>
      <c r="P92" s="79"/>
      <c r="Q92" s="16" t="str">
        <f aca="false">IF(K92=0,"",IF(R92=1,"Pagada",IF(C92&lt;$F$12,"Vencida",IF(66=$F$13,"Próxima","Pendiente"))))</f>
        <v/>
      </c>
      <c r="R92" s="62" t="n">
        <f aca="false">IF(AND(K92&gt;0,OR(O92="Sí",O92="Si")),1,0)</f>
        <v>0</v>
      </c>
      <c r="S92" s="62" t="n">
        <f aca="false">IF(AND(K92&gt;0,R92=0),1,0)</f>
        <v>0</v>
      </c>
    </row>
    <row r="93" customFormat="false" ht="15" hidden="false" customHeight="false" outlineLevel="0" collapsed="false">
      <c r="B93" s="71" t="str">
        <f aca="false">IF($F$6="Sí",N($C$11)+66,"")</f>
        <v/>
      </c>
      <c r="C93" s="72" t="str">
        <f aca="false">IF(OR($F$6&lt;&gt;"Sí",D93&lt;=0.5),"",EDATE($C$10,66))</f>
        <v/>
      </c>
      <c r="D93" s="41" t="n">
        <f aca="false">MAX(0,M92)</f>
        <v>0</v>
      </c>
      <c r="E93" s="41" t="n">
        <f aca="false">D93*$F$7</f>
        <v>0</v>
      </c>
      <c r="F93" s="41" t="n">
        <f aca="false">IF(D93&gt;0.5,N($C$15),0)</f>
        <v>0</v>
      </c>
      <c r="G93" s="41" t="n">
        <f aca="false">IF(AND(D93&gt;0.5,N($C$19)&gt;0,N(B93)&lt;=N($C$20)),D93*$F$8,0)</f>
        <v>0</v>
      </c>
      <c r="H93" s="41" t="n">
        <f aca="false">IF(D93&lt;=0.5,0,MIN(IF(N(I93)&gt;0,I93,$F$9),D93+E93+F93))</f>
        <v>0</v>
      </c>
      <c r="I93" s="77"/>
      <c r="J93" s="77"/>
      <c r="K93" s="41" t="n">
        <f aca="false">IF(D93&lt;=0.5,0,MIN(H93+N(J93),D93+E93+F93))</f>
        <v>0</v>
      </c>
      <c r="L93" s="41" t="n">
        <f aca="false">K93-E93-F93</f>
        <v>0</v>
      </c>
      <c r="M93" s="41" t="n">
        <f aca="false">D93-L93</f>
        <v>0</v>
      </c>
      <c r="N93" s="42" t="n">
        <f aca="false">K93-G93</f>
        <v>0</v>
      </c>
      <c r="O93" s="78"/>
      <c r="P93" s="79"/>
      <c r="Q93" s="16" t="str">
        <f aca="false">IF(K93=0,"",IF(R93=1,"Pagada",IF(C93&lt;$F$12,"Vencida",IF(67=$F$13,"Próxima","Pendiente"))))</f>
        <v/>
      </c>
      <c r="R93" s="62" t="n">
        <f aca="false">IF(AND(K93&gt;0,OR(O93="Sí",O93="Si")),1,0)</f>
        <v>0</v>
      </c>
      <c r="S93" s="62" t="n">
        <f aca="false">IF(AND(K93&gt;0,R93=0),1,0)</f>
        <v>0</v>
      </c>
    </row>
    <row r="94" customFormat="false" ht="15" hidden="false" customHeight="false" outlineLevel="0" collapsed="false">
      <c r="B94" s="71" t="str">
        <f aca="false">IF($F$6="Sí",N($C$11)+67,"")</f>
        <v/>
      </c>
      <c r="C94" s="72" t="str">
        <f aca="false">IF(OR($F$6&lt;&gt;"Sí",D94&lt;=0.5),"",EDATE($C$10,67))</f>
        <v/>
      </c>
      <c r="D94" s="41" t="n">
        <f aca="false">MAX(0,M93)</f>
        <v>0</v>
      </c>
      <c r="E94" s="41" t="n">
        <f aca="false">D94*$F$7</f>
        <v>0</v>
      </c>
      <c r="F94" s="41" t="n">
        <f aca="false">IF(D94&gt;0.5,N($C$15),0)</f>
        <v>0</v>
      </c>
      <c r="G94" s="41" t="n">
        <f aca="false">IF(AND(D94&gt;0.5,N($C$19)&gt;0,N(B94)&lt;=N($C$20)),D94*$F$8,0)</f>
        <v>0</v>
      </c>
      <c r="H94" s="41" t="n">
        <f aca="false">IF(D94&lt;=0.5,0,MIN(IF(N(I94)&gt;0,I94,$F$9),D94+E94+F94))</f>
        <v>0</v>
      </c>
      <c r="I94" s="77"/>
      <c r="J94" s="77"/>
      <c r="K94" s="41" t="n">
        <f aca="false">IF(D94&lt;=0.5,0,MIN(H94+N(J94),D94+E94+F94))</f>
        <v>0</v>
      </c>
      <c r="L94" s="41" t="n">
        <f aca="false">K94-E94-F94</f>
        <v>0</v>
      </c>
      <c r="M94" s="41" t="n">
        <f aca="false">D94-L94</f>
        <v>0</v>
      </c>
      <c r="N94" s="42" t="n">
        <f aca="false">K94-G94</f>
        <v>0</v>
      </c>
      <c r="O94" s="78"/>
      <c r="P94" s="79"/>
      <c r="Q94" s="16" t="str">
        <f aca="false">IF(K94=0,"",IF(R94=1,"Pagada",IF(C94&lt;$F$12,"Vencida",IF(68=$F$13,"Próxima","Pendiente"))))</f>
        <v/>
      </c>
      <c r="R94" s="62" t="n">
        <f aca="false">IF(AND(K94&gt;0,OR(O94="Sí",O94="Si")),1,0)</f>
        <v>0</v>
      </c>
      <c r="S94" s="62" t="n">
        <f aca="false">IF(AND(K94&gt;0,R94=0),1,0)</f>
        <v>0</v>
      </c>
    </row>
    <row r="95" customFormat="false" ht="15" hidden="false" customHeight="false" outlineLevel="0" collapsed="false">
      <c r="B95" s="71" t="str">
        <f aca="false">IF($F$6="Sí",N($C$11)+68,"")</f>
        <v/>
      </c>
      <c r="C95" s="72" t="str">
        <f aca="false">IF(OR($F$6&lt;&gt;"Sí",D95&lt;=0.5),"",EDATE($C$10,68))</f>
        <v/>
      </c>
      <c r="D95" s="41" t="n">
        <f aca="false">MAX(0,M94)</f>
        <v>0</v>
      </c>
      <c r="E95" s="41" t="n">
        <f aca="false">D95*$F$7</f>
        <v>0</v>
      </c>
      <c r="F95" s="41" t="n">
        <f aca="false">IF(D95&gt;0.5,N($C$15),0)</f>
        <v>0</v>
      </c>
      <c r="G95" s="41" t="n">
        <f aca="false">IF(AND(D95&gt;0.5,N($C$19)&gt;0,N(B95)&lt;=N($C$20)),D95*$F$8,0)</f>
        <v>0</v>
      </c>
      <c r="H95" s="41" t="n">
        <f aca="false">IF(D95&lt;=0.5,0,MIN(IF(N(I95)&gt;0,I95,$F$9),D95+E95+F95))</f>
        <v>0</v>
      </c>
      <c r="I95" s="77"/>
      <c r="J95" s="77"/>
      <c r="K95" s="41" t="n">
        <f aca="false">IF(D95&lt;=0.5,0,MIN(H95+N(J95),D95+E95+F95))</f>
        <v>0</v>
      </c>
      <c r="L95" s="41" t="n">
        <f aca="false">K95-E95-F95</f>
        <v>0</v>
      </c>
      <c r="M95" s="41" t="n">
        <f aca="false">D95-L95</f>
        <v>0</v>
      </c>
      <c r="N95" s="42" t="n">
        <f aca="false">K95-G95</f>
        <v>0</v>
      </c>
      <c r="O95" s="78"/>
      <c r="P95" s="79"/>
      <c r="Q95" s="16" t="str">
        <f aca="false">IF(K95=0,"",IF(R95=1,"Pagada",IF(C95&lt;$F$12,"Vencida",IF(69=$F$13,"Próxima","Pendiente"))))</f>
        <v/>
      </c>
      <c r="R95" s="62" t="n">
        <f aca="false">IF(AND(K95&gt;0,OR(O95="Sí",O95="Si")),1,0)</f>
        <v>0</v>
      </c>
      <c r="S95" s="62" t="n">
        <f aca="false">IF(AND(K95&gt;0,R95=0),1,0)</f>
        <v>0</v>
      </c>
    </row>
    <row r="96" customFormat="false" ht="15" hidden="false" customHeight="false" outlineLevel="0" collapsed="false">
      <c r="B96" s="71" t="str">
        <f aca="false">IF($F$6="Sí",N($C$11)+69,"")</f>
        <v/>
      </c>
      <c r="C96" s="72" t="str">
        <f aca="false">IF(OR($F$6&lt;&gt;"Sí",D96&lt;=0.5),"",EDATE($C$10,69))</f>
        <v/>
      </c>
      <c r="D96" s="41" t="n">
        <f aca="false">MAX(0,M95)</f>
        <v>0</v>
      </c>
      <c r="E96" s="41" t="n">
        <f aca="false">D96*$F$7</f>
        <v>0</v>
      </c>
      <c r="F96" s="41" t="n">
        <f aca="false">IF(D96&gt;0.5,N($C$15),0)</f>
        <v>0</v>
      </c>
      <c r="G96" s="41" t="n">
        <f aca="false">IF(AND(D96&gt;0.5,N($C$19)&gt;0,N(B96)&lt;=N($C$20)),D96*$F$8,0)</f>
        <v>0</v>
      </c>
      <c r="H96" s="41" t="n">
        <f aca="false">IF(D96&lt;=0.5,0,MIN(IF(N(I96)&gt;0,I96,$F$9),D96+E96+F96))</f>
        <v>0</v>
      </c>
      <c r="I96" s="77"/>
      <c r="J96" s="77"/>
      <c r="K96" s="41" t="n">
        <f aca="false">IF(D96&lt;=0.5,0,MIN(H96+N(J96),D96+E96+F96))</f>
        <v>0</v>
      </c>
      <c r="L96" s="41" t="n">
        <f aca="false">K96-E96-F96</f>
        <v>0</v>
      </c>
      <c r="M96" s="41" t="n">
        <f aca="false">D96-L96</f>
        <v>0</v>
      </c>
      <c r="N96" s="42" t="n">
        <f aca="false">K96-G96</f>
        <v>0</v>
      </c>
      <c r="O96" s="78"/>
      <c r="P96" s="79"/>
      <c r="Q96" s="16" t="str">
        <f aca="false">IF(K96=0,"",IF(R96=1,"Pagada",IF(C96&lt;$F$12,"Vencida",IF(70=$F$13,"Próxima","Pendiente"))))</f>
        <v/>
      </c>
      <c r="R96" s="62" t="n">
        <f aca="false">IF(AND(K96&gt;0,OR(O96="Sí",O96="Si")),1,0)</f>
        <v>0</v>
      </c>
      <c r="S96" s="62" t="n">
        <f aca="false">IF(AND(K96&gt;0,R96=0),1,0)</f>
        <v>0</v>
      </c>
    </row>
    <row r="97" customFormat="false" ht="15" hidden="false" customHeight="false" outlineLevel="0" collapsed="false">
      <c r="B97" s="71" t="str">
        <f aca="false">IF($F$6="Sí",N($C$11)+70,"")</f>
        <v/>
      </c>
      <c r="C97" s="72" t="str">
        <f aca="false">IF(OR($F$6&lt;&gt;"Sí",D97&lt;=0.5),"",EDATE($C$10,70))</f>
        <v/>
      </c>
      <c r="D97" s="41" t="n">
        <f aca="false">MAX(0,M96)</f>
        <v>0</v>
      </c>
      <c r="E97" s="41" t="n">
        <f aca="false">D97*$F$7</f>
        <v>0</v>
      </c>
      <c r="F97" s="41" t="n">
        <f aca="false">IF(D97&gt;0.5,N($C$15),0)</f>
        <v>0</v>
      </c>
      <c r="G97" s="41" t="n">
        <f aca="false">IF(AND(D97&gt;0.5,N($C$19)&gt;0,N(B97)&lt;=N($C$20)),D97*$F$8,0)</f>
        <v>0</v>
      </c>
      <c r="H97" s="41" t="n">
        <f aca="false">IF(D97&lt;=0.5,0,MIN(IF(N(I97)&gt;0,I97,$F$9),D97+E97+F97))</f>
        <v>0</v>
      </c>
      <c r="I97" s="77"/>
      <c r="J97" s="77"/>
      <c r="K97" s="41" t="n">
        <f aca="false">IF(D97&lt;=0.5,0,MIN(H97+N(J97),D97+E97+F97))</f>
        <v>0</v>
      </c>
      <c r="L97" s="41" t="n">
        <f aca="false">K97-E97-F97</f>
        <v>0</v>
      </c>
      <c r="M97" s="41" t="n">
        <f aca="false">D97-L97</f>
        <v>0</v>
      </c>
      <c r="N97" s="42" t="n">
        <f aca="false">K97-G97</f>
        <v>0</v>
      </c>
      <c r="O97" s="78"/>
      <c r="P97" s="79"/>
      <c r="Q97" s="16" t="str">
        <f aca="false">IF(K97=0,"",IF(R97=1,"Pagada",IF(C97&lt;$F$12,"Vencida",IF(71=$F$13,"Próxima","Pendiente"))))</f>
        <v/>
      </c>
      <c r="R97" s="62" t="n">
        <f aca="false">IF(AND(K97&gt;0,OR(O97="Sí",O97="Si")),1,0)</f>
        <v>0</v>
      </c>
      <c r="S97" s="62" t="n">
        <f aca="false">IF(AND(K97&gt;0,R97=0),1,0)</f>
        <v>0</v>
      </c>
    </row>
    <row r="98" customFormat="false" ht="15" hidden="false" customHeight="false" outlineLevel="0" collapsed="false">
      <c r="B98" s="71" t="str">
        <f aca="false">IF($F$6="Sí",N($C$11)+71,"")</f>
        <v/>
      </c>
      <c r="C98" s="72" t="str">
        <f aca="false">IF(OR($F$6&lt;&gt;"Sí",D98&lt;=0.5),"",EDATE($C$10,71))</f>
        <v/>
      </c>
      <c r="D98" s="41" t="n">
        <f aca="false">MAX(0,M97)</f>
        <v>0</v>
      </c>
      <c r="E98" s="41" t="n">
        <f aca="false">D98*$F$7</f>
        <v>0</v>
      </c>
      <c r="F98" s="41" t="n">
        <f aca="false">IF(D98&gt;0.5,N($C$15),0)</f>
        <v>0</v>
      </c>
      <c r="G98" s="41" t="n">
        <f aca="false">IF(AND(D98&gt;0.5,N($C$19)&gt;0,N(B98)&lt;=N($C$20)),D98*$F$8,0)</f>
        <v>0</v>
      </c>
      <c r="H98" s="41" t="n">
        <f aca="false">IF(D98&lt;=0.5,0,MIN(IF(N(I98)&gt;0,I98,$F$9),D98+E98+F98))</f>
        <v>0</v>
      </c>
      <c r="I98" s="77"/>
      <c r="J98" s="77"/>
      <c r="K98" s="41" t="n">
        <f aca="false">IF(D98&lt;=0.5,0,MIN(H98+N(J98),D98+E98+F98))</f>
        <v>0</v>
      </c>
      <c r="L98" s="41" t="n">
        <f aca="false">K98-E98-F98</f>
        <v>0</v>
      </c>
      <c r="M98" s="41" t="n">
        <f aca="false">D98-L98</f>
        <v>0</v>
      </c>
      <c r="N98" s="42" t="n">
        <f aca="false">K98-G98</f>
        <v>0</v>
      </c>
      <c r="O98" s="78"/>
      <c r="P98" s="79"/>
      <c r="Q98" s="16" t="str">
        <f aca="false">IF(K98=0,"",IF(R98=1,"Pagada",IF(C98&lt;$F$12,"Vencida",IF(72=$F$13,"Próxima","Pendiente"))))</f>
        <v/>
      </c>
      <c r="R98" s="62" t="n">
        <f aca="false">IF(AND(K98&gt;0,OR(O98="Sí",O98="Si")),1,0)</f>
        <v>0</v>
      </c>
      <c r="S98" s="62" t="n">
        <f aca="false">IF(AND(K98&gt;0,R98=0),1,0)</f>
        <v>0</v>
      </c>
    </row>
    <row r="99" customFormat="false" ht="15" hidden="false" customHeight="false" outlineLevel="0" collapsed="false">
      <c r="B99" s="71" t="str">
        <f aca="false">IF($F$6="Sí",N($C$11)+72,"")</f>
        <v/>
      </c>
      <c r="C99" s="72" t="str">
        <f aca="false">IF(OR($F$6&lt;&gt;"Sí",D99&lt;=0.5),"",EDATE($C$10,72))</f>
        <v/>
      </c>
      <c r="D99" s="41" t="n">
        <f aca="false">MAX(0,M98)</f>
        <v>0</v>
      </c>
      <c r="E99" s="41" t="n">
        <f aca="false">D99*$F$7</f>
        <v>0</v>
      </c>
      <c r="F99" s="41" t="n">
        <f aca="false">IF(D99&gt;0.5,N($C$15),0)</f>
        <v>0</v>
      </c>
      <c r="G99" s="41" t="n">
        <f aca="false">IF(AND(D99&gt;0.5,N($C$19)&gt;0,N(B99)&lt;=N($C$20)),D99*$F$8,0)</f>
        <v>0</v>
      </c>
      <c r="H99" s="41" t="n">
        <f aca="false">IF(D99&lt;=0.5,0,MIN(IF(N(I99)&gt;0,I99,$F$9),D99+E99+F99))</f>
        <v>0</v>
      </c>
      <c r="I99" s="77"/>
      <c r="J99" s="77"/>
      <c r="K99" s="41" t="n">
        <f aca="false">IF(D99&lt;=0.5,0,MIN(H99+N(J99),D99+E99+F99))</f>
        <v>0</v>
      </c>
      <c r="L99" s="41" t="n">
        <f aca="false">K99-E99-F99</f>
        <v>0</v>
      </c>
      <c r="M99" s="41" t="n">
        <f aca="false">D99-L99</f>
        <v>0</v>
      </c>
      <c r="N99" s="42" t="n">
        <f aca="false">K99-G99</f>
        <v>0</v>
      </c>
      <c r="O99" s="78"/>
      <c r="P99" s="79"/>
      <c r="Q99" s="16" t="str">
        <f aca="false">IF(K99=0,"",IF(R99=1,"Pagada",IF(C99&lt;$F$12,"Vencida",IF(73=$F$13,"Próxima","Pendiente"))))</f>
        <v/>
      </c>
      <c r="R99" s="62" t="n">
        <f aca="false">IF(AND(K99&gt;0,OR(O99="Sí",O99="Si")),1,0)</f>
        <v>0</v>
      </c>
      <c r="S99" s="62" t="n">
        <f aca="false">IF(AND(K99&gt;0,R99=0),1,0)</f>
        <v>0</v>
      </c>
    </row>
    <row r="100" customFormat="false" ht="15" hidden="false" customHeight="false" outlineLevel="0" collapsed="false">
      <c r="B100" s="71" t="str">
        <f aca="false">IF($F$6="Sí",N($C$11)+73,"")</f>
        <v/>
      </c>
      <c r="C100" s="72" t="str">
        <f aca="false">IF(OR($F$6&lt;&gt;"Sí",D100&lt;=0.5),"",EDATE($C$10,73))</f>
        <v/>
      </c>
      <c r="D100" s="41" t="n">
        <f aca="false">MAX(0,M99)</f>
        <v>0</v>
      </c>
      <c r="E100" s="41" t="n">
        <f aca="false">D100*$F$7</f>
        <v>0</v>
      </c>
      <c r="F100" s="41" t="n">
        <f aca="false">IF(D100&gt;0.5,N($C$15),0)</f>
        <v>0</v>
      </c>
      <c r="G100" s="41" t="n">
        <f aca="false">IF(AND(D100&gt;0.5,N($C$19)&gt;0,N(B100)&lt;=N($C$20)),D100*$F$8,0)</f>
        <v>0</v>
      </c>
      <c r="H100" s="41" t="n">
        <f aca="false">IF(D100&lt;=0.5,0,MIN(IF(N(I100)&gt;0,I100,$F$9),D100+E100+F100))</f>
        <v>0</v>
      </c>
      <c r="I100" s="77"/>
      <c r="J100" s="77"/>
      <c r="K100" s="41" t="n">
        <f aca="false">IF(D100&lt;=0.5,0,MIN(H100+N(J100),D100+E100+F100))</f>
        <v>0</v>
      </c>
      <c r="L100" s="41" t="n">
        <f aca="false">K100-E100-F100</f>
        <v>0</v>
      </c>
      <c r="M100" s="41" t="n">
        <f aca="false">D100-L100</f>
        <v>0</v>
      </c>
      <c r="N100" s="42" t="n">
        <f aca="false">K100-G100</f>
        <v>0</v>
      </c>
      <c r="O100" s="78"/>
      <c r="P100" s="79"/>
      <c r="Q100" s="16" t="str">
        <f aca="false">IF(K100=0,"",IF(R100=1,"Pagada",IF(C100&lt;$F$12,"Vencida",IF(74=$F$13,"Próxima","Pendiente"))))</f>
        <v/>
      </c>
      <c r="R100" s="62" t="n">
        <f aca="false">IF(AND(K100&gt;0,OR(O100="Sí",O100="Si")),1,0)</f>
        <v>0</v>
      </c>
      <c r="S100" s="62" t="n">
        <f aca="false">IF(AND(K100&gt;0,R100=0),1,0)</f>
        <v>0</v>
      </c>
    </row>
    <row r="101" customFormat="false" ht="15" hidden="false" customHeight="false" outlineLevel="0" collapsed="false">
      <c r="B101" s="71" t="str">
        <f aca="false">IF($F$6="Sí",N($C$11)+74,"")</f>
        <v/>
      </c>
      <c r="C101" s="72" t="str">
        <f aca="false">IF(OR($F$6&lt;&gt;"Sí",D101&lt;=0.5),"",EDATE($C$10,74))</f>
        <v/>
      </c>
      <c r="D101" s="41" t="n">
        <f aca="false">MAX(0,M100)</f>
        <v>0</v>
      </c>
      <c r="E101" s="41" t="n">
        <f aca="false">D101*$F$7</f>
        <v>0</v>
      </c>
      <c r="F101" s="41" t="n">
        <f aca="false">IF(D101&gt;0.5,N($C$15),0)</f>
        <v>0</v>
      </c>
      <c r="G101" s="41" t="n">
        <f aca="false">IF(AND(D101&gt;0.5,N($C$19)&gt;0,N(B101)&lt;=N($C$20)),D101*$F$8,0)</f>
        <v>0</v>
      </c>
      <c r="H101" s="41" t="n">
        <f aca="false">IF(D101&lt;=0.5,0,MIN(IF(N(I101)&gt;0,I101,$F$9),D101+E101+F101))</f>
        <v>0</v>
      </c>
      <c r="I101" s="77"/>
      <c r="J101" s="77"/>
      <c r="K101" s="41" t="n">
        <f aca="false">IF(D101&lt;=0.5,0,MIN(H101+N(J101),D101+E101+F101))</f>
        <v>0</v>
      </c>
      <c r="L101" s="41" t="n">
        <f aca="false">K101-E101-F101</f>
        <v>0</v>
      </c>
      <c r="M101" s="41" t="n">
        <f aca="false">D101-L101</f>
        <v>0</v>
      </c>
      <c r="N101" s="42" t="n">
        <f aca="false">K101-G101</f>
        <v>0</v>
      </c>
      <c r="O101" s="78"/>
      <c r="P101" s="79"/>
      <c r="Q101" s="16" t="str">
        <f aca="false">IF(K101=0,"",IF(R101=1,"Pagada",IF(C101&lt;$F$12,"Vencida",IF(75=$F$13,"Próxima","Pendiente"))))</f>
        <v/>
      </c>
      <c r="R101" s="62" t="n">
        <f aca="false">IF(AND(K101&gt;0,OR(O101="Sí",O101="Si")),1,0)</f>
        <v>0</v>
      </c>
      <c r="S101" s="62" t="n">
        <f aca="false">IF(AND(K101&gt;0,R101=0),1,0)</f>
        <v>0</v>
      </c>
    </row>
    <row r="102" customFormat="false" ht="15" hidden="false" customHeight="false" outlineLevel="0" collapsed="false">
      <c r="B102" s="71" t="str">
        <f aca="false">IF($F$6="Sí",N($C$11)+75,"")</f>
        <v/>
      </c>
      <c r="C102" s="72" t="str">
        <f aca="false">IF(OR($F$6&lt;&gt;"Sí",D102&lt;=0.5),"",EDATE($C$10,75))</f>
        <v/>
      </c>
      <c r="D102" s="41" t="n">
        <f aca="false">MAX(0,M101)</f>
        <v>0</v>
      </c>
      <c r="E102" s="41" t="n">
        <f aca="false">D102*$F$7</f>
        <v>0</v>
      </c>
      <c r="F102" s="41" t="n">
        <f aca="false">IF(D102&gt;0.5,N($C$15),0)</f>
        <v>0</v>
      </c>
      <c r="G102" s="41" t="n">
        <f aca="false">IF(AND(D102&gt;0.5,N($C$19)&gt;0,N(B102)&lt;=N($C$20)),D102*$F$8,0)</f>
        <v>0</v>
      </c>
      <c r="H102" s="41" t="n">
        <f aca="false">IF(D102&lt;=0.5,0,MIN(IF(N(I102)&gt;0,I102,$F$9),D102+E102+F102))</f>
        <v>0</v>
      </c>
      <c r="I102" s="77"/>
      <c r="J102" s="77"/>
      <c r="K102" s="41" t="n">
        <f aca="false">IF(D102&lt;=0.5,0,MIN(H102+N(J102),D102+E102+F102))</f>
        <v>0</v>
      </c>
      <c r="L102" s="41" t="n">
        <f aca="false">K102-E102-F102</f>
        <v>0</v>
      </c>
      <c r="M102" s="41" t="n">
        <f aca="false">D102-L102</f>
        <v>0</v>
      </c>
      <c r="N102" s="42" t="n">
        <f aca="false">K102-G102</f>
        <v>0</v>
      </c>
      <c r="O102" s="78"/>
      <c r="P102" s="79"/>
      <c r="Q102" s="16" t="str">
        <f aca="false">IF(K102=0,"",IF(R102=1,"Pagada",IF(C102&lt;$F$12,"Vencida",IF(76=$F$13,"Próxima","Pendiente"))))</f>
        <v/>
      </c>
      <c r="R102" s="62" t="n">
        <f aca="false">IF(AND(K102&gt;0,OR(O102="Sí",O102="Si")),1,0)</f>
        <v>0</v>
      </c>
      <c r="S102" s="62" t="n">
        <f aca="false">IF(AND(K102&gt;0,R102=0),1,0)</f>
        <v>0</v>
      </c>
    </row>
    <row r="103" customFormat="false" ht="15" hidden="false" customHeight="false" outlineLevel="0" collapsed="false">
      <c r="B103" s="71" t="str">
        <f aca="false">IF($F$6="Sí",N($C$11)+76,"")</f>
        <v/>
      </c>
      <c r="C103" s="72" t="str">
        <f aca="false">IF(OR($F$6&lt;&gt;"Sí",D103&lt;=0.5),"",EDATE($C$10,76))</f>
        <v/>
      </c>
      <c r="D103" s="41" t="n">
        <f aca="false">MAX(0,M102)</f>
        <v>0</v>
      </c>
      <c r="E103" s="41" t="n">
        <f aca="false">D103*$F$7</f>
        <v>0</v>
      </c>
      <c r="F103" s="41" t="n">
        <f aca="false">IF(D103&gt;0.5,N($C$15),0)</f>
        <v>0</v>
      </c>
      <c r="G103" s="41" t="n">
        <f aca="false">IF(AND(D103&gt;0.5,N($C$19)&gt;0,N(B103)&lt;=N($C$20)),D103*$F$8,0)</f>
        <v>0</v>
      </c>
      <c r="H103" s="41" t="n">
        <f aca="false">IF(D103&lt;=0.5,0,MIN(IF(N(I103)&gt;0,I103,$F$9),D103+E103+F103))</f>
        <v>0</v>
      </c>
      <c r="I103" s="77"/>
      <c r="J103" s="77"/>
      <c r="K103" s="41" t="n">
        <f aca="false">IF(D103&lt;=0.5,0,MIN(H103+N(J103),D103+E103+F103))</f>
        <v>0</v>
      </c>
      <c r="L103" s="41" t="n">
        <f aca="false">K103-E103-F103</f>
        <v>0</v>
      </c>
      <c r="M103" s="41" t="n">
        <f aca="false">D103-L103</f>
        <v>0</v>
      </c>
      <c r="N103" s="42" t="n">
        <f aca="false">K103-G103</f>
        <v>0</v>
      </c>
      <c r="O103" s="78"/>
      <c r="P103" s="79"/>
      <c r="Q103" s="16" t="str">
        <f aca="false">IF(K103=0,"",IF(R103=1,"Pagada",IF(C103&lt;$F$12,"Vencida",IF(77=$F$13,"Próxima","Pendiente"))))</f>
        <v/>
      </c>
      <c r="R103" s="62" t="n">
        <f aca="false">IF(AND(K103&gt;0,OR(O103="Sí",O103="Si")),1,0)</f>
        <v>0</v>
      </c>
      <c r="S103" s="62" t="n">
        <f aca="false">IF(AND(K103&gt;0,R103=0),1,0)</f>
        <v>0</v>
      </c>
    </row>
    <row r="104" customFormat="false" ht="15" hidden="false" customHeight="false" outlineLevel="0" collapsed="false">
      <c r="B104" s="71" t="str">
        <f aca="false">IF($F$6="Sí",N($C$11)+77,"")</f>
        <v/>
      </c>
      <c r="C104" s="72" t="str">
        <f aca="false">IF(OR($F$6&lt;&gt;"Sí",D104&lt;=0.5),"",EDATE($C$10,77))</f>
        <v/>
      </c>
      <c r="D104" s="41" t="n">
        <f aca="false">MAX(0,M103)</f>
        <v>0</v>
      </c>
      <c r="E104" s="41" t="n">
        <f aca="false">D104*$F$7</f>
        <v>0</v>
      </c>
      <c r="F104" s="41" t="n">
        <f aca="false">IF(D104&gt;0.5,N($C$15),0)</f>
        <v>0</v>
      </c>
      <c r="G104" s="41" t="n">
        <f aca="false">IF(AND(D104&gt;0.5,N($C$19)&gt;0,N(B104)&lt;=N($C$20)),D104*$F$8,0)</f>
        <v>0</v>
      </c>
      <c r="H104" s="41" t="n">
        <f aca="false">IF(D104&lt;=0.5,0,MIN(IF(N(I104)&gt;0,I104,$F$9),D104+E104+F104))</f>
        <v>0</v>
      </c>
      <c r="I104" s="77"/>
      <c r="J104" s="77"/>
      <c r="K104" s="41" t="n">
        <f aca="false">IF(D104&lt;=0.5,0,MIN(H104+N(J104),D104+E104+F104))</f>
        <v>0</v>
      </c>
      <c r="L104" s="41" t="n">
        <f aca="false">K104-E104-F104</f>
        <v>0</v>
      </c>
      <c r="M104" s="41" t="n">
        <f aca="false">D104-L104</f>
        <v>0</v>
      </c>
      <c r="N104" s="42" t="n">
        <f aca="false">K104-G104</f>
        <v>0</v>
      </c>
      <c r="O104" s="78"/>
      <c r="P104" s="79"/>
      <c r="Q104" s="16" t="str">
        <f aca="false">IF(K104=0,"",IF(R104=1,"Pagada",IF(C104&lt;$F$12,"Vencida",IF(78=$F$13,"Próxima","Pendiente"))))</f>
        <v/>
      </c>
      <c r="R104" s="62" t="n">
        <f aca="false">IF(AND(K104&gt;0,OR(O104="Sí",O104="Si")),1,0)</f>
        <v>0</v>
      </c>
      <c r="S104" s="62" t="n">
        <f aca="false">IF(AND(K104&gt;0,R104=0),1,0)</f>
        <v>0</v>
      </c>
    </row>
    <row r="105" customFormat="false" ht="15" hidden="false" customHeight="false" outlineLevel="0" collapsed="false">
      <c r="B105" s="71" t="str">
        <f aca="false">IF($F$6="Sí",N($C$11)+78,"")</f>
        <v/>
      </c>
      <c r="C105" s="72" t="str">
        <f aca="false">IF(OR($F$6&lt;&gt;"Sí",D105&lt;=0.5),"",EDATE($C$10,78))</f>
        <v/>
      </c>
      <c r="D105" s="41" t="n">
        <f aca="false">MAX(0,M104)</f>
        <v>0</v>
      </c>
      <c r="E105" s="41" t="n">
        <f aca="false">D105*$F$7</f>
        <v>0</v>
      </c>
      <c r="F105" s="41" t="n">
        <f aca="false">IF(D105&gt;0.5,N($C$15),0)</f>
        <v>0</v>
      </c>
      <c r="G105" s="41" t="n">
        <f aca="false">IF(AND(D105&gt;0.5,N($C$19)&gt;0,N(B105)&lt;=N($C$20)),D105*$F$8,0)</f>
        <v>0</v>
      </c>
      <c r="H105" s="41" t="n">
        <f aca="false">IF(D105&lt;=0.5,0,MIN(IF(N(I105)&gt;0,I105,$F$9),D105+E105+F105))</f>
        <v>0</v>
      </c>
      <c r="I105" s="77"/>
      <c r="J105" s="77"/>
      <c r="K105" s="41" t="n">
        <f aca="false">IF(D105&lt;=0.5,0,MIN(H105+N(J105),D105+E105+F105))</f>
        <v>0</v>
      </c>
      <c r="L105" s="41" t="n">
        <f aca="false">K105-E105-F105</f>
        <v>0</v>
      </c>
      <c r="M105" s="41" t="n">
        <f aca="false">D105-L105</f>
        <v>0</v>
      </c>
      <c r="N105" s="42" t="n">
        <f aca="false">K105-G105</f>
        <v>0</v>
      </c>
      <c r="O105" s="78"/>
      <c r="P105" s="79"/>
      <c r="Q105" s="16" t="str">
        <f aca="false">IF(K105=0,"",IF(R105=1,"Pagada",IF(C105&lt;$F$12,"Vencida",IF(79=$F$13,"Próxima","Pendiente"))))</f>
        <v/>
      </c>
      <c r="R105" s="62" t="n">
        <f aca="false">IF(AND(K105&gt;0,OR(O105="Sí",O105="Si")),1,0)</f>
        <v>0</v>
      </c>
      <c r="S105" s="62" t="n">
        <f aca="false">IF(AND(K105&gt;0,R105=0),1,0)</f>
        <v>0</v>
      </c>
    </row>
    <row r="106" customFormat="false" ht="15" hidden="false" customHeight="false" outlineLevel="0" collapsed="false">
      <c r="B106" s="71" t="str">
        <f aca="false">IF($F$6="Sí",N($C$11)+79,"")</f>
        <v/>
      </c>
      <c r="C106" s="72" t="str">
        <f aca="false">IF(OR($F$6&lt;&gt;"Sí",D106&lt;=0.5),"",EDATE($C$10,79))</f>
        <v/>
      </c>
      <c r="D106" s="41" t="n">
        <f aca="false">MAX(0,M105)</f>
        <v>0</v>
      </c>
      <c r="E106" s="41" t="n">
        <f aca="false">D106*$F$7</f>
        <v>0</v>
      </c>
      <c r="F106" s="41" t="n">
        <f aca="false">IF(D106&gt;0.5,N($C$15),0)</f>
        <v>0</v>
      </c>
      <c r="G106" s="41" t="n">
        <f aca="false">IF(AND(D106&gt;0.5,N($C$19)&gt;0,N(B106)&lt;=N($C$20)),D106*$F$8,0)</f>
        <v>0</v>
      </c>
      <c r="H106" s="41" t="n">
        <f aca="false">IF(D106&lt;=0.5,0,MIN(IF(N(I106)&gt;0,I106,$F$9),D106+E106+F106))</f>
        <v>0</v>
      </c>
      <c r="I106" s="77"/>
      <c r="J106" s="77"/>
      <c r="K106" s="41" t="n">
        <f aca="false">IF(D106&lt;=0.5,0,MIN(H106+N(J106),D106+E106+F106))</f>
        <v>0</v>
      </c>
      <c r="L106" s="41" t="n">
        <f aca="false">K106-E106-F106</f>
        <v>0</v>
      </c>
      <c r="M106" s="41" t="n">
        <f aca="false">D106-L106</f>
        <v>0</v>
      </c>
      <c r="N106" s="42" t="n">
        <f aca="false">K106-G106</f>
        <v>0</v>
      </c>
      <c r="O106" s="78"/>
      <c r="P106" s="79"/>
      <c r="Q106" s="16" t="str">
        <f aca="false">IF(K106=0,"",IF(R106=1,"Pagada",IF(C106&lt;$F$12,"Vencida",IF(80=$F$13,"Próxima","Pendiente"))))</f>
        <v/>
      </c>
      <c r="R106" s="62" t="n">
        <f aca="false">IF(AND(K106&gt;0,OR(O106="Sí",O106="Si")),1,0)</f>
        <v>0</v>
      </c>
      <c r="S106" s="62" t="n">
        <f aca="false">IF(AND(K106&gt;0,R106=0),1,0)</f>
        <v>0</v>
      </c>
    </row>
    <row r="107" customFormat="false" ht="15" hidden="false" customHeight="false" outlineLevel="0" collapsed="false">
      <c r="B107" s="71" t="str">
        <f aca="false">IF($F$6="Sí",N($C$11)+80,"")</f>
        <v/>
      </c>
      <c r="C107" s="72" t="str">
        <f aca="false">IF(OR($F$6&lt;&gt;"Sí",D107&lt;=0.5),"",EDATE($C$10,80))</f>
        <v/>
      </c>
      <c r="D107" s="41" t="n">
        <f aca="false">MAX(0,M106)</f>
        <v>0</v>
      </c>
      <c r="E107" s="41" t="n">
        <f aca="false">D107*$F$7</f>
        <v>0</v>
      </c>
      <c r="F107" s="41" t="n">
        <f aca="false">IF(D107&gt;0.5,N($C$15),0)</f>
        <v>0</v>
      </c>
      <c r="G107" s="41" t="n">
        <f aca="false">IF(AND(D107&gt;0.5,N($C$19)&gt;0,N(B107)&lt;=N($C$20)),D107*$F$8,0)</f>
        <v>0</v>
      </c>
      <c r="H107" s="41" t="n">
        <f aca="false">IF(D107&lt;=0.5,0,MIN(IF(N(I107)&gt;0,I107,$F$9),D107+E107+F107))</f>
        <v>0</v>
      </c>
      <c r="I107" s="77"/>
      <c r="J107" s="77"/>
      <c r="K107" s="41" t="n">
        <f aca="false">IF(D107&lt;=0.5,0,MIN(H107+N(J107),D107+E107+F107))</f>
        <v>0</v>
      </c>
      <c r="L107" s="41" t="n">
        <f aca="false">K107-E107-F107</f>
        <v>0</v>
      </c>
      <c r="M107" s="41" t="n">
        <f aca="false">D107-L107</f>
        <v>0</v>
      </c>
      <c r="N107" s="42" t="n">
        <f aca="false">K107-G107</f>
        <v>0</v>
      </c>
      <c r="O107" s="78"/>
      <c r="P107" s="79"/>
      <c r="Q107" s="16" t="str">
        <f aca="false">IF(K107=0,"",IF(R107=1,"Pagada",IF(C107&lt;$F$12,"Vencida",IF(81=$F$13,"Próxima","Pendiente"))))</f>
        <v/>
      </c>
      <c r="R107" s="62" t="n">
        <f aca="false">IF(AND(K107&gt;0,OR(O107="Sí",O107="Si")),1,0)</f>
        <v>0</v>
      </c>
      <c r="S107" s="62" t="n">
        <f aca="false">IF(AND(K107&gt;0,R107=0),1,0)</f>
        <v>0</v>
      </c>
    </row>
    <row r="108" customFormat="false" ht="15" hidden="false" customHeight="false" outlineLevel="0" collapsed="false">
      <c r="B108" s="71" t="str">
        <f aca="false">IF($F$6="Sí",N($C$11)+81,"")</f>
        <v/>
      </c>
      <c r="C108" s="72" t="str">
        <f aca="false">IF(OR($F$6&lt;&gt;"Sí",D108&lt;=0.5),"",EDATE($C$10,81))</f>
        <v/>
      </c>
      <c r="D108" s="41" t="n">
        <f aca="false">MAX(0,M107)</f>
        <v>0</v>
      </c>
      <c r="E108" s="41" t="n">
        <f aca="false">D108*$F$7</f>
        <v>0</v>
      </c>
      <c r="F108" s="41" t="n">
        <f aca="false">IF(D108&gt;0.5,N($C$15),0)</f>
        <v>0</v>
      </c>
      <c r="G108" s="41" t="n">
        <f aca="false">IF(AND(D108&gt;0.5,N($C$19)&gt;0,N(B108)&lt;=N($C$20)),D108*$F$8,0)</f>
        <v>0</v>
      </c>
      <c r="H108" s="41" t="n">
        <f aca="false">IF(D108&lt;=0.5,0,MIN(IF(N(I108)&gt;0,I108,$F$9),D108+E108+F108))</f>
        <v>0</v>
      </c>
      <c r="I108" s="77"/>
      <c r="J108" s="77"/>
      <c r="K108" s="41" t="n">
        <f aca="false">IF(D108&lt;=0.5,0,MIN(H108+N(J108),D108+E108+F108))</f>
        <v>0</v>
      </c>
      <c r="L108" s="41" t="n">
        <f aca="false">K108-E108-F108</f>
        <v>0</v>
      </c>
      <c r="M108" s="41" t="n">
        <f aca="false">D108-L108</f>
        <v>0</v>
      </c>
      <c r="N108" s="42" t="n">
        <f aca="false">K108-G108</f>
        <v>0</v>
      </c>
      <c r="O108" s="78"/>
      <c r="P108" s="79"/>
      <c r="Q108" s="16" t="str">
        <f aca="false">IF(K108=0,"",IF(R108=1,"Pagada",IF(C108&lt;$F$12,"Vencida",IF(82=$F$13,"Próxima","Pendiente"))))</f>
        <v/>
      </c>
      <c r="R108" s="62" t="n">
        <f aca="false">IF(AND(K108&gt;0,OR(O108="Sí",O108="Si")),1,0)</f>
        <v>0</v>
      </c>
      <c r="S108" s="62" t="n">
        <f aca="false">IF(AND(K108&gt;0,R108=0),1,0)</f>
        <v>0</v>
      </c>
    </row>
    <row r="109" customFormat="false" ht="15" hidden="false" customHeight="false" outlineLevel="0" collapsed="false">
      <c r="B109" s="71" t="str">
        <f aca="false">IF($F$6="Sí",N($C$11)+82,"")</f>
        <v/>
      </c>
      <c r="C109" s="72" t="str">
        <f aca="false">IF(OR($F$6&lt;&gt;"Sí",D109&lt;=0.5),"",EDATE($C$10,82))</f>
        <v/>
      </c>
      <c r="D109" s="41" t="n">
        <f aca="false">MAX(0,M108)</f>
        <v>0</v>
      </c>
      <c r="E109" s="41" t="n">
        <f aca="false">D109*$F$7</f>
        <v>0</v>
      </c>
      <c r="F109" s="41" t="n">
        <f aca="false">IF(D109&gt;0.5,N($C$15),0)</f>
        <v>0</v>
      </c>
      <c r="G109" s="41" t="n">
        <f aca="false">IF(AND(D109&gt;0.5,N($C$19)&gt;0,N(B109)&lt;=N($C$20)),D109*$F$8,0)</f>
        <v>0</v>
      </c>
      <c r="H109" s="41" t="n">
        <f aca="false">IF(D109&lt;=0.5,0,MIN(IF(N(I109)&gt;0,I109,$F$9),D109+E109+F109))</f>
        <v>0</v>
      </c>
      <c r="I109" s="77"/>
      <c r="J109" s="77"/>
      <c r="K109" s="41" t="n">
        <f aca="false">IF(D109&lt;=0.5,0,MIN(H109+N(J109),D109+E109+F109))</f>
        <v>0</v>
      </c>
      <c r="L109" s="41" t="n">
        <f aca="false">K109-E109-F109</f>
        <v>0</v>
      </c>
      <c r="M109" s="41" t="n">
        <f aca="false">D109-L109</f>
        <v>0</v>
      </c>
      <c r="N109" s="42" t="n">
        <f aca="false">K109-G109</f>
        <v>0</v>
      </c>
      <c r="O109" s="78"/>
      <c r="P109" s="79"/>
      <c r="Q109" s="16" t="str">
        <f aca="false">IF(K109=0,"",IF(R109=1,"Pagada",IF(C109&lt;$F$12,"Vencida",IF(83=$F$13,"Próxima","Pendiente"))))</f>
        <v/>
      </c>
      <c r="R109" s="62" t="n">
        <f aca="false">IF(AND(K109&gt;0,OR(O109="Sí",O109="Si")),1,0)</f>
        <v>0</v>
      </c>
      <c r="S109" s="62" t="n">
        <f aca="false">IF(AND(K109&gt;0,R109=0),1,0)</f>
        <v>0</v>
      </c>
    </row>
    <row r="110" customFormat="false" ht="15" hidden="false" customHeight="false" outlineLevel="0" collapsed="false">
      <c r="B110" s="71" t="str">
        <f aca="false">IF($F$6="Sí",N($C$11)+83,"")</f>
        <v/>
      </c>
      <c r="C110" s="72" t="str">
        <f aca="false">IF(OR($F$6&lt;&gt;"Sí",D110&lt;=0.5),"",EDATE($C$10,83))</f>
        <v/>
      </c>
      <c r="D110" s="41" t="n">
        <f aca="false">MAX(0,M109)</f>
        <v>0</v>
      </c>
      <c r="E110" s="41" t="n">
        <f aca="false">D110*$F$7</f>
        <v>0</v>
      </c>
      <c r="F110" s="41" t="n">
        <f aca="false">IF(D110&gt;0.5,N($C$15),0)</f>
        <v>0</v>
      </c>
      <c r="G110" s="41" t="n">
        <f aca="false">IF(AND(D110&gt;0.5,N($C$19)&gt;0,N(B110)&lt;=N($C$20)),D110*$F$8,0)</f>
        <v>0</v>
      </c>
      <c r="H110" s="41" t="n">
        <f aca="false">IF(D110&lt;=0.5,0,MIN(IF(N(I110)&gt;0,I110,$F$9),D110+E110+F110))</f>
        <v>0</v>
      </c>
      <c r="I110" s="77"/>
      <c r="J110" s="77"/>
      <c r="K110" s="41" t="n">
        <f aca="false">IF(D110&lt;=0.5,0,MIN(H110+N(J110),D110+E110+F110))</f>
        <v>0</v>
      </c>
      <c r="L110" s="41" t="n">
        <f aca="false">K110-E110-F110</f>
        <v>0</v>
      </c>
      <c r="M110" s="41" t="n">
        <f aca="false">D110-L110</f>
        <v>0</v>
      </c>
      <c r="N110" s="42" t="n">
        <f aca="false">K110-G110</f>
        <v>0</v>
      </c>
      <c r="O110" s="78"/>
      <c r="P110" s="79"/>
      <c r="Q110" s="16" t="str">
        <f aca="false">IF(K110=0,"",IF(R110=1,"Pagada",IF(C110&lt;$F$12,"Vencida",IF(84=$F$13,"Próxima","Pendiente"))))</f>
        <v/>
      </c>
      <c r="R110" s="62" t="n">
        <f aca="false">IF(AND(K110&gt;0,OR(O110="Sí",O110="Si")),1,0)</f>
        <v>0</v>
      </c>
      <c r="S110" s="62" t="n">
        <f aca="false">IF(AND(K110&gt;0,R110=0),1,0)</f>
        <v>0</v>
      </c>
    </row>
    <row r="111" customFormat="false" ht="15" hidden="false" customHeight="false" outlineLevel="0" collapsed="false">
      <c r="B111" s="71" t="str">
        <f aca="false">IF($F$6="Sí",N($C$11)+84,"")</f>
        <v/>
      </c>
      <c r="C111" s="72" t="str">
        <f aca="false">IF(OR($F$6&lt;&gt;"Sí",D111&lt;=0.5),"",EDATE($C$10,84))</f>
        <v/>
      </c>
      <c r="D111" s="41" t="n">
        <f aca="false">MAX(0,M110)</f>
        <v>0</v>
      </c>
      <c r="E111" s="41" t="n">
        <f aca="false">D111*$F$7</f>
        <v>0</v>
      </c>
      <c r="F111" s="41" t="n">
        <f aca="false">IF(D111&gt;0.5,N($C$15),0)</f>
        <v>0</v>
      </c>
      <c r="G111" s="41" t="n">
        <f aca="false">IF(AND(D111&gt;0.5,N($C$19)&gt;0,N(B111)&lt;=N($C$20)),D111*$F$8,0)</f>
        <v>0</v>
      </c>
      <c r="H111" s="41" t="n">
        <f aca="false">IF(D111&lt;=0.5,0,MIN(IF(N(I111)&gt;0,I111,$F$9),D111+E111+F111))</f>
        <v>0</v>
      </c>
      <c r="I111" s="77"/>
      <c r="J111" s="77"/>
      <c r="K111" s="41" t="n">
        <f aca="false">IF(D111&lt;=0.5,0,MIN(H111+N(J111),D111+E111+F111))</f>
        <v>0</v>
      </c>
      <c r="L111" s="41" t="n">
        <f aca="false">K111-E111-F111</f>
        <v>0</v>
      </c>
      <c r="M111" s="41" t="n">
        <f aca="false">D111-L111</f>
        <v>0</v>
      </c>
      <c r="N111" s="42" t="n">
        <f aca="false">K111-G111</f>
        <v>0</v>
      </c>
      <c r="O111" s="78"/>
      <c r="P111" s="79"/>
      <c r="Q111" s="16" t="str">
        <f aca="false">IF(K111=0,"",IF(R111=1,"Pagada",IF(C111&lt;$F$12,"Vencida",IF(85=$F$13,"Próxima","Pendiente"))))</f>
        <v/>
      </c>
      <c r="R111" s="62" t="n">
        <f aca="false">IF(AND(K111&gt;0,OR(O111="Sí",O111="Si")),1,0)</f>
        <v>0</v>
      </c>
      <c r="S111" s="62" t="n">
        <f aca="false">IF(AND(K111&gt;0,R111=0),1,0)</f>
        <v>0</v>
      </c>
    </row>
    <row r="112" customFormat="false" ht="15" hidden="false" customHeight="false" outlineLevel="0" collapsed="false">
      <c r="B112" s="71" t="str">
        <f aca="false">IF($F$6="Sí",N($C$11)+85,"")</f>
        <v/>
      </c>
      <c r="C112" s="72" t="str">
        <f aca="false">IF(OR($F$6&lt;&gt;"Sí",D112&lt;=0.5),"",EDATE($C$10,85))</f>
        <v/>
      </c>
      <c r="D112" s="41" t="n">
        <f aca="false">MAX(0,M111)</f>
        <v>0</v>
      </c>
      <c r="E112" s="41" t="n">
        <f aca="false">D112*$F$7</f>
        <v>0</v>
      </c>
      <c r="F112" s="41" t="n">
        <f aca="false">IF(D112&gt;0.5,N($C$15),0)</f>
        <v>0</v>
      </c>
      <c r="G112" s="41" t="n">
        <f aca="false">IF(AND(D112&gt;0.5,N($C$19)&gt;0,N(B112)&lt;=N($C$20)),D112*$F$8,0)</f>
        <v>0</v>
      </c>
      <c r="H112" s="41" t="n">
        <f aca="false">IF(D112&lt;=0.5,0,MIN(IF(N(I112)&gt;0,I112,$F$9),D112+E112+F112))</f>
        <v>0</v>
      </c>
      <c r="I112" s="77"/>
      <c r="J112" s="77"/>
      <c r="K112" s="41" t="n">
        <f aca="false">IF(D112&lt;=0.5,0,MIN(H112+N(J112),D112+E112+F112))</f>
        <v>0</v>
      </c>
      <c r="L112" s="41" t="n">
        <f aca="false">K112-E112-F112</f>
        <v>0</v>
      </c>
      <c r="M112" s="41" t="n">
        <f aca="false">D112-L112</f>
        <v>0</v>
      </c>
      <c r="N112" s="42" t="n">
        <f aca="false">K112-G112</f>
        <v>0</v>
      </c>
      <c r="O112" s="78"/>
      <c r="P112" s="79"/>
      <c r="Q112" s="16" t="str">
        <f aca="false">IF(K112=0,"",IF(R112=1,"Pagada",IF(C112&lt;$F$12,"Vencida",IF(86=$F$13,"Próxima","Pendiente"))))</f>
        <v/>
      </c>
      <c r="R112" s="62" t="n">
        <f aca="false">IF(AND(K112&gt;0,OR(O112="Sí",O112="Si")),1,0)</f>
        <v>0</v>
      </c>
      <c r="S112" s="62" t="n">
        <f aca="false">IF(AND(K112&gt;0,R112=0),1,0)</f>
        <v>0</v>
      </c>
    </row>
    <row r="113" customFormat="false" ht="15" hidden="false" customHeight="false" outlineLevel="0" collapsed="false">
      <c r="B113" s="71" t="str">
        <f aca="false">IF($F$6="Sí",N($C$11)+86,"")</f>
        <v/>
      </c>
      <c r="C113" s="72" t="str">
        <f aca="false">IF(OR($F$6&lt;&gt;"Sí",D113&lt;=0.5),"",EDATE($C$10,86))</f>
        <v/>
      </c>
      <c r="D113" s="41" t="n">
        <f aca="false">MAX(0,M112)</f>
        <v>0</v>
      </c>
      <c r="E113" s="41" t="n">
        <f aca="false">D113*$F$7</f>
        <v>0</v>
      </c>
      <c r="F113" s="41" t="n">
        <f aca="false">IF(D113&gt;0.5,N($C$15),0)</f>
        <v>0</v>
      </c>
      <c r="G113" s="41" t="n">
        <f aca="false">IF(AND(D113&gt;0.5,N($C$19)&gt;0,N(B113)&lt;=N($C$20)),D113*$F$8,0)</f>
        <v>0</v>
      </c>
      <c r="H113" s="41" t="n">
        <f aca="false">IF(D113&lt;=0.5,0,MIN(IF(N(I113)&gt;0,I113,$F$9),D113+E113+F113))</f>
        <v>0</v>
      </c>
      <c r="I113" s="77"/>
      <c r="J113" s="77"/>
      <c r="K113" s="41" t="n">
        <f aca="false">IF(D113&lt;=0.5,0,MIN(H113+N(J113),D113+E113+F113))</f>
        <v>0</v>
      </c>
      <c r="L113" s="41" t="n">
        <f aca="false">K113-E113-F113</f>
        <v>0</v>
      </c>
      <c r="M113" s="41" t="n">
        <f aca="false">D113-L113</f>
        <v>0</v>
      </c>
      <c r="N113" s="42" t="n">
        <f aca="false">K113-G113</f>
        <v>0</v>
      </c>
      <c r="O113" s="78"/>
      <c r="P113" s="79"/>
      <c r="Q113" s="16" t="str">
        <f aca="false">IF(K113=0,"",IF(R113=1,"Pagada",IF(C113&lt;$F$12,"Vencida",IF(87=$F$13,"Próxima","Pendiente"))))</f>
        <v/>
      </c>
      <c r="R113" s="62" t="n">
        <f aca="false">IF(AND(K113&gt;0,OR(O113="Sí",O113="Si")),1,0)</f>
        <v>0</v>
      </c>
      <c r="S113" s="62" t="n">
        <f aca="false">IF(AND(K113&gt;0,R113=0),1,0)</f>
        <v>0</v>
      </c>
    </row>
    <row r="114" customFormat="false" ht="15" hidden="false" customHeight="false" outlineLevel="0" collapsed="false">
      <c r="B114" s="71" t="str">
        <f aca="false">IF($F$6="Sí",N($C$11)+87,"")</f>
        <v/>
      </c>
      <c r="C114" s="72" t="str">
        <f aca="false">IF(OR($F$6&lt;&gt;"Sí",D114&lt;=0.5),"",EDATE($C$10,87))</f>
        <v/>
      </c>
      <c r="D114" s="41" t="n">
        <f aca="false">MAX(0,M113)</f>
        <v>0</v>
      </c>
      <c r="E114" s="41" t="n">
        <f aca="false">D114*$F$7</f>
        <v>0</v>
      </c>
      <c r="F114" s="41" t="n">
        <f aca="false">IF(D114&gt;0.5,N($C$15),0)</f>
        <v>0</v>
      </c>
      <c r="G114" s="41" t="n">
        <f aca="false">IF(AND(D114&gt;0.5,N($C$19)&gt;0,N(B114)&lt;=N($C$20)),D114*$F$8,0)</f>
        <v>0</v>
      </c>
      <c r="H114" s="41" t="n">
        <f aca="false">IF(D114&lt;=0.5,0,MIN(IF(N(I114)&gt;0,I114,$F$9),D114+E114+F114))</f>
        <v>0</v>
      </c>
      <c r="I114" s="77"/>
      <c r="J114" s="77"/>
      <c r="K114" s="41" t="n">
        <f aca="false">IF(D114&lt;=0.5,0,MIN(H114+N(J114),D114+E114+F114))</f>
        <v>0</v>
      </c>
      <c r="L114" s="41" t="n">
        <f aca="false">K114-E114-F114</f>
        <v>0</v>
      </c>
      <c r="M114" s="41" t="n">
        <f aca="false">D114-L114</f>
        <v>0</v>
      </c>
      <c r="N114" s="42" t="n">
        <f aca="false">K114-G114</f>
        <v>0</v>
      </c>
      <c r="O114" s="78"/>
      <c r="P114" s="79"/>
      <c r="Q114" s="16" t="str">
        <f aca="false">IF(K114=0,"",IF(R114=1,"Pagada",IF(C114&lt;$F$12,"Vencida",IF(88=$F$13,"Próxima","Pendiente"))))</f>
        <v/>
      </c>
      <c r="R114" s="62" t="n">
        <f aca="false">IF(AND(K114&gt;0,OR(O114="Sí",O114="Si")),1,0)</f>
        <v>0</v>
      </c>
      <c r="S114" s="62" t="n">
        <f aca="false">IF(AND(K114&gt;0,R114=0),1,0)</f>
        <v>0</v>
      </c>
    </row>
    <row r="115" customFormat="false" ht="15" hidden="false" customHeight="false" outlineLevel="0" collapsed="false">
      <c r="B115" s="71" t="str">
        <f aca="false">IF($F$6="Sí",N($C$11)+88,"")</f>
        <v/>
      </c>
      <c r="C115" s="72" t="str">
        <f aca="false">IF(OR($F$6&lt;&gt;"Sí",D115&lt;=0.5),"",EDATE($C$10,88))</f>
        <v/>
      </c>
      <c r="D115" s="41" t="n">
        <f aca="false">MAX(0,M114)</f>
        <v>0</v>
      </c>
      <c r="E115" s="41" t="n">
        <f aca="false">D115*$F$7</f>
        <v>0</v>
      </c>
      <c r="F115" s="41" t="n">
        <f aca="false">IF(D115&gt;0.5,N($C$15),0)</f>
        <v>0</v>
      </c>
      <c r="G115" s="41" t="n">
        <f aca="false">IF(AND(D115&gt;0.5,N($C$19)&gt;0,N(B115)&lt;=N($C$20)),D115*$F$8,0)</f>
        <v>0</v>
      </c>
      <c r="H115" s="41" t="n">
        <f aca="false">IF(D115&lt;=0.5,0,MIN(IF(N(I115)&gt;0,I115,$F$9),D115+E115+F115))</f>
        <v>0</v>
      </c>
      <c r="I115" s="77"/>
      <c r="J115" s="77"/>
      <c r="K115" s="41" t="n">
        <f aca="false">IF(D115&lt;=0.5,0,MIN(H115+N(J115),D115+E115+F115))</f>
        <v>0</v>
      </c>
      <c r="L115" s="41" t="n">
        <f aca="false">K115-E115-F115</f>
        <v>0</v>
      </c>
      <c r="M115" s="41" t="n">
        <f aca="false">D115-L115</f>
        <v>0</v>
      </c>
      <c r="N115" s="42" t="n">
        <f aca="false">K115-G115</f>
        <v>0</v>
      </c>
      <c r="O115" s="78"/>
      <c r="P115" s="79"/>
      <c r="Q115" s="16" t="str">
        <f aca="false">IF(K115=0,"",IF(R115=1,"Pagada",IF(C115&lt;$F$12,"Vencida",IF(89=$F$13,"Próxima","Pendiente"))))</f>
        <v/>
      </c>
      <c r="R115" s="62" t="n">
        <f aca="false">IF(AND(K115&gt;0,OR(O115="Sí",O115="Si")),1,0)</f>
        <v>0</v>
      </c>
      <c r="S115" s="62" t="n">
        <f aca="false">IF(AND(K115&gt;0,R115=0),1,0)</f>
        <v>0</v>
      </c>
    </row>
    <row r="116" customFormat="false" ht="15" hidden="false" customHeight="false" outlineLevel="0" collapsed="false">
      <c r="B116" s="71" t="str">
        <f aca="false">IF($F$6="Sí",N($C$11)+89,"")</f>
        <v/>
      </c>
      <c r="C116" s="72" t="str">
        <f aca="false">IF(OR($F$6&lt;&gt;"Sí",D116&lt;=0.5),"",EDATE($C$10,89))</f>
        <v/>
      </c>
      <c r="D116" s="41" t="n">
        <f aca="false">MAX(0,M115)</f>
        <v>0</v>
      </c>
      <c r="E116" s="41" t="n">
        <f aca="false">D116*$F$7</f>
        <v>0</v>
      </c>
      <c r="F116" s="41" t="n">
        <f aca="false">IF(D116&gt;0.5,N($C$15),0)</f>
        <v>0</v>
      </c>
      <c r="G116" s="41" t="n">
        <f aca="false">IF(AND(D116&gt;0.5,N($C$19)&gt;0,N(B116)&lt;=N($C$20)),D116*$F$8,0)</f>
        <v>0</v>
      </c>
      <c r="H116" s="41" t="n">
        <f aca="false">IF(D116&lt;=0.5,0,MIN(IF(N(I116)&gt;0,I116,$F$9),D116+E116+F116))</f>
        <v>0</v>
      </c>
      <c r="I116" s="77"/>
      <c r="J116" s="77"/>
      <c r="K116" s="41" t="n">
        <f aca="false">IF(D116&lt;=0.5,0,MIN(H116+N(J116),D116+E116+F116))</f>
        <v>0</v>
      </c>
      <c r="L116" s="41" t="n">
        <f aca="false">K116-E116-F116</f>
        <v>0</v>
      </c>
      <c r="M116" s="41" t="n">
        <f aca="false">D116-L116</f>
        <v>0</v>
      </c>
      <c r="N116" s="42" t="n">
        <f aca="false">K116-G116</f>
        <v>0</v>
      </c>
      <c r="O116" s="78"/>
      <c r="P116" s="79"/>
      <c r="Q116" s="16" t="str">
        <f aca="false">IF(K116=0,"",IF(R116=1,"Pagada",IF(C116&lt;$F$12,"Vencida",IF(90=$F$13,"Próxima","Pendiente"))))</f>
        <v/>
      </c>
      <c r="R116" s="62" t="n">
        <f aca="false">IF(AND(K116&gt;0,OR(O116="Sí",O116="Si")),1,0)</f>
        <v>0</v>
      </c>
      <c r="S116" s="62" t="n">
        <f aca="false">IF(AND(K116&gt;0,R116=0),1,0)</f>
        <v>0</v>
      </c>
    </row>
    <row r="117" customFormat="false" ht="15" hidden="false" customHeight="false" outlineLevel="0" collapsed="false">
      <c r="B117" s="71" t="str">
        <f aca="false">IF($F$6="Sí",N($C$11)+90,"")</f>
        <v/>
      </c>
      <c r="C117" s="72" t="str">
        <f aca="false">IF(OR($F$6&lt;&gt;"Sí",D117&lt;=0.5),"",EDATE($C$10,90))</f>
        <v/>
      </c>
      <c r="D117" s="41" t="n">
        <f aca="false">MAX(0,M116)</f>
        <v>0</v>
      </c>
      <c r="E117" s="41" t="n">
        <f aca="false">D117*$F$7</f>
        <v>0</v>
      </c>
      <c r="F117" s="41" t="n">
        <f aca="false">IF(D117&gt;0.5,N($C$15),0)</f>
        <v>0</v>
      </c>
      <c r="G117" s="41" t="n">
        <f aca="false">IF(AND(D117&gt;0.5,N($C$19)&gt;0,N(B117)&lt;=N($C$20)),D117*$F$8,0)</f>
        <v>0</v>
      </c>
      <c r="H117" s="41" t="n">
        <f aca="false">IF(D117&lt;=0.5,0,MIN(IF(N(I117)&gt;0,I117,$F$9),D117+E117+F117))</f>
        <v>0</v>
      </c>
      <c r="I117" s="77"/>
      <c r="J117" s="77"/>
      <c r="K117" s="41" t="n">
        <f aca="false">IF(D117&lt;=0.5,0,MIN(H117+N(J117),D117+E117+F117))</f>
        <v>0</v>
      </c>
      <c r="L117" s="41" t="n">
        <f aca="false">K117-E117-F117</f>
        <v>0</v>
      </c>
      <c r="M117" s="41" t="n">
        <f aca="false">D117-L117</f>
        <v>0</v>
      </c>
      <c r="N117" s="42" t="n">
        <f aca="false">K117-G117</f>
        <v>0</v>
      </c>
      <c r="O117" s="78"/>
      <c r="P117" s="79"/>
      <c r="Q117" s="16" t="str">
        <f aca="false">IF(K117=0,"",IF(R117=1,"Pagada",IF(C117&lt;$F$12,"Vencida",IF(91=$F$13,"Próxima","Pendiente"))))</f>
        <v/>
      </c>
      <c r="R117" s="62" t="n">
        <f aca="false">IF(AND(K117&gt;0,OR(O117="Sí",O117="Si")),1,0)</f>
        <v>0</v>
      </c>
      <c r="S117" s="62" t="n">
        <f aca="false">IF(AND(K117&gt;0,R117=0),1,0)</f>
        <v>0</v>
      </c>
    </row>
    <row r="118" customFormat="false" ht="15" hidden="false" customHeight="false" outlineLevel="0" collapsed="false">
      <c r="B118" s="71" t="str">
        <f aca="false">IF($F$6="Sí",N($C$11)+91,"")</f>
        <v/>
      </c>
      <c r="C118" s="72" t="str">
        <f aca="false">IF(OR($F$6&lt;&gt;"Sí",D118&lt;=0.5),"",EDATE($C$10,91))</f>
        <v/>
      </c>
      <c r="D118" s="41" t="n">
        <f aca="false">MAX(0,M117)</f>
        <v>0</v>
      </c>
      <c r="E118" s="41" t="n">
        <f aca="false">D118*$F$7</f>
        <v>0</v>
      </c>
      <c r="F118" s="41" t="n">
        <f aca="false">IF(D118&gt;0.5,N($C$15),0)</f>
        <v>0</v>
      </c>
      <c r="G118" s="41" t="n">
        <f aca="false">IF(AND(D118&gt;0.5,N($C$19)&gt;0,N(B118)&lt;=N($C$20)),D118*$F$8,0)</f>
        <v>0</v>
      </c>
      <c r="H118" s="41" t="n">
        <f aca="false">IF(D118&lt;=0.5,0,MIN(IF(N(I118)&gt;0,I118,$F$9),D118+E118+F118))</f>
        <v>0</v>
      </c>
      <c r="I118" s="77"/>
      <c r="J118" s="77"/>
      <c r="K118" s="41" t="n">
        <f aca="false">IF(D118&lt;=0.5,0,MIN(H118+N(J118),D118+E118+F118))</f>
        <v>0</v>
      </c>
      <c r="L118" s="41" t="n">
        <f aca="false">K118-E118-F118</f>
        <v>0</v>
      </c>
      <c r="M118" s="41" t="n">
        <f aca="false">D118-L118</f>
        <v>0</v>
      </c>
      <c r="N118" s="42" t="n">
        <f aca="false">K118-G118</f>
        <v>0</v>
      </c>
      <c r="O118" s="78"/>
      <c r="P118" s="79"/>
      <c r="Q118" s="16" t="str">
        <f aca="false">IF(K118=0,"",IF(R118=1,"Pagada",IF(C118&lt;$F$12,"Vencida",IF(92=$F$13,"Próxima","Pendiente"))))</f>
        <v/>
      </c>
      <c r="R118" s="62" t="n">
        <f aca="false">IF(AND(K118&gt;0,OR(O118="Sí",O118="Si")),1,0)</f>
        <v>0</v>
      </c>
      <c r="S118" s="62" t="n">
        <f aca="false">IF(AND(K118&gt;0,R118=0),1,0)</f>
        <v>0</v>
      </c>
    </row>
    <row r="119" customFormat="false" ht="15" hidden="false" customHeight="false" outlineLevel="0" collapsed="false">
      <c r="B119" s="71" t="str">
        <f aca="false">IF($F$6="Sí",N($C$11)+92,"")</f>
        <v/>
      </c>
      <c r="C119" s="72" t="str">
        <f aca="false">IF(OR($F$6&lt;&gt;"Sí",D119&lt;=0.5),"",EDATE($C$10,92))</f>
        <v/>
      </c>
      <c r="D119" s="41" t="n">
        <f aca="false">MAX(0,M118)</f>
        <v>0</v>
      </c>
      <c r="E119" s="41" t="n">
        <f aca="false">D119*$F$7</f>
        <v>0</v>
      </c>
      <c r="F119" s="41" t="n">
        <f aca="false">IF(D119&gt;0.5,N($C$15),0)</f>
        <v>0</v>
      </c>
      <c r="G119" s="41" t="n">
        <f aca="false">IF(AND(D119&gt;0.5,N($C$19)&gt;0,N(B119)&lt;=N($C$20)),D119*$F$8,0)</f>
        <v>0</v>
      </c>
      <c r="H119" s="41" t="n">
        <f aca="false">IF(D119&lt;=0.5,0,MIN(IF(N(I119)&gt;0,I119,$F$9),D119+E119+F119))</f>
        <v>0</v>
      </c>
      <c r="I119" s="77"/>
      <c r="J119" s="77"/>
      <c r="K119" s="41" t="n">
        <f aca="false">IF(D119&lt;=0.5,0,MIN(H119+N(J119),D119+E119+F119))</f>
        <v>0</v>
      </c>
      <c r="L119" s="41" t="n">
        <f aca="false">K119-E119-F119</f>
        <v>0</v>
      </c>
      <c r="M119" s="41" t="n">
        <f aca="false">D119-L119</f>
        <v>0</v>
      </c>
      <c r="N119" s="42" t="n">
        <f aca="false">K119-G119</f>
        <v>0</v>
      </c>
      <c r="O119" s="78"/>
      <c r="P119" s="79"/>
      <c r="Q119" s="16" t="str">
        <f aca="false">IF(K119=0,"",IF(R119=1,"Pagada",IF(C119&lt;$F$12,"Vencida",IF(93=$F$13,"Próxima","Pendiente"))))</f>
        <v/>
      </c>
      <c r="R119" s="62" t="n">
        <f aca="false">IF(AND(K119&gt;0,OR(O119="Sí",O119="Si")),1,0)</f>
        <v>0</v>
      </c>
      <c r="S119" s="62" t="n">
        <f aca="false">IF(AND(K119&gt;0,R119=0),1,0)</f>
        <v>0</v>
      </c>
    </row>
    <row r="120" customFormat="false" ht="15" hidden="false" customHeight="false" outlineLevel="0" collapsed="false">
      <c r="B120" s="71" t="str">
        <f aca="false">IF($F$6="Sí",N($C$11)+93,"")</f>
        <v/>
      </c>
      <c r="C120" s="72" t="str">
        <f aca="false">IF(OR($F$6&lt;&gt;"Sí",D120&lt;=0.5),"",EDATE($C$10,93))</f>
        <v/>
      </c>
      <c r="D120" s="41" t="n">
        <f aca="false">MAX(0,M119)</f>
        <v>0</v>
      </c>
      <c r="E120" s="41" t="n">
        <f aca="false">D120*$F$7</f>
        <v>0</v>
      </c>
      <c r="F120" s="41" t="n">
        <f aca="false">IF(D120&gt;0.5,N($C$15),0)</f>
        <v>0</v>
      </c>
      <c r="G120" s="41" t="n">
        <f aca="false">IF(AND(D120&gt;0.5,N($C$19)&gt;0,N(B120)&lt;=N($C$20)),D120*$F$8,0)</f>
        <v>0</v>
      </c>
      <c r="H120" s="41" t="n">
        <f aca="false">IF(D120&lt;=0.5,0,MIN(IF(N(I120)&gt;0,I120,$F$9),D120+E120+F120))</f>
        <v>0</v>
      </c>
      <c r="I120" s="77"/>
      <c r="J120" s="77"/>
      <c r="K120" s="41" t="n">
        <f aca="false">IF(D120&lt;=0.5,0,MIN(H120+N(J120),D120+E120+F120))</f>
        <v>0</v>
      </c>
      <c r="L120" s="41" t="n">
        <f aca="false">K120-E120-F120</f>
        <v>0</v>
      </c>
      <c r="M120" s="41" t="n">
        <f aca="false">D120-L120</f>
        <v>0</v>
      </c>
      <c r="N120" s="42" t="n">
        <f aca="false">K120-G120</f>
        <v>0</v>
      </c>
      <c r="O120" s="78"/>
      <c r="P120" s="79"/>
      <c r="Q120" s="16" t="str">
        <f aca="false">IF(K120=0,"",IF(R120=1,"Pagada",IF(C120&lt;$F$12,"Vencida",IF(94=$F$13,"Próxima","Pendiente"))))</f>
        <v/>
      </c>
      <c r="R120" s="62" t="n">
        <f aca="false">IF(AND(K120&gt;0,OR(O120="Sí",O120="Si")),1,0)</f>
        <v>0</v>
      </c>
      <c r="S120" s="62" t="n">
        <f aca="false">IF(AND(K120&gt;0,R120=0),1,0)</f>
        <v>0</v>
      </c>
    </row>
    <row r="121" customFormat="false" ht="15" hidden="false" customHeight="false" outlineLevel="0" collapsed="false">
      <c r="B121" s="71" t="str">
        <f aca="false">IF($F$6="Sí",N($C$11)+94,"")</f>
        <v/>
      </c>
      <c r="C121" s="72" t="str">
        <f aca="false">IF(OR($F$6&lt;&gt;"Sí",D121&lt;=0.5),"",EDATE($C$10,94))</f>
        <v/>
      </c>
      <c r="D121" s="41" t="n">
        <f aca="false">MAX(0,M120)</f>
        <v>0</v>
      </c>
      <c r="E121" s="41" t="n">
        <f aca="false">D121*$F$7</f>
        <v>0</v>
      </c>
      <c r="F121" s="41" t="n">
        <f aca="false">IF(D121&gt;0.5,N($C$15),0)</f>
        <v>0</v>
      </c>
      <c r="G121" s="41" t="n">
        <f aca="false">IF(AND(D121&gt;0.5,N($C$19)&gt;0,N(B121)&lt;=N($C$20)),D121*$F$8,0)</f>
        <v>0</v>
      </c>
      <c r="H121" s="41" t="n">
        <f aca="false">IF(D121&lt;=0.5,0,MIN(IF(N(I121)&gt;0,I121,$F$9),D121+E121+F121))</f>
        <v>0</v>
      </c>
      <c r="I121" s="77"/>
      <c r="J121" s="77"/>
      <c r="K121" s="41" t="n">
        <f aca="false">IF(D121&lt;=0.5,0,MIN(H121+N(J121),D121+E121+F121))</f>
        <v>0</v>
      </c>
      <c r="L121" s="41" t="n">
        <f aca="false">K121-E121-F121</f>
        <v>0</v>
      </c>
      <c r="M121" s="41" t="n">
        <f aca="false">D121-L121</f>
        <v>0</v>
      </c>
      <c r="N121" s="42" t="n">
        <f aca="false">K121-G121</f>
        <v>0</v>
      </c>
      <c r="O121" s="78"/>
      <c r="P121" s="79"/>
      <c r="Q121" s="16" t="str">
        <f aca="false">IF(K121=0,"",IF(R121=1,"Pagada",IF(C121&lt;$F$12,"Vencida",IF(95=$F$13,"Próxima","Pendiente"))))</f>
        <v/>
      </c>
      <c r="R121" s="62" t="n">
        <f aca="false">IF(AND(K121&gt;0,OR(O121="Sí",O121="Si")),1,0)</f>
        <v>0</v>
      </c>
      <c r="S121" s="62" t="n">
        <f aca="false">IF(AND(K121&gt;0,R121=0),1,0)</f>
        <v>0</v>
      </c>
    </row>
    <row r="122" customFormat="false" ht="15" hidden="false" customHeight="false" outlineLevel="0" collapsed="false">
      <c r="B122" s="71" t="str">
        <f aca="false">IF($F$6="Sí",N($C$11)+95,"")</f>
        <v/>
      </c>
      <c r="C122" s="72" t="str">
        <f aca="false">IF(OR($F$6&lt;&gt;"Sí",D122&lt;=0.5),"",EDATE($C$10,95))</f>
        <v/>
      </c>
      <c r="D122" s="41" t="n">
        <f aca="false">MAX(0,M121)</f>
        <v>0</v>
      </c>
      <c r="E122" s="41" t="n">
        <f aca="false">D122*$F$7</f>
        <v>0</v>
      </c>
      <c r="F122" s="41" t="n">
        <f aca="false">IF(D122&gt;0.5,N($C$15),0)</f>
        <v>0</v>
      </c>
      <c r="G122" s="41" t="n">
        <f aca="false">IF(AND(D122&gt;0.5,N($C$19)&gt;0,N(B122)&lt;=N($C$20)),D122*$F$8,0)</f>
        <v>0</v>
      </c>
      <c r="H122" s="41" t="n">
        <f aca="false">IF(D122&lt;=0.5,0,MIN(IF(N(I122)&gt;0,I122,$F$9),D122+E122+F122))</f>
        <v>0</v>
      </c>
      <c r="I122" s="77"/>
      <c r="J122" s="77"/>
      <c r="K122" s="41" t="n">
        <f aca="false">IF(D122&lt;=0.5,0,MIN(H122+N(J122),D122+E122+F122))</f>
        <v>0</v>
      </c>
      <c r="L122" s="41" t="n">
        <f aca="false">K122-E122-F122</f>
        <v>0</v>
      </c>
      <c r="M122" s="41" t="n">
        <f aca="false">D122-L122</f>
        <v>0</v>
      </c>
      <c r="N122" s="42" t="n">
        <f aca="false">K122-G122</f>
        <v>0</v>
      </c>
      <c r="O122" s="78"/>
      <c r="P122" s="79"/>
      <c r="Q122" s="16" t="str">
        <f aca="false">IF(K122=0,"",IF(R122=1,"Pagada",IF(C122&lt;$F$12,"Vencida",IF(96=$F$13,"Próxima","Pendiente"))))</f>
        <v/>
      </c>
      <c r="R122" s="62" t="n">
        <f aca="false">IF(AND(K122&gt;0,OR(O122="Sí",O122="Si")),1,0)</f>
        <v>0</v>
      </c>
      <c r="S122" s="62" t="n">
        <f aca="false">IF(AND(K122&gt;0,R122=0),1,0)</f>
        <v>0</v>
      </c>
    </row>
    <row r="123" customFormat="false" ht="15" hidden="false" customHeight="false" outlineLevel="0" collapsed="false">
      <c r="B123" s="71" t="str">
        <f aca="false">IF($F$6="Sí",N($C$11)+96,"")</f>
        <v/>
      </c>
      <c r="C123" s="72" t="str">
        <f aca="false">IF(OR($F$6&lt;&gt;"Sí",D123&lt;=0.5),"",EDATE($C$10,96))</f>
        <v/>
      </c>
      <c r="D123" s="41" t="n">
        <f aca="false">MAX(0,M122)</f>
        <v>0</v>
      </c>
      <c r="E123" s="41" t="n">
        <f aca="false">D123*$F$7</f>
        <v>0</v>
      </c>
      <c r="F123" s="41" t="n">
        <f aca="false">IF(D123&gt;0.5,N($C$15),0)</f>
        <v>0</v>
      </c>
      <c r="G123" s="41" t="n">
        <f aca="false">IF(AND(D123&gt;0.5,N($C$19)&gt;0,N(B123)&lt;=N($C$20)),D123*$F$8,0)</f>
        <v>0</v>
      </c>
      <c r="H123" s="41" t="n">
        <f aca="false">IF(D123&lt;=0.5,0,MIN(IF(N(I123)&gt;0,I123,$F$9),D123+E123+F123))</f>
        <v>0</v>
      </c>
      <c r="I123" s="77"/>
      <c r="J123" s="77"/>
      <c r="K123" s="41" t="n">
        <f aca="false">IF(D123&lt;=0.5,0,MIN(H123+N(J123),D123+E123+F123))</f>
        <v>0</v>
      </c>
      <c r="L123" s="41" t="n">
        <f aca="false">K123-E123-F123</f>
        <v>0</v>
      </c>
      <c r="M123" s="41" t="n">
        <f aca="false">D123-L123</f>
        <v>0</v>
      </c>
      <c r="N123" s="42" t="n">
        <f aca="false">K123-G123</f>
        <v>0</v>
      </c>
      <c r="O123" s="78"/>
      <c r="P123" s="79"/>
      <c r="Q123" s="16" t="str">
        <f aca="false">IF(K123=0,"",IF(R123=1,"Pagada",IF(C123&lt;$F$12,"Vencida",IF(97=$F$13,"Próxima","Pendiente"))))</f>
        <v/>
      </c>
      <c r="R123" s="62" t="n">
        <f aca="false">IF(AND(K123&gt;0,OR(O123="Sí",O123="Si")),1,0)</f>
        <v>0</v>
      </c>
      <c r="S123" s="62" t="n">
        <f aca="false">IF(AND(K123&gt;0,R123=0),1,0)</f>
        <v>0</v>
      </c>
    </row>
    <row r="124" customFormat="false" ht="15" hidden="false" customHeight="false" outlineLevel="0" collapsed="false">
      <c r="B124" s="71" t="str">
        <f aca="false">IF($F$6="Sí",N($C$11)+97,"")</f>
        <v/>
      </c>
      <c r="C124" s="72" t="str">
        <f aca="false">IF(OR($F$6&lt;&gt;"Sí",D124&lt;=0.5),"",EDATE($C$10,97))</f>
        <v/>
      </c>
      <c r="D124" s="41" t="n">
        <f aca="false">MAX(0,M123)</f>
        <v>0</v>
      </c>
      <c r="E124" s="41" t="n">
        <f aca="false">D124*$F$7</f>
        <v>0</v>
      </c>
      <c r="F124" s="41" t="n">
        <f aca="false">IF(D124&gt;0.5,N($C$15),0)</f>
        <v>0</v>
      </c>
      <c r="G124" s="41" t="n">
        <f aca="false">IF(AND(D124&gt;0.5,N($C$19)&gt;0,N(B124)&lt;=N($C$20)),D124*$F$8,0)</f>
        <v>0</v>
      </c>
      <c r="H124" s="41" t="n">
        <f aca="false">IF(D124&lt;=0.5,0,MIN(IF(N(I124)&gt;0,I124,$F$9),D124+E124+F124))</f>
        <v>0</v>
      </c>
      <c r="I124" s="77"/>
      <c r="J124" s="77"/>
      <c r="K124" s="41" t="n">
        <f aca="false">IF(D124&lt;=0.5,0,MIN(H124+N(J124),D124+E124+F124))</f>
        <v>0</v>
      </c>
      <c r="L124" s="41" t="n">
        <f aca="false">K124-E124-F124</f>
        <v>0</v>
      </c>
      <c r="M124" s="41" t="n">
        <f aca="false">D124-L124</f>
        <v>0</v>
      </c>
      <c r="N124" s="42" t="n">
        <f aca="false">K124-G124</f>
        <v>0</v>
      </c>
      <c r="O124" s="78"/>
      <c r="P124" s="79"/>
      <c r="Q124" s="16" t="str">
        <f aca="false">IF(K124=0,"",IF(R124=1,"Pagada",IF(C124&lt;$F$12,"Vencida",IF(98=$F$13,"Próxima","Pendiente"))))</f>
        <v/>
      </c>
      <c r="R124" s="62" t="n">
        <f aca="false">IF(AND(K124&gt;0,OR(O124="Sí",O124="Si")),1,0)</f>
        <v>0</v>
      </c>
      <c r="S124" s="62" t="n">
        <f aca="false">IF(AND(K124&gt;0,R124=0),1,0)</f>
        <v>0</v>
      </c>
    </row>
    <row r="125" customFormat="false" ht="15" hidden="false" customHeight="false" outlineLevel="0" collapsed="false">
      <c r="B125" s="71" t="str">
        <f aca="false">IF($F$6="Sí",N($C$11)+98,"")</f>
        <v/>
      </c>
      <c r="C125" s="72" t="str">
        <f aca="false">IF(OR($F$6&lt;&gt;"Sí",D125&lt;=0.5),"",EDATE($C$10,98))</f>
        <v/>
      </c>
      <c r="D125" s="41" t="n">
        <f aca="false">MAX(0,M124)</f>
        <v>0</v>
      </c>
      <c r="E125" s="41" t="n">
        <f aca="false">D125*$F$7</f>
        <v>0</v>
      </c>
      <c r="F125" s="41" t="n">
        <f aca="false">IF(D125&gt;0.5,N($C$15),0)</f>
        <v>0</v>
      </c>
      <c r="G125" s="41" t="n">
        <f aca="false">IF(AND(D125&gt;0.5,N($C$19)&gt;0,N(B125)&lt;=N($C$20)),D125*$F$8,0)</f>
        <v>0</v>
      </c>
      <c r="H125" s="41" t="n">
        <f aca="false">IF(D125&lt;=0.5,0,MIN(IF(N(I125)&gt;0,I125,$F$9),D125+E125+F125))</f>
        <v>0</v>
      </c>
      <c r="I125" s="77"/>
      <c r="J125" s="77"/>
      <c r="K125" s="41" t="n">
        <f aca="false">IF(D125&lt;=0.5,0,MIN(H125+N(J125),D125+E125+F125))</f>
        <v>0</v>
      </c>
      <c r="L125" s="41" t="n">
        <f aca="false">K125-E125-F125</f>
        <v>0</v>
      </c>
      <c r="M125" s="41" t="n">
        <f aca="false">D125-L125</f>
        <v>0</v>
      </c>
      <c r="N125" s="42" t="n">
        <f aca="false">K125-G125</f>
        <v>0</v>
      </c>
      <c r="O125" s="78"/>
      <c r="P125" s="79"/>
      <c r="Q125" s="16" t="str">
        <f aca="false">IF(K125=0,"",IF(R125=1,"Pagada",IF(C125&lt;$F$12,"Vencida",IF(99=$F$13,"Próxima","Pendiente"))))</f>
        <v/>
      </c>
      <c r="R125" s="62" t="n">
        <f aca="false">IF(AND(K125&gt;0,OR(O125="Sí",O125="Si")),1,0)</f>
        <v>0</v>
      </c>
      <c r="S125" s="62" t="n">
        <f aca="false">IF(AND(K125&gt;0,R125=0),1,0)</f>
        <v>0</v>
      </c>
    </row>
    <row r="126" customFormat="false" ht="15" hidden="false" customHeight="false" outlineLevel="0" collapsed="false">
      <c r="B126" s="71" t="str">
        <f aca="false">IF($F$6="Sí",N($C$11)+99,"")</f>
        <v/>
      </c>
      <c r="C126" s="72" t="str">
        <f aca="false">IF(OR($F$6&lt;&gt;"Sí",D126&lt;=0.5),"",EDATE($C$10,99))</f>
        <v/>
      </c>
      <c r="D126" s="41" t="n">
        <f aca="false">MAX(0,M125)</f>
        <v>0</v>
      </c>
      <c r="E126" s="41" t="n">
        <f aca="false">D126*$F$7</f>
        <v>0</v>
      </c>
      <c r="F126" s="41" t="n">
        <f aca="false">IF(D126&gt;0.5,N($C$15),0)</f>
        <v>0</v>
      </c>
      <c r="G126" s="41" t="n">
        <f aca="false">IF(AND(D126&gt;0.5,N($C$19)&gt;0,N(B126)&lt;=N($C$20)),D126*$F$8,0)</f>
        <v>0</v>
      </c>
      <c r="H126" s="41" t="n">
        <f aca="false">IF(D126&lt;=0.5,0,MIN(IF(N(I126)&gt;0,I126,$F$9),D126+E126+F126))</f>
        <v>0</v>
      </c>
      <c r="I126" s="77"/>
      <c r="J126" s="77"/>
      <c r="K126" s="41" t="n">
        <f aca="false">IF(D126&lt;=0.5,0,MIN(H126+N(J126),D126+E126+F126))</f>
        <v>0</v>
      </c>
      <c r="L126" s="41" t="n">
        <f aca="false">K126-E126-F126</f>
        <v>0</v>
      </c>
      <c r="M126" s="41" t="n">
        <f aca="false">D126-L126</f>
        <v>0</v>
      </c>
      <c r="N126" s="42" t="n">
        <f aca="false">K126-G126</f>
        <v>0</v>
      </c>
      <c r="O126" s="78"/>
      <c r="P126" s="79"/>
      <c r="Q126" s="16" t="str">
        <f aca="false">IF(K126=0,"",IF(R126=1,"Pagada",IF(C126&lt;$F$12,"Vencida",IF(100=$F$13,"Próxima","Pendiente"))))</f>
        <v/>
      </c>
      <c r="R126" s="62" t="n">
        <f aca="false">IF(AND(K126&gt;0,OR(O126="Sí",O126="Si")),1,0)</f>
        <v>0</v>
      </c>
      <c r="S126" s="62" t="n">
        <f aca="false">IF(AND(K126&gt;0,R126=0),1,0)</f>
        <v>0</v>
      </c>
    </row>
    <row r="127" customFormat="false" ht="15" hidden="false" customHeight="false" outlineLevel="0" collapsed="false">
      <c r="B127" s="71" t="str">
        <f aca="false">IF($F$6="Sí",N($C$11)+100,"")</f>
        <v/>
      </c>
      <c r="C127" s="72" t="str">
        <f aca="false">IF(OR($F$6&lt;&gt;"Sí",D127&lt;=0.5),"",EDATE($C$10,100))</f>
        <v/>
      </c>
      <c r="D127" s="41" t="n">
        <f aca="false">MAX(0,M126)</f>
        <v>0</v>
      </c>
      <c r="E127" s="41" t="n">
        <f aca="false">D127*$F$7</f>
        <v>0</v>
      </c>
      <c r="F127" s="41" t="n">
        <f aca="false">IF(D127&gt;0.5,N($C$15),0)</f>
        <v>0</v>
      </c>
      <c r="G127" s="41" t="n">
        <f aca="false">IF(AND(D127&gt;0.5,N($C$19)&gt;0,N(B127)&lt;=N($C$20)),D127*$F$8,0)</f>
        <v>0</v>
      </c>
      <c r="H127" s="41" t="n">
        <f aca="false">IF(D127&lt;=0.5,0,MIN(IF(N(I127)&gt;0,I127,$F$9),D127+E127+F127))</f>
        <v>0</v>
      </c>
      <c r="I127" s="77"/>
      <c r="J127" s="77"/>
      <c r="K127" s="41" t="n">
        <f aca="false">IF(D127&lt;=0.5,0,MIN(H127+N(J127),D127+E127+F127))</f>
        <v>0</v>
      </c>
      <c r="L127" s="41" t="n">
        <f aca="false">K127-E127-F127</f>
        <v>0</v>
      </c>
      <c r="M127" s="41" t="n">
        <f aca="false">D127-L127</f>
        <v>0</v>
      </c>
      <c r="N127" s="42" t="n">
        <f aca="false">K127-G127</f>
        <v>0</v>
      </c>
      <c r="O127" s="78"/>
      <c r="P127" s="79"/>
      <c r="Q127" s="16" t="str">
        <f aca="false">IF(K127=0,"",IF(R127=1,"Pagada",IF(C127&lt;$F$12,"Vencida",IF(101=$F$13,"Próxima","Pendiente"))))</f>
        <v/>
      </c>
      <c r="R127" s="62" t="n">
        <f aca="false">IF(AND(K127&gt;0,OR(O127="Sí",O127="Si")),1,0)</f>
        <v>0</v>
      </c>
      <c r="S127" s="62" t="n">
        <f aca="false">IF(AND(K127&gt;0,R127=0),1,0)</f>
        <v>0</v>
      </c>
    </row>
    <row r="128" customFormat="false" ht="15" hidden="false" customHeight="false" outlineLevel="0" collapsed="false">
      <c r="B128" s="71" t="str">
        <f aca="false">IF($F$6="Sí",N($C$11)+101,"")</f>
        <v/>
      </c>
      <c r="C128" s="72" t="str">
        <f aca="false">IF(OR($F$6&lt;&gt;"Sí",D128&lt;=0.5),"",EDATE($C$10,101))</f>
        <v/>
      </c>
      <c r="D128" s="41" t="n">
        <f aca="false">MAX(0,M127)</f>
        <v>0</v>
      </c>
      <c r="E128" s="41" t="n">
        <f aca="false">D128*$F$7</f>
        <v>0</v>
      </c>
      <c r="F128" s="41" t="n">
        <f aca="false">IF(D128&gt;0.5,N($C$15),0)</f>
        <v>0</v>
      </c>
      <c r="G128" s="41" t="n">
        <f aca="false">IF(AND(D128&gt;0.5,N($C$19)&gt;0,N(B128)&lt;=N($C$20)),D128*$F$8,0)</f>
        <v>0</v>
      </c>
      <c r="H128" s="41" t="n">
        <f aca="false">IF(D128&lt;=0.5,0,MIN(IF(N(I128)&gt;0,I128,$F$9),D128+E128+F128))</f>
        <v>0</v>
      </c>
      <c r="I128" s="77"/>
      <c r="J128" s="77"/>
      <c r="K128" s="41" t="n">
        <f aca="false">IF(D128&lt;=0.5,0,MIN(H128+N(J128),D128+E128+F128))</f>
        <v>0</v>
      </c>
      <c r="L128" s="41" t="n">
        <f aca="false">K128-E128-F128</f>
        <v>0</v>
      </c>
      <c r="M128" s="41" t="n">
        <f aca="false">D128-L128</f>
        <v>0</v>
      </c>
      <c r="N128" s="42" t="n">
        <f aca="false">K128-G128</f>
        <v>0</v>
      </c>
      <c r="O128" s="78"/>
      <c r="P128" s="79"/>
      <c r="Q128" s="16" t="str">
        <f aca="false">IF(K128=0,"",IF(R128=1,"Pagada",IF(C128&lt;$F$12,"Vencida",IF(102=$F$13,"Próxima","Pendiente"))))</f>
        <v/>
      </c>
      <c r="R128" s="62" t="n">
        <f aca="false">IF(AND(K128&gt;0,OR(O128="Sí",O128="Si")),1,0)</f>
        <v>0</v>
      </c>
      <c r="S128" s="62" t="n">
        <f aca="false">IF(AND(K128&gt;0,R128=0),1,0)</f>
        <v>0</v>
      </c>
    </row>
    <row r="129" customFormat="false" ht="15" hidden="false" customHeight="false" outlineLevel="0" collapsed="false">
      <c r="B129" s="71" t="str">
        <f aca="false">IF($F$6="Sí",N($C$11)+102,"")</f>
        <v/>
      </c>
      <c r="C129" s="72" t="str">
        <f aca="false">IF(OR($F$6&lt;&gt;"Sí",D129&lt;=0.5),"",EDATE($C$10,102))</f>
        <v/>
      </c>
      <c r="D129" s="41" t="n">
        <f aca="false">MAX(0,M128)</f>
        <v>0</v>
      </c>
      <c r="E129" s="41" t="n">
        <f aca="false">D129*$F$7</f>
        <v>0</v>
      </c>
      <c r="F129" s="41" t="n">
        <f aca="false">IF(D129&gt;0.5,N($C$15),0)</f>
        <v>0</v>
      </c>
      <c r="G129" s="41" t="n">
        <f aca="false">IF(AND(D129&gt;0.5,N($C$19)&gt;0,N(B129)&lt;=N($C$20)),D129*$F$8,0)</f>
        <v>0</v>
      </c>
      <c r="H129" s="41" t="n">
        <f aca="false">IF(D129&lt;=0.5,0,MIN(IF(N(I129)&gt;0,I129,$F$9),D129+E129+F129))</f>
        <v>0</v>
      </c>
      <c r="I129" s="77"/>
      <c r="J129" s="77"/>
      <c r="K129" s="41" t="n">
        <f aca="false">IF(D129&lt;=0.5,0,MIN(H129+N(J129),D129+E129+F129))</f>
        <v>0</v>
      </c>
      <c r="L129" s="41" t="n">
        <f aca="false">K129-E129-F129</f>
        <v>0</v>
      </c>
      <c r="M129" s="41" t="n">
        <f aca="false">D129-L129</f>
        <v>0</v>
      </c>
      <c r="N129" s="42" t="n">
        <f aca="false">K129-G129</f>
        <v>0</v>
      </c>
      <c r="O129" s="78"/>
      <c r="P129" s="79"/>
      <c r="Q129" s="16" t="str">
        <f aca="false">IF(K129=0,"",IF(R129=1,"Pagada",IF(C129&lt;$F$12,"Vencida",IF(103=$F$13,"Próxima","Pendiente"))))</f>
        <v/>
      </c>
      <c r="R129" s="62" t="n">
        <f aca="false">IF(AND(K129&gt;0,OR(O129="Sí",O129="Si")),1,0)</f>
        <v>0</v>
      </c>
      <c r="S129" s="62" t="n">
        <f aca="false">IF(AND(K129&gt;0,R129=0),1,0)</f>
        <v>0</v>
      </c>
    </row>
    <row r="130" customFormat="false" ht="15" hidden="false" customHeight="false" outlineLevel="0" collapsed="false">
      <c r="B130" s="71" t="str">
        <f aca="false">IF($F$6="Sí",N($C$11)+103,"")</f>
        <v/>
      </c>
      <c r="C130" s="72" t="str">
        <f aca="false">IF(OR($F$6&lt;&gt;"Sí",D130&lt;=0.5),"",EDATE($C$10,103))</f>
        <v/>
      </c>
      <c r="D130" s="41" t="n">
        <f aca="false">MAX(0,M129)</f>
        <v>0</v>
      </c>
      <c r="E130" s="41" t="n">
        <f aca="false">D130*$F$7</f>
        <v>0</v>
      </c>
      <c r="F130" s="41" t="n">
        <f aca="false">IF(D130&gt;0.5,N($C$15),0)</f>
        <v>0</v>
      </c>
      <c r="G130" s="41" t="n">
        <f aca="false">IF(AND(D130&gt;0.5,N($C$19)&gt;0,N(B130)&lt;=N($C$20)),D130*$F$8,0)</f>
        <v>0</v>
      </c>
      <c r="H130" s="41" t="n">
        <f aca="false">IF(D130&lt;=0.5,0,MIN(IF(N(I130)&gt;0,I130,$F$9),D130+E130+F130))</f>
        <v>0</v>
      </c>
      <c r="I130" s="77"/>
      <c r="J130" s="77"/>
      <c r="K130" s="41" t="n">
        <f aca="false">IF(D130&lt;=0.5,0,MIN(H130+N(J130),D130+E130+F130))</f>
        <v>0</v>
      </c>
      <c r="L130" s="41" t="n">
        <f aca="false">K130-E130-F130</f>
        <v>0</v>
      </c>
      <c r="M130" s="41" t="n">
        <f aca="false">D130-L130</f>
        <v>0</v>
      </c>
      <c r="N130" s="42" t="n">
        <f aca="false">K130-G130</f>
        <v>0</v>
      </c>
      <c r="O130" s="78"/>
      <c r="P130" s="79"/>
      <c r="Q130" s="16" t="str">
        <f aca="false">IF(K130=0,"",IF(R130=1,"Pagada",IF(C130&lt;$F$12,"Vencida",IF(104=$F$13,"Próxima","Pendiente"))))</f>
        <v/>
      </c>
      <c r="R130" s="62" t="n">
        <f aca="false">IF(AND(K130&gt;0,OR(O130="Sí",O130="Si")),1,0)</f>
        <v>0</v>
      </c>
      <c r="S130" s="62" t="n">
        <f aca="false">IF(AND(K130&gt;0,R130=0),1,0)</f>
        <v>0</v>
      </c>
    </row>
    <row r="131" customFormat="false" ht="15" hidden="false" customHeight="false" outlineLevel="0" collapsed="false">
      <c r="B131" s="71" t="str">
        <f aca="false">IF($F$6="Sí",N($C$11)+104,"")</f>
        <v/>
      </c>
      <c r="C131" s="72" t="str">
        <f aca="false">IF(OR($F$6&lt;&gt;"Sí",D131&lt;=0.5),"",EDATE($C$10,104))</f>
        <v/>
      </c>
      <c r="D131" s="41" t="n">
        <f aca="false">MAX(0,M130)</f>
        <v>0</v>
      </c>
      <c r="E131" s="41" t="n">
        <f aca="false">D131*$F$7</f>
        <v>0</v>
      </c>
      <c r="F131" s="41" t="n">
        <f aca="false">IF(D131&gt;0.5,N($C$15),0)</f>
        <v>0</v>
      </c>
      <c r="G131" s="41" t="n">
        <f aca="false">IF(AND(D131&gt;0.5,N($C$19)&gt;0,N(B131)&lt;=N($C$20)),D131*$F$8,0)</f>
        <v>0</v>
      </c>
      <c r="H131" s="41" t="n">
        <f aca="false">IF(D131&lt;=0.5,0,MIN(IF(N(I131)&gt;0,I131,$F$9),D131+E131+F131))</f>
        <v>0</v>
      </c>
      <c r="I131" s="77"/>
      <c r="J131" s="77"/>
      <c r="K131" s="41" t="n">
        <f aca="false">IF(D131&lt;=0.5,0,MIN(H131+N(J131),D131+E131+F131))</f>
        <v>0</v>
      </c>
      <c r="L131" s="41" t="n">
        <f aca="false">K131-E131-F131</f>
        <v>0</v>
      </c>
      <c r="M131" s="41" t="n">
        <f aca="false">D131-L131</f>
        <v>0</v>
      </c>
      <c r="N131" s="42" t="n">
        <f aca="false">K131-G131</f>
        <v>0</v>
      </c>
      <c r="O131" s="78"/>
      <c r="P131" s="79"/>
      <c r="Q131" s="16" t="str">
        <f aca="false">IF(K131=0,"",IF(R131=1,"Pagada",IF(C131&lt;$F$12,"Vencida",IF(105=$F$13,"Próxima","Pendiente"))))</f>
        <v/>
      </c>
      <c r="R131" s="62" t="n">
        <f aca="false">IF(AND(K131&gt;0,OR(O131="Sí",O131="Si")),1,0)</f>
        <v>0</v>
      </c>
      <c r="S131" s="62" t="n">
        <f aca="false">IF(AND(K131&gt;0,R131=0),1,0)</f>
        <v>0</v>
      </c>
    </row>
    <row r="132" customFormat="false" ht="15" hidden="false" customHeight="false" outlineLevel="0" collapsed="false">
      <c r="B132" s="71" t="str">
        <f aca="false">IF($F$6="Sí",N($C$11)+105,"")</f>
        <v/>
      </c>
      <c r="C132" s="72" t="str">
        <f aca="false">IF(OR($F$6&lt;&gt;"Sí",D132&lt;=0.5),"",EDATE($C$10,105))</f>
        <v/>
      </c>
      <c r="D132" s="41" t="n">
        <f aca="false">MAX(0,M131)</f>
        <v>0</v>
      </c>
      <c r="E132" s="41" t="n">
        <f aca="false">D132*$F$7</f>
        <v>0</v>
      </c>
      <c r="F132" s="41" t="n">
        <f aca="false">IF(D132&gt;0.5,N($C$15),0)</f>
        <v>0</v>
      </c>
      <c r="G132" s="41" t="n">
        <f aca="false">IF(AND(D132&gt;0.5,N($C$19)&gt;0,N(B132)&lt;=N($C$20)),D132*$F$8,0)</f>
        <v>0</v>
      </c>
      <c r="H132" s="41" t="n">
        <f aca="false">IF(D132&lt;=0.5,0,MIN(IF(N(I132)&gt;0,I132,$F$9),D132+E132+F132))</f>
        <v>0</v>
      </c>
      <c r="I132" s="77"/>
      <c r="J132" s="77"/>
      <c r="K132" s="41" t="n">
        <f aca="false">IF(D132&lt;=0.5,0,MIN(H132+N(J132),D132+E132+F132))</f>
        <v>0</v>
      </c>
      <c r="L132" s="41" t="n">
        <f aca="false">K132-E132-F132</f>
        <v>0</v>
      </c>
      <c r="M132" s="41" t="n">
        <f aca="false">D132-L132</f>
        <v>0</v>
      </c>
      <c r="N132" s="42" t="n">
        <f aca="false">K132-G132</f>
        <v>0</v>
      </c>
      <c r="O132" s="78"/>
      <c r="P132" s="79"/>
      <c r="Q132" s="16" t="str">
        <f aca="false">IF(K132=0,"",IF(R132=1,"Pagada",IF(C132&lt;$F$12,"Vencida",IF(106=$F$13,"Próxima","Pendiente"))))</f>
        <v/>
      </c>
      <c r="R132" s="62" t="n">
        <f aca="false">IF(AND(K132&gt;0,OR(O132="Sí",O132="Si")),1,0)</f>
        <v>0</v>
      </c>
      <c r="S132" s="62" t="n">
        <f aca="false">IF(AND(K132&gt;0,R132=0),1,0)</f>
        <v>0</v>
      </c>
    </row>
    <row r="133" customFormat="false" ht="15" hidden="false" customHeight="false" outlineLevel="0" collapsed="false">
      <c r="B133" s="71" t="str">
        <f aca="false">IF($F$6="Sí",N($C$11)+106,"")</f>
        <v/>
      </c>
      <c r="C133" s="72" t="str">
        <f aca="false">IF(OR($F$6&lt;&gt;"Sí",D133&lt;=0.5),"",EDATE($C$10,106))</f>
        <v/>
      </c>
      <c r="D133" s="41" t="n">
        <f aca="false">MAX(0,M132)</f>
        <v>0</v>
      </c>
      <c r="E133" s="41" t="n">
        <f aca="false">D133*$F$7</f>
        <v>0</v>
      </c>
      <c r="F133" s="41" t="n">
        <f aca="false">IF(D133&gt;0.5,N($C$15),0)</f>
        <v>0</v>
      </c>
      <c r="G133" s="41" t="n">
        <f aca="false">IF(AND(D133&gt;0.5,N($C$19)&gt;0,N(B133)&lt;=N($C$20)),D133*$F$8,0)</f>
        <v>0</v>
      </c>
      <c r="H133" s="41" t="n">
        <f aca="false">IF(D133&lt;=0.5,0,MIN(IF(N(I133)&gt;0,I133,$F$9),D133+E133+F133))</f>
        <v>0</v>
      </c>
      <c r="I133" s="77"/>
      <c r="J133" s="77"/>
      <c r="K133" s="41" t="n">
        <f aca="false">IF(D133&lt;=0.5,0,MIN(H133+N(J133),D133+E133+F133))</f>
        <v>0</v>
      </c>
      <c r="L133" s="41" t="n">
        <f aca="false">K133-E133-F133</f>
        <v>0</v>
      </c>
      <c r="M133" s="41" t="n">
        <f aca="false">D133-L133</f>
        <v>0</v>
      </c>
      <c r="N133" s="42" t="n">
        <f aca="false">K133-G133</f>
        <v>0</v>
      </c>
      <c r="O133" s="78"/>
      <c r="P133" s="79"/>
      <c r="Q133" s="16" t="str">
        <f aca="false">IF(K133=0,"",IF(R133=1,"Pagada",IF(C133&lt;$F$12,"Vencida",IF(107=$F$13,"Próxima","Pendiente"))))</f>
        <v/>
      </c>
      <c r="R133" s="62" t="n">
        <f aca="false">IF(AND(K133&gt;0,OR(O133="Sí",O133="Si")),1,0)</f>
        <v>0</v>
      </c>
      <c r="S133" s="62" t="n">
        <f aca="false">IF(AND(K133&gt;0,R133=0),1,0)</f>
        <v>0</v>
      </c>
    </row>
    <row r="134" customFormat="false" ht="15" hidden="false" customHeight="false" outlineLevel="0" collapsed="false">
      <c r="B134" s="71" t="str">
        <f aca="false">IF($F$6="Sí",N($C$11)+107,"")</f>
        <v/>
      </c>
      <c r="C134" s="72" t="str">
        <f aca="false">IF(OR($F$6&lt;&gt;"Sí",D134&lt;=0.5),"",EDATE($C$10,107))</f>
        <v/>
      </c>
      <c r="D134" s="41" t="n">
        <f aca="false">MAX(0,M133)</f>
        <v>0</v>
      </c>
      <c r="E134" s="41" t="n">
        <f aca="false">D134*$F$7</f>
        <v>0</v>
      </c>
      <c r="F134" s="41" t="n">
        <f aca="false">IF(D134&gt;0.5,N($C$15),0)</f>
        <v>0</v>
      </c>
      <c r="G134" s="41" t="n">
        <f aca="false">IF(AND(D134&gt;0.5,N($C$19)&gt;0,N(B134)&lt;=N($C$20)),D134*$F$8,0)</f>
        <v>0</v>
      </c>
      <c r="H134" s="41" t="n">
        <f aca="false">IF(D134&lt;=0.5,0,MIN(IF(N(I134)&gt;0,I134,$F$9),D134+E134+F134))</f>
        <v>0</v>
      </c>
      <c r="I134" s="77"/>
      <c r="J134" s="77"/>
      <c r="K134" s="41" t="n">
        <f aca="false">IF(D134&lt;=0.5,0,MIN(H134+N(J134),D134+E134+F134))</f>
        <v>0</v>
      </c>
      <c r="L134" s="41" t="n">
        <f aca="false">K134-E134-F134</f>
        <v>0</v>
      </c>
      <c r="M134" s="41" t="n">
        <f aca="false">D134-L134</f>
        <v>0</v>
      </c>
      <c r="N134" s="42" t="n">
        <f aca="false">K134-G134</f>
        <v>0</v>
      </c>
      <c r="O134" s="78"/>
      <c r="P134" s="79"/>
      <c r="Q134" s="16" t="str">
        <f aca="false">IF(K134=0,"",IF(R134=1,"Pagada",IF(C134&lt;$F$12,"Vencida",IF(108=$F$13,"Próxima","Pendiente"))))</f>
        <v/>
      </c>
      <c r="R134" s="62" t="n">
        <f aca="false">IF(AND(K134&gt;0,OR(O134="Sí",O134="Si")),1,0)</f>
        <v>0</v>
      </c>
      <c r="S134" s="62" t="n">
        <f aca="false">IF(AND(K134&gt;0,R134=0),1,0)</f>
        <v>0</v>
      </c>
    </row>
    <row r="135" customFormat="false" ht="15" hidden="false" customHeight="false" outlineLevel="0" collapsed="false">
      <c r="B135" s="71" t="str">
        <f aca="false">IF($F$6="Sí",N($C$11)+108,"")</f>
        <v/>
      </c>
      <c r="C135" s="72" t="str">
        <f aca="false">IF(OR($F$6&lt;&gt;"Sí",D135&lt;=0.5),"",EDATE($C$10,108))</f>
        <v/>
      </c>
      <c r="D135" s="41" t="n">
        <f aca="false">MAX(0,M134)</f>
        <v>0</v>
      </c>
      <c r="E135" s="41" t="n">
        <f aca="false">D135*$F$7</f>
        <v>0</v>
      </c>
      <c r="F135" s="41" t="n">
        <f aca="false">IF(D135&gt;0.5,N($C$15),0)</f>
        <v>0</v>
      </c>
      <c r="G135" s="41" t="n">
        <f aca="false">IF(AND(D135&gt;0.5,N($C$19)&gt;0,N(B135)&lt;=N($C$20)),D135*$F$8,0)</f>
        <v>0</v>
      </c>
      <c r="H135" s="41" t="n">
        <f aca="false">IF(D135&lt;=0.5,0,MIN(IF(N(I135)&gt;0,I135,$F$9),D135+E135+F135))</f>
        <v>0</v>
      </c>
      <c r="I135" s="77"/>
      <c r="J135" s="77"/>
      <c r="K135" s="41" t="n">
        <f aca="false">IF(D135&lt;=0.5,0,MIN(H135+N(J135),D135+E135+F135))</f>
        <v>0</v>
      </c>
      <c r="L135" s="41" t="n">
        <f aca="false">K135-E135-F135</f>
        <v>0</v>
      </c>
      <c r="M135" s="41" t="n">
        <f aca="false">D135-L135</f>
        <v>0</v>
      </c>
      <c r="N135" s="42" t="n">
        <f aca="false">K135-G135</f>
        <v>0</v>
      </c>
      <c r="O135" s="78"/>
      <c r="P135" s="79"/>
      <c r="Q135" s="16" t="str">
        <f aca="false">IF(K135=0,"",IF(R135=1,"Pagada",IF(C135&lt;$F$12,"Vencida",IF(109=$F$13,"Próxima","Pendiente"))))</f>
        <v/>
      </c>
      <c r="R135" s="62" t="n">
        <f aca="false">IF(AND(K135&gt;0,OR(O135="Sí",O135="Si")),1,0)</f>
        <v>0</v>
      </c>
      <c r="S135" s="62" t="n">
        <f aca="false">IF(AND(K135&gt;0,R135=0),1,0)</f>
        <v>0</v>
      </c>
    </row>
    <row r="136" customFormat="false" ht="15" hidden="false" customHeight="false" outlineLevel="0" collapsed="false">
      <c r="B136" s="71" t="str">
        <f aca="false">IF($F$6="Sí",N($C$11)+109,"")</f>
        <v/>
      </c>
      <c r="C136" s="72" t="str">
        <f aca="false">IF(OR($F$6&lt;&gt;"Sí",D136&lt;=0.5),"",EDATE($C$10,109))</f>
        <v/>
      </c>
      <c r="D136" s="41" t="n">
        <f aca="false">MAX(0,M135)</f>
        <v>0</v>
      </c>
      <c r="E136" s="41" t="n">
        <f aca="false">D136*$F$7</f>
        <v>0</v>
      </c>
      <c r="F136" s="41" t="n">
        <f aca="false">IF(D136&gt;0.5,N($C$15),0)</f>
        <v>0</v>
      </c>
      <c r="G136" s="41" t="n">
        <f aca="false">IF(AND(D136&gt;0.5,N($C$19)&gt;0,N(B136)&lt;=N($C$20)),D136*$F$8,0)</f>
        <v>0</v>
      </c>
      <c r="H136" s="41" t="n">
        <f aca="false">IF(D136&lt;=0.5,0,MIN(IF(N(I136)&gt;0,I136,$F$9),D136+E136+F136))</f>
        <v>0</v>
      </c>
      <c r="I136" s="77"/>
      <c r="J136" s="77"/>
      <c r="K136" s="41" t="n">
        <f aca="false">IF(D136&lt;=0.5,0,MIN(H136+N(J136),D136+E136+F136))</f>
        <v>0</v>
      </c>
      <c r="L136" s="41" t="n">
        <f aca="false">K136-E136-F136</f>
        <v>0</v>
      </c>
      <c r="M136" s="41" t="n">
        <f aca="false">D136-L136</f>
        <v>0</v>
      </c>
      <c r="N136" s="42" t="n">
        <f aca="false">K136-G136</f>
        <v>0</v>
      </c>
      <c r="O136" s="78"/>
      <c r="P136" s="79"/>
      <c r="Q136" s="16" t="str">
        <f aca="false">IF(K136=0,"",IF(R136=1,"Pagada",IF(C136&lt;$F$12,"Vencida",IF(110=$F$13,"Próxima","Pendiente"))))</f>
        <v/>
      </c>
      <c r="R136" s="62" t="n">
        <f aca="false">IF(AND(K136&gt;0,OR(O136="Sí",O136="Si")),1,0)</f>
        <v>0</v>
      </c>
      <c r="S136" s="62" t="n">
        <f aca="false">IF(AND(K136&gt;0,R136=0),1,0)</f>
        <v>0</v>
      </c>
    </row>
    <row r="137" customFormat="false" ht="15" hidden="false" customHeight="false" outlineLevel="0" collapsed="false">
      <c r="B137" s="71" t="str">
        <f aca="false">IF($F$6="Sí",N($C$11)+110,"")</f>
        <v/>
      </c>
      <c r="C137" s="72" t="str">
        <f aca="false">IF(OR($F$6&lt;&gt;"Sí",D137&lt;=0.5),"",EDATE($C$10,110))</f>
        <v/>
      </c>
      <c r="D137" s="41" t="n">
        <f aca="false">MAX(0,M136)</f>
        <v>0</v>
      </c>
      <c r="E137" s="41" t="n">
        <f aca="false">D137*$F$7</f>
        <v>0</v>
      </c>
      <c r="F137" s="41" t="n">
        <f aca="false">IF(D137&gt;0.5,N($C$15),0)</f>
        <v>0</v>
      </c>
      <c r="G137" s="41" t="n">
        <f aca="false">IF(AND(D137&gt;0.5,N($C$19)&gt;0,N(B137)&lt;=N($C$20)),D137*$F$8,0)</f>
        <v>0</v>
      </c>
      <c r="H137" s="41" t="n">
        <f aca="false">IF(D137&lt;=0.5,0,MIN(IF(N(I137)&gt;0,I137,$F$9),D137+E137+F137))</f>
        <v>0</v>
      </c>
      <c r="I137" s="77"/>
      <c r="J137" s="77"/>
      <c r="K137" s="41" t="n">
        <f aca="false">IF(D137&lt;=0.5,0,MIN(H137+N(J137),D137+E137+F137))</f>
        <v>0</v>
      </c>
      <c r="L137" s="41" t="n">
        <f aca="false">K137-E137-F137</f>
        <v>0</v>
      </c>
      <c r="M137" s="41" t="n">
        <f aca="false">D137-L137</f>
        <v>0</v>
      </c>
      <c r="N137" s="42" t="n">
        <f aca="false">K137-G137</f>
        <v>0</v>
      </c>
      <c r="O137" s="78"/>
      <c r="P137" s="79"/>
      <c r="Q137" s="16" t="str">
        <f aca="false">IF(K137=0,"",IF(R137=1,"Pagada",IF(C137&lt;$F$12,"Vencida",IF(111=$F$13,"Próxima","Pendiente"))))</f>
        <v/>
      </c>
      <c r="R137" s="62" t="n">
        <f aca="false">IF(AND(K137&gt;0,OR(O137="Sí",O137="Si")),1,0)</f>
        <v>0</v>
      </c>
      <c r="S137" s="62" t="n">
        <f aca="false">IF(AND(K137&gt;0,R137=0),1,0)</f>
        <v>0</v>
      </c>
    </row>
    <row r="138" customFormat="false" ht="15" hidden="false" customHeight="false" outlineLevel="0" collapsed="false">
      <c r="B138" s="71" t="str">
        <f aca="false">IF($F$6="Sí",N($C$11)+111,"")</f>
        <v/>
      </c>
      <c r="C138" s="72" t="str">
        <f aca="false">IF(OR($F$6&lt;&gt;"Sí",D138&lt;=0.5),"",EDATE($C$10,111))</f>
        <v/>
      </c>
      <c r="D138" s="41" t="n">
        <f aca="false">MAX(0,M137)</f>
        <v>0</v>
      </c>
      <c r="E138" s="41" t="n">
        <f aca="false">D138*$F$7</f>
        <v>0</v>
      </c>
      <c r="F138" s="41" t="n">
        <f aca="false">IF(D138&gt;0.5,N($C$15),0)</f>
        <v>0</v>
      </c>
      <c r="G138" s="41" t="n">
        <f aca="false">IF(AND(D138&gt;0.5,N($C$19)&gt;0,N(B138)&lt;=N($C$20)),D138*$F$8,0)</f>
        <v>0</v>
      </c>
      <c r="H138" s="41" t="n">
        <f aca="false">IF(D138&lt;=0.5,0,MIN(IF(N(I138)&gt;0,I138,$F$9),D138+E138+F138))</f>
        <v>0</v>
      </c>
      <c r="I138" s="77"/>
      <c r="J138" s="77"/>
      <c r="K138" s="41" t="n">
        <f aca="false">IF(D138&lt;=0.5,0,MIN(H138+N(J138),D138+E138+F138))</f>
        <v>0</v>
      </c>
      <c r="L138" s="41" t="n">
        <f aca="false">K138-E138-F138</f>
        <v>0</v>
      </c>
      <c r="M138" s="41" t="n">
        <f aca="false">D138-L138</f>
        <v>0</v>
      </c>
      <c r="N138" s="42" t="n">
        <f aca="false">K138-G138</f>
        <v>0</v>
      </c>
      <c r="O138" s="78"/>
      <c r="P138" s="79"/>
      <c r="Q138" s="16" t="str">
        <f aca="false">IF(K138=0,"",IF(R138=1,"Pagada",IF(C138&lt;$F$12,"Vencida",IF(112=$F$13,"Próxima","Pendiente"))))</f>
        <v/>
      </c>
      <c r="R138" s="62" t="n">
        <f aca="false">IF(AND(K138&gt;0,OR(O138="Sí",O138="Si")),1,0)</f>
        <v>0</v>
      </c>
      <c r="S138" s="62" t="n">
        <f aca="false">IF(AND(K138&gt;0,R138=0),1,0)</f>
        <v>0</v>
      </c>
    </row>
    <row r="139" customFormat="false" ht="15" hidden="false" customHeight="false" outlineLevel="0" collapsed="false">
      <c r="B139" s="71" t="str">
        <f aca="false">IF($F$6="Sí",N($C$11)+112,"")</f>
        <v/>
      </c>
      <c r="C139" s="72" t="str">
        <f aca="false">IF(OR($F$6&lt;&gt;"Sí",D139&lt;=0.5),"",EDATE($C$10,112))</f>
        <v/>
      </c>
      <c r="D139" s="41" t="n">
        <f aca="false">MAX(0,M138)</f>
        <v>0</v>
      </c>
      <c r="E139" s="41" t="n">
        <f aca="false">D139*$F$7</f>
        <v>0</v>
      </c>
      <c r="F139" s="41" t="n">
        <f aca="false">IF(D139&gt;0.5,N($C$15),0)</f>
        <v>0</v>
      </c>
      <c r="G139" s="41" t="n">
        <f aca="false">IF(AND(D139&gt;0.5,N($C$19)&gt;0,N(B139)&lt;=N($C$20)),D139*$F$8,0)</f>
        <v>0</v>
      </c>
      <c r="H139" s="41" t="n">
        <f aca="false">IF(D139&lt;=0.5,0,MIN(IF(N(I139)&gt;0,I139,$F$9),D139+E139+F139))</f>
        <v>0</v>
      </c>
      <c r="I139" s="77"/>
      <c r="J139" s="77"/>
      <c r="K139" s="41" t="n">
        <f aca="false">IF(D139&lt;=0.5,0,MIN(H139+N(J139),D139+E139+F139))</f>
        <v>0</v>
      </c>
      <c r="L139" s="41" t="n">
        <f aca="false">K139-E139-F139</f>
        <v>0</v>
      </c>
      <c r="M139" s="41" t="n">
        <f aca="false">D139-L139</f>
        <v>0</v>
      </c>
      <c r="N139" s="42" t="n">
        <f aca="false">K139-G139</f>
        <v>0</v>
      </c>
      <c r="O139" s="78"/>
      <c r="P139" s="79"/>
      <c r="Q139" s="16" t="str">
        <f aca="false">IF(K139=0,"",IF(R139=1,"Pagada",IF(C139&lt;$F$12,"Vencida",IF(113=$F$13,"Próxima","Pendiente"))))</f>
        <v/>
      </c>
      <c r="R139" s="62" t="n">
        <f aca="false">IF(AND(K139&gt;0,OR(O139="Sí",O139="Si")),1,0)</f>
        <v>0</v>
      </c>
      <c r="S139" s="62" t="n">
        <f aca="false">IF(AND(K139&gt;0,R139=0),1,0)</f>
        <v>0</v>
      </c>
    </row>
    <row r="140" customFormat="false" ht="15" hidden="false" customHeight="false" outlineLevel="0" collapsed="false">
      <c r="B140" s="71" t="str">
        <f aca="false">IF($F$6="Sí",N($C$11)+113,"")</f>
        <v/>
      </c>
      <c r="C140" s="72" t="str">
        <f aca="false">IF(OR($F$6&lt;&gt;"Sí",D140&lt;=0.5),"",EDATE($C$10,113))</f>
        <v/>
      </c>
      <c r="D140" s="41" t="n">
        <f aca="false">MAX(0,M139)</f>
        <v>0</v>
      </c>
      <c r="E140" s="41" t="n">
        <f aca="false">D140*$F$7</f>
        <v>0</v>
      </c>
      <c r="F140" s="41" t="n">
        <f aca="false">IF(D140&gt;0.5,N($C$15),0)</f>
        <v>0</v>
      </c>
      <c r="G140" s="41" t="n">
        <f aca="false">IF(AND(D140&gt;0.5,N($C$19)&gt;0,N(B140)&lt;=N($C$20)),D140*$F$8,0)</f>
        <v>0</v>
      </c>
      <c r="H140" s="41" t="n">
        <f aca="false">IF(D140&lt;=0.5,0,MIN(IF(N(I140)&gt;0,I140,$F$9),D140+E140+F140))</f>
        <v>0</v>
      </c>
      <c r="I140" s="77"/>
      <c r="J140" s="77"/>
      <c r="K140" s="41" t="n">
        <f aca="false">IF(D140&lt;=0.5,0,MIN(H140+N(J140),D140+E140+F140))</f>
        <v>0</v>
      </c>
      <c r="L140" s="41" t="n">
        <f aca="false">K140-E140-F140</f>
        <v>0</v>
      </c>
      <c r="M140" s="41" t="n">
        <f aca="false">D140-L140</f>
        <v>0</v>
      </c>
      <c r="N140" s="42" t="n">
        <f aca="false">K140-G140</f>
        <v>0</v>
      </c>
      <c r="O140" s="78"/>
      <c r="P140" s="79"/>
      <c r="Q140" s="16" t="str">
        <f aca="false">IF(K140=0,"",IF(R140=1,"Pagada",IF(C140&lt;$F$12,"Vencida",IF(114=$F$13,"Próxima","Pendiente"))))</f>
        <v/>
      </c>
      <c r="R140" s="62" t="n">
        <f aca="false">IF(AND(K140&gt;0,OR(O140="Sí",O140="Si")),1,0)</f>
        <v>0</v>
      </c>
      <c r="S140" s="62" t="n">
        <f aca="false">IF(AND(K140&gt;0,R140=0),1,0)</f>
        <v>0</v>
      </c>
    </row>
    <row r="141" customFormat="false" ht="15" hidden="false" customHeight="false" outlineLevel="0" collapsed="false">
      <c r="B141" s="71" t="str">
        <f aca="false">IF($F$6="Sí",N($C$11)+114,"")</f>
        <v/>
      </c>
      <c r="C141" s="72" t="str">
        <f aca="false">IF(OR($F$6&lt;&gt;"Sí",D141&lt;=0.5),"",EDATE($C$10,114))</f>
        <v/>
      </c>
      <c r="D141" s="41" t="n">
        <f aca="false">MAX(0,M140)</f>
        <v>0</v>
      </c>
      <c r="E141" s="41" t="n">
        <f aca="false">D141*$F$7</f>
        <v>0</v>
      </c>
      <c r="F141" s="41" t="n">
        <f aca="false">IF(D141&gt;0.5,N($C$15),0)</f>
        <v>0</v>
      </c>
      <c r="G141" s="41" t="n">
        <f aca="false">IF(AND(D141&gt;0.5,N($C$19)&gt;0,N(B141)&lt;=N($C$20)),D141*$F$8,0)</f>
        <v>0</v>
      </c>
      <c r="H141" s="41" t="n">
        <f aca="false">IF(D141&lt;=0.5,0,MIN(IF(N(I141)&gt;0,I141,$F$9),D141+E141+F141))</f>
        <v>0</v>
      </c>
      <c r="I141" s="77"/>
      <c r="J141" s="77"/>
      <c r="K141" s="41" t="n">
        <f aca="false">IF(D141&lt;=0.5,0,MIN(H141+N(J141),D141+E141+F141))</f>
        <v>0</v>
      </c>
      <c r="L141" s="41" t="n">
        <f aca="false">K141-E141-F141</f>
        <v>0</v>
      </c>
      <c r="M141" s="41" t="n">
        <f aca="false">D141-L141</f>
        <v>0</v>
      </c>
      <c r="N141" s="42" t="n">
        <f aca="false">K141-G141</f>
        <v>0</v>
      </c>
      <c r="O141" s="78"/>
      <c r="P141" s="79"/>
      <c r="Q141" s="16" t="str">
        <f aca="false">IF(K141=0,"",IF(R141=1,"Pagada",IF(C141&lt;$F$12,"Vencida",IF(115=$F$13,"Próxima","Pendiente"))))</f>
        <v/>
      </c>
      <c r="R141" s="62" t="n">
        <f aca="false">IF(AND(K141&gt;0,OR(O141="Sí",O141="Si")),1,0)</f>
        <v>0</v>
      </c>
      <c r="S141" s="62" t="n">
        <f aca="false">IF(AND(K141&gt;0,R141=0),1,0)</f>
        <v>0</v>
      </c>
    </row>
    <row r="142" customFormat="false" ht="15" hidden="false" customHeight="false" outlineLevel="0" collapsed="false">
      <c r="B142" s="71" t="str">
        <f aca="false">IF($F$6="Sí",N($C$11)+115,"")</f>
        <v/>
      </c>
      <c r="C142" s="72" t="str">
        <f aca="false">IF(OR($F$6&lt;&gt;"Sí",D142&lt;=0.5),"",EDATE($C$10,115))</f>
        <v/>
      </c>
      <c r="D142" s="41" t="n">
        <f aca="false">MAX(0,M141)</f>
        <v>0</v>
      </c>
      <c r="E142" s="41" t="n">
        <f aca="false">D142*$F$7</f>
        <v>0</v>
      </c>
      <c r="F142" s="41" t="n">
        <f aca="false">IF(D142&gt;0.5,N($C$15),0)</f>
        <v>0</v>
      </c>
      <c r="G142" s="41" t="n">
        <f aca="false">IF(AND(D142&gt;0.5,N($C$19)&gt;0,N(B142)&lt;=N($C$20)),D142*$F$8,0)</f>
        <v>0</v>
      </c>
      <c r="H142" s="41" t="n">
        <f aca="false">IF(D142&lt;=0.5,0,MIN(IF(N(I142)&gt;0,I142,$F$9),D142+E142+F142))</f>
        <v>0</v>
      </c>
      <c r="I142" s="77"/>
      <c r="J142" s="77"/>
      <c r="K142" s="41" t="n">
        <f aca="false">IF(D142&lt;=0.5,0,MIN(H142+N(J142),D142+E142+F142))</f>
        <v>0</v>
      </c>
      <c r="L142" s="41" t="n">
        <f aca="false">K142-E142-F142</f>
        <v>0</v>
      </c>
      <c r="M142" s="41" t="n">
        <f aca="false">D142-L142</f>
        <v>0</v>
      </c>
      <c r="N142" s="42" t="n">
        <f aca="false">K142-G142</f>
        <v>0</v>
      </c>
      <c r="O142" s="78"/>
      <c r="P142" s="79"/>
      <c r="Q142" s="16" t="str">
        <f aca="false">IF(K142=0,"",IF(R142=1,"Pagada",IF(C142&lt;$F$12,"Vencida",IF(116=$F$13,"Próxima","Pendiente"))))</f>
        <v/>
      </c>
      <c r="R142" s="62" t="n">
        <f aca="false">IF(AND(K142&gt;0,OR(O142="Sí",O142="Si")),1,0)</f>
        <v>0</v>
      </c>
      <c r="S142" s="62" t="n">
        <f aca="false">IF(AND(K142&gt;0,R142=0),1,0)</f>
        <v>0</v>
      </c>
    </row>
    <row r="143" customFormat="false" ht="15" hidden="false" customHeight="false" outlineLevel="0" collapsed="false">
      <c r="B143" s="71" t="str">
        <f aca="false">IF($F$6="Sí",N($C$11)+116,"")</f>
        <v/>
      </c>
      <c r="C143" s="72" t="str">
        <f aca="false">IF(OR($F$6&lt;&gt;"Sí",D143&lt;=0.5),"",EDATE($C$10,116))</f>
        <v/>
      </c>
      <c r="D143" s="41" t="n">
        <f aca="false">MAX(0,M142)</f>
        <v>0</v>
      </c>
      <c r="E143" s="41" t="n">
        <f aca="false">D143*$F$7</f>
        <v>0</v>
      </c>
      <c r="F143" s="41" t="n">
        <f aca="false">IF(D143&gt;0.5,N($C$15),0)</f>
        <v>0</v>
      </c>
      <c r="G143" s="41" t="n">
        <f aca="false">IF(AND(D143&gt;0.5,N($C$19)&gt;0,N(B143)&lt;=N($C$20)),D143*$F$8,0)</f>
        <v>0</v>
      </c>
      <c r="H143" s="41" t="n">
        <f aca="false">IF(D143&lt;=0.5,0,MIN(IF(N(I143)&gt;0,I143,$F$9),D143+E143+F143))</f>
        <v>0</v>
      </c>
      <c r="I143" s="77"/>
      <c r="J143" s="77"/>
      <c r="K143" s="41" t="n">
        <f aca="false">IF(D143&lt;=0.5,0,MIN(H143+N(J143),D143+E143+F143))</f>
        <v>0</v>
      </c>
      <c r="L143" s="41" t="n">
        <f aca="false">K143-E143-F143</f>
        <v>0</v>
      </c>
      <c r="M143" s="41" t="n">
        <f aca="false">D143-L143</f>
        <v>0</v>
      </c>
      <c r="N143" s="42" t="n">
        <f aca="false">K143-G143</f>
        <v>0</v>
      </c>
      <c r="O143" s="78"/>
      <c r="P143" s="79"/>
      <c r="Q143" s="16" t="str">
        <f aca="false">IF(K143=0,"",IF(R143=1,"Pagada",IF(C143&lt;$F$12,"Vencida",IF(117=$F$13,"Próxima","Pendiente"))))</f>
        <v/>
      </c>
      <c r="R143" s="62" t="n">
        <f aca="false">IF(AND(K143&gt;0,OR(O143="Sí",O143="Si")),1,0)</f>
        <v>0</v>
      </c>
      <c r="S143" s="62" t="n">
        <f aca="false">IF(AND(K143&gt;0,R143=0),1,0)</f>
        <v>0</v>
      </c>
    </row>
    <row r="144" customFormat="false" ht="15" hidden="false" customHeight="false" outlineLevel="0" collapsed="false">
      <c r="B144" s="71" t="str">
        <f aca="false">IF($F$6="Sí",N($C$11)+117,"")</f>
        <v/>
      </c>
      <c r="C144" s="72" t="str">
        <f aca="false">IF(OR($F$6&lt;&gt;"Sí",D144&lt;=0.5),"",EDATE($C$10,117))</f>
        <v/>
      </c>
      <c r="D144" s="41" t="n">
        <f aca="false">MAX(0,M143)</f>
        <v>0</v>
      </c>
      <c r="E144" s="41" t="n">
        <f aca="false">D144*$F$7</f>
        <v>0</v>
      </c>
      <c r="F144" s="41" t="n">
        <f aca="false">IF(D144&gt;0.5,N($C$15),0)</f>
        <v>0</v>
      </c>
      <c r="G144" s="41" t="n">
        <f aca="false">IF(AND(D144&gt;0.5,N($C$19)&gt;0,N(B144)&lt;=N($C$20)),D144*$F$8,0)</f>
        <v>0</v>
      </c>
      <c r="H144" s="41" t="n">
        <f aca="false">IF(D144&lt;=0.5,0,MIN(IF(N(I144)&gt;0,I144,$F$9),D144+E144+F144))</f>
        <v>0</v>
      </c>
      <c r="I144" s="77"/>
      <c r="J144" s="77"/>
      <c r="K144" s="41" t="n">
        <f aca="false">IF(D144&lt;=0.5,0,MIN(H144+N(J144),D144+E144+F144))</f>
        <v>0</v>
      </c>
      <c r="L144" s="41" t="n">
        <f aca="false">K144-E144-F144</f>
        <v>0</v>
      </c>
      <c r="M144" s="41" t="n">
        <f aca="false">D144-L144</f>
        <v>0</v>
      </c>
      <c r="N144" s="42" t="n">
        <f aca="false">K144-G144</f>
        <v>0</v>
      </c>
      <c r="O144" s="78"/>
      <c r="P144" s="79"/>
      <c r="Q144" s="16" t="str">
        <f aca="false">IF(K144=0,"",IF(R144=1,"Pagada",IF(C144&lt;$F$12,"Vencida",IF(118=$F$13,"Próxima","Pendiente"))))</f>
        <v/>
      </c>
      <c r="R144" s="62" t="n">
        <f aca="false">IF(AND(K144&gt;0,OR(O144="Sí",O144="Si")),1,0)</f>
        <v>0</v>
      </c>
      <c r="S144" s="62" t="n">
        <f aca="false">IF(AND(K144&gt;0,R144=0),1,0)</f>
        <v>0</v>
      </c>
    </row>
    <row r="145" customFormat="false" ht="15" hidden="false" customHeight="false" outlineLevel="0" collapsed="false">
      <c r="B145" s="71" t="str">
        <f aca="false">IF($F$6="Sí",N($C$11)+118,"")</f>
        <v/>
      </c>
      <c r="C145" s="72" t="str">
        <f aca="false">IF(OR($F$6&lt;&gt;"Sí",D145&lt;=0.5),"",EDATE($C$10,118))</f>
        <v/>
      </c>
      <c r="D145" s="41" t="n">
        <f aca="false">MAX(0,M144)</f>
        <v>0</v>
      </c>
      <c r="E145" s="41" t="n">
        <f aca="false">D145*$F$7</f>
        <v>0</v>
      </c>
      <c r="F145" s="41" t="n">
        <f aca="false">IF(D145&gt;0.5,N($C$15),0)</f>
        <v>0</v>
      </c>
      <c r="G145" s="41" t="n">
        <f aca="false">IF(AND(D145&gt;0.5,N($C$19)&gt;0,N(B145)&lt;=N($C$20)),D145*$F$8,0)</f>
        <v>0</v>
      </c>
      <c r="H145" s="41" t="n">
        <f aca="false">IF(D145&lt;=0.5,0,MIN(IF(N(I145)&gt;0,I145,$F$9),D145+E145+F145))</f>
        <v>0</v>
      </c>
      <c r="I145" s="77"/>
      <c r="J145" s="77"/>
      <c r="K145" s="41" t="n">
        <f aca="false">IF(D145&lt;=0.5,0,MIN(H145+N(J145),D145+E145+F145))</f>
        <v>0</v>
      </c>
      <c r="L145" s="41" t="n">
        <f aca="false">K145-E145-F145</f>
        <v>0</v>
      </c>
      <c r="M145" s="41" t="n">
        <f aca="false">D145-L145</f>
        <v>0</v>
      </c>
      <c r="N145" s="42" t="n">
        <f aca="false">K145-G145</f>
        <v>0</v>
      </c>
      <c r="O145" s="78"/>
      <c r="P145" s="79"/>
      <c r="Q145" s="16" t="str">
        <f aca="false">IF(K145=0,"",IF(R145=1,"Pagada",IF(C145&lt;$F$12,"Vencida",IF(119=$F$13,"Próxima","Pendiente"))))</f>
        <v/>
      </c>
      <c r="R145" s="62" t="n">
        <f aca="false">IF(AND(K145&gt;0,OR(O145="Sí",O145="Si")),1,0)</f>
        <v>0</v>
      </c>
      <c r="S145" s="62" t="n">
        <f aca="false">IF(AND(K145&gt;0,R145=0),1,0)</f>
        <v>0</v>
      </c>
    </row>
    <row r="146" customFormat="false" ht="15" hidden="false" customHeight="false" outlineLevel="0" collapsed="false">
      <c r="B146" s="71" t="str">
        <f aca="false">IF($F$6="Sí",N($C$11)+119,"")</f>
        <v/>
      </c>
      <c r="C146" s="72" t="str">
        <f aca="false">IF(OR($F$6&lt;&gt;"Sí",D146&lt;=0.5),"",EDATE($C$10,119))</f>
        <v/>
      </c>
      <c r="D146" s="41" t="n">
        <f aca="false">MAX(0,M145)</f>
        <v>0</v>
      </c>
      <c r="E146" s="41" t="n">
        <f aca="false">D146*$F$7</f>
        <v>0</v>
      </c>
      <c r="F146" s="41" t="n">
        <f aca="false">IF(D146&gt;0.5,N($C$15),0)</f>
        <v>0</v>
      </c>
      <c r="G146" s="41" t="n">
        <f aca="false">IF(AND(D146&gt;0.5,N($C$19)&gt;0,N(B146)&lt;=N($C$20)),D146*$F$8,0)</f>
        <v>0</v>
      </c>
      <c r="H146" s="41" t="n">
        <f aca="false">IF(D146&lt;=0.5,0,MIN(IF(N(I146)&gt;0,I146,$F$9),D146+E146+F146))</f>
        <v>0</v>
      </c>
      <c r="I146" s="77"/>
      <c r="J146" s="77"/>
      <c r="K146" s="41" t="n">
        <f aca="false">IF(D146&lt;=0.5,0,MIN(H146+N(J146),D146+E146+F146))</f>
        <v>0</v>
      </c>
      <c r="L146" s="41" t="n">
        <f aca="false">K146-E146-F146</f>
        <v>0</v>
      </c>
      <c r="M146" s="41" t="n">
        <f aca="false">D146-L146</f>
        <v>0</v>
      </c>
      <c r="N146" s="42" t="n">
        <f aca="false">K146-G146</f>
        <v>0</v>
      </c>
      <c r="O146" s="78"/>
      <c r="P146" s="79"/>
      <c r="Q146" s="16" t="str">
        <f aca="false">IF(K146=0,"",IF(R146=1,"Pagada",IF(C146&lt;$F$12,"Vencida",IF(120=$F$13,"Próxima","Pendiente"))))</f>
        <v/>
      </c>
      <c r="R146" s="62" t="n">
        <f aca="false">IF(AND(K146&gt;0,OR(O146="Sí",O146="Si")),1,0)</f>
        <v>0</v>
      </c>
      <c r="S146" s="62" t="n">
        <f aca="false">IF(AND(K146&gt;0,R146=0),1,0)</f>
        <v>0</v>
      </c>
    </row>
    <row r="147" customFormat="false" ht="15" hidden="false" customHeight="false" outlineLevel="0" collapsed="false">
      <c r="B147" s="71" t="str">
        <f aca="false">IF($F$6="Sí",N($C$11)+120,"")</f>
        <v/>
      </c>
      <c r="C147" s="72" t="str">
        <f aca="false">IF(OR($F$6&lt;&gt;"Sí",D147&lt;=0.5),"",EDATE($C$10,120))</f>
        <v/>
      </c>
      <c r="D147" s="41" t="n">
        <f aca="false">MAX(0,M146)</f>
        <v>0</v>
      </c>
      <c r="E147" s="41" t="n">
        <f aca="false">D147*$F$7</f>
        <v>0</v>
      </c>
      <c r="F147" s="41" t="n">
        <f aca="false">IF(D147&gt;0.5,N($C$15),0)</f>
        <v>0</v>
      </c>
      <c r="G147" s="41" t="n">
        <f aca="false">IF(AND(D147&gt;0.5,N($C$19)&gt;0,N(B147)&lt;=N($C$20)),D147*$F$8,0)</f>
        <v>0</v>
      </c>
      <c r="H147" s="41" t="n">
        <f aca="false">IF(D147&lt;=0.5,0,MIN(IF(N(I147)&gt;0,I147,$F$9),D147+E147+F147))</f>
        <v>0</v>
      </c>
      <c r="I147" s="77"/>
      <c r="J147" s="77"/>
      <c r="K147" s="41" t="n">
        <f aca="false">IF(D147&lt;=0.5,0,MIN(H147+N(J147),D147+E147+F147))</f>
        <v>0</v>
      </c>
      <c r="L147" s="41" t="n">
        <f aca="false">K147-E147-F147</f>
        <v>0</v>
      </c>
      <c r="M147" s="41" t="n">
        <f aca="false">D147-L147</f>
        <v>0</v>
      </c>
      <c r="N147" s="42" t="n">
        <f aca="false">K147-G147</f>
        <v>0</v>
      </c>
      <c r="O147" s="78"/>
      <c r="P147" s="79"/>
      <c r="Q147" s="16" t="str">
        <f aca="false">IF(K147=0,"",IF(R147=1,"Pagada",IF(C147&lt;$F$12,"Vencida",IF(121=$F$13,"Próxima","Pendiente"))))</f>
        <v/>
      </c>
      <c r="R147" s="62" t="n">
        <f aca="false">IF(AND(K147&gt;0,OR(O147="Sí",O147="Si")),1,0)</f>
        <v>0</v>
      </c>
      <c r="S147" s="62" t="n">
        <f aca="false">IF(AND(K147&gt;0,R147=0),1,0)</f>
        <v>0</v>
      </c>
    </row>
    <row r="148" customFormat="false" ht="15" hidden="false" customHeight="false" outlineLevel="0" collapsed="false">
      <c r="B148" s="71" t="str">
        <f aca="false">IF($F$6="Sí",N($C$11)+121,"")</f>
        <v/>
      </c>
      <c r="C148" s="72" t="str">
        <f aca="false">IF(OR($F$6&lt;&gt;"Sí",D148&lt;=0.5),"",EDATE($C$10,121))</f>
        <v/>
      </c>
      <c r="D148" s="41" t="n">
        <f aca="false">MAX(0,M147)</f>
        <v>0</v>
      </c>
      <c r="E148" s="41" t="n">
        <f aca="false">D148*$F$7</f>
        <v>0</v>
      </c>
      <c r="F148" s="41" t="n">
        <f aca="false">IF(D148&gt;0.5,N($C$15),0)</f>
        <v>0</v>
      </c>
      <c r="G148" s="41" t="n">
        <f aca="false">IF(AND(D148&gt;0.5,N($C$19)&gt;0,N(B148)&lt;=N($C$20)),D148*$F$8,0)</f>
        <v>0</v>
      </c>
      <c r="H148" s="41" t="n">
        <f aca="false">IF(D148&lt;=0.5,0,MIN(IF(N(I148)&gt;0,I148,$F$9),D148+E148+F148))</f>
        <v>0</v>
      </c>
      <c r="I148" s="77"/>
      <c r="J148" s="77"/>
      <c r="K148" s="41" t="n">
        <f aca="false">IF(D148&lt;=0.5,0,MIN(H148+N(J148),D148+E148+F148))</f>
        <v>0</v>
      </c>
      <c r="L148" s="41" t="n">
        <f aca="false">K148-E148-F148</f>
        <v>0</v>
      </c>
      <c r="M148" s="41" t="n">
        <f aca="false">D148-L148</f>
        <v>0</v>
      </c>
      <c r="N148" s="42" t="n">
        <f aca="false">K148-G148</f>
        <v>0</v>
      </c>
      <c r="O148" s="78"/>
      <c r="P148" s="79"/>
      <c r="Q148" s="16" t="str">
        <f aca="false">IF(K148=0,"",IF(R148=1,"Pagada",IF(C148&lt;$F$12,"Vencida",IF(122=$F$13,"Próxima","Pendiente"))))</f>
        <v/>
      </c>
      <c r="R148" s="62" t="n">
        <f aca="false">IF(AND(K148&gt;0,OR(O148="Sí",O148="Si")),1,0)</f>
        <v>0</v>
      </c>
      <c r="S148" s="62" t="n">
        <f aca="false">IF(AND(K148&gt;0,R148=0),1,0)</f>
        <v>0</v>
      </c>
    </row>
    <row r="149" customFormat="false" ht="15" hidden="false" customHeight="false" outlineLevel="0" collapsed="false">
      <c r="B149" s="71" t="str">
        <f aca="false">IF($F$6="Sí",N($C$11)+122,"")</f>
        <v/>
      </c>
      <c r="C149" s="72" t="str">
        <f aca="false">IF(OR($F$6&lt;&gt;"Sí",D149&lt;=0.5),"",EDATE($C$10,122))</f>
        <v/>
      </c>
      <c r="D149" s="41" t="n">
        <f aca="false">MAX(0,M148)</f>
        <v>0</v>
      </c>
      <c r="E149" s="41" t="n">
        <f aca="false">D149*$F$7</f>
        <v>0</v>
      </c>
      <c r="F149" s="41" t="n">
        <f aca="false">IF(D149&gt;0.5,N($C$15),0)</f>
        <v>0</v>
      </c>
      <c r="G149" s="41" t="n">
        <f aca="false">IF(AND(D149&gt;0.5,N($C$19)&gt;0,N(B149)&lt;=N($C$20)),D149*$F$8,0)</f>
        <v>0</v>
      </c>
      <c r="H149" s="41" t="n">
        <f aca="false">IF(D149&lt;=0.5,0,MIN(IF(N(I149)&gt;0,I149,$F$9),D149+E149+F149))</f>
        <v>0</v>
      </c>
      <c r="I149" s="77"/>
      <c r="J149" s="77"/>
      <c r="K149" s="41" t="n">
        <f aca="false">IF(D149&lt;=0.5,0,MIN(H149+N(J149),D149+E149+F149))</f>
        <v>0</v>
      </c>
      <c r="L149" s="41" t="n">
        <f aca="false">K149-E149-F149</f>
        <v>0</v>
      </c>
      <c r="M149" s="41" t="n">
        <f aca="false">D149-L149</f>
        <v>0</v>
      </c>
      <c r="N149" s="42" t="n">
        <f aca="false">K149-G149</f>
        <v>0</v>
      </c>
      <c r="O149" s="78"/>
      <c r="P149" s="79"/>
      <c r="Q149" s="16" t="str">
        <f aca="false">IF(K149=0,"",IF(R149=1,"Pagada",IF(C149&lt;$F$12,"Vencida",IF(123=$F$13,"Próxima","Pendiente"))))</f>
        <v/>
      </c>
      <c r="R149" s="62" t="n">
        <f aca="false">IF(AND(K149&gt;0,OR(O149="Sí",O149="Si")),1,0)</f>
        <v>0</v>
      </c>
      <c r="S149" s="62" t="n">
        <f aca="false">IF(AND(K149&gt;0,R149=0),1,0)</f>
        <v>0</v>
      </c>
    </row>
    <row r="150" customFormat="false" ht="15" hidden="false" customHeight="false" outlineLevel="0" collapsed="false">
      <c r="B150" s="71" t="str">
        <f aca="false">IF($F$6="Sí",N($C$11)+123,"")</f>
        <v/>
      </c>
      <c r="C150" s="72" t="str">
        <f aca="false">IF(OR($F$6&lt;&gt;"Sí",D150&lt;=0.5),"",EDATE($C$10,123))</f>
        <v/>
      </c>
      <c r="D150" s="41" t="n">
        <f aca="false">MAX(0,M149)</f>
        <v>0</v>
      </c>
      <c r="E150" s="41" t="n">
        <f aca="false">D150*$F$7</f>
        <v>0</v>
      </c>
      <c r="F150" s="41" t="n">
        <f aca="false">IF(D150&gt;0.5,N($C$15),0)</f>
        <v>0</v>
      </c>
      <c r="G150" s="41" t="n">
        <f aca="false">IF(AND(D150&gt;0.5,N($C$19)&gt;0,N(B150)&lt;=N($C$20)),D150*$F$8,0)</f>
        <v>0</v>
      </c>
      <c r="H150" s="41" t="n">
        <f aca="false">IF(D150&lt;=0.5,0,MIN(IF(N(I150)&gt;0,I150,$F$9),D150+E150+F150))</f>
        <v>0</v>
      </c>
      <c r="I150" s="77"/>
      <c r="J150" s="77"/>
      <c r="K150" s="41" t="n">
        <f aca="false">IF(D150&lt;=0.5,0,MIN(H150+N(J150),D150+E150+F150))</f>
        <v>0</v>
      </c>
      <c r="L150" s="41" t="n">
        <f aca="false">K150-E150-F150</f>
        <v>0</v>
      </c>
      <c r="M150" s="41" t="n">
        <f aca="false">D150-L150</f>
        <v>0</v>
      </c>
      <c r="N150" s="42" t="n">
        <f aca="false">K150-G150</f>
        <v>0</v>
      </c>
      <c r="O150" s="78"/>
      <c r="P150" s="79"/>
      <c r="Q150" s="16" t="str">
        <f aca="false">IF(K150=0,"",IF(R150=1,"Pagada",IF(C150&lt;$F$12,"Vencida",IF(124=$F$13,"Próxima","Pendiente"))))</f>
        <v/>
      </c>
      <c r="R150" s="62" t="n">
        <f aca="false">IF(AND(K150&gt;0,OR(O150="Sí",O150="Si")),1,0)</f>
        <v>0</v>
      </c>
      <c r="S150" s="62" t="n">
        <f aca="false">IF(AND(K150&gt;0,R150=0),1,0)</f>
        <v>0</v>
      </c>
    </row>
    <row r="151" customFormat="false" ht="15" hidden="false" customHeight="false" outlineLevel="0" collapsed="false">
      <c r="B151" s="71" t="str">
        <f aca="false">IF($F$6="Sí",N($C$11)+124,"")</f>
        <v/>
      </c>
      <c r="C151" s="72" t="str">
        <f aca="false">IF(OR($F$6&lt;&gt;"Sí",D151&lt;=0.5),"",EDATE($C$10,124))</f>
        <v/>
      </c>
      <c r="D151" s="41" t="n">
        <f aca="false">MAX(0,M150)</f>
        <v>0</v>
      </c>
      <c r="E151" s="41" t="n">
        <f aca="false">D151*$F$7</f>
        <v>0</v>
      </c>
      <c r="F151" s="41" t="n">
        <f aca="false">IF(D151&gt;0.5,N($C$15),0)</f>
        <v>0</v>
      </c>
      <c r="G151" s="41" t="n">
        <f aca="false">IF(AND(D151&gt;0.5,N($C$19)&gt;0,N(B151)&lt;=N($C$20)),D151*$F$8,0)</f>
        <v>0</v>
      </c>
      <c r="H151" s="41" t="n">
        <f aca="false">IF(D151&lt;=0.5,0,MIN(IF(N(I151)&gt;0,I151,$F$9),D151+E151+F151))</f>
        <v>0</v>
      </c>
      <c r="I151" s="77"/>
      <c r="J151" s="77"/>
      <c r="K151" s="41" t="n">
        <f aca="false">IF(D151&lt;=0.5,0,MIN(H151+N(J151),D151+E151+F151))</f>
        <v>0</v>
      </c>
      <c r="L151" s="41" t="n">
        <f aca="false">K151-E151-F151</f>
        <v>0</v>
      </c>
      <c r="M151" s="41" t="n">
        <f aca="false">D151-L151</f>
        <v>0</v>
      </c>
      <c r="N151" s="42" t="n">
        <f aca="false">K151-G151</f>
        <v>0</v>
      </c>
      <c r="O151" s="78"/>
      <c r="P151" s="79"/>
      <c r="Q151" s="16" t="str">
        <f aca="false">IF(K151=0,"",IF(R151=1,"Pagada",IF(C151&lt;$F$12,"Vencida",IF(125=$F$13,"Próxima","Pendiente"))))</f>
        <v/>
      </c>
      <c r="R151" s="62" t="n">
        <f aca="false">IF(AND(K151&gt;0,OR(O151="Sí",O151="Si")),1,0)</f>
        <v>0</v>
      </c>
      <c r="S151" s="62" t="n">
        <f aca="false">IF(AND(K151&gt;0,R151=0),1,0)</f>
        <v>0</v>
      </c>
    </row>
    <row r="152" customFormat="false" ht="15" hidden="false" customHeight="false" outlineLevel="0" collapsed="false">
      <c r="B152" s="71" t="str">
        <f aca="false">IF($F$6="Sí",N($C$11)+125,"")</f>
        <v/>
      </c>
      <c r="C152" s="72" t="str">
        <f aca="false">IF(OR($F$6&lt;&gt;"Sí",D152&lt;=0.5),"",EDATE($C$10,125))</f>
        <v/>
      </c>
      <c r="D152" s="41" t="n">
        <f aca="false">MAX(0,M151)</f>
        <v>0</v>
      </c>
      <c r="E152" s="41" t="n">
        <f aca="false">D152*$F$7</f>
        <v>0</v>
      </c>
      <c r="F152" s="41" t="n">
        <f aca="false">IF(D152&gt;0.5,N($C$15),0)</f>
        <v>0</v>
      </c>
      <c r="G152" s="41" t="n">
        <f aca="false">IF(AND(D152&gt;0.5,N($C$19)&gt;0,N(B152)&lt;=N($C$20)),D152*$F$8,0)</f>
        <v>0</v>
      </c>
      <c r="H152" s="41" t="n">
        <f aca="false">IF(D152&lt;=0.5,0,MIN(IF(N(I152)&gt;0,I152,$F$9),D152+E152+F152))</f>
        <v>0</v>
      </c>
      <c r="I152" s="77"/>
      <c r="J152" s="77"/>
      <c r="K152" s="41" t="n">
        <f aca="false">IF(D152&lt;=0.5,0,MIN(H152+N(J152),D152+E152+F152))</f>
        <v>0</v>
      </c>
      <c r="L152" s="41" t="n">
        <f aca="false">K152-E152-F152</f>
        <v>0</v>
      </c>
      <c r="M152" s="41" t="n">
        <f aca="false">D152-L152</f>
        <v>0</v>
      </c>
      <c r="N152" s="42" t="n">
        <f aca="false">K152-G152</f>
        <v>0</v>
      </c>
      <c r="O152" s="78"/>
      <c r="P152" s="79"/>
      <c r="Q152" s="16" t="str">
        <f aca="false">IF(K152=0,"",IF(R152=1,"Pagada",IF(C152&lt;$F$12,"Vencida",IF(126=$F$13,"Próxima","Pendiente"))))</f>
        <v/>
      </c>
      <c r="R152" s="62" t="n">
        <f aca="false">IF(AND(K152&gt;0,OR(O152="Sí",O152="Si")),1,0)</f>
        <v>0</v>
      </c>
      <c r="S152" s="62" t="n">
        <f aca="false">IF(AND(K152&gt;0,R152=0),1,0)</f>
        <v>0</v>
      </c>
    </row>
    <row r="153" customFormat="false" ht="15" hidden="false" customHeight="false" outlineLevel="0" collapsed="false">
      <c r="B153" s="71" t="str">
        <f aca="false">IF($F$6="Sí",N($C$11)+126,"")</f>
        <v/>
      </c>
      <c r="C153" s="72" t="str">
        <f aca="false">IF(OR($F$6&lt;&gt;"Sí",D153&lt;=0.5),"",EDATE($C$10,126))</f>
        <v/>
      </c>
      <c r="D153" s="41" t="n">
        <f aca="false">MAX(0,M152)</f>
        <v>0</v>
      </c>
      <c r="E153" s="41" t="n">
        <f aca="false">D153*$F$7</f>
        <v>0</v>
      </c>
      <c r="F153" s="41" t="n">
        <f aca="false">IF(D153&gt;0.5,N($C$15),0)</f>
        <v>0</v>
      </c>
      <c r="G153" s="41" t="n">
        <f aca="false">IF(AND(D153&gt;0.5,N($C$19)&gt;0,N(B153)&lt;=N($C$20)),D153*$F$8,0)</f>
        <v>0</v>
      </c>
      <c r="H153" s="41" t="n">
        <f aca="false">IF(D153&lt;=0.5,0,MIN(IF(N(I153)&gt;0,I153,$F$9),D153+E153+F153))</f>
        <v>0</v>
      </c>
      <c r="I153" s="77"/>
      <c r="J153" s="77"/>
      <c r="K153" s="41" t="n">
        <f aca="false">IF(D153&lt;=0.5,0,MIN(H153+N(J153),D153+E153+F153))</f>
        <v>0</v>
      </c>
      <c r="L153" s="41" t="n">
        <f aca="false">K153-E153-F153</f>
        <v>0</v>
      </c>
      <c r="M153" s="41" t="n">
        <f aca="false">D153-L153</f>
        <v>0</v>
      </c>
      <c r="N153" s="42" t="n">
        <f aca="false">K153-G153</f>
        <v>0</v>
      </c>
      <c r="O153" s="78"/>
      <c r="P153" s="79"/>
      <c r="Q153" s="16" t="str">
        <f aca="false">IF(K153=0,"",IF(R153=1,"Pagada",IF(C153&lt;$F$12,"Vencida",IF(127=$F$13,"Próxima","Pendiente"))))</f>
        <v/>
      </c>
      <c r="R153" s="62" t="n">
        <f aca="false">IF(AND(K153&gt;0,OR(O153="Sí",O153="Si")),1,0)</f>
        <v>0</v>
      </c>
      <c r="S153" s="62" t="n">
        <f aca="false">IF(AND(K153&gt;0,R153=0),1,0)</f>
        <v>0</v>
      </c>
    </row>
    <row r="154" customFormat="false" ht="15" hidden="false" customHeight="false" outlineLevel="0" collapsed="false">
      <c r="B154" s="71" t="str">
        <f aca="false">IF($F$6="Sí",N($C$11)+127,"")</f>
        <v/>
      </c>
      <c r="C154" s="72" t="str">
        <f aca="false">IF(OR($F$6&lt;&gt;"Sí",D154&lt;=0.5),"",EDATE($C$10,127))</f>
        <v/>
      </c>
      <c r="D154" s="41" t="n">
        <f aca="false">MAX(0,M153)</f>
        <v>0</v>
      </c>
      <c r="E154" s="41" t="n">
        <f aca="false">D154*$F$7</f>
        <v>0</v>
      </c>
      <c r="F154" s="41" t="n">
        <f aca="false">IF(D154&gt;0.5,N($C$15),0)</f>
        <v>0</v>
      </c>
      <c r="G154" s="41" t="n">
        <f aca="false">IF(AND(D154&gt;0.5,N($C$19)&gt;0,N(B154)&lt;=N($C$20)),D154*$F$8,0)</f>
        <v>0</v>
      </c>
      <c r="H154" s="41" t="n">
        <f aca="false">IF(D154&lt;=0.5,0,MIN(IF(N(I154)&gt;0,I154,$F$9),D154+E154+F154))</f>
        <v>0</v>
      </c>
      <c r="I154" s="77"/>
      <c r="J154" s="77"/>
      <c r="K154" s="41" t="n">
        <f aca="false">IF(D154&lt;=0.5,0,MIN(H154+N(J154),D154+E154+F154))</f>
        <v>0</v>
      </c>
      <c r="L154" s="41" t="n">
        <f aca="false">K154-E154-F154</f>
        <v>0</v>
      </c>
      <c r="M154" s="41" t="n">
        <f aca="false">D154-L154</f>
        <v>0</v>
      </c>
      <c r="N154" s="42" t="n">
        <f aca="false">K154-G154</f>
        <v>0</v>
      </c>
      <c r="O154" s="78"/>
      <c r="P154" s="79"/>
      <c r="Q154" s="16" t="str">
        <f aca="false">IF(K154=0,"",IF(R154=1,"Pagada",IF(C154&lt;$F$12,"Vencida",IF(128=$F$13,"Próxima","Pendiente"))))</f>
        <v/>
      </c>
      <c r="R154" s="62" t="n">
        <f aca="false">IF(AND(K154&gt;0,OR(O154="Sí",O154="Si")),1,0)</f>
        <v>0</v>
      </c>
      <c r="S154" s="62" t="n">
        <f aca="false">IF(AND(K154&gt;0,R154=0),1,0)</f>
        <v>0</v>
      </c>
    </row>
    <row r="155" customFormat="false" ht="15" hidden="false" customHeight="false" outlineLevel="0" collapsed="false">
      <c r="B155" s="71" t="str">
        <f aca="false">IF($F$6="Sí",N($C$11)+128,"")</f>
        <v/>
      </c>
      <c r="C155" s="72" t="str">
        <f aca="false">IF(OR($F$6&lt;&gt;"Sí",D155&lt;=0.5),"",EDATE($C$10,128))</f>
        <v/>
      </c>
      <c r="D155" s="41" t="n">
        <f aca="false">MAX(0,M154)</f>
        <v>0</v>
      </c>
      <c r="E155" s="41" t="n">
        <f aca="false">D155*$F$7</f>
        <v>0</v>
      </c>
      <c r="F155" s="41" t="n">
        <f aca="false">IF(D155&gt;0.5,N($C$15),0)</f>
        <v>0</v>
      </c>
      <c r="G155" s="41" t="n">
        <f aca="false">IF(AND(D155&gt;0.5,N($C$19)&gt;0,N(B155)&lt;=N($C$20)),D155*$F$8,0)</f>
        <v>0</v>
      </c>
      <c r="H155" s="41" t="n">
        <f aca="false">IF(D155&lt;=0.5,0,MIN(IF(N(I155)&gt;0,I155,$F$9),D155+E155+F155))</f>
        <v>0</v>
      </c>
      <c r="I155" s="77"/>
      <c r="J155" s="77"/>
      <c r="K155" s="41" t="n">
        <f aca="false">IF(D155&lt;=0.5,0,MIN(H155+N(J155),D155+E155+F155))</f>
        <v>0</v>
      </c>
      <c r="L155" s="41" t="n">
        <f aca="false">K155-E155-F155</f>
        <v>0</v>
      </c>
      <c r="M155" s="41" t="n">
        <f aca="false">D155-L155</f>
        <v>0</v>
      </c>
      <c r="N155" s="42" t="n">
        <f aca="false">K155-G155</f>
        <v>0</v>
      </c>
      <c r="O155" s="78"/>
      <c r="P155" s="79"/>
      <c r="Q155" s="16" t="str">
        <f aca="false">IF(K155=0,"",IF(R155=1,"Pagada",IF(C155&lt;$F$12,"Vencida",IF(129=$F$13,"Próxima","Pendiente"))))</f>
        <v/>
      </c>
      <c r="R155" s="62" t="n">
        <f aca="false">IF(AND(K155&gt;0,OR(O155="Sí",O155="Si")),1,0)</f>
        <v>0</v>
      </c>
      <c r="S155" s="62" t="n">
        <f aca="false">IF(AND(K155&gt;0,R155=0),1,0)</f>
        <v>0</v>
      </c>
    </row>
    <row r="156" customFormat="false" ht="15" hidden="false" customHeight="false" outlineLevel="0" collapsed="false">
      <c r="B156" s="71" t="str">
        <f aca="false">IF($F$6="Sí",N($C$11)+129,"")</f>
        <v/>
      </c>
      <c r="C156" s="72" t="str">
        <f aca="false">IF(OR($F$6&lt;&gt;"Sí",D156&lt;=0.5),"",EDATE($C$10,129))</f>
        <v/>
      </c>
      <c r="D156" s="41" t="n">
        <f aca="false">MAX(0,M155)</f>
        <v>0</v>
      </c>
      <c r="E156" s="41" t="n">
        <f aca="false">D156*$F$7</f>
        <v>0</v>
      </c>
      <c r="F156" s="41" t="n">
        <f aca="false">IF(D156&gt;0.5,N($C$15),0)</f>
        <v>0</v>
      </c>
      <c r="G156" s="41" t="n">
        <f aca="false">IF(AND(D156&gt;0.5,N($C$19)&gt;0,N(B156)&lt;=N($C$20)),D156*$F$8,0)</f>
        <v>0</v>
      </c>
      <c r="H156" s="41" t="n">
        <f aca="false">IF(D156&lt;=0.5,0,MIN(IF(N(I156)&gt;0,I156,$F$9),D156+E156+F156))</f>
        <v>0</v>
      </c>
      <c r="I156" s="77"/>
      <c r="J156" s="77"/>
      <c r="K156" s="41" t="n">
        <f aca="false">IF(D156&lt;=0.5,0,MIN(H156+N(J156),D156+E156+F156))</f>
        <v>0</v>
      </c>
      <c r="L156" s="41" t="n">
        <f aca="false">K156-E156-F156</f>
        <v>0</v>
      </c>
      <c r="M156" s="41" t="n">
        <f aca="false">D156-L156</f>
        <v>0</v>
      </c>
      <c r="N156" s="42" t="n">
        <f aca="false">K156-G156</f>
        <v>0</v>
      </c>
      <c r="O156" s="78"/>
      <c r="P156" s="79"/>
      <c r="Q156" s="16" t="str">
        <f aca="false">IF(K156=0,"",IF(R156=1,"Pagada",IF(C156&lt;$F$12,"Vencida",IF(130=$F$13,"Próxima","Pendiente"))))</f>
        <v/>
      </c>
      <c r="R156" s="62" t="n">
        <f aca="false">IF(AND(K156&gt;0,OR(O156="Sí",O156="Si")),1,0)</f>
        <v>0</v>
      </c>
      <c r="S156" s="62" t="n">
        <f aca="false">IF(AND(K156&gt;0,R156=0),1,0)</f>
        <v>0</v>
      </c>
    </row>
    <row r="157" customFormat="false" ht="15" hidden="false" customHeight="false" outlineLevel="0" collapsed="false">
      <c r="B157" s="71" t="str">
        <f aca="false">IF($F$6="Sí",N($C$11)+130,"")</f>
        <v/>
      </c>
      <c r="C157" s="72" t="str">
        <f aca="false">IF(OR($F$6&lt;&gt;"Sí",D157&lt;=0.5),"",EDATE($C$10,130))</f>
        <v/>
      </c>
      <c r="D157" s="41" t="n">
        <f aca="false">MAX(0,M156)</f>
        <v>0</v>
      </c>
      <c r="E157" s="41" t="n">
        <f aca="false">D157*$F$7</f>
        <v>0</v>
      </c>
      <c r="F157" s="41" t="n">
        <f aca="false">IF(D157&gt;0.5,N($C$15),0)</f>
        <v>0</v>
      </c>
      <c r="G157" s="41" t="n">
        <f aca="false">IF(AND(D157&gt;0.5,N($C$19)&gt;0,N(B157)&lt;=N($C$20)),D157*$F$8,0)</f>
        <v>0</v>
      </c>
      <c r="H157" s="41" t="n">
        <f aca="false">IF(D157&lt;=0.5,0,MIN(IF(N(I157)&gt;0,I157,$F$9),D157+E157+F157))</f>
        <v>0</v>
      </c>
      <c r="I157" s="77"/>
      <c r="J157" s="77"/>
      <c r="K157" s="41" t="n">
        <f aca="false">IF(D157&lt;=0.5,0,MIN(H157+N(J157),D157+E157+F157))</f>
        <v>0</v>
      </c>
      <c r="L157" s="41" t="n">
        <f aca="false">K157-E157-F157</f>
        <v>0</v>
      </c>
      <c r="M157" s="41" t="n">
        <f aca="false">D157-L157</f>
        <v>0</v>
      </c>
      <c r="N157" s="42" t="n">
        <f aca="false">K157-G157</f>
        <v>0</v>
      </c>
      <c r="O157" s="78"/>
      <c r="P157" s="79"/>
      <c r="Q157" s="16" t="str">
        <f aca="false">IF(K157=0,"",IF(R157=1,"Pagada",IF(C157&lt;$F$12,"Vencida",IF(131=$F$13,"Próxima","Pendiente"))))</f>
        <v/>
      </c>
      <c r="R157" s="62" t="n">
        <f aca="false">IF(AND(K157&gt;0,OR(O157="Sí",O157="Si")),1,0)</f>
        <v>0</v>
      </c>
      <c r="S157" s="62" t="n">
        <f aca="false">IF(AND(K157&gt;0,R157=0),1,0)</f>
        <v>0</v>
      </c>
    </row>
    <row r="158" customFormat="false" ht="15" hidden="false" customHeight="false" outlineLevel="0" collapsed="false">
      <c r="B158" s="71" t="str">
        <f aca="false">IF($F$6="Sí",N($C$11)+131,"")</f>
        <v/>
      </c>
      <c r="C158" s="72" t="str">
        <f aca="false">IF(OR($F$6&lt;&gt;"Sí",D158&lt;=0.5),"",EDATE($C$10,131))</f>
        <v/>
      </c>
      <c r="D158" s="41" t="n">
        <f aca="false">MAX(0,M157)</f>
        <v>0</v>
      </c>
      <c r="E158" s="41" t="n">
        <f aca="false">D158*$F$7</f>
        <v>0</v>
      </c>
      <c r="F158" s="41" t="n">
        <f aca="false">IF(D158&gt;0.5,N($C$15),0)</f>
        <v>0</v>
      </c>
      <c r="G158" s="41" t="n">
        <f aca="false">IF(AND(D158&gt;0.5,N($C$19)&gt;0,N(B158)&lt;=N($C$20)),D158*$F$8,0)</f>
        <v>0</v>
      </c>
      <c r="H158" s="41" t="n">
        <f aca="false">IF(D158&lt;=0.5,0,MIN(IF(N(I158)&gt;0,I158,$F$9),D158+E158+F158))</f>
        <v>0</v>
      </c>
      <c r="I158" s="77"/>
      <c r="J158" s="77"/>
      <c r="K158" s="41" t="n">
        <f aca="false">IF(D158&lt;=0.5,0,MIN(H158+N(J158),D158+E158+F158))</f>
        <v>0</v>
      </c>
      <c r="L158" s="41" t="n">
        <f aca="false">K158-E158-F158</f>
        <v>0</v>
      </c>
      <c r="M158" s="41" t="n">
        <f aca="false">D158-L158</f>
        <v>0</v>
      </c>
      <c r="N158" s="42" t="n">
        <f aca="false">K158-G158</f>
        <v>0</v>
      </c>
      <c r="O158" s="78"/>
      <c r="P158" s="79"/>
      <c r="Q158" s="16" t="str">
        <f aca="false">IF(K158=0,"",IF(R158=1,"Pagada",IF(C158&lt;$F$12,"Vencida",IF(132=$F$13,"Próxima","Pendiente"))))</f>
        <v/>
      </c>
      <c r="R158" s="62" t="n">
        <f aca="false">IF(AND(K158&gt;0,OR(O158="Sí",O158="Si")),1,0)</f>
        <v>0</v>
      </c>
      <c r="S158" s="62" t="n">
        <f aca="false">IF(AND(K158&gt;0,R158=0),1,0)</f>
        <v>0</v>
      </c>
    </row>
    <row r="159" customFormat="false" ht="15" hidden="false" customHeight="false" outlineLevel="0" collapsed="false">
      <c r="B159" s="71" t="str">
        <f aca="false">IF($F$6="Sí",N($C$11)+132,"")</f>
        <v/>
      </c>
      <c r="C159" s="72" t="str">
        <f aca="false">IF(OR($F$6&lt;&gt;"Sí",D159&lt;=0.5),"",EDATE($C$10,132))</f>
        <v/>
      </c>
      <c r="D159" s="41" t="n">
        <f aca="false">MAX(0,M158)</f>
        <v>0</v>
      </c>
      <c r="E159" s="41" t="n">
        <f aca="false">D159*$F$7</f>
        <v>0</v>
      </c>
      <c r="F159" s="41" t="n">
        <f aca="false">IF(D159&gt;0.5,N($C$15),0)</f>
        <v>0</v>
      </c>
      <c r="G159" s="41" t="n">
        <f aca="false">IF(AND(D159&gt;0.5,N($C$19)&gt;0,N(B159)&lt;=N($C$20)),D159*$F$8,0)</f>
        <v>0</v>
      </c>
      <c r="H159" s="41" t="n">
        <f aca="false">IF(D159&lt;=0.5,0,MIN(IF(N(I159)&gt;0,I159,$F$9),D159+E159+F159))</f>
        <v>0</v>
      </c>
      <c r="I159" s="77"/>
      <c r="J159" s="77"/>
      <c r="K159" s="41" t="n">
        <f aca="false">IF(D159&lt;=0.5,0,MIN(H159+N(J159),D159+E159+F159))</f>
        <v>0</v>
      </c>
      <c r="L159" s="41" t="n">
        <f aca="false">K159-E159-F159</f>
        <v>0</v>
      </c>
      <c r="M159" s="41" t="n">
        <f aca="false">D159-L159</f>
        <v>0</v>
      </c>
      <c r="N159" s="42" t="n">
        <f aca="false">K159-G159</f>
        <v>0</v>
      </c>
      <c r="O159" s="78"/>
      <c r="P159" s="79"/>
      <c r="Q159" s="16" t="str">
        <f aca="false">IF(K159=0,"",IF(R159=1,"Pagada",IF(C159&lt;$F$12,"Vencida",IF(133=$F$13,"Próxima","Pendiente"))))</f>
        <v/>
      </c>
      <c r="R159" s="62" t="n">
        <f aca="false">IF(AND(K159&gt;0,OR(O159="Sí",O159="Si")),1,0)</f>
        <v>0</v>
      </c>
      <c r="S159" s="62" t="n">
        <f aca="false">IF(AND(K159&gt;0,R159=0),1,0)</f>
        <v>0</v>
      </c>
    </row>
    <row r="160" customFormat="false" ht="15" hidden="false" customHeight="false" outlineLevel="0" collapsed="false">
      <c r="B160" s="71" t="str">
        <f aca="false">IF($F$6="Sí",N($C$11)+133,"")</f>
        <v/>
      </c>
      <c r="C160" s="72" t="str">
        <f aca="false">IF(OR($F$6&lt;&gt;"Sí",D160&lt;=0.5),"",EDATE($C$10,133))</f>
        <v/>
      </c>
      <c r="D160" s="41" t="n">
        <f aca="false">MAX(0,M159)</f>
        <v>0</v>
      </c>
      <c r="E160" s="41" t="n">
        <f aca="false">D160*$F$7</f>
        <v>0</v>
      </c>
      <c r="F160" s="41" t="n">
        <f aca="false">IF(D160&gt;0.5,N($C$15),0)</f>
        <v>0</v>
      </c>
      <c r="G160" s="41" t="n">
        <f aca="false">IF(AND(D160&gt;0.5,N($C$19)&gt;0,N(B160)&lt;=N($C$20)),D160*$F$8,0)</f>
        <v>0</v>
      </c>
      <c r="H160" s="41" t="n">
        <f aca="false">IF(D160&lt;=0.5,0,MIN(IF(N(I160)&gt;0,I160,$F$9),D160+E160+F160))</f>
        <v>0</v>
      </c>
      <c r="I160" s="77"/>
      <c r="J160" s="77"/>
      <c r="K160" s="41" t="n">
        <f aca="false">IF(D160&lt;=0.5,0,MIN(H160+N(J160),D160+E160+F160))</f>
        <v>0</v>
      </c>
      <c r="L160" s="41" t="n">
        <f aca="false">K160-E160-F160</f>
        <v>0</v>
      </c>
      <c r="M160" s="41" t="n">
        <f aca="false">D160-L160</f>
        <v>0</v>
      </c>
      <c r="N160" s="42" t="n">
        <f aca="false">K160-G160</f>
        <v>0</v>
      </c>
      <c r="O160" s="78"/>
      <c r="P160" s="79"/>
      <c r="Q160" s="16" t="str">
        <f aca="false">IF(K160=0,"",IF(R160=1,"Pagada",IF(C160&lt;$F$12,"Vencida",IF(134=$F$13,"Próxima","Pendiente"))))</f>
        <v/>
      </c>
      <c r="R160" s="62" t="n">
        <f aca="false">IF(AND(K160&gt;0,OR(O160="Sí",O160="Si")),1,0)</f>
        <v>0</v>
      </c>
      <c r="S160" s="62" t="n">
        <f aca="false">IF(AND(K160&gt;0,R160=0),1,0)</f>
        <v>0</v>
      </c>
    </row>
    <row r="161" customFormat="false" ht="15" hidden="false" customHeight="false" outlineLevel="0" collapsed="false">
      <c r="B161" s="71" t="str">
        <f aca="false">IF($F$6="Sí",N($C$11)+134,"")</f>
        <v/>
      </c>
      <c r="C161" s="72" t="str">
        <f aca="false">IF(OR($F$6&lt;&gt;"Sí",D161&lt;=0.5),"",EDATE($C$10,134))</f>
        <v/>
      </c>
      <c r="D161" s="41" t="n">
        <f aca="false">MAX(0,M160)</f>
        <v>0</v>
      </c>
      <c r="E161" s="41" t="n">
        <f aca="false">D161*$F$7</f>
        <v>0</v>
      </c>
      <c r="F161" s="41" t="n">
        <f aca="false">IF(D161&gt;0.5,N($C$15),0)</f>
        <v>0</v>
      </c>
      <c r="G161" s="41" t="n">
        <f aca="false">IF(AND(D161&gt;0.5,N($C$19)&gt;0,N(B161)&lt;=N($C$20)),D161*$F$8,0)</f>
        <v>0</v>
      </c>
      <c r="H161" s="41" t="n">
        <f aca="false">IF(D161&lt;=0.5,0,MIN(IF(N(I161)&gt;0,I161,$F$9),D161+E161+F161))</f>
        <v>0</v>
      </c>
      <c r="I161" s="77"/>
      <c r="J161" s="77"/>
      <c r="K161" s="41" t="n">
        <f aca="false">IF(D161&lt;=0.5,0,MIN(H161+N(J161),D161+E161+F161))</f>
        <v>0</v>
      </c>
      <c r="L161" s="41" t="n">
        <f aca="false">K161-E161-F161</f>
        <v>0</v>
      </c>
      <c r="M161" s="41" t="n">
        <f aca="false">D161-L161</f>
        <v>0</v>
      </c>
      <c r="N161" s="42" t="n">
        <f aca="false">K161-G161</f>
        <v>0</v>
      </c>
      <c r="O161" s="78"/>
      <c r="P161" s="79"/>
      <c r="Q161" s="16" t="str">
        <f aca="false">IF(K161=0,"",IF(R161=1,"Pagada",IF(C161&lt;$F$12,"Vencida",IF(135=$F$13,"Próxima","Pendiente"))))</f>
        <v/>
      </c>
      <c r="R161" s="62" t="n">
        <f aca="false">IF(AND(K161&gt;0,OR(O161="Sí",O161="Si")),1,0)</f>
        <v>0</v>
      </c>
      <c r="S161" s="62" t="n">
        <f aca="false">IF(AND(K161&gt;0,R161=0),1,0)</f>
        <v>0</v>
      </c>
    </row>
    <row r="162" customFormat="false" ht="15" hidden="false" customHeight="false" outlineLevel="0" collapsed="false">
      <c r="B162" s="71" t="str">
        <f aca="false">IF($F$6="Sí",N($C$11)+135,"")</f>
        <v/>
      </c>
      <c r="C162" s="72" t="str">
        <f aca="false">IF(OR($F$6&lt;&gt;"Sí",D162&lt;=0.5),"",EDATE($C$10,135))</f>
        <v/>
      </c>
      <c r="D162" s="41" t="n">
        <f aca="false">MAX(0,M161)</f>
        <v>0</v>
      </c>
      <c r="E162" s="41" t="n">
        <f aca="false">D162*$F$7</f>
        <v>0</v>
      </c>
      <c r="F162" s="41" t="n">
        <f aca="false">IF(D162&gt;0.5,N($C$15),0)</f>
        <v>0</v>
      </c>
      <c r="G162" s="41" t="n">
        <f aca="false">IF(AND(D162&gt;0.5,N($C$19)&gt;0,N(B162)&lt;=N($C$20)),D162*$F$8,0)</f>
        <v>0</v>
      </c>
      <c r="H162" s="41" t="n">
        <f aca="false">IF(D162&lt;=0.5,0,MIN(IF(N(I162)&gt;0,I162,$F$9),D162+E162+F162))</f>
        <v>0</v>
      </c>
      <c r="I162" s="77"/>
      <c r="J162" s="77"/>
      <c r="K162" s="41" t="n">
        <f aca="false">IF(D162&lt;=0.5,0,MIN(H162+N(J162),D162+E162+F162))</f>
        <v>0</v>
      </c>
      <c r="L162" s="41" t="n">
        <f aca="false">K162-E162-F162</f>
        <v>0</v>
      </c>
      <c r="M162" s="41" t="n">
        <f aca="false">D162-L162</f>
        <v>0</v>
      </c>
      <c r="N162" s="42" t="n">
        <f aca="false">K162-G162</f>
        <v>0</v>
      </c>
      <c r="O162" s="78"/>
      <c r="P162" s="79"/>
      <c r="Q162" s="16" t="str">
        <f aca="false">IF(K162=0,"",IF(R162=1,"Pagada",IF(C162&lt;$F$12,"Vencida",IF(136=$F$13,"Próxima","Pendiente"))))</f>
        <v/>
      </c>
      <c r="R162" s="62" t="n">
        <f aca="false">IF(AND(K162&gt;0,OR(O162="Sí",O162="Si")),1,0)</f>
        <v>0</v>
      </c>
      <c r="S162" s="62" t="n">
        <f aca="false">IF(AND(K162&gt;0,R162=0),1,0)</f>
        <v>0</v>
      </c>
    </row>
    <row r="163" customFormat="false" ht="15" hidden="false" customHeight="false" outlineLevel="0" collapsed="false">
      <c r="B163" s="71" t="str">
        <f aca="false">IF($F$6="Sí",N($C$11)+136,"")</f>
        <v/>
      </c>
      <c r="C163" s="72" t="str">
        <f aca="false">IF(OR($F$6&lt;&gt;"Sí",D163&lt;=0.5),"",EDATE($C$10,136))</f>
        <v/>
      </c>
      <c r="D163" s="41" t="n">
        <f aca="false">MAX(0,M162)</f>
        <v>0</v>
      </c>
      <c r="E163" s="41" t="n">
        <f aca="false">D163*$F$7</f>
        <v>0</v>
      </c>
      <c r="F163" s="41" t="n">
        <f aca="false">IF(D163&gt;0.5,N($C$15),0)</f>
        <v>0</v>
      </c>
      <c r="G163" s="41" t="n">
        <f aca="false">IF(AND(D163&gt;0.5,N($C$19)&gt;0,N(B163)&lt;=N($C$20)),D163*$F$8,0)</f>
        <v>0</v>
      </c>
      <c r="H163" s="41" t="n">
        <f aca="false">IF(D163&lt;=0.5,0,MIN(IF(N(I163)&gt;0,I163,$F$9),D163+E163+F163))</f>
        <v>0</v>
      </c>
      <c r="I163" s="77"/>
      <c r="J163" s="77"/>
      <c r="K163" s="41" t="n">
        <f aca="false">IF(D163&lt;=0.5,0,MIN(H163+N(J163),D163+E163+F163))</f>
        <v>0</v>
      </c>
      <c r="L163" s="41" t="n">
        <f aca="false">K163-E163-F163</f>
        <v>0</v>
      </c>
      <c r="M163" s="41" t="n">
        <f aca="false">D163-L163</f>
        <v>0</v>
      </c>
      <c r="N163" s="42" t="n">
        <f aca="false">K163-G163</f>
        <v>0</v>
      </c>
      <c r="O163" s="78"/>
      <c r="P163" s="79"/>
      <c r="Q163" s="16" t="str">
        <f aca="false">IF(K163=0,"",IF(R163=1,"Pagada",IF(C163&lt;$F$12,"Vencida",IF(137=$F$13,"Próxima","Pendiente"))))</f>
        <v/>
      </c>
      <c r="R163" s="62" t="n">
        <f aca="false">IF(AND(K163&gt;0,OR(O163="Sí",O163="Si")),1,0)</f>
        <v>0</v>
      </c>
      <c r="S163" s="62" t="n">
        <f aca="false">IF(AND(K163&gt;0,R163=0),1,0)</f>
        <v>0</v>
      </c>
    </row>
    <row r="164" customFormat="false" ht="15" hidden="false" customHeight="false" outlineLevel="0" collapsed="false">
      <c r="B164" s="71" t="str">
        <f aca="false">IF($F$6="Sí",N($C$11)+137,"")</f>
        <v/>
      </c>
      <c r="C164" s="72" t="str">
        <f aca="false">IF(OR($F$6&lt;&gt;"Sí",D164&lt;=0.5),"",EDATE($C$10,137))</f>
        <v/>
      </c>
      <c r="D164" s="41" t="n">
        <f aca="false">MAX(0,M163)</f>
        <v>0</v>
      </c>
      <c r="E164" s="41" t="n">
        <f aca="false">D164*$F$7</f>
        <v>0</v>
      </c>
      <c r="F164" s="41" t="n">
        <f aca="false">IF(D164&gt;0.5,N($C$15),0)</f>
        <v>0</v>
      </c>
      <c r="G164" s="41" t="n">
        <f aca="false">IF(AND(D164&gt;0.5,N($C$19)&gt;0,N(B164)&lt;=N($C$20)),D164*$F$8,0)</f>
        <v>0</v>
      </c>
      <c r="H164" s="41" t="n">
        <f aca="false">IF(D164&lt;=0.5,0,MIN(IF(N(I164)&gt;0,I164,$F$9),D164+E164+F164))</f>
        <v>0</v>
      </c>
      <c r="I164" s="77"/>
      <c r="J164" s="77"/>
      <c r="K164" s="41" t="n">
        <f aca="false">IF(D164&lt;=0.5,0,MIN(H164+N(J164),D164+E164+F164))</f>
        <v>0</v>
      </c>
      <c r="L164" s="41" t="n">
        <f aca="false">K164-E164-F164</f>
        <v>0</v>
      </c>
      <c r="M164" s="41" t="n">
        <f aca="false">D164-L164</f>
        <v>0</v>
      </c>
      <c r="N164" s="42" t="n">
        <f aca="false">K164-G164</f>
        <v>0</v>
      </c>
      <c r="O164" s="78"/>
      <c r="P164" s="79"/>
      <c r="Q164" s="16" t="str">
        <f aca="false">IF(K164=0,"",IF(R164=1,"Pagada",IF(C164&lt;$F$12,"Vencida",IF(138=$F$13,"Próxima","Pendiente"))))</f>
        <v/>
      </c>
      <c r="R164" s="62" t="n">
        <f aca="false">IF(AND(K164&gt;0,OR(O164="Sí",O164="Si")),1,0)</f>
        <v>0</v>
      </c>
      <c r="S164" s="62" t="n">
        <f aca="false">IF(AND(K164&gt;0,R164=0),1,0)</f>
        <v>0</v>
      </c>
    </row>
    <row r="165" customFormat="false" ht="15" hidden="false" customHeight="false" outlineLevel="0" collapsed="false">
      <c r="B165" s="71" t="str">
        <f aca="false">IF($F$6="Sí",N($C$11)+138,"")</f>
        <v/>
      </c>
      <c r="C165" s="72" t="str">
        <f aca="false">IF(OR($F$6&lt;&gt;"Sí",D165&lt;=0.5),"",EDATE($C$10,138))</f>
        <v/>
      </c>
      <c r="D165" s="41" t="n">
        <f aca="false">MAX(0,M164)</f>
        <v>0</v>
      </c>
      <c r="E165" s="41" t="n">
        <f aca="false">D165*$F$7</f>
        <v>0</v>
      </c>
      <c r="F165" s="41" t="n">
        <f aca="false">IF(D165&gt;0.5,N($C$15),0)</f>
        <v>0</v>
      </c>
      <c r="G165" s="41" t="n">
        <f aca="false">IF(AND(D165&gt;0.5,N($C$19)&gt;0,N(B165)&lt;=N($C$20)),D165*$F$8,0)</f>
        <v>0</v>
      </c>
      <c r="H165" s="41" t="n">
        <f aca="false">IF(D165&lt;=0.5,0,MIN(IF(N(I165)&gt;0,I165,$F$9),D165+E165+F165))</f>
        <v>0</v>
      </c>
      <c r="I165" s="77"/>
      <c r="J165" s="77"/>
      <c r="K165" s="41" t="n">
        <f aca="false">IF(D165&lt;=0.5,0,MIN(H165+N(J165),D165+E165+F165))</f>
        <v>0</v>
      </c>
      <c r="L165" s="41" t="n">
        <f aca="false">K165-E165-F165</f>
        <v>0</v>
      </c>
      <c r="M165" s="41" t="n">
        <f aca="false">D165-L165</f>
        <v>0</v>
      </c>
      <c r="N165" s="42" t="n">
        <f aca="false">K165-G165</f>
        <v>0</v>
      </c>
      <c r="O165" s="78"/>
      <c r="P165" s="79"/>
      <c r="Q165" s="16" t="str">
        <f aca="false">IF(K165=0,"",IF(R165=1,"Pagada",IF(C165&lt;$F$12,"Vencida",IF(139=$F$13,"Próxima","Pendiente"))))</f>
        <v/>
      </c>
      <c r="R165" s="62" t="n">
        <f aca="false">IF(AND(K165&gt;0,OR(O165="Sí",O165="Si")),1,0)</f>
        <v>0</v>
      </c>
      <c r="S165" s="62" t="n">
        <f aca="false">IF(AND(K165&gt;0,R165=0),1,0)</f>
        <v>0</v>
      </c>
    </row>
    <row r="166" customFormat="false" ht="15" hidden="false" customHeight="false" outlineLevel="0" collapsed="false">
      <c r="B166" s="71" t="str">
        <f aca="false">IF($F$6="Sí",N($C$11)+139,"")</f>
        <v/>
      </c>
      <c r="C166" s="72" t="str">
        <f aca="false">IF(OR($F$6&lt;&gt;"Sí",D166&lt;=0.5),"",EDATE($C$10,139))</f>
        <v/>
      </c>
      <c r="D166" s="41" t="n">
        <f aca="false">MAX(0,M165)</f>
        <v>0</v>
      </c>
      <c r="E166" s="41" t="n">
        <f aca="false">D166*$F$7</f>
        <v>0</v>
      </c>
      <c r="F166" s="41" t="n">
        <f aca="false">IF(D166&gt;0.5,N($C$15),0)</f>
        <v>0</v>
      </c>
      <c r="G166" s="41" t="n">
        <f aca="false">IF(AND(D166&gt;0.5,N($C$19)&gt;0,N(B166)&lt;=N($C$20)),D166*$F$8,0)</f>
        <v>0</v>
      </c>
      <c r="H166" s="41" t="n">
        <f aca="false">IF(D166&lt;=0.5,0,MIN(IF(N(I166)&gt;0,I166,$F$9),D166+E166+F166))</f>
        <v>0</v>
      </c>
      <c r="I166" s="77"/>
      <c r="J166" s="77"/>
      <c r="K166" s="41" t="n">
        <f aca="false">IF(D166&lt;=0.5,0,MIN(H166+N(J166),D166+E166+F166))</f>
        <v>0</v>
      </c>
      <c r="L166" s="41" t="n">
        <f aca="false">K166-E166-F166</f>
        <v>0</v>
      </c>
      <c r="M166" s="41" t="n">
        <f aca="false">D166-L166</f>
        <v>0</v>
      </c>
      <c r="N166" s="42" t="n">
        <f aca="false">K166-G166</f>
        <v>0</v>
      </c>
      <c r="O166" s="78"/>
      <c r="P166" s="79"/>
      <c r="Q166" s="16" t="str">
        <f aca="false">IF(K166=0,"",IF(R166=1,"Pagada",IF(C166&lt;$F$12,"Vencida",IF(140=$F$13,"Próxima","Pendiente"))))</f>
        <v/>
      </c>
      <c r="R166" s="62" t="n">
        <f aca="false">IF(AND(K166&gt;0,OR(O166="Sí",O166="Si")),1,0)</f>
        <v>0</v>
      </c>
      <c r="S166" s="62" t="n">
        <f aca="false">IF(AND(K166&gt;0,R166=0),1,0)</f>
        <v>0</v>
      </c>
    </row>
    <row r="167" customFormat="false" ht="15" hidden="false" customHeight="false" outlineLevel="0" collapsed="false">
      <c r="B167" s="71" t="str">
        <f aca="false">IF($F$6="Sí",N($C$11)+140,"")</f>
        <v/>
      </c>
      <c r="C167" s="72" t="str">
        <f aca="false">IF(OR($F$6&lt;&gt;"Sí",D167&lt;=0.5),"",EDATE($C$10,140))</f>
        <v/>
      </c>
      <c r="D167" s="41" t="n">
        <f aca="false">MAX(0,M166)</f>
        <v>0</v>
      </c>
      <c r="E167" s="41" t="n">
        <f aca="false">D167*$F$7</f>
        <v>0</v>
      </c>
      <c r="F167" s="41" t="n">
        <f aca="false">IF(D167&gt;0.5,N($C$15),0)</f>
        <v>0</v>
      </c>
      <c r="G167" s="41" t="n">
        <f aca="false">IF(AND(D167&gt;0.5,N($C$19)&gt;0,N(B167)&lt;=N($C$20)),D167*$F$8,0)</f>
        <v>0</v>
      </c>
      <c r="H167" s="41" t="n">
        <f aca="false">IF(D167&lt;=0.5,0,MIN(IF(N(I167)&gt;0,I167,$F$9),D167+E167+F167))</f>
        <v>0</v>
      </c>
      <c r="I167" s="77"/>
      <c r="J167" s="77"/>
      <c r="K167" s="41" t="n">
        <f aca="false">IF(D167&lt;=0.5,0,MIN(H167+N(J167),D167+E167+F167))</f>
        <v>0</v>
      </c>
      <c r="L167" s="41" t="n">
        <f aca="false">K167-E167-F167</f>
        <v>0</v>
      </c>
      <c r="M167" s="41" t="n">
        <f aca="false">D167-L167</f>
        <v>0</v>
      </c>
      <c r="N167" s="42" t="n">
        <f aca="false">K167-G167</f>
        <v>0</v>
      </c>
      <c r="O167" s="78"/>
      <c r="P167" s="79"/>
      <c r="Q167" s="16" t="str">
        <f aca="false">IF(K167=0,"",IF(R167=1,"Pagada",IF(C167&lt;$F$12,"Vencida",IF(141=$F$13,"Próxima","Pendiente"))))</f>
        <v/>
      </c>
      <c r="R167" s="62" t="n">
        <f aca="false">IF(AND(K167&gt;0,OR(O167="Sí",O167="Si")),1,0)</f>
        <v>0</v>
      </c>
      <c r="S167" s="62" t="n">
        <f aca="false">IF(AND(K167&gt;0,R167=0),1,0)</f>
        <v>0</v>
      </c>
    </row>
    <row r="168" customFormat="false" ht="15" hidden="false" customHeight="false" outlineLevel="0" collapsed="false">
      <c r="B168" s="71" t="str">
        <f aca="false">IF($F$6="Sí",N($C$11)+141,"")</f>
        <v/>
      </c>
      <c r="C168" s="72" t="str">
        <f aca="false">IF(OR($F$6&lt;&gt;"Sí",D168&lt;=0.5),"",EDATE($C$10,141))</f>
        <v/>
      </c>
      <c r="D168" s="41" t="n">
        <f aca="false">MAX(0,M167)</f>
        <v>0</v>
      </c>
      <c r="E168" s="41" t="n">
        <f aca="false">D168*$F$7</f>
        <v>0</v>
      </c>
      <c r="F168" s="41" t="n">
        <f aca="false">IF(D168&gt;0.5,N($C$15),0)</f>
        <v>0</v>
      </c>
      <c r="G168" s="41" t="n">
        <f aca="false">IF(AND(D168&gt;0.5,N($C$19)&gt;0,N(B168)&lt;=N($C$20)),D168*$F$8,0)</f>
        <v>0</v>
      </c>
      <c r="H168" s="41" t="n">
        <f aca="false">IF(D168&lt;=0.5,0,MIN(IF(N(I168)&gt;0,I168,$F$9),D168+E168+F168))</f>
        <v>0</v>
      </c>
      <c r="I168" s="77"/>
      <c r="J168" s="77"/>
      <c r="K168" s="41" t="n">
        <f aca="false">IF(D168&lt;=0.5,0,MIN(H168+N(J168),D168+E168+F168))</f>
        <v>0</v>
      </c>
      <c r="L168" s="41" t="n">
        <f aca="false">K168-E168-F168</f>
        <v>0</v>
      </c>
      <c r="M168" s="41" t="n">
        <f aca="false">D168-L168</f>
        <v>0</v>
      </c>
      <c r="N168" s="42" t="n">
        <f aca="false">K168-G168</f>
        <v>0</v>
      </c>
      <c r="O168" s="78"/>
      <c r="P168" s="79"/>
      <c r="Q168" s="16" t="str">
        <f aca="false">IF(K168=0,"",IF(R168=1,"Pagada",IF(C168&lt;$F$12,"Vencida",IF(142=$F$13,"Próxima","Pendiente"))))</f>
        <v/>
      </c>
      <c r="R168" s="62" t="n">
        <f aca="false">IF(AND(K168&gt;0,OR(O168="Sí",O168="Si")),1,0)</f>
        <v>0</v>
      </c>
      <c r="S168" s="62" t="n">
        <f aca="false">IF(AND(K168&gt;0,R168=0),1,0)</f>
        <v>0</v>
      </c>
    </row>
    <row r="169" customFormat="false" ht="15" hidden="false" customHeight="false" outlineLevel="0" collapsed="false">
      <c r="B169" s="71" t="str">
        <f aca="false">IF($F$6="Sí",N($C$11)+142,"")</f>
        <v/>
      </c>
      <c r="C169" s="72" t="str">
        <f aca="false">IF(OR($F$6&lt;&gt;"Sí",D169&lt;=0.5),"",EDATE($C$10,142))</f>
        <v/>
      </c>
      <c r="D169" s="41" t="n">
        <f aca="false">MAX(0,M168)</f>
        <v>0</v>
      </c>
      <c r="E169" s="41" t="n">
        <f aca="false">D169*$F$7</f>
        <v>0</v>
      </c>
      <c r="F169" s="41" t="n">
        <f aca="false">IF(D169&gt;0.5,N($C$15),0)</f>
        <v>0</v>
      </c>
      <c r="G169" s="41" t="n">
        <f aca="false">IF(AND(D169&gt;0.5,N($C$19)&gt;0,N(B169)&lt;=N($C$20)),D169*$F$8,0)</f>
        <v>0</v>
      </c>
      <c r="H169" s="41" t="n">
        <f aca="false">IF(D169&lt;=0.5,0,MIN(IF(N(I169)&gt;0,I169,$F$9),D169+E169+F169))</f>
        <v>0</v>
      </c>
      <c r="I169" s="77"/>
      <c r="J169" s="77"/>
      <c r="K169" s="41" t="n">
        <f aca="false">IF(D169&lt;=0.5,0,MIN(H169+N(J169),D169+E169+F169))</f>
        <v>0</v>
      </c>
      <c r="L169" s="41" t="n">
        <f aca="false">K169-E169-F169</f>
        <v>0</v>
      </c>
      <c r="M169" s="41" t="n">
        <f aca="false">D169-L169</f>
        <v>0</v>
      </c>
      <c r="N169" s="42" t="n">
        <f aca="false">K169-G169</f>
        <v>0</v>
      </c>
      <c r="O169" s="78"/>
      <c r="P169" s="79"/>
      <c r="Q169" s="16" t="str">
        <f aca="false">IF(K169=0,"",IF(R169=1,"Pagada",IF(C169&lt;$F$12,"Vencida",IF(143=$F$13,"Próxima","Pendiente"))))</f>
        <v/>
      </c>
      <c r="R169" s="62" t="n">
        <f aca="false">IF(AND(K169&gt;0,OR(O169="Sí",O169="Si")),1,0)</f>
        <v>0</v>
      </c>
      <c r="S169" s="62" t="n">
        <f aca="false">IF(AND(K169&gt;0,R169=0),1,0)</f>
        <v>0</v>
      </c>
    </row>
    <row r="170" customFormat="false" ht="15" hidden="false" customHeight="false" outlineLevel="0" collapsed="false">
      <c r="B170" s="71" t="str">
        <f aca="false">IF($F$6="Sí",N($C$11)+143,"")</f>
        <v/>
      </c>
      <c r="C170" s="72" t="str">
        <f aca="false">IF(OR($F$6&lt;&gt;"Sí",D170&lt;=0.5),"",EDATE($C$10,143))</f>
        <v/>
      </c>
      <c r="D170" s="41" t="n">
        <f aca="false">MAX(0,M169)</f>
        <v>0</v>
      </c>
      <c r="E170" s="41" t="n">
        <f aca="false">D170*$F$7</f>
        <v>0</v>
      </c>
      <c r="F170" s="41" t="n">
        <f aca="false">IF(D170&gt;0.5,N($C$15),0)</f>
        <v>0</v>
      </c>
      <c r="G170" s="41" t="n">
        <f aca="false">IF(AND(D170&gt;0.5,N($C$19)&gt;0,N(B170)&lt;=N($C$20)),D170*$F$8,0)</f>
        <v>0</v>
      </c>
      <c r="H170" s="41" t="n">
        <f aca="false">IF(D170&lt;=0.5,0,MIN(IF(N(I170)&gt;0,I170,$F$9),D170+E170+F170))</f>
        <v>0</v>
      </c>
      <c r="I170" s="77"/>
      <c r="J170" s="77"/>
      <c r="K170" s="41" t="n">
        <f aca="false">IF(D170&lt;=0.5,0,MIN(H170+N(J170),D170+E170+F170))</f>
        <v>0</v>
      </c>
      <c r="L170" s="41" t="n">
        <f aca="false">K170-E170-F170</f>
        <v>0</v>
      </c>
      <c r="M170" s="41" t="n">
        <f aca="false">D170-L170</f>
        <v>0</v>
      </c>
      <c r="N170" s="42" t="n">
        <f aca="false">K170-G170</f>
        <v>0</v>
      </c>
      <c r="O170" s="78"/>
      <c r="P170" s="79"/>
      <c r="Q170" s="16" t="str">
        <f aca="false">IF(K170=0,"",IF(R170=1,"Pagada",IF(C170&lt;$F$12,"Vencida",IF(144=$F$13,"Próxima","Pendiente"))))</f>
        <v/>
      </c>
      <c r="R170" s="62" t="n">
        <f aca="false">IF(AND(K170&gt;0,OR(O170="Sí",O170="Si")),1,0)</f>
        <v>0</v>
      </c>
      <c r="S170" s="62" t="n">
        <f aca="false">IF(AND(K170&gt;0,R170=0),1,0)</f>
        <v>0</v>
      </c>
    </row>
    <row r="171" customFormat="false" ht="15" hidden="false" customHeight="false" outlineLevel="0" collapsed="false">
      <c r="B171" s="71" t="str">
        <f aca="false">IF($F$6="Sí",N($C$11)+144,"")</f>
        <v/>
      </c>
      <c r="C171" s="72" t="str">
        <f aca="false">IF(OR($F$6&lt;&gt;"Sí",D171&lt;=0.5),"",EDATE($C$10,144))</f>
        <v/>
      </c>
      <c r="D171" s="41" t="n">
        <f aca="false">MAX(0,M170)</f>
        <v>0</v>
      </c>
      <c r="E171" s="41" t="n">
        <f aca="false">D171*$F$7</f>
        <v>0</v>
      </c>
      <c r="F171" s="41" t="n">
        <f aca="false">IF(D171&gt;0.5,N($C$15),0)</f>
        <v>0</v>
      </c>
      <c r="G171" s="41" t="n">
        <f aca="false">IF(AND(D171&gt;0.5,N($C$19)&gt;0,N(B171)&lt;=N($C$20)),D171*$F$8,0)</f>
        <v>0</v>
      </c>
      <c r="H171" s="41" t="n">
        <f aca="false">IF(D171&lt;=0.5,0,MIN(IF(N(I171)&gt;0,I171,$F$9),D171+E171+F171))</f>
        <v>0</v>
      </c>
      <c r="I171" s="77"/>
      <c r="J171" s="77"/>
      <c r="K171" s="41" t="n">
        <f aca="false">IF(D171&lt;=0.5,0,MIN(H171+N(J171),D171+E171+F171))</f>
        <v>0</v>
      </c>
      <c r="L171" s="41" t="n">
        <f aca="false">K171-E171-F171</f>
        <v>0</v>
      </c>
      <c r="M171" s="41" t="n">
        <f aca="false">D171-L171</f>
        <v>0</v>
      </c>
      <c r="N171" s="42" t="n">
        <f aca="false">K171-G171</f>
        <v>0</v>
      </c>
      <c r="O171" s="78"/>
      <c r="P171" s="79"/>
      <c r="Q171" s="16" t="str">
        <f aca="false">IF(K171=0,"",IF(R171=1,"Pagada",IF(C171&lt;$F$12,"Vencida",IF(145=$F$13,"Próxima","Pendiente"))))</f>
        <v/>
      </c>
      <c r="R171" s="62" t="n">
        <f aca="false">IF(AND(K171&gt;0,OR(O171="Sí",O171="Si")),1,0)</f>
        <v>0</v>
      </c>
      <c r="S171" s="62" t="n">
        <f aca="false">IF(AND(K171&gt;0,R171=0),1,0)</f>
        <v>0</v>
      </c>
    </row>
    <row r="172" customFormat="false" ht="15" hidden="false" customHeight="false" outlineLevel="0" collapsed="false">
      <c r="B172" s="71" t="str">
        <f aca="false">IF($F$6="Sí",N($C$11)+145,"")</f>
        <v/>
      </c>
      <c r="C172" s="72" t="str">
        <f aca="false">IF(OR($F$6&lt;&gt;"Sí",D172&lt;=0.5),"",EDATE($C$10,145))</f>
        <v/>
      </c>
      <c r="D172" s="41" t="n">
        <f aca="false">MAX(0,M171)</f>
        <v>0</v>
      </c>
      <c r="E172" s="41" t="n">
        <f aca="false">D172*$F$7</f>
        <v>0</v>
      </c>
      <c r="F172" s="41" t="n">
        <f aca="false">IF(D172&gt;0.5,N($C$15),0)</f>
        <v>0</v>
      </c>
      <c r="G172" s="41" t="n">
        <f aca="false">IF(AND(D172&gt;0.5,N($C$19)&gt;0,N(B172)&lt;=N($C$20)),D172*$F$8,0)</f>
        <v>0</v>
      </c>
      <c r="H172" s="41" t="n">
        <f aca="false">IF(D172&lt;=0.5,0,MIN(IF(N(I172)&gt;0,I172,$F$9),D172+E172+F172))</f>
        <v>0</v>
      </c>
      <c r="I172" s="77"/>
      <c r="J172" s="77"/>
      <c r="K172" s="41" t="n">
        <f aca="false">IF(D172&lt;=0.5,0,MIN(H172+N(J172),D172+E172+F172))</f>
        <v>0</v>
      </c>
      <c r="L172" s="41" t="n">
        <f aca="false">K172-E172-F172</f>
        <v>0</v>
      </c>
      <c r="M172" s="41" t="n">
        <f aca="false">D172-L172</f>
        <v>0</v>
      </c>
      <c r="N172" s="42" t="n">
        <f aca="false">K172-G172</f>
        <v>0</v>
      </c>
      <c r="O172" s="78"/>
      <c r="P172" s="79"/>
      <c r="Q172" s="16" t="str">
        <f aca="false">IF(K172=0,"",IF(R172=1,"Pagada",IF(C172&lt;$F$12,"Vencida",IF(146=$F$13,"Próxima","Pendiente"))))</f>
        <v/>
      </c>
      <c r="R172" s="62" t="n">
        <f aca="false">IF(AND(K172&gt;0,OR(O172="Sí",O172="Si")),1,0)</f>
        <v>0</v>
      </c>
      <c r="S172" s="62" t="n">
        <f aca="false">IF(AND(K172&gt;0,R172=0),1,0)</f>
        <v>0</v>
      </c>
    </row>
    <row r="173" customFormat="false" ht="15" hidden="false" customHeight="false" outlineLevel="0" collapsed="false">
      <c r="B173" s="71" t="str">
        <f aca="false">IF($F$6="Sí",N($C$11)+146,"")</f>
        <v/>
      </c>
      <c r="C173" s="72" t="str">
        <f aca="false">IF(OR($F$6&lt;&gt;"Sí",D173&lt;=0.5),"",EDATE($C$10,146))</f>
        <v/>
      </c>
      <c r="D173" s="41" t="n">
        <f aca="false">MAX(0,M172)</f>
        <v>0</v>
      </c>
      <c r="E173" s="41" t="n">
        <f aca="false">D173*$F$7</f>
        <v>0</v>
      </c>
      <c r="F173" s="41" t="n">
        <f aca="false">IF(D173&gt;0.5,N($C$15),0)</f>
        <v>0</v>
      </c>
      <c r="G173" s="41" t="n">
        <f aca="false">IF(AND(D173&gt;0.5,N($C$19)&gt;0,N(B173)&lt;=N($C$20)),D173*$F$8,0)</f>
        <v>0</v>
      </c>
      <c r="H173" s="41" t="n">
        <f aca="false">IF(D173&lt;=0.5,0,MIN(IF(N(I173)&gt;0,I173,$F$9),D173+E173+F173))</f>
        <v>0</v>
      </c>
      <c r="I173" s="77"/>
      <c r="J173" s="77"/>
      <c r="K173" s="41" t="n">
        <f aca="false">IF(D173&lt;=0.5,0,MIN(H173+N(J173),D173+E173+F173))</f>
        <v>0</v>
      </c>
      <c r="L173" s="41" t="n">
        <f aca="false">K173-E173-F173</f>
        <v>0</v>
      </c>
      <c r="M173" s="41" t="n">
        <f aca="false">D173-L173</f>
        <v>0</v>
      </c>
      <c r="N173" s="42" t="n">
        <f aca="false">K173-G173</f>
        <v>0</v>
      </c>
      <c r="O173" s="78"/>
      <c r="P173" s="79"/>
      <c r="Q173" s="16" t="str">
        <f aca="false">IF(K173=0,"",IF(R173=1,"Pagada",IF(C173&lt;$F$12,"Vencida",IF(147=$F$13,"Próxima","Pendiente"))))</f>
        <v/>
      </c>
      <c r="R173" s="62" t="n">
        <f aca="false">IF(AND(K173&gt;0,OR(O173="Sí",O173="Si")),1,0)</f>
        <v>0</v>
      </c>
      <c r="S173" s="62" t="n">
        <f aca="false">IF(AND(K173&gt;0,R173=0),1,0)</f>
        <v>0</v>
      </c>
    </row>
    <row r="174" customFormat="false" ht="15" hidden="false" customHeight="false" outlineLevel="0" collapsed="false">
      <c r="B174" s="71" t="str">
        <f aca="false">IF($F$6="Sí",N($C$11)+147,"")</f>
        <v/>
      </c>
      <c r="C174" s="72" t="str">
        <f aca="false">IF(OR($F$6&lt;&gt;"Sí",D174&lt;=0.5),"",EDATE($C$10,147))</f>
        <v/>
      </c>
      <c r="D174" s="41" t="n">
        <f aca="false">MAX(0,M173)</f>
        <v>0</v>
      </c>
      <c r="E174" s="41" t="n">
        <f aca="false">D174*$F$7</f>
        <v>0</v>
      </c>
      <c r="F174" s="41" t="n">
        <f aca="false">IF(D174&gt;0.5,N($C$15),0)</f>
        <v>0</v>
      </c>
      <c r="G174" s="41" t="n">
        <f aca="false">IF(AND(D174&gt;0.5,N($C$19)&gt;0,N(B174)&lt;=N($C$20)),D174*$F$8,0)</f>
        <v>0</v>
      </c>
      <c r="H174" s="41" t="n">
        <f aca="false">IF(D174&lt;=0.5,0,MIN(IF(N(I174)&gt;0,I174,$F$9),D174+E174+F174))</f>
        <v>0</v>
      </c>
      <c r="I174" s="77"/>
      <c r="J174" s="77"/>
      <c r="K174" s="41" t="n">
        <f aca="false">IF(D174&lt;=0.5,0,MIN(H174+N(J174),D174+E174+F174))</f>
        <v>0</v>
      </c>
      <c r="L174" s="41" t="n">
        <f aca="false">K174-E174-F174</f>
        <v>0</v>
      </c>
      <c r="M174" s="41" t="n">
        <f aca="false">D174-L174</f>
        <v>0</v>
      </c>
      <c r="N174" s="42" t="n">
        <f aca="false">K174-G174</f>
        <v>0</v>
      </c>
      <c r="O174" s="78"/>
      <c r="P174" s="79"/>
      <c r="Q174" s="16" t="str">
        <f aca="false">IF(K174=0,"",IF(R174=1,"Pagada",IF(C174&lt;$F$12,"Vencida",IF(148=$F$13,"Próxima","Pendiente"))))</f>
        <v/>
      </c>
      <c r="R174" s="62" t="n">
        <f aca="false">IF(AND(K174&gt;0,OR(O174="Sí",O174="Si")),1,0)</f>
        <v>0</v>
      </c>
      <c r="S174" s="62" t="n">
        <f aca="false">IF(AND(K174&gt;0,R174=0),1,0)</f>
        <v>0</v>
      </c>
    </row>
    <row r="175" customFormat="false" ht="15" hidden="false" customHeight="false" outlineLevel="0" collapsed="false">
      <c r="B175" s="71" t="str">
        <f aca="false">IF($F$6="Sí",N($C$11)+148,"")</f>
        <v/>
      </c>
      <c r="C175" s="72" t="str">
        <f aca="false">IF(OR($F$6&lt;&gt;"Sí",D175&lt;=0.5),"",EDATE($C$10,148))</f>
        <v/>
      </c>
      <c r="D175" s="41" t="n">
        <f aca="false">MAX(0,M174)</f>
        <v>0</v>
      </c>
      <c r="E175" s="41" t="n">
        <f aca="false">D175*$F$7</f>
        <v>0</v>
      </c>
      <c r="F175" s="41" t="n">
        <f aca="false">IF(D175&gt;0.5,N($C$15),0)</f>
        <v>0</v>
      </c>
      <c r="G175" s="41" t="n">
        <f aca="false">IF(AND(D175&gt;0.5,N($C$19)&gt;0,N(B175)&lt;=N($C$20)),D175*$F$8,0)</f>
        <v>0</v>
      </c>
      <c r="H175" s="41" t="n">
        <f aca="false">IF(D175&lt;=0.5,0,MIN(IF(N(I175)&gt;0,I175,$F$9),D175+E175+F175))</f>
        <v>0</v>
      </c>
      <c r="I175" s="77"/>
      <c r="J175" s="77"/>
      <c r="K175" s="41" t="n">
        <f aca="false">IF(D175&lt;=0.5,0,MIN(H175+N(J175),D175+E175+F175))</f>
        <v>0</v>
      </c>
      <c r="L175" s="41" t="n">
        <f aca="false">K175-E175-F175</f>
        <v>0</v>
      </c>
      <c r="M175" s="41" t="n">
        <f aca="false">D175-L175</f>
        <v>0</v>
      </c>
      <c r="N175" s="42" t="n">
        <f aca="false">K175-G175</f>
        <v>0</v>
      </c>
      <c r="O175" s="78"/>
      <c r="P175" s="79"/>
      <c r="Q175" s="16" t="str">
        <f aca="false">IF(K175=0,"",IF(R175=1,"Pagada",IF(C175&lt;$F$12,"Vencida",IF(149=$F$13,"Próxima","Pendiente"))))</f>
        <v/>
      </c>
      <c r="R175" s="62" t="n">
        <f aca="false">IF(AND(K175&gt;0,OR(O175="Sí",O175="Si")),1,0)</f>
        <v>0</v>
      </c>
      <c r="S175" s="62" t="n">
        <f aca="false">IF(AND(K175&gt;0,R175=0),1,0)</f>
        <v>0</v>
      </c>
    </row>
    <row r="176" customFormat="false" ht="15" hidden="false" customHeight="false" outlineLevel="0" collapsed="false">
      <c r="B176" s="71" t="str">
        <f aca="false">IF($F$6="Sí",N($C$11)+149,"")</f>
        <v/>
      </c>
      <c r="C176" s="72" t="str">
        <f aca="false">IF(OR($F$6&lt;&gt;"Sí",D176&lt;=0.5),"",EDATE($C$10,149))</f>
        <v/>
      </c>
      <c r="D176" s="41" t="n">
        <f aca="false">MAX(0,M175)</f>
        <v>0</v>
      </c>
      <c r="E176" s="41" t="n">
        <f aca="false">D176*$F$7</f>
        <v>0</v>
      </c>
      <c r="F176" s="41" t="n">
        <f aca="false">IF(D176&gt;0.5,N($C$15),0)</f>
        <v>0</v>
      </c>
      <c r="G176" s="41" t="n">
        <f aca="false">IF(AND(D176&gt;0.5,N($C$19)&gt;0,N(B176)&lt;=N($C$20)),D176*$F$8,0)</f>
        <v>0</v>
      </c>
      <c r="H176" s="41" t="n">
        <f aca="false">IF(D176&lt;=0.5,0,MIN(IF(N(I176)&gt;0,I176,$F$9),D176+E176+F176))</f>
        <v>0</v>
      </c>
      <c r="I176" s="77"/>
      <c r="J176" s="77"/>
      <c r="K176" s="41" t="n">
        <f aca="false">IF(D176&lt;=0.5,0,MIN(H176+N(J176),D176+E176+F176))</f>
        <v>0</v>
      </c>
      <c r="L176" s="41" t="n">
        <f aca="false">K176-E176-F176</f>
        <v>0</v>
      </c>
      <c r="M176" s="41" t="n">
        <f aca="false">D176-L176</f>
        <v>0</v>
      </c>
      <c r="N176" s="42" t="n">
        <f aca="false">K176-G176</f>
        <v>0</v>
      </c>
      <c r="O176" s="78"/>
      <c r="P176" s="79"/>
      <c r="Q176" s="16" t="str">
        <f aca="false">IF(K176=0,"",IF(R176=1,"Pagada",IF(C176&lt;$F$12,"Vencida",IF(150=$F$13,"Próxima","Pendiente"))))</f>
        <v/>
      </c>
      <c r="R176" s="62" t="n">
        <f aca="false">IF(AND(K176&gt;0,OR(O176="Sí",O176="Si")),1,0)</f>
        <v>0</v>
      </c>
      <c r="S176" s="62" t="n">
        <f aca="false">IF(AND(K176&gt;0,R176=0),1,0)</f>
        <v>0</v>
      </c>
    </row>
    <row r="177" customFormat="false" ht="15" hidden="false" customHeight="false" outlineLevel="0" collapsed="false">
      <c r="B177" s="71" t="str">
        <f aca="false">IF($F$6="Sí",N($C$11)+150,"")</f>
        <v/>
      </c>
      <c r="C177" s="72" t="str">
        <f aca="false">IF(OR($F$6&lt;&gt;"Sí",D177&lt;=0.5),"",EDATE($C$10,150))</f>
        <v/>
      </c>
      <c r="D177" s="41" t="n">
        <f aca="false">MAX(0,M176)</f>
        <v>0</v>
      </c>
      <c r="E177" s="41" t="n">
        <f aca="false">D177*$F$7</f>
        <v>0</v>
      </c>
      <c r="F177" s="41" t="n">
        <f aca="false">IF(D177&gt;0.5,N($C$15),0)</f>
        <v>0</v>
      </c>
      <c r="G177" s="41" t="n">
        <f aca="false">IF(AND(D177&gt;0.5,N($C$19)&gt;0,N(B177)&lt;=N($C$20)),D177*$F$8,0)</f>
        <v>0</v>
      </c>
      <c r="H177" s="41" t="n">
        <f aca="false">IF(D177&lt;=0.5,0,MIN(IF(N(I177)&gt;0,I177,$F$9),D177+E177+F177))</f>
        <v>0</v>
      </c>
      <c r="I177" s="77"/>
      <c r="J177" s="77"/>
      <c r="K177" s="41" t="n">
        <f aca="false">IF(D177&lt;=0.5,0,MIN(H177+N(J177),D177+E177+F177))</f>
        <v>0</v>
      </c>
      <c r="L177" s="41" t="n">
        <f aca="false">K177-E177-F177</f>
        <v>0</v>
      </c>
      <c r="M177" s="41" t="n">
        <f aca="false">D177-L177</f>
        <v>0</v>
      </c>
      <c r="N177" s="42" t="n">
        <f aca="false">K177-G177</f>
        <v>0</v>
      </c>
      <c r="O177" s="78"/>
      <c r="P177" s="79"/>
      <c r="Q177" s="16" t="str">
        <f aca="false">IF(K177=0,"",IF(R177=1,"Pagada",IF(C177&lt;$F$12,"Vencida",IF(151=$F$13,"Próxima","Pendiente"))))</f>
        <v/>
      </c>
      <c r="R177" s="62" t="n">
        <f aca="false">IF(AND(K177&gt;0,OR(O177="Sí",O177="Si")),1,0)</f>
        <v>0</v>
      </c>
      <c r="S177" s="62" t="n">
        <f aca="false">IF(AND(K177&gt;0,R177=0),1,0)</f>
        <v>0</v>
      </c>
    </row>
    <row r="178" customFormat="false" ht="15" hidden="false" customHeight="false" outlineLevel="0" collapsed="false">
      <c r="B178" s="71" t="str">
        <f aca="false">IF($F$6="Sí",N($C$11)+151,"")</f>
        <v/>
      </c>
      <c r="C178" s="72" t="str">
        <f aca="false">IF(OR($F$6&lt;&gt;"Sí",D178&lt;=0.5),"",EDATE($C$10,151))</f>
        <v/>
      </c>
      <c r="D178" s="41" t="n">
        <f aca="false">MAX(0,M177)</f>
        <v>0</v>
      </c>
      <c r="E178" s="41" t="n">
        <f aca="false">D178*$F$7</f>
        <v>0</v>
      </c>
      <c r="F178" s="41" t="n">
        <f aca="false">IF(D178&gt;0.5,N($C$15),0)</f>
        <v>0</v>
      </c>
      <c r="G178" s="41" t="n">
        <f aca="false">IF(AND(D178&gt;0.5,N($C$19)&gt;0,N(B178)&lt;=N($C$20)),D178*$F$8,0)</f>
        <v>0</v>
      </c>
      <c r="H178" s="41" t="n">
        <f aca="false">IF(D178&lt;=0.5,0,MIN(IF(N(I178)&gt;0,I178,$F$9),D178+E178+F178))</f>
        <v>0</v>
      </c>
      <c r="I178" s="77"/>
      <c r="J178" s="77"/>
      <c r="K178" s="41" t="n">
        <f aca="false">IF(D178&lt;=0.5,0,MIN(H178+N(J178),D178+E178+F178))</f>
        <v>0</v>
      </c>
      <c r="L178" s="41" t="n">
        <f aca="false">K178-E178-F178</f>
        <v>0</v>
      </c>
      <c r="M178" s="41" t="n">
        <f aca="false">D178-L178</f>
        <v>0</v>
      </c>
      <c r="N178" s="42" t="n">
        <f aca="false">K178-G178</f>
        <v>0</v>
      </c>
      <c r="O178" s="78"/>
      <c r="P178" s="79"/>
      <c r="Q178" s="16" t="str">
        <f aca="false">IF(K178=0,"",IF(R178=1,"Pagada",IF(C178&lt;$F$12,"Vencida",IF(152=$F$13,"Próxima","Pendiente"))))</f>
        <v/>
      </c>
      <c r="R178" s="62" t="n">
        <f aca="false">IF(AND(K178&gt;0,OR(O178="Sí",O178="Si")),1,0)</f>
        <v>0</v>
      </c>
      <c r="S178" s="62" t="n">
        <f aca="false">IF(AND(K178&gt;0,R178=0),1,0)</f>
        <v>0</v>
      </c>
    </row>
    <row r="179" customFormat="false" ht="15" hidden="false" customHeight="false" outlineLevel="0" collapsed="false">
      <c r="B179" s="71" t="str">
        <f aca="false">IF($F$6="Sí",N($C$11)+152,"")</f>
        <v/>
      </c>
      <c r="C179" s="72" t="str">
        <f aca="false">IF(OR($F$6&lt;&gt;"Sí",D179&lt;=0.5),"",EDATE($C$10,152))</f>
        <v/>
      </c>
      <c r="D179" s="41" t="n">
        <f aca="false">MAX(0,M178)</f>
        <v>0</v>
      </c>
      <c r="E179" s="41" t="n">
        <f aca="false">D179*$F$7</f>
        <v>0</v>
      </c>
      <c r="F179" s="41" t="n">
        <f aca="false">IF(D179&gt;0.5,N($C$15),0)</f>
        <v>0</v>
      </c>
      <c r="G179" s="41" t="n">
        <f aca="false">IF(AND(D179&gt;0.5,N($C$19)&gt;0,N(B179)&lt;=N($C$20)),D179*$F$8,0)</f>
        <v>0</v>
      </c>
      <c r="H179" s="41" t="n">
        <f aca="false">IF(D179&lt;=0.5,0,MIN(IF(N(I179)&gt;0,I179,$F$9),D179+E179+F179))</f>
        <v>0</v>
      </c>
      <c r="I179" s="77"/>
      <c r="J179" s="77"/>
      <c r="K179" s="41" t="n">
        <f aca="false">IF(D179&lt;=0.5,0,MIN(H179+N(J179),D179+E179+F179))</f>
        <v>0</v>
      </c>
      <c r="L179" s="41" t="n">
        <f aca="false">K179-E179-F179</f>
        <v>0</v>
      </c>
      <c r="M179" s="41" t="n">
        <f aca="false">D179-L179</f>
        <v>0</v>
      </c>
      <c r="N179" s="42" t="n">
        <f aca="false">K179-G179</f>
        <v>0</v>
      </c>
      <c r="O179" s="78"/>
      <c r="P179" s="79"/>
      <c r="Q179" s="16" t="str">
        <f aca="false">IF(K179=0,"",IF(R179=1,"Pagada",IF(C179&lt;$F$12,"Vencida",IF(153=$F$13,"Próxima","Pendiente"))))</f>
        <v/>
      </c>
      <c r="R179" s="62" t="n">
        <f aca="false">IF(AND(K179&gt;0,OR(O179="Sí",O179="Si")),1,0)</f>
        <v>0</v>
      </c>
      <c r="S179" s="62" t="n">
        <f aca="false">IF(AND(K179&gt;0,R179=0),1,0)</f>
        <v>0</v>
      </c>
    </row>
    <row r="180" customFormat="false" ht="15" hidden="false" customHeight="false" outlineLevel="0" collapsed="false">
      <c r="B180" s="71" t="str">
        <f aca="false">IF($F$6="Sí",N($C$11)+153,"")</f>
        <v/>
      </c>
      <c r="C180" s="72" t="str">
        <f aca="false">IF(OR($F$6&lt;&gt;"Sí",D180&lt;=0.5),"",EDATE($C$10,153))</f>
        <v/>
      </c>
      <c r="D180" s="41" t="n">
        <f aca="false">MAX(0,M179)</f>
        <v>0</v>
      </c>
      <c r="E180" s="41" t="n">
        <f aca="false">D180*$F$7</f>
        <v>0</v>
      </c>
      <c r="F180" s="41" t="n">
        <f aca="false">IF(D180&gt;0.5,N($C$15),0)</f>
        <v>0</v>
      </c>
      <c r="G180" s="41" t="n">
        <f aca="false">IF(AND(D180&gt;0.5,N($C$19)&gt;0,N(B180)&lt;=N($C$20)),D180*$F$8,0)</f>
        <v>0</v>
      </c>
      <c r="H180" s="41" t="n">
        <f aca="false">IF(D180&lt;=0.5,0,MIN(IF(N(I180)&gt;0,I180,$F$9),D180+E180+F180))</f>
        <v>0</v>
      </c>
      <c r="I180" s="77"/>
      <c r="J180" s="77"/>
      <c r="K180" s="41" t="n">
        <f aca="false">IF(D180&lt;=0.5,0,MIN(H180+N(J180),D180+E180+F180))</f>
        <v>0</v>
      </c>
      <c r="L180" s="41" t="n">
        <f aca="false">K180-E180-F180</f>
        <v>0</v>
      </c>
      <c r="M180" s="41" t="n">
        <f aca="false">D180-L180</f>
        <v>0</v>
      </c>
      <c r="N180" s="42" t="n">
        <f aca="false">K180-G180</f>
        <v>0</v>
      </c>
      <c r="O180" s="78"/>
      <c r="P180" s="79"/>
      <c r="Q180" s="16" t="str">
        <f aca="false">IF(K180=0,"",IF(R180=1,"Pagada",IF(C180&lt;$F$12,"Vencida",IF(154=$F$13,"Próxima","Pendiente"))))</f>
        <v/>
      </c>
      <c r="R180" s="62" t="n">
        <f aca="false">IF(AND(K180&gt;0,OR(O180="Sí",O180="Si")),1,0)</f>
        <v>0</v>
      </c>
      <c r="S180" s="62" t="n">
        <f aca="false">IF(AND(K180&gt;0,R180=0),1,0)</f>
        <v>0</v>
      </c>
    </row>
    <row r="181" customFormat="false" ht="15" hidden="false" customHeight="false" outlineLevel="0" collapsed="false">
      <c r="B181" s="71" t="str">
        <f aca="false">IF($F$6="Sí",N($C$11)+154,"")</f>
        <v/>
      </c>
      <c r="C181" s="72" t="str">
        <f aca="false">IF(OR($F$6&lt;&gt;"Sí",D181&lt;=0.5),"",EDATE($C$10,154))</f>
        <v/>
      </c>
      <c r="D181" s="41" t="n">
        <f aca="false">MAX(0,M180)</f>
        <v>0</v>
      </c>
      <c r="E181" s="41" t="n">
        <f aca="false">D181*$F$7</f>
        <v>0</v>
      </c>
      <c r="F181" s="41" t="n">
        <f aca="false">IF(D181&gt;0.5,N($C$15),0)</f>
        <v>0</v>
      </c>
      <c r="G181" s="41" t="n">
        <f aca="false">IF(AND(D181&gt;0.5,N($C$19)&gt;0,N(B181)&lt;=N($C$20)),D181*$F$8,0)</f>
        <v>0</v>
      </c>
      <c r="H181" s="41" t="n">
        <f aca="false">IF(D181&lt;=0.5,0,MIN(IF(N(I181)&gt;0,I181,$F$9),D181+E181+F181))</f>
        <v>0</v>
      </c>
      <c r="I181" s="77"/>
      <c r="J181" s="77"/>
      <c r="K181" s="41" t="n">
        <f aca="false">IF(D181&lt;=0.5,0,MIN(H181+N(J181),D181+E181+F181))</f>
        <v>0</v>
      </c>
      <c r="L181" s="41" t="n">
        <f aca="false">K181-E181-F181</f>
        <v>0</v>
      </c>
      <c r="M181" s="41" t="n">
        <f aca="false">D181-L181</f>
        <v>0</v>
      </c>
      <c r="N181" s="42" t="n">
        <f aca="false">K181-G181</f>
        <v>0</v>
      </c>
      <c r="O181" s="78"/>
      <c r="P181" s="79"/>
      <c r="Q181" s="16" t="str">
        <f aca="false">IF(K181=0,"",IF(R181=1,"Pagada",IF(C181&lt;$F$12,"Vencida",IF(155=$F$13,"Próxima","Pendiente"))))</f>
        <v/>
      </c>
      <c r="R181" s="62" t="n">
        <f aca="false">IF(AND(K181&gt;0,OR(O181="Sí",O181="Si")),1,0)</f>
        <v>0</v>
      </c>
      <c r="S181" s="62" t="n">
        <f aca="false">IF(AND(K181&gt;0,R181=0),1,0)</f>
        <v>0</v>
      </c>
    </row>
    <row r="182" customFormat="false" ht="15" hidden="false" customHeight="false" outlineLevel="0" collapsed="false">
      <c r="B182" s="71" t="str">
        <f aca="false">IF($F$6="Sí",N($C$11)+155,"")</f>
        <v/>
      </c>
      <c r="C182" s="72" t="str">
        <f aca="false">IF(OR($F$6&lt;&gt;"Sí",D182&lt;=0.5),"",EDATE($C$10,155))</f>
        <v/>
      </c>
      <c r="D182" s="41" t="n">
        <f aca="false">MAX(0,M181)</f>
        <v>0</v>
      </c>
      <c r="E182" s="41" t="n">
        <f aca="false">D182*$F$7</f>
        <v>0</v>
      </c>
      <c r="F182" s="41" t="n">
        <f aca="false">IF(D182&gt;0.5,N($C$15),0)</f>
        <v>0</v>
      </c>
      <c r="G182" s="41" t="n">
        <f aca="false">IF(AND(D182&gt;0.5,N($C$19)&gt;0,N(B182)&lt;=N($C$20)),D182*$F$8,0)</f>
        <v>0</v>
      </c>
      <c r="H182" s="41" t="n">
        <f aca="false">IF(D182&lt;=0.5,0,MIN(IF(N(I182)&gt;0,I182,$F$9),D182+E182+F182))</f>
        <v>0</v>
      </c>
      <c r="I182" s="77"/>
      <c r="J182" s="77"/>
      <c r="K182" s="41" t="n">
        <f aca="false">IF(D182&lt;=0.5,0,MIN(H182+N(J182),D182+E182+F182))</f>
        <v>0</v>
      </c>
      <c r="L182" s="41" t="n">
        <f aca="false">K182-E182-F182</f>
        <v>0</v>
      </c>
      <c r="M182" s="41" t="n">
        <f aca="false">D182-L182</f>
        <v>0</v>
      </c>
      <c r="N182" s="42" t="n">
        <f aca="false">K182-G182</f>
        <v>0</v>
      </c>
      <c r="O182" s="78"/>
      <c r="P182" s="79"/>
      <c r="Q182" s="16" t="str">
        <f aca="false">IF(K182=0,"",IF(R182=1,"Pagada",IF(C182&lt;$F$12,"Vencida",IF(156=$F$13,"Próxima","Pendiente"))))</f>
        <v/>
      </c>
      <c r="R182" s="62" t="n">
        <f aca="false">IF(AND(K182&gt;0,OR(O182="Sí",O182="Si")),1,0)</f>
        <v>0</v>
      </c>
      <c r="S182" s="62" t="n">
        <f aca="false">IF(AND(K182&gt;0,R182=0),1,0)</f>
        <v>0</v>
      </c>
    </row>
    <row r="183" customFormat="false" ht="15" hidden="false" customHeight="false" outlineLevel="0" collapsed="false">
      <c r="B183" s="71" t="str">
        <f aca="false">IF($F$6="Sí",N($C$11)+156,"")</f>
        <v/>
      </c>
      <c r="C183" s="72" t="str">
        <f aca="false">IF(OR($F$6&lt;&gt;"Sí",D183&lt;=0.5),"",EDATE($C$10,156))</f>
        <v/>
      </c>
      <c r="D183" s="41" t="n">
        <f aca="false">MAX(0,M182)</f>
        <v>0</v>
      </c>
      <c r="E183" s="41" t="n">
        <f aca="false">D183*$F$7</f>
        <v>0</v>
      </c>
      <c r="F183" s="41" t="n">
        <f aca="false">IF(D183&gt;0.5,N($C$15),0)</f>
        <v>0</v>
      </c>
      <c r="G183" s="41" t="n">
        <f aca="false">IF(AND(D183&gt;0.5,N($C$19)&gt;0,N(B183)&lt;=N($C$20)),D183*$F$8,0)</f>
        <v>0</v>
      </c>
      <c r="H183" s="41" t="n">
        <f aca="false">IF(D183&lt;=0.5,0,MIN(IF(N(I183)&gt;0,I183,$F$9),D183+E183+F183))</f>
        <v>0</v>
      </c>
      <c r="I183" s="77"/>
      <c r="J183" s="77"/>
      <c r="K183" s="41" t="n">
        <f aca="false">IF(D183&lt;=0.5,0,MIN(H183+N(J183),D183+E183+F183))</f>
        <v>0</v>
      </c>
      <c r="L183" s="41" t="n">
        <f aca="false">K183-E183-F183</f>
        <v>0</v>
      </c>
      <c r="M183" s="41" t="n">
        <f aca="false">D183-L183</f>
        <v>0</v>
      </c>
      <c r="N183" s="42" t="n">
        <f aca="false">K183-G183</f>
        <v>0</v>
      </c>
      <c r="O183" s="78"/>
      <c r="P183" s="79"/>
      <c r="Q183" s="16" t="str">
        <f aca="false">IF(K183=0,"",IF(R183=1,"Pagada",IF(C183&lt;$F$12,"Vencida",IF(157=$F$13,"Próxima","Pendiente"))))</f>
        <v/>
      </c>
      <c r="R183" s="62" t="n">
        <f aca="false">IF(AND(K183&gt;0,OR(O183="Sí",O183="Si")),1,0)</f>
        <v>0</v>
      </c>
      <c r="S183" s="62" t="n">
        <f aca="false">IF(AND(K183&gt;0,R183=0),1,0)</f>
        <v>0</v>
      </c>
    </row>
    <row r="184" customFormat="false" ht="15" hidden="false" customHeight="false" outlineLevel="0" collapsed="false">
      <c r="B184" s="71" t="str">
        <f aca="false">IF($F$6="Sí",N($C$11)+157,"")</f>
        <v/>
      </c>
      <c r="C184" s="72" t="str">
        <f aca="false">IF(OR($F$6&lt;&gt;"Sí",D184&lt;=0.5),"",EDATE($C$10,157))</f>
        <v/>
      </c>
      <c r="D184" s="41" t="n">
        <f aca="false">MAX(0,M183)</f>
        <v>0</v>
      </c>
      <c r="E184" s="41" t="n">
        <f aca="false">D184*$F$7</f>
        <v>0</v>
      </c>
      <c r="F184" s="41" t="n">
        <f aca="false">IF(D184&gt;0.5,N($C$15),0)</f>
        <v>0</v>
      </c>
      <c r="G184" s="41" t="n">
        <f aca="false">IF(AND(D184&gt;0.5,N($C$19)&gt;0,N(B184)&lt;=N($C$20)),D184*$F$8,0)</f>
        <v>0</v>
      </c>
      <c r="H184" s="41" t="n">
        <f aca="false">IF(D184&lt;=0.5,0,MIN(IF(N(I184)&gt;0,I184,$F$9),D184+E184+F184))</f>
        <v>0</v>
      </c>
      <c r="I184" s="77"/>
      <c r="J184" s="77"/>
      <c r="K184" s="41" t="n">
        <f aca="false">IF(D184&lt;=0.5,0,MIN(H184+N(J184),D184+E184+F184))</f>
        <v>0</v>
      </c>
      <c r="L184" s="41" t="n">
        <f aca="false">K184-E184-F184</f>
        <v>0</v>
      </c>
      <c r="M184" s="41" t="n">
        <f aca="false">D184-L184</f>
        <v>0</v>
      </c>
      <c r="N184" s="42" t="n">
        <f aca="false">K184-G184</f>
        <v>0</v>
      </c>
      <c r="O184" s="78"/>
      <c r="P184" s="79"/>
      <c r="Q184" s="16" t="str">
        <f aca="false">IF(K184=0,"",IF(R184=1,"Pagada",IF(C184&lt;$F$12,"Vencida",IF(158=$F$13,"Próxima","Pendiente"))))</f>
        <v/>
      </c>
      <c r="R184" s="62" t="n">
        <f aca="false">IF(AND(K184&gt;0,OR(O184="Sí",O184="Si")),1,0)</f>
        <v>0</v>
      </c>
      <c r="S184" s="62" t="n">
        <f aca="false">IF(AND(K184&gt;0,R184=0),1,0)</f>
        <v>0</v>
      </c>
    </row>
    <row r="185" customFormat="false" ht="15" hidden="false" customHeight="false" outlineLevel="0" collapsed="false">
      <c r="B185" s="71" t="str">
        <f aca="false">IF($F$6="Sí",N($C$11)+158,"")</f>
        <v/>
      </c>
      <c r="C185" s="72" t="str">
        <f aca="false">IF(OR($F$6&lt;&gt;"Sí",D185&lt;=0.5),"",EDATE($C$10,158))</f>
        <v/>
      </c>
      <c r="D185" s="41" t="n">
        <f aca="false">MAX(0,M184)</f>
        <v>0</v>
      </c>
      <c r="E185" s="41" t="n">
        <f aca="false">D185*$F$7</f>
        <v>0</v>
      </c>
      <c r="F185" s="41" t="n">
        <f aca="false">IF(D185&gt;0.5,N($C$15),0)</f>
        <v>0</v>
      </c>
      <c r="G185" s="41" t="n">
        <f aca="false">IF(AND(D185&gt;0.5,N($C$19)&gt;0,N(B185)&lt;=N($C$20)),D185*$F$8,0)</f>
        <v>0</v>
      </c>
      <c r="H185" s="41" t="n">
        <f aca="false">IF(D185&lt;=0.5,0,MIN(IF(N(I185)&gt;0,I185,$F$9),D185+E185+F185))</f>
        <v>0</v>
      </c>
      <c r="I185" s="77"/>
      <c r="J185" s="77"/>
      <c r="K185" s="41" t="n">
        <f aca="false">IF(D185&lt;=0.5,0,MIN(H185+N(J185),D185+E185+F185))</f>
        <v>0</v>
      </c>
      <c r="L185" s="41" t="n">
        <f aca="false">K185-E185-F185</f>
        <v>0</v>
      </c>
      <c r="M185" s="41" t="n">
        <f aca="false">D185-L185</f>
        <v>0</v>
      </c>
      <c r="N185" s="42" t="n">
        <f aca="false">K185-G185</f>
        <v>0</v>
      </c>
      <c r="O185" s="78"/>
      <c r="P185" s="79"/>
      <c r="Q185" s="16" t="str">
        <f aca="false">IF(K185=0,"",IF(R185=1,"Pagada",IF(C185&lt;$F$12,"Vencida",IF(159=$F$13,"Próxima","Pendiente"))))</f>
        <v/>
      </c>
      <c r="R185" s="62" t="n">
        <f aca="false">IF(AND(K185&gt;0,OR(O185="Sí",O185="Si")),1,0)</f>
        <v>0</v>
      </c>
      <c r="S185" s="62" t="n">
        <f aca="false">IF(AND(K185&gt;0,R185=0),1,0)</f>
        <v>0</v>
      </c>
    </row>
    <row r="186" customFormat="false" ht="15" hidden="false" customHeight="false" outlineLevel="0" collapsed="false">
      <c r="B186" s="71" t="str">
        <f aca="false">IF($F$6="Sí",N($C$11)+159,"")</f>
        <v/>
      </c>
      <c r="C186" s="72" t="str">
        <f aca="false">IF(OR($F$6&lt;&gt;"Sí",D186&lt;=0.5),"",EDATE($C$10,159))</f>
        <v/>
      </c>
      <c r="D186" s="41" t="n">
        <f aca="false">MAX(0,M185)</f>
        <v>0</v>
      </c>
      <c r="E186" s="41" t="n">
        <f aca="false">D186*$F$7</f>
        <v>0</v>
      </c>
      <c r="F186" s="41" t="n">
        <f aca="false">IF(D186&gt;0.5,N($C$15),0)</f>
        <v>0</v>
      </c>
      <c r="G186" s="41" t="n">
        <f aca="false">IF(AND(D186&gt;0.5,N($C$19)&gt;0,N(B186)&lt;=N($C$20)),D186*$F$8,0)</f>
        <v>0</v>
      </c>
      <c r="H186" s="41" t="n">
        <f aca="false">IF(D186&lt;=0.5,0,MIN(IF(N(I186)&gt;0,I186,$F$9),D186+E186+F186))</f>
        <v>0</v>
      </c>
      <c r="I186" s="77"/>
      <c r="J186" s="77"/>
      <c r="K186" s="41" t="n">
        <f aca="false">IF(D186&lt;=0.5,0,MIN(H186+N(J186),D186+E186+F186))</f>
        <v>0</v>
      </c>
      <c r="L186" s="41" t="n">
        <f aca="false">K186-E186-F186</f>
        <v>0</v>
      </c>
      <c r="M186" s="41" t="n">
        <f aca="false">D186-L186</f>
        <v>0</v>
      </c>
      <c r="N186" s="42" t="n">
        <f aca="false">K186-G186</f>
        <v>0</v>
      </c>
      <c r="O186" s="78"/>
      <c r="P186" s="79"/>
      <c r="Q186" s="16" t="str">
        <f aca="false">IF(K186=0,"",IF(R186=1,"Pagada",IF(C186&lt;$F$12,"Vencida",IF(160=$F$13,"Próxima","Pendiente"))))</f>
        <v/>
      </c>
      <c r="R186" s="62" t="n">
        <f aca="false">IF(AND(K186&gt;0,OR(O186="Sí",O186="Si")),1,0)</f>
        <v>0</v>
      </c>
      <c r="S186" s="62" t="n">
        <f aca="false">IF(AND(K186&gt;0,R186=0),1,0)</f>
        <v>0</v>
      </c>
    </row>
    <row r="187" customFormat="false" ht="15" hidden="false" customHeight="false" outlineLevel="0" collapsed="false">
      <c r="B187" s="71" t="str">
        <f aca="false">IF($F$6="Sí",N($C$11)+160,"")</f>
        <v/>
      </c>
      <c r="C187" s="72" t="str">
        <f aca="false">IF(OR($F$6&lt;&gt;"Sí",D187&lt;=0.5),"",EDATE($C$10,160))</f>
        <v/>
      </c>
      <c r="D187" s="41" t="n">
        <f aca="false">MAX(0,M186)</f>
        <v>0</v>
      </c>
      <c r="E187" s="41" t="n">
        <f aca="false">D187*$F$7</f>
        <v>0</v>
      </c>
      <c r="F187" s="41" t="n">
        <f aca="false">IF(D187&gt;0.5,N($C$15),0)</f>
        <v>0</v>
      </c>
      <c r="G187" s="41" t="n">
        <f aca="false">IF(AND(D187&gt;0.5,N($C$19)&gt;0,N(B187)&lt;=N($C$20)),D187*$F$8,0)</f>
        <v>0</v>
      </c>
      <c r="H187" s="41" t="n">
        <f aca="false">IF(D187&lt;=0.5,0,MIN(IF(N(I187)&gt;0,I187,$F$9),D187+E187+F187))</f>
        <v>0</v>
      </c>
      <c r="I187" s="77"/>
      <c r="J187" s="77"/>
      <c r="K187" s="41" t="n">
        <f aca="false">IF(D187&lt;=0.5,0,MIN(H187+N(J187),D187+E187+F187))</f>
        <v>0</v>
      </c>
      <c r="L187" s="41" t="n">
        <f aca="false">K187-E187-F187</f>
        <v>0</v>
      </c>
      <c r="M187" s="41" t="n">
        <f aca="false">D187-L187</f>
        <v>0</v>
      </c>
      <c r="N187" s="42" t="n">
        <f aca="false">K187-G187</f>
        <v>0</v>
      </c>
      <c r="O187" s="78"/>
      <c r="P187" s="79"/>
      <c r="Q187" s="16" t="str">
        <f aca="false">IF(K187=0,"",IF(R187=1,"Pagada",IF(C187&lt;$F$12,"Vencida",IF(161=$F$13,"Próxima","Pendiente"))))</f>
        <v/>
      </c>
      <c r="R187" s="62" t="n">
        <f aca="false">IF(AND(K187&gt;0,OR(O187="Sí",O187="Si")),1,0)</f>
        <v>0</v>
      </c>
      <c r="S187" s="62" t="n">
        <f aca="false">IF(AND(K187&gt;0,R187=0),1,0)</f>
        <v>0</v>
      </c>
    </row>
    <row r="188" customFormat="false" ht="15" hidden="false" customHeight="false" outlineLevel="0" collapsed="false">
      <c r="B188" s="71" t="str">
        <f aca="false">IF($F$6="Sí",N($C$11)+161,"")</f>
        <v/>
      </c>
      <c r="C188" s="72" t="str">
        <f aca="false">IF(OR($F$6&lt;&gt;"Sí",D188&lt;=0.5),"",EDATE($C$10,161))</f>
        <v/>
      </c>
      <c r="D188" s="41" t="n">
        <f aca="false">MAX(0,M187)</f>
        <v>0</v>
      </c>
      <c r="E188" s="41" t="n">
        <f aca="false">D188*$F$7</f>
        <v>0</v>
      </c>
      <c r="F188" s="41" t="n">
        <f aca="false">IF(D188&gt;0.5,N($C$15),0)</f>
        <v>0</v>
      </c>
      <c r="G188" s="41" t="n">
        <f aca="false">IF(AND(D188&gt;0.5,N($C$19)&gt;0,N(B188)&lt;=N($C$20)),D188*$F$8,0)</f>
        <v>0</v>
      </c>
      <c r="H188" s="41" t="n">
        <f aca="false">IF(D188&lt;=0.5,0,MIN(IF(N(I188)&gt;0,I188,$F$9),D188+E188+F188))</f>
        <v>0</v>
      </c>
      <c r="I188" s="77"/>
      <c r="J188" s="77"/>
      <c r="K188" s="41" t="n">
        <f aca="false">IF(D188&lt;=0.5,0,MIN(H188+N(J188),D188+E188+F188))</f>
        <v>0</v>
      </c>
      <c r="L188" s="41" t="n">
        <f aca="false">K188-E188-F188</f>
        <v>0</v>
      </c>
      <c r="M188" s="41" t="n">
        <f aca="false">D188-L188</f>
        <v>0</v>
      </c>
      <c r="N188" s="42" t="n">
        <f aca="false">K188-G188</f>
        <v>0</v>
      </c>
      <c r="O188" s="78"/>
      <c r="P188" s="79"/>
      <c r="Q188" s="16" t="str">
        <f aca="false">IF(K188=0,"",IF(R188=1,"Pagada",IF(C188&lt;$F$12,"Vencida",IF(162=$F$13,"Próxima","Pendiente"))))</f>
        <v/>
      </c>
      <c r="R188" s="62" t="n">
        <f aca="false">IF(AND(K188&gt;0,OR(O188="Sí",O188="Si")),1,0)</f>
        <v>0</v>
      </c>
      <c r="S188" s="62" t="n">
        <f aca="false">IF(AND(K188&gt;0,R188=0),1,0)</f>
        <v>0</v>
      </c>
    </row>
    <row r="189" customFormat="false" ht="15" hidden="false" customHeight="false" outlineLevel="0" collapsed="false">
      <c r="B189" s="71" t="str">
        <f aca="false">IF($F$6="Sí",N($C$11)+162,"")</f>
        <v/>
      </c>
      <c r="C189" s="72" t="str">
        <f aca="false">IF(OR($F$6&lt;&gt;"Sí",D189&lt;=0.5),"",EDATE($C$10,162))</f>
        <v/>
      </c>
      <c r="D189" s="41" t="n">
        <f aca="false">MAX(0,M188)</f>
        <v>0</v>
      </c>
      <c r="E189" s="41" t="n">
        <f aca="false">D189*$F$7</f>
        <v>0</v>
      </c>
      <c r="F189" s="41" t="n">
        <f aca="false">IF(D189&gt;0.5,N($C$15),0)</f>
        <v>0</v>
      </c>
      <c r="G189" s="41" t="n">
        <f aca="false">IF(AND(D189&gt;0.5,N($C$19)&gt;0,N(B189)&lt;=N($C$20)),D189*$F$8,0)</f>
        <v>0</v>
      </c>
      <c r="H189" s="41" t="n">
        <f aca="false">IF(D189&lt;=0.5,0,MIN(IF(N(I189)&gt;0,I189,$F$9),D189+E189+F189))</f>
        <v>0</v>
      </c>
      <c r="I189" s="77"/>
      <c r="J189" s="77"/>
      <c r="K189" s="41" t="n">
        <f aca="false">IF(D189&lt;=0.5,0,MIN(H189+N(J189),D189+E189+F189))</f>
        <v>0</v>
      </c>
      <c r="L189" s="41" t="n">
        <f aca="false">K189-E189-F189</f>
        <v>0</v>
      </c>
      <c r="M189" s="41" t="n">
        <f aca="false">D189-L189</f>
        <v>0</v>
      </c>
      <c r="N189" s="42" t="n">
        <f aca="false">K189-G189</f>
        <v>0</v>
      </c>
      <c r="O189" s="78"/>
      <c r="P189" s="79"/>
      <c r="Q189" s="16" t="str">
        <f aca="false">IF(K189=0,"",IF(R189=1,"Pagada",IF(C189&lt;$F$12,"Vencida",IF(163=$F$13,"Próxima","Pendiente"))))</f>
        <v/>
      </c>
      <c r="R189" s="62" t="n">
        <f aca="false">IF(AND(K189&gt;0,OR(O189="Sí",O189="Si")),1,0)</f>
        <v>0</v>
      </c>
      <c r="S189" s="62" t="n">
        <f aca="false">IF(AND(K189&gt;0,R189=0),1,0)</f>
        <v>0</v>
      </c>
    </row>
    <row r="190" customFormat="false" ht="15" hidden="false" customHeight="false" outlineLevel="0" collapsed="false">
      <c r="B190" s="71" t="str">
        <f aca="false">IF($F$6="Sí",N($C$11)+163,"")</f>
        <v/>
      </c>
      <c r="C190" s="72" t="str">
        <f aca="false">IF(OR($F$6&lt;&gt;"Sí",D190&lt;=0.5),"",EDATE($C$10,163))</f>
        <v/>
      </c>
      <c r="D190" s="41" t="n">
        <f aca="false">MAX(0,M189)</f>
        <v>0</v>
      </c>
      <c r="E190" s="41" t="n">
        <f aca="false">D190*$F$7</f>
        <v>0</v>
      </c>
      <c r="F190" s="41" t="n">
        <f aca="false">IF(D190&gt;0.5,N($C$15),0)</f>
        <v>0</v>
      </c>
      <c r="G190" s="41" t="n">
        <f aca="false">IF(AND(D190&gt;0.5,N($C$19)&gt;0,N(B190)&lt;=N($C$20)),D190*$F$8,0)</f>
        <v>0</v>
      </c>
      <c r="H190" s="41" t="n">
        <f aca="false">IF(D190&lt;=0.5,0,MIN(IF(N(I190)&gt;0,I190,$F$9),D190+E190+F190))</f>
        <v>0</v>
      </c>
      <c r="I190" s="77"/>
      <c r="J190" s="77"/>
      <c r="K190" s="41" t="n">
        <f aca="false">IF(D190&lt;=0.5,0,MIN(H190+N(J190),D190+E190+F190))</f>
        <v>0</v>
      </c>
      <c r="L190" s="41" t="n">
        <f aca="false">K190-E190-F190</f>
        <v>0</v>
      </c>
      <c r="M190" s="41" t="n">
        <f aca="false">D190-L190</f>
        <v>0</v>
      </c>
      <c r="N190" s="42" t="n">
        <f aca="false">K190-G190</f>
        <v>0</v>
      </c>
      <c r="O190" s="78"/>
      <c r="P190" s="79"/>
      <c r="Q190" s="16" t="str">
        <f aca="false">IF(K190=0,"",IF(R190=1,"Pagada",IF(C190&lt;$F$12,"Vencida",IF(164=$F$13,"Próxima","Pendiente"))))</f>
        <v/>
      </c>
      <c r="R190" s="62" t="n">
        <f aca="false">IF(AND(K190&gt;0,OR(O190="Sí",O190="Si")),1,0)</f>
        <v>0</v>
      </c>
      <c r="S190" s="62" t="n">
        <f aca="false">IF(AND(K190&gt;0,R190=0),1,0)</f>
        <v>0</v>
      </c>
    </row>
    <row r="191" customFormat="false" ht="15" hidden="false" customHeight="false" outlineLevel="0" collapsed="false">
      <c r="B191" s="71" t="str">
        <f aca="false">IF($F$6="Sí",N($C$11)+164,"")</f>
        <v/>
      </c>
      <c r="C191" s="72" t="str">
        <f aca="false">IF(OR($F$6&lt;&gt;"Sí",D191&lt;=0.5),"",EDATE($C$10,164))</f>
        <v/>
      </c>
      <c r="D191" s="41" t="n">
        <f aca="false">MAX(0,M190)</f>
        <v>0</v>
      </c>
      <c r="E191" s="41" t="n">
        <f aca="false">D191*$F$7</f>
        <v>0</v>
      </c>
      <c r="F191" s="41" t="n">
        <f aca="false">IF(D191&gt;0.5,N($C$15),0)</f>
        <v>0</v>
      </c>
      <c r="G191" s="41" t="n">
        <f aca="false">IF(AND(D191&gt;0.5,N($C$19)&gt;0,N(B191)&lt;=N($C$20)),D191*$F$8,0)</f>
        <v>0</v>
      </c>
      <c r="H191" s="41" t="n">
        <f aca="false">IF(D191&lt;=0.5,0,MIN(IF(N(I191)&gt;0,I191,$F$9),D191+E191+F191))</f>
        <v>0</v>
      </c>
      <c r="I191" s="77"/>
      <c r="J191" s="77"/>
      <c r="K191" s="41" t="n">
        <f aca="false">IF(D191&lt;=0.5,0,MIN(H191+N(J191),D191+E191+F191))</f>
        <v>0</v>
      </c>
      <c r="L191" s="41" t="n">
        <f aca="false">K191-E191-F191</f>
        <v>0</v>
      </c>
      <c r="M191" s="41" t="n">
        <f aca="false">D191-L191</f>
        <v>0</v>
      </c>
      <c r="N191" s="42" t="n">
        <f aca="false">K191-G191</f>
        <v>0</v>
      </c>
      <c r="O191" s="78"/>
      <c r="P191" s="79"/>
      <c r="Q191" s="16" t="str">
        <f aca="false">IF(K191=0,"",IF(R191=1,"Pagada",IF(C191&lt;$F$12,"Vencida",IF(165=$F$13,"Próxima","Pendiente"))))</f>
        <v/>
      </c>
      <c r="R191" s="62" t="n">
        <f aca="false">IF(AND(K191&gt;0,OR(O191="Sí",O191="Si")),1,0)</f>
        <v>0</v>
      </c>
      <c r="S191" s="62" t="n">
        <f aca="false">IF(AND(K191&gt;0,R191=0),1,0)</f>
        <v>0</v>
      </c>
    </row>
    <row r="192" customFormat="false" ht="15" hidden="false" customHeight="false" outlineLevel="0" collapsed="false">
      <c r="B192" s="71" t="str">
        <f aca="false">IF($F$6="Sí",N($C$11)+165,"")</f>
        <v/>
      </c>
      <c r="C192" s="72" t="str">
        <f aca="false">IF(OR($F$6&lt;&gt;"Sí",D192&lt;=0.5),"",EDATE($C$10,165))</f>
        <v/>
      </c>
      <c r="D192" s="41" t="n">
        <f aca="false">MAX(0,M191)</f>
        <v>0</v>
      </c>
      <c r="E192" s="41" t="n">
        <f aca="false">D192*$F$7</f>
        <v>0</v>
      </c>
      <c r="F192" s="41" t="n">
        <f aca="false">IF(D192&gt;0.5,N($C$15),0)</f>
        <v>0</v>
      </c>
      <c r="G192" s="41" t="n">
        <f aca="false">IF(AND(D192&gt;0.5,N($C$19)&gt;0,N(B192)&lt;=N($C$20)),D192*$F$8,0)</f>
        <v>0</v>
      </c>
      <c r="H192" s="41" t="n">
        <f aca="false">IF(D192&lt;=0.5,0,MIN(IF(N(I192)&gt;0,I192,$F$9),D192+E192+F192))</f>
        <v>0</v>
      </c>
      <c r="I192" s="77"/>
      <c r="J192" s="77"/>
      <c r="K192" s="41" t="n">
        <f aca="false">IF(D192&lt;=0.5,0,MIN(H192+N(J192),D192+E192+F192))</f>
        <v>0</v>
      </c>
      <c r="L192" s="41" t="n">
        <f aca="false">K192-E192-F192</f>
        <v>0</v>
      </c>
      <c r="M192" s="41" t="n">
        <f aca="false">D192-L192</f>
        <v>0</v>
      </c>
      <c r="N192" s="42" t="n">
        <f aca="false">K192-G192</f>
        <v>0</v>
      </c>
      <c r="O192" s="78"/>
      <c r="P192" s="79"/>
      <c r="Q192" s="16" t="str">
        <f aca="false">IF(K192=0,"",IF(R192=1,"Pagada",IF(C192&lt;$F$12,"Vencida",IF(166=$F$13,"Próxima","Pendiente"))))</f>
        <v/>
      </c>
      <c r="R192" s="62" t="n">
        <f aca="false">IF(AND(K192&gt;0,OR(O192="Sí",O192="Si")),1,0)</f>
        <v>0</v>
      </c>
      <c r="S192" s="62" t="n">
        <f aca="false">IF(AND(K192&gt;0,R192=0),1,0)</f>
        <v>0</v>
      </c>
    </row>
    <row r="193" customFormat="false" ht="15" hidden="false" customHeight="false" outlineLevel="0" collapsed="false">
      <c r="B193" s="71" t="str">
        <f aca="false">IF($F$6="Sí",N($C$11)+166,"")</f>
        <v/>
      </c>
      <c r="C193" s="72" t="str">
        <f aca="false">IF(OR($F$6&lt;&gt;"Sí",D193&lt;=0.5),"",EDATE($C$10,166))</f>
        <v/>
      </c>
      <c r="D193" s="41" t="n">
        <f aca="false">MAX(0,M192)</f>
        <v>0</v>
      </c>
      <c r="E193" s="41" t="n">
        <f aca="false">D193*$F$7</f>
        <v>0</v>
      </c>
      <c r="F193" s="41" t="n">
        <f aca="false">IF(D193&gt;0.5,N($C$15),0)</f>
        <v>0</v>
      </c>
      <c r="G193" s="41" t="n">
        <f aca="false">IF(AND(D193&gt;0.5,N($C$19)&gt;0,N(B193)&lt;=N($C$20)),D193*$F$8,0)</f>
        <v>0</v>
      </c>
      <c r="H193" s="41" t="n">
        <f aca="false">IF(D193&lt;=0.5,0,MIN(IF(N(I193)&gt;0,I193,$F$9),D193+E193+F193))</f>
        <v>0</v>
      </c>
      <c r="I193" s="77"/>
      <c r="J193" s="77"/>
      <c r="K193" s="41" t="n">
        <f aca="false">IF(D193&lt;=0.5,0,MIN(H193+N(J193),D193+E193+F193))</f>
        <v>0</v>
      </c>
      <c r="L193" s="41" t="n">
        <f aca="false">K193-E193-F193</f>
        <v>0</v>
      </c>
      <c r="M193" s="41" t="n">
        <f aca="false">D193-L193</f>
        <v>0</v>
      </c>
      <c r="N193" s="42" t="n">
        <f aca="false">K193-G193</f>
        <v>0</v>
      </c>
      <c r="O193" s="78"/>
      <c r="P193" s="79"/>
      <c r="Q193" s="16" t="str">
        <f aca="false">IF(K193=0,"",IF(R193=1,"Pagada",IF(C193&lt;$F$12,"Vencida",IF(167=$F$13,"Próxima","Pendiente"))))</f>
        <v/>
      </c>
      <c r="R193" s="62" t="n">
        <f aca="false">IF(AND(K193&gt;0,OR(O193="Sí",O193="Si")),1,0)</f>
        <v>0</v>
      </c>
      <c r="S193" s="62" t="n">
        <f aca="false">IF(AND(K193&gt;0,R193=0),1,0)</f>
        <v>0</v>
      </c>
    </row>
    <row r="194" customFormat="false" ht="15" hidden="false" customHeight="false" outlineLevel="0" collapsed="false">
      <c r="B194" s="71" t="str">
        <f aca="false">IF($F$6="Sí",N($C$11)+167,"")</f>
        <v/>
      </c>
      <c r="C194" s="72" t="str">
        <f aca="false">IF(OR($F$6&lt;&gt;"Sí",D194&lt;=0.5),"",EDATE($C$10,167))</f>
        <v/>
      </c>
      <c r="D194" s="41" t="n">
        <f aca="false">MAX(0,M193)</f>
        <v>0</v>
      </c>
      <c r="E194" s="41" t="n">
        <f aca="false">D194*$F$7</f>
        <v>0</v>
      </c>
      <c r="F194" s="41" t="n">
        <f aca="false">IF(D194&gt;0.5,N($C$15),0)</f>
        <v>0</v>
      </c>
      <c r="G194" s="41" t="n">
        <f aca="false">IF(AND(D194&gt;0.5,N($C$19)&gt;0,N(B194)&lt;=N($C$20)),D194*$F$8,0)</f>
        <v>0</v>
      </c>
      <c r="H194" s="41" t="n">
        <f aca="false">IF(D194&lt;=0.5,0,MIN(IF(N(I194)&gt;0,I194,$F$9),D194+E194+F194))</f>
        <v>0</v>
      </c>
      <c r="I194" s="77"/>
      <c r="J194" s="77"/>
      <c r="K194" s="41" t="n">
        <f aca="false">IF(D194&lt;=0.5,0,MIN(H194+N(J194),D194+E194+F194))</f>
        <v>0</v>
      </c>
      <c r="L194" s="41" t="n">
        <f aca="false">K194-E194-F194</f>
        <v>0</v>
      </c>
      <c r="M194" s="41" t="n">
        <f aca="false">D194-L194</f>
        <v>0</v>
      </c>
      <c r="N194" s="42" t="n">
        <f aca="false">K194-G194</f>
        <v>0</v>
      </c>
      <c r="O194" s="78"/>
      <c r="P194" s="79"/>
      <c r="Q194" s="16" t="str">
        <f aca="false">IF(K194=0,"",IF(R194=1,"Pagada",IF(C194&lt;$F$12,"Vencida",IF(168=$F$13,"Próxima","Pendiente"))))</f>
        <v/>
      </c>
      <c r="R194" s="62" t="n">
        <f aca="false">IF(AND(K194&gt;0,OR(O194="Sí",O194="Si")),1,0)</f>
        <v>0</v>
      </c>
      <c r="S194" s="62" t="n">
        <f aca="false">IF(AND(K194&gt;0,R194=0),1,0)</f>
        <v>0</v>
      </c>
    </row>
    <row r="195" customFormat="false" ht="15" hidden="false" customHeight="false" outlineLevel="0" collapsed="false">
      <c r="B195" s="71" t="str">
        <f aca="false">IF($F$6="Sí",N($C$11)+168,"")</f>
        <v/>
      </c>
      <c r="C195" s="72" t="str">
        <f aca="false">IF(OR($F$6&lt;&gt;"Sí",D195&lt;=0.5),"",EDATE($C$10,168))</f>
        <v/>
      </c>
      <c r="D195" s="41" t="n">
        <f aca="false">MAX(0,M194)</f>
        <v>0</v>
      </c>
      <c r="E195" s="41" t="n">
        <f aca="false">D195*$F$7</f>
        <v>0</v>
      </c>
      <c r="F195" s="41" t="n">
        <f aca="false">IF(D195&gt;0.5,N($C$15),0)</f>
        <v>0</v>
      </c>
      <c r="G195" s="41" t="n">
        <f aca="false">IF(AND(D195&gt;0.5,N($C$19)&gt;0,N(B195)&lt;=N($C$20)),D195*$F$8,0)</f>
        <v>0</v>
      </c>
      <c r="H195" s="41" t="n">
        <f aca="false">IF(D195&lt;=0.5,0,MIN(IF(N(I195)&gt;0,I195,$F$9),D195+E195+F195))</f>
        <v>0</v>
      </c>
      <c r="I195" s="77"/>
      <c r="J195" s="77"/>
      <c r="K195" s="41" t="n">
        <f aca="false">IF(D195&lt;=0.5,0,MIN(H195+N(J195),D195+E195+F195))</f>
        <v>0</v>
      </c>
      <c r="L195" s="41" t="n">
        <f aca="false">K195-E195-F195</f>
        <v>0</v>
      </c>
      <c r="M195" s="41" t="n">
        <f aca="false">D195-L195</f>
        <v>0</v>
      </c>
      <c r="N195" s="42" t="n">
        <f aca="false">K195-G195</f>
        <v>0</v>
      </c>
      <c r="O195" s="78"/>
      <c r="P195" s="79"/>
      <c r="Q195" s="16" t="str">
        <f aca="false">IF(K195=0,"",IF(R195=1,"Pagada",IF(C195&lt;$F$12,"Vencida",IF(169=$F$13,"Próxima","Pendiente"))))</f>
        <v/>
      </c>
      <c r="R195" s="62" t="n">
        <f aca="false">IF(AND(K195&gt;0,OR(O195="Sí",O195="Si")),1,0)</f>
        <v>0</v>
      </c>
      <c r="S195" s="62" t="n">
        <f aca="false">IF(AND(K195&gt;0,R195=0),1,0)</f>
        <v>0</v>
      </c>
    </row>
    <row r="196" customFormat="false" ht="15" hidden="false" customHeight="false" outlineLevel="0" collapsed="false">
      <c r="B196" s="71" t="str">
        <f aca="false">IF($F$6="Sí",N($C$11)+169,"")</f>
        <v/>
      </c>
      <c r="C196" s="72" t="str">
        <f aca="false">IF(OR($F$6&lt;&gt;"Sí",D196&lt;=0.5),"",EDATE($C$10,169))</f>
        <v/>
      </c>
      <c r="D196" s="41" t="n">
        <f aca="false">MAX(0,M195)</f>
        <v>0</v>
      </c>
      <c r="E196" s="41" t="n">
        <f aca="false">D196*$F$7</f>
        <v>0</v>
      </c>
      <c r="F196" s="41" t="n">
        <f aca="false">IF(D196&gt;0.5,N($C$15),0)</f>
        <v>0</v>
      </c>
      <c r="G196" s="41" t="n">
        <f aca="false">IF(AND(D196&gt;0.5,N($C$19)&gt;0,N(B196)&lt;=N($C$20)),D196*$F$8,0)</f>
        <v>0</v>
      </c>
      <c r="H196" s="41" t="n">
        <f aca="false">IF(D196&lt;=0.5,0,MIN(IF(N(I196)&gt;0,I196,$F$9),D196+E196+F196))</f>
        <v>0</v>
      </c>
      <c r="I196" s="77"/>
      <c r="J196" s="77"/>
      <c r="K196" s="41" t="n">
        <f aca="false">IF(D196&lt;=0.5,0,MIN(H196+N(J196),D196+E196+F196))</f>
        <v>0</v>
      </c>
      <c r="L196" s="41" t="n">
        <f aca="false">K196-E196-F196</f>
        <v>0</v>
      </c>
      <c r="M196" s="41" t="n">
        <f aca="false">D196-L196</f>
        <v>0</v>
      </c>
      <c r="N196" s="42" t="n">
        <f aca="false">K196-G196</f>
        <v>0</v>
      </c>
      <c r="O196" s="78"/>
      <c r="P196" s="79"/>
      <c r="Q196" s="16" t="str">
        <f aca="false">IF(K196=0,"",IF(R196=1,"Pagada",IF(C196&lt;$F$12,"Vencida",IF(170=$F$13,"Próxima","Pendiente"))))</f>
        <v/>
      </c>
      <c r="R196" s="62" t="n">
        <f aca="false">IF(AND(K196&gt;0,OR(O196="Sí",O196="Si")),1,0)</f>
        <v>0</v>
      </c>
      <c r="S196" s="62" t="n">
        <f aca="false">IF(AND(K196&gt;0,R196=0),1,0)</f>
        <v>0</v>
      </c>
    </row>
    <row r="197" customFormat="false" ht="15" hidden="false" customHeight="false" outlineLevel="0" collapsed="false">
      <c r="B197" s="71" t="str">
        <f aca="false">IF($F$6="Sí",N($C$11)+170,"")</f>
        <v/>
      </c>
      <c r="C197" s="72" t="str">
        <f aca="false">IF(OR($F$6&lt;&gt;"Sí",D197&lt;=0.5),"",EDATE($C$10,170))</f>
        <v/>
      </c>
      <c r="D197" s="41" t="n">
        <f aca="false">MAX(0,M196)</f>
        <v>0</v>
      </c>
      <c r="E197" s="41" t="n">
        <f aca="false">D197*$F$7</f>
        <v>0</v>
      </c>
      <c r="F197" s="41" t="n">
        <f aca="false">IF(D197&gt;0.5,N($C$15),0)</f>
        <v>0</v>
      </c>
      <c r="G197" s="41" t="n">
        <f aca="false">IF(AND(D197&gt;0.5,N($C$19)&gt;0,N(B197)&lt;=N($C$20)),D197*$F$8,0)</f>
        <v>0</v>
      </c>
      <c r="H197" s="41" t="n">
        <f aca="false">IF(D197&lt;=0.5,0,MIN(IF(N(I197)&gt;0,I197,$F$9),D197+E197+F197))</f>
        <v>0</v>
      </c>
      <c r="I197" s="77"/>
      <c r="J197" s="77"/>
      <c r="K197" s="41" t="n">
        <f aca="false">IF(D197&lt;=0.5,0,MIN(H197+N(J197),D197+E197+F197))</f>
        <v>0</v>
      </c>
      <c r="L197" s="41" t="n">
        <f aca="false">K197-E197-F197</f>
        <v>0</v>
      </c>
      <c r="M197" s="41" t="n">
        <f aca="false">D197-L197</f>
        <v>0</v>
      </c>
      <c r="N197" s="42" t="n">
        <f aca="false">K197-G197</f>
        <v>0</v>
      </c>
      <c r="O197" s="78"/>
      <c r="P197" s="79"/>
      <c r="Q197" s="16" t="str">
        <f aca="false">IF(K197=0,"",IF(R197=1,"Pagada",IF(C197&lt;$F$12,"Vencida",IF(171=$F$13,"Próxima","Pendiente"))))</f>
        <v/>
      </c>
      <c r="R197" s="62" t="n">
        <f aca="false">IF(AND(K197&gt;0,OR(O197="Sí",O197="Si")),1,0)</f>
        <v>0</v>
      </c>
      <c r="S197" s="62" t="n">
        <f aca="false">IF(AND(K197&gt;0,R197=0),1,0)</f>
        <v>0</v>
      </c>
    </row>
    <row r="198" customFormat="false" ht="15" hidden="false" customHeight="false" outlineLevel="0" collapsed="false">
      <c r="B198" s="71" t="str">
        <f aca="false">IF($F$6="Sí",N($C$11)+171,"")</f>
        <v/>
      </c>
      <c r="C198" s="72" t="str">
        <f aca="false">IF(OR($F$6&lt;&gt;"Sí",D198&lt;=0.5),"",EDATE($C$10,171))</f>
        <v/>
      </c>
      <c r="D198" s="41" t="n">
        <f aca="false">MAX(0,M197)</f>
        <v>0</v>
      </c>
      <c r="E198" s="41" t="n">
        <f aca="false">D198*$F$7</f>
        <v>0</v>
      </c>
      <c r="F198" s="41" t="n">
        <f aca="false">IF(D198&gt;0.5,N($C$15),0)</f>
        <v>0</v>
      </c>
      <c r="G198" s="41" t="n">
        <f aca="false">IF(AND(D198&gt;0.5,N($C$19)&gt;0,N(B198)&lt;=N($C$20)),D198*$F$8,0)</f>
        <v>0</v>
      </c>
      <c r="H198" s="41" t="n">
        <f aca="false">IF(D198&lt;=0.5,0,MIN(IF(N(I198)&gt;0,I198,$F$9),D198+E198+F198))</f>
        <v>0</v>
      </c>
      <c r="I198" s="77"/>
      <c r="J198" s="77"/>
      <c r="K198" s="41" t="n">
        <f aca="false">IF(D198&lt;=0.5,0,MIN(H198+N(J198),D198+E198+F198))</f>
        <v>0</v>
      </c>
      <c r="L198" s="41" t="n">
        <f aca="false">K198-E198-F198</f>
        <v>0</v>
      </c>
      <c r="M198" s="41" t="n">
        <f aca="false">D198-L198</f>
        <v>0</v>
      </c>
      <c r="N198" s="42" t="n">
        <f aca="false">K198-G198</f>
        <v>0</v>
      </c>
      <c r="O198" s="78"/>
      <c r="P198" s="79"/>
      <c r="Q198" s="16" t="str">
        <f aca="false">IF(K198=0,"",IF(R198=1,"Pagada",IF(C198&lt;$F$12,"Vencida",IF(172=$F$13,"Próxima","Pendiente"))))</f>
        <v/>
      </c>
      <c r="R198" s="62" t="n">
        <f aca="false">IF(AND(K198&gt;0,OR(O198="Sí",O198="Si")),1,0)</f>
        <v>0</v>
      </c>
      <c r="S198" s="62" t="n">
        <f aca="false">IF(AND(K198&gt;0,R198=0),1,0)</f>
        <v>0</v>
      </c>
    </row>
    <row r="199" customFormat="false" ht="15" hidden="false" customHeight="false" outlineLevel="0" collapsed="false">
      <c r="B199" s="71" t="str">
        <f aca="false">IF($F$6="Sí",N($C$11)+172,"")</f>
        <v/>
      </c>
      <c r="C199" s="72" t="str">
        <f aca="false">IF(OR($F$6&lt;&gt;"Sí",D199&lt;=0.5),"",EDATE($C$10,172))</f>
        <v/>
      </c>
      <c r="D199" s="41" t="n">
        <f aca="false">MAX(0,M198)</f>
        <v>0</v>
      </c>
      <c r="E199" s="41" t="n">
        <f aca="false">D199*$F$7</f>
        <v>0</v>
      </c>
      <c r="F199" s="41" t="n">
        <f aca="false">IF(D199&gt;0.5,N($C$15),0)</f>
        <v>0</v>
      </c>
      <c r="G199" s="41" t="n">
        <f aca="false">IF(AND(D199&gt;0.5,N($C$19)&gt;0,N(B199)&lt;=N($C$20)),D199*$F$8,0)</f>
        <v>0</v>
      </c>
      <c r="H199" s="41" t="n">
        <f aca="false">IF(D199&lt;=0.5,0,MIN(IF(N(I199)&gt;0,I199,$F$9),D199+E199+F199))</f>
        <v>0</v>
      </c>
      <c r="I199" s="77"/>
      <c r="J199" s="77"/>
      <c r="K199" s="41" t="n">
        <f aca="false">IF(D199&lt;=0.5,0,MIN(H199+N(J199),D199+E199+F199))</f>
        <v>0</v>
      </c>
      <c r="L199" s="41" t="n">
        <f aca="false">K199-E199-F199</f>
        <v>0</v>
      </c>
      <c r="M199" s="41" t="n">
        <f aca="false">D199-L199</f>
        <v>0</v>
      </c>
      <c r="N199" s="42" t="n">
        <f aca="false">K199-G199</f>
        <v>0</v>
      </c>
      <c r="O199" s="78"/>
      <c r="P199" s="79"/>
      <c r="Q199" s="16" t="str">
        <f aca="false">IF(K199=0,"",IF(R199=1,"Pagada",IF(C199&lt;$F$12,"Vencida",IF(173=$F$13,"Próxima","Pendiente"))))</f>
        <v/>
      </c>
      <c r="R199" s="62" t="n">
        <f aca="false">IF(AND(K199&gt;0,OR(O199="Sí",O199="Si")),1,0)</f>
        <v>0</v>
      </c>
      <c r="S199" s="62" t="n">
        <f aca="false">IF(AND(K199&gt;0,R199=0),1,0)</f>
        <v>0</v>
      </c>
    </row>
    <row r="200" customFormat="false" ht="15" hidden="false" customHeight="false" outlineLevel="0" collapsed="false">
      <c r="B200" s="71" t="str">
        <f aca="false">IF($F$6="Sí",N($C$11)+173,"")</f>
        <v/>
      </c>
      <c r="C200" s="72" t="str">
        <f aca="false">IF(OR($F$6&lt;&gt;"Sí",D200&lt;=0.5),"",EDATE($C$10,173))</f>
        <v/>
      </c>
      <c r="D200" s="41" t="n">
        <f aca="false">MAX(0,M199)</f>
        <v>0</v>
      </c>
      <c r="E200" s="41" t="n">
        <f aca="false">D200*$F$7</f>
        <v>0</v>
      </c>
      <c r="F200" s="41" t="n">
        <f aca="false">IF(D200&gt;0.5,N($C$15),0)</f>
        <v>0</v>
      </c>
      <c r="G200" s="41" t="n">
        <f aca="false">IF(AND(D200&gt;0.5,N($C$19)&gt;0,N(B200)&lt;=N($C$20)),D200*$F$8,0)</f>
        <v>0</v>
      </c>
      <c r="H200" s="41" t="n">
        <f aca="false">IF(D200&lt;=0.5,0,MIN(IF(N(I200)&gt;0,I200,$F$9),D200+E200+F200))</f>
        <v>0</v>
      </c>
      <c r="I200" s="77"/>
      <c r="J200" s="77"/>
      <c r="K200" s="41" t="n">
        <f aca="false">IF(D200&lt;=0.5,0,MIN(H200+N(J200),D200+E200+F200))</f>
        <v>0</v>
      </c>
      <c r="L200" s="41" t="n">
        <f aca="false">K200-E200-F200</f>
        <v>0</v>
      </c>
      <c r="M200" s="41" t="n">
        <f aca="false">D200-L200</f>
        <v>0</v>
      </c>
      <c r="N200" s="42" t="n">
        <f aca="false">K200-G200</f>
        <v>0</v>
      </c>
      <c r="O200" s="78"/>
      <c r="P200" s="79"/>
      <c r="Q200" s="16" t="str">
        <f aca="false">IF(K200=0,"",IF(R200=1,"Pagada",IF(C200&lt;$F$12,"Vencida",IF(174=$F$13,"Próxima","Pendiente"))))</f>
        <v/>
      </c>
      <c r="R200" s="62" t="n">
        <f aca="false">IF(AND(K200&gt;0,OR(O200="Sí",O200="Si")),1,0)</f>
        <v>0</v>
      </c>
      <c r="S200" s="62" t="n">
        <f aca="false">IF(AND(K200&gt;0,R200=0),1,0)</f>
        <v>0</v>
      </c>
    </row>
    <row r="201" customFormat="false" ht="15" hidden="false" customHeight="false" outlineLevel="0" collapsed="false">
      <c r="B201" s="71" t="str">
        <f aca="false">IF($F$6="Sí",N($C$11)+174,"")</f>
        <v/>
      </c>
      <c r="C201" s="72" t="str">
        <f aca="false">IF(OR($F$6&lt;&gt;"Sí",D201&lt;=0.5),"",EDATE($C$10,174))</f>
        <v/>
      </c>
      <c r="D201" s="41" t="n">
        <f aca="false">MAX(0,M200)</f>
        <v>0</v>
      </c>
      <c r="E201" s="41" t="n">
        <f aca="false">D201*$F$7</f>
        <v>0</v>
      </c>
      <c r="F201" s="41" t="n">
        <f aca="false">IF(D201&gt;0.5,N($C$15),0)</f>
        <v>0</v>
      </c>
      <c r="G201" s="41" t="n">
        <f aca="false">IF(AND(D201&gt;0.5,N($C$19)&gt;0,N(B201)&lt;=N($C$20)),D201*$F$8,0)</f>
        <v>0</v>
      </c>
      <c r="H201" s="41" t="n">
        <f aca="false">IF(D201&lt;=0.5,0,MIN(IF(N(I201)&gt;0,I201,$F$9),D201+E201+F201))</f>
        <v>0</v>
      </c>
      <c r="I201" s="77"/>
      <c r="J201" s="77"/>
      <c r="K201" s="41" t="n">
        <f aca="false">IF(D201&lt;=0.5,0,MIN(H201+N(J201),D201+E201+F201))</f>
        <v>0</v>
      </c>
      <c r="L201" s="41" t="n">
        <f aca="false">K201-E201-F201</f>
        <v>0</v>
      </c>
      <c r="M201" s="41" t="n">
        <f aca="false">D201-L201</f>
        <v>0</v>
      </c>
      <c r="N201" s="42" t="n">
        <f aca="false">K201-G201</f>
        <v>0</v>
      </c>
      <c r="O201" s="78"/>
      <c r="P201" s="79"/>
      <c r="Q201" s="16" t="str">
        <f aca="false">IF(K201=0,"",IF(R201=1,"Pagada",IF(C201&lt;$F$12,"Vencida",IF(175=$F$13,"Próxima","Pendiente"))))</f>
        <v/>
      </c>
      <c r="R201" s="62" t="n">
        <f aca="false">IF(AND(K201&gt;0,OR(O201="Sí",O201="Si")),1,0)</f>
        <v>0</v>
      </c>
      <c r="S201" s="62" t="n">
        <f aca="false">IF(AND(K201&gt;0,R201=0),1,0)</f>
        <v>0</v>
      </c>
    </row>
    <row r="202" customFormat="false" ht="15" hidden="false" customHeight="false" outlineLevel="0" collapsed="false">
      <c r="B202" s="71" t="str">
        <f aca="false">IF($F$6="Sí",N($C$11)+175,"")</f>
        <v/>
      </c>
      <c r="C202" s="72" t="str">
        <f aca="false">IF(OR($F$6&lt;&gt;"Sí",D202&lt;=0.5),"",EDATE($C$10,175))</f>
        <v/>
      </c>
      <c r="D202" s="41" t="n">
        <f aca="false">MAX(0,M201)</f>
        <v>0</v>
      </c>
      <c r="E202" s="41" t="n">
        <f aca="false">D202*$F$7</f>
        <v>0</v>
      </c>
      <c r="F202" s="41" t="n">
        <f aca="false">IF(D202&gt;0.5,N($C$15),0)</f>
        <v>0</v>
      </c>
      <c r="G202" s="41" t="n">
        <f aca="false">IF(AND(D202&gt;0.5,N($C$19)&gt;0,N(B202)&lt;=N($C$20)),D202*$F$8,0)</f>
        <v>0</v>
      </c>
      <c r="H202" s="41" t="n">
        <f aca="false">IF(D202&lt;=0.5,0,MIN(IF(N(I202)&gt;0,I202,$F$9),D202+E202+F202))</f>
        <v>0</v>
      </c>
      <c r="I202" s="77"/>
      <c r="J202" s="77"/>
      <c r="K202" s="41" t="n">
        <f aca="false">IF(D202&lt;=0.5,0,MIN(H202+N(J202),D202+E202+F202))</f>
        <v>0</v>
      </c>
      <c r="L202" s="41" t="n">
        <f aca="false">K202-E202-F202</f>
        <v>0</v>
      </c>
      <c r="M202" s="41" t="n">
        <f aca="false">D202-L202</f>
        <v>0</v>
      </c>
      <c r="N202" s="42" t="n">
        <f aca="false">K202-G202</f>
        <v>0</v>
      </c>
      <c r="O202" s="78"/>
      <c r="P202" s="79"/>
      <c r="Q202" s="16" t="str">
        <f aca="false">IF(K202=0,"",IF(R202=1,"Pagada",IF(C202&lt;$F$12,"Vencida",IF(176=$F$13,"Próxima","Pendiente"))))</f>
        <v/>
      </c>
      <c r="R202" s="62" t="n">
        <f aca="false">IF(AND(K202&gt;0,OR(O202="Sí",O202="Si")),1,0)</f>
        <v>0</v>
      </c>
      <c r="S202" s="62" t="n">
        <f aca="false">IF(AND(K202&gt;0,R202=0),1,0)</f>
        <v>0</v>
      </c>
    </row>
    <row r="203" customFormat="false" ht="15" hidden="false" customHeight="false" outlineLevel="0" collapsed="false">
      <c r="B203" s="71" t="str">
        <f aca="false">IF($F$6="Sí",N($C$11)+176,"")</f>
        <v/>
      </c>
      <c r="C203" s="72" t="str">
        <f aca="false">IF(OR($F$6&lt;&gt;"Sí",D203&lt;=0.5),"",EDATE($C$10,176))</f>
        <v/>
      </c>
      <c r="D203" s="41" t="n">
        <f aca="false">MAX(0,M202)</f>
        <v>0</v>
      </c>
      <c r="E203" s="41" t="n">
        <f aca="false">D203*$F$7</f>
        <v>0</v>
      </c>
      <c r="F203" s="41" t="n">
        <f aca="false">IF(D203&gt;0.5,N($C$15),0)</f>
        <v>0</v>
      </c>
      <c r="G203" s="41" t="n">
        <f aca="false">IF(AND(D203&gt;0.5,N($C$19)&gt;0,N(B203)&lt;=N($C$20)),D203*$F$8,0)</f>
        <v>0</v>
      </c>
      <c r="H203" s="41" t="n">
        <f aca="false">IF(D203&lt;=0.5,0,MIN(IF(N(I203)&gt;0,I203,$F$9),D203+E203+F203))</f>
        <v>0</v>
      </c>
      <c r="I203" s="77"/>
      <c r="J203" s="77"/>
      <c r="K203" s="41" t="n">
        <f aca="false">IF(D203&lt;=0.5,0,MIN(H203+N(J203),D203+E203+F203))</f>
        <v>0</v>
      </c>
      <c r="L203" s="41" t="n">
        <f aca="false">K203-E203-F203</f>
        <v>0</v>
      </c>
      <c r="M203" s="41" t="n">
        <f aca="false">D203-L203</f>
        <v>0</v>
      </c>
      <c r="N203" s="42" t="n">
        <f aca="false">K203-G203</f>
        <v>0</v>
      </c>
      <c r="O203" s="78"/>
      <c r="P203" s="79"/>
      <c r="Q203" s="16" t="str">
        <f aca="false">IF(K203=0,"",IF(R203=1,"Pagada",IF(C203&lt;$F$12,"Vencida",IF(177=$F$13,"Próxima","Pendiente"))))</f>
        <v/>
      </c>
      <c r="R203" s="62" t="n">
        <f aca="false">IF(AND(K203&gt;0,OR(O203="Sí",O203="Si")),1,0)</f>
        <v>0</v>
      </c>
      <c r="S203" s="62" t="n">
        <f aca="false">IF(AND(K203&gt;0,R203=0),1,0)</f>
        <v>0</v>
      </c>
    </row>
    <row r="204" customFormat="false" ht="15" hidden="false" customHeight="false" outlineLevel="0" collapsed="false">
      <c r="B204" s="71" t="str">
        <f aca="false">IF($F$6="Sí",N($C$11)+177,"")</f>
        <v/>
      </c>
      <c r="C204" s="72" t="str">
        <f aca="false">IF(OR($F$6&lt;&gt;"Sí",D204&lt;=0.5),"",EDATE($C$10,177))</f>
        <v/>
      </c>
      <c r="D204" s="41" t="n">
        <f aca="false">MAX(0,M203)</f>
        <v>0</v>
      </c>
      <c r="E204" s="41" t="n">
        <f aca="false">D204*$F$7</f>
        <v>0</v>
      </c>
      <c r="F204" s="41" t="n">
        <f aca="false">IF(D204&gt;0.5,N($C$15),0)</f>
        <v>0</v>
      </c>
      <c r="G204" s="41" t="n">
        <f aca="false">IF(AND(D204&gt;0.5,N($C$19)&gt;0,N(B204)&lt;=N($C$20)),D204*$F$8,0)</f>
        <v>0</v>
      </c>
      <c r="H204" s="41" t="n">
        <f aca="false">IF(D204&lt;=0.5,0,MIN(IF(N(I204)&gt;0,I204,$F$9),D204+E204+F204))</f>
        <v>0</v>
      </c>
      <c r="I204" s="77"/>
      <c r="J204" s="77"/>
      <c r="K204" s="41" t="n">
        <f aca="false">IF(D204&lt;=0.5,0,MIN(H204+N(J204),D204+E204+F204))</f>
        <v>0</v>
      </c>
      <c r="L204" s="41" t="n">
        <f aca="false">K204-E204-F204</f>
        <v>0</v>
      </c>
      <c r="M204" s="41" t="n">
        <f aca="false">D204-L204</f>
        <v>0</v>
      </c>
      <c r="N204" s="42" t="n">
        <f aca="false">K204-G204</f>
        <v>0</v>
      </c>
      <c r="O204" s="78"/>
      <c r="P204" s="79"/>
      <c r="Q204" s="16" t="str">
        <f aca="false">IF(K204=0,"",IF(R204=1,"Pagada",IF(C204&lt;$F$12,"Vencida",IF(178=$F$13,"Próxima","Pendiente"))))</f>
        <v/>
      </c>
      <c r="R204" s="62" t="n">
        <f aca="false">IF(AND(K204&gt;0,OR(O204="Sí",O204="Si")),1,0)</f>
        <v>0</v>
      </c>
      <c r="S204" s="62" t="n">
        <f aca="false">IF(AND(K204&gt;0,R204=0),1,0)</f>
        <v>0</v>
      </c>
    </row>
    <row r="205" customFormat="false" ht="15" hidden="false" customHeight="false" outlineLevel="0" collapsed="false">
      <c r="B205" s="71" t="str">
        <f aca="false">IF($F$6="Sí",N($C$11)+178,"")</f>
        <v/>
      </c>
      <c r="C205" s="72" t="str">
        <f aca="false">IF(OR($F$6&lt;&gt;"Sí",D205&lt;=0.5),"",EDATE($C$10,178))</f>
        <v/>
      </c>
      <c r="D205" s="41" t="n">
        <f aca="false">MAX(0,M204)</f>
        <v>0</v>
      </c>
      <c r="E205" s="41" t="n">
        <f aca="false">D205*$F$7</f>
        <v>0</v>
      </c>
      <c r="F205" s="41" t="n">
        <f aca="false">IF(D205&gt;0.5,N($C$15),0)</f>
        <v>0</v>
      </c>
      <c r="G205" s="41" t="n">
        <f aca="false">IF(AND(D205&gt;0.5,N($C$19)&gt;0,N(B205)&lt;=N($C$20)),D205*$F$8,0)</f>
        <v>0</v>
      </c>
      <c r="H205" s="41" t="n">
        <f aca="false">IF(D205&lt;=0.5,0,MIN(IF(N(I205)&gt;0,I205,$F$9),D205+E205+F205))</f>
        <v>0</v>
      </c>
      <c r="I205" s="77"/>
      <c r="J205" s="77"/>
      <c r="K205" s="41" t="n">
        <f aca="false">IF(D205&lt;=0.5,0,MIN(H205+N(J205),D205+E205+F205))</f>
        <v>0</v>
      </c>
      <c r="L205" s="41" t="n">
        <f aca="false">K205-E205-F205</f>
        <v>0</v>
      </c>
      <c r="M205" s="41" t="n">
        <f aca="false">D205-L205</f>
        <v>0</v>
      </c>
      <c r="N205" s="42" t="n">
        <f aca="false">K205-G205</f>
        <v>0</v>
      </c>
      <c r="O205" s="78"/>
      <c r="P205" s="79"/>
      <c r="Q205" s="16" t="str">
        <f aca="false">IF(K205=0,"",IF(R205=1,"Pagada",IF(C205&lt;$F$12,"Vencida",IF(179=$F$13,"Próxima","Pendiente"))))</f>
        <v/>
      </c>
      <c r="R205" s="62" t="n">
        <f aca="false">IF(AND(K205&gt;0,OR(O205="Sí",O205="Si")),1,0)</f>
        <v>0</v>
      </c>
      <c r="S205" s="62" t="n">
        <f aca="false">IF(AND(K205&gt;0,R205=0),1,0)</f>
        <v>0</v>
      </c>
    </row>
    <row r="206" customFormat="false" ht="15" hidden="false" customHeight="false" outlineLevel="0" collapsed="false">
      <c r="B206" s="71" t="str">
        <f aca="false">IF($F$6="Sí",N($C$11)+179,"")</f>
        <v/>
      </c>
      <c r="C206" s="72" t="str">
        <f aca="false">IF(OR($F$6&lt;&gt;"Sí",D206&lt;=0.5),"",EDATE($C$10,179))</f>
        <v/>
      </c>
      <c r="D206" s="41" t="n">
        <f aca="false">MAX(0,M205)</f>
        <v>0</v>
      </c>
      <c r="E206" s="41" t="n">
        <f aca="false">D206*$F$7</f>
        <v>0</v>
      </c>
      <c r="F206" s="41" t="n">
        <f aca="false">IF(D206&gt;0.5,N($C$15),0)</f>
        <v>0</v>
      </c>
      <c r="G206" s="41" t="n">
        <f aca="false">IF(AND(D206&gt;0.5,N($C$19)&gt;0,N(B206)&lt;=N($C$20)),D206*$F$8,0)</f>
        <v>0</v>
      </c>
      <c r="H206" s="41" t="n">
        <f aca="false">IF(D206&lt;=0.5,0,MIN(IF(N(I206)&gt;0,I206,$F$9),D206+E206+F206))</f>
        <v>0</v>
      </c>
      <c r="I206" s="77"/>
      <c r="J206" s="77"/>
      <c r="K206" s="41" t="n">
        <f aca="false">IF(D206&lt;=0.5,0,MIN(H206+N(J206),D206+E206+F206))</f>
        <v>0</v>
      </c>
      <c r="L206" s="41" t="n">
        <f aca="false">K206-E206-F206</f>
        <v>0</v>
      </c>
      <c r="M206" s="41" t="n">
        <f aca="false">D206-L206</f>
        <v>0</v>
      </c>
      <c r="N206" s="42" t="n">
        <f aca="false">K206-G206</f>
        <v>0</v>
      </c>
      <c r="O206" s="78"/>
      <c r="P206" s="79"/>
      <c r="Q206" s="16" t="str">
        <f aca="false">IF(K206=0,"",IF(R206=1,"Pagada",IF(C206&lt;$F$12,"Vencida",IF(180=$F$13,"Próxima","Pendiente"))))</f>
        <v/>
      </c>
      <c r="R206" s="62" t="n">
        <f aca="false">IF(AND(K206&gt;0,OR(O206="Sí",O206="Si")),1,0)</f>
        <v>0</v>
      </c>
      <c r="S206" s="62" t="n">
        <f aca="false">IF(AND(K206&gt;0,R206=0),1,0)</f>
        <v>0</v>
      </c>
    </row>
    <row r="207" customFormat="false" ht="15" hidden="false" customHeight="false" outlineLevel="0" collapsed="false">
      <c r="B207" s="71" t="str">
        <f aca="false">IF($F$6="Sí",N($C$11)+180,"")</f>
        <v/>
      </c>
      <c r="C207" s="72" t="str">
        <f aca="false">IF(OR($F$6&lt;&gt;"Sí",D207&lt;=0.5),"",EDATE($C$10,180))</f>
        <v/>
      </c>
      <c r="D207" s="41" t="n">
        <f aca="false">MAX(0,M206)</f>
        <v>0</v>
      </c>
      <c r="E207" s="41" t="n">
        <f aca="false">D207*$F$7</f>
        <v>0</v>
      </c>
      <c r="F207" s="41" t="n">
        <f aca="false">IF(D207&gt;0.5,N($C$15),0)</f>
        <v>0</v>
      </c>
      <c r="G207" s="41" t="n">
        <f aca="false">IF(AND(D207&gt;0.5,N($C$19)&gt;0,N(B207)&lt;=N($C$20)),D207*$F$8,0)</f>
        <v>0</v>
      </c>
      <c r="H207" s="41" t="n">
        <f aca="false">IF(D207&lt;=0.5,0,MIN(IF(N(I207)&gt;0,I207,$F$9),D207+E207+F207))</f>
        <v>0</v>
      </c>
      <c r="I207" s="77"/>
      <c r="J207" s="77"/>
      <c r="K207" s="41" t="n">
        <f aca="false">IF(D207&lt;=0.5,0,MIN(H207+N(J207),D207+E207+F207))</f>
        <v>0</v>
      </c>
      <c r="L207" s="41" t="n">
        <f aca="false">K207-E207-F207</f>
        <v>0</v>
      </c>
      <c r="M207" s="41" t="n">
        <f aca="false">D207-L207</f>
        <v>0</v>
      </c>
      <c r="N207" s="42" t="n">
        <f aca="false">K207-G207</f>
        <v>0</v>
      </c>
      <c r="O207" s="78"/>
      <c r="P207" s="79"/>
      <c r="Q207" s="16" t="str">
        <f aca="false">IF(K207=0,"",IF(R207=1,"Pagada",IF(C207&lt;$F$12,"Vencida",IF(181=$F$13,"Próxima","Pendiente"))))</f>
        <v/>
      </c>
      <c r="R207" s="62" t="n">
        <f aca="false">IF(AND(K207&gt;0,OR(O207="Sí",O207="Si")),1,0)</f>
        <v>0</v>
      </c>
      <c r="S207" s="62" t="n">
        <f aca="false">IF(AND(K207&gt;0,R207=0),1,0)</f>
        <v>0</v>
      </c>
    </row>
    <row r="208" customFormat="false" ht="15" hidden="false" customHeight="false" outlineLevel="0" collapsed="false">
      <c r="B208" s="71" t="str">
        <f aca="false">IF($F$6="Sí",N($C$11)+181,"")</f>
        <v/>
      </c>
      <c r="C208" s="72" t="str">
        <f aca="false">IF(OR($F$6&lt;&gt;"Sí",D208&lt;=0.5),"",EDATE($C$10,181))</f>
        <v/>
      </c>
      <c r="D208" s="41" t="n">
        <f aca="false">MAX(0,M207)</f>
        <v>0</v>
      </c>
      <c r="E208" s="41" t="n">
        <f aca="false">D208*$F$7</f>
        <v>0</v>
      </c>
      <c r="F208" s="41" t="n">
        <f aca="false">IF(D208&gt;0.5,N($C$15),0)</f>
        <v>0</v>
      </c>
      <c r="G208" s="41" t="n">
        <f aca="false">IF(AND(D208&gt;0.5,N($C$19)&gt;0,N(B208)&lt;=N($C$20)),D208*$F$8,0)</f>
        <v>0</v>
      </c>
      <c r="H208" s="41" t="n">
        <f aca="false">IF(D208&lt;=0.5,0,MIN(IF(N(I208)&gt;0,I208,$F$9),D208+E208+F208))</f>
        <v>0</v>
      </c>
      <c r="I208" s="77"/>
      <c r="J208" s="77"/>
      <c r="K208" s="41" t="n">
        <f aca="false">IF(D208&lt;=0.5,0,MIN(H208+N(J208),D208+E208+F208))</f>
        <v>0</v>
      </c>
      <c r="L208" s="41" t="n">
        <f aca="false">K208-E208-F208</f>
        <v>0</v>
      </c>
      <c r="M208" s="41" t="n">
        <f aca="false">D208-L208</f>
        <v>0</v>
      </c>
      <c r="N208" s="42" t="n">
        <f aca="false">K208-G208</f>
        <v>0</v>
      </c>
      <c r="O208" s="78"/>
      <c r="P208" s="79"/>
      <c r="Q208" s="16" t="str">
        <f aca="false">IF(K208=0,"",IF(R208=1,"Pagada",IF(C208&lt;$F$12,"Vencida",IF(182=$F$13,"Próxima","Pendiente"))))</f>
        <v/>
      </c>
      <c r="R208" s="62" t="n">
        <f aca="false">IF(AND(K208&gt;0,OR(O208="Sí",O208="Si")),1,0)</f>
        <v>0</v>
      </c>
      <c r="S208" s="62" t="n">
        <f aca="false">IF(AND(K208&gt;0,R208=0),1,0)</f>
        <v>0</v>
      </c>
    </row>
    <row r="209" customFormat="false" ht="15" hidden="false" customHeight="false" outlineLevel="0" collapsed="false">
      <c r="B209" s="71" t="str">
        <f aca="false">IF($F$6="Sí",N($C$11)+182,"")</f>
        <v/>
      </c>
      <c r="C209" s="72" t="str">
        <f aca="false">IF(OR($F$6&lt;&gt;"Sí",D209&lt;=0.5),"",EDATE($C$10,182))</f>
        <v/>
      </c>
      <c r="D209" s="41" t="n">
        <f aca="false">MAX(0,M208)</f>
        <v>0</v>
      </c>
      <c r="E209" s="41" t="n">
        <f aca="false">D209*$F$7</f>
        <v>0</v>
      </c>
      <c r="F209" s="41" t="n">
        <f aca="false">IF(D209&gt;0.5,N($C$15),0)</f>
        <v>0</v>
      </c>
      <c r="G209" s="41" t="n">
        <f aca="false">IF(AND(D209&gt;0.5,N($C$19)&gt;0,N(B209)&lt;=N($C$20)),D209*$F$8,0)</f>
        <v>0</v>
      </c>
      <c r="H209" s="41" t="n">
        <f aca="false">IF(D209&lt;=0.5,0,MIN(IF(N(I209)&gt;0,I209,$F$9),D209+E209+F209))</f>
        <v>0</v>
      </c>
      <c r="I209" s="77"/>
      <c r="J209" s="77"/>
      <c r="K209" s="41" t="n">
        <f aca="false">IF(D209&lt;=0.5,0,MIN(H209+N(J209),D209+E209+F209))</f>
        <v>0</v>
      </c>
      <c r="L209" s="41" t="n">
        <f aca="false">K209-E209-F209</f>
        <v>0</v>
      </c>
      <c r="M209" s="41" t="n">
        <f aca="false">D209-L209</f>
        <v>0</v>
      </c>
      <c r="N209" s="42" t="n">
        <f aca="false">K209-G209</f>
        <v>0</v>
      </c>
      <c r="O209" s="78"/>
      <c r="P209" s="79"/>
      <c r="Q209" s="16" t="str">
        <f aca="false">IF(K209=0,"",IF(R209=1,"Pagada",IF(C209&lt;$F$12,"Vencida",IF(183=$F$13,"Próxima","Pendiente"))))</f>
        <v/>
      </c>
      <c r="R209" s="62" t="n">
        <f aca="false">IF(AND(K209&gt;0,OR(O209="Sí",O209="Si")),1,0)</f>
        <v>0</v>
      </c>
      <c r="S209" s="62" t="n">
        <f aca="false">IF(AND(K209&gt;0,R209=0),1,0)</f>
        <v>0</v>
      </c>
    </row>
    <row r="210" customFormat="false" ht="15" hidden="false" customHeight="false" outlineLevel="0" collapsed="false">
      <c r="B210" s="71" t="str">
        <f aca="false">IF($F$6="Sí",N($C$11)+183,"")</f>
        <v/>
      </c>
      <c r="C210" s="72" t="str">
        <f aca="false">IF(OR($F$6&lt;&gt;"Sí",D210&lt;=0.5),"",EDATE($C$10,183))</f>
        <v/>
      </c>
      <c r="D210" s="41" t="n">
        <f aca="false">MAX(0,M209)</f>
        <v>0</v>
      </c>
      <c r="E210" s="41" t="n">
        <f aca="false">D210*$F$7</f>
        <v>0</v>
      </c>
      <c r="F210" s="41" t="n">
        <f aca="false">IF(D210&gt;0.5,N($C$15),0)</f>
        <v>0</v>
      </c>
      <c r="G210" s="41" t="n">
        <f aca="false">IF(AND(D210&gt;0.5,N($C$19)&gt;0,N(B210)&lt;=N($C$20)),D210*$F$8,0)</f>
        <v>0</v>
      </c>
      <c r="H210" s="41" t="n">
        <f aca="false">IF(D210&lt;=0.5,0,MIN(IF(N(I210)&gt;0,I210,$F$9),D210+E210+F210))</f>
        <v>0</v>
      </c>
      <c r="I210" s="77"/>
      <c r="J210" s="77"/>
      <c r="K210" s="41" t="n">
        <f aca="false">IF(D210&lt;=0.5,0,MIN(H210+N(J210),D210+E210+F210))</f>
        <v>0</v>
      </c>
      <c r="L210" s="41" t="n">
        <f aca="false">K210-E210-F210</f>
        <v>0</v>
      </c>
      <c r="M210" s="41" t="n">
        <f aca="false">D210-L210</f>
        <v>0</v>
      </c>
      <c r="N210" s="42" t="n">
        <f aca="false">K210-G210</f>
        <v>0</v>
      </c>
      <c r="O210" s="78"/>
      <c r="P210" s="79"/>
      <c r="Q210" s="16" t="str">
        <f aca="false">IF(K210=0,"",IF(R210=1,"Pagada",IF(C210&lt;$F$12,"Vencida",IF(184=$F$13,"Próxima","Pendiente"))))</f>
        <v/>
      </c>
      <c r="R210" s="62" t="n">
        <f aca="false">IF(AND(K210&gt;0,OR(O210="Sí",O210="Si")),1,0)</f>
        <v>0</v>
      </c>
      <c r="S210" s="62" t="n">
        <f aca="false">IF(AND(K210&gt;0,R210=0),1,0)</f>
        <v>0</v>
      </c>
    </row>
    <row r="211" customFormat="false" ht="15" hidden="false" customHeight="false" outlineLevel="0" collapsed="false">
      <c r="B211" s="71" t="str">
        <f aca="false">IF($F$6="Sí",N($C$11)+184,"")</f>
        <v/>
      </c>
      <c r="C211" s="72" t="str">
        <f aca="false">IF(OR($F$6&lt;&gt;"Sí",D211&lt;=0.5),"",EDATE($C$10,184))</f>
        <v/>
      </c>
      <c r="D211" s="41" t="n">
        <f aca="false">MAX(0,M210)</f>
        <v>0</v>
      </c>
      <c r="E211" s="41" t="n">
        <f aca="false">D211*$F$7</f>
        <v>0</v>
      </c>
      <c r="F211" s="41" t="n">
        <f aca="false">IF(D211&gt;0.5,N($C$15),0)</f>
        <v>0</v>
      </c>
      <c r="G211" s="41" t="n">
        <f aca="false">IF(AND(D211&gt;0.5,N($C$19)&gt;0,N(B211)&lt;=N($C$20)),D211*$F$8,0)</f>
        <v>0</v>
      </c>
      <c r="H211" s="41" t="n">
        <f aca="false">IF(D211&lt;=0.5,0,MIN(IF(N(I211)&gt;0,I211,$F$9),D211+E211+F211))</f>
        <v>0</v>
      </c>
      <c r="I211" s="77"/>
      <c r="J211" s="77"/>
      <c r="K211" s="41" t="n">
        <f aca="false">IF(D211&lt;=0.5,0,MIN(H211+N(J211),D211+E211+F211))</f>
        <v>0</v>
      </c>
      <c r="L211" s="41" t="n">
        <f aca="false">K211-E211-F211</f>
        <v>0</v>
      </c>
      <c r="M211" s="41" t="n">
        <f aca="false">D211-L211</f>
        <v>0</v>
      </c>
      <c r="N211" s="42" t="n">
        <f aca="false">K211-G211</f>
        <v>0</v>
      </c>
      <c r="O211" s="78"/>
      <c r="P211" s="79"/>
      <c r="Q211" s="16" t="str">
        <f aca="false">IF(K211=0,"",IF(R211=1,"Pagada",IF(C211&lt;$F$12,"Vencida",IF(185=$F$13,"Próxima","Pendiente"))))</f>
        <v/>
      </c>
      <c r="R211" s="62" t="n">
        <f aca="false">IF(AND(K211&gt;0,OR(O211="Sí",O211="Si")),1,0)</f>
        <v>0</v>
      </c>
      <c r="S211" s="62" t="n">
        <f aca="false">IF(AND(K211&gt;0,R211=0),1,0)</f>
        <v>0</v>
      </c>
    </row>
    <row r="212" customFormat="false" ht="15" hidden="false" customHeight="false" outlineLevel="0" collapsed="false">
      <c r="B212" s="71" t="str">
        <f aca="false">IF($F$6="Sí",N($C$11)+185,"")</f>
        <v/>
      </c>
      <c r="C212" s="72" t="str">
        <f aca="false">IF(OR($F$6&lt;&gt;"Sí",D212&lt;=0.5),"",EDATE($C$10,185))</f>
        <v/>
      </c>
      <c r="D212" s="41" t="n">
        <f aca="false">MAX(0,M211)</f>
        <v>0</v>
      </c>
      <c r="E212" s="41" t="n">
        <f aca="false">D212*$F$7</f>
        <v>0</v>
      </c>
      <c r="F212" s="41" t="n">
        <f aca="false">IF(D212&gt;0.5,N($C$15),0)</f>
        <v>0</v>
      </c>
      <c r="G212" s="41" t="n">
        <f aca="false">IF(AND(D212&gt;0.5,N($C$19)&gt;0,N(B212)&lt;=N($C$20)),D212*$F$8,0)</f>
        <v>0</v>
      </c>
      <c r="H212" s="41" t="n">
        <f aca="false">IF(D212&lt;=0.5,0,MIN(IF(N(I212)&gt;0,I212,$F$9),D212+E212+F212))</f>
        <v>0</v>
      </c>
      <c r="I212" s="77"/>
      <c r="J212" s="77"/>
      <c r="K212" s="41" t="n">
        <f aca="false">IF(D212&lt;=0.5,0,MIN(H212+N(J212),D212+E212+F212))</f>
        <v>0</v>
      </c>
      <c r="L212" s="41" t="n">
        <f aca="false">K212-E212-F212</f>
        <v>0</v>
      </c>
      <c r="M212" s="41" t="n">
        <f aca="false">D212-L212</f>
        <v>0</v>
      </c>
      <c r="N212" s="42" t="n">
        <f aca="false">K212-G212</f>
        <v>0</v>
      </c>
      <c r="O212" s="78"/>
      <c r="P212" s="79"/>
      <c r="Q212" s="16" t="str">
        <f aca="false">IF(K212=0,"",IF(R212=1,"Pagada",IF(C212&lt;$F$12,"Vencida",IF(186=$F$13,"Próxima","Pendiente"))))</f>
        <v/>
      </c>
      <c r="R212" s="62" t="n">
        <f aca="false">IF(AND(K212&gt;0,OR(O212="Sí",O212="Si")),1,0)</f>
        <v>0</v>
      </c>
      <c r="S212" s="62" t="n">
        <f aca="false">IF(AND(K212&gt;0,R212=0),1,0)</f>
        <v>0</v>
      </c>
    </row>
    <row r="213" customFormat="false" ht="15" hidden="false" customHeight="false" outlineLevel="0" collapsed="false">
      <c r="B213" s="71" t="str">
        <f aca="false">IF($F$6="Sí",N($C$11)+186,"")</f>
        <v/>
      </c>
      <c r="C213" s="72" t="str">
        <f aca="false">IF(OR($F$6&lt;&gt;"Sí",D213&lt;=0.5),"",EDATE($C$10,186))</f>
        <v/>
      </c>
      <c r="D213" s="41" t="n">
        <f aca="false">MAX(0,M212)</f>
        <v>0</v>
      </c>
      <c r="E213" s="41" t="n">
        <f aca="false">D213*$F$7</f>
        <v>0</v>
      </c>
      <c r="F213" s="41" t="n">
        <f aca="false">IF(D213&gt;0.5,N($C$15),0)</f>
        <v>0</v>
      </c>
      <c r="G213" s="41" t="n">
        <f aca="false">IF(AND(D213&gt;0.5,N($C$19)&gt;0,N(B213)&lt;=N($C$20)),D213*$F$8,0)</f>
        <v>0</v>
      </c>
      <c r="H213" s="41" t="n">
        <f aca="false">IF(D213&lt;=0.5,0,MIN(IF(N(I213)&gt;0,I213,$F$9),D213+E213+F213))</f>
        <v>0</v>
      </c>
      <c r="I213" s="77"/>
      <c r="J213" s="77"/>
      <c r="K213" s="41" t="n">
        <f aca="false">IF(D213&lt;=0.5,0,MIN(H213+N(J213),D213+E213+F213))</f>
        <v>0</v>
      </c>
      <c r="L213" s="41" t="n">
        <f aca="false">K213-E213-F213</f>
        <v>0</v>
      </c>
      <c r="M213" s="41" t="n">
        <f aca="false">D213-L213</f>
        <v>0</v>
      </c>
      <c r="N213" s="42" t="n">
        <f aca="false">K213-G213</f>
        <v>0</v>
      </c>
      <c r="O213" s="78"/>
      <c r="P213" s="79"/>
      <c r="Q213" s="16" t="str">
        <f aca="false">IF(K213=0,"",IF(R213=1,"Pagada",IF(C213&lt;$F$12,"Vencida",IF(187=$F$13,"Próxima","Pendiente"))))</f>
        <v/>
      </c>
      <c r="R213" s="62" t="n">
        <f aca="false">IF(AND(K213&gt;0,OR(O213="Sí",O213="Si")),1,0)</f>
        <v>0</v>
      </c>
      <c r="S213" s="62" t="n">
        <f aca="false">IF(AND(K213&gt;0,R213=0),1,0)</f>
        <v>0</v>
      </c>
    </row>
    <row r="214" customFormat="false" ht="15" hidden="false" customHeight="false" outlineLevel="0" collapsed="false">
      <c r="B214" s="71" t="str">
        <f aca="false">IF($F$6="Sí",N($C$11)+187,"")</f>
        <v/>
      </c>
      <c r="C214" s="72" t="str">
        <f aca="false">IF(OR($F$6&lt;&gt;"Sí",D214&lt;=0.5),"",EDATE($C$10,187))</f>
        <v/>
      </c>
      <c r="D214" s="41" t="n">
        <f aca="false">MAX(0,M213)</f>
        <v>0</v>
      </c>
      <c r="E214" s="41" t="n">
        <f aca="false">D214*$F$7</f>
        <v>0</v>
      </c>
      <c r="F214" s="41" t="n">
        <f aca="false">IF(D214&gt;0.5,N($C$15),0)</f>
        <v>0</v>
      </c>
      <c r="G214" s="41" t="n">
        <f aca="false">IF(AND(D214&gt;0.5,N($C$19)&gt;0,N(B214)&lt;=N($C$20)),D214*$F$8,0)</f>
        <v>0</v>
      </c>
      <c r="H214" s="41" t="n">
        <f aca="false">IF(D214&lt;=0.5,0,MIN(IF(N(I214)&gt;0,I214,$F$9),D214+E214+F214))</f>
        <v>0</v>
      </c>
      <c r="I214" s="77"/>
      <c r="J214" s="77"/>
      <c r="K214" s="41" t="n">
        <f aca="false">IF(D214&lt;=0.5,0,MIN(H214+N(J214),D214+E214+F214))</f>
        <v>0</v>
      </c>
      <c r="L214" s="41" t="n">
        <f aca="false">K214-E214-F214</f>
        <v>0</v>
      </c>
      <c r="M214" s="41" t="n">
        <f aca="false">D214-L214</f>
        <v>0</v>
      </c>
      <c r="N214" s="42" t="n">
        <f aca="false">K214-G214</f>
        <v>0</v>
      </c>
      <c r="O214" s="78"/>
      <c r="P214" s="79"/>
      <c r="Q214" s="16" t="str">
        <f aca="false">IF(K214=0,"",IF(R214=1,"Pagada",IF(C214&lt;$F$12,"Vencida",IF(188=$F$13,"Próxima","Pendiente"))))</f>
        <v/>
      </c>
      <c r="R214" s="62" t="n">
        <f aca="false">IF(AND(K214&gt;0,OR(O214="Sí",O214="Si")),1,0)</f>
        <v>0</v>
      </c>
      <c r="S214" s="62" t="n">
        <f aca="false">IF(AND(K214&gt;0,R214=0),1,0)</f>
        <v>0</v>
      </c>
    </row>
    <row r="215" customFormat="false" ht="15" hidden="false" customHeight="false" outlineLevel="0" collapsed="false">
      <c r="B215" s="71" t="str">
        <f aca="false">IF($F$6="Sí",N($C$11)+188,"")</f>
        <v/>
      </c>
      <c r="C215" s="72" t="str">
        <f aca="false">IF(OR($F$6&lt;&gt;"Sí",D215&lt;=0.5),"",EDATE($C$10,188))</f>
        <v/>
      </c>
      <c r="D215" s="41" t="n">
        <f aca="false">MAX(0,M214)</f>
        <v>0</v>
      </c>
      <c r="E215" s="41" t="n">
        <f aca="false">D215*$F$7</f>
        <v>0</v>
      </c>
      <c r="F215" s="41" t="n">
        <f aca="false">IF(D215&gt;0.5,N($C$15),0)</f>
        <v>0</v>
      </c>
      <c r="G215" s="41" t="n">
        <f aca="false">IF(AND(D215&gt;0.5,N($C$19)&gt;0,N(B215)&lt;=N($C$20)),D215*$F$8,0)</f>
        <v>0</v>
      </c>
      <c r="H215" s="41" t="n">
        <f aca="false">IF(D215&lt;=0.5,0,MIN(IF(N(I215)&gt;0,I215,$F$9),D215+E215+F215))</f>
        <v>0</v>
      </c>
      <c r="I215" s="77"/>
      <c r="J215" s="77"/>
      <c r="K215" s="41" t="n">
        <f aca="false">IF(D215&lt;=0.5,0,MIN(H215+N(J215),D215+E215+F215))</f>
        <v>0</v>
      </c>
      <c r="L215" s="41" t="n">
        <f aca="false">K215-E215-F215</f>
        <v>0</v>
      </c>
      <c r="M215" s="41" t="n">
        <f aca="false">D215-L215</f>
        <v>0</v>
      </c>
      <c r="N215" s="42" t="n">
        <f aca="false">K215-G215</f>
        <v>0</v>
      </c>
      <c r="O215" s="78"/>
      <c r="P215" s="79"/>
      <c r="Q215" s="16" t="str">
        <f aca="false">IF(K215=0,"",IF(R215=1,"Pagada",IF(C215&lt;$F$12,"Vencida",IF(189=$F$13,"Próxima","Pendiente"))))</f>
        <v/>
      </c>
      <c r="R215" s="62" t="n">
        <f aca="false">IF(AND(K215&gt;0,OR(O215="Sí",O215="Si")),1,0)</f>
        <v>0</v>
      </c>
      <c r="S215" s="62" t="n">
        <f aca="false">IF(AND(K215&gt;0,R215=0),1,0)</f>
        <v>0</v>
      </c>
    </row>
    <row r="216" customFormat="false" ht="15" hidden="false" customHeight="false" outlineLevel="0" collapsed="false">
      <c r="B216" s="71" t="str">
        <f aca="false">IF($F$6="Sí",N($C$11)+189,"")</f>
        <v/>
      </c>
      <c r="C216" s="72" t="str">
        <f aca="false">IF(OR($F$6&lt;&gt;"Sí",D216&lt;=0.5),"",EDATE($C$10,189))</f>
        <v/>
      </c>
      <c r="D216" s="41" t="n">
        <f aca="false">MAX(0,M215)</f>
        <v>0</v>
      </c>
      <c r="E216" s="41" t="n">
        <f aca="false">D216*$F$7</f>
        <v>0</v>
      </c>
      <c r="F216" s="41" t="n">
        <f aca="false">IF(D216&gt;0.5,N($C$15),0)</f>
        <v>0</v>
      </c>
      <c r="G216" s="41" t="n">
        <f aca="false">IF(AND(D216&gt;0.5,N($C$19)&gt;0,N(B216)&lt;=N($C$20)),D216*$F$8,0)</f>
        <v>0</v>
      </c>
      <c r="H216" s="41" t="n">
        <f aca="false">IF(D216&lt;=0.5,0,MIN(IF(N(I216)&gt;0,I216,$F$9),D216+E216+F216))</f>
        <v>0</v>
      </c>
      <c r="I216" s="77"/>
      <c r="J216" s="77"/>
      <c r="K216" s="41" t="n">
        <f aca="false">IF(D216&lt;=0.5,0,MIN(H216+N(J216),D216+E216+F216))</f>
        <v>0</v>
      </c>
      <c r="L216" s="41" t="n">
        <f aca="false">K216-E216-F216</f>
        <v>0</v>
      </c>
      <c r="M216" s="41" t="n">
        <f aca="false">D216-L216</f>
        <v>0</v>
      </c>
      <c r="N216" s="42" t="n">
        <f aca="false">K216-G216</f>
        <v>0</v>
      </c>
      <c r="O216" s="78"/>
      <c r="P216" s="79"/>
      <c r="Q216" s="16" t="str">
        <f aca="false">IF(K216=0,"",IF(R216=1,"Pagada",IF(C216&lt;$F$12,"Vencida",IF(190=$F$13,"Próxima","Pendiente"))))</f>
        <v/>
      </c>
      <c r="R216" s="62" t="n">
        <f aca="false">IF(AND(K216&gt;0,OR(O216="Sí",O216="Si")),1,0)</f>
        <v>0</v>
      </c>
      <c r="S216" s="62" t="n">
        <f aca="false">IF(AND(K216&gt;0,R216=0),1,0)</f>
        <v>0</v>
      </c>
    </row>
    <row r="217" customFormat="false" ht="15" hidden="false" customHeight="false" outlineLevel="0" collapsed="false">
      <c r="B217" s="71" t="str">
        <f aca="false">IF($F$6="Sí",N($C$11)+190,"")</f>
        <v/>
      </c>
      <c r="C217" s="72" t="str">
        <f aca="false">IF(OR($F$6&lt;&gt;"Sí",D217&lt;=0.5),"",EDATE($C$10,190))</f>
        <v/>
      </c>
      <c r="D217" s="41" t="n">
        <f aca="false">MAX(0,M216)</f>
        <v>0</v>
      </c>
      <c r="E217" s="41" t="n">
        <f aca="false">D217*$F$7</f>
        <v>0</v>
      </c>
      <c r="F217" s="41" t="n">
        <f aca="false">IF(D217&gt;0.5,N($C$15),0)</f>
        <v>0</v>
      </c>
      <c r="G217" s="41" t="n">
        <f aca="false">IF(AND(D217&gt;0.5,N($C$19)&gt;0,N(B217)&lt;=N($C$20)),D217*$F$8,0)</f>
        <v>0</v>
      </c>
      <c r="H217" s="41" t="n">
        <f aca="false">IF(D217&lt;=0.5,0,MIN(IF(N(I217)&gt;0,I217,$F$9),D217+E217+F217))</f>
        <v>0</v>
      </c>
      <c r="I217" s="77"/>
      <c r="J217" s="77"/>
      <c r="K217" s="41" t="n">
        <f aca="false">IF(D217&lt;=0.5,0,MIN(H217+N(J217),D217+E217+F217))</f>
        <v>0</v>
      </c>
      <c r="L217" s="41" t="n">
        <f aca="false">K217-E217-F217</f>
        <v>0</v>
      </c>
      <c r="M217" s="41" t="n">
        <f aca="false">D217-L217</f>
        <v>0</v>
      </c>
      <c r="N217" s="42" t="n">
        <f aca="false">K217-G217</f>
        <v>0</v>
      </c>
      <c r="O217" s="78"/>
      <c r="P217" s="79"/>
      <c r="Q217" s="16" t="str">
        <f aca="false">IF(K217=0,"",IF(R217=1,"Pagada",IF(C217&lt;$F$12,"Vencida",IF(191=$F$13,"Próxima","Pendiente"))))</f>
        <v/>
      </c>
      <c r="R217" s="62" t="n">
        <f aca="false">IF(AND(K217&gt;0,OR(O217="Sí",O217="Si")),1,0)</f>
        <v>0</v>
      </c>
      <c r="S217" s="62" t="n">
        <f aca="false">IF(AND(K217&gt;0,R217=0),1,0)</f>
        <v>0</v>
      </c>
    </row>
    <row r="218" customFormat="false" ht="15" hidden="false" customHeight="false" outlineLevel="0" collapsed="false">
      <c r="B218" s="71" t="str">
        <f aca="false">IF($F$6="Sí",N($C$11)+191,"")</f>
        <v/>
      </c>
      <c r="C218" s="72" t="str">
        <f aca="false">IF(OR($F$6&lt;&gt;"Sí",D218&lt;=0.5),"",EDATE($C$10,191))</f>
        <v/>
      </c>
      <c r="D218" s="41" t="n">
        <f aca="false">MAX(0,M217)</f>
        <v>0</v>
      </c>
      <c r="E218" s="41" t="n">
        <f aca="false">D218*$F$7</f>
        <v>0</v>
      </c>
      <c r="F218" s="41" t="n">
        <f aca="false">IF(D218&gt;0.5,N($C$15),0)</f>
        <v>0</v>
      </c>
      <c r="G218" s="41" t="n">
        <f aca="false">IF(AND(D218&gt;0.5,N($C$19)&gt;0,N(B218)&lt;=N($C$20)),D218*$F$8,0)</f>
        <v>0</v>
      </c>
      <c r="H218" s="41" t="n">
        <f aca="false">IF(D218&lt;=0.5,0,MIN(IF(N(I218)&gt;0,I218,$F$9),D218+E218+F218))</f>
        <v>0</v>
      </c>
      <c r="I218" s="77"/>
      <c r="J218" s="77"/>
      <c r="K218" s="41" t="n">
        <f aca="false">IF(D218&lt;=0.5,0,MIN(H218+N(J218),D218+E218+F218))</f>
        <v>0</v>
      </c>
      <c r="L218" s="41" t="n">
        <f aca="false">K218-E218-F218</f>
        <v>0</v>
      </c>
      <c r="M218" s="41" t="n">
        <f aca="false">D218-L218</f>
        <v>0</v>
      </c>
      <c r="N218" s="42" t="n">
        <f aca="false">K218-G218</f>
        <v>0</v>
      </c>
      <c r="O218" s="78"/>
      <c r="P218" s="79"/>
      <c r="Q218" s="16" t="str">
        <f aca="false">IF(K218=0,"",IF(R218=1,"Pagada",IF(C218&lt;$F$12,"Vencida",IF(192=$F$13,"Próxima","Pendiente"))))</f>
        <v/>
      </c>
      <c r="R218" s="62" t="n">
        <f aca="false">IF(AND(K218&gt;0,OR(O218="Sí",O218="Si")),1,0)</f>
        <v>0</v>
      </c>
      <c r="S218" s="62" t="n">
        <f aca="false">IF(AND(K218&gt;0,R218=0),1,0)</f>
        <v>0</v>
      </c>
    </row>
    <row r="219" customFormat="false" ht="15" hidden="false" customHeight="false" outlineLevel="0" collapsed="false">
      <c r="B219" s="71" t="str">
        <f aca="false">IF($F$6="Sí",N($C$11)+192,"")</f>
        <v/>
      </c>
      <c r="C219" s="72" t="str">
        <f aca="false">IF(OR($F$6&lt;&gt;"Sí",D219&lt;=0.5),"",EDATE($C$10,192))</f>
        <v/>
      </c>
      <c r="D219" s="41" t="n">
        <f aca="false">MAX(0,M218)</f>
        <v>0</v>
      </c>
      <c r="E219" s="41" t="n">
        <f aca="false">D219*$F$7</f>
        <v>0</v>
      </c>
      <c r="F219" s="41" t="n">
        <f aca="false">IF(D219&gt;0.5,N($C$15),0)</f>
        <v>0</v>
      </c>
      <c r="G219" s="41" t="n">
        <f aca="false">IF(AND(D219&gt;0.5,N($C$19)&gt;0,N(B219)&lt;=N($C$20)),D219*$F$8,0)</f>
        <v>0</v>
      </c>
      <c r="H219" s="41" t="n">
        <f aca="false">IF(D219&lt;=0.5,0,MIN(IF(N(I219)&gt;0,I219,$F$9),D219+E219+F219))</f>
        <v>0</v>
      </c>
      <c r="I219" s="77"/>
      <c r="J219" s="77"/>
      <c r="K219" s="41" t="n">
        <f aca="false">IF(D219&lt;=0.5,0,MIN(H219+N(J219),D219+E219+F219))</f>
        <v>0</v>
      </c>
      <c r="L219" s="41" t="n">
        <f aca="false">K219-E219-F219</f>
        <v>0</v>
      </c>
      <c r="M219" s="41" t="n">
        <f aca="false">D219-L219</f>
        <v>0</v>
      </c>
      <c r="N219" s="42" t="n">
        <f aca="false">K219-G219</f>
        <v>0</v>
      </c>
      <c r="O219" s="78"/>
      <c r="P219" s="79"/>
      <c r="Q219" s="16" t="str">
        <f aca="false">IF(K219=0,"",IF(R219=1,"Pagada",IF(C219&lt;$F$12,"Vencida",IF(193=$F$13,"Próxima","Pendiente"))))</f>
        <v/>
      </c>
      <c r="R219" s="62" t="n">
        <f aca="false">IF(AND(K219&gt;0,OR(O219="Sí",O219="Si")),1,0)</f>
        <v>0</v>
      </c>
      <c r="S219" s="62" t="n">
        <f aca="false">IF(AND(K219&gt;0,R219=0),1,0)</f>
        <v>0</v>
      </c>
    </row>
    <row r="220" customFormat="false" ht="15" hidden="false" customHeight="false" outlineLevel="0" collapsed="false">
      <c r="B220" s="71" t="str">
        <f aca="false">IF($F$6="Sí",N($C$11)+193,"")</f>
        <v/>
      </c>
      <c r="C220" s="72" t="str">
        <f aca="false">IF(OR($F$6&lt;&gt;"Sí",D220&lt;=0.5),"",EDATE($C$10,193))</f>
        <v/>
      </c>
      <c r="D220" s="41" t="n">
        <f aca="false">MAX(0,M219)</f>
        <v>0</v>
      </c>
      <c r="E220" s="41" t="n">
        <f aca="false">D220*$F$7</f>
        <v>0</v>
      </c>
      <c r="F220" s="41" t="n">
        <f aca="false">IF(D220&gt;0.5,N($C$15),0)</f>
        <v>0</v>
      </c>
      <c r="G220" s="41" t="n">
        <f aca="false">IF(AND(D220&gt;0.5,N($C$19)&gt;0,N(B220)&lt;=N($C$20)),D220*$F$8,0)</f>
        <v>0</v>
      </c>
      <c r="H220" s="41" t="n">
        <f aca="false">IF(D220&lt;=0.5,0,MIN(IF(N(I220)&gt;0,I220,$F$9),D220+E220+F220))</f>
        <v>0</v>
      </c>
      <c r="I220" s="77"/>
      <c r="J220" s="77"/>
      <c r="K220" s="41" t="n">
        <f aca="false">IF(D220&lt;=0.5,0,MIN(H220+N(J220),D220+E220+F220))</f>
        <v>0</v>
      </c>
      <c r="L220" s="41" t="n">
        <f aca="false">K220-E220-F220</f>
        <v>0</v>
      </c>
      <c r="M220" s="41" t="n">
        <f aca="false">D220-L220</f>
        <v>0</v>
      </c>
      <c r="N220" s="42" t="n">
        <f aca="false">K220-G220</f>
        <v>0</v>
      </c>
      <c r="O220" s="78"/>
      <c r="P220" s="79"/>
      <c r="Q220" s="16" t="str">
        <f aca="false">IF(K220=0,"",IF(R220=1,"Pagada",IF(C220&lt;$F$12,"Vencida",IF(194=$F$13,"Próxima","Pendiente"))))</f>
        <v/>
      </c>
      <c r="R220" s="62" t="n">
        <f aca="false">IF(AND(K220&gt;0,OR(O220="Sí",O220="Si")),1,0)</f>
        <v>0</v>
      </c>
      <c r="S220" s="62" t="n">
        <f aca="false">IF(AND(K220&gt;0,R220=0),1,0)</f>
        <v>0</v>
      </c>
    </row>
    <row r="221" customFormat="false" ht="15" hidden="false" customHeight="false" outlineLevel="0" collapsed="false">
      <c r="B221" s="71" t="str">
        <f aca="false">IF($F$6="Sí",N($C$11)+194,"")</f>
        <v/>
      </c>
      <c r="C221" s="72" t="str">
        <f aca="false">IF(OR($F$6&lt;&gt;"Sí",D221&lt;=0.5),"",EDATE($C$10,194))</f>
        <v/>
      </c>
      <c r="D221" s="41" t="n">
        <f aca="false">MAX(0,M220)</f>
        <v>0</v>
      </c>
      <c r="E221" s="41" t="n">
        <f aca="false">D221*$F$7</f>
        <v>0</v>
      </c>
      <c r="F221" s="41" t="n">
        <f aca="false">IF(D221&gt;0.5,N($C$15),0)</f>
        <v>0</v>
      </c>
      <c r="G221" s="41" t="n">
        <f aca="false">IF(AND(D221&gt;0.5,N($C$19)&gt;0,N(B221)&lt;=N($C$20)),D221*$F$8,0)</f>
        <v>0</v>
      </c>
      <c r="H221" s="41" t="n">
        <f aca="false">IF(D221&lt;=0.5,0,MIN(IF(N(I221)&gt;0,I221,$F$9),D221+E221+F221))</f>
        <v>0</v>
      </c>
      <c r="I221" s="77"/>
      <c r="J221" s="77"/>
      <c r="K221" s="41" t="n">
        <f aca="false">IF(D221&lt;=0.5,0,MIN(H221+N(J221),D221+E221+F221))</f>
        <v>0</v>
      </c>
      <c r="L221" s="41" t="n">
        <f aca="false">K221-E221-F221</f>
        <v>0</v>
      </c>
      <c r="M221" s="41" t="n">
        <f aca="false">D221-L221</f>
        <v>0</v>
      </c>
      <c r="N221" s="42" t="n">
        <f aca="false">K221-G221</f>
        <v>0</v>
      </c>
      <c r="O221" s="78"/>
      <c r="P221" s="79"/>
      <c r="Q221" s="16" t="str">
        <f aca="false">IF(K221=0,"",IF(R221=1,"Pagada",IF(C221&lt;$F$12,"Vencida",IF(195=$F$13,"Próxima","Pendiente"))))</f>
        <v/>
      </c>
      <c r="R221" s="62" t="n">
        <f aca="false">IF(AND(K221&gt;0,OR(O221="Sí",O221="Si")),1,0)</f>
        <v>0</v>
      </c>
      <c r="S221" s="62" t="n">
        <f aca="false">IF(AND(K221&gt;0,R221=0),1,0)</f>
        <v>0</v>
      </c>
    </row>
    <row r="222" customFormat="false" ht="15" hidden="false" customHeight="false" outlineLevel="0" collapsed="false">
      <c r="B222" s="71" t="str">
        <f aca="false">IF($F$6="Sí",N($C$11)+195,"")</f>
        <v/>
      </c>
      <c r="C222" s="72" t="str">
        <f aca="false">IF(OR($F$6&lt;&gt;"Sí",D222&lt;=0.5),"",EDATE($C$10,195))</f>
        <v/>
      </c>
      <c r="D222" s="41" t="n">
        <f aca="false">MAX(0,M221)</f>
        <v>0</v>
      </c>
      <c r="E222" s="41" t="n">
        <f aca="false">D222*$F$7</f>
        <v>0</v>
      </c>
      <c r="F222" s="41" t="n">
        <f aca="false">IF(D222&gt;0.5,N($C$15),0)</f>
        <v>0</v>
      </c>
      <c r="G222" s="41" t="n">
        <f aca="false">IF(AND(D222&gt;0.5,N($C$19)&gt;0,N(B222)&lt;=N($C$20)),D222*$F$8,0)</f>
        <v>0</v>
      </c>
      <c r="H222" s="41" t="n">
        <f aca="false">IF(D222&lt;=0.5,0,MIN(IF(N(I222)&gt;0,I222,$F$9),D222+E222+F222))</f>
        <v>0</v>
      </c>
      <c r="I222" s="77"/>
      <c r="J222" s="77"/>
      <c r="K222" s="41" t="n">
        <f aca="false">IF(D222&lt;=0.5,0,MIN(H222+N(J222),D222+E222+F222))</f>
        <v>0</v>
      </c>
      <c r="L222" s="41" t="n">
        <f aca="false">K222-E222-F222</f>
        <v>0</v>
      </c>
      <c r="M222" s="41" t="n">
        <f aca="false">D222-L222</f>
        <v>0</v>
      </c>
      <c r="N222" s="42" t="n">
        <f aca="false">K222-G222</f>
        <v>0</v>
      </c>
      <c r="O222" s="78"/>
      <c r="P222" s="79"/>
      <c r="Q222" s="16" t="str">
        <f aca="false">IF(K222=0,"",IF(R222=1,"Pagada",IF(C222&lt;$F$12,"Vencida",IF(196=$F$13,"Próxima","Pendiente"))))</f>
        <v/>
      </c>
      <c r="R222" s="62" t="n">
        <f aca="false">IF(AND(K222&gt;0,OR(O222="Sí",O222="Si")),1,0)</f>
        <v>0</v>
      </c>
      <c r="S222" s="62" t="n">
        <f aca="false">IF(AND(K222&gt;0,R222=0),1,0)</f>
        <v>0</v>
      </c>
    </row>
    <row r="223" customFormat="false" ht="15" hidden="false" customHeight="false" outlineLevel="0" collapsed="false">
      <c r="B223" s="71" t="str">
        <f aca="false">IF($F$6="Sí",N($C$11)+196,"")</f>
        <v/>
      </c>
      <c r="C223" s="72" t="str">
        <f aca="false">IF(OR($F$6&lt;&gt;"Sí",D223&lt;=0.5),"",EDATE($C$10,196))</f>
        <v/>
      </c>
      <c r="D223" s="41" t="n">
        <f aca="false">MAX(0,M222)</f>
        <v>0</v>
      </c>
      <c r="E223" s="41" t="n">
        <f aca="false">D223*$F$7</f>
        <v>0</v>
      </c>
      <c r="F223" s="41" t="n">
        <f aca="false">IF(D223&gt;0.5,N($C$15),0)</f>
        <v>0</v>
      </c>
      <c r="G223" s="41" t="n">
        <f aca="false">IF(AND(D223&gt;0.5,N($C$19)&gt;0,N(B223)&lt;=N($C$20)),D223*$F$8,0)</f>
        <v>0</v>
      </c>
      <c r="H223" s="41" t="n">
        <f aca="false">IF(D223&lt;=0.5,0,MIN(IF(N(I223)&gt;0,I223,$F$9),D223+E223+F223))</f>
        <v>0</v>
      </c>
      <c r="I223" s="77"/>
      <c r="J223" s="77"/>
      <c r="K223" s="41" t="n">
        <f aca="false">IF(D223&lt;=0.5,0,MIN(H223+N(J223),D223+E223+F223))</f>
        <v>0</v>
      </c>
      <c r="L223" s="41" t="n">
        <f aca="false">K223-E223-F223</f>
        <v>0</v>
      </c>
      <c r="M223" s="41" t="n">
        <f aca="false">D223-L223</f>
        <v>0</v>
      </c>
      <c r="N223" s="42" t="n">
        <f aca="false">K223-G223</f>
        <v>0</v>
      </c>
      <c r="O223" s="78"/>
      <c r="P223" s="79"/>
      <c r="Q223" s="16" t="str">
        <f aca="false">IF(K223=0,"",IF(R223=1,"Pagada",IF(C223&lt;$F$12,"Vencida",IF(197=$F$13,"Próxima","Pendiente"))))</f>
        <v/>
      </c>
      <c r="R223" s="62" t="n">
        <f aca="false">IF(AND(K223&gt;0,OR(O223="Sí",O223="Si")),1,0)</f>
        <v>0</v>
      </c>
      <c r="S223" s="62" t="n">
        <f aca="false">IF(AND(K223&gt;0,R223=0),1,0)</f>
        <v>0</v>
      </c>
    </row>
    <row r="224" customFormat="false" ht="15" hidden="false" customHeight="false" outlineLevel="0" collapsed="false">
      <c r="B224" s="71" t="str">
        <f aca="false">IF($F$6="Sí",N($C$11)+197,"")</f>
        <v/>
      </c>
      <c r="C224" s="72" t="str">
        <f aca="false">IF(OR($F$6&lt;&gt;"Sí",D224&lt;=0.5),"",EDATE($C$10,197))</f>
        <v/>
      </c>
      <c r="D224" s="41" t="n">
        <f aca="false">MAX(0,M223)</f>
        <v>0</v>
      </c>
      <c r="E224" s="41" t="n">
        <f aca="false">D224*$F$7</f>
        <v>0</v>
      </c>
      <c r="F224" s="41" t="n">
        <f aca="false">IF(D224&gt;0.5,N($C$15),0)</f>
        <v>0</v>
      </c>
      <c r="G224" s="41" t="n">
        <f aca="false">IF(AND(D224&gt;0.5,N($C$19)&gt;0,N(B224)&lt;=N($C$20)),D224*$F$8,0)</f>
        <v>0</v>
      </c>
      <c r="H224" s="41" t="n">
        <f aca="false">IF(D224&lt;=0.5,0,MIN(IF(N(I224)&gt;0,I224,$F$9),D224+E224+F224))</f>
        <v>0</v>
      </c>
      <c r="I224" s="77"/>
      <c r="J224" s="77"/>
      <c r="K224" s="41" t="n">
        <f aca="false">IF(D224&lt;=0.5,0,MIN(H224+N(J224),D224+E224+F224))</f>
        <v>0</v>
      </c>
      <c r="L224" s="41" t="n">
        <f aca="false">K224-E224-F224</f>
        <v>0</v>
      </c>
      <c r="M224" s="41" t="n">
        <f aca="false">D224-L224</f>
        <v>0</v>
      </c>
      <c r="N224" s="42" t="n">
        <f aca="false">K224-G224</f>
        <v>0</v>
      </c>
      <c r="O224" s="78"/>
      <c r="P224" s="79"/>
      <c r="Q224" s="16" t="str">
        <f aca="false">IF(K224=0,"",IF(R224=1,"Pagada",IF(C224&lt;$F$12,"Vencida",IF(198=$F$13,"Próxima","Pendiente"))))</f>
        <v/>
      </c>
      <c r="R224" s="62" t="n">
        <f aca="false">IF(AND(K224&gt;0,OR(O224="Sí",O224="Si")),1,0)</f>
        <v>0</v>
      </c>
      <c r="S224" s="62" t="n">
        <f aca="false">IF(AND(K224&gt;0,R224=0),1,0)</f>
        <v>0</v>
      </c>
    </row>
    <row r="225" customFormat="false" ht="15" hidden="false" customHeight="false" outlineLevel="0" collapsed="false">
      <c r="B225" s="71" t="str">
        <f aca="false">IF($F$6="Sí",N($C$11)+198,"")</f>
        <v/>
      </c>
      <c r="C225" s="72" t="str">
        <f aca="false">IF(OR($F$6&lt;&gt;"Sí",D225&lt;=0.5),"",EDATE($C$10,198))</f>
        <v/>
      </c>
      <c r="D225" s="41" t="n">
        <f aca="false">MAX(0,M224)</f>
        <v>0</v>
      </c>
      <c r="E225" s="41" t="n">
        <f aca="false">D225*$F$7</f>
        <v>0</v>
      </c>
      <c r="F225" s="41" t="n">
        <f aca="false">IF(D225&gt;0.5,N($C$15),0)</f>
        <v>0</v>
      </c>
      <c r="G225" s="41" t="n">
        <f aca="false">IF(AND(D225&gt;0.5,N($C$19)&gt;0,N(B225)&lt;=N($C$20)),D225*$F$8,0)</f>
        <v>0</v>
      </c>
      <c r="H225" s="41" t="n">
        <f aca="false">IF(D225&lt;=0.5,0,MIN(IF(N(I225)&gt;0,I225,$F$9),D225+E225+F225))</f>
        <v>0</v>
      </c>
      <c r="I225" s="77"/>
      <c r="J225" s="77"/>
      <c r="K225" s="41" t="n">
        <f aca="false">IF(D225&lt;=0.5,0,MIN(H225+N(J225),D225+E225+F225))</f>
        <v>0</v>
      </c>
      <c r="L225" s="41" t="n">
        <f aca="false">K225-E225-F225</f>
        <v>0</v>
      </c>
      <c r="M225" s="41" t="n">
        <f aca="false">D225-L225</f>
        <v>0</v>
      </c>
      <c r="N225" s="42" t="n">
        <f aca="false">K225-G225</f>
        <v>0</v>
      </c>
      <c r="O225" s="78"/>
      <c r="P225" s="79"/>
      <c r="Q225" s="16" t="str">
        <f aca="false">IF(K225=0,"",IF(R225=1,"Pagada",IF(C225&lt;$F$12,"Vencida",IF(199=$F$13,"Próxima","Pendiente"))))</f>
        <v/>
      </c>
      <c r="R225" s="62" t="n">
        <f aca="false">IF(AND(K225&gt;0,OR(O225="Sí",O225="Si")),1,0)</f>
        <v>0</v>
      </c>
      <c r="S225" s="62" t="n">
        <f aca="false">IF(AND(K225&gt;0,R225=0),1,0)</f>
        <v>0</v>
      </c>
    </row>
    <row r="226" customFormat="false" ht="15" hidden="false" customHeight="false" outlineLevel="0" collapsed="false">
      <c r="B226" s="71" t="str">
        <f aca="false">IF($F$6="Sí",N($C$11)+199,"")</f>
        <v/>
      </c>
      <c r="C226" s="72" t="str">
        <f aca="false">IF(OR($F$6&lt;&gt;"Sí",D226&lt;=0.5),"",EDATE($C$10,199))</f>
        <v/>
      </c>
      <c r="D226" s="41" t="n">
        <f aca="false">MAX(0,M225)</f>
        <v>0</v>
      </c>
      <c r="E226" s="41" t="n">
        <f aca="false">D226*$F$7</f>
        <v>0</v>
      </c>
      <c r="F226" s="41" t="n">
        <f aca="false">IF(D226&gt;0.5,N($C$15),0)</f>
        <v>0</v>
      </c>
      <c r="G226" s="41" t="n">
        <f aca="false">IF(AND(D226&gt;0.5,N($C$19)&gt;0,N(B226)&lt;=N($C$20)),D226*$F$8,0)</f>
        <v>0</v>
      </c>
      <c r="H226" s="41" t="n">
        <f aca="false">IF(D226&lt;=0.5,0,MIN(IF(N(I226)&gt;0,I226,$F$9),D226+E226+F226))</f>
        <v>0</v>
      </c>
      <c r="I226" s="77"/>
      <c r="J226" s="77"/>
      <c r="K226" s="41" t="n">
        <f aca="false">IF(D226&lt;=0.5,0,MIN(H226+N(J226),D226+E226+F226))</f>
        <v>0</v>
      </c>
      <c r="L226" s="41" t="n">
        <f aca="false">K226-E226-F226</f>
        <v>0</v>
      </c>
      <c r="M226" s="41" t="n">
        <f aca="false">D226-L226</f>
        <v>0</v>
      </c>
      <c r="N226" s="42" t="n">
        <f aca="false">K226-G226</f>
        <v>0</v>
      </c>
      <c r="O226" s="78"/>
      <c r="P226" s="79"/>
      <c r="Q226" s="16" t="str">
        <f aca="false">IF(K226=0,"",IF(R226=1,"Pagada",IF(C226&lt;$F$12,"Vencida",IF(200=$F$13,"Próxima","Pendiente"))))</f>
        <v/>
      </c>
      <c r="R226" s="62" t="n">
        <f aca="false">IF(AND(K226&gt;0,OR(O226="Sí",O226="Si")),1,0)</f>
        <v>0</v>
      </c>
      <c r="S226" s="62" t="n">
        <f aca="false">IF(AND(K226&gt;0,R226=0),1,0)</f>
        <v>0</v>
      </c>
    </row>
    <row r="227" customFormat="false" ht="15" hidden="false" customHeight="false" outlineLevel="0" collapsed="false">
      <c r="B227" s="71" t="str">
        <f aca="false">IF($F$6="Sí",N($C$11)+200,"")</f>
        <v/>
      </c>
      <c r="C227" s="72" t="str">
        <f aca="false">IF(OR($F$6&lt;&gt;"Sí",D227&lt;=0.5),"",EDATE($C$10,200))</f>
        <v/>
      </c>
      <c r="D227" s="41" t="n">
        <f aca="false">MAX(0,M226)</f>
        <v>0</v>
      </c>
      <c r="E227" s="41" t="n">
        <f aca="false">D227*$F$7</f>
        <v>0</v>
      </c>
      <c r="F227" s="41" t="n">
        <f aca="false">IF(D227&gt;0.5,N($C$15),0)</f>
        <v>0</v>
      </c>
      <c r="G227" s="41" t="n">
        <f aca="false">IF(AND(D227&gt;0.5,N($C$19)&gt;0,N(B227)&lt;=N($C$20)),D227*$F$8,0)</f>
        <v>0</v>
      </c>
      <c r="H227" s="41" t="n">
        <f aca="false">IF(D227&lt;=0.5,0,MIN(IF(N(I227)&gt;0,I227,$F$9),D227+E227+F227))</f>
        <v>0</v>
      </c>
      <c r="I227" s="77"/>
      <c r="J227" s="77"/>
      <c r="K227" s="41" t="n">
        <f aca="false">IF(D227&lt;=0.5,0,MIN(H227+N(J227),D227+E227+F227))</f>
        <v>0</v>
      </c>
      <c r="L227" s="41" t="n">
        <f aca="false">K227-E227-F227</f>
        <v>0</v>
      </c>
      <c r="M227" s="41" t="n">
        <f aca="false">D227-L227</f>
        <v>0</v>
      </c>
      <c r="N227" s="42" t="n">
        <f aca="false">K227-G227</f>
        <v>0</v>
      </c>
      <c r="O227" s="78"/>
      <c r="P227" s="79"/>
      <c r="Q227" s="16" t="str">
        <f aca="false">IF(K227=0,"",IF(R227=1,"Pagada",IF(C227&lt;$F$12,"Vencida",IF(201=$F$13,"Próxima","Pendiente"))))</f>
        <v/>
      </c>
      <c r="R227" s="62" t="n">
        <f aca="false">IF(AND(K227&gt;0,OR(O227="Sí",O227="Si")),1,0)</f>
        <v>0</v>
      </c>
      <c r="S227" s="62" t="n">
        <f aca="false">IF(AND(K227&gt;0,R227=0),1,0)</f>
        <v>0</v>
      </c>
    </row>
    <row r="228" customFormat="false" ht="15" hidden="false" customHeight="false" outlineLevel="0" collapsed="false">
      <c r="B228" s="71" t="str">
        <f aca="false">IF($F$6="Sí",N($C$11)+201,"")</f>
        <v/>
      </c>
      <c r="C228" s="72" t="str">
        <f aca="false">IF(OR($F$6&lt;&gt;"Sí",D228&lt;=0.5),"",EDATE($C$10,201))</f>
        <v/>
      </c>
      <c r="D228" s="41" t="n">
        <f aca="false">MAX(0,M227)</f>
        <v>0</v>
      </c>
      <c r="E228" s="41" t="n">
        <f aca="false">D228*$F$7</f>
        <v>0</v>
      </c>
      <c r="F228" s="41" t="n">
        <f aca="false">IF(D228&gt;0.5,N($C$15),0)</f>
        <v>0</v>
      </c>
      <c r="G228" s="41" t="n">
        <f aca="false">IF(AND(D228&gt;0.5,N($C$19)&gt;0,N(B228)&lt;=N($C$20)),D228*$F$8,0)</f>
        <v>0</v>
      </c>
      <c r="H228" s="41" t="n">
        <f aca="false">IF(D228&lt;=0.5,0,MIN(IF(N(I228)&gt;0,I228,$F$9),D228+E228+F228))</f>
        <v>0</v>
      </c>
      <c r="I228" s="77"/>
      <c r="J228" s="77"/>
      <c r="K228" s="41" t="n">
        <f aca="false">IF(D228&lt;=0.5,0,MIN(H228+N(J228),D228+E228+F228))</f>
        <v>0</v>
      </c>
      <c r="L228" s="41" t="n">
        <f aca="false">K228-E228-F228</f>
        <v>0</v>
      </c>
      <c r="M228" s="41" t="n">
        <f aca="false">D228-L228</f>
        <v>0</v>
      </c>
      <c r="N228" s="42" t="n">
        <f aca="false">K228-G228</f>
        <v>0</v>
      </c>
      <c r="O228" s="78"/>
      <c r="P228" s="79"/>
      <c r="Q228" s="16" t="str">
        <f aca="false">IF(K228=0,"",IF(R228=1,"Pagada",IF(C228&lt;$F$12,"Vencida",IF(202=$F$13,"Próxima","Pendiente"))))</f>
        <v/>
      </c>
      <c r="R228" s="62" t="n">
        <f aca="false">IF(AND(K228&gt;0,OR(O228="Sí",O228="Si")),1,0)</f>
        <v>0</v>
      </c>
      <c r="S228" s="62" t="n">
        <f aca="false">IF(AND(K228&gt;0,R228=0),1,0)</f>
        <v>0</v>
      </c>
    </row>
    <row r="229" customFormat="false" ht="15" hidden="false" customHeight="false" outlineLevel="0" collapsed="false">
      <c r="B229" s="71" t="str">
        <f aca="false">IF($F$6="Sí",N($C$11)+202,"")</f>
        <v/>
      </c>
      <c r="C229" s="72" t="str">
        <f aca="false">IF(OR($F$6&lt;&gt;"Sí",D229&lt;=0.5),"",EDATE($C$10,202))</f>
        <v/>
      </c>
      <c r="D229" s="41" t="n">
        <f aca="false">MAX(0,M228)</f>
        <v>0</v>
      </c>
      <c r="E229" s="41" t="n">
        <f aca="false">D229*$F$7</f>
        <v>0</v>
      </c>
      <c r="F229" s="41" t="n">
        <f aca="false">IF(D229&gt;0.5,N($C$15),0)</f>
        <v>0</v>
      </c>
      <c r="G229" s="41" t="n">
        <f aca="false">IF(AND(D229&gt;0.5,N($C$19)&gt;0,N(B229)&lt;=N($C$20)),D229*$F$8,0)</f>
        <v>0</v>
      </c>
      <c r="H229" s="41" t="n">
        <f aca="false">IF(D229&lt;=0.5,0,MIN(IF(N(I229)&gt;0,I229,$F$9),D229+E229+F229))</f>
        <v>0</v>
      </c>
      <c r="I229" s="77"/>
      <c r="J229" s="77"/>
      <c r="K229" s="41" t="n">
        <f aca="false">IF(D229&lt;=0.5,0,MIN(H229+N(J229),D229+E229+F229))</f>
        <v>0</v>
      </c>
      <c r="L229" s="41" t="n">
        <f aca="false">K229-E229-F229</f>
        <v>0</v>
      </c>
      <c r="M229" s="41" t="n">
        <f aca="false">D229-L229</f>
        <v>0</v>
      </c>
      <c r="N229" s="42" t="n">
        <f aca="false">K229-G229</f>
        <v>0</v>
      </c>
      <c r="O229" s="78"/>
      <c r="P229" s="79"/>
      <c r="Q229" s="16" t="str">
        <f aca="false">IF(K229=0,"",IF(R229=1,"Pagada",IF(C229&lt;$F$12,"Vencida",IF(203=$F$13,"Próxima","Pendiente"))))</f>
        <v/>
      </c>
      <c r="R229" s="62" t="n">
        <f aca="false">IF(AND(K229&gt;0,OR(O229="Sí",O229="Si")),1,0)</f>
        <v>0</v>
      </c>
      <c r="S229" s="62" t="n">
        <f aca="false">IF(AND(K229&gt;0,R229=0),1,0)</f>
        <v>0</v>
      </c>
    </row>
    <row r="230" customFormat="false" ht="15" hidden="false" customHeight="false" outlineLevel="0" collapsed="false">
      <c r="B230" s="71" t="str">
        <f aca="false">IF($F$6="Sí",N($C$11)+203,"")</f>
        <v/>
      </c>
      <c r="C230" s="72" t="str">
        <f aca="false">IF(OR($F$6&lt;&gt;"Sí",D230&lt;=0.5),"",EDATE($C$10,203))</f>
        <v/>
      </c>
      <c r="D230" s="41" t="n">
        <f aca="false">MAX(0,M229)</f>
        <v>0</v>
      </c>
      <c r="E230" s="41" t="n">
        <f aca="false">D230*$F$7</f>
        <v>0</v>
      </c>
      <c r="F230" s="41" t="n">
        <f aca="false">IF(D230&gt;0.5,N($C$15),0)</f>
        <v>0</v>
      </c>
      <c r="G230" s="41" t="n">
        <f aca="false">IF(AND(D230&gt;0.5,N($C$19)&gt;0,N(B230)&lt;=N($C$20)),D230*$F$8,0)</f>
        <v>0</v>
      </c>
      <c r="H230" s="41" t="n">
        <f aca="false">IF(D230&lt;=0.5,0,MIN(IF(N(I230)&gt;0,I230,$F$9),D230+E230+F230))</f>
        <v>0</v>
      </c>
      <c r="I230" s="77"/>
      <c r="J230" s="77"/>
      <c r="K230" s="41" t="n">
        <f aca="false">IF(D230&lt;=0.5,0,MIN(H230+N(J230),D230+E230+F230))</f>
        <v>0</v>
      </c>
      <c r="L230" s="41" t="n">
        <f aca="false">K230-E230-F230</f>
        <v>0</v>
      </c>
      <c r="M230" s="41" t="n">
        <f aca="false">D230-L230</f>
        <v>0</v>
      </c>
      <c r="N230" s="42" t="n">
        <f aca="false">K230-G230</f>
        <v>0</v>
      </c>
      <c r="O230" s="78"/>
      <c r="P230" s="79"/>
      <c r="Q230" s="16" t="str">
        <f aca="false">IF(K230=0,"",IF(R230=1,"Pagada",IF(C230&lt;$F$12,"Vencida",IF(204=$F$13,"Próxima","Pendiente"))))</f>
        <v/>
      </c>
      <c r="R230" s="62" t="n">
        <f aca="false">IF(AND(K230&gt;0,OR(O230="Sí",O230="Si")),1,0)</f>
        <v>0</v>
      </c>
      <c r="S230" s="62" t="n">
        <f aca="false">IF(AND(K230&gt;0,R230=0),1,0)</f>
        <v>0</v>
      </c>
    </row>
    <row r="231" customFormat="false" ht="15" hidden="false" customHeight="false" outlineLevel="0" collapsed="false">
      <c r="B231" s="71" t="str">
        <f aca="false">IF($F$6="Sí",N($C$11)+204,"")</f>
        <v/>
      </c>
      <c r="C231" s="72" t="str">
        <f aca="false">IF(OR($F$6&lt;&gt;"Sí",D231&lt;=0.5),"",EDATE($C$10,204))</f>
        <v/>
      </c>
      <c r="D231" s="41" t="n">
        <f aca="false">MAX(0,M230)</f>
        <v>0</v>
      </c>
      <c r="E231" s="41" t="n">
        <f aca="false">D231*$F$7</f>
        <v>0</v>
      </c>
      <c r="F231" s="41" t="n">
        <f aca="false">IF(D231&gt;0.5,N($C$15),0)</f>
        <v>0</v>
      </c>
      <c r="G231" s="41" t="n">
        <f aca="false">IF(AND(D231&gt;0.5,N($C$19)&gt;0,N(B231)&lt;=N($C$20)),D231*$F$8,0)</f>
        <v>0</v>
      </c>
      <c r="H231" s="41" t="n">
        <f aca="false">IF(D231&lt;=0.5,0,MIN(IF(N(I231)&gt;0,I231,$F$9),D231+E231+F231))</f>
        <v>0</v>
      </c>
      <c r="I231" s="77"/>
      <c r="J231" s="77"/>
      <c r="K231" s="41" t="n">
        <f aca="false">IF(D231&lt;=0.5,0,MIN(H231+N(J231),D231+E231+F231))</f>
        <v>0</v>
      </c>
      <c r="L231" s="41" t="n">
        <f aca="false">K231-E231-F231</f>
        <v>0</v>
      </c>
      <c r="M231" s="41" t="n">
        <f aca="false">D231-L231</f>
        <v>0</v>
      </c>
      <c r="N231" s="42" t="n">
        <f aca="false">K231-G231</f>
        <v>0</v>
      </c>
      <c r="O231" s="78"/>
      <c r="P231" s="79"/>
      <c r="Q231" s="16" t="str">
        <f aca="false">IF(K231=0,"",IF(R231=1,"Pagada",IF(C231&lt;$F$12,"Vencida",IF(205=$F$13,"Próxima","Pendiente"))))</f>
        <v/>
      </c>
      <c r="R231" s="62" t="n">
        <f aca="false">IF(AND(K231&gt;0,OR(O231="Sí",O231="Si")),1,0)</f>
        <v>0</v>
      </c>
      <c r="S231" s="62" t="n">
        <f aca="false">IF(AND(K231&gt;0,R231=0),1,0)</f>
        <v>0</v>
      </c>
    </row>
    <row r="232" customFormat="false" ht="15" hidden="false" customHeight="false" outlineLevel="0" collapsed="false">
      <c r="B232" s="71" t="str">
        <f aca="false">IF($F$6="Sí",N($C$11)+205,"")</f>
        <v/>
      </c>
      <c r="C232" s="72" t="str">
        <f aca="false">IF(OR($F$6&lt;&gt;"Sí",D232&lt;=0.5),"",EDATE($C$10,205))</f>
        <v/>
      </c>
      <c r="D232" s="41" t="n">
        <f aca="false">MAX(0,M231)</f>
        <v>0</v>
      </c>
      <c r="E232" s="41" t="n">
        <f aca="false">D232*$F$7</f>
        <v>0</v>
      </c>
      <c r="F232" s="41" t="n">
        <f aca="false">IF(D232&gt;0.5,N($C$15),0)</f>
        <v>0</v>
      </c>
      <c r="G232" s="41" t="n">
        <f aca="false">IF(AND(D232&gt;0.5,N($C$19)&gt;0,N(B232)&lt;=N($C$20)),D232*$F$8,0)</f>
        <v>0</v>
      </c>
      <c r="H232" s="41" t="n">
        <f aca="false">IF(D232&lt;=0.5,0,MIN(IF(N(I232)&gt;0,I232,$F$9),D232+E232+F232))</f>
        <v>0</v>
      </c>
      <c r="I232" s="77"/>
      <c r="J232" s="77"/>
      <c r="K232" s="41" t="n">
        <f aca="false">IF(D232&lt;=0.5,0,MIN(H232+N(J232),D232+E232+F232))</f>
        <v>0</v>
      </c>
      <c r="L232" s="41" t="n">
        <f aca="false">K232-E232-F232</f>
        <v>0</v>
      </c>
      <c r="M232" s="41" t="n">
        <f aca="false">D232-L232</f>
        <v>0</v>
      </c>
      <c r="N232" s="42" t="n">
        <f aca="false">K232-G232</f>
        <v>0</v>
      </c>
      <c r="O232" s="78"/>
      <c r="P232" s="79"/>
      <c r="Q232" s="16" t="str">
        <f aca="false">IF(K232=0,"",IF(R232=1,"Pagada",IF(C232&lt;$F$12,"Vencida",IF(206=$F$13,"Próxima","Pendiente"))))</f>
        <v/>
      </c>
      <c r="R232" s="62" t="n">
        <f aca="false">IF(AND(K232&gt;0,OR(O232="Sí",O232="Si")),1,0)</f>
        <v>0</v>
      </c>
      <c r="S232" s="62" t="n">
        <f aca="false">IF(AND(K232&gt;0,R232=0),1,0)</f>
        <v>0</v>
      </c>
    </row>
    <row r="233" customFormat="false" ht="15" hidden="false" customHeight="false" outlineLevel="0" collapsed="false">
      <c r="B233" s="71" t="str">
        <f aca="false">IF($F$6="Sí",N($C$11)+206,"")</f>
        <v/>
      </c>
      <c r="C233" s="72" t="str">
        <f aca="false">IF(OR($F$6&lt;&gt;"Sí",D233&lt;=0.5),"",EDATE($C$10,206))</f>
        <v/>
      </c>
      <c r="D233" s="41" t="n">
        <f aca="false">MAX(0,M232)</f>
        <v>0</v>
      </c>
      <c r="E233" s="41" t="n">
        <f aca="false">D233*$F$7</f>
        <v>0</v>
      </c>
      <c r="F233" s="41" t="n">
        <f aca="false">IF(D233&gt;0.5,N($C$15),0)</f>
        <v>0</v>
      </c>
      <c r="G233" s="41" t="n">
        <f aca="false">IF(AND(D233&gt;0.5,N($C$19)&gt;0,N(B233)&lt;=N($C$20)),D233*$F$8,0)</f>
        <v>0</v>
      </c>
      <c r="H233" s="41" t="n">
        <f aca="false">IF(D233&lt;=0.5,0,MIN(IF(N(I233)&gt;0,I233,$F$9),D233+E233+F233))</f>
        <v>0</v>
      </c>
      <c r="I233" s="77"/>
      <c r="J233" s="77"/>
      <c r="K233" s="41" t="n">
        <f aca="false">IF(D233&lt;=0.5,0,MIN(H233+N(J233),D233+E233+F233))</f>
        <v>0</v>
      </c>
      <c r="L233" s="41" t="n">
        <f aca="false">K233-E233-F233</f>
        <v>0</v>
      </c>
      <c r="M233" s="41" t="n">
        <f aca="false">D233-L233</f>
        <v>0</v>
      </c>
      <c r="N233" s="42" t="n">
        <f aca="false">K233-G233</f>
        <v>0</v>
      </c>
      <c r="O233" s="78"/>
      <c r="P233" s="79"/>
      <c r="Q233" s="16" t="str">
        <f aca="false">IF(K233=0,"",IF(R233=1,"Pagada",IF(C233&lt;$F$12,"Vencida",IF(207=$F$13,"Próxima","Pendiente"))))</f>
        <v/>
      </c>
      <c r="R233" s="62" t="n">
        <f aca="false">IF(AND(K233&gt;0,OR(O233="Sí",O233="Si")),1,0)</f>
        <v>0</v>
      </c>
      <c r="S233" s="62" t="n">
        <f aca="false">IF(AND(K233&gt;0,R233=0),1,0)</f>
        <v>0</v>
      </c>
    </row>
    <row r="234" customFormat="false" ht="15" hidden="false" customHeight="false" outlineLevel="0" collapsed="false">
      <c r="B234" s="71" t="str">
        <f aca="false">IF($F$6="Sí",N($C$11)+207,"")</f>
        <v/>
      </c>
      <c r="C234" s="72" t="str">
        <f aca="false">IF(OR($F$6&lt;&gt;"Sí",D234&lt;=0.5),"",EDATE($C$10,207))</f>
        <v/>
      </c>
      <c r="D234" s="41" t="n">
        <f aca="false">MAX(0,M233)</f>
        <v>0</v>
      </c>
      <c r="E234" s="41" t="n">
        <f aca="false">D234*$F$7</f>
        <v>0</v>
      </c>
      <c r="F234" s="41" t="n">
        <f aca="false">IF(D234&gt;0.5,N($C$15),0)</f>
        <v>0</v>
      </c>
      <c r="G234" s="41" t="n">
        <f aca="false">IF(AND(D234&gt;0.5,N($C$19)&gt;0,N(B234)&lt;=N($C$20)),D234*$F$8,0)</f>
        <v>0</v>
      </c>
      <c r="H234" s="41" t="n">
        <f aca="false">IF(D234&lt;=0.5,0,MIN(IF(N(I234)&gt;0,I234,$F$9),D234+E234+F234))</f>
        <v>0</v>
      </c>
      <c r="I234" s="77"/>
      <c r="J234" s="77"/>
      <c r="K234" s="41" t="n">
        <f aca="false">IF(D234&lt;=0.5,0,MIN(H234+N(J234),D234+E234+F234))</f>
        <v>0</v>
      </c>
      <c r="L234" s="41" t="n">
        <f aca="false">K234-E234-F234</f>
        <v>0</v>
      </c>
      <c r="M234" s="41" t="n">
        <f aca="false">D234-L234</f>
        <v>0</v>
      </c>
      <c r="N234" s="42" t="n">
        <f aca="false">K234-G234</f>
        <v>0</v>
      </c>
      <c r="O234" s="78"/>
      <c r="P234" s="79"/>
      <c r="Q234" s="16" t="str">
        <f aca="false">IF(K234=0,"",IF(R234=1,"Pagada",IF(C234&lt;$F$12,"Vencida",IF(208=$F$13,"Próxima","Pendiente"))))</f>
        <v/>
      </c>
      <c r="R234" s="62" t="n">
        <f aca="false">IF(AND(K234&gt;0,OR(O234="Sí",O234="Si")),1,0)</f>
        <v>0</v>
      </c>
      <c r="S234" s="62" t="n">
        <f aca="false">IF(AND(K234&gt;0,R234=0),1,0)</f>
        <v>0</v>
      </c>
    </row>
    <row r="235" customFormat="false" ht="15" hidden="false" customHeight="false" outlineLevel="0" collapsed="false">
      <c r="B235" s="71" t="str">
        <f aca="false">IF($F$6="Sí",N($C$11)+208,"")</f>
        <v/>
      </c>
      <c r="C235" s="72" t="str">
        <f aca="false">IF(OR($F$6&lt;&gt;"Sí",D235&lt;=0.5),"",EDATE($C$10,208))</f>
        <v/>
      </c>
      <c r="D235" s="41" t="n">
        <f aca="false">MAX(0,M234)</f>
        <v>0</v>
      </c>
      <c r="E235" s="41" t="n">
        <f aca="false">D235*$F$7</f>
        <v>0</v>
      </c>
      <c r="F235" s="41" t="n">
        <f aca="false">IF(D235&gt;0.5,N($C$15),0)</f>
        <v>0</v>
      </c>
      <c r="G235" s="41" t="n">
        <f aca="false">IF(AND(D235&gt;0.5,N($C$19)&gt;0,N(B235)&lt;=N($C$20)),D235*$F$8,0)</f>
        <v>0</v>
      </c>
      <c r="H235" s="41" t="n">
        <f aca="false">IF(D235&lt;=0.5,0,MIN(IF(N(I235)&gt;0,I235,$F$9),D235+E235+F235))</f>
        <v>0</v>
      </c>
      <c r="I235" s="77"/>
      <c r="J235" s="77"/>
      <c r="K235" s="41" t="n">
        <f aca="false">IF(D235&lt;=0.5,0,MIN(H235+N(J235),D235+E235+F235))</f>
        <v>0</v>
      </c>
      <c r="L235" s="41" t="n">
        <f aca="false">K235-E235-F235</f>
        <v>0</v>
      </c>
      <c r="M235" s="41" t="n">
        <f aca="false">D235-L235</f>
        <v>0</v>
      </c>
      <c r="N235" s="42" t="n">
        <f aca="false">K235-G235</f>
        <v>0</v>
      </c>
      <c r="O235" s="78"/>
      <c r="P235" s="79"/>
      <c r="Q235" s="16" t="str">
        <f aca="false">IF(K235=0,"",IF(R235=1,"Pagada",IF(C235&lt;$F$12,"Vencida",IF(209=$F$13,"Próxima","Pendiente"))))</f>
        <v/>
      </c>
      <c r="R235" s="62" t="n">
        <f aca="false">IF(AND(K235&gt;0,OR(O235="Sí",O235="Si")),1,0)</f>
        <v>0</v>
      </c>
      <c r="S235" s="62" t="n">
        <f aca="false">IF(AND(K235&gt;0,R235=0),1,0)</f>
        <v>0</v>
      </c>
    </row>
    <row r="236" customFormat="false" ht="15" hidden="false" customHeight="false" outlineLevel="0" collapsed="false">
      <c r="B236" s="71" t="str">
        <f aca="false">IF($F$6="Sí",N($C$11)+209,"")</f>
        <v/>
      </c>
      <c r="C236" s="72" t="str">
        <f aca="false">IF(OR($F$6&lt;&gt;"Sí",D236&lt;=0.5),"",EDATE($C$10,209))</f>
        <v/>
      </c>
      <c r="D236" s="41" t="n">
        <f aca="false">MAX(0,M235)</f>
        <v>0</v>
      </c>
      <c r="E236" s="41" t="n">
        <f aca="false">D236*$F$7</f>
        <v>0</v>
      </c>
      <c r="F236" s="41" t="n">
        <f aca="false">IF(D236&gt;0.5,N($C$15),0)</f>
        <v>0</v>
      </c>
      <c r="G236" s="41" t="n">
        <f aca="false">IF(AND(D236&gt;0.5,N($C$19)&gt;0,N(B236)&lt;=N($C$20)),D236*$F$8,0)</f>
        <v>0</v>
      </c>
      <c r="H236" s="41" t="n">
        <f aca="false">IF(D236&lt;=0.5,0,MIN(IF(N(I236)&gt;0,I236,$F$9),D236+E236+F236))</f>
        <v>0</v>
      </c>
      <c r="I236" s="77"/>
      <c r="J236" s="77"/>
      <c r="K236" s="41" t="n">
        <f aca="false">IF(D236&lt;=0.5,0,MIN(H236+N(J236),D236+E236+F236))</f>
        <v>0</v>
      </c>
      <c r="L236" s="41" t="n">
        <f aca="false">K236-E236-F236</f>
        <v>0</v>
      </c>
      <c r="M236" s="41" t="n">
        <f aca="false">D236-L236</f>
        <v>0</v>
      </c>
      <c r="N236" s="42" t="n">
        <f aca="false">K236-G236</f>
        <v>0</v>
      </c>
      <c r="O236" s="78"/>
      <c r="P236" s="79"/>
      <c r="Q236" s="16" t="str">
        <f aca="false">IF(K236=0,"",IF(R236=1,"Pagada",IF(C236&lt;$F$12,"Vencida",IF(210=$F$13,"Próxima","Pendiente"))))</f>
        <v/>
      </c>
      <c r="R236" s="62" t="n">
        <f aca="false">IF(AND(K236&gt;0,OR(O236="Sí",O236="Si")),1,0)</f>
        <v>0</v>
      </c>
      <c r="S236" s="62" t="n">
        <f aca="false">IF(AND(K236&gt;0,R236=0),1,0)</f>
        <v>0</v>
      </c>
    </row>
    <row r="237" customFormat="false" ht="15" hidden="false" customHeight="false" outlineLevel="0" collapsed="false">
      <c r="B237" s="71" t="str">
        <f aca="false">IF($F$6="Sí",N($C$11)+210,"")</f>
        <v/>
      </c>
      <c r="C237" s="72" t="str">
        <f aca="false">IF(OR($F$6&lt;&gt;"Sí",D237&lt;=0.5),"",EDATE($C$10,210))</f>
        <v/>
      </c>
      <c r="D237" s="41" t="n">
        <f aca="false">MAX(0,M236)</f>
        <v>0</v>
      </c>
      <c r="E237" s="41" t="n">
        <f aca="false">D237*$F$7</f>
        <v>0</v>
      </c>
      <c r="F237" s="41" t="n">
        <f aca="false">IF(D237&gt;0.5,N($C$15),0)</f>
        <v>0</v>
      </c>
      <c r="G237" s="41" t="n">
        <f aca="false">IF(AND(D237&gt;0.5,N($C$19)&gt;0,N(B237)&lt;=N($C$20)),D237*$F$8,0)</f>
        <v>0</v>
      </c>
      <c r="H237" s="41" t="n">
        <f aca="false">IF(D237&lt;=0.5,0,MIN(IF(N(I237)&gt;0,I237,$F$9),D237+E237+F237))</f>
        <v>0</v>
      </c>
      <c r="I237" s="77"/>
      <c r="J237" s="77"/>
      <c r="K237" s="41" t="n">
        <f aca="false">IF(D237&lt;=0.5,0,MIN(H237+N(J237),D237+E237+F237))</f>
        <v>0</v>
      </c>
      <c r="L237" s="41" t="n">
        <f aca="false">K237-E237-F237</f>
        <v>0</v>
      </c>
      <c r="M237" s="41" t="n">
        <f aca="false">D237-L237</f>
        <v>0</v>
      </c>
      <c r="N237" s="42" t="n">
        <f aca="false">K237-G237</f>
        <v>0</v>
      </c>
      <c r="O237" s="78"/>
      <c r="P237" s="79"/>
      <c r="Q237" s="16" t="str">
        <f aca="false">IF(K237=0,"",IF(R237=1,"Pagada",IF(C237&lt;$F$12,"Vencida",IF(211=$F$13,"Próxima","Pendiente"))))</f>
        <v/>
      </c>
      <c r="R237" s="62" t="n">
        <f aca="false">IF(AND(K237&gt;0,OR(O237="Sí",O237="Si")),1,0)</f>
        <v>0</v>
      </c>
      <c r="S237" s="62" t="n">
        <f aca="false">IF(AND(K237&gt;0,R237=0),1,0)</f>
        <v>0</v>
      </c>
    </row>
    <row r="238" customFormat="false" ht="15" hidden="false" customHeight="false" outlineLevel="0" collapsed="false">
      <c r="B238" s="71" t="str">
        <f aca="false">IF($F$6="Sí",N($C$11)+211,"")</f>
        <v/>
      </c>
      <c r="C238" s="72" t="str">
        <f aca="false">IF(OR($F$6&lt;&gt;"Sí",D238&lt;=0.5),"",EDATE($C$10,211))</f>
        <v/>
      </c>
      <c r="D238" s="41" t="n">
        <f aca="false">MAX(0,M237)</f>
        <v>0</v>
      </c>
      <c r="E238" s="41" t="n">
        <f aca="false">D238*$F$7</f>
        <v>0</v>
      </c>
      <c r="F238" s="41" t="n">
        <f aca="false">IF(D238&gt;0.5,N($C$15),0)</f>
        <v>0</v>
      </c>
      <c r="G238" s="41" t="n">
        <f aca="false">IF(AND(D238&gt;0.5,N($C$19)&gt;0,N(B238)&lt;=N($C$20)),D238*$F$8,0)</f>
        <v>0</v>
      </c>
      <c r="H238" s="41" t="n">
        <f aca="false">IF(D238&lt;=0.5,0,MIN(IF(N(I238)&gt;0,I238,$F$9),D238+E238+F238))</f>
        <v>0</v>
      </c>
      <c r="I238" s="77"/>
      <c r="J238" s="77"/>
      <c r="K238" s="41" t="n">
        <f aca="false">IF(D238&lt;=0.5,0,MIN(H238+N(J238),D238+E238+F238))</f>
        <v>0</v>
      </c>
      <c r="L238" s="41" t="n">
        <f aca="false">K238-E238-F238</f>
        <v>0</v>
      </c>
      <c r="M238" s="41" t="n">
        <f aca="false">D238-L238</f>
        <v>0</v>
      </c>
      <c r="N238" s="42" t="n">
        <f aca="false">K238-G238</f>
        <v>0</v>
      </c>
      <c r="O238" s="78"/>
      <c r="P238" s="79"/>
      <c r="Q238" s="16" t="str">
        <f aca="false">IF(K238=0,"",IF(R238=1,"Pagada",IF(C238&lt;$F$12,"Vencida",IF(212=$F$13,"Próxima","Pendiente"))))</f>
        <v/>
      </c>
      <c r="R238" s="62" t="n">
        <f aca="false">IF(AND(K238&gt;0,OR(O238="Sí",O238="Si")),1,0)</f>
        <v>0</v>
      </c>
      <c r="S238" s="62" t="n">
        <f aca="false">IF(AND(K238&gt;0,R238=0),1,0)</f>
        <v>0</v>
      </c>
    </row>
    <row r="239" customFormat="false" ht="15" hidden="false" customHeight="false" outlineLevel="0" collapsed="false">
      <c r="B239" s="71" t="str">
        <f aca="false">IF($F$6="Sí",N($C$11)+212,"")</f>
        <v/>
      </c>
      <c r="C239" s="72" t="str">
        <f aca="false">IF(OR($F$6&lt;&gt;"Sí",D239&lt;=0.5),"",EDATE($C$10,212))</f>
        <v/>
      </c>
      <c r="D239" s="41" t="n">
        <f aca="false">MAX(0,M238)</f>
        <v>0</v>
      </c>
      <c r="E239" s="41" t="n">
        <f aca="false">D239*$F$7</f>
        <v>0</v>
      </c>
      <c r="F239" s="41" t="n">
        <f aca="false">IF(D239&gt;0.5,N($C$15),0)</f>
        <v>0</v>
      </c>
      <c r="G239" s="41" t="n">
        <f aca="false">IF(AND(D239&gt;0.5,N($C$19)&gt;0,N(B239)&lt;=N($C$20)),D239*$F$8,0)</f>
        <v>0</v>
      </c>
      <c r="H239" s="41" t="n">
        <f aca="false">IF(D239&lt;=0.5,0,MIN(IF(N(I239)&gt;0,I239,$F$9),D239+E239+F239))</f>
        <v>0</v>
      </c>
      <c r="I239" s="77"/>
      <c r="J239" s="77"/>
      <c r="K239" s="41" t="n">
        <f aca="false">IF(D239&lt;=0.5,0,MIN(H239+N(J239),D239+E239+F239))</f>
        <v>0</v>
      </c>
      <c r="L239" s="41" t="n">
        <f aca="false">K239-E239-F239</f>
        <v>0</v>
      </c>
      <c r="M239" s="41" t="n">
        <f aca="false">D239-L239</f>
        <v>0</v>
      </c>
      <c r="N239" s="42" t="n">
        <f aca="false">K239-G239</f>
        <v>0</v>
      </c>
      <c r="O239" s="78"/>
      <c r="P239" s="79"/>
      <c r="Q239" s="16" t="str">
        <f aca="false">IF(K239=0,"",IF(R239=1,"Pagada",IF(C239&lt;$F$12,"Vencida",IF(213=$F$13,"Próxima","Pendiente"))))</f>
        <v/>
      </c>
      <c r="R239" s="62" t="n">
        <f aca="false">IF(AND(K239&gt;0,OR(O239="Sí",O239="Si")),1,0)</f>
        <v>0</v>
      </c>
      <c r="S239" s="62" t="n">
        <f aca="false">IF(AND(K239&gt;0,R239=0),1,0)</f>
        <v>0</v>
      </c>
    </row>
    <row r="240" customFormat="false" ht="15" hidden="false" customHeight="false" outlineLevel="0" collapsed="false">
      <c r="B240" s="71" t="str">
        <f aca="false">IF($F$6="Sí",N($C$11)+213,"")</f>
        <v/>
      </c>
      <c r="C240" s="72" t="str">
        <f aca="false">IF(OR($F$6&lt;&gt;"Sí",D240&lt;=0.5),"",EDATE($C$10,213))</f>
        <v/>
      </c>
      <c r="D240" s="41" t="n">
        <f aca="false">MAX(0,M239)</f>
        <v>0</v>
      </c>
      <c r="E240" s="41" t="n">
        <f aca="false">D240*$F$7</f>
        <v>0</v>
      </c>
      <c r="F240" s="41" t="n">
        <f aca="false">IF(D240&gt;0.5,N($C$15),0)</f>
        <v>0</v>
      </c>
      <c r="G240" s="41" t="n">
        <f aca="false">IF(AND(D240&gt;0.5,N($C$19)&gt;0,N(B240)&lt;=N($C$20)),D240*$F$8,0)</f>
        <v>0</v>
      </c>
      <c r="H240" s="41" t="n">
        <f aca="false">IF(D240&lt;=0.5,0,MIN(IF(N(I240)&gt;0,I240,$F$9),D240+E240+F240))</f>
        <v>0</v>
      </c>
      <c r="I240" s="77"/>
      <c r="J240" s="77"/>
      <c r="K240" s="41" t="n">
        <f aca="false">IF(D240&lt;=0.5,0,MIN(H240+N(J240),D240+E240+F240))</f>
        <v>0</v>
      </c>
      <c r="L240" s="41" t="n">
        <f aca="false">K240-E240-F240</f>
        <v>0</v>
      </c>
      <c r="M240" s="41" t="n">
        <f aca="false">D240-L240</f>
        <v>0</v>
      </c>
      <c r="N240" s="42" t="n">
        <f aca="false">K240-G240</f>
        <v>0</v>
      </c>
      <c r="O240" s="78"/>
      <c r="P240" s="79"/>
      <c r="Q240" s="16" t="str">
        <f aca="false">IF(K240=0,"",IF(R240=1,"Pagada",IF(C240&lt;$F$12,"Vencida",IF(214=$F$13,"Próxima","Pendiente"))))</f>
        <v/>
      </c>
      <c r="R240" s="62" t="n">
        <f aca="false">IF(AND(K240&gt;0,OR(O240="Sí",O240="Si")),1,0)</f>
        <v>0</v>
      </c>
      <c r="S240" s="62" t="n">
        <f aca="false">IF(AND(K240&gt;0,R240=0),1,0)</f>
        <v>0</v>
      </c>
    </row>
    <row r="241" customFormat="false" ht="15" hidden="false" customHeight="false" outlineLevel="0" collapsed="false">
      <c r="B241" s="71" t="str">
        <f aca="false">IF($F$6="Sí",N($C$11)+214,"")</f>
        <v/>
      </c>
      <c r="C241" s="72" t="str">
        <f aca="false">IF(OR($F$6&lt;&gt;"Sí",D241&lt;=0.5),"",EDATE($C$10,214))</f>
        <v/>
      </c>
      <c r="D241" s="41" t="n">
        <f aca="false">MAX(0,M240)</f>
        <v>0</v>
      </c>
      <c r="E241" s="41" t="n">
        <f aca="false">D241*$F$7</f>
        <v>0</v>
      </c>
      <c r="F241" s="41" t="n">
        <f aca="false">IF(D241&gt;0.5,N($C$15),0)</f>
        <v>0</v>
      </c>
      <c r="G241" s="41" t="n">
        <f aca="false">IF(AND(D241&gt;0.5,N($C$19)&gt;0,N(B241)&lt;=N($C$20)),D241*$F$8,0)</f>
        <v>0</v>
      </c>
      <c r="H241" s="41" t="n">
        <f aca="false">IF(D241&lt;=0.5,0,MIN(IF(N(I241)&gt;0,I241,$F$9),D241+E241+F241))</f>
        <v>0</v>
      </c>
      <c r="I241" s="77"/>
      <c r="J241" s="77"/>
      <c r="K241" s="41" t="n">
        <f aca="false">IF(D241&lt;=0.5,0,MIN(H241+N(J241),D241+E241+F241))</f>
        <v>0</v>
      </c>
      <c r="L241" s="41" t="n">
        <f aca="false">K241-E241-F241</f>
        <v>0</v>
      </c>
      <c r="M241" s="41" t="n">
        <f aca="false">D241-L241</f>
        <v>0</v>
      </c>
      <c r="N241" s="42" t="n">
        <f aca="false">K241-G241</f>
        <v>0</v>
      </c>
      <c r="O241" s="78"/>
      <c r="P241" s="79"/>
      <c r="Q241" s="16" t="str">
        <f aca="false">IF(K241=0,"",IF(R241=1,"Pagada",IF(C241&lt;$F$12,"Vencida",IF(215=$F$13,"Próxima","Pendiente"))))</f>
        <v/>
      </c>
      <c r="R241" s="62" t="n">
        <f aca="false">IF(AND(K241&gt;0,OR(O241="Sí",O241="Si")),1,0)</f>
        <v>0</v>
      </c>
      <c r="S241" s="62" t="n">
        <f aca="false">IF(AND(K241&gt;0,R241=0),1,0)</f>
        <v>0</v>
      </c>
    </row>
    <row r="242" customFormat="false" ht="15" hidden="false" customHeight="false" outlineLevel="0" collapsed="false">
      <c r="B242" s="71" t="str">
        <f aca="false">IF($F$6="Sí",N($C$11)+215,"")</f>
        <v/>
      </c>
      <c r="C242" s="72" t="str">
        <f aca="false">IF(OR($F$6&lt;&gt;"Sí",D242&lt;=0.5),"",EDATE($C$10,215))</f>
        <v/>
      </c>
      <c r="D242" s="41" t="n">
        <f aca="false">MAX(0,M241)</f>
        <v>0</v>
      </c>
      <c r="E242" s="41" t="n">
        <f aca="false">D242*$F$7</f>
        <v>0</v>
      </c>
      <c r="F242" s="41" t="n">
        <f aca="false">IF(D242&gt;0.5,N($C$15),0)</f>
        <v>0</v>
      </c>
      <c r="G242" s="41" t="n">
        <f aca="false">IF(AND(D242&gt;0.5,N($C$19)&gt;0,N(B242)&lt;=N($C$20)),D242*$F$8,0)</f>
        <v>0</v>
      </c>
      <c r="H242" s="41" t="n">
        <f aca="false">IF(D242&lt;=0.5,0,MIN(IF(N(I242)&gt;0,I242,$F$9),D242+E242+F242))</f>
        <v>0</v>
      </c>
      <c r="I242" s="77"/>
      <c r="J242" s="77"/>
      <c r="K242" s="41" t="n">
        <f aca="false">IF(D242&lt;=0.5,0,MIN(H242+N(J242),D242+E242+F242))</f>
        <v>0</v>
      </c>
      <c r="L242" s="41" t="n">
        <f aca="false">K242-E242-F242</f>
        <v>0</v>
      </c>
      <c r="M242" s="41" t="n">
        <f aca="false">D242-L242</f>
        <v>0</v>
      </c>
      <c r="N242" s="42" t="n">
        <f aca="false">K242-G242</f>
        <v>0</v>
      </c>
      <c r="O242" s="78"/>
      <c r="P242" s="79"/>
      <c r="Q242" s="16" t="str">
        <f aca="false">IF(K242=0,"",IF(R242=1,"Pagada",IF(C242&lt;$F$12,"Vencida",IF(216=$F$13,"Próxima","Pendiente"))))</f>
        <v/>
      </c>
      <c r="R242" s="62" t="n">
        <f aca="false">IF(AND(K242&gt;0,OR(O242="Sí",O242="Si")),1,0)</f>
        <v>0</v>
      </c>
      <c r="S242" s="62" t="n">
        <f aca="false">IF(AND(K242&gt;0,R242=0),1,0)</f>
        <v>0</v>
      </c>
    </row>
    <row r="243" customFormat="false" ht="15" hidden="false" customHeight="false" outlineLevel="0" collapsed="false">
      <c r="B243" s="71" t="str">
        <f aca="false">IF($F$6="Sí",N($C$11)+216,"")</f>
        <v/>
      </c>
      <c r="C243" s="72" t="str">
        <f aca="false">IF(OR($F$6&lt;&gt;"Sí",D243&lt;=0.5),"",EDATE($C$10,216))</f>
        <v/>
      </c>
      <c r="D243" s="41" t="n">
        <f aca="false">MAX(0,M242)</f>
        <v>0</v>
      </c>
      <c r="E243" s="41" t="n">
        <f aca="false">D243*$F$7</f>
        <v>0</v>
      </c>
      <c r="F243" s="41" t="n">
        <f aca="false">IF(D243&gt;0.5,N($C$15),0)</f>
        <v>0</v>
      </c>
      <c r="G243" s="41" t="n">
        <f aca="false">IF(AND(D243&gt;0.5,N($C$19)&gt;0,N(B243)&lt;=N($C$20)),D243*$F$8,0)</f>
        <v>0</v>
      </c>
      <c r="H243" s="41" t="n">
        <f aca="false">IF(D243&lt;=0.5,0,MIN(IF(N(I243)&gt;0,I243,$F$9),D243+E243+F243))</f>
        <v>0</v>
      </c>
      <c r="I243" s="77"/>
      <c r="J243" s="77"/>
      <c r="K243" s="41" t="n">
        <f aca="false">IF(D243&lt;=0.5,0,MIN(H243+N(J243),D243+E243+F243))</f>
        <v>0</v>
      </c>
      <c r="L243" s="41" t="n">
        <f aca="false">K243-E243-F243</f>
        <v>0</v>
      </c>
      <c r="M243" s="41" t="n">
        <f aca="false">D243-L243</f>
        <v>0</v>
      </c>
      <c r="N243" s="42" t="n">
        <f aca="false">K243-G243</f>
        <v>0</v>
      </c>
      <c r="O243" s="78"/>
      <c r="P243" s="79"/>
      <c r="Q243" s="16" t="str">
        <f aca="false">IF(K243=0,"",IF(R243=1,"Pagada",IF(C243&lt;$F$12,"Vencida",IF(217=$F$13,"Próxima","Pendiente"))))</f>
        <v/>
      </c>
      <c r="R243" s="62" t="n">
        <f aca="false">IF(AND(K243&gt;0,OR(O243="Sí",O243="Si")),1,0)</f>
        <v>0</v>
      </c>
      <c r="S243" s="62" t="n">
        <f aca="false">IF(AND(K243&gt;0,R243=0),1,0)</f>
        <v>0</v>
      </c>
    </row>
    <row r="244" customFormat="false" ht="15" hidden="false" customHeight="false" outlineLevel="0" collapsed="false">
      <c r="B244" s="71" t="str">
        <f aca="false">IF($F$6="Sí",N($C$11)+217,"")</f>
        <v/>
      </c>
      <c r="C244" s="72" t="str">
        <f aca="false">IF(OR($F$6&lt;&gt;"Sí",D244&lt;=0.5),"",EDATE($C$10,217))</f>
        <v/>
      </c>
      <c r="D244" s="41" t="n">
        <f aca="false">MAX(0,M243)</f>
        <v>0</v>
      </c>
      <c r="E244" s="41" t="n">
        <f aca="false">D244*$F$7</f>
        <v>0</v>
      </c>
      <c r="F244" s="41" t="n">
        <f aca="false">IF(D244&gt;0.5,N($C$15),0)</f>
        <v>0</v>
      </c>
      <c r="G244" s="41" t="n">
        <f aca="false">IF(AND(D244&gt;0.5,N($C$19)&gt;0,N(B244)&lt;=N($C$20)),D244*$F$8,0)</f>
        <v>0</v>
      </c>
      <c r="H244" s="41" t="n">
        <f aca="false">IF(D244&lt;=0.5,0,MIN(IF(N(I244)&gt;0,I244,$F$9),D244+E244+F244))</f>
        <v>0</v>
      </c>
      <c r="I244" s="77"/>
      <c r="J244" s="77"/>
      <c r="K244" s="41" t="n">
        <f aca="false">IF(D244&lt;=0.5,0,MIN(H244+N(J244),D244+E244+F244))</f>
        <v>0</v>
      </c>
      <c r="L244" s="41" t="n">
        <f aca="false">K244-E244-F244</f>
        <v>0</v>
      </c>
      <c r="M244" s="41" t="n">
        <f aca="false">D244-L244</f>
        <v>0</v>
      </c>
      <c r="N244" s="42" t="n">
        <f aca="false">K244-G244</f>
        <v>0</v>
      </c>
      <c r="O244" s="78"/>
      <c r="P244" s="79"/>
      <c r="Q244" s="16" t="str">
        <f aca="false">IF(K244=0,"",IF(R244=1,"Pagada",IF(C244&lt;$F$12,"Vencida",IF(218=$F$13,"Próxima","Pendiente"))))</f>
        <v/>
      </c>
      <c r="R244" s="62" t="n">
        <f aca="false">IF(AND(K244&gt;0,OR(O244="Sí",O244="Si")),1,0)</f>
        <v>0</v>
      </c>
      <c r="S244" s="62" t="n">
        <f aca="false">IF(AND(K244&gt;0,R244=0),1,0)</f>
        <v>0</v>
      </c>
    </row>
    <row r="245" customFormat="false" ht="15" hidden="false" customHeight="false" outlineLevel="0" collapsed="false">
      <c r="B245" s="71" t="str">
        <f aca="false">IF($F$6="Sí",N($C$11)+218,"")</f>
        <v/>
      </c>
      <c r="C245" s="72" t="str">
        <f aca="false">IF(OR($F$6&lt;&gt;"Sí",D245&lt;=0.5),"",EDATE($C$10,218))</f>
        <v/>
      </c>
      <c r="D245" s="41" t="n">
        <f aca="false">MAX(0,M244)</f>
        <v>0</v>
      </c>
      <c r="E245" s="41" t="n">
        <f aca="false">D245*$F$7</f>
        <v>0</v>
      </c>
      <c r="F245" s="41" t="n">
        <f aca="false">IF(D245&gt;0.5,N($C$15),0)</f>
        <v>0</v>
      </c>
      <c r="G245" s="41" t="n">
        <f aca="false">IF(AND(D245&gt;0.5,N($C$19)&gt;0,N(B245)&lt;=N($C$20)),D245*$F$8,0)</f>
        <v>0</v>
      </c>
      <c r="H245" s="41" t="n">
        <f aca="false">IF(D245&lt;=0.5,0,MIN(IF(N(I245)&gt;0,I245,$F$9),D245+E245+F245))</f>
        <v>0</v>
      </c>
      <c r="I245" s="77"/>
      <c r="J245" s="77"/>
      <c r="K245" s="41" t="n">
        <f aca="false">IF(D245&lt;=0.5,0,MIN(H245+N(J245),D245+E245+F245))</f>
        <v>0</v>
      </c>
      <c r="L245" s="41" t="n">
        <f aca="false">K245-E245-F245</f>
        <v>0</v>
      </c>
      <c r="M245" s="41" t="n">
        <f aca="false">D245-L245</f>
        <v>0</v>
      </c>
      <c r="N245" s="42" t="n">
        <f aca="false">K245-G245</f>
        <v>0</v>
      </c>
      <c r="O245" s="78"/>
      <c r="P245" s="79"/>
      <c r="Q245" s="16" t="str">
        <f aca="false">IF(K245=0,"",IF(R245=1,"Pagada",IF(C245&lt;$F$12,"Vencida",IF(219=$F$13,"Próxima","Pendiente"))))</f>
        <v/>
      </c>
      <c r="R245" s="62" t="n">
        <f aca="false">IF(AND(K245&gt;0,OR(O245="Sí",O245="Si")),1,0)</f>
        <v>0</v>
      </c>
      <c r="S245" s="62" t="n">
        <f aca="false">IF(AND(K245&gt;0,R245=0),1,0)</f>
        <v>0</v>
      </c>
    </row>
    <row r="246" customFormat="false" ht="15" hidden="false" customHeight="false" outlineLevel="0" collapsed="false">
      <c r="B246" s="71" t="str">
        <f aca="false">IF($F$6="Sí",N($C$11)+219,"")</f>
        <v/>
      </c>
      <c r="C246" s="72" t="str">
        <f aca="false">IF(OR($F$6&lt;&gt;"Sí",D246&lt;=0.5),"",EDATE($C$10,219))</f>
        <v/>
      </c>
      <c r="D246" s="41" t="n">
        <f aca="false">MAX(0,M245)</f>
        <v>0</v>
      </c>
      <c r="E246" s="41" t="n">
        <f aca="false">D246*$F$7</f>
        <v>0</v>
      </c>
      <c r="F246" s="41" t="n">
        <f aca="false">IF(D246&gt;0.5,N($C$15),0)</f>
        <v>0</v>
      </c>
      <c r="G246" s="41" t="n">
        <f aca="false">IF(AND(D246&gt;0.5,N($C$19)&gt;0,N(B246)&lt;=N($C$20)),D246*$F$8,0)</f>
        <v>0</v>
      </c>
      <c r="H246" s="41" t="n">
        <f aca="false">IF(D246&lt;=0.5,0,MIN(IF(N(I246)&gt;0,I246,$F$9),D246+E246+F246))</f>
        <v>0</v>
      </c>
      <c r="I246" s="77"/>
      <c r="J246" s="77"/>
      <c r="K246" s="41" t="n">
        <f aca="false">IF(D246&lt;=0.5,0,MIN(H246+N(J246),D246+E246+F246))</f>
        <v>0</v>
      </c>
      <c r="L246" s="41" t="n">
        <f aca="false">K246-E246-F246</f>
        <v>0</v>
      </c>
      <c r="M246" s="41" t="n">
        <f aca="false">D246-L246</f>
        <v>0</v>
      </c>
      <c r="N246" s="42" t="n">
        <f aca="false">K246-G246</f>
        <v>0</v>
      </c>
      <c r="O246" s="78"/>
      <c r="P246" s="79"/>
      <c r="Q246" s="16" t="str">
        <f aca="false">IF(K246=0,"",IF(R246=1,"Pagada",IF(C246&lt;$F$12,"Vencida",IF(220=$F$13,"Próxima","Pendiente"))))</f>
        <v/>
      </c>
      <c r="R246" s="62" t="n">
        <f aca="false">IF(AND(K246&gt;0,OR(O246="Sí",O246="Si")),1,0)</f>
        <v>0</v>
      </c>
      <c r="S246" s="62" t="n">
        <f aca="false">IF(AND(K246&gt;0,R246=0),1,0)</f>
        <v>0</v>
      </c>
    </row>
    <row r="247" customFormat="false" ht="15" hidden="false" customHeight="false" outlineLevel="0" collapsed="false">
      <c r="B247" s="71" t="str">
        <f aca="false">IF($F$6="Sí",N($C$11)+220,"")</f>
        <v/>
      </c>
      <c r="C247" s="72" t="str">
        <f aca="false">IF(OR($F$6&lt;&gt;"Sí",D247&lt;=0.5),"",EDATE($C$10,220))</f>
        <v/>
      </c>
      <c r="D247" s="41" t="n">
        <f aca="false">MAX(0,M246)</f>
        <v>0</v>
      </c>
      <c r="E247" s="41" t="n">
        <f aca="false">D247*$F$7</f>
        <v>0</v>
      </c>
      <c r="F247" s="41" t="n">
        <f aca="false">IF(D247&gt;0.5,N($C$15),0)</f>
        <v>0</v>
      </c>
      <c r="G247" s="41" t="n">
        <f aca="false">IF(AND(D247&gt;0.5,N($C$19)&gt;0,N(B247)&lt;=N($C$20)),D247*$F$8,0)</f>
        <v>0</v>
      </c>
      <c r="H247" s="41" t="n">
        <f aca="false">IF(D247&lt;=0.5,0,MIN(IF(N(I247)&gt;0,I247,$F$9),D247+E247+F247))</f>
        <v>0</v>
      </c>
      <c r="I247" s="77"/>
      <c r="J247" s="77"/>
      <c r="K247" s="41" t="n">
        <f aca="false">IF(D247&lt;=0.5,0,MIN(H247+N(J247),D247+E247+F247))</f>
        <v>0</v>
      </c>
      <c r="L247" s="41" t="n">
        <f aca="false">K247-E247-F247</f>
        <v>0</v>
      </c>
      <c r="M247" s="41" t="n">
        <f aca="false">D247-L247</f>
        <v>0</v>
      </c>
      <c r="N247" s="42" t="n">
        <f aca="false">K247-G247</f>
        <v>0</v>
      </c>
      <c r="O247" s="78"/>
      <c r="P247" s="79"/>
      <c r="Q247" s="16" t="str">
        <f aca="false">IF(K247=0,"",IF(R247=1,"Pagada",IF(C247&lt;$F$12,"Vencida",IF(221=$F$13,"Próxima","Pendiente"))))</f>
        <v/>
      </c>
      <c r="R247" s="62" t="n">
        <f aca="false">IF(AND(K247&gt;0,OR(O247="Sí",O247="Si")),1,0)</f>
        <v>0</v>
      </c>
      <c r="S247" s="62" t="n">
        <f aca="false">IF(AND(K247&gt;0,R247=0),1,0)</f>
        <v>0</v>
      </c>
    </row>
    <row r="248" customFormat="false" ht="15" hidden="false" customHeight="false" outlineLevel="0" collapsed="false">
      <c r="B248" s="71" t="str">
        <f aca="false">IF($F$6="Sí",N($C$11)+221,"")</f>
        <v/>
      </c>
      <c r="C248" s="72" t="str">
        <f aca="false">IF(OR($F$6&lt;&gt;"Sí",D248&lt;=0.5),"",EDATE($C$10,221))</f>
        <v/>
      </c>
      <c r="D248" s="41" t="n">
        <f aca="false">MAX(0,M247)</f>
        <v>0</v>
      </c>
      <c r="E248" s="41" t="n">
        <f aca="false">D248*$F$7</f>
        <v>0</v>
      </c>
      <c r="F248" s="41" t="n">
        <f aca="false">IF(D248&gt;0.5,N($C$15),0)</f>
        <v>0</v>
      </c>
      <c r="G248" s="41" t="n">
        <f aca="false">IF(AND(D248&gt;0.5,N($C$19)&gt;0,N(B248)&lt;=N($C$20)),D248*$F$8,0)</f>
        <v>0</v>
      </c>
      <c r="H248" s="41" t="n">
        <f aca="false">IF(D248&lt;=0.5,0,MIN(IF(N(I248)&gt;0,I248,$F$9),D248+E248+F248))</f>
        <v>0</v>
      </c>
      <c r="I248" s="77"/>
      <c r="J248" s="77"/>
      <c r="K248" s="41" t="n">
        <f aca="false">IF(D248&lt;=0.5,0,MIN(H248+N(J248),D248+E248+F248))</f>
        <v>0</v>
      </c>
      <c r="L248" s="41" t="n">
        <f aca="false">K248-E248-F248</f>
        <v>0</v>
      </c>
      <c r="M248" s="41" t="n">
        <f aca="false">D248-L248</f>
        <v>0</v>
      </c>
      <c r="N248" s="42" t="n">
        <f aca="false">K248-G248</f>
        <v>0</v>
      </c>
      <c r="O248" s="78"/>
      <c r="P248" s="79"/>
      <c r="Q248" s="16" t="str">
        <f aca="false">IF(K248=0,"",IF(R248=1,"Pagada",IF(C248&lt;$F$12,"Vencida",IF(222=$F$13,"Próxima","Pendiente"))))</f>
        <v/>
      </c>
      <c r="R248" s="62" t="n">
        <f aca="false">IF(AND(K248&gt;0,OR(O248="Sí",O248="Si")),1,0)</f>
        <v>0</v>
      </c>
      <c r="S248" s="62" t="n">
        <f aca="false">IF(AND(K248&gt;0,R248=0),1,0)</f>
        <v>0</v>
      </c>
    </row>
    <row r="249" customFormat="false" ht="15" hidden="false" customHeight="false" outlineLevel="0" collapsed="false">
      <c r="B249" s="71" t="str">
        <f aca="false">IF($F$6="Sí",N($C$11)+222,"")</f>
        <v/>
      </c>
      <c r="C249" s="72" t="str">
        <f aca="false">IF(OR($F$6&lt;&gt;"Sí",D249&lt;=0.5),"",EDATE($C$10,222))</f>
        <v/>
      </c>
      <c r="D249" s="41" t="n">
        <f aca="false">MAX(0,M248)</f>
        <v>0</v>
      </c>
      <c r="E249" s="41" t="n">
        <f aca="false">D249*$F$7</f>
        <v>0</v>
      </c>
      <c r="F249" s="41" t="n">
        <f aca="false">IF(D249&gt;0.5,N($C$15),0)</f>
        <v>0</v>
      </c>
      <c r="G249" s="41" t="n">
        <f aca="false">IF(AND(D249&gt;0.5,N($C$19)&gt;0,N(B249)&lt;=N($C$20)),D249*$F$8,0)</f>
        <v>0</v>
      </c>
      <c r="H249" s="41" t="n">
        <f aca="false">IF(D249&lt;=0.5,0,MIN(IF(N(I249)&gt;0,I249,$F$9),D249+E249+F249))</f>
        <v>0</v>
      </c>
      <c r="I249" s="77"/>
      <c r="J249" s="77"/>
      <c r="K249" s="41" t="n">
        <f aca="false">IF(D249&lt;=0.5,0,MIN(H249+N(J249),D249+E249+F249))</f>
        <v>0</v>
      </c>
      <c r="L249" s="41" t="n">
        <f aca="false">K249-E249-F249</f>
        <v>0</v>
      </c>
      <c r="M249" s="41" t="n">
        <f aca="false">D249-L249</f>
        <v>0</v>
      </c>
      <c r="N249" s="42" t="n">
        <f aca="false">K249-G249</f>
        <v>0</v>
      </c>
      <c r="O249" s="78"/>
      <c r="P249" s="79"/>
      <c r="Q249" s="16" t="str">
        <f aca="false">IF(K249=0,"",IF(R249=1,"Pagada",IF(C249&lt;$F$12,"Vencida",IF(223=$F$13,"Próxima","Pendiente"))))</f>
        <v/>
      </c>
      <c r="R249" s="62" t="n">
        <f aca="false">IF(AND(K249&gt;0,OR(O249="Sí",O249="Si")),1,0)</f>
        <v>0</v>
      </c>
      <c r="S249" s="62" t="n">
        <f aca="false">IF(AND(K249&gt;0,R249=0),1,0)</f>
        <v>0</v>
      </c>
    </row>
    <row r="250" customFormat="false" ht="15" hidden="false" customHeight="false" outlineLevel="0" collapsed="false">
      <c r="B250" s="71" t="str">
        <f aca="false">IF($F$6="Sí",N($C$11)+223,"")</f>
        <v/>
      </c>
      <c r="C250" s="72" t="str">
        <f aca="false">IF(OR($F$6&lt;&gt;"Sí",D250&lt;=0.5),"",EDATE($C$10,223))</f>
        <v/>
      </c>
      <c r="D250" s="41" t="n">
        <f aca="false">MAX(0,M249)</f>
        <v>0</v>
      </c>
      <c r="E250" s="41" t="n">
        <f aca="false">D250*$F$7</f>
        <v>0</v>
      </c>
      <c r="F250" s="41" t="n">
        <f aca="false">IF(D250&gt;0.5,N($C$15),0)</f>
        <v>0</v>
      </c>
      <c r="G250" s="41" t="n">
        <f aca="false">IF(AND(D250&gt;0.5,N($C$19)&gt;0,N(B250)&lt;=N($C$20)),D250*$F$8,0)</f>
        <v>0</v>
      </c>
      <c r="H250" s="41" t="n">
        <f aca="false">IF(D250&lt;=0.5,0,MIN(IF(N(I250)&gt;0,I250,$F$9),D250+E250+F250))</f>
        <v>0</v>
      </c>
      <c r="I250" s="77"/>
      <c r="J250" s="77"/>
      <c r="K250" s="41" t="n">
        <f aca="false">IF(D250&lt;=0.5,0,MIN(H250+N(J250),D250+E250+F250))</f>
        <v>0</v>
      </c>
      <c r="L250" s="41" t="n">
        <f aca="false">K250-E250-F250</f>
        <v>0</v>
      </c>
      <c r="M250" s="41" t="n">
        <f aca="false">D250-L250</f>
        <v>0</v>
      </c>
      <c r="N250" s="42" t="n">
        <f aca="false">K250-G250</f>
        <v>0</v>
      </c>
      <c r="O250" s="78"/>
      <c r="P250" s="79"/>
      <c r="Q250" s="16" t="str">
        <f aca="false">IF(K250=0,"",IF(R250=1,"Pagada",IF(C250&lt;$F$12,"Vencida",IF(224=$F$13,"Próxima","Pendiente"))))</f>
        <v/>
      </c>
      <c r="R250" s="62" t="n">
        <f aca="false">IF(AND(K250&gt;0,OR(O250="Sí",O250="Si")),1,0)</f>
        <v>0</v>
      </c>
      <c r="S250" s="62" t="n">
        <f aca="false">IF(AND(K250&gt;0,R250=0),1,0)</f>
        <v>0</v>
      </c>
    </row>
    <row r="251" customFormat="false" ht="15" hidden="false" customHeight="false" outlineLevel="0" collapsed="false">
      <c r="B251" s="71" t="str">
        <f aca="false">IF($F$6="Sí",N($C$11)+224,"")</f>
        <v/>
      </c>
      <c r="C251" s="72" t="str">
        <f aca="false">IF(OR($F$6&lt;&gt;"Sí",D251&lt;=0.5),"",EDATE($C$10,224))</f>
        <v/>
      </c>
      <c r="D251" s="41" t="n">
        <f aca="false">MAX(0,M250)</f>
        <v>0</v>
      </c>
      <c r="E251" s="41" t="n">
        <f aca="false">D251*$F$7</f>
        <v>0</v>
      </c>
      <c r="F251" s="41" t="n">
        <f aca="false">IF(D251&gt;0.5,N($C$15),0)</f>
        <v>0</v>
      </c>
      <c r="G251" s="41" t="n">
        <f aca="false">IF(AND(D251&gt;0.5,N($C$19)&gt;0,N(B251)&lt;=N($C$20)),D251*$F$8,0)</f>
        <v>0</v>
      </c>
      <c r="H251" s="41" t="n">
        <f aca="false">IF(D251&lt;=0.5,0,MIN(IF(N(I251)&gt;0,I251,$F$9),D251+E251+F251))</f>
        <v>0</v>
      </c>
      <c r="I251" s="77"/>
      <c r="J251" s="77"/>
      <c r="K251" s="41" t="n">
        <f aca="false">IF(D251&lt;=0.5,0,MIN(H251+N(J251),D251+E251+F251))</f>
        <v>0</v>
      </c>
      <c r="L251" s="41" t="n">
        <f aca="false">K251-E251-F251</f>
        <v>0</v>
      </c>
      <c r="M251" s="41" t="n">
        <f aca="false">D251-L251</f>
        <v>0</v>
      </c>
      <c r="N251" s="42" t="n">
        <f aca="false">K251-G251</f>
        <v>0</v>
      </c>
      <c r="O251" s="78"/>
      <c r="P251" s="79"/>
      <c r="Q251" s="16" t="str">
        <f aca="false">IF(K251=0,"",IF(R251=1,"Pagada",IF(C251&lt;$F$12,"Vencida",IF(225=$F$13,"Próxima","Pendiente"))))</f>
        <v/>
      </c>
      <c r="R251" s="62" t="n">
        <f aca="false">IF(AND(K251&gt;0,OR(O251="Sí",O251="Si")),1,0)</f>
        <v>0</v>
      </c>
      <c r="S251" s="62" t="n">
        <f aca="false">IF(AND(K251&gt;0,R251=0),1,0)</f>
        <v>0</v>
      </c>
    </row>
    <row r="252" customFormat="false" ht="15" hidden="false" customHeight="false" outlineLevel="0" collapsed="false">
      <c r="B252" s="71" t="str">
        <f aca="false">IF($F$6="Sí",N($C$11)+225,"")</f>
        <v/>
      </c>
      <c r="C252" s="72" t="str">
        <f aca="false">IF(OR($F$6&lt;&gt;"Sí",D252&lt;=0.5),"",EDATE($C$10,225))</f>
        <v/>
      </c>
      <c r="D252" s="41" t="n">
        <f aca="false">MAX(0,M251)</f>
        <v>0</v>
      </c>
      <c r="E252" s="41" t="n">
        <f aca="false">D252*$F$7</f>
        <v>0</v>
      </c>
      <c r="F252" s="41" t="n">
        <f aca="false">IF(D252&gt;0.5,N($C$15),0)</f>
        <v>0</v>
      </c>
      <c r="G252" s="41" t="n">
        <f aca="false">IF(AND(D252&gt;0.5,N($C$19)&gt;0,N(B252)&lt;=N($C$20)),D252*$F$8,0)</f>
        <v>0</v>
      </c>
      <c r="H252" s="41" t="n">
        <f aca="false">IF(D252&lt;=0.5,0,MIN(IF(N(I252)&gt;0,I252,$F$9),D252+E252+F252))</f>
        <v>0</v>
      </c>
      <c r="I252" s="77"/>
      <c r="J252" s="77"/>
      <c r="K252" s="41" t="n">
        <f aca="false">IF(D252&lt;=0.5,0,MIN(H252+N(J252),D252+E252+F252))</f>
        <v>0</v>
      </c>
      <c r="L252" s="41" t="n">
        <f aca="false">K252-E252-F252</f>
        <v>0</v>
      </c>
      <c r="M252" s="41" t="n">
        <f aca="false">D252-L252</f>
        <v>0</v>
      </c>
      <c r="N252" s="42" t="n">
        <f aca="false">K252-G252</f>
        <v>0</v>
      </c>
      <c r="O252" s="78"/>
      <c r="P252" s="79"/>
      <c r="Q252" s="16" t="str">
        <f aca="false">IF(K252=0,"",IF(R252=1,"Pagada",IF(C252&lt;$F$12,"Vencida",IF(226=$F$13,"Próxima","Pendiente"))))</f>
        <v/>
      </c>
      <c r="R252" s="62" t="n">
        <f aca="false">IF(AND(K252&gt;0,OR(O252="Sí",O252="Si")),1,0)</f>
        <v>0</v>
      </c>
      <c r="S252" s="62" t="n">
        <f aca="false">IF(AND(K252&gt;0,R252=0),1,0)</f>
        <v>0</v>
      </c>
    </row>
    <row r="253" customFormat="false" ht="15" hidden="false" customHeight="false" outlineLevel="0" collapsed="false">
      <c r="B253" s="71" t="str">
        <f aca="false">IF($F$6="Sí",N($C$11)+226,"")</f>
        <v/>
      </c>
      <c r="C253" s="72" t="str">
        <f aca="false">IF(OR($F$6&lt;&gt;"Sí",D253&lt;=0.5),"",EDATE($C$10,226))</f>
        <v/>
      </c>
      <c r="D253" s="41" t="n">
        <f aca="false">MAX(0,M252)</f>
        <v>0</v>
      </c>
      <c r="E253" s="41" t="n">
        <f aca="false">D253*$F$7</f>
        <v>0</v>
      </c>
      <c r="F253" s="41" t="n">
        <f aca="false">IF(D253&gt;0.5,N($C$15),0)</f>
        <v>0</v>
      </c>
      <c r="G253" s="41" t="n">
        <f aca="false">IF(AND(D253&gt;0.5,N($C$19)&gt;0,N(B253)&lt;=N($C$20)),D253*$F$8,0)</f>
        <v>0</v>
      </c>
      <c r="H253" s="41" t="n">
        <f aca="false">IF(D253&lt;=0.5,0,MIN(IF(N(I253)&gt;0,I253,$F$9),D253+E253+F253))</f>
        <v>0</v>
      </c>
      <c r="I253" s="77"/>
      <c r="J253" s="77"/>
      <c r="K253" s="41" t="n">
        <f aca="false">IF(D253&lt;=0.5,0,MIN(H253+N(J253),D253+E253+F253))</f>
        <v>0</v>
      </c>
      <c r="L253" s="41" t="n">
        <f aca="false">K253-E253-F253</f>
        <v>0</v>
      </c>
      <c r="M253" s="41" t="n">
        <f aca="false">D253-L253</f>
        <v>0</v>
      </c>
      <c r="N253" s="42" t="n">
        <f aca="false">K253-G253</f>
        <v>0</v>
      </c>
      <c r="O253" s="78"/>
      <c r="P253" s="79"/>
      <c r="Q253" s="16" t="str">
        <f aca="false">IF(K253=0,"",IF(R253=1,"Pagada",IF(C253&lt;$F$12,"Vencida",IF(227=$F$13,"Próxima","Pendiente"))))</f>
        <v/>
      </c>
      <c r="R253" s="62" t="n">
        <f aca="false">IF(AND(K253&gt;0,OR(O253="Sí",O253="Si")),1,0)</f>
        <v>0</v>
      </c>
      <c r="S253" s="62" t="n">
        <f aca="false">IF(AND(K253&gt;0,R253=0),1,0)</f>
        <v>0</v>
      </c>
    </row>
    <row r="254" customFormat="false" ht="15" hidden="false" customHeight="false" outlineLevel="0" collapsed="false">
      <c r="B254" s="71" t="str">
        <f aca="false">IF($F$6="Sí",N($C$11)+227,"")</f>
        <v/>
      </c>
      <c r="C254" s="72" t="str">
        <f aca="false">IF(OR($F$6&lt;&gt;"Sí",D254&lt;=0.5),"",EDATE($C$10,227))</f>
        <v/>
      </c>
      <c r="D254" s="41" t="n">
        <f aca="false">MAX(0,M253)</f>
        <v>0</v>
      </c>
      <c r="E254" s="41" t="n">
        <f aca="false">D254*$F$7</f>
        <v>0</v>
      </c>
      <c r="F254" s="41" t="n">
        <f aca="false">IF(D254&gt;0.5,N($C$15),0)</f>
        <v>0</v>
      </c>
      <c r="G254" s="41" t="n">
        <f aca="false">IF(AND(D254&gt;0.5,N($C$19)&gt;0,N(B254)&lt;=N($C$20)),D254*$F$8,0)</f>
        <v>0</v>
      </c>
      <c r="H254" s="41" t="n">
        <f aca="false">IF(D254&lt;=0.5,0,MIN(IF(N(I254)&gt;0,I254,$F$9),D254+E254+F254))</f>
        <v>0</v>
      </c>
      <c r="I254" s="77"/>
      <c r="J254" s="77"/>
      <c r="K254" s="41" t="n">
        <f aca="false">IF(D254&lt;=0.5,0,MIN(H254+N(J254),D254+E254+F254))</f>
        <v>0</v>
      </c>
      <c r="L254" s="41" t="n">
        <f aca="false">K254-E254-F254</f>
        <v>0</v>
      </c>
      <c r="M254" s="41" t="n">
        <f aca="false">D254-L254</f>
        <v>0</v>
      </c>
      <c r="N254" s="42" t="n">
        <f aca="false">K254-G254</f>
        <v>0</v>
      </c>
      <c r="O254" s="78"/>
      <c r="P254" s="79"/>
      <c r="Q254" s="16" t="str">
        <f aca="false">IF(K254=0,"",IF(R254=1,"Pagada",IF(C254&lt;$F$12,"Vencida",IF(228=$F$13,"Próxima","Pendiente"))))</f>
        <v/>
      </c>
      <c r="R254" s="62" t="n">
        <f aca="false">IF(AND(K254&gt;0,OR(O254="Sí",O254="Si")),1,0)</f>
        <v>0</v>
      </c>
      <c r="S254" s="62" t="n">
        <f aca="false">IF(AND(K254&gt;0,R254=0),1,0)</f>
        <v>0</v>
      </c>
    </row>
    <row r="255" customFormat="false" ht="15" hidden="false" customHeight="false" outlineLevel="0" collapsed="false">
      <c r="B255" s="71" t="str">
        <f aca="false">IF($F$6="Sí",N($C$11)+228,"")</f>
        <v/>
      </c>
      <c r="C255" s="72" t="str">
        <f aca="false">IF(OR($F$6&lt;&gt;"Sí",D255&lt;=0.5),"",EDATE($C$10,228))</f>
        <v/>
      </c>
      <c r="D255" s="41" t="n">
        <f aca="false">MAX(0,M254)</f>
        <v>0</v>
      </c>
      <c r="E255" s="41" t="n">
        <f aca="false">D255*$F$7</f>
        <v>0</v>
      </c>
      <c r="F255" s="41" t="n">
        <f aca="false">IF(D255&gt;0.5,N($C$15),0)</f>
        <v>0</v>
      </c>
      <c r="G255" s="41" t="n">
        <f aca="false">IF(AND(D255&gt;0.5,N($C$19)&gt;0,N(B255)&lt;=N($C$20)),D255*$F$8,0)</f>
        <v>0</v>
      </c>
      <c r="H255" s="41" t="n">
        <f aca="false">IF(D255&lt;=0.5,0,MIN(IF(N(I255)&gt;0,I255,$F$9),D255+E255+F255))</f>
        <v>0</v>
      </c>
      <c r="I255" s="77"/>
      <c r="J255" s="77"/>
      <c r="K255" s="41" t="n">
        <f aca="false">IF(D255&lt;=0.5,0,MIN(H255+N(J255),D255+E255+F255))</f>
        <v>0</v>
      </c>
      <c r="L255" s="41" t="n">
        <f aca="false">K255-E255-F255</f>
        <v>0</v>
      </c>
      <c r="M255" s="41" t="n">
        <f aca="false">D255-L255</f>
        <v>0</v>
      </c>
      <c r="N255" s="42" t="n">
        <f aca="false">K255-G255</f>
        <v>0</v>
      </c>
      <c r="O255" s="78"/>
      <c r="P255" s="79"/>
      <c r="Q255" s="16" t="str">
        <f aca="false">IF(K255=0,"",IF(R255=1,"Pagada",IF(C255&lt;$F$12,"Vencida",IF(229=$F$13,"Próxima","Pendiente"))))</f>
        <v/>
      </c>
      <c r="R255" s="62" t="n">
        <f aca="false">IF(AND(K255&gt;0,OR(O255="Sí",O255="Si")),1,0)</f>
        <v>0</v>
      </c>
      <c r="S255" s="62" t="n">
        <f aca="false">IF(AND(K255&gt;0,R255=0),1,0)</f>
        <v>0</v>
      </c>
    </row>
    <row r="256" customFormat="false" ht="15" hidden="false" customHeight="false" outlineLevel="0" collapsed="false">
      <c r="B256" s="71" t="str">
        <f aca="false">IF($F$6="Sí",N($C$11)+229,"")</f>
        <v/>
      </c>
      <c r="C256" s="72" t="str">
        <f aca="false">IF(OR($F$6&lt;&gt;"Sí",D256&lt;=0.5),"",EDATE($C$10,229))</f>
        <v/>
      </c>
      <c r="D256" s="41" t="n">
        <f aca="false">MAX(0,M255)</f>
        <v>0</v>
      </c>
      <c r="E256" s="41" t="n">
        <f aca="false">D256*$F$7</f>
        <v>0</v>
      </c>
      <c r="F256" s="41" t="n">
        <f aca="false">IF(D256&gt;0.5,N($C$15),0)</f>
        <v>0</v>
      </c>
      <c r="G256" s="41" t="n">
        <f aca="false">IF(AND(D256&gt;0.5,N($C$19)&gt;0,N(B256)&lt;=N($C$20)),D256*$F$8,0)</f>
        <v>0</v>
      </c>
      <c r="H256" s="41" t="n">
        <f aca="false">IF(D256&lt;=0.5,0,MIN(IF(N(I256)&gt;0,I256,$F$9),D256+E256+F256))</f>
        <v>0</v>
      </c>
      <c r="I256" s="77"/>
      <c r="J256" s="77"/>
      <c r="K256" s="41" t="n">
        <f aca="false">IF(D256&lt;=0.5,0,MIN(H256+N(J256),D256+E256+F256))</f>
        <v>0</v>
      </c>
      <c r="L256" s="41" t="n">
        <f aca="false">K256-E256-F256</f>
        <v>0</v>
      </c>
      <c r="M256" s="41" t="n">
        <f aca="false">D256-L256</f>
        <v>0</v>
      </c>
      <c r="N256" s="42" t="n">
        <f aca="false">K256-G256</f>
        <v>0</v>
      </c>
      <c r="O256" s="78"/>
      <c r="P256" s="79"/>
      <c r="Q256" s="16" t="str">
        <f aca="false">IF(K256=0,"",IF(R256=1,"Pagada",IF(C256&lt;$F$12,"Vencida",IF(230=$F$13,"Próxima","Pendiente"))))</f>
        <v/>
      </c>
      <c r="R256" s="62" t="n">
        <f aca="false">IF(AND(K256&gt;0,OR(O256="Sí",O256="Si")),1,0)</f>
        <v>0</v>
      </c>
      <c r="S256" s="62" t="n">
        <f aca="false">IF(AND(K256&gt;0,R256=0),1,0)</f>
        <v>0</v>
      </c>
    </row>
    <row r="257" customFormat="false" ht="15" hidden="false" customHeight="false" outlineLevel="0" collapsed="false">
      <c r="B257" s="71" t="str">
        <f aca="false">IF($F$6="Sí",N($C$11)+230,"")</f>
        <v/>
      </c>
      <c r="C257" s="72" t="str">
        <f aca="false">IF(OR($F$6&lt;&gt;"Sí",D257&lt;=0.5),"",EDATE($C$10,230))</f>
        <v/>
      </c>
      <c r="D257" s="41" t="n">
        <f aca="false">MAX(0,M256)</f>
        <v>0</v>
      </c>
      <c r="E257" s="41" t="n">
        <f aca="false">D257*$F$7</f>
        <v>0</v>
      </c>
      <c r="F257" s="41" t="n">
        <f aca="false">IF(D257&gt;0.5,N($C$15),0)</f>
        <v>0</v>
      </c>
      <c r="G257" s="41" t="n">
        <f aca="false">IF(AND(D257&gt;0.5,N($C$19)&gt;0,N(B257)&lt;=N($C$20)),D257*$F$8,0)</f>
        <v>0</v>
      </c>
      <c r="H257" s="41" t="n">
        <f aca="false">IF(D257&lt;=0.5,0,MIN(IF(N(I257)&gt;0,I257,$F$9),D257+E257+F257))</f>
        <v>0</v>
      </c>
      <c r="I257" s="77"/>
      <c r="J257" s="77"/>
      <c r="K257" s="41" t="n">
        <f aca="false">IF(D257&lt;=0.5,0,MIN(H257+N(J257),D257+E257+F257))</f>
        <v>0</v>
      </c>
      <c r="L257" s="41" t="n">
        <f aca="false">K257-E257-F257</f>
        <v>0</v>
      </c>
      <c r="M257" s="41" t="n">
        <f aca="false">D257-L257</f>
        <v>0</v>
      </c>
      <c r="N257" s="42" t="n">
        <f aca="false">K257-G257</f>
        <v>0</v>
      </c>
      <c r="O257" s="78"/>
      <c r="P257" s="79"/>
      <c r="Q257" s="16" t="str">
        <f aca="false">IF(K257=0,"",IF(R257=1,"Pagada",IF(C257&lt;$F$12,"Vencida",IF(231=$F$13,"Próxima","Pendiente"))))</f>
        <v/>
      </c>
      <c r="R257" s="62" t="n">
        <f aca="false">IF(AND(K257&gt;0,OR(O257="Sí",O257="Si")),1,0)</f>
        <v>0</v>
      </c>
      <c r="S257" s="62" t="n">
        <f aca="false">IF(AND(K257&gt;0,R257=0),1,0)</f>
        <v>0</v>
      </c>
    </row>
    <row r="258" customFormat="false" ht="15" hidden="false" customHeight="false" outlineLevel="0" collapsed="false">
      <c r="B258" s="71" t="str">
        <f aca="false">IF($F$6="Sí",N($C$11)+231,"")</f>
        <v/>
      </c>
      <c r="C258" s="72" t="str">
        <f aca="false">IF(OR($F$6&lt;&gt;"Sí",D258&lt;=0.5),"",EDATE($C$10,231))</f>
        <v/>
      </c>
      <c r="D258" s="41" t="n">
        <f aca="false">MAX(0,M257)</f>
        <v>0</v>
      </c>
      <c r="E258" s="41" t="n">
        <f aca="false">D258*$F$7</f>
        <v>0</v>
      </c>
      <c r="F258" s="41" t="n">
        <f aca="false">IF(D258&gt;0.5,N($C$15),0)</f>
        <v>0</v>
      </c>
      <c r="G258" s="41" t="n">
        <f aca="false">IF(AND(D258&gt;0.5,N($C$19)&gt;0,N(B258)&lt;=N($C$20)),D258*$F$8,0)</f>
        <v>0</v>
      </c>
      <c r="H258" s="41" t="n">
        <f aca="false">IF(D258&lt;=0.5,0,MIN(IF(N(I258)&gt;0,I258,$F$9),D258+E258+F258))</f>
        <v>0</v>
      </c>
      <c r="I258" s="77"/>
      <c r="J258" s="77"/>
      <c r="K258" s="41" t="n">
        <f aca="false">IF(D258&lt;=0.5,0,MIN(H258+N(J258),D258+E258+F258))</f>
        <v>0</v>
      </c>
      <c r="L258" s="41" t="n">
        <f aca="false">K258-E258-F258</f>
        <v>0</v>
      </c>
      <c r="M258" s="41" t="n">
        <f aca="false">D258-L258</f>
        <v>0</v>
      </c>
      <c r="N258" s="42" t="n">
        <f aca="false">K258-G258</f>
        <v>0</v>
      </c>
      <c r="O258" s="78"/>
      <c r="P258" s="79"/>
      <c r="Q258" s="16" t="str">
        <f aca="false">IF(K258=0,"",IF(R258=1,"Pagada",IF(C258&lt;$F$12,"Vencida",IF(232=$F$13,"Próxima","Pendiente"))))</f>
        <v/>
      </c>
      <c r="R258" s="62" t="n">
        <f aca="false">IF(AND(K258&gt;0,OR(O258="Sí",O258="Si")),1,0)</f>
        <v>0</v>
      </c>
      <c r="S258" s="62" t="n">
        <f aca="false">IF(AND(K258&gt;0,R258=0),1,0)</f>
        <v>0</v>
      </c>
    </row>
    <row r="259" customFormat="false" ht="15" hidden="false" customHeight="false" outlineLevel="0" collapsed="false">
      <c r="B259" s="71" t="str">
        <f aca="false">IF($F$6="Sí",N($C$11)+232,"")</f>
        <v/>
      </c>
      <c r="C259" s="72" t="str">
        <f aca="false">IF(OR($F$6&lt;&gt;"Sí",D259&lt;=0.5),"",EDATE($C$10,232))</f>
        <v/>
      </c>
      <c r="D259" s="41" t="n">
        <f aca="false">MAX(0,M258)</f>
        <v>0</v>
      </c>
      <c r="E259" s="41" t="n">
        <f aca="false">D259*$F$7</f>
        <v>0</v>
      </c>
      <c r="F259" s="41" t="n">
        <f aca="false">IF(D259&gt;0.5,N($C$15),0)</f>
        <v>0</v>
      </c>
      <c r="G259" s="41" t="n">
        <f aca="false">IF(AND(D259&gt;0.5,N($C$19)&gt;0,N(B259)&lt;=N($C$20)),D259*$F$8,0)</f>
        <v>0</v>
      </c>
      <c r="H259" s="41" t="n">
        <f aca="false">IF(D259&lt;=0.5,0,MIN(IF(N(I259)&gt;0,I259,$F$9),D259+E259+F259))</f>
        <v>0</v>
      </c>
      <c r="I259" s="77"/>
      <c r="J259" s="77"/>
      <c r="K259" s="41" t="n">
        <f aca="false">IF(D259&lt;=0.5,0,MIN(H259+N(J259),D259+E259+F259))</f>
        <v>0</v>
      </c>
      <c r="L259" s="41" t="n">
        <f aca="false">K259-E259-F259</f>
        <v>0</v>
      </c>
      <c r="M259" s="41" t="n">
        <f aca="false">D259-L259</f>
        <v>0</v>
      </c>
      <c r="N259" s="42" t="n">
        <f aca="false">K259-G259</f>
        <v>0</v>
      </c>
      <c r="O259" s="78"/>
      <c r="P259" s="79"/>
      <c r="Q259" s="16" t="str">
        <f aca="false">IF(K259=0,"",IF(R259=1,"Pagada",IF(C259&lt;$F$12,"Vencida",IF(233=$F$13,"Próxima","Pendiente"))))</f>
        <v/>
      </c>
      <c r="R259" s="62" t="n">
        <f aca="false">IF(AND(K259&gt;0,OR(O259="Sí",O259="Si")),1,0)</f>
        <v>0</v>
      </c>
      <c r="S259" s="62" t="n">
        <f aca="false">IF(AND(K259&gt;0,R259=0),1,0)</f>
        <v>0</v>
      </c>
    </row>
    <row r="260" customFormat="false" ht="15" hidden="false" customHeight="false" outlineLevel="0" collapsed="false">
      <c r="B260" s="71" t="str">
        <f aca="false">IF($F$6="Sí",N($C$11)+233,"")</f>
        <v/>
      </c>
      <c r="C260" s="72" t="str">
        <f aca="false">IF(OR($F$6&lt;&gt;"Sí",D260&lt;=0.5),"",EDATE($C$10,233))</f>
        <v/>
      </c>
      <c r="D260" s="41" t="n">
        <f aca="false">MAX(0,M259)</f>
        <v>0</v>
      </c>
      <c r="E260" s="41" t="n">
        <f aca="false">D260*$F$7</f>
        <v>0</v>
      </c>
      <c r="F260" s="41" t="n">
        <f aca="false">IF(D260&gt;0.5,N($C$15),0)</f>
        <v>0</v>
      </c>
      <c r="G260" s="41" t="n">
        <f aca="false">IF(AND(D260&gt;0.5,N($C$19)&gt;0,N(B260)&lt;=N($C$20)),D260*$F$8,0)</f>
        <v>0</v>
      </c>
      <c r="H260" s="41" t="n">
        <f aca="false">IF(D260&lt;=0.5,0,MIN(IF(N(I260)&gt;0,I260,$F$9),D260+E260+F260))</f>
        <v>0</v>
      </c>
      <c r="I260" s="77"/>
      <c r="J260" s="77"/>
      <c r="K260" s="41" t="n">
        <f aca="false">IF(D260&lt;=0.5,0,MIN(H260+N(J260),D260+E260+F260))</f>
        <v>0</v>
      </c>
      <c r="L260" s="41" t="n">
        <f aca="false">K260-E260-F260</f>
        <v>0</v>
      </c>
      <c r="M260" s="41" t="n">
        <f aca="false">D260-L260</f>
        <v>0</v>
      </c>
      <c r="N260" s="42" t="n">
        <f aca="false">K260-G260</f>
        <v>0</v>
      </c>
      <c r="O260" s="78"/>
      <c r="P260" s="79"/>
      <c r="Q260" s="16" t="str">
        <f aca="false">IF(K260=0,"",IF(R260=1,"Pagada",IF(C260&lt;$F$12,"Vencida",IF(234=$F$13,"Próxima","Pendiente"))))</f>
        <v/>
      </c>
      <c r="R260" s="62" t="n">
        <f aca="false">IF(AND(K260&gt;0,OR(O260="Sí",O260="Si")),1,0)</f>
        <v>0</v>
      </c>
      <c r="S260" s="62" t="n">
        <f aca="false">IF(AND(K260&gt;0,R260=0),1,0)</f>
        <v>0</v>
      </c>
    </row>
    <row r="261" customFormat="false" ht="15" hidden="false" customHeight="false" outlineLevel="0" collapsed="false">
      <c r="B261" s="71" t="str">
        <f aca="false">IF($F$6="Sí",N($C$11)+234,"")</f>
        <v/>
      </c>
      <c r="C261" s="72" t="str">
        <f aca="false">IF(OR($F$6&lt;&gt;"Sí",D261&lt;=0.5),"",EDATE($C$10,234))</f>
        <v/>
      </c>
      <c r="D261" s="41" t="n">
        <f aca="false">MAX(0,M260)</f>
        <v>0</v>
      </c>
      <c r="E261" s="41" t="n">
        <f aca="false">D261*$F$7</f>
        <v>0</v>
      </c>
      <c r="F261" s="41" t="n">
        <f aca="false">IF(D261&gt;0.5,N($C$15),0)</f>
        <v>0</v>
      </c>
      <c r="G261" s="41" t="n">
        <f aca="false">IF(AND(D261&gt;0.5,N($C$19)&gt;0,N(B261)&lt;=N($C$20)),D261*$F$8,0)</f>
        <v>0</v>
      </c>
      <c r="H261" s="41" t="n">
        <f aca="false">IF(D261&lt;=0.5,0,MIN(IF(N(I261)&gt;0,I261,$F$9),D261+E261+F261))</f>
        <v>0</v>
      </c>
      <c r="I261" s="77"/>
      <c r="J261" s="77"/>
      <c r="K261" s="41" t="n">
        <f aca="false">IF(D261&lt;=0.5,0,MIN(H261+N(J261),D261+E261+F261))</f>
        <v>0</v>
      </c>
      <c r="L261" s="41" t="n">
        <f aca="false">K261-E261-F261</f>
        <v>0</v>
      </c>
      <c r="M261" s="41" t="n">
        <f aca="false">D261-L261</f>
        <v>0</v>
      </c>
      <c r="N261" s="42" t="n">
        <f aca="false">K261-G261</f>
        <v>0</v>
      </c>
      <c r="O261" s="78"/>
      <c r="P261" s="79"/>
      <c r="Q261" s="16" t="str">
        <f aca="false">IF(K261=0,"",IF(R261=1,"Pagada",IF(C261&lt;$F$12,"Vencida",IF(235=$F$13,"Próxima","Pendiente"))))</f>
        <v/>
      </c>
      <c r="R261" s="62" t="n">
        <f aca="false">IF(AND(K261&gt;0,OR(O261="Sí",O261="Si")),1,0)</f>
        <v>0</v>
      </c>
      <c r="S261" s="62" t="n">
        <f aca="false">IF(AND(K261&gt;0,R261=0),1,0)</f>
        <v>0</v>
      </c>
    </row>
    <row r="262" customFormat="false" ht="15" hidden="false" customHeight="false" outlineLevel="0" collapsed="false">
      <c r="B262" s="71" t="str">
        <f aca="false">IF($F$6="Sí",N($C$11)+235,"")</f>
        <v/>
      </c>
      <c r="C262" s="72" t="str">
        <f aca="false">IF(OR($F$6&lt;&gt;"Sí",D262&lt;=0.5),"",EDATE($C$10,235))</f>
        <v/>
      </c>
      <c r="D262" s="41" t="n">
        <f aca="false">MAX(0,M261)</f>
        <v>0</v>
      </c>
      <c r="E262" s="41" t="n">
        <f aca="false">D262*$F$7</f>
        <v>0</v>
      </c>
      <c r="F262" s="41" t="n">
        <f aca="false">IF(D262&gt;0.5,N($C$15),0)</f>
        <v>0</v>
      </c>
      <c r="G262" s="41" t="n">
        <f aca="false">IF(AND(D262&gt;0.5,N($C$19)&gt;0,N(B262)&lt;=N($C$20)),D262*$F$8,0)</f>
        <v>0</v>
      </c>
      <c r="H262" s="41" t="n">
        <f aca="false">IF(D262&lt;=0.5,0,MIN(IF(N(I262)&gt;0,I262,$F$9),D262+E262+F262))</f>
        <v>0</v>
      </c>
      <c r="I262" s="77"/>
      <c r="J262" s="77"/>
      <c r="K262" s="41" t="n">
        <f aca="false">IF(D262&lt;=0.5,0,MIN(H262+N(J262),D262+E262+F262))</f>
        <v>0</v>
      </c>
      <c r="L262" s="41" t="n">
        <f aca="false">K262-E262-F262</f>
        <v>0</v>
      </c>
      <c r="M262" s="41" t="n">
        <f aca="false">D262-L262</f>
        <v>0</v>
      </c>
      <c r="N262" s="42" t="n">
        <f aca="false">K262-G262</f>
        <v>0</v>
      </c>
      <c r="O262" s="78"/>
      <c r="P262" s="79"/>
      <c r="Q262" s="16" t="str">
        <f aca="false">IF(K262=0,"",IF(R262=1,"Pagada",IF(C262&lt;$F$12,"Vencida",IF(236=$F$13,"Próxima","Pendiente"))))</f>
        <v/>
      </c>
      <c r="R262" s="62" t="n">
        <f aca="false">IF(AND(K262&gt;0,OR(O262="Sí",O262="Si")),1,0)</f>
        <v>0</v>
      </c>
      <c r="S262" s="62" t="n">
        <f aca="false">IF(AND(K262&gt;0,R262=0),1,0)</f>
        <v>0</v>
      </c>
    </row>
    <row r="263" customFormat="false" ht="15" hidden="false" customHeight="false" outlineLevel="0" collapsed="false">
      <c r="B263" s="71" t="str">
        <f aca="false">IF($F$6="Sí",N($C$11)+236,"")</f>
        <v/>
      </c>
      <c r="C263" s="72" t="str">
        <f aca="false">IF(OR($F$6&lt;&gt;"Sí",D263&lt;=0.5),"",EDATE($C$10,236))</f>
        <v/>
      </c>
      <c r="D263" s="41" t="n">
        <f aca="false">MAX(0,M262)</f>
        <v>0</v>
      </c>
      <c r="E263" s="41" t="n">
        <f aca="false">D263*$F$7</f>
        <v>0</v>
      </c>
      <c r="F263" s="41" t="n">
        <f aca="false">IF(D263&gt;0.5,N($C$15),0)</f>
        <v>0</v>
      </c>
      <c r="G263" s="41" t="n">
        <f aca="false">IF(AND(D263&gt;0.5,N($C$19)&gt;0,N(B263)&lt;=N($C$20)),D263*$F$8,0)</f>
        <v>0</v>
      </c>
      <c r="H263" s="41" t="n">
        <f aca="false">IF(D263&lt;=0.5,0,MIN(IF(N(I263)&gt;0,I263,$F$9),D263+E263+F263))</f>
        <v>0</v>
      </c>
      <c r="I263" s="77"/>
      <c r="J263" s="77"/>
      <c r="K263" s="41" t="n">
        <f aca="false">IF(D263&lt;=0.5,0,MIN(H263+N(J263),D263+E263+F263))</f>
        <v>0</v>
      </c>
      <c r="L263" s="41" t="n">
        <f aca="false">K263-E263-F263</f>
        <v>0</v>
      </c>
      <c r="M263" s="41" t="n">
        <f aca="false">D263-L263</f>
        <v>0</v>
      </c>
      <c r="N263" s="42" t="n">
        <f aca="false">K263-G263</f>
        <v>0</v>
      </c>
      <c r="O263" s="78"/>
      <c r="P263" s="79"/>
      <c r="Q263" s="16" t="str">
        <f aca="false">IF(K263=0,"",IF(R263=1,"Pagada",IF(C263&lt;$F$12,"Vencida",IF(237=$F$13,"Próxima","Pendiente"))))</f>
        <v/>
      </c>
      <c r="R263" s="62" t="n">
        <f aca="false">IF(AND(K263&gt;0,OR(O263="Sí",O263="Si")),1,0)</f>
        <v>0</v>
      </c>
      <c r="S263" s="62" t="n">
        <f aca="false">IF(AND(K263&gt;0,R263=0),1,0)</f>
        <v>0</v>
      </c>
    </row>
    <row r="264" customFormat="false" ht="15" hidden="false" customHeight="false" outlineLevel="0" collapsed="false">
      <c r="B264" s="71" t="str">
        <f aca="false">IF($F$6="Sí",N($C$11)+237,"")</f>
        <v/>
      </c>
      <c r="C264" s="72" t="str">
        <f aca="false">IF(OR($F$6&lt;&gt;"Sí",D264&lt;=0.5),"",EDATE($C$10,237))</f>
        <v/>
      </c>
      <c r="D264" s="41" t="n">
        <f aca="false">MAX(0,M263)</f>
        <v>0</v>
      </c>
      <c r="E264" s="41" t="n">
        <f aca="false">D264*$F$7</f>
        <v>0</v>
      </c>
      <c r="F264" s="41" t="n">
        <f aca="false">IF(D264&gt;0.5,N($C$15),0)</f>
        <v>0</v>
      </c>
      <c r="G264" s="41" t="n">
        <f aca="false">IF(AND(D264&gt;0.5,N($C$19)&gt;0,N(B264)&lt;=N($C$20)),D264*$F$8,0)</f>
        <v>0</v>
      </c>
      <c r="H264" s="41" t="n">
        <f aca="false">IF(D264&lt;=0.5,0,MIN(IF(N(I264)&gt;0,I264,$F$9),D264+E264+F264))</f>
        <v>0</v>
      </c>
      <c r="I264" s="77"/>
      <c r="J264" s="77"/>
      <c r="K264" s="41" t="n">
        <f aca="false">IF(D264&lt;=0.5,0,MIN(H264+N(J264),D264+E264+F264))</f>
        <v>0</v>
      </c>
      <c r="L264" s="41" t="n">
        <f aca="false">K264-E264-F264</f>
        <v>0</v>
      </c>
      <c r="M264" s="41" t="n">
        <f aca="false">D264-L264</f>
        <v>0</v>
      </c>
      <c r="N264" s="42" t="n">
        <f aca="false">K264-G264</f>
        <v>0</v>
      </c>
      <c r="O264" s="78"/>
      <c r="P264" s="79"/>
      <c r="Q264" s="16" t="str">
        <f aca="false">IF(K264=0,"",IF(R264=1,"Pagada",IF(C264&lt;$F$12,"Vencida",IF(238=$F$13,"Próxima","Pendiente"))))</f>
        <v/>
      </c>
      <c r="R264" s="62" t="n">
        <f aca="false">IF(AND(K264&gt;0,OR(O264="Sí",O264="Si")),1,0)</f>
        <v>0</v>
      </c>
      <c r="S264" s="62" t="n">
        <f aca="false">IF(AND(K264&gt;0,R264=0),1,0)</f>
        <v>0</v>
      </c>
    </row>
    <row r="265" customFormat="false" ht="15" hidden="false" customHeight="false" outlineLevel="0" collapsed="false">
      <c r="B265" s="71" t="str">
        <f aca="false">IF($F$6="Sí",N($C$11)+238,"")</f>
        <v/>
      </c>
      <c r="C265" s="72" t="str">
        <f aca="false">IF(OR($F$6&lt;&gt;"Sí",D265&lt;=0.5),"",EDATE($C$10,238))</f>
        <v/>
      </c>
      <c r="D265" s="41" t="n">
        <f aca="false">MAX(0,M264)</f>
        <v>0</v>
      </c>
      <c r="E265" s="41" t="n">
        <f aca="false">D265*$F$7</f>
        <v>0</v>
      </c>
      <c r="F265" s="41" t="n">
        <f aca="false">IF(D265&gt;0.5,N($C$15),0)</f>
        <v>0</v>
      </c>
      <c r="G265" s="41" t="n">
        <f aca="false">IF(AND(D265&gt;0.5,N($C$19)&gt;0,N(B265)&lt;=N($C$20)),D265*$F$8,0)</f>
        <v>0</v>
      </c>
      <c r="H265" s="41" t="n">
        <f aca="false">IF(D265&lt;=0.5,0,MIN(IF(N(I265)&gt;0,I265,$F$9),D265+E265+F265))</f>
        <v>0</v>
      </c>
      <c r="I265" s="77"/>
      <c r="J265" s="77"/>
      <c r="K265" s="41" t="n">
        <f aca="false">IF(D265&lt;=0.5,0,MIN(H265+N(J265),D265+E265+F265))</f>
        <v>0</v>
      </c>
      <c r="L265" s="41" t="n">
        <f aca="false">K265-E265-F265</f>
        <v>0</v>
      </c>
      <c r="M265" s="41" t="n">
        <f aca="false">D265-L265</f>
        <v>0</v>
      </c>
      <c r="N265" s="42" t="n">
        <f aca="false">K265-G265</f>
        <v>0</v>
      </c>
      <c r="O265" s="78"/>
      <c r="P265" s="79"/>
      <c r="Q265" s="16" t="str">
        <f aca="false">IF(K265=0,"",IF(R265=1,"Pagada",IF(C265&lt;$F$12,"Vencida",IF(239=$F$13,"Próxima","Pendiente"))))</f>
        <v/>
      </c>
      <c r="R265" s="62" t="n">
        <f aca="false">IF(AND(K265&gt;0,OR(O265="Sí",O265="Si")),1,0)</f>
        <v>0</v>
      </c>
      <c r="S265" s="62" t="n">
        <f aca="false">IF(AND(K265&gt;0,R265=0),1,0)</f>
        <v>0</v>
      </c>
    </row>
    <row r="266" customFormat="false" ht="15" hidden="false" customHeight="false" outlineLevel="0" collapsed="false">
      <c r="B266" s="71" t="str">
        <f aca="false">IF($F$6="Sí",N($C$11)+239,"")</f>
        <v/>
      </c>
      <c r="C266" s="72" t="str">
        <f aca="false">IF(OR($F$6&lt;&gt;"Sí",D266&lt;=0.5),"",EDATE($C$10,239))</f>
        <v/>
      </c>
      <c r="D266" s="41" t="n">
        <f aca="false">MAX(0,M265)</f>
        <v>0</v>
      </c>
      <c r="E266" s="41" t="n">
        <f aca="false">D266*$F$7</f>
        <v>0</v>
      </c>
      <c r="F266" s="41" t="n">
        <f aca="false">IF(D266&gt;0.5,N($C$15),0)</f>
        <v>0</v>
      </c>
      <c r="G266" s="41" t="n">
        <f aca="false">IF(AND(D266&gt;0.5,N($C$19)&gt;0,N(B266)&lt;=N($C$20)),D266*$F$8,0)</f>
        <v>0</v>
      </c>
      <c r="H266" s="41" t="n">
        <f aca="false">IF(D266&lt;=0.5,0,MIN(IF(N(I266)&gt;0,I266,$F$9),D266+E266+F266))</f>
        <v>0</v>
      </c>
      <c r="I266" s="77"/>
      <c r="J266" s="77"/>
      <c r="K266" s="41" t="n">
        <f aca="false">IF(D266&lt;=0.5,0,MIN(H266+N(J266),D266+E266+F266))</f>
        <v>0</v>
      </c>
      <c r="L266" s="41" t="n">
        <f aca="false">K266-E266-F266</f>
        <v>0</v>
      </c>
      <c r="M266" s="41" t="n">
        <f aca="false">D266-L266</f>
        <v>0</v>
      </c>
      <c r="N266" s="42" t="n">
        <f aca="false">K266-G266</f>
        <v>0</v>
      </c>
      <c r="O266" s="78"/>
      <c r="P266" s="79"/>
      <c r="Q266" s="16" t="str">
        <f aca="false">IF(K266=0,"",IF(R266=1,"Pagada",IF(C266&lt;$F$12,"Vencida",IF(240=$F$13,"Próxima","Pendiente"))))</f>
        <v/>
      </c>
      <c r="R266" s="62" t="n">
        <f aca="false">IF(AND(K266&gt;0,OR(O266="Sí",O266="Si")),1,0)</f>
        <v>0</v>
      </c>
      <c r="S266" s="62" t="n">
        <f aca="false">IF(AND(K266&gt;0,R266=0),1,0)</f>
        <v>0</v>
      </c>
    </row>
    <row r="267" customFormat="false" ht="15" hidden="false" customHeight="false" outlineLevel="0" collapsed="false">
      <c r="B267" s="71" t="str">
        <f aca="false">IF($F$6="Sí",N($C$11)+240,"")</f>
        <v/>
      </c>
      <c r="C267" s="72" t="str">
        <f aca="false">IF(OR($F$6&lt;&gt;"Sí",D267&lt;=0.5),"",EDATE($C$10,240))</f>
        <v/>
      </c>
      <c r="D267" s="41" t="n">
        <f aca="false">MAX(0,M266)</f>
        <v>0</v>
      </c>
      <c r="E267" s="41" t="n">
        <f aca="false">D267*$F$7</f>
        <v>0</v>
      </c>
      <c r="F267" s="41" t="n">
        <f aca="false">IF(D267&gt;0.5,N($C$15),0)</f>
        <v>0</v>
      </c>
      <c r="G267" s="41" t="n">
        <f aca="false">IF(AND(D267&gt;0.5,N($C$19)&gt;0,N(B267)&lt;=N($C$20)),D267*$F$8,0)</f>
        <v>0</v>
      </c>
      <c r="H267" s="41" t="n">
        <f aca="false">IF(D267&lt;=0.5,0,MIN(IF(N(I267)&gt;0,I267,$F$9),D267+E267+F267))</f>
        <v>0</v>
      </c>
      <c r="I267" s="77"/>
      <c r="J267" s="77"/>
      <c r="K267" s="41" t="n">
        <f aca="false">IF(D267&lt;=0.5,0,MIN(H267+N(J267),D267+E267+F267))</f>
        <v>0</v>
      </c>
      <c r="L267" s="41" t="n">
        <f aca="false">K267-E267-F267</f>
        <v>0</v>
      </c>
      <c r="M267" s="41" t="n">
        <f aca="false">D267-L267</f>
        <v>0</v>
      </c>
      <c r="N267" s="42" t="n">
        <f aca="false">K267-G267</f>
        <v>0</v>
      </c>
      <c r="O267" s="78"/>
      <c r="P267" s="79"/>
      <c r="Q267" s="16" t="str">
        <f aca="false">IF(K267=0,"",IF(R267=1,"Pagada",IF(C267&lt;$F$12,"Vencida",IF(241=$F$13,"Próxima","Pendiente"))))</f>
        <v/>
      </c>
      <c r="R267" s="62" t="n">
        <f aca="false">IF(AND(K267&gt;0,OR(O267="Sí",O267="Si")),1,0)</f>
        <v>0</v>
      </c>
      <c r="S267" s="62" t="n">
        <f aca="false">IF(AND(K267&gt;0,R267=0),1,0)</f>
        <v>0</v>
      </c>
    </row>
    <row r="268" customFormat="false" ht="15" hidden="false" customHeight="false" outlineLevel="0" collapsed="false">
      <c r="B268" s="71" t="str">
        <f aca="false">IF($F$6="Sí",N($C$11)+241,"")</f>
        <v/>
      </c>
      <c r="C268" s="72" t="str">
        <f aca="false">IF(OR($F$6&lt;&gt;"Sí",D268&lt;=0.5),"",EDATE($C$10,241))</f>
        <v/>
      </c>
      <c r="D268" s="41" t="n">
        <f aca="false">MAX(0,M267)</f>
        <v>0</v>
      </c>
      <c r="E268" s="41" t="n">
        <f aca="false">D268*$F$7</f>
        <v>0</v>
      </c>
      <c r="F268" s="41" t="n">
        <f aca="false">IF(D268&gt;0.5,N($C$15),0)</f>
        <v>0</v>
      </c>
      <c r="G268" s="41" t="n">
        <f aca="false">IF(AND(D268&gt;0.5,N($C$19)&gt;0,N(B268)&lt;=N($C$20)),D268*$F$8,0)</f>
        <v>0</v>
      </c>
      <c r="H268" s="41" t="n">
        <f aca="false">IF(D268&lt;=0.5,0,MIN(IF(N(I268)&gt;0,I268,$F$9),D268+E268+F268))</f>
        <v>0</v>
      </c>
      <c r="I268" s="77"/>
      <c r="J268" s="77"/>
      <c r="K268" s="41" t="n">
        <f aca="false">IF(D268&lt;=0.5,0,MIN(H268+N(J268),D268+E268+F268))</f>
        <v>0</v>
      </c>
      <c r="L268" s="41" t="n">
        <f aca="false">K268-E268-F268</f>
        <v>0</v>
      </c>
      <c r="M268" s="41" t="n">
        <f aca="false">D268-L268</f>
        <v>0</v>
      </c>
      <c r="N268" s="42" t="n">
        <f aca="false">K268-G268</f>
        <v>0</v>
      </c>
      <c r="O268" s="78"/>
      <c r="P268" s="79"/>
      <c r="Q268" s="16" t="str">
        <f aca="false">IF(K268=0,"",IF(R268=1,"Pagada",IF(C268&lt;$F$12,"Vencida",IF(242=$F$13,"Próxima","Pendiente"))))</f>
        <v/>
      </c>
      <c r="R268" s="62" t="n">
        <f aca="false">IF(AND(K268&gt;0,OR(O268="Sí",O268="Si")),1,0)</f>
        <v>0</v>
      </c>
      <c r="S268" s="62" t="n">
        <f aca="false">IF(AND(K268&gt;0,R268=0),1,0)</f>
        <v>0</v>
      </c>
    </row>
    <row r="269" customFormat="false" ht="15" hidden="false" customHeight="false" outlineLevel="0" collapsed="false">
      <c r="B269" s="71" t="str">
        <f aca="false">IF($F$6="Sí",N($C$11)+242,"")</f>
        <v/>
      </c>
      <c r="C269" s="72" t="str">
        <f aca="false">IF(OR($F$6&lt;&gt;"Sí",D269&lt;=0.5),"",EDATE($C$10,242))</f>
        <v/>
      </c>
      <c r="D269" s="41" t="n">
        <f aca="false">MAX(0,M268)</f>
        <v>0</v>
      </c>
      <c r="E269" s="41" t="n">
        <f aca="false">D269*$F$7</f>
        <v>0</v>
      </c>
      <c r="F269" s="41" t="n">
        <f aca="false">IF(D269&gt;0.5,N($C$15),0)</f>
        <v>0</v>
      </c>
      <c r="G269" s="41" t="n">
        <f aca="false">IF(AND(D269&gt;0.5,N($C$19)&gt;0,N(B269)&lt;=N($C$20)),D269*$F$8,0)</f>
        <v>0</v>
      </c>
      <c r="H269" s="41" t="n">
        <f aca="false">IF(D269&lt;=0.5,0,MIN(IF(N(I269)&gt;0,I269,$F$9),D269+E269+F269))</f>
        <v>0</v>
      </c>
      <c r="I269" s="77"/>
      <c r="J269" s="77"/>
      <c r="K269" s="41" t="n">
        <f aca="false">IF(D269&lt;=0.5,0,MIN(H269+N(J269),D269+E269+F269))</f>
        <v>0</v>
      </c>
      <c r="L269" s="41" t="n">
        <f aca="false">K269-E269-F269</f>
        <v>0</v>
      </c>
      <c r="M269" s="41" t="n">
        <f aca="false">D269-L269</f>
        <v>0</v>
      </c>
      <c r="N269" s="42" t="n">
        <f aca="false">K269-G269</f>
        <v>0</v>
      </c>
      <c r="O269" s="78"/>
      <c r="P269" s="79"/>
      <c r="Q269" s="16" t="str">
        <f aca="false">IF(K269=0,"",IF(R269=1,"Pagada",IF(C269&lt;$F$12,"Vencida",IF(243=$F$13,"Próxima","Pendiente"))))</f>
        <v/>
      </c>
      <c r="R269" s="62" t="n">
        <f aca="false">IF(AND(K269&gt;0,OR(O269="Sí",O269="Si")),1,0)</f>
        <v>0</v>
      </c>
      <c r="S269" s="62" t="n">
        <f aca="false">IF(AND(K269&gt;0,R269=0),1,0)</f>
        <v>0</v>
      </c>
    </row>
    <row r="270" customFormat="false" ht="15" hidden="false" customHeight="false" outlineLevel="0" collapsed="false">
      <c r="B270" s="71" t="str">
        <f aca="false">IF($F$6="Sí",N($C$11)+243,"")</f>
        <v/>
      </c>
      <c r="C270" s="72" t="str">
        <f aca="false">IF(OR($F$6&lt;&gt;"Sí",D270&lt;=0.5),"",EDATE($C$10,243))</f>
        <v/>
      </c>
      <c r="D270" s="41" t="n">
        <f aca="false">MAX(0,M269)</f>
        <v>0</v>
      </c>
      <c r="E270" s="41" t="n">
        <f aca="false">D270*$F$7</f>
        <v>0</v>
      </c>
      <c r="F270" s="41" t="n">
        <f aca="false">IF(D270&gt;0.5,N($C$15),0)</f>
        <v>0</v>
      </c>
      <c r="G270" s="41" t="n">
        <f aca="false">IF(AND(D270&gt;0.5,N($C$19)&gt;0,N(B270)&lt;=N($C$20)),D270*$F$8,0)</f>
        <v>0</v>
      </c>
      <c r="H270" s="41" t="n">
        <f aca="false">IF(D270&lt;=0.5,0,MIN(IF(N(I270)&gt;0,I270,$F$9),D270+E270+F270))</f>
        <v>0</v>
      </c>
      <c r="I270" s="77"/>
      <c r="J270" s="77"/>
      <c r="K270" s="41" t="n">
        <f aca="false">IF(D270&lt;=0.5,0,MIN(H270+N(J270),D270+E270+F270))</f>
        <v>0</v>
      </c>
      <c r="L270" s="41" t="n">
        <f aca="false">K270-E270-F270</f>
        <v>0</v>
      </c>
      <c r="M270" s="41" t="n">
        <f aca="false">D270-L270</f>
        <v>0</v>
      </c>
      <c r="N270" s="42" t="n">
        <f aca="false">K270-G270</f>
        <v>0</v>
      </c>
      <c r="O270" s="78"/>
      <c r="P270" s="79"/>
      <c r="Q270" s="16" t="str">
        <f aca="false">IF(K270=0,"",IF(R270=1,"Pagada",IF(C270&lt;$F$12,"Vencida",IF(244=$F$13,"Próxima","Pendiente"))))</f>
        <v/>
      </c>
      <c r="R270" s="62" t="n">
        <f aca="false">IF(AND(K270&gt;0,OR(O270="Sí",O270="Si")),1,0)</f>
        <v>0</v>
      </c>
      <c r="S270" s="62" t="n">
        <f aca="false">IF(AND(K270&gt;0,R270=0),1,0)</f>
        <v>0</v>
      </c>
    </row>
    <row r="271" customFormat="false" ht="15" hidden="false" customHeight="false" outlineLevel="0" collapsed="false">
      <c r="B271" s="71" t="str">
        <f aca="false">IF($F$6="Sí",N($C$11)+244,"")</f>
        <v/>
      </c>
      <c r="C271" s="72" t="str">
        <f aca="false">IF(OR($F$6&lt;&gt;"Sí",D271&lt;=0.5),"",EDATE($C$10,244))</f>
        <v/>
      </c>
      <c r="D271" s="41" t="n">
        <f aca="false">MAX(0,M270)</f>
        <v>0</v>
      </c>
      <c r="E271" s="41" t="n">
        <f aca="false">D271*$F$7</f>
        <v>0</v>
      </c>
      <c r="F271" s="41" t="n">
        <f aca="false">IF(D271&gt;0.5,N($C$15),0)</f>
        <v>0</v>
      </c>
      <c r="G271" s="41" t="n">
        <f aca="false">IF(AND(D271&gt;0.5,N($C$19)&gt;0,N(B271)&lt;=N($C$20)),D271*$F$8,0)</f>
        <v>0</v>
      </c>
      <c r="H271" s="41" t="n">
        <f aca="false">IF(D271&lt;=0.5,0,MIN(IF(N(I271)&gt;0,I271,$F$9),D271+E271+F271))</f>
        <v>0</v>
      </c>
      <c r="I271" s="77"/>
      <c r="J271" s="77"/>
      <c r="K271" s="41" t="n">
        <f aca="false">IF(D271&lt;=0.5,0,MIN(H271+N(J271),D271+E271+F271))</f>
        <v>0</v>
      </c>
      <c r="L271" s="41" t="n">
        <f aca="false">K271-E271-F271</f>
        <v>0</v>
      </c>
      <c r="M271" s="41" t="n">
        <f aca="false">D271-L271</f>
        <v>0</v>
      </c>
      <c r="N271" s="42" t="n">
        <f aca="false">K271-G271</f>
        <v>0</v>
      </c>
      <c r="O271" s="78"/>
      <c r="P271" s="79"/>
      <c r="Q271" s="16" t="str">
        <f aca="false">IF(K271=0,"",IF(R271=1,"Pagada",IF(C271&lt;$F$12,"Vencida",IF(245=$F$13,"Próxima","Pendiente"))))</f>
        <v/>
      </c>
      <c r="R271" s="62" t="n">
        <f aca="false">IF(AND(K271&gt;0,OR(O271="Sí",O271="Si")),1,0)</f>
        <v>0</v>
      </c>
      <c r="S271" s="62" t="n">
        <f aca="false">IF(AND(K271&gt;0,R271=0),1,0)</f>
        <v>0</v>
      </c>
    </row>
    <row r="272" customFormat="false" ht="15" hidden="false" customHeight="false" outlineLevel="0" collapsed="false">
      <c r="B272" s="71" t="str">
        <f aca="false">IF($F$6="Sí",N($C$11)+245,"")</f>
        <v/>
      </c>
      <c r="C272" s="72" t="str">
        <f aca="false">IF(OR($F$6&lt;&gt;"Sí",D272&lt;=0.5),"",EDATE($C$10,245))</f>
        <v/>
      </c>
      <c r="D272" s="41" t="n">
        <f aca="false">MAX(0,M271)</f>
        <v>0</v>
      </c>
      <c r="E272" s="41" t="n">
        <f aca="false">D272*$F$7</f>
        <v>0</v>
      </c>
      <c r="F272" s="41" t="n">
        <f aca="false">IF(D272&gt;0.5,N($C$15),0)</f>
        <v>0</v>
      </c>
      <c r="G272" s="41" t="n">
        <f aca="false">IF(AND(D272&gt;0.5,N($C$19)&gt;0,N(B272)&lt;=N($C$20)),D272*$F$8,0)</f>
        <v>0</v>
      </c>
      <c r="H272" s="41" t="n">
        <f aca="false">IF(D272&lt;=0.5,0,MIN(IF(N(I272)&gt;0,I272,$F$9),D272+E272+F272))</f>
        <v>0</v>
      </c>
      <c r="I272" s="77"/>
      <c r="J272" s="77"/>
      <c r="K272" s="41" t="n">
        <f aca="false">IF(D272&lt;=0.5,0,MIN(H272+N(J272),D272+E272+F272))</f>
        <v>0</v>
      </c>
      <c r="L272" s="41" t="n">
        <f aca="false">K272-E272-F272</f>
        <v>0</v>
      </c>
      <c r="M272" s="41" t="n">
        <f aca="false">D272-L272</f>
        <v>0</v>
      </c>
      <c r="N272" s="42" t="n">
        <f aca="false">K272-G272</f>
        <v>0</v>
      </c>
      <c r="O272" s="78"/>
      <c r="P272" s="79"/>
      <c r="Q272" s="16" t="str">
        <f aca="false">IF(K272=0,"",IF(R272=1,"Pagada",IF(C272&lt;$F$12,"Vencida",IF(246=$F$13,"Próxima","Pendiente"))))</f>
        <v/>
      </c>
      <c r="R272" s="62" t="n">
        <f aca="false">IF(AND(K272&gt;0,OR(O272="Sí",O272="Si")),1,0)</f>
        <v>0</v>
      </c>
      <c r="S272" s="62" t="n">
        <f aca="false">IF(AND(K272&gt;0,R272=0),1,0)</f>
        <v>0</v>
      </c>
    </row>
    <row r="273" customFormat="false" ht="15" hidden="false" customHeight="false" outlineLevel="0" collapsed="false">
      <c r="B273" s="71" t="str">
        <f aca="false">IF($F$6="Sí",N($C$11)+246,"")</f>
        <v/>
      </c>
      <c r="C273" s="72" t="str">
        <f aca="false">IF(OR($F$6&lt;&gt;"Sí",D273&lt;=0.5),"",EDATE($C$10,246))</f>
        <v/>
      </c>
      <c r="D273" s="41" t="n">
        <f aca="false">MAX(0,M272)</f>
        <v>0</v>
      </c>
      <c r="E273" s="41" t="n">
        <f aca="false">D273*$F$7</f>
        <v>0</v>
      </c>
      <c r="F273" s="41" t="n">
        <f aca="false">IF(D273&gt;0.5,N($C$15),0)</f>
        <v>0</v>
      </c>
      <c r="G273" s="41" t="n">
        <f aca="false">IF(AND(D273&gt;0.5,N($C$19)&gt;0,N(B273)&lt;=N($C$20)),D273*$F$8,0)</f>
        <v>0</v>
      </c>
      <c r="H273" s="41" t="n">
        <f aca="false">IF(D273&lt;=0.5,0,MIN(IF(N(I273)&gt;0,I273,$F$9),D273+E273+F273))</f>
        <v>0</v>
      </c>
      <c r="I273" s="77"/>
      <c r="J273" s="77"/>
      <c r="K273" s="41" t="n">
        <f aca="false">IF(D273&lt;=0.5,0,MIN(H273+N(J273),D273+E273+F273))</f>
        <v>0</v>
      </c>
      <c r="L273" s="41" t="n">
        <f aca="false">K273-E273-F273</f>
        <v>0</v>
      </c>
      <c r="M273" s="41" t="n">
        <f aca="false">D273-L273</f>
        <v>0</v>
      </c>
      <c r="N273" s="42" t="n">
        <f aca="false">K273-G273</f>
        <v>0</v>
      </c>
      <c r="O273" s="78"/>
      <c r="P273" s="79"/>
      <c r="Q273" s="16" t="str">
        <f aca="false">IF(K273=0,"",IF(R273=1,"Pagada",IF(C273&lt;$F$12,"Vencida",IF(247=$F$13,"Próxima","Pendiente"))))</f>
        <v/>
      </c>
      <c r="R273" s="62" t="n">
        <f aca="false">IF(AND(K273&gt;0,OR(O273="Sí",O273="Si")),1,0)</f>
        <v>0</v>
      </c>
      <c r="S273" s="62" t="n">
        <f aca="false">IF(AND(K273&gt;0,R273=0),1,0)</f>
        <v>0</v>
      </c>
    </row>
    <row r="274" customFormat="false" ht="15" hidden="false" customHeight="false" outlineLevel="0" collapsed="false">
      <c r="B274" s="71" t="str">
        <f aca="false">IF($F$6="Sí",N($C$11)+247,"")</f>
        <v/>
      </c>
      <c r="C274" s="72" t="str">
        <f aca="false">IF(OR($F$6&lt;&gt;"Sí",D274&lt;=0.5),"",EDATE($C$10,247))</f>
        <v/>
      </c>
      <c r="D274" s="41" t="n">
        <f aca="false">MAX(0,M273)</f>
        <v>0</v>
      </c>
      <c r="E274" s="41" t="n">
        <f aca="false">D274*$F$7</f>
        <v>0</v>
      </c>
      <c r="F274" s="41" t="n">
        <f aca="false">IF(D274&gt;0.5,N($C$15),0)</f>
        <v>0</v>
      </c>
      <c r="G274" s="41" t="n">
        <f aca="false">IF(AND(D274&gt;0.5,N($C$19)&gt;0,N(B274)&lt;=N($C$20)),D274*$F$8,0)</f>
        <v>0</v>
      </c>
      <c r="H274" s="41" t="n">
        <f aca="false">IF(D274&lt;=0.5,0,MIN(IF(N(I274)&gt;0,I274,$F$9),D274+E274+F274))</f>
        <v>0</v>
      </c>
      <c r="I274" s="77"/>
      <c r="J274" s="77"/>
      <c r="K274" s="41" t="n">
        <f aca="false">IF(D274&lt;=0.5,0,MIN(H274+N(J274),D274+E274+F274))</f>
        <v>0</v>
      </c>
      <c r="L274" s="41" t="n">
        <f aca="false">K274-E274-F274</f>
        <v>0</v>
      </c>
      <c r="M274" s="41" t="n">
        <f aca="false">D274-L274</f>
        <v>0</v>
      </c>
      <c r="N274" s="42" t="n">
        <f aca="false">K274-G274</f>
        <v>0</v>
      </c>
      <c r="O274" s="78"/>
      <c r="P274" s="79"/>
      <c r="Q274" s="16" t="str">
        <f aca="false">IF(K274=0,"",IF(R274=1,"Pagada",IF(C274&lt;$F$12,"Vencida",IF(248=$F$13,"Próxima","Pendiente"))))</f>
        <v/>
      </c>
      <c r="R274" s="62" t="n">
        <f aca="false">IF(AND(K274&gt;0,OR(O274="Sí",O274="Si")),1,0)</f>
        <v>0</v>
      </c>
      <c r="S274" s="62" t="n">
        <f aca="false">IF(AND(K274&gt;0,R274=0),1,0)</f>
        <v>0</v>
      </c>
    </row>
    <row r="275" customFormat="false" ht="15" hidden="false" customHeight="false" outlineLevel="0" collapsed="false">
      <c r="B275" s="71" t="str">
        <f aca="false">IF($F$6="Sí",N($C$11)+248,"")</f>
        <v/>
      </c>
      <c r="C275" s="72" t="str">
        <f aca="false">IF(OR($F$6&lt;&gt;"Sí",D275&lt;=0.5),"",EDATE($C$10,248))</f>
        <v/>
      </c>
      <c r="D275" s="41" t="n">
        <f aca="false">MAX(0,M274)</f>
        <v>0</v>
      </c>
      <c r="E275" s="41" t="n">
        <f aca="false">D275*$F$7</f>
        <v>0</v>
      </c>
      <c r="F275" s="41" t="n">
        <f aca="false">IF(D275&gt;0.5,N($C$15),0)</f>
        <v>0</v>
      </c>
      <c r="G275" s="41" t="n">
        <f aca="false">IF(AND(D275&gt;0.5,N($C$19)&gt;0,N(B275)&lt;=N($C$20)),D275*$F$8,0)</f>
        <v>0</v>
      </c>
      <c r="H275" s="41" t="n">
        <f aca="false">IF(D275&lt;=0.5,0,MIN(IF(N(I275)&gt;0,I275,$F$9),D275+E275+F275))</f>
        <v>0</v>
      </c>
      <c r="I275" s="77"/>
      <c r="J275" s="77"/>
      <c r="K275" s="41" t="n">
        <f aca="false">IF(D275&lt;=0.5,0,MIN(H275+N(J275),D275+E275+F275))</f>
        <v>0</v>
      </c>
      <c r="L275" s="41" t="n">
        <f aca="false">K275-E275-F275</f>
        <v>0</v>
      </c>
      <c r="M275" s="41" t="n">
        <f aca="false">D275-L275</f>
        <v>0</v>
      </c>
      <c r="N275" s="42" t="n">
        <f aca="false">K275-G275</f>
        <v>0</v>
      </c>
      <c r="O275" s="78"/>
      <c r="P275" s="79"/>
      <c r="Q275" s="16" t="str">
        <f aca="false">IF(K275=0,"",IF(R275=1,"Pagada",IF(C275&lt;$F$12,"Vencida",IF(249=$F$13,"Próxima","Pendiente"))))</f>
        <v/>
      </c>
      <c r="R275" s="62" t="n">
        <f aca="false">IF(AND(K275&gt;0,OR(O275="Sí",O275="Si")),1,0)</f>
        <v>0</v>
      </c>
      <c r="S275" s="62" t="n">
        <f aca="false">IF(AND(K275&gt;0,R275=0),1,0)</f>
        <v>0</v>
      </c>
    </row>
    <row r="276" customFormat="false" ht="15" hidden="false" customHeight="false" outlineLevel="0" collapsed="false">
      <c r="B276" s="71" t="str">
        <f aca="false">IF($F$6="Sí",N($C$11)+249,"")</f>
        <v/>
      </c>
      <c r="C276" s="72" t="str">
        <f aca="false">IF(OR($F$6&lt;&gt;"Sí",D276&lt;=0.5),"",EDATE($C$10,249))</f>
        <v/>
      </c>
      <c r="D276" s="41" t="n">
        <f aca="false">MAX(0,M275)</f>
        <v>0</v>
      </c>
      <c r="E276" s="41" t="n">
        <f aca="false">D276*$F$7</f>
        <v>0</v>
      </c>
      <c r="F276" s="41" t="n">
        <f aca="false">IF(D276&gt;0.5,N($C$15),0)</f>
        <v>0</v>
      </c>
      <c r="G276" s="41" t="n">
        <f aca="false">IF(AND(D276&gt;0.5,N($C$19)&gt;0,N(B276)&lt;=N($C$20)),D276*$F$8,0)</f>
        <v>0</v>
      </c>
      <c r="H276" s="41" t="n">
        <f aca="false">IF(D276&lt;=0.5,0,MIN(IF(N(I276)&gt;0,I276,$F$9),D276+E276+F276))</f>
        <v>0</v>
      </c>
      <c r="I276" s="77"/>
      <c r="J276" s="77"/>
      <c r="K276" s="41" t="n">
        <f aca="false">IF(D276&lt;=0.5,0,MIN(H276+N(J276),D276+E276+F276))</f>
        <v>0</v>
      </c>
      <c r="L276" s="41" t="n">
        <f aca="false">K276-E276-F276</f>
        <v>0</v>
      </c>
      <c r="M276" s="41" t="n">
        <f aca="false">D276-L276</f>
        <v>0</v>
      </c>
      <c r="N276" s="42" t="n">
        <f aca="false">K276-G276</f>
        <v>0</v>
      </c>
      <c r="O276" s="78"/>
      <c r="P276" s="79"/>
      <c r="Q276" s="16" t="str">
        <f aca="false">IF(K276=0,"",IF(R276=1,"Pagada",IF(C276&lt;$F$12,"Vencida",IF(250=$F$13,"Próxima","Pendiente"))))</f>
        <v/>
      </c>
      <c r="R276" s="62" t="n">
        <f aca="false">IF(AND(K276&gt;0,OR(O276="Sí",O276="Si")),1,0)</f>
        <v>0</v>
      </c>
      <c r="S276" s="62" t="n">
        <f aca="false">IF(AND(K276&gt;0,R276=0),1,0)</f>
        <v>0</v>
      </c>
    </row>
    <row r="277" customFormat="false" ht="15" hidden="false" customHeight="false" outlineLevel="0" collapsed="false">
      <c r="B277" s="71" t="str">
        <f aca="false">IF($F$6="Sí",N($C$11)+250,"")</f>
        <v/>
      </c>
      <c r="C277" s="72" t="str">
        <f aca="false">IF(OR($F$6&lt;&gt;"Sí",D277&lt;=0.5),"",EDATE($C$10,250))</f>
        <v/>
      </c>
      <c r="D277" s="41" t="n">
        <f aca="false">MAX(0,M276)</f>
        <v>0</v>
      </c>
      <c r="E277" s="41" t="n">
        <f aca="false">D277*$F$7</f>
        <v>0</v>
      </c>
      <c r="F277" s="41" t="n">
        <f aca="false">IF(D277&gt;0.5,N($C$15),0)</f>
        <v>0</v>
      </c>
      <c r="G277" s="41" t="n">
        <f aca="false">IF(AND(D277&gt;0.5,N($C$19)&gt;0,N(B277)&lt;=N($C$20)),D277*$F$8,0)</f>
        <v>0</v>
      </c>
      <c r="H277" s="41" t="n">
        <f aca="false">IF(D277&lt;=0.5,0,MIN(IF(N(I277)&gt;0,I277,$F$9),D277+E277+F277))</f>
        <v>0</v>
      </c>
      <c r="I277" s="77"/>
      <c r="J277" s="77"/>
      <c r="K277" s="41" t="n">
        <f aca="false">IF(D277&lt;=0.5,0,MIN(H277+N(J277),D277+E277+F277))</f>
        <v>0</v>
      </c>
      <c r="L277" s="41" t="n">
        <f aca="false">K277-E277-F277</f>
        <v>0</v>
      </c>
      <c r="M277" s="41" t="n">
        <f aca="false">D277-L277</f>
        <v>0</v>
      </c>
      <c r="N277" s="42" t="n">
        <f aca="false">K277-G277</f>
        <v>0</v>
      </c>
      <c r="O277" s="78"/>
      <c r="P277" s="79"/>
      <c r="Q277" s="16" t="str">
        <f aca="false">IF(K277=0,"",IF(R277=1,"Pagada",IF(C277&lt;$F$12,"Vencida",IF(251=$F$13,"Próxima","Pendiente"))))</f>
        <v/>
      </c>
      <c r="R277" s="62" t="n">
        <f aca="false">IF(AND(K277&gt;0,OR(O277="Sí",O277="Si")),1,0)</f>
        <v>0</v>
      </c>
      <c r="S277" s="62" t="n">
        <f aca="false">IF(AND(K277&gt;0,R277=0),1,0)</f>
        <v>0</v>
      </c>
    </row>
    <row r="278" customFormat="false" ht="15" hidden="false" customHeight="false" outlineLevel="0" collapsed="false">
      <c r="B278" s="71" t="str">
        <f aca="false">IF($F$6="Sí",N($C$11)+251,"")</f>
        <v/>
      </c>
      <c r="C278" s="72" t="str">
        <f aca="false">IF(OR($F$6&lt;&gt;"Sí",D278&lt;=0.5),"",EDATE($C$10,251))</f>
        <v/>
      </c>
      <c r="D278" s="41" t="n">
        <f aca="false">MAX(0,M277)</f>
        <v>0</v>
      </c>
      <c r="E278" s="41" t="n">
        <f aca="false">D278*$F$7</f>
        <v>0</v>
      </c>
      <c r="F278" s="41" t="n">
        <f aca="false">IF(D278&gt;0.5,N($C$15),0)</f>
        <v>0</v>
      </c>
      <c r="G278" s="41" t="n">
        <f aca="false">IF(AND(D278&gt;0.5,N($C$19)&gt;0,N(B278)&lt;=N($C$20)),D278*$F$8,0)</f>
        <v>0</v>
      </c>
      <c r="H278" s="41" t="n">
        <f aca="false">IF(D278&lt;=0.5,0,MIN(IF(N(I278)&gt;0,I278,$F$9),D278+E278+F278))</f>
        <v>0</v>
      </c>
      <c r="I278" s="77"/>
      <c r="J278" s="77"/>
      <c r="K278" s="41" t="n">
        <f aca="false">IF(D278&lt;=0.5,0,MIN(H278+N(J278),D278+E278+F278))</f>
        <v>0</v>
      </c>
      <c r="L278" s="41" t="n">
        <f aca="false">K278-E278-F278</f>
        <v>0</v>
      </c>
      <c r="M278" s="41" t="n">
        <f aca="false">D278-L278</f>
        <v>0</v>
      </c>
      <c r="N278" s="42" t="n">
        <f aca="false">K278-G278</f>
        <v>0</v>
      </c>
      <c r="O278" s="78"/>
      <c r="P278" s="79"/>
      <c r="Q278" s="16" t="str">
        <f aca="false">IF(K278=0,"",IF(R278=1,"Pagada",IF(C278&lt;$F$12,"Vencida",IF(252=$F$13,"Próxima","Pendiente"))))</f>
        <v/>
      </c>
      <c r="R278" s="62" t="n">
        <f aca="false">IF(AND(K278&gt;0,OR(O278="Sí",O278="Si")),1,0)</f>
        <v>0</v>
      </c>
      <c r="S278" s="62" t="n">
        <f aca="false">IF(AND(K278&gt;0,R278=0),1,0)</f>
        <v>0</v>
      </c>
    </row>
    <row r="279" customFormat="false" ht="15" hidden="false" customHeight="false" outlineLevel="0" collapsed="false">
      <c r="B279" s="71" t="str">
        <f aca="false">IF($F$6="Sí",N($C$11)+252,"")</f>
        <v/>
      </c>
      <c r="C279" s="72" t="str">
        <f aca="false">IF(OR($F$6&lt;&gt;"Sí",D279&lt;=0.5),"",EDATE($C$10,252))</f>
        <v/>
      </c>
      <c r="D279" s="41" t="n">
        <f aca="false">MAX(0,M278)</f>
        <v>0</v>
      </c>
      <c r="E279" s="41" t="n">
        <f aca="false">D279*$F$7</f>
        <v>0</v>
      </c>
      <c r="F279" s="41" t="n">
        <f aca="false">IF(D279&gt;0.5,N($C$15),0)</f>
        <v>0</v>
      </c>
      <c r="G279" s="41" t="n">
        <f aca="false">IF(AND(D279&gt;0.5,N($C$19)&gt;0,N(B279)&lt;=N($C$20)),D279*$F$8,0)</f>
        <v>0</v>
      </c>
      <c r="H279" s="41" t="n">
        <f aca="false">IF(D279&lt;=0.5,0,MIN(IF(N(I279)&gt;0,I279,$F$9),D279+E279+F279))</f>
        <v>0</v>
      </c>
      <c r="I279" s="77"/>
      <c r="J279" s="77"/>
      <c r="K279" s="41" t="n">
        <f aca="false">IF(D279&lt;=0.5,0,MIN(H279+N(J279),D279+E279+F279))</f>
        <v>0</v>
      </c>
      <c r="L279" s="41" t="n">
        <f aca="false">K279-E279-F279</f>
        <v>0</v>
      </c>
      <c r="M279" s="41" t="n">
        <f aca="false">D279-L279</f>
        <v>0</v>
      </c>
      <c r="N279" s="42" t="n">
        <f aca="false">K279-G279</f>
        <v>0</v>
      </c>
      <c r="O279" s="78"/>
      <c r="P279" s="79"/>
      <c r="Q279" s="16" t="str">
        <f aca="false">IF(K279=0,"",IF(R279=1,"Pagada",IF(C279&lt;$F$12,"Vencida",IF(253=$F$13,"Próxima","Pendiente"))))</f>
        <v/>
      </c>
      <c r="R279" s="62" t="n">
        <f aca="false">IF(AND(K279&gt;0,OR(O279="Sí",O279="Si")),1,0)</f>
        <v>0</v>
      </c>
      <c r="S279" s="62" t="n">
        <f aca="false">IF(AND(K279&gt;0,R279=0),1,0)</f>
        <v>0</v>
      </c>
    </row>
    <row r="280" customFormat="false" ht="15" hidden="false" customHeight="false" outlineLevel="0" collapsed="false">
      <c r="B280" s="71" t="str">
        <f aca="false">IF($F$6="Sí",N($C$11)+253,"")</f>
        <v/>
      </c>
      <c r="C280" s="72" t="str">
        <f aca="false">IF(OR($F$6&lt;&gt;"Sí",D280&lt;=0.5),"",EDATE($C$10,253))</f>
        <v/>
      </c>
      <c r="D280" s="41" t="n">
        <f aca="false">MAX(0,M279)</f>
        <v>0</v>
      </c>
      <c r="E280" s="41" t="n">
        <f aca="false">D280*$F$7</f>
        <v>0</v>
      </c>
      <c r="F280" s="41" t="n">
        <f aca="false">IF(D280&gt;0.5,N($C$15),0)</f>
        <v>0</v>
      </c>
      <c r="G280" s="41" t="n">
        <f aca="false">IF(AND(D280&gt;0.5,N($C$19)&gt;0,N(B280)&lt;=N($C$20)),D280*$F$8,0)</f>
        <v>0</v>
      </c>
      <c r="H280" s="41" t="n">
        <f aca="false">IF(D280&lt;=0.5,0,MIN(IF(N(I280)&gt;0,I280,$F$9),D280+E280+F280))</f>
        <v>0</v>
      </c>
      <c r="I280" s="77"/>
      <c r="J280" s="77"/>
      <c r="K280" s="41" t="n">
        <f aca="false">IF(D280&lt;=0.5,0,MIN(H280+N(J280),D280+E280+F280))</f>
        <v>0</v>
      </c>
      <c r="L280" s="41" t="n">
        <f aca="false">K280-E280-F280</f>
        <v>0</v>
      </c>
      <c r="M280" s="41" t="n">
        <f aca="false">D280-L280</f>
        <v>0</v>
      </c>
      <c r="N280" s="42" t="n">
        <f aca="false">K280-G280</f>
        <v>0</v>
      </c>
      <c r="O280" s="78"/>
      <c r="P280" s="79"/>
      <c r="Q280" s="16" t="str">
        <f aca="false">IF(K280=0,"",IF(R280=1,"Pagada",IF(C280&lt;$F$12,"Vencida",IF(254=$F$13,"Próxima","Pendiente"))))</f>
        <v/>
      </c>
      <c r="R280" s="62" t="n">
        <f aca="false">IF(AND(K280&gt;0,OR(O280="Sí",O280="Si")),1,0)</f>
        <v>0</v>
      </c>
      <c r="S280" s="62" t="n">
        <f aca="false">IF(AND(K280&gt;0,R280=0),1,0)</f>
        <v>0</v>
      </c>
    </row>
    <row r="281" customFormat="false" ht="15" hidden="false" customHeight="false" outlineLevel="0" collapsed="false">
      <c r="B281" s="71" t="str">
        <f aca="false">IF($F$6="Sí",N($C$11)+254,"")</f>
        <v/>
      </c>
      <c r="C281" s="72" t="str">
        <f aca="false">IF(OR($F$6&lt;&gt;"Sí",D281&lt;=0.5),"",EDATE($C$10,254))</f>
        <v/>
      </c>
      <c r="D281" s="41" t="n">
        <f aca="false">MAX(0,M280)</f>
        <v>0</v>
      </c>
      <c r="E281" s="41" t="n">
        <f aca="false">D281*$F$7</f>
        <v>0</v>
      </c>
      <c r="F281" s="41" t="n">
        <f aca="false">IF(D281&gt;0.5,N($C$15),0)</f>
        <v>0</v>
      </c>
      <c r="G281" s="41" t="n">
        <f aca="false">IF(AND(D281&gt;0.5,N($C$19)&gt;0,N(B281)&lt;=N($C$20)),D281*$F$8,0)</f>
        <v>0</v>
      </c>
      <c r="H281" s="41" t="n">
        <f aca="false">IF(D281&lt;=0.5,0,MIN(IF(N(I281)&gt;0,I281,$F$9),D281+E281+F281))</f>
        <v>0</v>
      </c>
      <c r="I281" s="77"/>
      <c r="J281" s="77"/>
      <c r="K281" s="41" t="n">
        <f aca="false">IF(D281&lt;=0.5,0,MIN(H281+N(J281),D281+E281+F281))</f>
        <v>0</v>
      </c>
      <c r="L281" s="41" t="n">
        <f aca="false">K281-E281-F281</f>
        <v>0</v>
      </c>
      <c r="M281" s="41" t="n">
        <f aca="false">D281-L281</f>
        <v>0</v>
      </c>
      <c r="N281" s="42" t="n">
        <f aca="false">K281-G281</f>
        <v>0</v>
      </c>
      <c r="O281" s="78"/>
      <c r="P281" s="79"/>
      <c r="Q281" s="16" t="str">
        <f aca="false">IF(K281=0,"",IF(R281=1,"Pagada",IF(C281&lt;$F$12,"Vencida",IF(255=$F$13,"Próxima","Pendiente"))))</f>
        <v/>
      </c>
      <c r="R281" s="62" t="n">
        <f aca="false">IF(AND(K281&gt;0,OR(O281="Sí",O281="Si")),1,0)</f>
        <v>0</v>
      </c>
      <c r="S281" s="62" t="n">
        <f aca="false">IF(AND(K281&gt;0,R281=0),1,0)</f>
        <v>0</v>
      </c>
    </row>
    <row r="282" customFormat="false" ht="15" hidden="false" customHeight="false" outlineLevel="0" collapsed="false">
      <c r="B282" s="71" t="str">
        <f aca="false">IF($F$6="Sí",N($C$11)+255,"")</f>
        <v/>
      </c>
      <c r="C282" s="72" t="str">
        <f aca="false">IF(OR($F$6&lt;&gt;"Sí",D282&lt;=0.5),"",EDATE($C$10,255))</f>
        <v/>
      </c>
      <c r="D282" s="41" t="n">
        <f aca="false">MAX(0,M281)</f>
        <v>0</v>
      </c>
      <c r="E282" s="41" t="n">
        <f aca="false">D282*$F$7</f>
        <v>0</v>
      </c>
      <c r="F282" s="41" t="n">
        <f aca="false">IF(D282&gt;0.5,N($C$15),0)</f>
        <v>0</v>
      </c>
      <c r="G282" s="41" t="n">
        <f aca="false">IF(AND(D282&gt;0.5,N($C$19)&gt;0,N(B282)&lt;=N($C$20)),D282*$F$8,0)</f>
        <v>0</v>
      </c>
      <c r="H282" s="41" t="n">
        <f aca="false">IF(D282&lt;=0.5,0,MIN(IF(N(I282)&gt;0,I282,$F$9),D282+E282+F282))</f>
        <v>0</v>
      </c>
      <c r="I282" s="77"/>
      <c r="J282" s="77"/>
      <c r="K282" s="41" t="n">
        <f aca="false">IF(D282&lt;=0.5,0,MIN(H282+N(J282),D282+E282+F282))</f>
        <v>0</v>
      </c>
      <c r="L282" s="41" t="n">
        <f aca="false">K282-E282-F282</f>
        <v>0</v>
      </c>
      <c r="M282" s="41" t="n">
        <f aca="false">D282-L282</f>
        <v>0</v>
      </c>
      <c r="N282" s="42" t="n">
        <f aca="false">K282-G282</f>
        <v>0</v>
      </c>
      <c r="O282" s="78"/>
      <c r="P282" s="79"/>
      <c r="Q282" s="16" t="str">
        <f aca="false">IF(K282=0,"",IF(R282=1,"Pagada",IF(C282&lt;$F$12,"Vencida",IF(256=$F$13,"Próxima","Pendiente"))))</f>
        <v/>
      </c>
      <c r="R282" s="62" t="n">
        <f aca="false">IF(AND(K282&gt;0,OR(O282="Sí",O282="Si")),1,0)</f>
        <v>0</v>
      </c>
      <c r="S282" s="62" t="n">
        <f aca="false">IF(AND(K282&gt;0,R282=0),1,0)</f>
        <v>0</v>
      </c>
    </row>
    <row r="283" customFormat="false" ht="15" hidden="false" customHeight="false" outlineLevel="0" collapsed="false">
      <c r="B283" s="71" t="str">
        <f aca="false">IF($F$6="Sí",N($C$11)+256,"")</f>
        <v/>
      </c>
      <c r="C283" s="72" t="str">
        <f aca="false">IF(OR($F$6&lt;&gt;"Sí",D283&lt;=0.5),"",EDATE($C$10,256))</f>
        <v/>
      </c>
      <c r="D283" s="41" t="n">
        <f aca="false">MAX(0,M282)</f>
        <v>0</v>
      </c>
      <c r="E283" s="41" t="n">
        <f aca="false">D283*$F$7</f>
        <v>0</v>
      </c>
      <c r="F283" s="41" t="n">
        <f aca="false">IF(D283&gt;0.5,N($C$15),0)</f>
        <v>0</v>
      </c>
      <c r="G283" s="41" t="n">
        <f aca="false">IF(AND(D283&gt;0.5,N($C$19)&gt;0,N(B283)&lt;=N($C$20)),D283*$F$8,0)</f>
        <v>0</v>
      </c>
      <c r="H283" s="41" t="n">
        <f aca="false">IF(D283&lt;=0.5,0,MIN(IF(N(I283)&gt;0,I283,$F$9),D283+E283+F283))</f>
        <v>0</v>
      </c>
      <c r="I283" s="77"/>
      <c r="J283" s="77"/>
      <c r="K283" s="41" t="n">
        <f aca="false">IF(D283&lt;=0.5,0,MIN(H283+N(J283),D283+E283+F283))</f>
        <v>0</v>
      </c>
      <c r="L283" s="41" t="n">
        <f aca="false">K283-E283-F283</f>
        <v>0</v>
      </c>
      <c r="M283" s="41" t="n">
        <f aca="false">D283-L283</f>
        <v>0</v>
      </c>
      <c r="N283" s="42" t="n">
        <f aca="false">K283-G283</f>
        <v>0</v>
      </c>
      <c r="O283" s="78"/>
      <c r="P283" s="79"/>
      <c r="Q283" s="16" t="str">
        <f aca="false">IF(K283=0,"",IF(R283=1,"Pagada",IF(C283&lt;$F$12,"Vencida",IF(257=$F$13,"Próxima","Pendiente"))))</f>
        <v/>
      </c>
      <c r="R283" s="62" t="n">
        <f aca="false">IF(AND(K283&gt;0,OR(O283="Sí",O283="Si")),1,0)</f>
        <v>0</v>
      </c>
      <c r="S283" s="62" t="n">
        <f aca="false">IF(AND(K283&gt;0,R283=0),1,0)</f>
        <v>0</v>
      </c>
    </row>
    <row r="284" customFormat="false" ht="15" hidden="false" customHeight="false" outlineLevel="0" collapsed="false">
      <c r="B284" s="71" t="str">
        <f aca="false">IF($F$6="Sí",N($C$11)+257,"")</f>
        <v/>
      </c>
      <c r="C284" s="72" t="str">
        <f aca="false">IF(OR($F$6&lt;&gt;"Sí",D284&lt;=0.5),"",EDATE($C$10,257))</f>
        <v/>
      </c>
      <c r="D284" s="41" t="n">
        <f aca="false">MAX(0,M283)</f>
        <v>0</v>
      </c>
      <c r="E284" s="41" t="n">
        <f aca="false">D284*$F$7</f>
        <v>0</v>
      </c>
      <c r="F284" s="41" t="n">
        <f aca="false">IF(D284&gt;0.5,N($C$15),0)</f>
        <v>0</v>
      </c>
      <c r="G284" s="41" t="n">
        <f aca="false">IF(AND(D284&gt;0.5,N($C$19)&gt;0,N(B284)&lt;=N($C$20)),D284*$F$8,0)</f>
        <v>0</v>
      </c>
      <c r="H284" s="41" t="n">
        <f aca="false">IF(D284&lt;=0.5,0,MIN(IF(N(I284)&gt;0,I284,$F$9),D284+E284+F284))</f>
        <v>0</v>
      </c>
      <c r="I284" s="77"/>
      <c r="J284" s="77"/>
      <c r="K284" s="41" t="n">
        <f aca="false">IF(D284&lt;=0.5,0,MIN(H284+N(J284),D284+E284+F284))</f>
        <v>0</v>
      </c>
      <c r="L284" s="41" t="n">
        <f aca="false">K284-E284-F284</f>
        <v>0</v>
      </c>
      <c r="M284" s="41" t="n">
        <f aca="false">D284-L284</f>
        <v>0</v>
      </c>
      <c r="N284" s="42" t="n">
        <f aca="false">K284-G284</f>
        <v>0</v>
      </c>
      <c r="O284" s="78"/>
      <c r="P284" s="79"/>
      <c r="Q284" s="16" t="str">
        <f aca="false">IF(K284=0,"",IF(R284=1,"Pagada",IF(C284&lt;$F$12,"Vencida",IF(258=$F$13,"Próxima","Pendiente"))))</f>
        <v/>
      </c>
      <c r="R284" s="62" t="n">
        <f aca="false">IF(AND(K284&gt;0,OR(O284="Sí",O284="Si")),1,0)</f>
        <v>0</v>
      </c>
      <c r="S284" s="62" t="n">
        <f aca="false">IF(AND(K284&gt;0,R284=0),1,0)</f>
        <v>0</v>
      </c>
    </row>
    <row r="285" customFormat="false" ht="15" hidden="false" customHeight="false" outlineLevel="0" collapsed="false">
      <c r="B285" s="71" t="str">
        <f aca="false">IF($F$6="Sí",N($C$11)+258,"")</f>
        <v/>
      </c>
      <c r="C285" s="72" t="str">
        <f aca="false">IF(OR($F$6&lt;&gt;"Sí",D285&lt;=0.5),"",EDATE($C$10,258))</f>
        <v/>
      </c>
      <c r="D285" s="41" t="n">
        <f aca="false">MAX(0,M284)</f>
        <v>0</v>
      </c>
      <c r="E285" s="41" t="n">
        <f aca="false">D285*$F$7</f>
        <v>0</v>
      </c>
      <c r="F285" s="41" t="n">
        <f aca="false">IF(D285&gt;0.5,N($C$15),0)</f>
        <v>0</v>
      </c>
      <c r="G285" s="41" t="n">
        <f aca="false">IF(AND(D285&gt;0.5,N($C$19)&gt;0,N(B285)&lt;=N($C$20)),D285*$F$8,0)</f>
        <v>0</v>
      </c>
      <c r="H285" s="41" t="n">
        <f aca="false">IF(D285&lt;=0.5,0,MIN(IF(N(I285)&gt;0,I285,$F$9),D285+E285+F285))</f>
        <v>0</v>
      </c>
      <c r="I285" s="77"/>
      <c r="J285" s="77"/>
      <c r="K285" s="41" t="n">
        <f aca="false">IF(D285&lt;=0.5,0,MIN(H285+N(J285),D285+E285+F285))</f>
        <v>0</v>
      </c>
      <c r="L285" s="41" t="n">
        <f aca="false">K285-E285-F285</f>
        <v>0</v>
      </c>
      <c r="M285" s="41" t="n">
        <f aca="false">D285-L285</f>
        <v>0</v>
      </c>
      <c r="N285" s="42" t="n">
        <f aca="false">K285-G285</f>
        <v>0</v>
      </c>
      <c r="O285" s="78"/>
      <c r="P285" s="79"/>
      <c r="Q285" s="16" t="str">
        <f aca="false">IF(K285=0,"",IF(R285=1,"Pagada",IF(C285&lt;$F$12,"Vencida",IF(259=$F$13,"Próxima","Pendiente"))))</f>
        <v/>
      </c>
      <c r="R285" s="62" t="n">
        <f aca="false">IF(AND(K285&gt;0,OR(O285="Sí",O285="Si")),1,0)</f>
        <v>0</v>
      </c>
      <c r="S285" s="62" t="n">
        <f aca="false">IF(AND(K285&gt;0,R285=0),1,0)</f>
        <v>0</v>
      </c>
    </row>
    <row r="286" customFormat="false" ht="15" hidden="false" customHeight="false" outlineLevel="0" collapsed="false">
      <c r="B286" s="71" t="str">
        <f aca="false">IF($F$6="Sí",N($C$11)+259,"")</f>
        <v/>
      </c>
      <c r="C286" s="72" t="str">
        <f aca="false">IF(OR($F$6&lt;&gt;"Sí",D286&lt;=0.5),"",EDATE($C$10,259))</f>
        <v/>
      </c>
      <c r="D286" s="41" t="n">
        <f aca="false">MAX(0,M285)</f>
        <v>0</v>
      </c>
      <c r="E286" s="41" t="n">
        <f aca="false">D286*$F$7</f>
        <v>0</v>
      </c>
      <c r="F286" s="41" t="n">
        <f aca="false">IF(D286&gt;0.5,N($C$15),0)</f>
        <v>0</v>
      </c>
      <c r="G286" s="41" t="n">
        <f aca="false">IF(AND(D286&gt;0.5,N($C$19)&gt;0,N(B286)&lt;=N($C$20)),D286*$F$8,0)</f>
        <v>0</v>
      </c>
      <c r="H286" s="41" t="n">
        <f aca="false">IF(D286&lt;=0.5,0,MIN(IF(N(I286)&gt;0,I286,$F$9),D286+E286+F286))</f>
        <v>0</v>
      </c>
      <c r="I286" s="77"/>
      <c r="J286" s="77"/>
      <c r="K286" s="41" t="n">
        <f aca="false">IF(D286&lt;=0.5,0,MIN(H286+N(J286),D286+E286+F286))</f>
        <v>0</v>
      </c>
      <c r="L286" s="41" t="n">
        <f aca="false">K286-E286-F286</f>
        <v>0</v>
      </c>
      <c r="M286" s="41" t="n">
        <f aca="false">D286-L286</f>
        <v>0</v>
      </c>
      <c r="N286" s="42" t="n">
        <f aca="false">K286-G286</f>
        <v>0</v>
      </c>
      <c r="O286" s="78"/>
      <c r="P286" s="79"/>
      <c r="Q286" s="16" t="str">
        <f aca="false">IF(K286=0,"",IF(R286=1,"Pagada",IF(C286&lt;$F$12,"Vencida",IF(260=$F$13,"Próxima","Pendiente"))))</f>
        <v/>
      </c>
      <c r="R286" s="62" t="n">
        <f aca="false">IF(AND(K286&gt;0,OR(O286="Sí",O286="Si")),1,0)</f>
        <v>0</v>
      </c>
      <c r="S286" s="62" t="n">
        <f aca="false">IF(AND(K286&gt;0,R286=0),1,0)</f>
        <v>0</v>
      </c>
    </row>
    <row r="287" customFormat="false" ht="15" hidden="false" customHeight="false" outlineLevel="0" collapsed="false">
      <c r="B287" s="71" t="str">
        <f aca="false">IF($F$6="Sí",N($C$11)+260,"")</f>
        <v/>
      </c>
      <c r="C287" s="72" t="str">
        <f aca="false">IF(OR($F$6&lt;&gt;"Sí",D287&lt;=0.5),"",EDATE($C$10,260))</f>
        <v/>
      </c>
      <c r="D287" s="41" t="n">
        <f aca="false">MAX(0,M286)</f>
        <v>0</v>
      </c>
      <c r="E287" s="41" t="n">
        <f aca="false">D287*$F$7</f>
        <v>0</v>
      </c>
      <c r="F287" s="41" t="n">
        <f aca="false">IF(D287&gt;0.5,N($C$15),0)</f>
        <v>0</v>
      </c>
      <c r="G287" s="41" t="n">
        <f aca="false">IF(AND(D287&gt;0.5,N($C$19)&gt;0,N(B287)&lt;=N($C$20)),D287*$F$8,0)</f>
        <v>0</v>
      </c>
      <c r="H287" s="41" t="n">
        <f aca="false">IF(D287&lt;=0.5,0,MIN(IF(N(I287)&gt;0,I287,$F$9),D287+E287+F287))</f>
        <v>0</v>
      </c>
      <c r="I287" s="77"/>
      <c r="J287" s="77"/>
      <c r="K287" s="41" t="n">
        <f aca="false">IF(D287&lt;=0.5,0,MIN(H287+N(J287),D287+E287+F287))</f>
        <v>0</v>
      </c>
      <c r="L287" s="41" t="n">
        <f aca="false">K287-E287-F287</f>
        <v>0</v>
      </c>
      <c r="M287" s="41" t="n">
        <f aca="false">D287-L287</f>
        <v>0</v>
      </c>
      <c r="N287" s="42" t="n">
        <f aca="false">K287-G287</f>
        <v>0</v>
      </c>
      <c r="O287" s="78"/>
      <c r="P287" s="79"/>
      <c r="Q287" s="16" t="str">
        <f aca="false">IF(K287=0,"",IF(R287=1,"Pagada",IF(C287&lt;$F$12,"Vencida",IF(261=$F$13,"Próxima","Pendiente"))))</f>
        <v/>
      </c>
      <c r="R287" s="62" t="n">
        <f aca="false">IF(AND(K287&gt;0,OR(O287="Sí",O287="Si")),1,0)</f>
        <v>0</v>
      </c>
      <c r="S287" s="62" t="n">
        <f aca="false">IF(AND(K287&gt;0,R287=0),1,0)</f>
        <v>0</v>
      </c>
    </row>
    <row r="288" customFormat="false" ht="15" hidden="false" customHeight="false" outlineLevel="0" collapsed="false">
      <c r="B288" s="71" t="str">
        <f aca="false">IF($F$6="Sí",N($C$11)+261,"")</f>
        <v/>
      </c>
      <c r="C288" s="72" t="str">
        <f aca="false">IF(OR($F$6&lt;&gt;"Sí",D288&lt;=0.5),"",EDATE($C$10,261))</f>
        <v/>
      </c>
      <c r="D288" s="41" t="n">
        <f aca="false">MAX(0,M287)</f>
        <v>0</v>
      </c>
      <c r="E288" s="41" t="n">
        <f aca="false">D288*$F$7</f>
        <v>0</v>
      </c>
      <c r="F288" s="41" t="n">
        <f aca="false">IF(D288&gt;0.5,N($C$15),0)</f>
        <v>0</v>
      </c>
      <c r="G288" s="41" t="n">
        <f aca="false">IF(AND(D288&gt;0.5,N($C$19)&gt;0,N(B288)&lt;=N($C$20)),D288*$F$8,0)</f>
        <v>0</v>
      </c>
      <c r="H288" s="41" t="n">
        <f aca="false">IF(D288&lt;=0.5,0,MIN(IF(N(I288)&gt;0,I288,$F$9),D288+E288+F288))</f>
        <v>0</v>
      </c>
      <c r="I288" s="77"/>
      <c r="J288" s="77"/>
      <c r="K288" s="41" t="n">
        <f aca="false">IF(D288&lt;=0.5,0,MIN(H288+N(J288),D288+E288+F288))</f>
        <v>0</v>
      </c>
      <c r="L288" s="41" t="n">
        <f aca="false">K288-E288-F288</f>
        <v>0</v>
      </c>
      <c r="M288" s="41" t="n">
        <f aca="false">D288-L288</f>
        <v>0</v>
      </c>
      <c r="N288" s="42" t="n">
        <f aca="false">K288-G288</f>
        <v>0</v>
      </c>
      <c r="O288" s="78"/>
      <c r="P288" s="79"/>
      <c r="Q288" s="16" t="str">
        <f aca="false">IF(K288=0,"",IF(R288=1,"Pagada",IF(C288&lt;$F$12,"Vencida",IF(262=$F$13,"Próxima","Pendiente"))))</f>
        <v/>
      </c>
      <c r="R288" s="62" t="n">
        <f aca="false">IF(AND(K288&gt;0,OR(O288="Sí",O288="Si")),1,0)</f>
        <v>0</v>
      </c>
      <c r="S288" s="62" t="n">
        <f aca="false">IF(AND(K288&gt;0,R288=0),1,0)</f>
        <v>0</v>
      </c>
    </row>
    <row r="289" customFormat="false" ht="15" hidden="false" customHeight="false" outlineLevel="0" collapsed="false">
      <c r="B289" s="71" t="str">
        <f aca="false">IF($F$6="Sí",N($C$11)+262,"")</f>
        <v/>
      </c>
      <c r="C289" s="72" t="str">
        <f aca="false">IF(OR($F$6&lt;&gt;"Sí",D289&lt;=0.5),"",EDATE($C$10,262))</f>
        <v/>
      </c>
      <c r="D289" s="41" t="n">
        <f aca="false">MAX(0,M288)</f>
        <v>0</v>
      </c>
      <c r="E289" s="41" t="n">
        <f aca="false">D289*$F$7</f>
        <v>0</v>
      </c>
      <c r="F289" s="41" t="n">
        <f aca="false">IF(D289&gt;0.5,N($C$15),0)</f>
        <v>0</v>
      </c>
      <c r="G289" s="41" t="n">
        <f aca="false">IF(AND(D289&gt;0.5,N($C$19)&gt;0,N(B289)&lt;=N($C$20)),D289*$F$8,0)</f>
        <v>0</v>
      </c>
      <c r="H289" s="41" t="n">
        <f aca="false">IF(D289&lt;=0.5,0,MIN(IF(N(I289)&gt;0,I289,$F$9),D289+E289+F289))</f>
        <v>0</v>
      </c>
      <c r="I289" s="77"/>
      <c r="J289" s="77"/>
      <c r="K289" s="41" t="n">
        <f aca="false">IF(D289&lt;=0.5,0,MIN(H289+N(J289),D289+E289+F289))</f>
        <v>0</v>
      </c>
      <c r="L289" s="41" t="n">
        <f aca="false">K289-E289-F289</f>
        <v>0</v>
      </c>
      <c r="M289" s="41" t="n">
        <f aca="false">D289-L289</f>
        <v>0</v>
      </c>
      <c r="N289" s="42" t="n">
        <f aca="false">K289-G289</f>
        <v>0</v>
      </c>
      <c r="O289" s="78"/>
      <c r="P289" s="79"/>
      <c r="Q289" s="16" t="str">
        <f aca="false">IF(K289=0,"",IF(R289=1,"Pagada",IF(C289&lt;$F$12,"Vencida",IF(263=$F$13,"Próxima","Pendiente"))))</f>
        <v/>
      </c>
      <c r="R289" s="62" t="n">
        <f aca="false">IF(AND(K289&gt;0,OR(O289="Sí",O289="Si")),1,0)</f>
        <v>0</v>
      </c>
      <c r="S289" s="62" t="n">
        <f aca="false">IF(AND(K289&gt;0,R289=0),1,0)</f>
        <v>0</v>
      </c>
    </row>
    <row r="290" customFormat="false" ht="15" hidden="false" customHeight="false" outlineLevel="0" collapsed="false">
      <c r="B290" s="71" t="str">
        <f aca="false">IF($F$6="Sí",N($C$11)+263,"")</f>
        <v/>
      </c>
      <c r="C290" s="72" t="str">
        <f aca="false">IF(OR($F$6&lt;&gt;"Sí",D290&lt;=0.5),"",EDATE($C$10,263))</f>
        <v/>
      </c>
      <c r="D290" s="41" t="n">
        <f aca="false">MAX(0,M289)</f>
        <v>0</v>
      </c>
      <c r="E290" s="41" t="n">
        <f aca="false">D290*$F$7</f>
        <v>0</v>
      </c>
      <c r="F290" s="41" t="n">
        <f aca="false">IF(D290&gt;0.5,N($C$15),0)</f>
        <v>0</v>
      </c>
      <c r="G290" s="41" t="n">
        <f aca="false">IF(AND(D290&gt;0.5,N($C$19)&gt;0,N(B290)&lt;=N($C$20)),D290*$F$8,0)</f>
        <v>0</v>
      </c>
      <c r="H290" s="41" t="n">
        <f aca="false">IF(D290&lt;=0.5,0,MIN(IF(N(I290)&gt;0,I290,$F$9),D290+E290+F290))</f>
        <v>0</v>
      </c>
      <c r="I290" s="77"/>
      <c r="J290" s="77"/>
      <c r="K290" s="41" t="n">
        <f aca="false">IF(D290&lt;=0.5,0,MIN(H290+N(J290),D290+E290+F290))</f>
        <v>0</v>
      </c>
      <c r="L290" s="41" t="n">
        <f aca="false">K290-E290-F290</f>
        <v>0</v>
      </c>
      <c r="M290" s="41" t="n">
        <f aca="false">D290-L290</f>
        <v>0</v>
      </c>
      <c r="N290" s="42" t="n">
        <f aca="false">K290-G290</f>
        <v>0</v>
      </c>
      <c r="O290" s="78"/>
      <c r="P290" s="79"/>
      <c r="Q290" s="16" t="str">
        <f aca="false">IF(K290=0,"",IF(R290=1,"Pagada",IF(C290&lt;$F$12,"Vencida",IF(264=$F$13,"Próxima","Pendiente"))))</f>
        <v/>
      </c>
      <c r="R290" s="62" t="n">
        <f aca="false">IF(AND(K290&gt;0,OR(O290="Sí",O290="Si")),1,0)</f>
        <v>0</v>
      </c>
      <c r="S290" s="62" t="n">
        <f aca="false">IF(AND(K290&gt;0,R290=0),1,0)</f>
        <v>0</v>
      </c>
    </row>
    <row r="291" customFormat="false" ht="15" hidden="false" customHeight="false" outlineLevel="0" collapsed="false">
      <c r="B291" s="71" t="str">
        <f aca="false">IF($F$6="Sí",N($C$11)+264,"")</f>
        <v/>
      </c>
      <c r="C291" s="72" t="str">
        <f aca="false">IF(OR($F$6&lt;&gt;"Sí",D291&lt;=0.5),"",EDATE($C$10,264))</f>
        <v/>
      </c>
      <c r="D291" s="41" t="n">
        <f aca="false">MAX(0,M290)</f>
        <v>0</v>
      </c>
      <c r="E291" s="41" t="n">
        <f aca="false">D291*$F$7</f>
        <v>0</v>
      </c>
      <c r="F291" s="41" t="n">
        <f aca="false">IF(D291&gt;0.5,N($C$15),0)</f>
        <v>0</v>
      </c>
      <c r="G291" s="41" t="n">
        <f aca="false">IF(AND(D291&gt;0.5,N($C$19)&gt;0,N(B291)&lt;=N($C$20)),D291*$F$8,0)</f>
        <v>0</v>
      </c>
      <c r="H291" s="41" t="n">
        <f aca="false">IF(D291&lt;=0.5,0,MIN(IF(N(I291)&gt;0,I291,$F$9),D291+E291+F291))</f>
        <v>0</v>
      </c>
      <c r="I291" s="77"/>
      <c r="J291" s="77"/>
      <c r="K291" s="41" t="n">
        <f aca="false">IF(D291&lt;=0.5,0,MIN(H291+N(J291),D291+E291+F291))</f>
        <v>0</v>
      </c>
      <c r="L291" s="41" t="n">
        <f aca="false">K291-E291-F291</f>
        <v>0</v>
      </c>
      <c r="M291" s="41" t="n">
        <f aca="false">D291-L291</f>
        <v>0</v>
      </c>
      <c r="N291" s="42" t="n">
        <f aca="false">K291-G291</f>
        <v>0</v>
      </c>
      <c r="O291" s="78"/>
      <c r="P291" s="79"/>
      <c r="Q291" s="16" t="str">
        <f aca="false">IF(K291=0,"",IF(R291=1,"Pagada",IF(C291&lt;$F$12,"Vencida",IF(265=$F$13,"Próxima","Pendiente"))))</f>
        <v/>
      </c>
      <c r="R291" s="62" t="n">
        <f aca="false">IF(AND(K291&gt;0,OR(O291="Sí",O291="Si")),1,0)</f>
        <v>0</v>
      </c>
      <c r="S291" s="62" t="n">
        <f aca="false">IF(AND(K291&gt;0,R291=0),1,0)</f>
        <v>0</v>
      </c>
    </row>
    <row r="292" customFormat="false" ht="15" hidden="false" customHeight="false" outlineLevel="0" collapsed="false">
      <c r="B292" s="71" t="str">
        <f aca="false">IF($F$6="Sí",N($C$11)+265,"")</f>
        <v/>
      </c>
      <c r="C292" s="72" t="str">
        <f aca="false">IF(OR($F$6&lt;&gt;"Sí",D292&lt;=0.5),"",EDATE($C$10,265))</f>
        <v/>
      </c>
      <c r="D292" s="41" t="n">
        <f aca="false">MAX(0,M291)</f>
        <v>0</v>
      </c>
      <c r="E292" s="41" t="n">
        <f aca="false">D292*$F$7</f>
        <v>0</v>
      </c>
      <c r="F292" s="41" t="n">
        <f aca="false">IF(D292&gt;0.5,N($C$15),0)</f>
        <v>0</v>
      </c>
      <c r="G292" s="41" t="n">
        <f aca="false">IF(AND(D292&gt;0.5,N($C$19)&gt;0,N(B292)&lt;=N($C$20)),D292*$F$8,0)</f>
        <v>0</v>
      </c>
      <c r="H292" s="41" t="n">
        <f aca="false">IF(D292&lt;=0.5,0,MIN(IF(N(I292)&gt;0,I292,$F$9),D292+E292+F292))</f>
        <v>0</v>
      </c>
      <c r="I292" s="77"/>
      <c r="J292" s="77"/>
      <c r="K292" s="41" t="n">
        <f aca="false">IF(D292&lt;=0.5,0,MIN(H292+N(J292),D292+E292+F292))</f>
        <v>0</v>
      </c>
      <c r="L292" s="41" t="n">
        <f aca="false">K292-E292-F292</f>
        <v>0</v>
      </c>
      <c r="M292" s="41" t="n">
        <f aca="false">D292-L292</f>
        <v>0</v>
      </c>
      <c r="N292" s="42" t="n">
        <f aca="false">K292-G292</f>
        <v>0</v>
      </c>
      <c r="O292" s="78"/>
      <c r="P292" s="79"/>
      <c r="Q292" s="16" t="str">
        <f aca="false">IF(K292=0,"",IF(R292=1,"Pagada",IF(C292&lt;$F$12,"Vencida",IF(266=$F$13,"Próxima","Pendiente"))))</f>
        <v/>
      </c>
      <c r="R292" s="62" t="n">
        <f aca="false">IF(AND(K292&gt;0,OR(O292="Sí",O292="Si")),1,0)</f>
        <v>0</v>
      </c>
      <c r="S292" s="62" t="n">
        <f aca="false">IF(AND(K292&gt;0,R292=0),1,0)</f>
        <v>0</v>
      </c>
    </row>
    <row r="293" customFormat="false" ht="15" hidden="false" customHeight="false" outlineLevel="0" collapsed="false">
      <c r="B293" s="71" t="str">
        <f aca="false">IF($F$6="Sí",N($C$11)+266,"")</f>
        <v/>
      </c>
      <c r="C293" s="72" t="str">
        <f aca="false">IF(OR($F$6&lt;&gt;"Sí",D293&lt;=0.5),"",EDATE($C$10,266))</f>
        <v/>
      </c>
      <c r="D293" s="41" t="n">
        <f aca="false">MAX(0,M292)</f>
        <v>0</v>
      </c>
      <c r="E293" s="41" t="n">
        <f aca="false">D293*$F$7</f>
        <v>0</v>
      </c>
      <c r="F293" s="41" t="n">
        <f aca="false">IF(D293&gt;0.5,N($C$15),0)</f>
        <v>0</v>
      </c>
      <c r="G293" s="41" t="n">
        <f aca="false">IF(AND(D293&gt;0.5,N($C$19)&gt;0,N(B293)&lt;=N($C$20)),D293*$F$8,0)</f>
        <v>0</v>
      </c>
      <c r="H293" s="41" t="n">
        <f aca="false">IF(D293&lt;=0.5,0,MIN(IF(N(I293)&gt;0,I293,$F$9),D293+E293+F293))</f>
        <v>0</v>
      </c>
      <c r="I293" s="77"/>
      <c r="J293" s="77"/>
      <c r="K293" s="41" t="n">
        <f aca="false">IF(D293&lt;=0.5,0,MIN(H293+N(J293),D293+E293+F293))</f>
        <v>0</v>
      </c>
      <c r="L293" s="41" t="n">
        <f aca="false">K293-E293-F293</f>
        <v>0</v>
      </c>
      <c r="M293" s="41" t="n">
        <f aca="false">D293-L293</f>
        <v>0</v>
      </c>
      <c r="N293" s="42" t="n">
        <f aca="false">K293-G293</f>
        <v>0</v>
      </c>
      <c r="O293" s="78"/>
      <c r="P293" s="79"/>
      <c r="Q293" s="16" t="str">
        <f aca="false">IF(K293=0,"",IF(R293=1,"Pagada",IF(C293&lt;$F$12,"Vencida",IF(267=$F$13,"Próxima","Pendiente"))))</f>
        <v/>
      </c>
      <c r="R293" s="62" t="n">
        <f aca="false">IF(AND(K293&gt;0,OR(O293="Sí",O293="Si")),1,0)</f>
        <v>0</v>
      </c>
      <c r="S293" s="62" t="n">
        <f aca="false">IF(AND(K293&gt;0,R293=0),1,0)</f>
        <v>0</v>
      </c>
    </row>
    <row r="294" customFormat="false" ht="15" hidden="false" customHeight="false" outlineLevel="0" collapsed="false">
      <c r="B294" s="71" t="str">
        <f aca="false">IF($F$6="Sí",N($C$11)+267,"")</f>
        <v/>
      </c>
      <c r="C294" s="72" t="str">
        <f aca="false">IF(OR($F$6&lt;&gt;"Sí",D294&lt;=0.5),"",EDATE($C$10,267))</f>
        <v/>
      </c>
      <c r="D294" s="41" t="n">
        <f aca="false">MAX(0,M293)</f>
        <v>0</v>
      </c>
      <c r="E294" s="41" t="n">
        <f aca="false">D294*$F$7</f>
        <v>0</v>
      </c>
      <c r="F294" s="41" t="n">
        <f aca="false">IF(D294&gt;0.5,N($C$15),0)</f>
        <v>0</v>
      </c>
      <c r="G294" s="41" t="n">
        <f aca="false">IF(AND(D294&gt;0.5,N($C$19)&gt;0,N(B294)&lt;=N($C$20)),D294*$F$8,0)</f>
        <v>0</v>
      </c>
      <c r="H294" s="41" t="n">
        <f aca="false">IF(D294&lt;=0.5,0,MIN(IF(N(I294)&gt;0,I294,$F$9),D294+E294+F294))</f>
        <v>0</v>
      </c>
      <c r="I294" s="77"/>
      <c r="J294" s="77"/>
      <c r="K294" s="41" t="n">
        <f aca="false">IF(D294&lt;=0.5,0,MIN(H294+N(J294),D294+E294+F294))</f>
        <v>0</v>
      </c>
      <c r="L294" s="41" t="n">
        <f aca="false">K294-E294-F294</f>
        <v>0</v>
      </c>
      <c r="M294" s="41" t="n">
        <f aca="false">D294-L294</f>
        <v>0</v>
      </c>
      <c r="N294" s="42" t="n">
        <f aca="false">K294-G294</f>
        <v>0</v>
      </c>
      <c r="O294" s="78"/>
      <c r="P294" s="79"/>
      <c r="Q294" s="16" t="str">
        <f aca="false">IF(K294=0,"",IF(R294=1,"Pagada",IF(C294&lt;$F$12,"Vencida",IF(268=$F$13,"Próxima","Pendiente"))))</f>
        <v/>
      </c>
      <c r="R294" s="62" t="n">
        <f aca="false">IF(AND(K294&gt;0,OR(O294="Sí",O294="Si")),1,0)</f>
        <v>0</v>
      </c>
      <c r="S294" s="62" t="n">
        <f aca="false">IF(AND(K294&gt;0,R294=0),1,0)</f>
        <v>0</v>
      </c>
    </row>
    <row r="295" customFormat="false" ht="15" hidden="false" customHeight="false" outlineLevel="0" collapsed="false">
      <c r="B295" s="71" t="str">
        <f aca="false">IF($F$6="Sí",N($C$11)+268,"")</f>
        <v/>
      </c>
      <c r="C295" s="72" t="str">
        <f aca="false">IF(OR($F$6&lt;&gt;"Sí",D295&lt;=0.5),"",EDATE($C$10,268))</f>
        <v/>
      </c>
      <c r="D295" s="41" t="n">
        <f aca="false">MAX(0,M294)</f>
        <v>0</v>
      </c>
      <c r="E295" s="41" t="n">
        <f aca="false">D295*$F$7</f>
        <v>0</v>
      </c>
      <c r="F295" s="41" t="n">
        <f aca="false">IF(D295&gt;0.5,N($C$15),0)</f>
        <v>0</v>
      </c>
      <c r="G295" s="41" t="n">
        <f aca="false">IF(AND(D295&gt;0.5,N($C$19)&gt;0,N(B295)&lt;=N($C$20)),D295*$F$8,0)</f>
        <v>0</v>
      </c>
      <c r="H295" s="41" t="n">
        <f aca="false">IF(D295&lt;=0.5,0,MIN(IF(N(I295)&gt;0,I295,$F$9),D295+E295+F295))</f>
        <v>0</v>
      </c>
      <c r="I295" s="77"/>
      <c r="J295" s="77"/>
      <c r="K295" s="41" t="n">
        <f aca="false">IF(D295&lt;=0.5,0,MIN(H295+N(J295),D295+E295+F295))</f>
        <v>0</v>
      </c>
      <c r="L295" s="41" t="n">
        <f aca="false">K295-E295-F295</f>
        <v>0</v>
      </c>
      <c r="M295" s="41" t="n">
        <f aca="false">D295-L295</f>
        <v>0</v>
      </c>
      <c r="N295" s="42" t="n">
        <f aca="false">K295-G295</f>
        <v>0</v>
      </c>
      <c r="O295" s="78"/>
      <c r="P295" s="79"/>
      <c r="Q295" s="16" t="str">
        <f aca="false">IF(K295=0,"",IF(R295=1,"Pagada",IF(C295&lt;$F$12,"Vencida",IF(269=$F$13,"Próxima","Pendiente"))))</f>
        <v/>
      </c>
      <c r="R295" s="62" t="n">
        <f aca="false">IF(AND(K295&gt;0,OR(O295="Sí",O295="Si")),1,0)</f>
        <v>0</v>
      </c>
      <c r="S295" s="62" t="n">
        <f aca="false">IF(AND(K295&gt;0,R295=0),1,0)</f>
        <v>0</v>
      </c>
    </row>
    <row r="296" customFormat="false" ht="15" hidden="false" customHeight="false" outlineLevel="0" collapsed="false">
      <c r="B296" s="71" t="str">
        <f aca="false">IF($F$6="Sí",N($C$11)+269,"")</f>
        <v/>
      </c>
      <c r="C296" s="72" t="str">
        <f aca="false">IF(OR($F$6&lt;&gt;"Sí",D296&lt;=0.5),"",EDATE($C$10,269))</f>
        <v/>
      </c>
      <c r="D296" s="41" t="n">
        <f aca="false">MAX(0,M295)</f>
        <v>0</v>
      </c>
      <c r="E296" s="41" t="n">
        <f aca="false">D296*$F$7</f>
        <v>0</v>
      </c>
      <c r="F296" s="41" t="n">
        <f aca="false">IF(D296&gt;0.5,N($C$15),0)</f>
        <v>0</v>
      </c>
      <c r="G296" s="41" t="n">
        <f aca="false">IF(AND(D296&gt;0.5,N($C$19)&gt;0,N(B296)&lt;=N($C$20)),D296*$F$8,0)</f>
        <v>0</v>
      </c>
      <c r="H296" s="41" t="n">
        <f aca="false">IF(D296&lt;=0.5,0,MIN(IF(N(I296)&gt;0,I296,$F$9),D296+E296+F296))</f>
        <v>0</v>
      </c>
      <c r="I296" s="77"/>
      <c r="J296" s="77"/>
      <c r="K296" s="41" t="n">
        <f aca="false">IF(D296&lt;=0.5,0,MIN(H296+N(J296),D296+E296+F296))</f>
        <v>0</v>
      </c>
      <c r="L296" s="41" t="n">
        <f aca="false">K296-E296-F296</f>
        <v>0</v>
      </c>
      <c r="M296" s="41" t="n">
        <f aca="false">D296-L296</f>
        <v>0</v>
      </c>
      <c r="N296" s="42" t="n">
        <f aca="false">K296-G296</f>
        <v>0</v>
      </c>
      <c r="O296" s="78"/>
      <c r="P296" s="79"/>
      <c r="Q296" s="16" t="str">
        <f aca="false">IF(K296=0,"",IF(R296=1,"Pagada",IF(C296&lt;$F$12,"Vencida",IF(270=$F$13,"Próxima","Pendiente"))))</f>
        <v/>
      </c>
      <c r="R296" s="62" t="n">
        <f aca="false">IF(AND(K296&gt;0,OR(O296="Sí",O296="Si")),1,0)</f>
        <v>0</v>
      </c>
      <c r="S296" s="62" t="n">
        <f aca="false">IF(AND(K296&gt;0,R296=0),1,0)</f>
        <v>0</v>
      </c>
    </row>
    <row r="297" customFormat="false" ht="15" hidden="false" customHeight="false" outlineLevel="0" collapsed="false">
      <c r="B297" s="71" t="str">
        <f aca="false">IF($F$6="Sí",N($C$11)+270,"")</f>
        <v/>
      </c>
      <c r="C297" s="72" t="str">
        <f aca="false">IF(OR($F$6&lt;&gt;"Sí",D297&lt;=0.5),"",EDATE($C$10,270))</f>
        <v/>
      </c>
      <c r="D297" s="41" t="n">
        <f aca="false">MAX(0,M296)</f>
        <v>0</v>
      </c>
      <c r="E297" s="41" t="n">
        <f aca="false">D297*$F$7</f>
        <v>0</v>
      </c>
      <c r="F297" s="41" t="n">
        <f aca="false">IF(D297&gt;0.5,N($C$15),0)</f>
        <v>0</v>
      </c>
      <c r="G297" s="41" t="n">
        <f aca="false">IF(AND(D297&gt;0.5,N($C$19)&gt;0,N(B297)&lt;=N($C$20)),D297*$F$8,0)</f>
        <v>0</v>
      </c>
      <c r="H297" s="41" t="n">
        <f aca="false">IF(D297&lt;=0.5,0,MIN(IF(N(I297)&gt;0,I297,$F$9),D297+E297+F297))</f>
        <v>0</v>
      </c>
      <c r="I297" s="77"/>
      <c r="J297" s="77"/>
      <c r="K297" s="41" t="n">
        <f aca="false">IF(D297&lt;=0.5,0,MIN(H297+N(J297),D297+E297+F297))</f>
        <v>0</v>
      </c>
      <c r="L297" s="41" t="n">
        <f aca="false">K297-E297-F297</f>
        <v>0</v>
      </c>
      <c r="M297" s="41" t="n">
        <f aca="false">D297-L297</f>
        <v>0</v>
      </c>
      <c r="N297" s="42" t="n">
        <f aca="false">K297-G297</f>
        <v>0</v>
      </c>
      <c r="O297" s="78"/>
      <c r="P297" s="79"/>
      <c r="Q297" s="16" t="str">
        <f aca="false">IF(K297=0,"",IF(R297=1,"Pagada",IF(C297&lt;$F$12,"Vencida",IF(271=$F$13,"Próxima","Pendiente"))))</f>
        <v/>
      </c>
      <c r="R297" s="62" t="n">
        <f aca="false">IF(AND(K297&gt;0,OR(O297="Sí",O297="Si")),1,0)</f>
        <v>0</v>
      </c>
      <c r="S297" s="62" t="n">
        <f aca="false">IF(AND(K297&gt;0,R297=0),1,0)</f>
        <v>0</v>
      </c>
    </row>
    <row r="298" customFormat="false" ht="15" hidden="false" customHeight="false" outlineLevel="0" collapsed="false">
      <c r="B298" s="71" t="str">
        <f aca="false">IF($F$6="Sí",N($C$11)+271,"")</f>
        <v/>
      </c>
      <c r="C298" s="72" t="str">
        <f aca="false">IF(OR($F$6&lt;&gt;"Sí",D298&lt;=0.5),"",EDATE($C$10,271))</f>
        <v/>
      </c>
      <c r="D298" s="41" t="n">
        <f aca="false">MAX(0,M297)</f>
        <v>0</v>
      </c>
      <c r="E298" s="41" t="n">
        <f aca="false">D298*$F$7</f>
        <v>0</v>
      </c>
      <c r="F298" s="41" t="n">
        <f aca="false">IF(D298&gt;0.5,N($C$15),0)</f>
        <v>0</v>
      </c>
      <c r="G298" s="41" t="n">
        <f aca="false">IF(AND(D298&gt;0.5,N($C$19)&gt;0,N(B298)&lt;=N($C$20)),D298*$F$8,0)</f>
        <v>0</v>
      </c>
      <c r="H298" s="41" t="n">
        <f aca="false">IF(D298&lt;=0.5,0,MIN(IF(N(I298)&gt;0,I298,$F$9),D298+E298+F298))</f>
        <v>0</v>
      </c>
      <c r="I298" s="77"/>
      <c r="J298" s="77"/>
      <c r="K298" s="41" t="n">
        <f aca="false">IF(D298&lt;=0.5,0,MIN(H298+N(J298),D298+E298+F298))</f>
        <v>0</v>
      </c>
      <c r="L298" s="41" t="n">
        <f aca="false">K298-E298-F298</f>
        <v>0</v>
      </c>
      <c r="M298" s="41" t="n">
        <f aca="false">D298-L298</f>
        <v>0</v>
      </c>
      <c r="N298" s="42" t="n">
        <f aca="false">K298-G298</f>
        <v>0</v>
      </c>
      <c r="O298" s="78"/>
      <c r="P298" s="79"/>
      <c r="Q298" s="16" t="str">
        <f aca="false">IF(K298=0,"",IF(R298=1,"Pagada",IF(C298&lt;$F$12,"Vencida",IF(272=$F$13,"Próxima","Pendiente"))))</f>
        <v/>
      </c>
      <c r="R298" s="62" t="n">
        <f aca="false">IF(AND(K298&gt;0,OR(O298="Sí",O298="Si")),1,0)</f>
        <v>0</v>
      </c>
      <c r="S298" s="62" t="n">
        <f aca="false">IF(AND(K298&gt;0,R298=0),1,0)</f>
        <v>0</v>
      </c>
    </row>
    <row r="299" customFormat="false" ht="15" hidden="false" customHeight="false" outlineLevel="0" collapsed="false">
      <c r="B299" s="71" t="str">
        <f aca="false">IF($F$6="Sí",N($C$11)+272,"")</f>
        <v/>
      </c>
      <c r="C299" s="72" t="str">
        <f aca="false">IF(OR($F$6&lt;&gt;"Sí",D299&lt;=0.5),"",EDATE($C$10,272))</f>
        <v/>
      </c>
      <c r="D299" s="41" t="n">
        <f aca="false">MAX(0,M298)</f>
        <v>0</v>
      </c>
      <c r="E299" s="41" t="n">
        <f aca="false">D299*$F$7</f>
        <v>0</v>
      </c>
      <c r="F299" s="41" t="n">
        <f aca="false">IF(D299&gt;0.5,N($C$15),0)</f>
        <v>0</v>
      </c>
      <c r="G299" s="41" t="n">
        <f aca="false">IF(AND(D299&gt;0.5,N($C$19)&gt;0,N(B299)&lt;=N($C$20)),D299*$F$8,0)</f>
        <v>0</v>
      </c>
      <c r="H299" s="41" t="n">
        <f aca="false">IF(D299&lt;=0.5,0,MIN(IF(N(I299)&gt;0,I299,$F$9),D299+E299+F299))</f>
        <v>0</v>
      </c>
      <c r="I299" s="77"/>
      <c r="J299" s="77"/>
      <c r="K299" s="41" t="n">
        <f aca="false">IF(D299&lt;=0.5,0,MIN(H299+N(J299),D299+E299+F299))</f>
        <v>0</v>
      </c>
      <c r="L299" s="41" t="n">
        <f aca="false">K299-E299-F299</f>
        <v>0</v>
      </c>
      <c r="M299" s="41" t="n">
        <f aca="false">D299-L299</f>
        <v>0</v>
      </c>
      <c r="N299" s="42" t="n">
        <f aca="false">K299-G299</f>
        <v>0</v>
      </c>
      <c r="O299" s="78"/>
      <c r="P299" s="79"/>
      <c r="Q299" s="16" t="str">
        <f aca="false">IF(K299=0,"",IF(R299=1,"Pagada",IF(C299&lt;$F$12,"Vencida",IF(273=$F$13,"Próxima","Pendiente"))))</f>
        <v/>
      </c>
      <c r="R299" s="62" t="n">
        <f aca="false">IF(AND(K299&gt;0,OR(O299="Sí",O299="Si")),1,0)</f>
        <v>0</v>
      </c>
      <c r="S299" s="62" t="n">
        <f aca="false">IF(AND(K299&gt;0,R299=0),1,0)</f>
        <v>0</v>
      </c>
    </row>
    <row r="300" customFormat="false" ht="15" hidden="false" customHeight="false" outlineLevel="0" collapsed="false">
      <c r="B300" s="71" t="str">
        <f aca="false">IF($F$6="Sí",N($C$11)+273,"")</f>
        <v/>
      </c>
      <c r="C300" s="72" t="str">
        <f aca="false">IF(OR($F$6&lt;&gt;"Sí",D300&lt;=0.5),"",EDATE($C$10,273))</f>
        <v/>
      </c>
      <c r="D300" s="41" t="n">
        <f aca="false">MAX(0,M299)</f>
        <v>0</v>
      </c>
      <c r="E300" s="41" t="n">
        <f aca="false">D300*$F$7</f>
        <v>0</v>
      </c>
      <c r="F300" s="41" t="n">
        <f aca="false">IF(D300&gt;0.5,N($C$15),0)</f>
        <v>0</v>
      </c>
      <c r="G300" s="41" t="n">
        <f aca="false">IF(AND(D300&gt;0.5,N($C$19)&gt;0,N(B300)&lt;=N($C$20)),D300*$F$8,0)</f>
        <v>0</v>
      </c>
      <c r="H300" s="41" t="n">
        <f aca="false">IF(D300&lt;=0.5,0,MIN(IF(N(I300)&gt;0,I300,$F$9),D300+E300+F300))</f>
        <v>0</v>
      </c>
      <c r="I300" s="77"/>
      <c r="J300" s="77"/>
      <c r="K300" s="41" t="n">
        <f aca="false">IF(D300&lt;=0.5,0,MIN(H300+N(J300),D300+E300+F300))</f>
        <v>0</v>
      </c>
      <c r="L300" s="41" t="n">
        <f aca="false">K300-E300-F300</f>
        <v>0</v>
      </c>
      <c r="M300" s="41" t="n">
        <f aca="false">D300-L300</f>
        <v>0</v>
      </c>
      <c r="N300" s="42" t="n">
        <f aca="false">K300-G300</f>
        <v>0</v>
      </c>
      <c r="O300" s="78"/>
      <c r="P300" s="79"/>
      <c r="Q300" s="16" t="str">
        <f aca="false">IF(K300=0,"",IF(R300=1,"Pagada",IF(C300&lt;$F$12,"Vencida",IF(274=$F$13,"Próxima","Pendiente"))))</f>
        <v/>
      </c>
      <c r="R300" s="62" t="n">
        <f aca="false">IF(AND(K300&gt;0,OR(O300="Sí",O300="Si")),1,0)</f>
        <v>0</v>
      </c>
      <c r="S300" s="62" t="n">
        <f aca="false">IF(AND(K300&gt;0,R300=0),1,0)</f>
        <v>0</v>
      </c>
    </row>
    <row r="301" customFormat="false" ht="15" hidden="false" customHeight="false" outlineLevel="0" collapsed="false">
      <c r="B301" s="71" t="str">
        <f aca="false">IF($F$6="Sí",N($C$11)+274,"")</f>
        <v/>
      </c>
      <c r="C301" s="72" t="str">
        <f aca="false">IF(OR($F$6&lt;&gt;"Sí",D301&lt;=0.5),"",EDATE($C$10,274))</f>
        <v/>
      </c>
      <c r="D301" s="41" t="n">
        <f aca="false">MAX(0,M300)</f>
        <v>0</v>
      </c>
      <c r="E301" s="41" t="n">
        <f aca="false">D301*$F$7</f>
        <v>0</v>
      </c>
      <c r="F301" s="41" t="n">
        <f aca="false">IF(D301&gt;0.5,N($C$15),0)</f>
        <v>0</v>
      </c>
      <c r="G301" s="41" t="n">
        <f aca="false">IF(AND(D301&gt;0.5,N($C$19)&gt;0,N(B301)&lt;=N($C$20)),D301*$F$8,0)</f>
        <v>0</v>
      </c>
      <c r="H301" s="41" t="n">
        <f aca="false">IF(D301&lt;=0.5,0,MIN(IF(N(I301)&gt;0,I301,$F$9),D301+E301+F301))</f>
        <v>0</v>
      </c>
      <c r="I301" s="77"/>
      <c r="J301" s="77"/>
      <c r="K301" s="41" t="n">
        <f aca="false">IF(D301&lt;=0.5,0,MIN(H301+N(J301),D301+E301+F301))</f>
        <v>0</v>
      </c>
      <c r="L301" s="41" t="n">
        <f aca="false">K301-E301-F301</f>
        <v>0</v>
      </c>
      <c r="M301" s="41" t="n">
        <f aca="false">D301-L301</f>
        <v>0</v>
      </c>
      <c r="N301" s="42" t="n">
        <f aca="false">K301-G301</f>
        <v>0</v>
      </c>
      <c r="O301" s="78"/>
      <c r="P301" s="79"/>
      <c r="Q301" s="16" t="str">
        <f aca="false">IF(K301=0,"",IF(R301=1,"Pagada",IF(C301&lt;$F$12,"Vencida",IF(275=$F$13,"Próxima","Pendiente"))))</f>
        <v/>
      </c>
      <c r="R301" s="62" t="n">
        <f aca="false">IF(AND(K301&gt;0,OR(O301="Sí",O301="Si")),1,0)</f>
        <v>0</v>
      </c>
      <c r="S301" s="62" t="n">
        <f aca="false">IF(AND(K301&gt;0,R301=0),1,0)</f>
        <v>0</v>
      </c>
    </row>
    <row r="302" customFormat="false" ht="15" hidden="false" customHeight="false" outlineLevel="0" collapsed="false">
      <c r="B302" s="71" t="str">
        <f aca="false">IF($F$6="Sí",N($C$11)+275,"")</f>
        <v/>
      </c>
      <c r="C302" s="72" t="str">
        <f aca="false">IF(OR($F$6&lt;&gt;"Sí",D302&lt;=0.5),"",EDATE($C$10,275))</f>
        <v/>
      </c>
      <c r="D302" s="41" t="n">
        <f aca="false">MAX(0,M301)</f>
        <v>0</v>
      </c>
      <c r="E302" s="41" t="n">
        <f aca="false">D302*$F$7</f>
        <v>0</v>
      </c>
      <c r="F302" s="41" t="n">
        <f aca="false">IF(D302&gt;0.5,N($C$15),0)</f>
        <v>0</v>
      </c>
      <c r="G302" s="41" t="n">
        <f aca="false">IF(AND(D302&gt;0.5,N($C$19)&gt;0,N(B302)&lt;=N($C$20)),D302*$F$8,0)</f>
        <v>0</v>
      </c>
      <c r="H302" s="41" t="n">
        <f aca="false">IF(D302&lt;=0.5,0,MIN(IF(N(I302)&gt;0,I302,$F$9),D302+E302+F302))</f>
        <v>0</v>
      </c>
      <c r="I302" s="77"/>
      <c r="J302" s="77"/>
      <c r="K302" s="41" t="n">
        <f aca="false">IF(D302&lt;=0.5,0,MIN(H302+N(J302),D302+E302+F302))</f>
        <v>0</v>
      </c>
      <c r="L302" s="41" t="n">
        <f aca="false">K302-E302-F302</f>
        <v>0</v>
      </c>
      <c r="M302" s="41" t="n">
        <f aca="false">D302-L302</f>
        <v>0</v>
      </c>
      <c r="N302" s="42" t="n">
        <f aca="false">K302-G302</f>
        <v>0</v>
      </c>
      <c r="O302" s="78"/>
      <c r="P302" s="79"/>
      <c r="Q302" s="16" t="str">
        <f aca="false">IF(K302=0,"",IF(R302=1,"Pagada",IF(C302&lt;$F$12,"Vencida",IF(276=$F$13,"Próxima","Pendiente"))))</f>
        <v/>
      </c>
      <c r="R302" s="62" t="n">
        <f aca="false">IF(AND(K302&gt;0,OR(O302="Sí",O302="Si")),1,0)</f>
        <v>0</v>
      </c>
      <c r="S302" s="62" t="n">
        <f aca="false">IF(AND(K302&gt;0,R302=0),1,0)</f>
        <v>0</v>
      </c>
    </row>
    <row r="303" customFormat="false" ht="15" hidden="false" customHeight="false" outlineLevel="0" collapsed="false">
      <c r="B303" s="71" t="str">
        <f aca="false">IF($F$6="Sí",N($C$11)+276,"")</f>
        <v/>
      </c>
      <c r="C303" s="72" t="str">
        <f aca="false">IF(OR($F$6&lt;&gt;"Sí",D303&lt;=0.5),"",EDATE($C$10,276))</f>
        <v/>
      </c>
      <c r="D303" s="41" t="n">
        <f aca="false">MAX(0,M302)</f>
        <v>0</v>
      </c>
      <c r="E303" s="41" t="n">
        <f aca="false">D303*$F$7</f>
        <v>0</v>
      </c>
      <c r="F303" s="41" t="n">
        <f aca="false">IF(D303&gt;0.5,N($C$15),0)</f>
        <v>0</v>
      </c>
      <c r="G303" s="41" t="n">
        <f aca="false">IF(AND(D303&gt;0.5,N($C$19)&gt;0,N(B303)&lt;=N($C$20)),D303*$F$8,0)</f>
        <v>0</v>
      </c>
      <c r="H303" s="41" t="n">
        <f aca="false">IF(D303&lt;=0.5,0,MIN(IF(N(I303)&gt;0,I303,$F$9),D303+E303+F303))</f>
        <v>0</v>
      </c>
      <c r="I303" s="77"/>
      <c r="J303" s="77"/>
      <c r="K303" s="41" t="n">
        <f aca="false">IF(D303&lt;=0.5,0,MIN(H303+N(J303),D303+E303+F303))</f>
        <v>0</v>
      </c>
      <c r="L303" s="41" t="n">
        <f aca="false">K303-E303-F303</f>
        <v>0</v>
      </c>
      <c r="M303" s="41" t="n">
        <f aca="false">D303-L303</f>
        <v>0</v>
      </c>
      <c r="N303" s="42" t="n">
        <f aca="false">K303-G303</f>
        <v>0</v>
      </c>
      <c r="O303" s="78"/>
      <c r="P303" s="79"/>
      <c r="Q303" s="16" t="str">
        <f aca="false">IF(K303=0,"",IF(R303=1,"Pagada",IF(C303&lt;$F$12,"Vencida",IF(277=$F$13,"Próxima","Pendiente"))))</f>
        <v/>
      </c>
      <c r="R303" s="62" t="n">
        <f aca="false">IF(AND(K303&gt;0,OR(O303="Sí",O303="Si")),1,0)</f>
        <v>0</v>
      </c>
      <c r="S303" s="62" t="n">
        <f aca="false">IF(AND(K303&gt;0,R303=0),1,0)</f>
        <v>0</v>
      </c>
    </row>
    <row r="304" customFormat="false" ht="15" hidden="false" customHeight="false" outlineLevel="0" collapsed="false">
      <c r="B304" s="71" t="str">
        <f aca="false">IF($F$6="Sí",N($C$11)+277,"")</f>
        <v/>
      </c>
      <c r="C304" s="72" t="str">
        <f aca="false">IF(OR($F$6&lt;&gt;"Sí",D304&lt;=0.5),"",EDATE($C$10,277))</f>
        <v/>
      </c>
      <c r="D304" s="41" t="n">
        <f aca="false">MAX(0,M303)</f>
        <v>0</v>
      </c>
      <c r="E304" s="41" t="n">
        <f aca="false">D304*$F$7</f>
        <v>0</v>
      </c>
      <c r="F304" s="41" t="n">
        <f aca="false">IF(D304&gt;0.5,N($C$15),0)</f>
        <v>0</v>
      </c>
      <c r="G304" s="41" t="n">
        <f aca="false">IF(AND(D304&gt;0.5,N($C$19)&gt;0,N(B304)&lt;=N($C$20)),D304*$F$8,0)</f>
        <v>0</v>
      </c>
      <c r="H304" s="41" t="n">
        <f aca="false">IF(D304&lt;=0.5,0,MIN(IF(N(I304)&gt;0,I304,$F$9),D304+E304+F304))</f>
        <v>0</v>
      </c>
      <c r="I304" s="77"/>
      <c r="J304" s="77"/>
      <c r="K304" s="41" t="n">
        <f aca="false">IF(D304&lt;=0.5,0,MIN(H304+N(J304),D304+E304+F304))</f>
        <v>0</v>
      </c>
      <c r="L304" s="41" t="n">
        <f aca="false">K304-E304-F304</f>
        <v>0</v>
      </c>
      <c r="M304" s="41" t="n">
        <f aca="false">D304-L304</f>
        <v>0</v>
      </c>
      <c r="N304" s="42" t="n">
        <f aca="false">K304-G304</f>
        <v>0</v>
      </c>
      <c r="O304" s="78"/>
      <c r="P304" s="79"/>
      <c r="Q304" s="16" t="str">
        <f aca="false">IF(K304=0,"",IF(R304=1,"Pagada",IF(C304&lt;$F$12,"Vencida",IF(278=$F$13,"Próxima","Pendiente"))))</f>
        <v/>
      </c>
      <c r="R304" s="62" t="n">
        <f aca="false">IF(AND(K304&gt;0,OR(O304="Sí",O304="Si")),1,0)</f>
        <v>0</v>
      </c>
      <c r="S304" s="62" t="n">
        <f aca="false">IF(AND(K304&gt;0,R304=0),1,0)</f>
        <v>0</v>
      </c>
    </row>
    <row r="305" customFormat="false" ht="15" hidden="false" customHeight="false" outlineLevel="0" collapsed="false">
      <c r="B305" s="71" t="str">
        <f aca="false">IF($F$6="Sí",N($C$11)+278,"")</f>
        <v/>
      </c>
      <c r="C305" s="72" t="str">
        <f aca="false">IF(OR($F$6&lt;&gt;"Sí",D305&lt;=0.5),"",EDATE($C$10,278))</f>
        <v/>
      </c>
      <c r="D305" s="41" t="n">
        <f aca="false">MAX(0,M304)</f>
        <v>0</v>
      </c>
      <c r="E305" s="41" t="n">
        <f aca="false">D305*$F$7</f>
        <v>0</v>
      </c>
      <c r="F305" s="41" t="n">
        <f aca="false">IF(D305&gt;0.5,N($C$15),0)</f>
        <v>0</v>
      </c>
      <c r="G305" s="41" t="n">
        <f aca="false">IF(AND(D305&gt;0.5,N($C$19)&gt;0,N(B305)&lt;=N($C$20)),D305*$F$8,0)</f>
        <v>0</v>
      </c>
      <c r="H305" s="41" t="n">
        <f aca="false">IF(D305&lt;=0.5,0,MIN(IF(N(I305)&gt;0,I305,$F$9),D305+E305+F305))</f>
        <v>0</v>
      </c>
      <c r="I305" s="77"/>
      <c r="J305" s="77"/>
      <c r="K305" s="41" t="n">
        <f aca="false">IF(D305&lt;=0.5,0,MIN(H305+N(J305),D305+E305+F305))</f>
        <v>0</v>
      </c>
      <c r="L305" s="41" t="n">
        <f aca="false">K305-E305-F305</f>
        <v>0</v>
      </c>
      <c r="M305" s="41" t="n">
        <f aca="false">D305-L305</f>
        <v>0</v>
      </c>
      <c r="N305" s="42" t="n">
        <f aca="false">K305-G305</f>
        <v>0</v>
      </c>
      <c r="O305" s="78"/>
      <c r="P305" s="79"/>
      <c r="Q305" s="16" t="str">
        <f aca="false">IF(K305=0,"",IF(R305=1,"Pagada",IF(C305&lt;$F$12,"Vencida",IF(279=$F$13,"Próxima","Pendiente"))))</f>
        <v/>
      </c>
      <c r="R305" s="62" t="n">
        <f aca="false">IF(AND(K305&gt;0,OR(O305="Sí",O305="Si")),1,0)</f>
        <v>0</v>
      </c>
      <c r="S305" s="62" t="n">
        <f aca="false">IF(AND(K305&gt;0,R305=0),1,0)</f>
        <v>0</v>
      </c>
    </row>
    <row r="306" customFormat="false" ht="15" hidden="false" customHeight="false" outlineLevel="0" collapsed="false">
      <c r="B306" s="71" t="str">
        <f aca="false">IF($F$6="Sí",N($C$11)+279,"")</f>
        <v/>
      </c>
      <c r="C306" s="72" t="str">
        <f aca="false">IF(OR($F$6&lt;&gt;"Sí",D306&lt;=0.5),"",EDATE($C$10,279))</f>
        <v/>
      </c>
      <c r="D306" s="41" t="n">
        <f aca="false">MAX(0,M305)</f>
        <v>0</v>
      </c>
      <c r="E306" s="41" t="n">
        <f aca="false">D306*$F$7</f>
        <v>0</v>
      </c>
      <c r="F306" s="41" t="n">
        <f aca="false">IF(D306&gt;0.5,N($C$15),0)</f>
        <v>0</v>
      </c>
      <c r="G306" s="41" t="n">
        <f aca="false">IF(AND(D306&gt;0.5,N($C$19)&gt;0,N(B306)&lt;=N($C$20)),D306*$F$8,0)</f>
        <v>0</v>
      </c>
      <c r="H306" s="41" t="n">
        <f aca="false">IF(D306&lt;=0.5,0,MIN(IF(N(I306)&gt;0,I306,$F$9),D306+E306+F306))</f>
        <v>0</v>
      </c>
      <c r="I306" s="77"/>
      <c r="J306" s="77"/>
      <c r="K306" s="41" t="n">
        <f aca="false">IF(D306&lt;=0.5,0,MIN(H306+N(J306),D306+E306+F306))</f>
        <v>0</v>
      </c>
      <c r="L306" s="41" t="n">
        <f aca="false">K306-E306-F306</f>
        <v>0</v>
      </c>
      <c r="M306" s="41" t="n">
        <f aca="false">D306-L306</f>
        <v>0</v>
      </c>
      <c r="N306" s="42" t="n">
        <f aca="false">K306-G306</f>
        <v>0</v>
      </c>
      <c r="O306" s="78"/>
      <c r="P306" s="79"/>
      <c r="Q306" s="16" t="str">
        <f aca="false">IF(K306=0,"",IF(R306=1,"Pagada",IF(C306&lt;$F$12,"Vencida",IF(280=$F$13,"Próxima","Pendiente"))))</f>
        <v/>
      </c>
      <c r="R306" s="62" t="n">
        <f aca="false">IF(AND(K306&gt;0,OR(O306="Sí",O306="Si")),1,0)</f>
        <v>0</v>
      </c>
      <c r="S306" s="62" t="n">
        <f aca="false">IF(AND(K306&gt;0,R306=0),1,0)</f>
        <v>0</v>
      </c>
    </row>
    <row r="307" customFormat="false" ht="15" hidden="false" customHeight="false" outlineLevel="0" collapsed="false">
      <c r="B307" s="71" t="str">
        <f aca="false">IF($F$6="Sí",N($C$11)+280,"")</f>
        <v/>
      </c>
      <c r="C307" s="72" t="str">
        <f aca="false">IF(OR($F$6&lt;&gt;"Sí",D307&lt;=0.5),"",EDATE($C$10,280))</f>
        <v/>
      </c>
      <c r="D307" s="41" t="n">
        <f aca="false">MAX(0,M306)</f>
        <v>0</v>
      </c>
      <c r="E307" s="41" t="n">
        <f aca="false">D307*$F$7</f>
        <v>0</v>
      </c>
      <c r="F307" s="41" t="n">
        <f aca="false">IF(D307&gt;0.5,N($C$15),0)</f>
        <v>0</v>
      </c>
      <c r="G307" s="41" t="n">
        <f aca="false">IF(AND(D307&gt;0.5,N($C$19)&gt;0,N(B307)&lt;=N($C$20)),D307*$F$8,0)</f>
        <v>0</v>
      </c>
      <c r="H307" s="41" t="n">
        <f aca="false">IF(D307&lt;=0.5,0,MIN(IF(N(I307)&gt;0,I307,$F$9),D307+E307+F307))</f>
        <v>0</v>
      </c>
      <c r="I307" s="77"/>
      <c r="J307" s="77"/>
      <c r="K307" s="41" t="n">
        <f aca="false">IF(D307&lt;=0.5,0,MIN(H307+N(J307),D307+E307+F307))</f>
        <v>0</v>
      </c>
      <c r="L307" s="41" t="n">
        <f aca="false">K307-E307-F307</f>
        <v>0</v>
      </c>
      <c r="M307" s="41" t="n">
        <f aca="false">D307-L307</f>
        <v>0</v>
      </c>
      <c r="N307" s="42" t="n">
        <f aca="false">K307-G307</f>
        <v>0</v>
      </c>
      <c r="O307" s="78"/>
      <c r="P307" s="79"/>
      <c r="Q307" s="16" t="str">
        <f aca="false">IF(K307=0,"",IF(R307=1,"Pagada",IF(C307&lt;$F$12,"Vencida",IF(281=$F$13,"Próxima","Pendiente"))))</f>
        <v/>
      </c>
      <c r="R307" s="62" t="n">
        <f aca="false">IF(AND(K307&gt;0,OR(O307="Sí",O307="Si")),1,0)</f>
        <v>0</v>
      </c>
      <c r="S307" s="62" t="n">
        <f aca="false">IF(AND(K307&gt;0,R307=0),1,0)</f>
        <v>0</v>
      </c>
    </row>
    <row r="308" customFormat="false" ht="15" hidden="false" customHeight="false" outlineLevel="0" collapsed="false">
      <c r="B308" s="71" t="str">
        <f aca="false">IF($F$6="Sí",N($C$11)+281,"")</f>
        <v/>
      </c>
      <c r="C308" s="72" t="str">
        <f aca="false">IF(OR($F$6&lt;&gt;"Sí",D308&lt;=0.5),"",EDATE($C$10,281))</f>
        <v/>
      </c>
      <c r="D308" s="41" t="n">
        <f aca="false">MAX(0,M307)</f>
        <v>0</v>
      </c>
      <c r="E308" s="41" t="n">
        <f aca="false">D308*$F$7</f>
        <v>0</v>
      </c>
      <c r="F308" s="41" t="n">
        <f aca="false">IF(D308&gt;0.5,N($C$15),0)</f>
        <v>0</v>
      </c>
      <c r="G308" s="41" t="n">
        <f aca="false">IF(AND(D308&gt;0.5,N($C$19)&gt;0,N(B308)&lt;=N($C$20)),D308*$F$8,0)</f>
        <v>0</v>
      </c>
      <c r="H308" s="41" t="n">
        <f aca="false">IF(D308&lt;=0.5,0,MIN(IF(N(I308)&gt;0,I308,$F$9),D308+E308+F308))</f>
        <v>0</v>
      </c>
      <c r="I308" s="77"/>
      <c r="J308" s="77"/>
      <c r="K308" s="41" t="n">
        <f aca="false">IF(D308&lt;=0.5,0,MIN(H308+N(J308),D308+E308+F308))</f>
        <v>0</v>
      </c>
      <c r="L308" s="41" t="n">
        <f aca="false">K308-E308-F308</f>
        <v>0</v>
      </c>
      <c r="M308" s="41" t="n">
        <f aca="false">D308-L308</f>
        <v>0</v>
      </c>
      <c r="N308" s="42" t="n">
        <f aca="false">K308-G308</f>
        <v>0</v>
      </c>
      <c r="O308" s="78"/>
      <c r="P308" s="79"/>
      <c r="Q308" s="16" t="str">
        <f aca="false">IF(K308=0,"",IF(R308=1,"Pagada",IF(C308&lt;$F$12,"Vencida",IF(282=$F$13,"Próxima","Pendiente"))))</f>
        <v/>
      </c>
      <c r="R308" s="62" t="n">
        <f aca="false">IF(AND(K308&gt;0,OR(O308="Sí",O308="Si")),1,0)</f>
        <v>0</v>
      </c>
      <c r="S308" s="62" t="n">
        <f aca="false">IF(AND(K308&gt;0,R308=0),1,0)</f>
        <v>0</v>
      </c>
    </row>
    <row r="309" customFormat="false" ht="15" hidden="false" customHeight="false" outlineLevel="0" collapsed="false">
      <c r="B309" s="71" t="str">
        <f aca="false">IF($F$6="Sí",N($C$11)+282,"")</f>
        <v/>
      </c>
      <c r="C309" s="72" t="str">
        <f aca="false">IF(OR($F$6&lt;&gt;"Sí",D309&lt;=0.5),"",EDATE($C$10,282))</f>
        <v/>
      </c>
      <c r="D309" s="41" t="n">
        <f aca="false">MAX(0,M308)</f>
        <v>0</v>
      </c>
      <c r="E309" s="41" t="n">
        <f aca="false">D309*$F$7</f>
        <v>0</v>
      </c>
      <c r="F309" s="41" t="n">
        <f aca="false">IF(D309&gt;0.5,N($C$15),0)</f>
        <v>0</v>
      </c>
      <c r="G309" s="41" t="n">
        <f aca="false">IF(AND(D309&gt;0.5,N($C$19)&gt;0,N(B309)&lt;=N($C$20)),D309*$F$8,0)</f>
        <v>0</v>
      </c>
      <c r="H309" s="41" t="n">
        <f aca="false">IF(D309&lt;=0.5,0,MIN(IF(N(I309)&gt;0,I309,$F$9),D309+E309+F309))</f>
        <v>0</v>
      </c>
      <c r="I309" s="77"/>
      <c r="J309" s="77"/>
      <c r="K309" s="41" t="n">
        <f aca="false">IF(D309&lt;=0.5,0,MIN(H309+N(J309),D309+E309+F309))</f>
        <v>0</v>
      </c>
      <c r="L309" s="41" t="n">
        <f aca="false">K309-E309-F309</f>
        <v>0</v>
      </c>
      <c r="M309" s="41" t="n">
        <f aca="false">D309-L309</f>
        <v>0</v>
      </c>
      <c r="N309" s="42" t="n">
        <f aca="false">K309-G309</f>
        <v>0</v>
      </c>
      <c r="O309" s="78"/>
      <c r="P309" s="79"/>
      <c r="Q309" s="16" t="str">
        <f aca="false">IF(K309=0,"",IF(R309=1,"Pagada",IF(C309&lt;$F$12,"Vencida",IF(283=$F$13,"Próxima","Pendiente"))))</f>
        <v/>
      </c>
      <c r="R309" s="62" t="n">
        <f aca="false">IF(AND(K309&gt;0,OR(O309="Sí",O309="Si")),1,0)</f>
        <v>0</v>
      </c>
      <c r="S309" s="62" t="n">
        <f aca="false">IF(AND(K309&gt;0,R309=0),1,0)</f>
        <v>0</v>
      </c>
    </row>
    <row r="310" customFormat="false" ht="15" hidden="false" customHeight="false" outlineLevel="0" collapsed="false">
      <c r="B310" s="71" t="str">
        <f aca="false">IF($F$6="Sí",N($C$11)+283,"")</f>
        <v/>
      </c>
      <c r="C310" s="72" t="str">
        <f aca="false">IF(OR($F$6&lt;&gt;"Sí",D310&lt;=0.5),"",EDATE($C$10,283))</f>
        <v/>
      </c>
      <c r="D310" s="41" t="n">
        <f aca="false">MAX(0,M309)</f>
        <v>0</v>
      </c>
      <c r="E310" s="41" t="n">
        <f aca="false">D310*$F$7</f>
        <v>0</v>
      </c>
      <c r="F310" s="41" t="n">
        <f aca="false">IF(D310&gt;0.5,N($C$15),0)</f>
        <v>0</v>
      </c>
      <c r="G310" s="41" t="n">
        <f aca="false">IF(AND(D310&gt;0.5,N($C$19)&gt;0,N(B310)&lt;=N($C$20)),D310*$F$8,0)</f>
        <v>0</v>
      </c>
      <c r="H310" s="41" t="n">
        <f aca="false">IF(D310&lt;=0.5,0,MIN(IF(N(I310)&gt;0,I310,$F$9),D310+E310+F310))</f>
        <v>0</v>
      </c>
      <c r="I310" s="77"/>
      <c r="J310" s="77"/>
      <c r="K310" s="41" t="n">
        <f aca="false">IF(D310&lt;=0.5,0,MIN(H310+N(J310),D310+E310+F310))</f>
        <v>0</v>
      </c>
      <c r="L310" s="41" t="n">
        <f aca="false">K310-E310-F310</f>
        <v>0</v>
      </c>
      <c r="M310" s="41" t="n">
        <f aca="false">D310-L310</f>
        <v>0</v>
      </c>
      <c r="N310" s="42" t="n">
        <f aca="false">K310-G310</f>
        <v>0</v>
      </c>
      <c r="O310" s="78"/>
      <c r="P310" s="79"/>
      <c r="Q310" s="16" t="str">
        <f aca="false">IF(K310=0,"",IF(R310=1,"Pagada",IF(C310&lt;$F$12,"Vencida",IF(284=$F$13,"Próxima","Pendiente"))))</f>
        <v/>
      </c>
      <c r="R310" s="62" t="n">
        <f aca="false">IF(AND(K310&gt;0,OR(O310="Sí",O310="Si")),1,0)</f>
        <v>0</v>
      </c>
      <c r="S310" s="62" t="n">
        <f aca="false">IF(AND(K310&gt;0,R310=0),1,0)</f>
        <v>0</v>
      </c>
    </row>
    <row r="311" customFormat="false" ht="15" hidden="false" customHeight="false" outlineLevel="0" collapsed="false">
      <c r="B311" s="71" t="str">
        <f aca="false">IF($F$6="Sí",N($C$11)+284,"")</f>
        <v/>
      </c>
      <c r="C311" s="72" t="str">
        <f aca="false">IF(OR($F$6&lt;&gt;"Sí",D311&lt;=0.5),"",EDATE($C$10,284))</f>
        <v/>
      </c>
      <c r="D311" s="41" t="n">
        <f aca="false">MAX(0,M310)</f>
        <v>0</v>
      </c>
      <c r="E311" s="41" t="n">
        <f aca="false">D311*$F$7</f>
        <v>0</v>
      </c>
      <c r="F311" s="41" t="n">
        <f aca="false">IF(D311&gt;0.5,N($C$15),0)</f>
        <v>0</v>
      </c>
      <c r="G311" s="41" t="n">
        <f aca="false">IF(AND(D311&gt;0.5,N($C$19)&gt;0,N(B311)&lt;=N($C$20)),D311*$F$8,0)</f>
        <v>0</v>
      </c>
      <c r="H311" s="41" t="n">
        <f aca="false">IF(D311&lt;=0.5,0,MIN(IF(N(I311)&gt;0,I311,$F$9),D311+E311+F311))</f>
        <v>0</v>
      </c>
      <c r="I311" s="77"/>
      <c r="J311" s="77"/>
      <c r="K311" s="41" t="n">
        <f aca="false">IF(D311&lt;=0.5,0,MIN(H311+N(J311),D311+E311+F311))</f>
        <v>0</v>
      </c>
      <c r="L311" s="41" t="n">
        <f aca="false">K311-E311-F311</f>
        <v>0</v>
      </c>
      <c r="M311" s="41" t="n">
        <f aca="false">D311-L311</f>
        <v>0</v>
      </c>
      <c r="N311" s="42" t="n">
        <f aca="false">K311-G311</f>
        <v>0</v>
      </c>
      <c r="O311" s="78"/>
      <c r="P311" s="79"/>
      <c r="Q311" s="16" t="str">
        <f aca="false">IF(K311=0,"",IF(R311=1,"Pagada",IF(C311&lt;$F$12,"Vencida",IF(285=$F$13,"Próxima","Pendiente"))))</f>
        <v/>
      </c>
      <c r="R311" s="62" t="n">
        <f aca="false">IF(AND(K311&gt;0,OR(O311="Sí",O311="Si")),1,0)</f>
        <v>0</v>
      </c>
      <c r="S311" s="62" t="n">
        <f aca="false">IF(AND(K311&gt;0,R311=0),1,0)</f>
        <v>0</v>
      </c>
    </row>
    <row r="312" customFormat="false" ht="15" hidden="false" customHeight="false" outlineLevel="0" collapsed="false">
      <c r="B312" s="71" t="str">
        <f aca="false">IF($F$6="Sí",N($C$11)+285,"")</f>
        <v/>
      </c>
      <c r="C312" s="72" t="str">
        <f aca="false">IF(OR($F$6&lt;&gt;"Sí",D312&lt;=0.5),"",EDATE($C$10,285))</f>
        <v/>
      </c>
      <c r="D312" s="41" t="n">
        <f aca="false">MAX(0,M311)</f>
        <v>0</v>
      </c>
      <c r="E312" s="41" t="n">
        <f aca="false">D312*$F$7</f>
        <v>0</v>
      </c>
      <c r="F312" s="41" t="n">
        <f aca="false">IF(D312&gt;0.5,N($C$15),0)</f>
        <v>0</v>
      </c>
      <c r="G312" s="41" t="n">
        <f aca="false">IF(AND(D312&gt;0.5,N($C$19)&gt;0,N(B312)&lt;=N($C$20)),D312*$F$8,0)</f>
        <v>0</v>
      </c>
      <c r="H312" s="41" t="n">
        <f aca="false">IF(D312&lt;=0.5,0,MIN(IF(N(I312)&gt;0,I312,$F$9),D312+E312+F312))</f>
        <v>0</v>
      </c>
      <c r="I312" s="77"/>
      <c r="J312" s="77"/>
      <c r="K312" s="41" t="n">
        <f aca="false">IF(D312&lt;=0.5,0,MIN(H312+N(J312),D312+E312+F312))</f>
        <v>0</v>
      </c>
      <c r="L312" s="41" t="n">
        <f aca="false">K312-E312-F312</f>
        <v>0</v>
      </c>
      <c r="M312" s="41" t="n">
        <f aca="false">D312-L312</f>
        <v>0</v>
      </c>
      <c r="N312" s="42" t="n">
        <f aca="false">K312-G312</f>
        <v>0</v>
      </c>
      <c r="O312" s="78"/>
      <c r="P312" s="79"/>
      <c r="Q312" s="16" t="str">
        <f aca="false">IF(K312=0,"",IF(R312=1,"Pagada",IF(C312&lt;$F$12,"Vencida",IF(286=$F$13,"Próxima","Pendiente"))))</f>
        <v/>
      </c>
      <c r="R312" s="62" t="n">
        <f aca="false">IF(AND(K312&gt;0,OR(O312="Sí",O312="Si")),1,0)</f>
        <v>0</v>
      </c>
      <c r="S312" s="62" t="n">
        <f aca="false">IF(AND(K312&gt;0,R312=0),1,0)</f>
        <v>0</v>
      </c>
    </row>
    <row r="313" customFormat="false" ht="15" hidden="false" customHeight="false" outlineLevel="0" collapsed="false">
      <c r="B313" s="71" t="str">
        <f aca="false">IF($F$6="Sí",N($C$11)+286,"")</f>
        <v/>
      </c>
      <c r="C313" s="72" t="str">
        <f aca="false">IF(OR($F$6&lt;&gt;"Sí",D313&lt;=0.5),"",EDATE($C$10,286))</f>
        <v/>
      </c>
      <c r="D313" s="41" t="n">
        <f aca="false">MAX(0,M312)</f>
        <v>0</v>
      </c>
      <c r="E313" s="41" t="n">
        <f aca="false">D313*$F$7</f>
        <v>0</v>
      </c>
      <c r="F313" s="41" t="n">
        <f aca="false">IF(D313&gt;0.5,N($C$15),0)</f>
        <v>0</v>
      </c>
      <c r="G313" s="41" t="n">
        <f aca="false">IF(AND(D313&gt;0.5,N($C$19)&gt;0,N(B313)&lt;=N($C$20)),D313*$F$8,0)</f>
        <v>0</v>
      </c>
      <c r="H313" s="41" t="n">
        <f aca="false">IF(D313&lt;=0.5,0,MIN(IF(N(I313)&gt;0,I313,$F$9),D313+E313+F313))</f>
        <v>0</v>
      </c>
      <c r="I313" s="77"/>
      <c r="J313" s="77"/>
      <c r="K313" s="41" t="n">
        <f aca="false">IF(D313&lt;=0.5,0,MIN(H313+N(J313),D313+E313+F313))</f>
        <v>0</v>
      </c>
      <c r="L313" s="41" t="n">
        <f aca="false">K313-E313-F313</f>
        <v>0</v>
      </c>
      <c r="M313" s="41" t="n">
        <f aca="false">D313-L313</f>
        <v>0</v>
      </c>
      <c r="N313" s="42" t="n">
        <f aca="false">K313-G313</f>
        <v>0</v>
      </c>
      <c r="O313" s="78"/>
      <c r="P313" s="79"/>
      <c r="Q313" s="16" t="str">
        <f aca="false">IF(K313=0,"",IF(R313=1,"Pagada",IF(C313&lt;$F$12,"Vencida",IF(287=$F$13,"Próxima","Pendiente"))))</f>
        <v/>
      </c>
      <c r="R313" s="62" t="n">
        <f aca="false">IF(AND(K313&gt;0,OR(O313="Sí",O313="Si")),1,0)</f>
        <v>0</v>
      </c>
      <c r="S313" s="62" t="n">
        <f aca="false">IF(AND(K313&gt;0,R313=0),1,0)</f>
        <v>0</v>
      </c>
    </row>
    <row r="314" customFormat="false" ht="15" hidden="false" customHeight="false" outlineLevel="0" collapsed="false">
      <c r="B314" s="71" t="str">
        <f aca="false">IF($F$6="Sí",N($C$11)+287,"")</f>
        <v/>
      </c>
      <c r="C314" s="72" t="str">
        <f aca="false">IF(OR($F$6&lt;&gt;"Sí",D314&lt;=0.5),"",EDATE($C$10,287))</f>
        <v/>
      </c>
      <c r="D314" s="41" t="n">
        <f aca="false">MAX(0,M313)</f>
        <v>0</v>
      </c>
      <c r="E314" s="41" t="n">
        <f aca="false">D314*$F$7</f>
        <v>0</v>
      </c>
      <c r="F314" s="41" t="n">
        <f aca="false">IF(D314&gt;0.5,N($C$15),0)</f>
        <v>0</v>
      </c>
      <c r="G314" s="41" t="n">
        <f aca="false">IF(AND(D314&gt;0.5,N($C$19)&gt;0,N(B314)&lt;=N($C$20)),D314*$F$8,0)</f>
        <v>0</v>
      </c>
      <c r="H314" s="41" t="n">
        <f aca="false">IF(D314&lt;=0.5,0,MIN(IF(N(I314)&gt;0,I314,$F$9),D314+E314+F314))</f>
        <v>0</v>
      </c>
      <c r="I314" s="77"/>
      <c r="J314" s="77"/>
      <c r="K314" s="41" t="n">
        <f aca="false">IF(D314&lt;=0.5,0,MIN(H314+N(J314),D314+E314+F314))</f>
        <v>0</v>
      </c>
      <c r="L314" s="41" t="n">
        <f aca="false">K314-E314-F314</f>
        <v>0</v>
      </c>
      <c r="M314" s="41" t="n">
        <f aca="false">D314-L314</f>
        <v>0</v>
      </c>
      <c r="N314" s="42" t="n">
        <f aca="false">K314-G314</f>
        <v>0</v>
      </c>
      <c r="O314" s="78"/>
      <c r="P314" s="79"/>
      <c r="Q314" s="16" t="str">
        <f aca="false">IF(K314=0,"",IF(R314=1,"Pagada",IF(C314&lt;$F$12,"Vencida",IF(288=$F$13,"Próxima","Pendiente"))))</f>
        <v/>
      </c>
      <c r="R314" s="62" t="n">
        <f aca="false">IF(AND(K314&gt;0,OR(O314="Sí",O314="Si")),1,0)</f>
        <v>0</v>
      </c>
      <c r="S314" s="62" t="n">
        <f aca="false">IF(AND(K314&gt;0,R314=0),1,0)</f>
        <v>0</v>
      </c>
    </row>
    <row r="315" customFormat="false" ht="15" hidden="false" customHeight="false" outlineLevel="0" collapsed="false">
      <c r="B315" s="71" t="str">
        <f aca="false">IF($F$6="Sí",N($C$11)+288,"")</f>
        <v/>
      </c>
      <c r="C315" s="72" t="str">
        <f aca="false">IF(OR($F$6&lt;&gt;"Sí",D315&lt;=0.5),"",EDATE($C$10,288))</f>
        <v/>
      </c>
      <c r="D315" s="41" t="n">
        <f aca="false">MAX(0,M314)</f>
        <v>0</v>
      </c>
      <c r="E315" s="41" t="n">
        <f aca="false">D315*$F$7</f>
        <v>0</v>
      </c>
      <c r="F315" s="41" t="n">
        <f aca="false">IF(D315&gt;0.5,N($C$15),0)</f>
        <v>0</v>
      </c>
      <c r="G315" s="41" t="n">
        <f aca="false">IF(AND(D315&gt;0.5,N($C$19)&gt;0,N(B315)&lt;=N($C$20)),D315*$F$8,0)</f>
        <v>0</v>
      </c>
      <c r="H315" s="41" t="n">
        <f aca="false">IF(D315&lt;=0.5,0,MIN(IF(N(I315)&gt;0,I315,$F$9),D315+E315+F315))</f>
        <v>0</v>
      </c>
      <c r="I315" s="77"/>
      <c r="J315" s="77"/>
      <c r="K315" s="41" t="n">
        <f aca="false">IF(D315&lt;=0.5,0,MIN(H315+N(J315),D315+E315+F315))</f>
        <v>0</v>
      </c>
      <c r="L315" s="41" t="n">
        <f aca="false">K315-E315-F315</f>
        <v>0</v>
      </c>
      <c r="M315" s="41" t="n">
        <f aca="false">D315-L315</f>
        <v>0</v>
      </c>
      <c r="N315" s="42" t="n">
        <f aca="false">K315-G315</f>
        <v>0</v>
      </c>
      <c r="O315" s="78"/>
      <c r="P315" s="79"/>
      <c r="Q315" s="16" t="str">
        <f aca="false">IF(K315=0,"",IF(R315=1,"Pagada",IF(C315&lt;$F$12,"Vencida",IF(289=$F$13,"Próxima","Pendiente"))))</f>
        <v/>
      </c>
      <c r="R315" s="62" t="n">
        <f aca="false">IF(AND(K315&gt;0,OR(O315="Sí",O315="Si")),1,0)</f>
        <v>0</v>
      </c>
      <c r="S315" s="62" t="n">
        <f aca="false">IF(AND(K315&gt;0,R315=0),1,0)</f>
        <v>0</v>
      </c>
    </row>
    <row r="316" customFormat="false" ht="15" hidden="false" customHeight="false" outlineLevel="0" collapsed="false">
      <c r="B316" s="71" t="str">
        <f aca="false">IF($F$6="Sí",N($C$11)+289,"")</f>
        <v/>
      </c>
      <c r="C316" s="72" t="str">
        <f aca="false">IF(OR($F$6&lt;&gt;"Sí",D316&lt;=0.5),"",EDATE($C$10,289))</f>
        <v/>
      </c>
      <c r="D316" s="41" t="n">
        <f aca="false">MAX(0,M315)</f>
        <v>0</v>
      </c>
      <c r="E316" s="41" t="n">
        <f aca="false">D316*$F$7</f>
        <v>0</v>
      </c>
      <c r="F316" s="41" t="n">
        <f aca="false">IF(D316&gt;0.5,N($C$15),0)</f>
        <v>0</v>
      </c>
      <c r="G316" s="41" t="n">
        <f aca="false">IF(AND(D316&gt;0.5,N($C$19)&gt;0,N(B316)&lt;=N($C$20)),D316*$F$8,0)</f>
        <v>0</v>
      </c>
      <c r="H316" s="41" t="n">
        <f aca="false">IF(D316&lt;=0.5,0,MIN(IF(N(I316)&gt;0,I316,$F$9),D316+E316+F316))</f>
        <v>0</v>
      </c>
      <c r="I316" s="77"/>
      <c r="J316" s="77"/>
      <c r="K316" s="41" t="n">
        <f aca="false">IF(D316&lt;=0.5,0,MIN(H316+N(J316),D316+E316+F316))</f>
        <v>0</v>
      </c>
      <c r="L316" s="41" t="n">
        <f aca="false">K316-E316-F316</f>
        <v>0</v>
      </c>
      <c r="M316" s="41" t="n">
        <f aca="false">D316-L316</f>
        <v>0</v>
      </c>
      <c r="N316" s="42" t="n">
        <f aca="false">K316-G316</f>
        <v>0</v>
      </c>
      <c r="O316" s="78"/>
      <c r="P316" s="79"/>
      <c r="Q316" s="16" t="str">
        <f aca="false">IF(K316=0,"",IF(R316=1,"Pagada",IF(C316&lt;$F$12,"Vencida",IF(290=$F$13,"Próxima","Pendiente"))))</f>
        <v/>
      </c>
      <c r="R316" s="62" t="n">
        <f aca="false">IF(AND(K316&gt;0,OR(O316="Sí",O316="Si")),1,0)</f>
        <v>0</v>
      </c>
      <c r="S316" s="62" t="n">
        <f aca="false">IF(AND(K316&gt;0,R316=0),1,0)</f>
        <v>0</v>
      </c>
    </row>
    <row r="317" customFormat="false" ht="15" hidden="false" customHeight="false" outlineLevel="0" collapsed="false">
      <c r="B317" s="71" t="str">
        <f aca="false">IF($F$6="Sí",N($C$11)+290,"")</f>
        <v/>
      </c>
      <c r="C317" s="72" t="str">
        <f aca="false">IF(OR($F$6&lt;&gt;"Sí",D317&lt;=0.5),"",EDATE($C$10,290))</f>
        <v/>
      </c>
      <c r="D317" s="41" t="n">
        <f aca="false">MAX(0,M316)</f>
        <v>0</v>
      </c>
      <c r="E317" s="41" t="n">
        <f aca="false">D317*$F$7</f>
        <v>0</v>
      </c>
      <c r="F317" s="41" t="n">
        <f aca="false">IF(D317&gt;0.5,N($C$15),0)</f>
        <v>0</v>
      </c>
      <c r="G317" s="41" t="n">
        <f aca="false">IF(AND(D317&gt;0.5,N($C$19)&gt;0,N(B317)&lt;=N($C$20)),D317*$F$8,0)</f>
        <v>0</v>
      </c>
      <c r="H317" s="41" t="n">
        <f aca="false">IF(D317&lt;=0.5,0,MIN(IF(N(I317)&gt;0,I317,$F$9),D317+E317+F317))</f>
        <v>0</v>
      </c>
      <c r="I317" s="77"/>
      <c r="J317" s="77"/>
      <c r="K317" s="41" t="n">
        <f aca="false">IF(D317&lt;=0.5,0,MIN(H317+N(J317),D317+E317+F317))</f>
        <v>0</v>
      </c>
      <c r="L317" s="41" t="n">
        <f aca="false">K317-E317-F317</f>
        <v>0</v>
      </c>
      <c r="M317" s="41" t="n">
        <f aca="false">D317-L317</f>
        <v>0</v>
      </c>
      <c r="N317" s="42" t="n">
        <f aca="false">K317-G317</f>
        <v>0</v>
      </c>
      <c r="O317" s="78"/>
      <c r="P317" s="79"/>
      <c r="Q317" s="16" t="str">
        <f aca="false">IF(K317=0,"",IF(R317=1,"Pagada",IF(C317&lt;$F$12,"Vencida",IF(291=$F$13,"Próxima","Pendiente"))))</f>
        <v/>
      </c>
      <c r="R317" s="62" t="n">
        <f aca="false">IF(AND(K317&gt;0,OR(O317="Sí",O317="Si")),1,0)</f>
        <v>0</v>
      </c>
      <c r="S317" s="62" t="n">
        <f aca="false">IF(AND(K317&gt;0,R317=0),1,0)</f>
        <v>0</v>
      </c>
    </row>
    <row r="318" customFormat="false" ht="15" hidden="false" customHeight="false" outlineLevel="0" collapsed="false">
      <c r="B318" s="71" t="str">
        <f aca="false">IF($F$6="Sí",N($C$11)+291,"")</f>
        <v/>
      </c>
      <c r="C318" s="72" t="str">
        <f aca="false">IF(OR($F$6&lt;&gt;"Sí",D318&lt;=0.5),"",EDATE($C$10,291))</f>
        <v/>
      </c>
      <c r="D318" s="41" t="n">
        <f aca="false">MAX(0,M317)</f>
        <v>0</v>
      </c>
      <c r="E318" s="41" t="n">
        <f aca="false">D318*$F$7</f>
        <v>0</v>
      </c>
      <c r="F318" s="41" t="n">
        <f aca="false">IF(D318&gt;0.5,N($C$15),0)</f>
        <v>0</v>
      </c>
      <c r="G318" s="41" t="n">
        <f aca="false">IF(AND(D318&gt;0.5,N($C$19)&gt;0,N(B318)&lt;=N($C$20)),D318*$F$8,0)</f>
        <v>0</v>
      </c>
      <c r="H318" s="41" t="n">
        <f aca="false">IF(D318&lt;=0.5,0,MIN(IF(N(I318)&gt;0,I318,$F$9),D318+E318+F318))</f>
        <v>0</v>
      </c>
      <c r="I318" s="77"/>
      <c r="J318" s="77"/>
      <c r="K318" s="41" t="n">
        <f aca="false">IF(D318&lt;=0.5,0,MIN(H318+N(J318),D318+E318+F318))</f>
        <v>0</v>
      </c>
      <c r="L318" s="41" t="n">
        <f aca="false">K318-E318-F318</f>
        <v>0</v>
      </c>
      <c r="M318" s="41" t="n">
        <f aca="false">D318-L318</f>
        <v>0</v>
      </c>
      <c r="N318" s="42" t="n">
        <f aca="false">K318-G318</f>
        <v>0</v>
      </c>
      <c r="O318" s="78"/>
      <c r="P318" s="79"/>
      <c r="Q318" s="16" t="str">
        <f aca="false">IF(K318=0,"",IF(R318=1,"Pagada",IF(C318&lt;$F$12,"Vencida",IF(292=$F$13,"Próxima","Pendiente"))))</f>
        <v/>
      </c>
      <c r="R318" s="62" t="n">
        <f aca="false">IF(AND(K318&gt;0,OR(O318="Sí",O318="Si")),1,0)</f>
        <v>0</v>
      </c>
      <c r="S318" s="62" t="n">
        <f aca="false">IF(AND(K318&gt;0,R318=0),1,0)</f>
        <v>0</v>
      </c>
    </row>
    <row r="319" customFormat="false" ht="15" hidden="false" customHeight="false" outlineLevel="0" collapsed="false">
      <c r="B319" s="71" t="str">
        <f aca="false">IF($F$6="Sí",N($C$11)+292,"")</f>
        <v/>
      </c>
      <c r="C319" s="72" t="str">
        <f aca="false">IF(OR($F$6&lt;&gt;"Sí",D319&lt;=0.5),"",EDATE($C$10,292))</f>
        <v/>
      </c>
      <c r="D319" s="41" t="n">
        <f aca="false">MAX(0,M318)</f>
        <v>0</v>
      </c>
      <c r="E319" s="41" t="n">
        <f aca="false">D319*$F$7</f>
        <v>0</v>
      </c>
      <c r="F319" s="41" t="n">
        <f aca="false">IF(D319&gt;0.5,N($C$15),0)</f>
        <v>0</v>
      </c>
      <c r="G319" s="41" t="n">
        <f aca="false">IF(AND(D319&gt;0.5,N($C$19)&gt;0,N(B319)&lt;=N($C$20)),D319*$F$8,0)</f>
        <v>0</v>
      </c>
      <c r="H319" s="41" t="n">
        <f aca="false">IF(D319&lt;=0.5,0,MIN(IF(N(I319)&gt;0,I319,$F$9),D319+E319+F319))</f>
        <v>0</v>
      </c>
      <c r="I319" s="77"/>
      <c r="J319" s="77"/>
      <c r="K319" s="41" t="n">
        <f aca="false">IF(D319&lt;=0.5,0,MIN(H319+N(J319),D319+E319+F319))</f>
        <v>0</v>
      </c>
      <c r="L319" s="41" t="n">
        <f aca="false">K319-E319-F319</f>
        <v>0</v>
      </c>
      <c r="M319" s="41" t="n">
        <f aca="false">D319-L319</f>
        <v>0</v>
      </c>
      <c r="N319" s="42" t="n">
        <f aca="false">K319-G319</f>
        <v>0</v>
      </c>
      <c r="O319" s="78"/>
      <c r="P319" s="79"/>
      <c r="Q319" s="16" t="str">
        <f aca="false">IF(K319=0,"",IF(R319=1,"Pagada",IF(C319&lt;$F$12,"Vencida",IF(293=$F$13,"Próxima","Pendiente"))))</f>
        <v/>
      </c>
      <c r="R319" s="62" t="n">
        <f aca="false">IF(AND(K319&gt;0,OR(O319="Sí",O319="Si")),1,0)</f>
        <v>0</v>
      </c>
      <c r="S319" s="62" t="n">
        <f aca="false">IF(AND(K319&gt;0,R319=0),1,0)</f>
        <v>0</v>
      </c>
    </row>
    <row r="320" customFormat="false" ht="15" hidden="false" customHeight="false" outlineLevel="0" collapsed="false">
      <c r="B320" s="71" t="str">
        <f aca="false">IF($F$6="Sí",N($C$11)+293,"")</f>
        <v/>
      </c>
      <c r="C320" s="72" t="str">
        <f aca="false">IF(OR($F$6&lt;&gt;"Sí",D320&lt;=0.5),"",EDATE($C$10,293))</f>
        <v/>
      </c>
      <c r="D320" s="41" t="n">
        <f aca="false">MAX(0,M319)</f>
        <v>0</v>
      </c>
      <c r="E320" s="41" t="n">
        <f aca="false">D320*$F$7</f>
        <v>0</v>
      </c>
      <c r="F320" s="41" t="n">
        <f aca="false">IF(D320&gt;0.5,N($C$15),0)</f>
        <v>0</v>
      </c>
      <c r="G320" s="41" t="n">
        <f aca="false">IF(AND(D320&gt;0.5,N($C$19)&gt;0,N(B320)&lt;=N($C$20)),D320*$F$8,0)</f>
        <v>0</v>
      </c>
      <c r="H320" s="41" t="n">
        <f aca="false">IF(D320&lt;=0.5,0,MIN(IF(N(I320)&gt;0,I320,$F$9),D320+E320+F320))</f>
        <v>0</v>
      </c>
      <c r="I320" s="77"/>
      <c r="J320" s="77"/>
      <c r="K320" s="41" t="n">
        <f aca="false">IF(D320&lt;=0.5,0,MIN(H320+N(J320),D320+E320+F320))</f>
        <v>0</v>
      </c>
      <c r="L320" s="41" t="n">
        <f aca="false">K320-E320-F320</f>
        <v>0</v>
      </c>
      <c r="M320" s="41" t="n">
        <f aca="false">D320-L320</f>
        <v>0</v>
      </c>
      <c r="N320" s="42" t="n">
        <f aca="false">K320-G320</f>
        <v>0</v>
      </c>
      <c r="O320" s="78"/>
      <c r="P320" s="79"/>
      <c r="Q320" s="16" t="str">
        <f aca="false">IF(K320=0,"",IF(R320=1,"Pagada",IF(C320&lt;$F$12,"Vencida",IF(294=$F$13,"Próxima","Pendiente"))))</f>
        <v/>
      </c>
      <c r="R320" s="62" t="n">
        <f aca="false">IF(AND(K320&gt;0,OR(O320="Sí",O320="Si")),1,0)</f>
        <v>0</v>
      </c>
      <c r="S320" s="62" t="n">
        <f aca="false">IF(AND(K320&gt;0,R320=0),1,0)</f>
        <v>0</v>
      </c>
    </row>
    <row r="321" customFormat="false" ht="15" hidden="false" customHeight="false" outlineLevel="0" collapsed="false">
      <c r="B321" s="71" t="str">
        <f aca="false">IF($F$6="Sí",N($C$11)+294,"")</f>
        <v/>
      </c>
      <c r="C321" s="72" t="str">
        <f aca="false">IF(OR($F$6&lt;&gt;"Sí",D321&lt;=0.5),"",EDATE($C$10,294))</f>
        <v/>
      </c>
      <c r="D321" s="41" t="n">
        <f aca="false">MAX(0,M320)</f>
        <v>0</v>
      </c>
      <c r="E321" s="41" t="n">
        <f aca="false">D321*$F$7</f>
        <v>0</v>
      </c>
      <c r="F321" s="41" t="n">
        <f aca="false">IF(D321&gt;0.5,N($C$15),0)</f>
        <v>0</v>
      </c>
      <c r="G321" s="41" t="n">
        <f aca="false">IF(AND(D321&gt;0.5,N($C$19)&gt;0,N(B321)&lt;=N($C$20)),D321*$F$8,0)</f>
        <v>0</v>
      </c>
      <c r="H321" s="41" t="n">
        <f aca="false">IF(D321&lt;=0.5,0,MIN(IF(N(I321)&gt;0,I321,$F$9),D321+E321+F321))</f>
        <v>0</v>
      </c>
      <c r="I321" s="77"/>
      <c r="J321" s="77"/>
      <c r="K321" s="41" t="n">
        <f aca="false">IF(D321&lt;=0.5,0,MIN(H321+N(J321),D321+E321+F321))</f>
        <v>0</v>
      </c>
      <c r="L321" s="41" t="n">
        <f aca="false">K321-E321-F321</f>
        <v>0</v>
      </c>
      <c r="M321" s="41" t="n">
        <f aca="false">D321-L321</f>
        <v>0</v>
      </c>
      <c r="N321" s="42" t="n">
        <f aca="false">K321-G321</f>
        <v>0</v>
      </c>
      <c r="O321" s="78"/>
      <c r="P321" s="79"/>
      <c r="Q321" s="16" t="str">
        <f aca="false">IF(K321=0,"",IF(R321=1,"Pagada",IF(C321&lt;$F$12,"Vencida",IF(295=$F$13,"Próxima","Pendiente"))))</f>
        <v/>
      </c>
      <c r="R321" s="62" t="n">
        <f aca="false">IF(AND(K321&gt;0,OR(O321="Sí",O321="Si")),1,0)</f>
        <v>0</v>
      </c>
      <c r="S321" s="62" t="n">
        <f aca="false">IF(AND(K321&gt;0,R321=0),1,0)</f>
        <v>0</v>
      </c>
    </row>
    <row r="322" customFormat="false" ht="15" hidden="false" customHeight="false" outlineLevel="0" collapsed="false">
      <c r="B322" s="71" t="str">
        <f aca="false">IF($F$6="Sí",N($C$11)+295,"")</f>
        <v/>
      </c>
      <c r="C322" s="72" t="str">
        <f aca="false">IF(OR($F$6&lt;&gt;"Sí",D322&lt;=0.5),"",EDATE($C$10,295))</f>
        <v/>
      </c>
      <c r="D322" s="41" t="n">
        <f aca="false">MAX(0,M321)</f>
        <v>0</v>
      </c>
      <c r="E322" s="41" t="n">
        <f aca="false">D322*$F$7</f>
        <v>0</v>
      </c>
      <c r="F322" s="41" t="n">
        <f aca="false">IF(D322&gt;0.5,N($C$15),0)</f>
        <v>0</v>
      </c>
      <c r="G322" s="41" t="n">
        <f aca="false">IF(AND(D322&gt;0.5,N($C$19)&gt;0,N(B322)&lt;=N($C$20)),D322*$F$8,0)</f>
        <v>0</v>
      </c>
      <c r="H322" s="41" t="n">
        <f aca="false">IF(D322&lt;=0.5,0,MIN(IF(N(I322)&gt;0,I322,$F$9),D322+E322+F322))</f>
        <v>0</v>
      </c>
      <c r="I322" s="77"/>
      <c r="J322" s="77"/>
      <c r="K322" s="41" t="n">
        <f aca="false">IF(D322&lt;=0.5,0,MIN(H322+N(J322),D322+E322+F322))</f>
        <v>0</v>
      </c>
      <c r="L322" s="41" t="n">
        <f aca="false">K322-E322-F322</f>
        <v>0</v>
      </c>
      <c r="M322" s="41" t="n">
        <f aca="false">D322-L322</f>
        <v>0</v>
      </c>
      <c r="N322" s="42" t="n">
        <f aca="false">K322-G322</f>
        <v>0</v>
      </c>
      <c r="O322" s="78"/>
      <c r="P322" s="79"/>
      <c r="Q322" s="16" t="str">
        <f aca="false">IF(K322=0,"",IF(R322=1,"Pagada",IF(C322&lt;$F$12,"Vencida",IF(296=$F$13,"Próxima","Pendiente"))))</f>
        <v/>
      </c>
      <c r="R322" s="62" t="n">
        <f aca="false">IF(AND(K322&gt;0,OR(O322="Sí",O322="Si")),1,0)</f>
        <v>0</v>
      </c>
      <c r="S322" s="62" t="n">
        <f aca="false">IF(AND(K322&gt;0,R322=0),1,0)</f>
        <v>0</v>
      </c>
    </row>
    <row r="323" customFormat="false" ht="15" hidden="false" customHeight="false" outlineLevel="0" collapsed="false">
      <c r="B323" s="71" t="str">
        <f aca="false">IF($F$6="Sí",N($C$11)+296,"")</f>
        <v/>
      </c>
      <c r="C323" s="72" t="str">
        <f aca="false">IF(OR($F$6&lt;&gt;"Sí",D323&lt;=0.5),"",EDATE($C$10,296))</f>
        <v/>
      </c>
      <c r="D323" s="41" t="n">
        <f aca="false">MAX(0,M322)</f>
        <v>0</v>
      </c>
      <c r="E323" s="41" t="n">
        <f aca="false">D323*$F$7</f>
        <v>0</v>
      </c>
      <c r="F323" s="41" t="n">
        <f aca="false">IF(D323&gt;0.5,N($C$15),0)</f>
        <v>0</v>
      </c>
      <c r="G323" s="41" t="n">
        <f aca="false">IF(AND(D323&gt;0.5,N($C$19)&gt;0,N(B323)&lt;=N($C$20)),D323*$F$8,0)</f>
        <v>0</v>
      </c>
      <c r="H323" s="41" t="n">
        <f aca="false">IF(D323&lt;=0.5,0,MIN(IF(N(I323)&gt;0,I323,$F$9),D323+E323+F323))</f>
        <v>0</v>
      </c>
      <c r="I323" s="77"/>
      <c r="J323" s="77"/>
      <c r="K323" s="41" t="n">
        <f aca="false">IF(D323&lt;=0.5,0,MIN(H323+N(J323),D323+E323+F323))</f>
        <v>0</v>
      </c>
      <c r="L323" s="41" t="n">
        <f aca="false">K323-E323-F323</f>
        <v>0</v>
      </c>
      <c r="M323" s="41" t="n">
        <f aca="false">D323-L323</f>
        <v>0</v>
      </c>
      <c r="N323" s="42" t="n">
        <f aca="false">K323-G323</f>
        <v>0</v>
      </c>
      <c r="O323" s="78"/>
      <c r="P323" s="79"/>
      <c r="Q323" s="16" t="str">
        <f aca="false">IF(K323=0,"",IF(R323=1,"Pagada",IF(C323&lt;$F$12,"Vencida",IF(297=$F$13,"Próxima","Pendiente"))))</f>
        <v/>
      </c>
      <c r="R323" s="62" t="n">
        <f aca="false">IF(AND(K323&gt;0,OR(O323="Sí",O323="Si")),1,0)</f>
        <v>0</v>
      </c>
      <c r="S323" s="62" t="n">
        <f aca="false">IF(AND(K323&gt;0,R323=0),1,0)</f>
        <v>0</v>
      </c>
    </row>
    <row r="324" customFormat="false" ht="15" hidden="false" customHeight="false" outlineLevel="0" collapsed="false">
      <c r="B324" s="71" t="str">
        <f aca="false">IF($F$6="Sí",N($C$11)+297,"")</f>
        <v/>
      </c>
      <c r="C324" s="72" t="str">
        <f aca="false">IF(OR($F$6&lt;&gt;"Sí",D324&lt;=0.5),"",EDATE($C$10,297))</f>
        <v/>
      </c>
      <c r="D324" s="41" t="n">
        <f aca="false">MAX(0,M323)</f>
        <v>0</v>
      </c>
      <c r="E324" s="41" t="n">
        <f aca="false">D324*$F$7</f>
        <v>0</v>
      </c>
      <c r="F324" s="41" t="n">
        <f aca="false">IF(D324&gt;0.5,N($C$15),0)</f>
        <v>0</v>
      </c>
      <c r="G324" s="41" t="n">
        <f aca="false">IF(AND(D324&gt;0.5,N($C$19)&gt;0,N(B324)&lt;=N($C$20)),D324*$F$8,0)</f>
        <v>0</v>
      </c>
      <c r="H324" s="41" t="n">
        <f aca="false">IF(D324&lt;=0.5,0,MIN(IF(N(I324)&gt;0,I324,$F$9),D324+E324+F324))</f>
        <v>0</v>
      </c>
      <c r="I324" s="77"/>
      <c r="J324" s="77"/>
      <c r="K324" s="41" t="n">
        <f aca="false">IF(D324&lt;=0.5,0,MIN(H324+N(J324),D324+E324+F324))</f>
        <v>0</v>
      </c>
      <c r="L324" s="41" t="n">
        <f aca="false">K324-E324-F324</f>
        <v>0</v>
      </c>
      <c r="M324" s="41" t="n">
        <f aca="false">D324-L324</f>
        <v>0</v>
      </c>
      <c r="N324" s="42" t="n">
        <f aca="false">K324-G324</f>
        <v>0</v>
      </c>
      <c r="O324" s="78"/>
      <c r="P324" s="79"/>
      <c r="Q324" s="16" t="str">
        <f aca="false">IF(K324=0,"",IF(R324=1,"Pagada",IF(C324&lt;$F$12,"Vencida",IF(298=$F$13,"Próxima","Pendiente"))))</f>
        <v/>
      </c>
      <c r="R324" s="62" t="n">
        <f aca="false">IF(AND(K324&gt;0,OR(O324="Sí",O324="Si")),1,0)</f>
        <v>0</v>
      </c>
      <c r="S324" s="62" t="n">
        <f aca="false">IF(AND(K324&gt;0,R324=0),1,0)</f>
        <v>0</v>
      </c>
    </row>
    <row r="325" customFormat="false" ht="15" hidden="false" customHeight="false" outlineLevel="0" collapsed="false">
      <c r="B325" s="71" t="str">
        <f aca="false">IF($F$6="Sí",N($C$11)+298,"")</f>
        <v/>
      </c>
      <c r="C325" s="72" t="str">
        <f aca="false">IF(OR($F$6&lt;&gt;"Sí",D325&lt;=0.5),"",EDATE($C$10,298))</f>
        <v/>
      </c>
      <c r="D325" s="41" t="n">
        <f aca="false">MAX(0,M324)</f>
        <v>0</v>
      </c>
      <c r="E325" s="41" t="n">
        <f aca="false">D325*$F$7</f>
        <v>0</v>
      </c>
      <c r="F325" s="41" t="n">
        <f aca="false">IF(D325&gt;0.5,N($C$15),0)</f>
        <v>0</v>
      </c>
      <c r="G325" s="41" t="n">
        <f aca="false">IF(AND(D325&gt;0.5,N($C$19)&gt;0,N(B325)&lt;=N($C$20)),D325*$F$8,0)</f>
        <v>0</v>
      </c>
      <c r="H325" s="41" t="n">
        <f aca="false">IF(D325&lt;=0.5,0,MIN(IF(N(I325)&gt;0,I325,$F$9),D325+E325+F325))</f>
        <v>0</v>
      </c>
      <c r="I325" s="77"/>
      <c r="J325" s="77"/>
      <c r="K325" s="41" t="n">
        <f aca="false">IF(D325&lt;=0.5,0,MIN(H325+N(J325),D325+E325+F325))</f>
        <v>0</v>
      </c>
      <c r="L325" s="41" t="n">
        <f aca="false">K325-E325-F325</f>
        <v>0</v>
      </c>
      <c r="M325" s="41" t="n">
        <f aca="false">D325-L325</f>
        <v>0</v>
      </c>
      <c r="N325" s="42" t="n">
        <f aca="false">K325-G325</f>
        <v>0</v>
      </c>
      <c r="O325" s="78"/>
      <c r="P325" s="79"/>
      <c r="Q325" s="16" t="str">
        <f aca="false">IF(K325=0,"",IF(R325=1,"Pagada",IF(C325&lt;$F$12,"Vencida",IF(299=$F$13,"Próxima","Pendiente"))))</f>
        <v/>
      </c>
      <c r="R325" s="62" t="n">
        <f aca="false">IF(AND(K325&gt;0,OR(O325="Sí",O325="Si")),1,0)</f>
        <v>0</v>
      </c>
      <c r="S325" s="62" t="n">
        <f aca="false">IF(AND(K325&gt;0,R325=0),1,0)</f>
        <v>0</v>
      </c>
    </row>
    <row r="326" customFormat="false" ht="15" hidden="false" customHeight="false" outlineLevel="0" collapsed="false">
      <c r="B326" s="71" t="str">
        <f aca="false">IF($F$6="Sí",N($C$11)+299,"")</f>
        <v/>
      </c>
      <c r="C326" s="72" t="str">
        <f aca="false">IF(OR($F$6&lt;&gt;"Sí",D326&lt;=0.5),"",EDATE($C$10,299))</f>
        <v/>
      </c>
      <c r="D326" s="41" t="n">
        <f aca="false">MAX(0,M325)</f>
        <v>0</v>
      </c>
      <c r="E326" s="41" t="n">
        <f aca="false">D326*$F$7</f>
        <v>0</v>
      </c>
      <c r="F326" s="41" t="n">
        <f aca="false">IF(D326&gt;0.5,N($C$15),0)</f>
        <v>0</v>
      </c>
      <c r="G326" s="41" t="n">
        <f aca="false">IF(AND(D326&gt;0.5,N($C$19)&gt;0,N(B326)&lt;=N($C$20)),D326*$F$8,0)</f>
        <v>0</v>
      </c>
      <c r="H326" s="41" t="n">
        <f aca="false">IF(D326&lt;=0.5,0,MIN(IF(N(I326)&gt;0,I326,$F$9),D326+E326+F326))</f>
        <v>0</v>
      </c>
      <c r="I326" s="77"/>
      <c r="J326" s="77"/>
      <c r="K326" s="41" t="n">
        <f aca="false">IF(D326&lt;=0.5,0,MIN(H326+N(J326),D326+E326+F326))</f>
        <v>0</v>
      </c>
      <c r="L326" s="41" t="n">
        <f aca="false">K326-E326-F326</f>
        <v>0</v>
      </c>
      <c r="M326" s="41" t="n">
        <f aca="false">D326-L326</f>
        <v>0</v>
      </c>
      <c r="N326" s="42" t="n">
        <f aca="false">K326-G326</f>
        <v>0</v>
      </c>
      <c r="O326" s="78"/>
      <c r="P326" s="79"/>
      <c r="Q326" s="16" t="str">
        <f aca="false">IF(K326=0,"",IF(R326=1,"Pagada",IF(C326&lt;$F$12,"Vencida",IF(300=$F$13,"Próxima","Pendiente"))))</f>
        <v/>
      </c>
      <c r="R326" s="62" t="n">
        <f aca="false">IF(AND(K326&gt;0,OR(O326="Sí",O326="Si")),1,0)</f>
        <v>0</v>
      </c>
      <c r="S326" s="62" t="n">
        <f aca="false">IF(AND(K326&gt;0,R326=0),1,0)</f>
        <v>0</v>
      </c>
    </row>
    <row r="327" customFormat="false" ht="15" hidden="false" customHeight="false" outlineLevel="0" collapsed="false">
      <c r="B327" s="71" t="str">
        <f aca="false">IF($F$6="Sí",N($C$11)+300,"")</f>
        <v/>
      </c>
      <c r="C327" s="72" t="str">
        <f aca="false">IF(OR($F$6&lt;&gt;"Sí",D327&lt;=0.5),"",EDATE($C$10,300))</f>
        <v/>
      </c>
      <c r="D327" s="41" t="n">
        <f aca="false">MAX(0,M326)</f>
        <v>0</v>
      </c>
      <c r="E327" s="41" t="n">
        <f aca="false">D327*$F$7</f>
        <v>0</v>
      </c>
      <c r="F327" s="41" t="n">
        <f aca="false">IF(D327&gt;0.5,N($C$15),0)</f>
        <v>0</v>
      </c>
      <c r="G327" s="41" t="n">
        <f aca="false">IF(AND(D327&gt;0.5,N($C$19)&gt;0,N(B327)&lt;=N($C$20)),D327*$F$8,0)</f>
        <v>0</v>
      </c>
      <c r="H327" s="41" t="n">
        <f aca="false">IF(D327&lt;=0.5,0,MIN(IF(N(I327)&gt;0,I327,$F$9),D327+E327+F327))</f>
        <v>0</v>
      </c>
      <c r="I327" s="77"/>
      <c r="J327" s="77"/>
      <c r="K327" s="41" t="n">
        <f aca="false">IF(D327&lt;=0.5,0,MIN(H327+N(J327),D327+E327+F327))</f>
        <v>0</v>
      </c>
      <c r="L327" s="41" t="n">
        <f aca="false">K327-E327-F327</f>
        <v>0</v>
      </c>
      <c r="M327" s="41" t="n">
        <f aca="false">D327-L327</f>
        <v>0</v>
      </c>
      <c r="N327" s="42" t="n">
        <f aca="false">K327-G327</f>
        <v>0</v>
      </c>
      <c r="O327" s="78"/>
      <c r="P327" s="79"/>
      <c r="Q327" s="16" t="str">
        <f aca="false">IF(K327=0,"",IF(R327=1,"Pagada",IF(C327&lt;$F$12,"Vencida",IF(301=$F$13,"Próxima","Pendiente"))))</f>
        <v/>
      </c>
      <c r="R327" s="62" t="n">
        <f aca="false">IF(AND(K327&gt;0,OR(O327="Sí",O327="Si")),1,0)</f>
        <v>0</v>
      </c>
      <c r="S327" s="62" t="n">
        <f aca="false">IF(AND(K327&gt;0,R327=0),1,0)</f>
        <v>0</v>
      </c>
    </row>
    <row r="328" customFormat="false" ht="15" hidden="false" customHeight="false" outlineLevel="0" collapsed="false">
      <c r="B328" s="71" t="str">
        <f aca="false">IF($F$6="Sí",N($C$11)+301,"")</f>
        <v/>
      </c>
      <c r="C328" s="72" t="str">
        <f aca="false">IF(OR($F$6&lt;&gt;"Sí",D328&lt;=0.5),"",EDATE($C$10,301))</f>
        <v/>
      </c>
      <c r="D328" s="41" t="n">
        <f aca="false">MAX(0,M327)</f>
        <v>0</v>
      </c>
      <c r="E328" s="41" t="n">
        <f aca="false">D328*$F$7</f>
        <v>0</v>
      </c>
      <c r="F328" s="41" t="n">
        <f aca="false">IF(D328&gt;0.5,N($C$15),0)</f>
        <v>0</v>
      </c>
      <c r="G328" s="41" t="n">
        <f aca="false">IF(AND(D328&gt;0.5,N($C$19)&gt;0,N(B328)&lt;=N($C$20)),D328*$F$8,0)</f>
        <v>0</v>
      </c>
      <c r="H328" s="41" t="n">
        <f aca="false">IF(D328&lt;=0.5,0,MIN(IF(N(I328)&gt;0,I328,$F$9),D328+E328+F328))</f>
        <v>0</v>
      </c>
      <c r="I328" s="77"/>
      <c r="J328" s="77"/>
      <c r="K328" s="41" t="n">
        <f aca="false">IF(D328&lt;=0.5,0,MIN(H328+N(J328),D328+E328+F328))</f>
        <v>0</v>
      </c>
      <c r="L328" s="41" t="n">
        <f aca="false">K328-E328-F328</f>
        <v>0</v>
      </c>
      <c r="M328" s="41" t="n">
        <f aca="false">D328-L328</f>
        <v>0</v>
      </c>
      <c r="N328" s="42" t="n">
        <f aca="false">K328-G328</f>
        <v>0</v>
      </c>
      <c r="O328" s="78"/>
      <c r="P328" s="79"/>
      <c r="Q328" s="16" t="str">
        <f aca="false">IF(K328=0,"",IF(R328=1,"Pagada",IF(C328&lt;$F$12,"Vencida",IF(302=$F$13,"Próxima","Pendiente"))))</f>
        <v/>
      </c>
      <c r="R328" s="62" t="n">
        <f aca="false">IF(AND(K328&gt;0,OR(O328="Sí",O328="Si")),1,0)</f>
        <v>0</v>
      </c>
      <c r="S328" s="62" t="n">
        <f aca="false">IF(AND(K328&gt;0,R328=0),1,0)</f>
        <v>0</v>
      </c>
    </row>
    <row r="329" customFormat="false" ht="15" hidden="false" customHeight="false" outlineLevel="0" collapsed="false">
      <c r="B329" s="71" t="str">
        <f aca="false">IF($F$6="Sí",N($C$11)+302,"")</f>
        <v/>
      </c>
      <c r="C329" s="72" t="str">
        <f aca="false">IF(OR($F$6&lt;&gt;"Sí",D329&lt;=0.5),"",EDATE($C$10,302))</f>
        <v/>
      </c>
      <c r="D329" s="41" t="n">
        <f aca="false">MAX(0,M328)</f>
        <v>0</v>
      </c>
      <c r="E329" s="41" t="n">
        <f aca="false">D329*$F$7</f>
        <v>0</v>
      </c>
      <c r="F329" s="41" t="n">
        <f aca="false">IF(D329&gt;0.5,N($C$15),0)</f>
        <v>0</v>
      </c>
      <c r="G329" s="41" t="n">
        <f aca="false">IF(AND(D329&gt;0.5,N($C$19)&gt;0,N(B329)&lt;=N($C$20)),D329*$F$8,0)</f>
        <v>0</v>
      </c>
      <c r="H329" s="41" t="n">
        <f aca="false">IF(D329&lt;=0.5,0,MIN(IF(N(I329)&gt;0,I329,$F$9),D329+E329+F329))</f>
        <v>0</v>
      </c>
      <c r="I329" s="77"/>
      <c r="J329" s="77"/>
      <c r="K329" s="41" t="n">
        <f aca="false">IF(D329&lt;=0.5,0,MIN(H329+N(J329),D329+E329+F329))</f>
        <v>0</v>
      </c>
      <c r="L329" s="41" t="n">
        <f aca="false">K329-E329-F329</f>
        <v>0</v>
      </c>
      <c r="M329" s="41" t="n">
        <f aca="false">D329-L329</f>
        <v>0</v>
      </c>
      <c r="N329" s="42" t="n">
        <f aca="false">K329-G329</f>
        <v>0</v>
      </c>
      <c r="O329" s="78"/>
      <c r="P329" s="79"/>
      <c r="Q329" s="16" t="str">
        <f aca="false">IF(K329=0,"",IF(R329=1,"Pagada",IF(C329&lt;$F$12,"Vencida",IF(303=$F$13,"Próxima","Pendiente"))))</f>
        <v/>
      </c>
      <c r="R329" s="62" t="n">
        <f aca="false">IF(AND(K329&gt;0,OR(O329="Sí",O329="Si")),1,0)</f>
        <v>0</v>
      </c>
      <c r="S329" s="62" t="n">
        <f aca="false">IF(AND(K329&gt;0,R329=0),1,0)</f>
        <v>0</v>
      </c>
    </row>
    <row r="330" customFormat="false" ht="15" hidden="false" customHeight="false" outlineLevel="0" collapsed="false">
      <c r="B330" s="71" t="str">
        <f aca="false">IF($F$6="Sí",N($C$11)+303,"")</f>
        <v/>
      </c>
      <c r="C330" s="72" t="str">
        <f aca="false">IF(OR($F$6&lt;&gt;"Sí",D330&lt;=0.5),"",EDATE($C$10,303))</f>
        <v/>
      </c>
      <c r="D330" s="41" t="n">
        <f aca="false">MAX(0,M329)</f>
        <v>0</v>
      </c>
      <c r="E330" s="41" t="n">
        <f aca="false">D330*$F$7</f>
        <v>0</v>
      </c>
      <c r="F330" s="41" t="n">
        <f aca="false">IF(D330&gt;0.5,N($C$15),0)</f>
        <v>0</v>
      </c>
      <c r="G330" s="41" t="n">
        <f aca="false">IF(AND(D330&gt;0.5,N($C$19)&gt;0,N(B330)&lt;=N($C$20)),D330*$F$8,0)</f>
        <v>0</v>
      </c>
      <c r="H330" s="41" t="n">
        <f aca="false">IF(D330&lt;=0.5,0,MIN(IF(N(I330)&gt;0,I330,$F$9),D330+E330+F330))</f>
        <v>0</v>
      </c>
      <c r="I330" s="77"/>
      <c r="J330" s="77"/>
      <c r="K330" s="41" t="n">
        <f aca="false">IF(D330&lt;=0.5,0,MIN(H330+N(J330),D330+E330+F330))</f>
        <v>0</v>
      </c>
      <c r="L330" s="41" t="n">
        <f aca="false">K330-E330-F330</f>
        <v>0</v>
      </c>
      <c r="M330" s="41" t="n">
        <f aca="false">D330-L330</f>
        <v>0</v>
      </c>
      <c r="N330" s="42" t="n">
        <f aca="false">K330-G330</f>
        <v>0</v>
      </c>
      <c r="O330" s="78"/>
      <c r="P330" s="79"/>
      <c r="Q330" s="16" t="str">
        <f aca="false">IF(K330=0,"",IF(R330=1,"Pagada",IF(C330&lt;$F$12,"Vencida",IF(304=$F$13,"Próxima","Pendiente"))))</f>
        <v/>
      </c>
      <c r="R330" s="62" t="n">
        <f aca="false">IF(AND(K330&gt;0,OR(O330="Sí",O330="Si")),1,0)</f>
        <v>0</v>
      </c>
      <c r="S330" s="62" t="n">
        <f aca="false">IF(AND(K330&gt;0,R330=0),1,0)</f>
        <v>0</v>
      </c>
    </row>
    <row r="331" customFormat="false" ht="15" hidden="false" customHeight="false" outlineLevel="0" collapsed="false">
      <c r="B331" s="71" t="str">
        <f aca="false">IF($F$6="Sí",N($C$11)+304,"")</f>
        <v/>
      </c>
      <c r="C331" s="72" t="str">
        <f aca="false">IF(OR($F$6&lt;&gt;"Sí",D331&lt;=0.5),"",EDATE($C$10,304))</f>
        <v/>
      </c>
      <c r="D331" s="41" t="n">
        <f aca="false">MAX(0,M330)</f>
        <v>0</v>
      </c>
      <c r="E331" s="41" t="n">
        <f aca="false">D331*$F$7</f>
        <v>0</v>
      </c>
      <c r="F331" s="41" t="n">
        <f aca="false">IF(D331&gt;0.5,N($C$15),0)</f>
        <v>0</v>
      </c>
      <c r="G331" s="41" t="n">
        <f aca="false">IF(AND(D331&gt;0.5,N($C$19)&gt;0,N(B331)&lt;=N($C$20)),D331*$F$8,0)</f>
        <v>0</v>
      </c>
      <c r="H331" s="41" t="n">
        <f aca="false">IF(D331&lt;=0.5,0,MIN(IF(N(I331)&gt;0,I331,$F$9),D331+E331+F331))</f>
        <v>0</v>
      </c>
      <c r="I331" s="77"/>
      <c r="J331" s="77"/>
      <c r="K331" s="41" t="n">
        <f aca="false">IF(D331&lt;=0.5,0,MIN(H331+N(J331),D331+E331+F331))</f>
        <v>0</v>
      </c>
      <c r="L331" s="41" t="n">
        <f aca="false">K331-E331-F331</f>
        <v>0</v>
      </c>
      <c r="M331" s="41" t="n">
        <f aca="false">D331-L331</f>
        <v>0</v>
      </c>
      <c r="N331" s="42" t="n">
        <f aca="false">K331-G331</f>
        <v>0</v>
      </c>
      <c r="O331" s="78"/>
      <c r="P331" s="79"/>
      <c r="Q331" s="16" t="str">
        <f aca="false">IF(K331=0,"",IF(R331=1,"Pagada",IF(C331&lt;$F$12,"Vencida",IF(305=$F$13,"Próxima","Pendiente"))))</f>
        <v/>
      </c>
      <c r="R331" s="62" t="n">
        <f aca="false">IF(AND(K331&gt;0,OR(O331="Sí",O331="Si")),1,0)</f>
        <v>0</v>
      </c>
      <c r="S331" s="62" t="n">
        <f aca="false">IF(AND(K331&gt;0,R331=0),1,0)</f>
        <v>0</v>
      </c>
    </row>
    <row r="332" customFormat="false" ht="15" hidden="false" customHeight="false" outlineLevel="0" collapsed="false">
      <c r="B332" s="71" t="str">
        <f aca="false">IF($F$6="Sí",N($C$11)+305,"")</f>
        <v/>
      </c>
      <c r="C332" s="72" t="str">
        <f aca="false">IF(OR($F$6&lt;&gt;"Sí",D332&lt;=0.5),"",EDATE($C$10,305))</f>
        <v/>
      </c>
      <c r="D332" s="41" t="n">
        <f aca="false">MAX(0,M331)</f>
        <v>0</v>
      </c>
      <c r="E332" s="41" t="n">
        <f aca="false">D332*$F$7</f>
        <v>0</v>
      </c>
      <c r="F332" s="41" t="n">
        <f aca="false">IF(D332&gt;0.5,N($C$15),0)</f>
        <v>0</v>
      </c>
      <c r="G332" s="41" t="n">
        <f aca="false">IF(AND(D332&gt;0.5,N($C$19)&gt;0,N(B332)&lt;=N($C$20)),D332*$F$8,0)</f>
        <v>0</v>
      </c>
      <c r="H332" s="41" t="n">
        <f aca="false">IF(D332&lt;=0.5,0,MIN(IF(N(I332)&gt;0,I332,$F$9),D332+E332+F332))</f>
        <v>0</v>
      </c>
      <c r="I332" s="77"/>
      <c r="J332" s="77"/>
      <c r="K332" s="41" t="n">
        <f aca="false">IF(D332&lt;=0.5,0,MIN(H332+N(J332),D332+E332+F332))</f>
        <v>0</v>
      </c>
      <c r="L332" s="41" t="n">
        <f aca="false">K332-E332-F332</f>
        <v>0</v>
      </c>
      <c r="M332" s="41" t="n">
        <f aca="false">D332-L332</f>
        <v>0</v>
      </c>
      <c r="N332" s="42" t="n">
        <f aca="false">K332-G332</f>
        <v>0</v>
      </c>
      <c r="O332" s="78"/>
      <c r="P332" s="79"/>
      <c r="Q332" s="16" t="str">
        <f aca="false">IF(K332=0,"",IF(R332=1,"Pagada",IF(C332&lt;$F$12,"Vencida",IF(306=$F$13,"Próxima","Pendiente"))))</f>
        <v/>
      </c>
      <c r="R332" s="62" t="n">
        <f aca="false">IF(AND(K332&gt;0,OR(O332="Sí",O332="Si")),1,0)</f>
        <v>0</v>
      </c>
      <c r="S332" s="62" t="n">
        <f aca="false">IF(AND(K332&gt;0,R332=0),1,0)</f>
        <v>0</v>
      </c>
    </row>
    <row r="333" customFormat="false" ht="15" hidden="false" customHeight="false" outlineLevel="0" collapsed="false">
      <c r="B333" s="71" t="str">
        <f aca="false">IF($F$6="Sí",N($C$11)+306,"")</f>
        <v/>
      </c>
      <c r="C333" s="72" t="str">
        <f aca="false">IF(OR($F$6&lt;&gt;"Sí",D333&lt;=0.5),"",EDATE($C$10,306))</f>
        <v/>
      </c>
      <c r="D333" s="41" t="n">
        <f aca="false">MAX(0,M332)</f>
        <v>0</v>
      </c>
      <c r="E333" s="41" t="n">
        <f aca="false">D333*$F$7</f>
        <v>0</v>
      </c>
      <c r="F333" s="41" t="n">
        <f aca="false">IF(D333&gt;0.5,N($C$15),0)</f>
        <v>0</v>
      </c>
      <c r="G333" s="41" t="n">
        <f aca="false">IF(AND(D333&gt;0.5,N($C$19)&gt;0,N(B333)&lt;=N($C$20)),D333*$F$8,0)</f>
        <v>0</v>
      </c>
      <c r="H333" s="41" t="n">
        <f aca="false">IF(D333&lt;=0.5,0,MIN(IF(N(I333)&gt;0,I333,$F$9),D333+E333+F333))</f>
        <v>0</v>
      </c>
      <c r="I333" s="77"/>
      <c r="J333" s="77"/>
      <c r="K333" s="41" t="n">
        <f aca="false">IF(D333&lt;=0.5,0,MIN(H333+N(J333),D333+E333+F333))</f>
        <v>0</v>
      </c>
      <c r="L333" s="41" t="n">
        <f aca="false">K333-E333-F333</f>
        <v>0</v>
      </c>
      <c r="M333" s="41" t="n">
        <f aca="false">D333-L333</f>
        <v>0</v>
      </c>
      <c r="N333" s="42" t="n">
        <f aca="false">K333-G333</f>
        <v>0</v>
      </c>
      <c r="O333" s="78"/>
      <c r="P333" s="79"/>
      <c r="Q333" s="16" t="str">
        <f aca="false">IF(K333=0,"",IF(R333=1,"Pagada",IF(C333&lt;$F$12,"Vencida",IF(307=$F$13,"Próxima","Pendiente"))))</f>
        <v/>
      </c>
      <c r="R333" s="62" t="n">
        <f aca="false">IF(AND(K333&gt;0,OR(O333="Sí",O333="Si")),1,0)</f>
        <v>0</v>
      </c>
      <c r="S333" s="62" t="n">
        <f aca="false">IF(AND(K333&gt;0,R333=0),1,0)</f>
        <v>0</v>
      </c>
    </row>
    <row r="334" customFormat="false" ht="15" hidden="false" customHeight="false" outlineLevel="0" collapsed="false">
      <c r="B334" s="71" t="str">
        <f aca="false">IF($F$6="Sí",N($C$11)+307,"")</f>
        <v/>
      </c>
      <c r="C334" s="72" t="str">
        <f aca="false">IF(OR($F$6&lt;&gt;"Sí",D334&lt;=0.5),"",EDATE($C$10,307))</f>
        <v/>
      </c>
      <c r="D334" s="41" t="n">
        <f aca="false">MAX(0,M333)</f>
        <v>0</v>
      </c>
      <c r="E334" s="41" t="n">
        <f aca="false">D334*$F$7</f>
        <v>0</v>
      </c>
      <c r="F334" s="41" t="n">
        <f aca="false">IF(D334&gt;0.5,N($C$15),0)</f>
        <v>0</v>
      </c>
      <c r="G334" s="41" t="n">
        <f aca="false">IF(AND(D334&gt;0.5,N($C$19)&gt;0,N(B334)&lt;=N($C$20)),D334*$F$8,0)</f>
        <v>0</v>
      </c>
      <c r="H334" s="41" t="n">
        <f aca="false">IF(D334&lt;=0.5,0,MIN(IF(N(I334)&gt;0,I334,$F$9),D334+E334+F334))</f>
        <v>0</v>
      </c>
      <c r="I334" s="77"/>
      <c r="J334" s="77"/>
      <c r="K334" s="41" t="n">
        <f aca="false">IF(D334&lt;=0.5,0,MIN(H334+N(J334),D334+E334+F334))</f>
        <v>0</v>
      </c>
      <c r="L334" s="41" t="n">
        <f aca="false">K334-E334-F334</f>
        <v>0</v>
      </c>
      <c r="M334" s="41" t="n">
        <f aca="false">D334-L334</f>
        <v>0</v>
      </c>
      <c r="N334" s="42" t="n">
        <f aca="false">K334-G334</f>
        <v>0</v>
      </c>
      <c r="O334" s="78"/>
      <c r="P334" s="79"/>
      <c r="Q334" s="16" t="str">
        <f aca="false">IF(K334=0,"",IF(R334=1,"Pagada",IF(C334&lt;$F$12,"Vencida",IF(308=$F$13,"Próxima","Pendiente"))))</f>
        <v/>
      </c>
      <c r="R334" s="62" t="n">
        <f aca="false">IF(AND(K334&gt;0,OR(O334="Sí",O334="Si")),1,0)</f>
        <v>0</v>
      </c>
      <c r="S334" s="62" t="n">
        <f aca="false">IF(AND(K334&gt;0,R334=0),1,0)</f>
        <v>0</v>
      </c>
    </row>
    <row r="335" customFormat="false" ht="15" hidden="false" customHeight="false" outlineLevel="0" collapsed="false">
      <c r="B335" s="71" t="str">
        <f aca="false">IF($F$6="Sí",N($C$11)+308,"")</f>
        <v/>
      </c>
      <c r="C335" s="72" t="str">
        <f aca="false">IF(OR($F$6&lt;&gt;"Sí",D335&lt;=0.5),"",EDATE($C$10,308))</f>
        <v/>
      </c>
      <c r="D335" s="41" t="n">
        <f aca="false">MAX(0,M334)</f>
        <v>0</v>
      </c>
      <c r="E335" s="41" t="n">
        <f aca="false">D335*$F$7</f>
        <v>0</v>
      </c>
      <c r="F335" s="41" t="n">
        <f aca="false">IF(D335&gt;0.5,N($C$15),0)</f>
        <v>0</v>
      </c>
      <c r="G335" s="41" t="n">
        <f aca="false">IF(AND(D335&gt;0.5,N($C$19)&gt;0,N(B335)&lt;=N($C$20)),D335*$F$8,0)</f>
        <v>0</v>
      </c>
      <c r="H335" s="41" t="n">
        <f aca="false">IF(D335&lt;=0.5,0,MIN(IF(N(I335)&gt;0,I335,$F$9),D335+E335+F335))</f>
        <v>0</v>
      </c>
      <c r="I335" s="77"/>
      <c r="J335" s="77"/>
      <c r="K335" s="41" t="n">
        <f aca="false">IF(D335&lt;=0.5,0,MIN(H335+N(J335),D335+E335+F335))</f>
        <v>0</v>
      </c>
      <c r="L335" s="41" t="n">
        <f aca="false">K335-E335-F335</f>
        <v>0</v>
      </c>
      <c r="M335" s="41" t="n">
        <f aca="false">D335-L335</f>
        <v>0</v>
      </c>
      <c r="N335" s="42" t="n">
        <f aca="false">K335-G335</f>
        <v>0</v>
      </c>
      <c r="O335" s="78"/>
      <c r="P335" s="79"/>
      <c r="Q335" s="16" t="str">
        <f aca="false">IF(K335=0,"",IF(R335=1,"Pagada",IF(C335&lt;$F$12,"Vencida",IF(309=$F$13,"Próxima","Pendiente"))))</f>
        <v/>
      </c>
      <c r="R335" s="62" t="n">
        <f aca="false">IF(AND(K335&gt;0,OR(O335="Sí",O335="Si")),1,0)</f>
        <v>0</v>
      </c>
      <c r="S335" s="62" t="n">
        <f aca="false">IF(AND(K335&gt;0,R335=0),1,0)</f>
        <v>0</v>
      </c>
    </row>
    <row r="336" customFormat="false" ht="15" hidden="false" customHeight="false" outlineLevel="0" collapsed="false">
      <c r="B336" s="71" t="str">
        <f aca="false">IF($F$6="Sí",N($C$11)+309,"")</f>
        <v/>
      </c>
      <c r="C336" s="72" t="str">
        <f aca="false">IF(OR($F$6&lt;&gt;"Sí",D336&lt;=0.5),"",EDATE($C$10,309))</f>
        <v/>
      </c>
      <c r="D336" s="41" t="n">
        <f aca="false">MAX(0,M335)</f>
        <v>0</v>
      </c>
      <c r="E336" s="41" t="n">
        <f aca="false">D336*$F$7</f>
        <v>0</v>
      </c>
      <c r="F336" s="41" t="n">
        <f aca="false">IF(D336&gt;0.5,N($C$15),0)</f>
        <v>0</v>
      </c>
      <c r="G336" s="41" t="n">
        <f aca="false">IF(AND(D336&gt;0.5,N($C$19)&gt;0,N(B336)&lt;=N($C$20)),D336*$F$8,0)</f>
        <v>0</v>
      </c>
      <c r="H336" s="41" t="n">
        <f aca="false">IF(D336&lt;=0.5,0,MIN(IF(N(I336)&gt;0,I336,$F$9),D336+E336+F336))</f>
        <v>0</v>
      </c>
      <c r="I336" s="77"/>
      <c r="J336" s="77"/>
      <c r="K336" s="41" t="n">
        <f aca="false">IF(D336&lt;=0.5,0,MIN(H336+N(J336),D336+E336+F336))</f>
        <v>0</v>
      </c>
      <c r="L336" s="41" t="n">
        <f aca="false">K336-E336-F336</f>
        <v>0</v>
      </c>
      <c r="M336" s="41" t="n">
        <f aca="false">D336-L336</f>
        <v>0</v>
      </c>
      <c r="N336" s="42" t="n">
        <f aca="false">K336-G336</f>
        <v>0</v>
      </c>
      <c r="O336" s="78"/>
      <c r="P336" s="79"/>
      <c r="Q336" s="16" t="str">
        <f aca="false">IF(K336=0,"",IF(R336=1,"Pagada",IF(C336&lt;$F$12,"Vencida",IF(310=$F$13,"Próxima","Pendiente"))))</f>
        <v/>
      </c>
      <c r="R336" s="62" t="n">
        <f aca="false">IF(AND(K336&gt;0,OR(O336="Sí",O336="Si")),1,0)</f>
        <v>0</v>
      </c>
      <c r="S336" s="62" t="n">
        <f aca="false">IF(AND(K336&gt;0,R336=0),1,0)</f>
        <v>0</v>
      </c>
    </row>
    <row r="337" customFormat="false" ht="15" hidden="false" customHeight="false" outlineLevel="0" collapsed="false">
      <c r="B337" s="71" t="str">
        <f aca="false">IF($F$6="Sí",N($C$11)+310,"")</f>
        <v/>
      </c>
      <c r="C337" s="72" t="str">
        <f aca="false">IF(OR($F$6&lt;&gt;"Sí",D337&lt;=0.5),"",EDATE($C$10,310))</f>
        <v/>
      </c>
      <c r="D337" s="41" t="n">
        <f aca="false">MAX(0,M336)</f>
        <v>0</v>
      </c>
      <c r="E337" s="41" t="n">
        <f aca="false">D337*$F$7</f>
        <v>0</v>
      </c>
      <c r="F337" s="41" t="n">
        <f aca="false">IF(D337&gt;0.5,N($C$15),0)</f>
        <v>0</v>
      </c>
      <c r="G337" s="41" t="n">
        <f aca="false">IF(AND(D337&gt;0.5,N($C$19)&gt;0,N(B337)&lt;=N($C$20)),D337*$F$8,0)</f>
        <v>0</v>
      </c>
      <c r="H337" s="41" t="n">
        <f aca="false">IF(D337&lt;=0.5,0,MIN(IF(N(I337)&gt;0,I337,$F$9),D337+E337+F337))</f>
        <v>0</v>
      </c>
      <c r="I337" s="77"/>
      <c r="J337" s="77"/>
      <c r="K337" s="41" t="n">
        <f aca="false">IF(D337&lt;=0.5,0,MIN(H337+N(J337),D337+E337+F337))</f>
        <v>0</v>
      </c>
      <c r="L337" s="41" t="n">
        <f aca="false">K337-E337-F337</f>
        <v>0</v>
      </c>
      <c r="M337" s="41" t="n">
        <f aca="false">D337-L337</f>
        <v>0</v>
      </c>
      <c r="N337" s="42" t="n">
        <f aca="false">K337-G337</f>
        <v>0</v>
      </c>
      <c r="O337" s="78"/>
      <c r="P337" s="79"/>
      <c r="Q337" s="16" t="str">
        <f aca="false">IF(K337=0,"",IF(R337=1,"Pagada",IF(C337&lt;$F$12,"Vencida",IF(311=$F$13,"Próxima","Pendiente"))))</f>
        <v/>
      </c>
      <c r="R337" s="62" t="n">
        <f aca="false">IF(AND(K337&gt;0,OR(O337="Sí",O337="Si")),1,0)</f>
        <v>0</v>
      </c>
      <c r="S337" s="62" t="n">
        <f aca="false">IF(AND(K337&gt;0,R337=0),1,0)</f>
        <v>0</v>
      </c>
    </row>
    <row r="338" customFormat="false" ht="15" hidden="false" customHeight="false" outlineLevel="0" collapsed="false">
      <c r="B338" s="71" t="str">
        <f aca="false">IF($F$6="Sí",N($C$11)+311,"")</f>
        <v/>
      </c>
      <c r="C338" s="72" t="str">
        <f aca="false">IF(OR($F$6&lt;&gt;"Sí",D338&lt;=0.5),"",EDATE($C$10,311))</f>
        <v/>
      </c>
      <c r="D338" s="41" t="n">
        <f aca="false">MAX(0,M337)</f>
        <v>0</v>
      </c>
      <c r="E338" s="41" t="n">
        <f aca="false">D338*$F$7</f>
        <v>0</v>
      </c>
      <c r="F338" s="41" t="n">
        <f aca="false">IF(D338&gt;0.5,N($C$15),0)</f>
        <v>0</v>
      </c>
      <c r="G338" s="41" t="n">
        <f aca="false">IF(AND(D338&gt;0.5,N($C$19)&gt;0,N(B338)&lt;=N($C$20)),D338*$F$8,0)</f>
        <v>0</v>
      </c>
      <c r="H338" s="41" t="n">
        <f aca="false">IF(D338&lt;=0.5,0,MIN(IF(N(I338)&gt;0,I338,$F$9),D338+E338+F338))</f>
        <v>0</v>
      </c>
      <c r="I338" s="77"/>
      <c r="J338" s="77"/>
      <c r="K338" s="41" t="n">
        <f aca="false">IF(D338&lt;=0.5,0,MIN(H338+N(J338),D338+E338+F338))</f>
        <v>0</v>
      </c>
      <c r="L338" s="41" t="n">
        <f aca="false">K338-E338-F338</f>
        <v>0</v>
      </c>
      <c r="M338" s="41" t="n">
        <f aca="false">D338-L338</f>
        <v>0</v>
      </c>
      <c r="N338" s="42" t="n">
        <f aca="false">K338-G338</f>
        <v>0</v>
      </c>
      <c r="O338" s="78"/>
      <c r="P338" s="79"/>
      <c r="Q338" s="16" t="str">
        <f aca="false">IF(K338=0,"",IF(R338=1,"Pagada",IF(C338&lt;$F$12,"Vencida",IF(312=$F$13,"Próxima","Pendiente"))))</f>
        <v/>
      </c>
      <c r="R338" s="62" t="n">
        <f aca="false">IF(AND(K338&gt;0,OR(O338="Sí",O338="Si")),1,0)</f>
        <v>0</v>
      </c>
      <c r="S338" s="62" t="n">
        <f aca="false">IF(AND(K338&gt;0,R338=0),1,0)</f>
        <v>0</v>
      </c>
    </row>
    <row r="339" customFormat="false" ht="15" hidden="false" customHeight="false" outlineLevel="0" collapsed="false">
      <c r="B339" s="71" t="str">
        <f aca="false">IF($F$6="Sí",N($C$11)+312,"")</f>
        <v/>
      </c>
      <c r="C339" s="72" t="str">
        <f aca="false">IF(OR($F$6&lt;&gt;"Sí",D339&lt;=0.5),"",EDATE($C$10,312))</f>
        <v/>
      </c>
      <c r="D339" s="41" t="n">
        <f aca="false">MAX(0,M338)</f>
        <v>0</v>
      </c>
      <c r="E339" s="41" t="n">
        <f aca="false">D339*$F$7</f>
        <v>0</v>
      </c>
      <c r="F339" s="41" t="n">
        <f aca="false">IF(D339&gt;0.5,N($C$15),0)</f>
        <v>0</v>
      </c>
      <c r="G339" s="41" t="n">
        <f aca="false">IF(AND(D339&gt;0.5,N($C$19)&gt;0,N(B339)&lt;=N($C$20)),D339*$F$8,0)</f>
        <v>0</v>
      </c>
      <c r="H339" s="41" t="n">
        <f aca="false">IF(D339&lt;=0.5,0,MIN(IF(N(I339)&gt;0,I339,$F$9),D339+E339+F339))</f>
        <v>0</v>
      </c>
      <c r="I339" s="77"/>
      <c r="J339" s="77"/>
      <c r="K339" s="41" t="n">
        <f aca="false">IF(D339&lt;=0.5,0,MIN(H339+N(J339),D339+E339+F339))</f>
        <v>0</v>
      </c>
      <c r="L339" s="41" t="n">
        <f aca="false">K339-E339-F339</f>
        <v>0</v>
      </c>
      <c r="M339" s="41" t="n">
        <f aca="false">D339-L339</f>
        <v>0</v>
      </c>
      <c r="N339" s="42" t="n">
        <f aca="false">K339-G339</f>
        <v>0</v>
      </c>
      <c r="O339" s="78"/>
      <c r="P339" s="79"/>
      <c r="Q339" s="16" t="str">
        <f aca="false">IF(K339=0,"",IF(R339=1,"Pagada",IF(C339&lt;$F$12,"Vencida",IF(313=$F$13,"Próxima","Pendiente"))))</f>
        <v/>
      </c>
      <c r="R339" s="62" t="n">
        <f aca="false">IF(AND(K339&gt;0,OR(O339="Sí",O339="Si")),1,0)</f>
        <v>0</v>
      </c>
      <c r="S339" s="62" t="n">
        <f aca="false">IF(AND(K339&gt;0,R339=0),1,0)</f>
        <v>0</v>
      </c>
    </row>
    <row r="340" customFormat="false" ht="15" hidden="false" customHeight="false" outlineLevel="0" collapsed="false">
      <c r="B340" s="71" t="str">
        <f aca="false">IF($F$6="Sí",N($C$11)+313,"")</f>
        <v/>
      </c>
      <c r="C340" s="72" t="str">
        <f aca="false">IF(OR($F$6&lt;&gt;"Sí",D340&lt;=0.5),"",EDATE($C$10,313))</f>
        <v/>
      </c>
      <c r="D340" s="41" t="n">
        <f aca="false">MAX(0,M339)</f>
        <v>0</v>
      </c>
      <c r="E340" s="41" t="n">
        <f aca="false">D340*$F$7</f>
        <v>0</v>
      </c>
      <c r="F340" s="41" t="n">
        <f aca="false">IF(D340&gt;0.5,N($C$15),0)</f>
        <v>0</v>
      </c>
      <c r="G340" s="41" t="n">
        <f aca="false">IF(AND(D340&gt;0.5,N($C$19)&gt;0,N(B340)&lt;=N($C$20)),D340*$F$8,0)</f>
        <v>0</v>
      </c>
      <c r="H340" s="41" t="n">
        <f aca="false">IF(D340&lt;=0.5,0,MIN(IF(N(I340)&gt;0,I340,$F$9),D340+E340+F340))</f>
        <v>0</v>
      </c>
      <c r="I340" s="77"/>
      <c r="J340" s="77"/>
      <c r="K340" s="41" t="n">
        <f aca="false">IF(D340&lt;=0.5,0,MIN(H340+N(J340),D340+E340+F340))</f>
        <v>0</v>
      </c>
      <c r="L340" s="41" t="n">
        <f aca="false">K340-E340-F340</f>
        <v>0</v>
      </c>
      <c r="M340" s="41" t="n">
        <f aca="false">D340-L340</f>
        <v>0</v>
      </c>
      <c r="N340" s="42" t="n">
        <f aca="false">K340-G340</f>
        <v>0</v>
      </c>
      <c r="O340" s="78"/>
      <c r="P340" s="79"/>
      <c r="Q340" s="16" t="str">
        <f aca="false">IF(K340=0,"",IF(R340=1,"Pagada",IF(C340&lt;$F$12,"Vencida",IF(314=$F$13,"Próxima","Pendiente"))))</f>
        <v/>
      </c>
      <c r="R340" s="62" t="n">
        <f aca="false">IF(AND(K340&gt;0,OR(O340="Sí",O340="Si")),1,0)</f>
        <v>0</v>
      </c>
      <c r="S340" s="62" t="n">
        <f aca="false">IF(AND(K340&gt;0,R340=0),1,0)</f>
        <v>0</v>
      </c>
    </row>
    <row r="341" customFormat="false" ht="15" hidden="false" customHeight="false" outlineLevel="0" collapsed="false">
      <c r="B341" s="71" t="str">
        <f aca="false">IF($F$6="Sí",N($C$11)+314,"")</f>
        <v/>
      </c>
      <c r="C341" s="72" t="str">
        <f aca="false">IF(OR($F$6&lt;&gt;"Sí",D341&lt;=0.5),"",EDATE($C$10,314))</f>
        <v/>
      </c>
      <c r="D341" s="41" t="n">
        <f aca="false">MAX(0,M340)</f>
        <v>0</v>
      </c>
      <c r="E341" s="41" t="n">
        <f aca="false">D341*$F$7</f>
        <v>0</v>
      </c>
      <c r="F341" s="41" t="n">
        <f aca="false">IF(D341&gt;0.5,N($C$15),0)</f>
        <v>0</v>
      </c>
      <c r="G341" s="41" t="n">
        <f aca="false">IF(AND(D341&gt;0.5,N($C$19)&gt;0,N(B341)&lt;=N($C$20)),D341*$F$8,0)</f>
        <v>0</v>
      </c>
      <c r="H341" s="41" t="n">
        <f aca="false">IF(D341&lt;=0.5,0,MIN(IF(N(I341)&gt;0,I341,$F$9),D341+E341+F341))</f>
        <v>0</v>
      </c>
      <c r="I341" s="77"/>
      <c r="J341" s="77"/>
      <c r="K341" s="41" t="n">
        <f aca="false">IF(D341&lt;=0.5,0,MIN(H341+N(J341),D341+E341+F341))</f>
        <v>0</v>
      </c>
      <c r="L341" s="41" t="n">
        <f aca="false">K341-E341-F341</f>
        <v>0</v>
      </c>
      <c r="M341" s="41" t="n">
        <f aca="false">D341-L341</f>
        <v>0</v>
      </c>
      <c r="N341" s="42" t="n">
        <f aca="false">K341-G341</f>
        <v>0</v>
      </c>
      <c r="O341" s="78"/>
      <c r="P341" s="79"/>
      <c r="Q341" s="16" t="str">
        <f aca="false">IF(K341=0,"",IF(R341=1,"Pagada",IF(C341&lt;$F$12,"Vencida",IF(315=$F$13,"Próxima","Pendiente"))))</f>
        <v/>
      </c>
      <c r="R341" s="62" t="n">
        <f aca="false">IF(AND(K341&gt;0,OR(O341="Sí",O341="Si")),1,0)</f>
        <v>0</v>
      </c>
      <c r="S341" s="62" t="n">
        <f aca="false">IF(AND(K341&gt;0,R341=0),1,0)</f>
        <v>0</v>
      </c>
    </row>
    <row r="342" customFormat="false" ht="15" hidden="false" customHeight="false" outlineLevel="0" collapsed="false">
      <c r="B342" s="71" t="str">
        <f aca="false">IF($F$6="Sí",N($C$11)+315,"")</f>
        <v/>
      </c>
      <c r="C342" s="72" t="str">
        <f aca="false">IF(OR($F$6&lt;&gt;"Sí",D342&lt;=0.5),"",EDATE($C$10,315))</f>
        <v/>
      </c>
      <c r="D342" s="41" t="n">
        <f aca="false">MAX(0,M341)</f>
        <v>0</v>
      </c>
      <c r="E342" s="41" t="n">
        <f aca="false">D342*$F$7</f>
        <v>0</v>
      </c>
      <c r="F342" s="41" t="n">
        <f aca="false">IF(D342&gt;0.5,N($C$15),0)</f>
        <v>0</v>
      </c>
      <c r="G342" s="41" t="n">
        <f aca="false">IF(AND(D342&gt;0.5,N($C$19)&gt;0,N(B342)&lt;=N($C$20)),D342*$F$8,0)</f>
        <v>0</v>
      </c>
      <c r="H342" s="41" t="n">
        <f aca="false">IF(D342&lt;=0.5,0,MIN(IF(N(I342)&gt;0,I342,$F$9),D342+E342+F342))</f>
        <v>0</v>
      </c>
      <c r="I342" s="77"/>
      <c r="J342" s="77"/>
      <c r="K342" s="41" t="n">
        <f aca="false">IF(D342&lt;=0.5,0,MIN(H342+N(J342),D342+E342+F342))</f>
        <v>0</v>
      </c>
      <c r="L342" s="41" t="n">
        <f aca="false">K342-E342-F342</f>
        <v>0</v>
      </c>
      <c r="M342" s="41" t="n">
        <f aca="false">D342-L342</f>
        <v>0</v>
      </c>
      <c r="N342" s="42" t="n">
        <f aca="false">K342-G342</f>
        <v>0</v>
      </c>
      <c r="O342" s="78"/>
      <c r="P342" s="79"/>
      <c r="Q342" s="16" t="str">
        <f aca="false">IF(K342=0,"",IF(R342=1,"Pagada",IF(C342&lt;$F$12,"Vencida",IF(316=$F$13,"Próxima","Pendiente"))))</f>
        <v/>
      </c>
      <c r="R342" s="62" t="n">
        <f aca="false">IF(AND(K342&gt;0,OR(O342="Sí",O342="Si")),1,0)</f>
        <v>0</v>
      </c>
      <c r="S342" s="62" t="n">
        <f aca="false">IF(AND(K342&gt;0,R342=0),1,0)</f>
        <v>0</v>
      </c>
    </row>
    <row r="343" customFormat="false" ht="15" hidden="false" customHeight="false" outlineLevel="0" collapsed="false">
      <c r="B343" s="71" t="str">
        <f aca="false">IF($F$6="Sí",N($C$11)+316,"")</f>
        <v/>
      </c>
      <c r="C343" s="72" t="str">
        <f aca="false">IF(OR($F$6&lt;&gt;"Sí",D343&lt;=0.5),"",EDATE($C$10,316))</f>
        <v/>
      </c>
      <c r="D343" s="41" t="n">
        <f aca="false">MAX(0,M342)</f>
        <v>0</v>
      </c>
      <c r="E343" s="41" t="n">
        <f aca="false">D343*$F$7</f>
        <v>0</v>
      </c>
      <c r="F343" s="41" t="n">
        <f aca="false">IF(D343&gt;0.5,N($C$15),0)</f>
        <v>0</v>
      </c>
      <c r="G343" s="41" t="n">
        <f aca="false">IF(AND(D343&gt;0.5,N($C$19)&gt;0,N(B343)&lt;=N($C$20)),D343*$F$8,0)</f>
        <v>0</v>
      </c>
      <c r="H343" s="41" t="n">
        <f aca="false">IF(D343&lt;=0.5,0,MIN(IF(N(I343)&gt;0,I343,$F$9),D343+E343+F343))</f>
        <v>0</v>
      </c>
      <c r="I343" s="77"/>
      <c r="J343" s="77"/>
      <c r="K343" s="41" t="n">
        <f aca="false">IF(D343&lt;=0.5,0,MIN(H343+N(J343),D343+E343+F343))</f>
        <v>0</v>
      </c>
      <c r="L343" s="41" t="n">
        <f aca="false">K343-E343-F343</f>
        <v>0</v>
      </c>
      <c r="M343" s="41" t="n">
        <f aca="false">D343-L343</f>
        <v>0</v>
      </c>
      <c r="N343" s="42" t="n">
        <f aca="false">K343-G343</f>
        <v>0</v>
      </c>
      <c r="O343" s="78"/>
      <c r="P343" s="79"/>
      <c r="Q343" s="16" t="str">
        <f aca="false">IF(K343=0,"",IF(R343=1,"Pagada",IF(C343&lt;$F$12,"Vencida",IF(317=$F$13,"Próxima","Pendiente"))))</f>
        <v/>
      </c>
      <c r="R343" s="62" t="n">
        <f aca="false">IF(AND(K343&gt;0,OR(O343="Sí",O343="Si")),1,0)</f>
        <v>0</v>
      </c>
      <c r="S343" s="62" t="n">
        <f aca="false">IF(AND(K343&gt;0,R343=0),1,0)</f>
        <v>0</v>
      </c>
    </row>
    <row r="344" customFormat="false" ht="15" hidden="false" customHeight="false" outlineLevel="0" collapsed="false">
      <c r="B344" s="71" t="str">
        <f aca="false">IF($F$6="Sí",N($C$11)+317,"")</f>
        <v/>
      </c>
      <c r="C344" s="72" t="str">
        <f aca="false">IF(OR($F$6&lt;&gt;"Sí",D344&lt;=0.5),"",EDATE($C$10,317))</f>
        <v/>
      </c>
      <c r="D344" s="41" t="n">
        <f aca="false">MAX(0,M343)</f>
        <v>0</v>
      </c>
      <c r="E344" s="41" t="n">
        <f aca="false">D344*$F$7</f>
        <v>0</v>
      </c>
      <c r="F344" s="41" t="n">
        <f aca="false">IF(D344&gt;0.5,N($C$15),0)</f>
        <v>0</v>
      </c>
      <c r="G344" s="41" t="n">
        <f aca="false">IF(AND(D344&gt;0.5,N($C$19)&gt;0,N(B344)&lt;=N($C$20)),D344*$F$8,0)</f>
        <v>0</v>
      </c>
      <c r="H344" s="41" t="n">
        <f aca="false">IF(D344&lt;=0.5,0,MIN(IF(N(I344)&gt;0,I344,$F$9),D344+E344+F344))</f>
        <v>0</v>
      </c>
      <c r="I344" s="77"/>
      <c r="J344" s="77"/>
      <c r="K344" s="41" t="n">
        <f aca="false">IF(D344&lt;=0.5,0,MIN(H344+N(J344),D344+E344+F344))</f>
        <v>0</v>
      </c>
      <c r="L344" s="41" t="n">
        <f aca="false">K344-E344-F344</f>
        <v>0</v>
      </c>
      <c r="M344" s="41" t="n">
        <f aca="false">D344-L344</f>
        <v>0</v>
      </c>
      <c r="N344" s="42" t="n">
        <f aca="false">K344-G344</f>
        <v>0</v>
      </c>
      <c r="O344" s="78"/>
      <c r="P344" s="79"/>
      <c r="Q344" s="16" t="str">
        <f aca="false">IF(K344=0,"",IF(R344=1,"Pagada",IF(C344&lt;$F$12,"Vencida",IF(318=$F$13,"Próxima","Pendiente"))))</f>
        <v/>
      </c>
      <c r="R344" s="62" t="n">
        <f aca="false">IF(AND(K344&gt;0,OR(O344="Sí",O344="Si")),1,0)</f>
        <v>0</v>
      </c>
      <c r="S344" s="62" t="n">
        <f aca="false">IF(AND(K344&gt;0,R344=0),1,0)</f>
        <v>0</v>
      </c>
    </row>
    <row r="345" customFormat="false" ht="15" hidden="false" customHeight="false" outlineLevel="0" collapsed="false">
      <c r="B345" s="71" t="str">
        <f aca="false">IF($F$6="Sí",N($C$11)+318,"")</f>
        <v/>
      </c>
      <c r="C345" s="72" t="str">
        <f aca="false">IF(OR($F$6&lt;&gt;"Sí",D345&lt;=0.5),"",EDATE($C$10,318))</f>
        <v/>
      </c>
      <c r="D345" s="41" t="n">
        <f aca="false">MAX(0,M344)</f>
        <v>0</v>
      </c>
      <c r="E345" s="41" t="n">
        <f aca="false">D345*$F$7</f>
        <v>0</v>
      </c>
      <c r="F345" s="41" t="n">
        <f aca="false">IF(D345&gt;0.5,N($C$15),0)</f>
        <v>0</v>
      </c>
      <c r="G345" s="41" t="n">
        <f aca="false">IF(AND(D345&gt;0.5,N($C$19)&gt;0,N(B345)&lt;=N($C$20)),D345*$F$8,0)</f>
        <v>0</v>
      </c>
      <c r="H345" s="41" t="n">
        <f aca="false">IF(D345&lt;=0.5,0,MIN(IF(N(I345)&gt;0,I345,$F$9),D345+E345+F345))</f>
        <v>0</v>
      </c>
      <c r="I345" s="77"/>
      <c r="J345" s="77"/>
      <c r="K345" s="41" t="n">
        <f aca="false">IF(D345&lt;=0.5,0,MIN(H345+N(J345),D345+E345+F345))</f>
        <v>0</v>
      </c>
      <c r="L345" s="41" t="n">
        <f aca="false">K345-E345-F345</f>
        <v>0</v>
      </c>
      <c r="M345" s="41" t="n">
        <f aca="false">D345-L345</f>
        <v>0</v>
      </c>
      <c r="N345" s="42" t="n">
        <f aca="false">K345-G345</f>
        <v>0</v>
      </c>
      <c r="O345" s="78"/>
      <c r="P345" s="79"/>
      <c r="Q345" s="16" t="str">
        <f aca="false">IF(K345=0,"",IF(R345=1,"Pagada",IF(C345&lt;$F$12,"Vencida",IF(319=$F$13,"Próxima","Pendiente"))))</f>
        <v/>
      </c>
      <c r="R345" s="62" t="n">
        <f aca="false">IF(AND(K345&gt;0,OR(O345="Sí",O345="Si")),1,0)</f>
        <v>0</v>
      </c>
      <c r="S345" s="62" t="n">
        <f aca="false">IF(AND(K345&gt;0,R345=0),1,0)</f>
        <v>0</v>
      </c>
    </row>
    <row r="346" customFormat="false" ht="15" hidden="false" customHeight="false" outlineLevel="0" collapsed="false">
      <c r="B346" s="71" t="str">
        <f aca="false">IF($F$6="Sí",N($C$11)+319,"")</f>
        <v/>
      </c>
      <c r="C346" s="72" t="str">
        <f aca="false">IF(OR($F$6&lt;&gt;"Sí",D346&lt;=0.5),"",EDATE($C$10,319))</f>
        <v/>
      </c>
      <c r="D346" s="41" t="n">
        <f aca="false">MAX(0,M345)</f>
        <v>0</v>
      </c>
      <c r="E346" s="41" t="n">
        <f aca="false">D346*$F$7</f>
        <v>0</v>
      </c>
      <c r="F346" s="41" t="n">
        <f aca="false">IF(D346&gt;0.5,N($C$15),0)</f>
        <v>0</v>
      </c>
      <c r="G346" s="41" t="n">
        <f aca="false">IF(AND(D346&gt;0.5,N($C$19)&gt;0,N(B346)&lt;=N($C$20)),D346*$F$8,0)</f>
        <v>0</v>
      </c>
      <c r="H346" s="41" t="n">
        <f aca="false">IF(D346&lt;=0.5,0,MIN(IF(N(I346)&gt;0,I346,$F$9),D346+E346+F346))</f>
        <v>0</v>
      </c>
      <c r="I346" s="77"/>
      <c r="J346" s="77"/>
      <c r="K346" s="41" t="n">
        <f aca="false">IF(D346&lt;=0.5,0,MIN(H346+N(J346),D346+E346+F346))</f>
        <v>0</v>
      </c>
      <c r="L346" s="41" t="n">
        <f aca="false">K346-E346-F346</f>
        <v>0</v>
      </c>
      <c r="M346" s="41" t="n">
        <f aca="false">D346-L346</f>
        <v>0</v>
      </c>
      <c r="N346" s="42" t="n">
        <f aca="false">K346-G346</f>
        <v>0</v>
      </c>
      <c r="O346" s="78"/>
      <c r="P346" s="79"/>
      <c r="Q346" s="16" t="str">
        <f aca="false">IF(K346=0,"",IF(R346=1,"Pagada",IF(C346&lt;$F$12,"Vencida",IF(320=$F$13,"Próxima","Pendiente"))))</f>
        <v/>
      </c>
      <c r="R346" s="62" t="n">
        <f aca="false">IF(AND(K346&gt;0,OR(O346="Sí",O346="Si")),1,0)</f>
        <v>0</v>
      </c>
      <c r="S346" s="62" t="n">
        <f aca="false">IF(AND(K346&gt;0,R346=0),1,0)</f>
        <v>0</v>
      </c>
    </row>
    <row r="347" customFormat="false" ht="15" hidden="false" customHeight="false" outlineLevel="0" collapsed="false">
      <c r="B347" s="71" t="str">
        <f aca="false">IF($F$6="Sí",N($C$11)+320,"")</f>
        <v/>
      </c>
      <c r="C347" s="72" t="str">
        <f aca="false">IF(OR($F$6&lt;&gt;"Sí",D347&lt;=0.5),"",EDATE($C$10,320))</f>
        <v/>
      </c>
      <c r="D347" s="41" t="n">
        <f aca="false">MAX(0,M346)</f>
        <v>0</v>
      </c>
      <c r="E347" s="41" t="n">
        <f aca="false">D347*$F$7</f>
        <v>0</v>
      </c>
      <c r="F347" s="41" t="n">
        <f aca="false">IF(D347&gt;0.5,N($C$15),0)</f>
        <v>0</v>
      </c>
      <c r="G347" s="41" t="n">
        <f aca="false">IF(AND(D347&gt;0.5,N($C$19)&gt;0,N(B347)&lt;=N($C$20)),D347*$F$8,0)</f>
        <v>0</v>
      </c>
      <c r="H347" s="41" t="n">
        <f aca="false">IF(D347&lt;=0.5,0,MIN(IF(N(I347)&gt;0,I347,$F$9),D347+E347+F347))</f>
        <v>0</v>
      </c>
      <c r="I347" s="77"/>
      <c r="J347" s="77"/>
      <c r="K347" s="41" t="n">
        <f aca="false">IF(D347&lt;=0.5,0,MIN(H347+N(J347),D347+E347+F347))</f>
        <v>0</v>
      </c>
      <c r="L347" s="41" t="n">
        <f aca="false">K347-E347-F347</f>
        <v>0</v>
      </c>
      <c r="M347" s="41" t="n">
        <f aca="false">D347-L347</f>
        <v>0</v>
      </c>
      <c r="N347" s="42" t="n">
        <f aca="false">K347-G347</f>
        <v>0</v>
      </c>
      <c r="O347" s="78"/>
      <c r="P347" s="79"/>
      <c r="Q347" s="16" t="str">
        <f aca="false">IF(K347=0,"",IF(R347=1,"Pagada",IF(C347&lt;$F$12,"Vencida",IF(321=$F$13,"Próxima","Pendiente"))))</f>
        <v/>
      </c>
      <c r="R347" s="62" t="n">
        <f aca="false">IF(AND(K347&gt;0,OR(O347="Sí",O347="Si")),1,0)</f>
        <v>0</v>
      </c>
      <c r="S347" s="62" t="n">
        <f aca="false">IF(AND(K347&gt;0,R347=0),1,0)</f>
        <v>0</v>
      </c>
    </row>
    <row r="348" customFormat="false" ht="15" hidden="false" customHeight="false" outlineLevel="0" collapsed="false">
      <c r="B348" s="71" t="str">
        <f aca="false">IF($F$6="Sí",N($C$11)+321,"")</f>
        <v/>
      </c>
      <c r="C348" s="72" t="str">
        <f aca="false">IF(OR($F$6&lt;&gt;"Sí",D348&lt;=0.5),"",EDATE($C$10,321))</f>
        <v/>
      </c>
      <c r="D348" s="41" t="n">
        <f aca="false">MAX(0,M347)</f>
        <v>0</v>
      </c>
      <c r="E348" s="41" t="n">
        <f aca="false">D348*$F$7</f>
        <v>0</v>
      </c>
      <c r="F348" s="41" t="n">
        <f aca="false">IF(D348&gt;0.5,N($C$15),0)</f>
        <v>0</v>
      </c>
      <c r="G348" s="41" t="n">
        <f aca="false">IF(AND(D348&gt;0.5,N($C$19)&gt;0,N(B348)&lt;=N($C$20)),D348*$F$8,0)</f>
        <v>0</v>
      </c>
      <c r="H348" s="41" t="n">
        <f aca="false">IF(D348&lt;=0.5,0,MIN(IF(N(I348)&gt;0,I348,$F$9),D348+E348+F348))</f>
        <v>0</v>
      </c>
      <c r="I348" s="77"/>
      <c r="J348" s="77"/>
      <c r="K348" s="41" t="n">
        <f aca="false">IF(D348&lt;=0.5,0,MIN(H348+N(J348),D348+E348+F348))</f>
        <v>0</v>
      </c>
      <c r="L348" s="41" t="n">
        <f aca="false">K348-E348-F348</f>
        <v>0</v>
      </c>
      <c r="M348" s="41" t="n">
        <f aca="false">D348-L348</f>
        <v>0</v>
      </c>
      <c r="N348" s="42" t="n">
        <f aca="false">K348-G348</f>
        <v>0</v>
      </c>
      <c r="O348" s="78"/>
      <c r="P348" s="79"/>
      <c r="Q348" s="16" t="str">
        <f aca="false">IF(K348=0,"",IF(R348=1,"Pagada",IF(C348&lt;$F$12,"Vencida",IF(322=$F$13,"Próxima","Pendiente"))))</f>
        <v/>
      </c>
      <c r="R348" s="62" t="n">
        <f aca="false">IF(AND(K348&gt;0,OR(O348="Sí",O348="Si")),1,0)</f>
        <v>0</v>
      </c>
      <c r="S348" s="62" t="n">
        <f aca="false">IF(AND(K348&gt;0,R348=0),1,0)</f>
        <v>0</v>
      </c>
    </row>
    <row r="349" customFormat="false" ht="15" hidden="false" customHeight="false" outlineLevel="0" collapsed="false">
      <c r="B349" s="71" t="str">
        <f aca="false">IF($F$6="Sí",N($C$11)+322,"")</f>
        <v/>
      </c>
      <c r="C349" s="72" t="str">
        <f aca="false">IF(OR($F$6&lt;&gt;"Sí",D349&lt;=0.5),"",EDATE($C$10,322))</f>
        <v/>
      </c>
      <c r="D349" s="41" t="n">
        <f aca="false">MAX(0,M348)</f>
        <v>0</v>
      </c>
      <c r="E349" s="41" t="n">
        <f aca="false">D349*$F$7</f>
        <v>0</v>
      </c>
      <c r="F349" s="41" t="n">
        <f aca="false">IF(D349&gt;0.5,N($C$15),0)</f>
        <v>0</v>
      </c>
      <c r="G349" s="41" t="n">
        <f aca="false">IF(AND(D349&gt;0.5,N($C$19)&gt;0,N(B349)&lt;=N($C$20)),D349*$F$8,0)</f>
        <v>0</v>
      </c>
      <c r="H349" s="41" t="n">
        <f aca="false">IF(D349&lt;=0.5,0,MIN(IF(N(I349)&gt;0,I349,$F$9),D349+E349+F349))</f>
        <v>0</v>
      </c>
      <c r="I349" s="77"/>
      <c r="J349" s="77"/>
      <c r="K349" s="41" t="n">
        <f aca="false">IF(D349&lt;=0.5,0,MIN(H349+N(J349),D349+E349+F349))</f>
        <v>0</v>
      </c>
      <c r="L349" s="41" t="n">
        <f aca="false">K349-E349-F349</f>
        <v>0</v>
      </c>
      <c r="M349" s="41" t="n">
        <f aca="false">D349-L349</f>
        <v>0</v>
      </c>
      <c r="N349" s="42" t="n">
        <f aca="false">K349-G349</f>
        <v>0</v>
      </c>
      <c r="O349" s="78"/>
      <c r="P349" s="79"/>
      <c r="Q349" s="16" t="str">
        <f aca="false">IF(K349=0,"",IF(R349=1,"Pagada",IF(C349&lt;$F$12,"Vencida",IF(323=$F$13,"Próxima","Pendiente"))))</f>
        <v/>
      </c>
      <c r="R349" s="62" t="n">
        <f aca="false">IF(AND(K349&gt;0,OR(O349="Sí",O349="Si")),1,0)</f>
        <v>0</v>
      </c>
      <c r="S349" s="62" t="n">
        <f aca="false">IF(AND(K349&gt;0,R349=0),1,0)</f>
        <v>0</v>
      </c>
    </row>
    <row r="350" customFormat="false" ht="15" hidden="false" customHeight="false" outlineLevel="0" collapsed="false">
      <c r="B350" s="71" t="str">
        <f aca="false">IF($F$6="Sí",N($C$11)+323,"")</f>
        <v/>
      </c>
      <c r="C350" s="72" t="str">
        <f aca="false">IF(OR($F$6&lt;&gt;"Sí",D350&lt;=0.5),"",EDATE($C$10,323))</f>
        <v/>
      </c>
      <c r="D350" s="41" t="n">
        <f aca="false">MAX(0,M349)</f>
        <v>0</v>
      </c>
      <c r="E350" s="41" t="n">
        <f aca="false">D350*$F$7</f>
        <v>0</v>
      </c>
      <c r="F350" s="41" t="n">
        <f aca="false">IF(D350&gt;0.5,N($C$15),0)</f>
        <v>0</v>
      </c>
      <c r="G350" s="41" t="n">
        <f aca="false">IF(AND(D350&gt;0.5,N($C$19)&gt;0,N(B350)&lt;=N($C$20)),D350*$F$8,0)</f>
        <v>0</v>
      </c>
      <c r="H350" s="41" t="n">
        <f aca="false">IF(D350&lt;=0.5,0,MIN(IF(N(I350)&gt;0,I350,$F$9),D350+E350+F350))</f>
        <v>0</v>
      </c>
      <c r="I350" s="77"/>
      <c r="J350" s="77"/>
      <c r="K350" s="41" t="n">
        <f aca="false">IF(D350&lt;=0.5,0,MIN(H350+N(J350),D350+E350+F350))</f>
        <v>0</v>
      </c>
      <c r="L350" s="41" t="n">
        <f aca="false">K350-E350-F350</f>
        <v>0</v>
      </c>
      <c r="M350" s="41" t="n">
        <f aca="false">D350-L350</f>
        <v>0</v>
      </c>
      <c r="N350" s="42" t="n">
        <f aca="false">K350-G350</f>
        <v>0</v>
      </c>
      <c r="O350" s="78"/>
      <c r="P350" s="79"/>
      <c r="Q350" s="16" t="str">
        <f aca="false">IF(K350=0,"",IF(R350=1,"Pagada",IF(C350&lt;$F$12,"Vencida",IF(324=$F$13,"Próxima","Pendiente"))))</f>
        <v/>
      </c>
      <c r="R350" s="62" t="n">
        <f aca="false">IF(AND(K350&gt;0,OR(O350="Sí",O350="Si")),1,0)</f>
        <v>0</v>
      </c>
      <c r="S350" s="62" t="n">
        <f aca="false">IF(AND(K350&gt;0,R350=0),1,0)</f>
        <v>0</v>
      </c>
    </row>
    <row r="351" customFormat="false" ht="15" hidden="false" customHeight="false" outlineLevel="0" collapsed="false">
      <c r="B351" s="71" t="str">
        <f aca="false">IF($F$6="Sí",N($C$11)+324,"")</f>
        <v/>
      </c>
      <c r="C351" s="72" t="str">
        <f aca="false">IF(OR($F$6&lt;&gt;"Sí",D351&lt;=0.5),"",EDATE($C$10,324))</f>
        <v/>
      </c>
      <c r="D351" s="41" t="n">
        <f aca="false">MAX(0,M350)</f>
        <v>0</v>
      </c>
      <c r="E351" s="41" t="n">
        <f aca="false">D351*$F$7</f>
        <v>0</v>
      </c>
      <c r="F351" s="41" t="n">
        <f aca="false">IF(D351&gt;0.5,N($C$15),0)</f>
        <v>0</v>
      </c>
      <c r="G351" s="41" t="n">
        <f aca="false">IF(AND(D351&gt;0.5,N($C$19)&gt;0,N(B351)&lt;=N($C$20)),D351*$F$8,0)</f>
        <v>0</v>
      </c>
      <c r="H351" s="41" t="n">
        <f aca="false">IF(D351&lt;=0.5,0,MIN(IF(N(I351)&gt;0,I351,$F$9),D351+E351+F351))</f>
        <v>0</v>
      </c>
      <c r="I351" s="77"/>
      <c r="J351" s="77"/>
      <c r="K351" s="41" t="n">
        <f aca="false">IF(D351&lt;=0.5,0,MIN(H351+N(J351),D351+E351+F351))</f>
        <v>0</v>
      </c>
      <c r="L351" s="41" t="n">
        <f aca="false">K351-E351-F351</f>
        <v>0</v>
      </c>
      <c r="M351" s="41" t="n">
        <f aca="false">D351-L351</f>
        <v>0</v>
      </c>
      <c r="N351" s="42" t="n">
        <f aca="false">K351-G351</f>
        <v>0</v>
      </c>
      <c r="O351" s="78"/>
      <c r="P351" s="79"/>
      <c r="Q351" s="16" t="str">
        <f aca="false">IF(K351=0,"",IF(R351=1,"Pagada",IF(C351&lt;$F$12,"Vencida",IF(325=$F$13,"Próxima","Pendiente"))))</f>
        <v/>
      </c>
      <c r="R351" s="62" t="n">
        <f aca="false">IF(AND(K351&gt;0,OR(O351="Sí",O351="Si")),1,0)</f>
        <v>0</v>
      </c>
      <c r="S351" s="62" t="n">
        <f aca="false">IF(AND(K351&gt;0,R351=0),1,0)</f>
        <v>0</v>
      </c>
    </row>
    <row r="352" customFormat="false" ht="15" hidden="false" customHeight="false" outlineLevel="0" collapsed="false">
      <c r="B352" s="71" t="str">
        <f aca="false">IF($F$6="Sí",N($C$11)+325,"")</f>
        <v/>
      </c>
      <c r="C352" s="72" t="str">
        <f aca="false">IF(OR($F$6&lt;&gt;"Sí",D352&lt;=0.5),"",EDATE($C$10,325))</f>
        <v/>
      </c>
      <c r="D352" s="41" t="n">
        <f aca="false">MAX(0,M351)</f>
        <v>0</v>
      </c>
      <c r="E352" s="41" t="n">
        <f aca="false">D352*$F$7</f>
        <v>0</v>
      </c>
      <c r="F352" s="41" t="n">
        <f aca="false">IF(D352&gt;0.5,N($C$15),0)</f>
        <v>0</v>
      </c>
      <c r="G352" s="41" t="n">
        <f aca="false">IF(AND(D352&gt;0.5,N($C$19)&gt;0,N(B352)&lt;=N($C$20)),D352*$F$8,0)</f>
        <v>0</v>
      </c>
      <c r="H352" s="41" t="n">
        <f aca="false">IF(D352&lt;=0.5,0,MIN(IF(N(I352)&gt;0,I352,$F$9),D352+E352+F352))</f>
        <v>0</v>
      </c>
      <c r="I352" s="77"/>
      <c r="J352" s="77"/>
      <c r="K352" s="41" t="n">
        <f aca="false">IF(D352&lt;=0.5,0,MIN(H352+N(J352),D352+E352+F352))</f>
        <v>0</v>
      </c>
      <c r="L352" s="41" t="n">
        <f aca="false">K352-E352-F352</f>
        <v>0</v>
      </c>
      <c r="M352" s="41" t="n">
        <f aca="false">D352-L352</f>
        <v>0</v>
      </c>
      <c r="N352" s="42" t="n">
        <f aca="false">K352-G352</f>
        <v>0</v>
      </c>
      <c r="O352" s="78"/>
      <c r="P352" s="79"/>
      <c r="Q352" s="16" t="str">
        <f aca="false">IF(K352=0,"",IF(R352=1,"Pagada",IF(C352&lt;$F$12,"Vencida",IF(326=$F$13,"Próxima","Pendiente"))))</f>
        <v/>
      </c>
      <c r="R352" s="62" t="n">
        <f aca="false">IF(AND(K352&gt;0,OR(O352="Sí",O352="Si")),1,0)</f>
        <v>0</v>
      </c>
      <c r="S352" s="62" t="n">
        <f aca="false">IF(AND(K352&gt;0,R352=0),1,0)</f>
        <v>0</v>
      </c>
    </row>
    <row r="353" customFormat="false" ht="15" hidden="false" customHeight="false" outlineLevel="0" collapsed="false">
      <c r="B353" s="71" t="str">
        <f aca="false">IF($F$6="Sí",N($C$11)+326,"")</f>
        <v/>
      </c>
      <c r="C353" s="72" t="str">
        <f aca="false">IF(OR($F$6&lt;&gt;"Sí",D353&lt;=0.5),"",EDATE($C$10,326))</f>
        <v/>
      </c>
      <c r="D353" s="41" t="n">
        <f aca="false">MAX(0,M352)</f>
        <v>0</v>
      </c>
      <c r="E353" s="41" t="n">
        <f aca="false">D353*$F$7</f>
        <v>0</v>
      </c>
      <c r="F353" s="41" t="n">
        <f aca="false">IF(D353&gt;0.5,N($C$15),0)</f>
        <v>0</v>
      </c>
      <c r="G353" s="41" t="n">
        <f aca="false">IF(AND(D353&gt;0.5,N($C$19)&gt;0,N(B353)&lt;=N($C$20)),D353*$F$8,0)</f>
        <v>0</v>
      </c>
      <c r="H353" s="41" t="n">
        <f aca="false">IF(D353&lt;=0.5,0,MIN(IF(N(I353)&gt;0,I353,$F$9),D353+E353+F353))</f>
        <v>0</v>
      </c>
      <c r="I353" s="77"/>
      <c r="J353" s="77"/>
      <c r="K353" s="41" t="n">
        <f aca="false">IF(D353&lt;=0.5,0,MIN(H353+N(J353),D353+E353+F353))</f>
        <v>0</v>
      </c>
      <c r="L353" s="41" t="n">
        <f aca="false">K353-E353-F353</f>
        <v>0</v>
      </c>
      <c r="M353" s="41" t="n">
        <f aca="false">D353-L353</f>
        <v>0</v>
      </c>
      <c r="N353" s="42" t="n">
        <f aca="false">K353-G353</f>
        <v>0</v>
      </c>
      <c r="O353" s="78"/>
      <c r="P353" s="79"/>
      <c r="Q353" s="16" t="str">
        <f aca="false">IF(K353=0,"",IF(R353=1,"Pagada",IF(C353&lt;$F$12,"Vencida",IF(327=$F$13,"Próxima","Pendiente"))))</f>
        <v/>
      </c>
      <c r="R353" s="62" t="n">
        <f aca="false">IF(AND(K353&gt;0,OR(O353="Sí",O353="Si")),1,0)</f>
        <v>0</v>
      </c>
      <c r="S353" s="62" t="n">
        <f aca="false">IF(AND(K353&gt;0,R353=0),1,0)</f>
        <v>0</v>
      </c>
    </row>
    <row r="354" customFormat="false" ht="15" hidden="false" customHeight="false" outlineLevel="0" collapsed="false">
      <c r="B354" s="71" t="str">
        <f aca="false">IF($F$6="Sí",N($C$11)+327,"")</f>
        <v/>
      </c>
      <c r="C354" s="72" t="str">
        <f aca="false">IF(OR($F$6&lt;&gt;"Sí",D354&lt;=0.5),"",EDATE($C$10,327))</f>
        <v/>
      </c>
      <c r="D354" s="41" t="n">
        <f aca="false">MAX(0,M353)</f>
        <v>0</v>
      </c>
      <c r="E354" s="41" t="n">
        <f aca="false">D354*$F$7</f>
        <v>0</v>
      </c>
      <c r="F354" s="41" t="n">
        <f aca="false">IF(D354&gt;0.5,N($C$15),0)</f>
        <v>0</v>
      </c>
      <c r="G354" s="41" t="n">
        <f aca="false">IF(AND(D354&gt;0.5,N($C$19)&gt;0,N(B354)&lt;=N($C$20)),D354*$F$8,0)</f>
        <v>0</v>
      </c>
      <c r="H354" s="41" t="n">
        <f aca="false">IF(D354&lt;=0.5,0,MIN(IF(N(I354)&gt;0,I354,$F$9),D354+E354+F354))</f>
        <v>0</v>
      </c>
      <c r="I354" s="77"/>
      <c r="J354" s="77"/>
      <c r="K354" s="41" t="n">
        <f aca="false">IF(D354&lt;=0.5,0,MIN(H354+N(J354),D354+E354+F354))</f>
        <v>0</v>
      </c>
      <c r="L354" s="41" t="n">
        <f aca="false">K354-E354-F354</f>
        <v>0</v>
      </c>
      <c r="M354" s="41" t="n">
        <f aca="false">D354-L354</f>
        <v>0</v>
      </c>
      <c r="N354" s="42" t="n">
        <f aca="false">K354-G354</f>
        <v>0</v>
      </c>
      <c r="O354" s="78"/>
      <c r="P354" s="79"/>
      <c r="Q354" s="16" t="str">
        <f aca="false">IF(K354=0,"",IF(R354=1,"Pagada",IF(C354&lt;$F$12,"Vencida",IF(328=$F$13,"Próxima","Pendiente"))))</f>
        <v/>
      </c>
      <c r="R354" s="62" t="n">
        <f aca="false">IF(AND(K354&gt;0,OR(O354="Sí",O354="Si")),1,0)</f>
        <v>0</v>
      </c>
      <c r="S354" s="62" t="n">
        <f aca="false">IF(AND(K354&gt;0,R354=0),1,0)</f>
        <v>0</v>
      </c>
    </row>
    <row r="355" customFormat="false" ht="15" hidden="false" customHeight="false" outlineLevel="0" collapsed="false">
      <c r="B355" s="71" t="str">
        <f aca="false">IF($F$6="Sí",N($C$11)+328,"")</f>
        <v/>
      </c>
      <c r="C355" s="72" t="str">
        <f aca="false">IF(OR($F$6&lt;&gt;"Sí",D355&lt;=0.5),"",EDATE($C$10,328))</f>
        <v/>
      </c>
      <c r="D355" s="41" t="n">
        <f aca="false">MAX(0,M354)</f>
        <v>0</v>
      </c>
      <c r="E355" s="41" t="n">
        <f aca="false">D355*$F$7</f>
        <v>0</v>
      </c>
      <c r="F355" s="41" t="n">
        <f aca="false">IF(D355&gt;0.5,N($C$15),0)</f>
        <v>0</v>
      </c>
      <c r="G355" s="41" t="n">
        <f aca="false">IF(AND(D355&gt;0.5,N($C$19)&gt;0,N(B355)&lt;=N($C$20)),D355*$F$8,0)</f>
        <v>0</v>
      </c>
      <c r="H355" s="41" t="n">
        <f aca="false">IF(D355&lt;=0.5,0,MIN(IF(N(I355)&gt;0,I355,$F$9),D355+E355+F355))</f>
        <v>0</v>
      </c>
      <c r="I355" s="77"/>
      <c r="J355" s="77"/>
      <c r="K355" s="41" t="n">
        <f aca="false">IF(D355&lt;=0.5,0,MIN(H355+N(J355),D355+E355+F355))</f>
        <v>0</v>
      </c>
      <c r="L355" s="41" t="n">
        <f aca="false">K355-E355-F355</f>
        <v>0</v>
      </c>
      <c r="M355" s="41" t="n">
        <f aca="false">D355-L355</f>
        <v>0</v>
      </c>
      <c r="N355" s="42" t="n">
        <f aca="false">K355-G355</f>
        <v>0</v>
      </c>
      <c r="O355" s="78"/>
      <c r="P355" s="79"/>
      <c r="Q355" s="16" t="str">
        <f aca="false">IF(K355=0,"",IF(R355=1,"Pagada",IF(C355&lt;$F$12,"Vencida",IF(329=$F$13,"Próxima","Pendiente"))))</f>
        <v/>
      </c>
      <c r="R355" s="62" t="n">
        <f aca="false">IF(AND(K355&gt;0,OR(O355="Sí",O355="Si")),1,0)</f>
        <v>0</v>
      </c>
      <c r="S355" s="62" t="n">
        <f aca="false">IF(AND(K355&gt;0,R355=0),1,0)</f>
        <v>0</v>
      </c>
    </row>
    <row r="356" customFormat="false" ht="15" hidden="false" customHeight="false" outlineLevel="0" collapsed="false">
      <c r="B356" s="71" t="str">
        <f aca="false">IF($F$6="Sí",N($C$11)+329,"")</f>
        <v/>
      </c>
      <c r="C356" s="72" t="str">
        <f aca="false">IF(OR($F$6&lt;&gt;"Sí",D356&lt;=0.5),"",EDATE($C$10,329))</f>
        <v/>
      </c>
      <c r="D356" s="41" t="n">
        <f aca="false">MAX(0,M355)</f>
        <v>0</v>
      </c>
      <c r="E356" s="41" t="n">
        <f aca="false">D356*$F$7</f>
        <v>0</v>
      </c>
      <c r="F356" s="41" t="n">
        <f aca="false">IF(D356&gt;0.5,N($C$15),0)</f>
        <v>0</v>
      </c>
      <c r="G356" s="41" t="n">
        <f aca="false">IF(AND(D356&gt;0.5,N($C$19)&gt;0,N(B356)&lt;=N($C$20)),D356*$F$8,0)</f>
        <v>0</v>
      </c>
      <c r="H356" s="41" t="n">
        <f aca="false">IF(D356&lt;=0.5,0,MIN(IF(N(I356)&gt;0,I356,$F$9),D356+E356+F356))</f>
        <v>0</v>
      </c>
      <c r="I356" s="77"/>
      <c r="J356" s="77"/>
      <c r="K356" s="41" t="n">
        <f aca="false">IF(D356&lt;=0.5,0,MIN(H356+N(J356),D356+E356+F356))</f>
        <v>0</v>
      </c>
      <c r="L356" s="41" t="n">
        <f aca="false">K356-E356-F356</f>
        <v>0</v>
      </c>
      <c r="M356" s="41" t="n">
        <f aca="false">D356-L356</f>
        <v>0</v>
      </c>
      <c r="N356" s="42" t="n">
        <f aca="false">K356-G356</f>
        <v>0</v>
      </c>
      <c r="O356" s="78"/>
      <c r="P356" s="79"/>
      <c r="Q356" s="16" t="str">
        <f aca="false">IF(K356=0,"",IF(R356=1,"Pagada",IF(C356&lt;$F$12,"Vencida",IF(330=$F$13,"Próxima","Pendiente"))))</f>
        <v/>
      </c>
      <c r="R356" s="62" t="n">
        <f aca="false">IF(AND(K356&gt;0,OR(O356="Sí",O356="Si")),1,0)</f>
        <v>0</v>
      </c>
      <c r="S356" s="62" t="n">
        <f aca="false">IF(AND(K356&gt;0,R356=0),1,0)</f>
        <v>0</v>
      </c>
    </row>
    <row r="357" customFormat="false" ht="15" hidden="false" customHeight="false" outlineLevel="0" collapsed="false">
      <c r="B357" s="71" t="str">
        <f aca="false">IF($F$6="Sí",N($C$11)+330,"")</f>
        <v/>
      </c>
      <c r="C357" s="72" t="str">
        <f aca="false">IF(OR($F$6&lt;&gt;"Sí",D357&lt;=0.5),"",EDATE($C$10,330))</f>
        <v/>
      </c>
      <c r="D357" s="41" t="n">
        <f aca="false">MAX(0,M356)</f>
        <v>0</v>
      </c>
      <c r="E357" s="41" t="n">
        <f aca="false">D357*$F$7</f>
        <v>0</v>
      </c>
      <c r="F357" s="41" t="n">
        <f aca="false">IF(D357&gt;0.5,N($C$15),0)</f>
        <v>0</v>
      </c>
      <c r="G357" s="41" t="n">
        <f aca="false">IF(AND(D357&gt;0.5,N($C$19)&gt;0,N(B357)&lt;=N($C$20)),D357*$F$8,0)</f>
        <v>0</v>
      </c>
      <c r="H357" s="41" t="n">
        <f aca="false">IF(D357&lt;=0.5,0,MIN(IF(N(I357)&gt;0,I357,$F$9),D357+E357+F357))</f>
        <v>0</v>
      </c>
      <c r="I357" s="77"/>
      <c r="J357" s="77"/>
      <c r="K357" s="41" t="n">
        <f aca="false">IF(D357&lt;=0.5,0,MIN(H357+N(J357),D357+E357+F357))</f>
        <v>0</v>
      </c>
      <c r="L357" s="41" t="n">
        <f aca="false">K357-E357-F357</f>
        <v>0</v>
      </c>
      <c r="M357" s="41" t="n">
        <f aca="false">D357-L357</f>
        <v>0</v>
      </c>
      <c r="N357" s="42" t="n">
        <f aca="false">K357-G357</f>
        <v>0</v>
      </c>
      <c r="O357" s="78"/>
      <c r="P357" s="79"/>
      <c r="Q357" s="16" t="str">
        <f aca="false">IF(K357=0,"",IF(R357=1,"Pagada",IF(C357&lt;$F$12,"Vencida",IF(331=$F$13,"Próxima","Pendiente"))))</f>
        <v/>
      </c>
      <c r="R357" s="62" t="n">
        <f aca="false">IF(AND(K357&gt;0,OR(O357="Sí",O357="Si")),1,0)</f>
        <v>0</v>
      </c>
      <c r="S357" s="62" t="n">
        <f aca="false">IF(AND(K357&gt;0,R357=0),1,0)</f>
        <v>0</v>
      </c>
    </row>
    <row r="358" customFormat="false" ht="15" hidden="false" customHeight="false" outlineLevel="0" collapsed="false">
      <c r="B358" s="71" t="str">
        <f aca="false">IF($F$6="Sí",N($C$11)+331,"")</f>
        <v/>
      </c>
      <c r="C358" s="72" t="str">
        <f aca="false">IF(OR($F$6&lt;&gt;"Sí",D358&lt;=0.5),"",EDATE($C$10,331))</f>
        <v/>
      </c>
      <c r="D358" s="41" t="n">
        <f aca="false">MAX(0,M357)</f>
        <v>0</v>
      </c>
      <c r="E358" s="41" t="n">
        <f aca="false">D358*$F$7</f>
        <v>0</v>
      </c>
      <c r="F358" s="41" t="n">
        <f aca="false">IF(D358&gt;0.5,N($C$15),0)</f>
        <v>0</v>
      </c>
      <c r="G358" s="41" t="n">
        <f aca="false">IF(AND(D358&gt;0.5,N($C$19)&gt;0,N(B358)&lt;=N($C$20)),D358*$F$8,0)</f>
        <v>0</v>
      </c>
      <c r="H358" s="41" t="n">
        <f aca="false">IF(D358&lt;=0.5,0,MIN(IF(N(I358)&gt;0,I358,$F$9),D358+E358+F358))</f>
        <v>0</v>
      </c>
      <c r="I358" s="77"/>
      <c r="J358" s="77"/>
      <c r="K358" s="41" t="n">
        <f aca="false">IF(D358&lt;=0.5,0,MIN(H358+N(J358),D358+E358+F358))</f>
        <v>0</v>
      </c>
      <c r="L358" s="41" t="n">
        <f aca="false">K358-E358-F358</f>
        <v>0</v>
      </c>
      <c r="M358" s="41" t="n">
        <f aca="false">D358-L358</f>
        <v>0</v>
      </c>
      <c r="N358" s="42" t="n">
        <f aca="false">K358-G358</f>
        <v>0</v>
      </c>
      <c r="O358" s="78"/>
      <c r="P358" s="79"/>
      <c r="Q358" s="16" t="str">
        <f aca="false">IF(K358=0,"",IF(R358=1,"Pagada",IF(C358&lt;$F$12,"Vencida",IF(332=$F$13,"Próxima","Pendiente"))))</f>
        <v/>
      </c>
      <c r="R358" s="62" t="n">
        <f aca="false">IF(AND(K358&gt;0,OR(O358="Sí",O358="Si")),1,0)</f>
        <v>0</v>
      </c>
      <c r="S358" s="62" t="n">
        <f aca="false">IF(AND(K358&gt;0,R358=0),1,0)</f>
        <v>0</v>
      </c>
    </row>
    <row r="359" customFormat="false" ht="15" hidden="false" customHeight="false" outlineLevel="0" collapsed="false">
      <c r="B359" s="71" t="str">
        <f aca="false">IF($F$6="Sí",N($C$11)+332,"")</f>
        <v/>
      </c>
      <c r="C359" s="72" t="str">
        <f aca="false">IF(OR($F$6&lt;&gt;"Sí",D359&lt;=0.5),"",EDATE($C$10,332))</f>
        <v/>
      </c>
      <c r="D359" s="41" t="n">
        <f aca="false">MAX(0,M358)</f>
        <v>0</v>
      </c>
      <c r="E359" s="41" t="n">
        <f aca="false">D359*$F$7</f>
        <v>0</v>
      </c>
      <c r="F359" s="41" t="n">
        <f aca="false">IF(D359&gt;0.5,N($C$15),0)</f>
        <v>0</v>
      </c>
      <c r="G359" s="41" t="n">
        <f aca="false">IF(AND(D359&gt;0.5,N($C$19)&gt;0,N(B359)&lt;=N($C$20)),D359*$F$8,0)</f>
        <v>0</v>
      </c>
      <c r="H359" s="41" t="n">
        <f aca="false">IF(D359&lt;=0.5,0,MIN(IF(N(I359)&gt;0,I359,$F$9),D359+E359+F359))</f>
        <v>0</v>
      </c>
      <c r="I359" s="77"/>
      <c r="J359" s="77"/>
      <c r="K359" s="41" t="n">
        <f aca="false">IF(D359&lt;=0.5,0,MIN(H359+N(J359),D359+E359+F359))</f>
        <v>0</v>
      </c>
      <c r="L359" s="41" t="n">
        <f aca="false">K359-E359-F359</f>
        <v>0</v>
      </c>
      <c r="M359" s="41" t="n">
        <f aca="false">D359-L359</f>
        <v>0</v>
      </c>
      <c r="N359" s="42" t="n">
        <f aca="false">K359-G359</f>
        <v>0</v>
      </c>
      <c r="O359" s="78"/>
      <c r="P359" s="79"/>
      <c r="Q359" s="16" t="str">
        <f aca="false">IF(K359=0,"",IF(R359=1,"Pagada",IF(C359&lt;$F$12,"Vencida",IF(333=$F$13,"Próxima","Pendiente"))))</f>
        <v/>
      </c>
      <c r="R359" s="62" t="n">
        <f aca="false">IF(AND(K359&gt;0,OR(O359="Sí",O359="Si")),1,0)</f>
        <v>0</v>
      </c>
      <c r="S359" s="62" t="n">
        <f aca="false">IF(AND(K359&gt;0,R359=0),1,0)</f>
        <v>0</v>
      </c>
    </row>
    <row r="360" customFormat="false" ht="15" hidden="false" customHeight="false" outlineLevel="0" collapsed="false">
      <c r="B360" s="71" t="str">
        <f aca="false">IF($F$6="Sí",N($C$11)+333,"")</f>
        <v/>
      </c>
      <c r="C360" s="72" t="str">
        <f aca="false">IF(OR($F$6&lt;&gt;"Sí",D360&lt;=0.5),"",EDATE($C$10,333))</f>
        <v/>
      </c>
      <c r="D360" s="41" t="n">
        <f aca="false">MAX(0,M359)</f>
        <v>0</v>
      </c>
      <c r="E360" s="41" t="n">
        <f aca="false">D360*$F$7</f>
        <v>0</v>
      </c>
      <c r="F360" s="41" t="n">
        <f aca="false">IF(D360&gt;0.5,N($C$15),0)</f>
        <v>0</v>
      </c>
      <c r="G360" s="41" t="n">
        <f aca="false">IF(AND(D360&gt;0.5,N($C$19)&gt;0,N(B360)&lt;=N($C$20)),D360*$F$8,0)</f>
        <v>0</v>
      </c>
      <c r="H360" s="41" t="n">
        <f aca="false">IF(D360&lt;=0.5,0,MIN(IF(N(I360)&gt;0,I360,$F$9),D360+E360+F360))</f>
        <v>0</v>
      </c>
      <c r="I360" s="77"/>
      <c r="J360" s="77"/>
      <c r="K360" s="41" t="n">
        <f aca="false">IF(D360&lt;=0.5,0,MIN(H360+N(J360),D360+E360+F360))</f>
        <v>0</v>
      </c>
      <c r="L360" s="41" t="n">
        <f aca="false">K360-E360-F360</f>
        <v>0</v>
      </c>
      <c r="M360" s="41" t="n">
        <f aca="false">D360-L360</f>
        <v>0</v>
      </c>
      <c r="N360" s="42" t="n">
        <f aca="false">K360-G360</f>
        <v>0</v>
      </c>
      <c r="O360" s="78"/>
      <c r="P360" s="79"/>
      <c r="Q360" s="16" t="str">
        <f aca="false">IF(K360=0,"",IF(R360=1,"Pagada",IF(C360&lt;$F$12,"Vencida",IF(334=$F$13,"Próxima","Pendiente"))))</f>
        <v/>
      </c>
      <c r="R360" s="62" t="n">
        <f aca="false">IF(AND(K360&gt;0,OR(O360="Sí",O360="Si")),1,0)</f>
        <v>0</v>
      </c>
      <c r="S360" s="62" t="n">
        <f aca="false">IF(AND(K360&gt;0,R360=0),1,0)</f>
        <v>0</v>
      </c>
    </row>
    <row r="361" customFormat="false" ht="15" hidden="false" customHeight="false" outlineLevel="0" collapsed="false">
      <c r="B361" s="71" t="str">
        <f aca="false">IF($F$6="Sí",N($C$11)+334,"")</f>
        <v/>
      </c>
      <c r="C361" s="72" t="str">
        <f aca="false">IF(OR($F$6&lt;&gt;"Sí",D361&lt;=0.5),"",EDATE($C$10,334))</f>
        <v/>
      </c>
      <c r="D361" s="41" t="n">
        <f aca="false">MAX(0,M360)</f>
        <v>0</v>
      </c>
      <c r="E361" s="41" t="n">
        <f aca="false">D361*$F$7</f>
        <v>0</v>
      </c>
      <c r="F361" s="41" t="n">
        <f aca="false">IF(D361&gt;0.5,N($C$15),0)</f>
        <v>0</v>
      </c>
      <c r="G361" s="41" t="n">
        <f aca="false">IF(AND(D361&gt;0.5,N($C$19)&gt;0,N(B361)&lt;=N($C$20)),D361*$F$8,0)</f>
        <v>0</v>
      </c>
      <c r="H361" s="41" t="n">
        <f aca="false">IF(D361&lt;=0.5,0,MIN(IF(N(I361)&gt;0,I361,$F$9),D361+E361+F361))</f>
        <v>0</v>
      </c>
      <c r="I361" s="77"/>
      <c r="J361" s="77"/>
      <c r="K361" s="41" t="n">
        <f aca="false">IF(D361&lt;=0.5,0,MIN(H361+N(J361),D361+E361+F361))</f>
        <v>0</v>
      </c>
      <c r="L361" s="41" t="n">
        <f aca="false">K361-E361-F361</f>
        <v>0</v>
      </c>
      <c r="M361" s="41" t="n">
        <f aca="false">D361-L361</f>
        <v>0</v>
      </c>
      <c r="N361" s="42" t="n">
        <f aca="false">K361-G361</f>
        <v>0</v>
      </c>
      <c r="O361" s="78"/>
      <c r="P361" s="79"/>
      <c r="Q361" s="16" t="str">
        <f aca="false">IF(K361=0,"",IF(R361=1,"Pagada",IF(C361&lt;$F$12,"Vencida",IF(335=$F$13,"Próxima","Pendiente"))))</f>
        <v/>
      </c>
      <c r="R361" s="62" t="n">
        <f aca="false">IF(AND(K361&gt;0,OR(O361="Sí",O361="Si")),1,0)</f>
        <v>0</v>
      </c>
      <c r="S361" s="62" t="n">
        <f aca="false">IF(AND(K361&gt;0,R361=0),1,0)</f>
        <v>0</v>
      </c>
    </row>
    <row r="362" customFormat="false" ht="15" hidden="false" customHeight="false" outlineLevel="0" collapsed="false">
      <c r="B362" s="71" t="str">
        <f aca="false">IF($F$6="Sí",N($C$11)+335,"")</f>
        <v/>
      </c>
      <c r="C362" s="72" t="str">
        <f aca="false">IF(OR($F$6&lt;&gt;"Sí",D362&lt;=0.5),"",EDATE($C$10,335))</f>
        <v/>
      </c>
      <c r="D362" s="41" t="n">
        <f aca="false">MAX(0,M361)</f>
        <v>0</v>
      </c>
      <c r="E362" s="41" t="n">
        <f aca="false">D362*$F$7</f>
        <v>0</v>
      </c>
      <c r="F362" s="41" t="n">
        <f aca="false">IF(D362&gt;0.5,N($C$15),0)</f>
        <v>0</v>
      </c>
      <c r="G362" s="41" t="n">
        <f aca="false">IF(AND(D362&gt;0.5,N($C$19)&gt;0,N(B362)&lt;=N($C$20)),D362*$F$8,0)</f>
        <v>0</v>
      </c>
      <c r="H362" s="41" t="n">
        <f aca="false">IF(D362&lt;=0.5,0,MIN(IF(N(I362)&gt;0,I362,$F$9),D362+E362+F362))</f>
        <v>0</v>
      </c>
      <c r="I362" s="77"/>
      <c r="J362" s="77"/>
      <c r="K362" s="41" t="n">
        <f aca="false">IF(D362&lt;=0.5,0,MIN(H362+N(J362),D362+E362+F362))</f>
        <v>0</v>
      </c>
      <c r="L362" s="41" t="n">
        <f aca="false">K362-E362-F362</f>
        <v>0</v>
      </c>
      <c r="M362" s="41" t="n">
        <f aca="false">D362-L362</f>
        <v>0</v>
      </c>
      <c r="N362" s="42" t="n">
        <f aca="false">K362-G362</f>
        <v>0</v>
      </c>
      <c r="O362" s="78"/>
      <c r="P362" s="79"/>
      <c r="Q362" s="16" t="str">
        <f aca="false">IF(K362=0,"",IF(R362=1,"Pagada",IF(C362&lt;$F$12,"Vencida",IF(336=$F$13,"Próxima","Pendiente"))))</f>
        <v/>
      </c>
      <c r="R362" s="62" t="n">
        <f aca="false">IF(AND(K362&gt;0,OR(O362="Sí",O362="Si")),1,0)</f>
        <v>0</v>
      </c>
      <c r="S362" s="62" t="n">
        <f aca="false">IF(AND(K362&gt;0,R362=0),1,0)</f>
        <v>0</v>
      </c>
    </row>
    <row r="363" customFormat="false" ht="15" hidden="false" customHeight="false" outlineLevel="0" collapsed="false">
      <c r="B363" s="71" t="str">
        <f aca="false">IF($F$6="Sí",N($C$11)+336,"")</f>
        <v/>
      </c>
      <c r="C363" s="72" t="str">
        <f aca="false">IF(OR($F$6&lt;&gt;"Sí",D363&lt;=0.5),"",EDATE($C$10,336))</f>
        <v/>
      </c>
      <c r="D363" s="41" t="n">
        <f aca="false">MAX(0,M362)</f>
        <v>0</v>
      </c>
      <c r="E363" s="41" t="n">
        <f aca="false">D363*$F$7</f>
        <v>0</v>
      </c>
      <c r="F363" s="41" t="n">
        <f aca="false">IF(D363&gt;0.5,N($C$15),0)</f>
        <v>0</v>
      </c>
      <c r="G363" s="41" t="n">
        <f aca="false">IF(AND(D363&gt;0.5,N($C$19)&gt;0,N(B363)&lt;=N($C$20)),D363*$F$8,0)</f>
        <v>0</v>
      </c>
      <c r="H363" s="41" t="n">
        <f aca="false">IF(D363&lt;=0.5,0,MIN(IF(N(I363)&gt;0,I363,$F$9),D363+E363+F363))</f>
        <v>0</v>
      </c>
      <c r="I363" s="77"/>
      <c r="J363" s="77"/>
      <c r="K363" s="41" t="n">
        <f aca="false">IF(D363&lt;=0.5,0,MIN(H363+N(J363),D363+E363+F363))</f>
        <v>0</v>
      </c>
      <c r="L363" s="41" t="n">
        <f aca="false">K363-E363-F363</f>
        <v>0</v>
      </c>
      <c r="M363" s="41" t="n">
        <f aca="false">D363-L363</f>
        <v>0</v>
      </c>
      <c r="N363" s="42" t="n">
        <f aca="false">K363-G363</f>
        <v>0</v>
      </c>
      <c r="O363" s="78"/>
      <c r="P363" s="79"/>
      <c r="Q363" s="16" t="str">
        <f aca="false">IF(K363=0,"",IF(R363=1,"Pagada",IF(C363&lt;$F$12,"Vencida",IF(337=$F$13,"Próxima","Pendiente"))))</f>
        <v/>
      </c>
      <c r="R363" s="62" t="n">
        <f aca="false">IF(AND(K363&gt;0,OR(O363="Sí",O363="Si")),1,0)</f>
        <v>0</v>
      </c>
      <c r="S363" s="62" t="n">
        <f aca="false">IF(AND(K363&gt;0,R363=0),1,0)</f>
        <v>0</v>
      </c>
    </row>
    <row r="364" customFormat="false" ht="15" hidden="false" customHeight="false" outlineLevel="0" collapsed="false">
      <c r="B364" s="71" t="str">
        <f aca="false">IF($F$6="Sí",N($C$11)+337,"")</f>
        <v/>
      </c>
      <c r="C364" s="72" t="str">
        <f aca="false">IF(OR($F$6&lt;&gt;"Sí",D364&lt;=0.5),"",EDATE($C$10,337))</f>
        <v/>
      </c>
      <c r="D364" s="41" t="n">
        <f aca="false">MAX(0,M363)</f>
        <v>0</v>
      </c>
      <c r="E364" s="41" t="n">
        <f aca="false">D364*$F$7</f>
        <v>0</v>
      </c>
      <c r="F364" s="41" t="n">
        <f aca="false">IF(D364&gt;0.5,N($C$15),0)</f>
        <v>0</v>
      </c>
      <c r="G364" s="41" t="n">
        <f aca="false">IF(AND(D364&gt;0.5,N($C$19)&gt;0,N(B364)&lt;=N($C$20)),D364*$F$8,0)</f>
        <v>0</v>
      </c>
      <c r="H364" s="41" t="n">
        <f aca="false">IF(D364&lt;=0.5,0,MIN(IF(N(I364)&gt;0,I364,$F$9),D364+E364+F364))</f>
        <v>0</v>
      </c>
      <c r="I364" s="77"/>
      <c r="J364" s="77"/>
      <c r="K364" s="41" t="n">
        <f aca="false">IF(D364&lt;=0.5,0,MIN(H364+N(J364),D364+E364+F364))</f>
        <v>0</v>
      </c>
      <c r="L364" s="41" t="n">
        <f aca="false">K364-E364-F364</f>
        <v>0</v>
      </c>
      <c r="M364" s="41" t="n">
        <f aca="false">D364-L364</f>
        <v>0</v>
      </c>
      <c r="N364" s="42" t="n">
        <f aca="false">K364-G364</f>
        <v>0</v>
      </c>
      <c r="O364" s="78"/>
      <c r="P364" s="79"/>
      <c r="Q364" s="16" t="str">
        <f aca="false">IF(K364=0,"",IF(R364=1,"Pagada",IF(C364&lt;$F$12,"Vencida",IF(338=$F$13,"Próxima","Pendiente"))))</f>
        <v/>
      </c>
      <c r="R364" s="62" t="n">
        <f aca="false">IF(AND(K364&gt;0,OR(O364="Sí",O364="Si")),1,0)</f>
        <v>0</v>
      </c>
      <c r="S364" s="62" t="n">
        <f aca="false">IF(AND(K364&gt;0,R364=0),1,0)</f>
        <v>0</v>
      </c>
    </row>
    <row r="365" customFormat="false" ht="15" hidden="false" customHeight="false" outlineLevel="0" collapsed="false">
      <c r="B365" s="71" t="str">
        <f aca="false">IF($F$6="Sí",N($C$11)+338,"")</f>
        <v/>
      </c>
      <c r="C365" s="72" t="str">
        <f aca="false">IF(OR($F$6&lt;&gt;"Sí",D365&lt;=0.5),"",EDATE($C$10,338))</f>
        <v/>
      </c>
      <c r="D365" s="41" t="n">
        <f aca="false">MAX(0,M364)</f>
        <v>0</v>
      </c>
      <c r="E365" s="41" t="n">
        <f aca="false">D365*$F$7</f>
        <v>0</v>
      </c>
      <c r="F365" s="41" t="n">
        <f aca="false">IF(D365&gt;0.5,N($C$15),0)</f>
        <v>0</v>
      </c>
      <c r="G365" s="41" t="n">
        <f aca="false">IF(AND(D365&gt;0.5,N($C$19)&gt;0,N(B365)&lt;=N($C$20)),D365*$F$8,0)</f>
        <v>0</v>
      </c>
      <c r="H365" s="41" t="n">
        <f aca="false">IF(D365&lt;=0.5,0,MIN(IF(N(I365)&gt;0,I365,$F$9),D365+E365+F365))</f>
        <v>0</v>
      </c>
      <c r="I365" s="77"/>
      <c r="J365" s="77"/>
      <c r="K365" s="41" t="n">
        <f aca="false">IF(D365&lt;=0.5,0,MIN(H365+N(J365),D365+E365+F365))</f>
        <v>0</v>
      </c>
      <c r="L365" s="41" t="n">
        <f aca="false">K365-E365-F365</f>
        <v>0</v>
      </c>
      <c r="M365" s="41" t="n">
        <f aca="false">D365-L365</f>
        <v>0</v>
      </c>
      <c r="N365" s="42" t="n">
        <f aca="false">K365-G365</f>
        <v>0</v>
      </c>
      <c r="O365" s="78"/>
      <c r="P365" s="79"/>
      <c r="Q365" s="16" t="str">
        <f aca="false">IF(K365=0,"",IF(R365=1,"Pagada",IF(C365&lt;$F$12,"Vencida",IF(339=$F$13,"Próxima","Pendiente"))))</f>
        <v/>
      </c>
      <c r="R365" s="62" t="n">
        <f aca="false">IF(AND(K365&gt;0,OR(O365="Sí",O365="Si")),1,0)</f>
        <v>0</v>
      </c>
      <c r="S365" s="62" t="n">
        <f aca="false">IF(AND(K365&gt;0,R365=0),1,0)</f>
        <v>0</v>
      </c>
    </row>
    <row r="366" customFormat="false" ht="15" hidden="false" customHeight="false" outlineLevel="0" collapsed="false">
      <c r="B366" s="71" t="str">
        <f aca="false">IF($F$6="Sí",N($C$11)+339,"")</f>
        <v/>
      </c>
      <c r="C366" s="72" t="str">
        <f aca="false">IF(OR($F$6&lt;&gt;"Sí",D366&lt;=0.5),"",EDATE($C$10,339))</f>
        <v/>
      </c>
      <c r="D366" s="41" t="n">
        <f aca="false">MAX(0,M365)</f>
        <v>0</v>
      </c>
      <c r="E366" s="41" t="n">
        <f aca="false">D366*$F$7</f>
        <v>0</v>
      </c>
      <c r="F366" s="41" t="n">
        <f aca="false">IF(D366&gt;0.5,N($C$15),0)</f>
        <v>0</v>
      </c>
      <c r="G366" s="41" t="n">
        <f aca="false">IF(AND(D366&gt;0.5,N($C$19)&gt;0,N(B366)&lt;=N($C$20)),D366*$F$8,0)</f>
        <v>0</v>
      </c>
      <c r="H366" s="41" t="n">
        <f aca="false">IF(D366&lt;=0.5,0,MIN(IF(N(I366)&gt;0,I366,$F$9),D366+E366+F366))</f>
        <v>0</v>
      </c>
      <c r="I366" s="77"/>
      <c r="J366" s="77"/>
      <c r="K366" s="41" t="n">
        <f aca="false">IF(D366&lt;=0.5,0,MIN(H366+N(J366),D366+E366+F366))</f>
        <v>0</v>
      </c>
      <c r="L366" s="41" t="n">
        <f aca="false">K366-E366-F366</f>
        <v>0</v>
      </c>
      <c r="M366" s="41" t="n">
        <f aca="false">D366-L366</f>
        <v>0</v>
      </c>
      <c r="N366" s="42" t="n">
        <f aca="false">K366-G366</f>
        <v>0</v>
      </c>
      <c r="O366" s="78"/>
      <c r="P366" s="79"/>
      <c r="Q366" s="16" t="str">
        <f aca="false">IF(K366=0,"",IF(R366=1,"Pagada",IF(C366&lt;$F$12,"Vencida",IF(340=$F$13,"Próxima","Pendiente"))))</f>
        <v/>
      </c>
      <c r="R366" s="62" t="n">
        <f aca="false">IF(AND(K366&gt;0,OR(O366="Sí",O366="Si")),1,0)</f>
        <v>0</v>
      </c>
      <c r="S366" s="62" t="n">
        <f aca="false">IF(AND(K366&gt;0,R366=0),1,0)</f>
        <v>0</v>
      </c>
    </row>
    <row r="367" customFormat="false" ht="15" hidden="false" customHeight="false" outlineLevel="0" collapsed="false">
      <c r="B367" s="71" t="str">
        <f aca="false">IF($F$6="Sí",N($C$11)+340,"")</f>
        <v/>
      </c>
      <c r="C367" s="72" t="str">
        <f aca="false">IF(OR($F$6&lt;&gt;"Sí",D367&lt;=0.5),"",EDATE($C$10,340))</f>
        <v/>
      </c>
      <c r="D367" s="41" t="n">
        <f aca="false">MAX(0,M366)</f>
        <v>0</v>
      </c>
      <c r="E367" s="41" t="n">
        <f aca="false">D367*$F$7</f>
        <v>0</v>
      </c>
      <c r="F367" s="41" t="n">
        <f aca="false">IF(D367&gt;0.5,N($C$15),0)</f>
        <v>0</v>
      </c>
      <c r="G367" s="41" t="n">
        <f aca="false">IF(AND(D367&gt;0.5,N($C$19)&gt;0,N(B367)&lt;=N($C$20)),D367*$F$8,0)</f>
        <v>0</v>
      </c>
      <c r="H367" s="41" t="n">
        <f aca="false">IF(D367&lt;=0.5,0,MIN(IF(N(I367)&gt;0,I367,$F$9),D367+E367+F367))</f>
        <v>0</v>
      </c>
      <c r="I367" s="77"/>
      <c r="J367" s="77"/>
      <c r="K367" s="41" t="n">
        <f aca="false">IF(D367&lt;=0.5,0,MIN(H367+N(J367),D367+E367+F367))</f>
        <v>0</v>
      </c>
      <c r="L367" s="41" t="n">
        <f aca="false">K367-E367-F367</f>
        <v>0</v>
      </c>
      <c r="M367" s="41" t="n">
        <f aca="false">D367-L367</f>
        <v>0</v>
      </c>
      <c r="N367" s="42" t="n">
        <f aca="false">K367-G367</f>
        <v>0</v>
      </c>
      <c r="O367" s="78"/>
      <c r="P367" s="79"/>
      <c r="Q367" s="16" t="str">
        <f aca="false">IF(K367=0,"",IF(R367=1,"Pagada",IF(C367&lt;$F$12,"Vencida",IF(341=$F$13,"Próxima","Pendiente"))))</f>
        <v/>
      </c>
      <c r="R367" s="62" t="n">
        <f aca="false">IF(AND(K367&gt;0,OR(O367="Sí",O367="Si")),1,0)</f>
        <v>0</v>
      </c>
      <c r="S367" s="62" t="n">
        <f aca="false">IF(AND(K367&gt;0,R367=0),1,0)</f>
        <v>0</v>
      </c>
    </row>
    <row r="368" customFormat="false" ht="15" hidden="false" customHeight="false" outlineLevel="0" collapsed="false">
      <c r="B368" s="71" t="str">
        <f aca="false">IF($F$6="Sí",N($C$11)+341,"")</f>
        <v/>
      </c>
      <c r="C368" s="72" t="str">
        <f aca="false">IF(OR($F$6&lt;&gt;"Sí",D368&lt;=0.5),"",EDATE($C$10,341))</f>
        <v/>
      </c>
      <c r="D368" s="41" t="n">
        <f aca="false">MAX(0,M367)</f>
        <v>0</v>
      </c>
      <c r="E368" s="41" t="n">
        <f aca="false">D368*$F$7</f>
        <v>0</v>
      </c>
      <c r="F368" s="41" t="n">
        <f aca="false">IF(D368&gt;0.5,N($C$15),0)</f>
        <v>0</v>
      </c>
      <c r="G368" s="41" t="n">
        <f aca="false">IF(AND(D368&gt;0.5,N($C$19)&gt;0,N(B368)&lt;=N($C$20)),D368*$F$8,0)</f>
        <v>0</v>
      </c>
      <c r="H368" s="41" t="n">
        <f aca="false">IF(D368&lt;=0.5,0,MIN(IF(N(I368)&gt;0,I368,$F$9),D368+E368+F368))</f>
        <v>0</v>
      </c>
      <c r="I368" s="77"/>
      <c r="J368" s="77"/>
      <c r="K368" s="41" t="n">
        <f aca="false">IF(D368&lt;=0.5,0,MIN(H368+N(J368),D368+E368+F368))</f>
        <v>0</v>
      </c>
      <c r="L368" s="41" t="n">
        <f aca="false">K368-E368-F368</f>
        <v>0</v>
      </c>
      <c r="M368" s="41" t="n">
        <f aca="false">D368-L368</f>
        <v>0</v>
      </c>
      <c r="N368" s="42" t="n">
        <f aca="false">K368-G368</f>
        <v>0</v>
      </c>
      <c r="O368" s="78"/>
      <c r="P368" s="79"/>
      <c r="Q368" s="16" t="str">
        <f aca="false">IF(K368=0,"",IF(R368=1,"Pagada",IF(C368&lt;$F$12,"Vencida",IF(342=$F$13,"Próxima","Pendiente"))))</f>
        <v/>
      </c>
      <c r="R368" s="62" t="n">
        <f aca="false">IF(AND(K368&gt;0,OR(O368="Sí",O368="Si")),1,0)</f>
        <v>0</v>
      </c>
      <c r="S368" s="62" t="n">
        <f aca="false">IF(AND(K368&gt;0,R368=0),1,0)</f>
        <v>0</v>
      </c>
    </row>
    <row r="369" customFormat="false" ht="15" hidden="false" customHeight="false" outlineLevel="0" collapsed="false">
      <c r="B369" s="71" t="str">
        <f aca="false">IF($F$6="Sí",N($C$11)+342,"")</f>
        <v/>
      </c>
      <c r="C369" s="72" t="str">
        <f aca="false">IF(OR($F$6&lt;&gt;"Sí",D369&lt;=0.5),"",EDATE($C$10,342))</f>
        <v/>
      </c>
      <c r="D369" s="41" t="n">
        <f aca="false">MAX(0,M368)</f>
        <v>0</v>
      </c>
      <c r="E369" s="41" t="n">
        <f aca="false">D369*$F$7</f>
        <v>0</v>
      </c>
      <c r="F369" s="41" t="n">
        <f aca="false">IF(D369&gt;0.5,N($C$15),0)</f>
        <v>0</v>
      </c>
      <c r="G369" s="41" t="n">
        <f aca="false">IF(AND(D369&gt;0.5,N($C$19)&gt;0,N(B369)&lt;=N($C$20)),D369*$F$8,0)</f>
        <v>0</v>
      </c>
      <c r="H369" s="41" t="n">
        <f aca="false">IF(D369&lt;=0.5,0,MIN(IF(N(I369)&gt;0,I369,$F$9),D369+E369+F369))</f>
        <v>0</v>
      </c>
      <c r="I369" s="77"/>
      <c r="J369" s="77"/>
      <c r="K369" s="41" t="n">
        <f aca="false">IF(D369&lt;=0.5,0,MIN(H369+N(J369),D369+E369+F369))</f>
        <v>0</v>
      </c>
      <c r="L369" s="41" t="n">
        <f aca="false">K369-E369-F369</f>
        <v>0</v>
      </c>
      <c r="M369" s="41" t="n">
        <f aca="false">D369-L369</f>
        <v>0</v>
      </c>
      <c r="N369" s="42" t="n">
        <f aca="false">K369-G369</f>
        <v>0</v>
      </c>
      <c r="O369" s="78"/>
      <c r="P369" s="79"/>
      <c r="Q369" s="16" t="str">
        <f aca="false">IF(K369=0,"",IF(R369=1,"Pagada",IF(C369&lt;$F$12,"Vencida",IF(343=$F$13,"Próxima","Pendiente"))))</f>
        <v/>
      </c>
      <c r="R369" s="62" t="n">
        <f aca="false">IF(AND(K369&gt;0,OR(O369="Sí",O369="Si")),1,0)</f>
        <v>0</v>
      </c>
      <c r="S369" s="62" t="n">
        <f aca="false">IF(AND(K369&gt;0,R369=0),1,0)</f>
        <v>0</v>
      </c>
    </row>
    <row r="370" customFormat="false" ht="15" hidden="false" customHeight="false" outlineLevel="0" collapsed="false">
      <c r="B370" s="71" t="str">
        <f aca="false">IF($F$6="Sí",N($C$11)+343,"")</f>
        <v/>
      </c>
      <c r="C370" s="72" t="str">
        <f aca="false">IF(OR($F$6&lt;&gt;"Sí",D370&lt;=0.5),"",EDATE($C$10,343))</f>
        <v/>
      </c>
      <c r="D370" s="41" t="n">
        <f aca="false">MAX(0,M369)</f>
        <v>0</v>
      </c>
      <c r="E370" s="41" t="n">
        <f aca="false">D370*$F$7</f>
        <v>0</v>
      </c>
      <c r="F370" s="41" t="n">
        <f aca="false">IF(D370&gt;0.5,N($C$15),0)</f>
        <v>0</v>
      </c>
      <c r="G370" s="41" t="n">
        <f aca="false">IF(AND(D370&gt;0.5,N($C$19)&gt;0,N(B370)&lt;=N($C$20)),D370*$F$8,0)</f>
        <v>0</v>
      </c>
      <c r="H370" s="41" t="n">
        <f aca="false">IF(D370&lt;=0.5,0,MIN(IF(N(I370)&gt;0,I370,$F$9),D370+E370+F370))</f>
        <v>0</v>
      </c>
      <c r="I370" s="77"/>
      <c r="J370" s="77"/>
      <c r="K370" s="41" t="n">
        <f aca="false">IF(D370&lt;=0.5,0,MIN(H370+N(J370),D370+E370+F370))</f>
        <v>0</v>
      </c>
      <c r="L370" s="41" t="n">
        <f aca="false">K370-E370-F370</f>
        <v>0</v>
      </c>
      <c r="M370" s="41" t="n">
        <f aca="false">D370-L370</f>
        <v>0</v>
      </c>
      <c r="N370" s="42" t="n">
        <f aca="false">K370-G370</f>
        <v>0</v>
      </c>
      <c r="O370" s="78"/>
      <c r="P370" s="79"/>
      <c r="Q370" s="16" t="str">
        <f aca="false">IF(K370=0,"",IF(R370=1,"Pagada",IF(C370&lt;$F$12,"Vencida",IF(344=$F$13,"Próxima","Pendiente"))))</f>
        <v/>
      </c>
      <c r="R370" s="62" t="n">
        <f aca="false">IF(AND(K370&gt;0,OR(O370="Sí",O370="Si")),1,0)</f>
        <v>0</v>
      </c>
      <c r="S370" s="62" t="n">
        <f aca="false">IF(AND(K370&gt;0,R370=0),1,0)</f>
        <v>0</v>
      </c>
    </row>
    <row r="371" customFormat="false" ht="15" hidden="false" customHeight="false" outlineLevel="0" collapsed="false">
      <c r="B371" s="71" t="str">
        <f aca="false">IF($F$6="Sí",N($C$11)+344,"")</f>
        <v/>
      </c>
      <c r="C371" s="72" t="str">
        <f aca="false">IF(OR($F$6&lt;&gt;"Sí",D371&lt;=0.5),"",EDATE($C$10,344))</f>
        <v/>
      </c>
      <c r="D371" s="41" t="n">
        <f aca="false">MAX(0,M370)</f>
        <v>0</v>
      </c>
      <c r="E371" s="41" t="n">
        <f aca="false">D371*$F$7</f>
        <v>0</v>
      </c>
      <c r="F371" s="41" t="n">
        <f aca="false">IF(D371&gt;0.5,N($C$15),0)</f>
        <v>0</v>
      </c>
      <c r="G371" s="41" t="n">
        <f aca="false">IF(AND(D371&gt;0.5,N($C$19)&gt;0,N(B371)&lt;=N($C$20)),D371*$F$8,0)</f>
        <v>0</v>
      </c>
      <c r="H371" s="41" t="n">
        <f aca="false">IF(D371&lt;=0.5,0,MIN(IF(N(I371)&gt;0,I371,$F$9),D371+E371+F371))</f>
        <v>0</v>
      </c>
      <c r="I371" s="77"/>
      <c r="J371" s="77"/>
      <c r="K371" s="41" t="n">
        <f aca="false">IF(D371&lt;=0.5,0,MIN(H371+N(J371),D371+E371+F371))</f>
        <v>0</v>
      </c>
      <c r="L371" s="41" t="n">
        <f aca="false">K371-E371-F371</f>
        <v>0</v>
      </c>
      <c r="M371" s="41" t="n">
        <f aca="false">D371-L371</f>
        <v>0</v>
      </c>
      <c r="N371" s="42" t="n">
        <f aca="false">K371-G371</f>
        <v>0</v>
      </c>
      <c r="O371" s="78"/>
      <c r="P371" s="79"/>
      <c r="Q371" s="16" t="str">
        <f aca="false">IF(K371=0,"",IF(R371=1,"Pagada",IF(C371&lt;$F$12,"Vencida",IF(345=$F$13,"Próxima","Pendiente"))))</f>
        <v/>
      </c>
      <c r="R371" s="62" t="n">
        <f aca="false">IF(AND(K371&gt;0,OR(O371="Sí",O371="Si")),1,0)</f>
        <v>0</v>
      </c>
      <c r="S371" s="62" t="n">
        <f aca="false">IF(AND(K371&gt;0,R371=0),1,0)</f>
        <v>0</v>
      </c>
    </row>
    <row r="372" customFormat="false" ht="15" hidden="false" customHeight="false" outlineLevel="0" collapsed="false">
      <c r="B372" s="71" t="str">
        <f aca="false">IF($F$6="Sí",N($C$11)+345,"")</f>
        <v/>
      </c>
      <c r="C372" s="72" t="str">
        <f aca="false">IF(OR($F$6&lt;&gt;"Sí",D372&lt;=0.5),"",EDATE($C$10,345))</f>
        <v/>
      </c>
      <c r="D372" s="41" t="n">
        <f aca="false">MAX(0,M371)</f>
        <v>0</v>
      </c>
      <c r="E372" s="41" t="n">
        <f aca="false">D372*$F$7</f>
        <v>0</v>
      </c>
      <c r="F372" s="41" t="n">
        <f aca="false">IF(D372&gt;0.5,N($C$15),0)</f>
        <v>0</v>
      </c>
      <c r="G372" s="41" t="n">
        <f aca="false">IF(AND(D372&gt;0.5,N($C$19)&gt;0,N(B372)&lt;=N($C$20)),D372*$F$8,0)</f>
        <v>0</v>
      </c>
      <c r="H372" s="41" t="n">
        <f aca="false">IF(D372&lt;=0.5,0,MIN(IF(N(I372)&gt;0,I372,$F$9),D372+E372+F372))</f>
        <v>0</v>
      </c>
      <c r="I372" s="77"/>
      <c r="J372" s="77"/>
      <c r="K372" s="41" t="n">
        <f aca="false">IF(D372&lt;=0.5,0,MIN(H372+N(J372),D372+E372+F372))</f>
        <v>0</v>
      </c>
      <c r="L372" s="41" t="n">
        <f aca="false">K372-E372-F372</f>
        <v>0</v>
      </c>
      <c r="M372" s="41" t="n">
        <f aca="false">D372-L372</f>
        <v>0</v>
      </c>
      <c r="N372" s="42" t="n">
        <f aca="false">K372-G372</f>
        <v>0</v>
      </c>
      <c r="O372" s="78"/>
      <c r="P372" s="79"/>
      <c r="Q372" s="16" t="str">
        <f aca="false">IF(K372=0,"",IF(R372=1,"Pagada",IF(C372&lt;$F$12,"Vencida",IF(346=$F$13,"Próxima","Pendiente"))))</f>
        <v/>
      </c>
      <c r="R372" s="62" t="n">
        <f aca="false">IF(AND(K372&gt;0,OR(O372="Sí",O372="Si")),1,0)</f>
        <v>0</v>
      </c>
      <c r="S372" s="62" t="n">
        <f aca="false">IF(AND(K372&gt;0,R372=0),1,0)</f>
        <v>0</v>
      </c>
    </row>
    <row r="373" customFormat="false" ht="15" hidden="false" customHeight="false" outlineLevel="0" collapsed="false">
      <c r="B373" s="71" t="str">
        <f aca="false">IF($F$6="Sí",N($C$11)+346,"")</f>
        <v/>
      </c>
      <c r="C373" s="72" t="str">
        <f aca="false">IF(OR($F$6&lt;&gt;"Sí",D373&lt;=0.5),"",EDATE($C$10,346))</f>
        <v/>
      </c>
      <c r="D373" s="41" t="n">
        <f aca="false">MAX(0,M372)</f>
        <v>0</v>
      </c>
      <c r="E373" s="41" t="n">
        <f aca="false">D373*$F$7</f>
        <v>0</v>
      </c>
      <c r="F373" s="41" t="n">
        <f aca="false">IF(D373&gt;0.5,N($C$15),0)</f>
        <v>0</v>
      </c>
      <c r="G373" s="41" t="n">
        <f aca="false">IF(AND(D373&gt;0.5,N($C$19)&gt;0,N(B373)&lt;=N($C$20)),D373*$F$8,0)</f>
        <v>0</v>
      </c>
      <c r="H373" s="41" t="n">
        <f aca="false">IF(D373&lt;=0.5,0,MIN(IF(N(I373)&gt;0,I373,$F$9),D373+E373+F373))</f>
        <v>0</v>
      </c>
      <c r="I373" s="77"/>
      <c r="J373" s="77"/>
      <c r="K373" s="41" t="n">
        <f aca="false">IF(D373&lt;=0.5,0,MIN(H373+N(J373),D373+E373+F373))</f>
        <v>0</v>
      </c>
      <c r="L373" s="41" t="n">
        <f aca="false">K373-E373-F373</f>
        <v>0</v>
      </c>
      <c r="M373" s="41" t="n">
        <f aca="false">D373-L373</f>
        <v>0</v>
      </c>
      <c r="N373" s="42" t="n">
        <f aca="false">K373-G373</f>
        <v>0</v>
      </c>
      <c r="O373" s="78"/>
      <c r="P373" s="79"/>
      <c r="Q373" s="16" t="str">
        <f aca="false">IF(K373=0,"",IF(R373=1,"Pagada",IF(C373&lt;$F$12,"Vencida",IF(347=$F$13,"Próxima","Pendiente"))))</f>
        <v/>
      </c>
      <c r="R373" s="62" t="n">
        <f aca="false">IF(AND(K373&gt;0,OR(O373="Sí",O373="Si")),1,0)</f>
        <v>0</v>
      </c>
      <c r="S373" s="62" t="n">
        <f aca="false">IF(AND(K373&gt;0,R373=0),1,0)</f>
        <v>0</v>
      </c>
    </row>
    <row r="374" customFormat="false" ht="15" hidden="false" customHeight="false" outlineLevel="0" collapsed="false">
      <c r="B374" s="71" t="str">
        <f aca="false">IF($F$6="Sí",N($C$11)+347,"")</f>
        <v/>
      </c>
      <c r="C374" s="72" t="str">
        <f aca="false">IF(OR($F$6&lt;&gt;"Sí",D374&lt;=0.5),"",EDATE($C$10,347))</f>
        <v/>
      </c>
      <c r="D374" s="41" t="n">
        <f aca="false">MAX(0,M373)</f>
        <v>0</v>
      </c>
      <c r="E374" s="41" t="n">
        <f aca="false">D374*$F$7</f>
        <v>0</v>
      </c>
      <c r="F374" s="41" t="n">
        <f aca="false">IF(D374&gt;0.5,N($C$15),0)</f>
        <v>0</v>
      </c>
      <c r="G374" s="41" t="n">
        <f aca="false">IF(AND(D374&gt;0.5,N($C$19)&gt;0,N(B374)&lt;=N($C$20)),D374*$F$8,0)</f>
        <v>0</v>
      </c>
      <c r="H374" s="41" t="n">
        <f aca="false">IF(D374&lt;=0.5,0,MIN(IF(N(I374)&gt;0,I374,$F$9),D374+E374+F374))</f>
        <v>0</v>
      </c>
      <c r="I374" s="77"/>
      <c r="J374" s="77"/>
      <c r="K374" s="41" t="n">
        <f aca="false">IF(D374&lt;=0.5,0,MIN(H374+N(J374),D374+E374+F374))</f>
        <v>0</v>
      </c>
      <c r="L374" s="41" t="n">
        <f aca="false">K374-E374-F374</f>
        <v>0</v>
      </c>
      <c r="M374" s="41" t="n">
        <f aca="false">D374-L374</f>
        <v>0</v>
      </c>
      <c r="N374" s="42" t="n">
        <f aca="false">K374-G374</f>
        <v>0</v>
      </c>
      <c r="O374" s="78"/>
      <c r="P374" s="79"/>
      <c r="Q374" s="16" t="str">
        <f aca="false">IF(K374=0,"",IF(R374=1,"Pagada",IF(C374&lt;$F$12,"Vencida",IF(348=$F$13,"Próxima","Pendiente"))))</f>
        <v/>
      </c>
      <c r="R374" s="62" t="n">
        <f aca="false">IF(AND(K374&gt;0,OR(O374="Sí",O374="Si")),1,0)</f>
        <v>0</v>
      </c>
      <c r="S374" s="62" t="n">
        <f aca="false">IF(AND(K374&gt;0,R374=0),1,0)</f>
        <v>0</v>
      </c>
    </row>
    <row r="375" customFormat="false" ht="15" hidden="false" customHeight="false" outlineLevel="0" collapsed="false">
      <c r="B375" s="71" t="str">
        <f aca="false">IF($F$6="Sí",N($C$11)+348,"")</f>
        <v/>
      </c>
      <c r="C375" s="72" t="str">
        <f aca="false">IF(OR($F$6&lt;&gt;"Sí",D375&lt;=0.5),"",EDATE($C$10,348))</f>
        <v/>
      </c>
      <c r="D375" s="41" t="n">
        <f aca="false">MAX(0,M374)</f>
        <v>0</v>
      </c>
      <c r="E375" s="41" t="n">
        <f aca="false">D375*$F$7</f>
        <v>0</v>
      </c>
      <c r="F375" s="41" t="n">
        <f aca="false">IF(D375&gt;0.5,N($C$15),0)</f>
        <v>0</v>
      </c>
      <c r="G375" s="41" t="n">
        <f aca="false">IF(AND(D375&gt;0.5,N($C$19)&gt;0,N(B375)&lt;=N($C$20)),D375*$F$8,0)</f>
        <v>0</v>
      </c>
      <c r="H375" s="41" t="n">
        <f aca="false">IF(D375&lt;=0.5,0,MIN(IF(N(I375)&gt;0,I375,$F$9),D375+E375+F375))</f>
        <v>0</v>
      </c>
      <c r="I375" s="77"/>
      <c r="J375" s="77"/>
      <c r="K375" s="41" t="n">
        <f aca="false">IF(D375&lt;=0.5,0,MIN(H375+N(J375),D375+E375+F375))</f>
        <v>0</v>
      </c>
      <c r="L375" s="41" t="n">
        <f aca="false">K375-E375-F375</f>
        <v>0</v>
      </c>
      <c r="M375" s="41" t="n">
        <f aca="false">D375-L375</f>
        <v>0</v>
      </c>
      <c r="N375" s="42" t="n">
        <f aca="false">K375-G375</f>
        <v>0</v>
      </c>
      <c r="O375" s="78"/>
      <c r="P375" s="79"/>
      <c r="Q375" s="16" t="str">
        <f aca="false">IF(K375=0,"",IF(R375=1,"Pagada",IF(C375&lt;$F$12,"Vencida",IF(349=$F$13,"Próxima","Pendiente"))))</f>
        <v/>
      </c>
      <c r="R375" s="62" t="n">
        <f aca="false">IF(AND(K375&gt;0,OR(O375="Sí",O375="Si")),1,0)</f>
        <v>0</v>
      </c>
      <c r="S375" s="62" t="n">
        <f aca="false">IF(AND(K375&gt;0,R375=0),1,0)</f>
        <v>0</v>
      </c>
    </row>
    <row r="376" customFormat="false" ht="15" hidden="false" customHeight="false" outlineLevel="0" collapsed="false">
      <c r="B376" s="71" t="str">
        <f aca="false">IF($F$6="Sí",N($C$11)+349,"")</f>
        <v/>
      </c>
      <c r="C376" s="72" t="str">
        <f aca="false">IF(OR($F$6&lt;&gt;"Sí",D376&lt;=0.5),"",EDATE($C$10,349))</f>
        <v/>
      </c>
      <c r="D376" s="41" t="n">
        <f aca="false">MAX(0,M375)</f>
        <v>0</v>
      </c>
      <c r="E376" s="41" t="n">
        <f aca="false">D376*$F$7</f>
        <v>0</v>
      </c>
      <c r="F376" s="41" t="n">
        <f aca="false">IF(D376&gt;0.5,N($C$15),0)</f>
        <v>0</v>
      </c>
      <c r="G376" s="41" t="n">
        <f aca="false">IF(AND(D376&gt;0.5,N($C$19)&gt;0,N(B376)&lt;=N($C$20)),D376*$F$8,0)</f>
        <v>0</v>
      </c>
      <c r="H376" s="41" t="n">
        <f aca="false">IF(D376&lt;=0.5,0,MIN(IF(N(I376)&gt;0,I376,$F$9),D376+E376+F376))</f>
        <v>0</v>
      </c>
      <c r="I376" s="77"/>
      <c r="J376" s="77"/>
      <c r="K376" s="41" t="n">
        <f aca="false">IF(D376&lt;=0.5,0,MIN(H376+N(J376),D376+E376+F376))</f>
        <v>0</v>
      </c>
      <c r="L376" s="41" t="n">
        <f aca="false">K376-E376-F376</f>
        <v>0</v>
      </c>
      <c r="M376" s="41" t="n">
        <f aca="false">D376-L376</f>
        <v>0</v>
      </c>
      <c r="N376" s="42" t="n">
        <f aca="false">K376-G376</f>
        <v>0</v>
      </c>
      <c r="O376" s="78"/>
      <c r="P376" s="79"/>
      <c r="Q376" s="16" t="str">
        <f aca="false">IF(K376=0,"",IF(R376=1,"Pagada",IF(C376&lt;$F$12,"Vencida",IF(350=$F$13,"Próxima","Pendiente"))))</f>
        <v/>
      </c>
      <c r="R376" s="62" t="n">
        <f aca="false">IF(AND(K376&gt;0,OR(O376="Sí",O376="Si")),1,0)</f>
        <v>0</v>
      </c>
      <c r="S376" s="62" t="n">
        <f aca="false">IF(AND(K376&gt;0,R376=0),1,0)</f>
        <v>0</v>
      </c>
    </row>
    <row r="377" customFormat="false" ht="15" hidden="false" customHeight="false" outlineLevel="0" collapsed="false">
      <c r="B377" s="71" t="str">
        <f aca="false">IF($F$6="Sí",N($C$11)+350,"")</f>
        <v/>
      </c>
      <c r="C377" s="72" t="str">
        <f aca="false">IF(OR($F$6&lt;&gt;"Sí",D377&lt;=0.5),"",EDATE($C$10,350))</f>
        <v/>
      </c>
      <c r="D377" s="41" t="n">
        <f aca="false">MAX(0,M376)</f>
        <v>0</v>
      </c>
      <c r="E377" s="41" t="n">
        <f aca="false">D377*$F$7</f>
        <v>0</v>
      </c>
      <c r="F377" s="41" t="n">
        <f aca="false">IF(D377&gt;0.5,N($C$15),0)</f>
        <v>0</v>
      </c>
      <c r="G377" s="41" t="n">
        <f aca="false">IF(AND(D377&gt;0.5,N($C$19)&gt;0,N(B377)&lt;=N($C$20)),D377*$F$8,0)</f>
        <v>0</v>
      </c>
      <c r="H377" s="41" t="n">
        <f aca="false">IF(D377&lt;=0.5,0,MIN(IF(N(I377)&gt;0,I377,$F$9),D377+E377+F377))</f>
        <v>0</v>
      </c>
      <c r="I377" s="77"/>
      <c r="J377" s="77"/>
      <c r="K377" s="41" t="n">
        <f aca="false">IF(D377&lt;=0.5,0,MIN(H377+N(J377),D377+E377+F377))</f>
        <v>0</v>
      </c>
      <c r="L377" s="41" t="n">
        <f aca="false">K377-E377-F377</f>
        <v>0</v>
      </c>
      <c r="M377" s="41" t="n">
        <f aca="false">D377-L377</f>
        <v>0</v>
      </c>
      <c r="N377" s="42" t="n">
        <f aca="false">K377-G377</f>
        <v>0</v>
      </c>
      <c r="O377" s="78"/>
      <c r="P377" s="79"/>
      <c r="Q377" s="16" t="str">
        <f aca="false">IF(K377=0,"",IF(R377=1,"Pagada",IF(C377&lt;$F$12,"Vencida",IF(351=$F$13,"Próxima","Pendiente"))))</f>
        <v/>
      </c>
      <c r="R377" s="62" t="n">
        <f aca="false">IF(AND(K377&gt;0,OR(O377="Sí",O377="Si")),1,0)</f>
        <v>0</v>
      </c>
      <c r="S377" s="62" t="n">
        <f aca="false">IF(AND(K377&gt;0,R377=0),1,0)</f>
        <v>0</v>
      </c>
    </row>
    <row r="378" customFormat="false" ht="15" hidden="false" customHeight="false" outlineLevel="0" collapsed="false">
      <c r="B378" s="71" t="str">
        <f aca="false">IF($F$6="Sí",N($C$11)+351,"")</f>
        <v/>
      </c>
      <c r="C378" s="72" t="str">
        <f aca="false">IF(OR($F$6&lt;&gt;"Sí",D378&lt;=0.5),"",EDATE($C$10,351))</f>
        <v/>
      </c>
      <c r="D378" s="41" t="n">
        <f aca="false">MAX(0,M377)</f>
        <v>0</v>
      </c>
      <c r="E378" s="41" t="n">
        <f aca="false">D378*$F$7</f>
        <v>0</v>
      </c>
      <c r="F378" s="41" t="n">
        <f aca="false">IF(D378&gt;0.5,N($C$15),0)</f>
        <v>0</v>
      </c>
      <c r="G378" s="41" t="n">
        <f aca="false">IF(AND(D378&gt;0.5,N($C$19)&gt;0,N(B378)&lt;=N($C$20)),D378*$F$8,0)</f>
        <v>0</v>
      </c>
      <c r="H378" s="41" t="n">
        <f aca="false">IF(D378&lt;=0.5,0,MIN(IF(N(I378)&gt;0,I378,$F$9),D378+E378+F378))</f>
        <v>0</v>
      </c>
      <c r="I378" s="77"/>
      <c r="J378" s="77"/>
      <c r="K378" s="41" t="n">
        <f aca="false">IF(D378&lt;=0.5,0,MIN(H378+N(J378),D378+E378+F378))</f>
        <v>0</v>
      </c>
      <c r="L378" s="41" t="n">
        <f aca="false">K378-E378-F378</f>
        <v>0</v>
      </c>
      <c r="M378" s="41" t="n">
        <f aca="false">D378-L378</f>
        <v>0</v>
      </c>
      <c r="N378" s="42" t="n">
        <f aca="false">K378-G378</f>
        <v>0</v>
      </c>
      <c r="O378" s="78"/>
      <c r="P378" s="79"/>
      <c r="Q378" s="16" t="str">
        <f aca="false">IF(K378=0,"",IF(R378=1,"Pagada",IF(C378&lt;$F$12,"Vencida",IF(352=$F$13,"Próxima","Pendiente"))))</f>
        <v/>
      </c>
      <c r="R378" s="62" t="n">
        <f aca="false">IF(AND(K378&gt;0,OR(O378="Sí",O378="Si")),1,0)</f>
        <v>0</v>
      </c>
      <c r="S378" s="62" t="n">
        <f aca="false">IF(AND(K378&gt;0,R378=0),1,0)</f>
        <v>0</v>
      </c>
    </row>
    <row r="379" customFormat="false" ht="15" hidden="false" customHeight="false" outlineLevel="0" collapsed="false">
      <c r="B379" s="71" t="str">
        <f aca="false">IF($F$6="Sí",N($C$11)+352,"")</f>
        <v/>
      </c>
      <c r="C379" s="72" t="str">
        <f aca="false">IF(OR($F$6&lt;&gt;"Sí",D379&lt;=0.5),"",EDATE($C$10,352))</f>
        <v/>
      </c>
      <c r="D379" s="41" t="n">
        <f aca="false">MAX(0,M378)</f>
        <v>0</v>
      </c>
      <c r="E379" s="41" t="n">
        <f aca="false">D379*$F$7</f>
        <v>0</v>
      </c>
      <c r="F379" s="41" t="n">
        <f aca="false">IF(D379&gt;0.5,N($C$15),0)</f>
        <v>0</v>
      </c>
      <c r="G379" s="41" t="n">
        <f aca="false">IF(AND(D379&gt;0.5,N($C$19)&gt;0,N(B379)&lt;=N($C$20)),D379*$F$8,0)</f>
        <v>0</v>
      </c>
      <c r="H379" s="41" t="n">
        <f aca="false">IF(D379&lt;=0.5,0,MIN(IF(N(I379)&gt;0,I379,$F$9),D379+E379+F379))</f>
        <v>0</v>
      </c>
      <c r="I379" s="77"/>
      <c r="J379" s="77"/>
      <c r="K379" s="41" t="n">
        <f aca="false">IF(D379&lt;=0.5,0,MIN(H379+N(J379),D379+E379+F379))</f>
        <v>0</v>
      </c>
      <c r="L379" s="41" t="n">
        <f aca="false">K379-E379-F379</f>
        <v>0</v>
      </c>
      <c r="M379" s="41" t="n">
        <f aca="false">D379-L379</f>
        <v>0</v>
      </c>
      <c r="N379" s="42" t="n">
        <f aca="false">K379-G379</f>
        <v>0</v>
      </c>
      <c r="O379" s="78"/>
      <c r="P379" s="79"/>
      <c r="Q379" s="16" t="str">
        <f aca="false">IF(K379=0,"",IF(R379=1,"Pagada",IF(C379&lt;$F$12,"Vencida",IF(353=$F$13,"Próxima","Pendiente"))))</f>
        <v/>
      </c>
      <c r="R379" s="62" t="n">
        <f aca="false">IF(AND(K379&gt;0,OR(O379="Sí",O379="Si")),1,0)</f>
        <v>0</v>
      </c>
      <c r="S379" s="62" t="n">
        <f aca="false">IF(AND(K379&gt;0,R379=0),1,0)</f>
        <v>0</v>
      </c>
    </row>
    <row r="380" customFormat="false" ht="15" hidden="false" customHeight="false" outlineLevel="0" collapsed="false">
      <c r="B380" s="71" t="str">
        <f aca="false">IF($F$6="Sí",N($C$11)+353,"")</f>
        <v/>
      </c>
      <c r="C380" s="72" t="str">
        <f aca="false">IF(OR($F$6&lt;&gt;"Sí",D380&lt;=0.5),"",EDATE($C$10,353))</f>
        <v/>
      </c>
      <c r="D380" s="41" t="n">
        <f aca="false">MAX(0,M379)</f>
        <v>0</v>
      </c>
      <c r="E380" s="41" t="n">
        <f aca="false">D380*$F$7</f>
        <v>0</v>
      </c>
      <c r="F380" s="41" t="n">
        <f aca="false">IF(D380&gt;0.5,N($C$15),0)</f>
        <v>0</v>
      </c>
      <c r="G380" s="41" t="n">
        <f aca="false">IF(AND(D380&gt;0.5,N($C$19)&gt;0,N(B380)&lt;=N($C$20)),D380*$F$8,0)</f>
        <v>0</v>
      </c>
      <c r="H380" s="41" t="n">
        <f aca="false">IF(D380&lt;=0.5,0,MIN(IF(N(I380)&gt;0,I380,$F$9),D380+E380+F380))</f>
        <v>0</v>
      </c>
      <c r="I380" s="77"/>
      <c r="J380" s="77"/>
      <c r="K380" s="41" t="n">
        <f aca="false">IF(D380&lt;=0.5,0,MIN(H380+N(J380),D380+E380+F380))</f>
        <v>0</v>
      </c>
      <c r="L380" s="41" t="n">
        <f aca="false">K380-E380-F380</f>
        <v>0</v>
      </c>
      <c r="M380" s="41" t="n">
        <f aca="false">D380-L380</f>
        <v>0</v>
      </c>
      <c r="N380" s="42" t="n">
        <f aca="false">K380-G380</f>
        <v>0</v>
      </c>
      <c r="O380" s="78"/>
      <c r="P380" s="79"/>
      <c r="Q380" s="16" t="str">
        <f aca="false">IF(K380=0,"",IF(R380=1,"Pagada",IF(C380&lt;$F$12,"Vencida",IF(354=$F$13,"Próxima","Pendiente"))))</f>
        <v/>
      </c>
      <c r="R380" s="62" t="n">
        <f aca="false">IF(AND(K380&gt;0,OR(O380="Sí",O380="Si")),1,0)</f>
        <v>0</v>
      </c>
      <c r="S380" s="62" t="n">
        <f aca="false">IF(AND(K380&gt;0,R380=0),1,0)</f>
        <v>0</v>
      </c>
    </row>
    <row r="381" customFormat="false" ht="15" hidden="false" customHeight="false" outlineLevel="0" collapsed="false">
      <c r="B381" s="71" t="str">
        <f aca="false">IF($F$6="Sí",N($C$11)+354,"")</f>
        <v/>
      </c>
      <c r="C381" s="72" t="str">
        <f aca="false">IF(OR($F$6&lt;&gt;"Sí",D381&lt;=0.5),"",EDATE($C$10,354))</f>
        <v/>
      </c>
      <c r="D381" s="41" t="n">
        <f aca="false">MAX(0,M380)</f>
        <v>0</v>
      </c>
      <c r="E381" s="41" t="n">
        <f aca="false">D381*$F$7</f>
        <v>0</v>
      </c>
      <c r="F381" s="41" t="n">
        <f aca="false">IF(D381&gt;0.5,N($C$15),0)</f>
        <v>0</v>
      </c>
      <c r="G381" s="41" t="n">
        <f aca="false">IF(AND(D381&gt;0.5,N($C$19)&gt;0,N(B381)&lt;=N($C$20)),D381*$F$8,0)</f>
        <v>0</v>
      </c>
      <c r="H381" s="41" t="n">
        <f aca="false">IF(D381&lt;=0.5,0,MIN(IF(N(I381)&gt;0,I381,$F$9),D381+E381+F381))</f>
        <v>0</v>
      </c>
      <c r="I381" s="77"/>
      <c r="J381" s="77"/>
      <c r="K381" s="41" t="n">
        <f aca="false">IF(D381&lt;=0.5,0,MIN(H381+N(J381),D381+E381+F381))</f>
        <v>0</v>
      </c>
      <c r="L381" s="41" t="n">
        <f aca="false">K381-E381-F381</f>
        <v>0</v>
      </c>
      <c r="M381" s="41" t="n">
        <f aca="false">D381-L381</f>
        <v>0</v>
      </c>
      <c r="N381" s="42" t="n">
        <f aca="false">K381-G381</f>
        <v>0</v>
      </c>
      <c r="O381" s="78"/>
      <c r="P381" s="79"/>
      <c r="Q381" s="16" t="str">
        <f aca="false">IF(K381=0,"",IF(R381=1,"Pagada",IF(C381&lt;$F$12,"Vencida",IF(355=$F$13,"Próxima","Pendiente"))))</f>
        <v/>
      </c>
      <c r="R381" s="62" t="n">
        <f aca="false">IF(AND(K381&gt;0,OR(O381="Sí",O381="Si")),1,0)</f>
        <v>0</v>
      </c>
      <c r="S381" s="62" t="n">
        <f aca="false">IF(AND(K381&gt;0,R381=0),1,0)</f>
        <v>0</v>
      </c>
    </row>
    <row r="382" customFormat="false" ht="15" hidden="false" customHeight="false" outlineLevel="0" collapsed="false">
      <c r="B382" s="71" t="str">
        <f aca="false">IF($F$6="Sí",N($C$11)+355,"")</f>
        <v/>
      </c>
      <c r="C382" s="72" t="str">
        <f aca="false">IF(OR($F$6&lt;&gt;"Sí",D382&lt;=0.5),"",EDATE($C$10,355))</f>
        <v/>
      </c>
      <c r="D382" s="41" t="n">
        <f aca="false">MAX(0,M381)</f>
        <v>0</v>
      </c>
      <c r="E382" s="41" t="n">
        <f aca="false">D382*$F$7</f>
        <v>0</v>
      </c>
      <c r="F382" s="41" t="n">
        <f aca="false">IF(D382&gt;0.5,N($C$15),0)</f>
        <v>0</v>
      </c>
      <c r="G382" s="41" t="n">
        <f aca="false">IF(AND(D382&gt;0.5,N($C$19)&gt;0,N(B382)&lt;=N($C$20)),D382*$F$8,0)</f>
        <v>0</v>
      </c>
      <c r="H382" s="41" t="n">
        <f aca="false">IF(D382&lt;=0.5,0,MIN(IF(N(I382)&gt;0,I382,$F$9),D382+E382+F382))</f>
        <v>0</v>
      </c>
      <c r="I382" s="77"/>
      <c r="J382" s="77"/>
      <c r="K382" s="41" t="n">
        <f aca="false">IF(D382&lt;=0.5,0,MIN(H382+N(J382),D382+E382+F382))</f>
        <v>0</v>
      </c>
      <c r="L382" s="41" t="n">
        <f aca="false">K382-E382-F382</f>
        <v>0</v>
      </c>
      <c r="M382" s="41" t="n">
        <f aca="false">D382-L382</f>
        <v>0</v>
      </c>
      <c r="N382" s="42" t="n">
        <f aca="false">K382-G382</f>
        <v>0</v>
      </c>
      <c r="O382" s="78"/>
      <c r="P382" s="79"/>
      <c r="Q382" s="16" t="str">
        <f aca="false">IF(K382=0,"",IF(R382=1,"Pagada",IF(C382&lt;$F$12,"Vencida",IF(356=$F$13,"Próxima","Pendiente"))))</f>
        <v/>
      </c>
      <c r="R382" s="62" t="n">
        <f aca="false">IF(AND(K382&gt;0,OR(O382="Sí",O382="Si")),1,0)</f>
        <v>0</v>
      </c>
      <c r="S382" s="62" t="n">
        <f aca="false">IF(AND(K382&gt;0,R382=0),1,0)</f>
        <v>0</v>
      </c>
    </row>
    <row r="383" customFormat="false" ht="15" hidden="false" customHeight="false" outlineLevel="0" collapsed="false">
      <c r="B383" s="71" t="str">
        <f aca="false">IF($F$6="Sí",N($C$11)+356,"")</f>
        <v/>
      </c>
      <c r="C383" s="72" t="str">
        <f aca="false">IF(OR($F$6&lt;&gt;"Sí",D383&lt;=0.5),"",EDATE($C$10,356))</f>
        <v/>
      </c>
      <c r="D383" s="41" t="n">
        <f aca="false">MAX(0,M382)</f>
        <v>0</v>
      </c>
      <c r="E383" s="41" t="n">
        <f aca="false">D383*$F$7</f>
        <v>0</v>
      </c>
      <c r="F383" s="41" t="n">
        <f aca="false">IF(D383&gt;0.5,N($C$15),0)</f>
        <v>0</v>
      </c>
      <c r="G383" s="41" t="n">
        <f aca="false">IF(AND(D383&gt;0.5,N($C$19)&gt;0,N(B383)&lt;=N($C$20)),D383*$F$8,0)</f>
        <v>0</v>
      </c>
      <c r="H383" s="41" t="n">
        <f aca="false">IF(D383&lt;=0.5,0,MIN(IF(N(I383)&gt;0,I383,$F$9),D383+E383+F383))</f>
        <v>0</v>
      </c>
      <c r="I383" s="77"/>
      <c r="J383" s="77"/>
      <c r="K383" s="41" t="n">
        <f aca="false">IF(D383&lt;=0.5,0,MIN(H383+N(J383),D383+E383+F383))</f>
        <v>0</v>
      </c>
      <c r="L383" s="41" t="n">
        <f aca="false">K383-E383-F383</f>
        <v>0</v>
      </c>
      <c r="M383" s="41" t="n">
        <f aca="false">D383-L383</f>
        <v>0</v>
      </c>
      <c r="N383" s="42" t="n">
        <f aca="false">K383-G383</f>
        <v>0</v>
      </c>
      <c r="O383" s="78"/>
      <c r="P383" s="79"/>
      <c r="Q383" s="16" t="str">
        <f aca="false">IF(K383=0,"",IF(R383=1,"Pagada",IF(C383&lt;$F$12,"Vencida",IF(357=$F$13,"Próxima","Pendiente"))))</f>
        <v/>
      </c>
      <c r="R383" s="62" t="n">
        <f aca="false">IF(AND(K383&gt;0,OR(O383="Sí",O383="Si")),1,0)</f>
        <v>0</v>
      </c>
      <c r="S383" s="62" t="n">
        <f aca="false">IF(AND(K383&gt;0,R383=0),1,0)</f>
        <v>0</v>
      </c>
    </row>
    <row r="384" customFormat="false" ht="15" hidden="false" customHeight="false" outlineLevel="0" collapsed="false">
      <c r="B384" s="71" t="str">
        <f aca="false">IF($F$6="Sí",N($C$11)+357,"")</f>
        <v/>
      </c>
      <c r="C384" s="72" t="str">
        <f aca="false">IF(OR($F$6&lt;&gt;"Sí",D384&lt;=0.5),"",EDATE($C$10,357))</f>
        <v/>
      </c>
      <c r="D384" s="41" t="n">
        <f aca="false">MAX(0,M383)</f>
        <v>0</v>
      </c>
      <c r="E384" s="41" t="n">
        <f aca="false">D384*$F$7</f>
        <v>0</v>
      </c>
      <c r="F384" s="41" t="n">
        <f aca="false">IF(D384&gt;0.5,N($C$15),0)</f>
        <v>0</v>
      </c>
      <c r="G384" s="41" t="n">
        <f aca="false">IF(AND(D384&gt;0.5,N($C$19)&gt;0,N(B384)&lt;=N($C$20)),D384*$F$8,0)</f>
        <v>0</v>
      </c>
      <c r="H384" s="41" t="n">
        <f aca="false">IF(D384&lt;=0.5,0,MIN(IF(N(I384)&gt;0,I384,$F$9),D384+E384+F384))</f>
        <v>0</v>
      </c>
      <c r="I384" s="77"/>
      <c r="J384" s="77"/>
      <c r="K384" s="41" t="n">
        <f aca="false">IF(D384&lt;=0.5,0,MIN(H384+N(J384),D384+E384+F384))</f>
        <v>0</v>
      </c>
      <c r="L384" s="41" t="n">
        <f aca="false">K384-E384-F384</f>
        <v>0</v>
      </c>
      <c r="M384" s="41" t="n">
        <f aca="false">D384-L384</f>
        <v>0</v>
      </c>
      <c r="N384" s="42" t="n">
        <f aca="false">K384-G384</f>
        <v>0</v>
      </c>
      <c r="O384" s="78"/>
      <c r="P384" s="79"/>
      <c r="Q384" s="16" t="str">
        <f aca="false">IF(K384=0,"",IF(R384=1,"Pagada",IF(C384&lt;$F$12,"Vencida",IF(358=$F$13,"Próxima","Pendiente"))))</f>
        <v/>
      </c>
      <c r="R384" s="62" t="n">
        <f aca="false">IF(AND(K384&gt;0,OR(O384="Sí",O384="Si")),1,0)</f>
        <v>0</v>
      </c>
      <c r="S384" s="62" t="n">
        <f aca="false">IF(AND(K384&gt;0,R384=0),1,0)</f>
        <v>0</v>
      </c>
    </row>
    <row r="385" customFormat="false" ht="15" hidden="false" customHeight="false" outlineLevel="0" collapsed="false">
      <c r="B385" s="71" t="str">
        <f aca="false">IF($F$6="Sí",N($C$11)+358,"")</f>
        <v/>
      </c>
      <c r="C385" s="72" t="str">
        <f aca="false">IF(OR($F$6&lt;&gt;"Sí",D385&lt;=0.5),"",EDATE($C$10,358))</f>
        <v/>
      </c>
      <c r="D385" s="41" t="n">
        <f aca="false">MAX(0,M384)</f>
        <v>0</v>
      </c>
      <c r="E385" s="41" t="n">
        <f aca="false">D385*$F$7</f>
        <v>0</v>
      </c>
      <c r="F385" s="41" t="n">
        <f aca="false">IF(D385&gt;0.5,N($C$15),0)</f>
        <v>0</v>
      </c>
      <c r="G385" s="41" t="n">
        <f aca="false">IF(AND(D385&gt;0.5,N($C$19)&gt;0,N(B385)&lt;=N($C$20)),D385*$F$8,0)</f>
        <v>0</v>
      </c>
      <c r="H385" s="41" t="n">
        <f aca="false">IF(D385&lt;=0.5,0,MIN(IF(N(I385)&gt;0,I385,$F$9),D385+E385+F385))</f>
        <v>0</v>
      </c>
      <c r="I385" s="77"/>
      <c r="J385" s="77"/>
      <c r="K385" s="41" t="n">
        <f aca="false">IF(D385&lt;=0.5,0,MIN(H385+N(J385),D385+E385+F385))</f>
        <v>0</v>
      </c>
      <c r="L385" s="41" t="n">
        <f aca="false">K385-E385-F385</f>
        <v>0</v>
      </c>
      <c r="M385" s="41" t="n">
        <f aca="false">D385-L385</f>
        <v>0</v>
      </c>
      <c r="N385" s="42" t="n">
        <f aca="false">K385-G385</f>
        <v>0</v>
      </c>
      <c r="O385" s="78"/>
      <c r="P385" s="79"/>
      <c r="Q385" s="16" t="str">
        <f aca="false">IF(K385=0,"",IF(R385=1,"Pagada",IF(C385&lt;$F$12,"Vencida",IF(359=$F$13,"Próxima","Pendiente"))))</f>
        <v/>
      </c>
      <c r="R385" s="62" t="n">
        <f aca="false">IF(AND(K385&gt;0,OR(O385="Sí",O385="Si")),1,0)</f>
        <v>0</v>
      </c>
      <c r="S385" s="62" t="n">
        <f aca="false">IF(AND(K385&gt;0,R385=0),1,0)</f>
        <v>0</v>
      </c>
    </row>
    <row r="386" customFormat="false" ht="15" hidden="false" customHeight="false" outlineLevel="0" collapsed="false">
      <c r="B386" s="71" t="str">
        <f aca="false">IF($F$6="Sí",N($C$11)+359,"")</f>
        <v/>
      </c>
      <c r="C386" s="72" t="str">
        <f aca="false">IF(OR($F$6&lt;&gt;"Sí",D386&lt;=0.5),"",EDATE($C$10,359))</f>
        <v/>
      </c>
      <c r="D386" s="41" t="n">
        <f aca="false">MAX(0,M385)</f>
        <v>0</v>
      </c>
      <c r="E386" s="41" t="n">
        <f aca="false">D386*$F$7</f>
        <v>0</v>
      </c>
      <c r="F386" s="41" t="n">
        <f aca="false">IF(D386&gt;0.5,N($C$15),0)</f>
        <v>0</v>
      </c>
      <c r="G386" s="41" t="n">
        <f aca="false">IF(AND(D386&gt;0.5,N($C$19)&gt;0,N(B386)&lt;=N($C$20)),D386*$F$8,0)</f>
        <v>0</v>
      </c>
      <c r="H386" s="41" t="n">
        <f aca="false">IF(D386&lt;=0.5,0,MIN(IF(N(I386)&gt;0,I386,$F$9),D386+E386+F386))</f>
        <v>0</v>
      </c>
      <c r="I386" s="77"/>
      <c r="J386" s="77"/>
      <c r="K386" s="41" t="n">
        <f aca="false">IF(D386&lt;=0.5,0,MIN(H386+N(J386),D386+E386+F386))</f>
        <v>0</v>
      </c>
      <c r="L386" s="41" t="n">
        <f aca="false">K386-E386-F386</f>
        <v>0</v>
      </c>
      <c r="M386" s="41" t="n">
        <f aca="false">D386-L386</f>
        <v>0</v>
      </c>
      <c r="N386" s="42" t="n">
        <f aca="false">K386-G386</f>
        <v>0</v>
      </c>
      <c r="O386" s="78"/>
      <c r="P386" s="79"/>
      <c r="Q386" s="16" t="str">
        <f aca="false">IF(K386=0,"",IF(R386=1,"Pagada",IF(C386&lt;$F$12,"Vencida",IF(360=$F$13,"Próxima","Pendiente"))))</f>
        <v/>
      </c>
      <c r="R386" s="62" t="n">
        <f aca="false">IF(AND(K386&gt;0,OR(O386="Sí",O386="Si")),1,0)</f>
        <v>0</v>
      </c>
      <c r="S386" s="62" t="n">
        <f aca="false">IF(AND(K386&gt;0,R386=0),1,0)</f>
        <v>0</v>
      </c>
    </row>
  </sheetData>
  <conditionalFormatting sqref="B27:Q386">
    <cfRule type="expression" priority="2" aboveAverage="0" equalAverage="0" bottom="0" percent="0" rank="0" text="" dxfId="5">
      <formula>$Q27="Pagada"</formula>
    </cfRule>
    <cfRule type="expression" priority="3" aboveAverage="0" equalAverage="0" bottom="0" percent="0" rank="0" text="" dxfId="3">
      <formula>$Q27="Vencida"</formula>
    </cfRule>
    <cfRule type="expression" priority="4" aboveAverage="0" equalAverage="0" bottom="0" percent="0" rank="0" text="" dxfId="6">
      <formula>$Q27="Próxima"</formula>
    </cfRule>
  </conditionalFormatting>
  <dataValidations count="3">
    <dataValidation allowBlank="true" error="Elige un valor de la lista." errorStyle="stop" errorTitle="Valor no válido" operator="between" showDropDown="false" showErrorMessage="true" showInputMessage="false" sqref="C8" type="list">
      <formula1>Listas!$A$2:$A$8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C17" type="list">
      <formula1>Listas!$B$2:$B$3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O27:O386" type="list">
      <formula1>Listas!$B$2:$B$3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04A"/>
    <pageSetUpPr fitToPage="true"/>
  </sheetPr>
  <dimension ref="B1:S38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26" topLeftCell="C27" activePane="bottomRight" state="frozen"/>
      <selection pane="topLeft" activeCell="A1" activeCellId="0" sqref="A1"/>
      <selection pane="topRight" activeCell="C1" activeCellId="0" sqref="C1"/>
      <selection pane="bottomLeft" activeCell="A27" activeCellId="0" sqref="A2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4" min="3" style="0" width="15"/>
    <col collapsed="false" customWidth="true" hidden="false" outlineLevel="0" max="5" min="5" style="0" width="30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34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2" min="11" style="0" width="14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5" min="15" style="0" width="9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9" min="18" style="0" width="5"/>
  </cols>
  <sheetData>
    <row r="1" customFormat="false" ht="19.7" hidden="false" customHeight="false" outlineLevel="0" collapsed="false">
      <c r="B1" s="19" t="str">
        <f aca="false">IF(C6="","Crédito 8: sin datos","Crédito 8: "&amp;C6)</f>
        <v>Crédito 8: sin datos</v>
      </c>
    </row>
    <row r="2" customFormat="false" ht="15" hidden="false" customHeight="false" outlineLevel="0" collapsed="false">
      <c r="B2" s="20" t="s">
        <v>161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5" customFormat="false" ht="15" hidden="false" customHeight="false" outlineLevel="0" collapsed="false">
      <c r="B5" s="7" t="s">
        <v>162</v>
      </c>
      <c r="C5" s="8"/>
      <c r="E5" s="7" t="s">
        <v>163</v>
      </c>
      <c r="F5" s="8"/>
      <c r="H5" s="7" t="s">
        <v>164</v>
      </c>
      <c r="I5" s="8"/>
    </row>
    <row r="6" customFormat="false" ht="15" hidden="false" customHeight="false" outlineLevel="0" collapsed="false">
      <c r="B6" s="16" t="s">
        <v>165</v>
      </c>
      <c r="C6" s="15"/>
      <c r="E6" s="16" t="s">
        <v>166</v>
      </c>
      <c r="F6" s="16" t="str">
        <f aca="false">IF(AND(C6&lt;&gt;"",N(C9)&gt;0,ISNUMBER(C10)),"Sí","No")</f>
        <v>No</v>
      </c>
      <c r="H6" s="28" t="s">
        <v>46</v>
      </c>
      <c r="I6" s="42" t="n">
        <f aca="false">IF($F$6&lt;&gt;"Sí",0,MAX(0,$C$9-SUMIFS(L27:L386,R27:R386,1)))</f>
        <v>0</v>
      </c>
    </row>
    <row r="7" customFormat="false" ht="15" hidden="false" customHeight="false" outlineLevel="0" collapsed="false">
      <c r="B7" s="16" t="s">
        <v>167</v>
      </c>
      <c r="C7" s="15"/>
      <c r="E7" s="16" t="s">
        <v>130</v>
      </c>
      <c r="F7" s="70" t="n">
        <f aca="false">(1+N(C13))^(1/12)-1</f>
        <v>0</v>
      </c>
      <c r="H7" s="16" t="s">
        <v>168</v>
      </c>
      <c r="I7" s="71" t="n">
        <f aca="false">SUM(R27:R386)</f>
        <v>0</v>
      </c>
    </row>
    <row r="8" customFormat="false" ht="15" hidden="false" customHeight="false" outlineLevel="0" collapsed="false">
      <c r="B8" s="16" t="s">
        <v>91</v>
      </c>
      <c r="C8" s="15"/>
      <c r="E8" s="16" t="s">
        <v>169</v>
      </c>
      <c r="F8" s="70" t="n">
        <f aca="false">IF(N(C19)=0,0,F7-((1+MAX(0,N(C13)-C19))^(1/12)-1))</f>
        <v>0</v>
      </c>
      <c r="H8" s="16" t="s">
        <v>170</v>
      </c>
      <c r="I8" s="71" t="str">
        <f aca="false">IF($F$13=0,"",INDEX(B27:B386,$F$13))</f>
        <v/>
      </c>
    </row>
    <row r="9" customFormat="false" ht="15" hidden="false" customHeight="false" outlineLevel="0" collapsed="false">
      <c r="B9" s="16" t="s">
        <v>171</v>
      </c>
      <c r="C9" s="53"/>
      <c r="E9" s="16" t="s">
        <v>172</v>
      </c>
      <c r="F9" s="41" t="n">
        <f aca="false">IF(N(C14)&gt;0,C14,IF(AND(N(C12)&gt;0,N(C9)&gt;0,N(C12)-N(C11)+1&gt;0),IF(F7=0,C9/(C12-N(C11)+1),PMT(F7,C12-N(C11)+1,-C9))+N(C15),0))</f>
        <v>0</v>
      </c>
      <c r="H9" s="16" t="s">
        <v>173</v>
      </c>
      <c r="I9" s="72" t="str">
        <f aca="false">IF($F$13=0,"",INDEX(C27:C386,$F$13))</f>
        <v/>
      </c>
    </row>
    <row r="10" customFormat="false" ht="15" hidden="false" customHeight="false" outlineLevel="0" collapsed="false">
      <c r="B10" s="16" t="s">
        <v>174</v>
      </c>
      <c r="C10" s="46"/>
      <c r="E10" s="16" t="s">
        <v>175</v>
      </c>
      <c r="F10" s="71" t="str">
        <f aca="false">IF(ISNUMBER(C10),DAY(C10),"")</f>
        <v/>
      </c>
      <c r="H10" s="28" t="s">
        <v>176</v>
      </c>
      <c r="I10" s="42" t="n">
        <f aca="false">IF($F$13=0,0,INDEX(N27:N386,$F$13))</f>
        <v>0</v>
      </c>
    </row>
    <row r="11" customFormat="false" ht="15" hidden="false" customHeight="false" outlineLevel="0" collapsed="false">
      <c r="B11" s="16" t="s">
        <v>177</v>
      </c>
      <c r="C11" s="73" t="n">
        <v>1</v>
      </c>
      <c r="E11" s="16" t="s">
        <v>178</v>
      </c>
      <c r="F11" s="72" t="str">
        <f aca="false">IF(OR(C17="No",N(C18)=0,NOT(ISNUMBER(C10))),"",EDATE(C10,C18-N(C11)))</f>
        <v/>
      </c>
      <c r="H11" s="16" t="s">
        <v>49</v>
      </c>
      <c r="I11" s="71" t="n">
        <f aca="false">SUM(S27:S386)</f>
        <v>0</v>
      </c>
    </row>
    <row r="12" customFormat="false" ht="15" hidden="false" customHeight="false" outlineLevel="0" collapsed="false">
      <c r="B12" s="16" t="s">
        <v>179</v>
      </c>
      <c r="C12" s="73"/>
      <c r="E12" s="16" t="s">
        <v>100</v>
      </c>
      <c r="F12" s="72" t="n">
        <f aca="false">Datos!$C$7</f>
        <v>46290</v>
      </c>
      <c r="H12" s="16" t="s">
        <v>50</v>
      </c>
      <c r="I12" s="72" t="str">
        <f aca="false">IF($F$6&lt;&gt;"Sí","",IF(M386&gt;0.5,"Más de 360 cuotas",_xlfn.MAXIFS(C27:C386,K27:K386,"&gt;0")))</f>
        <v/>
      </c>
    </row>
    <row r="13" customFormat="false" ht="15" hidden="false" customHeight="false" outlineLevel="0" collapsed="false">
      <c r="B13" s="16" t="s">
        <v>180</v>
      </c>
      <c r="C13" s="74"/>
      <c r="E13" s="16" t="s">
        <v>181</v>
      </c>
      <c r="F13" s="71" t="n">
        <f aca="false">IFERROR(MATCH(1,S27:S386,0),0)</f>
        <v>0</v>
      </c>
      <c r="H13" s="16" t="s">
        <v>51</v>
      </c>
      <c r="I13" s="41" t="n">
        <f aca="false">SUMIFS(E27:E386,S27:S386,1)</f>
        <v>0</v>
      </c>
    </row>
    <row r="14" customFormat="false" ht="15" hidden="false" customHeight="false" outlineLevel="0" collapsed="false">
      <c r="B14" s="16" t="s">
        <v>182</v>
      </c>
      <c r="C14" s="53"/>
      <c r="E14" s="18" t="s">
        <v>183</v>
      </c>
      <c r="H14" s="16" t="s">
        <v>184</v>
      </c>
      <c r="I14" s="41" t="n">
        <f aca="false">SUMIFS(N27:N386,S27:S386,1)</f>
        <v>0</v>
      </c>
    </row>
    <row r="15" customFormat="false" ht="15" hidden="false" customHeight="false" outlineLevel="0" collapsed="false">
      <c r="B15" s="16" t="s">
        <v>185</v>
      </c>
      <c r="C15" s="53" t="n">
        <v>0</v>
      </c>
      <c r="H15" s="16" t="s">
        <v>186</v>
      </c>
      <c r="I15" s="75" t="n">
        <f aca="false">IF($F$6&lt;&gt;"Sí",0,IF(N(C16)&gt;0,1-I6/C16,IF(N(C9)&gt;0,1-I6/C9,0)))</f>
        <v>0</v>
      </c>
    </row>
    <row r="16" customFormat="false" ht="15" hidden="false" customHeight="false" outlineLevel="0" collapsed="false">
      <c r="B16" s="16" t="s">
        <v>187</v>
      </c>
      <c r="C16" s="53"/>
      <c r="H16" s="16" t="s">
        <v>188</v>
      </c>
      <c r="I16" s="75" t="str">
        <f aca="false">IF(N(C12)=0,"",(N(C11)-1+I7)/C12)</f>
        <v/>
      </c>
    </row>
    <row r="17" customFormat="false" ht="15" hidden="false" customHeight="false" outlineLevel="0" collapsed="false">
      <c r="B17" s="16" t="s">
        <v>94</v>
      </c>
      <c r="C17" s="15" t="s">
        <v>189</v>
      </c>
      <c r="H17" s="16" t="s">
        <v>42</v>
      </c>
      <c r="I17" s="71" t="n">
        <f aca="false">COUNTIFS(S27:S386,1,C27:C386,"&lt;"&amp;$F$12)</f>
        <v>0</v>
      </c>
    </row>
    <row r="18" customFormat="false" ht="15" hidden="false" customHeight="false" outlineLevel="0" collapsed="false">
      <c r="B18" s="16" t="s">
        <v>190</v>
      </c>
      <c r="C18" s="73"/>
      <c r="H18" s="16" t="s">
        <v>191</v>
      </c>
      <c r="I18" s="41" t="n">
        <f aca="false">F9</f>
        <v>0</v>
      </c>
    </row>
    <row r="19" customFormat="false" ht="15" hidden="false" customHeight="false" outlineLevel="0" collapsed="false">
      <c r="B19" s="16" t="s">
        <v>192</v>
      </c>
      <c r="C19" s="74"/>
      <c r="H19" s="28" t="s">
        <v>54</v>
      </c>
      <c r="I19" s="28" t="str">
        <f aca="false">IF(F6&lt;&gt;"Sí","Sin datos",IF(I17&gt;0,"Vencidas sin marcar",IF(I11=0,"Pagado","Al día")))</f>
        <v>Sin datos</v>
      </c>
    </row>
    <row r="20" customFormat="false" ht="15" hidden="false" customHeight="false" outlineLevel="0" collapsed="false">
      <c r="B20" s="16" t="s">
        <v>193</v>
      </c>
      <c r="C20" s="73"/>
    </row>
    <row r="21" customFormat="false" ht="15" hidden="false" customHeight="false" outlineLevel="0" collapsed="false">
      <c r="B21" s="7" t="s">
        <v>194</v>
      </c>
      <c r="C21" s="8"/>
      <c r="D21" s="8"/>
      <c r="E21" s="8"/>
      <c r="F21" s="8"/>
      <c r="G21" s="8"/>
    </row>
    <row r="22" customFormat="false" ht="15" hidden="false" customHeight="false" outlineLevel="0" collapsed="false">
      <c r="B22" s="16" t="s">
        <v>195</v>
      </c>
      <c r="C22" s="53"/>
      <c r="E22" s="16" t="s">
        <v>196</v>
      </c>
      <c r="F22" s="76" t="str">
        <f aca="false">IF(OR(I6&lt;=0,F9-N(C15)+N(C22)&lt;=0),"",IFERROR(IF(F7=0,I6/(F9-N(C15)+N(C22)),NPER(F7,-(F9-N(C15)+N(C22)),I6)),"No alcanza"))</f>
        <v/>
      </c>
      <c r="G22" s="41" t="str">
        <f aca="false">IF(OR(F22="",NOT(ISNUMBER(F22))),"",(F9-N(C15)+N(C22))*F22-I6)</f>
        <v/>
      </c>
    </row>
    <row r="23" customFormat="false" ht="15" hidden="false" customHeight="false" outlineLevel="0" collapsed="false">
      <c r="B23" s="16" t="s">
        <v>197</v>
      </c>
      <c r="C23" s="73"/>
      <c r="E23" s="16" t="s">
        <v>198</v>
      </c>
      <c r="F23" s="41" t="str">
        <f aca="false">IF(OR(N(C23)=0,I6&lt;=0),"",IF(F7=0,I6/C23,PMT(F7,C23,-I6))+N(C15))</f>
        <v/>
      </c>
      <c r="G23" s="18" t="s">
        <v>199</v>
      </c>
    </row>
    <row r="25" customFormat="false" ht="15" hidden="false" customHeight="false" outlineLevel="0" collapsed="false">
      <c r="B25" s="18" t="s">
        <v>200</v>
      </c>
    </row>
    <row r="26" customFormat="false" ht="30" hidden="false" customHeight="true" outlineLevel="0" collapsed="false">
      <c r="B26" s="9" t="s">
        <v>201</v>
      </c>
      <c r="C26" s="10" t="s">
        <v>146</v>
      </c>
      <c r="D26" s="10" t="s">
        <v>202</v>
      </c>
      <c r="E26" s="10" t="s">
        <v>203</v>
      </c>
      <c r="F26" s="10" t="s">
        <v>204</v>
      </c>
      <c r="G26" s="10" t="s">
        <v>205</v>
      </c>
      <c r="H26" s="10" t="s">
        <v>206</v>
      </c>
      <c r="I26" s="10" t="s">
        <v>207</v>
      </c>
      <c r="J26" s="10" t="s">
        <v>208</v>
      </c>
      <c r="K26" s="10" t="s">
        <v>209</v>
      </c>
      <c r="L26" s="10" t="s">
        <v>210</v>
      </c>
      <c r="M26" s="10" t="s">
        <v>211</v>
      </c>
      <c r="N26" s="10" t="s">
        <v>212</v>
      </c>
      <c r="O26" s="10" t="s">
        <v>213</v>
      </c>
      <c r="P26" s="10" t="s">
        <v>214</v>
      </c>
      <c r="Q26" s="10" t="s">
        <v>54</v>
      </c>
      <c r="R26" s="10" t="s">
        <v>215</v>
      </c>
      <c r="S26" s="10" t="s">
        <v>215</v>
      </c>
    </row>
    <row r="27" customFormat="false" ht="15" hidden="false" customHeight="false" outlineLevel="0" collapsed="false">
      <c r="B27" s="71" t="str">
        <f aca="false">IF($F$6="Sí",N($C$11)+0,"")</f>
        <v/>
      </c>
      <c r="C27" s="72" t="str">
        <f aca="false">IF(OR($F$6&lt;&gt;"Sí",D27&lt;=0.5),"",EDATE($C$10,0))</f>
        <v/>
      </c>
      <c r="D27" s="41" t="n">
        <f aca="false">IF($F$6="Sí",$C$9,0)</f>
        <v>0</v>
      </c>
      <c r="E27" s="41" t="n">
        <f aca="false">D27*$F$7</f>
        <v>0</v>
      </c>
      <c r="F27" s="41" t="n">
        <f aca="false">IF(D27&gt;0.5,N($C$15),0)</f>
        <v>0</v>
      </c>
      <c r="G27" s="41" t="n">
        <f aca="false">IF(AND(D27&gt;0.5,N($C$19)&gt;0,N(B27)&lt;=N($C$20)),D27*$F$8,0)</f>
        <v>0</v>
      </c>
      <c r="H27" s="41" t="n">
        <f aca="false">IF(D27&lt;=0.5,0,MIN(IF(N(I27)&gt;0,I27,$F$9),D27+E27+F27))</f>
        <v>0</v>
      </c>
      <c r="I27" s="77"/>
      <c r="J27" s="77"/>
      <c r="K27" s="41" t="n">
        <f aca="false">IF(D27&lt;=0.5,0,MIN(H27+N(J27),D27+E27+F27))</f>
        <v>0</v>
      </c>
      <c r="L27" s="41" t="n">
        <f aca="false">K27-E27-F27</f>
        <v>0</v>
      </c>
      <c r="M27" s="41" t="n">
        <f aca="false">D27-L27</f>
        <v>0</v>
      </c>
      <c r="N27" s="42" t="n">
        <f aca="false">K27-G27</f>
        <v>0</v>
      </c>
      <c r="O27" s="78"/>
      <c r="P27" s="79"/>
      <c r="Q27" s="16" t="str">
        <f aca="false">IF(K27=0,"",IF(R27=1,"Pagada",IF(C27&lt;$F$12,"Vencida",IF(1=$F$13,"Próxima","Pendiente"))))</f>
        <v/>
      </c>
      <c r="R27" s="62" t="n">
        <f aca="false">IF(AND(K27&gt;0,OR(O27="Sí",O27="Si")),1,0)</f>
        <v>0</v>
      </c>
      <c r="S27" s="62" t="n">
        <f aca="false">IF(AND(K27&gt;0,R27=0),1,0)</f>
        <v>0</v>
      </c>
    </row>
    <row r="28" customFormat="false" ht="15" hidden="false" customHeight="false" outlineLevel="0" collapsed="false">
      <c r="B28" s="71" t="str">
        <f aca="false">IF($F$6="Sí",N($C$11)+1,"")</f>
        <v/>
      </c>
      <c r="C28" s="72" t="str">
        <f aca="false">IF(OR($F$6&lt;&gt;"Sí",D28&lt;=0.5),"",EDATE($C$10,1))</f>
        <v/>
      </c>
      <c r="D28" s="41" t="n">
        <f aca="false">MAX(0,M27)</f>
        <v>0</v>
      </c>
      <c r="E28" s="41" t="n">
        <f aca="false">D28*$F$7</f>
        <v>0</v>
      </c>
      <c r="F28" s="41" t="n">
        <f aca="false">IF(D28&gt;0.5,N($C$15),0)</f>
        <v>0</v>
      </c>
      <c r="G28" s="41" t="n">
        <f aca="false">IF(AND(D28&gt;0.5,N($C$19)&gt;0,N(B28)&lt;=N($C$20)),D28*$F$8,0)</f>
        <v>0</v>
      </c>
      <c r="H28" s="41" t="n">
        <f aca="false">IF(D28&lt;=0.5,0,MIN(IF(N(I28)&gt;0,I28,$F$9),D28+E28+F28))</f>
        <v>0</v>
      </c>
      <c r="I28" s="77"/>
      <c r="J28" s="77"/>
      <c r="K28" s="41" t="n">
        <f aca="false">IF(D28&lt;=0.5,0,MIN(H28+N(J28),D28+E28+F28))</f>
        <v>0</v>
      </c>
      <c r="L28" s="41" t="n">
        <f aca="false">K28-E28-F28</f>
        <v>0</v>
      </c>
      <c r="M28" s="41" t="n">
        <f aca="false">D28-L28</f>
        <v>0</v>
      </c>
      <c r="N28" s="42" t="n">
        <f aca="false">K28-G28</f>
        <v>0</v>
      </c>
      <c r="O28" s="78"/>
      <c r="P28" s="79"/>
      <c r="Q28" s="16" t="str">
        <f aca="false">IF(K28=0,"",IF(R28=1,"Pagada",IF(C28&lt;$F$12,"Vencida",IF(2=$F$13,"Próxima","Pendiente"))))</f>
        <v/>
      </c>
      <c r="R28" s="62" t="n">
        <f aca="false">IF(AND(K28&gt;0,OR(O28="Sí",O28="Si")),1,0)</f>
        <v>0</v>
      </c>
      <c r="S28" s="62" t="n">
        <f aca="false">IF(AND(K28&gt;0,R28=0),1,0)</f>
        <v>0</v>
      </c>
    </row>
    <row r="29" customFormat="false" ht="15" hidden="false" customHeight="false" outlineLevel="0" collapsed="false">
      <c r="B29" s="71" t="str">
        <f aca="false">IF($F$6="Sí",N($C$11)+2,"")</f>
        <v/>
      </c>
      <c r="C29" s="72" t="str">
        <f aca="false">IF(OR($F$6&lt;&gt;"Sí",D29&lt;=0.5),"",EDATE($C$10,2))</f>
        <v/>
      </c>
      <c r="D29" s="41" t="n">
        <f aca="false">MAX(0,M28)</f>
        <v>0</v>
      </c>
      <c r="E29" s="41" t="n">
        <f aca="false">D29*$F$7</f>
        <v>0</v>
      </c>
      <c r="F29" s="41" t="n">
        <f aca="false">IF(D29&gt;0.5,N($C$15),0)</f>
        <v>0</v>
      </c>
      <c r="G29" s="41" t="n">
        <f aca="false">IF(AND(D29&gt;0.5,N($C$19)&gt;0,N(B29)&lt;=N($C$20)),D29*$F$8,0)</f>
        <v>0</v>
      </c>
      <c r="H29" s="41" t="n">
        <f aca="false">IF(D29&lt;=0.5,0,MIN(IF(N(I29)&gt;0,I29,$F$9),D29+E29+F29))</f>
        <v>0</v>
      </c>
      <c r="I29" s="77"/>
      <c r="J29" s="77"/>
      <c r="K29" s="41" t="n">
        <f aca="false">IF(D29&lt;=0.5,0,MIN(H29+N(J29),D29+E29+F29))</f>
        <v>0</v>
      </c>
      <c r="L29" s="41" t="n">
        <f aca="false">K29-E29-F29</f>
        <v>0</v>
      </c>
      <c r="M29" s="41" t="n">
        <f aca="false">D29-L29</f>
        <v>0</v>
      </c>
      <c r="N29" s="42" t="n">
        <f aca="false">K29-G29</f>
        <v>0</v>
      </c>
      <c r="O29" s="78"/>
      <c r="P29" s="79"/>
      <c r="Q29" s="16" t="str">
        <f aca="false">IF(K29=0,"",IF(R29=1,"Pagada",IF(C29&lt;$F$12,"Vencida",IF(3=$F$13,"Próxima","Pendiente"))))</f>
        <v/>
      </c>
      <c r="R29" s="62" t="n">
        <f aca="false">IF(AND(K29&gt;0,OR(O29="Sí",O29="Si")),1,0)</f>
        <v>0</v>
      </c>
      <c r="S29" s="62" t="n">
        <f aca="false">IF(AND(K29&gt;0,R29=0),1,0)</f>
        <v>0</v>
      </c>
    </row>
    <row r="30" customFormat="false" ht="15" hidden="false" customHeight="false" outlineLevel="0" collapsed="false">
      <c r="B30" s="71" t="str">
        <f aca="false">IF($F$6="Sí",N($C$11)+3,"")</f>
        <v/>
      </c>
      <c r="C30" s="72" t="str">
        <f aca="false">IF(OR($F$6&lt;&gt;"Sí",D30&lt;=0.5),"",EDATE($C$10,3))</f>
        <v/>
      </c>
      <c r="D30" s="41" t="n">
        <f aca="false">MAX(0,M29)</f>
        <v>0</v>
      </c>
      <c r="E30" s="41" t="n">
        <f aca="false">D30*$F$7</f>
        <v>0</v>
      </c>
      <c r="F30" s="41" t="n">
        <f aca="false">IF(D30&gt;0.5,N($C$15),0)</f>
        <v>0</v>
      </c>
      <c r="G30" s="41" t="n">
        <f aca="false">IF(AND(D30&gt;0.5,N($C$19)&gt;0,N(B30)&lt;=N($C$20)),D30*$F$8,0)</f>
        <v>0</v>
      </c>
      <c r="H30" s="41" t="n">
        <f aca="false">IF(D30&lt;=0.5,0,MIN(IF(N(I30)&gt;0,I30,$F$9),D30+E30+F30))</f>
        <v>0</v>
      </c>
      <c r="I30" s="77"/>
      <c r="J30" s="77"/>
      <c r="K30" s="41" t="n">
        <f aca="false">IF(D30&lt;=0.5,0,MIN(H30+N(J30),D30+E30+F30))</f>
        <v>0</v>
      </c>
      <c r="L30" s="41" t="n">
        <f aca="false">K30-E30-F30</f>
        <v>0</v>
      </c>
      <c r="M30" s="41" t="n">
        <f aca="false">D30-L30</f>
        <v>0</v>
      </c>
      <c r="N30" s="42" t="n">
        <f aca="false">K30-G30</f>
        <v>0</v>
      </c>
      <c r="O30" s="78"/>
      <c r="P30" s="79"/>
      <c r="Q30" s="16" t="str">
        <f aca="false">IF(K30=0,"",IF(R30=1,"Pagada",IF(C30&lt;$F$12,"Vencida",IF(4=$F$13,"Próxima","Pendiente"))))</f>
        <v/>
      </c>
      <c r="R30" s="62" t="n">
        <f aca="false">IF(AND(K30&gt;0,OR(O30="Sí",O30="Si")),1,0)</f>
        <v>0</v>
      </c>
      <c r="S30" s="62" t="n">
        <f aca="false">IF(AND(K30&gt;0,R30=0),1,0)</f>
        <v>0</v>
      </c>
    </row>
    <row r="31" customFormat="false" ht="15" hidden="false" customHeight="false" outlineLevel="0" collapsed="false">
      <c r="B31" s="71" t="str">
        <f aca="false">IF($F$6="Sí",N($C$11)+4,"")</f>
        <v/>
      </c>
      <c r="C31" s="72" t="str">
        <f aca="false">IF(OR($F$6&lt;&gt;"Sí",D31&lt;=0.5),"",EDATE($C$10,4))</f>
        <v/>
      </c>
      <c r="D31" s="41" t="n">
        <f aca="false">MAX(0,M30)</f>
        <v>0</v>
      </c>
      <c r="E31" s="41" t="n">
        <f aca="false">D31*$F$7</f>
        <v>0</v>
      </c>
      <c r="F31" s="41" t="n">
        <f aca="false">IF(D31&gt;0.5,N($C$15),0)</f>
        <v>0</v>
      </c>
      <c r="G31" s="41" t="n">
        <f aca="false">IF(AND(D31&gt;0.5,N($C$19)&gt;0,N(B31)&lt;=N($C$20)),D31*$F$8,0)</f>
        <v>0</v>
      </c>
      <c r="H31" s="41" t="n">
        <f aca="false">IF(D31&lt;=0.5,0,MIN(IF(N(I31)&gt;0,I31,$F$9),D31+E31+F31))</f>
        <v>0</v>
      </c>
      <c r="I31" s="77"/>
      <c r="J31" s="77"/>
      <c r="K31" s="41" t="n">
        <f aca="false">IF(D31&lt;=0.5,0,MIN(H31+N(J31),D31+E31+F31))</f>
        <v>0</v>
      </c>
      <c r="L31" s="41" t="n">
        <f aca="false">K31-E31-F31</f>
        <v>0</v>
      </c>
      <c r="M31" s="41" t="n">
        <f aca="false">D31-L31</f>
        <v>0</v>
      </c>
      <c r="N31" s="42" t="n">
        <f aca="false">K31-G31</f>
        <v>0</v>
      </c>
      <c r="O31" s="78"/>
      <c r="P31" s="79"/>
      <c r="Q31" s="16" t="str">
        <f aca="false">IF(K31=0,"",IF(R31=1,"Pagada",IF(C31&lt;$F$12,"Vencida",IF(5=$F$13,"Próxima","Pendiente"))))</f>
        <v/>
      </c>
      <c r="R31" s="62" t="n">
        <f aca="false">IF(AND(K31&gt;0,OR(O31="Sí",O31="Si")),1,0)</f>
        <v>0</v>
      </c>
      <c r="S31" s="62" t="n">
        <f aca="false">IF(AND(K31&gt;0,R31=0),1,0)</f>
        <v>0</v>
      </c>
    </row>
    <row r="32" customFormat="false" ht="15" hidden="false" customHeight="false" outlineLevel="0" collapsed="false">
      <c r="B32" s="71" t="str">
        <f aca="false">IF($F$6="Sí",N($C$11)+5,"")</f>
        <v/>
      </c>
      <c r="C32" s="72" t="str">
        <f aca="false">IF(OR($F$6&lt;&gt;"Sí",D32&lt;=0.5),"",EDATE($C$10,5))</f>
        <v/>
      </c>
      <c r="D32" s="41" t="n">
        <f aca="false">MAX(0,M31)</f>
        <v>0</v>
      </c>
      <c r="E32" s="41" t="n">
        <f aca="false">D32*$F$7</f>
        <v>0</v>
      </c>
      <c r="F32" s="41" t="n">
        <f aca="false">IF(D32&gt;0.5,N($C$15),0)</f>
        <v>0</v>
      </c>
      <c r="G32" s="41" t="n">
        <f aca="false">IF(AND(D32&gt;0.5,N($C$19)&gt;0,N(B32)&lt;=N($C$20)),D32*$F$8,0)</f>
        <v>0</v>
      </c>
      <c r="H32" s="41" t="n">
        <f aca="false">IF(D32&lt;=0.5,0,MIN(IF(N(I32)&gt;0,I32,$F$9),D32+E32+F32))</f>
        <v>0</v>
      </c>
      <c r="I32" s="77"/>
      <c r="J32" s="77"/>
      <c r="K32" s="41" t="n">
        <f aca="false">IF(D32&lt;=0.5,0,MIN(H32+N(J32),D32+E32+F32))</f>
        <v>0</v>
      </c>
      <c r="L32" s="41" t="n">
        <f aca="false">K32-E32-F32</f>
        <v>0</v>
      </c>
      <c r="M32" s="41" t="n">
        <f aca="false">D32-L32</f>
        <v>0</v>
      </c>
      <c r="N32" s="42" t="n">
        <f aca="false">K32-G32</f>
        <v>0</v>
      </c>
      <c r="O32" s="78"/>
      <c r="P32" s="79"/>
      <c r="Q32" s="16" t="str">
        <f aca="false">IF(K32=0,"",IF(R32=1,"Pagada",IF(C32&lt;$F$12,"Vencida",IF(6=$F$13,"Próxima","Pendiente"))))</f>
        <v/>
      </c>
      <c r="R32" s="62" t="n">
        <f aca="false">IF(AND(K32&gt;0,OR(O32="Sí",O32="Si")),1,0)</f>
        <v>0</v>
      </c>
      <c r="S32" s="62" t="n">
        <f aca="false">IF(AND(K32&gt;0,R32=0),1,0)</f>
        <v>0</v>
      </c>
    </row>
    <row r="33" customFormat="false" ht="15" hidden="false" customHeight="false" outlineLevel="0" collapsed="false">
      <c r="B33" s="71" t="str">
        <f aca="false">IF($F$6="Sí",N($C$11)+6,"")</f>
        <v/>
      </c>
      <c r="C33" s="72" t="str">
        <f aca="false">IF(OR($F$6&lt;&gt;"Sí",D33&lt;=0.5),"",EDATE($C$10,6))</f>
        <v/>
      </c>
      <c r="D33" s="41" t="n">
        <f aca="false">MAX(0,M32)</f>
        <v>0</v>
      </c>
      <c r="E33" s="41" t="n">
        <f aca="false">D33*$F$7</f>
        <v>0</v>
      </c>
      <c r="F33" s="41" t="n">
        <f aca="false">IF(D33&gt;0.5,N($C$15),0)</f>
        <v>0</v>
      </c>
      <c r="G33" s="41" t="n">
        <f aca="false">IF(AND(D33&gt;0.5,N($C$19)&gt;0,N(B33)&lt;=N($C$20)),D33*$F$8,0)</f>
        <v>0</v>
      </c>
      <c r="H33" s="41" t="n">
        <f aca="false">IF(D33&lt;=0.5,0,MIN(IF(N(I33)&gt;0,I33,$F$9),D33+E33+F33))</f>
        <v>0</v>
      </c>
      <c r="I33" s="77"/>
      <c r="J33" s="77"/>
      <c r="K33" s="41" t="n">
        <f aca="false">IF(D33&lt;=0.5,0,MIN(H33+N(J33),D33+E33+F33))</f>
        <v>0</v>
      </c>
      <c r="L33" s="41" t="n">
        <f aca="false">K33-E33-F33</f>
        <v>0</v>
      </c>
      <c r="M33" s="41" t="n">
        <f aca="false">D33-L33</f>
        <v>0</v>
      </c>
      <c r="N33" s="42" t="n">
        <f aca="false">K33-G33</f>
        <v>0</v>
      </c>
      <c r="O33" s="78"/>
      <c r="P33" s="79"/>
      <c r="Q33" s="16" t="str">
        <f aca="false">IF(K33=0,"",IF(R33=1,"Pagada",IF(C33&lt;$F$12,"Vencida",IF(7=$F$13,"Próxima","Pendiente"))))</f>
        <v/>
      </c>
      <c r="R33" s="62" t="n">
        <f aca="false">IF(AND(K33&gt;0,OR(O33="Sí",O33="Si")),1,0)</f>
        <v>0</v>
      </c>
      <c r="S33" s="62" t="n">
        <f aca="false">IF(AND(K33&gt;0,R33=0),1,0)</f>
        <v>0</v>
      </c>
    </row>
    <row r="34" customFormat="false" ht="15" hidden="false" customHeight="false" outlineLevel="0" collapsed="false">
      <c r="B34" s="71" t="str">
        <f aca="false">IF($F$6="Sí",N($C$11)+7,"")</f>
        <v/>
      </c>
      <c r="C34" s="72" t="str">
        <f aca="false">IF(OR($F$6&lt;&gt;"Sí",D34&lt;=0.5),"",EDATE($C$10,7))</f>
        <v/>
      </c>
      <c r="D34" s="41" t="n">
        <f aca="false">MAX(0,M33)</f>
        <v>0</v>
      </c>
      <c r="E34" s="41" t="n">
        <f aca="false">D34*$F$7</f>
        <v>0</v>
      </c>
      <c r="F34" s="41" t="n">
        <f aca="false">IF(D34&gt;0.5,N($C$15),0)</f>
        <v>0</v>
      </c>
      <c r="G34" s="41" t="n">
        <f aca="false">IF(AND(D34&gt;0.5,N($C$19)&gt;0,N(B34)&lt;=N($C$20)),D34*$F$8,0)</f>
        <v>0</v>
      </c>
      <c r="H34" s="41" t="n">
        <f aca="false">IF(D34&lt;=0.5,0,MIN(IF(N(I34)&gt;0,I34,$F$9),D34+E34+F34))</f>
        <v>0</v>
      </c>
      <c r="I34" s="77"/>
      <c r="J34" s="77"/>
      <c r="K34" s="41" t="n">
        <f aca="false">IF(D34&lt;=0.5,0,MIN(H34+N(J34),D34+E34+F34))</f>
        <v>0</v>
      </c>
      <c r="L34" s="41" t="n">
        <f aca="false">K34-E34-F34</f>
        <v>0</v>
      </c>
      <c r="M34" s="41" t="n">
        <f aca="false">D34-L34</f>
        <v>0</v>
      </c>
      <c r="N34" s="42" t="n">
        <f aca="false">K34-G34</f>
        <v>0</v>
      </c>
      <c r="O34" s="78"/>
      <c r="P34" s="79"/>
      <c r="Q34" s="16" t="str">
        <f aca="false">IF(K34=0,"",IF(R34=1,"Pagada",IF(C34&lt;$F$12,"Vencida",IF(8=$F$13,"Próxima","Pendiente"))))</f>
        <v/>
      </c>
      <c r="R34" s="62" t="n">
        <f aca="false">IF(AND(K34&gt;0,OR(O34="Sí",O34="Si")),1,0)</f>
        <v>0</v>
      </c>
      <c r="S34" s="62" t="n">
        <f aca="false">IF(AND(K34&gt;0,R34=0),1,0)</f>
        <v>0</v>
      </c>
    </row>
    <row r="35" customFormat="false" ht="15" hidden="false" customHeight="false" outlineLevel="0" collapsed="false">
      <c r="B35" s="71" t="str">
        <f aca="false">IF($F$6="Sí",N($C$11)+8,"")</f>
        <v/>
      </c>
      <c r="C35" s="72" t="str">
        <f aca="false">IF(OR($F$6&lt;&gt;"Sí",D35&lt;=0.5),"",EDATE($C$10,8))</f>
        <v/>
      </c>
      <c r="D35" s="41" t="n">
        <f aca="false">MAX(0,M34)</f>
        <v>0</v>
      </c>
      <c r="E35" s="41" t="n">
        <f aca="false">D35*$F$7</f>
        <v>0</v>
      </c>
      <c r="F35" s="41" t="n">
        <f aca="false">IF(D35&gt;0.5,N($C$15),0)</f>
        <v>0</v>
      </c>
      <c r="G35" s="41" t="n">
        <f aca="false">IF(AND(D35&gt;0.5,N($C$19)&gt;0,N(B35)&lt;=N($C$20)),D35*$F$8,0)</f>
        <v>0</v>
      </c>
      <c r="H35" s="41" t="n">
        <f aca="false">IF(D35&lt;=0.5,0,MIN(IF(N(I35)&gt;0,I35,$F$9),D35+E35+F35))</f>
        <v>0</v>
      </c>
      <c r="I35" s="77"/>
      <c r="J35" s="77"/>
      <c r="K35" s="41" t="n">
        <f aca="false">IF(D35&lt;=0.5,0,MIN(H35+N(J35),D35+E35+F35))</f>
        <v>0</v>
      </c>
      <c r="L35" s="41" t="n">
        <f aca="false">K35-E35-F35</f>
        <v>0</v>
      </c>
      <c r="M35" s="41" t="n">
        <f aca="false">D35-L35</f>
        <v>0</v>
      </c>
      <c r="N35" s="42" t="n">
        <f aca="false">K35-G35</f>
        <v>0</v>
      </c>
      <c r="O35" s="78"/>
      <c r="P35" s="79"/>
      <c r="Q35" s="16" t="str">
        <f aca="false">IF(K35=0,"",IF(R35=1,"Pagada",IF(C35&lt;$F$12,"Vencida",IF(9=$F$13,"Próxima","Pendiente"))))</f>
        <v/>
      </c>
      <c r="R35" s="62" t="n">
        <f aca="false">IF(AND(K35&gt;0,OR(O35="Sí",O35="Si")),1,0)</f>
        <v>0</v>
      </c>
      <c r="S35" s="62" t="n">
        <f aca="false">IF(AND(K35&gt;0,R35=0),1,0)</f>
        <v>0</v>
      </c>
    </row>
    <row r="36" customFormat="false" ht="15" hidden="false" customHeight="false" outlineLevel="0" collapsed="false">
      <c r="B36" s="71" t="str">
        <f aca="false">IF($F$6="Sí",N($C$11)+9,"")</f>
        <v/>
      </c>
      <c r="C36" s="72" t="str">
        <f aca="false">IF(OR($F$6&lt;&gt;"Sí",D36&lt;=0.5),"",EDATE($C$10,9))</f>
        <v/>
      </c>
      <c r="D36" s="41" t="n">
        <f aca="false">MAX(0,M35)</f>
        <v>0</v>
      </c>
      <c r="E36" s="41" t="n">
        <f aca="false">D36*$F$7</f>
        <v>0</v>
      </c>
      <c r="F36" s="41" t="n">
        <f aca="false">IF(D36&gt;0.5,N($C$15),0)</f>
        <v>0</v>
      </c>
      <c r="G36" s="41" t="n">
        <f aca="false">IF(AND(D36&gt;0.5,N($C$19)&gt;0,N(B36)&lt;=N($C$20)),D36*$F$8,0)</f>
        <v>0</v>
      </c>
      <c r="H36" s="41" t="n">
        <f aca="false">IF(D36&lt;=0.5,0,MIN(IF(N(I36)&gt;0,I36,$F$9),D36+E36+F36))</f>
        <v>0</v>
      </c>
      <c r="I36" s="77"/>
      <c r="J36" s="77"/>
      <c r="K36" s="41" t="n">
        <f aca="false">IF(D36&lt;=0.5,0,MIN(H36+N(J36),D36+E36+F36))</f>
        <v>0</v>
      </c>
      <c r="L36" s="41" t="n">
        <f aca="false">K36-E36-F36</f>
        <v>0</v>
      </c>
      <c r="M36" s="41" t="n">
        <f aca="false">D36-L36</f>
        <v>0</v>
      </c>
      <c r="N36" s="42" t="n">
        <f aca="false">K36-G36</f>
        <v>0</v>
      </c>
      <c r="O36" s="78"/>
      <c r="P36" s="79"/>
      <c r="Q36" s="16" t="str">
        <f aca="false">IF(K36=0,"",IF(R36=1,"Pagada",IF(C36&lt;$F$12,"Vencida",IF(10=$F$13,"Próxima","Pendiente"))))</f>
        <v/>
      </c>
      <c r="R36" s="62" t="n">
        <f aca="false">IF(AND(K36&gt;0,OR(O36="Sí",O36="Si")),1,0)</f>
        <v>0</v>
      </c>
      <c r="S36" s="62" t="n">
        <f aca="false">IF(AND(K36&gt;0,R36=0),1,0)</f>
        <v>0</v>
      </c>
    </row>
    <row r="37" customFormat="false" ht="15" hidden="false" customHeight="false" outlineLevel="0" collapsed="false">
      <c r="B37" s="71" t="str">
        <f aca="false">IF($F$6="Sí",N($C$11)+10,"")</f>
        <v/>
      </c>
      <c r="C37" s="72" t="str">
        <f aca="false">IF(OR($F$6&lt;&gt;"Sí",D37&lt;=0.5),"",EDATE($C$10,10))</f>
        <v/>
      </c>
      <c r="D37" s="41" t="n">
        <f aca="false">MAX(0,M36)</f>
        <v>0</v>
      </c>
      <c r="E37" s="41" t="n">
        <f aca="false">D37*$F$7</f>
        <v>0</v>
      </c>
      <c r="F37" s="41" t="n">
        <f aca="false">IF(D37&gt;0.5,N($C$15),0)</f>
        <v>0</v>
      </c>
      <c r="G37" s="41" t="n">
        <f aca="false">IF(AND(D37&gt;0.5,N($C$19)&gt;0,N(B37)&lt;=N($C$20)),D37*$F$8,0)</f>
        <v>0</v>
      </c>
      <c r="H37" s="41" t="n">
        <f aca="false">IF(D37&lt;=0.5,0,MIN(IF(N(I37)&gt;0,I37,$F$9),D37+E37+F37))</f>
        <v>0</v>
      </c>
      <c r="I37" s="77"/>
      <c r="J37" s="77"/>
      <c r="K37" s="41" t="n">
        <f aca="false">IF(D37&lt;=0.5,0,MIN(H37+N(J37),D37+E37+F37))</f>
        <v>0</v>
      </c>
      <c r="L37" s="41" t="n">
        <f aca="false">K37-E37-F37</f>
        <v>0</v>
      </c>
      <c r="M37" s="41" t="n">
        <f aca="false">D37-L37</f>
        <v>0</v>
      </c>
      <c r="N37" s="42" t="n">
        <f aca="false">K37-G37</f>
        <v>0</v>
      </c>
      <c r="O37" s="78"/>
      <c r="P37" s="79"/>
      <c r="Q37" s="16" t="str">
        <f aca="false">IF(K37=0,"",IF(R37=1,"Pagada",IF(C37&lt;$F$12,"Vencida",IF(11=$F$13,"Próxima","Pendiente"))))</f>
        <v/>
      </c>
      <c r="R37" s="62" t="n">
        <f aca="false">IF(AND(K37&gt;0,OR(O37="Sí",O37="Si")),1,0)</f>
        <v>0</v>
      </c>
      <c r="S37" s="62" t="n">
        <f aca="false">IF(AND(K37&gt;0,R37=0),1,0)</f>
        <v>0</v>
      </c>
    </row>
    <row r="38" customFormat="false" ht="15" hidden="false" customHeight="false" outlineLevel="0" collapsed="false">
      <c r="B38" s="71" t="str">
        <f aca="false">IF($F$6="Sí",N($C$11)+11,"")</f>
        <v/>
      </c>
      <c r="C38" s="72" t="str">
        <f aca="false">IF(OR($F$6&lt;&gt;"Sí",D38&lt;=0.5),"",EDATE($C$10,11))</f>
        <v/>
      </c>
      <c r="D38" s="41" t="n">
        <f aca="false">MAX(0,M37)</f>
        <v>0</v>
      </c>
      <c r="E38" s="41" t="n">
        <f aca="false">D38*$F$7</f>
        <v>0</v>
      </c>
      <c r="F38" s="41" t="n">
        <f aca="false">IF(D38&gt;0.5,N($C$15),0)</f>
        <v>0</v>
      </c>
      <c r="G38" s="41" t="n">
        <f aca="false">IF(AND(D38&gt;0.5,N($C$19)&gt;0,N(B38)&lt;=N($C$20)),D38*$F$8,0)</f>
        <v>0</v>
      </c>
      <c r="H38" s="41" t="n">
        <f aca="false">IF(D38&lt;=0.5,0,MIN(IF(N(I38)&gt;0,I38,$F$9),D38+E38+F38))</f>
        <v>0</v>
      </c>
      <c r="I38" s="77"/>
      <c r="J38" s="77"/>
      <c r="K38" s="41" t="n">
        <f aca="false">IF(D38&lt;=0.5,0,MIN(H38+N(J38),D38+E38+F38))</f>
        <v>0</v>
      </c>
      <c r="L38" s="41" t="n">
        <f aca="false">K38-E38-F38</f>
        <v>0</v>
      </c>
      <c r="M38" s="41" t="n">
        <f aca="false">D38-L38</f>
        <v>0</v>
      </c>
      <c r="N38" s="42" t="n">
        <f aca="false">K38-G38</f>
        <v>0</v>
      </c>
      <c r="O38" s="78"/>
      <c r="P38" s="79"/>
      <c r="Q38" s="16" t="str">
        <f aca="false">IF(K38=0,"",IF(R38=1,"Pagada",IF(C38&lt;$F$12,"Vencida",IF(12=$F$13,"Próxima","Pendiente"))))</f>
        <v/>
      </c>
      <c r="R38" s="62" t="n">
        <f aca="false">IF(AND(K38&gt;0,OR(O38="Sí",O38="Si")),1,0)</f>
        <v>0</v>
      </c>
      <c r="S38" s="62" t="n">
        <f aca="false">IF(AND(K38&gt;0,R38=0),1,0)</f>
        <v>0</v>
      </c>
    </row>
    <row r="39" customFormat="false" ht="15" hidden="false" customHeight="false" outlineLevel="0" collapsed="false">
      <c r="B39" s="71" t="str">
        <f aca="false">IF($F$6="Sí",N($C$11)+12,"")</f>
        <v/>
      </c>
      <c r="C39" s="72" t="str">
        <f aca="false">IF(OR($F$6&lt;&gt;"Sí",D39&lt;=0.5),"",EDATE($C$10,12))</f>
        <v/>
      </c>
      <c r="D39" s="41" t="n">
        <f aca="false">MAX(0,M38)</f>
        <v>0</v>
      </c>
      <c r="E39" s="41" t="n">
        <f aca="false">D39*$F$7</f>
        <v>0</v>
      </c>
      <c r="F39" s="41" t="n">
        <f aca="false">IF(D39&gt;0.5,N($C$15),0)</f>
        <v>0</v>
      </c>
      <c r="G39" s="41" t="n">
        <f aca="false">IF(AND(D39&gt;0.5,N($C$19)&gt;0,N(B39)&lt;=N($C$20)),D39*$F$8,0)</f>
        <v>0</v>
      </c>
      <c r="H39" s="41" t="n">
        <f aca="false">IF(D39&lt;=0.5,0,MIN(IF(N(I39)&gt;0,I39,$F$9),D39+E39+F39))</f>
        <v>0</v>
      </c>
      <c r="I39" s="77"/>
      <c r="J39" s="77"/>
      <c r="K39" s="41" t="n">
        <f aca="false">IF(D39&lt;=0.5,0,MIN(H39+N(J39),D39+E39+F39))</f>
        <v>0</v>
      </c>
      <c r="L39" s="41" t="n">
        <f aca="false">K39-E39-F39</f>
        <v>0</v>
      </c>
      <c r="M39" s="41" t="n">
        <f aca="false">D39-L39</f>
        <v>0</v>
      </c>
      <c r="N39" s="42" t="n">
        <f aca="false">K39-G39</f>
        <v>0</v>
      </c>
      <c r="O39" s="78"/>
      <c r="P39" s="79"/>
      <c r="Q39" s="16" t="str">
        <f aca="false">IF(K39=0,"",IF(R39=1,"Pagada",IF(C39&lt;$F$12,"Vencida",IF(13=$F$13,"Próxima","Pendiente"))))</f>
        <v/>
      </c>
      <c r="R39" s="62" t="n">
        <f aca="false">IF(AND(K39&gt;0,OR(O39="Sí",O39="Si")),1,0)</f>
        <v>0</v>
      </c>
      <c r="S39" s="62" t="n">
        <f aca="false">IF(AND(K39&gt;0,R39=0),1,0)</f>
        <v>0</v>
      </c>
    </row>
    <row r="40" customFormat="false" ht="15" hidden="false" customHeight="false" outlineLevel="0" collapsed="false">
      <c r="B40" s="71" t="str">
        <f aca="false">IF($F$6="Sí",N($C$11)+13,"")</f>
        <v/>
      </c>
      <c r="C40" s="72" t="str">
        <f aca="false">IF(OR($F$6&lt;&gt;"Sí",D40&lt;=0.5),"",EDATE($C$10,13))</f>
        <v/>
      </c>
      <c r="D40" s="41" t="n">
        <f aca="false">MAX(0,M39)</f>
        <v>0</v>
      </c>
      <c r="E40" s="41" t="n">
        <f aca="false">D40*$F$7</f>
        <v>0</v>
      </c>
      <c r="F40" s="41" t="n">
        <f aca="false">IF(D40&gt;0.5,N($C$15),0)</f>
        <v>0</v>
      </c>
      <c r="G40" s="41" t="n">
        <f aca="false">IF(AND(D40&gt;0.5,N($C$19)&gt;0,N(B40)&lt;=N($C$20)),D40*$F$8,0)</f>
        <v>0</v>
      </c>
      <c r="H40" s="41" t="n">
        <f aca="false">IF(D40&lt;=0.5,0,MIN(IF(N(I40)&gt;0,I40,$F$9),D40+E40+F40))</f>
        <v>0</v>
      </c>
      <c r="I40" s="77"/>
      <c r="J40" s="77"/>
      <c r="K40" s="41" t="n">
        <f aca="false">IF(D40&lt;=0.5,0,MIN(H40+N(J40),D40+E40+F40))</f>
        <v>0</v>
      </c>
      <c r="L40" s="41" t="n">
        <f aca="false">K40-E40-F40</f>
        <v>0</v>
      </c>
      <c r="M40" s="41" t="n">
        <f aca="false">D40-L40</f>
        <v>0</v>
      </c>
      <c r="N40" s="42" t="n">
        <f aca="false">K40-G40</f>
        <v>0</v>
      </c>
      <c r="O40" s="78"/>
      <c r="P40" s="79"/>
      <c r="Q40" s="16" t="str">
        <f aca="false">IF(K40=0,"",IF(R40=1,"Pagada",IF(C40&lt;$F$12,"Vencida",IF(14=$F$13,"Próxima","Pendiente"))))</f>
        <v/>
      </c>
      <c r="R40" s="62" t="n">
        <f aca="false">IF(AND(K40&gt;0,OR(O40="Sí",O40="Si")),1,0)</f>
        <v>0</v>
      </c>
      <c r="S40" s="62" t="n">
        <f aca="false">IF(AND(K40&gt;0,R40=0),1,0)</f>
        <v>0</v>
      </c>
    </row>
    <row r="41" customFormat="false" ht="15" hidden="false" customHeight="false" outlineLevel="0" collapsed="false">
      <c r="B41" s="71" t="str">
        <f aca="false">IF($F$6="Sí",N($C$11)+14,"")</f>
        <v/>
      </c>
      <c r="C41" s="72" t="str">
        <f aca="false">IF(OR($F$6&lt;&gt;"Sí",D41&lt;=0.5),"",EDATE($C$10,14))</f>
        <v/>
      </c>
      <c r="D41" s="41" t="n">
        <f aca="false">MAX(0,M40)</f>
        <v>0</v>
      </c>
      <c r="E41" s="41" t="n">
        <f aca="false">D41*$F$7</f>
        <v>0</v>
      </c>
      <c r="F41" s="41" t="n">
        <f aca="false">IF(D41&gt;0.5,N($C$15),0)</f>
        <v>0</v>
      </c>
      <c r="G41" s="41" t="n">
        <f aca="false">IF(AND(D41&gt;0.5,N($C$19)&gt;0,N(B41)&lt;=N($C$20)),D41*$F$8,0)</f>
        <v>0</v>
      </c>
      <c r="H41" s="41" t="n">
        <f aca="false">IF(D41&lt;=0.5,0,MIN(IF(N(I41)&gt;0,I41,$F$9),D41+E41+F41))</f>
        <v>0</v>
      </c>
      <c r="I41" s="77"/>
      <c r="J41" s="77"/>
      <c r="K41" s="41" t="n">
        <f aca="false">IF(D41&lt;=0.5,0,MIN(H41+N(J41),D41+E41+F41))</f>
        <v>0</v>
      </c>
      <c r="L41" s="41" t="n">
        <f aca="false">K41-E41-F41</f>
        <v>0</v>
      </c>
      <c r="M41" s="41" t="n">
        <f aca="false">D41-L41</f>
        <v>0</v>
      </c>
      <c r="N41" s="42" t="n">
        <f aca="false">K41-G41</f>
        <v>0</v>
      </c>
      <c r="O41" s="78"/>
      <c r="P41" s="79"/>
      <c r="Q41" s="16" t="str">
        <f aca="false">IF(K41=0,"",IF(R41=1,"Pagada",IF(C41&lt;$F$12,"Vencida",IF(15=$F$13,"Próxima","Pendiente"))))</f>
        <v/>
      </c>
      <c r="R41" s="62" t="n">
        <f aca="false">IF(AND(K41&gt;0,OR(O41="Sí",O41="Si")),1,0)</f>
        <v>0</v>
      </c>
      <c r="S41" s="62" t="n">
        <f aca="false">IF(AND(K41&gt;0,R41=0),1,0)</f>
        <v>0</v>
      </c>
    </row>
    <row r="42" customFormat="false" ht="15" hidden="false" customHeight="false" outlineLevel="0" collapsed="false">
      <c r="B42" s="71" t="str">
        <f aca="false">IF($F$6="Sí",N($C$11)+15,"")</f>
        <v/>
      </c>
      <c r="C42" s="72" t="str">
        <f aca="false">IF(OR($F$6&lt;&gt;"Sí",D42&lt;=0.5),"",EDATE($C$10,15))</f>
        <v/>
      </c>
      <c r="D42" s="41" t="n">
        <f aca="false">MAX(0,M41)</f>
        <v>0</v>
      </c>
      <c r="E42" s="41" t="n">
        <f aca="false">D42*$F$7</f>
        <v>0</v>
      </c>
      <c r="F42" s="41" t="n">
        <f aca="false">IF(D42&gt;0.5,N($C$15),0)</f>
        <v>0</v>
      </c>
      <c r="G42" s="41" t="n">
        <f aca="false">IF(AND(D42&gt;0.5,N($C$19)&gt;0,N(B42)&lt;=N($C$20)),D42*$F$8,0)</f>
        <v>0</v>
      </c>
      <c r="H42" s="41" t="n">
        <f aca="false">IF(D42&lt;=0.5,0,MIN(IF(N(I42)&gt;0,I42,$F$9),D42+E42+F42))</f>
        <v>0</v>
      </c>
      <c r="I42" s="77"/>
      <c r="J42" s="77"/>
      <c r="K42" s="41" t="n">
        <f aca="false">IF(D42&lt;=0.5,0,MIN(H42+N(J42),D42+E42+F42))</f>
        <v>0</v>
      </c>
      <c r="L42" s="41" t="n">
        <f aca="false">K42-E42-F42</f>
        <v>0</v>
      </c>
      <c r="M42" s="41" t="n">
        <f aca="false">D42-L42</f>
        <v>0</v>
      </c>
      <c r="N42" s="42" t="n">
        <f aca="false">K42-G42</f>
        <v>0</v>
      </c>
      <c r="O42" s="78"/>
      <c r="P42" s="79"/>
      <c r="Q42" s="16" t="str">
        <f aca="false">IF(K42=0,"",IF(R42=1,"Pagada",IF(C42&lt;$F$12,"Vencida",IF(16=$F$13,"Próxima","Pendiente"))))</f>
        <v/>
      </c>
      <c r="R42" s="62" t="n">
        <f aca="false">IF(AND(K42&gt;0,OR(O42="Sí",O42="Si")),1,0)</f>
        <v>0</v>
      </c>
      <c r="S42" s="62" t="n">
        <f aca="false">IF(AND(K42&gt;0,R42=0),1,0)</f>
        <v>0</v>
      </c>
    </row>
    <row r="43" customFormat="false" ht="15" hidden="false" customHeight="false" outlineLevel="0" collapsed="false">
      <c r="B43" s="71" t="str">
        <f aca="false">IF($F$6="Sí",N($C$11)+16,"")</f>
        <v/>
      </c>
      <c r="C43" s="72" t="str">
        <f aca="false">IF(OR($F$6&lt;&gt;"Sí",D43&lt;=0.5),"",EDATE($C$10,16))</f>
        <v/>
      </c>
      <c r="D43" s="41" t="n">
        <f aca="false">MAX(0,M42)</f>
        <v>0</v>
      </c>
      <c r="E43" s="41" t="n">
        <f aca="false">D43*$F$7</f>
        <v>0</v>
      </c>
      <c r="F43" s="41" t="n">
        <f aca="false">IF(D43&gt;0.5,N($C$15),0)</f>
        <v>0</v>
      </c>
      <c r="G43" s="41" t="n">
        <f aca="false">IF(AND(D43&gt;0.5,N($C$19)&gt;0,N(B43)&lt;=N($C$20)),D43*$F$8,0)</f>
        <v>0</v>
      </c>
      <c r="H43" s="41" t="n">
        <f aca="false">IF(D43&lt;=0.5,0,MIN(IF(N(I43)&gt;0,I43,$F$9),D43+E43+F43))</f>
        <v>0</v>
      </c>
      <c r="I43" s="77"/>
      <c r="J43" s="77"/>
      <c r="K43" s="41" t="n">
        <f aca="false">IF(D43&lt;=0.5,0,MIN(H43+N(J43),D43+E43+F43))</f>
        <v>0</v>
      </c>
      <c r="L43" s="41" t="n">
        <f aca="false">K43-E43-F43</f>
        <v>0</v>
      </c>
      <c r="M43" s="41" t="n">
        <f aca="false">D43-L43</f>
        <v>0</v>
      </c>
      <c r="N43" s="42" t="n">
        <f aca="false">K43-G43</f>
        <v>0</v>
      </c>
      <c r="O43" s="78"/>
      <c r="P43" s="79"/>
      <c r="Q43" s="16" t="str">
        <f aca="false">IF(K43=0,"",IF(R43=1,"Pagada",IF(C43&lt;$F$12,"Vencida",IF(17=$F$13,"Próxima","Pendiente"))))</f>
        <v/>
      </c>
      <c r="R43" s="62" t="n">
        <f aca="false">IF(AND(K43&gt;0,OR(O43="Sí",O43="Si")),1,0)</f>
        <v>0</v>
      </c>
      <c r="S43" s="62" t="n">
        <f aca="false">IF(AND(K43&gt;0,R43=0),1,0)</f>
        <v>0</v>
      </c>
    </row>
    <row r="44" customFormat="false" ht="15" hidden="false" customHeight="false" outlineLevel="0" collapsed="false">
      <c r="B44" s="71" t="str">
        <f aca="false">IF($F$6="Sí",N($C$11)+17,"")</f>
        <v/>
      </c>
      <c r="C44" s="72" t="str">
        <f aca="false">IF(OR($F$6&lt;&gt;"Sí",D44&lt;=0.5),"",EDATE($C$10,17))</f>
        <v/>
      </c>
      <c r="D44" s="41" t="n">
        <f aca="false">MAX(0,M43)</f>
        <v>0</v>
      </c>
      <c r="E44" s="41" t="n">
        <f aca="false">D44*$F$7</f>
        <v>0</v>
      </c>
      <c r="F44" s="41" t="n">
        <f aca="false">IF(D44&gt;0.5,N($C$15),0)</f>
        <v>0</v>
      </c>
      <c r="G44" s="41" t="n">
        <f aca="false">IF(AND(D44&gt;0.5,N($C$19)&gt;0,N(B44)&lt;=N($C$20)),D44*$F$8,0)</f>
        <v>0</v>
      </c>
      <c r="H44" s="41" t="n">
        <f aca="false">IF(D44&lt;=0.5,0,MIN(IF(N(I44)&gt;0,I44,$F$9),D44+E44+F44))</f>
        <v>0</v>
      </c>
      <c r="I44" s="77"/>
      <c r="J44" s="77"/>
      <c r="K44" s="41" t="n">
        <f aca="false">IF(D44&lt;=0.5,0,MIN(H44+N(J44),D44+E44+F44))</f>
        <v>0</v>
      </c>
      <c r="L44" s="41" t="n">
        <f aca="false">K44-E44-F44</f>
        <v>0</v>
      </c>
      <c r="M44" s="41" t="n">
        <f aca="false">D44-L44</f>
        <v>0</v>
      </c>
      <c r="N44" s="42" t="n">
        <f aca="false">K44-G44</f>
        <v>0</v>
      </c>
      <c r="O44" s="78"/>
      <c r="P44" s="79"/>
      <c r="Q44" s="16" t="str">
        <f aca="false">IF(K44=0,"",IF(R44=1,"Pagada",IF(C44&lt;$F$12,"Vencida",IF(18=$F$13,"Próxima","Pendiente"))))</f>
        <v/>
      </c>
      <c r="R44" s="62" t="n">
        <f aca="false">IF(AND(K44&gt;0,OR(O44="Sí",O44="Si")),1,0)</f>
        <v>0</v>
      </c>
      <c r="S44" s="62" t="n">
        <f aca="false">IF(AND(K44&gt;0,R44=0),1,0)</f>
        <v>0</v>
      </c>
    </row>
    <row r="45" customFormat="false" ht="15" hidden="false" customHeight="false" outlineLevel="0" collapsed="false">
      <c r="B45" s="71" t="str">
        <f aca="false">IF($F$6="Sí",N($C$11)+18,"")</f>
        <v/>
      </c>
      <c r="C45" s="72" t="str">
        <f aca="false">IF(OR($F$6&lt;&gt;"Sí",D45&lt;=0.5),"",EDATE($C$10,18))</f>
        <v/>
      </c>
      <c r="D45" s="41" t="n">
        <f aca="false">MAX(0,M44)</f>
        <v>0</v>
      </c>
      <c r="E45" s="41" t="n">
        <f aca="false">D45*$F$7</f>
        <v>0</v>
      </c>
      <c r="F45" s="41" t="n">
        <f aca="false">IF(D45&gt;0.5,N($C$15),0)</f>
        <v>0</v>
      </c>
      <c r="G45" s="41" t="n">
        <f aca="false">IF(AND(D45&gt;0.5,N($C$19)&gt;0,N(B45)&lt;=N($C$20)),D45*$F$8,0)</f>
        <v>0</v>
      </c>
      <c r="H45" s="41" t="n">
        <f aca="false">IF(D45&lt;=0.5,0,MIN(IF(N(I45)&gt;0,I45,$F$9),D45+E45+F45))</f>
        <v>0</v>
      </c>
      <c r="I45" s="77"/>
      <c r="J45" s="77"/>
      <c r="K45" s="41" t="n">
        <f aca="false">IF(D45&lt;=0.5,0,MIN(H45+N(J45),D45+E45+F45))</f>
        <v>0</v>
      </c>
      <c r="L45" s="41" t="n">
        <f aca="false">K45-E45-F45</f>
        <v>0</v>
      </c>
      <c r="M45" s="41" t="n">
        <f aca="false">D45-L45</f>
        <v>0</v>
      </c>
      <c r="N45" s="42" t="n">
        <f aca="false">K45-G45</f>
        <v>0</v>
      </c>
      <c r="O45" s="78"/>
      <c r="P45" s="79"/>
      <c r="Q45" s="16" t="str">
        <f aca="false">IF(K45=0,"",IF(R45=1,"Pagada",IF(C45&lt;$F$12,"Vencida",IF(19=$F$13,"Próxima","Pendiente"))))</f>
        <v/>
      </c>
      <c r="R45" s="62" t="n">
        <f aca="false">IF(AND(K45&gt;0,OR(O45="Sí",O45="Si")),1,0)</f>
        <v>0</v>
      </c>
      <c r="S45" s="62" t="n">
        <f aca="false">IF(AND(K45&gt;0,R45=0),1,0)</f>
        <v>0</v>
      </c>
    </row>
    <row r="46" customFormat="false" ht="15" hidden="false" customHeight="false" outlineLevel="0" collapsed="false">
      <c r="B46" s="71" t="str">
        <f aca="false">IF($F$6="Sí",N($C$11)+19,"")</f>
        <v/>
      </c>
      <c r="C46" s="72" t="str">
        <f aca="false">IF(OR($F$6&lt;&gt;"Sí",D46&lt;=0.5),"",EDATE($C$10,19))</f>
        <v/>
      </c>
      <c r="D46" s="41" t="n">
        <f aca="false">MAX(0,M45)</f>
        <v>0</v>
      </c>
      <c r="E46" s="41" t="n">
        <f aca="false">D46*$F$7</f>
        <v>0</v>
      </c>
      <c r="F46" s="41" t="n">
        <f aca="false">IF(D46&gt;0.5,N($C$15),0)</f>
        <v>0</v>
      </c>
      <c r="G46" s="41" t="n">
        <f aca="false">IF(AND(D46&gt;0.5,N($C$19)&gt;0,N(B46)&lt;=N($C$20)),D46*$F$8,0)</f>
        <v>0</v>
      </c>
      <c r="H46" s="41" t="n">
        <f aca="false">IF(D46&lt;=0.5,0,MIN(IF(N(I46)&gt;0,I46,$F$9),D46+E46+F46))</f>
        <v>0</v>
      </c>
      <c r="I46" s="77"/>
      <c r="J46" s="77"/>
      <c r="K46" s="41" t="n">
        <f aca="false">IF(D46&lt;=0.5,0,MIN(H46+N(J46),D46+E46+F46))</f>
        <v>0</v>
      </c>
      <c r="L46" s="41" t="n">
        <f aca="false">K46-E46-F46</f>
        <v>0</v>
      </c>
      <c r="M46" s="41" t="n">
        <f aca="false">D46-L46</f>
        <v>0</v>
      </c>
      <c r="N46" s="42" t="n">
        <f aca="false">K46-G46</f>
        <v>0</v>
      </c>
      <c r="O46" s="78"/>
      <c r="P46" s="79"/>
      <c r="Q46" s="16" t="str">
        <f aca="false">IF(K46=0,"",IF(R46=1,"Pagada",IF(C46&lt;$F$12,"Vencida",IF(20=$F$13,"Próxima","Pendiente"))))</f>
        <v/>
      </c>
      <c r="R46" s="62" t="n">
        <f aca="false">IF(AND(K46&gt;0,OR(O46="Sí",O46="Si")),1,0)</f>
        <v>0</v>
      </c>
      <c r="S46" s="62" t="n">
        <f aca="false">IF(AND(K46&gt;0,R46=0),1,0)</f>
        <v>0</v>
      </c>
    </row>
    <row r="47" customFormat="false" ht="15" hidden="false" customHeight="false" outlineLevel="0" collapsed="false">
      <c r="B47" s="71" t="str">
        <f aca="false">IF($F$6="Sí",N($C$11)+20,"")</f>
        <v/>
      </c>
      <c r="C47" s="72" t="str">
        <f aca="false">IF(OR($F$6&lt;&gt;"Sí",D47&lt;=0.5),"",EDATE($C$10,20))</f>
        <v/>
      </c>
      <c r="D47" s="41" t="n">
        <f aca="false">MAX(0,M46)</f>
        <v>0</v>
      </c>
      <c r="E47" s="41" t="n">
        <f aca="false">D47*$F$7</f>
        <v>0</v>
      </c>
      <c r="F47" s="41" t="n">
        <f aca="false">IF(D47&gt;0.5,N($C$15),0)</f>
        <v>0</v>
      </c>
      <c r="G47" s="41" t="n">
        <f aca="false">IF(AND(D47&gt;0.5,N($C$19)&gt;0,N(B47)&lt;=N($C$20)),D47*$F$8,0)</f>
        <v>0</v>
      </c>
      <c r="H47" s="41" t="n">
        <f aca="false">IF(D47&lt;=0.5,0,MIN(IF(N(I47)&gt;0,I47,$F$9),D47+E47+F47))</f>
        <v>0</v>
      </c>
      <c r="I47" s="77"/>
      <c r="J47" s="77"/>
      <c r="K47" s="41" t="n">
        <f aca="false">IF(D47&lt;=0.5,0,MIN(H47+N(J47),D47+E47+F47))</f>
        <v>0</v>
      </c>
      <c r="L47" s="41" t="n">
        <f aca="false">K47-E47-F47</f>
        <v>0</v>
      </c>
      <c r="M47" s="41" t="n">
        <f aca="false">D47-L47</f>
        <v>0</v>
      </c>
      <c r="N47" s="42" t="n">
        <f aca="false">K47-G47</f>
        <v>0</v>
      </c>
      <c r="O47" s="78"/>
      <c r="P47" s="79"/>
      <c r="Q47" s="16" t="str">
        <f aca="false">IF(K47=0,"",IF(R47=1,"Pagada",IF(C47&lt;$F$12,"Vencida",IF(21=$F$13,"Próxima","Pendiente"))))</f>
        <v/>
      </c>
      <c r="R47" s="62" t="n">
        <f aca="false">IF(AND(K47&gt;0,OR(O47="Sí",O47="Si")),1,0)</f>
        <v>0</v>
      </c>
      <c r="S47" s="62" t="n">
        <f aca="false">IF(AND(K47&gt;0,R47=0),1,0)</f>
        <v>0</v>
      </c>
    </row>
    <row r="48" customFormat="false" ht="15" hidden="false" customHeight="false" outlineLevel="0" collapsed="false">
      <c r="B48" s="71" t="str">
        <f aca="false">IF($F$6="Sí",N($C$11)+21,"")</f>
        <v/>
      </c>
      <c r="C48" s="72" t="str">
        <f aca="false">IF(OR($F$6&lt;&gt;"Sí",D48&lt;=0.5),"",EDATE($C$10,21))</f>
        <v/>
      </c>
      <c r="D48" s="41" t="n">
        <f aca="false">MAX(0,M47)</f>
        <v>0</v>
      </c>
      <c r="E48" s="41" t="n">
        <f aca="false">D48*$F$7</f>
        <v>0</v>
      </c>
      <c r="F48" s="41" t="n">
        <f aca="false">IF(D48&gt;0.5,N($C$15),0)</f>
        <v>0</v>
      </c>
      <c r="G48" s="41" t="n">
        <f aca="false">IF(AND(D48&gt;0.5,N($C$19)&gt;0,N(B48)&lt;=N($C$20)),D48*$F$8,0)</f>
        <v>0</v>
      </c>
      <c r="H48" s="41" t="n">
        <f aca="false">IF(D48&lt;=0.5,0,MIN(IF(N(I48)&gt;0,I48,$F$9),D48+E48+F48))</f>
        <v>0</v>
      </c>
      <c r="I48" s="77"/>
      <c r="J48" s="77"/>
      <c r="K48" s="41" t="n">
        <f aca="false">IF(D48&lt;=0.5,0,MIN(H48+N(J48),D48+E48+F48))</f>
        <v>0</v>
      </c>
      <c r="L48" s="41" t="n">
        <f aca="false">K48-E48-F48</f>
        <v>0</v>
      </c>
      <c r="M48" s="41" t="n">
        <f aca="false">D48-L48</f>
        <v>0</v>
      </c>
      <c r="N48" s="42" t="n">
        <f aca="false">K48-G48</f>
        <v>0</v>
      </c>
      <c r="O48" s="78"/>
      <c r="P48" s="79"/>
      <c r="Q48" s="16" t="str">
        <f aca="false">IF(K48=0,"",IF(R48=1,"Pagada",IF(C48&lt;$F$12,"Vencida",IF(22=$F$13,"Próxima","Pendiente"))))</f>
        <v/>
      </c>
      <c r="R48" s="62" t="n">
        <f aca="false">IF(AND(K48&gt;0,OR(O48="Sí",O48="Si")),1,0)</f>
        <v>0</v>
      </c>
      <c r="S48" s="62" t="n">
        <f aca="false">IF(AND(K48&gt;0,R48=0),1,0)</f>
        <v>0</v>
      </c>
    </row>
    <row r="49" customFormat="false" ht="15" hidden="false" customHeight="false" outlineLevel="0" collapsed="false">
      <c r="B49" s="71" t="str">
        <f aca="false">IF($F$6="Sí",N($C$11)+22,"")</f>
        <v/>
      </c>
      <c r="C49" s="72" t="str">
        <f aca="false">IF(OR($F$6&lt;&gt;"Sí",D49&lt;=0.5),"",EDATE($C$10,22))</f>
        <v/>
      </c>
      <c r="D49" s="41" t="n">
        <f aca="false">MAX(0,M48)</f>
        <v>0</v>
      </c>
      <c r="E49" s="41" t="n">
        <f aca="false">D49*$F$7</f>
        <v>0</v>
      </c>
      <c r="F49" s="41" t="n">
        <f aca="false">IF(D49&gt;0.5,N($C$15),0)</f>
        <v>0</v>
      </c>
      <c r="G49" s="41" t="n">
        <f aca="false">IF(AND(D49&gt;0.5,N($C$19)&gt;0,N(B49)&lt;=N($C$20)),D49*$F$8,0)</f>
        <v>0</v>
      </c>
      <c r="H49" s="41" t="n">
        <f aca="false">IF(D49&lt;=0.5,0,MIN(IF(N(I49)&gt;0,I49,$F$9),D49+E49+F49))</f>
        <v>0</v>
      </c>
      <c r="I49" s="77"/>
      <c r="J49" s="77"/>
      <c r="K49" s="41" t="n">
        <f aca="false">IF(D49&lt;=0.5,0,MIN(H49+N(J49),D49+E49+F49))</f>
        <v>0</v>
      </c>
      <c r="L49" s="41" t="n">
        <f aca="false">K49-E49-F49</f>
        <v>0</v>
      </c>
      <c r="M49" s="41" t="n">
        <f aca="false">D49-L49</f>
        <v>0</v>
      </c>
      <c r="N49" s="42" t="n">
        <f aca="false">K49-G49</f>
        <v>0</v>
      </c>
      <c r="O49" s="78"/>
      <c r="P49" s="79"/>
      <c r="Q49" s="16" t="str">
        <f aca="false">IF(K49=0,"",IF(R49=1,"Pagada",IF(C49&lt;$F$12,"Vencida",IF(23=$F$13,"Próxima","Pendiente"))))</f>
        <v/>
      </c>
      <c r="R49" s="62" t="n">
        <f aca="false">IF(AND(K49&gt;0,OR(O49="Sí",O49="Si")),1,0)</f>
        <v>0</v>
      </c>
      <c r="S49" s="62" t="n">
        <f aca="false">IF(AND(K49&gt;0,R49=0),1,0)</f>
        <v>0</v>
      </c>
    </row>
    <row r="50" customFormat="false" ht="15" hidden="false" customHeight="false" outlineLevel="0" collapsed="false">
      <c r="B50" s="71" t="str">
        <f aca="false">IF($F$6="Sí",N($C$11)+23,"")</f>
        <v/>
      </c>
      <c r="C50" s="72" t="str">
        <f aca="false">IF(OR($F$6&lt;&gt;"Sí",D50&lt;=0.5),"",EDATE($C$10,23))</f>
        <v/>
      </c>
      <c r="D50" s="41" t="n">
        <f aca="false">MAX(0,M49)</f>
        <v>0</v>
      </c>
      <c r="E50" s="41" t="n">
        <f aca="false">D50*$F$7</f>
        <v>0</v>
      </c>
      <c r="F50" s="41" t="n">
        <f aca="false">IF(D50&gt;0.5,N($C$15),0)</f>
        <v>0</v>
      </c>
      <c r="G50" s="41" t="n">
        <f aca="false">IF(AND(D50&gt;0.5,N($C$19)&gt;0,N(B50)&lt;=N($C$20)),D50*$F$8,0)</f>
        <v>0</v>
      </c>
      <c r="H50" s="41" t="n">
        <f aca="false">IF(D50&lt;=0.5,0,MIN(IF(N(I50)&gt;0,I50,$F$9),D50+E50+F50))</f>
        <v>0</v>
      </c>
      <c r="I50" s="77"/>
      <c r="J50" s="77"/>
      <c r="K50" s="41" t="n">
        <f aca="false">IF(D50&lt;=0.5,0,MIN(H50+N(J50),D50+E50+F50))</f>
        <v>0</v>
      </c>
      <c r="L50" s="41" t="n">
        <f aca="false">K50-E50-F50</f>
        <v>0</v>
      </c>
      <c r="M50" s="41" t="n">
        <f aca="false">D50-L50</f>
        <v>0</v>
      </c>
      <c r="N50" s="42" t="n">
        <f aca="false">K50-G50</f>
        <v>0</v>
      </c>
      <c r="O50" s="78"/>
      <c r="P50" s="79"/>
      <c r="Q50" s="16" t="str">
        <f aca="false">IF(K50=0,"",IF(R50=1,"Pagada",IF(C50&lt;$F$12,"Vencida",IF(24=$F$13,"Próxima","Pendiente"))))</f>
        <v/>
      </c>
      <c r="R50" s="62" t="n">
        <f aca="false">IF(AND(K50&gt;0,OR(O50="Sí",O50="Si")),1,0)</f>
        <v>0</v>
      </c>
      <c r="S50" s="62" t="n">
        <f aca="false">IF(AND(K50&gt;0,R50=0),1,0)</f>
        <v>0</v>
      </c>
    </row>
    <row r="51" customFormat="false" ht="15" hidden="false" customHeight="false" outlineLevel="0" collapsed="false">
      <c r="B51" s="71" t="str">
        <f aca="false">IF($F$6="Sí",N($C$11)+24,"")</f>
        <v/>
      </c>
      <c r="C51" s="72" t="str">
        <f aca="false">IF(OR($F$6&lt;&gt;"Sí",D51&lt;=0.5),"",EDATE($C$10,24))</f>
        <v/>
      </c>
      <c r="D51" s="41" t="n">
        <f aca="false">MAX(0,M50)</f>
        <v>0</v>
      </c>
      <c r="E51" s="41" t="n">
        <f aca="false">D51*$F$7</f>
        <v>0</v>
      </c>
      <c r="F51" s="41" t="n">
        <f aca="false">IF(D51&gt;0.5,N($C$15),0)</f>
        <v>0</v>
      </c>
      <c r="G51" s="41" t="n">
        <f aca="false">IF(AND(D51&gt;0.5,N($C$19)&gt;0,N(B51)&lt;=N($C$20)),D51*$F$8,0)</f>
        <v>0</v>
      </c>
      <c r="H51" s="41" t="n">
        <f aca="false">IF(D51&lt;=0.5,0,MIN(IF(N(I51)&gt;0,I51,$F$9),D51+E51+F51))</f>
        <v>0</v>
      </c>
      <c r="I51" s="77"/>
      <c r="J51" s="77"/>
      <c r="K51" s="41" t="n">
        <f aca="false">IF(D51&lt;=0.5,0,MIN(H51+N(J51),D51+E51+F51))</f>
        <v>0</v>
      </c>
      <c r="L51" s="41" t="n">
        <f aca="false">K51-E51-F51</f>
        <v>0</v>
      </c>
      <c r="M51" s="41" t="n">
        <f aca="false">D51-L51</f>
        <v>0</v>
      </c>
      <c r="N51" s="42" t="n">
        <f aca="false">K51-G51</f>
        <v>0</v>
      </c>
      <c r="O51" s="78"/>
      <c r="P51" s="79"/>
      <c r="Q51" s="16" t="str">
        <f aca="false">IF(K51=0,"",IF(R51=1,"Pagada",IF(C51&lt;$F$12,"Vencida",IF(25=$F$13,"Próxima","Pendiente"))))</f>
        <v/>
      </c>
      <c r="R51" s="62" t="n">
        <f aca="false">IF(AND(K51&gt;0,OR(O51="Sí",O51="Si")),1,0)</f>
        <v>0</v>
      </c>
      <c r="S51" s="62" t="n">
        <f aca="false">IF(AND(K51&gt;0,R51=0),1,0)</f>
        <v>0</v>
      </c>
    </row>
    <row r="52" customFormat="false" ht="15" hidden="false" customHeight="false" outlineLevel="0" collapsed="false">
      <c r="B52" s="71" t="str">
        <f aca="false">IF($F$6="Sí",N($C$11)+25,"")</f>
        <v/>
      </c>
      <c r="C52" s="72" t="str">
        <f aca="false">IF(OR($F$6&lt;&gt;"Sí",D52&lt;=0.5),"",EDATE($C$10,25))</f>
        <v/>
      </c>
      <c r="D52" s="41" t="n">
        <f aca="false">MAX(0,M51)</f>
        <v>0</v>
      </c>
      <c r="E52" s="41" t="n">
        <f aca="false">D52*$F$7</f>
        <v>0</v>
      </c>
      <c r="F52" s="41" t="n">
        <f aca="false">IF(D52&gt;0.5,N($C$15),0)</f>
        <v>0</v>
      </c>
      <c r="G52" s="41" t="n">
        <f aca="false">IF(AND(D52&gt;0.5,N($C$19)&gt;0,N(B52)&lt;=N($C$20)),D52*$F$8,0)</f>
        <v>0</v>
      </c>
      <c r="H52" s="41" t="n">
        <f aca="false">IF(D52&lt;=0.5,0,MIN(IF(N(I52)&gt;0,I52,$F$9),D52+E52+F52))</f>
        <v>0</v>
      </c>
      <c r="I52" s="77"/>
      <c r="J52" s="77"/>
      <c r="K52" s="41" t="n">
        <f aca="false">IF(D52&lt;=0.5,0,MIN(H52+N(J52),D52+E52+F52))</f>
        <v>0</v>
      </c>
      <c r="L52" s="41" t="n">
        <f aca="false">K52-E52-F52</f>
        <v>0</v>
      </c>
      <c r="M52" s="41" t="n">
        <f aca="false">D52-L52</f>
        <v>0</v>
      </c>
      <c r="N52" s="42" t="n">
        <f aca="false">K52-G52</f>
        <v>0</v>
      </c>
      <c r="O52" s="78"/>
      <c r="P52" s="79"/>
      <c r="Q52" s="16" t="str">
        <f aca="false">IF(K52=0,"",IF(R52=1,"Pagada",IF(C52&lt;$F$12,"Vencida",IF(26=$F$13,"Próxima","Pendiente"))))</f>
        <v/>
      </c>
      <c r="R52" s="62" t="n">
        <f aca="false">IF(AND(K52&gt;0,OR(O52="Sí",O52="Si")),1,0)</f>
        <v>0</v>
      </c>
      <c r="S52" s="62" t="n">
        <f aca="false">IF(AND(K52&gt;0,R52=0),1,0)</f>
        <v>0</v>
      </c>
    </row>
    <row r="53" customFormat="false" ht="15" hidden="false" customHeight="false" outlineLevel="0" collapsed="false">
      <c r="B53" s="71" t="str">
        <f aca="false">IF($F$6="Sí",N($C$11)+26,"")</f>
        <v/>
      </c>
      <c r="C53" s="72" t="str">
        <f aca="false">IF(OR($F$6&lt;&gt;"Sí",D53&lt;=0.5),"",EDATE($C$10,26))</f>
        <v/>
      </c>
      <c r="D53" s="41" t="n">
        <f aca="false">MAX(0,M52)</f>
        <v>0</v>
      </c>
      <c r="E53" s="41" t="n">
        <f aca="false">D53*$F$7</f>
        <v>0</v>
      </c>
      <c r="F53" s="41" t="n">
        <f aca="false">IF(D53&gt;0.5,N($C$15),0)</f>
        <v>0</v>
      </c>
      <c r="G53" s="41" t="n">
        <f aca="false">IF(AND(D53&gt;0.5,N($C$19)&gt;0,N(B53)&lt;=N($C$20)),D53*$F$8,0)</f>
        <v>0</v>
      </c>
      <c r="H53" s="41" t="n">
        <f aca="false">IF(D53&lt;=0.5,0,MIN(IF(N(I53)&gt;0,I53,$F$9),D53+E53+F53))</f>
        <v>0</v>
      </c>
      <c r="I53" s="77"/>
      <c r="J53" s="77"/>
      <c r="K53" s="41" t="n">
        <f aca="false">IF(D53&lt;=0.5,0,MIN(H53+N(J53),D53+E53+F53))</f>
        <v>0</v>
      </c>
      <c r="L53" s="41" t="n">
        <f aca="false">K53-E53-F53</f>
        <v>0</v>
      </c>
      <c r="M53" s="41" t="n">
        <f aca="false">D53-L53</f>
        <v>0</v>
      </c>
      <c r="N53" s="42" t="n">
        <f aca="false">K53-G53</f>
        <v>0</v>
      </c>
      <c r="O53" s="78"/>
      <c r="P53" s="79"/>
      <c r="Q53" s="16" t="str">
        <f aca="false">IF(K53=0,"",IF(R53=1,"Pagada",IF(C53&lt;$F$12,"Vencida",IF(27=$F$13,"Próxima","Pendiente"))))</f>
        <v/>
      </c>
      <c r="R53" s="62" t="n">
        <f aca="false">IF(AND(K53&gt;0,OR(O53="Sí",O53="Si")),1,0)</f>
        <v>0</v>
      </c>
      <c r="S53" s="62" t="n">
        <f aca="false">IF(AND(K53&gt;0,R53=0),1,0)</f>
        <v>0</v>
      </c>
    </row>
    <row r="54" customFormat="false" ht="15" hidden="false" customHeight="false" outlineLevel="0" collapsed="false">
      <c r="B54" s="71" t="str">
        <f aca="false">IF($F$6="Sí",N($C$11)+27,"")</f>
        <v/>
      </c>
      <c r="C54" s="72" t="str">
        <f aca="false">IF(OR($F$6&lt;&gt;"Sí",D54&lt;=0.5),"",EDATE($C$10,27))</f>
        <v/>
      </c>
      <c r="D54" s="41" t="n">
        <f aca="false">MAX(0,M53)</f>
        <v>0</v>
      </c>
      <c r="E54" s="41" t="n">
        <f aca="false">D54*$F$7</f>
        <v>0</v>
      </c>
      <c r="F54" s="41" t="n">
        <f aca="false">IF(D54&gt;0.5,N($C$15),0)</f>
        <v>0</v>
      </c>
      <c r="G54" s="41" t="n">
        <f aca="false">IF(AND(D54&gt;0.5,N($C$19)&gt;0,N(B54)&lt;=N($C$20)),D54*$F$8,0)</f>
        <v>0</v>
      </c>
      <c r="H54" s="41" t="n">
        <f aca="false">IF(D54&lt;=0.5,0,MIN(IF(N(I54)&gt;0,I54,$F$9),D54+E54+F54))</f>
        <v>0</v>
      </c>
      <c r="I54" s="77"/>
      <c r="J54" s="77"/>
      <c r="K54" s="41" t="n">
        <f aca="false">IF(D54&lt;=0.5,0,MIN(H54+N(J54),D54+E54+F54))</f>
        <v>0</v>
      </c>
      <c r="L54" s="41" t="n">
        <f aca="false">K54-E54-F54</f>
        <v>0</v>
      </c>
      <c r="M54" s="41" t="n">
        <f aca="false">D54-L54</f>
        <v>0</v>
      </c>
      <c r="N54" s="42" t="n">
        <f aca="false">K54-G54</f>
        <v>0</v>
      </c>
      <c r="O54" s="78"/>
      <c r="P54" s="79"/>
      <c r="Q54" s="16" t="str">
        <f aca="false">IF(K54=0,"",IF(R54=1,"Pagada",IF(C54&lt;$F$12,"Vencida",IF(28=$F$13,"Próxima","Pendiente"))))</f>
        <v/>
      </c>
      <c r="R54" s="62" t="n">
        <f aca="false">IF(AND(K54&gt;0,OR(O54="Sí",O54="Si")),1,0)</f>
        <v>0</v>
      </c>
      <c r="S54" s="62" t="n">
        <f aca="false">IF(AND(K54&gt;0,R54=0),1,0)</f>
        <v>0</v>
      </c>
    </row>
    <row r="55" customFormat="false" ht="15" hidden="false" customHeight="false" outlineLevel="0" collapsed="false">
      <c r="B55" s="71" t="str">
        <f aca="false">IF($F$6="Sí",N($C$11)+28,"")</f>
        <v/>
      </c>
      <c r="C55" s="72" t="str">
        <f aca="false">IF(OR($F$6&lt;&gt;"Sí",D55&lt;=0.5),"",EDATE($C$10,28))</f>
        <v/>
      </c>
      <c r="D55" s="41" t="n">
        <f aca="false">MAX(0,M54)</f>
        <v>0</v>
      </c>
      <c r="E55" s="41" t="n">
        <f aca="false">D55*$F$7</f>
        <v>0</v>
      </c>
      <c r="F55" s="41" t="n">
        <f aca="false">IF(D55&gt;0.5,N($C$15),0)</f>
        <v>0</v>
      </c>
      <c r="G55" s="41" t="n">
        <f aca="false">IF(AND(D55&gt;0.5,N($C$19)&gt;0,N(B55)&lt;=N($C$20)),D55*$F$8,0)</f>
        <v>0</v>
      </c>
      <c r="H55" s="41" t="n">
        <f aca="false">IF(D55&lt;=0.5,0,MIN(IF(N(I55)&gt;0,I55,$F$9),D55+E55+F55))</f>
        <v>0</v>
      </c>
      <c r="I55" s="77"/>
      <c r="J55" s="77"/>
      <c r="K55" s="41" t="n">
        <f aca="false">IF(D55&lt;=0.5,0,MIN(H55+N(J55),D55+E55+F55))</f>
        <v>0</v>
      </c>
      <c r="L55" s="41" t="n">
        <f aca="false">K55-E55-F55</f>
        <v>0</v>
      </c>
      <c r="M55" s="41" t="n">
        <f aca="false">D55-L55</f>
        <v>0</v>
      </c>
      <c r="N55" s="42" t="n">
        <f aca="false">K55-G55</f>
        <v>0</v>
      </c>
      <c r="O55" s="78"/>
      <c r="P55" s="79"/>
      <c r="Q55" s="16" t="str">
        <f aca="false">IF(K55=0,"",IF(R55=1,"Pagada",IF(C55&lt;$F$12,"Vencida",IF(29=$F$13,"Próxima","Pendiente"))))</f>
        <v/>
      </c>
      <c r="R55" s="62" t="n">
        <f aca="false">IF(AND(K55&gt;0,OR(O55="Sí",O55="Si")),1,0)</f>
        <v>0</v>
      </c>
      <c r="S55" s="62" t="n">
        <f aca="false">IF(AND(K55&gt;0,R55=0),1,0)</f>
        <v>0</v>
      </c>
    </row>
    <row r="56" customFormat="false" ht="15" hidden="false" customHeight="false" outlineLevel="0" collapsed="false">
      <c r="B56" s="71" t="str">
        <f aca="false">IF($F$6="Sí",N($C$11)+29,"")</f>
        <v/>
      </c>
      <c r="C56" s="72" t="str">
        <f aca="false">IF(OR($F$6&lt;&gt;"Sí",D56&lt;=0.5),"",EDATE($C$10,29))</f>
        <v/>
      </c>
      <c r="D56" s="41" t="n">
        <f aca="false">MAX(0,M55)</f>
        <v>0</v>
      </c>
      <c r="E56" s="41" t="n">
        <f aca="false">D56*$F$7</f>
        <v>0</v>
      </c>
      <c r="F56" s="41" t="n">
        <f aca="false">IF(D56&gt;0.5,N($C$15),0)</f>
        <v>0</v>
      </c>
      <c r="G56" s="41" t="n">
        <f aca="false">IF(AND(D56&gt;0.5,N($C$19)&gt;0,N(B56)&lt;=N($C$20)),D56*$F$8,0)</f>
        <v>0</v>
      </c>
      <c r="H56" s="41" t="n">
        <f aca="false">IF(D56&lt;=0.5,0,MIN(IF(N(I56)&gt;0,I56,$F$9),D56+E56+F56))</f>
        <v>0</v>
      </c>
      <c r="I56" s="77"/>
      <c r="J56" s="77"/>
      <c r="K56" s="41" t="n">
        <f aca="false">IF(D56&lt;=0.5,0,MIN(H56+N(J56),D56+E56+F56))</f>
        <v>0</v>
      </c>
      <c r="L56" s="41" t="n">
        <f aca="false">K56-E56-F56</f>
        <v>0</v>
      </c>
      <c r="M56" s="41" t="n">
        <f aca="false">D56-L56</f>
        <v>0</v>
      </c>
      <c r="N56" s="42" t="n">
        <f aca="false">K56-G56</f>
        <v>0</v>
      </c>
      <c r="O56" s="78"/>
      <c r="P56" s="79"/>
      <c r="Q56" s="16" t="str">
        <f aca="false">IF(K56=0,"",IF(R56=1,"Pagada",IF(C56&lt;$F$12,"Vencida",IF(30=$F$13,"Próxima","Pendiente"))))</f>
        <v/>
      </c>
      <c r="R56" s="62" t="n">
        <f aca="false">IF(AND(K56&gt;0,OR(O56="Sí",O56="Si")),1,0)</f>
        <v>0</v>
      </c>
      <c r="S56" s="62" t="n">
        <f aca="false">IF(AND(K56&gt;0,R56=0),1,0)</f>
        <v>0</v>
      </c>
    </row>
    <row r="57" customFormat="false" ht="15" hidden="false" customHeight="false" outlineLevel="0" collapsed="false">
      <c r="B57" s="71" t="str">
        <f aca="false">IF($F$6="Sí",N($C$11)+30,"")</f>
        <v/>
      </c>
      <c r="C57" s="72" t="str">
        <f aca="false">IF(OR($F$6&lt;&gt;"Sí",D57&lt;=0.5),"",EDATE($C$10,30))</f>
        <v/>
      </c>
      <c r="D57" s="41" t="n">
        <f aca="false">MAX(0,M56)</f>
        <v>0</v>
      </c>
      <c r="E57" s="41" t="n">
        <f aca="false">D57*$F$7</f>
        <v>0</v>
      </c>
      <c r="F57" s="41" t="n">
        <f aca="false">IF(D57&gt;0.5,N($C$15),0)</f>
        <v>0</v>
      </c>
      <c r="G57" s="41" t="n">
        <f aca="false">IF(AND(D57&gt;0.5,N($C$19)&gt;0,N(B57)&lt;=N($C$20)),D57*$F$8,0)</f>
        <v>0</v>
      </c>
      <c r="H57" s="41" t="n">
        <f aca="false">IF(D57&lt;=0.5,0,MIN(IF(N(I57)&gt;0,I57,$F$9),D57+E57+F57))</f>
        <v>0</v>
      </c>
      <c r="I57" s="77"/>
      <c r="J57" s="77"/>
      <c r="K57" s="41" t="n">
        <f aca="false">IF(D57&lt;=0.5,0,MIN(H57+N(J57),D57+E57+F57))</f>
        <v>0</v>
      </c>
      <c r="L57" s="41" t="n">
        <f aca="false">K57-E57-F57</f>
        <v>0</v>
      </c>
      <c r="M57" s="41" t="n">
        <f aca="false">D57-L57</f>
        <v>0</v>
      </c>
      <c r="N57" s="42" t="n">
        <f aca="false">K57-G57</f>
        <v>0</v>
      </c>
      <c r="O57" s="78"/>
      <c r="P57" s="79"/>
      <c r="Q57" s="16" t="str">
        <f aca="false">IF(K57=0,"",IF(R57=1,"Pagada",IF(C57&lt;$F$12,"Vencida",IF(31=$F$13,"Próxima","Pendiente"))))</f>
        <v/>
      </c>
      <c r="R57" s="62" t="n">
        <f aca="false">IF(AND(K57&gt;0,OR(O57="Sí",O57="Si")),1,0)</f>
        <v>0</v>
      </c>
      <c r="S57" s="62" t="n">
        <f aca="false">IF(AND(K57&gt;0,R57=0),1,0)</f>
        <v>0</v>
      </c>
    </row>
    <row r="58" customFormat="false" ht="15" hidden="false" customHeight="false" outlineLevel="0" collapsed="false">
      <c r="B58" s="71" t="str">
        <f aca="false">IF($F$6="Sí",N($C$11)+31,"")</f>
        <v/>
      </c>
      <c r="C58" s="72" t="str">
        <f aca="false">IF(OR($F$6&lt;&gt;"Sí",D58&lt;=0.5),"",EDATE($C$10,31))</f>
        <v/>
      </c>
      <c r="D58" s="41" t="n">
        <f aca="false">MAX(0,M57)</f>
        <v>0</v>
      </c>
      <c r="E58" s="41" t="n">
        <f aca="false">D58*$F$7</f>
        <v>0</v>
      </c>
      <c r="F58" s="41" t="n">
        <f aca="false">IF(D58&gt;0.5,N($C$15),0)</f>
        <v>0</v>
      </c>
      <c r="G58" s="41" t="n">
        <f aca="false">IF(AND(D58&gt;0.5,N($C$19)&gt;0,N(B58)&lt;=N($C$20)),D58*$F$8,0)</f>
        <v>0</v>
      </c>
      <c r="H58" s="41" t="n">
        <f aca="false">IF(D58&lt;=0.5,0,MIN(IF(N(I58)&gt;0,I58,$F$9),D58+E58+F58))</f>
        <v>0</v>
      </c>
      <c r="I58" s="77"/>
      <c r="J58" s="77"/>
      <c r="K58" s="41" t="n">
        <f aca="false">IF(D58&lt;=0.5,0,MIN(H58+N(J58),D58+E58+F58))</f>
        <v>0</v>
      </c>
      <c r="L58" s="41" t="n">
        <f aca="false">K58-E58-F58</f>
        <v>0</v>
      </c>
      <c r="M58" s="41" t="n">
        <f aca="false">D58-L58</f>
        <v>0</v>
      </c>
      <c r="N58" s="42" t="n">
        <f aca="false">K58-G58</f>
        <v>0</v>
      </c>
      <c r="O58" s="78"/>
      <c r="P58" s="79"/>
      <c r="Q58" s="16" t="str">
        <f aca="false">IF(K58=0,"",IF(R58=1,"Pagada",IF(C58&lt;$F$12,"Vencida",IF(32=$F$13,"Próxima","Pendiente"))))</f>
        <v/>
      </c>
      <c r="R58" s="62" t="n">
        <f aca="false">IF(AND(K58&gt;0,OR(O58="Sí",O58="Si")),1,0)</f>
        <v>0</v>
      </c>
      <c r="S58" s="62" t="n">
        <f aca="false">IF(AND(K58&gt;0,R58=0),1,0)</f>
        <v>0</v>
      </c>
    </row>
    <row r="59" customFormat="false" ht="15" hidden="false" customHeight="false" outlineLevel="0" collapsed="false">
      <c r="B59" s="71" t="str">
        <f aca="false">IF($F$6="Sí",N($C$11)+32,"")</f>
        <v/>
      </c>
      <c r="C59" s="72" t="str">
        <f aca="false">IF(OR($F$6&lt;&gt;"Sí",D59&lt;=0.5),"",EDATE($C$10,32))</f>
        <v/>
      </c>
      <c r="D59" s="41" t="n">
        <f aca="false">MAX(0,M58)</f>
        <v>0</v>
      </c>
      <c r="E59" s="41" t="n">
        <f aca="false">D59*$F$7</f>
        <v>0</v>
      </c>
      <c r="F59" s="41" t="n">
        <f aca="false">IF(D59&gt;0.5,N($C$15),0)</f>
        <v>0</v>
      </c>
      <c r="G59" s="41" t="n">
        <f aca="false">IF(AND(D59&gt;0.5,N($C$19)&gt;0,N(B59)&lt;=N($C$20)),D59*$F$8,0)</f>
        <v>0</v>
      </c>
      <c r="H59" s="41" t="n">
        <f aca="false">IF(D59&lt;=0.5,0,MIN(IF(N(I59)&gt;0,I59,$F$9),D59+E59+F59))</f>
        <v>0</v>
      </c>
      <c r="I59" s="77"/>
      <c r="J59" s="77"/>
      <c r="K59" s="41" t="n">
        <f aca="false">IF(D59&lt;=0.5,0,MIN(H59+N(J59),D59+E59+F59))</f>
        <v>0</v>
      </c>
      <c r="L59" s="41" t="n">
        <f aca="false">K59-E59-F59</f>
        <v>0</v>
      </c>
      <c r="M59" s="41" t="n">
        <f aca="false">D59-L59</f>
        <v>0</v>
      </c>
      <c r="N59" s="42" t="n">
        <f aca="false">K59-G59</f>
        <v>0</v>
      </c>
      <c r="O59" s="78"/>
      <c r="P59" s="79"/>
      <c r="Q59" s="16" t="str">
        <f aca="false">IF(K59=0,"",IF(R59=1,"Pagada",IF(C59&lt;$F$12,"Vencida",IF(33=$F$13,"Próxima","Pendiente"))))</f>
        <v/>
      </c>
      <c r="R59" s="62" t="n">
        <f aca="false">IF(AND(K59&gt;0,OR(O59="Sí",O59="Si")),1,0)</f>
        <v>0</v>
      </c>
      <c r="S59" s="62" t="n">
        <f aca="false">IF(AND(K59&gt;0,R59=0),1,0)</f>
        <v>0</v>
      </c>
    </row>
    <row r="60" customFormat="false" ht="15" hidden="false" customHeight="false" outlineLevel="0" collapsed="false">
      <c r="B60" s="71" t="str">
        <f aca="false">IF($F$6="Sí",N($C$11)+33,"")</f>
        <v/>
      </c>
      <c r="C60" s="72" t="str">
        <f aca="false">IF(OR($F$6&lt;&gt;"Sí",D60&lt;=0.5),"",EDATE($C$10,33))</f>
        <v/>
      </c>
      <c r="D60" s="41" t="n">
        <f aca="false">MAX(0,M59)</f>
        <v>0</v>
      </c>
      <c r="E60" s="41" t="n">
        <f aca="false">D60*$F$7</f>
        <v>0</v>
      </c>
      <c r="F60" s="41" t="n">
        <f aca="false">IF(D60&gt;0.5,N($C$15),0)</f>
        <v>0</v>
      </c>
      <c r="G60" s="41" t="n">
        <f aca="false">IF(AND(D60&gt;0.5,N($C$19)&gt;0,N(B60)&lt;=N($C$20)),D60*$F$8,0)</f>
        <v>0</v>
      </c>
      <c r="H60" s="41" t="n">
        <f aca="false">IF(D60&lt;=0.5,0,MIN(IF(N(I60)&gt;0,I60,$F$9),D60+E60+F60))</f>
        <v>0</v>
      </c>
      <c r="I60" s="77"/>
      <c r="J60" s="77"/>
      <c r="K60" s="41" t="n">
        <f aca="false">IF(D60&lt;=0.5,0,MIN(H60+N(J60),D60+E60+F60))</f>
        <v>0</v>
      </c>
      <c r="L60" s="41" t="n">
        <f aca="false">K60-E60-F60</f>
        <v>0</v>
      </c>
      <c r="M60" s="41" t="n">
        <f aca="false">D60-L60</f>
        <v>0</v>
      </c>
      <c r="N60" s="42" t="n">
        <f aca="false">K60-G60</f>
        <v>0</v>
      </c>
      <c r="O60" s="78"/>
      <c r="P60" s="79"/>
      <c r="Q60" s="16" t="str">
        <f aca="false">IF(K60=0,"",IF(R60=1,"Pagada",IF(C60&lt;$F$12,"Vencida",IF(34=$F$13,"Próxima","Pendiente"))))</f>
        <v/>
      </c>
      <c r="R60" s="62" t="n">
        <f aca="false">IF(AND(K60&gt;0,OR(O60="Sí",O60="Si")),1,0)</f>
        <v>0</v>
      </c>
      <c r="S60" s="62" t="n">
        <f aca="false">IF(AND(K60&gt;0,R60=0),1,0)</f>
        <v>0</v>
      </c>
    </row>
    <row r="61" customFormat="false" ht="15" hidden="false" customHeight="false" outlineLevel="0" collapsed="false">
      <c r="B61" s="71" t="str">
        <f aca="false">IF($F$6="Sí",N($C$11)+34,"")</f>
        <v/>
      </c>
      <c r="C61" s="72" t="str">
        <f aca="false">IF(OR($F$6&lt;&gt;"Sí",D61&lt;=0.5),"",EDATE($C$10,34))</f>
        <v/>
      </c>
      <c r="D61" s="41" t="n">
        <f aca="false">MAX(0,M60)</f>
        <v>0</v>
      </c>
      <c r="E61" s="41" t="n">
        <f aca="false">D61*$F$7</f>
        <v>0</v>
      </c>
      <c r="F61" s="41" t="n">
        <f aca="false">IF(D61&gt;0.5,N($C$15),0)</f>
        <v>0</v>
      </c>
      <c r="G61" s="41" t="n">
        <f aca="false">IF(AND(D61&gt;0.5,N($C$19)&gt;0,N(B61)&lt;=N($C$20)),D61*$F$8,0)</f>
        <v>0</v>
      </c>
      <c r="H61" s="41" t="n">
        <f aca="false">IF(D61&lt;=0.5,0,MIN(IF(N(I61)&gt;0,I61,$F$9),D61+E61+F61))</f>
        <v>0</v>
      </c>
      <c r="I61" s="77"/>
      <c r="J61" s="77"/>
      <c r="K61" s="41" t="n">
        <f aca="false">IF(D61&lt;=0.5,0,MIN(H61+N(J61),D61+E61+F61))</f>
        <v>0</v>
      </c>
      <c r="L61" s="41" t="n">
        <f aca="false">K61-E61-F61</f>
        <v>0</v>
      </c>
      <c r="M61" s="41" t="n">
        <f aca="false">D61-L61</f>
        <v>0</v>
      </c>
      <c r="N61" s="42" t="n">
        <f aca="false">K61-G61</f>
        <v>0</v>
      </c>
      <c r="O61" s="78"/>
      <c r="P61" s="79"/>
      <c r="Q61" s="16" t="str">
        <f aca="false">IF(K61=0,"",IF(R61=1,"Pagada",IF(C61&lt;$F$12,"Vencida",IF(35=$F$13,"Próxima","Pendiente"))))</f>
        <v/>
      </c>
      <c r="R61" s="62" t="n">
        <f aca="false">IF(AND(K61&gt;0,OR(O61="Sí",O61="Si")),1,0)</f>
        <v>0</v>
      </c>
      <c r="S61" s="62" t="n">
        <f aca="false">IF(AND(K61&gt;0,R61=0),1,0)</f>
        <v>0</v>
      </c>
    </row>
    <row r="62" customFormat="false" ht="15" hidden="false" customHeight="false" outlineLevel="0" collapsed="false">
      <c r="B62" s="71" t="str">
        <f aca="false">IF($F$6="Sí",N($C$11)+35,"")</f>
        <v/>
      </c>
      <c r="C62" s="72" t="str">
        <f aca="false">IF(OR($F$6&lt;&gt;"Sí",D62&lt;=0.5),"",EDATE($C$10,35))</f>
        <v/>
      </c>
      <c r="D62" s="41" t="n">
        <f aca="false">MAX(0,M61)</f>
        <v>0</v>
      </c>
      <c r="E62" s="41" t="n">
        <f aca="false">D62*$F$7</f>
        <v>0</v>
      </c>
      <c r="F62" s="41" t="n">
        <f aca="false">IF(D62&gt;0.5,N($C$15),0)</f>
        <v>0</v>
      </c>
      <c r="G62" s="41" t="n">
        <f aca="false">IF(AND(D62&gt;0.5,N($C$19)&gt;0,N(B62)&lt;=N($C$20)),D62*$F$8,0)</f>
        <v>0</v>
      </c>
      <c r="H62" s="41" t="n">
        <f aca="false">IF(D62&lt;=0.5,0,MIN(IF(N(I62)&gt;0,I62,$F$9),D62+E62+F62))</f>
        <v>0</v>
      </c>
      <c r="I62" s="77"/>
      <c r="J62" s="77"/>
      <c r="K62" s="41" t="n">
        <f aca="false">IF(D62&lt;=0.5,0,MIN(H62+N(J62),D62+E62+F62))</f>
        <v>0</v>
      </c>
      <c r="L62" s="41" t="n">
        <f aca="false">K62-E62-F62</f>
        <v>0</v>
      </c>
      <c r="M62" s="41" t="n">
        <f aca="false">D62-L62</f>
        <v>0</v>
      </c>
      <c r="N62" s="42" t="n">
        <f aca="false">K62-G62</f>
        <v>0</v>
      </c>
      <c r="O62" s="78"/>
      <c r="P62" s="79"/>
      <c r="Q62" s="16" t="str">
        <f aca="false">IF(K62=0,"",IF(R62=1,"Pagada",IF(C62&lt;$F$12,"Vencida",IF(36=$F$13,"Próxima","Pendiente"))))</f>
        <v/>
      </c>
      <c r="R62" s="62" t="n">
        <f aca="false">IF(AND(K62&gt;0,OR(O62="Sí",O62="Si")),1,0)</f>
        <v>0</v>
      </c>
      <c r="S62" s="62" t="n">
        <f aca="false">IF(AND(K62&gt;0,R62=0),1,0)</f>
        <v>0</v>
      </c>
    </row>
    <row r="63" customFormat="false" ht="15" hidden="false" customHeight="false" outlineLevel="0" collapsed="false">
      <c r="B63" s="71" t="str">
        <f aca="false">IF($F$6="Sí",N($C$11)+36,"")</f>
        <v/>
      </c>
      <c r="C63" s="72" t="str">
        <f aca="false">IF(OR($F$6&lt;&gt;"Sí",D63&lt;=0.5),"",EDATE($C$10,36))</f>
        <v/>
      </c>
      <c r="D63" s="41" t="n">
        <f aca="false">MAX(0,M62)</f>
        <v>0</v>
      </c>
      <c r="E63" s="41" t="n">
        <f aca="false">D63*$F$7</f>
        <v>0</v>
      </c>
      <c r="F63" s="41" t="n">
        <f aca="false">IF(D63&gt;0.5,N($C$15),0)</f>
        <v>0</v>
      </c>
      <c r="G63" s="41" t="n">
        <f aca="false">IF(AND(D63&gt;0.5,N($C$19)&gt;0,N(B63)&lt;=N($C$20)),D63*$F$8,0)</f>
        <v>0</v>
      </c>
      <c r="H63" s="41" t="n">
        <f aca="false">IF(D63&lt;=0.5,0,MIN(IF(N(I63)&gt;0,I63,$F$9),D63+E63+F63))</f>
        <v>0</v>
      </c>
      <c r="I63" s="77"/>
      <c r="J63" s="77"/>
      <c r="K63" s="41" t="n">
        <f aca="false">IF(D63&lt;=0.5,0,MIN(H63+N(J63),D63+E63+F63))</f>
        <v>0</v>
      </c>
      <c r="L63" s="41" t="n">
        <f aca="false">K63-E63-F63</f>
        <v>0</v>
      </c>
      <c r="M63" s="41" t="n">
        <f aca="false">D63-L63</f>
        <v>0</v>
      </c>
      <c r="N63" s="42" t="n">
        <f aca="false">K63-G63</f>
        <v>0</v>
      </c>
      <c r="O63" s="78"/>
      <c r="P63" s="79"/>
      <c r="Q63" s="16" t="str">
        <f aca="false">IF(K63=0,"",IF(R63=1,"Pagada",IF(C63&lt;$F$12,"Vencida",IF(37=$F$13,"Próxima","Pendiente"))))</f>
        <v/>
      </c>
      <c r="R63" s="62" t="n">
        <f aca="false">IF(AND(K63&gt;0,OR(O63="Sí",O63="Si")),1,0)</f>
        <v>0</v>
      </c>
      <c r="S63" s="62" t="n">
        <f aca="false">IF(AND(K63&gt;0,R63=0),1,0)</f>
        <v>0</v>
      </c>
    </row>
    <row r="64" customFormat="false" ht="15" hidden="false" customHeight="false" outlineLevel="0" collapsed="false">
      <c r="B64" s="71" t="str">
        <f aca="false">IF($F$6="Sí",N($C$11)+37,"")</f>
        <v/>
      </c>
      <c r="C64" s="72" t="str">
        <f aca="false">IF(OR($F$6&lt;&gt;"Sí",D64&lt;=0.5),"",EDATE($C$10,37))</f>
        <v/>
      </c>
      <c r="D64" s="41" t="n">
        <f aca="false">MAX(0,M63)</f>
        <v>0</v>
      </c>
      <c r="E64" s="41" t="n">
        <f aca="false">D64*$F$7</f>
        <v>0</v>
      </c>
      <c r="F64" s="41" t="n">
        <f aca="false">IF(D64&gt;0.5,N($C$15),0)</f>
        <v>0</v>
      </c>
      <c r="G64" s="41" t="n">
        <f aca="false">IF(AND(D64&gt;0.5,N($C$19)&gt;0,N(B64)&lt;=N($C$20)),D64*$F$8,0)</f>
        <v>0</v>
      </c>
      <c r="H64" s="41" t="n">
        <f aca="false">IF(D64&lt;=0.5,0,MIN(IF(N(I64)&gt;0,I64,$F$9),D64+E64+F64))</f>
        <v>0</v>
      </c>
      <c r="I64" s="77"/>
      <c r="J64" s="77"/>
      <c r="K64" s="41" t="n">
        <f aca="false">IF(D64&lt;=0.5,0,MIN(H64+N(J64),D64+E64+F64))</f>
        <v>0</v>
      </c>
      <c r="L64" s="41" t="n">
        <f aca="false">K64-E64-F64</f>
        <v>0</v>
      </c>
      <c r="M64" s="41" t="n">
        <f aca="false">D64-L64</f>
        <v>0</v>
      </c>
      <c r="N64" s="42" t="n">
        <f aca="false">K64-G64</f>
        <v>0</v>
      </c>
      <c r="O64" s="78"/>
      <c r="P64" s="79"/>
      <c r="Q64" s="16" t="str">
        <f aca="false">IF(K64=0,"",IF(R64=1,"Pagada",IF(C64&lt;$F$12,"Vencida",IF(38=$F$13,"Próxima","Pendiente"))))</f>
        <v/>
      </c>
      <c r="R64" s="62" t="n">
        <f aca="false">IF(AND(K64&gt;0,OR(O64="Sí",O64="Si")),1,0)</f>
        <v>0</v>
      </c>
      <c r="S64" s="62" t="n">
        <f aca="false">IF(AND(K64&gt;0,R64=0),1,0)</f>
        <v>0</v>
      </c>
    </row>
    <row r="65" customFormat="false" ht="15" hidden="false" customHeight="false" outlineLevel="0" collapsed="false">
      <c r="B65" s="71" t="str">
        <f aca="false">IF($F$6="Sí",N($C$11)+38,"")</f>
        <v/>
      </c>
      <c r="C65" s="72" t="str">
        <f aca="false">IF(OR($F$6&lt;&gt;"Sí",D65&lt;=0.5),"",EDATE($C$10,38))</f>
        <v/>
      </c>
      <c r="D65" s="41" t="n">
        <f aca="false">MAX(0,M64)</f>
        <v>0</v>
      </c>
      <c r="E65" s="41" t="n">
        <f aca="false">D65*$F$7</f>
        <v>0</v>
      </c>
      <c r="F65" s="41" t="n">
        <f aca="false">IF(D65&gt;0.5,N($C$15),0)</f>
        <v>0</v>
      </c>
      <c r="G65" s="41" t="n">
        <f aca="false">IF(AND(D65&gt;0.5,N($C$19)&gt;0,N(B65)&lt;=N($C$20)),D65*$F$8,0)</f>
        <v>0</v>
      </c>
      <c r="H65" s="41" t="n">
        <f aca="false">IF(D65&lt;=0.5,0,MIN(IF(N(I65)&gt;0,I65,$F$9),D65+E65+F65))</f>
        <v>0</v>
      </c>
      <c r="I65" s="77"/>
      <c r="J65" s="77"/>
      <c r="K65" s="41" t="n">
        <f aca="false">IF(D65&lt;=0.5,0,MIN(H65+N(J65),D65+E65+F65))</f>
        <v>0</v>
      </c>
      <c r="L65" s="41" t="n">
        <f aca="false">K65-E65-F65</f>
        <v>0</v>
      </c>
      <c r="M65" s="41" t="n">
        <f aca="false">D65-L65</f>
        <v>0</v>
      </c>
      <c r="N65" s="42" t="n">
        <f aca="false">K65-G65</f>
        <v>0</v>
      </c>
      <c r="O65" s="78"/>
      <c r="P65" s="79"/>
      <c r="Q65" s="16" t="str">
        <f aca="false">IF(K65=0,"",IF(R65=1,"Pagada",IF(C65&lt;$F$12,"Vencida",IF(39=$F$13,"Próxima","Pendiente"))))</f>
        <v/>
      </c>
      <c r="R65" s="62" t="n">
        <f aca="false">IF(AND(K65&gt;0,OR(O65="Sí",O65="Si")),1,0)</f>
        <v>0</v>
      </c>
      <c r="S65" s="62" t="n">
        <f aca="false">IF(AND(K65&gt;0,R65=0),1,0)</f>
        <v>0</v>
      </c>
    </row>
    <row r="66" customFormat="false" ht="15" hidden="false" customHeight="false" outlineLevel="0" collapsed="false">
      <c r="B66" s="71" t="str">
        <f aca="false">IF($F$6="Sí",N($C$11)+39,"")</f>
        <v/>
      </c>
      <c r="C66" s="72" t="str">
        <f aca="false">IF(OR($F$6&lt;&gt;"Sí",D66&lt;=0.5),"",EDATE($C$10,39))</f>
        <v/>
      </c>
      <c r="D66" s="41" t="n">
        <f aca="false">MAX(0,M65)</f>
        <v>0</v>
      </c>
      <c r="E66" s="41" t="n">
        <f aca="false">D66*$F$7</f>
        <v>0</v>
      </c>
      <c r="F66" s="41" t="n">
        <f aca="false">IF(D66&gt;0.5,N($C$15),0)</f>
        <v>0</v>
      </c>
      <c r="G66" s="41" t="n">
        <f aca="false">IF(AND(D66&gt;0.5,N($C$19)&gt;0,N(B66)&lt;=N($C$20)),D66*$F$8,0)</f>
        <v>0</v>
      </c>
      <c r="H66" s="41" t="n">
        <f aca="false">IF(D66&lt;=0.5,0,MIN(IF(N(I66)&gt;0,I66,$F$9),D66+E66+F66))</f>
        <v>0</v>
      </c>
      <c r="I66" s="77"/>
      <c r="J66" s="77"/>
      <c r="K66" s="41" t="n">
        <f aca="false">IF(D66&lt;=0.5,0,MIN(H66+N(J66),D66+E66+F66))</f>
        <v>0</v>
      </c>
      <c r="L66" s="41" t="n">
        <f aca="false">K66-E66-F66</f>
        <v>0</v>
      </c>
      <c r="M66" s="41" t="n">
        <f aca="false">D66-L66</f>
        <v>0</v>
      </c>
      <c r="N66" s="42" t="n">
        <f aca="false">K66-G66</f>
        <v>0</v>
      </c>
      <c r="O66" s="78"/>
      <c r="P66" s="79"/>
      <c r="Q66" s="16" t="str">
        <f aca="false">IF(K66=0,"",IF(R66=1,"Pagada",IF(C66&lt;$F$12,"Vencida",IF(40=$F$13,"Próxima","Pendiente"))))</f>
        <v/>
      </c>
      <c r="R66" s="62" t="n">
        <f aca="false">IF(AND(K66&gt;0,OR(O66="Sí",O66="Si")),1,0)</f>
        <v>0</v>
      </c>
      <c r="S66" s="62" t="n">
        <f aca="false">IF(AND(K66&gt;0,R66=0),1,0)</f>
        <v>0</v>
      </c>
    </row>
    <row r="67" customFormat="false" ht="15" hidden="false" customHeight="false" outlineLevel="0" collapsed="false">
      <c r="B67" s="71" t="str">
        <f aca="false">IF($F$6="Sí",N($C$11)+40,"")</f>
        <v/>
      </c>
      <c r="C67" s="72" t="str">
        <f aca="false">IF(OR($F$6&lt;&gt;"Sí",D67&lt;=0.5),"",EDATE($C$10,40))</f>
        <v/>
      </c>
      <c r="D67" s="41" t="n">
        <f aca="false">MAX(0,M66)</f>
        <v>0</v>
      </c>
      <c r="E67" s="41" t="n">
        <f aca="false">D67*$F$7</f>
        <v>0</v>
      </c>
      <c r="F67" s="41" t="n">
        <f aca="false">IF(D67&gt;0.5,N($C$15),0)</f>
        <v>0</v>
      </c>
      <c r="G67" s="41" t="n">
        <f aca="false">IF(AND(D67&gt;0.5,N($C$19)&gt;0,N(B67)&lt;=N($C$20)),D67*$F$8,0)</f>
        <v>0</v>
      </c>
      <c r="H67" s="41" t="n">
        <f aca="false">IF(D67&lt;=0.5,0,MIN(IF(N(I67)&gt;0,I67,$F$9),D67+E67+F67))</f>
        <v>0</v>
      </c>
      <c r="I67" s="77"/>
      <c r="J67" s="77"/>
      <c r="K67" s="41" t="n">
        <f aca="false">IF(D67&lt;=0.5,0,MIN(H67+N(J67),D67+E67+F67))</f>
        <v>0</v>
      </c>
      <c r="L67" s="41" t="n">
        <f aca="false">K67-E67-F67</f>
        <v>0</v>
      </c>
      <c r="M67" s="41" t="n">
        <f aca="false">D67-L67</f>
        <v>0</v>
      </c>
      <c r="N67" s="42" t="n">
        <f aca="false">K67-G67</f>
        <v>0</v>
      </c>
      <c r="O67" s="78"/>
      <c r="P67" s="79"/>
      <c r="Q67" s="16" t="str">
        <f aca="false">IF(K67=0,"",IF(R67=1,"Pagada",IF(C67&lt;$F$12,"Vencida",IF(41=$F$13,"Próxima","Pendiente"))))</f>
        <v/>
      </c>
      <c r="R67" s="62" t="n">
        <f aca="false">IF(AND(K67&gt;0,OR(O67="Sí",O67="Si")),1,0)</f>
        <v>0</v>
      </c>
      <c r="S67" s="62" t="n">
        <f aca="false">IF(AND(K67&gt;0,R67=0),1,0)</f>
        <v>0</v>
      </c>
    </row>
    <row r="68" customFormat="false" ht="15" hidden="false" customHeight="false" outlineLevel="0" collapsed="false">
      <c r="B68" s="71" t="str">
        <f aca="false">IF($F$6="Sí",N($C$11)+41,"")</f>
        <v/>
      </c>
      <c r="C68" s="72" t="str">
        <f aca="false">IF(OR($F$6&lt;&gt;"Sí",D68&lt;=0.5),"",EDATE($C$10,41))</f>
        <v/>
      </c>
      <c r="D68" s="41" t="n">
        <f aca="false">MAX(0,M67)</f>
        <v>0</v>
      </c>
      <c r="E68" s="41" t="n">
        <f aca="false">D68*$F$7</f>
        <v>0</v>
      </c>
      <c r="F68" s="41" t="n">
        <f aca="false">IF(D68&gt;0.5,N($C$15),0)</f>
        <v>0</v>
      </c>
      <c r="G68" s="41" t="n">
        <f aca="false">IF(AND(D68&gt;0.5,N($C$19)&gt;0,N(B68)&lt;=N($C$20)),D68*$F$8,0)</f>
        <v>0</v>
      </c>
      <c r="H68" s="41" t="n">
        <f aca="false">IF(D68&lt;=0.5,0,MIN(IF(N(I68)&gt;0,I68,$F$9),D68+E68+F68))</f>
        <v>0</v>
      </c>
      <c r="I68" s="77"/>
      <c r="J68" s="77"/>
      <c r="K68" s="41" t="n">
        <f aca="false">IF(D68&lt;=0.5,0,MIN(H68+N(J68),D68+E68+F68))</f>
        <v>0</v>
      </c>
      <c r="L68" s="41" t="n">
        <f aca="false">K68-E68-F68</f>
        <v>0</v>
      </c>
      <c r="M68" s="41" t="n">
        <f aca="false">D68-L68</f>
        <v>0</v>
      </c>
      <c r="N68" s="42" t="n">
        <f aca="false">K68-G68</f>
        <v>0</v>
      </c>
      <c r="O68" s="78"/>
      <c r="P68" s="79"/>
      <c r="Q68" s="16" t="str">
        <f aca="false">IF(K68=0,"",IF(R68=1,"Pagada",IF(C68&lt;$F$12,"Vencida",IF(42=$F$13,"Próxima","Pendiente"))))</f>
        <v/>
      </c>
      <c r="R68" s="62" t="n">
        <f aca="false">IF(AND(K68&gt;0,OR(O68="Sí",O68="Si")),1,0)</f>
        <v>0</v>
      </c>
      <c r="S68" s="62" t="n">
        <f aca="false">IF(AND(K68&gt;0,R68=0),1,0)</f>
        <v>0</v>
      </c>
    </row>
    <row r="69" customFormat="false" ht="15" hidden="false" customHeight="false" outlineLevel="0" collapsed="false">
      <c r="B69" s="71" t="str">
        <f aca="false">IF($F$6="Sí",N($C$11)+42,"")</f>
        <v/>
      </c>
      <c r="C69" s="72" t="str">
        <f aca="false">IF(OR($F$6&lt;&gt;"Sí",D69&lt;=0.5),"",EDATE($C$10,42))</f>
        <v/>
      </c>
      <c r="D69" s="41" t="n">
        <f aca="false">MAX(0,M68)</f>
        <v>0</v>
      </c>
      <c r="E69" s="41" t="n">
        <f aca="false">D69*$F$7</f>
        <v>0</v>
      </c>
      <c r="F69" s="41" t="n">
        <f aca="false">IF(D69&gt;0.5,N($C$15),0)</f>
        <v>0</v>
      </c>
      <c r="G69" s="41" t="n">
        <f aca="false">IF(AND(D69&gt;0.5,N($C$19)&gt;0,N(B69)&lt;=N($C$20)),D69*$F$8,0)</f>
        <v>0</v>
      </c>
      <c r="H69" s="41" t="n">
        <f aca="false">IF(D69&lt;=0.5,0,MIN(IF(N(I69)&gt;0,I69,$F$9),D69+E69+F69))</f>
        <v>0</v>
      </c>
      <c r="I69" s="77"/>
      <c r="J69" s="77"/>
      <c r="K69" s="41" t="n">
        <f aca="false">IF(D69&lt;=0.5,0,MIN(H69+N(J69),D69+E69+F69))</f>
        <v>0</v>
      </c>
      <c r="L69" s="41" t="n">
        <f aca="false">K69-E69-F69</f>
        <v>0</v>
      </c>
      <c r="M69" s="41" t="n">
        <f aca="false">D69-L69</f>
        <v>0</v>
      </c>
      <c r="N69" s="42" t="n">
        <f aca="false">K69-G69</f>
        <v>0</v>
      </c>
      <c r="O69" s="78"/>
      <c r="P69" s="79"/>
      <c r="Q69" s="16" t="str">
        <f aca="false">IF(K69=0,"",IF(R69=1,"Pagada",IF(C69&lt;$F$12,"Vencida",IF(43=$F$13,"Próxima","Pendiente"))))</f>
        <v/>
      </c>
      <c r="R69" s="62" t="n">
        <f aca="false">IF(AND(K69&gt;0,OR(O69="Sí",O69="Si")),1,0)</f>
        <v>0</v>
      </c>
      <c r="S69" s="62" t="n">
        <f aca="false">IF(AND(K69&gt;0,R69=0),1,0)</f>
        <v>0</v>
      </c>
    </row>
    <row r="70" customFormat="false" ht="15" hidden="false" customHeight="false" outlineLevel="0" collapsed="false">
      <c r="B70" s="71" t="str">
        <f aca="false">IF($F$6="Sí",N($C$11)+43,"")</f>
        <v/>
      </c>
      <c r="C70" s="72" t="str">
        <f aca="false">IF(OR($F$6&lt;&gt;"Sí",D70&lt;=0.5),"",EDATE($C$10,43))</f>
        <v/>
      </c>
      <c r="D70" s="41" t="n">
        <f aca="false">MAX(0,M69)</f>
        <v>0</v>
      </c>
      <c r="E70" s="41" t="n">
        <f aca="false">D70*$F$7</f>
        <v>0</v>
      </c>
      <c r="F70" s="41" t="n">
        <f aca="false">IF(D70&gt;0.5,N($C$15),0)</f>
        <v>0</v>
      </c>
      <c r="G70" s="41" t="n">
        <f aca="false">IF(AND(D70&gt;0.5,N($C$19)&gt;0,N(B70)&lt;=N($C$20)),D70*$F$8,0)</f>
        <v>0</v>
      </c>
      <c r="H70" s="41" t="n">
        <f aca="false">IF(D70&lt;=0.5,0,MIN(IF(N(I70)&gt;0,I70,$F$9),D70+E70+F70))</f>
        <v>0</v>
      </c>
      <c r="I70" s="77"/>
      <c r="J70" s="77"/>
      <c r="K70" s="41" t="n">
        <f aca="false">IF(D70&lt;=0.5,0,MIN(H70+N(J70),D70+E70+F70))</f>
        <v>0</v>
      </c>
      <c r="L70" s="41" t="n">
        <f aca="false">K70-E70-F70</f>
        <v>0</v>
      </c>
      <c r="M70" s="41" t="n">
        <f aca="false">D70-L70</f>
        <v>0</v>
      </c>
      <c r="N70" s="42" t="n">
        <f aca="false">K70-G70</f>
        <v>0</v>
      </c>
      <c r="O70" s="78"/>
      <c r="P70" s="79"/>
      <c r="Q70" s="16" t="str">
        <f aca="false">IF(K70=0,"",IF(R70=1,"Pagada",IF(C70&lt;$F$12,"Vencida",IF(44=$F$13,"Próxima","Pendiente"))))</f>
        <v/>
      </c>
      <c r="R70" s="62" t="n">
        <f aca="false">IF(AND(K70&gt;0,OR(O70="Sí",O70="Si")),1,0)</f>
        <v>0</v>
      </c>
      <c r="S70" s="62" t="n">
        <f aca="false">IF(AND(K70&gt;0,R70=0),1,0)</f>
        <v>0</v>
      </c>
    </row>
    <row r="71" customFormat="false" ht="15" hidden="false" customHeight="false" outlineLevel="0" collapsed="false">
      <c r="B71" s="71" t="str">
        <f aca="false">IF($F$6="Sí",N($C$11)+44,"")</f>
        <v/>
      </c>
      <c r="C71" s="72" t="str">
        <f aca="false">IF(OR($F$6&lt;&gt;"Sí",D71&lt;=0.5),"",EDATE($C$10,44))</f>
        <v/>
      </c>
      <c r="D71" s="41" t="n">
        <f aca="false">MAX(0,M70)</f>
        <v>0</v>
      </c>
      <c r="E71" s="41" t="n">
        <f aca="false">D71*$F$7</f>
        <v>0</v>
      </c>
      <c r="F71" s="41" t="n">
        <f aca="false">IF(D71&gt;0.5,N($C$15),0)</f>
        <v>0</v>
      </c>
      <c r="G71" s="41" t="n">
        <f aca="false">IF(AND(D71&gt;0.5,N($C$19)&gt;0,N(B71)&lt;=N($C$20)),D71*$F$8,0)</f>
        <v>0</v>
      </c>
      <c r="H71" s="41" t="n">
        <f aca="false">IF(D71&lt;=0.5,0,MIN(IF(N(I71)&gt;0,I71,$F$9),D71+E71+F71))</f>
        <v>0</v>
      </c>
      <c r="I71" s="77"/>
      <c r="J71" s="77"/>
      <c r="K71" s="41" t="n">
        <f aca="false">IF(D71&lt;=0.5,0,MIN(H71+N(J71),D71+E71+F71))</f>
        <v>0</v>
      </c>
      <c r="L71" s="41" t="n">
        <f aca="false">K71-E71-F71</f>
        <v>0</v>
      </c>
      <c r="M71" s="41" t="n">
        <f aca="false">D71-L71</f>
        <v>0</v>
      </c>
      <c r="N71" s="42" t="n">
        <f aca="false">K71-G71</f>
        <v>0</v>
      </c>
      <c r="O71" s="78"/>
      <c r="P71" s="79"/>
      <c r="Q71" s="16" t="str">
        <f aca="false">IF(K71=0,"",IF(R71=1,"Pagada",IF(C71&lt;$F$12,"Vencida",IF(45=$F$13,"Próxima","Pendiente"))))</f>
        <v/>
      </c>
      <c r="R71" s="62" t="n">
        <f aca="false">IF(AND(K71&gt;0,OR(O71="Sí",O71="Si")),1,0)</f>
        <v>0</v>
      </c>
      <c r="S71" s="62" t="n">
        <f aca="false">IF(AND(K71&gt;0,R71=0),1,0)</f>
        <v>0</v>
      </c>
    </row>
    <row r="72" customFormat="false" ht="15" hidden="false" customHeight="false" outlineLevel="0" collapsed="false">
      <c r="B72" s="71" t="str">
        <f aca="false">IF($F$6="Sí",N($C$11)+45,"")</f>
        <v/>
      </c>
      <c r="C72" s="72" t="str">
        <f aca="false">IF(OR($F$6&lt;&gt;"Sí",D72&lt;=0.5),"",EDATE($C$10,45))</f>
        <v/>
      </c>
      <c r="D72" s="41" t="n">
        <f aca="false">MAX(0,M71)</f>
        <v>0</v>
      </c>
      <c r="E72" s="41" t="n">
        <f aca="false">D72*$F$7</f>
        <v>0</v>
      </c>
      <c r="F72" s="41" t="n">
        <f aca="false">IF(D72&gt;0.5,N($C$15),0)</f>
        <v>0</v>
      </c>
      <c r="G72" s="41" t="n">
        <f aca="false">IF(AND(D72&gt;0.5,N($C$19)&gt;0,N(B72)&lt;=N($C$20)),D72*$F$8,0)</f>
        <v>0</v>
      </c>
      <c r="H72" s="41" t="n">
        <f aca="false">IF(D72&lt;=0.5,0,MIN(IF(N(I72)&gt;0,I72,$F$9),D72+E72+F72))</f>
        <v>0</v>
      </c>
      <c r="I72" s="77"/>
      <c r="J72" s="77"/>
      <c r="K72" s="41" t="n">
        <f aca="false">IF(D72&lt;=0.5,0,MIN(H72+N(J72),D72+E72+F72))</f>
        <v>0</v>
      </c>
      <c r="L72" s="41" t="n">
        <f aca="false">K72-E72-F72</f>
        <v>0</v>
      </c>
      <c r="M72" s="41" t="n">
        <f aca="false">D72-L72</f>
        <v>0</v>
      </c>
      <c r="N72" s="42" t="n">
        <f aca="false">K72-G72</f>
        <v>0</v>
      </c>
      <c r="O72" s="78"/>
      <c r="P72" s="79"/>
      <c r="Q72" s="16" t="str">
        <f aca="false">IF(K72=0,"",IF(R72=1,"Pagada",IF(C72&lt;$F$12,"Vencida",IF(46=$F$13,"Próxima","Pendiente"))))</f>
        <v/>
      </c>
      <c r="R72" s="62" t="n">
        <f aca="false">IF(AND(K72&gt;0,OR(O72="Sí",O72="Si")),1,0)</f>
        <v>0</v>
      </c>
      <c r="S72" s="62" t="n">
        <f aca="false">IF(AND(K72&gt;0,R72=0),1,0)</f>
        <v>0</v>
      </c>
    </row>
    <row r="73" customFormat="false" ht="15" hidden="false" customHeight="false" outlineLevel="0" collapsed="false">
      <c r="B73" s="71" t="str">
        <f aca="false">IF($F$6="Sí",N($C$11)+46,"")</f>
        <v/>
      </c>
      <c r="C73" s="72" t="str">
        <f aca="false">IF(OR($F$6&lt;&gt;"Sí",D73&lt;=0.5),"",EDATE($C$10,46))</f>
        <v/>
      </c>
      <c r="D73" s="41" t="n">
        <f aca="false">MAX(0,M72)</f>
        <v>0</v>
      </c>
      <c r="E73" s="41" t="n">
        <f aca="false">D73*$F$7</f>
        <v>0</v>
      </c>
      <c r="F73" s="41" t="n">
        <f aca="false">IF(D73&gt;0.5,N($C$15),0)</f>
        <v>0</v>
      </c>
      <c r="G73" s="41" t="n">
        <f aca="false">IF(AND(D73&gt;0.5,N($C$19)&gt;0,N(B73)&lt;=N($C$20)),D73*$F$8,0)</f>
        <v>0</v>
      </c>
      <c r="H73" s="41" t="n">
        <f aca="false">IF(D73&lt;=0.5,0,MIN(IF(N(I73)&gt;0,I73,$F$9),D73+E73+F73))</f>
        <v>0</v>
      </c>
      <c r="I73" s="77"/>
      <c r="J73" s="77"/>
      <c r="K73" s="41" t="n">
        <f aca="false">IF(D73&lt;=0.5,0,MIN(H73+N(J73),D73+E73+F73))</f>
        <v>0</v>
      </c>
      <c r="L73" s="41" t="n">
        <f aca="false">K73-E73-F73</f>
        <v>0</v>
      </c>
      <c r="M73" s="41" t="n">
        <f aca="false">D73-L73</f>
        <v>0</v>
      </c>
      <c r="N73" s="42" t="n">
        <f aca="false">K73-G73</f>
        <v>0</v>
      </c>
      <c r="O73" s="78"/>
      <c r="P73" s="79"/>
      <c r="Q73" s="16" t="str">
        <f aca="false">IF(K73=0,"",IF(R73=1,"Pagada",IF(C73&lt;$F$12,"Vencida",IF(47=$F$13,"Próxima","Pendiente"))))</f>
        <v/>
      </c>
      <c r="R73" s="62" t="n">
        <f aca="false">IF(AND(K73&gt;0,OR(O73="Sí",O73="Si")),1,0)</f>
        <v>0</v>
      </c>
      <c r="S73" s="62" t="n">
        <f aca="false">IF(AND(K73&gt;0,R73=0),1,0)</f>
        <v>0</v>
      </c>
    </row>
    <row r="74" customFormat="false" ht="15" hidden="false" customHeight="false" outlineLevel="0" collapsed="false">
      <c r="B74" s="71" t="str">
        <f aca="false">IF($F$6="Sí",N($C$11)+47,"")</f>
        <v/>
      </c>
      <c r="C74" s="72" t="str">
        <f aca="false">IF(OR($F$6&lt;&gt;"Sí",D74&lt;=0.5),"",EDATE($C$10,47))</f>
        <v/>
      </c>
      <c r="D74" s="41" t="n">
        <f aca="false">MAX(0,M73)</f>
        <v>0</v>
      </c>
      <c r="E74" s="41" t="n">
        <f aca="false">D74*$F$7</f>
        <v>0</v>
      </c>
      <c r="F74" s="41" t="n">
        <f aca="false">IF(D74&gt;0.5,N($C$15),0)</f>
        <v>0</v>
      </c>
      <c r="G74" s="41" t="n">
        <f aca="false">IF(AND(D74&gt;0.5,N($C$19)&gt;0,N(B74)&lt;=N($C$20)),D74*$F$8,0)</f>
        <v>0</v>
      </c>
      <c r="H74" s="41" t="n">
        <f aca="false">IF(D74&lt;=0.5,0,MIN(IF(N(I74)&gt;0,I74,$F$9),D74+E74+F74))</f>
        <v>0</v>
      </c>
      <c r="I74" s="77"/>
      <c r="J74" s="77"/>
      <c r="K74" s="41" t="n">
        <f aca="false">IF(D74&lt;=0.5,0,MIN(H74+N(J74),D74+E74+F74))</f>
        <v>0</v>
      </c>
      <c r="L74" s="41" t="n">
        <f aca="false">K74-E74-F74</f>
        <v>0</v>
      </c>
      <c r="M74" s="41" t="n">
        <f aca="false">D74-L74</f>
        <v>0</v>
      </c>
      <c r="N74" s="42" t="n">
        <f aca="false">K74-G74</f>
        <v>0</v>
      </c>
      <c r="O74" s="78"/>
      <c r="P74" s="79"/>
      <c r="Q74" s="16" t="str">
        <f aca="false">IF(K74=0,"",IF(R74=1,"Pagada",IF(C74&lt;$F$12,"Vencida",IF(48=$F$13,"Próxima","Pendiente"))))</f>
        <v/>
      </c>
      <c r="R74" s="62" t="n">
        <f aca="false">IF(AND(K74&gt;0,OR(O74="Sí",O74="Si")),1,0)</f>
        <v>0</v>
      </c>
      <c r="S74" s="62" t="n">
        <f aca="false">IF(AND(K74&gt;0,R74=0),1,0)</f>
        <v>0</v>
      </c>
    </row>
    <row r="75" customFormat="false" ht="15" hidden="false" customHeight="false" outlineLevel="0" collapsed="false">
      <c r="B75" s="71" t="str">
        <f aca="false">IF($F$6="Sí",N($C$11)+48,"")</f>
        <v/>
      </c>
      <c r="C75" s="72" t="str">
        <f aca="false">IF(OR($F$6&lt;&gt;"Sí",D75&lt;=0.5),"",EDATE($C$10,48))</f>
        <v/>
      </c>
      <c r="D75" s="41" t="n">
        <f aca="false">MAX(0,M74)</f>
        <v>0</v>
      </c>
      <c r="E75" s="41" t="n">
        <f aca="false">D75*$F$7</f>
        <v>0</v>
      </c>
      <c r="F75" s="41" t="n">
        <f aca="false">IF(D75&gt;0.5,N($C$15),0)</f>
        <v>0</v>
      </c>
      <c r="G75" s="41" t="n">
        <f aca="false">IF(AND(D75&gt;0.5,N($C$19)&gt;0,N(B75)&lt;=N($C$20)),D75*$F$8,0)</f>
        <v>0</v>
      </c>
      <c r="H75" s="41" t="n">
        <f aca="false">IF(D75&lt;=0.5,0,MIN(IF(N(I75)&gt;0,I75,$F$9),D75+E75+F75))</f>
        <v>0</v>
      </c>
      <c r="I75" s="77"/>
      <c r="J75" s="77"/>
      <c r="K75" s="41" t="n">
        <f aca="false">IF(D75&lt;=0.5,0,MIN(H75+N(J75),D75+E75+F75))</f>
        <v>0</v>
      </c>
      <c r="L75" s="41" t="n">
        <f aca="false">K75-E75-F75</f>
        <v>0</v>
      </c>
      <c r="M75" s="41" t="n">
        <f aca="false">D75-L75</f>
        <v>0</v>
      </c>
      <c r="N75" s="42" t="n">
        <f aca="false">K75-G75</f>
        <v>0</v>
      </c>
      <c r="O75" s="78"/>
      <c r="P75" s="79"/>
      <c r="Q75" s="16" t="str">
        <f aca="false">IF(K75=0,"",IF(R75=1,"Pagada",IF(C75&lt;$F$12,"Vencida",IF(49=$F$13,"Próxima","Pendiente"))))</f>
        <v/>
      </c>
      <c r="R75" s="62" t="n">
        <f aca="false">IF(AND(K75&gt;0,OR(O75="Sí",O75="Si")),1,0)</f>
        <v>0</v>
      </c>
      <c r="S75" s="62" t="n">
        <f aca="false">IF(AND(K75&gt;0,R75=0),1,0)</f>
        <v>0</v>
      </c>
    </row>
    <row r="76" customFormat="false" ht="15" hidden="false" customHeight="false" outlineLevel="0" collapsed="false">
      <c r="B76" s="71" t="str">
        <f aca="false">IF($F$6="Sí",N($C$11)+49,"")</f>
        <v/>
      </c>
      <c r="C76" s="72" t="str">
        <f aca="false">IF(OR($F$6&lt;&gt;"Sí",D76&lt;=0.5),"",EDATE($C$10,49))</f>
        <v/>
      </c>
      <c r="D76" s="41" t="n">
        <f aca="false">MAX(0,M75)</f>
        <v>0</v>
      </c>
      <c r="E76" s="41" t="n">
        <f aca="false">D76*$F$7</f>
        <v>0</v>
      </c>
      <c r="F76" s="41" t="n">
        <f aca="false">IF(D76&gt;0.5,N($C$15),0)</f>
        <v>0</v>
      </c>
      <c r="G76" s="41" t="n">
        <f aca="false">IF(AND(D76&gt;0.5,N($C$19)&gt;0,N(B76)&lt;=N($C$20)),D76*$F$8,0)</f>
        <v>0</v>
      </c>
      <c r="H76" s="41" t="n">
        <f aca="false">IF(D76&lt;=0.5,0,MIN(IF(N(I76)&gt;0,I76,$F$9),D76+E76+F76))</f>
        <v>0</v>
      </c>
      <c r="I76" s="77"/>
      <c r="J76" s="77"/>
      <c r="K76" s="41" t="n">
        <f aca="false">IF(D76&lt;=0.5,0,MIN(H76+N(J76),D76+E76+F76))</f>
        <v>0</v>
      </c>
      <c r="L76" s="41" t="n">
        <f aca="false">K76-E76-F76</f>
        <v>0</v>
      </c>
      <c r="M76" s="41" t="n">
        <f aca="false">D76-L76</f>
        <v>0</v>
      </c>
      <c r="N76" s="42" t="n">
        <f aca="false">K76-G76</f>
        <v>0</v>
      </c>
      <c r="O76" s="78"/>
      <c r="P76" s="79"/>
      <c r="Q76" s="16" t="str">
        <f aca="false">IF(K76=0,"",IF(R76=1,"Pagada",IF(C76&lt;$F$12,"Vencida",IF(50=$F$13,"Próxima","Pendiente"))))</f>
        <v/>
      </c>
      <c r="R76" s="62" t="n">
        <f aca="false">IF(AND(K76&gt;0,OR(O76="Sí",O76="Si")),1,0)</f>
        <v>0</v>
      </c>
      <c r="S76" s="62" t="n">
        <f aca="false">IF(AND(K76&gt;0,R76=0),1,0)</f>
        <v>0</v>
      </c>
    </row>
    <row r="77" customFormat="false" ht="15" hidden="false" customHeight="false" outlineLevel="0" collapsed="false">
      <c r="B77" s="71" t="str">
        <f aca="false">IF($F$6="Sí",N($C$11)+50,"")</f>
        <v/>
      </c>
      <c r="C77" s="72" t="str">
        <f aca="false">IF(OR($F$6&lt;&gt;"Sí",D77&lt;=0.5),"",EDATE($C$10,50))</f>
        <v/>
      </c>
      <c r="D77" s="41" t="n">
        <f aca="false">MAX(0,M76)</f>
        <v>0</v>
      </c>
      <c r="E77" s="41" t="n">
        <f aca="false">D77*$F$7</f>
        <v>0</v>
      </c>
      <c r="F77" s="41" t="n">
        <f aca="false">IF(D77&gt;0.5,N($C$15),0)</f>
        <v>0</v>
      </c>
      <c r="G77" s="41" t="n">
        <f aca="false">IF(AND(D77&gt;0.5,N($C$19)&gt;0,N(B77)&lt;=N($C$20)),D77*$F$8,0)</f>
        <v>0</v>
      </c>
      <c r="H77" s="41" t="n">
        <f aca="false">IF(D77&lt;=0.5,0,MIN(IF(N(I77)&gt;0,I77,$F$9),D77+E77+F77))</f>
        <v>0</v>
      </c>
      <c r="I77" s="77"/>
      <c r="J77" s="77"/>
      <c r="K77" s="41" t="n">
        <f aca="false">IF(D77&lt;=0.5,0,MIN(H77+N(J77),D77+E77+F77))</f>
        <v>0</v>
      </c>
      <c r="L77" s="41" t="n">
        <f aca="false">K77-E77-F77</f>
        <v>0</v>
      </c>
      <c r="M77" s="41" t="n">
        <f aca="false">D77-L77</f>
        <v>0</v>
      </c>
      <c r="N77" s="42" t="n">
        <f aca="false">K77-G77</f>
        <v>0</v>
      </c>
      <c r="O77" s="78"/>
      <c r="P77" s="79"/>
      <c r="Q77" s="16" t="str">
        <f aca="false">IF(K77=0,"",IF(R77=1,"Pagada",IF(C77&lt;$F$12,"Vencida",IF(51=$F$13,"Próxima","Pendiente"))))</f>
        <v/>
      </c>
      <c r="R77" s="62" t="n">
        <f aca="false">IF(AND(K77&gt;0,OR(O77="Sí",O77="Si")),1,0)</f>
        <v>0</v>
      </c>
      <c r="S77" s="62" t="n">
        <f aca="false">IF(AND(K77&gt;0,R77=0),1,0)</f>
        <v>0</v>
      </c>
    </row>
    <row r="78" customFormat="false" ht="15" hidden="false" customHeight="false" outlineLevel="0" collapsed="false">
      <c r="B78" s="71" t="str">
        <f aca="false">IF($F$6="Sí",N($C$11)+51,"")</f>
        <v/>
      </c>
      <c r="C78" s="72" t="str">
        <f aca="false">IF(OR($F$6&lt;&gt;"Sí",D78&lt;=0.5),"",EDATE($C$10,51))</f>
        <v/>
      </c>
      <c r="D78" s="41" t="n">
        <f aca="false">MAX(0,M77)</f>
        <v>0</v>
      </c>
      <c r="E78" s="41" t="n">
        <f aca="false">D78*$F$7</f>
        <v>0</v>
      </c>
      <c r="F78" s="41" t="n">
        <f aca="false">IF(D78&gt;0.5,N($C$15),0)</f>
        <v>0</v>
      </c>
      <c r="G78" s="41" t="n">
        <f aca="false">IF(AND(D78&gt;0.5,N($C$19)&gt;0,N(B78)&lt;=N($C$20)),D78*$F$8,0)</f>
        <v>0</v>
      </c>
      <c r="H78" s="41" t="n">
        <f aca="false">IF(D78&lt;=0.5,0,MIN(IF(N(I78)&gt;0,I78,$F$9),D78+E78+F78))</f>
        <v>0</v>
      </c>
      <c r="I78" s="77"/>
      <c r="J78" s="77"/>
      <c r="K78" s="41" t="n">
        <f aca="false">IF(D78&lt;=0.5,0,MIN(H78+N(J78),D78+E78+F78))</f>
        <v>0</v>
      </c>
      <c r="L78" s="41" t="n">
        <f aca="false">K78-E78-F78</f>
        <v>0</v>
      </c>
      <c r="M78" s="41" t="n">
        <f aca="false">D78-L78</f>
        <v>0</v>
      </c>
      <c r="N78" s="42" t="n">
        <f aca="false">K78-G78</f>
        <v>0</v>
      </c>
      <c r="O78" s="78"/>
      <c r="P78" s="79"/>
      <c r="Q78" s="16" t="str">
        <f aca="false">IF(K78=0,"",IF(R78=1,"Pagada",IF(C78&lt;$F$12,"Vencida",IF(52=$F$13,"Próxima","Pendiente"))))</f>
        <v/>
      </c>
      <c r="R78" s="62" t="n">
        <f aca="false">IF(AND(K78&gt;0,OR(O78="Sí",O78="Si")),1,0)</f>
        <v>0</v>
      </c>
      <c r="S78" s="62" t="n">
        <f aca="false">IF(AND(K78&gt;0,R78=0),1,0)</f>
        <v>0</v>
      </c>
    </row>
    <row r="79" customFormat="false" ht="15" hidden="false" customHeight="false" outlineLevel="0" collapsed="false">
      <c r="B79" s="71" t="str">
        <f aca="false">IF($F$6="Sí",N($C$11)+52,"")</f>
        <v/>
      </c>
      <c r="C79" s="72" t="str">
        <f aca="false">IF(OR($F$6&lt;&gt;"Sí",D79&lt;=0.5),"",EDATE($C$10,52))</f>
        <v/>
      </c>
      <c r="D79" s="41" t="n">
        <f aca="false">MAX(0,M78)</f>
        <v>0</v>
      </c>
      <c r="E79" s="41" t="n">
        <f aca="false">D79*$F$7</f>
        <v>0</v>
      </c>
      <c r="F79" s="41" t="n">
        <f aca="false">IF(D79&gt;0.5,N($C$15),0)</f>
        <v>0</v>
      </c>
      <c r="G79" s="41" t="n">
        <f aca="false">IF(AND(D79&gt;0.5,N($C$19)&gt;0,N(B79)&lt;=N($C$20)),D79*$F$8,0)</f>
        <v>0</v>
      </c>
      <c r="H79" s="41" t="n">
        <f aca="false">IF(D79&lt;=0.5,0,MIN(IF(N(I79)&gt;0,I79,$F$9),D79+E79+F79))</f>
        <v>0</v>
      </c>
      <c r="I79" s="77"/>
      <c r="J79" s="77"/>
      <c r="K79" s="41" t="n">
        <f aca="false">IF(D79&lt;=0.5,0,MIN(H79+N(J79),D79+E79+F79))</f>
        <v>0</v>
      </c>
      <c r="L79" s="41" t="n">
        <f aca="false">K79-E79-F79</f>
        <v>0</v>
      </c>
      <c r="M79" s="41" t="n">
        <f aca="false">D79-L79</f>
        <v>0</v>
      </c>
      <c r="N79" s="42" t="n">
        <f aca="false">K79-G79</f>
        <v>0</v>
      </c>
      <c r="O79" s="78"/>
      <c r="P79" s="79"/>
      <c r="Q79" s="16" t="str">
        <f aca="false">IF(K79=0,"",IF(R79=1,"Pagada",IF(C79&lt;$F$12,"Vencida",IF(53=$F$13,"Próxima","Pendiente"))))</f>
        <v/>
      </c>
      <c r="R79" s="62" t="n">
        <f aca="false">IF(AND(K79&gt;0,OR(O79="Sí",O79="Si")),1,0)</f>
        <v>0</v>
      </c>
      <c r="S79" s="62" t="n">
        <f aca="false">IF(AND(K79&gt;0,R79=0),1,0)</f>
        <v>0</v>
      </c>
    </row>
    <row r="80" customFormat="false" ht="15" hidden="false" customHeight="false" outlineLevel="0" collapsed="false">
      <c r="B80" s="71" t="str">
        <f aca="false">IF($F$6="Sí",N($C$11)+53,"")</f>
        <v/>
      </c>
      <c r="C80" s="72" t="str">
        <f aca="false">IF(OR($F$6&lt;&gt;"Sí",D80&lt;=0.5),"",EDATE($C$10,53))</f>
        <v/>
      </c>
      <c r="D80" s="41" t="n">
        <f aca="false">MAX(0,M79)</f>
        <v>0</v>
      </c>
      <c r="E80" s="41" t="n">
        <f aca="false">D80*$F$7</f>
        <v>0</v>
      </c>
      <c r="F80" s="41" t="n">
        <f aca="false">IF(D80&gt;0.5,N($C$15),0)</f>
        <v>0</v>
      </c>
      <c r="G80" s="41" t="n">
        <f aca="false">IF(AND(D80&gt;0.5,N($C$19)&gt;0,N(B80)&lt;=N($C$20)),D80*$F$8,0)</f>
        <v>0</v>
      </c>
      <c r="H80" s="41" t="n">
        <f aca="false">IF(D80&lt;=0.5,0,MIN(IF(N(I80)&gt;0,I80,$F$9),D80+E80+F80))</f>
        <v>0</v>
      </c>
      <c r="I80" s="77"/>
      <c r="J80" s="77"/>
      <c r="K80" s="41" t="n">
        <f aca="false">IF(D80&lt;=0.5,0,MIN(H80+N(J80),D80+E80+F80))</f>
        <v>0</v>
      </c>
      <c r="L80" s="41" t="n">
        <f aca="false">K80-E80-F80</f>
        <v>0</v>
      </c>
      <c r="M80" s="41" t="n">
        <f aca="false">D80-L80</f>
        <v>0</v>
      </c>
      <c r="N80" s="42" t="n">
        <f aca="false">K80-G80</f>
        <v>0</v>
      </c>
      <c r="O80" s="78"/>
      <c r="P80" s="79"/>
      <c r="Q80" s="16" t="str">
        <f aca="false">IF(K80=0,"",IF(R80=1,"Pagada",IF(C80&lt;$F$12,"Vencida",IF(54=$F$13,"Próxima","Pendiente"))))</f>
        <v/>
      </c>
      <c r="R80" s="62" t="n">
        <f aca="false">IF(AND(K80&gt;0,OR(O80="Sí",O80="Si")),1,0)</f>
        <v>0</v>
      </c>
      <c r="S80" s="62" t="n">
        <f aca="false">IF(AND(K80&gt;0,R80=0),1,0)</f>
        <v>0</v>
      </c>
    </row>
    <row r="81" customFormat="false" ht="15" hidden="false" customHeight="false" outlineLevel="0" collapsed="false">
      <c r="B81" s="71" t="str">
        <f aca="false">IF($F$6="Sí",N($C$11)+54,"")</f>
        <v/>
      </c>
      <c r="C81" s="72" t="str">
        <f aca="false">IF(OR($F$6&lt;&gt;"Sí",D81&lt;=0.5),"",EDATE($C$10,54))</f>
        <v/>
      </c>
      <c r="D81" s="41" t="n">
        <f aca="false">MAX(0,M80)</f>
        <v>0</v>
      </c>
      <c r="E81" s="41" t="n">
        <f aca="false">D81*$F$7</f>
        <v>0</v>
      </c>
      <c r="F81" s="41" t="n">
        <f aca="false">IF(D81&gt;0.5,N($C$15),0)</f>
        <v>0</v>
      </c>
      <c r="G81" s="41" t="n">
        <f aca="false">IF(AND(D81&gt;0.5,N($C$19)&gt;0,N(B81)&lt;=N($C$20)),D81*$F$8,0)</f>
        <v>0</v>
      </c>
      <c r="H81" s="41" t="n">
        <f aca="false">IF(D81&lt;=0.5,0,MIN(IF(N(I81)&gt;0,I81,$F$9),D81+E81+F81))</f>
        <v>0</v>
      </c>
      <c r="I81" s="77"/>
      <c r="J81" s="77"/>
      <c r="K81" s="41" t="n">
        <f aca="false">IF(D81&lt;=0.5,0,MIN(H81+N(J81),D81+E81+F81))</f>
        <v>0</v>
      </c>
      <c r="L81" s="41" t="n">
        <f aca="false">K81-E81-F81</f>
        <v>0</v>
      </c>
      <c r="M81" s="41" t="n">
        <f aca="false">D81-L81</f>
        <v>0</v>
      </c>
      <c r="N81" s="42" t="n">
        <f aca="false">K81-G81</f>
        <v>0</v>
      </c>
      <c r="O81" s="78"/>
      <c r="P81" s="79"/>
      <c r="Q81" s="16" t="str">
        <f aca="false">IF(K81=0,"",IF(R81=1,"Pagada",IF(C81&lt;$F$12,"Vencida",IF(55=$F$13,"Próxima","Pendiente"))))</f>
        <v/>
      </c>
      <c r="R81" s="62" t="n">
        <f aca="false">IF(AND(K81&gt;0,OR(O81="Sí",O81="Si")),1,0)</f>
        <v>0</v>
      </c>
      <c r="S81" s="62" t="n">
        <f aca="false">IF(AND(K81&gt;0,R81=0),1,0)</f>
        <v>0</v>
      </c>
    </row>
    <row r="82" customFormat="false" ht="15" hidden="false" customHeight="false" outlineLevel="0" collapsed="false">
      <c r="B82" s="71" t="str">
        <f aca="false">IF($F$6="Sí",N($C$11)+55,"")</f>
        <v/>
      </c>
      <c r="C82" s="72" t="str">
        <f aca="false">IF(OR($F$6&lt;&gt;"Sí",D82&lt;=0.5),"",EDATE($C$10,55))</f>
        <v/>
      </c>
      <c r="D82" s="41" t="n">
        <f aca="false">MAX(0,M81)</f>
        <v>0</v>
      </c>
      <c r="E82" s="41" t="n">
        <f aca="false">D82*$F$7</f>
        <v>0</v>
      </c>
      <c r="F82" s="41" t="n">
        <f aca="false">IF(D82&gt;0.5,N($C$15),0)</f>
        <v>0</v>
      </c>
      <c r="G82" s="41" t="n">
        <f aca="false">IF(AND(D82&gt;0.5,N($C$19)&gt;0,N(B82)&lt;=N($C$20)),D82*$F$8,0)</f>
        <v>0</v>
      </c>
      <c r="H82" s="41" t="n">
        <f aca="false">IF(D82&lt;=0.5,0,MIN(IF(N(I82)&gt;0,I82,$F$9),D82+E82+F82))</f>
        <v>0</v>
      </c>
      <c r="I82" s="77"/>
      <c r="J82" s="77"/>
      <c r="K82" s="41" t="n">
        <f aca="false">IF(D82&lt;=0.5,0,MIN(H82+N(J82),D82+E82+F82))</f>
        <v>0</v>
      </c>
      <c r="L82" s="41" t="n">
        <f aca="false">K82-E82-F82</f>
        <v>0</v>
      </c>
      <c r="M82" s="41" t="n">
        <f aca="false">D82-L82</f>
        <v>0</v>
      </c>
      <c r="N82" s="42" t="n">
        <f aca="false">K82-G82</f>
        <v>0</v>
      </c>
      <c r="O82" s="78"/>
      <c r="P82" s="79"/>
      <c r="Q82" s="16" t="str">
        <f aca="false">IF(K82=0,"",IF(R82=1,"Pagada",IF(C82&lt;$F$12,"Vencida",IF(56=$F$13,"Próxima","Pendiente"))))</f>
        <v/>
      </c>
      <c r="R82" s="62" t="n">
        <f aca="false">IF(AND(K82&gt;0,OR(O82="Sí",O82="Si")),1,0)</f>
        <v>0</v>
      </c>
      <c r="S82" s="62" t="n">
        <f aca="false">IF(AND(K82&gt;0,R82=0),1,0)</f>
        <v>0</v>
      </c>
    </row>
    <row r="83" customFormat="false" ht="15" hidden="false" customHeight="false" outlineLevel="0" collapsed="false">
      <c r="B83" s="71" t="str">
        <f aca="false">IF($F$6="Sí",N($C$11)+56,"")</f>
        <v/>
      </c>
      <c r="C83" s="72" t="str">
        <f aca="false">IF(OR($F$6&lt;&gt;"Sí",D83&lt;=0.5),"",EDATE($C$10,56))</f>
        <v/>
      </c>
      <c r="D83" s="41" t="n">
        <f aca="false">MAX(0,M82)</f>
        <v>0</v>
      </c>
      <c r="E83" s="41" t="n">
        <f aca="false">D83*$F$7</f>
        <v>0</v>
      </c>
      <c r="F83" s="41" t="n">
        <f aca="false">IF(D83&gt;0.5,N($C$15),0)</f>
        <v>0</v>
      </c>
      <c r="G83" s="41" t="n">
        <f aca="false">IF(AND(D83&gt;0.5,N($C$19)&gt;0,N(B83)&lt;=N($C$20)),D83*$F$8,0)</f>
        <v>0</v>
      </c>
      <c r="H83" s="41" t="n">
        <f aca="false">IF(D83&lt;=0.5,0,MIN(IF(N(I83)&gt;0,I83,$F$9),D83+E83+F83))</f>
        <v>0</v>
      </c>
      <c r="I83" s="77"/>
      <c r="J83" s="77"/>
      <c r="K83" s="41" t="n">
        <f aca="false">IF(D83&lt;=0.5,0,MIN(H83+N(J83),D83+E83+F83))</f>
        <v>0</v>
      </c>
      <c r="L83" s="41" t="n">
        <f aca="false">K83-E83-F83</f>
        <v>0</v>
      </c>
      <c r="M83" s="41" t="n">
        <f aca="false">D83-L83</f>
        <v>0</v>
      </c>
      <c r="N83" s="42" t="n">
        <f aca="false">K83-G83</f>
        <v>0</v>
      </c>
      <c r="O83" s="78"/>
      <c r="P83" s="79"/>
      <c r="Q83" s="16" t="str">
        <f aca="false">IF(K83=0,"",IF(R83=1,"Pagada",IF(C83&lt;$F$12,"Vencida",IF(57=$F$13,"Próxima","Pendiente"))))</f>
        <v/>
      </c>
      <c r="R83" s="62" t="n">
        <f aca="false">IF(AND(K83&gt;0,OR(O83="Sí",O83="Si")),1,0)</f>
        <v>0</v>
      </c>
      <c r="S83" s="62" t="n">
        <f aca="false">IF(AND(K83&gt;0,R83=0),1,0)</f>
        <v>0</v>
      </c>
    </row>
    <row r="84" customFormat="false" ht="15" hidden="false" customHeight="false" outlineLevel="0" collapsed="false">
      <c r="B84" s="71" t="str">
        <f aca="false">IF($F$6="Sí",N($C$11)+57,"")</f>
        <v/>
      </c>
      <c r="C84" s="72" t="str">
        <f aca="false">IF(OR($F$6&lt;&gt;"Sí",D84&lt;=0.5),"",EDATE($C$10,57))</f>
        <v/>
      </c>
      <c r="D84" s="41" t="n">
        <f aca="false">MAX(0,M83)</f>
        <v>0</v>
      </c>
      <c r="E84" s="41" t="n">
        <f aca="false">D84*$F$7</f>
        <v>0</v>
      </c>
      <c r="F84" s="41" t="n">
        <f aca="false">IF(D84&gt;0.5,N($C$15),0)</f>
        <v>0</v>
      </c>
      <c r="G84" s="41" t="n">
        <f aca="false">IF(AND(D84&gt;0.5,N($C$19)&gt;0,N(B84)&lt;=N($C$20)),D84*$F$8,0)</f>
        <v>0</v>
      </c>
      <c r="H84" s="41" t="n">
        <f aca="false">IF(D84&lt;=0.5,0,MIN(IF(N(I84)&gt;0,I84,$F$9),D84+E84+F84))</f>
        <v>0</v>
      </c>
      <c r="I84" s="77"/>
      <c r="J84" s="77"/>
      <c r="K84" s="41" t="n">
        <f aca="false">IF(D84&lt;=0.5,0,MIN(H84+N(J84),D84+E84+F84))</f>
        <v>0</v>
      </c>
      <c r="L84" s="41" t="n">
        <f aca="false">K84-E84-F84</f>
        <v>0</v>
      </c>
      <c r="M84" s="41" t="n">
        <f aca="false">D84-L84</f>
        <v>0</v>
      </c>
      <c r="N84" s="42" t="n">
        <f aca="false">K84-G84</f>
        <v>0</v>
      </c>
      <c r="O84" s="78"/>
      <c r="P84" s="79"/>
      <c r="Q84" s="16" t="str">
        <f aca="false">IF(K84=0,"",IF(R84=1,"Pagada",IF(C84&lt;$F$12,"Vencida",IF(58=$F$13,"Próxima","Pendiente"))))</f>
        <v/>
      </c>
      <c r="R84" s="62" t="n">
        <f aca="false">IF(AND(K84&gt;0,OR(O84="Sí",O84="Si")),1,0)</f>
        <v>0</v>
      </c>
      <c r="S84" s="62" t="n">
        <f aca="false">IF(AND(K84&gt;0,R84=0),1,0)</f>
        <v>0</v>
      </c>
    </row>
    <row r="85" customFormat="false" ht="15" hidden="false" customHeight="false" outlineLevel="0" collapsed="false">
      <c r="B85" s="71" t="str">
        <f aca="false">IF($F$6="Sí",N($C$11)+58,"")</f>
        <v/>
      </c>
      <c r="C85" s="72" t="str">
        <f aca="false">IF(OR($F$6&lt;&gt;"Sí",D85&lt;=0.5),"",EDATE($C$10,58))</f>
        <v/>
      </c>
      <c r="D85" s="41" t="n">
        <f aca="false">MAX(0,M84)</f>
        <v>0</v>
      </c>
      <c r="E85" s="41" t="n">
        <f aca="false">D85*$F$7</f>
        <v>0</v>
      </c>
      <c r="F85" s="41" t="n">
        <f aca="false">IF(D85&gt;0.5,N($C$15),0)</f>
        <v>0</v>
      </c>
      <c r="G85" s="41" t="n">
        <f aca="false">IF(AND(D85&gt;0.5,N($C$19)&gt;0,N(B85)&lt;=N($C$20)),D85*$F$8,0)</f>
        <v>0</v>
      </c>
      <c r="H85" s="41" t="n">
        <f aca="false">IF(D85&lt;=0.5,0,MIN(IF(N(I85)&gt;0,I85,$F$9),D85+E85+F85))</f>
        <v>0</v>
      </c>
      <c r="I85" s="77"/>
      <c r="J85" s="77"/>
      <c r="K85" s="41" t="n">
        <f aca="false">IF(D85&lt;=0.5,0,MIN(H85+N(J85),D85+E85+F85))</f>
        <v>0</v>
      </c>
      <c r="L85" s="41" t="n">
        <f aca="false">K85-E85-F85</f>
        <v>0</v>
      </c>
      <c r="M85" s="41" t="n">
        <f aca="false">D85-L85</f>
        <v>0</v>
      </c>
      <c r="N85" s="42" t="n">
        <f aca="false">K85-G85</f>
        <v>0</v>
      </c>
      <c r="O85" s="78"/>
      <c r="P85" s="79"/>
      <c r="Q85" s="16" t="str">
        <f aca="false">IF(K85=0,"",IF(R85=1,"Pagada",IF(C85&lt;$F$12,"Vencida",IF(59=$F$13,"Próxima","Pendiente"))))</f>
        <v/>
      </c>
      <c r="R85" s="62" t="n">
        <f aca="false">IF(AND(K85&gt;0,OR(O85="Sí",O85="Si")),1,0)</f>
        <v>0</v>
      </c>
      <c r="S85" s="62" t="n">
        <f aca="false">IF(AND(K85&gt;0,R85=0),1,0)</f>
        <v>0</v>
      </c>
    </row>
    <row r="86" customFormat="false" ht="15" hidden="false" customHeight="false" outlineLevel="0" collapsed="false">
      <c r="B86" s="71" t="str">
        <f aca="false">IF($F$6="Sí",N($C$11)+59,"")</f>
        <v/>
      </c>
      <c r="C86" s="72" t="str">
        <f aca="false">IF(OR($F$6&lt;&gt;"Sí",D86&lt;=0.5),"",EDATE($C$10,59))</f>
        <v/>
      </c>
      <c r="D86" s="41" t="n">
        <f aca="false">MAX(0,M85)</f>
        <v>0</v>
      </c>
      <c r="E86" s="41" t="n">
        <f aca="false">D86*$F$7</f>
        <v>0</v>
      </c>
      <c r="F86" s="41" t="n">
        <f aca="false">IF(D86&gt;0.5,N($C$15),0)</f>
        <v>0</v>
      </c>
      <c r="G86" s="41" t="n">
        <f aca="false">IF(AND(D86&gt;0.5,N($C$19)&gt;0,N(B86)&lt;=N($C$20)),D86*$F$8,0)</f>
        <v>0</v>
      </c>
      <c r="H86" s="41" t="n">
        <f aca="false">IF(D86&lt;=0.5,0,MIN(IF(N(I86)&gt;0,I86,$F$9),D86+E86+F86))</f>
        <v>0</v>
      </c>
      <c r="I86" s="77"/>
      <c r="J86" s="77"/>
      <c r="K86" s="41" t="n">
        <f aca="false">IF(D86&lt;=0.5,0,MIN(H86+N(J86),D86+E86+F86))</f>
        <v>0</v>
      </c>
      <c r="L86" s="41" t="n">
        <f aca="false">K86-E86-F86</f>
        <v>0</v>
      </c>
      <c r="M86" s="41" t="n">
        <f aca="false">D86-L86</f>
        <v>0</v>
      </c>
      <c r="N86" s="42" t="n">
        <f aca="false">K86-G86</f>
        <v>0</v>
      </c>
      <c r="O86" s="78"/>
      <c r="P86" s="79"/>
      <c r="Q86" s="16" t="str">
        <f aca="false">IF(K86=0,"",IF(R86=1,"Pagada",IF(C86&lt;$F$12,"Vencida",IF(60=$F$13,"Próxima","Pendiente"))))</f>
        <v/>
      </c>
      <c r="R86" s="62" t="n">
        <f aca="false">IF(AND(K86&gt;0,OR(O86="Sí",O86="Si")),1,0)</f>
        <v>0</v>
      </c>
      <c r="S86" s="62" t="n">
        <f aca="false">IF(AND(K86&gt;0,R86=0),1,0)</f>
        <v>0</v>
      </c>
    </row>
    <row r="87" customFormat="false" ht="15" hidden="false" customHeight="false" outlineLevel="0" collapsed="false">
      <c r="B87" s="71" t="str">
        <f aca="false">IF($F$6="Sí",N($C$11)+60,"")</f>
        <v/>
      </c>
      <c r="C87" s="72" t="str">
        <f aca="false">IF(OR($F$6&lt;&gt;"Sí",D87&lt;=0.5),"",EDATE($C$10,60))</f>
        <v/>
      </c>
      <c r="D87" s="41" t="n">
        <f aca="false">MAX(0,M86)</f>
        <v>0</v>
      </c>
      <c r="E87" s="41" t="n">
        <f aca="false">D87*$F$7</f>
        <v>0</v>
      </c>
      <c r="F87" s="41" t="n">
        <f aca="false">IF(D87&gt;0.5,N($C$15),0)</f>
        <v>0</v>
      </c>
      <c r="G87" s="41" t="n">
        <f aca="false">IF(AND(D87&gt;0.5,N($C$19)&gt;0,N(B87)&lt;=N($C$20)),D87*$F$8,0)</f>
        <v>0</v>
      </c>
      <c r="H87" s="41" t="n">
        <f aca="false">IF(D87&lt;=0.5,0,MIN(IF(N(I87)&gt;0,I87,$F$9),D87+E87+F87))</f>
        <v>0</v>
      </c>
      <c r="I87" s="77"/>
      <c r="J87" s="77"/>
      <c r="K87" s="41" t="n">
        <f aca="false">IF(D87&lt;=0.5,0,MIN(H87+N(J87),D87+E87+F87))</f>
        <v>0</v>
      </c>
      <c r="L87" s="41" t="n">
        <f aca="false">K87-E87-F87</f>
        <v>0</v>
      </c>
      <c r="M87" s="41" t="n">
        <f aca="false">D87-L87</f>
        <v>0</v>
      </c>
      <c r="N87" s="42" t="n">
        <f aca="false">K87-G87</f>
        <v>0</v>
      </c>
      <c r="O87" s="78"/>
      <c r="P87" s="79"/>
      <c r="Q87" s="16" t="str">
        <f aca="false">IF(K87=0,"",IF(R87=1,"Pagada",IF(C87&lt;$F$12,"Vencida",IF(61=$F$13,"Próxima","Pendiente"))))</f>
        <v/>
      </c>
      <c r="R87" s="62" t="n">
        <f aca="false">IF(AND(K87&gt;0,OR(O87="Sí",O87="Si")),1,0)</f>
        <v>0</v>
      </c>
      <c r="S87" s="62" t="n">
        <f aca="false">IF(AND(K87&gt;0,R87=0),1,0)</f>
        <v>0</v>
      </c>
    </row>
    <row r="88" customFormat="false" ht="15" hidden="false" customHeight="false" outlineLevel="0" collapsed="false">
      <c r="B88" s="71" t="str">
        <f aca="false">IF($F$6="Sí",N($C$11)+61,"")</f>
        <v/>
      </c>
      <c r="C88" s="72" t="str">
        <f aca="false">IF(OR($F$6&lt;&gt;"Sí",D88&lt;=0.5),"",EDATE($C$10,61))</f>
        <v/>
      </c>
      <c r="D88" s="41" t="n">
        <f aca="false">MAX(0,M87)</f>
        <v>0</v>
      </c>
      <c r="E88" s="41" t="n">
        <f aca="false">D88*$F$7</f>
        <v>0</v>
      </c>
      <c r="F88" s="41" t="n">
        <f aca="false">IF(D88&gt;0.5,N($C$15),0)</f>
        <v>0</v>
      </c>
      <c r="G88" s="41" t="n">
        <f aca="false">IF(AND(D88&gt;0.5,N($C$19)&gt;0,N(B88)&lt;=N($C$20)),D88*$F$8,0)</f>
        <v>0</v>
      </c>
      <c r="H88" s="41" t="n">
        <f aca="false">IF(D88&lt;=0.5,0,MIN(IF(N(I88)&gt;0,I88,$F$9),D88+E88+F88))</f>
        <v>0</v>
      </c>
      <c r="I88" s="77"/>
      <c r="J88" s="77"/>
      <c r="K88" s="41" t="n">
        <f aca="false">IF(D88&lt;=0.5,0,MIN(H88+N(J88),D88+E88+F88))</f>
        <v>0</v>
      </c>
      <c r="L88" s="41" t="n">
        <f aca="false">K88-E88-F88</f>
        <v>0</v>
      </c>
      <c r="M88" s="41" t="n">
        <f aca="false">D88-L88</f>
        <v>0</v>
      </c>
      <c r="N88" s="42" t="n">
        <f aca="false">K88-G88</f>
        <v>0</v>
      </c>
      <c r="O88" s="78"/>
      <c r="P88" s="79"/>
      <c r="Q88" s="16" t="str">
        <f aca="false">IF(K88=0,"",IF(R88=1,"Pagada",IF(C88&lt;$F$12,"Vencida",IF(62=$F$13,"Próxima","Pendiente"))))</f>
        <v/>
      </c>
      <c r="R88" s="62" t="n">
        <f aca="false">IF(AND(K88&gt;0,OR(O88="Sí",O88="Si")),1,0)</f>
        <v>0</v>
      </c>
      <c r="S88" s="62" t="n">
        <f aca="false">IF(AND(K88&gt;0,R88=0),1,0)</f>
        <v>0</v>
      </c>
    </row>
    <row r="89" customFormat="false" ht="15" hidden="false" customHeight="false" outlineLevel="0" collapsed="false">
      <c r="B89" s="71" t="str">
        <f aca="false">IF($F$6="Sí",N($C$11)+62,"")</f>
        <v/>
      </c>
      <c r="C89" s="72" t="str">
        <f aca="false">IF(OR($F$6&lt;&gt;"Sí",D89&lt;=0.5),"",EDATE($C$10,62))</f>
        <v/>
      </c>
      <c r="D89" s="41" t="n">
        <f aca="false">MAX(0,M88)</f>
        <v>0</v>
      </c>
      <c r="E89" s="41" t="n">
        <f aca="false">D89*$F$7</f>
        <v>0</v>
      </c>
      <c r="F89" s="41" t="n">
        <f aca="false">IF(D89&gt;0.5,N($C$15),0)</f>
        <v>0</v>
      </c>
      <c r="G89" s="41" t="n">
        <f aca="false">IF(AND(D89&gt;0.5,N($C$19)&gt;0,N(B89)&lt;=N($C$20)),D89*$F$8,0)</f>
        <v>0</v>
      </c>
      <c r="H89" s="41" t="n">
        <f aca="false">IF(D89&lt;=0.5,0,MIN(IF(N(I89)&gt;0,I89,$F$9),D89+E89+F89))</f>
        <v>0</v>
      </c>
      <c r="I89" s="77"/>
      <c r="J89" s="77"/>
      <c r="K89" s="41" t="n">
        <f aca="false">IF(D89&lt;=0.5,0,MIN(H89+N(J89),D89+E89+F89))</f>
        <v>0</v>
      </c>
      <c r="L89" s="41" t="n">
        <f aca="false">K89-E89-F89</f>
        <v>0</v>
      </c>
      <c r="M89" s="41" t="n">
        <f aca="false">D89-L89</f>
        <v>0</v>
      </c>
      <c r="N89" s="42" t="n">
        <f aca="false">K89-G89</f>
        <v>0</v>
      </c>
      <c r="O89" s="78"/>
      <c r="P89" s="79"/>
      <c r="Q89" s="16" t="str">
        <f aca="false">IF(K89=0,"",IF(R89=1,"Pagada",IF(C89&lt;$F$12,"Vencida",IF(63=$F$13,"Próxima","Pendiente"))))</f>
        <v/>
      </c>
      <c r="R89" s="62" t="n">
        <f aca="false">IF(AND(K89&gt;0,OR(O89="Sí",O89="Si")),1,0)</f>
        <v>0</v>
      </c>
      <c r="S89" s="62" t="n">
        <f aca="false">IF(AND(K89&gt;0,R89=0),1,0)</f>
        <v>0</v>
      </c>
    </row>
    <row r="90" customFormat="false" ht="15" hidden="false" customHeight="false" outlineLevel="0" collapsed="false">
      <c r="B90" s="71" t="str">
        <f aca="false">IF($F$6="Sí",N($C$11)+63,"")</f>
        <v/>
      </c>
      <c r="C90" s="72" t="str">
        <f aca="false">IF(OR($F$6&lt;&gt;"Sí",D90&lt;=0.5),"",EDATE($C$10,63))</f>
        <v/>
      </c>
      <c r="D90" s="41" t="n">
        <f aca="false">MAX(0,M89)</f>
        <v>0</v>
      </c>
      <c r="E90" s="41" t="n">
        <f aca="false">D90*$F$7</f>
        <v>0</v>
      </c>
      <c r="F90" s="41" t="n">
        <f aca="false">IF(D90&gt;0.5,N($C$15),0)</f>
        <v>0</v>
      </c>
      <c r="G90" s="41" t="n">
        <f aca="false">IF(AND(D90&gt;0.5,N($C$19)&gt;0,N(B90)&lt;=N($C$20)),D90*$F$8,0)</f>
        <v>0</v>
      </c>
      <c r="H90" s="41" t="n">
        <f aca="false">IF(D90&lt;=0.5,0,MIN(IF(N(I90)&gt;0,I90,$F$9),D90+E90+F90))</f>
        <v>0</v>
      </c>
      <c r="I90" s="77"/>
      <c r="J90" s="77"/>
      <c r="K90" s="41" t="n">
        <f aca="false">IF(D90&lt;=0.5,0,MIN(H90+N(J90),D90+E90+F90))</f>
        <v>0</v>
      </c>
      <c r="L90" s="41" t="n">
        <f aca="false">K90-E90-F90</f>
        <v>0</v>
      </c>
      <c r="M90" s="41" t="n">
        <f aca="false">D90-L90</f>
        <v>0</v>
      </c>
      <c r="N90" s="42" t="n">
        <f aca="false">K90-G90</f>
        <v>0</v>
      </c>
      <c r="O90" s="78"/>
      <c r="P90" s="79"/>
      <c r="Q90" s="16" t="str">
        <f aca="false">IF(K90=0,"",IF(R90=1,"Pagada",IF(C90&lt;$F$12,"Vencida",IF(64=$F$13,"Próxima","Pendiente"))))</f>
        <v/>
      </c>
      <c r="R90" s="62" t="n">
        <f aca="false">IF(AND(K90&gt;0,OR(O90="Sí",O90="Si")),1,0)</f>
        <v>0</v>
      </c>
      <c r="S90" s="62" t="n">
        <f aca="false">IF(AND(K90&gt;0,R90=0),1,0)</f>
        <v>0</v>
      </c>
    </row>
    <row r="91" customFormat="false" ht="15" hidden="false" customHeight="false" outlineLevel="0" collapsed="false">
      <c r="B91" s="71" t="str">
        <f aca="false">IF($F$6="Sí",N($C$11)+64,"")</f>
        <v/>
      </c>
      <c r="C91" s="72" t="str">
        <f aca="false">IF(OR($F$6&lt;&gt;"Sí",D91&lt;=0.5),"",EDATE($C$10,64))</f>
        <v/>
      </c>
      <c r="D91" s="41" t="n">
        <f aca="false">MAX(0,M90)</f>
        <v>0</v>
      </c>
      <c r="E91" s="41" t="n">
        <f aca="false">D91*$F$7</f>
        <v>0</v>
      </c>
      <c r="F91" s="41" t="n">
        <f aca="false">IF(D91&gt;0.5,N($C$15),0)</f>
        <v>0</v>
      </c>
      <c r="G91" s="41" t="n">
        <f aca="false">IF(AND(D91&gt;0.5,N($C$19)&gt;0,N(B91)&lt;=N($C$20)),D91*$F$8,0)</f>
        <v>0</v>
      </c>
      <c r="H91" s="41" t="n">
        <f aca="false">IF(D91&lt;=0.5,0,MIN(IF(N(I91)&gt;0,I91,$F$9),D91+E91+F91))</f>
        <v>0</v>
      </c>
      <c r="I91" s="77"/>
      <c r="J91" s="77"/>
      <c r="K91" s="41" t="n">
        <f aca="false">IF(D91&lt;=0.5,0,MIN(H91+N(J91),D91+E91+F91))</f>
        <v>0</v>
      </c>
      <c r="L91" s="41" t="n">
        <f aca="false">K91-E91-F91</f>
        <v>0</v>
      </c>
      <c r="M91" s="41" t="n">
        <f aca="false">D91-L91</f>
        <v>0</v>
      </c>
      <c r="N91" s="42" t="n">
        <f aca="false">K91-G91</f>
        <v>0</v>
      </c>
      <c r="O91" s="78"/>
      <c r="P91" s="79"/>
      <c r="Q91" s="16" t="str">
        <f aca="false">IF(K91=0,"",IF(R91=1,"Pagada",IF(C91&lt;$F$12,"Vencida",IF(65=$F$13,"Próxima","Pendiente"))))</f>
        <v/>
      </c>
      <c r="R91" s="62" t="n">
        <f aca="false">IF(AND(K91&gt;0,OR(O91="Sí",O91="Si")),1,0)</f>
        <v>0</v>
      </c>
      <c r="S91" s="62" t="n">
        <f aca="false">IF(AND(K91&gt;0,R91=0),1,0)</f>
        <v>0</v>
      </c>
    </row>
    <row r="92" customFormat="false" ht="15" hidden="false" customHeight="false" outlineLevel="0" collapsed="false">
      <c r="B92" s="71" t="str">
        <f aca="false">IF($F$6="Sí",N($C$11)+65,"")</f>
        <v/>
      </c>
      <c r="C92" s="72" t="str">
        <f aca="false">IF(OR($F$6&lt;&gt;"Sí",D92&lt;=0.5),"",EDATE($C$10,65))</f>
        <v/>
      </c>
      <c r="D92" s="41" t="n">
        <f aca="false">MAX(0,M91)</f>
        <v>0</v>
      </c>
      <c r="E92" s="41" t="n">
        <f aca="false">D92*$F$7</f>
        <v>0</v>
      </c>
      <c r="F92" s="41" t="n">
        <f aca="false">IF(D92&gt;0.5,N($C$15),0)</f>
        <v>0</v>
      </c>
      <c r="G92" s="41" t="n">
        <f aca="false">IF(AND(D92&gt;0.5,N($C$19)&gt;0,N(B92)&lt;=N($C$20)),D92*$F$8,0)</f>
        <v>0</v>
      </c>
      <c r="H92" s="41" t="n">
        <f aca="false">IF(D92&lt;=0.5,0,MIN(IF(N(I92)&gt;0,I92,$F$9),D92+E92+F92))</f>
        <v>0</v>
      </c>
      <c r="I92" s="77"/>
      <c r="J92" s="77"/>
      <c r="K92" s="41" t="n">
        <f aca="false">IF(D92&lt;=0.5,0,MIN(H92+N(J92),D92+E92+F92))</f>
        <v>0</v>
      </c>
      <c r="L92" s="41" t="n">
        <f aca="false">K92-E92-F92</f>
        <v>0</v>
      </c>
      <c r="M92" s="41" t="n">
        <f aca="false">D92-L92</f>
        <v>0</v>
      </c>
      <c r="N92" s="42" t="n">
        <f aca="false">K92-G92</f>
        <v>0</v>
      </c>
      <c r="O92" s="78"/>
      <c r="P92" s="79"/>
      <c r="Q92" s="16" t="str">
        <f aca="false">IF(K92=0,"",IF(R92=1,"Pagada",IF(C92&lt;$F$12,"Vencida",IF(66=$F$13,"Próxima","Pendiente"))))</f>
        <v/>
      </c>
      <c r="R92" s="62" t="n">
        <f aca="false">IF(AND(K92&gt;0,OR(O92="Sí",O92="Si")),1,0)</f>
        <v>0</v>
      </c>
      <c r="S92" s="62" t="n">
        <f aca="false">IF(AND(K92&gt;0,R92=0),1,0)</f>
        <v>0</v>
      </c>
    </row>
    <row r="93" customFormat="false" ht="15" hidden="false" customHeight="false" outlineLevel="0" collapsed="false">
      <c r="B93" s="71" t="str">
        <f aca="false">IF($F$6="Sí",N($C$11)+66,"")</f>
        <v/>
      </c>
      <c r="C93" s="72" t="str">
        <f aca="false">IF(OR($F$6&lt;&gt;"Sí",D93&lt;=0.5),"",EDATE($C$10,66))</f>
        <v/>
      </c>
      <c r="D93" s="41" t="n">
        <f aca="false">MAX(0,M92)</f>
        <v>0</v>
      </c>
      <c r="E93" s="41" t="n">
        <f aca="false">D93*$F$7</f>
        <v>0</v>
      </c>
      <c r="F93" s="41" t="n">
        <f aca="false">IF(D93&gt;0.5,N($C$15),0)</f>
        <v>0</v>
      </c>
      <c r="G93" s="41" t="n">
        <f aca="false">IF(AND(D93&gt;0.5,N($C$19)&gt;0,N(B93)&lt;=N($C$20)),D93*$F$8,0)</f>
        <v>0</v>
      </c>
      <c r="H93" s="41" t="n">
        <f aca="false">IF(D93&lt;=0.5,0,MIN(IF(N(I93)&gt;0,I93,$F$9),D93+E93+F93))</f>
        <v>0</v>
      </c>
      <c r="I93" s="77"/>
      <c r="J93" s="77"/>
      <c r="K93" s="41" t="n">
        <f aca="false">IF(D93&lt;=0.5,0,MIN(H93+N(J93),D93+E93+F93))</f>
        <v>0</v>
      </c>
      <c r="L93" s="41" t="n">
        <f aca="false">K93-E93-F93</f>
        <v>0</v>
      </c>
      <c r="M93" s="41" t="n">
        <f aca="false">D93-L93</f>
        <v>0</v>
      </c>
      <c r="N93" s="42" t="n">
        <f aca="false">K93-G93</f>
        <v>0</v>
      </c>
      <c r="O93" s="78"/>
      <c r="P93" s="79"/>
      <c r="Q93" s="16" t="str">
        <f aca="false">IF(K93=0,"",IF(R93=1,"Pagada",IF(C93&lt;$F$12,"Vencida",IF(67=$F$13,"Próxima","Pendiente"))))</f>
        <v/>
      </c>
      <c r="R93" s="62" t="n">
        <f aca="false">IF(AND(K93&gt;0,OR(O93="Sí",O93="Si")),1,0)</f>
        <v>0</v>
      </c>
      <c r="S93" s="62" t="n">
        <f aca="false">IF(AND(K93&gt;0,R93=0),1,0)</f>
        <v>0</v>
      </c>
    </row>
    <row r="94" customFormat="false" ht="15" hidden="false" customHeight="false" outlineLevel="0" collapsed="false">
      <c r="B94" s="71" t="str">
        <f aca="false">IF($F$6="Sí",N($C$11)+67,"")</f>
        <v/>
      </c>
      <c r="C94" s="72" t="str">
        <f aca="false">IF(OR($F$6&lt;&gt;"Sí",D94&lt;=0.5),"",EDATE($C$10,67))</f>
        <v/>
      </c>
      <c r="D94" s="41" t="n">
        <f aca="false">MAX(0,M93)</f>
        <v>0</v>
      </c>
      <c r="E94" s="41" t="n">
        <f aca="false">D94*$F$7</f>
        <v>0</v>
      </c>
      <c r="F94" s="41" t="n">
        <f aca="false">IF(D94&gt;0.5,N($C$15),0)</f>
        <v>0</v>
      </c>
      <c r="G94" s="41" t="n">
        <f aca="false">IF(AND(D94&gt;0.5,N($C$19)&gt;0,N(B94)&lt;=N($C$20)),D94*$F$8,0)</f>
        <v>0</v>
      </c>
      <c r="H94" s="41" t="n">
        <f aca="false">IF(D94&lt;=0.5,0,MIN(IF(N(I94)&gt;0,I94,$F$9),D94+E94+F94))</f>
        <v>0</v>
      </c>
      <c r="I94" s="77"/>
      <c r="J94" s="77"/>
      <c r="K94" s="41" t="n">
        <f aca="false">IF(D94&lt;=0.5,0,MIN(H94+N(J94),D94+E94+F94))</f>
        <v>0</v>
      </c>
      <c r="L94" s="41" t="n">
        <f aca="false">K94-E94-F94</f>
        <v>0</v>
      </c>
      <c r="M94" s="41" t="n">
        <f aca="false">D94-L94</f>
        <v>0</v>
      </c>
      <c r="N94" s="42" t="n">
        <f aca="false">K94-G94</f>
        <v>0</v>
      </c>
      <c r="O94" s="78"/>
      <c r="P94" s="79"/>
      <c r="Q94" s="16" t="str">
        <f aca="false">IF(K94=0,"",IF(R94=1,"Pagada",IF(C94&lt;$F$12,"Vencida",IF(68=$F$13,"Próxima","Pendiente"))))</f>
        <v/>
      </c>
      <c r="R94" s="62" t="n">
        <f aca="false">IF(AND(K94&gt;0,OR(O94="Sí",O94="Si")),1,0)</f>
        <v>0</v>
      </c>
      <c r="S94" s="62" t="n">
        <f aca="false">IF(AND(K94&gt;0,R94=0),1,0)</f>
        <v>0</v>
      </c>
    </row>
    <row r="95" customFormat="false" ht="15" hidden="false" customHeight="false" outlineLevel="0" collapsed="false">
      <c r="B95" s="71" t="str">
        <f aca="false">IF($F$6="Sí",N($C$11)+68,"")</f>
        <v/>
      </c>
      <c r="C95" s="72" t="str">
        <f aca="false">IF(OR($F$6&lt;&gt;"Sí",D95&lt;=0.5),"",EDATE($C$10,68))</f>
        <v/>
      </c>
      <c r="D95" s="41" t="n">
        <f aca="false">MAX(0,M94)</f>
        <v>0</v>
      </c>
      <c r="E95" s="41" t="n">
        <f aca="false">D95*$F$7</f>
        <v>0</v>
      </c>
      <c r="F95" s="41" t="n">
        <f aca="false">IF(D95&gt;0.5,N($C$15),0)</f>
        <v>0</v>
      </c>
      <c r="G95" s="41" t="n">
        <f aca="false">IF(AND(D95&gt;0.5,N($C$19)&gt;0,N(B95)&lt;=N($C$20)),D95*$F$8,0)</f>
        <v>0</v>
      </c>
      <c r="H95" s="41" t="n">
        <f aca="false">IF(D95&lt;=0.5,0,MIN(IF(N(I95)&gt;0,I95,$F$9),D95+E95+F95))</f>
        <v>0</v>
      </c>
      <c r="I95" s="77"/>
      <c r="J95" s="77"/>
      <c r="K95" s="41" t="n">
        <f aca="false">IF(D95&lt;=0.5,0,MIN(H95+N(J95),D95+E95+F95))</f>
        <v>0</v>
      </c>
      <c r="L95" s="41" t="n">
        <f aca="false">K95-E95-F95</f>
        <v>0</v>
      </c>
      <c r="M95" s="41" t="n">
        <f aca="false">D95-L95</f>
        <v>0</v>
      </c>
      <c r="N95" s="42" t="n">
        <f aca="false">K95-G95</f>
        <v>0</v>
      </c>
      <c r="O95" s="78"/>
      <c r="P95" s="79"/>
      <c r="Q95" s="16" t="str">
        <f aca="false">IF(K95=0,"",IF(R95=1,"Pagada",IF(C95&lt;$F$12,"Vencida",IF(69=$F$13,"Próxima","Pendiente"))))</f>
        <v/>
      </c>
      <c r="R95" s="62" t="n">
        <f aca="false">IF(AND(K95&gt;0,OR(O95="Sí",O95="Si")),1,0)</f>
        <v>0</v>
      </c>
      <c r="S95" s="62" t="n">
        <f aca="false">IF(AND(K95&gt;0,R95=0),1,0)</f>
        <v>0</v>
      </c>
    </row>
    <row r="96" customFormat="false" ht="15" hidden="false" customHeight="false" outlineLevel="0" collapsed="false">
      <c r="B96" s="71" t="str">
        <f aca="false">IF($F$6="Sí",N($C$11)+69,"")</f>
        <v/>
      </c>
      <c r="C96" s="72" t="str">
        <f aca="false">IF(OR($F$6&lt;&gt;"Sí",D96&lt;=0.5),"",EDATE($C$10,69))</f>
        <v/>
      </c>
      <c r="D96" s="41" t="n">
        <f aca="false">MAX(0,M95)</f>
        <v>0</v>
      </c>
      <c r="E96" s="41" t="n">
        <f aca="false">D96*$F$7</f>
        <v>0</v>
      </c>
      <c r="F96" s="41" t="n">
        <f aca="false">IF(D96&gt;0.5,N($C$15),0)</f>
        <v>0</v>
      </c>
      <c r="G96" s="41" t="n">
        <f aca="false">IF(AND(D96&gt;0.5,N($C$19)&gt;0,N(B96)&lt;=N($C$20)),D96*$F$8,0)</f>
        <v>0</v>
      </c>
      <c r="H96" s="41" t="n">
        <f aca="false">IF(D96&lt;=0.5,0,MIN(IF(N(I96)&gt;0,I96,$F$9),D96+E96+F96))</f>
        <v>0</v>
      </c>
      <c r="I96" s="77"/>
      <c r="J96" s="77"/>
      <c r="K96" s="41" t="n">
        <f aca="false">IF(D96&lt;=0.5,0,MIN(H96+N(J96),D96+E96+F96))</f>
        <v>0</v>
      </c>
      <c r="L96" s="41" t="n">
        <f aca="false">K96-E96-F96</f>
        <v>0</v>
      </c>
      <c r="M96" s="41" t="n">
        <f aca="false">D96-L96</f>
        <v>0</v>
      </c>
      <c r="N96" s="42" t="n">
        <f aca="false">K96-G96</f>
        <v>0</v>
      </c>
      <c r="O96" s="78"/>
      <c r="P96" s="79"/>
      <c r="Q96" s="16" t="str">
        <f aca="false">IF(K96=0,"",IF(R96=1,"Pagada",IF(C96&lt;$F$12,"Vencida",IF(70=$F$13,"Próxima","Pendiente"))))</f>
        <v/>
      </c>
      <c r="R96" s="62" t="n">
        <f aca="false">IF(AND(K96&gt;0,OR(O96="Sí",O96="Si")),1,0)</f>
        <v>0</v>
      </c>
      <c r="S96" s="62" t="n">
        <f aca="false">IF(AND(K96&gt;0,R96=0),1,0)</f>
        <v>0</v>
      </c>
    </row>
    <row r="97" customFormat="false" ht="15" hidden="false" customHeight="false" outlineLevel="0" collapsed="false">
      <c r="B97" s="71" t="str">
        <f aca="false">IF($F$6="Sí",N($C$11)+70,"")</f>
        <v/>
      </c>
      <c r="C97" s="72" t="str">
        <f aca="false">IF(OR($F$6&lt;&gt;"Sí",D97&lt;=0.5),"",EDATE($C$10,70))</f>
        <v/>
      </c>
      <c r="D97" s="41" t="n">
        <f aca="false">MAX(0,M96)</f>
        <v>0</v>
      </c>
      <c r="E97" s="41" t="n">
        <f aca="false">D97*$F$7</f>
        <v>0</v>
      </c>
      <c r="F97" s="41" t="n">
        <f aca="false">IF(D97&gt;0.5,N($C$15),0)</f>
        <v>0</v>
      </c>
      <c r="G97" s="41" t="n">
        <f aca="false">IF(AND(D97&gt;0.5,N($C$19)&gt;0,N(B97)&lt;=N($C$20)),D97*$F$8,0)</f>
        <v>0</v>
      </c>
      <c r="H97" s="41" t="n">
        <f aca="false">IF(D97&lt;=0.5,0,MIN(IF(N(I97)&gt;0,I97,$F$9),D97+E97+F97))</f>
        <v>0</v>
      </c>
      <c r="I97" s="77"/>
      <c r="J97" s="77"/>
      <c r="K97" s="41" t="n">
        <f aca="false">IF(D97&lt;=0.5,0,MIN(H97+N(J97),D97+E97+F97))</f>
        <v>0</v>
      </c>
      <c r="L97" s="41" t="n">
        <f aca="false">K97-E97-F97</f>
        <v>0</v>
      </c>
      <c r="M97" s="41" t="n">
        <f aca="false">D97-L97</f>
        <v>0</v>
      </c>
      <c r="N97" s="42" t="n">
        <f aca="false">K97-G97</f>
        <v>0</v>
      </c>
      <c r="O97" s="78"/>
      <c r="P97" s="79"/>
      <c r="Q97" s="16" t="str">
        <f aca="false">IF(K97=0,"",IF(R97=1,"Pagada",IF(C97&lt;$F$12,"Vencida",IF(71=$F$13,"Próxima","Pendiente"))))</f>
        <v/>
      </c>
      <c r="R97" s="62" t="n">
        <f aca="false">IF(AND(K97&gt;0,OR(O97="Sí",O97="Si")),1,0)</f>
        <v>0</v>
      </c>
      <c r="S97" s="62" t="n">
        <f aca="false">IF(AND(K97&gt;0,R97=0),1,0)</f>
        <v>0</v>
      </c>
    </row>
    <row r="98" customFormat="false" ht="15" hidden="false" customHeight="false" outlineLevel="0" collapsed="false">
      <c r="B98" s="71" t="str">
        <f aca="false">IF($F$6="Sí",N($C$11)+71,"")</f>
        <v/>
      </c>
      <c r="C98" s="72" t="str">
        <f aca="false">IF(OR($F$6&lt;&gt;"Sí",D98&lt;=0.5),"",EDATE($C$10,71))</f>
        <v/>
      </c>
      <c r="D98" s="41" t="n">
        <f aca="false">MAX(0,M97)</f>
        <v>0</v>
      </c>
      <c r="E98" s="41" t="n">
        <f aca="false">D98*$F$7</f>
        <v>0</v>
      </c>
      <c r="F98" s="41" t="n">
        <f aca="false">IF(D98&gt;0.5,N($C$15),0)</f>
        <v>0</v>
      </c>
      <c r="G98" s="41" t="n">
        <f aca="false">IF(AND(D98&gt;0.5,N($C$19)&gt;0,N(B98)&lt;=N($C$20)),D98*$F$8,0)</f>
        <v>0</v>
      </c>
      <c r="H98" s="41" t="n">
        <f aca="false">IF(D98&lt;=0.5,0,MIN(IF(N(I98)&gt;0,I98,$F$9),D98+E98+F98))</f>
        <v>0</v>
      </c>
      <c r="I98" s="77"/>
      <c r="J98" s="77"/>
      <c r="K98" s="41" t="n">
        <f aca="false">IF(D98&lt;=0.5,0,MIN(H98+N(J98),D98+E98+F98))</f>
        <v>0</v>
      </c>
      <c r="L98" s="41" t="n">
        <f aca="false">K98-E98-F98</f>
        <v>0</v>
      </c>
      <c r="M98" s="41" t="n">
        <f aca="false">D98-L98</f>
        <v>0</v>
      </c>
      <c r="N98" s="42" t="n">
        <f aca="false">K98-G98</f>
        <v>0</v>
      </c>
      <c r="O98" s="78"/>
      <c r="P98" s="79"/>
      <c r="Q98" s="16" t="str">
        <f aca="false">IF(K98=0,"",IF(R98=1,"Pagada",IF(C98&lt;$F$12,"Vencida",IF(72=$F$13,"Próxima","Pendiente"))))</f>
        <v/>
      </c>
      <c r="R98" s="62" t="n">
        <f aca="false">IF(AND(K98&gt;0,OR(O98="Sí",O98="Si")),1,0)</f>
        <v>0</v>
      </c>
      <c r="S98" s="62" t="n">
        <f aca="false">IF(AND(K98&gt;0,R98=0),1,0)</f>
        <v>0</v>
      </c>
    </row>
    <row r="99" customFormat="false" ht="15" hidden="false" customHeight="false" outlineLevel="0" collapsed="false">
      <c r="B99" s="71" t="str">
        <f aca="false">IF($F$6="Sí",N($C$11)+72,"")</f>
        <v/>
      </c>
      <c r="C99" s="72" t="str">
        <f aca="false">IF(OR($F$6&lt;&gt;"Sí",D99&lt;=0.5),"",EDATE($C$10,72))</f>
        <v/>
      </c>
      <c r="D99" s="41" t="n">
        <f aca="false">MAX(0,M98)</f>
        <v>0</v>
      </c>
      <c r="E99" s="41" t="n">
        <f aca="false">D99*$F$7</f>
        <v>0</v>
      </c>
      <c r="F99" s="41" t="n">
        <f aca="false">IF(D99&gt;0.5,N($C$15),0)</f>
        <v>0</v>
      </c>
      <c r="G99" s="41" t="n">
        <f aca="false">IF(AND(D99&gt;0.5,N($C$19)&gt;0,N(B99)&lt;=N($C$20)),D99*$F$8,0)</f>
        <v>0</v>
      </c>
      <c r="H99" s="41" t="n">
        <f aca="false">IF(D99&lt;=0.5,0,MIN(IF(N(I99)&gt;0,I99,$F$9),D99+E99+F99))</f>
        <v>0</v>
      </c>
      <c r="I99" s="77"/>
      <c r="J99" s="77"/>
      <c r="K99" s="41" t="n">
        <f aca="false">IF(D99&lt;=0.5,0,MIN(H99+N(J99),D99+E99+F99))</f>
        <v>0</v>
      </c>
      <c r="L99" s="41" t="n">
        <f aca="false">K99-E99-F99</f>
        <v>0</v>
      </c>
      <c r="M99" s="41" t="n">
        <f aca="false">D99-L99</f>
        <v>0</v>
      </c>
      <c r="N99" s="42" t="n">
        <f aca="false">K99-G99</f>
        <v>0</v>
      </c>
      <c r="O99" s="78"/>
      <c r="P99" s="79"/>
      <c r="Q99" s="16" t="str">
        <f aca="false">IF(K99=0,"",IF(R99=1,"Pagada",IF(C99&lt;$F$12,"Vencida",IF(73=$F$13,"Próxima","Pendiente"))))</f>
        <v/>
      </c>
      <c r="R99" s="62" t="n">
        <f aca="false">IF(AND(K99&gt;0,OR(O99="Sí",O99="Si")),1,0)</f>
        <v>0</v>
      </c>
      <c r="S99" s="62" t="n">
        <f aca="false">IF(AND(K99&gt;0,R99=0),1,0)</f>
        <v>0</v>
      </c>
    </row>
    <row r="100" customFormat="false" ht="15" hidden="false" customHeight="false" outlineLevel="0" collapsed="false">
      <c r="B100" s="71" t="str">
        <f aca="false">IF($F$6="Sí",N($C$11)+73,"")</f>
        <v/>
      </c>
      <c r="C100" s="72" t="str">
        <f aca="false">IF(OR($F$6&lt;&gt;"Sí",D100&lt;=0.5),"",EDATE($C$10,73))</f>
        <v/>
      </c>
      <c r="D100" s="41" t="n">
        <f aca="false">MAX(0,M99)</f>
        <v>0</v>
      </c>
      <c r="E100" s="41" t="n">
        <f aca="false">D100*$F$7</f>
        <v>0</v>
      </c>
      <c r="F100" s="41" t="n">
        <f aca="false">IF(D100&gt;0.5,N($C$15),0)</f>
        <v>0</v>
      </c>
      <c r="G100" s="41" t="n">
        <f aca="false">IF(AND(D100&gt;0.5,N($C$19)&gt;0,N(B100)&lt;=N($C$20)),D100*$F$8,0)</f>
        <v>0</v>
      </c>
      <c r="H100" s="41" t="n">
        <f aca="false">IF(D100&lt;=0.5,0,MIN(IF(N(I100)&gt;0,I100,$F$9),D100+E100+F100))</f>
        <v>0</v>
      </c>
      <c r="I100" s="77"/>
      <c r="J100" s="77"/>
      <c r="K100" s="41" t="n">
        <f aca="false">IF(D100&lt;=0.5,0,MIN(H100+N(J100),D100+E100+F100))</f>
        <v>0</v>
      </c>
      <c r="L100" s="41" t="n">
        <f aca="false">K100-E100-F100</f>
        <v>0</v>
      </c>
      <c r="M100" s="41" t="n">
        <f aca="false">D100-L100</f>
        <v>0</v>
      </c>
      <c r="N100" s="42" t="n">
        <f aca="false">K100-G100</f>
        <v>0</v>
      </c>
      <c r="O100" s="78"/>
      <c r="P100" s="79"/>
      <c r="Q100" s="16" t="str">
        <f aca="false">IF(K100=0,"",IF(R100=1,"Pagada",IF(C100&lt;$F$12,"Vencida",IF(74=$F$13,"Próxima","Pendiente"))))</f>
        <v/>
      </c>
      <c r="R100" s="62" t="n">
        <f aca="false">IF(AND(K100&gt;0,OR(O100="Sí",O100="Si")),1,0)</f>
        <v>0</v>
      </c>
      <c r="S100" s="62" t="n">
        <f aca="false">IF(AND(K100&gt;0,R100=0),1,0)</f>
        <v>0</v>
      </c>
    </row>
    <row r="101" customFormat="false" ht="15" hidden="false" customHeight="false" outlineLevel="0" collapsed="false">
      <c r="B101" s="71" t="str">
        <f aca="false">IF($F$6="Sí",N($C$11)+74,"")</f>
        <v/>
      </c>
      <c r="C101" s="72" t="str">
        <f aca="false">IF(OR($F$6&lt;&gt;"Sí",D101&lt;=0.5),"",EDATE($C$10,74))</f>
        <v/>
      </c>
      <c r="D101" s="41" t="n">
        <f aca="false">MAX(0,M100)</f>
        <v>0</v>
      </c>
      <c r="E101" s="41" t="n">
        <f aca="false">D101*$F$7</f>
        <v>0</v>
      </c>
      <c r="F101" s="41" t="n">
        <f aca="false">IF(D101&gt;0.5,N($C$15),0)</f>
        <v>0</v>
      </c>
      <c r="G101" s="41" t="n">
        <f aca="false">IF(AND(D101&gt;0.5,N($C$19)&gt;0,N(B101)&lt;=N($C$20)),D101*$F$8,0)</f>
        <v>0</v>
      </c>
      <c r="H101" s="41" t="n">
        <f aca="false">IF(D101&lt;=0.5,0,MIN(IF(N(I101)&gt;0,I101,$F$9),D101+E101+F101))</f>
        <v>0</v>
      </c>
      <c r="I101" s="77"/>
      <c r="J101" s="77"/>
      <c r="K101" s="41" t="n">
        <f aca="false">IF(D101&lt;=0.5,0,MIN(H101+N(J101),D101+E101+F101))</f>
        <v>0</v>
      </c>
      <c r="L101" s="41" t="n">
        <f aca="false">K101-E101-F101</f>
        <v>0</v>
      </c>
      <c r="M101" s="41" t="n">
        <f aca="false">D101-L101</f>
        <v>0</v>
      </c>
      <c r="N101" s="42" t="n">
        <f aca="false">K101-G101</f>
        <v>0</v>
      </c>
      <c r="O101" s="78"/>
      <c r="P101" s="79"/>
      <c r="Q101" s="16" t="str">
        <f aca="false">IF(K101=0,"",IF(R101=1,"Pagada",IF(C101&lt;$F$12,"Vencida",IF(75=$F$13,"Próxima","Pendiente"))))</f>
        <v/>
      </c>
      <c r="R101" s="62" t="n">
        <f aca="false">IF(AND(K101&gt;0,OR(O101="Sí",O101="Si")),1,0)</f>
        <v>0</v>
      </c>
      <c r="S101" s="62" t="n">
        <f aca="false">IF(AND(K101&gt;0,R101=0),1,0)</f>
        <v>0</v>
      </c>
    </row>
    <row r="102" customFormat="false" ht="15" hidden="false" customHeight="false" outlineLevel="0" collapsed="false">
      <c r="B102" s="71" t="str">
        <f aca="false">IF($F$6="Sí",N($C$11)+75,"")</f>
        <v/>
      </c>
      <c r="C102" s="72" t="str">
        <f aca="false">IF(OR($F$6&lt;&gt;"Sí",D102&lt;=0.5),"",EDATE($C$10,75))</f>
        <v/>
      </c>
      <c r="D102" s="41" t="n">
        <f aca="false">MAX(0,M101)</f>
        <v>0</v>
      </c>
      <c r="E102" s="41" t="n">
        <f aca="false">D102*$F$7</f>
        <v>0</v>
      </c>
      <c r="F102" s="41" t="n">
        <f aca="false">IF(D102&gt;0.5,N($C$15),0)</f>
        <v>0</v>
      </c>
      <c r="G102" s="41" t="n">
        <f aca="false">IF(AND(D102&gt;0.5,N($C$19)&gt;0,N(B102)&lt;=N($C$20)),D102*$F$8,0)</f>
        <v>0</v>
      </c>
      <c r="H102" s="41" t="n">
        <f aca="false">IF(D102&lt;=0.5,0,MIN(IF(N(I102)&gt;0,I102,$F$9),D102+E102+F102))</f>
        <v>0</v>
      </c>
      <c r="I102" s="77"/>
      <c r="J102" s="77"/>
      <c r="K102" s="41" t="n">
        <f aca="false">IF(D102&lt;=0.5,0,MIN(H102+N(J102),D102+E102+F102))</f>
        <v>0</v>
      </c>
      <c r="L102" s="41" t="n">
        <f aca="false">K102-E102-F102</f>
        <v>0</v>
      </c>
      <c r="M102" s="41" t="n">
        <f aca="false">D102-L102</f>
        <v>0</v>
      </c>
      <c r="N102" s="42" t="n">
        <f aca="false">K102-G102</f>
        <v>0</v>
      </c>
      <c r="O102" s="78"/>
      <c r="P102" s="79"/>
      <c r="Q102" s="16" t="str">
        <f aca="false">IF(K102=0,"",IF(R102=1,"Pagada",IF(C102&lt;$F$12,"Vencida",IF(76=$F$13,"Próxima","Pendiente"))))</f>
        <v/>
      </c>
      <c r="R102" s="62" t="n">
        <f aca="false">IF(AND(K102&gt;0,OR(O102="Sí",O102="Si")),1,0)</f>
        <v>0</v>
      </c>
      <c r="S102" s="62" t="n">
        <f aca="false">IF(AND(K102&gt;0,R102=0),1,0)</f>
        <v>0</v>
      </c>
    </row>
    <row r="103" customFormat="false" ht="15" hidden="false" customHeight="false" outlineLevel="0" collapsed="false">
      <c r="B103" s="71" t="str">
        <f aca="false">IF($F$6="Sí",N($C$11)+76,"")</f>
        <v/>
      </c>
      <c r="C103" s="72" t="str">
        <f aca="false">IF(OR($F$6&lt;&gt;"Sí",D103&lt;=0.5),"",EDATE($C$10,76))</f>
        <v/>
      </c>
      <c r="D103" s="41" t="n">
        <f aca="false">MAX(0,M102)</f>
        <v>0</v>
      </c>
      <c r="E103" s="41" t="n">
        <f aca="false">D103*$F$7</f>
        <v>0</v>
      </c>
      <c r="F103" s="41" t="n">
        <f aca="false">IF(D103&gt;0.5,N($C$15),0)</f>
        <v>0</v>
      </c>
      <c r="G103" s="41" t="n">
        <f aca="false">IF(AND(D103&gt;0.5,N($C$19)&gt;0,N(B103)&lt;=N($C$20)),D103*$F$8,0)</f>
        <v>0</v>
      </c>
      <c r="H103" s="41" t="n">
        <f aca="false">IF(D103&lt;=0.5,0,MIN(IF(N(I103)&gt;0,I103,$F$9),D103+E103+F103))</f>
        <v>0</v>
      </c>
      <c r="I103" s="77"/>
      <c r="J103" s="77"/>
      <c r="K103" s="41" t="n">
        <f aca="false">IF(D103&lt;=0.5,0,MIN(H103+N(J103),D103+E103+F103))</f>
        <v>0</v>
      </c>
      <c r="L103" s="41" t="n">
        <f aca="false">K103-E103-F103</f>
        <v>0</v>
      </c>
      <c r="M103" s="41" t="n">
        <f aca="false">D103-L103</f>
        <v>0</v>
      </c>
      <c r="N103" s="42" t="n">
        <f aca="false">K103-G103</f>
        <v>0</v>
      </c>
      <c r="O103" s="78"/>
      <c r="P103" s="79"/>
      <c r="Q103" s="16" t="str">
        <f aca="false">IF(K103=0,"",IF(R103=1,"Pagada",IF(C103&lt;$F$12,"Vencida",IF(77=$F$13,"Próxima","Pendiente"))))</f>
        <v/>
      </c>
      <c r="R103" s="62" t="n">
        <f aca="false">IF(AND(K103&gt;0,OR(O103="Sí",O103="Si")),1,0)</f>
        <v>0</v>
      </c>
      <c r="S103" s="62" t="n">
        <f aca="false">IF(AND(K103&gt;0,R103=0),1,0)</f>
        <v>0</v>
      </c>
    </row>
    <row r="104" customFormat="false" ht="15" hidden="false" customHeight="false" outlineLevel="0" collapsed="false">
      <c r="B104" s="71" t="str">
        <f aca="false">IF($F$6="Sí",N($C$11)+77,"")</f>
        <v/>
      </c>
      <c r="C104" s="72" t="str">
        <f aca="false">IF(OR($F$6&lt;&gt;"Sí",D104&lt;=0.5),"",EDATE($C$10,77))</f>
        <v/>
      </c>
      <c r="D104" s="41" t="n">
        <f aca="false">MAX(0,M103)</f>
        <v>0</v>
      </c>
      <c r="E104" s="41" t="n">
        <f aca="false">D104*$F$7</f>
        <v>0</v>
      </c>
      <c r="F104" s="41" t="n">
        <f aca="false">IF(D104&gt;0.5,N($C$15),0)</f>
        <v>0</v>
      </c>
      <c r="G104" s="41" t="n">
        <f aca="false">IF(AND(D104&gt;0.5,N($C$19)&gt;0,N(B104)&lt;=N($C$20)),D104*$F$8,0)</f>
        <v>0</v>
      </c>
      <c r="H104" s="41" t="n">
        <f aca="false">IF(D104&lt;=0.5,0,MIN(IF(N(I104)&gt;0,I104,$F$9),D104+E104+F104))</f>
        <v>0</v>
      </c>
      <c r="I104" s="77"/>
      <c r="J104" s="77"/>
      <c r="K104" s="41" t="n">
        <f aca="false">IF(D104&lt;=0.5,0,MIN(H104+N(J104),D104+E104+F104))</f>
        <v>0</v>
      </c>
      <c r="L104" s="41" t="n">
        <f aca="false">K104-E104-F104</f>
        <v>0</v>
      </c>
      <c r="M104" s="41" t="n">
        <f aca="false">D104-L104</f>
        <v>0</v>
      </c>
      <c r="N104" s="42" t="n">
        <f aca="false">K104-G104</f>
        <v>0</v>
      </c>
      <c r="O104" s="78"/>
      <c r="P104" s="79"/>
      <c r="Q104" s="16" t="str">
        <f aca="false">IF(K104=0,"",IF(R104=1,"Pagada",IF(C104&lt;$F$12,"Vencida",IF(78=$F$13,"Próxima","Pendiente"))))</f>
        <v/>
      </c>
      <c r="R104" s="62" t="n">
        <f aca="false">IF(AND(K104&gt;0,OR(O104="Sí",O104="Si")),1,0)</f>
        <v>0</v>
      </c>
      <c r="S104" s="62" t="n">
        <f aca="false">IF(AND(K104&gt;0,R104=0),1,0)</f>
        <v>0</v>
      </c>
    </row>
    <row r="105" customFormat="false" ht="15" hidden="false" customHeight="false" outlineLevel="0" collapsed="false">
      <c r="B105" s="71" t="str">
        <f aca="false">IF($F$6="Sí",N($C$11)+78,"")</f>
        <v/>
      </c>
      <c r="C105" s="72" t="str">
        <f aca="false">IF(OR($F$6&lt;&gt;"Sí",D105&lt;=0.5),"",EDATE($C$10,78))</f>
        <v/>
      </c>
      <c r="D105" s="41" t="n">
        <f aca="false">MAX(0,M104)</f>
        <v>0</v>
      </c>
      <c r="E105" s="41" t="n">
        <f aca="false">D105*$F$7</f>
        <v>0</v>
      </c>
      <c r="F105" s="41" t="n">
        <f aca="false">IF(D105&gt;0.5,N($C$15),0)</f>
        <v>0</v>
      </c>
      <c r="G105" s="41" t="n">
        <f aca="false">IF(AND(D105&gt;0.5,N($C$19)&gt;0,N(B105)&lt;=N($C$20)),D105*$F$8,0)</f>
        <v>0</v>
      </c>
      <c r="H105" s="41" t="n">
        <f aca="false">IF(D105&lt;=0.5,0,MIN(IF(N(I105)&gt;0,I105,$F$9),D105+E105+F105))</f>
        <v>0</v>
      </c>
      <c r="I105" s="77"/>
      <c r="J105" s="77"/>
      <c r="K105" s="41" t="n">
        <f aca="false">IF(D105&lt;=0.5,0,MIN(H105+N(J105),D105+E105+F105))</f>
        <v>0</v>
      </c>
      <c r="L105" s="41" t="n">
        <f aca="false">K105-E105-F105</f>
        <v>0</v>
      </c>
      <c r="M105" s="41" t="n">
        <f aca="false">D105-L105</f>
        <v>0</v>
      </c>
      <c r="N105" s="42" t="n">
        <f aca="false">K105-G105</f>
        <v>0</v>
      </c>
      <c r="O105" s="78"/>
      <c r="P105" s="79"/>
      <c r="Q105" s="16" t="str">
        <f aca="false">IF(K105=0,"",IF(R105=1,"Pagada",IF(C105&lt;$F$12,"Vencida",IF(79=$F$13,"Próxima","Pendiente"))))</f>
        <v/>
      </c>
      <c r="R105" s="62" t="n">
        <f aca="false">IF(AND(K105&gt;0,OR(O105="Sí",O105="Si")),1,0)</f>
        <v>0</v>
      </c>
      <c r="S105" s="62" t="n">
        <f aca="false">IF(AND(K105&gt;0,R105=0),1,0)</f>
        <v>0</v>
      </c>
    </row>
    <row r="106" customFormat="false" ht="15" hidden="false" customHeight="false" outlineLevel="0" collapsed="false">
      <c r="B106" s="71" t="str">
        <f aca="false">IF($F$6="Sí",N($C$11)+79,"")</f>
        <v/>
      </c>
      <c r="C106" s="72" t="str">
        <f aca="false">IF(OR($F$6&lt;&gt;"Sí",D106&lt;=0.5),"",EDATE($C$10,79))</f>
        <v/>
      </c>
      <c r="D106" s="41" t="n">
        <f aca="false">MAX(0,M105)</f>
        <v>0</v>
      </c>
      <c r="E106" s="41" t="n">
        <f aca="false">D106*$F$7</f>
        <v>0</v>
      </c>
      <c r="F106" s="41" t="n">
        <f aca="false">IF(D106&gt;0.5,N($C$15),0)</f>
        <v>0</v>
      </c>
      <c r="G106" s="41" t="n">
        <f aca="false">IF(AND(D106&gt;0.5,N($C$19)&gt;0,N(B106)&lt;=N($C$20)),D106*$F$8,0)</f>
        <v>0</v>
      </c>
      <c r="H106" s="41" t="n">
        <f aca="false">IF(D106&lt;=0.5,0,MIN(IF(N(I106)&gt;0,I106,$F$9),D106+E106+F106))</f>
        <v>0</v>
      </c>
      <c r="I106" s="77"/>
      <c r="J106" s="77"/>
      <c r="K106" s="41" t="n">
        <f aca="false">IF(D106&lt;=0.5,0,MIN(H106+N(J106),D106+E106+F106))</f>
        <v>0</v>
      </c>
      <c r="L106" s="41" t="n">
        <f aca="false">K106-E106-F106</f>
        <v>0</v>
      </c>
      <c r="M106" s="41" t="n">
        <f aca="false">D106-L106</f>
        <v>0</v>
      </c>
      <c r="N106" s="42" t="n">
        <f aca="false">K106-G106</f>
        <v>0</v>
      </c>
      <c r="O106" s="78"/>
      <c r="P106" s="79"/>
      <c r="Q106" s="16" t="str">
        <f aca="false">IF(K106=0,"",IF(R106=1,"Pagada",IF(C106&lt;$F$12,"Vencida",IF(80=$F$13,"Próxima","Pendiente"))))</f>
        <v/>
      </c>
      <c r="R106" s="62" t="n">
        <f aca="false">IF(AND(K106&gt;0,OR(O106="Sí",O106="Si")),1,0)</f>
        <v>0</v>
      </c>
      <c r="S106" s="62" t="n">
        <f aca="false">IF(AND(K106&gt;0,R106=0),1,0)</f>
        <v>0</v>
      </c>
    </row>
    <row r="107" customFormat="false" ht="15" hidden="false" customHeight="false" outlineLevel="0" collapsed="false">
      <c r="B107" s="71" t="str">
        <f aca="false">IF($F$6="Sí",N($C$11)+80,"")</f>
        <v/>
      </c>
      <c r="C107" s="72" t="str">
        <f aca="false">IF(OR($F$6&lt;&gt;"Sí",D107&lt;=0.5),"",EDATE($C$10,80))</f>
        <v/>
      </c>
      <c r="D107" s="41" t="n">
        <f aca="false">MAX(0,M106)</f>
        <v>0</v>
      </c>
      <c r="E107" s="41" t="n">
        <f aca="false">D107*$F$7</f>
        <v>0</v>
      </c>
      <c r="F107" s="41" t="n">
        <f aca="false">IF(D107&gt;0.5,N($C$15),0)</f>
        <v>0</v>
      </c>
      <c r="G107" s="41" t="n">
        <f aca="false">IF(AND(D107&gt;0.5,N($C$19)&gt;0,N(B107)&lt;=N($C$20)),D107*$F$8,0)</f>
        <v>0</v>
      </c>
      <c r="H107" s="41" t="n">
        <f aca="false">IF(D107&lt;=0.5,0,MIN(IF(N(I107)&gt;0,I107,$F$9),D107+E107+F107))</f>
        <v>0</v>
      </c>
      <c r="I107" s="77"/>
      <c r="J107" s="77"/>
      <c r="K107" s="41" t="n">
        <f aca="false">IF(D107&lt;=0.5,0,MIN(H107+N(J107),D107+E107+F107))</f>
        <v>0</v>
      </c>
      <c r="L107" s="41" t="n">
        <f aca="false">K107-E107-F107</f>
        <v>0</v>
      </c>
      <c r="M107" s="41" t="n">
        <f aca="false">D107-L107</f>
        <v>0</v>
      </c>
      <c r="N107" s="42" t="n">
        <f aca="false">K107-G107</f>
        <v>0</v>
      </c>
      <c r="O107" s="78"/>
      <c r="P107" s="79"/>
      <c r="Q107" s="16" t="str">
        <f aca="false">IF(K107=0,"",IF(R107=1,"Pagada",IF(C107&lt;$F$12,"Vencida",IF(81=$F$13,"Próxima","Pendiente"))))</f>
        <v/>
      </c>
      <c r="R107" s="62" t="n">
        <f aca="false">IF(AND(K107&gt;0,OR(O107="Sí",O107="Si")),1,0)</f>
        <v>0</v>
      </c>
      <c r="S107" s="62" t="n">
        <f aca="false">IF(AND(K107&gt;0,R107=0),1,0)</f>
        <v>0</v>
      </c>
    </row>
    <row r="108" customFormat="false" ht="15" hidden="false" customHeight="false" outlineLevel="0" collapsed="false">
      <c r="B108" s="71" t="str">
        <f aca="false">IF($F$6="Sí",N($C$11)+81,"")</f>
        <v/>
      </c>
      <c r="C108" s="72" t="str">
        <f aca="false">IF(OR($F$6&lt;&gt;"Sí",D108&lt;=0.5),"",EDATE($C$10,81))</f>
        <v/>
      </c>
      <c r="D108" s="41" t="n">
        <f aca="false">MAX(0,M107)</f>
        <v>0</v>
      </c>
      <c r="E108" s="41" t="n">
        <f aca="false">D108*$F$7</f>
        <v>0</v>
      </c>
      <c r="F108" s="41" t="n">
        <f aca="false">IF(D108&gt;0.5,N($C$15),0)</f>
        <v>0</v>
      </c>
      <c r="G108" s="41" t="n">
        <f aca="false">IF(AND(D108&gt;0.5,N($C$19)&gt;0,N(B108)&lt;=N($C$20)),D108*$F$8,0)</f>
        <v>0</v>
      </c>
      <c r="H108" s="41" t="n">
        <f aca="false">IF(D108&lt;=0.5,0,MIN(IF(N(I108)&gt;0,I108,$F$9),D108+E108+F108))</f>
        <v>0</v>
      </c>
      <c r="I108" s="77"/>
      <c r="J108" s="77"/>
      <c r="K108" s="41" t="n">
        <f aca="false">IF(D108&lt;=0.5,0,MIN(H108+N(J108),D108+E108+F108))</f>
        <v>0</v>
      </c>
      <c r="L108" s="41" t="n">
        <f aca="false">K108-E108-F108</f>
        <v>0</v>
      </c>
      <c r="M108" s="41" t="n">
        <f aca="false">D108-L108</f>
        <v>0</v>
      </c>
      <c r="N108" s="42" t="n">
        <f aca="false">K108-G108</f>
        <v>0</v>
      </c>
      <c r="O108" s="78"/>
      <c r="P108" s="79"/>
      <c r="Q108" s="16" t="str">
        <f aca="false">IF(K108=0,"",IF(R108=1,"Pagada",IF(C108&lt;$F$12,"Vencida",IF(82=$F$13,"Próxima","Pendiente"))))</f>
        <v/>
      </c>
      <c r="R108" s="62" t="n">
        <f aca="false">IF(AND(K108&gt;0,OR(O108="Sí",O108="Si")),1,0)</f>
        <v>0</v>
      </c>
      <c r="S108" s="62" t="n">
        <f aca="false">IF(AND(K108&gt;0,R108=0),1,0)</f>
        <v>0</v>
      </c>
    </row>
    <row r="109" customFormat="false" ht="15" hidden="false" customHeight="false" outlineLevel="0" collapsed="false">
      <c r="B109" s="71" t="str">
        <f aca="false">IF($F$6="Sí",N($C$11)+82,"")</f>
        <v/>
      </c>
      <c r="C109" s="72" t="str">
        <f aca="false">IF(OR($F$6&lt;&gt;"Sí",D109&lt;=0.5),"",EDATE($C$10,82))</f>
        <v/>
      </c>
      <c r="D109" s="41" t="n">
        <f aca="false">MAX(0,M108)</f>
        <v>0</v>
      </c>
      <c r="E109" s="41" t="n">
        <f aca="false">D109*$F$7</f>
        <v>0</v>
      </c>
      <c r="F109" s="41" t="n">
        <f aca="false">IF(D109&gt;0.5,N($C$15),0)</f>
        <v>0</v>
      </c>
      <c r="G109" s="41" t="n">
        <f aca="false">IF(AND(D109&gt;0.5,N($C$19)&gt;0,N(B109)&lt;=N($C$20)),D109*$F$8,0)</f>
        <v>0</v>
      </c>
      <c r="H109" s="41" t="n">
        <f aca="false">IF(D109&lt;=0.5,0,MIN(IF(N(I109)&gt;0,I109,$F$9),D109+E109+F109))</f>
        <v>0</v>
      </c>
      <c r="I109" s="77"/>
      <c r="J109" s="77"/>
      <c r="K109" s="41" t="n">
        <f aca="false">IF(D109&lt;=0.5,0,MIN(H109+N(J109),D109+E109+F109))</f>
        <v>0</v>
      </c>
      <c r="L109" s="41" t="n">
        <f aca="false">K109-E109-F109</f>
        <v>0</v>
      </c>
      <c r="M109" s="41" t="n">
        <f aca="false">D109-L109</f>
        <v>0</v>
      </c>
      <c r="N109" s="42" t="n">
        <f aca="false">K109-G109</f>
        <v>0</v>
      </c>
      <c r="O109" s="78"/>
      <c r="P109" s="79"/>
      <c r="Q109" s="16" t="str">
        <f aca="false">IF(K109=0,"",IF(R109=1,"Pagada",IF(C109&lt;$F$12,"Vencida",IF(83=$F$13,"Próxima","Pendiente"))))</f>
        <v/>
      </c>
      <c r="R109" s="62" t="n">
        <f aca="false">IF(AND(K109&gt;0,OR(O109="Sí",O109="Si")),1,0)</f>
        <v>0</v>
      </c>
      <c r="S109" s="62" t="n">
        <f aca="false">IF(AND(K109&gt;0,R109=0),1,0)</f>
        <v>0</v>
      </c>
    </row>
    <row r="110" customFormat="false" ht="15" hidden="false" customHeight="false" outlineLevel="0" collapsed="false">
      <c r="B110" s="71" t="str">
        <f aca="false">IF($F$6="Sí",N($C$11)+83,"")</f>
        <v/>
      </c>
      <c r="C110" s="72" t="str">
        <f aca="false">IF(OR($F$6&lt;&gt;"Sí",D110&lt;=0.5),"",EDATE($C$10,83))</f>
        <v/>
      </c>
      <c r="D110" s="41" t="n">
        <f aca="false">MAX(0,M109)</f>
        <v>0</v>
      </c>
      <c r="E110" s="41" t="n">
        <f aca="false">D110*$F$7</f>
        <v>0</v>
      </c>
      <c r="F110" s="41" t="n">
        <f aca="false">IF(D110&gt;0.5,N($C$15),0)</f>
        <v>0</v>
      </c>
      <c r="G110" s="41" t="n">
        <f aca="false">IF(AND(D110&gt;0.5,N($C$19)&gt;0,N(B110)&lt;=N($C$20)),D110*$F$8,0)</f>
        <v>0</v>
      </c>
      <c r="H110" s="41" t="n">
        <f aca="false">IF(D110&lt;=0.5,0,MIN(IF(N(I110)&gt;0,I110,$F$9),D110+E110+F110))</f>
        <v>0</v>
      </c>
      <c r="I110" s="77"/>
      <c r="J110" s="77"/>
      <c r="K110" s="41" t="n">
        <f aca="false">IF(D110&lt;=0.5,0,MIN(H110+N(J110),D110+E110+F110))</f>
        <v>0</v>
      </c>
      <c r="L110" s="41" t="n">
        <f aca="false">K110-E110-F110</f>
        <v>0</v>
      </c>
      <c r="M110" s="41" t="n">
        <f aca="false">D110-L110</f>
        <v>0</v>
      </c>
      <c r="N110" s="42" t="n">
        <f aca="false">K110-G110</f>
        <v>0</v>
      </c>
      <c r="O110" s="78"/>
      <c r="P110" s="79"/>
      <c r="Q110" s="16" t="str">
        <f aca="false">IF(K110=0,"",IF(R110=1,"Pagada",IF(C110&lt;$F$12,"Vencida",IF(84=$F$13,"Próxima","Pendiente"))))</f>
        <v/>
      </c>
      <c r="R110" s="62" t="n">
        <f aca="false">IF(AND(K110&gt;0,OR(O110="Sí",O110="Si")),1,0)</f>
        <v>0</v>
      </c>
      <c r="S110" s="62" t="n">
        <f aca="false">IF(AND(K110&gt;0,R110=0),1,0)</f>
        <v>0</v>
      </c>
    </row>
    <row r="111" customFormat="false" ht="15" hidden="false" customHeight="false" outlineLevel="0" collapsed="false">
      <c r="B111" s="71" t="str">
        <f aca="false">IF($F$6="Sí",N($C$11)+84,"")</f>
        <v/>
      </c>
      <c r="C111" s="72" t="str">
        <f aca="false">IF(OR($F$6&lt;&gt;"Sí",D111&lt;=0.5),"",EDATE($C$10,84))</f>
        <v/>
      </c>
      <c r="D111" s="41" t="n">
        <f aca="false">MAX(0,M110)</f>
        <v>0</v>
      </c>
      <c r="E111" s="41" t="n">
        <f aca="false">D111*$F$7</f>
        <v>0</v>
      </c>
      <c r="F111" s="41" t="n">
        <f aca="false">IF(D111&gt;0.5,N($C$15),0)</f>
        <v>0</v>
      </c>
      <c r="G111" s="41" t="n">
        <f aca="false">IF(AND(D111&gt;0.5,N($C$19)&gt;0,N(B111)&lt;=N($C$20)),D111*$F$8,0)</f>
        <v>0</v>
      </c>
      <c r="H111" s="41" t="n">
        <f aca="false">IF(D111&lt;=0.5,0,MIN(IF(N(I111)&gt;0,I111,$F$9),D111+E111+F111))</f>
        <v>0</v>
      </c>
      <c r="I111" s="77"/>
      <c r="J111" s="77"/>
      <c r="K111" s="41" t="n">
        <f aca="false">IF(D111&lt;=0.5,0,MIN(H111+N(J111),D111+E111+F111))</f>
        <v>0</v>
      </c>
      <c r="L111" s="41" t="n">
        <f aca="false">K111-E111-F111</f>
        <v>0</v>
      </c>
      <c r="M111" s="41" t="n">
        <f aca="false">D111-L111</f>
        <v>0</v>
      </c>
      <c r="N111" s="42" t="n">
        <f aca="false">K111-G111</f>
        <v>0</v>
      </c>
      <c r="O111" s="78"/>
      <c r="P111" s="79"/>
      <c r="Q111" s="16" t="str">
        <f aca="false">IF(K111=0,"",IF(R111=1,"Pagada",IF(C111&lt;$F$12,"Vencida",IF(85=$F$13,"Próxima","Pendiente"))))</f>
        <v/>
      </c>
      <c r="R111" s="62" t="n">
        <f aca="false">IF(AND(K111&gt;0,OR(O111="Sí",O111="Si")),1,0)</f>
        <v>0</v>
      </c>
      <c r="S111" s="62" t="n">
        <f aca="false">IF(AND(K111&gt;0,R111=0),1,0)</f>
        <v>0</v>
      </c>
    </row>
    <row r="112" customFormat="false" ht="15" hidden="false" customHeight="false" outlineLevel="0" collapsed="false">
      <c r="B112" s="71" t="str">
        <f aca="false">IF($F$6="Sí",N($C$11)+85,"")</f>
        <v/>
      </c>
      <c r="C112" s="72" t="str">
        <f aca="false">IF(OR($F$6&lt;&gt;"Sí",D112&lt;=0.5),"",EDATE($C$10,85))</f>
        <v/>
      </c>
      <c r="D112" s="41" t="n">
        <f aca="false">MAX(0,M111)</f>
        <v>0</v>
      </c>
      <c r="E112" s="41" t="n">
        <f aca="false">D112*$F$7</f>
        <v>0</v>
      </c>
      <c r="F112" s="41" t="n">
        <f aca="false">IF(D112&gt;0.5,N($C$15),0)</f>
        <v>0</v>
      </c>
      <c r="G112" s="41" t="n">
        <f aca="false">IF(AND(D112&gt;0.5,N($C$19)&gt;0,N(B112)&lt;=N($C$20)),D112*$F$8,0)</f>
        <v>0</v>
      </c>
      <c r="H112" s="41" t="n">
        <f aca="false">IF(D112&lt;=0.5,0,MIN(IF(N(I112)&gt;0,I112,$F$9),D112+E112+F112))</f>
        <v>0</v>
      </c>
      <c r="I112" s="77"/>
      <c r="J112" s="77"/>
      <c r="K112" s="41" t="n">
        <f aca="false">IF(D112&lt;=0.5,0,MIN(H112+N(J112),D112+E112+F112))</f>
        <v>0</v>
      </c>
      <c r="L112" s="41" t="n">
        <f aca="false">K112-E112-F112</f>
        <v>0</v>
      </c>
      <c r="M112" s="41" t="n">
        <f aca="false">D112-L112</f>
        <v>0</v>
      </c>
      <c r="N112" s="42" t="n">
        <f aca="false">K112-G112</f>
        <v>0</v>
      </c>
      <c r="O112" s="78"/>
      <c r="P112" s="79"/>
      <c r="Q112" s="16" t="str">
        <f aca="false">IF(K112=0,"",IF(R112=1,"Pagada",IF(C112&lt;$F$12,"Vencida",IF(86=$F$13,"Próxima","Pendiente"))))</f>
        <v/>
      </c>
      <c r="R112" s="62" t="n">
        <f aca="false">IF(AND(K112&gt;0,OR(O112="Sí",O112="Si")),1,0)</f>
        <v>0</v>
      </c>
      <c r="S112" s="62" t="n">
        <f aca="false">IF(AND(K112&gt;0,R112=0),1,0)</f>
        <v>0</v>
      </c>
    </row>
    <row r="113" customFormat="false" ht="15" hidden="false" customHeight="false" outlineLevel="0" collapsed="false">
      <c r="B113" s="71" t="str">
        <f aca="false">IF($F$6="Sí",N($C$11)+86,"")</f>
        <v/>
      </c>
      <c r="C113" s="72" t="str">
        <f aca="false">IF(OR($F$6&lt;&gt;"Sí",D113&lt;=0.5),"",EDATE($C$10,86))</f>
        <v/>
      </c>
      <c r="D113" s="41" t="n">
        <f aca="false">MAX(0,M112)</f>
        <v>0</v>
      </c>
      <c r="E113" s="41" t="n">
        <f aca="false">D113*$F$7</f>
        <v>0</v>
      </c>
      <c r="F113" s="41" t="n">
        <f aca="false">IF(D113&gt;0.5,N($C$15),0)</f>
        <v>0</v>
      </c>
      <c r="G113" s="41" t="n">
        <f aca="false">IF(AND(D113&gt;0.5,N($C$19)&gt;0,N(B113)&lt;=N($C$20)),D113*$F$8,0)</f>
        <v>0</v>
      </c>
      <c r="H113" s="41" t="n">
        <f aca="false">IF(D113&lt;=0.5,0,MIN(IF(N(I113)&gt;0,I113,$F$9),D113+E113+F113))</f>
        <v>0</v>
      </c>
      <c r="I113" s="77"/>
      <c r="J113" s="77"/>
      <c r="K113" s="41" t="n">
        <f aca="false">IF(D113&lt;=0.5,0,MIN(H113+N(J113),D113+E113+F113))</f>
        <v>0</v>
      </c>
      <c r="L113" s="41" t="n">
        <f aca="false">K113-E113-F113</f>
        <v>0</v>
      </c>
      <c r="M113" s="41" t="n">
        <f aca="false">D113-L113</f>
        <v>0</v>
      </c>
      <c r="N113" s="42" t="n">
        <f aca="false">K113-G113</f>
        <v>0</v>
      </c>
      <c r="O113" s="78"/>
      <c r="P113" s="79"/>
      <c r="Q113" s="16" t="str">
        <f aca="false">IF(K113=0,"",IF(R113=1,"Pagada",IF(C113&lt;$F$12,"Vencida",IF(87=$F$13,"Próxima","Pendiente"))))</f>
        <v/>
      </c>
      <c r="R113" s="62" t="n">
        <f aca="false">IF(AND(K113&gt;0,OR(O113="Sí",O113="Si")),1,0)</f>
        <v>0</v>
      </c>
      <c r="S113" s="62" t="n">
        <f aca="false">IF(AND(K113&gt;0,R113=0),1,0)</f>
        <v>0</v>
      </c>
    </row>
    <row r="114" customFormat="false" ht="15" hidden="false" customHeight="false" outlineLevel="0" collapsed="false">
      <c r="B114" s="71" t="str">
        <f aca="false">IF($F$6="Sí",N($C$11)+87,"")</f>
        <v/>
      </c>
      <c r="C114" s="72" t="str">
        <f aca="false">IF(OR($F$6&lt;&gt;"Sí",D114&lt;=0.5),"",EDATE($C$10,87))</f>
        <v/>
      </c>
      <c r="D114" s="41" t="n">
        <f aca="false">MAX(0,M113)</f>
        <v>0</v>
      </c>
      <c r="E114" s="41" t="n">
        <f aca="false">D114*$F$7</f>
        <v>0</v>
      </c>
      <c r="F114" s="41" t="n">
        <f aca="false">IF(D114&gt;0.5,N($C$15),0)</f>
        <v>0</v>
      </c>
      <c r="G114" s="41" t="n">
        <f aca="false">IF(AND(D114&gt;0.5,N($C$19)&gt;0,N(B114)&lt;=N($C$20)),D114*$F$8,0)</f>
        <v>0</v>
      </c>
      <c r="H114" s="41" t="n">
        <f aca="false">IF(D114&lt;=0.5,0,MIN(IF(N(I114)&gt;0,I114,$F$9),D114+E114+F114))</f>
        <v>0</v>
      </c>
      <c r="I114" s="77"/>
      <c r="J114" s="77"/>
      <c r="K114" s="41" t="n">
        <f aca="false">IF(D114&lt;=0.5,0,MIN(H114+N(J114),D114+E114+F114))</f>
        <v>0</v>
      </c>
      <c r="L114" s="41" t="n">
        <f aca="false">K114-E114-F114</f>
        <v>0</v>
      </c>
      <c r="M114" s="41" t="n">
        <f aca="false">D114-L114</f>
        <v>0</v>
      </c>
      <c r="N114" s="42" t="n">
        <f aca="false">K114-G114</f>
        <v>0</v>
      </c>
      <c r="O114" s="78"/>
      <c r="P114" s="79"/>
      <c r="Q114" s="16" t="str">
        <f aca="false">IF(K114=0,"",IF(R114=1,"Pagada",IF(C114&lt;$F$12,"Vencida",IF(88=$F$13,"Próxima","Pendiente"))))</f>
        <v/>
      </c>
      <c r="R114" s="62" t="n">
        <f aca="false">IF(AND(K114&gt;0,OR(O114="Sí",O114="Si")),1,0)</f>
        <v>0</v>
      </c>
      <c r="S114" s="62" t="n">
        <f aca="false">IF(AND(K114&gt;0,R114=0),1,0)</f>
        <v>0</v>
      </c>
    </row>
    <row r="115" customFormat="false" ht="15" hidden="false" customHeight="false" outlineLevel="0" collapsed="false">
      <c r="B115" s="71" t="str">
        <f aca="false">IF($F$6="Sí",N($C$11)+88,"")</f>
        <v/>
      </c>
      <c r="C115" s="72" t="str">
        <f aca="false">IF(OR($F$6&lt;&gt;"Sí",D115&lt;=0.5),"",EDATE($C$10,88))</f>
        <v/>
      </c>
      <c r="D115" s="41" t="n">
        <f aca="false">MAX(0,M114)</f>
        <v>0</v>
      </c>
      <c r="E115" s="41" t="n">
        <f aca="false">D115*$F$7</f>
        <v>0</v>
      </c>
      <c r="F115" s="41" t="n">
        <f aca="false">IF(D115&gt;0.5,N($C$15),0)</f>
        <v>0</v>
      </c>
      <c r="G115" s="41" t="n">
        <f aca="false">IF(AND(D115&gt;0.5,N($C$19)&gt;0,N(B115)&lt;=N($C$20)),D115*$F$8,0)</f>
        <v>0</v>
      </c>
      <c r="H115" s="41" t="n">
        <f aca="false">IF(D115&lt;=0.5,0,MIN(IF(N(I115)&gt;0,I115,$F$9),D115+E115+F115))</f>
        <v>0</v>
      </c>
      <c r="I115" s="77"/>
      <c r="J115" s="77"/>
      <c r="K115" s="41" t="n">
        <f aca="false">IF(D115&lt;=0.5,0,MIN(H115+N(J115),D115+E115+F115))</f>
        <v>0</v>
      </c>
      <c r="L115" s="41" t="n">
        <f aca="false">K115-E115-F115</f>
        <v>0</v>
      </c>
      <c r="M115" s="41" t="n">
        <f aca="false">D115-L115</f>
        <v>0</v>
      </c>
      <c r="N115" s="42" t="n">
        <f aca="false">K115-G115</f>
        <v>0</v>
      </c>
      <c r="O115" s="78"/>
      <c r="P115" s="79"/>
      <c r="Q115" s="16" t="str">
        <f aca="false">IF(K115=0,"",IF(R115=1,"Pagada",IF(C115&lt;$F$12,"Vencida",IF(89=$F$13,"Próxima","Pendiente"))))</f>
        <v/>
      </c>
      <c r="R115" s="62" t="n">
        <f aca="false">IF(AND(K115&gt;0,OR(O115="Sí",O115="Si")),1,0)</f>
        <v>0</v>
      </c>
      <c r="S115" s="62" t="n">
        <f aca="false">IF(AND(K115&gt;0,R115=0),1,0)</f>
        <v>0</v>
      </c>
    </row>
    <row r="116" customFormat="false" ht="15" hidden="false" customHeight="false" outlineLevel="0" collapsed="false">
      <c r="B116" s="71" t="str">
        <f aca="false">IF($F$6="Sí",N($C$11)+89,"")</f>
        <v/>
      </c>
      <c r="C116" s="72" t="str">
        <f aca="false">IF(OR($F$6&lt;&gt;"Sí",D116&lt;=0.5),"",EDATE($C$10,89))</f>
        <v/>
      </c>
      <c r="D116" s="41" t="n">
        <f aca="false">MAX(0,M115)</f>
        <v>0</v>
      </c>
      <c r="E116" s="41" t="n">
        <f aca="false">D116*$F$7</f>
        <v>0</v>
      </c>
      <c r="F116" s="41" t="n">
        <f aca="false">IF(D116&gt;0.5,N($C$15),0)</f>
        <v>0</v>
      </c>
      <c r="G116" s="41" t="n">
        <f aca="false">IF(AND(D116&gt;0.5,N($C$19)&gt;0,N(B116)&lt;=N($C$20)),D116*$F$8,0)</f>
        <v>0</v>
      </c>
      <c r="H116" s="41" t="n">
        <f aca="false">IF(D116&lt;=0.5,0,MIN(IF(N(I116)&gt;0,I116,$F$9),D116+E116+F116))</f>
        <v>0</v>
      </c>
      <c r="I116" s="77"/>
      <c r="J116" s="77"/>
      <c r="K116" s="41" t="n">
        <f aca="false">IF(D116&lt;=0.5,0,MIN(H116+N(J116),D116+E116+F116))</f>
        <v>0</v>
      </c>
      <c r="L116" s="41" t="n">
        <f aca="false">K116-E116-F116</f>
        <v>0</v>
      </c>
      <c r="M116" s="41" t="n">
        <f aca="false">D116-L116</f>
        <v>0</v>
      </c>
      <c r="N116" s="42" t="n">
        <f aca="false">K116-G116</f>
        <v>0</v>
      </c>
      <c r="O116" s="78"/>
      <c r="P116" s="79"/>
      <c r="Q116" s="16" t="str">
        <f aca="false">IF(K116=0,"",IF(R116=1,"Pagada",IF(C116&lt;$F$12,"Vencida",IF(90=$F$13,"Próxima","Pendiente"))))</f>
        <v/>
      </c>
      <c r="R116" s="62" t="n">
        <f aca="false">IF(AND(K116&gt;0,OR(O116="Sí",O116="Si")),1,0)</f>
        <v>0</v>
      </c>
      <c r="S116" s="62" t="n">
        <f aca="false">IF(AND(K116&gt;0,R116=0),1,0)</f>
        <v>0</v>
      </c>
    </row>
    <row r="117" customFormat="false" ht="15" hidden="false" customHeight="false" outlineLevel="0" collapsed="false">
      <c r="B117" s="71" t="str">
        <f aca="false">IF($F$6="Sí",N($C$11)+90,"")</f>
        <v/>
      </c>
      <c r="C117" s="72" t="str">
        <f aca="false">IF(OR($F$6&lt;&gt;"Sí",D117&lt;=0.5),"",EDATE($C$10,90))</f>
        <v/>
      </c>
      <c r="D117" s="41" t="n">
        <f aca="false">MAX(0,M116)</f>
        <v>0</v>
      </c>
      <c r="E117" s="41" t="n">
        <f aca="false">D117*$F$7</f>
        <v>0</v>
      </c>
      <c r="F117" s="41" t="n">
        <f aca="false">IF(D117&gt;0.5,N($C$15),0)</f>
        <v>0</v>
      </c>
      <c r="G117" s="41" t="n">
        <f aca="false">IF(AND(D117&gt;0.5,N($C$19)&gt;0,N(B117)&lt;=N($C$20)),D117*$F$8,0)</f>
        <v>0</v>
      </c>
      <c r="H117" s="41" t="n">
        <f aca="false">IF(D117&lt;=0.5,0,MIN(IF(N(I117)&gt;0,I117,$F$9),D117+E117+F117))</f>
        <v>0</v>
      </c>
      <c r="I117" s="77"/>
      <c r="J117" s="77"/>
      <c r="K117" s="41" t="n">
        <f aca="false">IF(D117&lt;=0.5,0,MIN(H117+N(J117),D117+E117+F117))</f>
        <v>0</v>
      </c>
      <c r="L117" s="41" t="n">
        <f aca="false">K117-E117-F117</f>
        <v>0</v>
      </c>
      <c r="M117" s="41" t="n">
        <f aca="false">D117-L117</f>
        <v>0</v>
      </c>
      <c r="N117" s="42" t="n">
        <f aca="false">K117-G117</f>
        <v>0</v>
      </c>
      <c r="O117" s="78"/>
      <c r="P117" s="79"/>
      <c r="Q117" s="16" t="str">
        <f aca="false">IF(K117=0,"",IF(R117=1,"Pagada",IF(C117&lt;$F$12,"Vencida",IF(91=$F$13,"Próxima","Pendiente"))))</f>
        <v/>
      </c>
      <c r="R117" s="62" t="n">
        <f aca="false">IF(AND(K117&gt;0,OR(O117="Sí",O117="Si")),1,0)</f>
        <v>0</v>
      </c>
      <c r="S117" s="62" t="n">
        <f aca="false">IF(AND(K117&gt;0,R117=0),1,0)</f>
        <v>0</v>
      </c>
    </row>
    <row r="118" customFormat="false" ht="15" hidden="false" customHeight="false" outlineLevel="0" collapsed="false">
      <c r="B118" s="71" t="str">
        <f aca="false">IF($F$6="Sí",N($C$11)+91,"")</f>
        <v/>
      </c>
      <c r="C118" s="72" t="str">
        <f aca="false">IF(OR($F$6&lt;&gt;"Sí",D118&lt;=0.5),"",EDATE($C$10,91))</f>
        <v/>
      </c>
      <c r="D118" s="41" t="n">
        <f aca="false">MAX(0,M117)</f>
        <v>0</v>
      </c>
      <c r="E118" s="41" t="n">
        <f aca="false">D118*$F$7</f>
        <v>0</v>
      </c>
      <c r="F118" s="41" t="n">
        <f aca="false">IF(D118&gt;0.5,N($C$15),0)</f>
        <v>0</v>
      </c>
      <c r="G118" s="41" t="n">
        <f aca="false">IF(AND(D118&gt;0.5,N($C$19)&gt;0,N(B118)&lt;=N($C$20)),D118*$F$8,0)</f>
        <v>0</v>
      </c>
      <c r="H118" s="41" t="n">
        <f aca="false">IF(D118&lt;=0.5,0,MIN(IF(N(I118)&gt;0,I118,$F$9),D118+E118+F118))</f>
        <v>0</v>
      </c>
      <c r="I118" s="77"/>
      <c r="J118" s="77"/>
      <c r="K118" s="41" t="n">
        <f aca="false">IF(D118&lt;=0.5,0,MIN(H118+N(J118),D118+E118+F118))</f>
        <v>0</v>
      </c>
      <c r="L118" s="41" t="n">
        <f aca="false">K118-E118-F118</f>
        <v>0</v>
      </c>
      <c r="M118" s="41" t="n">
        <f aca="false">D118-L118</f>
        <v>0</v>
      </c>
      <c r="N118" s="42" t="n">
        <f aca="false">K118-G118</f>
        <v>0</v>
      </c>
      <c r="O118" s="78"/>
      <c r="P118" s="79"/>
      <c r="Q118" s="16" t="str">
        <f aca="false">IF(K118=0,"",IF(R118=1,"Pagada",IF(C118&lt;$F$12,"Vencida",IF(92=$F$13,"Próxima","Pendiente"))))</f>
        <v/>
      </c>
      <c r="R118" s="62" t="n">
        <f aca="false">IF(AND(K118&gt;0,OR(O118="Sí",O118="Si")),1,0)</f>
        <v>0</v>
      </c>
      <c r="S118" s="62" t="n">
        <f aca="false">IF(AND(K118&gt;0,R118=0),1,0)</f>
        <v>0</v>
      </c>
    </row>
    <row r="119" customFormat="false" ht="15" hidden="false" customHeight="false" outlineLevel="0" collapsed="false">
      <c r="B119" s="71" t="str">
        <f aca="false">IF($F$6="Sí",N($C$11)+92,"")</f>
        <v/>
      </c>
      <c r="C119" s="72" t="str">
        <f aca="false">IF(OR($F$6&lt;&gt;"Sí",D119&lt;=0.5),"",EDATE($C$10,92))</f>
        <v/>
      </c>
      <c r="D119" s="41" t="n">
        <f aca="false">MAX(0,M118)</f>
        <v>0</v>
      </c>
      <c r="E119" s="41" t="n">
        <f aca="false">D119*$F$7</f>
        <v>0</v>
      </c>
      <c r="F119" s="41" t="n">
        <f aca="false">IF(D119&gt;0.5,N($C$15),0)</f>
        <v>0</v>
      </c>
      <c r="G119" s="41" t="n">
        <f aca="false">IF(AND(D119&gt;0.5,N($C$19)&gt;0,N(B119)&lt;=N($C$20)),D119*$F$8,0)</f>
        <v>0</v>
      </c>
      <c r="H119" s="41" t="n">
        <f aca="false">IF(D119&lt;=0.5,0,MIN(IF(N(I119)&gt;0,I119,$F$9),D119+E119+F119))</f>
        <v>0</v>
      </c>
      <c r="I119" s="77"/>
      <c r="J119" s="77"/>
      <c r="K119" s="41" t="n">
        <f aca="false">IF(D119&lt;=0.5,0,MIN(H119+N(J119),D119+E119+F119))</f>
        <v>0</v>
      </c>
      <c r="L119" s="41" t="n">
        <f aca="false">K119-E119-F119</f>
        <v>0</v>
      </c>
      <c r="M119" s="41" t="n">
        <f aca="false">D119-L119</f>
        <v>0</v>
      </c>
      <c r="N119" s="42" t="n">
        <f aca="false">K119-G119</f>
        <v>0</v>
      </c>
      <c r="O119" s="78"/>
      <c r="P119" s="79"/>
      <c r="Q119" s="16" t="str">
        <f aca="false">IF(K119=0,"",IF(R119=1,"Pagada",IF(C119&lt;$F$12,"Vencida",IF(93=$F$13,"Próxima","Pendiente"))))</f>
        <v/>
      </c>
      <c r="R119" s="62" t="n">
        <f aca="false">IF(AND(K119&gt;0,OR(O119="Sí",O119="Si")),1,0)</f>
        <v>0</v>
      </c>
      <c r="S119" s="62" t="n">
        <f aca="false">IF(AND(K119&gt;0,R119=0),1,0)</f>
        <v>0</v>
      </c>
    </row>
    <row r="120" customFormat="false" ht="15" hidden="false" customHeight="false" outlineLevel="0" collapsed="false">
      <c r="B120" s="71" t="str">
        <f aca="false">IF($F$6="Sí",N($C$11)+93,"")</f>
        <v/>
      </c>
      <c r="C120" s="72" t="str">
        <f aca="false">IF(OR($F$6&lt;&gt;"Sí",D120&lt;=0.5),"",EDATE($C$10,93))</f>
        <v/>
      </c>
      <c r="D120" s="41" t="n">
        <f aca="false">MAX(0,M119)</f>
        <v>0</v>
      </c>
      <c r="E120" s="41" t="n">
        <f aca="false">D120*$F$7</f>
        <v>0</v>
      </c>
      <c r="F120" s="41" t="n">
        <f aca="false">IF(D120&gt;0.5,N($C$15),0)</f>
        <v>0</v>
      </c>
      <c r="G120" s="41" t="n">
        <f aca="false">IF(AND(D120&gt;0.5,N($C$19)&gt;0,N(B120)&lt;=N($C$20)),D120*$F$8,0)</f>
        <v>0</v>
      </c>
      <c r="H120" s="41" t="n">
        <f aca="false">IF(D120&lt;=0.5,0,MIN(IF(N(I120)&gt;0,I120,$F$9),D120+E120+F120))</f>
        <v>0</v>
      </c>
      <c r="I120" s="77"/>
      <c r="J120" s="77"/>
      <c r="K120" s="41" t="n">
        <f aca="false">IF(D120&lt;=0.5,0,MIN(H120+N(J120),D120+E120+F120))</f>
        <v>0</v>
      </c>
      <c r="L120" s="41" t="n">
        <f aca="false">K120-E120-F120</f>
        <v>0</v>
      </c>
      <c r="M120" s="41" t="n">
        <f aca="false">D120-L120</f>
        <v>0</v>
      </c>
      <c r="N120" s="42" t="n">
        <f aca="false">K120-G120</f>
        <v>0</v>
      </c>
      <c r="O120" s="78"/>
      <c r="P120" s="79"/>
      <c r="Q120" s="16" t="str">
        <f aca="false">IF(K120=0,"",IF(R120=1,"Pagada",IF(C120&lt;$F$12,"Vencida",IF(94=$F$13,"Próxima","Pendiente"))))</f>
        <v/>
      </c>
      <c r="R120" s="62" t="n">
        <f aca="false">IF(AND(K120&gt;0,OR(O120="Sí",O120="Si")),1,0)</f>
        <v>0</v>
      </c>
      <c r="S120" s="62" t="n">
        <f aca="false">IF(AND(K120&gt;0,R120=0),1,0)</f>
        <v>0</v>
      </c>
    </row>
    <row r="121" customFormat="false" ht="15" hidden="false" customHeight="false" outlineLevel="0" collapsed="false">
      <c r="B121" s="71" t="str">
        <f aca="false">IF($F$6="Sí",N($C$11)+94,"")</f>
        <v/>
      </c>
      <c r="C121" s="72" t="str">
        <f aca="false">IF(OR($F$6&lt;&gt;"Sí",D121&lt;=0.5),"",EDATE($C$10,94))</f>
        <v/>
      </c>
      <c r="D121" s="41" t="n">
        <f aca="false">MAX(0,M120)</f>
        <v>0</v>
      </c>
      <c r="E121" s="41" t="n">
        <f aca="false">D121*$F$7</f>
        <v>0</v>
      </c>
      <c r="F121" s="41" t="n">
        <f aca="false">IF(D121&gt;0.5,N($C$15),0)</f>
        <v>0</v>
      </c>
      <c r="G121" s="41" t="n">
        <f aca="false">IF(AND(D121&gt;0.5,N($C$19)&gt;0,N(B121)&lt;=N($C$20)),D121*$F$8,0)</f>
        <v>0</v>
      </c>
      <c r="H121" s="41" t="n">
        <f aca="false">IF(D121&lt;=0.5,0,MIN(IF(N(I121)&gt;0,I121,$F$9),D121+E121+F121))</f>
        <v>0</v>
      </c>
      <c r="I121" s="77"/>
      <c r="J121" s="77"/>
      <c r="K121" s="41" t="n">
        <f aca="false">IF(D121&lt;=0.5,0,MIN(H121+N(J121),D121+E121+F121))</f>
        <v>0</v>
      </c>
      <c r="L121" s="41" t="n">
        <f aca="false">K121-E121-F121</f>
        <v>0</v>
      </c>
      <c r="M121" s="41" t="n">
        <f aca="false">D121-L121</f>
        <v>0</v>
      </c>
      <c r="N121" s="42" t="n">
        <f aca="false">K121-G121</f>
        <v>0</v>
      </c>
      <c r="O121" s="78"/>
      <c r="P121" s="79"/>
      <c r="Q121" s="16" t="str">
        <f aca="false">IF(K121=0,"",IF(R121=1,"Pagada",IF(C121&lt;$F$12,"Vencida",IF(95=$F$13,"Próxima","Pendiente"))))</f>
        <v/>
      </c>
      <c r="R121" s="62" t="n">
        <f aca="false">IF(AND(K121&gt;0,OR(O121="Sí",O121="Si")),1,0)</f>
        <v>0</v>
      </c>
      <c r="S121" s="62" t="n">
        <f aca="false">IF(AND(K121&gt;0,R121=0),1,0)</f>
        <v>0</v>
      </c>
    </row>
    <row r="122" customFormat="false" ht="15" hidden="false" customHeight="false" outlineLevel="0" collapsed="false">
      <c r="B122" s="71" t="str">
        <f aca="false">IF($F$6="Sí",N($C$11)+95,"")</f>
        <v/>
      </c>
      <c r="C122" s="72" t="str">
        <f aca="false">IF(OR($F$6&lt;&gt;"Sí",D122&lt;=0.5),"",EDATE($C$10,95))</f>
        <v/>
      </c>
      <c r="D122" s="41" t="n">
        <f aca="false">MAX(0,M121)</f>
        <v>0</v>
      </c>
      <c r="E122" s="41" t="n">
        <f aca="false">D122*$F$7</f>
        <v>0</v>
      </c>
      <c r="F122" s="41" t="n">
        <f aca="false">IF(D122&gt;0.5,N($C$15),0)</f>
        <v>0</v>
      </c>
      <c r="G122" s="41" t="n">
        <f aca="false">IF(AND(D122&gt;0.5,N($C$19)&gt;0,N(B122)&lt;=N($C$20)),D122*$F$8,0)</f>
        <v>0</v>
      </c>
      <c r="H122" s="41" t="n">
        <f aca="false">IF(D122&lt;=0.5,0,MIN(IF(N(I122)&gt;0,I122,$F$9),D122+E122+F122))</f>
        <v>0</v>
      </c>
      <c r="I122" s="77"/>
      <c r="J122" s="77"/>
      <c r="K122" s="41" t="n">
        <f aca="false">IF(D122&lt;=0.5,0,MIN(H122+N(J122),D122+E122+F122))</f>
        <v>0</v>
      </c>
      <c r="L122" s="41" t="n">
        <f aca="false">K122-E122-F122</f>
        <v>0</v>
      </c>
      <c r="M122" s="41" t="n">
        <f aca="false">D122-L122</f>
        <v>0</v>
      </c>
      <c r="N122" s="42" t="n">
        <f aca="false">K122-G122</f>
        <v>0</v>
      </c>
      <c r="O122" s="78"/>
      <c r="P122" s="79"/>
      <c r="Q122" s="16" t="str">
        <f aca="false">IF(K122=0,"",IF(R122=1,"Pagada",IF(C122&lt;$F$12,"Vencida",IF(96=$F$13,"Próxima","Pendiente"))))</f>
        <v/>
      </c>
      <c r="R122" s="62" t="n">
        <f aca="false">IF(AND(K122&gt;0,OR(O122="Sí",O122="Si")),1,0)</f>
        <v>0</v>
      </c>
      <c r="S122" s="62" t="n">
        <f aca="false">IF(AND(K122&gt;0,R122=0),1,0)</f>
        <v>0</v>
      </c>
    </row>
    <row r="123" customFormat="false" ht="15" hidden="false" customHeight="false" outlineLevel="0" collapsed="false">
      <c r="B123" s="71" t="str">
        <f aca="false">IF($F$6="Sí",N($C$11)+96,"")</f>
        <v/>
      </c>
      <c r="C123" s="72" t="str">
        <f aca="false">IF(OR($F$6&lt;&gt;"Sí",D123&lt;=0.5),"",EDATE($C$10,96))</f>
        <v/>
      </c>
      <c r="D123" s="41" t="n">
        <f aca="false">MAX(0,M122)</f>
        <v>0</v>
      </c>
      <c r="E123" s="41" t="n">
        <f aca="false">D123*$F$7</f>
        <v>0</v>
      </c>
      <c r="F123" s="41" t="n">
        <f aca="false">IF(D123&gt;0.5,N($C$15),0)</f>
        <v>0</v>
      </c>
      <c r="G123" s="41" t="n">
        <f aca="false">IF(AND(D123&gt;0.5,N($C$19)&gt;0,N(B123)&lt;=N($C$20)),D123*$F$8,0)</f>
        <v>0</v>
      </c>
      <c r="H123" s="41" t="n">
        <f aca="false">IF(D123&lt;=0.5,0,MIN(IF(N(I123)&gt;0,I123,$F$9),D123+E123+F123))</f>
        <v>0</v>
      </c>
      <c r="I123" s="77"/>
      <c r="J123" s="77"/>
      <c r="K123" s="41" t="n">
        <f aca="false">IF(D123&lt;=0.5,0,MIN(H123+N(J123),D123+E123+F123))</f>
        <v>0</v>
      </c>
      <c r="L123" s="41" t="n">
        <f aca="false">K123-E123-F123</f>
        <v>0</v>
      </c>
      <c r="M123" s="41" t="n">
        <f aca="false">D123-L123</f>
        <v>0</v>
      </c>
      <c r="N123" s="42" t="n">
        <f aca="false">K123-G123</f>
        <v>0</v>
      </c>
      <c r="O123" s="78"/>
      <c r="P123" s="79"/>
      <c r="Q123" s="16" t="str">
        <f aca="false">IF(K123=0,"",IF(R123=1,"Pagada",IF(C123&lt;$F$12,"Vencida",IF(97=$F$13,"Próxima","Pendiente"))))</f>
        <v/>
      </c>
      <c r="R123" s="62" t="n">
        <f aca="false">IF(AND(K123&gt;0,OR(O123="Sí",O123="Si")),1,0)</f>
        <v>0</v>
      </c>
      <c r="S123" s="62" t="n">
        <f aca="false">IF(AND(K123&gt;0,R123=0),1,0)</f>
        <v>0</v>
      </c>
    </row>
    <row r="124" customFormat="false" ht="15" hidden="false" customHeight="false" outlineLevel="0" collapsed="false">
      <c r="B124" s="71" t="str">
        <f aca="false">IF($F$6="Sí",N($C$11)+97,"")</f>
        <v/>
      </c>
      <c r="C124" s="72" t="str">
        <f aca="false">IF(OR($F$6&lt;&gt;"Sí",D124&lt;=0.5),"",EDATE($C$10,97))</f>
        <v/>
      </c>
      <c r="D124" s="41" t="n">
        <f aca="false">MAX(0,M123)</f>
        <v>0</v>
      </c>
      <c r="E124" s="41" t="n">
        <f aca="false">D124*$F$7</f>
        <v>0</v>
      </c>
      <c r="F124" s="41" t="n">
        <f aca="false">IF(D124&gt;0.5,N($C$15),0)</f>
        <v>0</v>
      </c>
      <c r="G124" s="41" t="n">
        <f aca="false">IF(AND(D124&gt;0.5,N($C$19)&gt;0,N(B124)&lt;=N($C$20)),D124*$F$8,0)</f>
        <v>0</v>
      </c>
      <c r="H124" s="41" t="n">
        <f aca="false">IF(D124&lt;=0.5,0,MIN(IF(N(I124)&gt;0,I124,$F$9),D124+E124+F124))</f>
        <v>0</v>
      </c>
      <c r="I124" s="77"/>
      <c r="J124" s="77"/>
      <c r="K124" s="41" t="n">
        <f aca="false">IF(D124&lt;=0.5,0,MIN(H124+N(J124),D124+E124+F124))</f>
        <v>0</v>
      </c>
      <c r="L124" s="41" t="n">
        <f aca="false">K124-E124-F124</f>
        <v>0</v>
      </c>
      <c r="M124" s="41" t="n">
        <f aca="false">D124-L124</f>
        <v>0</v>
      </c>
      <c r="N124" s="42" t="n">
        <f aca="false">K124-G124</f>
        <v>0</v>
      </c>
      <c r="O124" s="78"/>
      <c r="P124" s="79"/>
      <c r="Q124" s="16" t="str">
        <f aca="false">IF(K124=0,"",IF(R124=1,"Pagada",IF(C124&lt;$F$12,"Vencida",IF(98=$F$13,"Próxima","Pendiente"))))</f>
        <v/>
      </c>
      <c r="R124" s="62" t="n">
        <f aca="false">IF(AND(K124&gt;0,OR(O124="Sí",O124="Si")),1,0)</f>
        <v>0</v>
      </c>
      <c r="S124" s="62" t="n">
        <f aca="false">IF(AND(K124&gt;0,R124=0),1,0)</f>
        <v>0</v>
      </c>
    </row>
    <row r="125" customFormat="false" ht="15" hidden="false" customHeight="false" outlineLevel="0" collapsed="false">
      <c r="B125" s="71" t="str">
        <f aca="false">IF($F$6="Sí",N($C$11)+98,"")</f>
        <v/>
      </c>
      <c r="C125" s="72" t="str">
        <f aca="false">IF(OR($F$6&lt;&gt;"Sí",D125&lt;=0.5),"",EDATE($C$10,98))</f>
        <v/>
      </c>
      <c r="D125" s="41" t="n">
        <f aca="false">MAX(0,M124)</f>
        <v>0</v>
      </c>
      <c r="E125" s="41" t="n">
        <f aca="false">D125*$F$7</f>
        <v>0</v>
      </c>
      <c r="F125" s="41" t="n">
        <f aca="false">IF(D125&gt;0.5,N($C$15),0)</f>
        <v>0</v>
      </c>
      <c r="G125" s="41" t="n">
        <f aca="false">IF(AND(D125&gt;0.5,N($C$19)&gt;0,N(B125)&lt;=N($C$20)),D125*$F$8,0)</f>
        <v>0</v>
      </c>
      <c r="H125" s="41" t="n">
        <f aca="false">IF(D125&lt;=0.5,0,MIN(IF(N(I125)&gt;0,I125,$F$9),D125+E125+F125))</f>
        <v>0</v>
      </c>
      <c r="I125" s="77"/>
      <c r="J125" s="77"/>
      <c r="K125" s="41" t="n">
        <f aca="false">IF(D125&lt;=0.5,0,MIN(H125+N(J125),D125+E125+F125))</f>
        <v>0</v>
      </c>
      <c r="L125" s="41" t="n">
        <f aca="false">K125-E125-F125</f>
        <v>0</v>
      </c>
      <c r="M125" s="41" t="n">
        <f aca="false">D125-L125</f>
        <v>0</v>
      </c>
      <c r="N125" s="42" t="n">
        <f aca="false">K125-G125</f>
        <v>0</v>
      </c>
      <c r="O125" s="78"/>
      <c r="P125" s="79"/>
      <c r="Q125" s="16" t="str">
        <f aca="false">IF(K125=0,"",IF(R125=1,"Pagada",IF(C125&lt;$F$12,"Vencida",IF(99=$F$13,"Próxima","Pendiente"))))</f>
        <v/>
      </c>
      <c r="R125" s="62" t="n">
        <f aca="false">IF(AND(K125&gt;0,OR(O125="Sí",O125="Si")),1,0)</f>
        <v>0</v>
      </c>
      <c r="S125" s="62" t="n">
        <f aca="false">IF(AND(K125&gt;0,R125=0),1,0)</f>
        <v>0</v>
      </c>
    </row>
    <row r="126" customFormat="false" ht="15" hidden="false" customHeight="false" outlineLevel="0" collapsed="false">
      <c r="B126" s="71" t="str">
        <f aca="false">IF($F$6="Sí",N($C$11)+99,"")</f>
        <v/>
      </c>
      <c r="C126" s="72" t="str">
        <f aca="false">IF(OR($F$6&lt;&gt;"Sí",D126&lt;=0.5),"",EDATE($C$10,99))</f>
        <v/>
      </c>
      <c r="D126" s="41" t="n">
        <f aca="false">MAX(0,M125)</f>
        <v>0</v>
      </c>
      <c r="E126" s="41" t="n">
        <f aca="false">D126*$F$7</f>
        <v>0</v>
      </c>
      <c r="F126" s="41" t="n">
        <f aca="false">IF(D126&gt;0.5,N($C$15),0)</f>
        <v>0</v>
      </c>
      <c r="G126" s="41" t="n">
        <f aca="false">IF(AND(D126&gt;0.5,N($C$19)&gt;0,N(B126)&lt;=N($C$20)),D126*$F$8,0)</f>
        <v>0</v>
      </c>
      <c r="H126" s="41" t="n">
        <f aca="false">IF(D126&lt;=0.5,0,MIN(IF(N(I126)&gt;0,I126,$F$9),D126+E126+F126))</f>
        <v>0</v>
      </c>
      <c r="I126" s="77"/>
      <c r="J126" s="77"/>
      <c r="K126" s="41" t="n">
        <f aca="false">IF(D126&lt;=0.5,0,MIN(H126+N(J126),D126+E126+F126))</f>
        <v>0</v>
      </c>
      <c r="L126" s="41" t="n">
        <f aca="false">K126-E126-F126</f>
        <v>0</v>
      </c>
      <c r="M126" s="41" t="n">
        <f aca="false">D126-L126</f>
        <v>0</v>
      </c>
      <c r="N126" s="42" t="n">
        <f aca="false">K126-G126</f>
        <v>0</v>
      </c>
      <c r="O126" s="78"/>
      <c r="P126" s="79"/>
      <c r="Q126" s="16" t="str">
        <f aca="false">IF(K126=0,"",IF(R126=1,"Pagada",IF(C126&lt;$F$12,"Vencida",IF(100=$F$13,"Próxima","Pendiente"))))</f>
        <v/>
      </c>
      <c r="R126" s="62" t="n">
        <f aca="false">IF(AND(K126&gt;0,OR(O126="Sí",O126="Si")),1,0)</f>
        <v>0</v>
      </c>
      <c r="S126" s="62" t="n">
        <f aca="false">IF(AND(K126&gt;0,R126=0),1,0)</f>
        <v>0</v>
      </c>
    </row>
    <row r="127" customFormat="false" ht="15" hidden="false" customHeight="false" outlineLevel="0" collapsed="false">
      <c r="B127" s="71" t="str">
        <f aca="false">IF($F$6="Sí",N($C$11)+100,"")</f>
        <v/>
      </c>
      <c r="C127" s="72" t="str">
        <f aca="false">IF(OR($F$6&lt;&gt;"Sí",D127&lt;=0.5),"",EDATE($C$10,100))</f>
        <v/>
      </c>
      <c r="D127" s="41" t="n">
        <f aca="false">MAX(0,M126)</f>
        <v>0</v>
      </c>
      <c r="E127" s="41" t="n">
        <f aca="false">D127*$F$7</f>
        <v>0</v>
      </c>
      <c r="F127" s="41" t="n">
        <f aca="false">IF(D127&gt;0.5,N($C$15),0)</f>
        <v>0</v>
      </c>
      <c r="G127" s="41" t="n">
        <f aca="false">IF(AND(D127&gt;0.5,N($C$19)&gt;0,N(B127)&lt;=N($C$20)),D127*$F$8,0)</f>
        <v>0</v>
      </c>
      <c r="H127" s="41" t="n">
        <f aca="false">IF(D127&lt;=0.5,0,MIN(IF(N(I127)&gt;0,I127,$F$9),D127+E127+F127))</f>
        <v>0</v>
      </c>
      <c r="I127" s="77"/>
      <c r="J127" s="77"/>
      <c r="K127" s="41" t="n">
        <f aca="false">IF(D127&lt;=0.5,0,MIN(H127+N(J127),D127+E127+F127))</f>
        <v>0</v>
      </c>
      <c r="L127" s="41" t="n">
        <f aca="false">K127-E127-F127</f>
        <v>0</v>
      </c>
      <c r="M127" s="41" t="n">
        <f aca="false">D127-L127</f>
        <v>0</v>
      </c>
      <c r="N127" s="42" t="n">
        <f aca="false">K127-G127</f>
        <v>0</v>
      </c>
      <c r="O127" s="78"/>
      <c r="P127" s="79"/>
      <c r="Q127" s="16" t="str">
        <f aca="false">IF(K127=0,"",IF(R127=1,"Pagada",IF(C127&lt;$F$12,"Vencida",IF(101=$F$13,"Próxima","Pendiente"))))</f>
        <v/>
      </c>
      <c r="R127" s="62" t="n">
        <f aca="false">IF(AND(K127&gt;0,OR(O127="Sí",O127="Si")),1,0)</f>
        <v>0</v>
      </c>
      <c r="S127" s="62" t="n">
        <f aca="false">IF(AND(K127&gt;0,R127=0),1,0)</f>
        <v>0</v>
      </c>
    </row>
    <row r="128" customFormat="false" ht="15" hidden="false" customHeight="false" outlineLevel="0" collapsed="false">
      <c r="B128" s="71" t="str">
        <f aca="false">IF($F$6="Sí",N($C$11)+101,"")</f>
        <v/>
      </c>
      <c r="C128" s="72" t="str">
        <f aca="false">IF(OR($F$6&lt;&gt;"Sí",D128&lt;=0.5),"",EDATE($C$10,101))</f>
        <v/>
      </c>
      <c r="D128" s="41" t="n">
        <f aca="false">MAX(0,M127)</f>
        <v>0</v>
      </c>
      <c r="E128" s="41" t="n">
        <f aca="false">D128*$F$7</f>
        <v>0</v>
      </c>
      <c r="F128" s="41" t="n">
        <f aca="false">IF(D128&gt;0.5,N($C$15),0)</f>
        <v>0</v>
      </c>
      <c r="G128" s="41" t="n">
        <f aca="false">IF(AND(D128&gt;0.5,N($C$19)&gt;0,N(B128)&lt;=N($C$20)),D128*$F$8,0)</f>
        <v>0</v>
      </c>
      <c r="H128" s="41" t="n">
        <f aca="false">IF(D128&lt;=0.5,0,MIN(IF(N(I128)&gt;0,I128,$F$9),D128+E128+F128))</f>
        <v>0</v>
      </c>
      <c r="I128" s="77"/>
      <c r="J128" s="77"/>
      <c r="K128" s="41" t="n">
        <f aca="false">IF(D128&lt;=0.5,0,MIN(H128+N(J128),D128+E128+F128))</f>
        <v>0</v>
      </c>
      <c r="L128" s="41" t="n">
        <f aca="false">K128-E128-F128</f>
        <v>0</v>
      </c>
      <c r="M128" s="41" t="n">
        <f aca="false">D128-L128</f>
        <v>0</v>
      </c>
      <c r="N128" s="42" t="n">
        <f aca="false">K128-G128</f>
        <v>0</v>
      </c>
      <c r="O128" s="78"/>
      <c r="P128" s="79"/>
      <c r="Q128" s="16" t="str">
        <f aca="false">IF(K128=0,"",IF(R128=1,"Pagada",IF(C128&lt;$F$12,"Vencida",IF(102=$F$13,"Próxima","Pendiente"))))</f>
        <v/>
      </c>
      <c r="R128" s="62" t="n">
        <f aca="false">IF(AND(K128&gt;0,OR(O128="Sí",O128="Si")),1,0)</f>
        <v>0</v>
      </c>
      <c r="S128" s="62" t="n">
        <f aca="false">IF(AND(K128&gt;0,R128=0),1,0)</f>
        <v>0</v>
      </c>
    </row>
    <row r="129" customFormat="false" ht="15" hidden="false" customHeight="false" outlineLevel="0" collapsed="false">
      <c r="B129" s="71" t="str">
        <f aca="false">IF($F$6="Sí",N($C$11)+102,"")</f>
        <v/>
      </c>
      <c r="C129" s="72" t="str">
        <f aca="false">IF(OR($F$6&lt;&gt;"Sí",D129&lt;=0.5),"",EDATE($C$10,102))</f>
        <v/>
      </c>
      <c r="D129" s="41" t="n">
        <f aca="false">MAX(0,M128)</f>
        <v>0</v>
      </c>
      <c r="E129" s="41" t="n">
        <f aca="false">D129*$F$7</f>
        <v>0</v>
      </c>
      <c r="F129" s="41" t="n">
        <f aca="false">IF(D129&gt;0.5,N($C$15),0)</f>
        <v>0</v>
      </c>
      <c r="G129" s="41" t="n">
        <f aca="false">IF(AND(D129&gt;0.5,N($C$19)&gt;0,N(B129)&lt;=N($C$20)),D129*$F$8,0)</f>
        <v>0</v>
      </c>
      <c r="H129" s="41" t="n">
        <f aca="false">IF(D129&lt;=0.5,0,MIN(IF(N(I129)&gt;0,I129,$F$9),D129+E129+F129))</f>
        <v>0</v>
      </c>
      <c r="I129" s="77"/>
      <c r="J129" s="77"/>
      <c r="K129" s="41" t="n">
        <f aca="false">IF(D129&lt;=0.5,0,MIN(H129+N(J129),D129+E129+F129))</f>
        <v>0</v>
      </c>
      <c r="L129" s="41" t="n">
        <f aca="false">K129-E129-F129</f>
        <v>0</v>
      </c>
      <c r="M129" s="41" t="n">
        <f aca="false">D129-L129</f>
        <v>0</v>
      </c>
      <c r="N129" s="42" t="n">
        <f aca="false">K129-G129</f>
        <v>0</v>
      </c>
      <c r="O129" s="78"/>
      <c r="P129" s="79"/>
      <c r="Q129" s="16" t="str">
        <f aca="false">IF(K129=0,"",IF(R129=1,"Pagada",IF(C129&lt;$F$12,"Vencida",IF(103=$F$13,"Próxima","Pendiente"))))</f>
        <v/>
      </c>
      <c r="R129" s="62" t="n">
        <f aca="false">IF(AND(K129&gt;0,OR(O129="Sí",O129="Si")),1,0)</f>
        <v>0</v>
      </c>
      <c r="S129" s="62" t="n">
        <f aca="false">IF(AND(K129&gt;0,R129=0),1,0)</f>
        <v>0</v>
      </c>
    </row>
    <row r="130" customFormat="false" ht="15" hidden="false" customHeight="false" outlineLevel="0" collapsed="false">
      <c r="B130" s="71" t="str">
        <f aca="false">IF($F$6="Sí",N($C$11)+103,"")</f>
        <v/>
      </c>
      <c r="C130" s="72" t="str">
        <f aca="false">IF(OR($F$6&lt;&gt;"Sí",D130&lt;=0.5),"",EDATE($C$10,103))</f>
        <v/>
      </c>
      <c r="D130" s="41" t="n">
        <f aca="false">MAX(0,M129)</f>
        <v>0</v>
      </c>
      <c r="E130" s="41" t="n">
        <f aca="false">D130*$F$7</f>
        <v>0</v>
      </c>
      <c r="F130" s="41" t="n">
        <f aca="false">IF(D130&gt;0.5,N($C$15),0)</f>
        <v>0</v>
      </c>
      <c r="G130" s="41" t="n">
        <f aca="false">IF(AND(D130&gt;0.5,N($C$19)&gt;0,N(B130)&lt;=N($C$20)),D130*$F$8,0)</f>
        <v>0</v>
      </c>
      <c r="H130" s="41" t="n">
        <f aca="false">IF(D130&lt;=0.5,0,MIN(IF(N(I130)&gt;0,I130,$F$9),D130+E130+F130))</f>
        <v>0</v>
      </c>
      <c r="I130" s="77"/>
      <c r="J130" s="77"/>
      <c r="K130" s="41" t="n">
        <f aca="false">IF(D130&lt;=0.5,0,MIN(H130+N(J130),D130+E130+F130))</f>
        <v>0</v>
      </c>
      <c r="L130" s="41" t="n">
        <f aca="false">K130-E130-F130</f>
        <v>0</v>
      </c>
      <c r="M130" s="41" t="n">
        <f aca="false">D130-L130</f>
        <v>0</v>
      </c>
      <c r="N130" s="42" t="n">
        <f aca="false">K130-G130</f>
        <v>0</v>
      </c>
      <c r="O130" s="78"/>
      <c r="P130" s="79"/>
      <c r="Q130" s="16" t="str">
        <f aca="false">IF(K130=0,"",IF(R130=1,"Pagada",IF(C130&lt;$F$12,"Vencida",IF(104=$F$13,"Próxima","Pendiente"))))</f>
        <v/>
      </c>
      <c r="R130" s="62" t="n">
        <f aca="false">IF(AND(K130&gt;0,OR(O130="Sí",O130="Si")),1,0)</f>
        <v>0</v>
      </c>
      <c r="S130" s="62" t="n">
        <f aca="false">IF(AND(K130&gt;0,R130=0),1,0)</f>
        <v>0</v>
      </c>
    </row>
    <row r="131" customFormat="false" ht="15" hidden="false" customHeight="false" outlineLevel="0" collapsed="false">
      <c r="B131" s="71" t="str">
        <f aca="false">IF($F$6="Sí",N($C$11)+104,"")</f>
        <v/>
      </c>
      <c r="C131" s="72" t="str">
        <f aca="false">IF(OR($F$6&lt;&gt;"Sí",D131&lt;=0.5),"",EDATE($C$10,104))</f>
        <v/>
      </c>
      <c r="D131" s="41" t="n">
        <f aca="false">MAX(0,M130)</f>
        <v>0</v>
      </c>
      <c r="E131" s="41" t="n">
        <f aca="false">D131*$F$7</f>
        <v>0</v>
      </c>
      <c r="F131" s="41" t="n">
        <f aca="false">IF(D131&gt;0.5,N($C$15),0)</f>
        <v>0</v>
      </c>
      <c r="G131" s="41" t="n">
        <f aca="false">IF(AND(D131&gt;0.5,N($C$19)&gt;0,N(B131)&lt;=N($C$20)),D131*$F$8,0)</f>
        <v>0</v>
      </c>
      <c r="H131" s="41" t="n">
        <f aca="false">IF(D131&lt;=0.5,0,MIN(IF(N(I131)&gt;0,I131,$F$9),D131+E131+F131))</f>
        <v>0</v>
      </c>
      <c r="I131" s="77"/>
      <c r="J131" s="77"/>
      <c r="K131" s="41" t="n">
        <f aca="false">IF(D131&lt;=0.5,0,MIN(H131+N(J131),D131+E131+F131))</f>
        <v>0</v>
      </c>
      <c r="L131" s="41" t="n">
        <f aca="false">K131-E131-F131</f>
        <v>0</v>
      </c>
      <c r="M131" s="41" t="n">
        <f aca="false">D131-L131</f>
        <v>0</v>
      </c>
      <c r="N131" s="42" t="n">
        <f aca="false">K131-G131</f>
        <v>0</v>
      </c>
      <c r="O131" s="78"/>
      <c r="P131" s="79"/>
      <c r="Q131" s="16" t="str">
        <f aca="false">IF(K131=0,"",IF(R131=1,"Pagada",IF(C131&lt;$F$12,"Vencida",IF(105=$F$13,"Próxima","Pendiente"))))</f>
        <v/>
      </c>
      <c r="R131" s="62" t="n">
        <f aca="false">IF(AND(K131&gt;0,OR(O131="Sí",O131="Si")),1,0)</f>
        <v>0</v>
      </c>
      <c r="S131" s="62" t="n">
        <f aca="false">IF(AND(K131&gt;0,R131=0),1,0)</f>
        <v>0</v>
      </c>
    </row>
    <row r="132" customFormat="false" ht="15" hidden="false" customHeight="false" outlineLevel="0" collapsed="false">
      <c r="B132" s="71" t="str">
        <f aca="false">IF($F$6="Sí",N($C$11)+105,"")</f>
        <v/>
      </c>
      <c r="C132" s="72" t="str">
        <f aca="false">IF(OR($F$6&lt;&gt;"Sí",D132&lt;=0.5),"",EDATE($C$10,105))</f>
        <v/>
      </c>
      <c r="D132" s="41" t="n">
        <f aca="false">MAX(0,M131)</f>
        <v>0</v>
      </c>
      <c r="E132" s="41" t="n">
        <f aca="false">D132*$F$7</f>
        <v>0</v>
      </c>
      <c r="F132" s="41" t="n">
        <f aca="false">IF(D132&gt;0.5,N($C$15),0)</f>
        <v>0</v>
      </c>
      <c r="G132" s="41" t="n">
        <f aca="false">IF(AND(D132&gt;0.5,N($C$19)&gt;0,N(B132)&lt;=N($C$20)),D132*$F$8,0)</f>
        <v>0</v>
      </c>
      <c r="H132" s="41" t="n">
        <f aca="false">IF(D132&lt;=0.5,0,MIN(IF(N(I132)&gt;0,I132,$F$9),D132+E132+F132))</f>
        <v>0</v>
      </c>
      <c r="I132" s="77"/>
      <c r="J132" s="77"/>
      <c r="K132" s="41" t="n">
        <f aca="false">IF(D132&lt;=0.5,0,MIN(H132+N(J132),D132+E132+F132))</f>
        <v>0</v>
      </c>
      <c r="L132" s="41" t="n">
        <f aca="false">K132-E132-F132</f>
        <v>0</v>
      </c>
      <c r="M132" s="41" t="n">
        <f aca="false">D132-L132</f>
        <v>0</v>
      </c>
      <c r="N132" s="42" t="n">
        <f aca="false">K132-G132</f>
        <v>0</v>
      </c>
      <c r="O132" s="78"/>
      <c r="P132" s="79"/>
      <c r="Q132" s="16" t="str">
        <f aca="false">IF(K132=0,"",IF(R132=1,"Pagada",IF(C132&lt;$F$12,"Vencida",IF(106=$F$13,"Próxima","Pendiente"))))</f>
        <v/>
      </c>
      <c r="R132" s="62" t="n">
        <f aca="false">IF(AND(K132&gt;0,OR(O132="Sí",O132="Si")),1,0)</f>
        <v>0</v>
      </c>
      <c r="S132" s="62" t="n">
        <f aca="false">IF(AND(K132&gt;0,R132=0),1,0)</f>
        <v>0</v>
      </c>
    </row>
    <row r="133" customFormat="false" ht="15" hidden="false" customHeight="false" outlineLevel="0" collapsed="false">
      <c r="B133" s="71" t="str">
        <f aca="false">IF($F$6="Sí",N($C$11)+106,"")</f>
        <v/>
      </c>
      <c r="C133" s="72" t="str">
        <f aca="false">IF(OR($F$6&lt;&gt;"Sí",D133&lt;=0.5),"",EDATE($C$10,106))</f>
        <v/>
      </c>
      <c r="D133" s="41" t="n">
        <f aca="false">MAX(0,M132)</f>
        <v>0</v>
      </c>
      <c r="E133" s="41" t="n">
        <f aca="false">D133*$F$7</f>
        <v>0</v>
      </c>
      <c r="F133" s="41" t="n">
        <f aca="false">IF(D133&gt;0.5,N($C$15),0)</f>
        <v>0</v>
      </c>
      <c r="G133" s="41" t="n">
        <f aca="false">IF(AND(D133&gt;0.5,N($C$19)&gt;0,N(B133)&lt;=N($C$20)),D133*$F$8,0)</f>
        <v>0</v>
      </c>
      <c r="H133" s="41" t="n">
        <f aca="false">IF(D133&lt;=0.5,0,MIN(IF(N(I133)&gt;0,I133,$F$9),D133+E133+F133))</f>
        <v>0</v>
      </c>
      <c r="I133" s="77"/>
      <c r="J133" s="77"/>
      <c r="K133" s="41" t="n">
        <f aca="false">IF(D133&lt;=0.5,0,MIN(H133+N(J133),D133+E133+F133))</f>
        <v>0</v>
      </c>
      <c r="L133" s="41" t="n">
        <f aca="false">K133-E133-F133</f>
        <v>0</v>
      </c>
      <c r="M133" s="41" t="n">
        <f aca="false">D133-L133</f>
        <v>0</v>
      </c>
      <c r="N133" s="42" t="n">
        <f aca="false">K133-G133</f>
        <v>0</v>
      </c>
      <c r="O133" s="78"/>
      <c r="P133" s="79"/>
      <c r="Q133" s="16" t="str">
        <f aca="false">IF(K133=0,"",IF(R133=1,"Pagada",IF(C133&lt;$F$12,"Vencida",IF(107=$F$13,"Próxima","Pendiente"))))</f>
        <v/>
      </c>
      <c r="R133" s="62" t="n">
        <f aca="false">IF(AND(K133&gt;0,OR(O133="Sí",O133="Si")),1,0)</f>
        <v>0</v>
      </c>
      <c r="S133" s="62" t="n">
        <f aca="false">IF(AND(K133&gt;0,R133=0),1,0)</f>
        <v>0</v>
      </c>
    </row>
    <row r="134" customFormat="false" ht="15" hidden="false" customHeight="false" outlineLevel="0" collapsed="false">
      <c r="B134" s="71" t="str">
        <f aca="false">IF($F$6="Sí",N($C$11)+107,"")</f>
        <v/>
      </c>
      <c r="C134" s="72" t="str">
        <f aca="false">IF(OR($F$6&lt;&gt;"Sí",D134&lt;=0.5),"",EDATE($C$10,107))</f>
        <v/>
      </c>
      <c r="D134" s="41" t="n">
        <f aca="false">MAX(0,M133)</f>
        <v>0</v>
      </c>
      <c r="E134" s="41" t="n">
        <f aca="false">D134*$F$7</f>
        <v>0</v>
      </c>
      <c r="F134" s="41" t="n">
        <f aca="false">IF(D134&gt;0.5,N($C$15),0)</f>
        <v>0</v>
      </c>
      <c r="G134" s="41" t="n">
        <f aca="false">IF(AND(D134&gt;0.5,N($C$19)&gt;0,N(B134)&lt;=N($C$20)),D134*$F$8,0)</f>
        <v>0</v>
      </c>
      <c r="H134" s="41" t="n">
        <f aca="false">IF(D134&lt;=0.5,0,MIN(IF(N(I134)&gt;0,I134,$F$9),D134+E134+F134))</f>
        <v>0</v>
      </c>
      <c r="I134" s="77"/>
      <c r="J134" s="77"/>
      <c r="K134" s="41" t="n">
        <f aca="false">IF(D134&lt;=0.5,0,MIN(H134+N(J134),D134+E134+F134))</f>
        <v>0</v>
      </c>
      <c r="L134" s="41" t="n">
        <f aca="false">K134-E134-F134</f>
        <v>0</v>
      </c>
      <c r="M134" s="41" t="n">
        <f aca="false">D134-L134</f>
        <v>0</v>
      </c>
      <c r="N134" s="42" t="n">
        <f aca="false">K134-G134</f>
        <v>0</v>
      </c>
      <c r="O134" s="78"/>
      <c r="P134" s="79"/>
      <c r="Q134" s="16" t="str">
        <f aca="false">IF(K134=0,"",IF(R134=1,"Pagada",IF(C134&lt;$F$12,"Vencida",IF(108=$F$13,"Próxima","Pendiente"))))</f>
        <v/>
      </c>
      <c r="R134" s="62" t="n">
        <f aca="false">IF(AND(K134&gt;0,OR(O134="Sí",O134="Si")),1,0)</f>
        <v>0</v>
      </c>
      <c r="S134" s="62" t="n">
        <f aca="false">IF(AND(K134&gt;0,R134=0),1,0)</f>
        <v>0</v>
      </c>
    </row>
    <row r="135" customFormat="false" ht="15" hidden="false" customHeight="false" outlineLevel="0" collapsed="false">
      <c r="B135" s="71" t="str">
        <f aca="false">IF($F$6="Sí",N($C$11)+108,"")</f>
        <v/>
      </c>
      <c r="C135" s="72" t="str">
        <f aca="false">IF(OR($F$6&lt;&gt;"Sí",D135&lt;=0.5),"",EDATE($C$10,108))</f>
        <v/>
      </c>
      <c r="D135" s="41" t="n">
        <f aca="false">MAX(0,M134)</f>
        <v>0</v>
      </c>
      <c r="E135" s="41" t="n">
        <f aca="false">D135*$F$7</f>
        <v>0</v>
      </c>
      <c r="F135" s="41" t="n">
        <f aca="false">IF(D135&gt;0.5,N($C$15),0)</f>
        <v>0</v>
      </c>
      <c r="G135" s="41" t="n">
        <f aca="false">IF(AND(D135&gt;0.5,N($C$19)&gt;0,N(B135)&lt;=N($C$20)),D135*$F$8,0)</f>
        <v>0</v>
      </c>
      <c r="H135" s="41" t="n">
        <f aca="false">IF(D135&lt;=0.5,0,MIN(IF(N(I135)&gt;0,I135,$F$9),D135+E135+F135))</f>
        <v>0</v>
      </c>
      <c r="I135" s="77"/>
      <c r="J135" s="77"/>
      <c r="K135" s="41" t="n">
        <f aca="false">IF(D135&lt;=0.5,0,MIN(H135+N(J135),D135+E135+F135))</f>
        <v>0</v>
      </c>
      <c r="L135" s="41" t="n">
        <f aca="false">K135-E135-F135</f>
        <v>0</v>
      </c>
      <c r="M135" s="41" t="n">
        <f aca="false">D135-L135</f>
        <v>0</v>
      </c>
      <c r="N135" s="42" t="n">
        <f aca="false">K135-G135</f>
        <v>0</v>
      </c>
      <c r="O135" s="78"/>
      <c r="P135" s="79"/>
      <c r="Q135" s="16" t="str">
        <f aca="false">IF(K135=0,"",IF(R135=1,"Pagada",IF(C135&lt;$F$12,"Vencida",IF(109=$F$13,"Próxima","Pendiente"))))</f>
        <v/>
      </c>
      <c r="R135" s="62" t="n">
        <f aca="false">IF(AND(K135&gt;0,OR(O135="Sí",O135="Si")),1,0)</f>
        <v>0</v>
      </c>
      <c r="S135" s="62" t="n">
        <f aca="false">IF(AND(K135&gt;0,R135=0),1,0)</f>
        <v>0</v>
      </c>
    </row>
    <row r="136" customFormat="false" ht="15" hidden="false" customHeight="false" outlineLevel="0" collapsed="false">
      <c r="B136" s="71" t="str">
        <f aca="false">IF($F$6="Sí",N($C$11)+109,"")</f>
        <v/>
      </c>
      <c r="C136" s="72" t="str">
        <f aca="false">IF(OR($F$6&lt;&gt;"Sí",D136&lt;=0.5),"",EDATE($C$10,109))</f>
        <v/>
      </c>
      <c r="D136" s="41" t="n">
        <f aca="false">MAX(0,M135)</f>
        <v>0</v>
      </c>
      <c r="E136" s="41" t="n">
        <f aca="false">D136*$F$7</f>
        <v>0</v>
      </c>
      <c r="F136" s="41" t="n">
        <f aca="false">IF(D136&gt;0.5,N($C$15),0)</f>
        <v>0</v>
      </c>
      <c r="G136" s="41" t="n">
        <f aca="false">IF(AND(D136&gt;0.5,N($C$19)&gt;0,N(B136)&lt;=N($C$20)),D136*$F$8,0)</f>
        <v>0</v>
      </c>
      <c r="H136" s="41" t="n">
        <f aca="false">IF(D136&lt;=0.5,0,MIN(IF(N(I136)&gt;0,I136,$F$9),D136+E136+F136))</f>
        <v>0</v>
      </c>
      <c r="I136" s="77"/>
      <c r="J136" s="77"/>
      <c r="K136" s="41" t="n">
        <f aca="false">IF(D136&lt;=0.5,0,MIN(H136+N(J136),D136+E136+F136))</f>
        <v>0</v>
      </c>
      <c r="L136" s="41" t="n">
        <f aca="false">K136-E136-F136</f>
        <v>0</v>
      </c>
      <c r="M136" s="41" t="n">
        <f aca="false">D136-L136</f>
        <v>0</v>
      </c>
      <c r="N136" s="42" t="n">
        <f aca="false">K136-G136</f>
        <v>0</v>
      </c>
      <c r="O136" s="78"/>
      <c r="P136" s="79"/>
      <c r="Q136" s="16" t="str">
        <f aca="false">IF(K136=0,"",IF(R136=1,"Pagada",IF(C136&lt;$F$12,"Vencida",IF(110=$F$13,"Próxima","Pendiente"))))</f>
        <v/>
      </c>
      <c r="R136" s="62" t="n">
        <f aca="false">IF(AND(K136&gt;0,OR(O136="Sí",O136="Si")),1,0)</f>
        <v>0</v>
      </c>
      <c r="S136" s="62" t="n">
        <f aca="false">IF(AND(K136&gt;0,R136=0),1,0)</f>
        <v>0</v>
      </c>
    </row>
    <row r="137" customFormat="false" ht="15" hidden="false" customHeight="false" outlineLevel="0" collapsed="false">
      <c r="B137" s="71" t="str">
        <f aca="false">IF($F$6="Sí",N($C$11)+110,"")</f>
        <v/>
      </c>
      <c r="C137" s="72" t="str">
        <f aca="false">IF(OR($F$6&lt;&gt;"Sí",D137&lt;=0.5),"",EDATE($C$10,110))</f>
        <v/>
      </c>
      <c r="D137" s="41" t="n">
        <f aca="false">MAX(0,M136)</f>
        <v>0</v>
      </c>
      <c r="E137" s="41" t="n">
        <f aca="false">D137*$F$7</f>
        <v>0</v>
      </c>
      <c r="F137" s="41" t="n">
        <f aca="false">IF(D137&gt;0.5,N($C$15),0)</f>
        <v>0</v>
      </c>
      <c r="G137" s="41" t="n">
        <f aca="false">IF(AND(D137&gt;0.5,N($C$19)&gt;0,N(B137)&lt;=N($C$20)),D137*$F$8,0)</f>
        <v>0</v>
      </c>
      <c r="H137" s="41" t="n">
        <f aca="false">IF(D137&lt;=0.5,0,MIN(IF(N(I137)&gt;0,I137,$F$9),D137+E137+F137))</f>
        <v>0</v>
      </c>
      <c r="I137" s="77"/>
      <c r="J137" s="77"/>
      <c r="K137" s="41" t="n">
        <f aca="false">IF(D137&lt;=0.5,0,MIN(H137+N(J137),D137+E137+F137))</f>
        <v>0</v>
      </c>
      <c r="L137" s="41" t="n">
        <f aca="false">K137-E137-F137</f>
        <v>0</v>
      </c>
      <c r="M137" s="41" t="n">
        <f aca="false">D137-L137</f>
        <v>0</v>
      </c>
      <c r="N137" s="42" t="n">
        <f aca="false">K137-G137</f>
        <v>0</v>
      </c>
      <c r="O137" s="78"/>
      <c r="P137" s="79"/>
      <c r="Q137" s="16" t="str">
        <f aca="false">IF(K137=0,"",IF(R137=1,"Pagada",IF(C137&lt;$F$12,"Vencida",IF(111=$F$13,"Próxima","Pendiente"))))</f>
        <v/>
      </c>
      <c r="R137" s="62" t="n">
        <f aca="false">IF(AND(K137&gt;0,OR(O137="Sí",O137="Si")),1,0)</f>
        <v>0</v>
      </c>
      <c r="S137" s="62" t="n">
        <f aca="false">IF(AND(K137&gt;0,R137=0),1,0)</f>
        <v>0</v>
      </c>
    </row>
    <row r="138" customFormat="false" ht="15" hidden="false" customHeight="false" outlineLevel="0" collapsed="false">
      <c r="B138" s="71" t="str">
        <f aca="false">IF($F$6="Sí",N($C$11)+111,"")</f>
        <v/>
      </c>
      <c r="C138" s="72" t="str">
        <f aca="false">IF(OR($F$6&lt;&gt;"Sí",D138&lt;=0.5),"",EDATE($C$10,111))</f>
        <v/>
      </c>
      <c r="D138" s="41" t="n">
        <f aca="false">MAX(0,M137)</f>
        <v>0</v>
      </c>
      <c r="E138" s="41" t="n">
        <f aca="false">D138*$F$7</f>
        <v>0</v>
      </c>
      <c r="F138" s="41" t="n">
        <f aca="false">IF(D138&gt;0.5,N($C$15),0)</f>
        <v>0</v>
      </c>
      <c r="G138" s="41" t="n">
        <f aca="false">IF(AND(D138&gt;0.5,N($C$19)&gt;0,N(B138)&lt;=N($C$20)),D138*$F$8,0)</f>
        <v>0</v>
      </c>
      <c r="H138" s="41" t="n">
        <f aca="false">IF(D138&lt;=0.5,0,MIN(IF(N(I138)&gt;0,I138,$F$9),D138+E138+F138))</f>
        <v>0</v>
      </c>
      <c r="I138" s="77"/>
      <c r="J138" s="77"/>
      <c r="K138" s="41" t="n">
        <f aca="false">IF(D138&lt;=0.5,0,MIN(H138+N(J138),D138+E138+F138))</f>
        <v>0</v>
      </c>
      <c r="L138" s="41" t="n">
        <f aca="false">K138-E138-F138</f>
        <v>0</v>
      </c>
      <c r="M138" s="41" t="n">
        <f aca="false">D138-L138</f>
        <v>0</v>
      </c>
      <c r="N138" s="42" t="n">
        <f aca="false">K138-G138</f>
        <v>0</v>
      </c>
      <c r="O138" s="78"/>
      <c r="P138" s="79"/>
      <c r="Q138" s="16" t="str">
        <f aca="false">IF(K138=0,"",IF(R138=1,"Pagada",IF(C138&lt;$F$12,"Vencida",IF(112=$F$13,"Próxima","Pendiente"))))</f>
        <v/>
      </c>
      <c r="R138" s="62" t="n">
        <f aca="false">IF(AND(K138&gt;0,OR(O138="Sí",O138="Si")),1,0)</f>
        <v>0</v>
      </c>
      <c r="S138" s="62" t="n">
        <f aca="false">IF(AND(K138&gt;0,R138=0),1,0)</f>
        <v>0</v>
      </c>
    </row>
    <row r="139" customFormat="false" ht="15" hidden="false" customHeight="false" outlineLevel="0" collapsed="false">
      <c r="B139" s="71" t="str">
        <f aca="false">IF($F$6="Sí",N($C$11)+112,"")</f>
        <v/>
      </c>
      <c r="C139" s="72" t="str">
        <f aca="false">IF(OR($F$6&lt;&gt;"Sí",D139&lt;=0.5),"",EDATE($C$10,112))</f>
        <v/>
      </c>
      <c r="D139" s="41" t="n">
        <f aca="false">MAX(0,M138)</f>
        <v>0</v>
      </c>
      <c r="E139" s="41" t="n">
        <f aca="false">D139*$F$7</f>
        <v>0</v>
      </c>
      <c r="F139" s="41" t="n">
        <f aca="false">IF(D139&gt;0.5,N($C$15),0)</f>
        <v>0</v>
      </c>
      <c r="G139" s="41" t="n">
        <f aca="false">IF(AND(D139&gt;0.5,N($C$19)&gt;0,N(B139)&lt;=N($C$20)),D139*$F$8,0)</f>
        <v>0</v>
      </c>
      <c r="H139" s="41" t="n">
        <f aca="false">IF(D139&lt;=0.5,0,MIN(IF(N(I139)&gt;0,I139,$F$9),D139+E139+F139))</f>
        <v>0</v>
      </c>
      <c r="I139" s="77"/>
      <c r="J139" s="77"/>
      <c r="K139" s="41" t="n">
        <f aca="false">IF(D139&lt;=0.5,0,MIN(H139+N(J139),D139+E139+F139))</f>
        <v>0</v>
      </c>
      <c r="L139" s="41" t="n">
        <f aca="false">K139-E139-F139</f>
        <v>0</v>
      </c>
      <c r="M139" s="41" t="n">
        <f aca="false">D139-L139</f>
        <v>0</v>
      </c>
      <c r="N139" s="42" t="n">
        <f aca="false">K139-G139</f>
        <v>0</v>
      </c>
      <c r="O139" s="78"/>
      <c r="P139" s="79"/>
      <c r="Q139" s="16" t="str">
        <f aca="false">IF(K139=0,"",IF(R139=1,"Pagada",IF(C139&lt;$F$12,"Vencida",IF(113=$F$13,"Próxima","Pendiente"))))</f>
        <v/>
      </c>
      <c r="R139" s="62" t="n">
        <f aca="false">IF(AND(K139&gt;0,OR(O139="Sí",O139="Si")),1,0)</f>
        <v>0</v>
      </c>
      <c r="S139" s="62" t="n">
        <f aca="false">IF(AND(K139&gt;0,R139=0),1,0)</f>
        <v>0</v>
      </c>
    </row>
    <row r="140" customFormat="false" ht="15" hidden="false" customHeight="false" outlineLevel="0" collapsed="false">
      <c r="B140" s="71" t="str">
        <f aca="false">IF($F$6="Sí",N($C$11)+113,"")</f>
        <v/>
      </c>
      <c r="C140" s="72" t="str">
        <f aca="false">IF(OR($F$6&lt;&gt;"Sí",D140&lt;=0.5),"",EDATE($C$10,113))</f>
        <v/>
      </c>
      <c r="D140" s="41" t="n">
        <f aca="false">MAX(0,M139)</f>
        <v>0</v>
      </c>
      <c r="E140" s="41" t="n">
        <f aca="false">D140*$F$7</f>
        <v>0</v>
      </c>
      <c r="F140" s="41" t="n">
        <f aca="false">IF(D140&gt;0.5,N($C$15),0)</f>
        <v>0</v>
      </c>
      <c r="G140" s="41" t="n">
        <f aca="false">IF(AND(D140&gt;0.5,N($C$19)&gt;0,N(B140)&lt;=N($C$20)),D140*$F$8,0)</f>
        <v>0</v>
      </c>
      <c r="H140" s="41" t="n">
        <f aca="false">IF(D140&lt;=0.5,0,MIN(IF(N(I140)&gt;0,I140,$F$9),D140+E140+F140))</f>
        <v>0</v>
      </c>
      <c r="I140" s="77"/>
      <c r="J140" s="77"/>
      <c r="K140" s="41" t="n">
        <f aca="false">IF(D140&lt;=0.5,0,MIN(H140+N(J140),D140+E140+F140))</f>
        <v>0</v>
      </c>
      <c r="L140" s="41" t="n">
        <f aca="false">K140-E140-F140</f>
        <v>0</v>
      </c>
      <c r="M140" s="41" t="n">
        <f aca="false">D140-L140</f>
        <v>0</v>
      </c>
      <c r="N140" s="42" t="n">
        <f aca="false">K140-G140</f>
        <v>0</v>
      </c>
      <c r="O140" s="78"/>
      <c r="P140" s="79"/>
      <c r="Q140" s="16" t="str">
        <f aca="false">IF(K140=0,"",IF(R140=1,"Pagada",IF(C140&lt;$F$12,"Vencida",IF(114=$F$13,"Próxima","Pendiente"))))</f>
        <v/>
      </c>
      <c r="R140" s="62" t="n">
        <f aca="false">IF(AND(K140&gt;0,OR(O140="Sí",O140="Si")),1,0)</f>
        <v>0</v>
      </c>
      <c r="S140" s="62" t="n">
        <f aca="false">IF(AND(K140&gt;0,R140=0),1,0)</f>
        <v>0</v>
      </c>
    </row>
    <row r="141" customFormat="false" ht="15" hidden="false" customHeight="false" outlineLevel="0" collapsed="false">
      <c r="B141" s="71" t="str">
        <f aca="false">IF($F$6="Sí",N($C$11)+114,"")</f>
        <v/>
      </c>
      <c r="C141" s="72" t="str">
        <f aca="false">IF(OR($F$6&lt;&gt;"Sí",D141&lt;=0.5),"",EDATE($C$10,114))</f>
        <v/>
      </c>
      <c r="D141" s="41" t="n">
        <f aca="false">MAX(0,M140)</f>
        <v>0</v>
      </c>
      <c r="E141" s="41" t="n">
        <f aca="false">D141*$F$7</f>
        <v>0</v>
      </c>
      <c r="F141" s="41" t="n">
        <f aca="false">IF(D141&gt;0.5,N($C$15),0)</f>
        <v>0</v>
      </c>
      <c r="G141" s="41" t="n">
        <f aca="false">IF(AND(D141&gt;0.5,N($C$19)&gt;0,N(B141)&lt;=N($C$20)),D141*$F$8,0)</f>
        <v>0</v>
      </c>
      <c r="H141" s="41" t="n">
        <f aca="false">IF(D141&lt;=0.5,0,MIN(IF(N(I141)&gt;0,I141,$F$9),D141+E141+F141))</f>
        <v>0</v>
      </c>
      <c r="I141" s="77"/>
      <c r="J141" s="77"/>
      <c r="K141" s="41" t="n">
        <f aca="false">IF(D141&lt;=0.5,0,MIN(H141+N(J141),D141+E141+F141))</f>
        <v>0</v>
      </c>
      <c r="L141" s="41" t="n">
        <f aca="false">K141-E141-F141</f>
        <v>0</v>
      </c>
      <c r="M141" s="41" t="n">
        <f aca="false">D141-L141</f>
        <v>0</v>
      </c>
      <c r="N141" s="42" t="n">
        <f aca="false">K141-G141</f>
        <v>0</v>
      </c>
      <c r="O141" s="78"/>
      <c r="P141" s="79"/>
      <c r="Q141" s="16" t="str">
        <f aca="false">IF(K141=0,"",IF(R141=1,"Pagada",IF(C141&lt;$F$12,"Vencida",IF(115=$F$13,"Próxima","Pendiente"))))</f>
        <v/>
      </c>
      <c r="R141" s="62" t="n">
        <f aca="false">IF(AND(K141&gt;0,OR(O141="Sí",O141="Si")),1,0)</f>
        <v>0</v>
      </c>
      <c r="S141" s="62" t="n">
        <f aca="false">IF(AND(K141&gt;0,R141=0),1,0)</f>
        <v>0</v>
      </c>
    </row>
    <row r="142" customFormat="false" ht="15" hidden="false" customHeight="false" outlineLevel="0" collapsed="false">
      <c r="B142" s="71" t="str">
        <f aca="false">IF($F$6="Sí",N($C$11)+115,"")</f>
        <v/>
      </c>
      <c r="C142" s="72" t="str">
        <f aca="false">IF(OR($F$6&lt;&gt;"Sí",D142&lt;=0.5),"",EDATE($C$10,115))</f>
        <v/>
      </c>
      <c r="D142" s="41" t="n">
        <f aca="false">MAX(0,M141)</f>
        <v>0</v>
      </c>
      <c r="E142" s="41" t="n">
        <f aca="false">D142*$F$7</f>
        <v>0</v>
      </c>
      <c r="F142" s="41" t="n">
        <f aca="false">IF(D142&gt;0.5,N($C$15),0)</f>
        <v>0</v>
      </c>
      <c r="G142" s="41" t="n">
        <f aca="false">IF(AND(D142&gt;0.5,N($C$19)&gt;0,N(B142)&lt;=N($C$20)),D142*$F$8,0)</f>
        <v>0</v>
      </c>
      <c r="H142" s="41" t="n">
        <f aca="false">IF(D142&lt;=0.5,0,MIN(IF(N(I142)&gt;0,I142,$F$9),D142+E142+F142))</f>
        <v>0</v>
      </c>
      <c r="I142" s="77"/>
      <c r="J142" s="77"/>
      <c r="K142" s="41" t="n">
        <f aca="false">IF(D142&lt;=0.5,0,MIN(H142+N(J142),D142+E142+F142))</f>
        <v>0</v>
      </c>
      <c r="L142" s="41" t="n">
        <f aca="false">K142-E142-F142</f>
        <v>0</v>
      </c>
      <c r="M142" s="41" t="n">
        <f aca="false">D142-L142</f>
        <v>0</v>
      </c>
      <c r="N142" s="42" t="n">
        <f aca="false">K142-G142</f>
        <v>0</v>
      </c>
      <c r="O142" s="78"/>
      <c r="P142" s="79"/>
      <c r="Q142" s="16" t="str">
        <f aca="false">IF(K142=0,"",IF(R142=1,"Pagada",IF(C142&lt;$F$12,"Vencida",IF(116=$F$13,"Próxima","Pendiente"))))</f>
        <v/>
      </c>
      <c r="R142" s="62" t="n">
        <f aca="false">IF(AND(K142&gt;0,OR(O142="Sí",O142="Si")),1,0)</f>
        <v>0</v>
      </c>
      <c r="S142" s="62" t="n">
        <f aca="false">IF(AND(K142&gt;0,R142=0),1,0)</f>
        <v>0</v>
      </c>
    </row>
    <row r="143" customFormat="false" ht="15" hidden="false" customHeight="false" outlineLevel="0" collapsed="false">
      <c r="B143" s="71" t="str">
        <f aca="false">IF($F$6="Sí",N($C$11)+116,"")</f>
        <v/>
      </c>
      <c r="C143" s="72" t="str">
        <f aca="false">IF(OR($F$6&lt;&gt;"Sí",D143&lt;=0.5),"",EDATE($C$10,116))</f>
        <v/>
      </c>
      <c r="D143" s="41" t="n">
        <f aca="false">MAX(0,M142)</f>
        <v>0</v>
      </c>
      <c r="E143" s="41" t="n">
        <f aca="false">D143*$F$7</f>
        <v>0</v>
      </c>
      <c r="F143" s="41" t="n">
        <f aca="false">IF(D143&gt;0.5,N($C$15),0)</f>
        <v>0</v>
      </c>
      <c r="G143" s="41" t="n">
        <f aca="false">IF(AND(D143&gt;0.5,N($C$19)&gt;0,N(B143)&lt;=N($C$20)),D143*$F$8,0)</f>
        <v>0</v>
      </c>
      <c r="H143" s="41" t="n">
        <f aca="false">IF(D143&lt;=0.5,0,MIN(IF(N(I143)&gt;0,I143,$F$9),D143+E143+F143))</f>
        <v>0</v>
      </c>
      <c r="I143" s="77"/>
      <c r="J143" s="77"/>
      <c r="K143" s="41" t="n">
        <f aca="false">IF(D143&lt;=0.5,0,MIN(H143+N(J143),D143+E143+F143))</f>
        <v>0</v>
      </c>
      <c r="L143" s="41" t="n">
        <f aca="false">K143-E143-F143</f>
        <v>0</v>
      </c>
      <c r="M143" s="41" t="n">
        <f aca="false">D143-L143</f>
        <v>0</v>
      </c>
      <c r="N143" s="42" t="n">
        <f aca="false">K143-G143</f>
        <v>0</v>
      </c>
      <c r="O143" s="78"/>
      <c r="P143" s="79"/>
      <c r="Q143" s="16" t="str">
        <f aca="false">IF(K143=0,"",IF(R143=1,"Pagada",IF(C143&lt;$F$12,"Vencida",IF(117=$F$13,"Próxima","Pendiente"))))</f>
        <v/>
      </c>
      <c r="R143" s="62" t="n">
        <f aca="false">IF(AND(K143&gt;0,OR(O143="Sí",O143="Si")),1,0)</f>
        <v>0</v>
      </c>
      <c r="S143" s="62" t="n">
        <f aca="false">IF(AND(K143&gt;0,R143=0),1,0)</f>
        <v>0</v>
      </c>
    </row>
    <row r="144" customFormat="false" ht="15" hidden="false" customHeight="false" outlineLevel="0" collapsed="false">
      <c r="B144" s="71" t="str">
        <f aca="false">IF($F$6="Sí",N($C$11)+117,"")</f>
        <v/>
      </c>
      <c r="C144" s="72" t="str">
        <f aca="false">IF(OR($F$6&lt;&gt;"Sí",D144&lt;=0.5),"",EDATE($C$10,117))</f>
        <v/>
      </c>
      <c r="D144" s="41" t="n">
        <f aca="false">MAX(0,M143)</f>
        <v>0</v>
      </c>
      <c r="E144" s="41" t="n">
        <f aca="false">D144*$F$7</f>
        <v>0</v>
      </c>
      <c r="F144" s="41" t="n">
        <f aca="false">IF(D144&gt;0.5,N($C$15),0)</f>
        <v>0</v>
      </c>
      <c r="G144" s="41" t="n">
        <f aca="false">IF(AND(D144&gt;0.5,N($C$19)&gt;0,N(B144)&lt;=N($C$20)),D144*$F$8,0)</f>
        <v>0</v>
      </c>
      <c r="H144" s="41" t="n">
        <f aca="false">IF(D144&lt;=0.5,0,MIN(IF(N(I144)&gt;0,I144,$F$9),D144+E144+F144))</f>
        <v>0</v>
      </c>
      <c r="I144" s="77"/>
      <c r="J144" s="77"/>
      <c r="K144" s="41" t="n">
        <f aca="false">IF(D144&lt;=0.5,0,MIN(H144+N(J144),D144+E144+F144))</f>
        <v>0</v>
      </c>
      <c r="L144" s="41" t="n">
        <f aca="false">K144-E144-F144</f>
        <v>0</v>
      </c>
      <c r="M144" s="41" t="n">
        <f aca="false">D144-L144</f>
        <v>0</v>
      </c>
      <c r="N144" s="42" t="n">
        <f aca="false">K144-G144</f>
        <v>0</v>
      </c>
      <c r="O144" s="78"/>
      <c r="P144" s="79"/>
      <c r="Q144" s="16" t="str">
        <f aca="false">IF(K144=0,"",IF(R144=1,"Pagada",IF(C144&lt;$F$12,"Vencida",IF(118=$F$13,"Próxima","Pendiente"))))</f>
        <v/>
      </c>
      <c r="R144" s="62" t="n">
        <f aca="false">IF(AND(K144&gt;0,OR(O144="Sí",O144="Si")),1,0)</f>
        <v>0</v>
      </c>
      <c r="S144" s="62" t="n">
        <f aca="false">IF(AND(K144&gt;0,R144=0),1,0)</f>
        <v>0</v>
      </c>
    </row>
    <row r="145" customFormat="false" ht="15" hidden="false" customHeight="false" outlineLevel="0" collapsed="false">
      <c r="B145" s="71" t="str">
        <f aca="false">IF($F$6="Sí",N($C$11)+118,"")</f>
        <v/>
      </c>
      <c r="C145" s="72" t="str">
        <f aca="false">IF(OR($F$6&lt;&gt;"Sí",D145&lt;=0.5),"",EDATE($C$10,118))</f>
        <v/>
      </c>
      <c r="D145" s="41" t="n">
        <f aca="false">MAX(0,M144)</f>
        <v>0</v>
      </c>
      <c r="E145" s="41" t="n">
        <f aca="false">D145*$F$7</f>
        <v>0</v>
      </c>
      <c r="F145" s="41" t="n">
        <f aca="false">IF(D145&gt;0.5,N($C$15),0)</f>
        <v>0</v>
      </c>
      <c r="G145" s="41" t="n">
        <f aca="false">IF(AND(D145&gt;0.5,N($C$19)&gt;0,N(B145)&lt;=N($C$20)),D145*$F$8,0)</f>
        <v>0</v>
      </c>
      <c r="H145" s="41" t="n">
        <f aca="false">IF(D145&lt;=0.5,0,MIN(IF(N(I145)&gt;0,I145,$F$9),D145+E145+F145))</f>
        <v>0</v>
      </c>
      <c r="I145" s="77"/>
      <c r="J145" s="77"/>
      <c r="K145" s="41" t="n">
        <f aca="false">IF(D145&lt;=0.5,0,MIN(H145+N(J145),D145+E145+F145))</f>
        <v>0</v>
      </c>
      <c r="L145" s="41" t="n">
        <f aca="false">K145-E145-F145</f>
        <v>0</v>
      </c>
      <c r="M145" s="41" t="n">
        <f aca="false">D145-L145</f>
        <v>0</v>
      </c>
      <c r="N145" s="42" t="n">
        <f aca="false">K145-G145</f>
        <v>0</v>
      </c>
      <c r="O145" s="78"/>
      <c r="P145" s="79"/>
      <c r="Q145" s="16" t="str">
        <f aca="false">IF(K145=0,"",IF(R145=1,"Pagada",IF(C145&lt;$F$12,"Vencida",IF(119=$F$13,"Próxima","Pendiente"))))</f>
        <v/>
      </c>
      <c r="R145" s="62" t="n">
        <f aca="false">IF(AND(K145&gt;0,OR(O145="Sí",O145="Si")),1,0)</f>
        <v>0</v>
      </c>
      <c r="S145" s="62" t="n">
        <f aca="false">IF(AND(K145&gt;0,R145=0),1,0)</f>
        <v>0</v>
      </c>
    </row>
    <row r="146" customFormat="false" ht="15" hidden="false" customHeight="false" outlineLevel="0" collapsed="false">
      <c r="B146" s="71" t="str">
        <f aca="false">IF($F$6="Sí",N($C$11)+119,"")</f>
        <v/>
      </c>
      <c r="C146" s="72" t="str">
        <f aca="false">IF(OR($F$6&lt;&gt;"Sí",D146&lt;=0.5),"",EDATE($C$10,119))</f>
        <v/>
      </c>
      <c r="D146" s="41" t="n">
        <f aca="false">MAX(0,M145)</f>
        <v>0</v>
      </c>
      <c r="E146" s="41" t="n">
        <f aca="false">D146*$F$7</f>
        <v>0</v>
      </c>
      <c r="F146" s="41" t="n">
        <f aca="false">IF(D146&gt;0.5,N($C$15),0)</f>
        <v>0</v>
      </c>
      <c r="G146" s="41" t="n">
        <f aca="false">IF(AND(D146&gt;0.5,N($C$19)&gt;0,N(B146)&lt;=N($C$20)),D146*$F$8,0)</f>
        <v>0</v>
      </c>
      <c r="H146" s="41" t="n">
        <f aca="false">IF(D146&lt;=0.5,0,MIN(IF(N(I146)&gt;0,I146,$F$9),D146+E146+F146))</f>
        <v>0</v>
      </c>
      <c r="I146" s="77"/>
      <c r="J146" s="77"/>
      <c r="K146" s="41" t="n">
        <f aca="false">IF(D146&lt;=0.5,0,MIN(H146+N(J146),D146+E146+F146))</f>
        <v>0</v>
      </c>
      <c r="L146" s="41" t="n">
        <f aca="false">K146-E146-F146</f>
        <v>0</v>
      </c>
      <c r="M146" s="41" t="n">
        <f aca="false">D146-L146</f>
        <v>0</v>
      </c>
      <c r="N146" s="42" t="n">
        <f aca="false">K146-G146</f>
        <v>0</v>
      </c>
      <c r="O146" s="78"/>
      <c r="P146" s="79"/>
      <c r="Q146" s="16" t="str">
        <f aca="false">IF(K146=0,"",IF(R146=1,"Pagada",IF(C146&lt;$F$12,"Vencida",IF(120=$F$13,"Próxima","Pendiente"))))</f>
        <v/>
      </c>
      <c r="R146" s="62" t="n">
        <f aca="false">IF(AND(K146&gt;0,OR(O146="Sí",O146="Si")),1,0)</f>
        <v>0</v>
      </c>
      <c r="S146" s="62" t="n">
        <f aca="false">IF(AND(K146&gt;0,R146=0),1,0)</f>
        <v>0</v>
      </c>
    </row>
    <row r="147" customFormat="false" ht="15" hidden="false" customHeight="false" outlineLevel="0" collapsed="false">
      <c r="B147" s="71" t="str">
        <f aca="false">IF($F$6="Sí",N($C$11)+120,"")</f>
        <v/>
      </c>
      <c r="C147" s="72" t="str">
        <f aca="false">IF(OR($F$6&lt;&gt;"Sí",D147&lt;=0.5),"",EDATE($C$10,120))</f>
        <v/>
      </c>
      <c r="D147" s="41" t="n">
        <f aca="false">MAX(0,M146)</f>
        <v>0</v>
      </c>
      <c r="E147" s="41" t="n">
        <f aca="false">D147*$F$7</f>
        <v>0</v>
      </c>
      <c r="F147" s="41" t="n">
        <f aca="false">IF(D147&gt;0.5,N($C$15),0)</f>
        <v>0</v>
      </c>
      <c r="G147" s="41" t="n">
        <f aca="false">IF(AND(D147&gt;0.5,N($C$19)&gt;0,N(B147)&lt;=N($C$20)),D147*$F$8,0)</f>
        <v>0</v>
      </c>
      <c r="H147" s="41" t="n">
        <f aca="false">IF(D147&lt;=0.5,0,MIN(IF(N(I147)&gt;0,I147,$F$9),D147+E147+F147))</f>
        <v>0</v>
      </c>
      <c r="I147" s="77"/>
      <c r="J147" s="77"/>
      <c r="K147" s="41" t="n">
        <f aca="false">IF(D147&lt;=0.5,0,MIN(H147+N(J147),D147+E147+F147))</f>
        <v>0</v>
      </c>
      <c r="L147" s="41" t="n">
        <f aca="false">K147-E147-F147</f>
        <v>0</v>
      </c>
      <c r="M147" s="41" t="n">
        <f aca="false">D147-L147</f>
        <v>0</v>
      </c>
      <c r="N147" s="42" t="n">
        <f aca="false">K147-G147</f>
        <v>0</v>
      </c>
      <c r="O147" s="78"/>
      <c r="P147" s="79"/>
      <c r="Q147" s="16" t="str">
        <f aca="false">IF(K147=0,"",IF(R147=1,"Pagada",IF(C147&lt;$F$12,"Vencida",IF(121=$F$13,"Próxima","Pendiente"))))</f>
        <v/>
      </c>
      <c r="R147" s="62" t="n">
        <f aca="false">IF(AND(K147&gt;0,OR(O147="Sí",O147="Si")),1,0)</f>
        <v>0</v>
      </c>
      <c r="S147" s="62" t="n">
        <f aca="false">IF(AND(K147&gt;0,R147=0),1,0)</f>
        <v>0</v>
      </c>
    </row>
    <row r="148" customFormat="false" ht="15" hidden="false" customHeight="false" outlineLevel="0" collapsed="false">
      <c r="B148" s="71" t="str">
        <f aca="false">IF($F$6="Sí",N($C$11)+121,"")</f>
        <v/>
      </c>
      <c r="C148" s="72" t="str">
        <f aca="false">IF(OR($F$6&lt;&gt;"Sí",D148&lt;=0.5),"",EDATE($C$10,121))</f>
        <v/>
      </c>
      <c r="D148" s="41" t="n">
        <f aca="false">MAX(0,M147)</f>
        <v>0</v>
      </c>
      <c r="E148" s="41" t="n">
        <f aca="false">D148*$F$7</f>
        <v>0</v>
      </c>
      <c r="F148" s="41" t="n">
        <f aca="false">IF(D148&gt;0.5,N($C$15),0)</f>
        <v>0</v>
      </c>
      <c r="G148" s="41" t="n">
        <f aca="false">IF(AND(D148&gt;0.5,N($C$19)&gt;0,N(B148)&lt;=N($C$20)),D148*$F$8,0)</f>
        <v>0</v>
      </c>
      <c r="H148" s="41" t="n">
        <f aca="false">IF(D148&lt;=0.5,0,MIN(IF(N(I148)&gt;0,I148,$F$9),D148+E148+F148))</f>
        <v>0</v>
      </c>
      <c r="I148" s="77"/>
      <c r="J148" s="77"/>
      <c r="K148" s="41" t="n">
        <f aca="false">IF(D148&lt;=0.5,0,MIN(H148+N(J148),D148+E148+F148))</f>
        <v>0</v>
      </c>
      <c r="L148" s="41" t="n">
        <f aca="false">K148-E148-F148</f>
        <v>0</v>
      </c>
      <c r="M148" s="41" t="n">
        <f aca="false">D148-L148</f>
        <v>0</v>
      </c>
      <c r="N148" s="42" t="n">
        <f aca="false">K148-G148</f>
        <v>0</v>
      </c>
      <c r="O148" s="78"/>
      <c r="P148" s="79"/>
      <c r="Q148" s="16" t="str">
        <f aca="false">IF(K148=0,"",IF(R148=1,"Pagada",IF(C148&lt;$F$12,"Vencida",IF(122=$F$13,"Próxima","Pendiente"))))</f>
        <v/>
      </c>
      <c r="R148" s="62" t="n">
        <f aca="false">IF(AND(K148&gt;0,OR(O148="Sí",O148="Si")),1,0)</f>
        <v>0</v>
      </c>
      <c r="S148" s="62" t="n">
        <f aca="false">IF(AND(K148&gt;0,R148=0),1,0)</f>
        <v>0</v>
      </c>
    </row>
    <row r="149" customFormat="false" ht="15" hidden="false" customHeight="false" outlineLevel="0" collapsed="false">
      <c r="B149" s="71" t="str">
        <f aca="false">IF($F$6="Sí",N($C$11)+122,"")</f>
        <v/>
      </c>
      <c r="C149" s="72" t="str">
        <f aca="false">IF(OR($F$6&lt;&gt;"Sí",D149&lt;=0.5),"",EDATE($C$10,122))</f>
        <v/>
      </c>
      <c r="D149" s="41" t="n">
        <f aca="false">MAX(0,M148)</f>
        <v>0</v>
      </c>
      <c r="E149" s="41" t="n">
        <f aca="false">D149*$F$7</f>
        <v>0</v>
      </c>
      <c r="F149" s="41" t="n">
        <f aca="false">IF(D149&gt;0.5,N($C$15),0)</f>
        <v>0</v>
      </c>
      <c r="G149" s="41" t="n">
        <f aca="false">IF(AND(D149&gt;0.5,N($C$19)&gt;0,N(B149)&lt;=N($C$20)),D149*$F$8,0)</f>
        <v>0</v>
      </c>
      <c r="H149" s="41" t="n">
        <f aca="false">IF(D149&lt;=0.5,0,MIN(IF(N(I149)&gt;0,I149,$F$9),D149+E149+F149))</f>
        <v>0</v>
      </c>
      <c r="I149" s="77"/>
      <c r="J149" s="77"/>
      <c r="K149" s="41" t="n">
        <f aca="false">IF(D149&lt;=0.5,0,MIN(H149+N(J149),D149+E149+F149))</f>
        <v>0</v>
      </c>
      <c r="L149" s="41" t="n">
        <f aca="false">K149-E149-F149</f>
        <v>0</v>
      </c>
      <c r="M149" s="41" t="n">
        <f aca="false">D149-L149</f>
        <v>0</v>
      </c>
      <c r="N149" s="42" t="n">
        <f aca="false">K149-G149</f>
        <v>0</v>
      </c>
      <c r="O149" s="78"/>
      <c r="P149" s="79"/>
      <c r="Q149" s="16" t="str">
        <f aca="false">IF(K149=0,"",IF(R149=1,"Pagada",IF(C149&lt;$F$12,"Vencida",IF(123=$F$13,"Próxima","Pendiente"))))</f>
        <v/>
      </c>
      <c r="R149" s="62" t="n">
        <f aca="false">IF(AND(K149&gt;0,OR(O149="Sí",O149="Si")),1,0)</f>
        <v>0</v>
      </c>
      <c r="S149" s="62" t="n">
        <f aca="false">IF(AND(K149&gt;0,R149=0),1,0)</f>
        <v>0</v>
      </c>
    </row>
    <row r="150" customFormat="false" ht="15" hidden="false" customHeight="false" outlineLevel="0" collapsed="false">
      <c r="B150" s="71" t="str">
        <f aca="false">IF($F$6="Sí",N($C$11)+123,"")</f>
        <v/>
      </c>
      <c r="C150" s="72" t="str">
        <f aca="false">IF(OR($F$6&lt;&gt;"Sí",D150&lt;=0.5),"",EDATE($C$10,123))</f>
        <v/>
      </c>
      <c r="D150" s="41" t="n">
        <f aca="false">MAX(0,M149)</f>
        <v>0</v>
      </c>
      <c r="E150" s="41" t="n">
        <f aca="false">D150*$F$7</f>
        <v>0</v>
      </c>
      <c r="F150" s="41" t="n">
        <f aca="false">IF(D150&gt;0.5,N($C$15),0)</f>
        <v>0</v>
      </c>
      <c r="G150" s="41" t="n">
        <f aca="false">IF(AND(D150&gt;0.5,N($C$19)&gt;0,N(B150)&lt;=N($C$20)),D150*$F$8,0)</f>
        <v>0</v>
      </c>
      <c r="H150" s="41" t="n">
        <f aca="false">IF(D150&lt;=0.5,0,MIN(IF(N(I150)&gt;0,I150,$F$9),D150+E150+F150))</f>
        <v>0</v>
      </c>
      <c r="I150" s="77"/>
      <c r="J150" s="77"/>
      <c r="K150" s="41" t="n">
        <f aca="false">IF(D150&lt;=0.5,0,MIN(H150+N(J150),D150+E150+F150))</f>
        <v>0</v>
      </c>
      <c r="L150" s="41" t="n">
        <f aca="false">K150-E150-F150</f>
        <v>0</v>
      </c>
      <c r="M150" s="41" t="n">
        <f aca="false">D150-L150</f>
        <v>0</v>
      </c>
      <c r="N150" s="42" t="n">
        <f aca="false">K150-G150</f>
        <v>0</v>
      </c>
      <c r="O150" s="78"/>
      <c r="P150" s="79"/>
      <c r="Q150" s="16" t="str">
        <f aca="false">IF(K150=0,"",IF(R150=1,"Pagada",IF(C150&lt;$F$12,"Vencida",IF(124=$F$13,"Próxima","Pendiente"))))</f>
        <v/>
      </c>
      <c r="R150" s="62" t="n">
        <f aca="false">IF(AND(K150&gt;0,OR(O150="Sí",O150="Si")),1,0)</f>
        <v>0</v>
      </c>
      <c r="S150" s="62" t="n">
        <f aca="false">IF(AND(K150&gt;0,R150=0),1,0)</f>
        <v>0</v>
      </c>
    </row>
    <row r="151" customFormat="false" ht="15" hidden="false" customHeight="false" outlineLevel="0" collapsed="false">
      <c r="B151" s="71" t="str">
        <f aca="false">IF($F$6="Sí",N($C$11)+124,"")</f>
        <v/>
      </c>
      <c r="C151" s="72" t="str">
        <f aca="false">IF(OR($F$6&lt;&gt;"Sí",D151&lt;=0.5),"",EDATE($C$10,124))</f>
        <v/>
      </c>
      <c r="D151" s="41" t="n">
        <f aca="false">MAX(0,M150)</f>
        <v>0</v>
      </c>
      <c r="E151" s="41" t="n">
        <f aca="false">D151*$F$7</f>
        <v>0</v>
      </c>
      <c r="F151" s="41" t="n">
        <f aca="false">IF(D151&gt;0.5,N($C$15),0)</f>
        <v>0</v>
      </c>
      <c r="G151" s="41" t="n">
        <f aca="false">IF(AND(D151&gt;0.5,N($C$19)&gt;0,N(B151)&lt;=N($C$20)),D151*$F$8,0)</f>
        <v>0</v>
      </c>
      <c r="H151" s="41" t="n">
        <f aca="false">IF(D151&lt;=0.5,0,MIN(IF(N(I151)&gt;0,I151,$F$9),D151+E151+F151))</f>
        <v>0</v>
      </c>
      <c r="I151" s="77"/>
      <c r="J151" s="77"/>
      <c r="K151" s="41" t="n">
        <f aca="false">IF(D151&lt;=0.5,0,MIN(H151+N(J151),D151+E151+F151))</f>
        <v>0</v>
      </c>
      <c r="L151" s="41" t="n">
        <f aca="false">K151-E151-F151</f>
        <v>0</v>
      </c>
      <c r="M151" s="41" t="n">
        <f aca="false">D151-L151</f>
        <v>0</v>
      </c>
      <c r="N151" s="42" t="n">
        <f aca="false">K151-G151</f>
        <v>0</v>
      </c>
      <c r="O151" s="78"/>
      <c r="P151" s="79"/>
      <c r="Q151" s="16" t="str">
        <f aca="false">IF(K151=0,"",IF(R151=1,"Pagada",IF(C151&lt;$F$12,"Vencida",IF(125=$F$13,"Próxima","Pendiente"))))</f>
        <v/>
      </c>
      <c r="R151" s="62" t="n">
        <f aca="false">IF(AND(K151&gt;0,OR(O151="Sí",O151="Si")),1,0)</f>
        <v>0</v>
      </c>
      <c r="S151" s="62" t="n">
        <f aca="false">IF(AND(K151&gt;0,R151=0),1,0)</f>
        <v>0</v>
      </c>
    </row>
    <row r="152" customFormat="false" ht="15" hidden="false" customHeight="false" outlineLevel="0" collapsed="false">
      <c r="B152" s="71" t="str">
        <f aca="false">IF($F$6="Sí",N($C$11)+125,"")</f>
        <v/>
      </c>
      <c r="C152" s="72" t="str">
        <f aca="false">IF(OR($F$6&lt;&gt;"Sí",D152&lt;=0.5),"",EDATE($C$10,125))</f>
        <v/>
      </c>
      <c r="D152" s="41" t="n">
        <f aca="false">MAX(0,M151)</f>
        <v>0</v>
      </c>
      <c r="E152" s="41" t="n">
        <f aca="false">D152*$F$7</f>
        <v>0</v>
      </c>
      <c r="F152" s="41" t="n">
        <f aca="false">IF(D152&gt;0.5,N($C$15),0)</f>
        <v>0</v>
      </c>
      <c r="G152" s="41" t="n">
        <f aca="false">IF(AND(D152&gt;0.5,N($C$19)&gt;0,N(B152)&lt;=N($C$20)),D152*$F$8,0)</f>
        <v>0</v>
      </c>
      <c r="H152" s="41" t="n">
        <f aca="false">IF(D152&lt;=0.5,0,MIN(IF(N(I152)&gt;0,I152,$F$9),D152+E152+F152))</f>
        <v>0</v>
      </c>
      <c r="I152" s="77"/>
      <c r="J152" s="77"/>
      <c r="K152" s="41" t="n">
        <f aca="false">IF(D152&lt;=0.5,0,MIN(H152+N(J152),D152+E152+F152))</f>
        <v>0</v>
      </c>
      <c r="L152" s="41" t="n">
        <f aca="false">K152-E152-F152</f>
        <v>0</v>
      </c>
      <c r="M152" s="41" t="n">
        <f aca="false">D152-L152</f>
        <v>0</v>
      </c>
      <c r="N152" s="42" t="n">
        <f aca="false">K152-G152</f>
        <v>0</v>
      </c>
      <c r="O152" s="78"/>
      <c r="P152" s="79"/>
      <c r="Q152" s="16" t="str">
        <f aca="false">IF(K152=0,"",IF(R152=1,"Pagada",IF(C152&lt;$F$12,"Vencida",IF(126=$F$13,"Próxima","Pendiente"))))</f>
        <v/>
      </c>
      <c r="R152" s="62" t="n">
        <f aca="false">IF(AND(K152&gt;0,OR(O152="Sí",O152="Si")),1,0)</f>
        <v>0</v>
      </c>
      <c r="S152" s="62" t="n">
        <f aca="false">IF(AND(K152&gt;0,R152=0),1,0)</f>
        <v>0</v>
      </c>
    </row>
    <row r="153" customFormat="false" ht="15" hidden="false" customHeight="false" outlineLevel="0" collapsed="false">
      <c r="B153" s="71" t="str">
        <f aca="false">IF($F$6="Sí",N($C$11)+126,"")</f>
        <v/>
      </c>
      <c r="C153" s="72" t="str">
        <f aca="false">IF(OR($F$6&lt;&gt;"Sí",D153&lt;=0.5),"",EDATE($C$10,126))</f>
        <v/>
      </c>
      <c r="D153" s="41" t="n">
        <f aca="false">MAX(0,M152)</f>
        <v>0</v>
      </c>
      <c r="E153" s="41" t="n">
        <f aca="false">D153*$F$7</f>
        <v>0</v>
      </c>
      <c r="F153" s="41" t="n">
        <f aca="false">IF(D153&gt;0.5,N($C$15),0)</f>
        <v>0</v>
      </c>
      <c r="G153" s="41" t="n">
        <f aca="false">IF(AND(D153&gt;0.5,N($C$19)&gt;0,N(B153)&lt;=N($C$20)),D153*$F$8,0)</f>
        <v>0</v>
      </c>
      <c r="H153" s="41" t="n">
        <f aca="false">IF(D153&lt;=0.5,0,MIN(IF(N(I153)&gt;0,I153,$F$9),D153+E153+F153))</f>
        <v>0</v>
      </c>
      <c r="I153" s="77"/>
      <c r="J153" s="77"/>
      <c r="K153" s="41" t="n">
        <f aca="false">IF(D153&lt;=0.5,0,MIN(H153+N(J153),D153+E153+F153))</f>
        <v>0</v>
      </c>
      <c r="L153" s="41" t="n">
        <f aca="false">K153-E153-F153</f>
        <v>0</v>
      </c>
      <c r="M153" s="41" t="n">
        <f aca="false">D153-L153</f>
        <v>0</v>
      </c>
      <c r="N153" s="42" t="n">
        <f aca="false">K153-G153</f>
        <v>0</v>
      </c>
      <c r="O153" s="78"/>
      <c r="P153" s="79"/>
      <c r="Q153" s="16" t="str">
        <f aca="false">IF(K153=0,"",IF(R153=1,"Pagada",IF(C153&lt;$F$12,"Vencida",IF(127=$F$13,"Próxima","Pendiente"))))</f>
        <v/>
      </c>
      <c r="R153" s="62" t="n">
        <f aca="false">IF(AND(K153&gt;0,OR(O153="Sí",O153="Si")),1,0)</f>
        <v>0</v>
      </c>
      <c r="S153" s="62" t="n">
        <f aca="false">IF(AND(K153&gt;0,R153=0),1,0)</f>
        <v>0</v>
      </c>
    </row>
    <row r="154" customFormat="false" ht="15" hidden="false" customHeight="false" outlineLevel="0" collapsed="false">
      <c r="B154" s="71" t="str">
        <f aca="false">IF($F$6="Sí",N($C$11)+127,"")</f>
        <v/>
      </c>
      <c r="C154" s="72" t="str">
        <f aca="false">IF(OR($F$6&lt;&gt;"Sí",D154&lt;=0.5),"",EDATE($C$10,127))</f>
        <v/>
      </c>
      <c r="D154" s="41" t="n">
        <f aca="false">MAX(0,M153)</f>
        <v>0</v>
      </c>
      <c r="E154" s="41" t="n">
        <f aca="false">D154*$F$7</f>
        <v>0</v>
      </c>
      <c r="F154" s="41" t="n">
        <f aca="false">IF(D154&gt;0.5,N($C$15),0)</f>
        <v>0</v>
      </c>
      <c r="G154" s="41" t="n">
        <f aca="false">IF(AND(D154&gt;0.5,N($C$19)&gt;0,N(B154)&lt;=N($C$20)),D154*$F$8,0)</f>
        <v>0</v>
      </c>
      <c r="H154" s="41" t="n">
        <f aca="false">IF(D154&lt;=0.5,0,MIN(IF(N(I154)&gt;0,I154,$F$9),D154+E154+F154))</f>
        <v>0</v>
      </c>
      <c r="I154" s="77"/>
      <c r="J154" s="77"/>
      <c r="K154" s="41" t="n">
        <f aca="false">IF(D154&lt;=0.5,0,MIN(H154+N(J154),D154+E154+F154))</f>
        <v>0</v>
      </c>
      <c r="L154" s="41" t="n">
        <f aca="false">K154-E154-F154</f>
        <v>0</v>
      </c>
      <c r="M154" s="41" t="n">
        <f aca="false">D154-L154</f>
        <v>0</v>
      </c>
      <c r="N154" s="42" t="n">
        <f aca="false">K154-G154</f>
        <v>0</v>
      </c>
      <c r="O154" s="78"/>
      <c r="P154" s="79"/>
      <c r="Q154" s="16" t="str">
        <f aca="false">IF(K154=0,"",IF(R154=1,"Pagada",IF(C154&lt;$F$12,"Vencida",IF(128=$F$13,"Próxima","Pendiente"))))</f>
        <v/>
      </c>
      <c r="R154" s="62" t="n">
        <f aca="false">IF(AND(K154&gt;0,OR(O154="Sí",O154="Si")),1,0)</f>
        <v>0</v>
      </c>
      <c r="S154" s="62" t="n">
        <f aca="false">IF(AND(K154&gt;0,R154=0),1,0)</f>
        <v>0</v>
      </c>
    </row>
    <row r="155" customFormat="false" ht="15" hidden="false" customHeight="false" outlineLevel="0" collapsed="false">
      <c r="B155" s="71" t="str">
        <f aca="false">IF($F$6="Sí",N($C$11)+128,"")</f>
        <v/>
      </c>
      <c r="C155" s="72" t="str">
        <f aca="false">IF(OR($F$6&lt;&gt;"Sí",D155&lt;=0.5),"",EDATE($C$10,128))</f>
        <v/>
      </c>
      <c r="D155" s="41" t="n">
        <f aca="false">MAX(0,M154)</f>
        <v>0</v>
      </c>
      <c r="E155" s="41" t="n">
        <f aca="false">D155*$F$7</f>
        <v>0</v>
      </c>
      <c r="F155" s="41" t="n">
        <f aca="false">IF(D155&gt;0.5,N($C$15),0)</f>
        <v>0</v>
      </c>
      <c r="G155" s="41" t="n">
        <f aca="false">IF(AND(D155&gt;0.5,N($C$19)&gt;0,N(B155)&lt;=N($C$20)),D155*$F$8,0)</f>
        <v>0</v>
      </c>
      <c r="H155" s="41" t="n">
        <f aca="false">IF(D155&lt;=0.5,0,MIN(IF(N(I155)&gt;0,I155,$F$9),D155+E155+F155))</f>
        <v>0</v>
      </c>
      <c r="I155" s="77"/>
      <c r="J155" s="77"/>
      <c r="K155" s="41" t="n">
        <f aca="false">IF(D155&lt;=0.5,0,MIN(H155+N(J155),D155+E155+F155))</f>
        <v>0</v>
      </c>
      <c r="L155" s="41" t="n">
        <f aca="false">K155-E155-F155</f>
        <v>0</v>
      </c>
      <c r="M155" s="41" t="n">
        <f aca="false">D155-L155</f>
        <v>0</v>
      </c>
      <c r="N155" s="42" t="n">
        <f aca="false">K155-G155</f>
        <v>0</v>
      </c>
      <c r="O155" s="78"/>
      <c r="P155" s="79"/>
      <c r="Q155" s="16" t="str">
        <f aca="false">IF(K155=0,"",IF(R155=1,"Pagada",IF(C155&lt;$F$12,"Vencida",IF(129=$F$13,"Próxima","Pendiente"))))</f>
        <v/>
      </c>
      <c r="R155" s="62" t="n">
        <f aca="false">IF(AND(K155&gt;0,OR(O155="Sí",O155="Si")),1,0)</f>
        <v>0</v>
      </c>
      <c r="S155" s="62" t="n">
        <f aca="false">IF(AND(K155&gt;0,R155=0),1,0)</f>
        <v>0</v>
      </c>
    </row>
    <row r="156" customFormat="false" ht="15" hidden="false" customHeight="false" outlineLevel="0" collapsed="false">
      <c r="B156" s="71" t="str">
        <f aca="false">IF($F$6="Sí",N($C$11)+129,"")</f>
        <v/>
      </c>
      <c r="C156" s="72" t="str">
        <f aca="false">IF(OR($F$6&lt;&gt;"Sí",D156&lt;=0.5),"",EDATE($C$10,129))</f>
        <v/>
      </c>
      <c r="D156" s="41" t="n">
        <f aca="false">MAX(0,M155)</f>
        <v>0</v>
      </c>
      <c r="E156" s="41" t="n">
        <f aca="false">D156*$F$7</f>
        <v>0</v>
      </c>
      <c r="F156" s="41" t="n">
        <f aca="false">IF(D156&gt;0.5,N($C$15),0)</f>
        <v>0</v>
      </c>
      <c r="G156" s="41" t="n">
        <f aca="false">IF(AND(D156&gt;0.5,N($C$19)&gt;0,N(B156)&lt;=N($C$20)),D156*$F$8,0)</f>
        <v>0</v>
      </c>
      <c r="H156" s="41" t="n">
        <f aca="false">IF(D156&lt;=0.5,0,MIN(IF(N(I156)&gt;0,I156,$F$9),D156+E156+F156))</f>
        <v>0</v>
      </c>
      <c r="I156" s="77"/>
      <c r="J156" s="77"/>
      <c r="K156" s="41" t="n">
        <f aca="false">IF(D156&lt;=0.5,0,MIN(H156+N(J156),D156+E156+F156))</f>
        <v>0</v>
      </c>
      <c r="L156" s="41" t="n">
        <f aca="false">K156-E156-F156</f>
        <v>0</v>
      </c>
      <c r="M156" s="41" t="n">
        <f aca="false">D156-L156</f>
        <v>0</v>
      </c>
      <c r="N156" s="42" t="n">
        <f aca="false">K156-G156</f>
        <v>0</v>
      </c>
      <c r="O156" s="78"/>
      <c r="P156" s="79"/>
      <c r="Q156" s="16" t="str">
        <f aca="false">IF(K156=0,"",IF(R156=1,"Pagada",IF(C156&lt;$F$12,"Vencida",IF(130=$F$13,"Próxima","Pendiente"))))</f>
        <v/>
      </c>
      <c r="R156" s="62" t="n">
        <f aca="false">IF(AND(K156&gt;0,OR(O156="Sí",O156="Si")),1,0)</f>
        <v>0</v>
      </c>
      <c r="S156" s="62" t="n">
        <f aca="false">IF(AND(K156&gt;0,R156=0),1,0)</f>
        <v>0</v>
      </c>
    </row>
    <row r="157" customFormat="false" ht="15" hidden="false" customHeight="false" outlineLevel="0" collapsed="false">
      <c r="B157" s="71" t="str">
        <f aca="false">IF($F$6="Sí",N($C$11)+130,"")</f>
        <v/>
      </c>
      <c r="C157" s="72" t="str">
        <f aca="false">IF(OR($F$6&lt;&gt;"Sí",D157&lt;=0.5),"",EDATE($C$10,130))</f>
        <v/>
      </c>
      <c r="D157" s="41" t="n">
        <f aca="false">MAX(0,M156)</f>
        <v>0</v>
      </c>
      <c r="E157" s="41" t="n">
        <f aca="false">D157*$F$7</f>
        <v>0</v>
      </c>
      <c r="F157" s="41" t="n">
        <f aca="false">IF(D157&gt;0.5,N($C$15),0)</f>
        <v>0</v>
      </c>
      <c r="G157" s="41" t="n">
        <f aca="false">IF(AND(D157&gt;0.5,N($C$19)&gt;0,N(B157)&lt;=N($C$20)),D157*$F$8,0)</f>
        <v>0</v>
      </c>
      <c r="H157" s="41" t="n">
        <f aca="false">IF(D157&lt;=0.5,0,MIN(IF(N(I157)&gt;0,I157,$F$9),D157+E157+F157))</f>
        <v>0</v>
      </c>
      <c r="I157" s="77"/>
      <c r="J157" s="77"/>
      <c r="K157" s="41" t="n">
        <f aca="false">IF(D157&lt;=0.5,0,MIN(H157+N(J157),D157+E157+F157))</f>
        <v>0</v>
      </c>
      <c r="L157" s="41" t="n">
        <f aca="false">K157-E157-F157</f>
        <v>0</v>
      </c>
      <c r="M157" s="41" t="n">
        <f aca="false">D157-L157</f>
        <v>0</v>
      </c>
      <c r="N157" s="42" t="n">
        <f aca="false">K157-G157</f>
        <v>0</v>
      </c>
      <c r="O157" s="78"/>
      <c r="P157" s="79"/>
      <c r="Q157" s="16" t="str">
        <f aca="false">IF(K157=0,"",IF(R157=1,"Pagada",IF(C157&lt;$F$12,"Vencida",IF(131=$F$13,"Próxima","Pendiente"))))</f>
        <v/>
      </c>
      <c r="R157" s="62" t="n">
        <f aca="false">IF(AND(K157&gt;0,OR(O157="Sí",O157="Si")),1,0)</f>
        <v>0</v>
      </c>
      <c r="S157" s="62" t="n">
        <f aca="false">IF(AND(K157&gt;0,R157=0),1,0)</f>
        <v>0</v>
      </c>
    </row>
    <row r="158" customFormat="false" ht="15" hidden="false" customHeight="false" outlineLevel="0" collapsed="false">
      <c r="B158" s="71" t="str">
        <f aca="false">IF($F$6="Sí",N($C$11)+131,"")</f>
        <v/>
      </c>
      <c r="C158" s="72" t="str">
        <f aca="false">IF(OR($F$6&lt;&gt;"Sí",D158&lt;=0.5),"",EDATE($C$10,131))</f>
        <v/>
      </c>
      <c r="D158" s="41" t="n">
        <f aca="false">MAX(0,M157)</f>
        <v>0</v>
      </c>
      <c r="E158" s="41" t="n">
        <f aca="false">D158*$F$7</f>
        <v>0</v>
      </c>
      <c r="F158" s="41" t="n">
        <f aca="false">IF(D158&gt;0.5,N($C$15),0)</f>
        <v>0</v>
      </c>
      <c r="G158" s="41" t="n">
        <f aca="false">IF(AND(D158&gt;0.5,N($C$19)&gt;0,N(B158)&lt;=N($C$20)),D158*$F$8,0)</f>
        <v>0</v>
      </c>
      <c r="H158" s="41" t="n">
        <f aca="false">IF(D158&lt;=0.5,0,MIN(IF(N(I158)&gt;0,I158,$F$9),D158+E158+F158))</f>
        <v>0</v>
      </c>
      <c r="I158" s="77"/>
      <c r="J158" s="77"/>
      <c r="K158" s="41" t="n">
        <f aca="false">IF(D158&lt;=0.5,0,MIN(H158+N(J158),D158+E158+F158))</f>
        <v>0</v>
      </c>
      <c r="L158" s="41" t="n">
        <f aca="false">K158-E158-F158</f>
        <v>0</v>
      </c>
      <c r="M158" s="41" t="n">
        <f aca="false">D158-L158</f>
        <v>0</v>
      </c>
      <c r="N158" s="42" t="n">
        <f aca="false">K158-G158</f>
        <v>0</v>
      </c>
      <c r="O158" s="78"/>
      <c r="P158" s="79"/>
      <c r="Q158" s="16" t="str">
        <f aca="false">IF(K158=0,"",IF(R158=1,"Pagada",IF(C158&lt;$F$12,"Vencida",IF(132=$F$13,"Próxima","Pendiente"))))</f>
        <v/>
      </c>
      <c r="R158" s="62" t="n">
        <f aca="false">IF(AND(K158&gt;0,OR(O158="Sí",O158="Si")),1,0)</f>
        <v>0</v>
      </c>
      <c r="S158" s="62" t="n">
        <f aca="false">IF(AND(K158&gt;0,R158=0),1,0)</f>
        <v>0</v>
      </c>
    </row>
    <row r="159" customFormat="false" ht="15" hidden="false" customHeight="false" outlineLevel="0" collapsed="false">
      <c r="B159" s="71" t="str">
        <f aca="false">IF($F$6="Sí",N($C$11)+132,"")</f>
        <v/>
      </c>
      <c r="C159" s="72" t="str">
        <f aca="false">IF(OR($F$6&lt;&gt;"Sí",D159&lt;=0.5),"",EDATE($C$10,132))</f>
        <v/>
      </c>
      <c r="D159" s="41" t="n">
        <f aca="false">MAX(0,M158)</f>
        <v>0</v>
      </c>
      <c r="E159" s="41" t="n">
        <f aca="false">D159*$F$7</f>
        <v>0</v>
      </c>
      <c r="F159" s="41" t="n">
        <f aca="false">IF(D159&gt;0.5,N($C$15),0)</f>
        <v>0</v>
      </c>
      <c r="G159" s="41" t="n">
        <f aca="false">IF(AND(D159&gt;0.5,N($C$19)&gt;0,N(B159)&lt;=N($C$20)),D159*$F$8,0)</f>
        <v>0</v>
      </c>
      <c r="H159" s="41" t="n">
        <f aca="false">IF(D159&lt;=0.5,0,MIN(IF(N(I159)&gt;0,I159,$F$9),D159+E159+F159))</f>
        <v>0</v>
      </c>
      <c r="I159" s="77"/>
      <c r="J159" s="77"/>
      <c r="K159" s="41" t="n">
        <f aca="false">IF(D159&lt;=0.5,0,MIN(H159+N(J159),D159+E159+F159))</f>
        <v>0</v>
      </c>
      <c r="L159" s="41" t="n">
        <f aca="false">K159-E159-F159</f>
        <v>0</v>
      </c>
      <c r="M159" s="41" t="n">
        <f aca="false">D159-L159</f>
        <v>0</v>
      </c>
      <c r="N159" s="42" t="n">
        <f aca="false">K159-G159</f>
        <v>0</v>
      </c>
      <c r="O159" s="78"/>
      <c r="P159" s="79"/>
      <c r="Q159" s="16" t="str">
        <f aca="false">IF(K159=0,"",IF(R159=1,"Pagada",IF(C159&lt;$F$12,"Vencida",IF(133=$F$13,"Próxima","Pendiente"))))</f>
        <v/>
      </c>
      <c r="R159" s="62" t="n">
        <f aca="false">IF(AND(K159&gt;0,OR(O159="Sí",O159="Si")),1,0)</f>
        <v>0</v>
      </c>
      <c r="S159" s="62" t="n">
        <f aca="false">IF(AND(K159&gt;0,R159=0),1,0)</f>
        <v>0</v>
      </c>
    </row>
    <row r="160" customFormat="false" ht="15" hidden="false" customHeight="false" outlineLevel="0" collapsed="false">
      <c r="B160" s="71" t="str">
        <f aca="false">IF($F$6="Sí",N($C$11)+133,"")</f>
        <v/>
      </c>
      <c r="C160" s="72" t="str">
        <f aca="false">IF(OR($F$6&lt;&gt;"Sí",D160&lt;=0.5),"",EDATE($C$10,133))</f>
        <v/>
      </c>
      <c r="D160" s="41" t="n">
        <f aca="false">MAX(0,M159)</f>
        <v>0</v>
      </c>
      <c r="E160" s="41" t="n">
        <f aca="false">D160*$F$7</f>
        <v>0</v>
      </c>
      <c r="F160" s="41" t="n">
        <f aca="false">IF(D160&gt;0.5,N($C$15),0)</f>
        <v>0</v>
      </c>
      <c r="G160" s="41" t="n">
        <f aca="false">IF(AND(D160&gt;0.5,N($C$19)&gt;0,N(B160)&lt;=N($C$20)),D160*$F$8,0)</f>
        <v>0</v>
      </c>
      <c r="H160" s="41" t="n">
        <f aca="false">IF(D160&lt;=0.5,0,MIN(IF(N(I160)&gt;0,I160,$F$9),D160+E160+F160))</f>
        <v>0</v>
      </c>
      <c r="I160" s="77"/>
      <c r="J160" s="77"/>
      <c r="K160" s="41" t="n">
        <f aca="false">IF(D160&lt;=0.5,0,MIN(H160+N(J160),D160+E160+F160))</f>
        <v>0</v>
      </c>
      <c r="L160" s="41" t="n">
        <f aca="false">K160-E160-F160</f>
        <v>0</v>
      </c>
      <c r="M160" s="41" t="n">
        <f aca="false">D160-L160</f>
        <v>0</v>
      </c>
      <c r="N160" s="42" t="n">
        <f aca="false">K160-G160</f>
        <v>0</v>
      </c>
      <c r="O160" s="78"/>
      <c r="P160" s="79"/>
      <c r="Q160" s="16" t="str">
        <f aca="false">IF(K160=0,"",IF(R160=1,"Pagada",IF(C160&lt;$F$12,"Vencida",IF(134=$F$13,"Próxima","Pendiente"))))</f>
        <v/>
      </c>
      <c r="R160" s="62" t="n">
        <f aca="false">IF(AND(K160&gt;0,OR(O160="Sí",O160="Si")),1,0)</f>
        <v>0</v>
      </c>
      <c r="S160" s="62" t="n">
        <f aca="false">IF(AND(K160&gt;0,R160=0),1,0)</f>
        <v>0</v>
      </c>
    </row>
    <row r="161" customFormat="false" ht="15" hidden="false" customHeight="false" outlineLevel="0" collapsed="false">
      <c r="B161" s="71" t="str">
        <f aca="false">IF($F$6="Sí",N($C$11)+134,"")</f>
        <v/>
      </c>
      <c r="C161" s="72" t="str">
        <f aca="false">IF(OR($F$6&lt;&gt;"Sí",D161&lt;=0.5),"",EDATE($C$10,134))</f>
        <v/>
      </c>
      <c r="D161" s="41" t="n">
        <f aca="false">MAX(0,M160)</f>
        <v>0</v>
      </c>
      <c r="E161" s="41" t="n">
        <f aca="false">D161*$F$7</f>
        <v>0</v>
      </c>
      <c r="F161" s="41" t="n">
        <f aca="false">IF(D161&gt;0.5,N($C$15),0)</f>
        <v>0</v>
      </c>
      <c r="G161" s="41" t="n">
        <f aca="false">IF(AND(D161&gt;0.5,N($C$19)&gt;0,N(B161)&lt;=N($C$20)),D161*$F$8,0)</f>
        <v>0</v>
      </c>
      <c r="H161" s="41" t="n">
        <f aca="false">IF(D161&lt;=0.5,0,MIN(IF(N(I161)&gt;0,I161,$F$9),D161+E161+F161))</f>
        <v>0</v>
      </c>
      <c r="I161" s="77"/>
      <c r="J161" s="77"/>
      <c r="K161" s="41" t="n">
        <f aca="false">IF(D161&lt;=0.5,0,MIN(H161+N(J161),D161+E161+F161))</f>
        <v>0</v>
      </c>
      <c r="L161" s="41" t="n">
        <f aca="false">K161-E161-F161</f>
        <v>0</v>
      </c>
      <c r="M161" s="41" t="n">
        <f aca="false">D161-L161</f>
        <v>0</v>
      </c>
      <c r="N161" s="42" t="n">
        <f aca="false">K161-G161</f>
        <v>0</v>
      </c>
      <c r="O161" s="78"/>
      <c r="P161" s="79"/>
      <c r="Q161" s="16" t="str">
        <f aca="false">IF(K161=0,"",IF(R161=1,"Pagada",IF(C161&lt;$F$12,"Vencida",IF(135=$F$13,"Próxima","Pendiente"))))</f>
        <v/>
      </c>
      <c r="R161" s="62" t="n">
        <f aca="false">IF(AND(K161&gt;0,OR(O161="Sí",O161="Si")),1,0)</f>
        <v>0</v>
      </c>
      <c r="S161" s="62" t="n">
        <f aca="false">IF(AND(K161&gt;0,R161=0),1,0)</f>
        <v>0</v>
      </c>
    </row>
    <row r="162" customFormat="false" ht="15" hidden="false" customHeight="false" outlineLevel="0" collapsed="false">
      <c r="B162" s="71" t="str">
        <f aca="false">IF($F$6="Sí",N($C$11)+135,"")</f>
        <v/>
      </c>
      <c r="C162" s="72" t="str">
        <f aca="false">IF(OR($F$6&lt;&gt;"Sí",D162&lt;=0.5),"",EDATE($C$10,135))</f>
        <v/>
      </c>
      <c r="D162" s="41" t="n">
        <f aca="false">MAX(0,M161)</f>
        <v>0</v>
      </c>
      <c r="E162" s="41" t="n">
        <f aca="false">D162*$F$7</f>
        <v>0</v>
      </c>
      <c r="F162" s="41" t="n">
        <f aca="false">IF(D162&gt;0.5,N($C$15),0)</f>
        <v>0</v>
      </c>
      <c r="G162" s="41" t="n">
        <f aca="false">IF(AND(D162&gt;0.5,N($C$19)&gt;0,N(B162)&lt;=N($C$20)),D162*$F$8,0)</f>
        <v>0</v>
      </c>
      <c r="H162" s="41" t="n">
        <f aca="false">IF(D162&lt;=0.5,0,MIN(IF(N(I162)&gt;0,I162,$F$9),D162+E162+F162))</f>
        <v>0</v>
      </c>
      <c r="I162" s="77"/>
      <c r="J162" s="77"/>
      <c r="K162" s="41" t="n">
        <f aca="false">IF(D162&lt;=0.5,0,MIN(H162+N(J162),D162+E162+F162))</f>
        <v>0</v>
      </c>
      <c r="L162" s="41" t="n">
        <f aca="false">K162-E162-F162</f>
        <v>0</v>
      </c>
      <c r="M162" s="41" t="n">
        <f aca="false">D162-L162</f>
        <v>0</v>
      </c>
      <c r="N162" s="42" t="n">
        <f aca="false">K162-G162</f>
        <v>0</v>
      </c>
      <c r="O162" s="78"/>
      <c r="P162" s="79"/>
      <c r="Q162" s="16" t="str">
        <f aca="false">IF(K162=0,"",IF(R162=1,"Pagada",IF(C162&lt;$F$12,"Vencida",IF(136=$F$13,"Próxima","Pendiente"))))</f>
        <v/>
      </c>
      <c r="R162" s="62" t="n">
        <f aca="false">IF(AND(K162&gt;0,OR(O162="Sí",O162="Si")),1,0)</f>
        <v>0</v>
      </c>
      <c r="S162" s="62" t="n">
        <f aca="false">IF(AND(K162&gt;0,R162=0),1,0)</f>
        <v>0</v>
      </c>
    </row>
    <row r="163" customFormat="false" ht="15" hidden="false" customHeight="false" outlineLevel="0" collapsed="false">
      <c r="B163" s="71" t="str">
        <f aca="false">IF($F$6="Sí",N($C$11)+136,"")</f>
        <v/>
      </c>
      <c r="C163" s="72" t="str">
        <f aca="false">IF(OR($F$6&lt;&gt;"Sí",D163&lt;=0.5),"",EDATE($C$10,136))</f>
        <v/>
      </c>
      <c r="D163" s="41" t="n">
        <f aca="false">MAX(0,M162)</f>
        <v>0</v>
      </c>
      <c r="E163" s="41" t="n">
        <f aca="false">D163*$F$7</f>
        <v>0</v>
      </c>
      <c r="F163" s="41" t="n">
        <f aca="false">IF(D163&gt;0.5,N($C$15),0)</f>
        <v>0</v>
      </c>
      <c r="G163" s="41" t="n">
        <f aca="false">IF(AND(D163&gt;0.5,N($C$19)&gt;0,N(B163)&lt;=N($C$20)),D163*$F$8,0)</f>
        <v>0</v>
      </c>
      <c r="H163" s="41" t="n">
        <f aca="false">IF(D163&lt;=0.5,0,MIN(IF(N(I163)&gt;0,I163,$F$9),D163+E163+F163))</f>
        <v>0</v>
      </c>
      <c r="I163" s="77"/>
      <c r="J163" s="77"/>
      <c r="K163" s="41" t="n">
        <f aca="false">IF(D163&lt;=0.5,0,MIN(H163+N(J163),D163+E163+F163))</f>
        <v>0</v>
      </c>
      <c r="L163" s="41" t="n">
        <f aca="false">K163-E163-F163</f>
        <v>0</v>
      </c>
      <c r="M163" s="41" t="n">
        <f aca="false">D163-L163</f>
        <v>0</v>
      </c>
      <c r="N163" s="42" t="n">
        <f aca="false">K163-G163</f>
        <v>0</v>
      </c>
      <c r="O163" s="78"/>
      <c r="P163" s="79"/>
      <c r="Q163" s="16" t="str">
        <f aca="false">IF(K163=0,"",IF(R163=1,"Pagada",IF(C163&lt;$F$12,"Vencida",IF(137=$F$13,"Próxima","Pendiente"))))</f>
        <v/>
      </c>
      <c r="R163" s="62" t="n">
        <f aca="false">IF(AND(K163&gt;0,OR(O163="Sí",O163="Si")),1,0)</f>
        <v>0</v>
      </c>
      <c r="S163" s="62" t="n">
        <f aca="false">IF(AND(K163&gt;0,R163=0),1,0)</f>
        <v>0</v>
      </c>
    </row>
    <row r="164" customFormat="false" ht="15" hidden="false" customHeight="false" outlineLevel="0" collapsed="false">
      <c r="B164" s="71" t="str">
        <f aca="false">IF($F$6="Sí",N($C$11)+137,"")</f>
        <v/>
      </c>
      <c r="C164" s="72" t="str">
        <f aca="false">IF(OR($F$6&lt;&gt;"Sí",D164&lt;=0.5),"",EDATE($C$10,137))</f>
        <v/>
      </c>
      <c r="D164" s="41" t="n">
        <f aca="false">MAX(0,M163)</f>
        <v>0</v>
      </c>
      <c r="E164" s="41" t="n">
        <f aca="false">D164*$F$7</f>
        <v>0</v>
      </c>
      <c r="F164" s="41" t="n">
        <f aca="false">IF(D164&gt;0.5,N($C$15),0)</f>
        <v>0</v>
      </c>
      <c r="G164" s="41" t="n">
        <f aca="false">IF(AND(D164&gt;0.5,N($C$19)&gt;0,N(B164)&lt;=N($C$20)),D164*$F$8,0)</f>
        <v>0</v>
      </c>
      <c r="H164" s="41" t="n">
        <f aca="false">IF(D164&lt;=0.5,0,MIN(IF(N(I164)&gt;0,I164,$F$9),D164+E164+F164))</f>
        <v>0</v>
      </c>
      <c r="I164" s="77"/>
      <c r="J164" s="77"/>
      <c r="K164" s="41" t="n">
        <f aca="false">IF(D164&lt;=0.5,0,MIN(H164+N(J164),D164+E164+F164))</f>
        <v>0</v>
      </c>
      <c r="L164" s="41" t="n">
        <f aca="false">K164-E164-F164</f>
        <v>0</v>
      </c>
      <c r="M164" s="41" t="n">
        <f aca="false">D164-L164</f>
        <v>0</v>
      </c>
      <c r="N164" s="42" t="n">
        <f aca="false">K164-G164</f>
        <v>0</v>
      </c>
      <c r="O164" s="78"/>
      <c r="P164" s="79"/>
      <c r="Q164" s="16" t="str">
        <f aca="false">IF(K164=0,"",IF(R164=1,"Pagada",IF(C164&lt;$F$12,"Vencida",IF(138=$F$13,"Próxima","Pendiente"))))</f>
        <v/>
      </c>
      <c r="R164" s="62" t="n">
        <f aca="false">IF(AND(K164&gt;0,OR(O164="Sí",O164="Si")),1,0)</f>
        <v>0</v>
      </c>
      <c r="S164" s="62" t="n">
        <f aca="false">IF(AND(K164&gt;0,R164=0),1,0)</f>
        <v>0</v>
      </c>
    </row>
    <row r="165" customFormat="false" ht="15" hidden="false" customHeight="false" outlineLevel="0" collapsed="false">
      <c r="B165" s="71" t="str">
        <f aca="false">IF($F$6="Sí",N($C$11)+138,"")</f>
        <v/>
      </c>
      <c r="C165" s="72" t="str">
        <f aca="false">IF(OR($F$6&lt;&gt;"Sí",D165&lt;=0.5),"",EDATE($C$10,138))</f>
        <v/>
      </c>
      <c r="D165" s="41" t="n">
        <f aca="false">MAX(0,M164)</f>
        <v>0</v>
      </c>
      <c r="E165" s="41" t="n">
        <f aca="false">D165*$F$7</f>
        <v>0</v>
      </c>
      <c r="F165" s="41" t="n">
        <f aca="false">IF(D165&gt;0.5,N($C$15),0)</f>
        <v>0</v>
      </c>
      <c r="G165" s="41" t="n">
        <f aca="false">IF(AND(D165&gt;0.5,N($C$19)&gt;0,N(B165)&lt;=N($C$20)),D165*$F$8,0)</f>
        <v>0</v>
      </c>
      <c r="H165" s="41" t="n">
        <f aca="false">IF(D165&lt;=0.5,0,MIN(IF(N(I165)&gt;0,I165,$F$9),D165+E165+F165))</f>
        <v>0</v>
      </c>
      <c r="I165" s="77"/>
      <c r="J165" s="77"/>
      <c r="K165" s="41" t="n">
        <f aca="false">IF(D165&lt;=0.5,0,MIN(H165+N(J165),D165+E165+F165))</f>
        <v>0</v>
      </c>
      <c r="L165" s="41" t="n">
        <f aca="false">K165-E165-F165</f>
        <v>0</v>
      </c>
      <c r="M165" s="41" t="n">
        <f aca="false">D165-L165</f>
        <v>0</v>
      </c>
      <c r="N165" s="42" t="n">
        <f aca="false">K165-G165</f>
        <v>0</v>
      </c>
      <c r="O165" s="78"/>
      <c r="P165" s="79"/>
      <c r="Q165" s="16" t="str">
        <f aca="false">IF(K165=0,"",IF(R165=1,"Pagada",IF(C165&lt;$F$12,"Vencida",IF(139=$F$13,"Próxima","Pendiente"))))</f>
        <v/>
      </c>
      <c r="R165" s="62" t="n">
        <f aca="false">IF(AND(K165&gt;0,OR(O165="Sí",O165="Si")),1,0)</f>
        <v>0</v>
      </c>
      <c r="S165" s="62" t="n">
        <f aca="false">IF(AND(K165&gt;0,R165=0),1,0)</f>
        <v>0</v>
      </c>
    </row>
    <row r="166" customFormat="false" ht="15" hidden="false" customHeight="false" outlineLevel="0" collapsed="false">
      <c r="B166" s="71" t="str">
        <f aca="false">IF($F$6="Sí",N($C$11)+139,"")</f>
        <v/>
      </c>
      <c r="C166" s="72" t="str">
        <f aca="false">IF(OR($F$6&lt;&gt;"Sí",D166&lt;=0.5),"",EDATE($C$10,139))</f>
        <v/>
      </c>
      <c r="D166" s="41" t="n">
        <f aca="false">MAX(0,M165)</f>
        <v>0</v>
      </c>
      <c r="E166" s="41" t="n">
        <f aca="false">D166*$F$7</f>
        <v>0</v>
      </c>
      <c r="F166" s="41" t="n">
        <f aca="false">IF(D166&gt;0.5,N($C$15),0)</f>
        <v>0</v>
      </c>
      <c r="G166" s="41" t="n">
        <f aca="false">IF(AND(D166&gt;0.5,N($C$19)&gt;0,N(B166)&lt;=N($C$20)),D166*$F$8,0)</f>
        <v>0</v>
      </c>
      <c r="H166" s="41" t="n">
        <f aca="false">IF(D166&lt;=0.5,0,MIN(IF(N(I166)&gt;0,I166,$F$9),D166+E166+F166))</f>
        <v>0</v>
      </c>
      <c r="I166" s="77"/>
      <c r="J166" s="77"/>
      <c r="K166" s="41" t="n">
        <f aca="false">IF(D166&lt;=0.5,0,MIN(H166+N(J166),D166+E166+F166))</f>
        <v>0</v>
      </c>
      <c r="L166" s="41" t="n">
        <f aca="false">K166-E166-F166</f>
        <v>0</v>
      </c>
      <c r="M166" s="41" t="n">
        <f aca="false">D166-L166</f>
        <v>0</v>
      </c>
      <c r="N166" s="42" t="n">
        <f aca="false">K166-G166</f>
        <v>0</v>
      </c>
      <c r="O166" s="78"/>
      <c r="P166" s="79"/>
      <c r="Q166" s="16" t="str">
        <f aca="false">IF(K166=0,"",IF(R166=1,"Pagada",IF(C166&lt;$F$12,"Vencida",IF(140=$F$13,"Próxima","Pendiente"))))</f>
        <v/>
      </c>
      <c r="R166" s="62" t="n">
        <f aca="false">IF(AND(K166&gt;0,OR(O166="Sí",O166="Si")),1,0)</f>
        <v>0</v>
      </c>
      <c r="S166" s="62" t="n">
        <f aca="false">IF(AND(K166&gt;0,R166=0),1,0)</f>
        <v>0</v>
      </c>
    </row>
    <row r="167" customFormat="false" ht="15" hidden="false" customHeight="false" outlineLevel="0" collapsed="false">
      <c r="B167" s="71" t="str">
        <f aca="false">IF($F$6="Sí",N($C$11)+140,"")</f>
        <v/>
      </c>
      <c r="C167" s="72" t="str">
        <f aca="false">IF(OR($F$6&lt;&gt;"Sí",D167&lt;=0.5),"",EDATE($C$10,140))</f>
        <v/>
      </c>
      <c r="D167" s="41" t="n">
        <f aca="false">MAX(0,M166)</f>
        <v>0</v>
      </c>
      <c r="E167" s="41" t="n">
        <f aca="false">D167*$F$7</f>
        <v>0</v>
      </c>
      <c r="F167" s="41" t="n">
        <f aca="false">IF(D167&gt;0.5,N($C$15),0)</f>
        <v>0</v>
      </c>
      <c r="G167" s="41" t="n">
        <f aca="false">IF(AND(D167&gt;0.5,N($C$19)&gt;0,N(B167)&lt;=N($C$20)),D167*$F$8,0)</f>
        <v>0</v>
      </c>
      <c r="H167" s="41" t="n">
        <f aca="false">IF(D167&lt;=0.5,0,MIN(IF(N(I167)&gt;0,I167,$F$9),D167+E167+F167))</f>
        <v>0</v>
      </c>
      <c r="I167" s="77"/>
      <c r="J167" s="77"/>
      <c r="K167" s="41" t="n">
        <f aca="false">IF(D167&lt;=0.5,0,MIN(H167+N(J167),D167+E167+F167))</f>
        <v>0</v>
      </c>
      <c r="L167" s="41" t="n">
        <f aca="false">K167-E167-F167</f>
        <v>0</v>
      </c>
      <c r="M167" s="41" t="n">
        <f aca="false">D167-L167</f>
        <v>0</v>
      </c>
      <c r="N167" s="42" t="n">
        <f aca="false">K167-G167</f>
        <v>0</v>
      </c>
      <c r="O167" s="78"/>
      <c r="P167" s="79"/>
      <c r="Q167" s="16" t="str">
        <f aca="false">IF(K167=0,"",IF(R167=1,"Pagada",IF(C167&lt;$F$12,"Vencida",IF(141=$F$13,"Próxima","Pendiente"))))</f>
        <v/>
      </c>
      <c r="R167" s="62" t="n">
        <f aca="false">IF(AND(K167&gt;0,OR(O167="Sí",O167="Si")),1,0)</f>
        <v>0</v>
      </c>
      <c r="S167" s="62" t="n">
        <f aca="false">IF(AND(K167&gt;0,R167=0),1,0)</f>
        <v>0</v>
      </c>
    </row>
    <row r="168" customFormat="false" ht="15" hidden="false" customHeight="false" outlineLevel="0" collapsed="false">
      <c r="B168" s="71" t="str">
        <f aca="false">IF($F$6="Sí",N($C$11)+141,"")</f>
        <v/>
      </c>
      <c r="C168" s="72" t="str">
        <f aca="false">IF(OR($F$6&lt;&gt;"Sí",D168&lt;=0.5),"",EDATE($C$10,141))</f>
        <v/>
      </c>
      <c r="D168" s="41" t="n">
        <f aca="false">MAX(0,M167)</f>
        <v>0</v>
      </c>
      <c r="E168" s="41" t="n">
        <f aca="false">D168*$F$7</f>
        <v>0</v>
      </c>
      <c r="F168" s="41" t="n">
        <f aca="false">IF(D168&gt;0.5,N($C$15),0)</f>
        <v>0</v>
      </c>
      <c r="G168" s="41" t="n">
        <f aca="false">IF(AND(D168&gt;0.5,N($C$19)&gt;0,N(B168)&lt;=N($C$20)),D168*$F$8,0)</f>
        <v>0</v>
      </c>
      <c r="H168" s="41" t="n">
        <f aca="false">IF(D168&lt;=0.5,0,MIN(IF(N(I168)&gt;0,I168,$F$9),D168+E168+F168))</f>
        <v>0</v>
      </c>
      <c r="I168" s="77"/>
      <c r="J168" s="77"/>
      <c r="K168" s="41" t="n">
        <f aca="false">IF(D168&lt;=0.5,0,MIN(H168+N(J168),D168+E168+F168))</f>
        <v>0</v>
      </c>
      <c r="L168" s="41" t="n">
        <f aca="false">K168-E168-F168</f>
        <v>0</v>
      </c>
      <c r="M168" s="41" t="n">
        <f aca="false">D168-L168</f>
        <v>0</v>
      </c>
      <c r="N168" s="42" t="n">
        <f aca="false">K168-G168</f>
        <v>0</v>
      </c>
      <c r="O168" s="78"/>
      <c r="P168" s="79"/>
      <c r="Q168" s="16" t="str">
        <f aca="false">IF(K168=0,"",IF(R168=1,"Pagada",IF(C168&lt;$F$12,"Vencida",IF(142=$F$13,"Próxima","Pendiente"))))</f>
        <v/>
      </c>
      <c r="R168" s="62" t="n">
        <f aca="false">IF(AND(K168&gt;0,OR(O168="Sí",O168="Si")),1,0)</f>
        <v>0</v>
      </c>
      <c r="S168" s="62" t="n">
        <f aca="false">IF(AND(K168&gt;0,R168=0),1,0)</f>
        <v>0</v>
      </c>
    </row>
    <row r="169" customFormat="false" ht="15" hidden="false" customHeight="false" outlineLevel="0" collapsed="false">
      <c r="B169" s="71" t="str">
        <f aca="false">IF($F$6="Sí",N($C$11)+142,"")</f>
        <v/>
      </c>
      <c r="C169" s="72" t="str">
        <f aca="false">IF(OR($F$6&lt;&gt;"Sí",D169&lt;=0.5),"",EDATE($C$10,142))</f>
        <v/>
      </c>
      <c r="D169" s="41" t="n">
        <f aca="false">MAX(0,M168)</f>
        <v>0</v>
      </c>
      <c r="E169" s="41" t="n">
        <f aca="false">D169*$F$7</f>
        <v>0</v>
      </c>
      <c r="F169" s="41" t="n">
        <f aca="false">IF(D169&gt;0.5,N($C$15),0)</f>
        <v>0</v>
      </c>
      <c r="G169" s="41" t="n">
        <f aca="false">IF(AND(D169&gt;0.5,N($C$19)&gt;0,N(B169)&lt;=N($C$20)),D169*$F$8,0)</f>
        <v>0</v>
      </c>
      <c r="H169" s="41" t="n">
        <f aca="false">IF(D169&lt;=0.5,0,MIN(IF(N(I169)&gt;0,I169,$F$9),D169+E169+F169))</f>
        <v>0</v>
      </c>
      <c r="I169" s="77"/>
      <c r="J169" s="77"/>
      <c r="K169" s="41" t="n">
        <f aca="false">IF(D169&lt;=0.5,0,MIN(H169+N(J169),D169+E169+F169))</f>
        <v>0</v>
      </c>
      <c r="L169" s="41" t="n">
        <f aca="false">K169-E169-F169</f>
        <v>0</v>
      </c>
      <c r="M169" s="41" t="n">
        <f aca="false">D169-L169</f>
        <v>0</v>
      </c>
      <c r="N169" s="42" t="n">
        <f aca="false">K169-G169</f>
        <v>0</v>
      </c>
      <c r="O169" s="78"/>
      <c r="P169" s="79"/>
      <c r="Q169" s="16" t="str">
        <f aca="false">IF(K169=0,"",IF(R169=1,"Pagada",IF(C169&lt;$F$12,"Vencida",IF(143=$F$13,"Próxima","Pendiente"))))</f>
        <v/>
      </c>
      <c r="R169" s="62" t="n">
        <f aca="false">IF(AND(K169&gt;0,OR(O169="Sí",O169="Si")),1,0)</f>
        <v>0</v>
      </c>
      <c r="S169" s="62" t="n">
        <f aca="false">IF(AND(K169&gt;0,R169=0),1,0)</f>
        <v>0</v>
      </c>
    </row>
    <row r="170" customFormat="false" ht="15" hidden="false" customHeight="false" outlineLevel="0" collapsed="false">
      <c r="B170" s="71" t="str">
        <f aca="false">IF($F$6="Sí",N($C$11)+143,"")</f>
        <v/>
      </c>
      <c r="C170" s="72" t="str">
        <f aca="false">IF(OR($F$6&lt;&gt;"Sí",D170&lt;=0.5),"",EDATE($C$10,143))</f>
        <v/>
      </c>
      <c r="D170" s="41" t="n">
        <f aca="false">MAX(0,M169)</f>
        <v>0</v>
      </c>
      <c r="E170" s="41" t="n">
        <f aca="false">D170*$F$7</f>
        <v>0</v>
      </c>
      <c r="F170" s="41" t="n">
        <f aca="false">IF(D170&gt;0.5,N($C$15),0)</f>
        <v>0</v>
      </c>
      <c r="G170" s="41" t="n">
        <f aca="false">IF(AND(D170&gt;0.5,N($C$19)&gt;0,N(B170)&lt;=N($C$20)),D170*$F$8,0)</f>
        <v>0</v>
      </c>
      <c r="H170" s="41" t="n">
        <f aca="false">IF(D170&lt;=0.5,0,MIN(IF(N(I170)&gt;0,I170,$F$9),D170+E170+F170))</f>
        <v>0</v>
      </c>
      <c r="I170" s="77"/>
      <c r="J170" s="77"/>
      <c r="K170" s="41" t="n">
        <f aca="false">IF(D170&lt;=0.5,0,MIN(H170+N(J170),D170+E170+F170))</f>
        <v>0</v>
      </c>
      <c r="L170" s="41" t="n">
        <f aca="false">K170-E170-F170</f>
        <v>0</v>
      </c>
      <c r="M170" s="41" t="n">
        <f aca="false">D170-L170</f>
        <v>0</v>
      </c>
      <c r="N170" s="42" t="n">
        <f aca="false">K170-G170</f>
        <v>0</v>
      </c>
      <c r="O170" s="78"/>
      <c r="P170" s="79"/>
      <c r="Q170" s="16" t="str">
        <f aca="false">IF(K170=0,"",IF(R170=1,"Pagada",IF(C170&lt;$F$12,"Vencida",IF(144=$F$13,"Próxima","Pendiente"))))</f>
        <v/>
      </c>
      <c r="R170" s="62" t="n">
        <f aca="false">IF(AND(K170&gt;0,OR(O170="Sí",O170="Si")),1,0)</f>
        <v>0</v>
      </c>
      <c r="S170" s="62" t="n">
        <f aca="false">IF(AND(K170&gt;0,R170=0),1,0)</f>
        <v>0</v>
      </c>
    </row>
    <row r="171" customFormat="false" ht="15" hidden="false" customHeight="false" outlineLevel="0" collapsed="false">
      <c r="B171" s="71" t="str">
        <f aca="false">IF($F$6="Sí",N($C$11)+144,"")</f>
        <v/>
      </c>
      <c r="C171" s="72" t="str">
        <f aca="false">IF(OR($F$6&lt;&gt;"Sí",D171&lt;=0.5),"",EDATE($C$10,144))</f>
        <v/>
      </c>
      <c r="D171" s="41" t="n">
        <f aca="false">MAX(0,M170)</f>
        <v>0</v>
      </c>
      <c r="E171" s="41" t="n">
        <f aca="false">D171*$F$7</f>
        <v>0</v>
      </c>
      <c r="F171" s="41" t="n">
        <f aca="false">IF(D171&gt;0.5,N($C$15),0)</f>
        <v>0</v>
      </c>
      <c r="G171" s="41" t="n">
        <f aca="false">IF(AND(D171&gt;0.5,N($C$19)&gt;0,N(B171)&lt;=N($C$20)),D171*$F$8,0)</f>
        <v>0</v>
      </c>
      <c r="H171" s="41" t="n">
        <f aca="false">IF(D171&lt;=0.5,0,MIN(IF(N(I171)&gt;0,I171,$F$9),D171+E171+F171))</f>
        <v>0</v>
      </c>
      <c r="I171" s="77"/>
      <c r="J171" s="77"/>
      <c r="K171" s="41" t="n">
        <f aca="false">IF(D171&lt;=0.5,0,MIN(H171+N(J171),D171+E171+F171))</f>
        <v>0</v>
      </c>
      <c r="L171" s="41" t="n">
        <f aca="false">K171-E171-F171</f>
        <v>0</v>
      </c>
      <c r="M171" s="41" t="n">
        <f aca="false">D171-L171</f>
        <v>0</v>
      </c>
      <c r="N171" s="42" t="n">
        <f aca="false">K171-G171</f>
        <v>0</v>
      </c>
      <c r="O171" s="78"/>
      <c r="P171" s="79"/>
      <c r="Q171" s="16" t="str">
        <f aca="false">IF(K171=0,"",IF(R171=1,"Pagada",IF(C171&lt;$F$12,"Vencida",IF(145=$F$13,"Próxima","Pendiente"))))</f>
        <v/>
      </c>
      <c r="R171" s="62" t="n">
        <f aca="false">IF(AND(K171&gt;0,OR(O171="Sí",O171="Si")),1,0)</f>
        <v>0</v>
      </c>
      <c r="S171" s="62" t="n">
        <f aca="false">IF(AND(K171&gt;0,R171=0),1,0)</f>
        <v>0</v>
      </c>
    </row>
    <row r="172" customFormat="false" ht="15" hidden="false" customHeight="false" outlineLevel="0" collapsed="false">
      <c r="B172" s="71" t="str">
        <f aca="false">IF($F$6="Sí",N($C$11)+145,"")</f>
        <v/>
      </c>
      <c r="C172" s="72" t="str">
        <f aca="false">IF(OR($F$6&lt;&gt;"Sí",D172&lt;=0.5),"",EDATE($C$10,145))</f>
        <v/>
      </c>
      <c r="D172" s="41" t="n">
        <f aca="false">MAX(0,M171)</f>
        <v>0</v>
      </c>
      <c r="E172" s="41" t="n">
        <f aca="false">D172*$F$7</f>
        <v>0</v>
      </c>
      <c r="F172" s="41" t="n">
        <f aca="false">IF(D172&gt;0.5,N($C$15),0)</f>
        <v>0</v>
      </c>
      <c r="G172" s="41" t="n">
        <f aca="false">IF(AND(D172&gt;0.5,N($C$19)&gt;0,N(B172)&lt;=N($C$20)),D172*$F$8,0)</f>
        <v>0</v>
      </c>
      <c r="H172" s="41" t="n">
        <f aca="false">IF(D172&lt;=0.5,0,MIN(IF(N(I172)&gt;0,I172,$F$9),D172+E172+F172))</f>
        <v>0</v>
      </c>
      <c r="I172" s="77"/>
      <c r="J172" s="77"/>
      <c r="K172" s="41" t="n">
        <f aca="false">IF(D172&lt;=0.5,0,MIN(H172+N(J172),D172+E172+F172))</f>
        <v>0</v>
      </c>
      <c r="L172" s="41" t="n">
        <f aca="false">K172-E172-F172</f>
        <v>0</v>
      </c>
      <c r="M172" s="41" t="n">
        <f aca="false">D172-L172</f>
        <v>0</v>
      </c>
      <c r="N172" s="42" t="n">
        <f aca="false">K172-G172</f>
        <v>0</v>
      </c>
      <c r="O172" s="78"/>
      <c r="P172" s="79"/>
      <c r="Q172" s="16" t="str">
        <f aca="false">IF(K172=0,"",IF(R172=1,"Pagada",IF(C172&lt;$F$12,"Vencida",IF(146=$F$13,"Próxima","Pendiente"))))</f>
        <v/>
      </c>
      <c r="R172" s="62" t="n">
        <f aca="false">IF(AND(K172&gt;0,OR(O172="Sí",O172="Si")),1,0)</f>
        <v>0</v>
      </c>
      <c r="S172" s="62" t="n">
        <f aca="false">IF(AND(K172&gt;0,R172=0),1,0)</f>
        <v>0</v>
      </c>
    </row>
    <row r="173" customFormat="false" ht="15" hidden="false" customHeight="false" outlineLevel="0" collapsed="false">
      <c r="B173" s="71" t="str">
        <f aca="false">IF($F$6="Sí",N($C$11)+146,"")</f>
        <v/>
      </c>
      <c r="C173" s="72" t="str">
        <f aca="false">IF(OR($F$6&lt;&gt;"Sí",D173&lt;=0.5),"",EDATE($C$10,146))</f>
        <v/>
      </c>
      <c r="D173" s="41" t="n">
        <f aca="false">MAX(0,M172)</f>
        <v>0</v>
      </c>
      <c r="E173" s="41" t="n">
        <f aca="false">D173*$F$7</f>
        <v>0</v>
      </c>
      <c r="F173" s="41" t="n">
        <f aca="false">IF(D173&gt;0.5,N($C$15),0)</f>
        <v>0</v>
      </c>
      <c r="G173" s="41" t="n">
        <f aca="false">IF(AND(D173&gt;0.5,N($C$19)&gt;0,N(B173)&lt;=N($C$20)),D173*$F$8,0)</f>
        <v>0</v>
      </c>
      <c r="H173" s="41" t="n">
        <f aca="false">IF(D173&lt;=0.5,0,MIN(IF(N(I173)&gt;0,I173,$F$9),D173+E173+F173))</f>
        <v>0</v>
      </c>
      <c r="I173" s="77"/>
      <c r="J173" s="77"/>
      <c r="K173" s="41" t="n">
        <f aca="false">IF(D173&lt;=0.5,0,MIN(H173+N(J173),D173+E173+F173))</f>
        <v>0</v>
      </c>
      <c r="L173" s="41" t="n">
        <f aca="false">K173-E173-F173</f>
        <v>0</v>
      </c>
      <c r="M173" s="41" t="n">
        <f aca="false">D173-L173</f>
        <v>0</v>
      </c>
      <c r="N173" s="42" t="n">
        <f aca="false">K173-G173</f>
        <v>0</v>
      </c>
      <c r="O173" s="78"/>
      <c r="P173" s="79"/>
      <c r="Q173" s="16" t="str">
        <f aca="false">IF(K173=0,"",IF(R173=1,"Pagada",IF(C173&lt;$F$12,"Vencida",IF(147=$F$13,"Próxima","Pendiente"))))</f>
        <v/>
      </c>
      <c r="R173" s="62" t="n">
        <f aca="false">IF(AND(K173&gt;0,OR(O173="Sí",O173="Si")),1,0)</f>
        <v>0</v>
      </c>
      <c r="S173" s="62" t="n">
        <f aca="false">IF(AND(K173&gt;0,R173=0),1,0)</f>
        <v>0</v>
      </c>
    </row>
    <row r="174" customFormat="false" ht="15" hidden="false" customHeight="false" outlineLevel="0" collapsed="false">
      <c r="B174" s="71" t="str">
        <f aca="false">IF($F$6="Sí",N($C$11)+147,"")</f>
        <v/>
      </c>
      <c r="C174" s="72" t="str">
        <f aca="false">IF(OR($F$6&lt;&gt;"Sí",D174&lt;=0.5),"",EDATE($C$10,147))</f>
        <v/>
      </c>
      <c r="D174" s="41" t="n">
        <f aca="false">MAX(0,M173)</f>
        <v>0</v>
      </c>
      <c r="E174" s="41" t="n">
        <f aca="false">D174*$F$7</f>
        <v>0</v>
      </c>
      <c r="F174" s="41" t="n">
        <f aca="false">IF(D174&gt;0.5,N($C$15),0)</f>
        <v>0</v>
      </c>
      <c r="G174" s="41" t="n">
        <f aca="false">IF(AND(D174&gt;0.5,N($C$19)&gt;0,N(B174)&lt;=N($C$20)),D174*$F$8,0)</f>
        <v>0</v>
      </c>
      <c r="H174" s="41" t="n">
        <f aca="false">IF(D174&lt;=0.5,0,MIN(IF(N(I174)&gt;0,I174,$F$9),D174+E174+F174))</f>
        <v>0</v>
      </c>
      <c r="I174" s="77"/>
      <c r="J174" s="77"/>
      <c r="K174" s="41" t="n">
        <f aca="false">IF(D174&lt;=0.5,0,MIN(H174+N(J174),D174+E174+F174))</f>
        <v>0</v>
      </c>
      <c r="L174" s="41" t="n">
        <f aca="false">K174-E174-F174</f>
        <v>0</v>
      </c>
      <c r="M174" s="41" t="n">
        <f aca="false">D174-L174</f>
        <v>0</v>
      </c>
      <c r="N174" s="42" t="n">
        <f aca="false">K174-G174</f>
        <v>0</v>
      </c>
      <c r="O174" s="78"/>
      <c r="P174" s="79"/>
      <c r="Q174" s="16" t="str">
        <f aca="false">IF(K174=0,"",IF(R174=1,"Pagada",IF(C174&lt;$F$12,"Vencida",IF(148=$F$13,"Próxima","Pendiente"))))</f>
        <v/>
      </c>
      <c r="R174" s="62" t="n">
        <f aca="false">IF(AND(K174&gt;0,OR(O174="Sí",O174="Si")),1,0)</f>
        <v>0</v>
      </c>
      <c r="S174" s="62" t="n">
        <f aca="false">IF(AND(K174&gt;0,R174=0),1,0)</f>
        <v>0</v>
      </c>
    </row>
    <row r="175" customFormat="false" ht="15" hidden="false" customHeight="false" outlineLevel="0" collapsed="false">
      <c r="B175" s="71" t="str">
        <f aca="false">IF($F$6="Sí",N($C$11)+148,"")</f>
        <v/>
      </c>
      <c r="C175" s="72" t="str">
        <f aca="false">IF(OR($F$6&lt;&gt;"Sí",D175&lt;=0.5),"",EDATE($C$10,148))</f>
        <v/>
      </c>
      <c r="D175" s="41" t="n">
        <f aca="false">MAX(0,M174)</f>
        <v>0</v>
      </c>
      <c r="E175" s="41" t="n">
        <f aca="false">D175*$F$7</f>
        <v>0</v>
      </c>
      <c r="F175" s="41" t="n">
        <f aca="false">IF(D175&gt;0.5,N($C$15),0)</f>
        <v>0</v>
      </c>
      <c r="G175" s="41" t="n">
        <f aca="false">IF(AND(D175&gt;0.5,N($C$19)&gt;0,N(B175)&lt;=N($C$20)),D175*$F$8,0)</f>
        <v>0</v>
      </c>
      <c r="H175" s="41" t="n">
        <f aca="false">IF(D175&lt;=0.5,0,MIN(IF(N(I175)&gt;0,I175,$F$9),D175+E175+F175))</f>
        <v>0</v>
      </c>
      <c r="I175" s="77"/>
      <c r="J175" s="77"/>
      <c r="K175" s="41" t="n">
        <f aca="false">IF(D175&lt;=0.5,0,MIN(H175+N(J175),D175+E175+F175))</f>
        <v>0</v>
      </c>
      <c r="L175" s="41" t="n">
        <f aca="false">K175-E175-F175</f>
        <v>0</v>
      </c>
      <c r="M175" s="41" t="n">
        <f aca="false">D175-L175</f>
        <v>0</v>
      </c>
      <c r="N175" s="42" t="n">
        <f aca="false">K175-G175</f>
        <v>0</v>
      </c>
      <c r="O175" s="78"/>
      <c r="P175" s="79"/>
      <c r="Q175" s="16" t="str">
        <f aca="false">IF(K175=0,"",IF(R175=1,"Pagada",IF(C175&lt;$F$12,"Vencida",IF(149=$F$13,"Próxima","Pendiente"))))</f>
        <v/>
      </c>
      <c r="R175" s="62" t="n">
        <f aca="false">IF(AND(K175&gt;0,OR(O175="Sí",O175="Si")),1,0)</f>
        <v>0</v>
      </c>
      <c r="S175" s="62" t="n">
        <f aca="false">IF(AND(K175&gt;0,R175=0),1,0)</f>
        <v>0</v>
      </c>
    </row>
    <row r="176" customFormat="false" ht="15" hidden="false" customHeight="false" outlineLevel="0" collapsed="false">
      <c r="B176" s="71" t="str">
        <f aca="false">IF($F$6="Sí",N($C$11)+149,"")</f>
        <v/>
      </c>
      <c r="C176" s="72" t="str">
        <f aca="false">IF(OR($F$6&lt;&gt;"Sí",D176&lt;=0.5),"",EDATE($C$10,149))</f>
        <v/>
      </c>
      <c r="D176" s="41" t="n">
        <f aca="false">MAX(0,M175)</f>
        <v>0</v>
      </c>
      <c r="E176" s="41" t="n">
        <f aca="false">D176*$F$7</f>
        <v>0</v>
      </c>
      <c r="F176" s="41" t="n">
        <f aca="false">IF(D176&gt;0.5,N($C$15),0)</f>
        <v>0</v>
      </c>
      <c r="G176" s="41" t="n">
        <f aca="false">IF(AND(D176&gt;0.5,N($C$19)&gt;0,N(B176)&lt;=N($C$20)),D176*$F$8,0)</f>
        <v>0</v>
      </c>
      <c r="H176" s="41" t="n">
        <f aca="false">IF(D176&lt;=0.5,0,MIN(IF(N(I176)&gt;0,I176,$F$9),D176+E176+F176))</f>
        <v>0</v>
      </c>
      <c r="I176" s="77"/>
      <c r="J176" s="77"/>
      <c r="K176" s="41" t="n">
        <f aca="false">IF(D176&lt;=0.5,0,MIN(H176+N(J176),D176+E176+F176))</f>
        <v>0</v>
      </c>
      <c r="L176" s="41" t="n">
        <f aca="false">K176-E176-F176</f>
        <v>0</v>
      </c>
      <c r="M176" s="41" t="n">
        <f aca="false">D176-L176</f>
        <v>0</v>
      </c>
      <c r="N176" s="42" t="n">
        <f aca="false">K176-G176</f>
        <v>0</v>
      </c>
      <c r="O176" s="78"/>
      <c r="P176" s="79"/>
      <c r="Q176" s="16" t="str">
        <f aca="false">IF(K176=0,"",IF(R176=1,"Pagada",IF(C176&lt;$F$12,"Vencida",IF(150=$F$13,"Próxima","Pendiente"))))</f>
        <v/>
      </c>
      <c r="R176" s="62" t="n">
        <f aca="false">IF(AND(K176&gt;0,OR(O176="Sí",O176="Si")),1,0)</f>
        <v>0</v>
      </c>
      <c r="S176" s="62" t="n">
        <f aca="false">IF(AND(K176&gt;0,R176=0),1,0)</f>
        <v>0</v>
      </c>
    </row>
    <row r="177" customFormat="false" ht="15" hidden="false" customHeight="false" outlineLevel="0" collapsed="false">
      <c r="B177" s="71" t="str">
        <f aca="false">IF($F$6="Sí",N($C$11)+150,"")</f>
        <v/>
      </c>
      <c r="C177" s="72" t="str">
        <f aca="false">IF(OR($F$6&lt;&gt;"Sí",D177&lt;=0.5),"",EDATE($C$10,150))</f>
        <v/>
      </c>
      <c r="D177" s="41" t="n">
        <f aca="false">MAX(0,M176)</f>
        <v>0</v>
      </c>
      <c r="E177" s="41" t="n">
        <f aca="false">D177*$F$7</f>
        <v>0</v>
      </c>
      <c r="F177" s="41" t="n">
        <f aca="false">IF(D177&gt;0.5,N($C$15),0)</f>
        <v>0</v>
      </c>
      <c r="G177" s="41" t="n">
        <f aca="false">IF(AND(D177&gt;0.5,N($C$19)&gt;0,N(B177)&lt;=N($C$20)),D177*$F$8,0)</f>
        <v>0</v>
      </c>
      <c r="H177" s="41" t="n">
        <f aca="false">IF(D177&lt;=0.5,0,MIN(IF(N(I177)&gt;0,I177,$F$9),D177+E177+F177))</f>
        <v>0</v>
      </c>
      <c r="I177" s="77"/>
      <c r="J177" s="77"/>
      <c r="K177" s="41" t="n">
        <f aca="false">IF(D177&lt;=0.5,0,MIN(H177+N(J177),D177+E177+F177))</f>
        <v>0</v>
      </c>
      <c r="L177" s="41" t="n">
        <f aca="false">K177-E177-F177</f>
        <v>0</v>
      </c>
      <c r="M177" s="41" t="n">
        <f aca="false">D177-L177</f>
        <v>0</v>
      </c>
      <c r="N177" s="42" t="n">
        <f aca="false">K177-G177</f>
        <v>0</v>
      </c>
      <c r="O177" s="78"/>
      <c r="P177" s="79"/>
      <c r="Q177" s="16" t="str">
        <f aca="false">IF(K177=0,"",IF(R177=1,"Pagada",IF(C177&lt;$F$12,"Vencida",IF(151=$F$13,"Próxima","Pendiente"))))</f>
        <v/>
      </c>
      <c r="R177" s="62" t="n">
        <f aca="false">IF(AND(K177&gt;0,OR(O177="Sí",O177="Si")),1,0)</f>
        <v>0</v>
      </c>
      <c r="S177" s="62" t="n">
        <f aca="false">IF(AND(K177&gt;0,R177=0),1,0)</f>
        <v>0</v>
      </c>
    </row>
    <row r="178" customFormat="false" ht="15" hidden="false" customHeight="false" outlineLevel="0" collapsed="false">
      <c r="B178" s="71" t="str">
        <f aca="false">IF($F$6="Sí",N($C$11)+151,"")</f>
        <v/>
      </c>
      <c r="C178" s="72" t="str">
        <f aca="false">IF(OR($F$6&lt;&gt;"Sí",D178&lt;=0.5),"",EDATE($C$10,151))</f>
        <v/>
      </c>
      <c r="D178" s="41" t="n">
        <f aca="false">MAX(0,M177)</f>
        <v>0</v>
      </c>
      <c r="E178" s="41" t="n">
        <f aca="false">D178*$F$7</f>
        <v>0</v>
      </c>
      <c r="F178" s="41" t="n">
        <f aca="false">IF(D178&gt;0.5,N($C$15),0)</f>
        <v>0</v>
      </c>
      <c r="G178" s="41" t="n">
        <f aca="false">IF(AND(D178&gt;0.5,N($C$19)&gt;0,N(B178)&lt;=N($C$20)),D178*$F$8,0)</f>
        <v>0</v>
      </c>
      <c r="H178" s="41" t="n">
        <f aca="false">IF(D178&lt;=0.5,0,MIN(IF(N(I178)&gt;0,I178,$F$9),D178+E178+F178))</f>
        <v>0</v>
      </c>
      <c r="I178" s="77"/>
      <c r="J178" s="77"/>
      <c r="K178" s="41" t="n">
        <f aca="false">IF(D178&lt;=0.5,0,MIN(H178+N(J178),D178+E178+F178))</f>
        <v>0</v>
      </c>
      <c r="L178" s="41" t="n">
        <f aca="false">K178-E178-F178</f>
        <v>0</v>
      </c>
      <c r="M178" s="41" t="n">
        <f aca="false">D178-L178</f>
        <v>0</v>
      </c>
      <c r="N178" s="42" t="n">
        <f aca="false">K178-G178</f>
        <v>0</v>
      </c>
      <c r="O178" s="78"/>
      <c r="P178" s="79"/>
      <c r="Q178" s="16" t="str">
        <f aca="false">IF(K178=0,"",IF(R178=1,"Pagada",IF(C178&lt;$F$12,"Vencida",IF(152=$F$13,"Próxima","Pendiente"))))</f>
        <v/>
      </c>
      <c r="R178" s="62" t="n">
        <f aca="false">IF(AND(K178&gt;0,OR(O178="Sí",O178="Si")),1,0)</f>
        <v>0</v>
      </c>
      <c r="S178" s="62" t="n">
        <f aca="false">IF(AND(K178&gt;0,R178=0),1,0)</f>
        <v>0</v>
      </c>
    </row>
    <row r="179" customFormat="false" ht="15" hidden="false" customHeight="false" outlineLevel="0" collapsed="false">
      <c r="B179" s="71" t="str">
        <f aca="false">IF($F$6="Sí",N($C$11)+152,"")</f>
        <v/>
      </c>
      <c r="C179" s="72" t="str">
        <f aca="false">IF(OR($F$6&lt;&gt;"Sí",D179&lt;=0.5),"",EDATE($C$10,152))</f>
        <v/>
      </c>
      <c r="D179" s="41" t="n">
        <f aca="false">MAX(0,M178)</f>
        <v>0</v>
      </c>
      <c r="E179" s="41" t="n">
        <f aca="false">D179*$F$7</f>
        <v>0</v>
      </c>
      <c r="F179" s="41" t="n">
        <f aca="false">IF(D179&gt;0.5,N($C$15),0)</f>
        <v>0</v>
      </c>
      <c r="G179" s="41" t="n">
        <f aca="false">IF(AND(D179&gt;0.5,N($C$19)&gt;0,N(B179)&lt;=N($C$20)),D179*$F$8,0)</f>
        <v>0</v>
      </c>
      <c r="H179" s="41" t="n">
        <f aca="false">IF(D179&lt;=0.5,0,MIN(IF(N(I179)&gt;0,I179,$F$9),D179+E179+F179))</f>
        <v>0</v>
      </c>
      <c r="I179" s="77"/>
      <c r="J179" s="77"/>
      <c r="K179" s="41" t="n">
        <f aca="false">IF(D179&lt;=0.5,0,MIN(H179+N(J179),D179+E179+F179))</f>
        <v>0</v>
      </c>
      <c r="L179" s="41" t="n">
        <f aca="false">K179-E179-F179</f>
        <v>0</v>
      </c>
      <c r="M179" s="41" t="n">
        <f aca="false">D179-L179</f>
        <v>0</v>
      </c>
      <c r="N179" s="42" t="n">
        <f aca="false">K179-G179</f>
        <v>0</v>
      </c>
      <c r="O179" s="78"/>
      <c r="P179" s="79"/>
      <c r="Q179" s="16" t="str">
        <f aca="false">IF(K179=0,"",IF(R179=1,"Pagada",IF(C179&lt;$F$12,"Vencida",IF(153=$F$13,"Próxima","Pendiente"))))</f>
        <v/>
      </c>
      <c r="R179" s="62" t="n">
        <f aca="false">IF(AND(K179&gt;0,OR(O179="Sí",O179="Si")),1,0)</f>
        <v>0</v>
      </c>
      <c r="S179" s="62" t="n">
        <f aca="false">IF(AND(K179&gt;0,R179=0),1,0)</f>
        <v>0</v>
      </c>
    </row>
    <row r="180" customFormat="false" ht="15" hidden="false" customHeight="false" outlineLevel="0" collapsed="false">
      <c r="B180" s="71" t="str">
        <f aca="false">IF($F$6="Sí",N($C$11)+153,"")</f>
        <v/>
      </c>
      <c r="C180" s="72" t="str">
        <f aca="false">IF(OR($F$6&lt;&gt;"Sí",D180&lt;=0.5),"",EDATE($C$10,153))</f>
        <v/>
      </c>
      <c r="D180" s="41" t="n">
        <f aca="false">MAX(0,M179)</f>
        <v>0</v>
      </c>
      <c r="E180" s="41" t="n">
        <f aca="false">D180*$F$7</f>
        <v>0</v>
      </c>
      <c r="F180" s="41" t="n">
        <f aca="false">IF(D180&gt;0.5,N($C$15),0)</f>
        <v>0</v>
      </c>
      <c r="G180" s="41" t="n">
        <f aca="false">IF(AND(D180&gt;0.5,N($C$19)&gt;0,N(B180)&lt;=N($C$20)),D180*$F$8,0)</f>
        <v>0</v>
      </c>
      <c r="H180" s="41" t="n">
        <f aca="false">IF(D180&lt;=0.5,0,MIN(IF(N(I180)&gt;0,I180,$F$9),D180+E180+F180))</f>
        <v>0</v>
      </c>
      <c r="I180" s="77"/>
      <c r="J180" s="77"/>
      <c r="K180" s="41" t="n">
        <f aca="false">IF(D180&lt;=0.5,0,MIN(H180+N(J180),D180+E180+F180))</f>
        <v>0</v>
      </c>
      <c r="L180" s="41" t="n">
        <f aca="false">K180-E180-F180</f>
        <v>0</v>
      </c>
      <c r="M180" s="41" t="n">
        <f aca="false">D180-L180</f>
        <v>0</v>
      </c>
      <c r="N180" s="42" t="n">
        <f aca="false">K180-G180</f>
        <v>0</v>
      </c>
      <c r="O180" s="78"/>
      <c r="P180" s="79"/>
      <c r="Q180" s="16" t="str">
        <f aca="false">IF(K180=0,"",IF(R180=1,"Pagada",IF(C180&lt;$F$12,"Vencida",IF(154=$F$13,"Próxima","Pendiente"))))</f>
        <v/>
      </c>
      <c r="R180" s="62" t="n">
        <f aca="false">IF(AND(K180&gt;0,OR(O180="Sí",O180="Si")),1,0)</f>
        <v>0</v>
      </c>
      <c r="S180" s="62" t="n">
        <f aca="false">IF(AND(K180&gt;0,R180=0),1,0)</f>
        <v>0</v>
      </c>
    </row>
    <row r="181" customFormat="false" ht="15" hidden="false" customHeight="false" outlineLevel="0" collapsed="false">
      <c r="B181" s="71" t="str">
        <f aca="false">IF($F$6="Sí",N($C$11)+154,"")</f>
        <v/>
      </c>
      <c r="C181" s="72" t="str">
        <f aca="false">IF(OR($F$6&lt;&gt;"Sí",D181&lt;=0.5),"",EDATE($C$10,154))</f>
        <v/>
      </c>
      <c r="D181" s="41" t="n">
        <f aca="false">MAX(0,M180)</f>
        <v>0</v>
      </c>
      <c r="E181" s="41" t="n">
        <f aca="false">D181*$F$7</f>
        <v>0</v>
      </c>
      <c r="F181" s="41" t="n">
        <f aca="false">IF(D181&gt;0.5,N($C$15),0)</f>
        <v>0</v>
      </c>
      <c r="G181" s="41" t="n">
        <f aca="false">IF(AND(D181&gt;0.5,N($C$19)&gt;0,N(B181)&lt;=N($C$20)),D181*$F$8,0)</f>
        <v>0</v>
      </c>
      <c r="H181" s="41" t="n">
        <f aca="false">IF(D181&lt;=0.5,0,MIN(IF(N(I181)&gt;0,I181,$F$9),D181+E181+F181))</f>
        <v>0</v>
      </c>
      <c r="I181" s="77"/>
      <c r="J181" s="77"/>
      <c r="K181" s="41" t="n">
        <f aca="false">IF(D181&lt;=0.5,0,MIN(H181+N(J181),D181+E181+F181))</f>
        <v>0</v>
      </c>
      <c r="L181" s="41" t="n">
        <f aca="false">K181-E181-F181</f>
        <v>0</v>
      </c>
      <c r="M181" s="41" t="n">
        <f aca="false">D181-L181</f>
        <v>0</v>
      </c>
      <c r="N181" s="42" t="n">
        <f aca="false">K181-G181</f>
        <v>0</v>
      </c>
      <c r="O181" s="78"/>
      <c r="P181" s="79"/>
      <c r="Q181" s="16" t="str">
        <f aca="false">IF(K181=0,"",IF(R181=1,"Pagada",IF(C181&lt;$F$12,"Vencida",IF(155=$F$13,"Próxima","Pendiente"))))</f>
        <v/>
      </c>
      <c r="R181" s="62" t="n">
        <f aca="false">IF(AND(K181&gt;0,OR(O181="Sí",O181="Si")),1,0)</f>
        <v>0</v>
      </c>
      <c r="S181" s="62" t="n">
        <f aca="false">IF(AND(K181&gt;0,R181=0),1,0)</f>
        <v>0</v>
      </c>
    </row>
    <row r="182" customFormat="false" ht="15" hidden="false" customHeight="false" outlineLevel="0" collapsed="false">
      <c r="B182" s="71" t="str">
        <f aca="false">IF($F$6="Sí",N($C$11)+155,"")</f>
        <v/>
      </c>
      <c r="C182" s="72" t="str">
        <f aca="false">IF(OR($F$6&lt;&gt;"Sí",D182&lt;=0.5),"",EDATE($C$10,155))</f>
        <v/>
      </c>
      <c r="D182" s="41" t="n">
        <f aca="false">MAX(0,M181)</f>
        <v>0</v>
      </c>
      <c r="E182" s="41" t="n">
        <f aca="false">D182*$F$7</f>
        <v>0</v>
      </c>
      <c r="F182" s="41" t="n">
        <f aca="false">IF(D182&gt;0.5,N($C$15),0)</f>
        <v>0</v>
      </c>
      <c r="G182" s="41" t="n">
        <f aca="false">IF(AND(D182&gt;0.5,N($C$19)&gt;0,N(B182)&lt;=N($C$20)),D182*$F$8,0)</f>
        <v>0</v>
      </c>
      <c r="H182" s="41" t="n">
        <f aca="false">IF(D182&lt;=0.5,0,MIN(IF(N(I182)&gt;0,I182,$F$9),D182+E182+F182))</f>
        <v>0</v>
      </c>
      <c r="I182" s="77"/>
      <c r="J182" s="77"/>
      <c r="K182" s="41" t="n">
        <f aca="false">IF(D182&lt;=0.5,0,MIN(H182+N(J182),D182+E182+F182))</f>
        <v>0</v>
      </c>
      <c r="L182" s="41" t="n">
        <f aca="false">K182-E182-F182</f>
        <v>0</v>
      </c>
      <c r="M182" s="41" t="n">
        <f aca="false">D182-L182</f>
        <v>0</v>
      </c>
      <c r="N182" s="42" t="n">
        <f aca="false">K182-G182</f>
        <v>0</v>
      </c>
      <c r="O182" s="78"/>
      <c r="P182" s="79"/>
      <c r="Q182" s="16" t="str">
        <f aca="false">IF(K182=0,"",IF(R182=1,"Pagada",IF(C182&lt;$F$12,"Vencida",IF(156=$F$13,"Próxima","Pendiente"))))</f>
        <v/>
      </c>
      <c r="R182" s="62" t="n">
        <f aca="false">IF(AND(K182&gt;0,OR(O182="Sí",O182="Si")),1,0)</f>
        <v>0</v>
      </c>
      <c r="S182" s="62" t="n">
        <f aca="false">IF(AND(K182&gt;0,R182=0),1,0)</f>
        <v>0</v>
      </c>
    </row>
    <row r="183" customFormat="false" ht="15" hidden="false" customHeight="false" outlineLevel="0" collapsed="false">
      <c r="B183" s="71" t="str">
        <f aca="false">IF($F$6="Sí",N($C$11)+156,"")</f>
        <v/>
      </c>
      <c r="C183" s="72" t="str">
        <f aca="false">IF(OR($F$6&lt;&gt;"Sí",D183&lt;=0.5),"",EDATE($C$10,156))</f>
        <v/>
      </c>
      <c r="D183" s="41" t="n">
        <f aca="false">MAX(0,M182)</f>
        <v>0</v>
      </c>
      <c r="E183" s="41" t="n">
        <f aca="false">D183*$F$7</f>
        <v>0</v>
      </c>
      <c r="F183" s="41" t="n">
        <f aca="false">IF(D183&gt;0.5,N($C$15),0)</f>
        <v>0</v>
      </c>
      <c r="G183" s="41" t="n">
        <f aca="false">IF(AND(D183&gt;0.5,N($C$19)&gt;0,N(B183)&lt;=N($C$20)),D183*$F$8,0)</f>
        <v>0</v>
      </c>
      <c r="H183" s="41" t="n">
        <f aca="false">IF(D183&lt;=0.5,0,MIN(IF(N(I183)&gt;0,I183,$F$9),D183+E183+F183))</f>
        <v>0</v>
      </c>
      <c r="I183" s="77"/>
      <c r="J183" s="77"/>
      <c r="K183" s="41" t="n">
        <f aca="false">IF(D183&lt;=0.5,0,MIN(H183+N(J183),D183+E183+F183))</f>
        <v>0</v>
      </c>
      <c r="L183" s="41" t="n">
        <f aca="false">K183-E183-F183</f>
        <v>0</v>
      </c>
      <c r="M183" s="41" t="n">
        <f aca="false">D183-L183</f>
        <v>0</v>
      </c>
      <c r="N183" s="42" t="n">
        <f aca="false">K183-G183</f>
        <v>0</v>
      </c>
      <c r="O183" s="78"/>
      <c r="P183" s="79"/>
      <c r="Q183" s="16" t="str">
        <f aca="false">IF(K183=0,"",IF(R183=1,"Pagada",IF(C183&lt;$F$12,"Vencida",IF(157=$F$13,"Próxima","Pendiente"))))</f>
        <v/>
      </c>
      <c r="R183" s="62" t="n">
        <f aca="false">IF(AND(K183&gt;0,OR(O183="Sí",O183="Si")),1,0)</f>
        <v>0</v>
      </c>
      <c r="S183" s="62" t="n">
        <f aca="false">IF(AND(K183&gt;0,R183=0),1,0)</f>
        <v>0</v>
      </c>
    </row>
    <row r="184" customFormat="false" ht="15" hidden="false" customHeight="false" outlineLevel="0" collapsed="false">
      <c r="B184" s="71" t="str">
        <f aca="false">IF($F$6="Sí",N($C$11)+157,"")</f>
        <v/>
      </c>
      <c r="C184" s="72" t="str">
        <f aca="false">IF(OR($F$6&lt;&gt;"Sí",D184&lt;=0.5),"",EDATE($C$10,157))</f>
        <v/>
      </c>
      <c r="D184" s="41" t="n">
        <f aca="false">MAX(0,M183)</f>
        <v>0</v>
      </c>
      <c r="E184" s="41" t="n">
        <f aca="false">D184*$F$7</f>
        <v>0</v>
      </c>
      <c r="F184" s="41" t="n">
        <f aca="false">IF(D184&gt;0.5,N($C$15),0)</f>
        <v>0</v>
      </c>
      <c r="G184" s="41" t="n">
        <f aca="false">IF(AND(D184&gt;0.5,N($C$19)&gt;0,N(B184)&lt;=N($C$20)),D184*$F$8,0)</f>
        <v>0</v>
      </c>
      <c r="H184" s="41" t="n">
        <f aca="false">IF(D184&lt;=0.5,0,MIN(IF(N(I184)&gt;0,I184,$F$9),D184+E184+F184))</f>
        <v>0</v>
      </c>
      <c r="I184" s="77"/>
      <c r="J184" s="77"/>
      <c r="K184" s="41" t="n">
        <f aca="false">IF(D184&lt;=0.5,0,MIN(H184+N(J184),D184+E184+F184))</f>
        <v>0</v>
      </c>
      <c r="L184" s="41" t="n">
        <f aca="false">K184-E184-F184</f>
        <v>0</v>
      </c>
      <c r="M184" s="41" t="n">
        <f aca="false">D184-L184</f>
        <v>0</v>
      </c>
      <c r="N184" s="42" t="n">
        <f aca="false">K184-G184</f>
        <v>0</v>
      </c>
      <c r="O184" s="78"/>
      <c r="P184" s="79"/>
      <c r="Q184" s="16" t="str">
        <f aca="false">IF(K184=0,"",IF(R184=1,"Pagada",IF(C184&lt;$F$12,"Vencida",IF(158=$F$13,"Próxima","Pendiente"))))</f>
        <v/>
      </c>
      <c r="R184" s="62" t="n">
        <f aca="false">IF(AND(K184&gt;0,OR(O184="Sí",O184="Si")),1,0)</f>
        <v>0</v>
      </c>
      <c r="S184" s="62" t="n">
        <f aca="false">IF(AND(K184&gt;0,R184=0),1,0)</f>
        <v>0</v>
      </c>
    </row>
    <row r="185" customFormat="false" ht="15" hidden="false" customHeight="false" outlineLevel="0" collapsed="false">
      <c r="B185" s="71" t="str">
        <f aca="false">IF($F$6="Sí",N($C$11)+158,"")</f>
        <v/>
      </c>
      <c r="C185" s="72" t="str">
        <f aca="false">IF(OR($F$6&lt;&gt;"Sí",D185&lt;=0.5),"",EDATE($C$10,158))</f>
        <v/>
      </c>
      <c r="D185" s="41" t="n">
        <f aca="false">MAX(0,M184)</f>
        <v>0</v>
      </c>
      <c r="E185" s="41" t="n">
        <f aca="false">D185*$F$7</f>
        <v>0</v>
      </c>
      <c r="F185" s="41" t="n">
        <f aca="false">IF(D185&gt;0.5,N($C$15),0)</f>
        <v>0</v>
      </c>
      <c r="G185" s="41" t="n">
        <f aca="false">IF(AND(D185&gt;0.5,N($C$19)&gt;0,N(B185)&lt;=N($C$20)),D185*$F$8,0)</f>
        <v>0</v>
      </c>
      <c r="H185" s="41" t="n">
        <f aca="false">IF(D185&lt;=0.5,0,MIN(IF(N(I185)&gt;0,I185,$F$9),D185+E185+F185))</f>
        <v>0</v>
      </c>
      <c r="I185" s="77"/>
      <c r="J185" s="77"/>
      <c r="K185" s="41" t="n">
        <f aca="false">IF(D185&lt;=0.5,0,MIN(H185+N(J185),D185+E185+F185))</f>
        <v>0</v>
      </c>
      <c r="L185" s="41" t="n">
        <f aca="false">K185-E185-F185</f>
        <v>0</v>
      </c>
      <c r="M185" s="41" t="n">
        <f aca="false">D185-L185</f>
        <v>0</v>
      </c>
      <c r="N185" s="42" t="n">
        <f aca="false">K185-G185</f>
        <v>0</v>
      </c>
      <c r="O185" s="78"/>
      <c r="P185" s="79"/>
      <c r="Q185" s="16" t="str">
        <f aca="false">IF(K185=0,"",IF(R185=1,"Pagada",IF(C185&lt;$F$12,"Vencida",IF(159=$F$13,"Próxima","Pendiente"))))</f>
        <v/>
      </c>
      <c r="R185" s="62" t="n">
        <f aca="false">IF(AND(K185&gt;0,OR(O185="Sí",O185="Si")),1,0)</f>
        <v>0</v>
      </c>
      <c r="S185" s="62" t="n">
        <f aca="false">IF(AND(K185&gt;0,R185=0),1,0)</f>
        <v>0</v>
      </c>
    </row>
    <row r="186" customFormat="false" ht="15" hidden="false" customHeight="false" outlineLevel="0" collapsed="false">
      <c r="B186" s="71" t="str">
        <f aca="false">IF($F$6="Sí",N($C$11)+159,"")</f>
        <v/>
      </c>
      <c r="C186" s="72" t="str">
        <f aca="false">IF(OR($F$6&lt;&gt;"Sí",D186&lt;=0.5),"",EDATE($C$10,159))</f>
        <v/>
      </c>
      <c r="D186" s="41" t="n">
        <f aca="false">MAX(0,M185)</f>
        <v>0</v>
      </c>
      <c r="E186" s="41" t="n">
        <f aca="false">D186*$F$7</f>
        <v>0</v>
      </c>
      <c r="F186" s="41" t="n">
        <f aca="false">IF(D186&gt;0.5,N($C$15),0)</f>
        <v>0</v>
      </c>
      <c r="G186" s="41" t="n">
        <f aca="false">IF(AND(D186&gt;0.5,N($C$19)&gt;0,N(B186)&lt;=N($C$20)),D186*$F$8,0)</f>
        <v>0</v>
      </c>
      <c r="H186" s="41" t="n">
        <f aca="false">IF(D186&lt;=0.5,0,MIN(IF(N(I186)&gt;0,I186,$F$9),D186+E186+F186))</f>
        <v>0</v>
      </c>
      <c r="I186" s="77"/>
      <c r="J186" s="77"/>
      <c r="K186" s="41" t="n">
        <f aca="false">IF(D186&lt;=0.5,0,MIN(H186+N(J186),D186+E186+F186))</f>
        <v>0</v>
      </c>
      <c r="L186" s="41" t="n">
        <f aca="false">K186-E186-F186</f>
        <v>0</v>
      </c>
      <c r="M186" s="41" t="n">
        <f aca="false">D186-L186</f>
        <v>0</v>
      </c>
      <c r="N186" s="42" t="n">
        <f aca="false">K186-G186</f>
        <v>0</v>
      </c>
      <c r="O186" s="78"/>
      <c r="P186" s="79"/>
      <c r="Q186" s="16" t="str">
        <f aca="false">IF(K186=0,"",IF(R186=1,"Pagada",IF(C186&lt;$F$12,"Vencida",IF(160=$F$13,"Próxima","Pendiente"))))</f>
        <v/>
      </c>
      <c r="R186" s="62" t="n">
        <f aca="false">IF(AND(K186&gt;0,OR(O186="Sí",O186="Si")),1,0)</f>
        <v>0</v>
      </c>
      <c r="S186" s="62" t="n">
        <f aca="false">IF(AND(K186&gt;0,R186=0),1,0)</f>
        <v>0</v>
      </c>
    </row>
    <row r="187" customFormat="false" ht="15" hidden="false" customHeight="false" outlineLevel="0" collapsed="false">
      <c r="B187" s="71" t="str">
        <f aca="false">IF($F$6="Sí",N($C$11)+160,"")</f>
        <v/>
      </c>
      <c r="C187" s="72" t="str">
        <f aca="false">IF(OR($F$6&lt;&gt;"Sí",D187&lt;=0.5),"",EDATE($C$10,160))</f>
        <v/>
      </c>
      <c r="D187" s="41" t="n">
        <f aca="false">MAX(0,M186)</f>
        <v>0</v>
      </c>
      <c r="E187" s="41" t="n">
        <f aca="false">D187*$F$7</f>
        <v>0</v>
      </c>
      <c r="F187" s="41" t="n">
        <f aca="false">IF(D187&gt;0.5,N($C$15),0)</f>
        <v>0</v>
      </c>
      <c r="G187" s="41" t="n">
        <f aca="false">IF(AND(D187&gt;0.5,N($C$19)&gt;0,N(B187)&lt;=N($C$20)),D187*$F$8,0)</f>
        <v>0</v>
      </c>
      <c r="H187" s="41" t="n">
        <f aca="false">IF(D187&lt;=0.5,0,MIN(IF(N(I187)&gt;0,I187,$F$9),D187+E187+F187))</f>
        <v>0</v>
      </c>
      <c r="I187" s="77"/>
      <c r="J187" s="77"/>
      <c r="K187" s="41" t="n">
        <f aca="false">IF(D187&lt;=0.5,0,MIN(H187+N(J187),D187+E187+F187))</f>
        <v>0</v>
      </c>
      <c r="L187" s="41" t="n">
        <f aca="false">K187-E187-F187</f>
        <v>0</v>
      </c>
      <c r="M187" s="41" t="n">
        <f aca="false">D187-L187</f>
        <v>0</v>
      </c>
      <c r="N187" s="42" t="n">
        <f aca="false">K187-G187</f>
        <v>0</v>
      </c>
      <c r="O187" s="78"/>
      <c r="P187" s="79"/>
      <c r="Q187" s="16" t="str">
        <f aca="false">IF(K187=0,"",IF(R187=1,"Pagada",IF(C187&lt;$F$12,"Vencida",IF(161=$F$13,"Próxima","Pendiente"))))</f>
        <v/>
      </c>
      <c r="R187" s="62" t="n">
        <f aca="false">IF(AND(K187&gt;0,OR(O187="Sí",O187="Si")),1,0)</f>
        <v>0</v>
      </c>
      <c r="S187" s="62" t="n">
        <f aca="false">IF(AND(K187&gt;0,R187=0),1,0)</f>
        <v>0</v>
      </c>
    </row>
    <row r="188" customFormat="false" ht="15" hidden="false" customHeight="false" outlineLevel="0" collapsed="false">
      <c r="B188" s="71" t="str">
        <f aca="false">IF($F$6="Sí",N($C$11)+161,"")</f>
        <v/>
      </c>
      <c r="C188" s="72" t="str">
        <f aca="false">IF(OR($F$6&lt;&gt;"Sí",D188&lt;=0.5),"",EDATE($C$10,161))</f>
        <v/>
      </c>
      <c r="D188" s="41" t="n">
        <f aca="false">MAX(0,M187)</f>
        <v>0</v>
      </c>
      <c r="E188" s="41" t="n">
        <f aca="false">D188*$F$7</f>
        <v>0</v>
      </c>
      <c r="F188" s="41" t="n">
        <f aca="false">IF(D188&gt;0.5,N($C$15),0)</f>
        <v>0</v>
      </c>
      <c r="G188" s="41" t="n">
        <f aca="false">IF(AND(D188&gt;0.5,N($C$19)&gt;0,N(B188)&lt;=N($C$20)),D188*$F$8,0)</f>
        <v>0</v>
      </c>
      <c r="H188" s="41" t="n">
        <f aca="false">IF(D188&lt;=0.5,0,MIN(IF(N(I188)&gt;0,I188,$F$9),D188+E188+F188))</f>
        <v>0</v>
      </c>
      <c r="I188" s="77"/>
      <c r="J188" s="77"/>
      <c r="K188" s="41" t="n">
        <f aca="false">IF(D188&lt;=0.5,0,MIN(H188+N(J188),D188+E188+F188))</f>
        <v>0</v>
      </c>
      <c r="L188" s="41" t="n">
        <f aca="false">K188-E188-F188</f>
        <v>0</v>
      </c>
      <c r="M188" s="41" t="n">
        <f aca="false">D188-L188</f>
        <v>0</v>
      </c>
      <c r="N188" s="42" t="n">
        <f aca="false">K188-G188</f>
        <v>0</v>
      </c>
      <c r="O188" s="78"/>
      <c r="P188" s="79"/>
      <c r="Q188" s="16" t="str">
        <f aca="false">IF(K188=0,"",IF(R188=1,"Pagada",IF(C188&lt;$F$12,"Vencida",IF(162=$F$13,"Próxima","Pendiente"))))</f>
        <v/>
      </c>
      <c r="R188" s="62" t="n">
        <f aca="false">IF(AND(K188&gt;0,OR(O188="Sí",O188="Si")),1,0)</f>
        <v>0</v>
      </c>
      <c r="S188" s="62" t="n">
        <f aca="false">IF(AND(K188&gt;0,R188=0),1,0)</f>
        <v>0</v>
      </c>
    </row>
    <row r="189" customFormat="false" ht="15" hidden="false" customHeight="false" outlineLevel="0" collapsed="false">
      <c r="B189" s="71" t="str">
        <f aca="false">IF($F$6="Sí",N($C$11)+162,"")</f>
        <v/>
      </c>
      <c r="C189" s="72" t="str">
        <f aca="false">IF(OR($F$6&lt;&gt;"Sí",D189&lt;=0.5),"",EDATE($C$10,162))</f>
        <v/>
      </c>
      <c r="D189" s="41" t="n">
        <f aca="false">MAX(0,M188)</f>
        <v>0</v>
      </c>
      <c r="E189" s="41" t="n">
        <f aca="false">D189*$F$7</f>
        <v>0</v>
      </c>
      <c r="F189" s="41" t="n">
        <f aca="false">IF(D189&gt;0.5,N($C$15),0)</f>
        <v>0</v>
      </c>
      <c r="G189" s="41" t="n">
        <f aca="false">IF(AND(D189&gt;0.5,N($C$19)&gt;0,N(B189)&lt;=N($C$20)),D189*$F$8,0)</f>
        <v>0</v>
      </c>
      <c r="H189" s="41" t="n">
        <f aca="false">IF(D189&lt;=0.5,0,MIN(IF(N(I189)&gt;0,I189,$F$9),D189+E189+F189))</f>
        <v>0</v>
      </c>
      <c r="I189" s="77"/>
      <c r="J189" s="77"/>
      <c r="K189" s="41" t="n">
        <f aca="false">IF(D189&lt;=0.5,0,MIN(H189+N(J189),D189+E189+F189))</f>
        <v>0</v>
      </c>
      <c r="L189" s="41" t="n">
        <f aca="false">K189-E189-F189</f>
        <v>0</v>
      </c>
      <c r="M189" s="41" t="n">
        <f aca="false">D189-L189</f>
        <v>0</v>
      </c>
      <c r="N189" s="42" t="n">
        <f aca="false">K189-G189</f>
        <v>0</v>
      </c>
      <c r="O189" s="78"/>
      <c r="P189" s="79"/>
      <c r="Q189" s="16" t="str">
        <f aca="false">IF(K189=0,"",IF(R189=1,"Pagada",IF(C189&lt;$F$12,"Vencida",IF(163=$F$13,"Próxima","Pendiente"))))</f>
        <v/>
      </c>
      <c r="R189" s="62" t="n">
        <f aca="false">IF(AND(K189&gt;0,OR(O189="Sí",O189="Si")),1,0)</f>
        <v>0</v>
      </c>
      <c r="S189" s="62" t="n">
        <f aca="false">IF(AND(K189&gt;0,R189=0),1,0)</f>
        <v>0</v>
      </c>
    </row>
    <row r="190" customFormat="false" ht="15" hidden="false" customHeight="false" outlineLevel="0" collapsed="false">
      <c r="B190" s="71" t="str">
        <f aca="false">IF($F$6="Sí",N($C$11)+163,"")</f>
        <v/>
      </c>
      <c r="C190" s="72" t="str">
        <f aca="false">IF(OR($F$6&lt;&gt;"Sí",D190&lt;=0.5),"",EDATE($C$10,163))</f>
        <v/>
      </c>
      <c r="D190" s="41" t="n">
        <f aca="false">MAX(0,M189)</f>
        <v>0</v>
      </c>
      <c r="E190" s="41" t="n">
        <f aca="false">D190*$F$7</f>
        <v>0</v>
      </c>
      <c r="F190" s="41" t="n">
        <f aca="false">IF(D190&gt;0.5,N($C$15),0)</f>
        <v>0</v>
      </c>
      <c r="G190" s="41" t="n">
        <f aca="false">IF(AND(D190&gt;0.5,N($C$19)&gt;0,N(B190)&lt;=N($C$20)),D190*$F$8,0)</f>
        <v>0</v>
      </c>
      <c r="H190" s="41" t="n">
        <f aca="false">IF(D190&lt;=0.5,0,MIN(IF(N(I190)&gt;0,I190,$F$9),D190+E190+F190))</f>
        <v>0</v>
      </c>
      <c r="I190" s="77"/>
      <c r="J190" s="77"/>
      <c r="K190" s="41" t="n">
        <f aca="false">IF(D190&lt;=0.5,0,MIN(H190+N(J190),D190+E190+F190))</f>
        <v>0</v>
      </c>
      <c r="L190" s="41" t="n">
        <f aca="false">K190-E190-F190</f>
        <v>0</v>
      </c>
      <c r="M190" s="41" t="n">
        <f aca="false">D190-L190</f>
        <v>0</v>
      </c>
      <c r="N190" s="42" t="n">
        <f aca="false">K190-G190</f>
        <v>0</v>
      </c>
      <c r="O190" s="78"/>
      <c r="P190" s="79"/>
      <c r="Q190" s="16" t="str">
        <f aca="false">IF(K190=0,"",IF(R190=1,"Pagada",IF(C190&lt;$F$12,"Vencida",IF(164=$F$13,"Próxima","Pendiente"))))</f>
        <v/>
      </c>
      <c r="R190" s="62" t="n">
        <f aca="false">IF(AND(K190&gt;0,OR(O190="Sí",O190="Si")),1,0)</f>
        <v>0</v>
      </c>
      <c r="S190" s="62" t="n">
        <f aca="false">IF(AND(K190&gt;0,R190=0),1,0)</f>
        <v>0</v>
      </c>
    </row>
    <row r="191" customFormat="false" ht="15" hidden="false" customHeight="false" outlineLevel="0" collapsed="false">
      <c r="B191" s="71" t="str">
        <f aca="false">IF($F$6="Sí",N($C$11)+164,"")</f>
        <v/>
      </c>
      <c r="C191" s="72" t="str">
        <f aca="false">IF(OR($F$6&lt;&gt;"Sí",D191&lt;=0.5),"",EDATE($C$10,164))</f>
        <v/>
      </c>
      <c r="D191" s="41" t="n">
        <f aca="false">MAX(0,M190)</f>
        <v>0</v>
      </c>
      <c r="E191" s="41" t="n">
        <f aca="false">D191*$F$7</f>
        <v>0</v>
      </c>
      <c r="F191" s="41" t="n">
        <f aca="false">IF(D191&gt;0.5,N($C$15),0)</f>
        <v>0</v>
      </c>
      <c r="G191" s="41" t="n">
        <f aca="false">IF(AND(D191&gt;0.5,N($C$19)&gt;0,N(B191)&lt;=N($C$20)),D191*$F$8,0)</f>
        <v>0</v>
      </c>
      <c r="H191" s="41" t="n">
        <f aca="false">IF(D191&lt;=0.5,0,MIN(IF(N(I191)&gt;0,I191,$F$9),D191+E191+F191))</f>
        <v>0</v>
      </c>
      <c r="I191" s="77"/>
      <c r="J191" s="77"/>
      <c r="K191" s="41" t="n">
        <f aca="false">IF(D191&lt;=0.5,0,MIN(H191+N(J191),D191+E191+F191))</f>
        <v>0</v>
      </c>
      <c r="L191" s="41" t="n">
        <f aca="false">K191-E191-F191</f>
        <v>0</v>
      </c>
      <c r="M191" s="41" t="n">
        <f aca="false">D191-L191</f>
        <v>0</v>
      </c>
      <c r="N191" s="42" t="n">
        <f aca="false">K191-G191</f>
        <v>0</v>
      </c>
      <c r="O191" s="78"/>
      <c r="P191" s="79"/>
      <c r="Q191" s="16" t="str">
        <f aca="false">IF(K191=0,"",IF(R191=1,"Pagada",IF(C191&lt;$F$12,"Vencida",IF(165=$F$13,"Próxima","Pendiente"))))</f>
        <v/>
      </c>
      <c r="R191" s="62" t="n">
        <f aca="false">IF(AND(K191&gt;0,OR(O191="Sí",O191="Si")),1,0)</f>
        <v>0</v>
      </c>
      <c r="S191" s="62" t="n">
        <f aca="false">IF(AND(K191&gt;0,R191=0),1,0)</f>
        <v>0</v>
      </c>
    </row>
    <row r="192" customFormat="false" ht="15" hidden="false" customHeight="false" outlineLevel="0" collapsed="false">
      <c r="B192" s="71" t="str">
        <f aca="false">IF($F$6="Sí",N($C$11)+165,"")</f>
        <v/>
      </c>
      <c r="C192" s="72" t="str">
        <f aca="false">IF(OR($F$6&lt;&gt;"Sí",D192&lt;=0.5),"",EDATE($C$10,165))</f>
        <v/>
      </c>
      <c r="D192" s="41" t="n">
        <f aca="false">MAX(0,M191)</f>
        <v>0</v>
      </c>
      <c r="E192" s="41" t="n">
        <f aca="false">D192*$F$7</f>
        <v>0</v>
      </c>
      <c r="F192" s="41" t="n">
        <f aca="false">IF(D192&gt;0.5,N($C$15),0)</f>
        <v>0</v>
      </c>
      <c r="G192" s="41" t="n">
        <f aca="false">IF(AND(D192&gt;0.5,N($C$19)&gt;0,N(B192)&lt;=N($C$20)),D192*$F$8,0)</f>
        <v>0</v>
      </c>
      <c r="H192" s="41" t="n">
        <f aca="false">IF(D192&lt;=0.5,0,MIN(IF(N(I192)&gt;0,I192,$F$9),D192+E192+F192))</f>
        <v>0</v>
      </c>
      <c r="I192" s="77"/>
      <c r="J192" s="77"/>
      <c r="K192" s="41" t="n">
        <f aca="false">IF(D192&lt;=0.5,0,MIN(H192+N(J192),D192+E192+F192))</f>
        <v>0</v>
      </c>
      <c r="L192" s="41" t="n">
        <f aca="false">K192-E192-F192</f>
        <v>0</v>
      </c>
      <c r="M192" s="41" t="n">
        <f aca="false">D192-L192</f>
        <v>0</v>
      </c>
      <c r="N192" s="42" t="n">
        <f aca="false">K192-G192</f>
        <v>0</v>
      </c>
      <c r="O192" s="78"/>
      <c r="P192" s="79"/>
      <c r="Q192" s="16" t="str">
        <f aca="false">IF(K192=0,"",IF(R192=1,"Pagada",IF(C192&lt;$F$12,"Vencida",IF(166=$F$13,"Próxima","Pendiente"))))</f>
        <v/>
      </c>
      <c r="R192" s="62" t="n">
        <f aca="false">IF(AND(K192&gt;0,OR(O192="Sí",O192="Si")),1,0)</f>
        <v>0</v>
      </c>
      <c r="S192" s="62" t="n">
        <f aca="false">IF(AND(K192&gt;0,R192=0),1,0)</f>
        <v>0</v>
      </c>
    </row>
    <row r="193" customFormat="false" ht="15" hidden="false" customHeight="false" outlineLevel="0" collapsed="false">
      <c r="B193" s="71" t="str">
        <f aca="false">IF($F$6="Sí",N($C$11)+166,"")</f>
        <v/>
      </c>
      <c r="C193" s="72" t="str">
        <f aca="false">IF(OR($F$6&lt;&gt;"Sí",D193&lt;=0.5),"",EDATE($C$10,166))</f>
        <v/>
      </c>
      <c r="D193" s="41" t="n">
        <f aca="false">MAX(0,M192)</f>
        <v>0</v>
      </c>
      <c r="E193" s="41" t="n">
        <f aca="false">D193*$F$7</f>
        <v>0</v>
      </c>
      <c r="F193" s="41" t="n">
        <f aca="false">IF(D193&gt;0.5,N($C$15),0)</f>
        <v>0</v>
      </c>
      <c r="G193" s="41" t="n">
        <f aca="false">IF(AND(D193&gt;0.5,N($C$19)&gt;0,N(B193)&lt;=N($C$20)),D193*$F$8,0)</f>
        <v>0</v>
      </c>
      <c r="H193" s="41" t="n">
        <f aca="false">IF(D193&lt;=0.5,0,MIN(IF(N(I193)&gt;0,I193,$F$9),D193+E193+F193))</f>
        <v>0</v>
      </c>
      <c r="I193" s="77"/>
      <c r="J193" s="77"/>
      <c r="K193" s="41" t="n">
        <f aca="false">IF(D193&lt;=0.5,0,MIN(H193+N(J193),D193+E193+F193))</f>
        <v>0</v>
      </c>
      <c r="L193" s="41" t="n">
        <f aca="false">K193-E193-F193</f>
        <v>0</v>
      </c>
      <c r="M193" s="41" t="n">
        <f aca="false">D193-L193</f>
        <v>0</v>
      </c>
      <c r="N193" s="42" t="n">
        <f aca="false">K193-G193</f>
        <v>0</v>
      </c>
      <c r="O193" s="78"/>
      <c r="P193" s="79"/>
      <c r="Q193" s="16" t="str">
        <f aca="false">IF(K193=0,"",IF(R193=1,"Pagada",IF(C193&lt;$F$12,"Vencida",IF(167=$F$13,"Próxima","Pendiente"))))</f>
        <v/>
      </c>
      <c r="R193" s="62" t="n">
        <f aca="false">IF(AND(K193&gt;0,OR(O193="Sí",O193="Si")),1,0)</f>
        <v>0</v>
      </c>
      <c r="S193" s="62" t="n">
        <f aca="false">IF(AND(K193&gt;0,R193=0),1,0)</f>
        <v>0</v>
      </c>
    </row>
    <row r="194" customFormat="false" ht="15" hidden="false" customHeight="false" outlineLevel="0" collapsed="false">
      <c r="B194" s="71" t="str">
        <f aca="false">IF($F$6="Sí",N($C$11)+167,"")</f>
        <v/>
      </c>
      <c r="C194" s="72" t="str">
        <f aca="false">IF(OR($F$6&lt;&gt;"Sí",D194&lt;=0.5),"",EDATE($C$10,167))</f>
        <v/>
      </c>
      <c r="D194" s="41" t="n">
        <f aca="false">MAX(0,M193)</f>
        <v>0</v>
      </c>
      <c r="E194" s="41" t="n">
        <f aca="false">D194*$F$7</f>
        <v>0</v>
      </c>
      <c r="F194" s="41" t="n">
        <f aca="false">IF(D194&gt;0.5,N($C$15),0)</f>
        <v>0</v>
      </c>
      <c r="G194" s="41" t="n">
        <f aca="false">IF(AND(D194&gt;0.5,N($C$19)&gt;0,N(B194)&lt;=N($C$20)),D194*$F$8,0)</f>
        <v>0</v>
      </c>
      <c r="H194" s="41" t="n">
        <f aca="false">IF(D194&lt;=0.5,0,MIN(IF(N(I194)&gt;0,I194,$F$9),D194+E194+F194))</f>
        <v>0</v>
      </c>
      <c r="I194" s="77"/>
      <c r="J194" s="77"/>
      <c r="K194" s="41" t="n">
        <f aca="false">IF(D194&lt;=0.5,0,MIN(H194+N(J194),D194+E194+F194))</f>
        <v>0</v>
      </c>
      <c r="L194" s="41" t="n">
        <f aca="false">K194-E194-F194</f>
        <v>0</v>
      </c>
      <c r="M194" s="41" t="n">
        <f aca="false">D194-L194</f>
        <v>0</v>
      </c>
      <c r="N194" s="42" t="n">
        <f aca="false">K194-G194</f>
        <v>0</v>
      </c>
      <c r="O194" s="78"/>
      <c r="P194" s="79"/>
      <c r="Q194" s="16" t="str">
        <f aca="false">IF(K194=0,"",IF(R194=1,"Pagada",IF(C194&lt;$F$12,"Vencida",IF(168=$F$13,"Próxima","Pendiente"))))</f>
        <v/>
      </c>
      <c r="R194" s="62" t="n">
        <f aca="false">IF(AND(K194&gt;0,OR(O194="Sí",O194="Si")),1,0)</f>
        <v>0</v>
      </c>
      <c r="S194" s="62" t="n">
        <f aca="false">IF(AND(K194&gt;0,R194=0),1,0)</f>
        <v>0</v>
      </c>
    </row>
    <row r="195" customFormat="false" ht="15" hidden="false" customHeight="false" outlineLevel="0" collapsed="false">
      <c r="B195" s="71" t="str">
        <f aca="false">IF($F$6="Sí",N($C$11)+168,"")</f>
        <v/>
      </c>
      <c r="C195" s="72" t="str">
        <f aca="false">IF(OR($F$6&lt;&gt;"Sí",D195&lt;=0.5),"",EDATE($C$10,168))</f>
        <v/>
      </c>
      <c r="D195" s="41" t="n">
        <f aca="false">MAX(0,M194)</f>
        <v>0</v>
      </c>
      <c r="E195" s="41" t="n">
        <f aca="false">D195*$F$7</f>
        <v>0</v>
      </c>
      <c r="F195" s="41" t="n">
        <f aca="false">IF(D195&gt;0.5,N($C$15),0)</f>
        <v>0</v>
      </c>
      <c r="G195" s="41" t="n">
        <f aca="false">IF(AND(D195&gt;0.5,N($C$19)&gt;0,N(B195)&lt;=N($C$20)),D195*$F$8,0)</f>
        <v>0</v>
      </c>
      <c r="H195" s="41" t="n">
        <f aca="false">IF(D195&lt;=0.5,0,MIN(IF(N(I195)&gt;0,I195,$F$9),D195+E195+F195))</f>
        <v>0</v>
      </c>
      <c r="I195" s="77"/>
      <c r="J195" s="77"/>
      <c r="K195" s="41" t="n">
        <f aca="false">IF(D195&lt;=0.5,0,MIN(H195+N(J195),D195+E195+F195))</f>
        <v>0</v>
      </c>
      <c r="L195" s="41" t="n">
        <f aca="false">K195-E195-F195</f>
        <v>0</v>
      </c>
      <c r="M195" s="41" t="n">
        <f aca="false">D195-L195</f>
        <v>0</v>
      </c>
      <c r="N195" s="42" t="n">
        <f aca="false">K195-G195</f>
        <v>0</v>
      </c>
      <c r="O195" s="78"/>
      <c r="P195" s="79"/>
      <c r="Q195" s="16" t="str">
        <f aca="false">IF(K195=0,"",IF(R195=1,"Pagada",IF(C195&lt;$F$12,"Vencida",IF(169=$F$13,"Próxima","Pendiente"))))</f>
        <v/>
      </c>
      <c r="R195" s="62" t="n">
        <f aca="false">IF(AND(K195&gt;0,OR(O195="Sí",O195="Si")),1,0)</f>
        <v>0</v>
      </c>
      <c r="S195" s="62" t="n">
        <f aca="false">IF(AND(K195&gt;0,R195=0),1,0)</f>
        <v>0</v>
      </c>
    </row>
    <row r="196" customFormat="false" ht="15" hidden="false" customHeight="false" outlineLevel="0" collapsed="false">
      <c r="B196" s="71" t="str">
        <f aca="false">IF($F$6="Sí",N($C$11)+169,"")</f>
        <v/>
      </c>
      <c r="C196" s="72" t="str">
        <f aca="false">IF(OR($F$6&lt;&gt;"Sí",D196&lt;=0.5),"",EDATE($C$10,169))</f>
        <v/>
      </c>
      <c r="D196" s="41" t="n">
        <f aca="false">MAX(0,M195)</f>
        <v>0</v>
      </c>
      <c r="E196" s="41" t="n">
        <f aca="false">D196*$F$7</f>
        <v>0</v>
      </c>
      <c r="F196" s="41" t="n">
        <f aca="false">IF(D196&gt;0.5,N($C$15),0)</f>
        <v>0</v>
      </c>
      <c r="G196" s="41" t="n">
        <f aca="false">IF(AND(D196&gt;0.5,N($C$19)&gt;0,N(B196)&lt;=N($C$20)),D196*$F$8,0)</f>
        <v>0</v>
      </c>
      <c r="H196" s="41" t="n">
        <f aca="false">IF(D196&lt;=0.5,0,MIN(IF(N(I196)&gt;0,I196,$F$9),D196+E196+F196))</f>
        <v>0</v>
      </c>
      <c r="I196" s="77"/>
      <c r="J196" s="77"/>
      <c r="K196" s="41" t="n">
        <f aca="false">IF(D196&lt;=0.5,0,MIN(H196+N(J196),D196+E196+F196))</f>
        <v>0</v>
      </c>
      <c r="L196" s="41" t="n">
        <f aca="false">K196-E196-F196</f>
        <v>0</v>
      </c>
      <c r="M196" s="41" t="n">
        <f aca="false">D196-L196</f>
        <v>0</v>
      </c>
      <c r="N196" s="42" t="n">
        <f aca="false">K196-G196</f>
        <v>0</v>
      </c>
      <c r="O196" s="78"/>
      <c r="P196" s="79"/>
      <c r="Q196" s="16" t="str">
        <f aca="false">IF(K196=0,"",IF(R196=1,"Pagada",IF(C196&lt;$F$12,"Vencida",IF(170=$F$13,"Próxima","Pendiente"))))</f>
        <v/>
      </c>
      <c r="R196" s="62" t="n">
        <f aca="false">IF(AND(K196&gt;0,OR(O196="Sí",O196="Si")),1,0)</f>
        <v>0</v>
      </c>
      <c r="S196" s="62" t="n">
        <f aca="false">IF(AND(K196&gt;0,R196=0),1,0)</f>
        <v>0</v>
      </c>
    </row>
    <row r="197" customFormat="false" ht="15" hidden="false" customHeight="false" outlineLevel="0" collapsed="false">
      <c r="B197" s="71" t="str">
        <f aca="false">IF($F$6="Sí",N($C$11)+170,"")</f>
        <v/>
      </c>
      <c r="C197" s="72" t="str">
        <f aca="false">IF(OR($F$6&lt;&gt;"Sí",D197&lt;=0.5),"",EDATE($C$10,170))</f>
        <v/>
      </c>
      <c r="D197" s="41" t="n">
        <f aca="false">MAX(0,M196)</f>
        <v>0</v>
      </c>
      <c r="E197" s="41" t="n">
        <f aca="false">D197*$F$7</f>
        <v>0</v>
      </c>
      <c r="F197" s="41" t="n">
        <f aca="false">IF(D197&gt;0.5,N($C$15),0)</f>
        <v>0</v>
      </c>
      <c r="G197" s="41" t="n">
        <f aca="false">IF(AND(D197&gt;0.5,N($C$19)&gt;0,N(B197)&lt;=N($C$20)),D197*$F$8,0)</f>
        <v>0</v>
      </c>
      <c r="H197" s="41" t="n">
        <f aca="false">IF(D197&lt;=0.5,0,MIN(IF(N(I197)&gt;0,I197,$F$9),D197+E197+F197))</f>
        <v>0</v>
      </c>
      <c r="I197" s="77"/>
      <c r="J197" s="77"/>
      <c r="K197" s="41" t="n">
        <f aca="false">IF(D197&lt;=0.5,0,MIN(H197+N(J197),D197+E197+F197))</f>
        <v>0</v>
      </c>
      <c r="L197" s="41" t="n">
        <f aca="false">K197-E197-F197</f>
        <v>0</v>
      </c>
      <c r="M197" s="41" t="n">
        <f aca="false">D197-L197</f>
        <v>0</v>
      </c>
      <c r="N197" s="42" t="n">
        <f aca="false">K197-G197</f>
        <v>0</v>
      </c>
      <c r="O197" s="78"/>
      <c r="P197" s="79"/>
      <c r="Q197" s="16" t="str">
        <f aca="false">IF(K197=0,"",IF(R197=1,"Pagada",IF(C197&lt;$F$12,"Vencida",IF(171=$F$13,"Próxima","Pendiente"))))</f>
        <v/>
      </c>
      <c r="R197" s="62" t="n">
        <f aca="false">IF(AND(K197&gt;0,OR(O197="Sí",O197="Si")),1,0)</f>
        <v>0</v>
      </c>
      <c r="S197" s="62" t="n">
        <f aca="false">IF(AND(K197&gt;0,R197=0),1,0)</f>
        <v>0</v>
      </c>
    </row>
    <row r="198" customFormat="false" ht="15" hidden="false" customHeight="false" outlineLevel="0" collapsed="false">
      <c r="B198" s="71" t="str">
        <f aca="false">IF($F$6="Sí",N($C$11)+171,"")</f>
        <v/>
      </c>
      <c r="C198" s="72" t="str">
        <f aca="false">IF(OR($F$6&lt;&gt;"Sí",D198&lt;=0.5),"",EDATE($C$10,171))</f>
        <v/>
      </c>
      <c r="D198" s="41" t="n">
        <f aca="false">MAX(0,M197)</f>
        <v>0</v>
      </c>
      <c r="E198" s="41" t="n">
        <f aca="false">D198*$F$7</f>
        <v>0</v>
      </c>
      <c r="F198" s="41" t="n">
        <f aca="false">IF(D198&gt;0.5,N($C$15),0)</f>
        <v>0</v>
      </c>
      <c r="G198" s="41" t="n">
        <f aca="false">IF(AND(D198&gt;0.5,N($C$19)&gt;0,N(B198)&lt;=N($C$20)),D198*$F$8,0)</f>
        <v>0</v>
      </c>
      <c r="H198" s="41" t="n">
        <f aca="false">IF(D198&lt;=0.5,0,MIN(IF(N(I198)&gt;0,I198,$F$9),D198+E198+F198))</f>
        <v>0</v>
      </c>
      <c r="I198" s="77"/>
      <c r="J198" s="77"/>
      <c r="K198" s="41" t="n">
        <f aca="false">IF(D198&lt;=0.5,0,MIN(H198+N(J198),D198+E198+F198))</f>
        <v>0</v>
      </c>
      <c r="L198" s="41" t="n">
        <f aca="false">K198-E198-F198</f>
        <v>0</v>
      </c>
      <c r="M198" s="41" t="n">
        <f aca="false">D198-L198</f>
        <v>0</v>
      </c>
      <c r="N198" s="42" t="n">
        <f aca="false">K198-G198</f>
        <v>0</v>
      </c>
      <c r="O198" s="78"/>
      <c r="P198" s="79"/>
      <c r="Q198" s="16" t="str">
        <f aca="false">IF(K198=0,"",IF(R198=1,"Pagada",IF(C198&lt;$F$12,"Vencida",IF(172=$F$13,"Próxima","Pendiente"))))</f>
        <v/>
      </c>
      <c r="R198" s="62" t="n">
        <f aca="false">IF(AND(K198&gt;0,OR(O198="Sí",O198="Si")),1,0)</f>
        <v>0</v>
      </c>
      <c r="S198" s="62" t="n">
        <f aca="false">IF(AND(K198&gt;0,R198=0),1,0)</f>
        <v>0</v>
      </c>
    </row>
    <row r="199" customFormat="false" ht="15" hidden="false" customHeight="false" outlineLevel="0" collapsed="false">
      <c r="B199" s="71" t="str">
        <f aca="false">IF($F$6="Sí",N($C$11)+172,"")</f>
        <v/>
      </c>
      <c r="C199" s="72" t="str">
        <f aca="false">IF(OR($F$6&lt;&gt;"Sí",D199&lt;=0.5),"",EDATE($C$10,172))</f>
        <v/>
      </c>
      <c r="D199" s="41" t="n">
        <f aca="false">MAX(0,M198)</f>
        <v>0</v>
      </c>
      <c r="E199" s="41" t="n">
        <f aca="false">D199*$F$7</f>
        <v>0</v>
      </c>
      <c r="F199" s="41" t="n">
        <f aca="false">IF(D199&gt;0.5,N($C$15),0)</f>
        <v>0</v>
      </c>
      <c r="G199" s="41" t="n">
        <f aca="false">IF(AND(D199&gt;0.5,N($C$19)&gt;0,N(B199)&lt;=N($C$20)),D199*$F$8,0)</f>
        <v>0</v>
      </c>
      <c r="H199" s="41" t="n">
        <f aca="false">IF(D199&lt;=0.5,0,MIN(IF(N(I199)&gt;0,I199,$F$9),D199+E199+F199))</f>
        <v>0</v>
      </c>
      <c r="I199" s="77"/>
      <c r="J199" s="77"/>
      <c r="K199" s="41" t="n">
        <f aca="false">IF(D199&lt;=0.5,0,MIN(H199+N(J199),D199+E199+F199))</f>
        <v>0</v>
      </c>
      <c r="L199" s="41" t="n">
        <f aca="false">K199-E199-F199</f>
        <v>0</v>
      </c>
      <c r="M199" s="41" t="n">
        <f aca="false">D199-L199</f>
        <v>0</v>
      </c>
      <c r="N199" s="42" t="n">
        <f aca="false">K199-G199</f>
        <v>0</v>
      </c>
      <c r="O199" s="78"/>
      <c r="P199" s="79"/>
      <c r="Q199" s="16" t="str">
        <f aca="false">IF(K199=0,"",IF(R199=1,"Pagada",IF(C199&lt;$F$12,"Vencida",IF(173=$F$13,"Próxima","Pendiente"))))</f>
        <v/>
      </c>
      <c r="R199" s="62" t="n">
        <f aca="false">IF(AND(K199&gt;0,OR(O199="Sí",O199="Si")),1,0)</f>
        <v>0</v>
      </c>
      <c r="S199" s="62" t="n">
        <f aca="false">IF(AND(K199&gt;0,R199=0),1,0)</f>
        <v>0</v>
      </c>
    </row>
    <row r="200" customFormat="false" ht="15" hidden="false" customHeight="false" outlineLevel="0" collapsed="false">
      <c r="B200" s="71" t="str">
        <f aca="false">IF($F$6="Sí",N($C$11)+173,"")</f>
        <v/>
      </c>
      <c r="C200" s="72" t="str">
        <f aca="false">IF(OR($F$6&lt;&gt;"Sí",D200&lt;=0.5),"",EDATE($C$10,173))</f>
        <v/>
      </c>
      <c r="D200" s="41" t="n">
        <f aca="false">MAX(0,M199)</f>
        <v>0</v>
      </c>
      <c r="E200" s="41" t="n">
        <f aca="false">D200*$F$7</f>
        <v>0</v>
      </c>
      <c r="F200" s="41" t="n">
        <f aca="false">IF(D200&gt;0.5,N($C$15),0)</f>
        <v>0</v>
      </c>
      <c r="G200" s="41" t="n">
        <f aca="false">IF(AND(D200&gt;0.5,N($C$19)&gt;0,N(B200)&lt;=N($C$20)),D200*$F$8,0)</f>
        <v>0</v>
      </c>
      <c r="H200" s="41" t="n">
        <f aca="false">IF(D200&lt;=0.5,0,MIN(IF(N(I200)&gt;0,I200,$F$9),D200+E200+F200))</f>
        <v>0</v>
      </c>
      <c r="I200" s="77"/>
      <c r="J200" s="77"/>
      <c r="K200" s="41" t="n">
        <f aca="false">IF(D200&lt;=0.5,0,MIN(H200+N(J200),D200+E200+F200))</f>
        <v>0</v>
      </c>
      <c r="L200" s="41" t="n">
        <f aca="false">K200-E200-F200</f>
        <v>0</v>
      </c>
      <c r="M200" s="41" t="n">
        <f aca="false">D200-L200</f>
        <v>0</v>
      </c>
      <c r="N200" s="42" t="n">
        <f aca="false">K200-G200</f>
        <v>0</v>
      </c>
      <c r="O200" s="78"/>
      <c r="P200" s="79"/>
      <c r="Q200" s="16" t="str">
        <f aca="false">IF(K200=0,"",IF(R200=1,"Pagada",IF(C200&lt;$F$12,"Vencida",IF(174=$F$13,"Próxima","Pendiente"))))</f>
        <v/>
      </c>
      <c r="R200" s="62" t="n">
        <f aca="false">IF(AND(K200&gt;0,OR(O200="Sí",O200="Si")),1,0)</f>
        <v>0</v>
      </c>
      <c r="S200" s="62" t="n">
        <f aca="false">IF(AND(K200&gt;0,R200=0),1,0)</f>
        <v>0</v>
      </c>
    </row>
    <row r="201" customFormat="false" ht="15" hidden="false" customHeight="false" outlineLevel="0" collapsed="false">
      <c r="B201" s="71" t="str">
        <f aca="false">IF($F$6="Sí",N($C$11)+174,"")</f>
        <v/>
      </c>
      <c r="C201" s="72" t="str">
        <f aca="false">IF(OR($F$6&lt;&gt;"Sí",D201&lt;=0.5),"",EDATE($C$10,174))</f>
        <v/>
      </c>
      <c r="D201" s="41" t="n">
        <f aca="false">MAX(0,M200)</f>
        <v>0</v>
      </c>
      <c r="E201" s="41" t="n">
        <f aca="false">D201*$F$7</f>
        <v>0</v>
      </c>
      <c r="F201" s="41" t="n">
        <f aca="false">IF(D201&gt;0.5,N($C$15),0)</f>
        <v>0</v>
      </c>
      <c r="G201" s="41" t="n">
        <f aca="false">IF(AND(D201&gt;0.5,N($C$19)&gt;0,N(B201)&lt;=N($C$20)),D201*$F$8,0)</f>
        <v>0</v>
      </c>
      <c r="H201" s="41" t="n">
        <f aca="false">IF(D201&lt;=0.5,0,MIN(IF(N(I201)&gt;0,I201,$F$9),D201+E201+F201))</f>
        <v>0</v>
      </c>
      <c r="I201" s="77"/>
      <c r="J201" s="77"/>
      <c r="K201" s="41" t="n">
        <f aca="false">IF(D201&lt;=0.5,0,MIN(H201+N(J201),D201+E201+F201))</f>
        <v>0</v>
      </c>
      <c r="L201" s="41" t="n">
        <f aca="false">K201-E201-F201</f>
        <v>0</v>
      </c>
      <c r="M201" s="41" t="n">
        <f aca="false">D201-L201</f>
        <v>0</v>
      </c>
      <c r="N201" s="42" t="n">
        <f aca="false">K201-G201</f>
        <v>0</v>
      </c>
      <c r="O201" s="78"/>
      <c r="P201" s="79"/>
      <c r="Q201" s="16" t="str">
        <f aca="false">IF(K201=0,"",IF(R201=1,"Pagada",IF(C201&lt;$F$12,"Vencida",IF(175=$F$13,"Próxima","Pendiente"))))</f>
        <v/>
      </c>
      <c r="R201" s="62" t="n">
        <f aca="false">IF(AND(K201&gt;0,OR(O201="Sí",O201="Si")),1,0)</f>
        <v>0</v>
      </c>
      <c r="S201" s="62" t="n">
        <f aca="false">IF(AND(K201&gt;0,R201=0),1,0)</f>
        <v>0</v>
      </c>
    </row>
    <row r="202" customFormat="false" ht="15" hidden="false" customHeight="false" outlineLevel="0" collapsed="false">
      <c r="B202" s="71" t="str">
        <f aca="false">IF($F$6="Sí",N($C$11)+175,"")</f>
        <v/>
      </c>
      <c r="C202" s="72" t="str">
        <f aca="false">IF(OR($F$6&lt;&gt;"Sí",D202&lt;=0.5),"",EDATE($C$10,175))</f>
        <v/>
      </c>
      <c r="D202" s="41" t="n">
        <f aca="false">MAX(0,M201)</f>
        <v>0</v>
      </c>
      <c r="E202" s="41" t="n">
        <f aca="false">D202*$F$7</f>
        <v>0</v>
      </c>
      <c r="F202" s="41" t="n">
        <f aca="false">IF(D202&gt;0.5,N($C$15),0)</f>
        <v>0</v>
      </c>
      <c r="G202" s="41" t="n">
        <f aca="false">IF(AND(D202&gt;0.5,N($C$19)&gt;0,N(B202)&lt;=N($C$20)),D202*$F$8,0)</f>
        <v>0</v>
      </c>
      <c r="H202" s="41" t="n">
        <f aca="false">IF(D202&lt;=0.5,0,MIN(IF(N(I202)&gt;0,I202,$F$9),D202+E202+F202))</f>
        <v>0</v>
      </c>
      <c r="I202" s="77"/>
      <c r="J202" s="77"/>
      <c r="K202" s="41" t="n">
        <f aca="false">IF(D202&lt;=0.5,0,MIN(H202+N(J202),D202+E202+F202))</f>
        <v>0</v>
      </c>
      <c r="L202" s="41" t="n">
        <f aca="false">K202-E202-F202</f>
        <v>0</v>
      </c>
      <c r="M202" s="41" t="n">
        <f aca="false">D202-L202</f>
        <v>0</v>
      </c>
      <c r="N202" s="42" t="n">
        <f aca="false">K202-G202</f>
        <v>0</v>
      </c>
      <c r="O202" s="78"/>
      <c r="P202" s="79"/>
      <c r="Q202" s="16" t="str">
        <f aca="false">IF(K202=0,"",IF(R202=1,"Pagada",IF(C202&lt;$F$12,"Vencida",IF(176=$F$13,"Próxima","Pendiente"))))</f>
        <v/>
      </c>
      <c r="R202" s="62" t="n">
        <f aca="false">IF(AND(K202&gt;0,OR(O202="Sí",O202="Si")),1,0)</f>
        <v>0</v>
      </c>
      <c r="S202" s="62" t="n">
        <f aca="false">IF(AND(K202&gt;0,R202=0),1,0)</f>
        <v>0</v>
      </c>
    </row>
    <row r="203" customFormat="false" ht="15" hidden="false" customHeight="false" outlineLevel="0" collapsed="false">
      <c r="B203" s="71" t="str">
        <f aca="false">IF($F$6="Sí",N($C$11)+176,"")</f>
        <v/>
      </c>
      <c r="C203" s="72" t="str">
        <f aca="false">IF(OR($F$6&lt;&gt;"Sí",D203&lt;=0.5),"",EDATE($C$10,176))</f>
        <v/>
      </c>
      <c r="D203" s="41" t="n">
        <f aca="false">MAX(0,M202)</f>
        <v>0</v>
      </c>
      <c r="E203" s="41" t="n">
        <f aca="false">D203*$F$7</f>
        <v>0</v>
      </c>
      <c r="F203" s="41" t="n">
        <f aca="false">IF(D203&gt;0.5,N($C$15),0)</f>
        <v>0</v>
      </c>
      <c r="G203" s="41" t="n">
        <f aca="false">IF(AND(D203&gt;0.5,N($C$19)&gt;0,N(B203)&lt;=N($C$20)),D203*$F$8,0)</f>
        <v>0</v>
      </c>
      <c r="H203" s="41" t="n">
        <f aca="false">IF(D203&lt;=0.5,0,MIN(IF(N(I203)&gt;0,I203,$F$9),D203+E203+F203))</f>
        <v>0</v>
      </c>
      <c r="I203" s="77"/>
      <c r="J203" s="77"/>
      <c r="K203" s="41" t="n">
        <f aca="false">IF(D203&lt;=0.5,0,MIN(H203+N(J203),D203+E203+F203))</f>
        <v>0</v>
      </c>
      <c r="L203" s="41" t="n">
        <f aca="false">K203-E203-F203</f>
        <v>0</v>
      </c>
      <c r="M203" s="41" t="n">
        <f aca="false">D203-L203</f>
        <v>0</v>
      </c>
      <c r="N203" s="42" t="n">
        <f aca="false">K203-G203</f>
        <v>0</v>
      </c>
      <c r="O203" s="78"/>
      <c r="P203" s="79"/>
      <c r="Q203" s="16" t="str">
        <f aca="false">IF(K203=0,"",IF(R203=1,"Pagada",IF(C203&lt;$F$12,"Vencida",IF(177=$F$13,"Próxima","Pendiente"))))</f>
        <v/>
      </c>
      <c r="R203" s="62" t="n">
        <f aca="false">IF(AND(K203&gt;0,OR(O203="Sí",O203="Si")),1,0)</f>
        <v>0</v>
      </c>
      <c r="S203" s="62" t="n">
        <f aca="false">IF(AND(K203&gt;0,R203=0),1,0)</f>
        <v>0</v>
      </c>
    </row>
    <row r="204" customFormat="false" ht="15" hidden="false" customHeight="false" outlineLevel="0" collapsed="false">
      <c r="B204" s="71" t="str">
        <f aca="false">IF($F$6="Sí",N($C$11)+177,"")</f>
        <v/>
      </c>
      <c r="C204" s="72" t="str">
        <f aca="false">IF(OR($F$6&lt;&gt;"Sí",D204&lt;=0.5),"",EDATE($C$10,177))</f>
        <v/>
      </c>
      <c r="D204" s="41" t="n">
        <f aca="false">MAX(0,M203)</f>
        <v>0</v>
      </c>
      <c r="E204" s="41" t="n">
        <f aca="false">D204*$F$7</f>
        <v>0</v>
      </c>
      <c r="F204" s="41" t="n">
        <f aca="false">IF(D204&gt;0.5,N($C$15),0)</f>
        <v>0</v>
      </c>
      <c r="G204" s="41" t="n">
        <f aca="false">IF(AND(D204&gt;0.5,N($C$19)&gt;0,N(B204)&lt;=N($C$20)),D204*$F$8,0)</f>
        <v>0</v>
      </c>
      <c r="H204" s="41" t="n">
        <f aca="false">IF(D204&lt;=0.5,0,MIN(IF(N(I204)&gt;0,I204,$F$9),D204+E204+F204))</f>
        <v>0</v>
      </c>
      <c r="I204" s="77"/>
      <c r="J204" s="77"/>
      <c r="K204" s="41" t="n">
        <f aca="false">IF(D204&lt;=0.5,0,MIN(H204+N(J204),D204+E204+F204))</f>
        <v>0</v>
      </c>
      <c r="L204" s="41" t="n">
        <f aca="false">K204-E204-F204</f>
        <v>0</v>
      </c>
      <c r="M204" s="41" t="n">
        <f aca="false">D204-L204</f>
        <v>0</v>
      </c>
      <c r="N204" s="42" t="n">
        <f aca="false">K204-G204</f>
        <v>0</v>
      </c>
      <c r="O204" s="78"/>
      <c r="P204" s="79"/>
      <c r="Q204" s="16" t="str">
        <f aca="false">IF(K204=0,"",IF(R204=1,"Pagada",IF(C204&lt;$F$12,"Vencida",IF(178=$F$13,"Próxima","Pendiente"))))</f>
        <v/>
      </c>
      <c r="R204" s="62" t="n">
        <f aca="false">IF(AND(K204&gt;0,OR(O204="Sí",O204="Si")),1,0)</f>
        <v>0</v>
      </c>
      <c r="S204" s="62" t="n">
        <f aca="false">IF(AND(K204&gt;0,R204=0),1,0)</f>
        <v>0</v>
      </c>
    </row>
    <row r="205" customFormat="false" ht="15" hidden="false" customHeight="false" outlineLevel="0" collapsed="false">
      <c r="B205" s="71" t="str">
        <f aca="false">IF($F$6="Sí",N($C$11)+178,"")</f>
        <v/>
      </c>
      <c r="C205" s="72" t="str">
        <f aca="false">IF(OR($F$6&lt;&gt;"Sí",D205&lt;=0.5),"",EDATE($C$10,178))</f>
        <v/>
      </c>
      <c r="D205" s="41" t="n">
        <f aca="false">MAX(0,M204)</f>
        <v>0</v>
      </c>
      <c r="E205" s="41" t="n">
        <f aca="false">D205*$F$7</f>
        <v>0</v>
      </c>
      <c r="F205" s="41" t="n">
        <f aca="false">IF(D205&gt;0.5,N($C$15),0)</f>
        <v>0</v>
      </c>
      <c r="G205" s="41" t="n">
        <f aca="false">IF(AND(D205&gt;0.5,N($C$19)&gt;0,N(B205)&lt;=N($C$20)),D205*$F$8,0)</f>
        <v>0</v>
      </c>
      <c r="H205" s="41" t="n">
        <f aca="false">IF(D205&lt;=0.5,0,MIN(IF(N(I205)&gt;0,I205,$F$9),D205+E205+F205))</f>
        <v>0</v>
      </c>
      <c r="I205" s="77"/>
      <c r="J205" s="77"/>
      <c r="K205" s="41" t="n">
        <f aca="false">IF(D205&lt;=0.5,0,MIN(H205+N(J205),D205+E205+F205))</f>
        <v>0</v>
      </c>
      <c r="L205" s="41" t="n">
        <f aca="false">K205-E205-F205</f>
        <v>0</v>
      </c>
      <c r="M205" s="41" t="n">
        <f aca="false">D205-L205</f>
        <v>0</v>
      </c>
      <c r="N205" s="42" t="n">
        <f aca="false">K205-G205</f>
        <v>0</v>
      </c>
      <c r="O205" s="78"/>
      <c r="P205" s="79"/>
      <c r="Q205" s="16" t="str">
        <f aca="false">IF(K205=0,"",IF(R205=1,"Pagada",IF(C205&lt;$F$12,"Vencida",IF(179=$F$13,"Próxima","Pendiente"))))</f>
        <v/>
      </c>
      <c r="R205" s="62" t="n">
        <f aca="false">IF(AND(K205&gt;0,OR(O205="Sí",O205="Si")),1,0)</f>
        <v>0</v>
      </c>
      <c r="S205" s="62" t="n">
        <f aca="false">IF(AND(K205&gt;0,R205=0),1,0)</f>
        <v>0</v>
      </c>
    </row>
    <row r="206" customFormat="false" ht="15" hidden="false" customHeight="false" outlineLevel="0" collapsed="false">
      <c r="B206" s="71" t="str">
        <f aca="false">IF($F$6="Sí",N($C$11)+179,"")</f>
        <v/>
      </c>
      <c r="C206" s="72" t="str">
        <f aca="false">IF(OR($F$6&lt;&gt;"Sí",D206&lt;=0.5),"",EDATE($C$10,179))</f>
        <v/>
      </c>
      <c r="D206" s="41" t="n">
        <f aca="false">MAX(0,M205)</f>
        <v>0</v>
      </c>
      <c r="E206" s="41" t="n">
        <f aca="false">D206*$F$7</f>
        <v>0</v>
      </c>
      <c r="F206" s="41" t="n">
        <f aca="false">IF(D206&gt;0.5,N($C$15),0)</f>
        <v>0</v>
      </c>
      <c r="G206" s="41" t="n">
        <f aca="false">IF(AND(D206&gt;0.5,N($C$19)&gt;0,N(B206)&lt;=N($C$20)),D206*$F$8,0)</f>
        <v>0</v>
      </c>
      <c r="H206" s="41" t="n">
        <f aca="false">IF(D206&lt;=0.5,0,MIN(IF(N(I206)&gt;0,I206,$F$9),D206+E206+F206))</f>
        <v>0</v>
      </c>
      <c r="I206" s="77"/>
      <c r="J206" s="77"/>
      <c r="K206" s="41" t="n">
        <f aca="false">IF(D206&lt;=0.5,0,MIN(H206+N(J206),D206+E206+F206))</f>
        <v>0</v>
      </c>
      <c r="L206" s="41" t="n">
        <f aca="false">K206-E206-F206</f>
        <v>0</v>
      </c>
      <c r="M206" s="41" t="n">
        <f aca="false">D206-L206</f>
        <v>0</v>
      </c>
      <c r="N206" s="42" t="n">
        <f aca="false">K206-G206</f>
        <v>0</v>
      </c>
      <c r="O206" s="78"/>
      <c r="P206" s="79"/>
      <c r="Q206" s="16" t="str">
        <f aca="false">IF(K206=0,"",IF(R206=1,"Pagada",IF(C206&lt;$F$12,"Vencida",IF(180=$F$13,"Próxima","Pendiente"))))</f>
        <v/>
      </c>
      <c r="R206" s="62" t="n">
        <f aca="false">IF(AND(K206&gt;0,OR(O206="Sí",O206="Si")),1,0)</f>
        <v>0</v>
      </c>
      <c r="S206" s="62" t="n">
        <f aca="false">IF(AND(K206&gt;0,R206=0),1,0)</f>
        <v>0</v>
      </c>
    </row>
    <row r="207" customFormat="false" ht="15" hidden="false" customHeight="false" outlineLevel="0" collapsed="false">
      <c r="B207" s="71" t="str">
        <f aca="false">IF($F$6="Sí",N($C$11)+180,"")</f>
        <v/>
      </c>
      <c r="C207" s="72" t="str">
        <f aca="false">IF(OR($F$6&lt;&gt;"Sí",D207&lt;=0.5),"",EDATE($C$10,180))</f>
        <v/>
      </c>
      <c r="D207" s="41" t="n">
        <f aca="false">MAX(0,M206)</f>
        <v>0</v>
      </c>
      <c r="E207" s="41" t="n">
        <f aca="false">D207*$F$7</f>
        <v>0</v>
      </c>
      <c r="F207" s="41" t="n">
        <f aca="false">IF(D207&gt;0.5,N($C$15),0)</f>
        <v>0</v>
      </c>
      <c r="G207" s="41" t="n">
        <f aca="false">IF(AND(D207&gt;0.5,N($C$19)&gt;0,N(B207)&lt;=N($C$20)),D207*$F$8,0)</f>
        <v>0</v>
      </c>
      <c r="H207" s="41" t="n">
        <f aca="false">IF(D207&lt;=0.5,0,MIN(IF(N(I207)&gt;0,I207,$F$9),D207+E207+F207))</f>
        <v>0</v>
      </c>
      <c r="I207" s="77"/>
      <c r="J207" s="77"/>
      <c r="K207" s="41" t="n">
        <f aca="false">IF(D207&lt;=0.5,0,MIN(H207+N(J207),D207+E207+F207))</f>
        <v>0</v>
      </c>
      <c r="L207" s="41" t="n">
        <f aca="false">K207-E207-F207</f>
        <v>0</v>
      </c>
      <c r="M207" s="41" t="n">
        <f aca="false">D207-L207</f>
        <v>0</v>
      </c>
      <c r="N207" s="42" t="n">
        <f aca="false">K207-G207</f>
        <v>0</v>
      </c>
      <c r="O207" s="78"/>
      <c r="P207" s="79"/>
      <c r="Q207" s="16" t="str">
        <f aca="false">IF(K207=0,"",IF(R207=1,"Pagada",IF(C207&lt;$F$12,"Vencida",IF(181=$F$13,"Próxima","Pendiente"))))</f>
        <v/>
      </c>
      <c r="R207" s="62" t="n">
        <f aca="false">IF(AND(K207&gt;0,OR(O207="Sí",O207="Si")),1,0)</f>
        <v>0</v>
      </c>
      <c r="S207" s="62" t="n">
        <f aca="false">IF(AND(K207&gt;0,R207=0),1,0)</f>
        <v>0</v>
      </c>
    </row>
    <row r="208" customFormat="false" ht="15" hidden="false" customHeight="false" outlineLevel="0" collapsed="false">
      <c r="B208" s="71" t="str">
        <f aca="false">IF($F$6="Sí",N($C$11)+181,"")</f>
        <v/>
      </c>
      <c r="C208" s="72" t="str">
        <f aca="false">IF(OR($F$6&lt;&gt;"Sí",D208&lt;=0.5),"",EDATE($C$10,181))</f>
        <v/>
      </c>
      <c r="D208" s="41" t="n">
        <f aca="false">MAX(0,M207)</f>
        <v>0</v>
      </c>
      <c r="E208" s="41" t="n">
        <f aca="false">D208*$F$7</f>
        <v>0</v>
      </c>
      <c r="F208" s="41" t="n">
        <f aca="false">IF(D208&gt;0.5,N($C$15),0)</f>
        <v>0</v>
      </c>
      <c r="G208" s="41" t="n">
        <f aca="false">IF(AND(D208&gt;0.5,N($C$19)&gt;0,N(B208)&lt;=N($C$20)),D208*$F$8,0)</f>
        <v>0</v>
      </c>
      <c r="H208" s="41" t="n">
        <f aca="false">IF(D208&lt;=0.5,0,MIN(IF(N(I208)&gt;0,I208,$F$9),D208+E208+F208))</f>
        <v>0</v>
      </c>
      <c r="I208" s="77"/>
      <c r="J208" s="77"/>
      <c r="K208" s="41" t="n">
        <f aca="false">IF(D208&lt;=0.5,0,MIN(H208+N(J208),D208+E208+F208))</f>
        <v>0</v>
      </c>
      <c r="L208" s="41" t="n">
        <f aca="false">K208-E208-F208</f>
        <v>0</v>
      </c>
      <c r="M208" s="41" t="n">
        <f aca="false">D208-L208</f>
        <v>0</v>
      </c>
      <c r="N208" s="42" t="n">
        <f aca="false">K208-G208</f>
        <v>0</v>
      </c>
      <c r="O208" s="78"/>
      <c r="P208" s="79"/>
      <c r="Q208" s="16" t="str">
        <f aca="false">IF(K208=0,"",IF(R208=1,"Pagada",IF(C208&lt;$F$12,"Vencida",IF(182=$F$13,"Próxima","Pendiente"))))</f>
        <v/>
      </c>
      <c r="R208" s="62" t="n">
        <f aca="false">IF(AND(K208&gt;0,OR(O208="Sí",O208="Si")),1,0)</f>
        <v>0</v>
      </c>
      <c r="S208" s="62" t="n">
        <f aca="false">IF(AND(K208&gt;0,R208=0),1,0)</f>
        <v>0</v>
      </c>
    </row>
    <row r="209" customFormat="false" ht="15" hidden="false" customHeight="false" outlineLevel="0" collapsed="false">
      <c r="B209" s="71" t="str">
        <f aca="false">IF($F$6="Sí",N($C$11)+182,"")</f>
        <v/>
      </c>
      <c r="C209" s="72" t="str">
        <f aca="false">IF(OR($F$6&lt;&gt;"Sí",D209&lt;=0.5),"",EDATE($C$10,182))</f>
        <v/>
      </c>
      <c r="D209" s="41" t="n">
        <f aca="false">MAX(0,M208)</f>
        <v>0</v>
      </c>
      <c r="E209" s="41" t="n">
        <f aca="false">D209*$F$7</f>
        <v>0</v>
      </c>
      <c r="F209" s="41" t="n">
        <f aca="false">IF(D209&gt;0.5,N($C$15),0)</f>
        <v>0</v>
      </c>
      <c r="G209" s="41" t="n">
        <f aca="false">IF(AND(D209&gt;0.5,N($C$19)&gt;0,N(B209)&lt;=N($C$20)),D209*$F$8,0)</f>
        <v>0</v>
      </c>
      <c r="H209" s="41" t="n">
        <f aca="false">IF(D209&lt;=0.5,0,MIN(IF(N(I209)&gt;0,I209,$F$9),D209+E209+F209))</f>
        <v>0</v>
      </c>
      <c r="I209" s="77"/>
      <c r="J209" s="77"/>
      <c r="K209" s="41" t="n">
        <f aca="false">IF(D209&lt;=0.5,0,MIN(H209+N(J209),D209+E209+F209))</f>
        <v>0</v>
      </c>
      <c r="L209" s="41" t="n">
        <f aca="false">K209-E209-F209</f>
        <v>0</v>
      </c>
      <c r="M209" s="41" t="n">
        <f aca="false">D209-L209</f>
        <v>0</v>
      </c>
      <c r="N209" s="42" t="n">
        <f aca="false">K209-G209</f>
        <v>0</v>
      </c>
      <c r="O209" s="78"/>
      <c r="P209" s="79"/>
      <c r="Q209" s="16" t="str">
        <f aca="false">IF(K209=0,"",IF(R209=1,"Pagada",IF(C209&lt;$F$12,"Vencida",IF(183=$F$13,"Próxima","Pendiente"))))</f>
        <v/>
      </c>
      <c r="R209" s="62" t="n">
        <f aca="false">IF(AND(K209&gt;0,OR(O209="Sí",O209="Si")),1,0)</f>
        <v>0</v>
      </c>
      <c r="S209" s="62" t="n">
        <f aca="false">IF(AND(K209&gt;0,R209=0),1,0)</f>
        <v>0</v>
      </c>
    </row>
    <row r="210" customFormat="false" ht="15" hidden="false" customHeight="false" outlineLevel="0" collapsed="false">
      <c r="B210" s="71" t="str">
        <f aca="false">IF($F$6="Sí",N($C$11)+183,"")</f>
        <v/>
      </c>
      <c r="C210" s="72" t="str">
        <f aca="false">IF(OR($F$6&lt;&gt;"Sí",D210&lt;=0.5),"",EDATE($C$10,183))</f>
        <v/>
      </c>
      <c r="D210" s="41" t="n">
        <f aca="false">MAX(0,M209)</f>
        <v>0</v>
      </c>
      <c r="E210" s="41" t="n">
        <f aca="false">D210*$F$7</f>
        <v>0</v>
      </c>
      <c r="F210" s="41" t="n">
        <f aca="false">IF(D210&gt;0.5,N($C$15),0)</f>
        <v>0</v>
      </c>
      <c r="G210" s="41" t="n">
        <f aca="false">IF(AND(D210&gt;0.5,N($C$19)&gt;0,N(B210)&lt;=N($C$20)),D210*$F$8,0)</f>
        <v>0</v>
      </c>
      <c r="H210" s="41" t="n">
        <f aca="false">IF(D210&lt;=0.5,0,MIN(IF(N(I210)&gt;0,I210,$F$9),D210+E210+F210))</f>
        <v>0</v>
      </c>
      <c r="I210" s="77"/>
      <c r="J210" s="77"/>
      <c r="K210" s="41" t="n">
        <f aca="false">IF(D210&lt;=0.5,0,MIN(H210+N(J210),D210+E210+F210))</f>
        <v>0</v>
      </c>
      <c r="L210" s="41" t="n">
        <f aca="false">K210-E210-F210</f>
        <v>0</v>
      </c>
      <c r="M210" s="41" t="n">
        <f aca="false">D210-L210</f>
        <v>0</v>
      </c>
      <c r="N210" s="42" t="n">
        <f aca="false">K210-G210</f>
        <v>0</v>
      </c>
      <c r="O210" s="78"/>
      <c r="P210" s="79"/>
      <c r="Q210" s="16" t="str">
        <f aca="false">IF(K210=0,"",IF(R210=1,"Pagada",IF(C210&lt;$F$12,"Vencida",IF(184=$F$13,"Próxima","Pendiente"))))</f>
        <v/>
      </c>
      <c r="R210" s="62" t="n">
        <f aca="false">IF(AND(K210&gt;0,OR(O210="Sí",O210="Si")),1,0)</f>
        <v>0</v>
      </c>
      <c r="S210" s="62" t="n">
        <f aca="false">IF(AND(K210&gt;0,R210=0),1,0)</f>
        <v>0</v>
      </c>
    </row>
    <row r="211" customFormat="false" ht="15" hidden="false" customHeight="false" outlineLevel="0" collapsed="false">
      <c r="B211" s="71" t="str">
        <f aca="false">IF($F$6="Sí",N($C$11)+184,"")</f>
        <v/>
      </c>
      <c r="C211" s="72" t="str">
        <f aca="false">IF(OR($F$6&lt;&gt;"Sí",D211&lt;=0.5),"",EDATE($C$10,184))</f>
        <v/>
      </c>
      <c r="D211" s="41" t="n">
        <f aca="false">MAX(0,M210)</f>
        <v>0</v>
      </c>
      <c r="E211" s="41" t="n">
        <f aca="false">D211*$F$7</f>
        <v>0</v>
      </c>
      <c r="F211" s="41" t="n">
        <f aca="false">IF(D211&gt;0.5,N($C$15),0)</f>
        <v>0</v>
      </c>
      <c r="G211" s="41" t="n">
        <f aca="false">IF(AND(D211&gt;0.5,N($C$19)&gt;0,N(B211)&lt;=N($C$20)),D211*$F$8,0)</f>
        <v>0</v>
      </c>
      <c r="H211" s="41" t="n">
        <f aca="false">IF(D211&lt;=0.5,0,MIN(IF(N(I211)&gt;0,I211,$F$9),D211+E211+F211))</f>
        <v>0</v>
      </c>
      <c r="I211" s="77"/>
      <c r="J211" s="77"/>
      <c r="K211" s="41" t="n">
        <f aca="false">IF(D211&lt;=0.5,0,MIN(H211+N(J211),D211+E211+F211))</f>
        <v>0</v>
      </c>
      <c r="L211" s="41" t="n">
        <f aca="false">K211-E211-F211</f>
        <v>0</v>
      </c>
      <c r="M211" s="41" t="n">
        <f aca="false">D211-L211</f>
        <v>0</v>
      </c>
      <c r="N211" s="42" t="n">
        <f aca="false">K211-G211</f>
        <v>0</v>
      </c>
      <c r="O211" s="78"/>
      <c r="P211" s="79"/>
      <c r="Q211" s="16" t="str">
        <f aca="false">IF(K211=0,"",IF(R211=1,"Pagada",IF(C211&lt;$F$12,"Vencida",IF(185=$F$13,"Próxima","Pendiente"))))</f>
        <v/>
      </c>
      <c r="R211" s="62" t="n">
        <f aca="false">IF(AND(K211&gt;0,OR(O211="Sí",O211="Si")),1,0)</f>
        <v>0</v>
      </c>
      <c r="S211" s="62" t="n">
        <f aca="false">IF(AND(K211&gt;0,R211=0),1,0)</f>
        <v>0</v>
      </c>
    </row>
    <row r="212" customFormat="false" ht="15" hidden="false" customHeight="false" outlineLevel="0" collapsed="false">
      <c r="B212" s="71" t="str">
        <f aca="false">IF($F$6="Sí",N($C$11)+185,"")</f>
        <v/>
      </c>
      <c r="C212" s="72" t="str">
        <f aca="false">IF(OR($F$6&lt;&gt;"Sí",D212&lt;=0.5),"",EDATE($C$10,185))</f>
        <v/>
      </c>
      <c r="D212" s="41" t="n">
        <f aca="false">MAX(0,M211)</f>
        <v>0</v>
      </c>
      <c r="E212" s="41" t="n">
        <f aca="false">D212*$F$7</f>
        <v>0</v>
      </c>
      <c r="F212" s="41" t="n">
        <f aca="false">IF(D212&gt;0.5,N($C$15),0)</f>
        <v>0</v>
      </c>
      <c r="G212" s="41" t="n">
        <f aca="false">IF(AND(D212&gt;0.5,N($C$19)&gt;0,N(B212)&lt;=N($C$20)),D212*$F$8,0)</f>
        <v>0</v>
      </c>
      <c r="H212" s="41" t="n">
        <f aca="false">IF(D212&lt;=0.5,0,MIN(IF(N(I212)&gt;0,I212,$F$9),D212+E212+F212))</f>
        <v>0</v>
      </c>
      <c r="I212" s="77"/>
      <c r="J212" s="77"/>
      <c r="K212" s="41" t="n">
        <f aca="false">IF(D212&lt;=0.5,0,MIN(H212+N(J212),D212+E212+F212))</f>
        <v>0</v>
      </c>
      <c r="L212" s="41" t="n">
        <f aca="false">K212-E212-F212</f>
        <v>0</v>
      </c>
      <c r="M212" s="41" t="n">
        <f aca="false">D212-L212</f>
        <v>0</v>
      </c>
      <c r="N212" s="42" t="n">
        <f aca="false">K212-G212</f>
        <v>0</v>
      </c>
      <c r="O212" s="78"/>
      <c r="P212" s="79"/>
      <c r="Q212" s="16" t="str">
        <f aca="false">IF(K212=0,"",IF(R212=1,"Pagada",IF(C212&lt;$F$12,"Vencida",IF(186=$F$13,"Próxima","Pendiente"))))</f>
        <v/>
      </c>
      <c r="R212" s="62" t="n">
        <f aca="false">IF(AND(K212&gt;0,OR(O212="Sí",O212="Si")),1,0)</f>
        <v>0</v>
      </c>
      <c r="S212" s="62" t="n">
        <f aca="false">IF(AND(K212&gt;0,R212=0),1,0)</f>
        <v>0</v>
      </c>
    </row>
    <row r="213" customFormat="false" ht="15" hidden="false" customHeight="false" outlineLevel="0" collapsed="false">
      <c r="B213" s="71" t="str">
        <f aca="false">IF($F$6="Sí",N($C$11)+186,"")</f>
        <v/>
      </c>
      <c r="C213" s="72" t="str">
        <f aca="false">IF(OR($F$6&lt;&gt;"Sí",D213&lt;=0.5),"",EDATE($C$10,186))</f>
        <v/>
      </c>
      <c r="D213" s="41" t="n">
        <f aca="false">MAX(0,M212)</f>
        <v>0</v>
      </c>
      <c r="E213" s="41" t="n">
        <f aca="false">D213*$F$7</f>
        <v>0</v>
      </c>
      <c r="F213" s="41" t="n">
        <f aca="false">IF(D213&gt;0.5,N($C$15),0)</f>
        <v>0</v>
      </c>
      <c r="G213" s="41" t="n">
        <f aca="false">IF(AND(D213&gt;0.5,N($C$19)&gt;0,N(B213)&lt;=N($C$20)),D213*$F$8,0)</f>
        <v>0</v>
      </c>
      <c r="H213" s="41" t="n">
        <f aca="false">IF(D213&lt;=0.5,0,MIN(IF(N(I213)&gt;0,I213,$F$9),D213+E213+F213))</f>
        <v>0</v>
      </c>
      <c r="I213" s="77"/>
      <c r="J213" s="77"/>
      <c r="K213" s="41" t="n">
        <f aca="false">IF(D213&lt;=0.5,0,MIN(H213+N(J213),D213+E213+F213))</f>
        <v>0</v>
      </c>
      <c r="L213" s="41" t="n">
        <f aca="false">K213-E213-F213</f>
        <v>0</v>
      </c>
      <c r="M213" s="41" t="n">
        <f aca="false">D213-L213</f>
        <v>0</v>
      </c>
      <c r="N213" s="42" t="n">
        <f aca="false">K213-G213</f>
        <v>0</v>
      </c>
      <c r="O213" s="78"/>
      <c r="P213" s="79"/>
      <c r="Q213" s="16" t="str">
        <f aca="false">IF(K213=0,"",IF(R213=1,"Pagada",IF(C213&lt;$F$12,"Vencida",IF(187=$F$13,"Próxima","Pendiente"))))</f>
        <v/>
      </c>
      <c r="R213" s="62" t="n">
        <f aca="false">IF(AND(K213&gt;0,OR(O213="Sí",O213="Si")),1,0)</f>
        <v>0</v>
      </c>
      <c r="S213" s="62" t="n">
        <f aca="false">IF(AND(K213&gt;0,R213=0),1,0)</f>
        <v>0</v>
      </c>
    </row>
    <row r="214" customFormat="false" ht="15" hidden="false" customHeight="false" outlineLevel="0" collapsed="false">
      <c r="B214" s="71" t="str">
        <f aca="false">IF($F$6="Sí",N($C$11)+187,"")</f>
        <v/>
      </c>
      <c r="C214" s="72" t="str">
        <f aca="false">IF(OR($F$6&lt;&gt;"Sí",D214&lt;=0.5),"",EDATE($C$10,187))</f>
        <v/>
      </c>
      <c r="D214" s="41" t="n">
        <f aca="false">MAX(0,M213)</f>
        <v>0</v>
      </c>
      <c r="E214" s="41" t="n">
        <f aca="false">D214*$F$7</f>
        <v>0</v>
      </c>
      <c r="F214" s="41" t="n">
        <f aca="false">IF(D214&gt;0.5,N($C$15),0)</f>
        <v>0</v>
      </c>
      <c r="G214" s="41" t="n">
        <f aca="false">IF(AND(D214&gt;0.5,N($C$19)&gt;0,N(B214)&lt;=N($C$20)),D214*$F$8,0)</f>
        <v>0</v>
      </c>
      <c r="H214" s="41" t="n">
        <f aca="false">IF(D214&lt;=0.5,0,MIN(IF(N(I214)&gt;0,I214,$F$9),D214+E214+F214))</f>
        <v>0</v>
      </c>
      <c r="I214" s="77"/>
      <c r="J214" s="77"/>
      <c r="K214" s="41" t="n">
        <f aca="false">IF(D214&lt;=0.5,0,MIN(H214+N(J214),D214+E214+F214))</f>
        <v>0</v>
      </c>
      <c r="L214" s="41" t="n">
        <f aca="false">K214-E214-F214</f>
        <v>0</v>
      </c>
      <c r="M214" s="41" t="n">
        <f aca="false">D214-L214</f>
        <v>0</v>
      </c>
      <c r="N214" s="42" t="n">
        <f aca="false">K214-G214</f>
        <v>0</v>
      </c>
      <c r="O214" s="78"/>
      <c r="P214" s="79"/>
      <c r="Q214" s="16" t="str">
        <f aca="false">IF(K214=0,"",IF(R214=1,"Pagada",IF(C214&lt;$F$12,"Vencida",IF(188=$F$13,"Próxima","Pendiente"))))</f>
        <v/>
      </c>
      <c r="R214" s="62" t="n">
        <f aca="false">IF(AND(K214&gt;0,OR(O214="Sí",O214="Si")),1,0)</f>
        <v>0</v>
      </c>
      <c r="S214" s="62" t="n">
        <f aca="false">IF(AND(K214&gt;0,R214=0),1,0)</f>
        <v>0</v>
      </c>
    </row>
    <row r="215" customFormat="false" ht="15" hidden="false" customHeight="false" outlineLevel="0" collapsed="false">
      <c r="B215" s="71" t="str">
        <f aca="false">IF($F$6="Sí",N($C$11)+188,"")</f>
        <v/>
      </c>
      <c r="C215" s="72" t="str">
        <f aca="false">IF(OR($F$6&lt;&gt;"Sí",D215&lt;=0.5),"",EDATE($C$10,188))</f>
        <v/>
      </c>
      <c r="D215" s="41" t="n">
        <f aca="false">MAX(0,M214)</f>
        <v>0</v>
      </c>
      <c r="E215" s="41" t="n">
        <f aca="false">D215*$F$7</f>
        <v>0</v>
      </c>
      <c r="F215" s="41" t="n">
        <f aca="false">IF(D215&gt;0.5,N($C$15),0)</f>
        <v>0</v>
      </c>
      <c r="G215" s="41" t="n">
        <f aca="false">IF(AND(D215&gt;0.5,N($C$19)&gt;0,N(B215)&lt;=N($C$20)),D215*$F$8,0)</f>
        <v>0</v>
      </c>
      <c r="H215" s="41" t="n">
        <f aca="false">IF(D215&lt;=0.5,0,MIN(IF(N(I215)&gt;0,I215,$F$9),D215+E215+F215))</f>
        <v>0</v>
      </c>
      <c r="I215" s="77"/>
      <c r="J215" s="77"/>
      <c r="K215" s="41" t="n">
        <f aca="false">IF(D215&lt;=0.5,0,MIN(H215+N(J215),D215+E215+F215))</f>
        <v>0</v>
      </c>
      <c r="L215" s="41" t="n">
        <f aca="false">K215-E215-F215</f>
        <v>0</v>
      </c>
      <c r="M215" s="41" t="n">
        <f aca="false">D215-L215</f>
        <v>0</v>
      </c>
      <c r="N215" s="42" t="n">
        <f aca="false">K215-G215</f>
        <v>0</v>
      </c>
      <c r="O215" s="78"/>
      <c r="P215" s="79"/>
      <c r="Q215" s="16" t="str">
        <f aca="false">IF(K215=0,"",IF(R215=1,"Pagada",IF(C215&lt;$F$12,"Vencida",IF(189=$F$13,"Próxima","Pendiente"))))</f>
        <v/>
      </c>
      <c r="R215" s="62" t="n">
        <f aca="false">IF(AND(K215&gt;0,OR(O215="Sí",O215="Si")),1,0)</f>
        <v>0</v>
      </c>
      <c r="S215" s="62" t="n">
        <f aca="false">IF(AND(K215&gt;0,R215=0),1,0)</f>
        <v>0</v>
      </c>
    </row>
    <row r="216" customFormat="false" ht="15" hidden="false" customHeight="false" outlineLevel="0" collapsed="false">
      <c r="B216" s="71" t="str">
        <f aca="false">IF($F$6="Sí",N($C$11)+189,"")</f>
        <v/>
      </c>
      <c r="C216" s="72" t="str">
        <f aca="false">IF(OR($F$6&lt;&gt;"Sí",D216&lt;=0.5),"",EDATE($C$10,189))</f>
        <v/>
      </c>
      <c r="D216" s="41" t="n">
        <f aca="false">MAX(0,M215)</f>
        <v>0</v>
      </c>
      <c r="E216" s="41" t="n">
        <f aca="false">D216*$F$7</f>
        <v>0</v>
      </c>
      <c r="F216" s="41" t="n">
        <f aca="false">IF(D216&gt;0.5,N($C$15),0)</f>
        <v>0</v>
      </c>
      <c r="G216" s="41" t="n">
        <f aca="false">IF(AND(D216&gt;0.5,N($C$19)&gt;0,N(B216)&lt;=N($C$20)),D216*$F$8,0)</f>
        <v>0</v>
      </c>
      <c r="H216" s="41" t="n">
        <f aca="false">IF(D216&lt;=0.5,0,MIN(IF(N(I216)&gt;0,I216,$F$9),D216+E216+F216))</f>
        <v>0</v>
      </c>
      <c r="I216" s="77"/>
      <c r="J216" s="77"/>
      <c r="K216" s="41" t="n">
        <f aca="false">IF(D216&lt;=0.5,0,MIN(H216+N(J216),D216+E216+F216))</f>
        <v>0</v>
      </c>
      <c r="L216" s="41" t="n">
        <f aca="false">K216-E216-F216</f>
        <v>0</v>
      </c>
      <c r="M216" s="41" t="n">
        <f aca="false">D216-L216</f>
        <v>0</v>
      </c>
      <c r="N216" s="42" t="n">
        <f aca="false">K216-G216</f>
        <v>0</v>
      </c>
      <c r="O216" s="78"/>
      <c r="P216" s="79"/>
      <c r="Q216" s="16" t="str">
        <f aca="false">IF(K216=0,"",IF(R216=1,"Pagada",IF(C216&lt;$F$12,"Vencida",IF(190=$F$13,"Próxima","Pendiente"))))</f>
        <v/>
      </c>
      <c r="R216" s="62" t="n">
        <f aca="false">IF(AND(K216&gt;0,OR(O216="Sí",O216="Si")),1,0)</f>
        <v>0</v>
      </c>
      <c r="S216" s="62" t="n">
        <f aca="false">IF(AND(K216&gt;0,R216=0),1,0)</f>
        <v>0</v>
      </c>
    </row>
    <row r="217" customFormat="false" ht="15" hidden="false" customHeight="false" outlineLevel="0" collapsed="false">
      <c r="B217" s="71" t="str">
        <f aca="false">IF($F$6="Sí",N($C$11)+190,"")</f>
        <v/>
      </c>
      <c r="C217" s="72" t="str">
        <f aca="false">IF(OR($F$6&lt;&gt;"Sí",D217&lt;=0.5),"",EDATE($C$10,190))</f>
        <v/>
      </c>
      <c r="D217" s="41" t="n">
        <f aca="false">MAX(0,M216)</f>
        <v>0</v>
      </c>
      <c r="E217" s="41" t="n">
        <f aca="false">D217*$F$7</f>
        <v>0</v>
      </c>
      <c r="F217" s="41" t="n">
        <f aca="false">IF(D217&gt;0.5,N($C$15),0)</f>
        <v>0</v>
      </c>
      <c r="G217" s="41" t="n">
        <f aca="false">IF(AND(D217&gt;0.5,N($C$19)&gt;0,N(B217)&lt;=N($C$20)),D217*$F$8,0)</f>
        <v>0</v>
      </c>
      <c r="H217" s="41" t="n">
        <f aca="false">IF(D217&lt;=0.5,0,MIN(IF(N(I217)&gt;0,I217,$F$9),D217+E217+F217))</f>
        <v>0</v>
      </c>
      <c r="I217" s="77"/>
      <c r="J217" s="77"/>
      <c r="K217" s="41" t="n">
        <f aca="false">IF(D217&lt;=0.5,0,MIN(H217+N(J217),D217+E217+F217))</f>
        <v>0</v>
      </c>
      <c r="L217" s="41" t="n">
        <f aca="false">K217-E217-F217</f>
        <v>0</v>
      </c>
      <c r="M217" s="41" t="n">
        <f aca="false">D217-L217</f>
        <v>0</v>
      </c>
      <c r="N217" s="42" t="n">
        <f aca="false">K217-G217</f>
        <v>0</v>
      </c>
      <c r="O217" s="78"/>
      <c r="P217" s="79"/>
      <c r="Q217" s="16" t="str">
        <f aca="false">IF(K217=0,"",IF(R217=1,"Pagada",IF(C217&lt;$F$12,"Vencida",IF(191=$F$13,"Próxima","Pendiente"))))</f>
        <v/>
      </c>
      <c r="R217" s="62" t="n">
        <f aca="false">IF(AND(K217&gt;0,OR(O217="Sí",O217="Si")),1,0)</f>
        <v>0</v>
      </c>
      <c r="S217" s="62" t="n">
        <f aca="false">IF(AND(K217&gt;0,R217=0),1,0)</f>
        <v>0</v>
      </c>
    </row>
    <row r="218" customFormat="false" ht="15" hidden="false" customHeight="false" outlineLevel="0" collapsed="false">
      <c r="B218" s="71" t="str">
        <f aca="false">IF($F$6="Sí",N($C$11)+191,"")</f>
        <v/>
      </c>
      <c r="C218" s="72" t="str">
        <f aca="false">IF(OR($F$6&lt;&gt;"Sí",D218&lt;=0.5),"",EDATE($C$10,191))</f>
        <v/>
      </c>
      <c r="D218" s="41" t="n">
        <f aca="false">MAX(0,M217)</f>
        <v>0</v>
      </c>
      <c r="E218" s="41" t="n">
        <f aca="false">D218*$F$7</f>
        <v>0</v>
      </c>
      <c r="F218" s="41" t="n">
        <f aca="false">IF(D218&gt;0.5,N($C$15),0)</f>
        <v>0</v>
      </c>
      <c r="G218" s="41" t="n">
        <f aca="false">IF(AND(D218&gt;0.5,N($C$19)&gt;0,N(B218)&lt;=N($C$20)),D218*$F$8,0)</f>
        <v>0</v>
      </c>
      <c r="H218" s="41" t="n">
        <f aca="false">IF(D218&lt;=0.5,0,MIN(IF(N(I218)&gt;0,I218,$F$9),D218+E218+F218))</f>
        <v>0</v>
      </c>
      <c r="I218" s="77"/>
      <c r="J218" s="77"/>
      <c r="K218" s="41" t="n">
        <f aca="false">IF(D218&lt;=0.5,0,MIN(H218+N(J218),D218+E218+F218))</f>
        <v>0</v>
      </c>
      <c r="L218" s="41" t="n">
        <f aca="false">K218-E218-F218</f>
        <v>0</v>
      </c>
      <c r="M218" s="41" t="n">
        <f aca="false">D218-L218</f>
        <v>0</v>
      </c>
      <c r="N218" s="42" t="n">
        <f aca="false">K218-G218</f>
        <v>0</v>
      </c>
      <c r="O218" s="78"/>
      <c r="P218" s="79"/>
      <c r="Q218" s="16" t="str">
        <f aca="false">IF(K218=0,"",IF(R218=1,"Pagada",IF(C218&lt;$F$12,"Vencida",IF(192=$F$13,"Próxima","Pendiente"))))</f>
        <v/>
      </c>
      <c r="R218" s="62" t="n">
        <f aca="false">IF(AND(K218&gt;0,OR(O218="Sí",O218="Si")),1,0)</f>
        <v>0</v>
      </c>
      <c r="S218" s="62" t="n">
        <f aca="false">IF(AND(K218&gt;0,R218=0),1,0)</f>
        <v>0</v>
      </c>
    </row>
    <row r="219" customFormat="false" ht="15" hidden="false" customHeight="false" outlineLevel="0" collapsed="false">
      <c r="B219" s="71" t="str">
        <f aca="false">IF($F$6="Sí",N($C$11)+192,"")</f>
        <v/>
      </c>
      <c r="C219" s="72" t="str">
        <f aca="false">IF(OR($F$6&lt;&gt;"Sí",D219&lt;=0.5),"",EDATE($C$10,192))</f>
        <v/>
      </c>
      <c r="D219" s="41" t="n">
        <f aca="false">MAX(0,M218)</f>
        <v>0</v>
      </c>
      <c r="E219" s="41" t="n">
        <f aca="false">D219*$F$7</f>
        <v>0</v>
      </c>
      <c r="F219" s="41" t="n">
        <f aca="false">IF(D219&gt;0.5,N($C$15),0)</f>
        <v>0</v>
      </c>
      <c r="G219" s="41" t="n">
        <f aca="false">IF(AND(D219&gt;0.5,N($C$19)&gt;0,N(B219)&lt;=N($C$20)),D219*$F$8,0)</f>
        <v>0</v>
      </c>
      <c r="H219" s="41" t="n">
        <f aca="false">IF(D219&lt;=0.5,0,MIN(IF(N(I219)&gt;0,I219,$F$9),D219+E219+F219))</f>
        <v>0</v>
      </c>
      <c r="I219" s="77"/>
      <c r="J219" s="77"/>
      <c r="K219" s="41" t="n">
        <f aca="false">IF(D219&lt;=0.5,0,MIN(H219+N(J219),D219+E219+F219))</f>
        <v>0</v>
      </c>
      <c r="L219" s="41" t="n">
        <f aca="false">K219-E219-F219</f>
        <v>0</v>
      </c>
      <c r="M219" s="41" t="n">
        <f aca="false">D219-L219</f>
        <v>0</v>
      </c>
      <c r="N219" s="42" t="n">
        <f aca="false">K219-G219</f>
        <v>0</v>
      </c>
      <c r="O219" s="78"/>
      <c r="P219" s="79"/>
      <c r="Q219" s="16" t="str">
        <f aca="false">IF(K219=0,"",IF(R219=1,"Pagada",IF(C219&lt;$F$12,"Vencida",IF(193=$F$13,"Próxima","Pendiente"))))</f>
        <v/>
      </c>
      <c r="R219" s="62" t="n">
        <f aca="false">IF(AND(K219&gt;0,OR(O219="Sí",O219="Si")),1,0)</f>
        <v>0</v>
      </c>
      <c r="S219" s="62" t="n">
        <f aca="false">IF(AND(K219&gt;0,R219=0),1,0)</f>
        <v>0</v>
      </c>
    </row>
    <row r="220" customFormat="false" ht="15" hidden="false" customHeight="false" outlineLevel="0" collapsed="false">
      <c r="B220" s="71" t="str">
        <f aca="false">IF($F$6="Sí",N($C$11)+193,"")</f>
        <v/>
      </c>
      <c r="C220" s="72" t="str">
        <f aca="false">IF(OR($F$6&lt;&gt;"Sí",D220&lt;=0.5),"",EDATE($C$10,193))</f>
        <v/>
      </c>
      <c r="D220" s="41" t="n">
        <f aca="false">MAX(0,M219)</f>
        <v>0</v>
      </c>
      <c r="E220" s="41" t="n">
        <f aca="false">D220*$F$7</f>
        <v>0</v>
      </c>
      <c r="F220" s="41" t="n">
        <f aca="false">IF(D220&gt;0.5,N($C$15),0)</f>
        <v>0</v>
      </c>
      <c r="G220" s="41" t="n">
        <f aca="false">IF(AND(D220&gt;0.5,N($C$19)&gt;0,N(B220)&lt;=N($C$20)),D220*$F$8,0)</f>
        <v>0</v>
      </c>
      <c r="H220" s="41" t="n">
        <f aca="false">IF(D220&lt;=0.5,0,MIN(IF(N(I220)&gt;0,I220,$F$9),D220+E220+F220))</f>
        <v>0</v>
      </c>
      <c r="I220" s="77"/>
      <c r="J220" s="77"/>
      <c r="K220" s="41" t="n">
        <f aca="false">IF(D220&lt;=0.5,0,MIN(H220+N(J220),D220+E220+F220))</f>
        <v>0</v>
      </c>
      <c r="L220" s="41" t="n">
        <f aca="false">K220-E220-F220</f>
        <v>0</v>
      </c>
      <c r="M220" s="41" t="n">
        <f aca="false">D220-L220</f>
        <v>0</v>
      </c>
      <c r="N220" s="42" t="n">
        <f aca="false">K220-G220</f>
        <v>0</v>
      </c>
      <c r="O220" s="78"/>
      <c r="P220" s="79"/>
      <c r="Q220" s="16" t="str">
        <f aca="false">IF(K220=0,"",IF(R220=1,"Pagada",IF(C220&lt;$F$12,"Vencida",IF(194=$F$13,"Próxima","Pendiente"))))</f>
        <v/>
      </c>
      <c r="R220" s="62" t="n">
        <f aca="false">IF(AND(K220&gt;0,OR(O220="Sí",O220="Si")),1,0)</f>
        <v>0</v>
      </c>
      <c r="S220" s="62" t="n">
        <f aca="false">IF(AND(K220&gt;0,R220=0),1,0)</f>
        <v>0</v>
      </c>
    </row>
    <row r="221" customFormat="false" ht="15" hidden="false" customHeight="false" outlineLevel="0" collapsed="false">
      <c r="B221" s="71" t="str">
        <f aca="false">IF($F$6="Sí",N($C$11)+194,"")</f>
        <v/>
      </c>
      <c r="C221" s="72" t="str">
        <f aca="false">IF(OR($F$6&lt;&gt;"Sí",D221&lt;=0.5),"",EDATE($C$10,194))</f>
        <v/>
      </c>
      <c r="D221" s="41" t="n">
        <f aca="false">MAX(0,M220)</f>
        <v>0</v>
      </c>
      <c r="E221" s="41" t="n">
        <f aca="false">D221*$F$7</f>
        <v>0</v>
      </c>
      <c r="F221" s="41" t="n">
        <f aca="false">IF(D221&gt;0.5,N($C$15),0)</f>
        <v>0</v>
      </c>
      <c r="G221" s="41" t="n">
        <f aca="false">IF(AND(D221&gt;0.5,N($C$19)&gt;0,N(B221)&lt;=N($C$20)),D221*$F$8,0)</f>
        <v>0</v>
      </c>
      <c r="H221" s="41" t="n">
        <f aca="false">IF(D221&lt;=0.5,0,MIN(IF(N(I221)&gt;0,I221,$F$9),D221+E221+F221))</f>
        <v>0</v>
      </c>
      <c r="I221" s="77"/>
      <c r="J221" s="77"/>
      <c r="K221" s="41" t="n">
        <f aca="false">IF(D221&lt;=0.5,0,MIN(H221+N(J221),D221+E221+F221))</f>
        <v>0</v>
      </c>
      <c r="L221" s="41" t="n">
        <f aca="false">K221-E221-F221</f>
        <v>0</v>
      </c>
      <c r="M221" s="41" t="n">
        <f aca="false">D221-L221</f>
        <v>0</v>
      </c>
      <c r="N221" s="42" t="n">
        <f aca="false">K221-G221</f>
        <v>0</v>
      </c>
      <c r="O221" s="78"/>
      <c r="P221" s="79"/>
      <c r="Q221" s="16" t="str">
        <f aca="false">IF(K221=0,"",IF(R221=1,"Pagada",IF(C221&lt;$F$12,"Vencida",IF(195=$F$13,"Próxima","Pendiente"))))</f>
        <v/>
      </c>
      <c r="R221" s="62" t="n">
        <f aca="false">IF(AND(K221&gt;0,OR(O221="Sí",O221="Si")),1,0)</f>
        <v>0</v>
      </c>
      <c r="S221" s="62" t="n">
        <f aca="false">IF(AND(K221&gt;0,R221=0),1,0)</f>
        <v>0</v>
      </c>
    </row>
    <row r="222" customFormat="false" ht="15" hidden="false" customHeight="false" outlineLevel="0" collapsed="false">
      <c r="B222" s="71" t="str">
        <f aca="false">IF($F$6="Sí",N($C$11)+195,"")</f>
        <v/>
      </c>
      <c r="C222" s="72" t="str">
        <f aca="false">IF(OR($F$6&lt;&gt;"Sí",D222&lt;=0.5),"",EDATE($C$10,195))</f>
        <v/>
      </c>
      <c r="D222" s="41" t="n">
        <f aca="false">MAX(0,M221)</f>
        <v>0</v>
      </c>
      <c r="E222" s="41" t="n">
        <f aca="false">D222*$F$7</f>
        <v>0</v>
      </c>
      <c r="F222" s="41" t="n">
        <f aca="false">IF(D222&gt;0.5,N($C$15),0)</f>
        <v>0</v>
      </c>
      <c r="G222" s="41" t="n">
        <f aca="false">IF(AND(D222&gt;0.5,N($C$19)&gt;0,N(B222)&lt;=N($C$20)),D222*$F$8,0)</f>
        <v>0</v>
      </c>
      <c r="H222" s="41" t="n">
        <f aca="false">IF(D222&lt;=0.5,0,MIN(IF(N(I222)&gt;0,I222,$F$9),D222+E222+F222))</f>
        <v>0</v>
      </c>
      <c r="I222" s="77"/>
      <c r="J222" s="77"/>
      <c r="K222" s="41" t="n">
        <f aca="false">IF(D222&lt;=0.5,0,MIN(H222+N(J222),D222+E222+F222))</f>
        <v>0</v>
      </c>
      <c r="L222" s="41" t="n">
        <f aca="false">K222-E222-F222</f>
        <v>0</v>
      </c>
      <c r="M222" s="41" t="n">
        <f aca="false">D222-L222</f>
        <v>0</v>
      </c>
      <c r="N222" s="42" t="n">
        <f aca="false">K222-G222</f>
        <v>0</v>
      </c>
      <c r="O222" s="78"/>
      <c r="P222" s="79"/>
      <c r="Q222" s="16" t="str">
        <f aca="false">IF(K222=0,"",IF(R222=1,"Pagada",IF(C222&lt;$F$12,"Vencida",IF(196=$F$13,"Próxima","Pendiente"))))</f>
        <v/>
      </c>
      <c r="R222" s="62" t="n">
        <f aca="false">IF(AND(K222&gt;0,OR(O222="Sí",O222="Si")),1,0)</f>
        <v>0</v>
      </c>
      <c r="S222" s="62" t="n">
        <f aca="false">IF(AND(K222&gt;0,R222=0),1,0)</f>
        <v>0</v>
      </c>
    </row>
    <row r="223" customFormat="false" ht="15" hidden="false" customHeight="false" outlineLevel="0" collapsed="false">
      <c r="B223" s="71" t="str">
        <f aca="false">IF($F$6="Sí",N($C$11)+196,"")</f>
        <v/>
      </c>
      <c r="C223" s="72" t="str">
        <f aca="false">IF(OR($F$6&lt;&gt;"Sí",D223&lt;=0.5),"",EDATE($C$10,196))</f>
        <v/>
      </c>
      <c r="D223" s="41" t="n">
        <f aca="false">MAX(0,M222)</f>
        <v>0</v>
      </c>
      <c r="E223" s="41" t="n">
        <f aca="false">D223*$F$7</f>
        <v>0</v>
      </c>
      <c r="F223" s="41" t="n">
        <f aca="false">IF(D223&gt;0.5,N($C$15),0)</f>
        <v>0</v>
      </c>
      <c r="G223" s="41" t="n">
        <f aca="false">IF(AND(D223&gt;0.5,N($C$19)&gt;0,N(B223)&lt;=N($C$20)),D223*$F$8,0)</f>
        <v>0</v>
      </c>
      <c r="H223" s="41" t="n">
        <f aca="false">IF(D223&lt;=0.5,0,MIN(IF(N(I223)&gt;0,I223,$F$9),D223+E223+F223))</f>
        <v>0</v>
      </c>
      <c r="I223" s="77"/>
      <c r="J223" s="77"/>
      <c r="K223" s="41" t="n">
        <f aca="false">IF(D223&lt;=0.5,0,MIN(H223+N(J223),D223+E223+F223))</f>
        <v>0</v>
      </c>
      <c r="L223" s="41" t="n">
        <f aca="false">K223-E223-F223</f>
        <v>0</v>
      </c>
      <c r="M223" s="41" t="n">
        <f aca="false">D223-L223</f>
        <v>0</v>
      </c>
      <c r="N223" s="42" t="n">
        <f aca="false">K223-G223</f>
        <v>0</v>
      </c>
      <c r="O223" s="78"/>
      <c r="P223" s="79"/>
      <c r="Q223" s="16" t="str">
        <f aca="false">IF(K223=0,"",IF(R223=1,"Pagada",IF(C223&lt;$F$12,"Vencida",IF(197=$F$13,"Próxima","Pendiente"))))</f>
        <v/>
      </c>
      <c r="R223" s="62" t="n">
        <f aca="false">IF(AND(K223&gt;0,OR(O223="Sí",O223="Si")),1,0)</f>
        <v>0</v>
      </c>
      <c r="S223" s="62" t="n">
        <f aca="false">IF(AND(K223&gt;0,R223=0),1,0)</f>
        <v>0</v>
      </c>
    </row>
    <row r="224" customFormat="false" ht="15" hidden="false" customHeight="false" outlineLevel="0" collapsed="false">
      <c r="B224" s="71" t="str">
        <f aca="false">IF($F$6="Sí",N($C$11)+197,"")</f>
        <v/>
      </c>
      <c r="C224" s="72" t="str">
        <f aca="false">IF(OR($F$6&lt;&gt;"Sí",D224&lt;=0.5),"",EDATE($C$10,197))</f>
        <v/>
      </c>
      <c r="D224" s="41" t="n">
        <f aca="false">MAX(0,M223)</f>
        <v>0</v>
      </c>
      <c r="E224" s="41" t="n">
        <f aca="false">D224*$F$7</f>
        <v>0</v>
      </c>
      <c r="F224" s="41" t="n">
        <f aca="false">IF(D224&gt;0.5,N($C$15),0)</f>
        <v>0</v>
      </c>
      <c r="G224" s="41" t="n">
        <f aca="false">IF(AND(D224&gt;0.5,N($C$19)&gt;0,N(B224)&lt;=N($C$20)),D224*$F$8,0)</f>
        <v>0</v>
      </c>
      <c r="H224" s="41" t="n">
        <f aca="false">IF(D224&lt;=0.5,0,MIN(IF(N(I224)&gt;0,I224,$F$9),D224+E224+F224))</f>
        <v>0</v>
      </c>
      <c r="I224" s="77"/>
      <c r="J224" s="77"/>
      <c r="K224" s="41" t="n">
        <f aca="false">IF(D224&lt;=0.5,0,MIN(H224+N(J224),D224+E224+F224))</f>
        <v>0</v>
      </c>
      <c r="L224" s="41" t="n">
        <f aca="false">K224-E224-F224</f>
        <v>0</v>
      </c>
      <c r="M224" s="41" t="n">
        <f aca="false">D224-L224</f>
        <v>0</v>
      </c>
      <c r="N224" s="42" t="n">
        <f aca="false">K224-G224</f>
        <v>0</v>
      </c>
      <c r="O224" s="78"/>
      <c r="P224" s="79"/>
      <c r="Q224" s="16" t="str">
        <f aca="false">IF(K224=0,"",IF(R224=1,"Pagada",IF(C224&lt;$F$12,"Vencida",IF(198=$F$13,"Próxima","Pendiente"))))</f>
        <v/>
      </c>
      <c r="R224" s="62" t="n">
        <f aca="false">IF(AND(K224&gt;0,OR(O224="Sí",O224="Si")),1,0)</f>
        <v>0</v>
      </c>
      <c r="S224" s="62" t="n">
        <f aca="false">IF(AND(K224&gt;0,R224=0),1,0)</f>
        <v>0</v>
      </c>
    </row>
    <row r="225" customFormat="false" ht="15" hidden="false" customHeight="false" outlineLevel="0" collapsed="false">
      <c r="B225" s="71" t="str">
        <f aca="false">IF($F$6="Sí",N($C$11)+198,"")</f>
        <v/>
      </c>
      <c r="C225" s="72" t="str">
        <f aca="false">IF(OR($F$6&lt;&gt;"Sí",D225&lt;=0.5),"",EDATE($C$10,198))</f>
        <v/>
      </c>
      <c r="D225" s="41" t="n">
        <f aca="false">MAX(0,M224)</f>
        <v>0</v>
      </c>
      <c r="E225" s="41" t="n">
        <f aca="false">D225*$F$7</f>
        <v>0</v>
      </c>
      <c r="F225" s="41" t="n">
        <f aca="false">IF(D225&gt;0.5,N($C$15),0)</f>
        <v>0</v>
      </c>
      <c r="G225" s="41" t="n">
        <f aca="false">IF(AND(D225&gt;0.5,N($C$19)&gt;0,N(B225)&lt;=N($C$20)),D225*$F$8,0)</f>
        <v>0</v>
      </c>
      <c r="H225" s="41" t="n">
        <f aca="false">IF(D225&lt;=0.5,0,MIN(IF(N(I225)&gt;0,I225,$F$9),D225+E225+F225))</f>
        <v>0</v>
      </c>
      <c r="I225" s="77"/>
      <c r="J225" s="77"/>
      <c r="K225" s="41" t="n">
        <f aca="false">IF(D225&lt;=0.5,0,MIN(H225+N(J225),D225+E225+F225))</f>
        <v>0</v>
      </c>
      <c r="L225" s="41" t="n">
        <f aca="false">K225-E225-F225</f>
        <v>0</v>
      </c>
      <c r="M225" s="41" t="n">
        <f aca="false">D225-L225</f>
        <v>0</v>
      </c>
      <c r="N225" s="42" t="n">
        <f aca="false">K225-G225</f>
        <v>0</v>
      </c>
      <c r="O225" s="78"/>
      <c r="P225" s="79"/>
      <c r="Q225" s="16" t="str">
        <f aca="false">IF(K225=0,"",IF(R225=1,"Pagada",IF(C225&lt;$F$12,"Vencida",IF(199=$F$13,"Próxima","Pendiente"))))</f>
        <v/>
      </c>
      <c r="R225" s="62" t="n">
        <f aca="false">IF(AND(K225&gt;0,OR(O225="Sí",O225="Si")),1,0)</f>
        <v>0</v>
      </c>
      <c r="S225" s="62" t="n">
        <f aca="false">IF(AND(K225&gt;0,R225=0),1,0)</f>
        <v>0</v>
      </c>
    </row>
    <row r="226" customFormat="false" ht="15" hidden="false" customHeight="false" outlineLevel="0" collapsed="false">
      <c r="B226" s="71" t="str">
        <f aca="false">IF($F$6="Sí",N($C$11)+199,"")</f>
        <v/>
      </c>
      <c r="C226" s="72" t="str">
        <f aca="false">IF(OR($F$6&lt;&gt;"Sí",D226&lt;=0.5),"",EDATE($C$10,199))</f>
        <v/>
      </c>
      <c r="D226" s="41" t="n">
        <f aca="false">MAX(0,M225)</f>
        <v>0</v>
      </c>
      <c r="E226" s="41" t="n">
        <f aca="false">D226*$F$7</f>
        <v>0</v>
      </c>
      <c r="F226" s="41" t="n">
        <f aca="false">IF(D226&gt;0.5,N($C$15),0)</f>
        <v>0</v>
      </c>
      <c r="G226" s="41" t="n">
        <f aca="false">IF(AND(D226&gt;0.5,N($C$19)&gt;0,N(B226)&lt;=N($C$20)),D226*$F$8,0)</f>
        <v>0</v>
      </c>
      <c r="H226" s="41" t="n">
        <f aca="false">IF(D226&lt;=0.5,0,MIN(IF(N(I226)&gt;0,I226,$F$9),D226+E226+F226))</f>
        <v>0</v>
      </c>
      <c r="I226" s="77"/>
      <c r="J226" s="77"/>
      <c r="K226" s="41" t="n">
        <f aca="false">IF(D226&lt;=0.5,0,MIN(H226+N(J226),D226+E226+F226))</f>
        <v>0</v>
      </c>
      <c r="L226" s="41" t="n">
        <f aca="false">K226-E226-F226</f>
        <v>0</v>
      </c>
      <c r="M226" s="41" t="n">
        <f aca="false">D226-L226</f>
        <v>0</v>
      </c>
      <c r="N226" s="42" t="n">
        <f aca="false">K226-G226</f>
        <v>0</v>
      </c>
      <c r="O226" s="78"/>
      <c r="P226" s="79"/>
      <c r="Q226" s="16" t="str">
        <f aca="false">IF(K226=0,"",IF(R226=1,"Pagada",IF(C226&lt;$F$12,"Vencida",IF(200=$F$13,"Próxima","Pendiente"))))</f>
        <v/>
      </c>
      <c r="R226" s="62" t="n">
        <f aca="false">IF(AND(K226&gt;0,OR(O226="Sí",O226="Si")),1,0)</f>
        <v>0</v>
      </c>
      <c r="S226" s="62" t="n">
        <f aca="false">IF(AND(K226&gt;0,R226=0),1,0)</f>
        <v>0</v>
      </c>
    </row>
    <row r="227" customFormat="false" ht="15" hidden="false" customHeight="false" outlineLevel="0" collapsed="false">
      <c r="B227" s="71" t="str">
        <f aca="false">IF($F$6="Sí",N($C$11)+200,"")</f>
        <v/>
      </c>
      <c r="C227" s="72" t="str">
        <f aca="false">IF(OR($F$6&lt;&gt;"Sí",D227&lt;=0.5),"",EDATE($C$10,200))</f>
        <v/>
      </c>
      <c r="D227" s="41" t="n">
        <f aca="false">MAX(0,M226)</f>
        <v>0</v>
      </c>
      <c r="E227" s="41" t="n">
        <f aca="false">D227*$F$7</f>
        <v>0</v>
      </c>
      <c r="F227" s="41" t="n">
        <f aca="false">IF(D227&gt;0.5,N($C$15),0)</f>
        <v>0</v>
      </c>
      <c r="G227" s="41" t="n">
        <f aca="false">IF(AND(D227&gt;0.5,N($C$19)&gt;0,N(B227)&lt;=N($C$20)),D227*$F$8,0)</f>
        <v>0</v>
      </c>
      <c r="H227" s="41" t="n">
        <f aca="false">IF(D227&lt;=0.5,0,MIN(IF(N(I227)&gt;0,I227,$F$9),D227+E227+F227))</f>
        <v>0</v>
      </c>
      <c r="I227" s="77"/>
      <c r="J227" s="77"/>
      <c r="K227" s="41" t="n">
        <f aca="false">IF(D227&lt;=0.5,0,MIN(H227+N(J227),D227+E227+F227))</f>
        <v>0</v>
      </c>
      <c r="L227" s="41" t="n">
        <f aca="false">K227-E227-F227</f>
        <v>0</v>
      </c>
      <c r="M227" s="41" t="n">
        <f aca="false">D227-L227</f>
        <v>0</v>
      </c>
      <c r="N227" s="42" t="n">
        <f aca="false">K227-G227</f>
        <v>0</v>
      </c>
      <c r="O227" s="78"/>
      <c r="P227" s="79"/>
      <c r="Q227" s="16" t="str">
        <f aca="false">IF(K227=0,"",IF(R227=1,"Pagada",IF(C227&lt;$F$12,"Vencida",IF(201=$F$13,"Próxima","Pendiente"))))</f>
        <v/>
      </c>
      <c r="R227" s="62" t="n">
        <f aca="false">IF(AND(K227&gt;0,OR(O227="Sí",O227="Si")),1,0)</f>
        <v>0</v>
      </c>
      <c r="S227" s="62" t="n">
        <f aca="false">IF(AND(K227&gt;0,R227=0),1,0)</f>
        <v>0</v>
      </c>
    </row>
    <row r="228" customFormat="false" ht="15" hidden="false" customHeight="false" outlineLevel="0" collapsed="false">
      <c r="B228" s="71" t="str">
        <f aca="false">IF($F$6="Sí",N($C$11)+201,"")</f>
        <v/>
      </c>
      <c r="C228" s="72" t="str">
        <f aca="false">IF(OR($F$6&lt;&gt;"Sí",D228&lt;=0.5),"",EDATE($C$10,201))</f>
        <v/>
      </c>
      <c r="D228" s="41" t="n">
        <f aca="false">MAX(0,M227)</f>
        <v>0</v>
      </c>
      <c r="E228" s="41" t="n">
        <f aca="false">D228*$F$7</f>
        <v>0</v>
      </c>
      <c r="F228" s="41" t="n">
        <f aca="false">IF(D228&gt;0.5,N($C$15),0)</f>
        <v>0</v>
      </c>
      <c r="G228" s="41" t="n">
        <f aca="false">IF(AND(D228&gt;0.5,N($C$19)&gt;0,N(B228)&lt;=N($C$20)),D228*$F$8,0)</f>
        <v>0</v>
      </c>
      <c r="H228" s="41" t="n">
        <f aca="false">IF(D228&lt;=0.5,0,MIN(IF(N(I228)&gt;0,I228,$F$9),D228+E228+F228))</f>
        <v>0</v>
      </c>
      <c r="I228" s="77"/>
      <c r="J228" s="77"/>
      <c r="K228" s="41" t="n">
        <f aca="false">IF(D228&lt;=0.5,0,MIN(H228+N(J228),D228+E228+F228))</f>
        <v>0</v>
      </c>
      <c r="L228" s="41" t="n">
        <f aca="false">K228-E228-F228</f>
        <v>0</v>
      </c>
      <c r="M228" s="41" t="n">
        <f aca="false">D228-L228</f>
        <v>0</v>
      </c>
      <c r="N228" s="42" t="n">
        <f aca="false">K228-G228</f>
        <v>0</v>
      </c>
      <c r="O228" s="78"/>
      <c r="P228" s="79"/>
      <c r="Q228" s="16" t="str">
        <f aca="false">IF(K228=0,"",IF(R228=1,"Pagada",IF(C228&lt;$F$12,"Vencida",IF(202=$F$13,"Próxima","Pendiente"))))</f>
        <v/>
      </c>
      <c r="R228" s="62" t="n">
        <f aca="false">IF(AND(K228&gt;0,OR(O228="Sí",O228="Si")),1,0)</f>
        <v>0</v>
      </c>
      <c r="S228" s="62" t="n">
        <f aca="false">IF(AND(K228&gt;0,R228=0),1,0)</f>
        <v>0</v>
      </c>
    </row>
    <row r="229" customFormat="false" ht="15" hidden="false" customHeight="false" outlineLevel="0" collapsed="false">
      <c r="B229" s="71" t="str">
        <f aca="false">IF($F$6="Sí",N($C$11)+202,"")</f>
        <v/>
      </c>
      <c r="C229" s="72" t="str">
        <f aca="false">IF(OR($F$6&lt;&gt;"Sí",D229&lt;=0.5),"",EDATE($C$10,202))</f>
        <v/>
      </c>
      <c r="D229" s="41" t="n">
        <f aca="false">MAX(0,M228)</f>
        <v>0</v>
      </c>
      <c r="E229" s="41" t="n">
        <f aca="false">D229*$F$7</f>
        <v>0</v>
      </c>
      <c r="F229" s="41" t="n">
        <f aca="false">IF(D229&gt;0.5,N($C$15),0)</f>
        <v>0</v>
      </c>
      <c r="G229" s="41" t="n">
        <f aca="false">IF(AND(D229&gt;0.5,N($C$19)&gt;0,N(B229)&lt;=N($C$20)),D229*$F$8,0)</f>
        <v>0</v>
      </c>
      <c r="H229" s="41" t="n">
        <f aca="false">IF(D229&lt;=0.5,0,MIN(IF(N(I229)&gt;0,I229,$F$9),D229+E229+F229))</f>
        <v>0</v>
      </c>
      <c r="I229" s="77"/>
      <c r="J229" s="77"/>
      <c r="K229" s="41" t="n">
        <f aca="false">IF(D229&lt;=0.5,0,MIN(H229+N(J229),D229+E229+F229))</f>
        <v>0</v>
      </c>
      <c r="L229" s="41" t="n">
        <f aca="false">K229-E229-F229</f>
        <v>0</v>
      </c>
      <c r="M229" s="41" t="n">
        <f aca="false">D229-L229</f>
        <v>0</v>
      </c>
      <c r="N229" s="42" t="n">
        <f aca="false">K229-G229</f>
        <v>0</v>
      </c>
      <c r="O229" s="78"/>
      <c r="P229" s="79"/>
      <c r="Q229" s="16" t="str">
        <f aca="false">IF(K229=0,"",IF(R229=1,"Pagada",IF(C229&lt;$F$12,"Vencida",IF(203=$F$13,"Próxima","Pendiente"))))</f>
        <v/>
      </c>
      <c r="R229" s="62" t="n">
        <f aca="false">IF(AND(K229&gt;0,OR(O229="Sí",O229="Si")),1,0)</f>
        <v>0</v>
      </c>
      <c r="S229" s="62" t="n">
        <f aca="false">IF(AND(K229&gt;0,R229=0),1,0)</f>
        <v>0</v>
      </c>
    </row>
    <row r="230" customFormat="false" ht="15" hidden="false" customHeight="false" outlineLevel="0" collapsed="false">
      <c r="B230" s="71" t="str">
        <f aca="false">IF($F$6="Sí",N($C$11)+203,"")</f>
        <v/>
      </c>
      <c r="C230" s="72" t="str">
        <f aca="false">IF(OR($F$6&lt;&gt;"Sí",D230&lt;=0.5),"",EDATE($C$10,203))</f>
        <v/>
      </c>
      <c r="D230" s="41" t="n">
        <f aca="false">MAX(0,M229)</f>
        <v>0</v>
      </c>
      <c r="E230" s="41" t="n">
        <f aca="false">D230*$F$7</f>
        <v>0</v>
      </c>
      <c r="F230" s="41" t="n">
        <f aca="false">IF(D230&gt;0.5,N($C$15),0)</f>
        <v>0</v>
      </c>
      <c r="G230" s="41" t="n">
        <f aca="false">IF(AND(D230&gt;0.5,N($C$19)&gt;0,N(B230)&lt;=N($C$20)),D230*$F$8,0)</f>
        <v>0</v>
      </c>
      <c r="H230" s="41" t="n">
        <f aca="false">IF(D230&lt;=0.5,0,MIN(IF(N(I230)&gt;0,I230,$F$9),D230+E230+F230))</f>
        <v>0</v>
      </c>
      <c r="I230" s="77"/>
      <c r="J230" s="77"/>
      <c r="K230" s="41" t="n">
        <f aca="false">IF(D230&lt;=0.5,0,MIN(H230+N(J230),D230+E230+F230))</f>
        <v>0</v>
      </c>
      <c r="L230" s="41" t="n">
        <f aca="false">K230-E230-F230</f>
        <v>0</v>
      </c>
      <c r="M230" s="41" t="n">
        <f aca="false">D230-L230</f>
        <v>0</v>
      </c>
      <c r="N230" s="42" t="n">
        <f aca="false">K230-G230</f>
        <v>0</v>
      </c>
      <c r="O230" s="78"/>
      <c r="P230" s="79"/>
      <c r="Q230" s="16" t="str">
        <f aca="false">IF(K230=0,"",IF(R230=1,"Pagada",IF(C230&lt;$F$12,"Vencida",IF(204=$F$13,"Próxima","Pendiente"))))</f>
        <v/>
      </c>
      <c r="R230" s="62" t="n">
        <f aca="false">IF(AND(K230&gt;0,OR(O230="Sí",O230="Si")),1,0)</f>
        <v>0</v>
      </c>
      <c r="S230" s="62" t="n">
        <f aca="false">IF(AND(K230&gt;0,R230=0),1,0)</f>
        <v>0</v>
      </c>
    </row>
    <row r="231" customFormat="false" ht="15" hidden="false" customHeight="false" outlineLevel="0" collapsed="false">
      <c r="B231" s="71" t="str">
        <f aca="false">IF($F$6="Sí",N($C$11)+204,"")</f>
        <v/>
      </c>
      <c r="C231" s="72" t="str">
        <f aca="false">IF(OR($F$6&lt;&gt;"Sí",D231&lt;=0.5),"",EDATE($C$10,204))</f>
        <v/>
      </c>
      <c r="D231" s="41" t="n">
        <f aca="false">MAX(0,M230)</f>
        <v>0</v>
      </c>
      <c r="E231" s="41" t="n">
        <f aca="false">D231*$F$7</f>
        <v>0</v>
      </c>
      <c r="F231" s="41" t="n">
        <f aca="false">IF(D231&gt;0.5,N($C$15),0)</f>
        <v>0</v>
      </c>
      <c r="G231" s="41" t="n">
        <f aca="false">IF(AND(D231&gt;0.5,N($C$19)&gt;0,N(B231)&lt;=N($C$20)),D231*$F$8,0)</f>
        <v>0</v>
      </c>
      <c r="H231" s="41" t="n">
        <f aca="false">IF(D231&lt;=0.5,0,MIN(IF(N(I231)&gt;0,I231,$F$9),D231+E231+F231))</f>
        <v>0</v>
      </c>
      <c r="I231" s="77"/>
      <c r="J231" s="77"/>
      <c r="K231" s="41" t="n">
        <f aca="false">IF(D231&lt;=0.5,0,MIN(H231+N(J231),D231+E231+F231))</f>
        <v>0</v>
      </c>
      <c r="L231" s="41" t="n">
        <f aca="false">K231-E231-F231</f>
        <v>0</v>
      </c>
      <c r="M231" s="41" t="n">
        <f aca="false">D231-L231</f>
        <v>0</v>
      </c>
      <c r="N231" s="42" t="n">
        <f aca="false">K231-G231</f>
        <v>0</v>
      </c>
      <c r="O231" s="78"/>
      <c r="P231" s="79"/>
      <c r="Q231" s="16" t="str">
        <f aca="false">IF(K231=0,"",IF(R231=1,"Pagada",IF(C231&lt;$F$12,"Vencida",IF(205=$F$13,"Próxima","Pendiente"))))</f>
        <v/>
      </c>
      <c r="R231" s="62" t="n">
        <f aca="false">IF(AND(K231&gt;0,OR(O231="Sí",O231="Si")),1,0)</f>
        <v>0</v>
      </c>
      <c r="S231" s="62" t="n">
        <f aca="false">IF(AND(K231&gt;0,R231=0),1,0)</f>
        <v>0</v>
      </c>
    </row>
    <row r="232" customFormat="false" ht="15" hidden="false" customHeight="false" outlineLevel="0" collapsed="false">
      <c r="B232" s="71" t="str">
        <f aca="false">IF($F$6="Sí",N($C$11)+205,"")</f>
        <v/>
      </c>
      <c r="C232" s="72" t="str">
        <f aca="false">IF(OR($F$6&lt;&gt;"Sí",D232&lt;=0.5),"",EDATE($C$10,205))</f>
        <v/>
      </c>
      <c r="D232" s="41" t="n">
        <f aca="false">MAX(0,M231)</f>
        <v>0</v>
      </c>
      <c r="E232" s="41" t="n">
        <f aca="false">D232*$F$7</f>
        <v>0</v>
      </c>
      <c r="F232" s="41" t="n">
        <f aca="false">IF(D232&gt;0.5,N($C$15),0)</f>
        <v>0</v>
      </c>
      <c r="G232" s="41" t="n">
        <f aca="false">IF(AND(D232&gt;0.5,N($C$19)&gt;0,N(B232)&lt;=N($C$20)),D232*$F$8,0)</f>
        <v>0</v>
      </c>
      <c r="H232" s="41" t="n">
        <f aca="false">IF(D232&lt;=0.5,0,MIN(IF(N(I232)&gt;0,I232,$F$9),D232+E232+F232))</f>
        <v>0</v>
      </c>
      <c r="I232" s="77"/>
      <c r="J232" s="77"/>
      <c r="K232" s="41" t="n">
        <f aca="false">IF(D232&lt;=0.5,0,MIN(H232+N(J232),D232+E232+F232))</f>
        <v>0</v>
      </c>
      <c r="L232" s="41" t="n">
        <f aca="false">K232-E232-F232</f>
        <v>0</v>
      </c>
      <c r="M232" s="41" t="n">
        <f aca="false">D232-L232</f>
        <v>0</v>
      </c>
      <c r="N232" s="42" t="n">
        <f aca="false">K232-G232</f>
        <v>0</v>
      </c>
      <c r="O232" s="78"/>
      <c r="P232" s="79"/>
      <c r="Q232" s="16" t="str">
        <f aca="false">IF(K232=0,"",IF(R232=1,"Pagada",IF(C232&lt;$F$12,"Vencida",IF(206=$F$13,"Próxima","Pendiente"))))</f>
        <v/>
      </c>
      <c r="R232" s="62" t="n">
        <f aca="false">IF(AND(K232&gt;0,OR(O232="Sí",O232="Si")),1,0)</f>
        <v>0</v>
      </c>
      <c r="S232" s="62" t="n">
        <f aca="false">IF(AND(K232&gt;0,R232=0),1,0)</f>
        <v>0</v>
      </c>
    </row>
    <row r="233" customFormat="false" ht="15" hidden="false" customHeight="false" outlineLevel="0" collapsed="false">
      <c r="B233" s="71" t="str">
        <f aca="false">IF($F$6="Sí",N($C$11)+206,"")</f>
        <v/>
      </c>
      <c r="C233" s="72" t="str">
        <f aca="false">IF(OR($F$6&lt;&gt;"Sí",D233&lt;=0.5),"",EDATE($C$10,206))</f>
        <v/>
      </c>
      <c r="D233" s="41" t="n">
        <f aca="false">MAX(0,M232)</f>
        <v>0</v>
      </c>
      <c r="E233" s="41" t="n">
        <f aca="false">D233*$F$7</f>
        <v>0</v>
      </c>
      <c r="F233" s="41" t="n">
        <f aca="false">IF(D233&gt;0.5,N($C$15),0)</f>
        <v>0</v>
      </c>
      <c r="G233" s="41" t="n">
        <f aca="false">IF(AND(D233&gt;0.5,N($C$19)&gt;0,N(B233)&lt;=N($C$20)),D233*$F$8,0)</f>
        <v>0</v>
      </c>
      <c r="H233" s="41" t="n">
        <f aca="false">IF(D233&lt;=0.5,0,MIN(IF(N(I233)&gt;0,I233,$F$9),D233+E233+F233))</f>
        <v>0</v>
      </c>
      <c r="I233" s="77"/>
      <c r="J233" s="77"/>
      <c r="K233" s="41" t="n">
        <f aca="false">IF(D233&lt;=0.5,0,MIN(H233+N(J233),D233+E233+F233))</f>
        <v>0</v>
      </c>
      <c r="L233" s="41" t="n">
        <f aca="false">K233-E233-F233</f>
        <v>0</v>
      </c>
      <c r="M233" s="41" t="n">
        <f aca="false">D233-L233</f>
        <v>0</v>
      </c>
      <c r="N233" s="42" t="n">
        <f aca="false">K233-G233</f>
        <v>0</v>
      </c>
      <c r="O233" s="78"/>
      <c r="P233" s="79"/>
      <c r="Q233" s="16" t="str">
        <f aca="false">IF(K233=0,"",IF(R233=1,"Pagada",IF(C233&lt;$F$12,"Vencida",IF(207=$F$13,"Próxima","Pendiente"))))</f>
        <v/>
      </c>
      <c r="R233" s="62" t="n">
        <f aca="false">IF(AND(K233&gt;0,OR(O233="Sí",O233="Si")),1,0)</f>
        <v>0</v>
      </c>
      <c r="S233" s="62" t="n">
        <f aca="false">IF(AND(K233&gt;0,R233=0),1,0)</f>
        <v>0</v>
      </c>
    </row>
    <row r="234" customFormat="false" ht="15" hidden="false" customHeight="false" outlineLevel="0" collapsed="false">
      <c r="B234" s="71" t="str">
        <f aca="false">IF($F$6="Sí",N($C$11)+207,"")</f>
        <v/>
      </c>
      <c r="C234" s="72" t="str">
        <f aca="false">IF(OR($F$6&lt;&gt;"Sí",D234&lt;=0.5),"",EDATE($C$10,207))</f>
        <v/>
      </c>
      <c r="D234" s="41" t="n">
        <f aca="false">MAX(0,M233)</f>
        <v>0</v>
      </c>
      <c r="E234" s="41" t="n">
        <f aca="false">D234*$F$7</f>
        <v>0</v>
      </c>
      <c r="F234" s="41" t="n">
        <f aca="false">IF(D234&gt;0.5,N($C$15),0)</f>
        <v>0</v>
      </c>
      <c r="G234" s="41" t="n">
        <f aca="false">IF(AND(D234&gt;0.5,N($C$19)&gt;0,N(B234)&lt;=N($C$20)),D234*$F$8,0)</f>
        <v>0</v>
      </c>
      <c r="H234" s="41" t="n">
        <f aca="false">IF(D234&lt;=0.5,0,MIN(IF(N(I234)&gt;0,I234,$F$9),D234+E234+F234))</f>
        <v>0</v>
      </c>
      <c r="I234" s="77"/>
      <c r="J234" s="77"/>
      <c r="K234" s="41" t="n">
        <f aca="false">IF(D234&lt;=0.5,0,MIN(H234+N(J234),D234+E234+F234))</f>
        <v>0</v>
      </c>
      <c r="L234" s="41" t="n">
        <f aca="false">K234-E234-F234</f>
        <v>0</v>
      </c>
      <c r="M234" s="41" t="n">
        <f aca="false">D234-L234</f>
        <v>0</v>
      </c>
      <c r="N234" s="42" t="n">
        <f aca="false">K234-G234</f>
        <v>0</v>
      </c>
      <c r="O234" s="78"/>
      <c r="P234" s="79"/>
      <c r="Q234" s="16" t="str">
        <f aca="false">IF(K234=0,"",IF(R234=1,"Pagada",IF(C234&lt;$F$12,"Vencida",IF(208=$F$13,"Próxima","Pendiente"))))</f>
        <v/>
      </c>
      <c r="R234" s="62" t="n">
        <f aca="false">IF(AND(K234&gt;0,OR(O234="Sí",O234="Si")),1,0)</f>
        <v>0</v>
      </c>
      <c r="S234" s="62" t="n">
        <f aca="false">IF(AND(K234&gt;0,R234=0),1,0)</f>
        <v>0</v>
      </c>
    </row>
    <row r="235" customFormat="false" ht="15" hidden="false" customHeight="false" outlineLevel="0" collapsed="false">
      <c r="B235" s="71" t="str">
        <f aca="false">IF($F$6="Sí",N($C$11)+208,"")</f>
        <v/>
      </c>
      <c r="C235" s="72" t="str">
        <f aca="false">IF(OR($F$6&lt;&gt;"Sí",D235&lt;=0.5),"",EDATE($C$10,208))</f>
        <v/>
      </c>
      <c r="D235" s="41" t="n">
        <f aca="false">MAX(0,M234)</f>
        <v>0</v>
      </c>
      <c r="E235" s="41" t="n">
        <f aca="false">D235*$F$7</f>
        <v>0</v>
      </c>
      <c r="F235" s="41" t="n">
        <f aca="false">IF(D235&gt;0.5,N($C$15),0)</f>
        <v>0</v>
      </c>
      <c r="G235" s="41" t="n">
        <f aca="false">IF(AND(D235&gt;0.5,N($C$19)&gt;0,N(B235)&lt;=N($C$20)),D235*$F$8,0)</f>
        <v>0</v>
      </c>
      <c r="H235" s="41" t="n">
        <f aca="false">IF(D235&lt;=0.5,0,MIN(IF(N(I235)&gt;0,I235,$F$9),D235+E235+F235))</f>
        <v>0</v>
      </c>
      <c r="I235" s="77"/>
      <c r="J235" s="77"/>
      <c r="K235" s="41" t="n">
        <f aca="false">IF(D235&lt;=0.5,0,MIN(H235+N(J235),D235+E235+F235))</f>
        <v>0</v>
      </c>
      <c r="L235" s="41" t="n">
        <f aca="false">K235-E235-F235</f>
        <v>0</v>
      </c>
      <c r="M235" s="41" t="n">
        <f aca="false">D235-L235</f>
        <v>0</v>
      </c>
      <c r="N235" s="42" t="n">
        <f aca="false">K235-G235</f>
        <v>0</v>
      </c>
      <c r="O235" s="78"/>
      <c r="P235" s="79"/>
      <c r="Q235" s="16" t="str">
        <f aca="false">IF(K235=0,"",IF(R235=1,"Pagada",IF(C235&lt;$F$12,"Vencida",IF(209=$F$13,"Próxima","Pendiente"))))</f>
        <v/>
      </c>
      <c r="R235" s="62" t="n">
        <f aca="false">IF(AND(K235&gt;0,OR(O235="Sí",O235="Si")),1,0)</f>
        <v>0</v>
      </c>
      <c r="S235" s="62" t="n">
        <f aca="false">IF(AND(K235&gt;0,R235=0),1,0)</f>
        <v>0</v>
      </c>
    </row>
    <row r="236" customFormat="false" ht="15" hidden="false" customHeight="false" outlineLevel="0" collapsed="false">
      <c r="B236" s="71" t="str">
        <f aca="false">IF($F$6="Sí",N($C$11)+209,"")</f>
        <v/>
      </c>
      <c r="C236" s="72" t="str">
        <f aca="false">IF(OR($F$6&lt;&gt;"Sí",D236&lt;=0.5),"",EDATE($C$10,209))</f>
        <v/>
      </c>
      <c r="D236" s="41" t="n">
        <f aca="false">MAX(0,M235)</f>
        <v>0</v>
      </c>
      <c r="E236" s="41" t="n">
        <f aca="false">D236*$F$7</f>
        <v>0</v>
      </c>
      <c r="F236" s="41" t="n">
        <f aca="false">IF(D236&gt;0.5,N($C$15),0)</f>
        <v>0</v>
      </c>
      <c r="G236" s="41" t="n">
        <f aca="false">IF(AND(D236&gt;0.5,N($C$19)&gt;0,N(B236)&lt;=N($C$20)),D236*$F$8,0)</f>
        <v>0</v>
      </c>
      <c r="H236" s="41" t="n">
        <f aca="false">IF(D236&lt;=0.5,0,MIN(IF(N(I236)&gt;0,I236,$F$9),D236+E236+F236))</f>
        <v>0</v>
      </c>
      <c r="I236" s="77"/>
      <c r="J236" s="77"/>
      <c r="K236" s="41" t="n">
        <f aca="false">IF(D236&lt;=0.5,0,MIN(H236+N(J236),D236+E236+F236))</f>
        <v>0</v>
      </c>
      <c r="L236" s="41" t="n">
        <f aca="false">K236-E236-F236</f>
        <v>0</v>
      </c>
      <c r="M236" s="41" t="n">
        <f aca="false">D236-L236</f>
        <v>0</v>
      </c>
      <c r="N236" s="42" t="n">
        <f aca="false">K236-G236</f>
        <v>0</v>
      </c>
      <c r="O236" s="78"/>
      <c r="P236" s="79"/>
      <c r="Q236" s="16" t="str">
        <f aca="false">IF(K236=0,"",IF(R236=1,"Pagada",IF(C236&lt;$F$12,"Vencida",IF(210=$F$13,"Próxima","Pendiente"))))</f>
        <v/>
      </c>
      <c r="R236" s="62" t="n">
        <f aca="false">IF(AND(K236&gt;0,OR(O236="Sí",O236="Si")),1,0)</f>
        <v>0</v>
      </c>
      <c r="S236" s="62" t="n">
        <f aca="false">IF(AND(K236&gt;0,R236=0),1,0)</f>
        <v>0</v>
      </c>
    </row>
    <row r="237" customFormat="false" ht="15" hidden="false" customHeight="false" outlineLevel="0" collapsed="false">
      <c r="B237" s="71" t="str">
        <f aca="false">IF($F$6="Sí",N($C$11)+210,"")</f>
        <v/>
      </c>
      <c r="C237" s="72" t="str">
        <f aca="false">IF(OR($F$6&lt;&gt;"Sí",D237&lt;=0.5),"",EDATE($C$10,210))</f>
        <v/>
      </c>
      <c r="D237" s="41" t="n">
        <f aca="false">MAX(0,M236)</f>
        <v>0</v>
      </c>
      <c r="E237" s="41" t="n">
        <f aca="false">D237*$F$7</f>
        <v>0</v>
      </c>
      <c r="F237" s="41" t="n">
        <f aca="false">IF(D237&gt;0.5,N($C$15),0)</f>
        <v>0</v>
      </c>
      <c r="G237" s="41" t="n">
        <f aca="false">IF(AND(D237&gt;0.5,N($C$19)&gt;0,N(B237)&lt;=N($C$20)),D237*$F$8,0)</f>
        <v>0</v>
      </c>
      <c r="H237" s="41" t="n">
        <f aca="false">IF(D237&lt;=0.5,0,MIN(IF(N(I237)&gt;0,I237,$F$9),D237+E237+F237))</f>
        <v>0</v>
      </c>
      <c r="I237" s="77"/>
      <c r="J237" s="77"/>
      <c r="K237" s="41" t="n">
        <f aca="false">IF(D237&lt;=0.5,0,MIN(H237+N(J237),D237+E237+F237))</f>
        <v>0</v>
      </c>
      <c r="L237" s="41" t="n">
        <f aca="false">K237-E237-F237</f>
        <v>0</v>
      </c>
      <c r="M237" s="41" t="n">
        <f aca="false">D237-L237</f>
        <v>0</v>
      </c>
      <c r="N237" s="42" t="n">
        <f aca="false">K237-G237</f>
        <v>0</v>
      </c>
      <c r="O237" s="78"/>
      <c r="P237" s="79"/>
      <c r="Q237" s="16" t="str">
        <f aca="false">IF(K237=0,"",IF(R237=1,"Pagada",IF(C237&lt;$F$12,"Vencida",IF(211=$F$13,"Próxima","Pendiente"))))</f>
        <v/>
      </c>
      <c r="R237" s="62" t="n">
        <f aca="false">IF(AND(K237&gt;0,OR(O237="Sí",O237="Si")),1,0)</f>
        <v>0</v>
      </c>
      <c r="S237" s="62" t="n">
        <f aca="false">IF(AND(K237&gt;0,R237=0),1,0)</f>
        <v>0</v>
      </c>
    </row>
    <row r="238" customFormat="false" ht="15" hidden="false" customHeight="false" outlineLevel="0" collapsed="false">
      <c r="B238" s="71" t="str">
        <f aca="false">IF($F$6="Sí",N($C$11)+211,"")</f>
        <v/>
      </c>
      <c r="C238" s="72" t="str">
        <f aca="false">IF(OR($F$6&lt;&gt;"Sí",D238&lt;=0.5),"",EDATE($C$10,211))</f>
        <v/>
      </c>
      <c r="D238" s="41" t="n">
        <f aca="false">MAX(0,M237)</f>
        <v>0</v>
      </c>
      <c r="E238" s="41" t="n">
        <f aca="false">D238*$F$7</f>
        <v>0</v>
      </c>
      <c r="F238" s="41" t="n">
        <f aca="false">IF(D238&gt;0.5,N($C$15),0)</f>
        <v>0</v>
      </c>
      <c r="G238" s="41" t="n">
        <f aca="false">IF(AND(D238&gt;0.5,N($C$19)&gt;0,N(B238)&lt;=N($C$20)),D238*$F$8,0)</f>
        <v>0</v>
      </c>
      <c r="H238" s="41" t="n">
        <f aca="false">IF(D238&lt;=0.5,0,MIN(IF(N(I238)&gt;0,I238,$F$9),D238+E238+F238))</f>
        <v>0</v>
      </c>
      <c r="I238" s="77"/>
      <c r="J238" s="77"/>
      <c r="K238" s="41" t="n">
        <f aca="false">IF(D238&lt;=0.5,0,MIN(H238+N(J238),D238+E238+F238))</f>
        <v>0</v>
      </c>
      <c r="L238" s="41" t="n">
        <f aca="false">K238-E238-F238</f>
        <v>0</v>
      </c>
      <c r="M238" s="41" t="n">
        <f aca="false">D238-L238</f>
        <v>0</v>
      </c>
      <c r="N238" s="42" t="n">
        <f aca="false">K238-G238</f>
        <v>0</v>
      </c>
      <c r="O238" s="78"/>
      <c r="P238" s="79"/>
      <c r="Q238" s="16" t="str">
        <f aca="false">IF(K238=0,"",IF(R238=1,"Pagada",IF(C238&lt;$F$12,"Vencida",IF(212=$F$13,"Próxima","Pendiente"))))</f>
        <v/>
      </c>
      <c r="R238" s="62" t="n">
        <f aca="false">IF(AND(K238&gt;0,OR(O238="Sí",O238="Si")),1,0)</f>
        <v>0</v>
      </c>
      <c r="S238" s="62" t="n">
        <f aca="false">IF(AND(K238&gt;0,R238=0),1,0)</f>
        <v>0</v>
      </c>
    </row>
    <row r="239" customFormat="false" ht="15" hidden="false" customHeight="false" outlineLevel="0" collapsed="false">
      <c r="B239" s="71" t="str">
        <f aca="false">IF($F$6="Sí",N($C$11)+212,"")</f>
        <v/>
      </c>
      <c r="C239" s="72" t="str">
        <f aca="false">IF(OR($F$6&lt;&gt;"Sí",D239&lt;=0.5),"",EDATE($C$10,212))</f>
        <v/>
      </c>
      <c r="D239" s="41" t="n">
        <f aca="false">MAX(0,M238)</f>
        <v>0</v>
      </c>
      <c r="E239" s="41" t="n">
        <f aca="false">D239*$F$7</f>
        <v>0</v>
      </c>
      <c r="F239" s="41" t="n">
        <f aca="false">IF(D239&gt;0.5,N($C$15),0)</f>
        <v>0</v>
      </c>
      <c r="G239" s="41" t="n">
        <f aca="false">IF(AND(D239&gt;0.5,N($C$19)&gt;0,N(B239)&lt;=N($C$20)),D239*$F$8,0)</f>
        <v>0</v>
      </c>
      <c r="H239" s="41" t="n">
        <f aca="false">IF(D239&lt;=0.5,0,MIN(IF(N(I239)&gt;0,I239,$F$9),D239+E239+F239))</f>
        <v>0</v>
      </c>
      <c r="I239" s="77"/>
      <c r="J239" s="77"/>
      <c r="K239" s="41" t="n">
        <f aca="false">IF(D239&lt;=0.5,0,MIN(H239+N(J239),D239+E239+F239))</f>
        <v>0</v>
      </c>
      <c r="L239" s="41" t="n">
        <f aca="false">K239-E239-F239</f>
        <v>0</v>
      </c>
      <c r="M239" s="41" t="n">
        <f aca="false">D239-L239</f>
        <v>0</v>
      </c>
      <c r="N239" s="42" t="n">
        <f aca="false">K239-G239</f>
        <v>0</v>
      </c>
      <c r="O239" s="78"/>
      <c r="P239" s="79"/>
      <c r="Q239" s="16" t="str">
        <f aca="false">IF(K239=0,"",IF(R239=1,"Pagada",IF(C239&lt;$F$12,"Vencida",IF(213=$F$13,"Próxima","Pendiente"))))</f>
        <v/>
      </c>
      <c r="R239" s="62" t="n">
        <f aca="false">IF(AND(K239&gt;0,OR(O239="Sí",O239="Si")),1,0)</f>
        <v>0</v>
      </c>
      <c r="S239" s="62" t="n">
        <f aca="false">IF(AND(K239&gt;0,R239=0),1,0)</f>
        <v>0</v>
      </c>
    </row>
    <row r="240" customFormat="false" ht="15" hidden="false" customHeight="false" outlineLevel="0" collapsed="false">
      <c r="B240" s="71" t="str">
        <f aca="false">IF($F$6="Sí",N($C$11)+213,"")</f>
        <v/>
      </c>
      <c r="C240" s="72" t="str">
        <f aca="false">IF(OR($F$6&lt;&gt;"Sí",D240&lt;=0.5),"",EDATE($C$10,213))</f>
        <v/>
      </c>
      <c r="D240" s="41" t="n">
        <f aca="false">MAX(0,M239)</f>
        <v>0</v>
      </c>
      <c r="E240" s="41" t="n">
        <f aca="false">D240*$F$7</f>
        <v>0</v>
      </c>
      <c r="F240" s="41" t="n">
        <f aca="false">IF(D240&gt;0.5,N($C$15),0)</f>
        <v>0</v>
      </c>
      <c r="G240" s="41" t="n">
        <f aca="false">IF(AND(D240&gt;0.5,N($C$19)&gt;0,N(B240)&lt;=N($C$20)),D240*$F$8,0)</f>
        <v>0</v>
      </c>
      <c r="H240" s="41" t="n">
        <f aca="false">IF(D240&lt;=0.5,0,MIN(IF(N(I240)&gt;0,I240,$F$9),D240+E240+F240))</f>
        <v>0</v>
      </c>
      <c r="I240" s="77"/>
      <c r="J240" s="77"/>
      <c r="K240" s="41" t="n">
        <f aca="false">IF(D240&lt;=0.5,0,MIN(H240+N(J240),D240+E240+F240))</f>
        <v>0</v>
      </c>
      <c r="L240" s="41" t="n">
        <f aca="false">K240-E240-F240</f>
        <v>0</v>
      </c>
      <c r="M240" s="41" t="n">
        <f aca="false">D240-L240</f>
        <v>0</v>
      </c>
      <c r="N240" s="42" t="n">
        <f aca="false">K240-G240</f>
        <v>0</v>
      </c>
      <c r="O240" s="78"/>
      <c r="P240" s="79"/>
      <c r="Q240" s="16" t="str">
        <f aca="false">IF(K240=0,"",IF(R240=1,"Pagada",IF(C240&lt;$F$12,"Vencida",IF(214=$F$13,"Próxima","Pendiente"))))</f>
        <v/>
      </c>
      <c r="R240" s="62" t="n">
        <f aca="false">IF(AND(K240&gt;0,OR(O240="Sí",O240="Si")),1,0)</f>
        <v>0</v>
      </c>
      <c r="S240" s="62" t="n">
        <f aca="false">IF(AND(K240&gt;0,R240=0),1,0)</f>
        <v>0</v>
      </c>
    </row>
    <row r="241" customFormat="false" ht="15" hidden="false" customHeight="false" outlineLevel="0" collapsed="false">
      <c r="B241" s="71" t="str">
        <f aca="false">IF($F$6="Sí",N($C$11)+214,"")</f>
        <v/>
      </c>
      <c r="C241" s="72" t="str">
        <f aca="false">IF(OR($F$6&lt;&gt;"Sí",D241&lt;=0.5),"",EDATE($C$10,214))</f>
        <v/>
      </c>
      <c r="D241" s="41" t="n">
        <f aca="false">MAX(0,M240)</f>
        <v>0</v>
      </c>
      <c r="E241" s="41" t="n">
        <f aca="false">D241*$F$7</f>
        <v>0</v>
      </c>
      <c r="F241" s="41" t="n">
        <f aca="false">IF(D241&gt;0.5,N($C$15),0)</f>
        <v>0</v>
      </c>
      <c r="G241" s="41" t="n">
        <f aca="false">IF(AND(D241&gt;0.5,N($C$19)&gt;0,N(B241)&lt;=N($C$20)),D241*$F$8,0)</f>
        <v>0</v>
      </c>
      <c r="H241" s="41" t="n">
        <f aca="false">IF(D241&lt;=0.5,0,MIN(IF(N(I241)&gt;0,I241,$F$9),D241+E241+F241))</f>
        <v>0</v>
      </c>
      <c r="I241" s="77"/>
      <c r="J241" s="77"/>
      <c r="K241" s="41" t="n">
        <f aca="false">IF(D241&lt;=0.5,0,MIN(H241+N(J241),D241+E241+F241))</f>
        <v>0</v>
      </c>
      <c r="L241" s="41" t="n">
        <f aca="false">K241-E241-F241</f>
        <v>0</v>
      </c>
      <c r="M241" s="41" t="n">
        <f aca="false">D241-L241</f>
        <v>0</v>
      </c>
      <c r="N241" s="42" t="n">
        <f aca="false">K241-G241</f>
        <v>0</v>
      </c>
      <c r="O241" s="78"/>
      <c r="P241" s="79"/>
      <c r="Q241" s="16" t="str">
        <f aca="false">IF(K241=0,"",IF(R241=1,"Pagada",IF(C241&lt;$F$12,"Vencida",IF(215=$F$13,"Próxima","Pendiente"))))</f>
        <v/>
      </c>
      <c r="R241" s="62" t="n">
        <f aca="false">IF(AND(K241&gt;0,OR(O241="Sí",O241="Si")),1,0)</f>
        <v>0</v>
      </c>
      <c r="S241" s="62" t="n">
        <f aca="false">IF(AND(K241&gt;0,R241=0),1,0)</f>
        <v>0</v>
      </c>
    </row>
    <row r="242" customFormat="false" ht="15" hidden="false" customHeight="false" outlineLevel="0" collapsed="false">
      <c r="B242" s="71" t="str">
        <f aca="false">IF($F$6="Sí",N($C$11)+215,"")</f>
        <v/>
      </c>
      <c r="C242" s="72" t="str">
        <f aca="false">IF(OR($F$6&lt;&gt;"Sí",D242&lt;=0.5),"",EDATE($C$10,215))</f>
        <v/>
      </c>
      <c r="D242" s="41" t="n">
        <f aca="false">MAX(0,M241)</f>
        <v>0</v>
      </c>
      <c r="E242" s="41" t="n">
        <f aca="false">D242*$F$7</f>
        <v>0</v>
      </c>
      <c r="F242" s="41" t="n">
        <f aca="false">IF(D242&gt;0.5,N($C$15),0)</f>
        <v>0</v>
      </c>
      <c r="G242" s="41" t="n">
        <f aca="false">IF(AND(D242&gt;0.5,N($C$19)&gt;0,N(B242)&lt;=N($C$20)),D242*$F$8,0)</f>
        <v>0</v>
      </c>
      <c r="H242" s="41" t="n">
        <f aca="false">IF(D242&lt;=0.5,0,MIN(IF(N(I242)&gt;0,I242,$F$9),D242+E242+F242))</f>
        <v>0</v>
      </c>
      <c r="I242" s="77"/>
      <c r="J242" s="77"/>
      <c r="K242" s="41" t="n">
        <f aca="false">IF(D242&lt;=0.5,0,MIN(H242+N(J242),D242+E242+F242))</f>
        <v>0</v>
      </c>
      <c r="L242" s="41" t="n">
        <f aca="false">K242-E242-F242</f>
        <v>0</v>
      </c>
      <c r="M242" s="41" t="n">
        <f aca="false">D242-L242</f>
        <v>0</v>
      </c>
      <c r="N242" s="42" t="n">
        <f aca="false">K242-G242</f>
        <v>0</v>
      </c>
      <c r="O242" s="78"/>
      <c r="P242" s="79"/>
      <c r="Q242" s="16" t="str">
        <f aca="false">IF(K242=0,"",IF(R242=1,"Pagada",IF(C242&lt;$F$12,"Vencida",IF(216=$F$13,"Próxima","Pendiente"))))</f>
        <v/>
      </c>
      <c r="R242" s="62" t="n">
        <f aca="false">IF(AND(K242&gt;0,OR(O242="Sí",O242="Si")),1,0)</f>
        <v>0</v>
      </c>
      <c r="S242" s="62" t="n">
        <f aca="false">IF(AND(K242&gt;0,R242=0),1,0)</f>
        <v>0</v>
      </c>
    </row>
    <row r="243" customFormat="false" ht="15" hidden="false" customHeight="false" outlineLevel="0" collapsed="false">
      <c r="B243" s="71" t="str">
        <f aca="false">IF($F$6="Sí",N($C$11)+216,"")</f>
        <v/>
      </c>
      <c r="C243" s="72" t="str">
        <f aca="false">IF(OR($F$6&lt;&gt;"Sí",D243&lt;=0.5),"",EDATE($C$10,216))</f>
        <v/>
      </c>
      <c r="D243" s="41" t="n">
        <f aca="false">MAX(0,M242)</f>
        <v>0</v>
      </c>
      <c r="E243" s="41" t="n">
        <f aca="false">D243*$F$7</f>
        <v>0</v>
      </c>
      <c r="F243" s="41" t="n">
        <f aca="false">IF(D243&gt;0.5,N($C$15),0)</f>
        <v>0</v>
      </c>
      <c r="G243" s="41" t="n">
        <f aca="false">IF(AND(D243&gt;0.5,N($C$19)&gt;0,N(B243)&lt;=N($C$20)),D243*$F$8,0)</f>
        <v>0</v>
      </c>
      <c r="H243" s="41" t="n">
        <f aca="false">IF(D243&lt;=0.5,0,MIN(IF(N(I243)&gt;0,I243,$F$9),D243+E243+F243))</f>
        <v>0</v>
      </c>
      <c r="I243" s="77"/>
      <c r="J243" s="77"/>
      <c r="K243" s="41" t="n">
        <f aca="false">IF(D243&lt;=0.5,0,MIN(H243+N(J243),D243+E243+F243))</f>
        <v>0</v>
      </c>
      <c r="L243" s="41" t="n">
        <f aca="false">K243-E243-F243</f>
        <v>0</v>
      </c>
      <c r="M243" s="41" t="n">
        <f aca="false">D243-L243</f>
        <v>0</v>
      </c>
      <c r="N243" s="42" t="n">
        <f aca="false">K243-G243</f>
        <v>0</v>
      </c>
      <c r="O243" s="78"/>
      <c r="P243" s="79"/>
      <c r="Q243" s="16" t="str">
        <f aca="false">IF(K243=0,"",IF(R243=1,"Pagada",IF(C243&lt;$F$12,"Vencida",IF(217=$F$13,"Próxima","Pendiente"))))</f>
        <v/>
      </c>
      <c r="R243" s="62" t="n">
        <f aca="false">IF(AND(K243&gt;0,OR(O243="Sí",O243="Si")),1,0)</f>
        <v>0</v>
      </c>
      <c r="S243" s="62" t="n">
        <f aca="false">IF(AND(K243&gt;0,R243=0),1,0)</f>
        <v>0</v>
      </c>
    </row>
    <row r="244" customFormat="false" ht="15" hidden="false" customHeight="false" outlineLevel="0" collapsed="false">
      <c r="B244" s="71" t="str">
        <f aca="false">IF($F$6="Sí",N($C$11)+217,"")</f>
        <v/>
      </c>
      <c r="C244" s="72" t="str">
        <f aca="false">IF(OR($F$6&lt;&gt;"Sí",D244&lt;=0.5),"",EDATE($C$10,217))</f>
        <v/>
      </c>
      <c r="D244" s="41" t="n">
        <f aca="false">MAX(0,M243)</f>
        <v>0</v>
      </c>
      <c r="E244" s="41" t="n">
        <f aca="false">D244*$F$7</f>
        <v>0</v>
      </c>
      <c r="F244" s="41" t="n">
        <f aca="false">IF(D244&gt;0.5,N($C$15),0)</f>
        <v>0</v>
      </c>
      <c r="G244" s="41" t="n">
        <f aca="false">IF(AND(D244&gt;0.5,N($C$19)&gt;0,N(B244)&lt;=N($C$20)),D244*$F$8,0)</f>
        <v>0</v>
      </c>
      <c r="H244" s="41" t="n">
        <f aca="false">IF(D244&lt;=0.5,0,MIN(IF(N(I244)&gt;0,I244,$F$9),D244+E244+F244))</f>
        <v>0</v>
      </c>
      <c r="I244" s="77"/>
      <c r="J244" s="77"/>
      <c r="K244" s="41" t="n">
        <f aca="false">IF(D244&lt;=0.5,0,MIN(H244+N(J244),D244+E244+F244))</f>
        <v>0</v>
      </c>
      <c r="L244" s="41" t="n">
        <f aca="false">K244-E244-F244</f>
        <v>0</v>
      </c>
      <c r="M244" s="41" t="n">
        <f aca="false">D244-L244</f>
        <v>0</v>
      </c>
      <c r="N244" s="42" t="n">
        <f aca="false">K244-G244</f>
        <v>0</v>
      </c>
      <c r="O244" s="78"/>
      <c r="P244" s="79"/>
      <c r="Q244" s="16" t="str">
        <f aca="false">IF(K244=0,"",IF(R244=1,"Pagada",IF(C244&lt;$F$12,"Vencida",IF(218=$F$13,"Próxima","Pendiente"))))</f>
        <v/>
      </c>
      <c r="R244" s="62" t="n">
        <f aca="false">IF(AND(K244&gt;0,OR(O244="Sí",O244="Si")),1,0)</f>
        <v>0</v>
      </c>
      <c r="S244" s="62" t="n">
        <f aca="false">IF(AND(K244&gt;0,R244=0),1,0)</f>
        <v>0</v>
      </c>
    </row>
    <row r="245" customFormat="false" ht="15" hidden="false" customHeight="false" outlineLevel="0" collapsed="false">
      <c r="B245" s="71" t="str">
        <f aca="false">IF($F$6="Sí",N($C$11)+218,"")</f>
        <v/>
      </c>
      <c r="C245" s="72" t="str">
        <f aca="false">IF(OR($F$6&lt;&gt;"Sí",D245&lt;=0.5),"",EDATE($C$10,218))</f>
        <v/>
      </c>
      <c r="D245" s="41" t="n">
        <f aca="false">MAX(0,M244)</f>
        <v>0</v>
      </c>
      <c r="E245" s="41" t="n">
        <f aca="false">D245*$F$7</f>
        <v>0</v>
      </c>
      <c r="F245" s="41" t="n">
        <f aca="false">IF(D245&gt;0.5,N($C$15),0)</f>
        <v>0</v>
      </c>
      <c r="G245" s="41" t="n">
        <f aca="false">IF(AND(D245&gt;0.5,N($C$19)&gt;0,N(B245)&lt;=N($C$20)),D245*$F$8,0)</f>
        <v>0</v>
      </c>
      <c r="H245" s="41" t="n">
        <f aca="false">IF(D245&lt;=0.5,0,MIN(IF(N(I245)&gt;0,I245,$F$9),D245+E245+F245))</f>
        <v>0</v>
      </c>
      <c r="I245" s="77"/>
      <c r="J245" s="77"/>
      <c r="K245" s="41" t="n">
        <f aca="false">IF(D245&lt;=0.5,0,MIN(H245+N(J245),D245+E245+F245))</f>
        <v>0</v>
      </c>
      <c r="L245" s="41" t="n">
        <f aca="false">K245-E245-F245</f>
        <v>0</v>
      </c>
      <c r="M245" s="41" t="n">
        <f aca="false">D245-L245</f>
        <v>0</v>
      </c>
      <c r="N245" s="42" t="n">
        <f aca="false">K245-G245</f>
        <v>0</v>
      </c>
      <c r="O245" s="78"/>
      <c r="P245" s="79"/>
      <c r="Q245" s="16" t="str">
        <f aca="false">IF(K245=0,"",IF(R245=1,"Pagada",IF(C245&lt;$F$12,"Vencida",IF(219=$F$13,"Próxima","Pendiente"))))</f>
        <v/>
      </c>
      <c r="R245" s="62" t="n">
        <f aca="false">IF(AND(K245&gt;0,OR(O245="Sí",O245="Si")),1,0)</f>
        <v>0</v>
      </c>
      <c r="S245" s="62" t="n">
        <f aca="false">IF(AND(K245&gt;0,R245=0),1,0)</f>
        <v>0</v>
      </c>
    </row>
    <row r="246" customFormat="false" ht="15" hidden="false" customHeight="false" outlineLevel="0" collapsed="false">
      <c r="B246" s="71" t="str">
        <f aca="false">IF($F$6="Sí",N($C$11)+219,"")</f>
        <v/>
      </c>
      <c r="C246" s="72" t="str">
        <f aca="false">IF(OR($F$6&lt;&gt;"Sí",D246&lt;=0.5),"",EDATE($C$10,219))</f>
        <v/>
      </c>
      <c r="D246" s="41" t="n">
        <f aca="false">MAX(0,M245)</f>
        <v>0</v>
      </c>
      <c r="E246" s="41" t="n">
        <f aca="false">D246*$F$7</f>
        <v>0</v>
      </c>
      <c r="F246" s="41" t="n">
        <f aca="false">IF(D246&gt;0.5,N($C$15),0)</f>
        <v>0</v>
      </c>
      <c r="G246" s="41" t="n">
        <f aca="false">IF(AND(D246&gt;0.5,N($C$19)&gt;0,N(B246)&lt;=N($C$20)),D246*$F$8,0)</f>
        <v>0</v>
      </c>
      <c r="H246" s="41" t="n">
        <f aca="false">IF(D246&lt;=0.5,0,MIN(IF(N(I246)&gt;0,I246,$F$9),D246+E246+F246))</f>
        <v>0</v>
      </c>
      <c r="I246" s="77"/>
      <c r="J246" s="77"/>
      <c r="K246" s="41" t="n">
        <f aca="false">IF(D246&lt;=0.5,0,MIN(H246+N(J246),D246+E246+F246))</f>
        <v>0</v>
      </c>
      <c r="L246" s="41" t="n">
        <f aca="false">K246-E246-F246</f>
        <v>0</v>
      </c>
      <c r="M246" s="41" t="n">
        <f aca="false">D246-L246</f>
        <v>0</v>
      </c>
      <c r="N246" s="42" t="n">
        <f aca="false">K246-G246</f>
        <v>0</v>
      </c>
      <c r="O246" s="78"/>
      <c r="P246" s="79"/>
      <c r="Q246" s="16" t="str">
        <f aca="false">IF(K246=0,"",IF(R246=1,"Pagada",IF(C246&lt;$F$12,"Vencida",IF(220=$F$13,"Próxima","Pendiente"))))</f>
        <v/>
      </c>
      <c r="R246" s="62" t="n">
        <f aca="false">IF(AND(K246&gt;0,OR(O246="Sí",O246="Si")),1,0)</f>
        <v>0</v>
      </c>
      <c r="S246" s="62" t="n">
        <f aca="false">IF(AND(K246&gt;0,R246=0),1,0)</f>
        <v>0</v>
      </c>
    </row>
    <row r="247" customFormat="false" ht="15" hidden="false" customHeight="false" outlineLevel="0" collapsed="false">
      <c r="B247" s="71" t="str">
        <f aca="false">IF($F$6="Sí",N($C$11)+220,"")</f>
        <v/>
      </c>
      <c r="C247" s="72" t="str">
        <f aca="false">IF(OR($F$6&lt;&gt;"Sí",D247&lt;=0.5),"",EDATE($C$10,220))</f>
        <v/>
      </c>
      <c r="D247" s="41" t="n">
        <f aca="false">MAX(0,M246)</f>
        <v>0</v>
      </c>
      <c r="E247" s="41" t="n">
        <f aca="false">D247*$F$7</f>
        <v>0</v>
      </c>
      <c r="F247" s="41" t="n">
        <f aca="false">IF(D247&gt;0.5,N($C$15),0)</f>
        <v>0</v>
      </c>
      <c r="G247" s="41" t="n">
        <f aca="false">IF(AND(D247&gt;0.5,N($C$19)&gt;0,N(B247)&lt;=N($C$20)),D247*$F$8,0)</f>
        <v>0</v>
      </c>
      <c r="H247" s="41" t="n">
        <f aca="false">IF(D247&lt;=0.5,0,MIN(IF(N(I247)&gt;0,I247,$F$9),D247+E247+F247))</f>
        <v>0</v>
      </c>
      <c r="I247" s="77"/>
      <c r="J247" s="77"/>
      <c r="K247" s="41" t="n">
        <f aca="false">IF(D247&lt;=0.5,0,MIN(H247+N(J247),D247+E247+F247))</f>
        <v>0</v>
      </c>
      <c r="L247" s="41" t="n">
        <f aca="false">K247-E247-F247</f>
        <v>0</v>
      </c>
      <c r="M247" s="41" t="n">
        <f aca="false">D247-L247</f>
        <v>0</v>
      </c>
      <c r="N247" s="42" t="n">
        <f aca="false">K247-G247</f>
        <v>0</v>
      </c>
      <c r="O247" s="78"/>
      <c r="P247" s="79"/>
      <c r="Q247" s="16" t="str">
        <f aca="false">IF(K247=0,"",IF(R247=1,"Pagada",IF(C247&lt;$F$12,"Vencida",IF(221=$F$13,"Próxima","Pendiente"))))</f>
        <v/>
      </c>
      <c r="R247" s="62" t="n">
        <f aca="false">IF(AND(K247&gt;0,OR(O247="Sí",O247="Si")),1,0)</f>
        <v>0</v>
      </c>
      <c r="S247" s="62" t="n">
        <f aca="false">IF(AND(K247&gt;0,R247=0),1,0)</f>
        <v>0</v>
      </c>
    </row>
    <row r="248" customFormat="false" ht="15" hidden="false" customHeight="false" outlineLevel="0" collapsed="false">
      <c r="B248" s="71" t="str">
        <f aca="false">IF($F$6="Sí",N($C$11)+221,"")</f>
        <v/>
      </c>
      <c r="C248" s="72" t="str">
        <f aca="false">IF(OR($F$6&lt;&gt;"Sí",D248&lt;=0.5),"",EDATE($C$10,221))</f>
        <v/>
      </c>
      <c r="D248" s="41" t="n">
        <f aca="false">MAX(0,M247)</f>
        <v>0</v>
      </c>
      <c r="E248" s="41" t="n">
        <f aca="false">D248*$F$7</f>
        <v>0</v>
      </c>
      <c r="F248" s="41" t="n">
        <f aca="false">IF(D248&gt;0.5,N($C$15),0)</f>
        <v>0</v>
      </c>
      <c r="G248" s="41" t="n">
        <f aca="false">IF(AND(D248&gt;0.5,N($C$19)&gt;0,N(B248)&lt;=N($C$20)),D248*$F$8,0)</f>
        <v>0</v>
      </c>
      <c r="H248" s="41" t="n">
        <f aca="false">IF(D248&lt;=0.5,0,MIN(IF(N(I248)&gt;0,I248,$F$9),D248+E248+F248))</f>
        <v>0</v>
      </c>
      <c r="I248" s="77"/>
      <c r="J248" s="77"/>
      <c r="K248" s="41" t="n">
        <f aca="false">IF(D248&lt;=0.5,0,MIN(H248+N(J248),D248+E248+F248))</f>
        <v>0</v>
      </c>
      <c r="L248" s="41" t="n">
        <f aca="false">K248-E248-F248</f>
        <v>0</v>
      </c>
      <c r="M248" s="41" t="n">
        <f aca="false">D248-L248</f>
        <v>0</v>
      </c>
      <c r="N248" s="42" t="n">
        <f aca="false">K248-G248</f>
        <v>0</v>
      </c>
      <c r="O248" s="78"/>
      <c r="P248" s="79"/>
      <c r="Q248" s="16" t="str">
        <f aca="false">IF(K248=0,"",IF(R248=1,"Pagada",IF(C248&lt;$F$12,"Vencida",IF(222=$F$13,"Próxima","Pendiente"))))</f>
        <v/>
      </c>
      <c r="R248" s="62" t="n">
        <f aca="false">IF(AND(K248&gt;0,OR(O248="Sí",O248="Si")),1,0)</f>
        <v>0</v>
      </c>
      <c r="S248" s="62" t="n">
        <f aca="false">IF(AND(K248&gt;0,R248=0),1,0)</f>
        <v>0</v>
      </c>
    </row>
    <row r="249" customFormat="false" ht="15" hidden="false" customHeight="false" outlineLevel="0" collapsed="false">
      <c r="B249" s="71" t="str">
        <f aca="false">IF($F$6="Sí",N($C$11)+222,"")</f>
        <v/>
      </c>
      <c r="C249" s="72" t="str">
        <f aca="false">IF(OR($F$6&lt;&gt;"Sí",D249&lt;=0.5),"",EDATE($C$10,222))</f>
        <v/>
      </c>
      <c r="D249" s="41" t="n">
        <f aca="false">MAX(0,M248)</f>
        <v>0</v>
      </c>
      <c r="E249" s="41" t="n">
        <f aca="false">D249*$F$7</f>
        <v>0</v>
      </c>
      <c r="F249" s="41" t="n">
        <f aca="false">IF(D249&gt;0.5,N($C$15),0)</f>
        <v>0</v>
      </c>
      <c r="G249" s="41" t="n">
        <f aca="false">IF(AND(D249&gt;0.5,N($C$19)&gt;0,N(B249)&lt;=N($C$20)),D249*$F$8,0)</f>
        <v>0</v>
      </c>
      <c r="H249" s="41" t="n">
        <f aca="false">IF(D249&lt;=0.5,0,MIN(IF(N(I249)&gt;0,I249,$F$9),D249+E249+F249))</f>
        <v>0</v>
      </c>
      <c r="I249" s="77"/>
      <c r="J249" s="77"/>
      <c r="K249" s="41" t="n">
        <f aca="false">IF(D249&lt;=0.5,0,MIN(H249+N(J249),D249+E249+F249))</f>
        <v>0</v>
      </c>
      <c r="L249" s="41" t="n">
        <f aca="false">K249-E249-F249</f>
        <v>0</v>
      </c>
      <c r="M249" s="41" t="n">
        <f aca="false">D249-L249</f>
        <v>0</v>
      </c>
      <c r="N249" s="42" t="n">
        <f aca="false">K249-G249</f>
        <v>0</v>
      </c>
      <c r="O249" s="78"/>
      <c r="P249" s="79"/>
      <c r="Q249" s="16" t="str">
        <f aca="false">IF(K249=0,"",IF(R249=1,"Pagada",IF(C249&lt;$F$12,"Vencida",IF(223=$F$13,"Próxima","Pendiente"))))</f>
        <v/>
      </c>
      <c r="R249" s="62" t="n">
        <f aca="false">IF(AND(K249&gt;0,OR(O249="Sí",O249="Si")),1,0)</f>
        <v>0</v>
      </c>
      <c r="S249" s="62" t="n">
        <f aca="false">IF(AND(K249&gt;0,R249=0),1,0)</f>
        <v>0</v>
      </c>
    </row>
    <row r="250" customFormat="false" ht="15" hidden="false" customHeight="false" outlineLevel="0" collapsed="false">
      <c r="B250" s="71" t="str">
        <f aca="false">IF($F$6="Sí",N($C$11)+223,"")</f>
        <v/>
      </c>
      <c r="C250" s="72" t="str">
        <f aca="false">IF(OR($F$6&lt;&gt;"Sí",D250&lt;=0.5),"",EDATE($C$10,223))</f>
        <v/>
      </c>
      <c r="D250" s="41" t="n">
        <f aca="false">MAX(0,M249)</f>
        <v>0</v>
      </c>
      <c r="E250" s="41" t="n">
        <f aca="false">D250*$F$7</f>
        <v>0</v>
      </c>
      <c r="F250" s="41" t="n">
        <f aca="false">IF(D250&gt;0.5,N($C$15),0)</f>
        <v>0</v>
      </c>
      <c r="G250" s="41" t="n">
        <f aca="false">IF(AND(D250&gt;0.5,N($C$19)&gt;0,N(B250)&lt;=N($C$20)),D250*$F$8,0)</f>
        <v>0</v>
      </c>
      <c r="H250" s="41" t="n">
        <f aca="false">IF(D250&lt;=0.5,0,MIN(IF(N(I250)&gt;0,I250,$F$9),D250+E250+F250))</f>
        <v>0</v>
      </c>
      <c r="I250" s="77"/>
      <c r="J250" s="77"/>
      <c r="K250" s="41" t="n">
        <f aca="false">IF(D250&lt;=0.5,0,MIN(H250+N(J250),D250+E250+F250))</f>
        <v>0</v>
      </c>
      <c r="L250" s="41" t="n">
        <f aca="false">K250-E250-F250</f>
        <v>0</v>
      </c>
      <c r="M250" s="41" t="n">
        <f aca="false">D250-L250</f>
        <v>0</v>
      </c>
      <c r="N250" s="42" t="n">
        <f aca="false">K250-G250</f>
        <v>0</v>
      </c>
      <c r="O250" s="78"/>
      <c r="P250" s="79"/>
      <c r="Q250" s="16" t="str">
        <f aca="false">IF(K250=0,"",IF(R250=1,"Pagada",IF(C250&lt;$F$12,"Vencida",IF(224=$F$13,"Próxima","Pendiente"))))</f>
        <v/>
      </c>
      <c r="R250" s="62" t="n">
        <f aca="false">IF(AND(K250&gt;0,OR(O250="Sí",O250="Si")),1,0)</f>
        <v>0</v>
      </c>
      <c r="S250" s="62" t="n">
        <f aca="false">IF(AND(K250&gt;0,R250=0),1,0)</f>
        <v>0</v>
      </c>
    </row>
    <row r="251" customFormat="false" ht="15" hidden="false" customHeight="false" outlineLevel="0" collapsed="false">
      <c r="B251" s="71" t="str">
        <f aca="false">IF($F$6="Sí",N($C$11)+224,"")</f>
        <v/>
      </c>
      <c r="C251" s="72" t="str">
        <f aca="false">IF(OR($F$6&lt;&gt;"Sí",D251&lt;=0.5),"",EDATE($C$10,224))</f>
        <v/>
      </c>
      <c r="D251" s="41" t="n">
        <f aca="false">MAX(0,M250)</f>
        <v>0</v>
      </c>
      <c r="E251" s="41" t="n">
        <f aca="false">D251*$F$7</f>
        <v>0</v>
      </c>
      <c r="F251" s="41" t="n">
        <f aca="false">IF(D251&gt;0.5,N($C$15),0)</f>
        <v>0</v>
      </c>
      <c r="G251" s="41" t="n">
        <f aca="false">IF(AND(D251&gt;0.5,N($C$19)&gt;0,N(B251)&lt;=N($C$20)),D251*$F$8,0)</f>
        <v>0</v>
      </c>
      <c r="H251" s="41" t="n">
        <f aca="false">IF(D251&lt;=0.5,0,MIN(IF(N(I251)&gt;0,I251,$F$9),D251+E251+F251))</f>
        <v>0</v>
      </c>
      <c r="I251" s="77"/>
      <c r="J251" s="77"/>
      <c r="K251" s="41" t="n">
        <f aca="false">IF(D251&lt;=0.5,0,MIN(H251+N(J251),D251+E251+F251))</f>
        <v>0</v>
      </c>
      <c r="L251" s="41" t="n">
        <f aca="false">K251-E251-F251</f>
        <v>0</v>
      </c>
      <c r="M251" s="41" t="n">
        <f aca="false">D251-L251</f>
        <v>0</v>
      </c>
      <c r="N251" s="42" t="n">
        <f aca="false">K251-G251</f>
        <v>0</v>
      </c>
      <c r="O251" s="78"/>
      <c r="P251" s="79"/>
      <c r="Q251" s="16" t="str">
        <f aca="false">IF(K251=0,"",IF(R251=1,"Pagada",IF(C251&lt;$F$12,"Vencida",IF(225=$F$13,"Próxima","Pendiente"))))</f>
        <v/>
      </c>
      <c r="R251" s="62" t="n">
        <f aca="false">IF(AND(K251&gt;0,OR(O251="Sí",O251="Si")),1,0)</f>
        <v>0</v>
      </c>
      <c r="S251" s="62" t="n">
        <f aca="false">IF(AND(K251&gt;0,R251=0),1,0)</f>
        <v>0</v>
      </c>
    </row>
    <row r="252" customFormat="false" ht="15" hidden="false" customHeight="false" outlineLevel="0" collapsed="false">
      <c r="B252" s="71" t="str">
        <f aca="false">IF($F$6="Sí",N($C$11)+225,"")</f>
        <v/>
      </c>
      <c r="C252" s="72" t="str">
        <f aca="false">IF(OR($F$6&lt;&gt;"Sí",D252&lt;=0.5),"",EDATE($C$10,225))</f>
        <v/>
      </c>
      <c r="D252" s="41" t="n">
        <f aca="false">MAX(0,M251)</f>
        <v>0</v>
      </c>
      <c r="E252" s="41" t="n">
        <f aca="false">D252*$F$7</f>
        <v>0</v>
      </c>
      <c r="F252" s="41" t="n">
        <f aca="false">IF(D252&gt;0.5,N($C$15),0)</f>
        <v>0</v>
      </c>
      <c r="G252" s="41" t="n">
        <f aca="false">IF(AND(D252&gt;0.5,N($C$19)&gt;0,N(B252)&lt;=N($C$20)),D252*$F$8,0)</f>
        <v>0</v>
      </c>
      <c r="H252" s="41" t="n">
        <f aca="false">IF(D252&lt;=0.5,0,MIN(IF(N(I252)&gt;0,I252,$F$9),D252+E252+F252))</f>
        <v>0</v>
      </c>
      <c r="I252" s="77"/>
      <c r="J252" s="77"/>
      <c r="K252" s="41" t="n">
        <f aca="false">IF(D252&lt;=0.5,0,MIN(H252+N(J252),D252+E252+F252))</f>
        <v>0</v>
      </c>
      <c r="L252" s="41" t="n">
        <f aca="false">K252-E252-F252</f>
        <v>0</v>
      </c>
      <c r="M252" s="41" t="n">
        <f aca="false">D252-L252</f>
        <v>0</v>
      </c>
      <c r="N252" s="42" t="n">
        <f aca="false">K252-G252</f>
        <v>0</v>
      </c>
      <c r="O252" s="78"/>
      <c r="P252" s="79"/>
      <c r="Q252" s="16" t="str">
        <f aca="false">IF(K252=0,"",IF(R252=1,"Pagada",IF(C252&lt;$F$12,"Vencida",IF(226=$F$13,"Próxima","Pendiente"))))</f>
        <v/>
      </c>
      <c r="R252" s="62" t="n">
        <f aca="false">IF(AND(K252&gt;0,OR(O252="Sí",O252="Si")),1,0)</f>
        <v>0</v>
      </c>
      <c r="S252" s="62" t="n">
        <f aca="false">IF(AND(K252&gt;0,R252=0),1,0)</f>
        <v>0</v>
      </c>
    </row>
    <row r="253" customFormat="false" ht="15" hidden="false" customHeight="false" outlineLevel="0" collapsed="false">
      <c r="B253" s="71" t="str">
        <f aca="false">IF($F$6="Sí",N($C$11)+226,"")</f>
        <v/>
      </c>
      <c r="C253" s="72" t="str">
        <f aca="false">IF(OR($F$6&lt;&gt;"Sí",D253&lt;=0.5),"",EDATE($C$10,226))</f>
        <v/>
      </c>
      <c r="D253" s="41" t="n">
        <f aca="false">MAX(0,M252)</f>
        <v>0</v>
      </c>
      <c r="E253" s="41" t="n">
        <f aca="false">D253*$F$7</f>
        <v>0</v>
      </c>
      <c r="F253" s="41" t="n">
        <f aca="false">IF(D253&gt;0.5,N($C$15),0)</f>
        <v>0</v>
      </c>
      <c r="G253" s="41" t="n">
        <f aca="false">IF(AND(D253&gt;0.5,N($C$19)&gt;0,N(B253)&lt;=N($C$20)),D253*$F$8,0)</f>
        <v>0</v>
      </c>
      <c r="H253" s="41" t="n">
        <f aca="false">IF(D253&lt;=0.5,0,MIN(IF(N(I253)&gt;0,I253,$F$9),D253+E253+F253))</f>
        <v>0</v>
      </c>
      <c r="I253" s="77"/>
      <c r="J253" s="77"/>
      <c r="K253" s="41" t="n">
        <f aca="false">IF(D253&lt;=0.5,0,MIN(H253+N(J253),D253+E253+F253))</f>
        <v>0</v>
      </c>
      <c r="L253" s="41" t="n">
        <f aca="false">K253-E253-F253</f>
        <v>0</v>
      </c>
      <c r="M253" s="41" t="n">
        <f aca="false">D253-L253</f>
        <v>0</v>
      </c>
      <c r="N253" s="42" t="n">
        <f aca="false">K253-G253</f>
        <v>0</v>
      </c>
      <c r="O253" s="78"/>
      <c r="P253" s="79"/>
      <c r="Q253" s="16" t="str">
        <f aca="false">IF(K253=0,"",IF(R253=1,"Pagada",IF(C253&lt;$F$12,"Vencida",IF(227=$F$13,"Próxima","Pendiente"))))</f>
        <v/>
      </c>
      <c r="R253" s="62" t="n">
        <f aca="false">IF(AND(K253&gt;0,OR(O253="Sí",O253="Si")),1,0)</f>
        <v>0</v>
      </c>
      <c r="S253" s="62" t="n">
        <f aca="false">IF(AND(K253&gt;0,R253=0),1,0)</f>
        <v>0</v>
      </c>
    </row>
    <row r="254" customFormat="false" ht="15" hidden="false" customHeight="false" outlineLevel="0" collapsed="false">
      <c r="B254" s="71" t="str">
        <f aca="false">IF($F$6="Sí",N($C$11)+227,"")</f>
        <v/>
      </c>
      <c r="C254" s="72" t="str">
        <f aca="false">IF(OR($F$6&lt;&gt;"Sí",D254&lt;=0.5),"",EDATE($C$10,227))</f>
        <v/>
      </c>
      <c r="D254" s="41" t="n">
        <f aca="false">MAX(0,M253)</f>
        <v>0</v>
      </c>
      <c r="E254" s="41" t="n">
        <f aca="false">D254*$F$7</f>
        <v>0</v>
      </c>
      <c r="F254" s="41" t="n">
        <f aca="false">IF(D254&gt;0.5,N($C$15),0)</f>
        <v>0</v>
      </c>
      <c r="G254" s="41" t="n">
        <f aca="false">IF(AND(D254&gt;0.5,N($C$19)&gt;0,N(B254)&lt;=N($C$20)),D254*$F$8,0)</f>
        <v>0</v>
      </c>
      <c r="H254" s="41" t="n">
        <f aca="false">IF(D254&lt;=0.5,0,MIN(IF(N(I254)&gt;0,I254,$F$9),D254+E254+F254))</f>
        <v>0</v>
      </c>
      <c r="I254" s="77"/>
      <c r="J254" s="77"/>
      <c r="K254" s="41" t="n">
        <f aca="false">IF(D254&lt;=0.5,0,MIN(H254+N(J254),D254+E254+F254))</f>
        <v>0</v>
      </c>
      <c r="L254" s="41" t="n">
        <f aca="false">K254-E254-F254</f>
        <v>0</v>
      </c>
      <c r="M254" s="41" t="n">
        <f aca="false">D254-L254</f>
        <v>0</v>
      </c>
      <c r="N254" s="42" t="n">
        <f aca="false">K254-G254</f>
        <v>0</v>
      </c>
      <c r="O254" s="78"/>
      <c r="P254" s="79"/>
      <c r="Q254" s="16" t="str">
        <f aca="false">IF(K254=0,"",IF(R254=1,"Pagada",IF(C254&lt;$F$12,"Vencida",IF(228=$F$13,"Próxima","Pendiente"))))</f>
        <v/>
      </c>
      <c r="R254" s="62" t="n">
        <f aca="false">IF(AND(K254&gt;0,OR(O254="Sí",O254="Si")),1,0)</f>
        <v>0</v>
      </c>
      <c r="S254" s="62" t="n">
        <f aca="false">IF(AND(K254&gt;0,R254=0),1,0)</f>
        <v>0</v>
      </c>
    </row>
    <row r="255" customFormat="false" ht="15" hidden="false" customHeight="false" outlineLevel="0" collapsed="false">
      <c r="B255" s="71" t="str">
        <f aca="false">IF($F$6="Sí",N($C$11)+228,"")</f>
        <v/>
      </c>
      <c r="C255" s="72" t="str">
        <f aca="false">IF(OR($F$6&lt;&gt;"Sí",D255&lt;=0.5),"",EDATE($C$10,228))</f>
        <v/>
      </c>
      <c r="D255" s="41" t="n">
        <f aca="false">MAX(0,M254)</f>
        <v>0</v>
      </c>
      <c r="E255" s="41" t="n">
        <f aca="false">D255*$F$7</f>
        <v>0</v>
      </c>
      <c r="F255" s="41" t="n">
        <f aca="false">IF(D255&gt;0.5,N($C$15),0)</f>
        <v>0</v>
      </c>
      <c r="G255" s="41" t="n">
        <f aca="false">IF(AND(D255&gt;0.5,N($C$19)&gt;0,N(B255)&lt;=N($C$20)),D255*$F$8,0)</f>
        <v>0</v>
      </c>
      <c r="H255" s="41" t="n">
        <f aca="false">IF(D255&lt;=0.5,0,MIN(IF(N(I255)&gt;0,I255,$F$9),D255+E255+F255))</f>
        <v>0</v>
      </c>
      <c r="I255" s="77"/>
      <c r="J255" s="77"/>
      <c r="K255" s="41" t="n">
        <f aca="false">IF(D255&lt;=0.5,0,MIN(H255+N(J255),D255+E255+F255))</f>
        <v>0</v>
      </c>
      <c r="L255" s="41" t="n">
        <f aca="false">K255-E255-F255</f>
        <v>0</v>
      </c>
      <c r="M255" s="41" t="n">
        <f aca="false">D255-L255</f>
        <v>0</v>
      </c>
      <c r="N255" s="42" t="n">
        <f aca="false">K255-G255</f>
        <v>0</v>
      </c>
      <c r="O255" s="78"/>
      <c r="P255" s="79"/>
      <c r="Q255" s="16" t="str">
        <f aca="false">IF(K255=0,"",IF(R255=1,"Pagada",IF(C255&lt;$F$12,"Vencida",IF(229=$F$13,"Próxima","Pendiente"))))</f>
        <v/>
      </c>
      <c r="R255" s="62" t="n">
        <f aca="false">IF(AND(K255&gt;0,OR(O255="Sí",O255="Si")),1,0)</f>
        <v>0</v>
      </c>
      <c r="S255" s="62" t="n">
        <f aca="false">IF(AND(K255&gt;0,R255=0),1,0)</f>
        <v>0</v>
      </c>
    </row>
    <row r="256" customFormat="false" ht="15" hidden="false" customHeight="false" outlineLevel="0" collapsed="false">
      <c r="B256" s="71" t="str">
        <f aca="false">IF($F$6="Sí",N($C$11)+229,"")</f>
        <v/>
      </c>
      <c r="C256" s="72" t="str">
        <f aca="false">IF(OR($F$6&lt;&gt;"Sí",D256&lt;=0.5),"",EDATE($C$10,229))</f>
        <v/>
      </c>
      <c r="D256" s="41" t="n">
        <f aca="false">MAX(0,M255)</f>
        <v>0</v>
      </c>
      <c r="E256" s="41" t="n">
        <f aca="false">D256*$F$7</f>
        <v>0</v>
      </c>
      <c r="F256" s="41" t="n">
        <f aca="false">IF(D256&gt;0.5,N($C$15),0)</f>
        <v>0</v>
      </c>
      <c r="G256" s="41" t="n">
        <f aca="false">IF(AND(D256&gt;0.5,N($C$19)&gt;0,N(B256)&lt;=N($C$20)),D256*$F$8,0)</f>
        <v>0</v>
      </c>
      <c r="H256" s="41" t="n">
        <f aca="false">IF(D256&lt;=0.5,0,MIN(IF(N(I256)&gt;0,I256,$F$9),D256+E256+F256))</f>
        <v>0</v>
      </c>
      <c r="I256" s="77"/>
      <c r="J256" s="77"/>
      <c r="K256" s="41" t="n">
        <f aca="false">IF(D256&lt;=0.5,0,MIN(H256+N(J256),D256+E256+F256))</f>
        <v>0</v>
      </c>
      <c r="L256" s="41" t="n">
        <f aca="false">K256-E256-F256</f>
        <v>0</v>
      </c>
      <c r="M256" s="41" t="n">
        <f aca="false">D256-L256</f>
        <v>0</v>
      </c>
      <c r="N256" s="42" t="n">
        <f aca="false">K256-G256</f>
        <v>0</v>
      </c>
      <c r="O256" s="78"/>
      <c r="P256" s="79"/>
      <c r="Q256" s="16" t="str">
        <f aca="false">IF(K256=0,"",IF(R256=1,"Pagada",IF(C256&lt;$F$12,"Vencida",IF(230=$F$13,"Próxima","Pendiente"))))</f>
        <v/>
      </c>
      <c r="R256" s="62" t="n">
        <f aca="false">IF(AND(K256&gt;0,OR(O256="Sí",O256="Si")),1,0)</f>
        <v>0</v>
      </c>
      <c r="S256" s="62" t="n">
        <f aca="false">IF(AND(K256&gt;0,R256=0),1,0)</f>
        <v>0</v>
      </c>
    </row>
    <row r="257" customFormat="false" ht="15" hidden="false" customHeight="false" outlineLevel="0" collapsed="false">
      <c r="B257" s="71" t="str">
        <f aca="false">IF($F$6="Sí",N($C$11)+230,"")</f>
        <v/>
      </c>
      <c r="C257" s="72" t="str">
        <f aca="false">IF(OR($F$6&lt;&gt;"Sí",D257&lt;=0.5),"",EDATE($C$10,230))</f>
        <v/>
      </c>
      <c r="D257" s="41" t="n">
        <f aca="false">MAX(0,M256)</f>
        <v>0</v>
      </c>
      <c r="E257" s="41" t="n">
        <f aca="false">D257*$F$7</f>
        <v>0</v>
      </c>
      <c r="F257" s="41" t="n">
        <f aca="false">IF(D257&gt;0.5,N($C$15),0)</f>
        <v>0</v>
      </c>
      <c r="G257" s="41" t="n">
        <f aca="false">IF(AND(D257&gt;0.5,N($C$19)&gt;0,N(B257)&lt;=N($C$20)),D257*$F$8,0)</f>
        <v>0</v>
      </c>
      <c r="H257" s="41" t="n">
        <f aca="false">IF(D257&lt;=0.5,0,MIN(IF(N(I257)&gt;0,I257,$F$9),D257+E257+F257))</f>
        <v>0</v>
      </c>
      <c r="I257" s="77"/>
      <c r="J257" s="77"/>
      <c r="K257" s="41" t="n">
        <f aca="false">IF(D257&lt;=0.5,0,MIN(H257+N(J257),D257+E257+F257))</f>
        <v>0</v>
      </c>
      <c r="L257" s="41" t="n">
        <f aca="false">K257-E257-F257</f>
        <v>0</v>
      </c>
      <c r="M257" s="41" t="n">
        <f aca="false">D257-L257</f>
        <v>0</v>
      </c>
      <c r="N257" s="42" t="n">
        <f aca="false">K257-G257</f>
        <v>0</v>
      </c>
      <c r="O257" s="78"/>
      <c r="P257" s="79"/>
      <c r="Q257" s="16" t="str">
        <f aca="false">IF(K257=0,"",IF(R257=1,"Pagada",IF(C257&lt;$F$12,"Vencida",IF(231=$F$13,"Próxima","Pendiente"))))</f>
        <v/>
      </c>
      <c r="R257" s="62" t="n">
        <f aca="false">IF(AND(K257&gt;0,OR(O257="Sí",O257="Si")),1,0)</f>
        <v>0</v>
      </c>
      <c r="S257" s="62" t="n">
        <f aca="false">IF(AND(K257&gt;0,R257=0),1,0)</f>
        <v>0</v>
      </c>
    </row>
    <row r="258" customFormat="false" ht="15" hidden="false" customHeight="false" outlineLevel="0" collapsed="false">
      <c r="B258" s="71" t="str">
        <f aca="false">IF($F$6="Sí",N($C$11)+231,"")</f>
        <v/>
      </c>
      <c r="C258" s="72" t="str">
        <f aca="false">IF(OR($F$6&lt;&gt;"Sí",D258&lt;=0.5),"",EDATE($C$10,231))</f>
        <v/>
      </c>
      <c r="D258" s="41" t="n">
        <f aca="false">MAX(0,M257)</f>
        <v>0</v>
      </c>
      <c r="E258" s="41" t="n">
        <f aca="false">D258*$F$7</f>
        <v>0</v>
      </c>
      <c r="F258" s="41" t="n">
        <f aca="false">IF(D258&gt;0.5,N($C$15),0)</f>
        <v>0</v>
      </c>
      <c r="G258" s="41" t="n">
        <f aca="false">IF(AND(D258&gt;0.5,N($C$19)&gt;0,N(B258)&lt;=N($C$20)),D258*$F$8,0)</f>
        <v>0</v>
      </c>
      <c r="H258" s="41" t="n">
        <f aca="false">IF(D258&lt;=0.5,0,MIN(IF(N(I258)&gt;0,I258,$F$9),D258+E258+F258))</f>
        <v>0</v>
      </c>
      <c r="I258" s="77"/>
      <c r="J258" s="77"/>
      <c r="K258" s="41" t="n">
        <f aca="false">IF(D258&lt;=0.5,0,MIN(H258+N(J258),D258+E258+F258))</f>
        <v>0</v>
      </c>
      <c r="L258" s="41" t="n">
        <f aca="false">K258-E258-F258</f>
        <v>0</v>
      </c>
      <c r="M258" s="41" t="n">
        <f aca="false">D258-L258</f>
        <v>0</v>
      </c>
      <c r="N258" s="42" t="n">
        <f aca="false">K258-G258</f>
        <v>0</v>
      </c>
      <c r="O258" s="78"/>
      <c r="P258" s="79"/>
      <c r="Q258" s="16" t="str">
        <f aca="false">IF(K258=0,"",IF(R258=1,"Pagada",IF(C258&lt;$F$12,"Vencida",IF(232=$F$13,"Próxima","Pendiente"))))</f>
        <v/>
      </c>
      <c r="R258" s="62" t="n">
        <f aca="false">IF(AND(K258&gt;0,OR(O258="Sí",O258="Si")),1,0)</f>
        <v>0</v>
      </c>
      <c r="S258" s="62" t="n">
        <f aca="false">IF(AND(K258&gt;0,R258=0),1,0)</f>
        <v>0</v>
      </c>
    </row>
    <row r="259" customFormat="false" ht="15" hidden="false" customHeight="false" outlineLevel="0" collapsed="false">
      <c r="B259" s="71" t="str">
        <f aca="false">IF($F$6="Sí",N($C$11)+232,"")</f>
        <v/>
      </c>
      <c r="C259" s="72" t="str">
        <f aca="false">IF(OR($F$6&lt;&gt;"Sí",D259&lt;=0.5),"",EDATE($C$10,232))</f>
        <v/>
      </c>
      <c r="D259" s="41" t="n">
        <f aca="false">MAX(0,M258)</f>
        <v>0</v>
      </c>
      <c r="E259" s="41" t="n">
        <f aca="false">D259*$F$7</f>
        <v>0</v>
      </c>
      <c r="F259" s="41" t="n">
        <f aca="false">IF(D259&gt;0.5,N($C$15),0)</f>
        <v>0</v>
      </c>
      <c r="G259" s="41" t="n">
        <f aca="false">IF(AND(D259&gt;0.5,N($C$19)&gt;0,N(B259)&lt;=N($C$20)),D259*$F$8,0)</f>
        <v>0</v>
      </c>
      <c r="H259" s="41" t="n">
        <f aca="false">IF(D259&lt;=0.5,0,MIN(IF(N(I259)&gt;0,I259,$F$9),D259+E259+F259))</f>
        <v>0</v>
      </c>
      <c r="I259" s="77"/>
      <c r="J259" s="77"/>
      <c r="K259" s="41" t="n">
        <f aca="false">IF(D259&lt;=0.5,0,MIN(H259+N(J259),D259+E259+F259))</f>
        <v>0</v>
      </c>
      <c r="L259" s="41" t="n">
        <f aca="false">K259-E259-F259</f>
        <v>0</v>
      </c>
      <c r="M259" s="41" t="n">
        <f aca="false">D259-L259</f>
        <v>0</v>
      </c>
      <c r="N259" s="42" t="n">
        <f aca="false">K259-G259</f>
        <v>0</v>
      </c>
      <c r="O259" s="78"/>
      <c r="P259" s="79"/>
      <c r="Q259" s="16" t="str">
        <f aca="false">IF(K259=0,"",IF(R259=1,"Pagada",IF(C259&lt;$F$12,"Vencida",IF(233=$F$13,"Próxima","Pendiente"))))</f>
        <v/>
      </c>
      <c r="R259" s="62" t="n">
        <f aca="false">IF(AND(K259&gt;0,OR(O259="Sí",O259="Si")),1,0)</f>
        <v>0</v>
      </c>
      <c r="S259" s="62" t="n">
        <f aca="false">IF(AND(K259&gt;0,R259=0),1,0)</f>
        <v>0</v>
      </c>
    </row>
    <row r="260" customFormat="false" ht="15" hidden="false" customHeight="false" outlineLevel="0" collapsed="false">
      <c r="B260" s="71" t="str">
        <f aca="false">IF($F$6="Sí",N($C$11)+233,"")</f>
        <v/>
      </c>
      <c r="C260" s="72" t="str">
        <f aca="false">IF(OR($F$6&lt;&gt;"Sí",D260&lt;=0.5),"",EDATE($C$10,233))</f>
        <v/>
      </c>
      <c r="D260" s="41" t="n">
        <f aca="false">MAX(0,M259)</f>
        <v>0</v>
      </c>
      <c r="E260" s="41" t="n">
        <f aca="false">D260*$F$7</f>
        <v>0</v>
      </c>
      <c r="F260" s="41" t="n">
        <f aca="false">IF(D260&gt;0.5,N($C$15),0)</f>
        <v>0</v>
      </c>
      <c r="G260" s="41" t="n">
        <f aca="false">IF(AND(D260&gt;0.5,N($C$19)&gt;0,N(B260)&lt;=N($C$20)),D260*$F$8,0)</f>
        <v>0</v>
      </c>
      <c r="H260" s="41" t="n">
        <f aca="false">IF(D260&lt;=0.5,0,MIN(IF(N(I260)&gt;0,I260,$F$9),D260+E260+F260))</f>
        <v>0</v>
      </c>
      <c r="I260" s="77"/>
      <c r="J260" s="77"/>
      <c r="K260" s="41" t="n">
        <f aca="false">IF(D260&lt;=0.5,0,MIN(H260+N(J260),D260+E260+F260))</f>
        <v>0</v>
      </c>
      <c r="L260" s="41" t="n">
        <f aca="false">K260-E260-F260</f>
        <v>0</v>
      </c>
      <c r="M260" s="41" t="n">
        <f aca="false">D260-L260</f>
        <v>0</v>
      </c>
      <c r="N260" s="42" t="n">
        <f aca="false">K260-G260</f>
        <v>0</v>
      </c>
      <c r="O260" s="78"/>
      <c r="P260" s="79"/>
      <c r="Q260" s="16" t="str">
        <f aca="false">IF(K260=0,"",IF(R260=1,"Pagada",IF(C260&lt;$F$12,"Vencida",IF(234=$F$13,"Próxima","Pendiente"))))</f>
        <v/>
      </c>
      <c r="R260" s="62" t="n">
        <f aca="false">IF(AND(K260&gt;0,OR(O260="Sí",O260="Si")),1,0)</f>
        <v>0</v>
      </c>
      <c r="S260" s="62" t="n">
        <f aca="false">IF(AND(K260&gt;0,R260=0),1,0)</f>
        <v>0</v>
      </c>
    </row>
    <row r="261" customFormat="false" ht="15" hidden="false" customHeight="false" outlineLevel="0" collapsed="false">
      <c r="B261" s="71" t="str">
        <f aca="false">IF($F$6="Sí",N($C$11)+234,"")</f>
        <v/>
      </c>
      <c r="C261" s="72" t="str">
        <f aca="false">IF(OR($F$6&lt;&gt;"Sí",D261&lt;=0.5),"",EDATE($C$10,234))</f>
        <v/>
      </c>
      <c r="D261" s="41" t="n">
        <f aca="false">MAX(0,M260)</f>
        <v>0</v>
      </c>
      <c r="E261" s="41" t="n">
        <f aca="false">D261*$F$7</f>
        <v>0</v>
      </c>
      <c r="F261" s="41" t="n">
        <f aca="false">IF(D261&gt;0.5,N($C$15),0)</f>
        <v>0</v>
      </c>
      <c r="G261" s="41" t="n">
        <f aca="false">IF(AND(D261&gt;0.5,N($C$19)&gt;0,N(B261)&lt;=N($C$20)),D261*$F$8,0)</f>
        <v>0</v>
      </c>
      <c r="H261" s="41" t="n">
        <f aca="false">IF(D261&lt;=0.5,0,MIN(IF(N(I261)&gt;0,I261,$F$9),D261+E261+F261))</f>
        <v>0</v>
      </c>
      <c r="I261" s="77"/>
      <c r="J261" s="77"/>
      <c r="K261" s="41" t="n">
        <f aca="false">IF(D261&lt;=0.5,0,MIN(H261+N(J261),D261+E261+F261))</f>
        <v>0</v>
      </c>
      <c r="L261" s="41" t="n">
        <f aca="false">K261-E261-F261</f>
        <v>0</v>
      </c>
      <c r="M261" s="41" t="n">
        <f aca="false">D261-L261</f>
        <v>0</v>
      </c>
      <c r="N261" s="42" t="n">
        <f aca="false">K261-G261</f>
        <v>0</v>
      </c>
      <c r="O261" s="78"/>
      <c r="P261" s="79"/>
      <c r="Q261" s="16" t="str">
        <f aca="false">IF(K261=0,"",IF(R261=1,"Pagada",IF(C261&lt;$F$12,"Vencida",IF(235=$F$13,"Próxima","Pendiente"))))</f>
        <v/>
      </c>
      <c r="R261" s="62" t="n">
        <f aca="false">IF(AND(K261&gt;0,OR(O261="Sí",O261="Si")),1,0)</f>
        <v>0</v>
      </c>
      <c r="S261" s="62" t="n">
        <f aca="false">IF(AND(K261&gt;0,R261=0),1,0)</f>
        <v>0</v>
      </c>
    </row>
    <row r="262" customFormat="false" ht="15" hidden="false" customHeight="false" outlineLevel="0" collapsed="false">
      <c r="B262" s="71" t="str">
        <f aca="false">IF($F$6="Sí",N($C$11)+235,"")</f>
        <v/>
      </c>
      <c r="C262" s="72" t="str">
        <f aca="false">IF(OR($F$6&lt;&gt;"Sí",D262&lt;=0.5),"",EDATE($C$10,235))</f>
        <v/>
      </c>
      <c r="D262" s="41" t="n">
        <f aca="false">MAX(0,M261)</f>
        <v>0</v>
      </c>
      <c r="E262" s="41" t="n">
        <f aca="false">D262*$F$7</f>
        <v>0</v>
      </c>
      <c r="F262" s="41" t="n">
        <f aca="false">IF(D262&gt;0.5,N($C$15),0)</f>
        <v>0</v>
      </c>
      <c r="G262" s="41" t="n">
        <f aca="false">IF(AND(D262&gt;0.5,N($C$19)&gt;0,N(B262)&lt;=N($C$20)),D262*$F$8,0)</f>
        <v>0</v>
      </c>
      <c r="H262" s="41" t="n">
        <f aca="false">IF(D262&lt;=0.5,0,MIN(IF(N(I262)&gt;0,I262,$F$9),D262+E262+F262))</f>
        <v>0</v>
      </c>
      <c r="I262" s="77"/>
      <c r="J262" s="77"/>
      <c r="K262" s="41" t="n">
        <f aca="false">IF(D262&lt;=0.5,0,MIN(H262+N(J262),D262+E262+F262))</f>
        <v>0</v>
      </c>
      <c r="L262" s="41" t="n">
        <f aca="false">K262-E262-F262</f>
        <v>0</v>
      </c>
      <c r="M262" s="41" t="n">
        <f aca="false">D262-L262</f>
        <v>0</v>
      </c>
      <c r="N262" s="42" t="n">
        <f aca="false">K262-G262</f>
        <v>0</v>
      </c>
      <c r="O262" s="78"/>
      <c r="P262" s="79"/>
      <c r="Q262" s="16" t="str">
        <f aca="false">IF(K262=0,"",IF(R262=1,"Pagada",IF(C262&lt;$F$12,"Vencida",IF(236=$F$13,"Próxima","Pendiente"))))</f>
        <v/>
      </c>
      <c r="R262" s="62" t="n">
        <f aca="false">IF(AND(K262&gt;0,OR(O262="Sí",O262="Si")),1,0)</f>
        <v>0</v>
      </c>
      <c r="S262" s="62" t="n">
        <f aca="false">IF(AND(K262&gt;0,R262=0),1,0)</f>
        <v>0</v>
      </c>
    </row>
    <row r="263" customFormat="false" ht="15" hidden="false" customHeight="false" outlineLevel="0" collapsed="false">
      <c r="B263" s="71" t="str">
        <f aca="false">IF($F$6="Sí",N($C$11)+236,"")</f>
        <v/>
      </c>
      <c r="C263" s="72" t="str">
        <f aca="false">IF(OR($F$6&lt;&gt;"Sí",D263&lt;=0.5),"",EDATE($C$10,236))</f>
        <v/>
      </c>
      <c r="D263" s="41" t="n">
        <f aca="false">MAX(0,M262)</f>
        <v>0</v>
      </c>
      <c r="E263" s="41" t="n">
        <f aca="false">D263*$F$7</f>
        <v>0</v>
      </c>
      <c r="F263" s="41" t="n">
        <f aca="false">IF(D263&gt;0.5,N($C$15),0)</f>
        <v>0</v>
      </c>
      <c r="G263" s="41" t="n">
        <f aca="false">IF(AND(D263&gt;0.5,N($C$19)&gt;0,N(B263)&lt;=N($C$20)),D263*$F$8,0)</f>
        <v>0</v>
      </c>
      <c r="H263" s="41" t="n">
        <f aca="false">IF(D263&lt;=0.5,0,MIN(IF(N(I263)&gt;0,I263,$F$9),D263+E263+F263))</f>
        <v>0</v>
      </c>
      <c r="I263" s="77"/>
      <c r="J263" s="77"/>
      <c r="K263" s="41" t="n">
        <f aca="false">IF(D263&lt;=0.5,0,MIN(H263+N(J263),D263+E263+F263))</f>
        <v>0</v>
      </c>
      <c r="L263" s="41" t="n">
        <f aca="false">K263-E263-F263</f>
        <v>0</v>
      </c>
      <c r="M263" s="41" t="n">
        <f aca="false">D263-L263</f>
        <v>0</v>
      </c>
      <c r="N263" s="42" t="n">
        <f aca="false">K263-G263</f>
        <v>0</v>
      </c>
      <c r="O263" s="78"/>
      <c r="P263" s="79"/>
      <c r="Q263" s="16" t="str">
        <f aca="false">IF(K263=0,"",IF(R263=1,"Pagada",IF(C263&lt;$F$12,"Vencida",IF(237=$F$13,"Próxima","Pendiente"))))</f>
        <v/>
      </c>
      <c r="R263" s="62" t="n">
        <f aca="false">IF(AND(K263&gt;0,OR(O263="Sí",O263="Si")),1,0)</f>
        <v>0</v>
      </c>
      <c r="S263" s="62" t="n">
        <f aca="false">IF(AND(K263&gt;0,R263=0),1,0)</f>
        <v>0</v>
      </c>
    </row>
    <row r="264" customFormat="false" ht="15" hidden="false" customHeight="false" outlineLevel="0" collapsed="false">
      <c r="B264" s="71" t="str">
        <f aca="false">IF($F$6="Sí",N($C$11)+237,"")</f>
        <v/>
      </c>
      <c r="C264" s="72" t="str">
        <f aca="false">IF(OR($F$6&lt;&gt;"Sí",D264&lt;=0.5),"",EDATE($C$10,237))</f>
        <v/>
      </c>
      <c r="D264" s="41" t="n">
        <f aca="false">MAX(0,M263)</f>
        <v>0</v>
      </c>
      <c r="E264" s="41" t="n">
        <f aca="false">D264*$F$7</f>
        <v>0</v>
      </c>
      <c r="F264" s="41" t="n">
        <f aca="false">IF(D264&gt;0.5,N($C$15),0)</f>
        <v>0</v>
      </c>
      <c r="G264" s="41" t="n">
        <f aca="false">IF(AND(D264&gt;0.5,N($C$19)&gt;0,N(B264)&lt;=N($C$20)),D264*$F$8,0)</f>
        <v>0</v>
      </c>
      <c r="H264" s="41" t="n">
        <f aca="false">IF(D264&lt;=0.5,0,MIN(IF(N(I264)&gt;0,I264,$F$9),D264+E264+F264))</f>
        <v>0</v>
      </c>
      <c r="I264" s="77"/>
      <c r="J264" s="77"/>
      <c r="K264" s="41" t="n">
        <f aca="false">IF(D264&lt;=0.5,0,MIN(H264+N(J264),D264+E264+F264))</f>
        <v>0</v>
      </c>
      <c r="L264" s="41" t="n">
        <f aca="false">K264-E264-F264</f>
        <v>0</v>
      </c>
      <c r="M264" s="41" t="n">
        <f aca="false">D264-L264</f>
        <v>0</v>
      </c>
      <c r="N264" s="42" t="n">
        <f aca="false">K264-G264</f>
        <v>0</v>
      </c>
      <c r="O264" s="78"/>
      <c r="P264" s="79"/>
      <c r="Q264" s="16" t="str">
        <f aca="false">IF(K264=0,"",IF(R264=1,"Pagada",IF(C264&lt;$F$12,"Vencida",IF(238=$F$13,"Próxima","Pendiente"))))</f>
        <v/>
      </c>
      <c r="R264" s="62" t="n">
        <f aca="false">IF(AND(K264&gt;0,OR(O264="Sí",O264="Si")),1,0)</f>
        <v>0</v>
      </c>
      <c r="S264" s="62" t="n">
        <f aca="false">IF(AND(K264&gt;0,R264=0),1,0)</f>
        <v>0</v>
      </c>
    </row>
    <row r="265" customFormat="false" ht="15" hidden="false" customHeight="false" outlineLevel="0" collapsed="false">
      <c r="B265" s="71" t="str">
        <f aca="false">IF($F$6="Sí",N($C$11)+238,"")</f>
        <v/>
      </c>
      <c r="C265" s="72" t="str">
        <f aca="false">IF(OR($F$6&lt;&gt;"Sí",D265&lt;=0.5),"",EDATE($C$10,238))</f>
        <v/>
      </c>
      <c r="D265" s="41" t="n">
        <f aca="false">MAX(0,M264)</f>
        <v>0</v>
      </c>
      <c r="E265" s="41" t="n">
        <f aca="false">D265*$F$7</f>
        <v>0</v>
      </c>
      <c r="F265" s="41" t="n">
        <f aca="false">IF(D265&gt;0.5,N($C$15),0)</f>
        <v>0</v>
      </c>
      <c r="G265" s="41" t="n">
        <f aca="false">IF(AND(D265&gt;0.5,N($C$19)&gt;0,N(B265)&lt;=N($C$20)),D265*$F$8,0)</f>
        <v>0</v>
      </c>
      <c r="H265" s="41" t="n">
        <f aca="false">IF(D265&lt;=0.5,0,MIN(IF(N(I265)&gt;0,I265,$F$9),D265+E265+F265))</f>
        <v>0</v>
      </c>
      <c r="I265" s="77"/>
      <c r="J265" s="77"/>
      <c r="K265" s="41" t="n">
        <f aca="false">IF(D265&lt;=0.5,0,MIN(H265+N(J265),D265+E265+F265))</f>
        <v>0</v>
      </c>
      <c r="L265" s="41" t="n">
        <f aca="false">K265-E265-F265</f>
        <v>0</v>
      </c>
      <c r="M265" s="41" t="n">
        <f aca="false">D265-L265</f>
        <v>0</v>
      </c>
      <c r="N265" s="42" t="n">
        <f aca="false">K265-G265</f>
        <v>0</v>
      </c>
      <c r="O265" s="78"/>
      <c r="P265" s="79"/>
      <c r="Q265" s="16" t="str">
        <f aca="false">IF(K265=0,"",IF(R265=1,"Pagada",IF(C265&lt;$F$12,"Vencida",IF(239=$F$13,"Próxima","Pendiente"))))</f>
        <v/>
      </c>
      <c r="R265" s="62" t="n">
        <f aca="false">IF(AND(K265&gt;0,OR(O265="Sí",O265="Si")),1,0)</f>
        <v>0</v>
      </c>
      <c r="S265" s="62" t="n">
        <f aca="false">IF(AND(K265&gt;0,R265=0),1,0)</f>
        <v>0</v>
      </c>
    </row>
    <row r="266" customFormat="false" ht="15" hidden="false" customHeight="false" outlineLevel="0" collapsed="false">
      <c r="B266" s="71" t="str">
        <f aca="false">IF($F$6="Sí",N($C$11)+239,"")</f>
        <v/>
      </c>
      <c r="C266" s="72" t="str">
        <f aca="false">IF(OR($F$6&lt;&gt;"Sí",D266&lt;=0.5),"",EDATE($C$10,239))</f>
        <v/>
      </c>
      <c r="D266" s="41" t="n">
        <f aca="false">MAX(0,M265)</f>
        <v>0</v>
      </c>
      <c r="E266" s="41" t="n">
        <f aca="false">D266*$F$7</f>
        <v>0</v>
      </c>
      <c r="F266" s="41" t="n">
        <f aca="false">IF(D266&gt;0.5,N($C$15),0)</f>
        <v>0</v>
      </c>
      <c r="G266" s="41" t="n">
        <f aca="false">IF(AND(D266&gt;0.5,N($C$19)&gt;0,N(B266)&lt;=N($C$20)),D266*$F$8,0)</f>
        <v>0</v>
      </c>
      <c r="H266" s="41" t="n">
        <f aca="false">IF(D266&lt;=0.5,0,MIN(IF(N(I266)&gt;0,I266,$F$9),D266+E266+F266))</f>
        <v>0</v>
      </c>
      <c r="I266" s="77"/>
      <c r="J266" s="77"/>
      <c r="K266" s="41" t="n">
        <f aca="false">IF(D266&lt;=0.5,0,MIN(H266+N(J266),D266+E266+F266))</f>
        <v>0</v>
      </c>
      <c r="L266" s="41" t="n">
        <f aca="false">K266-E266-F266</f>
        <v>0</v>
      </c>
      <c r="M266" s="41" t="n">
        <f aca="false">D266-L266</f>
        <v>0</v>
      </c>
      <c r="N266" s="42" t="n">
        <f aca="false">K266-G266</f>
        <v>0</v>
      </c>
      <c r="O266" s="78"/>
      <c r="P266" s="79"/>
      <c r="Q266" s="16" t="str">
        <f aca="false">IF(K266=0,"",IF(R266=1,"Pagada",IF(C266&lt;$F$12,"Vencida",IF(240=$F$13,"Próxima","Pendiente"))))</f>
        <v/>
      </c>
      <c r="R266" s="62" t="n">
        <f aca="false">IF(AND(K266&gt;0,OR(O266="Sí",O266="Si")),1,0)</f>
        <v>0</v>
      </c>
      <c r="S266" s="62" t="n">
        <f aca="false">IF(AND(K266&gt;0,R266=0),1,0)</f>
        <v>0</v>
      </c>
    </row>
    <row r="267" customFormat="false" ht="15" hidden="false" customHeight="false" outlineLevel="0" collapsed="false">
      <c r="B267" s="71" t="str">
        <f aca="false">IF($F$6="Sí",N($C$11)+240,"")</f>
        <v/>
      </c>
      <c r="C267" s="72" t="str">
        <f aca="false">IF(OR($F$6&lt;&gt;"Sí",D267&lt;=0.5),"",EDATE($C$10,240))</f>
        <v/>
      </c>
      <c r="D267" s="41" t="n">
        <f aca="false">MAX(0,M266)</f>
        <v>0</v>
      </c>
      <c r="E267" s="41" t="n">
        <f aca="false">D267*$F$7</f>
        <v>0</v>
      </c>
      <c r="F267" s="41" t="n">
        <f aca="false">IF(D267&gt;0.5,N($C$15),0)</f>
        <v>0</v>
      </c>
      <c r="G267" s="41" t="n">
        <f aca="false">IF(AND(D267&gt;0.5,N($C$19)&gt;0,N(B267)&lt;=N($C$20)),D267*$F$8,0)</f>
        <v>0</v>
      </c>
      <c r="H267" s="41" t="n">
        <f aca="false">IF(D267&lt;=0.5,0,MIN(IF(N(I267)&gt;0,I267,$F$9),D267+E267+F267))</f>
        <v>0</v>
      </c>
      <c r="I267" s="77"/>
      <c r="J267" s="77"/>
      <c r="K267" s="41" t="n">
        <f aca="false">IF(D267&lt;=0.5,0,MIN(H267+N(J267),D267+E267+F267))</f>
        <v>0</v>
      </c>
      <c r="L267" s="41" t="n">
        <f aca="false">K267-E267-F267</f>
        <v>0</v>
      </c>
      <c r="M267" s="41" t="n">
        <f aca="false">D267-L267</f>
        <v>0</v>
      </c>
      <c r="N267" s="42" t="n">
        <f aca="false">K267-G267</f>
        <v>0</v>
      </c>
      <c r="O267" s="78"/>
      <c r="P267" s="79"/>
      <c r="Q267" s="16" t="str">
        <f aca="false">IF(K267=0,"",IF(R267=1,"Pagada",IF(C267&lt;$F$12,"Vencida",IF(241=$F$13,"Próxima","Pendiente"))))</f>
        <v/>
      </c>
      <c r="R267" s="62" t="n">
        <f aca="false">IF(AND(K267&gt;0,OR(O267="Sí",O267="Si")),1,0)</f>
        <v>0</v>
      </c>
      <c r="S267" s="62" t="n">
        <f aca="false">IF(AND(K267&gt;0,R267=0),1,0)</f>
        <v>0</v>
      </c>
    </row>
    <row r="268" customFormat="false" ht="15" hidden="false" customHeight="false" outlineLevel="0" collapsed="false">
      <c r="B268" s="71" t="str">
        <f aca="false">IF($F$6="Sí",N($C$11)+241,"")</f>
        <v/>
      </c>
      <c r="C268" s="72" t="str">
        <f aca="false">IF(OR($F$6&lt;&gt;"Sí",D268&lt;=0.5),"",EDATE($C$10,241))</f>
        <v/>
      </c>
      <c r="D268" s="41" t="n">
        <f aca="false">MAX(0,M267)</f>
        <v>0</v>
      </c>
      <c r="E268" s="41" t="n">
        <f aca="false">D268*$F$7</f>
        <v>0</v>
      </c>
      <c r="F268" s="41" t="n">
        <f aca="false">IF(D268&gt;0.5,N($C$15),0)</f>
        <v>0</v>
      </c>
      <c r="G268" s="41" t="n">
        <f aca="false">IF(AND(D268&gt;0.5,N($C$19)&gt;0,N(B268)&lt;=N($C$20)),D268*$F$8,0)</f>
        <v>0</v>
      </c>
      <c r="H268" s="41" t="n">
        <f aca="false">IF(D268&lt;=0.5,0,MIN(IF(N(I268)&gt;0,I268,$F$9),D268+E268+F268))</f>
        <v>0</v>
      </c>
      <c r="I268" s="77"/>
      <c r="J268" s="77"/>
      <c r="K268" s="41" t="n">
        <f aca="false">IF(D268&lt;=0.5,0,MIN(H268+N(J268),D268+E268+F268))</f>
        <v>0</v>
      </c>
      <c r="L268" s="41" t="n">
        <f aca="false">K268-E268-F268</f>
        <v>0</v>
      </c>
      <c r="M268" s="41" t="n">
        <f aca="false">D268-L268</f>
        <v>0</v>
      </c>
      <c r="N268" s="42" t="n">
        <f aca="false">K268-G268</f>
        <v>0</v>
      </c>
      <c r="O268" s="78"/>
      <c r="P268" s="79"/>
      <c r="Q268" s="16" t="str">
        <f aca="false">IF(K268=0,"",IF(R268=1,"Pagada",IF(C268&lt;$F$12,"Vencida",IF(242=$F$13,"Próxima","Pendiente"))))</f>
        <v/>
      </c>
      <c r="R268" s="62" t="n">
        <f aca="false">IF(AND(K268&gt;0,OR(O268="Sí",O268="Si")),1,0)</f>
        <v>0</v>
      </c>
      <c r="S268" s="62" t="n">
        <f aca="false">IF(AND(K268&gt;0,R268=0),1,0)</f>
        <v>0</v>
      </c>
    </row>
    <row r="269" customFormat="false" ht="15" hidden="false" customHeight="false" outlineLevel="0" collapsed="false">
      <c r="B269" s="71" t="str">
        <f aca="false">IF($F$6="Sí",N($C$11)+242,"")</f>
        <v/>
      </c>
      <c r="C269" s="72" t="str">
        <f aca="false">IF(OR($F$6&lt;&gt;"Sí",D269&lt;=0.5),"",EDATE($C$10,242))</f>
        <v/>
      </c>
      <c r="D269" s="41" t="n">
        <f aca="false">MAX(0,M268)</f>
        <v>0</v>
      </c>
      <c r="E269" s="41" t="n">
        <f aca="false">D269*$F$7</f>
        <v>0</v>
      </c>
      <c r="F269" s="41" t="n">
        <f aca="false">IF(D269&gt;0.5,N($C$15),0)</f>
        <v>0</v>
      </c>
      <c r="G269" s="41" t="n">
        <f aca="false">IF(AND(D269&gt;0.5,N($C$19)&gt;0,N(B269)&lt;=N($C$20)),D269*$F$8,0)</f>
        <v>0</v>
      </c>
      <c r="H269" s="41" t="n">
        <f aca="false">IF(D269&lt;=0.5,0,MIN(IF(N(I269)&gt;0,I269,$F$9),D269+E269+F269))</f>
        <v>0</v>
      </c>
      <c r="I269" s="77"/>
      <c r="J269" s="77"/>
      <c r="K269" s="41" t="n">
        <f aca="false">IF(D269&lt;=0.5,0,MIN(H269+N(J269),D269+E269+F269))</f>
        <v>0</v>
      </c>
      <c r="L269" s="41" t="n">
        <f aca="false">K269-E269-F269</f>
        <v>0</v>
      </c>
      <c r="M269" s="41" t="n">
        <f aca="false">D269-L269</f>
        <v>0</v>
      </c>
      <c r="N269" s="42" t="n">
        <f aca="false">K269-G269</f>
        <v>0</v>
      </c>
      <c r="O269" s="78"/>
      <c r="P269" s="79"/>
      <c r="Q269" s="16" t="str">
        <f aca="false">IF(K269=0,"",IF(R269=1,"Pagada",IF(C269&lt;$F$12,"Vencida",IF(243=$F$13,"Próxima","Pendiente"))))</f>
        <v/>
      </c>
      <c r="R269" s="62" t="n">
        <f aca="false">IF(AND(K269&gt;0,OR(O269="Sí",O269="Si")),1,0)</f>
        <v>0</v>
      </c>
      <c r="S269" s="62" t="n">
        <f aca="false">IF(AND(K269&gt;0,R269=0),1,0)</f>
        <v>0</v>
      </c>
    </row>
    <row r="270" customFormat="false" ht="15" hidden="false" customHeight="false" outlineLevel="0" collapsed="false">
      <c r="B270" s="71" t="str">
        <f aca="false">IF($F$6="Sí",N($C$11)+243,"")</f>
        <v/>
      </c>
      <c r="C270" s="72" t="str">
        <f aca="false">IF(OR($F$6&lt;&gt;"Sí",D270&lt;=0.5),"",EDATE($C$10,243))</f>
        <v/>
      </c>
      <c r="D270" s="41" t="n">
        <f aca="false">MAX(0,M269)</f>
        <v>0</v>
      </c>
      <c r="E270" s="41" t="n">
        <f aca="false">D270*$F$7</f>
        <v>0</v>
      </c>
      <c r="F270" s="41" t="n">
        <f aca="false">IF(D270&gt;0.5,N($C$15),0)</f>
        <v>0</v>
      </c>
      <c r="G270" s="41" t="n">
        <f aca="false">IF(AND(D270&gt;0.5,N($C$19)&gt;0,N(B270)&lt;=N($C$20)),D270*$F$8,0)</f>
        <v>0</v>
      </c>
      <c r="H270" s="41" t="n">
        <f aca="false">IF(D270&lt;=0.5,0,MIN(IF(N(I270)&gt;0,I270,$F$9),D270+E270+F270))</f>
        <v>0</v>
      </c>
      <c r="I270" s="77"/>
      <c r="J270" s="77"/>
      <c r="K270" s="41" t="n">
        <f aca="false">IF(D270&lt;=0.5,0,MIN(H270+N(J270),D270+E270+F270))</f>
        <v>0</v>
      </c>
      <c r="L270" s="41" t="n">
        <f aca="false">K270-E270-F270</f>
        <v>0</v>
      </c>
      <c r="M270" s="41" t="n">
        <f aca="false">D270-L270</f>
        <v>0</v>
      </c>
      <c r="N270" s="42" t="n">
        <f aca="false">K270-G270</f>
        <v>0</v>
      </c>
      <c r="O270" s="78"/>
      <c r="P270" s="79"/>
      <c r="Q270" s="16" t="str">
        <f aca="false">IF(K270=0,"",IF(R270=1,"Pagada",IF(C270&lt;$F$12,"Vencida",IF(244=$F$13,"Próxima","Pendiente"))))</f>
        <v/>
      </c>
      <c r="R270" s="62" t="n">
        <f aca="false">IF(AND(K270&gt;0,OR(O270="Sí",O270="Si")),1,0)</f>
        <v>0</v>
      </c>
      <c r="S270" s="62" t="n">
        <f aca="false">IF(AND(K270&gt;0,R270=0),1,0)</f>
        <v>0</v>
      </c>
    </row>
    <row r="271" customFormat="false" ht="15" hidden="false" customHeight="false" outlineLevel="0" collapsed="false">
      <c r="B271" s="71" t="str">
        <f aca="false">IF($F$6="Sí",N($C$11)+244,"")</f>
        <v/>
      </c>
      <c r="C271" s="72" t="str">
        <f aca="false">IF(OR($F$6&lt;&gt;"Sí",D271&lt;=0.5),"",EDATE($C$10,244))</f>
        <v/>
      </c>
      <c r="D271" s="41" t="n">
        <f aca="false">MAX(0,M270)</f>
        <v>0</v>
      </c>
      <c r="E271" s="41" t="n">
        <f aca="false">D271*$F$7</f>
        <v>0</v>
      </c>
      <c r="F271" s="41" t="n">
        <f aca="false">IF(D271&gt;0.5,N($C$15),0)</f>
        <v>0</v>
      </c>
      <c r="G271" s="41" t="n">
        <f aca="false">IF(AND(D271&gt;0.5,N($C$19)&gt;0,N(B271)&lt;=N($C$20)),D271*$F$8,0)</f>
        <v>0</v>
      </c>
      <c r="H271" s="41" t="n">
        <f aca="false">IF(D271&lt;=0.5,0,MIN(IF(N(I271)&gt;0,I271,$F$9),D271+E271+F271))</f>
        <v>0</v>
      </c>
      <c r="I271" s="77"/>
      <c r="J271" s="77"/>
      <c r="K271" s="41" t="n">
        <f aca="false">IF(D271&lt;=0.5,0,MIN(H271+N(J271),D271+E271+F271))</f>
        <v>0</v>
      </c>
      <c r="L271" s="41" t="n">
        <f aca="false">K271-E271-F271</f>
        <v>0</v>
      </c>
      <c r="M271" s="41" t="n">
        <f aca="false">D271-L271</f>
        <v>0</v>
      </c>
      <c r="N271" s="42" t="n">
        <f aca="false">K271-G271</f>
        <v>0</v>
      </c>
      <c r="O271" s="78"/>
      <c r="P271" s="79"/>
      <c r="Q271" s="16" t="str">
        <f aca="false">IF(K271=0,"",IF(R271=1,"Pagada",IF(C271&lt;$F$12,"Vencida",IF(245=$F$13,"Próxima","Pendiente"))))</f>
        <v/>
      </c>
      <c r="R271" s="62" t="n">
        <f aca="false">IF(AND(K271&gt;0,OR(O271="Sí",O271="Si")),1,0)</f>
        <v>0</v>
      </c>
      <c r="S271" s="62" t="n">
        <f aca="false">IF(AND(K271&gt;0,R271=0),1,0)</f>
        <v>0</v>
      </c>
    </row>
    <row r="272" customFormat="false" ht="15" hidden="false" customHeight="false" outlineLevel="0" collapsed="false">
      <c r="B272" s="71" t="str">
        <f aca="false">IF($F$6="Sí",N($C$11)+245,"")</f>
        <v/>
      </c>
      <c r="C272" s="72" t="str">
        <f aca="false">IF(OR($F$6&lt;&gt;"Sí",D272&lt;=0.5),"",EDATE($C$10,245))</f>
        <v/>
      </c>
      <c r="D272" s="41" t="n">
        <f aca="false">MAX(0,M271)</f>
        <v>0</v>
      </c>
      <c r="E272" s="41" t="n">
        <f aca="false">D272*$F$7</f>
        <v>0</v>
      </c>
      <c r="F272" s="41" t="n">
        <f aca="false">IF(D272&gt;0.5,N($C$15),0)</f>
        <v>0</v>
      </c>
      <c r="G272" s="41" t="n">
        <f aca="false">IF(AND(D272&gt;0.5,N($C$19)&gt;0,N(B272)&lt;=N($C$20)),D272*$F$8,0)</f>
        <v>0</v>
      </c>
      <c r="H272" s="41" t="n">
        <f aca="false">IF(D272&lt;=0.5,0,MIN(IF(N(I272)&gt;0,I272,$F$9),D272+E272+F272))</f>
        <v>0</v>
      </c>
      <c r="I272" s="77"/>
      <c r="J272" s="77"/>
      <c r="K272" s="41" t="n">
        <f aca="false">IF(D272&lt;=0.5,0,MIN(H272+N(J272),D272+E272+F272))</f>
        <v>0</v>
      </c>
      <c r="L272" s="41" t="n">
        <f aca="false">K272-E272-F272</f>
        <v>0</v>
      </c>
      <c r="M272" s="41" t="n">
        <f aca="false">D272-L272</f>
        <v>0</v>
      </c>
      <c r="N272" s="42" t="n">
        <f aca="false">K272-G272</f>
        <v>0</v>
      </c>
      <c r="O272" s="78"/>
      <c r="P272" s="79"/>
      <c r="Q272" s="16" t="str">
        <f aca="false">IF(K272=0,"",IF(R272=1,"Pagada",IF(C272&lt;$F$12,"Vencida",IF(246=$F$13,"Próxima","Pendiente"))))</f>
        <v/>
      </c>
      <c r="R272" s="62" t="n">
        <f aca="false">IF(AND(K272&gt;0,OR(O272="Sí",O272="Si")),1,0)</f>
        <v>0</v>
      </c>
      <c r="S272" s="62" t="n">
        <f aca="false">IF(AND(K272&gt;0,R272=0),1,0)</f>
        <v>0</v>
      </c>
    </row>
    <row r="273" customFormat="false" ht="15" hidden="false" customHeight="false" outlineLevel="0" collapsed="false">
      <c r="B273" s="71" t="str">
        <f aca="false">IF($F$6="Sí",N($C$11)+246,"")</f>
        <v/>
      </c>
      <c r="C273" s="72" t="str">
        <f aca="false">IF(OR($F$6&lt;&gt;"Sí",D273&lt;=0.5),"",EDATE($C$10,246))</f>
        <v/>
      </c>
      <c r="D273" s="41" t="n">
        <f aca="false">MAX(0,M272)</f>
        <v>0</v>
      </c>
      <c r="E273" s="41" t="n">
        <f aca="false">D273*$F$7</f>
        <v>0</v>
      </c>
      <c r="F273" s="41" t="n">
        <f aca="false">IF(D273&gt;0.5,N($C$15),0)</f>
        <v>0</v>
      </c>
      <c r="G273" s="41" t="n">
        <f aca="false">IF(AND(D273&gt;0.5,N($C$19)&gt;0,N(B273)&lt;=N($C$20)),D273*$F$8,0)</f>
        <v>0</v>
      </c>
      <c r="H273" s="41" t="n">
        <f aca="false">IF(D273&lt;=0.5,0,MIN(IF(N(I273)&gt;0,I273,$F$9),D273+E273+F273))</f>
        <v>0</v>
      </c>
      <c r="I273" s="77"/>
      <c r="J273" s="77"/>
      <c r="K273" s="41" t="n">
        <f aca="false">IF(D273&lt;=0.5,0,MIN(H273+N(J273),D273+E273+F273))</f>
        <v>0</v>
      </c>
      <c r="L273" s="41" t="n">
        <f aca="false">K273-E273-F273</f>
        <v>0</v>
      </c>
      <c r="M273" s="41" t="n">
        <f aca="false">D273-L273</f>
        <v>0</v>
      </c>
      <c r="N273" s="42" t="n">
        <f aca="false">K273-G273</f>
        <v>0</v>
      </c>
      <c r="O273" s="78"/>
      <c r="P273" s="79"/>
      <c r="Q273" s="16" t="str">
        <f aca="false">IF(K273=0,"",IF(R273=1,"Pagada",IF(C273&lt;$F$12,"Vencida",IF(247=$F$13,"Próxima","Pendiente"))))</f>
        <v/>
      </c>
      <c r="R273" s="62" t="n">
        <f aca="false">IF(AND(K273&gt;0,OR(O273="Sí",O273="Si")),1,0)</f>
        <v>0</v>
      </c>
      <c r="S273" s="62" t="n">
        <f aca="false">IF(AND(K273&gt;0,R273=0),1,0)</f>
        <v>0</v>
      </c>
    </row>
    <row r="274" customFormat="false" ht="15" hidden="false" customHeight="false" outlineLevel="0" collapsed="false">
      <c r="B274" s="71" t="str">
        <f aca="false">IF($F$6="Sí",N($C$11)+247,"")</f>
        <v/>
      </c>
      <c r="C274" s="72" t="str">
        <f aca="false">IF(OR($F$6&lt;&gt;"Sí",D274&lt;=0.5),"",EDATE($C$10,247))</f>
        <v/>
      </c>
      <c r="D274" s="41" t="n">
        <f aca="false">MAX(0,M273)</f>
        <v>0</v>
      </c>
      <c r="E274" s="41" t="n">
        <f aca="false">D274*$F$7</f>
        <v>0</v>
      </c>
      <c r="F274" s="41" t="n">
        <f aca="false">IF(D274&gt;0.5,N($C$15),0)</f>
        <v>0</v>
      </c>
      <c r="G274" s="41" t="n">
        <f aca="false">IF(AND(D274&gt;0.5,N($C$19)&gt;0,N(B274)&lt;=N($C$20)),D274*$F$8,0)</f>
        <v>0</v>
      </c>
      <c r="H274" s="41" t="n">
        <f aca="false">IF(D274&lt;=0.5,0,MIN(IF(N(I274)&gt;0,I274,$F$9),D274+E274+F274))</f>
        <v>0</v>
      </c>
      <c r="I274" s="77"/>
      <c r="J274" s="77"/>
      <c r="K274" s="41" t="n">
        <f aca="false">IF(D274&lt;=0.5,0,MIN(H274+N(J274),D274+E274+F274))</f>
        <v>0</v>
      </c>
      <c r="L274" s="41" t="n">
        <f aca="false">K274-E274-F274</f>
        <v>0</v>
      </c>
      <c r="M274" s="41" t="n">
        <f aca="false">D274-L274</f>
        <v>0</v>
      </c>
      <c r="N274" s="42" t="n">
        <f aca="false">K274-G274</f>
        <v>0</v>
      </c>
      <c r="O274" s="78"/>
      <c r="P274" s="79"/>
      <c r="Q274" s="16" t="str">
        <f aca="false">IF(K274=0,"",IF(R274=1,"Pagada",IF(C274&lt;$F$12,"Vencida",IF(248=$F$13,"Próxima","Pendiente"))))</f>
        <v/>
      </c>
      <c r="R274" s="62" t="n">
        <f aca="false">IF(AND(K274&gt;0,OR(O274="Sí",O274="Si")),1,0)</f>
        <v>0</v>
      </c>
      <c r="S274" s="62" t="n">
        <f aca="false">IF(AND(K274&gt;0,R274=0),1,0)</f>
        <v>0</v>
      </c>
    </row>
    <row r="275" customFormat="false" ht="15" hidden="false" customHeight="false" outlineLevel="0" collapsed="false">
      <c r="B275" s="71" t="str">
        <f aca="false">IF($F$6="Sí",N($C$11)+248,"")</f>
        <v/>
      </c>
      <c r="C275" s="72" t="str">
        <f aca="false">IF(OR($F$6&lt;&gt;"Sí",D275&lt;=0.5),"",EDATE($C$10,248))</f>
        <v/>
      </c>
      <c r="D275" s="41" t="n">
        <f aca="false">MAX(0,M274)</f>
        <v>0</v>
      </c>
      <c r="E275" s="41" t="n">
        <f aca="false">D275*$F$7</f>
        <v>0</v>
      </c>
      <c r="F275" s="41" t="n">
        <f aca="false">IF(D275&gt;0.5,N($C$15),0)</f>
        <v>0</v>
      </c>
      <c r="G275" s="41" t="n">
        <f aca="false">IF(AND(D275&gt;0.5,N($C$19)&gt;0,N(B275)&lt;=N($C$20)),D275*$F$8,0)</f>
        <v>0</v>
      </c>
      <c r="H275" s="41" t="n">
        <f aca="false">IF(D275&lt;=0.5,0,MIN(IF(N(I275)&gt;0,I275,$F$9),D275+E275+F275))</f>
        <v>0</v>
      </c>
      <c r="I275" s="77"/>
      <c r="J275" s="77"/>
      <c r="K275" s="41" t="n">
        <f aca="false">IF(D275&lt;=0.5,0,MIN(H275+N(J275),D275+E275+F275))</f>
        <v>0</v>
      </c>
      <c r="L275" s="41" t="n">
        <f aca="false">K275-E275-F275</f>
        <v>0</v>
      </c>
      <c r="M275" s="41" t="n">
        <f aca="false">D275-L275</f>
        <v>0</v>
      </c>
      <c r="N275" s="42" t="n">
        <f aca="false">K275-G275</f>
        <v>0</v>
      </c>
      <c r="O275" s="78"/>
      <c r="P275" s="79"/>
      <c r="Q275" s="16" t="str">
        <f aca="false">IF(K275=0,"",IF(R275=1,"Pagada",IF(C275&lt;$F$12,"Vencida",IF(249=$F$13,"Próxima","Pendiente"))))</f>
        <v/>
      </c>
      <c r="R275" s="62" t="n">
        <f aca="false">IF(AND(K275&gt;0,OR(O275="Sí",O275="Si")),1,0)</f>
        <v>0</v>
      </c>
      <c r="S275" s="62" t="n">
        <f aca="false">IF(AND(K275&gt;0,R275=0),1,0)</f>
        <v>0</v>
      </c>
    </row>
    <row r="276" customFormat="false" ht="15" hidden="false" customHeight="false" outlineLevel="0" collapsed="false">
      <c r="B276" s="71" t="str">
        <f aca="false">IF($F$6="Sí",N($C$11)+249,"")</f>
        <v/>
      </c>
      <c r="C276" s="72" t="str">
        <f aca="false">IF(OR($F$6&lt;&gt;"Sí",D276&lt;=0.5),"",EDATE($C$10,249))</f>
        <v/>
      </c>
      <c r="D276" s="41" t="n">
        <f aca="false">MAX(0,M275)</f>
        <v>0</v>
      </c>
      <c r="E276" s="41" t="n">
        <f aca="false">D276*$F$7</f>
        <v>0</v>
      </c>
      <c r="F276" s="41" t="n">
        <f aca="false">IF(D276&gt;0.5,N($C$15),0)</f>
        <v>0</v>
      </c>
      <c r="G276" s="41" t="n">
        <f aca="false">IF(AND(D276&gt;0.5,N($C$19)&gt;0,N(B276)&lt;=N($C$20)),D276*$F$8,0)</f>
        <v>0</v>
      </c>
      <c r="H276" s="41" t="n">
        <f aca="false">IF(D276&lt;=0.5,0,MIN(IF(N(I276)&gt;0,I276,$F$9),D276+E276+F276))</f>
        <v>0</v>
      </c>
      <c r="I276" s="77"/>
      <c r="J276" s="77"/>
      <c r="K276" s="41" t="n">
        <f aca="false">IF(D276&lt;=0.5,0,MIN(H276+N(J276),D276+E276+F276))</f>
        <v>0</v>
      </c>
      <c r="L276" s="41" t="n">
        <f aca="false">K276-E276-F276</f>
        <v>0</v>
      </c>
      <c r="M276" s="41" t="n">
        <f aca="false">D276-L276</f>
        <v>0</v>
      </c>
      <c r="N276" s="42" t="n">
        <f aca="false">K276-G276</f>
        <v>0</v>
      </c>
      <c r="O276" s="78"/>
      <c r="P276" s="79"/>
      <c r="Q276" s="16" t="str">
        <f aca="false">IF(K276=0,"",IF(R276=1,"Pagada",IF(C276&lt;$F$12,"Vencida",IF(250=$F$13,"Próxima","Pendiente"))))</f>
        <v/>
      </c>
      <c r="R276" s="62" t="n">
        <f aca="false">IF(AND(K276&gt;0,OR(O276="Sí",O276="Si")),1,0)</f>
        <v>0</v>
      </c>
      <c r="S276" s="62" t="n">
        <f aca="false">IF(AND(K276&gt;0,R276=0),1,0)</f>
        <v>0</v>
      </c>
    </row>
    <row r="277" customFormat="false" ht="15" hidden="false" customHeight="false" outlineLevel="0" collapsed="false">
      <c r="B277" s="71" t="str">
        <f aca="false">IF($F$6="Sí",N($C$11)+250,"")</f>
        <v/>
      </c>
      <c r="C277" s="72" t="str">
        <f aca="false">IF(OR($F$6&lt;&gt;"Sí",D277&lt;=0.5),"",EDATE($C$10,250))</f>
        <v/>
      </c>
      <c r="D277" s="41" t="n">
        <f aca="false">MAX(0,M276)</f>
        <v>0</v>
      </c>
      <c r="E277" s="41" t="n">
        <f aca="false">D277*$F$7</f>
        <v>0</v>
      </c>
      <c r="F277" s="41" t="n">
        <f aca="false">IF(D277&gt;0.5,N($C$15),0)</f>
        <v>0</v>
      </c>
      <c r="G277" s="41" t="n">
        <f aca="false">IF(AND(D277&gt;0.5,N($C$19)&gt;0,N(B277)&lt;=N($C$20)),D277*$F$8,0)</f>
        <v>0</v>
      </c>
      <c r="H277" s="41" t="n">
        <f aca="false">IF(D277&lt;=0.5,0,MIN(IF(N(I277)&gt;0,I277,$F$9),D277+E277+F277))</f>
        <v>0</v>
      </c>
      <c r="I277" s="77"/>
      <c r="J277" s="77"/>
      <c r="K277" s="41" t="n">
        <f aca="false">IF(D277&lt;=0.5,0,MIN(H277+N(J277),D277+E277+F277))</f>
        <v>0</v>
      </c>
      <c r="L277" s="41" t="n">
        <f aca="false">K277-E277-F277</f>
        <v>0</v>
      </c>
      <c r="M277" s="41" t="n">
        <f aca="false">D277-L277</f>
        <v>0</v>
      </c>
      <c r="N277" s="42" t="n">
        <f aca="false">K277-G277</f>
        <v>0</v>
      </c>
      <c r="O277" s="78"/>
      <c r="P277" s="79"/>
      <c r="Q277" s="16" t="str">
        <f aca="false">IF(K277=0,"",IF(R277=1,"Pagada",IF(C277&lt;$F$12,"Vencida",IF(251=$F$13,"Próxima","Pendiente"))))</f>
        <v/>
      </c>
      <c r="R277" s="62" t="n">
        <f aca="false">IF(AND(K277&gt;0,OR(O277="Sí",O277="Si")),1,0)</f>
        <v>0</v>
      </c>
      <c r="S277" s="62" t="n">
        <f aca="false">IF(AND(K277&gt;0,R277=0),1,0)</f>
        <v>0</v>
      </c>
    </row>
    <row r="278" customFormat="false" ht="15" hidden="false" customHeight="false" outlineLevel="0" collapsed="false">
      <c r="B278" s="71" t="str">
        <f aca="false">IF($F$6="Sí",N($C$11)+251,"")</f>
        <v/>
      </c>
      <c r="C278" s="72" t="str">
        <f aca="false">IF(OR($F$6&lt;&gt;"Sí",D278&lt;=0.5),"",EDATE($C$10,251))</f>
        <v/>
      </c>
      <c r="D278" s="41" t="n">
        <f aca="false">MAX(0,M277)</f>
        <v>0</v>
      </c>
      <c r="E278" s="41" t="n">
        <f aca="false">D278*$F$7</f>
        <v>0</v>
      </c>
      <c r="F278" s="41" t="n">
        <f aca="false">IF(D278&gt;0.5,N($C$15),0)</f>
        <v>0</v>
      </c>
      <c r="G278" s="41" t="n">
        <f aca="false">IF(AND(D278&gt;0.5,N($C$19)&gt;0,N(B278)&lt;=N($C$20)),D278*$F$8,0)</f>
        <v>0</v>
      </c>
      <c r="H278" s="41" t="n">
        <f aca="false">IF(D278&lt;=0.5,0,MIN(IF(N(I278)&gt;0,I278,$F$9),D278+E278+F278))</f>
        <v>0</v>
      </c>
      <c r="I278" s="77"/>
      <c r="J278" s="77"/>
      <c r="K278" s="41" t="n">
        <f aca="false">IF(D278&lt;=0.5,0,MIN(H278+N(J278),D278+E278+F278))</f>
        <v>0</v>
      </c>
      <c r="L278" s="41" t="n">
        <f aca="false">K278-E278-F278</f>
        <v>0</v>
      </c>
      <c r="M278" s="41" t="n">
        <f aca="false">D278-L278</f>
        <v>0</v>
      </c>
      <c r="N278" s="42" t="n">
        <f aca="false">K278-G278</f>
        <v>0</v>
      </c>
      <c r="O278" s="78"/>
      <c r="P278" s="79"/>
      <c r="Q278" s="16" t="str">
        <f aca="false">IF(K278=0,"",IF(R278=1,"Pagada",IF(C278&lt;$F$12,"Vencida",IF(252=$F$13,"Próxima","Pendiente"))))</f>
        <v/>
      </c>
      <c r="R278" s="62" t="n">
        <f aca="false">IF(AND(K278&gt;0,OR(O278="Sí",O278="Si")),1,0)</f>
        <v>0</v>
      </c>
      <c r="S278" s="62" t="n">
        <f aca="false">IF(AND(K278&gt;0,R278=0),1,0)</f>
        <v>0</v>
      </c>
    </row>
    <row r="279" customFormat="false" ht="15" hidden="false" customHeight="false" outlineLevel="0" collapsed="false">
      <c r="B279" s="71" t="str">
        <f aca="false">IF($F$6="Sí",N($C$11)+252,"")</f>
        <v/>
      </c>
      <c r="C279" s="72" t="str">
        <f aca="false">IF(OR($F$6&lt;&gt;"Sí",D279&lt;=0.5),"",EDATE($C$10,252))</f>
        <v/>
      </c>
      <c r="D279" s="41" t="n">
        <f aca="false">MAX(0,M278)</f>
        <v>0</v>
      </c>
      <c r="E279" s="41" t="n">
        <f aca="false">D279*$F$7</f>
        <v>0</v>
      </c>
      <c r="F279" s="41" t="n">
        <f aca="false">IF(D279&gt;0.5,N($C$15),0)</f>
        <v>0</v>
      </c>
      <c r="G279" s="41" t="n">
        <f aca="false">IF(AND(D279&gt;0.5,N($C$19)&gt;0,N(B279)&lt;=N($C$20)),D279*$F$8,0)</f>
        <v>0</v>
      </c>
      <c r="H279" s="41" t="n">
        <f aca="false">IF(D279&lt;=0.5,0,MIN(IF(N(I279)&gt;0,I279,$F$9),D279+E279+F279))</f>
        <v>0</v>
      </c>
      <c r="I279" s="77"/>
      <c r="J279" s="77"/>
      <c r="K279" s="41" t="n">
        <f aca="false">IF(D279&lt;=0.5,0,MIN(H279+N(J279),D279+E279+F279))</f>
        <v>0</v>
      </c>
      <c r="L279" s="41" t="n">
        <f aca="false">K279-E279-F279</f>
        <v>0</v>
      </c>
      <c r="M279" s="41" t="n">
        <f aca="false">D279-L279</f>
        <v>0</v>
      </c>
      <c r="N279" s="42" t="n">
        <f aca="false">K279-G279</f>
        <v>0</v>
      </c>
      <c r="O279" s="78"/>
      <c r="P279" s="79"/>
      <c r="Q279" s="16" t="str">
        <f aca="false">IF(K279=0,"",IF(R279=1,"Pagada",IF(C279&lt;$F$12,"Vencida",IF(253=$F$13,"Próxima","Pendiente"))))</f>
        <v/>
      </c>
      <c r="R279" s="62" t="n">
        <f aca="false">IF(AND(K279&gt;0,OR(O279="Sí",O279="Si")),1,0)</f>
        <v>0</v>
      </c>
      <c r="S279" s="62" t="n">
        <f aca="false">IF(AND(K279&gt;0,R279=0),1,0)</f>
        <v>0</v>
      </c>
    </row>
    <row r="280" customFormat="false" ht="15" hidden="false" customHeight="false" outlineLevel="0" collapsed="false">
      <c r="B280" s="71" t="str">
        <f aca="false">IF($F$6="Sí",N($C$11)+253,"")</f>
        <v/>
      </c>
      <c r="C280" s="72" t="str">
        <f aca="false">IF(OR($F$6&lt;&gt;"Sí",D280&lt;=0.5),"",EDATE($C$10,253))</f>
        <v/>
      </c>
      <c r="D280" s="41" t="n">
        <f aca="false">MAX(0,M279)</f>
        <v>0</v>
      </c>
      <c r="E280" s="41" t="n">
        <f aca="false">D280*$F$7</f>
        <v>0</v>
      </c>
      <c r="F280" s="41" t="n">
        <f aca="false">IF(D280&gt;0.5,N($C$15),0)</f>
        <v>0</v>
      </c>
      <c r="G280" s="41" t="n">
        <f aca="false">IF(AND(D280&gt;0.5,N($C$19)&gt;0,N(B280)&lt;=N($C$20)),D280*$F$8,0)</f>
        <v>0</v>
      </c>
      <c r="H280" s="41" t="n">
        <f aca="false">IF(D280&lt;=0.5,0,MIN(IF(N(I280)&gt;0,I280,$F$9),D280+E280+F280))</f>
        <v>0</v>
      </c>
      <c r="I280" s="77"/>
      <c r="J280" s="77"/>
      <c r="K280" s="41" t="n">
        <f aca="false">IF(D280&lt;=0.5,0,MIN(H280+N(J280),D280+E280+F280))</f>
        <v>0</v>
      </c>
      <c r="L280" s="41" t="n">
        <f aca="false">K280-E280-F280</f>
        <v>0</v>
      </c>
      <c r="M280" s="41" t="n">
        <f aca="false">D280-L280</f>
        <v>0</v>
      </c>
      <c r="N280" s="42" t="n">
        <f aca="false">K280-G280</f>
        <v>0</v>
      </c>
      <c r="O280" s="78"/>
      <c r="P280" s="79"/>
      <c r="Q280" s="16" t="str">
        <f aca="false">IF(K280=0,"",IF(R280=1,"Pagada",IF(C280&lt;$F$12,"Vencida",IF(254=$F$13,"Próxima","Pendiente"))))</f>
        <v/>
      </c>
      <c r="R280" s="62" t="n">
        <f aca="false">IF(AND(K280&gt;0,OR(O280="Sí",O280="Si")),1,0)</f>
        <v>0</v>
      </c>
      <c r="S280" s="62" t="n">
        <f aca="false">IF(AND(K280&gt;0,R280=0),1,0)</f>
        <v>0</v>
      </c>
    </row>
    <row r="281" customFormat="false" ht="15" hidden="false" customHeight="false" outlineLevel="0" collapsed="false">
      <c r="B281" s="71" t="str">
        <f aca="false">IF($F$6="Sí",N($C$11)+254,"")</f>
        <v/>
      </c>
      <c r="C281" s="72" t="str">
        <f aca="false">IF(OR($F$6&lt;&gt;"Sí",D281&lt;=0.5),"",EDATE($C$10,254))</f>
        <v/>
      </c>
      <c r="D281" s="41" t="n">
        <f aca="false">MAX(0,M280)</f>
        <v>0</v>
      </c>
      <c r="E281" s="41" t="n">
        <f aca="false">D281*$F$7</f>
        <v>0</v>
      </c>
      <c r="F281" s="41" t="n">
        <f aca="false">IF(D281&gt;0.5,N($C$15),0)</f>
        <v>0</v>
      </c>
      <c r="G281" s="41" t="n">
        <f aca="false">IF(AND(D281&gt;0.5,N($C$19)&gt;0,N(B281)&lt;=N($C$20)),D281*$F$8,0)</f>
        <v>0</v>
      </c>
      <c r="H281" s="41" t="n">
        <f aca="false">IF(D281&lt;=0.5,0,MIN(IF(N(I281)&gt;0,I281,$F$9),D281+E281+F281))</f>
        <v>0</v>
      </c>
      <c r="I281" s="77"/>
      <c r="J281" s="77"/>
      <c r="K281" s="41" t="n">
        <f aca="false">IF(D281&lt;=0.5,0,MIN(H281+N(J281),D281+E281+F281))</f>
        <v>0</v>
      </c>
      <c r="L281" s="41" t="n">
        <f aca="false">K281-E281-F281</f>
        <v>0</v>
      </c>
      <c r="M281" s="41" t="n">
        <f aca="false">D281-L281</f>
        <v>0</v>
      </c>
      <c r="N281" s="42" t="n">
        <f aca="false">K281-G281</f>
        <v>0</v>
      </c>
      <c r="O281" s="78"/>
      <c r="P281" s="79"/>
      <c r="Q281" s="16" t="str">
        <f aca="false">IF(K281=0,"",IF(R281=1,"Pagada",IF(C281&lt;$F$12,"Vencida",IF(255=$F$13,"Próxima","Pendiente"))))</f>
        <v/>
      </c>
      <c r="R281" s="62" t="n">
        <f aca="false">IF(AND(K281&gt;0,OR(O281="Sí",O281="Si")),1,0)</f>
        <v>0</v>
      </c>
      <c r="S281" s="62" t="n">
        <f aca="false">IF(AND(K281&gt;0,R281=0),1,0)</f>
        <v>0</v>
      </c>
    </row>
    <row r="282" customFormat="false" ht="15" hidden="false" customHeight="false" outlineLevel="0" collapsed="false">
      <c r="B282" s="71" t="str">
        <f aca="false">IF($F$6="Sí",N($C$11)+255,"")</f>
        <v/>
      </c>
      <c r="C282" s="72" t="str">
        <f aca="false">IF(OR($F$6&lt;&gt;"Sí",D282&lt;=0.5),"",EDATE($C$10,255))</f>
        <v/>
      </c>
      <c r="D282" s="41" t="n">
        <f aca="false">MAX(0,M281)</f>
        <v>0</v>
      </c>
      <c r="E282" s="41" t="n">
        <f aca="false">D282*$F$7</f>
        <v>0</v>
      </c>
      <c r="F282" s="41" t="n">
        <f aca="false">IF(D282&gt;0.5,N($C$15),0)</f>
        <v>0</v>
      </c>
      <c r="G282" s="41" t="n">
        <f aca="false">IF(AND(D282&gt;0.5,N($C$19)&gt;0,N(B282)&lt;=N($C$20)),D282*$F$8,0)</f>
        <v>0</v>
      </c>
      <c r="H282" s="41" t="n">
        <f aca="false">IF(D282&lt;=0.5,0,MIN(IF(N(I282)&gt;0,I282,$F$9),D282+E282+F282))</f>
        <v>0</v>
      </c>
      <c r="I282" s="77"/>
      <c r="J282" s="77"/>
      <c r="K282" s="41" t="n">
        <f aca="false">IF(D282&lt;=0.5,0,MIN(H282+N(J282),D282+E282+F282))</f>
        <v>0</v>
      </c>
      <c r="L282" s="41" t="n">
        <f aca="false">K282-E282-F282</f>
        <v>0</v>
      </c>
      <c r="M282" s="41" t="n">
        <f aca="false">D282-L282</f>
        <v>0</v>
      </c>
      <c r="N282" s="42" t="n">
        <f aca="false">K282-G282</f>
        <v>0</v>
      </c>
      <c r="O282" s="78"/>
      <c r="P282" s="79"/>
      <c r="Q282" s="16" t="str">
        <f aca="false">IF(K282=0,"",IF(R282=1,"Pagada",IF(C282&lt;$F$12,"Vencida",IF(256=$F$13,"Próxima","Pendiente"))))</f>
        <v/>
      </c>
      <c r="R282" s="62" t="n">
        <f aca="false">IF(AND(K282&gt;0,OR(O282="Sí",O282="Si")),1,0)</f>
        <v>0</v>
      </c>
      <c r="S282" s="62" t="n">
        <f aca="false">IF(AND(K282&gt;0,R282=0),1,0)</f>
        <v>0</v>
      </c>
    </row>
    <row r="283" customFormat="false" ht="15" hidden="false" customHeight="false" outlineLevel="0" collapsed="false">
      <c r="B283" s="71" t="str">
        <f aca="false">IF($F$6="Sí",N($C$11)+256,"")</f>
        <v/>
      </c>
      <c r="C283" s="72" t="str">
        <f aca="false">IF(OR($F$6&lt;&gt;"Sí",D283&lt;=0.5),"",EDATE($C$10,256))</f>
        <v/>
      </c>
      <c r="D283" s="41" t="n">
        <f aca="false">MAX(0,M282)</f>
        <v>0</v>
      </c>
      <c r="E283" s="41" t="n">
        <f aca="false">D283*$F$7</f>
        <v>0</v>
      </c>
      <c r="F283" s="41" t="n">
        <f aca="false">IF(D283&gt;0.5,N($C$15),0)</f>
        <v>0</v>
      </c>
      <c r="G283" s="41" t="n">
        <f aca="false">IF(AND(D283&gt;0.5,N($C$19)&gt;0,N(B283)&lt;=N($C$20)),D283*$F$8,0)</f>
        <v>0</v>
      </c>
      <c r="H283" s="41" t="n">
        <f aca="false">IF(D283&lt;=0.5,0,MIN(IF(N(I283)&gt;0,I283,$F$9),D283+E283+F283))</f>
        <v>0</v>
      </c>
      <c r="I283" s="77"/>
      <c r="J283" s="77"/>
      <c r="K283" s="41" t="n">
        <f aca="false">IF(D283&lt;=0.5,0,MIN(H283+N(J283),D283+E283+F283))</f>
        <v>0</v>
      </c>
      <c r="L283" s="41" t="n">
        <f aca="false">K283-E283-F283</f>
        <v>0</v>
      </c>
      <c r="M283" s="41" t="n">
        <f aca="false">D283-L283</f>
        <v>0</v>
      </c>
      <c r="N283" s="42" t="n">
        <f aca="false">K283-G283</f>
        <v>0</v>
      </c>
      <c r="O283" s="78"/>
      <c r="P283" s="79"/>
      <c r="Q283" s="16" t="str">
        <f aca="false">IF(K283=0,"",IF(R283=1,"Pagada",IF(C283&lt;$F$12,"Vencida",IF(257=$F$13,"Próxima","Pendiente"))))</f>
        <v/>
      </c>
      <c r="R283" s="62" t="n">
        <f aca="false">IF(AND(K283&gt;0,OR(O283="Sí",O283="Si")),1,0)</f>
        <v>0</v>
      </c>
      <c r="S283" s="62" t="n">
        <f aca="false">IF(AND(K283&gt;0,R283=0),1,0)</f>
        <v>0</v>
      </c>
    </row>
    <row r="284" customFormat="false" ht="15" hidden="false" customHeight="false" outlineLevel="0" collapsed="false">
      <c r="B284" s="71" t="str">
        <f aca="false">IF($F$6="Sí",N($C$11)+257,"")</f>
        <v/>
      </c>
      <c r="C284" s="72" t="str">
        <f aca="false">IF(OR($F$6&lt;&gt;"Sí",D284&lt;=0.5),"",EDATE($C$10,257))</f>
        <v/>
      </c>
      <c r="D284" s="41" t="n">
        <f aca="false">MAX(0,M283)</f>
        <v>0</v>
      </c>
      <c r="E284" s="41" t="n">
        <f aca="false">D284*$F$7</f>
        <v>0</v>
      </c>
      <c r="F284" s="41" t="n">
        <f aca="false">IF(D284&gt;0.5,N($C$15),0)</f>
        <v>0</v>
      </c>
      <c r="G284" s="41" t="n">
        <f aca="false">IF(AND(D284&gt;0.5,N($C$19)&gt;0,N(B284)&lt;=N($C$20)),D284*$F$8,0)</f>
        <v>0</v>
      </c>
      <c r="H284" s="41" t="n">
        <f aca="false">IF(D284&lt;=0.5,0,MIN(IF(N(I284)&gt;0,I284,$F$9),D284+E284+F284))</f>
        <v>0</v>
      </c>
      <c r="I284" s="77"/>
      <c r="J284" s="77"/>
      <c r="K284" s="41" t="n">
        <f aca="false">IF(D284&lt;=0.5,0,MIN(H284+N(J284),D284+E284+F284))</f>
        <v>0</v>
      </c>
      <c r="L284" s="41" t="n">
        <f aca="false">K284-E284-F284</f>
        <v>0</v>
      </c>
      <c r="M284" s="41" t="n">
        <f aca="false">D284-L284</f>
        <v>0</v>
      </c>
      <c r="N284" s="42" t="n">
        <f aca="false">K284-G284</f>
        <v>0</v>
      </c>
      <c r="O284" s="78"/>
      <c r="P284" s="79"/>
      <c r="Q284" s="16" t="str">
        <f aca="false">IF(K284=0,"",IF(R284=1,"Pagada",IF(C284&lt;$F$12,"Vencida",IF(258=$F$13,"Próxima","Pendiente"))))</f>
        <v/>
      </c>
      <c r="R284" s="62" t="n">
        <f aca="false">IF(AND(K284&gt;0,OR(O284="Sí",O284="Si")),1,0)</f>
        <v>0</v>
      </c>
      <c r="S284" s="62" t="n">
        <f aca="false">IF(AND(K284&gt;0,R284=0),1,0)</f>
        <v>0</v>
      </c>
    </row>
    <row r="285" customFormat="false" ht="15" hidden="false" customHeight="false" outlineLevel="0" collapsed="false">
      <c r="B285" s="71" t="str">
        <f aca="false">IF($F$6="Sí",N($C$11)+258,"")</f>
        <v/>
      </c>
      <c r="C285" s="72" t="str">
        <f aca="false">IF(OR($F$6&lt;&gt;"Sí",D285&lt;=0.5),"",EDATE($C$10,258))</f>
        <v/>
      </c>
      <c r="D285" s="41" t="n">
        <f aca="false">MAX(0,M284)</f>
        <v>0</v>
      </c>
      <c r="E285" s="41" t="n">
        <f aca="false">D285*$F$7</f>
        <v>0</v>
      </c>
      <c r="F285" s="41" t="n">
        <f aca="false">IF(D285&gt;0.5,N($C$15),0)</f>
        <v>0</v>
      </c>
      <c r="G285" s="41" t="n">
        <f aca="false">IF(AND(D285&gt;0.5,N($C$19)&gt;0,N(B285)&lt;=N($C$20)),D285*$F$8,0)</f>
        <v>0</v>
      </c>
      <c r="H285" s="41" t="n">
        <f aca="false">IF(D285&lt;=0.5,0,MIN(IF(N(I285)&gt;0,I285,$F$9),D285+E285+F285))</f>
        <v>0</v>
      </c>
      <c r="I285" s="77"/>
      <c r="J285" s="77"/>
      <c r="K285" s="41" t="n">
        <f aca="false">IF(D285&lt;=0.5,0,MIN(H285+N(J285),D285+E285+F285))</f>
        <v>0</v>
      </c>
      <c r="L285" s="41" t="n">
        <f aca="false">K285-E285-F285</f>
        <v>0</v>
      </c>
      <c r="M285" s="41" t="n">
        <f aca="false">D285-L285</f>
        <v>0</v>
      </c>
      <c r="N285" s="42" t="n">
        <f aca="false">K285-G285</f>
        <v>0</v>
      </c>
      <c r="O285" s="78"/>
      <c r="P285" s="79"/>
      <c r="Q285" s="16" t="str">
        <f aca="false">IF(K285=0,"",IF(R285=1,"Pagada",IF(C285&lt;$F$12,"Vencida",IF(259=$F$13,"Próxima","Pendiente"))))</f>
        <v/>
      </c>
      <c r="R285" s="62" t="n">
        <f aca="false">IF(AND(K285&gt;0,OR(O285="Sí",O285="Si")),1,0)</f>
        <v>0</v>
      </c>
      <c r="S285" s="62" t="n">
        <f aca="false">IF(AND(K285&gt;0,R285=0),1,0)</f>
        <v>0</v>
      </c>
    </row>
    <row r="286" customFormat="false" ht="15" hidden="false" customHeight="false" outlineLevel="0" collapsed="false">
      <c r="B286" s="71" t="str">
        <f aca="false">IF($F$6="Sí",N($C$11)+259,"")</f>
        <v/>
      </c>
      <c r="C286" s="72" t="str">
        <f aca="false">IF(OR($F$6&lt;&gt;"Sí",D286&lt;=0.5),"",EDATE($C$10,259))</f>
        <v/>
      </c>
      <c r="D286" s="41" t="n">
        <f aca="false">MAX(0,M285)</f>
        <v>0</v>
      </c>
      <c r="E286" s="41" t="n">
        <f aca="false">D286*$F$7</f>
        <v>0</v>
      </c>
      <c r="F286" s="41" t="n">
        <f aca="false">IF(D286&gt;0.5,N($C$15),0)</f>
        <v>0</v>
      </c>
      <c r="G286" s="41" t="n">
        <f aca="false">IF(AND(D286&gt;0.5,N($C$19)&gt;0,N(B286)&lt;=N($C$20)),D286*$F$8,0)</f>
        <v>0</v>
      </c>
      <c r="H286" s="41" t="n">
        <f aca="false">IF(D286&lt;=0.5,0,MIN(IF(N(I286)&gt;0,I286,$F$9),D286+E286+F286))</f>
        <v>0</v>
      </c>
      <c r="I286" s="77"/>
      <c r="J286" s="77"/>
      <c r="K286" s="41" t="n">
        <f aca="false">IF(D286&lt;=0.5,0,MIN(H286+N(J286),D286+E286+F286))</f>
        <v>0</v>
      </c>
      <c r="L286" s="41" t="n">
        <f aca="false">K286-E286-F286</f>
        <v>0</v>
      </c>
      <c r="M286" s="41" t="n">
        <f aca="false">D286-L286</f>
        <v>0</v>
      </c>
      <c r="N286" s="42" t="n">
        <f aca="false">K286-G286</f>
        <v>0</v>
      </c>
      <c r="O286" s="78"/>
      <c r="P286" s="79"/>
      <c r="Q286" s="16" t="str">
        <f aca="false">IF(K286=0,"",IF(R286=1,"Pagada",IF(C286&lt;$F$12,"Vencida",IF(260=$F$13,"Próxima","Pendiente"))))</f>
        <v/>
      </c>
      <c r="R286" s="62" t="n">
        <f aca="false">IF(AND(K286&gt;0,OR(O286="Sí",O286="Si")),1,0)</f>
        <v>0</v>
      </c>
      <c r="S286" s="62" t="n">
        <f aca="false">IF(AND(K286&gt;0,R286=0),1,0)</f>
        <v>0</v>
      </c>
    </row>
    <row r="287" customFormat="false" ht="15" hidden="false" customHeight="false" outlineLevel="0" collapsed="false">
      <c r="B287" s="71" t="str">
        <f aca="false">IF($F$6="Sí",N($C$11)+260,"")</f>
        <v/>
      </c>
      <c r="C287" s="72" t="str">
        <f aca="false">IF(OR($F$6&lt;&gt;"Sí",D287&lt;=0.5),"",EDATE($C$10,260))</f>
        <v/>
      </c>
      <c r="D287" s="41" t="n">
        <f aca="false">MAX(0,M286)</f>
        <v>0</v>
      </c>
      <c r="E287" s="41" t="n">
        <f aca="false">D287*$F$7</f>
        <v>0</v>
      </c>
      <c r="F287" s="41" t="n">
        <f aca="false">IF(D287&gt;0.5,N($C$15),0)</f>
        <v>0</v>
      </c>
      <c r="G287" s="41" t="n">
        <f aca="false">IF(AND(D287&gt;0.5,N($C$19)&gt;0,N(B287)&lt;=N($C$20)),D287*$F$8,0)</f>
        <v>0</v>
      </c>
      <c r="H287" s="41" t="n">
        <f aca="false">IF(D287&lt;=0.5,0,MIN(IF(N(I287)&gt;0,I287,$F$9),D287+E287+F287))</f>
        <v>0</v>
      </c>
      <c r="I287" s="77"/>
      <c r="J287" s="77"/>
      <c r="K287" s="41" t="n">
        <f aca="false">IF(D287&lt;=0.5,0,MIN(H287+N(J287),D287+E287+F287))</f>
        <v>0</v>
      </c>
      <c r="L287" s="41" t="n">
        <f aca="false">K287-E287-F287</f>
        <v>0</v>
      </c>
      <c r="M287" s="41" t="n">
        <f aca="false">D287-L287</f>
        <v>0</v>
      </c>
      <c r="N287" s="42" t="n">
        <f aca="false">K287-G287</f>
        <v>0</v>
      </c>
      <c r="O287" s="78"/>
      <c r="P287" s="79"/>
      <c r="Q287" s="16" t="str">
        <f aca="false">IF(K287=0,"",IF(R287=1,"Pagada",IF(C287&lt;$F$12,"Vencida",IF(261=$F$13,"Próxima","Pendiente"))))</f>
        <v/>
      </c>
      <c r="R287" s="62" t="n">
        <f aca="false">IF(AND(K287&gt;0,OR(O287="Sí",O287="Si")),1,0)</f>
        <v>0</v>
      </c>
      <c r="S287" s="62" t="n">
        <f aca="false">IF(AND(K287&gt;0,R287=0),1,0)</f>
        <v>0</v>
      </c>
    </row>
    <row r="288" customFormat="false" ht="15" hidden="false" customHeight="false" outlineLevel="0" collapsed="false">
      <c r="B288" s="71" t="str">
        <f aca="false">IF($F$6="Sí",N($C$11)+261,"")</f>
        <v/>
      </c>
      <c r="C288" s="72" t="str">
        <f aca="false">IF(OR($F$6&lt;&gt;"Sí",D288&lt;=0.5),"",EDATE($C$10,261))</f>
        <v/>
      </c>
      <c r="D288" s="41" t="n">
        <f aca="false">MAX(0,M287)</f>
        <v>0</v>
      </c>
      <c r="E288" s="41" t="n">
        <f aca="false">D288*$F$7</f>
        <v>0</v>
      </c>
      <c r="F288" s="41" t="n">
        <f aca="false">IF(D288&gt;0.5,N($C$15),0)</f>
        <v>0</v>
      </c>
      <c r="G288" s="41" t="n">
        <f aca="false">IF(AND(D288&gt;0.5,N($C$19)&gt;0,N(B288)&lt;=N($C$20)),D288*$F$8,0)</f>
        <v>0</v>
      </c>
      <c r="H288" s="41" t="n">
        <f aca="false">IF(D288&lt;=0.5,0,MIN(IF(N(I288)&gt;0,I288,$F$9),D288+E288+F288))</f>
        <v>0</v>
      </c>
      <c r="I288" s="77"/>
      <c r="J288" s="77"/>
      <c r="K288" s="41" t="n">
        <f aca="false">IF(D288&lt;=0.5,0,MIN(H288+N(J288),D288+E288+F288))</f>
        <v>0</v>
      </c>
      <c r="L288" s="41" t="n">
        <f aca="false">K288-E288-F288</f>
        <v>0</v>
      </c>
      <c r="M288" s="41" t="n">
        <f aca="false">D288-L288</f>
        <v>0</v>
      </c>
      <c r="N288" s="42" t="n">
        <f aca="false">K288-G288</f>
        <v>0</v>
      </c>
      <c r="O288" s="78"/>
      <c r="P288" s="79"/>
      <c r="Q288" s="16" t="str">
        <f aca="false">IF(K288=0,"",IF(R288=1,"Pagada",IF(C288&lt;$F$12,"Vencida",IF(262=$F$13,"Próxima","Pendiente"))))</f>
        <v/>
      </c>
      <c r="R288" s="62" t="n">
        <f aca="false">IF(AND(K288&gt;0,OR(O288="Sí",O288="Si")),1,0)</f>
        <v>0</v>
      </c>
      <c r="S288" s="62" t="n">
        <f aca="false">IF(AND(K288&gt;0,R288=0),1,0)</f>
        <v>0</v>
      </c>
    </row>
    <row r="289" customFormat="false" ht="15" hidden="false" customHeight="false" outlineLevel="0" collapsed="false">
      <c r="B289" s="71" t="str">
        <f aca="false">IF($F$6="Sí",N($C$11)+262,"")</f>
        <v/>
      </c>
      <c r="C289" s="72" t="str">
        <f aca="false">IF(OR($F$6&lt;&gt;"Sí",D289&lt;=0.5),"",EDATE($C$10,262))</f>
        <v/>
      </c>
      <c r="D289" s="41" t="n">
        <f aca="false">MAX(0,M288)</f>
        <v>0</v>
      </c>
      <c r="E289" s="41" t="n">
        <f aca="false">D289*$F$7</f>
        <v>0</v>
      </c>
      <c r="F289" s="41" t="n">
        <f aca="false">IF(D289&gt;0.5,N($C$15),0)</f>
        <v>0</v>
      </c>
      <c r="G289" s="41" t="n">
        <f aca="false">IF(AND(D289&gt;0.5,N($C$19)&gt;0,N(B289)&lt;=N($C$20)),D289*$F$8,0)</f>
        <v>0</v>
      </c>
      <c r="H289" s="41" t="n">
        <f aca="false">IF(D289&lt;=0.5,0,MIN(IF(N(I289)&gt;0,I289,$F$9),D289+E289+F289))</f>
        <v>0</v>
      </c>
      <c r="I289" s="77"/>
      <c r="J289" s="77"/>
      <c r="K289" s="41" t="n">
        <f aca="false">IF(D289&lt;=0.5,0,MIN(H289+N(J289),D289+E289+F289))</f>
        <v>0</v>
      </c>
      <c r="L289" s="41" t="n">
        <f aca="false">K289-E289-F289</f>
        <v>0</v>
      </c>
      <c r="M289" s="41" t="n">
        <f aca="false">D289-L289</f>
        <v>0</v>
      </c>
      <c r="N289" s="42" t="n">
        <f aca="false">K289-G289</f>
        <v>0</v>
      </c>
      <c r="O289" s="78"/>
      <c r="P289" s="79"/>
      <c r="Q289" s="16" t="str">
        <f aca="false">IF(K289=0,"",IF(R289=1,"Pagada",IF(C289&lt;$F$12,"Vencida",IF(263=$F$13,"Próxima","Pendiente"))))</f>
        <v/>
      </c>
      <c r="R289" s="62" t="n">
        <f aca="false">IF(AND(K289&gt;0,OR(O289="Sí",O289="Si")),1,0)</f>
        <v>0</v>
      </c>
      <c r="S289" s="62" t="n">
        <f aca="false">IF(AND(K289&gt;0,R289=0),1,0)</f>
        <v>0</v>
      </c>
    </row>
    <row r="290" customFormat="false" ht="15" hidden="false" customHeight="false" outlineLevel="0" collapsed="false">
      <c r="B290" s="71" t="str">
        <f aca="false">IF($F$6="Sí",N($C$11)+263,"")</f>
        <v/>
      </c>
      <c r="C290" s="72" t="str">
        <f aca="false">IF(OR($F$6&lt;&gt;"Sí",D290&lt;=0.5),"",EDATE($C$10,263))</f>
        <v/>
      </c>
      <c r="D290" s="41" t="n">
        <f aca="false">MAX(0,M289)</f>
        <v>0</v>
      </c>
      <c r="E290" s="41" t="n">
        <f aca="false">D290*$F$7</f>
        <v>0</v>
      </c>
      <c r="F290" s="41" t="n">
        <f aca="false">IF(D290&gt;0.5,N($C$15),0)</f>
        <v>0</v>
      </c>
      <c r="G290" s="41" t="n">
        <f aca="false">IF(AND(D290&gt;0.5,N($C$19)&gt;0,N(B290)&lt;=N($C$20)),D290*$F$8,0)</f>
        <v>0</v>
      </c>
      <c r="H290" s="41" t="n">
        <f aca="false">IF(D290&lt;=0.5,0,MIN(IF(N(I290)&gt;0,I290,$F$9),D290+E290+F290))</f>
        <v>0</v>
      </c>
      <c r="I290" s="77"/>
      <c r="J290" s="77"/>
      <c r="K290" s="41" t="n">
        <f aca="false">IF(D290&lt;=0.5,0,MIN(H290+N(J290),D290+E290+F290))</f>
        <v>0</v>
      </c>
      <c r="L290" s="41" t="n">
        <f aca="false">K290-E290-F290</f>
        <v>0</v>
      </c>
      <c r="M290" s="41" t="n">
        <f aca="false">D290-L290</f>
        <v>0</v>
      </c>
      <c r="N290" s="42" t="n">
        <f aca="false">K290-G290</f>
        <v>0</v>
      </c>
      <c r="O290" s="78"/>
      <c r="P290" s="79"/>
      <c r="Q290" s="16" t="str">
        <f aca="false">IF(K290=0,"",IF(R290=1,"Pagada",IF(C290&lt;$F$12,"Vencida",IF(264=$F$13,"Próxima","Pendiente"))))</f>
        <v/>
      </c>
      <c r="R290" s="62" t="n">
        <f aca="false">IF(AND(K290&gt;0,OR(O290="Sí",O290="Si")),1,0)</f>
        <v>0</v>
      </c>
      <c r="S290" s="62" t="n">
        <f aca="false">IF(AND(K290&gt;0,R290=0),1,0)</f>
        <v>0</v>
      </c>
    </row>
    <row r="291" customFormat="false" ht="15" hidden="false" customHeight="false" outlineLevel="0" collapsed="false">
      <c r="B291" s="71" t="str">
        <f aca="false">IF($F$6="Sí",N($C$11)+264,"")</f>
        <v/>
      </c>
      <c r="C291" s="72" t="str">
        <f aca="false">IF(OR($F$6&lt;&gt;"Sí",D291&lt;=0.5),"",EDATE($C$10,264))</f>
        <v/>
      </c>
      <c r="D291" s="41" t="n">
        <f aca="false">MAX(0,M290)</f>
        <v>0</v>
      </c>
      <c r="E291" s="41" t="n">
        <f aca="false">D291*$F$7</f>
        <v>0</v>
      </c>
      <c r="F291" s="41" t="n">
        <f aca="false">IF(D291&gt;0.5,N($C$15),0)</f>
        <v>0</v>
      </c>
      <c r="G291" s="41" t="n">
        <f aca="false">IF(AND(D291&gt;0.5,N($C$19)&gt;0,N(B291)&lt;=N($C$20)),D291*$F$8,0)</f>
        <v>0</v>
      </c>
      <c r="H291" s="41" t="n">
        <f aca="false">IF(D291&lt;=0.5,0,MIN(IF(N(I291)&gt;0,I291,$F$9),D291+E291+F291))</f>
        <v>0</v>
      </c>
      <c r="I291" s="77"/>
      <c r="J291" s="77"/>
      <c r="K291" s="41" t="n">
        <f aca="false">IF(D291&lt;=0.5,0,MIN(H291+N(J291),D291+E291+F291))</f>
        <v>0</v>
      </c>
      <c r="L291" s="41" t="n">
        <f aca="false">K291-E291-F291</f>
        <v>0</v>
      </c>
      <c r="M291" s="41" t="n">
        <f aca="false">D291-L291</f>
        <v>0</v>
      </c>
      <c r="N291" s="42" t="n">
        <f aca="false">K291-G291</f>
        <v>0</v>
      </c>
      <c r="O291" s="78"/>
      <c r="P291" s="79"/>
      <c r="Q291" s="16" t="str">
        <f aca="false">IF(K291=0,"",IF(R291=1,"Pagada",IF(C291&lt;$F$12,"Vencida",IF(265=$F$13,"Próxima","Pendiente"))))</f>
        <v/>
      </c>
      <c r="R291" s="62" t="n">
        <f aca="false">IF(AND(K291&gt;0,OR(O291="Sí",O291="Si")),1,0)</f>
        <v>0</v>
      </c>
      <c r="S291" s="62" t="n">
        <f aca="false">IF(AND(K291&gt;0,R291=0),1,0)</f>
        <v>0</v>
      </c>
    </row>
    <row r="292" customFormat="false" ht="15" hidden="false" customHeight="false" outlineLevel="0" collapsed="false">
      <c r="B292" s="71" t="str">
        <f aca="false">IF($F$6="Sí",N($C$11)+265,"")</f>
        <v/>
      </c>
      <c r="C292" s="72" t="str">
        <f aca="false">IF(OR($F$6&lt;&gt;"Sí",D292&lt;=0.5),"",EDATE($C$10,265))</f>
        <v/>
      </c>
      <c r="D292" s="41" t="n">
        <f aca="false">MAX(0,M291)</f>
        <v>0</v>
      </c>
      <c r="E292" s="41" t="n">
        <f aca="false">D292*$F$7</f>
        <v>0</v>
      </c>
      <c r="F292" s="41" t="n">
        <f aca="false">IF(D292&gt;0.5,N($C$15),0)</f>
        <v>0</v>
      </c>
      <c r="G292" s="41" t="n">
        <f aca="false">IF(AND(D292&gt;0.5,N($C$19)&gt;0,N(B292)&lt;=N($C$20)),D292*$F$8,0)</f>
        <v>0</v>
      </c>
      <c r="H292" s="41" t="n">
        <f aca="false">IF(D292&lt;=0.5,0,MIN(IF(N(I292)&gt;0,I292,$F$9),D292+E292+F292))</f>
        <v>0</v>
      </c>
      <c r="I292" s="77"/>
      <c r="J292" s="77"/>
      <c r="K292" s="41" t="n">
        <f aca="false">IF(D292&lt;=0.5,0,MIN(H292+N(J292),D292+E292+F292))</f>
        <v>0</v>
      </c>
      <c r="L292" s="41" t="n">
        <f aca="false">K292-E292-F292</f>
        <v>0</v>
      </c>
      <c r="M292" s="41" t="n">
        <f aca="false">D292-L292</f>
        <v>0</v>
      </c>
      <c r="N292" s="42" t="n">
        <f aca="false">K292-G292</f>
        <v>0</v>
      </c>
      <c r="O292" s="78"/>
      <c r="P292" s="79"/>
      <c r="Q292" s="16" t="str">
        <f aca="false">IF(K292=0,"",IF(R292=1,"Pagada",IF(C292&lt;$F$12,"Vencida",IF(266=$F$13,"Próxima","Pendiente"))))</f>
        <v/>
      </c>
      <c r="R292" s="62" t="n">
        <f aca="false">IF(AND(K292&gt;0,OR(O292="Sí",O292="Si")),1,0)</f>
        <v>0</v>
      </c>
      <c r="S292" s="62" t="n">
        <f aca="false">IF(AND(K292&gt;0,R292=0),1,0)</f>
        <v>0</v>
      </c>
    </row>
    <row r="293" customFormat="false" ht="15" hidden="false" customHeight="false" outlineLevel="0" collapsed="false">
      <c r="B293" s="71" t="str">
        <f aca="false">IF($F$6="Sí",N($C$11)+266,"")</f>
        <v/>
      </c>
      <c r="C293" s="72" t="str">
        <f aca="false">IF(OR($F$6&lt;&gt;"Sí",D293&lt;=0.5),"",EDATE($C$10,266))</f>
        <v/>
      </c>
      <c r="D293" s="41" t="n">
        <f aca="false">MAX(0,M292)</f>
        <v>0</v>
      </c>
      <c r="E293" s="41" t="n">
        <f aca="false">D293*$F$7</f>
        <v>0</v>
      </c>
      <c r="F293" s="41" t="n">
        <f aca="false">IF(D293&gt;0.5,N($C$15),0)</f>
        <v>0</v>
      </c>
      <c r="G293" s="41" t="n">
        <f aca="false">IF(AND(D293&gt;0.5,N($C$19)&gt;0,N(B293)&lt;=N($C$20)),D293*$F$8,0)</f>
        <v>0</v>
      </c>
      <c r="H293" s="41" t="n">
        <f aca="false">IF(D293&lt;=0.5,0,MIN(IF(N(I293)&gt;0,I293,$F$9),D293+E293+F293))</f>
        <v>0</v>
      </c>
      <c r="I293" s="77"/>
      <c r="J293" s="77"/>
      <c r="K293" s="41" t="n">
        <f aca="false">IF(D293&lt;=0.5,0,MIN(H293+N(J293),D293+E293+F293))</f>
        <v>0</v>
      </c>
      <c r="L293" s="41" t="n">
        <f aca="false">K293-E293-F293</f>
        <v>0</v>
      </c>
      <c r="M293" s="41" t="n">
        <f aca="false">D293-L293</f>
        <v>0</v>
      </c>
      <c r="N293" s="42" t="n">
        <f aca="false">K293-G293</f>
        <v>0</v>
      </c>
      <c r="O293" s="78"/>
      <c r="P293" s="79"/>
      <c r="Q293" s="16" t="str">
        <f aca="false">IF(K293=0,"",IF(R293=1,"Pagada",IF(C293&lt;$F$12,"Vencida",IF(267=$F$13,"Próxima","Pendiente"))))</f>
        <v/>
      </c>
      <c r="R293" s="62" t="n">
        <f aca="false">IF(AND(K293&gt;0,OR(O293="Sí",O293="Si")),1,0)</f>
        <v>0</v>
      </c>
      <c r="S293" s="62" t="n">
        <f aca="false">IF(AND(K293&gt;0,R293=0),1,0)</f>
        <v>0</v>
      </c>
    </row>
    <row r="294" customFormat="false" ht="15" hidden="false" customHeight="false" outlineLevel="0" collapsed="false">
      <c r="B294" s="71" t="str">
        <f aca="false">IF($F$6="Sí",N($C$11)+267,"")</f>
        <v/>
      </c>
      <c r="C294" s="72" t="str">
        <f aca="false">IF(OR($F$6&lt;&gt;"Sí",D294&lt;=0.5),"",EDATE($C$10,267))</f>
        <v/>
      </c>
      <c r="D294" s="41" t="n">
        <f aca="false">MAX(0,M293)</f>
        <v>0</v>
      </c>
      <c r="E294" s="41" t="n">
        <f aca="false">D294*$F$7</f>
        <v>0</v>
      </c>
      <c r="F294" s="41" t="n">
        <f aca="false">IF(D294&gt;0.5,N($C$15),0)</f>
        <v>0</v>
      </c>
      <c r="G294" s="41" t="n">
        <f aca="false">IF(AND(D294&gt;0.5,N($C$19)&gt;0,N(B294)&lt;=N($C$20)),D294*$F$8,0)</f>
        <v>0</v>
      </c>
      <c r="H294" s="41" t="n">
        <f aca="false">IF(D294&lt;=0.5,0,MIN(IF(N(I294)&gt;0,I294,$F$9),D294+E294+F294))</f>
        <v>0</v>
      </c>
      <c r="I294" s="77"/>
      <c r="J294" s="77"/>
      <c r="K294" s="41" t="n">
        <f aca="false">IF(D294&lt;=0.5,0,MIN(H294+N(J294),D294+E294+F294))</f>
        <v>0</v>
      </c>
      <c r="L294" s="41" t="n">
        <f aca="false">K294-E294-F294</f>
        <v>0</v>
      </c>
      <c r="M294" s="41" t="n">
        <f aca="false">D294-L294</f>
        <v>0</v>
      </c>
      <c r="N294" s="42" t="n">
        <f aca="false">K294-G294</f>
        <v>0</v>
      </c>
      <c r="O294" s="78"/>
      <c r="P294" s="79"/>
      <c r="Q294" s="16" t="str">
        <f aca="false">IF(K294=0,"",IF(R294=1,"Pagada",IF(C294&lt;$F$12,"Vencida",IF(268=$F$13,"Próxima","Pendiente"))))</f>
        <v/>
      </c>
      <c r="R294" s="62" t="n">
        <f aca="false">IF(AND(K294&gt;0,OR(O294="Sí",O294="Si")),1,0)</f>
        <v>0</v>
      </c>
      <c r="S294" s="62" t="n">
        <f aca="false">IF(AND(K294&gt;0,R294=0),1,0)</f>
        <v>0</v>
      </c>
    </row>
    <row r="295" customFormat="false" ht="15" hidden="false" customHeight="false" outlineLevel="0" collapsed="false">
      <c r="B295" s="71" t="str">
        <f aca="false">IF($F$6="Sí",N($C$11)+268,"")</f>
        <v/>
      </c>
      <c r="C295" s="72" t="str">
        <f aca="false">IF(OR($F$6&lt;&gt;"Sí",D295&lt;=0.5),"",EDATE($C$10,268))</f>
        <v/>
      </c>
      <c r="D295" s="41" t="n">
        <f aca="false">MAX(0,M294)</f>
        <v>0</v>
      </c>
      <c r="E295" s="41" t="n">
        <f aca="false">D295*$F$7</f>
        <v>0</v>
      </c>
      <c r="F295" s="41" t="n">
        <f aca="false">IF(D295&gt;0.5,N($C$15),0)</f>
        <v>0</v>
      </c>
      <c r="G295" s="41" t="n">
        <f aca="false">IF(AND(D295&gt;0.5,N($C$19)&gt;0,N(B295)&lt;=N($C$20)),D295*$F$8,0)</f>
        <v>0</v>
      </c>
      <c r="H295" s="41" t="n">
        <f aca="false">IF(D295&lt;=0.5,0,MIN(IF(N(I295)&gt;0,I295,$F$9),D295+E295+F295))</f>
        <v>0</v>
      </c>
      <c r="I295" s="77"/>
      <c r="J295" s="77"/>
      <c r="K295" s="41" t="n">
        <f aca="false">IF(D295&lt;=0.5,0,MIN(H295+N(J295),D295+E295+F295))</f>
        <v>0</v>
      </c>
      <c r="L295" s="41" t="n">
        <f aca="false">K295-E295-F295</f>
        <v>0</v>
      </c>
      <c r="M295" s="41" t="n">
        <f aca="false">D295-L295</f>
        <v>0</v>
      </c>
      <c r="N295" s="42" t="n">
        <f aca="false">K295-G295</f>
        <v>0</v>
      </c>
      <c r="O295" s="78"/>
      <c r="P295" s="79"/>
      <c r="Q295" s="16" t="str">
        <f aca="false">IF(K295=0,"",IF(R295=1,"Pagada",IF(C295&lt;$F$12,"Vencida",IF(269=$F$13,"Próxima","Pendiente"))))</f>
        <v/>
      </c>
      <c r="R295" s="62" t="n">
        <f aca="false">IF(AND(K295&gt;0,OR(O295="Sí",O295="Si")),1,0)</f>
        <v>0</v>
      </c>
      <c r="S295" s="62" t="n">
        <f aca="false">IF(AND(K295&gt;0,R295=0),1,0)</f>
        <v>0</v>
      </c>
    </row>
    <row r="296" customFormat="false" ht="15" hidden="false" customHeight="false" outlineLevel="0" collapsed="false">
      <c r="B296" s="71" t="str">
        <f aca="false">IF($F$6="Sí",N($C$11)+269,"")</f>
        <v/>
      </c>
      <c r="C296" s="72" t="str">
        <f aca="false">IF(OR($F$6&lt;&gt;"Sí",D296&lt;=0.5),"",EDATE($C$10,269))</f>
        <v/>
      </c>
      <c r="D296" s="41" t="n">
        <f aca="false">MAX(0,M295)</f>
        <v>0</v>
      </c>
      <c r="E296" s="41" t="n">
        <f aca="false">D296*$F$7</f>
        <v>0</v>
      </c>
      <c r="F296" s="41" t="n">
        <f aca="false">IF(D296&gt;0.5,N($C$15),0)</f>
        <v>0</v>
      </c>
      <c r="G296" s="41" t="n">
        <f aca="false">IF(AND(D296&gt;0.5,N($C$19)&gt;0,N(B296)&lt;=N($C$20)),D296*$F$8,0)</f>
        <v>0</v>
      </c>
      <c r="H296" s="41" t="n">
        <f aca="false">IF(D296&lt;=0.5,0,MIN(IF(N(I296)&gt;0,I296,$F$9),D296+E296+F296))</f>
        <v>0</v>
      </c>
      <c r="I296" s="77"/>
      <c r="J296" s="77"/>
      <c r="K296" s="41" t="n">
        <f aca="false">IF(D296&lt;=0.5,0,MIN(H296+N(J296),D296+E296+F296))</f>
        <v>0</v>
      </c>
      <c r="L296" s="41" t="n">
        <f aca="false">K296-E296-F296</f>
        <v>0</v>
      </c>
      <c r="M296" s="41" t="n">
        <f aca="false">D296-L296</f>
        <v>0</v>
      </c>
      <c r="N296" s="42" t="n">
        <f aca="false">K296-G296</f>
        <v>0</v>
      </c>
      <c r="O296" s="78"/>
      <c r="P296" s="79"/>
      <c r="Q296" s="16" t="str">
        <f aca="false">IF(K296=0,"",IF(R296=1,"Pagada",IF(C296&lt;$F$12,"Vencida",IF(270=$F$13,"Próxima","Pendiente"))))</f>
        <v/>
      </c>
      <c r="R296" s="62" t="n">
        <f aca="false">IF(AND(K296&gt;0,OR(O296="Sí",O296="Si")),1,0)</f>
        <v>0</v>
      </c>
      <c r="S296" s="62" t="n">
        <f aca="false">IF(AND(K296&gt;0,R296=0),1,0)</f>
        <v>0</v>
      </c>
    </row>
    <row r="297" customFormat="false" ht="15" hidden="false" customHeight="false" outlineLevel="0" collapsed="false">
      <c r="B297" s="71" t="str">
        <f aca="false">IF($F$6="Sí",N($C$11)+270,"")</f>
        <v/>
      </c>
      <c r="C297" s="72" t="str">
        <f aca="false">IF(OR($F$6&lt;&gt;"Sí",D297&lt;=0.5),"",EDATE($C$10,270))</f>
        <v/>
      </c>
      <c r="D297" s="41" t="n">
        <f aca="false">MAX(0,M296)</f>
        <v>0</v>
      </c>
      <c r="E297" s="41" t="n">
        <f aca="false">D297*$F$7</f>
        <v>0</v>
      </c>
      <c r="F297" s="41" t="n">
        <f aca="false">IF(D297&gt;0.5,N($C$15),0)</f>
        <v>0</v>
      </c>
      <c r="G297" s="41" t="n">
        <f aca="false">IF(AND(D297&gt;0.5,N($C$19)&gt;0,N(B297)&lt;=N($C$20)),D297*$F$8,0)</f>
        <v>0</v>
      </c>
      <c r="H297" s="41" t="n">
        <f aca="false">IF(D297&lt;=0.5,0,MIN(IF(N(I297)&gt;0,I297,$F$9),D297+E297+F297))</f>
        <v>0</v>
      </c>
      <c r="I297" s="77"/>
      <c r="J297" s="77"/>
      <c r="K297" s="41" t="n">
        <f aca="false">IF(D297&lt;=0.5,0,MIN(H297+N(J297),D297+E297+F297))</f>
        <v>0</v>
      </c>
      <c r="L297" s="41" t="n">
        <f aca="false">K297-E297-F297</f>
        <v>0</v>
      </c>
      <c r="M297" s="41" t="n">
        <f aca="false">D297-L297</f>
        <v>0</v>
      </c>
      <c r="N297" s="42" t="n">
        <f aca="false">K297-G297</f>
        <v>0</v>
      </c>
      <c r="O297" s="78"/>
      <c r="P297" s="79"/>
      <c r="Q297" s="16" t="str">
        <f aca="false">IF(K297=0,"",IF(R297=1,"Pagada",IF(C297&lt;$F$12,"Vencida",IF(271=$F$13,"Próxima","Pendiente"))))</f>
        <v/>
      </c>
      <c r="R297" s="62" t="n">
        <f aca="false">IF(AND(K297&gt;0,OR(O297="Sí",O297="Si")),1,0)</f>
        <v>0</v>
      </c>
      <c r="S297" s="62" t="n">
        <f aca="false">IF(AND(K297&gt;0,R297=0),1,0)</f>
        <v>0</v>
      </c>
    </row>
    <row r="298" customFormat="false" ht="15" hidden="false" customHeight="false" outlineLevel="0" collapsed="false">
      <c r="B298" s="71" t="str">
        <f aca="false">IF($F$6="Sí",N($C$11)+271,"")</f>
        <v/>
      </c>
      <c r="C298" s="72" t="str">
        <f aca="false">IF(OR($F$6&lt;&gt;"Sí",D298&lt;=0.5),"",EDATE($C$10,271))</f>
        <v/>
      </c>
      <c r="D298" s="41" t="n">
        <f aca="false">MAX(0,M297)</f>
        <v>0</v>
      </c>
      <c r="E298" s="41" t="n">
        <f aca="false">D298*$F$7</f>
        <v>0</v>
      </c>
      <c r="F298" s="41" t="n">
        <f aca="false">IF(D298&gt;0.5,N($C$15),0)</f>
        <v>0</v>
      </c>
      <c r="G298" s="41" t="n">
        <f aca="false">IF(AND(D298&gt;0.5,N($C$19)&gt;0,N(B298)&lt;=N($C$20)),D298*$F$8,0)</f>
        <v>0</v>
      </c>
      <c r="H298" s="41" t="n">
        <f aca="false">IF(D298&lt;=0.5,0,MIN(IF(N(I298)&gt;0,I298,$F$9),D298+E298+F298))</f>
        <v>0</v>
      </c>
      <c r="I298" s="77"/>
      <c r="J298" s="77"/>
      <c r="K298" s="41" t="n">
        <f aca="false">IF(D298&lt;=0.5,0,MIN(H298+N(J298),D298+E298+F298))</f>
        <v>0</v>
      </c>
      <c r="L298" s="41" t="n">
        <f aca="false">K298-E298-F298</f>
        <v>0</v>
      </c>
      <c r="M298" s="41" t="n">
        <f aca="false">D298-L298</f>
        <v>0</v>
      </c>
      <c r="N298" s="42" t="n">
        <f aca="false">K298-G298</f>
        <v>0</v>
      </c>
      <c r="O298" s="78"/>
      <c r="P298" s="79"/>
      <c r="Q298" s="16" t="str">
        <f aca="false">IF(K298=0,"",IF(R298=1,"Pagada",IF(C298&lt;$F$12,"Vencida",IF(272=$F$13,"Próxima","Pendiente"))))</f>
        <v/>
      </c>
      <c r="R298" s="62" t="n">
        <f aca="false">IF(AND(K298&gt;0,OR(O298="Sí",O298="Si")),1,0)</f>
        <v>0</v>
      </c>
      <c r="S298" s="62" t="n">
        <f aca="false">IF(AND(K298&gt;0,R298=0),1,0)</f>
        <v>0</v>
      </c>
    </row>
    <row r="299" customFormat="false" ht="15" hidden="false" customHeight="false" outlineLevel="0" collapsed="false">
      <c r="B299" s="71" t="str">
        <f aca="false">IF($F$6="Sí",N($C$11)+272,"")</f>
        <v/>
      </c>
      <c r="C299" s="72" t="str">
        <f aca="false">IF(OR($F$6&lt;&gt;"Sí",D299&lt;=0.5),"",EDATE($C$10,272))</f>
        <v/>
      </c>
      <c r="D299" s="41" t="n">
        <f aca="false">MAX(0,M298)</f>
        <v>0</v>
      </c>
      <c r="E299" s="41" t="n">
        <f aca="false">D299*$F$7</f>
        <v>0</v>
      </c>
      <c r="F299" s="41" t="n">
        <f aca="false">IF(D299&gt;0.5,N($C$15),0)</f>
        <v>0</v>
      </c>
      <c r="G299" s="41" t="n">
        <f aca="false">IF(AND(D299&gt;0.5,N($C$19)&gt;0,N(B299)&lt;=N($C$20)),D299*$F$8,0)</f>
        <v>0</v>
      </c>
      <c r="H299" s="41" t="n">
        <f aca="false">IF(D299&lt;=0.5,0,MIN(IF(N(I299)&gt;0,I299,$F$9),D299+E299+F299))</f>
        <v>0</v>
      </c>
      <c r="I299" s="77"/>
      <c r="J299" s="77"/>
      <c r="K299" s="41" t="n">
        <f aca="false">IF(D299&lt;=0.5,0,MIN(H299+N(J299),D299+E299+F299))</f>
        <v>0</v>
      </c>
      <c r="L299" s="41" t="n">
        <f aca="false">K299-E299-F299</f>
        <v>0</v>
      </c>
      <c r="M299" s="41" t="n">
        <f aca="false">D299-L299</f>
        <v>0</v>
      </c>
      <c r="N299" s="42" t="n">
        <f aca="false">K299-G299</f>
        <v>0</v>
      </c>
      <c r="O299" s="78"/>
      <c r="P299" s="79"/>
      <c r="Q299" s="16" t="str">
        <f aca="false">IF(K299=0,"",IF(R299=1,"Pagada",IF(C299&lt;$F$12,"Vencida",IF(273=$F$13,"Próxima","Pendiente"))))</f>
        <v/>
      </c>
      <c r="R299" s="62" t="n">
        <f aca="false">IF(AND(K299&gt;0,OR(O299="Sí",O299="Si")),1,0)</f>
        <v>0</v>
      </c>
      <c r="S299" s="62" t="n">
        <f aca="false">IF(AND(K299&gt;0,R299=0),1,0)</f>
        <v>0</v>
      </c>
    </row>
    <row r="300" customFormat="false" ht="15" hidden="false" customHeight="false" outlineLevel="0" collapsed="false">
      <c r="B300" s="71" t="str">
        <f aca="false">IF($F$6="Sí",N($C$11)+273,"")</f>
        <v/>
      </c>
      <c r="C300" s="72" t="str">
        <f aca="false">IF(OR($F$6&lt;&gt;"Sí",D300&lt;=0.5),"",EDATE($C$10,273))</f>
        <v/>
      </c>
      <c r="D300" s="41" t="n">
        <f aca="false">MAX(0,M299)</f>
        <v>0</v>
      </c>
      <c r="E300" s="41" t="n">
        <f aca="false">D300*$F$7</f>
        <v>0</v>
      </c>
      <c r="F300" s="41" t="n">
        <f aca="false">IF(D300&gt;0.5,N($C$15),0)</f>
        <v>0</v>
      </c>
      <c r="G300" s="41" t="n">
        <f aca="false">IF(AND(D300&gt;0.5,N($C$19)&gt;0,N(B300)&lt;=N($C$20)),D300*$F$8,0)</f>
        <v>0</v>
      </c>
      <c r="H300" s="41" t="n">
        <f aca="false">IF(D300&lt;=0.5,0,MIN(IF(N(I300)&gt;0,I300,$F$9),D300+E300+F300))</f>
        <v>0</v>
      </c>
      <c r="I300" s="77"/>
      <c r="J300" s="77"/>
      <c r="K300" s="41" t="n">
        <f aca="false">IF(D300&lt;=0.5,0,MIN(H300+N(J300),D300+E300+F300))</f>
        <v>0</v>
      </c>
      <c r="L300" s="41" t="n">
        <f aca="false">K300-E300-F300</f>
        <v>0</v>
      </c>
      <c r="M300" s="41" t="n">
        <f aca="false">D300-L300</f>
        <v>0</v>
      </c>
      <c r="N300" s="42" t="n">
        <f aca="false">K300-G300</f>
        <v>0</v>
      </c>
      <c r="O300" s="78"/>
      <c r="P300" s="79"/>
      <c r="Q300" s="16" t="str">
        <f aca="false">IF(K300=0,"",IF(R300=1,"Pagada",IF(C300&lt;$F$12,"Vencida",IF(274=$F$13,"Próxima","Pendiente"))))</f>
        <v/>
      </c>
      <c r="R300" s="62" t="n">
        <f aca="false">IF(AND(K300&gt;0,OR(O300="Sí",O300="Si")),1,0)</f>
        <v>0</v>
      </c>
      <c r="S300" s="62" t="n">
        <f aca="false">IF(AND(K300&gt;0,R300=0),1,0)</f>
        <v>0</v>
      </c>
    </row>
    <row r="301" customFormat="false" ht="15" hidden="false" customHeight="false" outlineLevel="0" collapsed="false">
      <c r="B301" s="71" t="str">
        <f aca="false">IF($F$6="Sí",N($C$11)+274,"")</f>
        <v/>
      </c>
      <c r="C301" s="72" t="str">
        <f aca="false">IF(OR($F$6&lt;&gt;"Sí",D301&lt;=0.5),"",EDATE($C$10,274))</f>
        <v/>
      </c>
      <c r="D301" s="41" t="n">
        <f aca="false">MAX(0,M300)</f>
        <v>0</v>
      </c>
      <c r="E301" s="41" t="n">
        <f aca="false">D301*$F$7</f>
        <v>0</v>
      </c>
      <c r="F301" s="41" t="n">
        <f aca="false">IF(D301&gt;0.5,N($C$15),0)</f>
        <v>0</v>
      </c>
      <c r="G301" s="41" t="n">
        <f aca="false">IF(AND(D301&gt;0.5,N($C$19)&gt;0,N(B301)&lt;=N($C$20)),D301*$F$8,0)</f>
        <v>0</v>
      </c>
      <c r="H301" s="41" t="n">
        <f aca="false">IF(D301&lt;=0.5,0,MIN(IF(N(I301)&gt;0,I301,$F$9),D301+E301+F301))</f>
        <v>0</v>
      </c>
      <c r="I301" s="77"/>
      <c r="J301" s="77"/>
      <c r="K301" s="41" t="n">
        <f aca="false">IF(D301&lt;=0.5,0,MIN(H301+N(J301),D301+E301+F301))</f>
        <v>0</v>
      </c>
      <c r="L301" s="41" t="n">
        <f aca="false">K301-E301-F301</f>
        <v>0</v>
      </c>
      <c r="M301" s="41" t="n">
        <f aca="false">D301-L301</f>
        <v>0</v>
      </c>
      <c r="N301" s="42" t="n">
        <f aca="false">K301-G301</f>
        <v>0</v>
      </c>
      <c r="O301" s="78"/>
      <c r="P301" s="79"/>
      <c r="Q301" s="16" t="str">
        <f aca="false">IF(K301=0,"",IF(R301=1,"Pagada",IF(C301&lt;$F$12,"Vencida",IF(275=$F$13,"Próxima","Pendiente"))))</f>
        <v/>
      </c>
      <c r="R301" s="62" t="n">
        <f aca="false">IF(AND(K301&gt;0,OR(O301="Sí",O301="Si")),1,0)</f>
        <v>0</v>
      </c>
      <c r="S301" s="62" t="n">
        <f aca="false">IF(AND(K301&gt;0,R301=0),1,0)</f>
        <v>0</v>
      </c>
    </row>
    <row r="302" customFormat="false" ht="15" hidden="false" customHeight="false" outlineLevel="0" collapsed="false">
      <c r="B302" s="71" t="str">
        <f aca="false">IF($F$6="Sí",N($C$11)+275,"")</f>
        <v/>
      </c>
      <c r="C302" s="72" t="str">
        <f aca="false">IF(OR($F$6&lt;&gt;"Sí",D302&lt;=0.5),"",EDATE($C$10,275))</f>
        <v/>
      </c>
      <c r="D302" s="41" t="n">
        <f aca="false">MAX(0,M301)</f>
        <v>0</v>
      </c>
      <c r="E302" s="41" t="n">
        <f aca="false">D302*$F$7</f>
        <v>0</v>
      </c>
      <c r="F302" s="41" t="n">
        <f aca="false">IF(D302&gt;0.5,N($C$15),0)</f>
        <v>0</v>
      </c>
      <c r="G302" s="41" t="n">
        <f aca="false">IF(AND(D302&gt;0.5,N($C$19)&gt;0,N(B302)&lt;=N($C$20)),D302*$F$8,0)</f>
        <v>0</v>
      </c>
      <c r="H302" s="41" t="n">
        <f aca="false">IF(D302&lt;=0.5,0,MIN(IF(N(I302)&gt;0,I302,$F$9),D302+E302+F302))</f>
        <v>0</v>
      </c>
      <c r="I302" s="77"/>
      <c r="J302" s="77"/>
      <c r="K302" s="41" t="n">
        <f aca="false">IF(D302&lt;=0.5,0,MIN(H302+N(J302),D302+E302+F302))</f>
        <v>0</v>
      </c>
      <c r="L302" s="41" t="n">
        <f aca="false">K302-E302-F302</f>
        <v>0</v>
      </c>
      <c r="M302" s="41" t="n">
        <f aca="false">D302-L302</f>
        <v>0</v>
      </c>
      <c r="N302" s="42" t="n">
        <f aca="false">K302-G302</f>
        <v>0</v>
      </c>
      <c r="O302" s="78"/>
      <c r="P302" s="79"/>
      <c r="Q302" s="16" t="str">
        <f aca="false">IF(K302=0,"",IF(R302=1,"Pagada",IF(C302&lt;$F$12,"Vencida",IF(276=$F$13,"Próxima","Pendiente"))))</f>
        <v/>
      </c>
      <c r="R302" s="62" t="n">
        <f aca="false">IF(AND(K302&gt;0,OR(O302="Sí",O302="Si")),1,0)</f>
        <v>0</v>
      </c>
      <c r="S302" s="62" t="n">
        <f aca="false">IF(AND(K302&gt;0,R302=0),1,0)</f>
        <v>0</v>
      </c>
    </row>
    <row r="303" customFormat="false" ht="15" hidden="false" customHeight="false" outlineLevel="0" collapsed="false">
      <c r="B303" s="71" t="str">
        <f aca="false">IF($F$6="Sí",N($C$11)+276,"")</f>
        <v/>
      </c>
      <c r="C303" s="72" t="str">
        <f aca="false">IF(OR($F$6&lt;&gt;"Sí",D303&lt;=0.5),"",EDATE($C$10,276))</f>
        <v/>
      </c>
      <c r="D303" s="41" t="n">
        <f aca="false">MAX(0,M302)</f>
        <v>0</v>
      </c>
      <c r="E303" s="41" t="n">
        <f aca="false">D303*$F$7</f>
        <v>0</v>
      </c>
      <c r="F303" s="41" t="n">
        <f aca="false">IF(D303&gt;0.5,N($C$15),0)</f>
        <v>0</v>
      </c>
      <c r="G303" s="41" t="n">
        <f aca="false">IF(AND(D303&gt;0.5,N($C$19)&gt;0,N(B303)&lt;=N($C$20)),D303*$F$8,0)</f>
        <v>0</v>
      </c>
      <c r="H303" s="41" t="n">
        <f aca="false">IF(D303&lt;=0.5,0,MIN(IF(N(I303)&gt;0,I303,$F$9),D303+E303+F303))</f>
        <v>0</v>
      </c>
      <c r="I303" s="77"/>
      <c r="J303" s="77"/>
      <c r="K303" s="41" t="n">
        <f aca="false">IF(D303&lt;=0.5,0,MIN(H303+N(J303),D303+E303+F303))</f>
        <v>0</v>
      </c>
      <c r="L303" s="41" t="n">
        <f aca="false">K303-E303-F303</f>
        <v>0</v>
      </c>
      <c r="M303" s="41" t="n">
        <f aca="false">D303-L303</f>
        <v>0</v>
      </c>
      <c r="N303" s="42" t="n">
        <f aca="false">K303-G303</f>
        <v>0</v>
      </c>
      <c r="O303" s="78"/>
      <c r="P303" s="79"/>
      <c r="Q303" s="16" t="str">
        <f aca="false">IF(K303=0,"",IF(R303=1,"Pagada",IF(C303&lt;$F$12,"Vencida",IF(277=$F$13,"Próxima","Pendiente"))))</f>
        <v/>
      </c>
      <c r="R303" s="62" t="n">
        <f aca="false">IF(AND(K303&gt;0,OR(O303="Sí",O303="Si")),1,0)</f>
        <v>0</v>
      </c>
      <c r="S303" s="62" t="n">
        <f aca="false">IF(AND(K303&gt;0,R303=0),1,0)</f>
        <v>0</v>
      </c>
    </row>
    <row r="304" customFormat="false" ht="15" hidden="false" customHeight="false" outlineLevel="0" collapsed="false">
      <c r="B304" s="71" t="str">
        <f aca="false">IF($F$6="Sí",N($C$11)+277,"")</f>
        <v/>
      </c>
      <c r="C304" s="72" t="str">
        <f aca="false">IF(OR($F$6&lt;&gt;"Sí",D304&lt;=0.5),"",EDATE($C$10,277))</f>
        <v/>
      </c>
      <c r="D304" s="41" t="n">
        <f aca="false">MAX(0,M303)</f>
        <v>0</v>
      </c>
      <c r="E304" s="41" t="n">
        <f aca="false">D304*$F$7</f>
        <v>0</v>
      </c>
      <c r="F304" s="41" t="n">
        <f aca="false">IF(D304&gt;0.5,N($C$15),0)</f>
        <v>0</v>
      </c>
      <c r="G304" s="41" t="n">
        <f aca="false">IF(AND(D304&gt;0.5,N($C$19)&gt;0,N(B304)&lt;=N($C$20)),D304*$F$8,0)</f>
        <v>0</v>
      </c>
      <c r="H304" s="41" t="n">
        <f aca="false">IF(D304&lt;=0.5,0,MIN(IF(N(I304)&gt;0,I304,$F$9),D304+E304+F304))</f>
        <v>0</v>
      </c>
      <c r="I304" s="77"/>
      <c r="J304" s="77"/>
      <c r="K304" s="41" t="n">
        <f aca="false">IF(D304&lt;=0.5,0,MIN(H304+N(J304),D304+E304+F304))</f>
        <v>0</v>
      </c>
      <c r="L304" s="41" t="n">
        <f aca="false">K304-E304-F304</f>
        <v>0</v>
      </c>
      <c r="M304" s="41" t="n">
        <f aca="false">D304-L304</f>
        <v>0</v>
      </c>
      <c r="N304" s="42" t="n">
        <f aca="false">K304-G304</f>
        <v>0</v>
      </c>
      <c r="O304" s="78"/>
      <c r="P304" s="79"/>
      <c r="Q304" s="16" t="str">
        <f aca="false">IF(K304=0,"",IF(R304=1,"Pagada",IF(C304&lt;$F$12,"Vencida",IF(278=$F$13,"Próxima","Pendiente"))))</f>
        <v/>
      </c>
      <c r="R304" s="62" t="n">
        <f aca="false">IF(AND(K304&gt;0,OR(O304="Sí",O304="Si")),1,0)</f>
        <v>0</v>
      </c>
      <c r="S304" s="62" t="n">
        <f aca="false">IF(AND(K304&gt;0,R304=0),1,0)</f>
        <v>0</v>
      </c>
    </row>
    <row r="305" customFormat="false" ht="15" hidden="false" customHeight="false" outlineLevel="0" collapsed="false">
      <c r="B305" s="71" t="str">
        <f aca="false">IF($F$6="Sí",N($C$11)+278,"")</f>
        <v/>
      </c>
      <c r="C305" s="72" t="str">
        <f aca="false">IF(OR($F$6&lt;&gt;"Sí",D305&lt;=0.5),"",EDATE($C$10,278))</f>
        <v/>
      </c>
      <c r="D305" s="41" t="n">
        <f aca="false">MAX(0,M304)</f>
        <v>0</v>
      </c>
      <c r="E305" s="41" t="n">
        <f aca="false">D305*$F$7</f>
        <v>0</v>
      </c>
      <c r="F305" s="41" t="n">
        <f aca="false">IF(D305&gt;0.5,N($C$15),0)</f>
        <v>0</v>
      </c>
      <c r="G305" s="41" t="n">
        <f aca="false">IF(AND(D305&gt;0.5,N($C$19)&gt;0,N(B305)&lt;=N($C$20)),D305*$F$8,0)</f>
        <v>0</v>
      </c>
      <c r="H305" s="41" t="n">
        <f aca="false">IF(D305&lt;=0.5,0,MIN(IF(N(I305)&gt;0,I305,$F$9),D305+E305+F305))</f>
        <v>0</v>
      </c>
      <c r="I305" s="77"/>
      <c r="J305" s="77"/>
      <c r="K305" s="41" t="n">
        <f aca="false">IF(D305&lt;=0.5,0,MIN(H305+N(J305),D305+E305+F305))</f>
        <v>0</v>
      </c>
      <c r="L305" s="41" t="n">
        <f aca="false">K305-E305-F305</f>
        <v>0</v>
      </c>
      <c r="M305" s="41" t="n">
        <f aca="false">D305-L305</f>
        <v>0</v>
      </c>
      <c r="N305" s="42" t="n">
        <f aca="false">K305-G305</f>
        <v>0</v>
      </c>
      <c r="O305" s="78"/>
      <c r="P305" s="79"/>
      <c r="Q305" s="16" t="str">
        <f aca="false">IF(K305=0,"",IF(R305=1,"Pagada",IF(C305&lt;$F$12,"Vencida",IF(279=$F$13,"Próxima","Pendiente"))))</f>
        <v/>
      </c>
      <c r="R305" s="62" t="n">
        <f aca="false">IF(AND(K305&gt;0,OR(O305="Sí",O305="Si")),1,0)</f>
        <v>0</v>
      </c>
      <c r="S305" s="62" t="n">
        <f aca="false">IF(AND(K305&gt;0,R305=0),1,0)</f>
        <v>0</v>
      </c>
    </row>
    <row r="306" customFormat="false" ht="15" hidden="false" customHeight="false" outlineLevel="0" collapsed="false">
      <c r="B306" s="71" t="str">
        <f aca="false">IF($F$6="Sí",N($C$11)+279,"")</f>
        <v/>
      </c>
      <c r="C306" s="72" t="str">
        <f aca="false">IF(OR($F$6&lt;&gt;"Sí",D306&lt;=0.5),"",EDATE($C$10,279))</f>
        <v/>
      </c>
      <c r="D306" s="41" t="n">
        <f aca="false">MAX(0,M305)</f>
        <v>0</v>
      </c>
      <c r="E306" s="41" t="n">
        <f aca="false">D306*$F$7</f>
        <v>0</v>
      </c>
      <c r="F306" s="41" t="n">
        <f aca="false">IF(D306&gt;0.5,N($C$15),0)</f>
        <v>0</v>
      </c>
      <c r="G306" s="41" t="n">
        <f aca="false">IF(AND(D306&gt;0.5,N($C$19)&gt;0,N(B306)&lt;=N($C$20)),D306*$F$8,0)</f>
        <v>0</v>
      </c>
      <c r="H306" s="41" t="n">
        <f aca="false">IF(D306&lt;=0.5,0,MIN(IF(N(I306)&gt;0,I306,$F$9),D306+E306+F306))</f>
        <v>0</v>
      </c>
      <c r="I306" s="77"/>
      <c r="J306" s="77"/>
      <c r="K306" s="41" t="n">
        <f aca="false">IF(D306&lt;=0.5,0,MIN(H306+N(J306),D306+E306+F306))</f>
        <v>0</v>
      </c>
      <c r="L306" s="41" t="n">
        <f aca="false">K306-E306-F306</f>
        <v>0</v>
      </c>
      <c r="M306" s="41" t="n">
        <f aca="false">D306-L306</f>
        <v>0</v>
      </c>
      <c r="N306" s="42" t="n">
        <f aca="false">K306-G306</f>
        <v>0</v>
      </c>
      <c r="O306" s="78"/>
      <c r="P306" s="79"/>
      <c r="Q306" s="16" t="str">
        <f aca="false">IF(K306=0,"",IF(R306=1,"Pagada",IF(C306&lt;$F$12,"Vencida",IF(280=$F$13,"Próxima","Pendiente"))))</f>
        <v/>
      </c>
      <c r="R306" s="62" t="n">
        <f aca="false">IF(AND(K306&gt;0,OR(O306="Sí",O306="Si")),1,0)</f>
        <v>0</v>
      </c>
      <c r="S306" s="62" t="n">
        <f aca="false">IF(AND(K306&gt;0,R306=0),1,0)</f>
        <v>0</v>
      </c>
    </row>
    <row r="307" customFormat="false" ht="15" hidden="false" customHeight="false" outlineLevel="0" collapsed="false">
      <c r="B307" s="71" t="str">
        <f aca="false">IF($F$6="Sí",N($C$11)+280,"")</f>
        <v/>
      </c>
      <c r="C307" s="72" t="str">
        <f aca="false">IF(OR($F$6&lt;&gt;"Sí",D307&lt;=0.5),"",EDATE($C$10,280))</f>
        <v/>
      </c>
      <c r="D307" s="41" t="n">
        <f aca="false">MAX(0,M306)</f>
        <v>0</v>
      </c>
      <c r="E307" s="41" t="n">
        <f aca="false">D307*$F$7</f>
        <v>0</v>
      </c>
      <c r="F307" s="41" t="n">
        <f aca="false">IF(D307&gt;0.5,N($C$15),0)</f>
        <v>0</v>
      </c>
      <c r="G307" s="41" t="n">
        <f aca="false">IF(AND(D307&gt;0.5,N($C$19)&gt;0,N(B307)&lt;=N($C$20)),D307*$F$8,0)</f>
        <v>0</v>
      </c>
      <c r="H307" s="41" t="n">
        <f aca="false">IF(D307&lt;=0.5,0,MIN(IF(N(I307)&gt;0,I307,$F$9),D307+E307+F307))</f>
        <v>0</v>
      </c>
      <c r="I307" s="77"/>
      <c r="J307" s="77"/>
      <c r="K307" s="41" t="n">
        <f aca="false">IF(D307&lt;=0.5,0,MIN(H307+N(J307),D307+E307+F307))</f>
        <v>0</v>
      </c>
      <c r="L307" s="41" t="n">
        <f aca="false">K307-E307-F307</f>
        <v>0</v>
      </c>
      <c r="M307" s="41" t="n">
        <f aca="false">D307-L307</f>
        <v>0</v>
      </c>
      <c r="N307" s="42" t="n">
        <f aca="false">K307-G307</f>
        <v>0</v>
      </c>
      <c r="O307" s="78"/>
      <c r="P307" s="79"/>
      <c r="Q307" s="16" t="str">
        <f aca="false">IF(K307=0,"",IF(R307=1,"Pagada",IF(C307&lt;$F$12,"Vencida",IF(281=$F$13,"Próxima","Pendiente"))))</f>
        <v/>
      </c>
      <c r="R307" s="62" t="n">
        <f aca="false">IF(AND(K307&gt;0,OR(O307="Sí",O307="Si")),1,0)</f>
        <v>0</v>
      </c>
      <c r="S307" s="62" t="n">
        <f aca="false">IF(AND(K307&gt;0,R307=0),1,0)</f>
        <v>0</v>
      </c>
    </row>
    <row r="308" customFormat="false" ht="15" hidden="false" customHeight="false" outlineLevel="0" collapsed="false">
      <c r="B308" s="71" t="str">
        <f aca="false">IF($F$6="Sí",N($C$11)+281,"")</f>
        <v/>
      </c>
      <c r="C308" s="72" t="str">
        <f aca="false">IF(OR($F$6&lt;&gt;"Sí",D308&lt;=0.5),"",EDATE($C$10,281))</f>
        <v/>
      </c>
      <c r="D308" s="41" t="n">
        <f aca="false">MAX(0,M307)</f>
        <v>0</v>
      </c>
      <c r="E308" s="41" t="n">
        <f aca="false">D308*$F$7</f>
        <v>0</v>
      </c>
      <c r="F308" s="41" t="n">
        <f aca="false">IF(D308&gt;0.5,N($C$15),0)</f>
        <v>0</v>
      </c>
      <c r="G308" s="41" t="n">
        <f aca="false">IF(AND(D308&gt;0.5,N($C$19)&gt;0,N(B308)&lt;=N($C$20)),D308*$F$8,0)</f>
        <v>0</v>
      </c>
      <c r="H308" s="41" t="n">
        <f aca="false">IF(D308&lt;=0.5,0,MIN(IF(N(I308)&gt;0,I308,$F$9),D308+E308+F308))</f>
        <v>0</v>
      </c>
      <c r="I308" s="77"/>
      <c r="J308" s="77"/>
      <c r="K308" s="41" t="n">
        <f aca="false">IF(D308&lt;=0.5,0,MIN(H308+N(J308),D308+E308+F308))</f>
        <v>0</v>
      </c>
      <c r="L308" s="41" t="n">
        <f aca="false">K308-E308-F308</f>
        <v>0</v>
      </c>
      <c r="M308" s="41" t="n">
        <f aca="false">D308-L308</f>
        <v>0</v>
      </c>
      <c r="N308" s="42" t="n">
        <f aca="false">K308-G308</f>
        <v>0</v>
      </c>
      <c r="O308" s="78"/>
      <c r="P308" s="79"/>
      <c r="Q308" s="16" t="str">
        <f aca="false">IF(K308=0,"",IF(R308=1,"Pagada",IF(C308&lt;$F$12,"Vencida",IF(282=$F$13,"Próxima","Pendiente"))))</f>
        <v/>
      </c>
      <c r="R308" s="62" t="n">
        <f aca="false">IF(AND(K308&gt;0,OR(O308="Sí",O308="Si")),1,0)</f>
        <v>0</v>
      </c>
      <c r="S308" s="62" t="n">
        <f aca="false">IF(AND(K308&gt;0,R308=0),1,0)</f>
        <v>0</v>
      </c>
    </row>
    <row r="309" customFormat="false" ht="15" hidden="false" customHeight="false" outlineLevel="0" collapsed="false">
      <c r="B309" s="71" t="str">
        <f aca="false">IF($F$6="Sí",N($C$11)+282,"")</f>
        <v/>
      </c>
      <c r="C309" s="72" t="str">
        <f aca="false">IF(OR($F$6&lt;&gt;"Sí",D309&lt;=0.5),"",EDATE($C$10,282))</f>
        <v/>
      </c>
      <c r="D309" s="41" t="n">
        <f aca="false">MAX(0,M308)</f>
        <v>0</v>
      </c>
      <c r="E309" s="41" t="n">
        <f aca="false">D309*$F$7</f>
        <v>0</v>
      </c>
      <c r="F309" s="41" t="n">
        <f aca="false">IF(D309&gt;0.5,N($C$15),0)</f>
        <v>0</v>
      </c>
      <c r="G309" s="41" t="n">
        <f aca="false">IF(AND(D309&gt;0.5,N($C$19)&gt;0,N(B309)&lt;=N($C$20)),D309*$F$8,0)</f>
        <v>0</v>
      </c>
      <c r="H309" s="41" t="n">
        <f aca="false">IF(D309&lt;=0.5,0,MIN(IF(N(I309)&gt;0,I309,$F$9),D309+E309+F309))</f>
        <v>0</v>
      </c>
      <c r="I309" s="77"/>
      <c r="J309" s="77"/>
      <c r="K309" s="41" t="n">
        <f aca="false">IF(D309&lt;=0.5,0,MIN(H309+N(J309),D309+E309+F309))</f>
        <v>0</v>
      </c>
      <c r="L309" s="41" t="n">
        <f aca="false">K309-E309-F309</f>
        <v>0</v>
      </c>
      <c r="M309" s="41" t="n">
        <f aca="false">D309-L309</f>
        <v>0</v>
      </c>
      <c r="N309" s="42" t="n">
        <f aca="false">K309-G309</f>
        <v>0</v>
      </c>
      <c r="O309" s="78"/>
      <c r="P309" s="79"/>
      <c r="Q309" s="16" t="str">
        <f aca="false">IF(K309=0,"",IF(R309=1,"Pagada",IF(C309&lt;$F$12,"Vencida",IF(283=$F$13,"Próxima","Pendiente"))))</f>
        <v/>
      </c>
      <c r="R309" s="62" t="n">
        <f aca="false">IF(AND(K309&gt;0,OR(O309="Sí",O309="Si")),1,0)</f>
        <v>0</v>
      </c>
      <c r="S309" s="62" t="n">
        <f aca="false">IF(AND(K309&gt;0,R309=0),1,0)</f>
        <v>0</v>
      </c>
    </row>
    <row r="310" customFormat="false" ht="15" hidden="false" customHeight="false" outlineLevel="0" collapsed="false">
      <c r="B310" s="71" t="str">
        <f aca="false">IF($F$6="Sí",N($C$11)+283,"")</f>
        <v/>
      </c>
      <c r="C310" s="72" t="str">
        <f aca="false">IF(OR($F$6&lt;&gt;"Sí",D310&lt;=0.5),"",EDATE($C$10,283))</f>
        <v/>
      </c>
      <c r="D310" s="41" t="n">
        <f aca="false">MAX(0,M309)</f>
        <v>0</v>
      </c>
      <c r="E310" s="41" t="n">
        <f aca="false">D310*$F$7</f>
        <v>0</v>
      </c>
      <c r="F310" s="41" t="n">
        <f aca="false">IF(D310&gt;0.5,N($C$15),0)</f>
        <v>0</v>
      </c>
      <c r="G310" s="41" t="n">
        <f aca="false">IF(AND(D310&gt;0.5,N($C$19)&gt;0,N(B310)&lt;=N($C$20)),D310*$F$8,0)</f>
        <v>0</v>
      </c>
      <c r="H310" s="41" t="n">
        <f aca="false">IF(D310&lt;=0.5,0,MIN(IF(N(I310)&gt;0,I310,$F$9),D310+E310+F310))</f>
        <v>0</v>
      </c>
      <c r="I310" s="77"/>
      <c r="J310" s="77"/>
      <c r="K310" s="41" t="n">
        <f aca="false">IF(D310&lt;=0.5,0,MIN(H310+N(J310),D310+E310+F310))</f>
        <v>0</v>
      </c>
      <c r="L310" s="41" t="n">
        <f aca="false">K310-E310-F310</f>
        <v>0</v>
      </c>
      <c r="M310" s="41" t="n">
        <f aca="false">D310-L310</f>
        <v>0</v>
      </c>
      <c r="N310" s="42" t="n">
        <f aca="false">K310-G310</f>
        <v>0</v>
      </c>
      <c r="O310" s="78"/>
      <c r="P310" s="79"/>
      <c r="Q310" s="16" t="str">
        <f aca="false">IF(K310=0,"",IF(R310=1,"Pagada",IF(C310&lt;$F$12,"Vencida",IF(284=$F$13,"Próxima","Pendiente"))))</f>
        <v/>
      </c>
      <c r="R310" s="62" t="n">
        <f aca="false">IF(AND(K310&gt;0,OR(O310="Sí",O310="Si")),1,0)</f>
        <v>0</v>
      </c>
      <c r="S310" s="62" t="n">
        <f aca="false">IF(AND(K310&gt;0,R310=0),1,0)</f>
        <v>0</v>
      </c>
    </row>
    <row r="311" customFormat="false" ht="15" hidden="false" customHeight="false" outlineLevel="0" collapsed="false">
      <c r="B311" s="71" t="str">
        <f aca="false">IF($F$6="Sí",N($C$11)+284,"")</f>
        <v/>
      </c>
      <c r="C311" s="72" t="str">
        <f aca="false">IF(OR($F$6&lt;&gt;"Sí",D311&lt;=0.5),"",EDATE($C$10,284))</f>
        <v/>
      </c>
      <c r="D311" s="41" t="n">
        <f aca="false">MAX(0,M310)</f>
        <v>0</v>
      </c>
      <c r="E311" s="41" t="n">
        <f aca="false">D311*$F$7</f>
        <v>0</v>
      </c>
      <c r="F311" s="41" t="n">
        <f aca="false">IF(D311&gt;0.5,N($C$15),0)</f>
        <v>0</v>
      </c>
      <c r="G311" s="41" t="n">
        <f aca="false">IF(AND(D311&gt;0.5,N($C$19)&gt;0,N(B311)&lt;=N($C$20)),D311*$F$8,0)</f>
        <v>0</v>
      </c>
      <c r="H311" s="41" t="n">
        <f aca="false">IF(D311&lt;=0.5,0,MIN(IF(N(I311)&gt;0,I311,$F$9),D311+E311+F311))</f>
        <v>0</v>
      </c>
      <c r="I311" s="77"/>
      <c r="J311" s="77"/>
      <c r="K311" s="41" t="n">
        <f aca="false">IF(D311&lt;=0.5,0,MIN(H311+N(J311),D311+E311+F311))</f>
        <v>0</v>
      </c>
      <c r="L311" s="41" t="n">
        <f aca="false">K311-E311-F311</f>
        <v>0</v>
      </c>
      <c r="M311" s="41" t="n">
        <f aca="false">D311-L311</f>
        <v>0</v>
      </c>
      <c r="N311" s="42" t="n">
        <f aca="false">K311-G311</f>
        <v>0</v>
      </c>
      <c r="O311" s="78"/>
      <c r="P311" s="79"/>
      <c r="Q311" s="16" t="str">
        <f aca="false">IF(K311=0,"",IF(R311=1,"Pagada",IF(C311&lt;$F$12,"Vencida",IF(285=$F$13,"Próxima","Pendiente"))))</f>
        <v/>
      </c>
      <c r="R311" s="62" t="n">
        <f aca="false">IF(AND(K311&gt;0,OR(O311="Sí",O311="Si")),1,0)</f>
        <v>0</v>
      </c>
      <c r="S311" s="62" t="n">
        <f aca="false">IF(AND(K311&gt;0,R311=0),1,0)</f>
        <v>0</v>
      </c>
    </row>
    <row r="312" customFormat="false" ht="15" hidden="false" customHeight="false" outlineLevel="0" collapsed="false">
      <c r="B312" s="71" t="str">
        <f aca="false">IF($F$6="Sí",N($C$11)+285,"")</f>
        <v/>
      </c>
      <c r="C312" s="72" t="str">
        <f aca="false">IF(OR($F$6&lt;&gt;"Sí",D312&lt;=0.5),"",EDATE($C$10,285))</f>
        <v/>
      </c>
      <c r="D312" s="41" t="n">
        <f aca="false">MAX(0,M311)</f>
        <v>0</v>
      </c>
      <c r="E312" s="41" t="n">
        <f aca="false">D312*$F$7</f>
        <v>0</v>
      </c>
      <c r="F312" s="41" t="n">
        <f aca="false">IF(D312&gt;0.5,N($C$15),0)</f>
        <v>0</v>
      </c>
      <c r="G312" s="41" t="n">
        <f aca="false">IF(AND(D312&gt;0.5,N($C$19)&gt;0,N(B312)&lt;=N($C$20)),D312*$F$8,0)</f>
        <v>0</v>
      </c>
      <c r="H312" s="41" t="n">
        <f aca="false">IF(D312&lt;=0.5,0,MIN(IF(N(I312)&gt;0,I312,$F$9),D312+E312+F312))</f>
        <v>0</v>
      </c>
      <c r="I312" s="77"/>
      <c r="J312" s="77"/>
      <c r="K312" s="41" t="n">
        <f aca="false">IF(D312&lt;=0.5,0,MIN(H312+N(J312),D312+E312+F312))</f>
        <v>0</v>
      </c>
      <c r="L312" s="41" t="n">
        <f aca="false">K312-E312-F312</f>
        <v>0</v>
      </c>
      <c r="M312" s="41" t="n">
        <f aca="false">D312-L312</f>
        <v>0</v>
      </c>
      <c r="N312" s="42" t="n">
        <f aca="false">K312-G312</f>
        <v>0</v>
      </c>
      <c r="O312" s="78"/>
      <c r="P312" s="79"/>
      <c r="Q312" s="16" t="str">
        <f aca="false">IF(K312=0,"",IF(R312=1,"Pagada",IF(C312&lt;$F$12,"Vencida",IF(286=$F$13,"Próxima","Pendiente"))))</f>
        <v/>
      </c>
      <c r="R312" s="62" t="n">
        <f aca="false">IF(AND(K312&gt;0,OR(O312="Sí",O312="Si")),1,0)</f>
        <v>0</v>
      </c>
      <c r="S312" s="62" t="n">
        <f aca="false">IF(AND(K312&gt;0,R312=0),1,0)</f>
        <v>0</v>
      </c>
    </row>
    <row r="313" customFormat="false" ht="15" hidden="false" customHeight="false" outlineLevel="0" collapsed="false">
      <c r="B313" s="71" t="str">
        <f aca="false">IF($F$6="Sí",N($C$11)+286,"")</f>
        <v/>
      </c>
      <c r="C313" s="72" t="str">
        <f aca="false">IF(OR($F$6&lt;&gt;"Sí",D313&lt;=0.5),"",EDATE($C$10,286))</f>
        <v/>
      </c>
      <c r="D313" s="41" t="n">
        <f aca="false">MAX(0,M312)</f>
        <v>0</v>
      </c>
      <c r="E313" s="41" t="n">
        <f aca="false">D313*$F$7</f>
        <v>0</v>
      </c>
      <c r="F313" s="41" t="n">
        <f aca="false">IF(D313&gt;0.5,N($C$15),0)</f>
        <v>0</v>
      </c>
      <c r="G313" s="41" t="n">
        <f aca="false">IF(AND(D313&gt;0.5,N($C$19)&gt;0,N(B313)&lt;=N($C$20)),D313*$F$8,0)</f>
        <v>0</v>
      </c>
      <c r="H313" s="41" t="n">
        <f aca="false">IF(D313&lt;=0.5,0,MIN(IF(N(I313)&gt;0,I313,$F$9),D313+E313+F313))</f>
        <v>0</v>
      </c>
      <c r="I313" s="77"/>
      <c r="J313" s="77"/>
      <c r="K313" s="41" t="n">
        <f aca="false">IF(D313&lt;=0.5,0,MIN(H313+N(J313),D313+E313+F313))</f>
        <v>0</v>
      </c>
      <c r="L313" s="41" t="n">
        <f aca="false">K313-E313-F313</f>
        <v>0</v>
      </c>
      <c r="M313" s="41" t="n">
        <f aca="false">D313-L313</f>
        <v>0</v>
      </c>
      <c r="N313" s="42" t="n">
        <f aca="false">K313-G313</f>
        <v>0</v>
      </c>
      <c r="O313" s="78"/>
      <c r="P313" s="79"/>
      <c r="Q313" s="16" t="str">
        <f aca="false">IF(K313=0,"",IF(R313=1,"Pagada",IF(C313&lt;$F$12,"Vencida",IF(287=$F$13,"Próxima","Pendiente"))))</f>
        <v/>
      </c>
      <c r="R313" s="62" t="n">
        <f aca="false">IF(AND(K313&gt;0,OR(O313="Sí",O313="Si")),1,0)</f>
        <v>0</v>
      </c>
      <c r="S313" s="62" t="n">
        <f aca="false">IF(AND(K313&gt;0,R313=0),1,0)</f>
        <v>0</v>
      </c>
    </row>
    <row r="314" customFormat="false" ht="15" hidden="false" customHeight="false" outlineLevel="0" collapsed="false">
      <c r="B314" s="71" t="str">
        <f aca="false">IF($F$6="Sí",N($C$11)+287,"")</f>
        <v/>
      </c>
      <c r="C314" s="72" t="str">
        <f aca="false">IF(OR($F$6&lt;&gt;"Sí",D314&lt;=0.5),"",EDATE($C$10,287))</f>
        <v/>
      </c>
      <c r="D314" s="41" t="n">
        <f aca="false">MAX(0,M313)</f>
        <v>0</v>
      </c>
      <c r="E314" s="41" t="n">
        <f aca="false">D314*$F$7</f>
        <v>0</v>
      </c>
      <c r="F314" s="41" t="n">
        <f aca="false">IF(D314&gt;0.5,N($C$15),0)</f>
        <v>0</v>
      </c>
      <c r="G314" s="41" t="n">
        <f aca="false">IF(AND(D314&gt;0.5,N($C$19)&gt;0,N(B314)&lt;=N($C$20)),D314*$F$8,0)</f>
        <v>0</v>
      </c>
      <c r="H314" s="41" t="n">
        <f aca="false">IF(D314&lt;=0.5,0,MIN(IF(N(I314)&gt;0,I314,$F$9),D314+E314+F314))</f>
        <v>0</v>
      </c>
      <c r="I314" s="77"/>
      <c r="J314" s="77"/>
      <c r="K314" s="41" t="n">
        <f aca="false">IF(D314&lt;=0.5,0,MIN(H314+N(J314),D314+E314+F314))</f>
        <v>0</v>
      </c>
      <c r="L314" s="41" t="n">
        <f aca="false">K314-E314-F314</f>
        <v>0</v>
      </c>
      <c r="M314" s="41" t="n">
        <f aca="false">D314-L314</f>
        <v>0</v>
      </c>
      <c r="N314" s="42" t="n">
        <f aca="false">K314-G314</f>
        <v>0</v>
      </c>
      <c r="O314" s="78"/>
      <c r="P314" s="79"/>
      <c r="Q314" s="16" t="str">
        <f aca="false">IF(K314=0,"",IF(R314=1,"Pagada",IF(C314&lt;$F$12,"Vencida",IF(288=$F$13,"Próxima","Pendiente"))))</f>
        <v/>
      </c>
      <c r="R314" s="62" t="n">
        <f aca="false">IF(AND(K314&gt;0,OR(O314="Sí",O314="Si")),1,0)</f>
        <v>0</v>
      </c>
      <c r="S314" s="62" t="n">
        <f aca="false">IF(AND(K314&gt;0,R314=0),1,0)</f>
        <v>0</v>
      </c>
    </row>
    <row r="315" customFormat="false" ht="15" hidden="false" customHeight="false" outlineLevel="0" collapsed="false">
      <c r="B315" s="71" t="str">
        <f aca="false">IF($F$6="Sí",N($C$11)+288,"")</f>
        <v/>
      </c>
      <c r="C315" s="72" t="str">
        <f aca="false">IF(OR($F$6&lt;&gt;"Sí",D315&lt;=0.5),"",EDATE($C$10,288))</f>
        <v/>
      </c>
      <c r="D315" s="41" t="n">
        <f aca="false">MAX(0,M314)</f>
        <v>0</v>
      </c>
      <c r="E315" s="41" t="n">
        <f aca="false">D315*$F$7</f>
        <v>0</v>
      </c>
      <c r="F315" s="41" t="n">
        <f aca="false">IF(D315&gt;0.5,N($C$15),0)</f>
        <v>0</v>
      </c>
      <c r="G315" s="41" t="n">
        <f aca="false">IF(AND(D315&gt;0.5,N($C$19)&gt;0,N(B315)&lt;=N($C$20)),D315*$F$8,0)</f>
        <v>0</v>
      </c>
      <c r="H315" s="41" t="n">
        <f aca="false">IF(D315&lt;=0.5,0,MIN(IF(N(I315)&gt;0,I315,$F$9),D315+E315+F315))</f>
        <v>0</v>
      </c>
      <c r="I315" s="77"/>
      <c r="J315" s="77"/>
      <c r="K315" s="41" t="n">
        <f aca="false">IF(D315&lt;=0.5,0,MIN(H315+N(J315),D315+E315+F315))</f>
        <v>0</v>
      </c>
      <c r="L315" s="41" t="n">
        <f aca="false">K315-E315-F315</f>
        <v>0</v>
      </c>
      <c r="M315" s="41" t="n">
        <f aca="false">D315-L315</f>
        <v>0</v>
      </c>
      <c r="N315" s="42" t="n">
        <f aca="false">K315-G315</f>
        <v>0</v>
      </c>
      <c r="O315" s="78"/>
      <c r="P315" s="79"/>
      <c r="Q315" s="16" t="str">
        <f aca="false">IF(K315=0,"",IF(R315=1,"Pagada",IF(C315&lt;$F$12,"Vencida",IF(289=$F$13,"Próxima","Pendiente"))))</f>
        <v/>
      </c>
      <c r="R315" s="62" t="n">
        <f aca="false">IF(AND(K315&gt;0,OR(O315="Sí",O315="Si")),1,0)</f>
        <v>0</v>
      </c>
      <c r="S315" s="62" t="n">
        <f aca="false">IF(AND(K315&gt;0,R315=0),1,0)</f>
        <v>0</v>
      </c>
    </row>
    <row r="316" customFormat="false" ht="15" hidden="false" customHeight="false" outlineLevel="0" collapsed="false">
      <c r="B316" s="71" t="str">
        <f aca="false">IF($F$6="Sí",N($C$11)+289,"")</f>
        <v/>
      </c>
      <c r="C316" s="72" t="str">
        <f aca="false">IF(OR($F$6&lt;&gt;"Sí",D316&lt;=0.5),"",EDATE($C$10,289))</f>
        <v/>
      </c>
      <c r="D316" s="41" t="n">
        <f aca="false">MAX(0,M315)</f>
        <v>0</v>
      </c>
      <c r="E316" s="41" t="n">
        <f aca="false">D316*$F$7</f>
        <v>0</v>
      </c>
      <c r="F316" s="41" t="n">
        <f aca="false">IF(D316&gt;0.5,N($C$15),0)</f>
        <v>0</v>
      </c>
      <c r="G316" s="41" t="n">
        <f aca="false">IF(AND(D316&gt;0.5,N($C$19)&gt;0,N(B316)&lt;=N($C$20)),D316*$F$8,0)</f>
        <v>0</v>
      </c>
      <c r="H316" s="41" t="n">
        <f aca="false">IF(D316&lt;=0.5,0,MIN(IF(N(I316)&gt;0,I316,$F$9),D316+E316+F316))</f>
        <v>0</v>
      </c>
      <c r="I316" s="77"/>
      <c r="J316" s="77"/>
      <c r="K316" s="41" t="n">
        <f aca="false">IF(D316&lt;=0.5,0,MIN(H316+N(J316),D316+E316+F316))</f>
        <v>0</v>
      </c>
      <c r="L316" s="41" t="n">
        <f aca="false">K316-E316-F316</f>
        <v>0</v>
      </c>
      <c r="M316" s="41" t="n">
        <f aca="false">D316-L316</f>
        <v>0</v>
      </c>
      <c r="N316" s="42" t="n">
        <f aca="false">K316-G316</f>
        <v>0</v>
      </c>
      <c r="O316" s="78"/>
      <c r="P316" s="79"/>
      <c r="Q316" s="16" t="str">
        <f aca="false">IF(K316=0,"",IF(R316=1,"Pagada",IF(C316&lt;$F$12,"Vencida",IF(290=$F$13,"Próxima","Pendiente"))))</f>
        <v/>
      </c>
      <c r="R316" s="62" t="n">
        <f aca="false">IF(AND(K316&gt;0,OR(O316="Sí",O316="Si")),1,0)</f>
        <v>0</v>
      </c>
      <c r="S316" s="62" t="n">
        <f aca="false">IF(AND(K316&gt;0,R316=0),1,0)</f>
        <v>0</v>
      </c>
    </row>
    <row r="317" customFormat="false" ht="15" hidden="false" customHeight="false" outlineLevel="0" collapsed="false">
      <c r="B317" s="71" t="str">
        <f aca="false">IF($F$6="Sí",N($C$11)+290,"")</f>
        <v/>
      </c>
      <c r="C317" s="72" t="str">
        <f aca="false">IF(OR($F$6&lt;&gt;"Sí",D317&lt;=0.5),"",EDATE($C$10,290))</f>
        <v/>
      </c>
      <c r="D317" s="41" t="n">
        <f aca="false">MAX(0,M316)</f>
        <v>0</v>
      </c>
      <c r="E317" s="41" t="n">
        <f aca="false">D317*$F$7</f>
        <v>0</v>
      </c>
      <c r="F317" s="41" t="n">
        <f aca="false">IF(D317&gt;0.5,N($C$15),0)</f>
        <v>0</v>
      </c>
      <c r="G317" s="41" t="n">
        <f aca="false">IF(AND(D317&gt;0.5,N($C$19)&gt;0,N(B317)&lt;=N($C$20)),D317*$F$8,0)</f>
        <v>0</v>
      </c>
      <c r="H317" s="41" t="n">
        <f aca="false">IF(D317&lt;=0.5,0,MIN(IF(N(I317)&gt;0,I317,$F$9),D317+E317+F317))</f>
        <v>0</v>
      </c>
      <c r="I317" s="77"/>
      <c r="J317" s="77"/>
      <c r="K317" s="41" t="n">
        <f aca="false">IF(D317&lt;=0.5,0,MIN(H317+N(J317),D317+E317+F317))</f>
        <v>0</v>
      </c>
      <c r="L317" s="41" t="n">
        <f aca="false">K317-E317-F317</f>
        <v>0</v>
      </c>
      <c r="M317" s="41" t="n">
        <f aca="false">D317-L317</f>
        <v>0</v>
      </c>
      <c r="N317" s="42" t="n">
        <f aca="false">K317-G317</f>
        <v>0</v>
      </c>
      <c r="O317" s="78"/>
      <c r="P317" s="79"/>
      <c r="Q317" s="16" t="str">
        <f aca="false">IF(K317=0,"",IF(R317=1,"Pagada",IF(C317&lt;$F$12,"Vencida",IF(291=$F$13,"Próxima","Pendiente"))))</f>
        <v/>
      </c>
      <c r="R317" s="62" t="n">
        <f aca="false">IF(AND(K317&gt;0,OR(O317="Sí",O317="Si")),1,0)</f>
        <v>0</v>
      </c>
      <c r="S317" s="62" t="n">
        <f aca="false">IF(AND(K317&gt;0,R317=0),1,0)</f>
        <v>0</v>
      </c>
    </row>
    <row r="318" customFormat="false" ht="15" hidden="false" customHeight="false" outlineLevel="0" collapsed="false">
      <c r="B318" s="71" t="str">
        <f aca="false">IF($F$6="Sí",N($C$11)+291,"")</f>
        <v/>
      </c>
      <c r="C318" s="72" t="str">
        <f aca="false">IF(OR($F$6&lt;&gt;"Sí",D318&lt;=0.5),"",EDATE($C$10,291))</f>
        <v/>
      </c>
      <c r="D318" s="41" t="n">
        <f aca="false">MAX(0,M317)</f>
        <v>0</v>
      </c>
      <c r="E318" s="41" t="n">
        <f aca="false">D318*$F$7</f>
        <v>0</v>
      </c>
      <c r="F318" s="41" t="n">
        <f aca="false">IF(D318&gt;0.5,N($C$15),0)</f>
        <v>0</v>
      </c>
      <c r="G318" s="41" t="n">
        <f aca="false">IF(AND(D318&gt;0.5,N($C$19)&gt;0,N(B318)&lt;=N($C$20)),D318*$F$8,0)</f>
        <v>0</v>
      </c>
      <c r="H318" s="41" t="n">
        <f aca="false">IF(D318&lt;=0.5,0,MIN(IF(N(I318)&gt;0,I318,$F$9),D318+E318+F318))</f>
        <v>0</v>
      </c>
      <c r="I318" s="77"/>
      <c r="J318" s="77"/>
      <c r="K318" s="41" t="n">
        <f aca="false">IF(D318&lt;=0.5,0,MIN(H318+N(J318),D318+E318+F318))</f>
        <v>0</v>
      </c>
      <c r="L318" s="41" t="n">
        <f aca="false">K318-E318-F318</f>
        <v>0</v>
      </c>
      <c r="M318" s="41" t="n">
        <f aca="false">D318-L318</f>
        <v>0</v>
      </c>
      <c r="N318" s="42" t="n">
        <f aca="false">K318-G318</f>
        <v>0</v>
      </c>
      <c r="O318" s="78"/>
      <c r="P318" s="79"/>
      <c r="Q318" s="16" t="str">
        <f aca="false">IF(K318=0,"",IF(R318=1,"Pagada",IF(C318&lt;$F$12,"Vencida",IF(292=$F$13,"Próxima","Pendiente"))))</f>
        <v/>
      </c>
      <c r="R318" s="62" t="n">
        <f aca="false">IF(AND(K318&gt;0,OR(O318="Sí",O318="Si")),1,0)</f>
        <v>0</v>
      </c>
      <c r="S318" s="62" t="n">
        <f aca="false">IF(AND(K318&gt;0,R318=0),1,0)</f>
        <v>0</v>
      </c>
    </row>
    <row r="319" customFormat="false" ht="15" hidden="false" customHeight="false" outlineLevel="0" collapsed="false">
      <c r="B319" s="71" t="str">
        <f aca="false">IF($F$6="Sí",N($C$11)+292,"")</f>
        <v/>
      </c>
      <c r="C319" s="72" t="str">
        <f aca="false">IF(OR($F$6&lt;&gt;"Sí",D319&lt;=0.5),"",EDATE($C$10,292))</f>
        <v/>
      </c>
      <c r="D319" s="41" t="n">
        <f aca="false">MAX(0,M318)</f>
        <v>0</v>
      </c>
      <c r="E319" s="41" t="n">
        <f aca="false">D319*$F$7</f>
        <v>0</v>
      </c>
      <c r="F319" s="41" t="n">
        <f aca="false">IF(D319&gt;0.5,N($C$15),0)</f>
        <v>0</v>
      </c>
      <c r="G319" s="41" t="n">
        <f aca="false">IF(AND(D319&gt;0.5,N($C$19)&gt;0,N(B319)&lt;=N($C$20)),D319*$F$8,0)</f>
        <v>0</v>
      </c>
      <c r="H319" s="41" t="n">
        <f aca="false">IF(D319&lt;=0.5,0,MIN(IF(N(I319)&gt;0,I319,$F$9),D319+E319+F319))</f>
        <v>0</v>
      </c>
      <c r="I319" s="77"/>
      <c r="J319" s="77"/>
      <c r="K319" s="41" t="n">
        <f aca="false">IF(D319&lt;=0.5,0,MIN(H319+N(J319),D319+E319+F319))</f>
        <v>0</v>
      </c>
      <c r="L319" s="41" t="n">
        <f aca="false">K319-E319-F319</f>
        <v>0</v>
      </c>
      <c r="M319" s="41" t="n">
        <f aca="false">D319-L319</f>
        <v>0</v>
      </c>
      <c r="N319" s="42" t="n">
        <f aca="false">K319-G319</f>
        <v>0</v>
      </c>
      <c r="O319" s="78"/>
      <c r="P319" s="79"/>
      <c r="Q319" s="16" t="str">
        <f aca="false">IF(K319=0,"",IF(R319=1,"Pagada",IF(C319&lt;$F$12,"Vencida",IF(293=$F$13,"Próxima","Pendiente"))))</f>
        <v/>
      </c>
      <c r="R319" s="62" t="n">
        <f aca="false">IF(AND(K319&gt;0,OR(O319="Sí",O319="Si")),1,0)</f>
        <v>0</v>
      </c>
      <c r="S319" s="62" t="n">
        <f aca="false">IF(AND(K319&gt;0,R319=0),1,0)</f>
        <v>0</v>
      </c>
    </row>
    <row r="320" customFormat="false" ht="15" hidden="false" customHeight="false" outlineLevel="0" collapsed="false">
      <c r="B320" s="71" t="str">
        <f aca="false">IF($F$6="Sí",N($C$11)+293,"")</f>
        <v/>
      </c>
      <c r="C320" s="72" t="str">
        <f aca="false">IF(OR($F$6&lt;&gt;"Sí",D320&lt;=0.5),"",EDATE($C$10,293))</f>
        <v/>
      </c>
      <c r="D320" s="41" t="n">
        <f aca="false">MAX(0,M319)</f>
        <v>0</v>
      </c>
      <c r="E320" s="41" t="n">
        <f aca="false">D320*$F$7</f>
        <v>0</v>
      </c>
      <c r="F320" s="41" t="n">
        <f aca="false">IF(D320&gt;0.5,N($C$15),0)</f>
        <v>0</v>
      </c>
      <c r="G320" s="41" t="n">
        <f aca="false">IF(AND(D320&gt;0.5,N($C$19)&gt;0,N(B320)&lt;=N($C$20)),D320*$F$8,0)</f>
        <v>0</v>
      </c>
      <c r="H320" s="41" t="n">
        <f aca="false">IF(D320&lt;=0.5,0,MIN(IF(N(I320)&gt;0,I320,$F$9),D320+E320+F320))</f>
        <v>0</v>
      </c>
      <c r="I320" s="77"/>
      <c r="J320" s="77"/>
      <c r="K320" s="41" t="n">
        <f aca="false">IF(D320&lt;=0.5,0,MIN(H320+N(J320),D320+E320+F320))</f>
        <v>0</v>
      </c>
      <c r="L320" s="41" t="n">
        <f aca="false">K320-E320-F320</f>
        <v>0</v>
      </c>
      <c r="M320" s="41" t="n">
        <f aca="false">D320-L320</f>
        <v>0</v>
      </c>
      <c r="N320" s="42" t="n">
        <f aca="false">K320-G320</f>
        <v>0</v>
      </c>
      <c r="O320" s="78"/>
      <c r="P320" s="79"/>
      <c r="Q320" s="16" t="str">
        <f aca="false">IF(K320=0,"",IF(R320=1,"Pagada",IF(C320&lt;$F$12,"Vencida",IF(294=$F$13,"Próxima","Pendiente"))))</f>
        <v/>
      </c>
      <c r="R320" s="62" t="n">
        <f aca="false">IF(AND(K320&gt;0,OR(O320="Sí",O320="Si")),1,0)</f>
        <v>0</v>
      </c>
      <c r="S320" s="62" t="n">
        <f aca="false">IF(AND(K320&gt;0,R320=0),1,0)</f>
        <v>0</v>
      </c>
    </row>
    <row r="321" customFormat="false" ht="15" hidden="false" customHeight="false" outlineLevel="0" collapsed="false">
      <c r="B321" s="71" t="str">
        <f aca="false">IF($F$6="Sí",N($C$11)+294,"")</f>
        <v/>
      </c>
      <c r="C321" s="72" t="str">
        <f aca="false">IF(OR($F$6&lt;&gt;"Sí",D321&lt;=0.5),"",EDATE($C$10,294))</f>
        <v/>
      </c>
      <c r="D321" s="41" t="n">
        <f aca="false">MAX(0,M320)</f>
        <v>0</v>
      </c>
      <c r="E321" s="41" t="n">
        <f aca="false">D321*$F$7</f>
        <v>0</v>
      </c>
      <c r="F321" s="41" t="n">
        <f aca="false">IF(D321&gt;0.5,N($C$15),0)</f>
        <v>0</v>
      </c>
      <c r="G321" s="41" t="n">
        <f aca="false">IF(AND(D321&gt;0.5,N($C$19)&gt;0,N(B321)&lt;=N($C$20)),D321*$F$8,0)</f>
        <v>0</v>
      </c>
      <c r="H321" s="41" t="n">
        <f aca="false">IF(D321&lt;=0.5,0,MIN(IF(N(I321)&gt;0,I321,$F$9),D321+E321+F321))</f>
        <v>0</v>
      </c>
      <c r="I321" s="77"/>
      <c r="J321" s="77"/>
      <c r="K321" s="41" t="n">
        <f aca="false">IF(D321&lt;=0.5,0,MIN(H321+N(J321),D321+E321+F321))</f>
        <v>0</v>
      </c>
      <c r="L321" s="41" t="n">
        <f aca="false">K321-E321-F321</f>
        <v>0</v>
      </c>
      <c r="M321" s="41" t="n">
        <f aca="false">D321-L321</f>
        <v>0</v>
      </c>
      <c r="N321" s="42" t="n">
        <f aca="false">K321-G321</f>
        <v>0</v>
      </c>
      <c r="O321" s="78"/>
      <c r="P321" s="79"/>
      <c r="Q321" s="16" t="str">
        <f aca="false">IF(K321=0,"",IF(R321=1,"Pagada",IF(C321&lt;$F$12,"Vencida",IF(295=$F$13,"Próxima","Pendiente"))))</f>
        <v/>
      </c>
      <c r="R321" s="62" t="n">
        <f aca="false">IF(AND(K321&gt;0,OR(O321="Sí",O321="Si")),1,0)</f>
        <v>0</v>
      </c>
      <c r="S321" s="62" t="n">
        <f aca="false">IF(AND(K321&gt;0,R321=0),1,0)</f>
        <v>0</v>
      </c>
    </row>
    <row r="322" customFormat="false" ht="15" hidden="false" customHeight="false" outlineLevel="0" collapsed="false">
      <c r="B322" s="71" t="str">
        <f aca="false">IF($F$6="Sí",N($C$11)+295,"")</f>
        <v/>
      </c>
      <c r="C322" s="72" t="str">
        <f aca="false">IF(OR($F$6&lt;&gt;"Sí",D322&lt;=0.5),"",EDATE($C$10,295))</f>
        <v/>
      </c>
      <c r="D322" s="41" t="n">
        <f aca="false">MAX(0,M321)</f>
        <v>0</v>
      </c>
      <c r="E322" s="41" t="n">
        <f aca="false">D322*$F$7</f>
        <v>0</v>
      </c>
      <c r="F322" s="41" t="n">
        <f aca="false">IF(D322&gt;0.5,N($C$15),0)</f>
        <v>0</v>
      </c>
      <c r="G322" s="41" t="n">
        <f aca="false">IF(AND(D322&gt;0.5,N($C$19)&gt;0,N(B322)&lt;=N($C$20)),D322*$F$8,0)</f>
        <v>0</v>
      </c>
      <c r="H322" s="41" t="n">
        <f aca="false">IF(D322&lt;=0.5,0,MIN(IF(N(I322)&gt;0,I322,$F$9),D322+E322+F322))</f>
        <v>0</v>
      </c>
      <c r="I322" s="77"/>
      <c r="J322" s="77"/>
      <c r="K322" s="41" t="n">
        <f aca="false">IF(D322&lt;=0.5,0,MIN(H322+N(J322),D322+E322+F322))</f>
        <v>0</v>
      </c>
      <c r="L322" s="41" t="n">
        <f aca="false">K322-E322-F322</f>
        <v>0</v>
      </c>
      <c r="M322" s="41" t="n">
        <f aca="false">D322-L322</f>
        <v>0</v>
      </c>
      <c r="N322" s="42" t="n">
        <f aca="false">K322-G322</f>
        <v>0</v>
      </c>
      <c r="O322" s="78"/>
      <c r="P322" s="79"/>
      <c r="Q322" s="16" t="str">
        <f aca="false">IF(K322=0,"",IF(R322=1,"Pagada",IF(C322&lt;$F$12,"Vencida",IF(296=$F$13,"Próxima","Pendiente"))))</f>
        <v/>
      </c>
      <c r="R322" s="62" t="n">
        <f aca="false">IF(AND(K322&gt;0,OR(O322="Sí",O322="Si")),1,0)</f>
        <v>0</v>
      </c>
      <c r="S322" s="62" t="n">
        <f aca="false">IF(AND(K322&gt;0,R322=0),1,0)</f>
        <v>0</v>
      </c>
    </row>
    <row r="323" customFormat="false" ht="15" hidden="false" customHeight="false" outlineLevel="0" collapsed="false">
      <c r="B323" s="71" t="str">
        <f aca="false">IF($F$6="Sí",N($C$11)+296,"")</f>
        <v/>
      </c>
      <c r="C323" s="72" t="str">
        <f aca="false">IF(OR($F$6&lt;&gt;"Sí",D323&lt;=0.5),"",EDATE($C$10,296))</f>
        <v/>
      </c>
      <c r="D323" s="41" t="n">
        <f aca="false">MAX(0,M322)</f>
        <v>0</v>
      </c>
      <c r="E323" s="41" t="n">
        <f aca="false">D323*$F$7</f>
        <v>0</v>
      </c>
      <c r="F323" s="41" t="n">
        <f aca="false">IF(D323&gt;0.5,N($C$15),0)</f>
        <v>0</v>
      </c>
      <c r="G323" s="41" t="n">
        <f aca="false">IF(AND(D323&gt;0.5,N($C$19)&gt;0,N(B323)&lt;=N($C$20)),D323*$F$8,0)</f>
        <v>0</v>
      </c>
      <c r="H323" s="41" t="n">
        <f aca="false">IF(D323&lt;=0.5,0,MIN(IF(N(I323)&gt;0,I323,$F$9),D323+E323+F323))</f>
        <v>0</v>
      </c>
      <c r="I323" s="77"/>
      <c r="J323" s="77"/>
      <c r="K323" s="41" t="n">
        <f aca="false">IF(D323&lt;=0.5,0,MIN(H323+N(J323),D323+E323+F323))</f>
        <v>0</v>
      </c>
      <c r="L323" s="41" t="n">
        <f aca="false">K323-E323-F323</f>
        <v>0</v>
      </c>
      <c r="M323" s="41" t="n">
        <f aca="false">D323-L323</f>
        <v>0</v>
      </c>
      <c r="N323" s="42" t="n">
        <f aca="false">K323-G323</f>
        <v>0</v>
      </c>
      <c r="O323" s="78"/>
      <c r="P323" s="79"/>
      <c r="Q323" s="16" t="str">
        <f aca="false">IF(K323=0,"",IF(R323=1,"Pagada",IF(C323&lt;$F$12,"Vencida",IF(297=$F$13,"Próxima","Pendiente"))))</f>
        <v/>
      </c>
      <c r="R323" s="62" t="n">
        <f aca="false">IF(AND(K323&gt;0,OR(O323="Sí",O323="Si")),1,0)</f>
        <v>0</v>
      </c>
      <c r="S323" s="62" t="n">
        <f aca="false">IF(AND(K323&gt;0,R323=0),1,0)</f>
        <v>0</v>
      </c>
    </row>
    <row r="324" customFormat="false" ht="15" hidden="false" customHeight="false" outlineLevel="0" collapsed="false">
      <c r="B324" s="71" t="str">
        <f aca="false">IF($F$6="Sí",N($C$11)+297,"")</f>
        <v/>
      </c>
      <c r="C324" s="72" t="str">
        <f aca="false">IF(OR($F$6&lt;&gt;"Sí",D324&lt;=0.5),"",EDATE($C$10,297))</f>
        <v/>
      </c>
      <c r="D324" s="41" t="n">
        <f aca="false">MAX(0,M323)</f>
        <v>0</v>
      </c>
      <c r="E324" s="41" t="n">
        <f aca="false">D324*$F$7</f>
        <v>0</v>
      </c>
      <c r="F324" s="41" t="n">
        <f aca="false">IF(D324&gt;0.5,N($C$15),0)</f>
        <v>0</v>
      </c>
      <c r="G324" s="41" t="n">
        <f aca="false">IF(AND(D324&gt;0.5,N($C$19)&gt;0,N(B324)&lt;=N($C$20)),D324*$F$8,0)</f>
        <v>0</v>
      </c>
      <c r="H324" s="41" t="n">
        <f aca="false">IF(D324&lt;=0.5,0,MIN(IF(N(I324)&gt;0,I324,$F$9),D324+E324+F324))</f>
        <v>0</v>
      </c>
      <c r="I324" s="77"/>
      <c r="J324" s="77"/>
      <c r="K324" s="41" t="n">
        <f aca="false">IF(D324&lt;=0.5,0,MIN(H324+N(J324),D324+E324+F324))</f>
        <v>0</v>
      </c>
      <c r="L324" s="41" t="n">
        <f aca="false">K324-E324-F324</f>
        <v>0</v>
      </c>
      <c r="M324" s="41" t="n">
        <f aca="false">D324-L324</f>
        <v>0</v>
      </c>
      <c r="N324" s="42" t="n">
        <f aca="false">K324-G324</f>
        <v>0</v>
      </c>
      <c r="O324" s="78"/>
      <c r="P324" s="79"/>
      <c r="Q324" s="16" t="str">
        <f aca="false">IF(K324=0,"",IF(R324=1,"Pagada",IF(C324&lt;$F$12,"Vencida",IF(298=$F$13,"Próxima","Pendiente"))))</f>
        <v/>
      </c>
      <c r="R324" s="62" t="n">
        <f aca="false">IF(AND(K324&gt;0,OR(O324="Sí",O324="Si")),1,0)</f>
        <v>0</v>
      </c>
      <c r="S324" s="62" t="n">
        <f aca="false">IF(AND(K324&gt;0,R324=0),1,0)</f>
        <v>0</v>
      </c>
    </row>
    <row r="325" customFormat="false" ht="15" hidden="false" customHeight="false" outlineLevel="0" collapsed="false">
      <c r="B325" s="71" t="str">
        <f aca="false">IF($F$6="Sí",N($C$11)+298,"")</f>
        <v/>
      </c>
      <c r="C325" s="72" t="str">
        <f aca="false">IF(OR($F$6&lt;&gt;"Sí",D325&lt;=0.5),"",EDATE($C$10,298))</f>
        <v/>
      </c>
      <c r="D325" s="41" t="n">
        <f aca="false">MAX(0,M324)</f>
        <v>0</v>
      </c>
      <c r="E325" s="41" t="n">
        <f aca="false">D325*$F$7</f>
        <v>0</v>
      </c>
      <c r="F325" s="41" t="n">
        <f aca="false">IF(D325&gt;0.5,N($C$15),0)</f>
        <v>0</v>
      </c>
      <c r="G325" s="41" t="n">
        <f aca="false">IF(AND(D325&gt;0.5,N($C$19)&gt;0,N(B325)&lt;=N($C$20)),D325*$F$8,0)</f>
        <v>0</v>
      </c>
      <c r="H325" s="41" t="n">
        <f aca="false">IF(D325&lt;=0.5,0,MIN(IF(N(I325)&gt;0,I325,$F$9),D325+E325+F325))</f>
        <v>0</v>
      </c>
      <c r="I325" s="77"/>
      <c r="J325" s="77"/>
      <c r="K325" s="41" t="n">
        <f aca="false">IF(D325&lt;=0.5,0,MIN(H325+N(J325),D325+E325+F325))</f>
        <v>0</v>
      </c>
      <c r="L325" s="41" t="n">
        <f aca="false">K325-E325-F325</f>
        <v>0</v>
      </c>
      <c r="M325" s="41" t="n">
        <f aca="false">D325-L325</f>
        <v>0</v>
      </c>
      <c r="N325" s="42" t="n">
        <f aca="false">K325-G325</f>
        <v>0</v>
      </c>
      <c r="O325" s="78"/>
      <c r="P325" s="79"/>
      <c r="Q325" s="16" t="str">
        <f aca="false">IF(K325=0,"",IF(R325=1,"Pagada",IF(C325&lt;$F$12,"Vencida",IF(299=$F$13,"Próxima","Pendiente"))))</f>
        <v/>
      </c>
      <c r="R325" s="62" t="n">
        <f aca="false">IF(AND(K325&gt;0,OR(O325="Sí",O325="Si")),1,0)</f>
        <v>0</v>
      </c>
      <c r="S325" s="62" t="n">
        <f aca="false">IF(AND(K325&gt;0,R325=0),1,0)</f>
        <v>0</v>
      </c>
    </row>
    <row r="326" customFormat="false" ht="15" hidden="false" customHeight="false" outlineLevel="0" collapsed="false">
      <c r="B326" s="71" t="str">
        <f aca="false">IF($F$6="Sí",N($C$11)+299,"")</f>
        <v/>
      </c>
      <c r="C326" s="72" t="str">
        <f aca="false">IF(OR($F$6&lt;&gt;"Sí",D326&lt;=0.5),"",EDATE($C$10,299))</f>
        <v/>
      </c>
      <c r="D326" s="41" t="n">
        <f aca="false">MAX(0,M325)</f>
        <v>0</v>
      </c>
      <c r="E326" s="41" t="n">
        <f aca="false">D326*$F$7</f>
        <v>0</v>
      </c>
      <c r="F326" s="41" t="n">
        <f aca="false">IF(D326&gt;0.5,N($C$15),0)</f>
        <v>0</v>
      </c>
      <c r="G326" s="41" t="n">
        <f aca="false">IF(AND(D326&gt;0.5,N($C$19)&gt;0,N(B326)&lt;=N($C$20)),D326*$F$8,0)</f>
        <v>0</v>
      </c>
      <c r="H326" s="41" t="n">
        <f aca="false">IF(D326&lt;=0.5,0,MIN(IF(N(I326)&gt;0,I326,$F$9),D326+E326+F326))</f>
        <v>0</v>
      </c>
      <c r="I326" s="77"/>
      <c r="J326" s="77"/>
      <c r="K326" s="41" t="n">
        <f aca="false">IF(D326&lt;=0.5,0,MIN(H326+N(J326),D326+E326+F326))</f>
        <v>0</v>
      </c>
      <c r="L326" s="41" t="n">
        <f aca="false">K326-E326-F326</f>
        <v>0</v>
      </c>
      <c r="M326" s="41" t="n">
        <f aca="false">D326-L326</f>
        <v>0</v>
      </c>
      <c r="N326" s="42" t="n">
        <f aca="false">K326-G326</f>
        <v>0</v>
      </c>
      <c r="O326" s="78"/>
      <c r="P326" s="79"/>
      <c r="Q326" s="16" t="str">
        <f aca="false">IF(K326=0,"",IF(R326=1,"Pagada",IF(C326&lt;$F$12,"Vencida",IF(300=$F$13,"Próxima","Pendiente"))))</f>
        <v/>
      </c>
      <c r="R326" s="62" t="n">
        <f aca="false">IF(AND(K326&gt;0,OR(O326="Sí",O326="Si")),1,0)</f>
        <v>0</v>
      </c>
      <c r="S326" s="62" t="n">
        <f aca="false">IF(AND(K326&gt;0,R326=0),1,0)</f>
        <v>0</v>
      </c>
    </row>
    <row r="327" customFormat="false" ht="15" hidden="false" customHeight="false" outlineLevel="0" collapsed="false">
      <c r="B327" s="71" t="str">
        <f aca="false">IF($F$6="Sí",N($C$11)+300,"")</f>
        <v/>
      </c>
      <c r="C327" s="72" t="str">
        <f aca="false">IF(OR($F$6&lt;&gt;"Sí",D327&lt;=0.5),"",EDATE($C$10,300))</f>
        <v/>
      </c>
      <c r="D327" s="41" t="n">
        <f aca="false">MAX(0,M326)</f>
        <v>0</v>
      </c>
      <c r="E327" s="41" t="n">
        <f aca="false">D327*$F$7</f>
        <v>0</v>
      </c>
      <c r="F327" s="41" t="n">
        <f aca="false">IF(D327&gt;0.5,N($C$15),0)</f>
        <v>0</v>
      </c>
      <c r="G327" s="41" t="n">
        <f aca="false">IF(AND(D327&gt;0.5,N($C$19)&gt;0,N(B327)&lt;=N($C$20)),D327*$F$8,0)</f>
        <v>0</v>
      </c>
      <c r="H327" s="41" t="n">
        <f aca="false">IF(D327&lt;=0.5,0,MIN(IF(N(I327)&gt;0,I327,$F$9),D327+E327+F327))</f>
        <v>0</v>
      </c>
      <c r="I327" s="77"/>
      <c r="J327" s="77"/>
      <c r="K327" s="41" t="n">
        <f aca="false">IF(D327&lt;=0.5,0,MIN(H327+N(J327),D327+E327+F327))</f>
        <v>0</v>
      </c>
      <c r="L327" s="41" t="n">
        <f aca="false">K327-E327-F327</f>
        <v>0</v>
      </c>
      <c r="M327" s="41" t="n">
        <f aca="false">D327-L327</f>
        <v>0</v>
      </c>
      <c r="N327" s="42" t="n">
        <f aca="false">K327-G327</f>
        <v>0</v>
      </c>
      <c r="O327" s="78"/>
      <c r="P327" s="79"/>
      <c r="Q327" s="16" t="str">
        <f aca="false">IF(K327=0,"",IF(R327=1,"Pagada",IF(C327&lt;$F$12,"Vencida",IF(301=$F$13,"Próxima","Pendiente"))))</f>
        <v/>
      </c>
      <c r="R327" s="62" t="n">
        <f aca="false">IF(AND(K327&gt;0,OR(O327="Sí",O327="Si")),1,0)</f>
        <v>0</v>
      </c>
      <c r="S327" s="62" t="n">
        <f aca="false">IF(AND(K327&gt;0,R327=0),1,0)</f>
        <v>0</v>
      </c>
    </row>
    <row r="328" customFormat="false" ht="15" hidden="false" customHeight="false" outlineLevel="0" collapsed="false">
      <c r="B328" s="71" t="str">
        <f aca="false">IF($F$6="Sí",N($C$11)+301,"")</f>
        <v/>
      </c>
      <c r="C328" s="72" t="str">
        <f aca="false">IF(OR($F$6&lt;&gt;"Sí",D328&lt;=0.5),"",EDATE($C$10,301))</f>
        <v/>
      </c>
      <c r="D328" s="41" t="n">
        <f aca="false">MAX(0,M327)</f>
        <v>0</v>
      </c>
      <c r="E328" s="41" t="n">
        <f aca="false">D328*$F$7</f>
        <v>0</v>
      </c>
      <c r="F328" s="41" t="n">
        <f aca="false">IF(D328&gt;0.5,N($C$15),0)</f>
        <v>0</v>
      </c>
      <c r="G328" s="41" t="n">
        <f aca="false">IF(AND(D328&gt;0.5,N($C$19)&gt;0,N(B328)&lt;=N($C$20)),D328*$F$8,0)</f>
        <v>0</v>
      </c>
      <c r="H328" s="41" t="n">
        <f aca="false">IF(D328&lt;=0.5,0,MIN(IF(N(I328)&gt;0,I328,$F$9),D328+E328+F328))</f>
        <v>0</v>
      </c>
      <c r="I328" s="77"/>
      <c r="J328" s="77"/>
      <c r="K328" s="41" t="n">
        <f aca="false">IF(D328&lt;=0.5,0,MIN(H328+N(J328),D328+E328+F328))</f>
        <v>0</v>
      </c>
      <c r="L328" s="41" t="n">
        <f aca="false">K328-E328-F328</f>
        <v>0</v>
      </c>
      <c r="M328" s="41" t="n">
        <f aca="false">D328-L328</f>
        <v>0</v>
      </c>
      <c r="N328" s="42" t="n">
        <f aca="false">K328-G328</f>
        <v>0</v>
      </c>
      <c r="O328" s="78"/>
      <c r="P328" s="79"/>
      <c r="Q328" s="16" t="str">
        <f aca="false">IF(K328=0,"",IF(R328=1,"Pagada",IF(C328&lt;$F$12,"Vencida",IF(302=$F$13,"Próxima","Pendiente"))))</f>
        <v/>
      </c>
      <c r="R328" s="62" t="n">
        <f aca="false">IF(AND(K328&gt;0,OR(O328="Sí",O328="Si")),1,0)</f>
        <v>0</v>
      </c>
      <c r="S328" s="62" t="n">
        <f aca="false">IF(AND(K328&gt;0,R328=0),1,0)</f>
        <v>0</v>
      </c>
    </row>
    <row r="329" customFormat="false" ht="15" hidden="false" customHeight="false" outlineLevel="0" collapsed="false">
      <c r="B329" s="71" t="str">
        <f aca="false">IF($F$6="Sí",N($C$11)+302,"")</f>
        <v/>
      </c>
      <c r="C329" s="72" t="str">
        <f aca="false">IF(OR($F$6&lt;&gt;"Sí",D329&lt;=0.5),"",EDATE($C$10,302))</f>
        <v/>
      </c>
      <c r="D329" s="41" t="n">
        <f aca="false">MAX(0,M328)</f>
        <v>0</v>
      </c>
      <c r="E329" s="41" t="n">
        <f aca="false">D329*$F$7</f>
        <v>0</v>
      </c>
      <c r="F329" s="41" t="n">
        <f aca="false">IF(D329&gt;0.5,N($C$15),0)</f>
        <v>0</v>
      </c>
      <c r="G329" s="41" t="n">
        <f aca="false">IF(AND(D329&gt;0.5,N($C$19)&gt;0,N(B329)&lt;=N($C$20)),D329*$F$8,0)</f>
        <v>0</v>
      </c>
      <c r="H329" s="41" t="n">
        <f aca="false">IF(D329&lt;=0.5,0,MIN(IF(N(I329)&gt;0,I329,$F$9),D329+E329+F329))</f>
        <v>0</v>
      </c>
      <c r="I329" s="77"/>
      <c r="J329" s="77"/>
      <c r="K329" s="41" t="n">
        <f aca="false">IF(D329&lt;=0.5,0,MIN(H329+N(J329),D329+E329+F329))</f>
        <v>0</v>
      </c>
      <c r="L329" s="41" t="n">
        <f aca="false">K329-E329-F329</f>
        <v>0</v>
      </c>
      <c r="M329" s="41" t="n">
        <f aca="false">D329-L329</f>
        <v>0</v>
      </c>
      <c r="N329" s="42" t="n">
        <f aca="false">K329-G329</f>
        <v>0</v>
      </c>
      <c r="O329" s="78"/>
      <c r="P329" s="79"/>
      <c r="Q329" s="16" t="str">
        <f aca="false">IF(K329=0,"",IF(R329=1,"Pagada",IF(C329&lt;$F$12,"Vencida",IF(303=$F$13,"Próxima","Pendiente"))))</f>
        <v/>
      </c>
      <c r="R329" s="62" t="n">
        <f aca="false">IF(AND(K329&gt;0,OR(O329="Sí",O329="Si")),1,0)</f>
        <v>0</v>
      </c>
      <c r="S329" s="62" t="n">
        <f aca="false">IF(AND(K329&gt;0,R329=0),1,0)</f>
        <v>0</v>
      </c>
    </row>
    <row r="330" customFormat="false" ht="15" hidden="false" customHeight="false" outlineLevel="0" collapsed="false">
      <c r="B330" s="71" t="str">
        <f aca="false">IF($F$6="Sí",N($C$11)+303,"")</f>
        <v/>
      </c>
      <c r="C330" s="72" t="str">
        <f aca="false">IF(OR($F$6&lt;&gt;"Sí",D330&lt;=0.5),"",EDATE($C$10,303))</f>
        <v/>
      </c>
      <c r="D330" s="41" t="n">
        <f aca="false">MAX(0,M329)</f>
        <v>0</v>
      </c>
      <c r="E330" s="41" t="n">
        <f aca="false">D330*$F$7</f>
        <v>0</v>
      </c>
      <c r="F330" s="41" t="n">
        <f aca="false">IF(D330&gt;0.5,N($C$15),0)</f>
        <v>0</v>
      </c>
      <c r="G330" s="41" t="n">
        <f aca="false">IF(AND(D330&gt;0.5,N($C$19)&gt;0,N(B330)&lt;=N($C$20)),D330*$F$8,0)</f>
        <v>0</v>
      </c>
      <c r="H330" s="41" t="n">
        <f aca="false">IF(D330&lt;=0.5,0,MIN(IF(N(I330)&gt;0,I330,$F$9),D330+E330+F330))</f>
        <v>0</v>
      </c>
      <c r="I330" s="77"/>
      <c r="J330" s="77"/>
      <c r="K330" s="41" t="n">
        <f aca="false">IF(D330&lt;=0.5,0,MIN(H330+N(J330),D330+E330+F330))</f>
        <v>0</v>
      </c>
      <c r="L330" s="41" t="n">
        <f aca="false">K330-E330-F330</f>
        <v>0</v>
      </c>
      <c r="M330" s="41" t="n">
        <f aca="false">D330-L330</f>
        <v>0</v>
      </c>
      <c r="N330" s="42" t="n">
        <f aca="false">K330-G330</f>
        <v>0</v>
      </c>
      <c r="O330" s="78"/>
      <c r="P330" s="79"/>
      <c r="Q330" s="16" t="str">
        <f aca="false">IF(K330=0,"",IF(R330=1,"Pagada",IF(C330&lt;$F$12,"Vencida",IF(304=$F$13,"Próxima","Pendiente"))))</f>
        <v/>
      </c>
      <c r="R330" s="62" t="n">
        <f aca="false">IF(AND(K330&gt;0,OR(O330="Sí",O330="Si")),1,0)</f>
        <v>0</v>
      </c>
      <c r="S330" s="62" t="n">
        <f aca="false">IF(AND(K330&gt;0,R330=0),1,0)</f>
        <v>0</v>
      </c>
    </row>
    <row r="331" customFormat="false" ht="15" hidden="false" customHeight="false" outlineLevel="0" collapsed="false">
      <c r="B331" s="71" t="str">
        <f aca="false">IF($F$6="Sí",N($C$11)+304,"")</f>
        <v/>
      </c>
      <c r="C331" s="72" t="str">
        <f aca="false">IF(OR($F$6&lt;&gt;"Sí",D331&lt;=0.5),"",EDATE($C$10,304))</f>
        <v/>
      </c>
      <c r="D331" s="41" t="n">
        <f aca="false">MAX(0,M330)</f>
        <v>0</v>
      </c>
      <c r="E331" s="41" t="n">
        <f aca="false">D331*$F$7</f>
        <v>0</v>
      </c>
      <c r="F331" s="41" t="n">
        <f aca="false">IF(D331&gt;0.5,N($C$15),0)</f>
        <v>0</v>
      </c>
      <c r="G331" s="41" t="n">
        <f aca="false">IF(AND(D331&gt;0.5,N($C$19)&gt;0,N(B331)&lt;=N($C$20)),D331*$F$8,0)</f>
        <v>0</v>
      </c>
      <c r="H331" s="41" t="n">
        <f aca="false">IF(D331&lt;=0.5,0,MIN(IF(N(I331)&gt;0,I331,$F$9),D331+E331+F331))</f>
        <v>0</v>
      </c>
      <c r="I331" s="77"/>
      <c r="J331" s="77"/>
      <c r="K331" s="41" t="n">
        <f aca="false">IF(D331&lt;=0.5,0,MIN(H331+N(J331),D331+E331+F331))</f>
        <v>0</v>
      </c>
      <c r="L331" s="41" t="n">
        <f aca="false">K331-E331-F331</f>
        <v>0</v>
      </c>
      <c r="M331" s="41" t="n">
        <f aca="false">D331-L331</f>
        <v>0</v>
      </c>
      <c r="N331" s="42" t="n">
        <f aca="false">K331-G331</f>
        <v>0</v>
      </c>
      <c r="O331" s="78"/>
      <c r="P331" s="79"/>
      <c r="Q331" s="16" t="str">
        <f aca="false">IF(K331=0,"",IF(R331=1,"Pagada",IF(C331&lt;$F$12,"Vencida",IF(305=$F$13,"Próxima","Pendiente"))))</f>
        <v/>
      </c>
      <c r="R331" s="62" t="n">
        <f aca="false">IF(AND(K331&gt;0,OR(O331="Sí",O331="Si")),1,0)</f>
        <v>0</v>
      </c>
      <c r="S331" s="62" t="n">
        <f aca="false">IF(AND(K331&gt;0,R331=0),1,0)</f>
        <v>0</v>
      </c>
    </row>
    <row r="332" customFormat="false" ht="15" hidden="false" customHeight="false" outlineLevel="0" collapsed="false">
      <c r="B332" s="71" t="str">
        <f aca="false">IF($F$6="Sí",N($C$11)+305,"")</f>
        <v/>
      </c>
      <c r="C332" s="72" t="str">
        <f aca="false">IF(OR($F$6&lt;&gt;"Sí",D332&lt;=0.5),"",EDATE($C$10,305))</f>
        <v/>
      </c>
      <c r="D332" s="41" t="n">
        <f aca="false">MAX(0,M331)</f>
        <v>0</v>
      </c>
      <c r="E332" s="41" t="n">
        <f aca="false">D332*$F$7</f>
        <v>0</v>
      </c>
      <c r="F332" s="41" t="n">
        <f aca="false">IF(D332&gt;0.5,N($C$15),0)</f>
        <v>0</v>
      </c>
      <c r="G332" s="41" t="n">
        <f aca="false">IF(AND(D332&gt;0.5,N($C$19)&gt;0,N(B332)&lt;=N($C$20)),D332*$F$8,0)</f>
        <v>0</v>
      </c>
      <c r="H332" s="41" t="n">
        <f aca="false">IF(D332&lt;=0.5,0,MIN(IF(N(I332)&gt;0,I332,$F$9),D332+E332+F332))</f>
        <v>0</v>
      </c>
      <c r="I332" s="77"/>
      <c r="J332" s="77"/>
      <c r="K332" s="41" t="n">
        <f aca="false">IF(D332&lt;=0.5,0,MIN(H332+N(J332),D332+E332+F332))</f>
        <v>0</v>
      </c>
      <c r="L332" s="41" t="n">
        <f aca="false">K332-E332-F332</f>
        <v>0</v>
      </c>
      <c r="M332" s="41" t="n">
        <f aca="false">D332-L332</f>
        <v>0</v>
      </c>
      <c r="N332" s="42" t="n">
        <f aca="false">K332-G332</f>
        <v>0</v>
      </c>
      <c r="O332" s="78"/>
      <c r="P332" s="79"/>
      <c r="Q332" s="16" t="str">
        <f aca="false">IF(K332=0,"",IF(R332=1,"Pagada",IF(C332&lt;$F$12,"Vencida",IF(306=$F$13,"Próxima","Pendiente"))))</f>
        <v/>
      </c>
      <c r="R332" s="62" t="n">
        <f aca="false">IF(AND(K332&gt;0,OR(O332="Sí",O332="Si")),1,0)</f>
        <v>0</v>
      </c>
      <c r="S332" s="62" t="n">
        <f aca="false">IF(AND(K332&gt;0,R332=0),1,0)</f>
        <v>0</v>
      </c>
    </row>
    <row r="333" customFormat="false" ht="15" hidden="false" customHeight="false" outlineLevel="0" collapsed="false">
      <c r="B333" s="71" t="str">
        <f aca="false">IF($F$6="Sí",N($C$11)+306,"")</f>
        <v/>
      </c>
      <c r="C333" s="72" t="str">
        <f aca="false">IF(OR($F$6&lt;&gt;"Sí",D333&lt;=0.5),"",EDATE($C$10,306))</f>
        <v/>
      </c>
      <c r="D333" s="41" t="n">
        <f aca="false">MAX(0,M332)</f>
        <v>0</v>
      </c>
      <c r="E333" s="41" t="n">
        <f aca="false">D333*$F$7</f>
        <v>0</v>
      </c>
      <c r="F333" s="41" t="n">
        <f aca="false">IF(D333&gt;0.5,N($C$15),0)</f>
        <v>0</v>
      </c>
      <c r="G333" s="41" t="n">
        <f aca="false">IF(AND(D333&gt;0.5,N($C$19)&gt;0,N(B333)&lt;=N($C$20)),D333*$F$8,0)</f>
        <v>0</v>
      </c>
      <c r="H333" s="41" t="n">
        <f aca="false">IF(D333&lt;=0.5,0,MIN(IF(N(I333)&gt;0,I333,$F$9),D333+E333+F333))</f>
        <v>0</v>
      </c>
      <c r="I333" s="77"/>
      <c r="J333" s="77"/>
      <c r="K333" s="41" t="n">
        <f aca="false">IF(D333&lt;=0.5,0,MIN(H333+N(J333),D333+E333+F333))</f>
        <v>0</v>
      </c>
      <c r="L333" s="41" t="n">
        <f aca="false">K333-E333-F333</f>
        <v>0</v>
      </c>
      <c r="M333" s="41" t="n">
        <f aca="false">D333-L333</f>
        <v>0</v>
      </c>
      <c r="N333" s="42" t="n">
        <f aca="false">K333-G333</f>
        <v>0</v>
      </c>
      <c r="O333" s="78"/>
      <c r="P333" s="79"/>
      <c r="Q333" s="16" t="str">
        <f aca="false">IF(K333=0,"",IF(R333=1,"Pagada",IF(C333&lt;$F$12,"Vencida",IF(307=$F$13,"Próxima","Pendiente"))))</f>
        <v/>
      </c>
      <c r="R333" s="62" t="n">
        <f aca="false">IF(AND(K333&gt;0,OR(O333="Sí",O333="Si")),1,0)</f>
        <v>0</v>
      </c>
      <c r="S333" s="62" t="n">
        <f aca="false">IF(AND(K333&gt;0,R333=0),1,0)</f>
        <v>0</v>
      </c>
    </row>
    <row r="334" customFormat="false" ht="15" hidden="false" customHeight="false" outlineLevel="0" collapsed="false">
      <c r="B334" s="71" t="str">
        <f aca="false">IF($F$6="Sí",N($C$11)+307,"")</f>
        <v/>
      </c>
      <c r="C334" s="72" t="str">
        <f aca="false">IF(OR($F$6&lt;&gt;"Sí",D334&lt;=0.5),"",EDATE($C$10,307))</f>
        <v/>
      </c>
      <c r="D334" s="41" t="n">
        <f aca="false">MAX(0,M333)</f>
        <v>0</v>
      </c>
      <c r="E334" s="41" t="n">
        <f aca="false">D334*$F$7</f>
        <v>0</v>
      </c>
      <c r="F334" s="41" t="n">
        <f aca="false">IF(D334&gt;0.5,N($C$15),0)</f>
        <v>0</v>
      </c>
      <c r="G334" s="41" t="n">
        <f aca="false">IF(AND(D334&gt;0.5,N($C$19)&gt;0,N(B334)&lt;=N($C$20)),D334*$F$8,0)</f>
        <v>0</v>
      </c>
      <c r="H334" s="41" t="n">
        <f aca="false">IF(D334&lt;=0.5,0,MIN(IF(N(I334)&gt;0,I334,$F$9),D334+E334+F334))</f>
        <v>0</v>
      </c>
      <c r="I334" s="77"/>
      <c r="J334" s="77"/>
      <c r="K334" s="41" t="n">
        <f aca="false">IF(D334&lt;=0.5,0,MIN(H334+N(J334),D334+E334+F334))</f>
        <v>0</v>
      </c>
      <c r="L334" s="41" t="n">
        <f aca="false">K334-E334-F334</f>
        <v>0</v>
      </c>
      <c r="M334" s="41" t="n">
        <f aca="false">D334-L334</f>
        <v>0</v>
      </c>
      <c r="N334" s="42" t="n">
        <f aca="false">K334-G334</f>
        <v>0</v>
      </c>
      <c r="O334" s="78"/>
      <c r="P334" s="79"/>
      <c r="Q334" s="16" t="str">
        <f aca="false">IF(K334=0,"",IF(R334=1,"Pagada",IF(C334&lt;$F$12,"Vencida",IF(308=$F$13,"Próxima","Pendiente"))))</f>
        <v/>
      </c>
      <c r="R334" s="62" t="n">
        <f aca="false">IF(AND(K334&gt;0,OR(O334="Sí",O334="Si")),1,0)</f>
        <v>0</v>
      </c>
      <c r="S334" s="62" t="n">
        <f aca="false">IF(AND(K334&gt;0,R334=0),1,0)</f>
        <v>0</v>
      </c>
    </row>
    <row r="335" customFormat="false" ht="15" hidden="false" customHeight="false" outlineLevel="0" collapsed="false">
      <c r="B335" s="71" t="str">
        <f aca="false">IF($F$6="Sí",N($C$11)+308,"")</f>
        <v/>
      </c>
      <c r="C335" s="72" t="str">
        <f aca="false">IF(OR($F$6&lt;&gt;"Sí",D335&lt;=0.5),"",EDATE($C$10,308))</f>
        <v/>
      </c>
      <c r="D335" s="41" t="n">
        <f aca="false">MAX(0,M334)</f>
        <v>0</v>
      </c>
      <c r="E335" s="41" t="n">
        <f aca="false">D335*$F$7</f>
        <v>0</v>
      </c>
      <c r="F335" s="41" t="n">
        <f aca="false">IF(D335&gt;0.5,N($C$15),0)</f>
        <v>0</v>
      </c>
      <c r="G335" s="41" t="n">
        <f aca="false">IF(AND(D335&gt;0.5,N($C$19)&gt;0,N(B335)&lt;=N($C$20)),D335*$F$8,0)</f>
        <v>0</v>
      </c>
      <c r="H335" s="41" t="n">
        <f aca="false">IF(D335&lt;=0.5,0,MIN(IF(N(I335)&gt;0,I335,$F$9),D335+E335+F335))</f>
        <v>0</v>
      </c>
      <c r="I335" s="77"/>
      <c r="J335" s="77"/>
      <c r="K335" s="41" t="n">
        <f aca="false">IF(D335&lt;=0.5,0,MIN(H335+N(J335),D335+E335+F335))</f>
        <v>0</v>
      </c>
      <c r="L335" s="41" t="n">
        <f aca="false">K335-E335-F335</f>
        <v>0</v>
      </c>
      <c r="M335" s="41" t="n">
        <f aca="false">D335-L335</f>
        <v>0</v>
      </c>
      <c r="N335" s="42" t="n">
        <f aca="false">K335-G335</f>
        <v>0</v>
      </c>
      <c r="O335" s="78"/>
      <c r="P335" s="79"/>
      <c r="Q335" s="16" t="str">
        <f aca="false">IF(K335=0,"",IF(R335=1,"Pagada",IF(C335&lt;$F$12,"Vencida",IF(309=$F$13,"Próxima","Pendiente"))))</f>
        <v/>
      </c>
      <c r="R335" s="62" t="n">
        <f aca="false">IF(AND(K335&gt;0,OR(O335="Sí",O335="Si")),1,0)</f>
        <v>0</v>
      </c>
      <c r="S335" s="62" t="n">
        <f aca="false">IF(AND(K335&gt;0,R335=0),1,0)</f>
        <v>0</v>
      </c>
    </row>
    <row r="336" customFormat="false" ht="15" hidden="false" customHeight="false" outlineLevel="0" collapsed="false">
      <c r="B336" s="71" t="str">
        <f aca="false">IF($F$6="Sí",N($C$11)+309,"")</f>
        <v/>
      </c>
      <c r="C336" s="72" t="str">
        <f aca="false">IF(OR($F$6&lt;&gt;"Sí",D336&lt;=0.5),"",EDATE($C$10,309))</f>
        <v/>
      </c>
      <c r="D336" s="41" t="n">
        <f aca="false">MAX(0,M335)</f>
        <v>0</v>
      </c>
      <c r="E336" s="41" t="n">
        <f aca="false">D336*$F$7</f>
        <v>0</v>
      </c>
      <c r="F336" s="41" t="n">
        <f aca="false">IF(D336&gt;0.5,N($C$15),0)</f>
        <v>0</v>
      </c>
      <c r="G336" s="41" t="n">
        <f aca="false">IF(AND(D336&gt;0.5,N($C$19)&gt;0,N(B336)&lt;=N($C$20)),D336*$F$8,0)</f>
        <v>0</v>
      </c>
      <c r="H336" s="41" t="n">
        <f aca="false">IF(D336&lt;=0.5,0,MIN(IF(N(I336)&gt;0,I336,$F$9),D336+E336+F336))</f>
        <v>0</v>
      </c>
      <c r="I336" s="77"/>
      <c r="J336" s="77"/>
      <c r="K336" s="41" t="n">
        <f aca="false">IF(D336&lt;=0.5,0,MIN(H336+N(J336),D336+E336+F336))</f>
        <v>0</v>
      </c>
      <c r="L336" s="41" t="n">
        <f aca="false">K336-E336-F336</f>
        <v>0</v>
      </c>
      <c r="M336" s="41" t="n">
        <f aca="false">D336-L336</f>
        <v>0</v>
      </c>
      <c r="N336" s="42" t="n">
        <f aca="false">K336-G336</f>
        <v>0</v>
      </c>
      <c r="O336" s="78"/>
      <c r="P336" s="79"/>
      <c r="Q336" s="16" t="str">
        <f aca="false">IF(K336=0,"",IF(R336=1,"Pagada",IF(C336&lt;$F$12,"Vencida",IF(310=$F$13,"Próxima","Pendiente"))))</f>
        <v/>
      </c>
      <c r="R336" s="62" t="n">
        <f aca="false">IF(AND(K336&gt;0,OR(O336="Sí",O336="Si")),1,0)</f>
        <v>0</v>
      </c>
      <c r="S336" s="62" t="n">
        <f aca="false">IF(AND(K336&gt;0,R336=0),1,0)</f>
        <v>0</v>
      </c>
    </row>
    <row r="337" customFormat="false" ht="15" hidden="false" customHeight="false" outlineLevel="0" collapsed="false">
      <c r="B337" s="71" t="str">
        <f aca="false">IF($F$6="Sí",N($C$11)+310,"")</f>
        <v/>
      </c>
      <c r="C337" s="72" t="str">
        <f aca="false">IF(OR($F$6&lt;&gt;"Sí",D337&lt;=0.5),"",EDATE($C$10,310))</f>
        <v/>
      </c>
      <c r="D337" s="41" t="n">
        <f aca="false">MAX(0,M336)</f>
        <v>0</v>
      </c>
      <c r="E337" s="41" t="n">
        <f aca="false">D337*$F$7</f>
        <v>0</v>
      </c>
      <c r="F337" s="41" t="n">
        <f aca="false">IF(D337&gt;0.5,N($C$15),0)</f>
        <v>0</v>
      </c>
      <c r="G337" s="41" t="n">
        <f aca="false">IF(AND(D337&gt;0.5,N($C$19)&gt;0,N(B337)&lt;=N($C$20)),D337*$F$8,0)</f>
        <v>0</v>
      </c>
      <c r="H337" s="41" t="n">
        <f aca="false">IF(D337&lt;=0.5,0,MIN(IF(N(I337)&gt;0,I337,$F$9),D337+E337+F337))</f>
        <v>0</v>
      </c>
      <c r="I337" s="77"/>
      <c r="J337" s="77"/>
      <c r="K337" s="41" t="n">
        <f aca="false">IF(D337&lt;=0.5,0,MIN(H337+N(J337),D337+E337+F337))</f>
        <v>0</v>
      </c>
      <c r="L337" s="41" t="n">
        <f aca="false">K337-E337-F337</f>
        <v>0</v>
      </c>
      <c r="M337" s="41" t="n">
        <f aca="false">D337-L337</f>
        <v>0</v>
      </c>
      <c r="N337" s="42" t="n">
        <f aca="false">K337-G337</f>
        <v>0</v>
      </c>
      <c r="O337" s="78"/>
      <c r="P337" s="79"/>
      <c r="Q337" s="16" t="str">
        <f aca="false">IF(K337=0,"",IF(R337=1,"Pagada",IF(C337&lt;$F$12,"Vencida",IF(311=$F$13,"Próxima","Pendiente"))))</f>
        <v/>
      </c>
      <c r="R337" s="62" t="n">
        <f aca="false">IF(AND(K337&gt;0,OR(O337="Sí",O337="Si")),1,0)</f>
        <v>0</v>
      </c>
      <c r="S337" s="62" t="n">
        <f aca="false">IF(AND(K337&gt;0,R337=0),1,0)</f>
        <v>0</v>
      </c>
    </row>
    <row r="338" customFormat="false" ht="15" hidden="false" customHeight="false" outlineLevel="0" collapsed="false">
      <c r="B338" s="71" t="str">
        <f aca="false">IF($F$6="Sí",N($C$11)+311,"")</f>
        <v/>
      </c>
      <c r="C338" s="72" t="str">
        <f aca="false">IF(OR($F$6&lt;&gt;"Sí",D338&lt;=0.5),"",EDATE($C$10,311))</f>
        <v/>
      </c>
      <c r="D338" s="41" t="n">
        <f aca="false">MAX(0,M337)</f>
        <v>0</v>
      </c>
      <c r="E338" s="41" t="n">
        <f aca="false">D338*$F$7</f>
        <v>0</v>
      </c>
      <c r="F338" s="41" t="n">
        <f aca="false">IF(D338&gt;0.5,N($C$15),0)</f>
        <v>0</v>
      </c>
      <c r="G338" s="41" t="n">
        <f aca="false">IF(AND(D338&gt;0.5,N($C$19)&gt;0,N(B338)&lt;=N($C$20)),D338*$F$8,0)</f>
        <v>0</v>
      </c>
      <c r="H338" s="41" t="n">
        <f aca="false">IF(D338&lt;=0.5,0,MIN(IF(N(I338)&gt;0,I338,$F$9),D338+E338+F338))</f>
        <v>0</v>
      </c>
      <c r="I338" s="77"/>
      <c r="J338" s="77"/>
      <c r="K338" s="41" t="n">
        <f aca="false">IF(D338&lt;=0.5,0,MIN(H338+N(J338),D338+E338+F338))</f>
        <v>0</v>
      </c>
      <c r="L338" s="41" t="n">
        <f aca="false">K338-E338-F338</f>
        <v>0</v>
      </c>
      <c r="M338" s="41" t="n">
        <f aca="false">D338-L338</f>
        <v>0</v>
      </c>
      <c r="N338" s="42" t="n">
        <f aca="false">K338-G338</f>
        <v>0</v>
      </c>
      <c r="O338" s="78"/>
      <c r="P338" s="79"/>
      <c r="Q338" s="16" t="str">
        <f aca="false">IF(K338=0,"",IF(R338=1,"Pagada",IF(C338&lt;$F$12,"Vencida",IF(312=$F$13,"Próxima","Pendiente"))))</f>
        <v/>
      </c>
      <c r="R338" s="62" t="n">
        <f aca="false">IF(AND(K338&gt;0,OR(O338="Sí",O338="Si")),1,0)</f>
        <v>0</v>
      </c>
      <c r="S338" s="62" t="n">
        <f aca="false">IF(AND(K338&gt;0,R338=0),1,0)</f>
        <v>0</v>
      </c>
    </row>
    <row r="339" customFormat="false" ht="15" hidden="false" customHeight="false" outlineLevel="0" collapsed="false">
      <c r="B339" s="71" t="str">
        <f aca="false">IF($F$6="Sí",N($C$11)+312,"")</f>
        <v/>
      </c>
      <c r="C339" s="72" t="str">
        <f aca="false">IF(OR($F$6&lt;&gt;"Sí",D339&lt;=0.5),"",EDATE($C$10,312))</f>
        <v/>
      </c>
      <c r="D339" s="41" t="n">
        <f aca="false">MAX(0,M338)</f>
        <v>0</v>
      </c>
      <c r="E339" s="41" t="n">
        <f aca="false">D339*$F$7</f>
        <v>0</v>
      </c>
      <c r="F339" s="41" t="n">
        <f aca="false">IF(D339&gt;0.5,N($C$15),0)</f>
        <v>0</v>
      </c>
      <c r="G339" s="41" t="n">
        <f aca="false">IF(AND(D339&gt;0.5,N($C$19)&gt;0,N(B339)&lt;=N($C$20)),D339*$F$8,0)</f>
        <v>0</v>
      </c>
      <c r="H339" s="41" t="n">
        <f aca="false">IF(D339&lt;=0.5,0,MIN(IF(N(I339)&gt;0,I339,$F$9),D339+E339+F339))</f>
        <v>0</v>
      </c>
      <c r="I339" s="77"/>
      <c r="J339" s="77"/>
      <c r="K339" s="41" t="n">
        <f aca="false">IF(D339&lt;=0.5,0,MIN(H339+N(J339),D339+E339+F339))</f>
        <v>0</v>
      </c>
      <c r="L339" s="41" t="n">
        <f aca="false">K339-E339-F339</f>
        <v>0</v>
      </c>
      <c r="M339" s="41" t="n">
        <f aca="false">D339-L339</f>
        <v>0</v>
      </c>
      <c r="N339" s="42" t="n">
        <f aca="false">K339-G339</f>
        <v>0</v>
      </c>
      <c r="O339" s="78"/>
      <c r="P339" s="79"/>
      <c r="Q339" s="16" t="str">
        <f aca="false">IF(K339=0,"",IF(R339=1,"Pagada",IF(C339&lt;$F$12,"Vencida",IF(313=$F$13,"Próxima","Pendiente"))))</f>
        <v/>
      </c>
      <c r="R339" s="62" t="n">
        <f aca="false">IF(AND(K339&gt;0,OR(O339="Sí",O339="Si")),1,0)</f>
        <v>0</v>
      </c>
      <c r="S339" s="62" t="n">
        <f aca="false">IF(AND(K339&gt;0,R339=0),1,0)</f>
        <v>0</v>
      </c>
    </row>
    <row r="340" customFormat="false" ht="15" hidden="false" customHeight="false" outlineLevel="0" collapsed="false">
      <c r="B340" s="71" t="str">
        <f aca="false">IF($F$6="Sí",N($C$11)+313,"")</f>
        <v/>
      </c>
      <c r="C340" s="72" t="str">
        <f aca="false">IF(OR($F$6&lt;&gt;"Sí",D340&lt;=0.5),"",EDATE($C$10,313))</f>
        <v/>
      </c>
      <c r="D340" s="41" t="n">
        <f aca="false">MAX(0,M339)</f>
        <v>0</v>
      </c>
      <c r="E340" s="41" t="n">
        <f aca="false">D340*$F$7</f>
        <v>0</v>
      </c>
      <c r="F340" s="41" t="n">
        <f aca="false">IF(D340&gt;0.5,N($C$15),0)</f>
        <v>0</v>
      </c>
      <c r="G340" s="41" t="n">
        <f aca="false">IF(AND(D340&gt;0.5,N($C$19)&gt;0,N(B340)&lt;=N($C$20)),D340*$F$8,0)</f>
        <v>0</v>
      </c>
      <c r="H340" s="41" t="n">
        <f aca="false">IF(D340&lt;=0.5,0,MIN(IF(N(I340)&gt;0,I340,$F$9),D340+E340+F340))</f>
        <v>0</v>
      </c>
      <c r="I340" s="77"/>
      <c r="J340" s="77"/>
      <c r="K340" s="41" t="n">
        <f aca="false">IF(D340&lt;=0.5,0,MIN(H340+N(J340),D340+E340+F340))</f>
        <v>0</v>
      </c>
      <c r="L340" s="41" t="n">
        <f aca="false">K340-E340-F340</f>
        <v>0</v>
      </c>
      <c r="M340" s="41" t="n">
        <f aca="false">D340-L340</f>
        <v>0</v>
      </c>
      <c r="N340" s="42" t="n">
        <f aca="false">K340-G340</f>
        <v>0</v>
      </c>
      <c r="O340" s="78"/>
      <c r="P340" s="79"/>
      <c r="Q340" s="16" t="str">
        <f aca="false">IF(K340=0,"",IF(R340=1,"Pagada",IF(C340&lt;$F$12,"Vencida",IF(314=$F$13,"Próxima","Pendiente"))))</f>
        <v/>
      </c>
      <c r="R340" s="62" t="n">
        <f aca="false">IF(AND(K340&gt;0,OR(O340="Sí",O340="Si")),1,0)</f>
        <v>0</v>
      </c>
      <c r="S340" s="62" t="n">
        <f aca="false">IF(AND(K340&gt;0,R340=0),1,0)</f>
        <v>0</v>
      </c>
    </row>
    <row r="341" customFormat="false" ht="15" hidden="false" customHeight="false" outlineLevel="0" collapsed="false">
      <c r="B341" s="71" t="str">
        <f aca="false">IF($F$6="Sí",N($C$11)+314,"")</f>
        <v/>
      </c>
      <c r="C341" s="72" t="str">
        <f aca="false">IF(OR($F$6&lt;&gt;"Sí",D341&lt;=0.5),"",EDATE($C$10,314))</f>
        <v/>
      </c>
      <c r="D341" s="41" t="n">
        <f aca="false">MAX(0,M340)</f>
        <v>0</v>
      </c>
      <c r="E341" s="41" t="n">
        <f aca="false">D341*$F$7</f>
        <v>0</v>
      </c>
      <c r="F341" s="41" t="n">
        <f aca="false">IF(D341&gt;0.5,N($C$15),0)</f>
        <v>0</v>
      </c>
      <c r="G341" s="41" t="n">
        <f aca="false">IF(AND(D341&gt;0.5,N($C$19)&gt;0,N(B341)&lt;=N($C$20)),D341*$F$8,0)</f>
        <v>0</v>
      </c>
      <c r="H341" s="41" t="n">
        <f aca="false">IF(D341&lt;=0.5,0,MIN(IF(N(I341)&gt;0,I341,$F$9),D341+E341+F341))</f>
        <v>0</v>
      </c>
      <c r="I341" s="77"/>
      <c r="J341" s="77"/>
      <c r="K341" s="41" t="n">
        <f aca="false">IF(D341&lt;=0.5,0,MIN(H341+N(J341),D341+E341+F341))</f>
        <v>0</v>
      </c>
      <c r="L341" s="41" t="n">
        <f aca="false">K341-E341-F341</f>
        <v>0</v>
      </c>
      <c r="M341" s="41" t="n">
        <f aca="false">D341-L341</f>
        <v>0</v>
      </c>
      <c r="N341" s="42" t="n">
        <f aca="false">K341-G341</f>
        <v>0</v>
      </c>
      <c r="O341" s="78"/>
      <c r="P341" s="79"/>
      <c r="Q341" s="16" t="str">
        <f aca="false">IF(K341=0,"",IF(R341=1,"Pagada",IF(C341&lt;$F$12,"Vencida",IF(315=$F$13,"Próxima","Pendiente"))))</f>
        <v/>
      </c>
      <c r="R341" s="62" t="n">
        <f aca="false">IF(AND(K341&gt;0,OR(O341="Sí",O341="Si")),1,0)</f>
        <v>0</v>
      </c>
      <c r="S341" s="62" t="n">
        <f aca="false">IF(AND(K341&gt;0,R341=0),1,0)</f>
        <v>0</v>
      </c>
    </row>
    <row r="342" customFormat="false" ht="15" hidden="false" customHeight="false" outlineLevel="0" collapsed="false">
      <c r="B342" s="71" t="str">
        <f aca="false">IF($F$6="Sí",N($C$11)+315,"")</f>
        <v/>
      </c>
      <c r="C342" s="72" t="str">
        <f aca="false">IF(OR($F$6&lt;&gt;"Sí",D342&lt;=0.5),"",EDATE($C$10,315))</f>
        <v/>
      </c>
      <c r="D342" s="41" t="n">
        <f aca="false">MAX(0,M341)</f>
        <v>0</v>
      </c>
      <c r="E342" s="41" t="n">
        <f aca="false">D342*$F$7</f>
        <v>0</v>
      </c>
      <c r="F342" s="41" t="n">
        <f aca="false">IF(D342&gt;0.5,N($C$15),0)</f>
        <v>0</v>
      </c>
      <c r="G342" s="41" t="n">
        <f aca="false">IF(AND(D342&gt;0.5,N($C$19)&gt;0,N(B342)&lt;=N($C$20)),D342*$F$8,0)</f>
        <v>0</v>
      </c>
      <c r="H342" s="41" t="n">
        <f aca="false">IF(D342&lt;=0.5,0,MIN(IF(N(I342)&gt;0,I342,$F$9),D342+E342+F342))</f>
        <v>0</v>
      </c>
      <c r="I342" s="77"/>
      <c r="J342" s="77"/>
      <c r="K342" s="41" t="n">
        <f aca="false">IF(D342&lt;=0.5,0,MIN(H342+N(J342),D342+E342+F342))</f>
        <v>0</v>
      </c>
      <c r="L342" s="41" t="n">
        <f aca="false">K342-E342-F342</f>
        <v>0</v>
      </c>
      <c r="M342" s="41" t="n">
        <f aca="false">D342-L342</f>
        <v>0</v>
      </c>
      <c r="N342" s="42" t="n">
        <f aca="false">K342-G342</f>
        <v>0</v>
      </c>
      <c r="O342" s="78"/>
      <c r="P342" s="79"/>
      <c r="Q342" s="16" t="str">
        <f aca="false">IF(K342=0,"",IF(R342=1,"Pagada",IF(C342&lt;$F$12,"Vencida",IF(316=$F$13,"Próxima","Pendiente"))))</f>
        <v/>
      </c>
      <c r="R342" s="62" t="n">
        <f aca="false">IF(AND(K342&gt;0,OR(O342="Sí",O342="Si")),1,0)</f>
        <v>0</v>
      </c>
      <c r="S342" s="62" t="n">
        <f aca="false">IF(AND(K342&gt;0,R342=0),1,0)</f>
        <v>0</v>
      </c>
    </row>
    <row r="343" customFormat="false" ht="15" hidden="false" customHeight="false" outlineLevel="0" collapsed="false">
      <c r="B343" s="71" t="str">
        <f aca="false">IF($F$6="Sí",N($C$11)+316,"")</f>
        <v/>
      </c>
      <c r="C343" s="72" t="str">
        <f aca="false">IF(OR($F$6&lt;&gt;"Sí",D343&lt;=0.5),"",EDATE($C$10,316))</f>
        <v/>
      </c>
      <c r="D343" s="41" t="n">
        <f aca="false">MAX(0,M342)</f>
        <v>0</v>
      </c>
      <c r="E343" s="41" t="n">
        <f aca="false">D343*$F$7</f>
        <v>0</v>
      </c>
      <c r="F343" s="41" t="n">
        <f aca="false">IF(D343&gt;0.5,N($C$15),0)</f>
        <v>0</v>
      </c>
      <c r="G343" s="41" t="n">
        <f aca="false">IF(AND(D343&gt;0.5,N($C$19)&gt;0,N(B343)&lt;=N($C$20)),D343*$F$8,0)</f>
        <v>0</v>
      </c>
      <c r="H343" s="41" t="n">
        <f aca="false">IF(D343&lt;=0.5,0,MIN(IF(N(I343)&gt;0,I343,$F$9),D343+E343+F343))</f>
        <v>0</v>
      </c>
      <c r="I343" s="77"/>
      <c r="J343" s="77"/>
      <c r="K343" s="41" t="n">
        <f aca="false">IF(D343&lt;=0.5,0,MIN(H343+N(J343),D343+E343+F343))</f>
        <v>0</v>
      </c>
      <c r="L343" s="41" t="n">
        <f aca="false">K343-E343-F343</f>
        <v>0</v>
      </c>
      <c r="M343" s="41" t="n">
        <f aca="false">D343-L343</f>
        <v>0</v>
      </c>
      <c r="N343" s="42" t="n">
        <f aca="false">K343-G343</f>
        <v>0</v>
      </c>
      <c r="O343" s="78"/>
      <c r="P343" s="79"/>
      <c r="Q343" s="16" t="str">
        <f aca="false">IF(K343=0,"",IF(R343=1,"Pagada",IF(C343&lt;$F$12,"Vencida",IF(317=$F$13,"Próxima","Pendiente"))))</f>
        <v/>
      </c>
      <c r="R343" s="62" t="n">
        <f aca="false">IF(AND(K343&gt;0,OR(O343="Sí",O343="Si")),1,0)</f>
        <v>0</v>
      </c>
      <c r="S343" s="62" t="n">
        <f aca="false">IF(AND(K343&gt;0,R343=0),1,0)</f>
        <v>0</v>
      </c>
    </row>
    <row r="344" customFormat="false" ht="15" hidden="false" customHeight="false" outlineLevel="0" collapsed="false">
      <c r="B344" s="71" t="str">
        <f aca="false">IF($F$6="Sí",N($C$11)+317,"")</f>
        <v/>
      </c>
      <c r="C344" s="72" t="str">
        <f aca="false">IF(OR($F$6&lt;&gt;"Sí",D344&lt;=0.5),"",EDATE($C$10,317))</f>
        <v/>
      </c>
      <c r="D344" s="41" t="n">
        <f aca="false">MAX(0,M343)</f>
        <v>0</v>
      </c>
      <c r="E344" s="41" t="n">
        <f aca="false">D344*$F$7</f>
        <v>0</v>
      </c>
      <c r="F344" s="41" t="n">
        <f aca="false">IF(D344&gt;0.5,N($C$15),0)</f>
        <v>0</v>
      </c>
      <c r="G344" s="41" t="n">
        <f aca="false">IF(AND(D344&gt;0.5,N($C$19)&gt;0,N(B344)&lt;=N($C$20)),D344*$F$8,0)</f>
        <v>0</v>
      </c>
      <c r="H344" s="41" t="n">
        <f aca="false">IF(D344&lt;=0.5,0,MIN(IF(N(I344)&gt;0,I344,$F$9),D344+E344+F344))</f>
        <v>0</v>
      </c>
      <c r="I344" s="77"/>
      <c r="J344" s="77"/>
      <c r="K344" s="41" t="n">
        <f aca="false">IF(D344&lt;=0.5,0,MIN(H344+N(J344),D344+E344+F344))</f>
        <v>0</v>
      </c>
      <c r="L344" s="41" t="n">
        <f aca="false">K344-E344-F344</f>
        <v>0</v>
      </c>
      <c r="M344" s="41" t="n">
        <f aca="false">D344-L344</f>
        <v>0</v>
      </c>
      <c r="N344" s="42" t="n">
        <f aca="false">K344-G344</f>
        <v>0</v>
      </c>
      <c r="O344" s="78"/>
      <c r="P344" s="79"/>
      <c r="Q344" s="16" t="str">
        <f aca="false">IF(K344=0,"",IF(R344=1,"Pagada",IF(C344&lt;$F$12,"Vencida",IF(318=$F$13,"Próxima","Pendiente"))))</f>
        <v/>
      </c>
      <c r="R344" s="62" t="n">
        <f aca="false">IF(AND(K344&gt;0,OR(O344="Sí",O344="Si")),1,0)</f>
        <v>0</v>
      </c>
      <c r="S344" s="62" t="n">
        <f aca="false">IF(AND(K344&gt;0,R344=0),1,0)</f>
        <v>0</v>
      </c>
    </row>
    <row r="345" customFormat="false" ht="15" hidden="false" customHeight="false" outlineLevel="0" collapsed="false">
      <c r="B345" s="71" t="str">
        <f aca="false">IF($F$6="Sí",N($C$11)+318,"")</f>
        <v/>
      </c>
      <c r="C345" s="72" t="str">
        <f aca="false">IF(OR($F$6&lt;&gt;"Sí",D345&lt;=0.5),"",EDATE($C$10,318))</f>
        <v/>
      </c>
      <c r="D345" s="41" t="n">
        <f aca="false">MAX(0,M344)</f>
        <v>0</v>
      </c>
      <c r="E345" s="41" t="n">
        <f aca="false">D345*$F$7</f>
        <v>0</v>
      </c>
      <c r="F345" s="41" t="n">
        <f aca="false">IF(D345&gt;0.5,N($C$15),0)</f>
        <v>0</v>
      </c>
      <c r="G345" s="41" t="n">
        <f aca="false">IF(AND(D345&gt;0.5,N($C$19)&gt;0,N(B345)&lt;=N($C$20)),D345*$F$8,0)</f>
        <v>0</v>
      </c>
      <c r="H345" s="41" t="n">
        <f aca="false">IF(D345&lt;=0.5,0,MIN(IF(N(I345)&gt;0,I345,$F$9),D345+E345+F345))</f>
        <v>0</v>
      </c>
      <c r="I345" s="77"/>
      <c r="J345" s="77"/>
      <c r="K345" s="41" t="n">
        <f aca="false">IF(D345&lt;=0.5,0,MIN(H345+N(J345),D345+E345+F345))</f>
        <v>0</v>
      </c>
      <c r="L345" s="41" t="n">
        <f aca="false">K345-E345-F345</f>
        <v>0</v>
      </c>
      <c r="M345" s="41" t="n">
        <f aca="false">D345-L345</f>
        <v>0</v>
      </c>
      <c r="N345" s="42" t="n">
        <f aca="false">K345-G345</f>
        <v>0</v>
      </c>
      <c r="O345" s="78"/>
      <c r="P345" s="79"/>
      <c r="Q345" s="16" t="str">
        <f aca="false">IF(K345=0,"",IF(R345=1,"Pagada",IF(C345&lt;$F$12,"Vencida",IF(319=$F$13,"Próxima","Pendiente"))))</f>
        <v/>
      </c>
      <c r="R345" s="62" t="n">
        <f aca="false">IF(AND(K345&gt;0,OR(O345="Sí",O345="Si")),1,0)</f>
        <v>0</v>
      </c>
      <c r="S345" s="62" t="n">
        <f aca="false">IF(AND(K345&gt;0,R345=0),1,0)</f>
        <v>0</v>
      </c>
    </row>
    <row r="346" customFormat="false" ht="15" hidden="false" customHeight="false" outlineLevel="0" collapsed="false">
      <c r="B346" s="71" t="str">
        <f aca="false">IF($F$6="Sí",N($C$11)+319,"")</f>
        <v/>
      </c>
      <c r="C346" s="72" t="str">
        <f aca="false">IF(OR($F$6&lt;&gt;"Sí",D346&lt;=0.5),"",EDATE($C$10,319))</f>
        <v/>
      </c>
      <c r="D346" s="41" t="n">
        <f aca="false">MAX(0,M345)</f>
        <v>0</v>
      </c>
      <c r="E346" s="41" t="n">
        <f aca="false">D346*$F$7</f>
        <v>0</v>
      </c>
      <c r="F346" s="41" t="n">
        <f aca="false">IF(D346&gt;0.5,N($C$15),0)</f>
        <v>0</v>
      </c>
      <c r="G346" s="41" t="n">
        <f aca="false">IF(AND(D346&gt;0.5,N($C$19)&gt;0,N(B346)&lt;=N($C$20)),D346*$F$8,0)</f>
        <v>0</v>
      </c>
      <c r="H346" s="41" t="n">
        <f aca="false">IF(D346&lt;=0.5,0,MIN(IF(N(I346)&gt;0,I346,$F$9),D346+E346+F346))</f>
        <v>0</v>
      </c>
      <c r="I346" s="77"/>
      <c r="J346" s="77"/>
      <c r="K346" s="41" t="n">
        <f aca="false">IF(D346&lt;=0.5,0,MIN(H346+N(J346),D346+E346+F346))</f>
        <v>0</v>
      </c>
      <c r="L346" s="41" t="n">
        <f aca="false">K346-E346-F346</f>
        <v>0</v>
      </c>
      <c r="M346" s="41" t="n">
        <f aca="false">D346-L346</f>
        <v>0</v>
      </c>
      <c r="N346" s="42" t="n">
        <f aca="false">K346-G346</f>
        <v>0</v>
      </c>
      <c r="O346" s="78"/>
      <c r="P346" s="79"/>
      <c r="Q346" s="16" t="str">
        <f aca="false">IF(K346=0,"",IF(R346=1,"Pagada",IF(C346&lt;$F$12,"Vencida",IF(320=$F$13,"Próxima","Pendiente"))))</f>
        <v/>
      </c>
      <c r="R346" s="62" t="n">
        <f aca="false">IF(AND(K346&gt;0,OR(O346="Sí",O346="Si")),1,0)</f>
        <v>0</v>
      </c>
      <c r="S346" s="62" t="n">
        <f aca="false">IF(AND(K346&gt;0,R346=0),1,0)</f>
        <v>0</v>
      </c>
    </row>
    <row r="347" customFormat="false" ht="15" hidden="false" customHeight="false" outlineLevel="0" collapsed="false">
      <c r="B347" s="71" t="str">
        <f aca="false">IF($F$6="Sí",N($C$11)+320,"")</f>
        <v/>
      </c>
      <c r="C347" s="72" t="str">
        <f aca="false">IF(OR($F$6&lt;&gt;"Sí",D347&lt;=0.5),"",EDATE($C$10,320))</f>
        <v/>
      </c>
      <c r="D347" s="41" t="n">
        <f aca="false">MAX(0,M346)</f>
        <v>0</v>
      </c>
      <c r="E347" s="41" t="n">
        <f aca="false">D347*$F$7</f>
        <v>0</v>
      </c>
      <c r="F347" s="41" t="n">
        <f aca="false">IF(D347&gt;0.5,N($C$15),0)</f>
        <v>0</v>
      </c>
      <c r="G347" s="41" t="n">
        <f aca="false">IF(AND(D347&gt;0.5,N($C$19)&gt;0,N(B347)&lt;=N($C$20)),D347*$F$8,0)</f>
        <v>0</v>
      </c>
      <c r="H347" s="41" t="n">
        <f aca="false">IF(D347&lt;=0.5,0,MIN(IF(N(I347)&gt;0,I347,$F$9),D347+E347+F347))</f>
        <v>0</v>
      </c>
      <c r="I347" s="77"/>
      <c r="J347" s="77"/>
      <c r="K347" s="41" t="n">
        <f aca="false">IF(D347&lt;=0.5,0,MIN(H347+N(J347),D347+E347+F347))</f>
        <v>0</v>
      </c>
      <c r="L347" s="41" t="n">
        <f aca="false">K347-E347-F347</f>
        <v>0</v>
      </c>
      <c r="M347" s="41" t="n">
        <f aca="false">D347-L347</f>
        <v>0</v>
      </c>
      <c r="N347" s="42" t="n">
        <f aca="false">K347-G347</f>
        <v>0</v>
      </c>
      <c r="O347" s="78"/>
      <c r="P347" s="79"/>
      <c r="Q347" s="16" t="str">
        <f aca="false">IF(K347=0,"",IF(R347=1,"Pagada",IF(C347&lt;$F$12,"Vencida",IF(321=$F$13,"Próxima","Pendiente"))))</f>
        <v/>
      </c>
      <c r="R347" s="62" t="n">
        <f aca="false">IF(AND(K347&gt;0,OR(O347="Sí",O347="Si")),1,0)</f>
        <v>0</v>
      </c>
      <c r="S347" s="62" t="n">
        <f aca="false">IF(AND(K347&gt;0,R347=0),1,0)</f>
        <v>0</v>
      </c>
    </row>
    <row r="348" customFormat="false" ht="15" hidden="false" customHeight="false" outlineLevel="0" collapsed="false">
      <c r="B348" s="71" t="str">
        <f aca="false">IF($F$6="Sí",N($C$11)+321,"")</f>
        <v/>
      </c>
      <c r="C348" s="72" t="str">
        <f aca="false">IF(OR($F$6&lt;&gt;"Sí",D348&lt;=0.5),"",EDATE($C$10,321))</f>
        <v/>
      </c>
      <c r="D348" s="41" t="n">
        <f aca="false">MAX(0,M347)</f>
        <v>0</v>
      </c>
      <c r="E348" s="41" t="n">
        <f aca="false">D348*$F$7</f>
        <v>0</v>
      </c>
      <c r="F348" s="41" t="n">
        <f aca="false">IF(D348&gt;0.5,N($C$15),0)</f>
        <v>0</v>
      </c>
      <c r="G348" s="41" t="n">
        <f aca="false">IF(AND(D348&gt;0.5,N($C$19)&gt;0,N(B348)&lt;=N($C$20)),D348*$F$8,0)</f>
        <v>0</v>
      </c>
      <c r="H348" s="41" t="n">
        <f aca="false">IF(D348&lt;=0.5,0,MIN(IF(N(I348)&gt;0,I348,$F$9),D348+E348+F348))</f>
        <v>0</v>
      </c>
      <c r="I348" s="77"/>
      <c r="J348" s="77"/>
      <c r="K348" s="41" t="n">
        <f aca="false">IF(D348&lt;=0.5,0,MIN(H348+N(J348),D348+E348+F348))</f>
        <v>0</v>
      </c>
      <c r="L348" s="41" t="n">
        <f aca="false">K348-E348-F348</f>
        <v>0</v>
      </c>
      <c r="M348" s="41" t="n">
        <f aca="false">D348-L348</f>
        <v>0</v>
      </c>
      <c r="N348" s="42" t="n">
        <f aca="false">K348-G348</f>
        <v>0</v>
      </c>
      <c r="O348" s="78"/>
      <c r="P348" s="79"/>
      <c r="Q348" s="16" t="str">
        <f aca="false">IF(K348=0,"",IF(R348=1,"Pagada",IF(C348&lt;$F$12,"Vencida",IF(322=$F$13,"Próxima","Pendiente"))))</f>
        <v/>
      </c>
      <c r="R348" s="62" t="n">
        <f aca="false">IF(AND(K348&gt;0,OR(O348="Sí",O348="Si")),1,0)</f>
        <v>0</v>
      </c>
      <c r="S348" s="62" t="n">
        <f aca="false">IF(AND(K348&gt;0,R348=0),1,0)</f>
        <v>0</v>
      </c>
    </row>
    <row r="349" customFormat="false" ht="15" hidden="false" customHeight="false" outlineLevel="0" collapsed="false">
      <c r="B349" s="71" t="str">
        <f aca="false">IF($F$6="Sí",N($C$11)+322,"")</f>
        <v/>
      </c>
      <c r="C349" s="72" t="str">
        <f aca="false">IF(OR($F$6&lt;&gt;"Sí",D349&lt;=0.5),"",EDATE($C$10,322))</f>
        <v/>
      </c>
      <c r="D349" s="41" t="n">
        <f aca="false">MAX(0,M348)</f>
        <v>0</v>
      </c>
      <c r="E349" s="41" t="n">
        <f aca="false">D349*$F$7</f>
        <v>0</v>
      </c>
      <c r="F349" s="41" t="n">
        <f aca="false">IF(D349&gt;0.5,N($C$15),0)</f>
        <v>0</v>
      </c>
      <c r="G349" s="41" t="n">
        <f aca="false">IF(AND(D349&gt;0.5,N($C$19)&gt;0,N(B349)&lt;=N($C$20)),D349*$F$8,0)</f>
        <v>0</v>
      </c>
      <c r="H349" s="41" t="n">
        <f aca="false">IF(D349&lt;=0.5,0,MIN(IF(N(I349)&gt;0,I349,$F$9),D349+E349+F349))</f>
        <v>0</v>
      </c>
      <c r="I349" s="77"/>
      <c r="J349" s="77"/>
      <c r="K349" s="41" t="n">
        <f aca="false">IF(D349&lt;=0.5,0,MIN(H349+N(J349),D349+E349+F349))</f>
        <v>0</v>
      </c>
      <c r="L349" s="41" t="n">
        <f aca="false">K349-E349-F349</f>
        <v>0</v>
      </c>
      <c r="M349" s="41" t="n">
        <f aca="false">D349-L349</f>
        <v>0</v>
      </c>
      <c r="N349" s="42" t="n">
        <f aca="false">K349-G349</f>
        <v>0</v>
      </c>
      <c r="O349" s="78"/>
      <c r="P349" s="79"/>
      <c r="Q349" s="16" t="str">
        <f aca="false">IF(K349=0,"",IF(R349=1,"Pagada",IF(C349&lt;$F$12,"Vencida",IF(323=$F$13,"Próxima","Pendiente"))))</f>
        <v/>
      </c>
      <c r="R349" s="62" t="n">
        <f aca="false">IF(AND(K349&gt;0,OR(O349="Sí",O349="Si")),1,0)</f>
        <v>0</v>
      </c>
      <c r="S349" s="62" t="n">
        <f aca="false">IF(AND(K349&gt;0,R349=0),1,0)</f>
        <v>0</v>
      </c>
    </row>
    <row r="350" customFormat="false" ht="15" hidden="false" customHeight="false" outlineLevel="0" collapsed="false">
      <c r="B350" s="71" t="str">
        <f aca="false">IF($F$6="Sí",N($C$11)+323,"")</f>
        <v/>
      </c>
      <c r="C350" s="72" t="str">
        <f aca="false">IF(OR($F$6&lt;&gt;"Sí",D350&lt;=0.5),"",EDATE($C$10,323))</f>
        <v/>
      </c>
      <c r="D350" s="41" t="n">
        <f aca="false">MAX(0,M349)</f>
        <v>0</v>
      </c>
      <c r="E350" s="41" t="n">
        <f aca="false">D350*$F$7</f>
        <v>0</v>
      </c>
      <c r="F350" s="41" t="n">
        <f aca="false">IF(D350&gt;0.5,N($C$15),0)</f>
        <v>0</v>
      </c>
      <c r="G350" s="41" t="n">
        <f aca="false">IF(AND(D350&gt;0.5,N($C$19)&gt;0,N(B350)&lt;=N($C$20)),D350*$F$8,0)</f>
        <v>0</v>
      </c>
      <c r="H350" s="41" t="n">
        <f aca="false">IF(D350&lt;=0.5,0,MIN(IF(N(I350)&gt;0,I350,$F$9),D350+E350+F350))</f>
        <v>0</v>
      </c>
      <c r="I350" s="77"/>
      <c r="J350" s="77"/>
      <c r="K350" s="41" t="n">
        <f aca="false">IF(D350&lt;=0.5,0,MIN(H350+N(J350),D350+E350+F350))</f>
        <v>0</v>
      </c>
      <c r="L350" s="41" t="n">
        <f aca="false">K350-E350-F350</f>
        <v>0</v>
      </c>
      <c r="M350" s="41" t="n">
        <f aca="false">D350-L350</f>
        <v>0</v>
      </c>
      <c r="N350" s="42" t="n">
        <f aca="false">K350-G350</f>
        <v>0</v>
      </c>
      <c r="O350" s="78"/>
      <c r="P350" s="79"/>
      <c r="Q350" s="16" t="str">
        <f aca="false">IF(K350=0,"",IF(R350=1,"Pagada",IF(C350&lt;$F$12,"Vencida",IF(324=$F$13,"Próxima","Pendiente"))))</f>
        <v/>
      </c>
      <c r="R350" s="62" t="n">
        <f aca="false">IF(AND(K350&gt;0,OR(O350="Sí",O350="Si")),1,0)</f>
        <v>0</v>
      </c>
      <c r="S350" s="62" t="n">
        <f aca="false">IF(AND(K350&gt;0,R350=0),1,0)</f>
        <v>0</v>
      </c>
    </row>
    <row r="351" customFormat="false" ht="15" hidden="false" customHeight="false" outlineLevel="0" collapsed="false">
      <c r="B351" s="71" t="str">
        <f aca="false">IF($F$6="Sí",N($C$11)+324,"")</f>
        <v/>
      </c>
      <c r="C351" s="72" t="str">
        <f aca="false">IF(OR($F$6&lt;&gt;"Sí",D351&lt;=0.5),"",EDATE($C$10,324))</f>
        <v/>
      </c>
      <c r="D351" s="41" t="n">
        <f aca="false">MAX(0,M350)</f>
        <v>0</v>
      </c>
      <c r="E351" s="41" t="n">
        <f aca="false">D351*$F$7</f>
        <v>0</v>
      </c>
      <c r="F351" s="41" t="n">
        <f aca="false">IF(D351&gt;0.5,N($C$15),0)</f>
        <v>0</v>
      </c>
      <c r="G351" s="41" t="n">
        <f aca="false">IF(AND(D351&gt;0.5,N($C$19)&gt;0,N(B351)&lt;=N($C$20)),D351*$F$8,0)</f>
        <v>0</v>
      </c>
      <c r="H351" s="41" t="n">
        <f aca="false">IF(D351&lt;=0.5,0,MIN(IF(N(I351)&gt;0,I351,$F$9),D351+E351+F351))</f>
        <v>0</v>
      </c>
      <c r="I351" s="77"/>
      <c r="J351" s="77"/>
      <c r="K351" s="41" t="n">
        <f aca="false">IF(D351&lt;=0.5,0,MIN(H351+N(J351),D351+E351+F351))</f>
        <v>0</v>
      </c>
      <c r="L351" s="41" t="n">
        <f aca="false">K351-E351-F351</f>
        <v>0</v>
      </c>
      <c r="M351" s="41" t="n">
        <f aca="false">D351-L351</f>
        <v>0</v>
      </c>
      <c r="N351" s="42" t="n">
        <f aca="false">K351-G351</f>
        <v>0</v>
      </c>
      <c r="O351" s="78"/>
      <c r="P351" s="79"/>
      <c r="Q351" s="16" t="str">
        <f aca="false">IF(K351=0,"",IF(R351=1,"Pagada",IF(C351&lt;$F$12,"Vencida",IF(325=$F$13,"Próxima","Pendiente"))))</f>
        <v/>
      </c>
      <c r="R351" s="62" t="n">
        <f aca="false">IF(AND(K351&gt;0,OR(O351="Sí",O351="Si")),1,0)</f>
        <v>0</v>
      </c>
      <c r="S351" s="62" t="n">
        <f aca="false">IF(AND(K351&gt;0,R351=0),1,0)</f>
        <v>0</v>
      </c>
    </row>
    <row r="352" customFormat="false" ht="15" hidden="false" customHeight="false" outlineLevel="0" collapsed="false">
      <c r="B352" s="71" t="str">
        <f aca="false">IF($F$6="Sí",N($C$11)+325,"")</f>
        <v/>
      </c>
      <c r="C352" s="72" t="str">
        <f aca="false">IF(OR($F$6&lt;&gt;"Sí",D352&lt;=0.5),"",EDATE($C$10,325))</f>
        <v/>
      </c>
      <c r="D352" s="41" t="n">
        <f aca="false">MAX(0,M351)</f>
        <v>0</v>
      </c>
      <c r="E352" s="41" t="n">
        <f aca="false">D352*$F$7</f>
        <v>0</v>
      </c>
      <c r="F352" s="41" t="n">
        <f aca="false">IF(D352&gt;0.5,N($C$15),0)</f>
        <v>0</v>
      </c>
      <c r="G352" s="41" t="n">
        <f aca="false">IF(AND(D352&gt;0.5,N($C$19)&gt;0,N(B352)&lt;=N($C$20)),D352*$F$8,0)</f>
        <v>0</v>
      </c>
      <c r="H352" s="41" t="n">
        <f aca="false">IF(D352&lt;=0.5,0,MIN(IF(N(I352)&gt;0,I352,$F$9),D352+E352+F352))</f>
        <v>0</v>
      </c>
      <c r="I352" s="77"/>
      <c r="J352" s="77"/>
      <c r="K352" s="41" t="n">
        <f aca="false">IF(D352&lt;=0.5,0,MIN(H352+N(J352),D352+E352+F352))</f>
        <v>0</v>
      </c>
      <c r="L352" s="41" t="n">
        <f aca="false">K352-E352-F352</f>
        <v>0</v>
      </c>
      <c r="M352" s="41" t="n">
        <f aca="false">D352-L352</f>
        <v>0</v>
      </c>
      <c r="N352" s="42" t="n">
        <f aca="false">K352-G352</f>
        <v>0</v>
      </c>
      <c r="O352" s="78"/>
      <c r="P352" s="79"/>
      <c r="Q352" s="16" t="str">
        <f aca="false">IF(K352=0,"",IF(R352=1,"Pagada",IF(C352&lt;$F$12,"Vencida",IF(326=$F$13,"Próxima","Pendiente"))))</f>
        <v/>
      </c>
      <c r="R352" s="62" t="n">
        <f aca="false">IF(AND(K352&gt;0,OR(O352="Sí",O352="Si")),1,0)</f>
        <v>0</v>
      </c>
      <c r="S352" s="62" t="n">
        <f aca="false">IF(AND(K352&gt;0,R352=0),1,0)</f>
        <v>0</v>
      </c>
    </row>
    <row r="353" customFormat="false" ht="15" hidden="false" customHeight="false" outlineLevel="0" collapsed="false">
      <c r="B353" s="71" t="str">
        <f aca="false">IF($F$6="Sí",N($C$11)+326,"")</f>
        <v/>
      </c>
      <c r="C353" s="72" t="str">
        <f aca="false">IF(OR($F$6&lt;&gt;"Sí",D353&lt;=0.5),"",EDATE($C$10,326))</f>
        <v/>
      </c>
      <c r="D353" s="41" t="n">
        <f aca="false">MAX(0,M352)</f>
        <v>0</v>
      </c>
      <c r="E353" s="41" t="n">
        <f aca="false">D353*$F$7</f>
        <v>0</v>
      </c>
      <c r="F353" s="41" t="n">
        <f aca="false">IF(D353&gt;0.5,N($C$15),0)</f>
        <v>0</v>
      </c>
      <c r="G353" s="41" t="n">
        <f aca="false">IF(AND(D353&gt;0.5,N($C$19)&gt;0,N(B353)&lt;=N($C$20)),D353*$F$8,0)</f>
        <v>0</v>
      </c>
      <c r="H353" s="41" t="n">
        <f aca="false">IF(D353&lt;=0.5,0,MIN(IF(N(I353)&gt;0,I353,$F$9),D353+E353+F353))</f>
        <v>0</v>
      </c>
      <c r="I353" s="77"/>
      <c r="J353" s="77"/>
      <c r="K353" s="41" t="n">
        <f aca="false">IF(D353&lt;=0.5,0,MIN(H353+N(J353),D353+E353+F353))</f>
        <v>0</v>
      </c>
      <c r="L353" s="41" t="n">
        <f aca="false">K353-E353-F353</f>
        <v>0</v>
      </c>
      <c r="M353" s="41" t="n">
        <f aca="false">D353-L353</f>
        <v>0</v>
      </c>
      <c r="N353" s="42" t="n">
        <f aca="false">K353-G353</f>
        <v>0</v>
      </c>
      <c r="O353" s="78"/>
      <c r="P353" s="79"/>
      <c r="Q353" s="16" t="str">
        <f aca="false">IF(K353=0,"",IF(R353=1,"Pagada",IF(C353&lt;$F$12,"Vencida",IF(327=$F$13,"Próxima","Pendiente"))))</f>
        <v/>
      </c>
      <c r="R353" s="62" t="n">
        <f aca="false">IF(AND(K353&gt;0,OR(O353="Sí",O353="Si")),1,0)</f>
        <v>0</v>
      </c>
      <c r="S353" s="62" t="n">
        <f aca="false">IF(AND(K353&gt;0,R353=0),1,0)</f>
        <v>0</v>
      </c>
    </row>
    <row r="354" customFormat="false" ht="15" hidden="false" customHeight="false" outlineLevel="0" collapsed="false">
      <c r="B354" s="71" t="str">
        <f aca="false">IF($F$6="Sí",N($C$11)+327,"")</f>
        <v/>
      </c>
      <c r="C354" s="72" t="str">
        <f aca="false">IF(OR($F$6&lt;&gt;"Sí",D354&lt;=0.5),"",EDATE($C$10,327))</f>
        <v/>
      </c>
      <c r="D354" s="41" t="n">
        <f aca="false">MAX(0,M353)</f>
        <v>0</v>
      </c>
      <c r="E354" s="41" t="n">
        <f aca="false">D354*$F$7</f>
        <v>0</v>
      </c>
      <c r="F354" s="41" t="n">
        <f aca="false">IF(D354&gt;0.5,N($C$15),0)</f>
        <v>0</v>
      </c>
      <c r="G354" s="41" t="n">
        <f aca="false">IF(AND(D354&gt;0.5,N($C$19)&gt;0,N(B354)&lt;=N($C$20)),D354*$F$8,0)</f>
        <v>0</v>
      </c>
      <c r="H354" s="41" t="n">
        <f aca="false">IF(D354&lt;=0.5,0,MIN(IF(N(I354)&gt;0,I354,$F$9),D354+E354+F354))</f>
        <v>0</v>
      </c>
      <c r="I354" s="77"/>
      <c r="J354" s="77"/>
      <c r="K354" s="41" t="n">
        <f aca="false">IF(D354&lt;=0.5,0,MIN(H354+N(J354),D354+E354+F354))</f>
        <v>0</v>
      </c>
      <c r="L354" s="41" t="n">
        <f aca="false">K354-E354-F354</f>
        <v>0</v>
      </c>
      <c r="M354" s="41" t="n">
        <f aca="false">D354-L354</f>
        <v>0</v>
      </c>
      <c r="N354" s="42" t="n">
        <f aca="false">K354-G354</f>
        <v>0</v>
      </c>
      <c r="O354" s="78"/>
      <c r="P354" s="79"/>
      <c r="Q354" s="16" t="str">
        <f aca="false">IF(K354=0,"",IF(R354=1,"Pagada",IF(C354&lt;$F$12,"Vencida",IF(328=$F$13,"Próxima","Pendiente"))))</f>
        <v/>
      </c>
      <c r="R354" s="62" t="n">
        <f aca="false">IF(AND(K354&gt;0,OR(O354="Sí",O354="Si")),1,0)</f>
        <v>0</v>
      </c>
      <c r="S354" s="62" t="n">
        <f aca="false">IF(AND(K354&gt;0,R354=0),1,0)</f>
        <v>0</v>
      </c>
    </row>
    <row r="355" customFormat="false" ht="15" hidden="false" customHeight="false" outlineLevel="0" collapsed="false">
      <c r="B355" s="71" t="str">
        <f aca="false">IF($F$6="Sí",N($C$11)+328,"")</f>
        <v/>
      </c>
      <c r="C355" s="72" t="str">
        <f aca="false">IF(OR($F$6&lt;&gt;"Sí",D355&lt;=0.5),"",EDATE($C$10,328))</f>
        <v/>
      </c>
      <c r="D355" s="41" t="n">
        <f aca="false">MAX(0,M354)</f>
        <v>0</v>
      </c>
      <c r="E355" s="41" t="n">
        <f aca="false">D355*$F$7</f>
        <v>0</v>
      </c>
      <c r="F355" s="41" t="n">
        <f aca="false">IF(D355&gt;0.5,N($C$15),0)</f>
        <v>0</v>
      </c>
      <c r="G355" s="41" t="n">
        <f aca="false">IF(AND(D355&gt;0.5,N($C$19)&gt;0,N(B355)&lt;=N($C$20)),D355*$F$8,0)</f>
        <v>0</v>
      </c>
      <c r="H355" s="41" t="n">
        <f aca="false">IF(D355&lt;=0.5,0,MIN(IF(N(I355)&gt;0,I355,$F$9),D355+E355+F355))</f>
        <v>0</v>
      </c>
      <c r="I355" s="77"/>
      <c r="J355" s="77"/>
      <c r="K355" s="41" t="n">
        <f aca="false">IF(D355&lt;=0.5,0,MIN(H355+N(J355),D355+E355+F355))</f>
        <v>0</v>
      </c>
      <c r="L355" s="41" t="n">
        <f aca="false">K355-E355-F355</f>
        <v>0</v>
      </c>
      <c r="M355" s="41" t="n">
        <f aca="false">D355-L355</f>
        <v>0</v>
      </c>
      <c r="N355" s="42" t="n">
        <f aca="false">K355-G355</f>
        <v>0</v>
      </c>
      <c r="O355" s="78"/>
      <c r="P355" s="79"/>
      <c r="Q355" s="16" t="str">
        <f aca="false">IF(K355=0,"",IF(R355=1,"Pagada",IF(C355&lt;$F$12,"Vencida",IF(329=$F$13,"Próxima","Pendiente"))))</f>
        <v/>
      </c>
      <c r="R355" s="62" t="n">
        <f aca="false">IF(AND(K355&gt;0,OR(O355="Sí",O355="Si")),1,0)</f>
        <v>0</v>
      </c>
      <c r="S355" s="62" t="n">
        <f aca="false">IF(AND(K355&gt;0,R355=0),1,0)</f>
        <v>0</v>
      </c>
    </row>
    <row r="356" customFormat="false" ht="15" hidden="false" customHeight="false" outlineLevel="0" collapsed="false">
      <c r="B356" s="71" t="str">
        <f aca="false">IF($F$6="Sí",N($C$11)+329,"")</f>
        <v/>
      </c>
      <c r="C356" s="72" t="str">
        <f aca="false">IF(OR($F$6&lt;&gt;"Sí",D356&lt;=0.5),"",EDATE($C$10,329))</f>
        <v/>
      </c>
      <c r="D356" s="41" t="n">
        <f aca="false">MAX(0,M355)</f>
        <v>0</v>
      </c>
      <c r="E356" s="41" t="n">
        <f aca="false">D356*$F$7</f>
        <v>0</v>
      </c>
      <c r="F356" s="41" t="n">
        <f aca="false">IF(D356&gt;0.5,N($C$15),0)</f>
        <v>0</v>
      </c>
      <c r="G356" s="41" t="n">
        <f aca="false">IF(AND(D356&gt;0.5,N($C$19)&gt;0,N(B356)&lt;=N($C$20)),D356*$F$8,0)</f>
        <v>0</v>
      </c>
      <c r="H356" s="41" t="n">
        <f aca="false">IF(D356&lt;=0.5,0,MIN(IF(N(I356)&gt;0,I356,$F$9),D356+E356+F356))</f>
        <v>0</v>
      </c>
      <c r="I356" s="77"/>
      <c r="J356" s="77"/>
      <c r="K356" s="41" t="n">
        <f aca="false">IF(D356&lt;=0.5,0,MIN(H356+N(J356),D356+E356+F356))</f>
        <v>0</v>
      </c>
      <c r="L356" s="41" t="n">
        <f aca="false">K356-E356-F356</f>
        <v>0</v>
      </c>
      <c r="M356" s="41" t="n">
        <f aca="false">D356-L356</f>
        <v>0</v>
      </c>
      <c r="N356" s="42" t="n">
        <f aca="false">K356-G356</f>
        <v>0</v>
      </c>
      <c r="O356" s="78"/>
      <c r="P356" s="79"/>
      <c r="Q356" s="16" t="str">
        <f aca="false">IF(K356=0,"",IF(R356=1,"Pagada",IF(C356&lt;$F$12,"Vencida",IF(330=$F$13,"Próxima","Pendiente"))))</f>
        <v/>
      </c>
      <c r="R356" s="62" t="n">
        <f aca="false">IF(AND(K356&gt;0,OR(O356="Sí",O356="Si")),1,0)</f>
        <v>0</v>
      </c>
      <c r="S356" s="62" t="n">
        <f aca="false">IF(AND(K356&gt;0,R356=0),1,0)</f>
        <v>0</v>
      </c>
    </row>
    <row r="357" customFormat="false" ht="15" hidden="false" customHeight="false" outlineLevel="0" collapsed="false">
      <c r="B357" s="71" t="str">
        <f aca="false">IF($F$6="Sí",N($C$11)+330,"")</f>
        <v/>
      </c>
      <c r="C357" s="72" t="str">
        <f aca="false">IF(OR($F$6&lt;&gt;"Sí",D357&lt;=0.5),"",EDATE($C$10,330))</f>
        <v/>
      </c>
      <c r="D357" s="41" t="n">
        <f aca="false">MAX(0,M356)</f>
        <v>0</v>
      </c>
      <c r="E357" s="41" t="n">
        <f aca="false">D357*$F$7</f>
        <v>0</v>
      </c>
      <c r="F357" s="41" t="n">
        <f aca="false">IF(D357&gt;0.5,N($C$15),0)</f>
        <v>0</v>
      </c>
      <c r="G357" s="41" t="n">
        <f aca="false">IF(AND(D357&gt;0.5,N($C$19)&gt;0,N(B357)&lt;=N($C$20)),D357*$F$8,0)</f>
        <v>0</v>
      </c>
      <c r="H357" s="41" t="n">
        <f aca="false">IF(D357&lt;=0.5,0,MIN(IF(N(I357)&gt;0,I357,$F$9),D357+E357+F357))</f>
        <v>0</v>
      </c>
      <c r="I357" s="77"/>
      <c r="J357" s="77"/>
      <c r="K357" s="41" t="n">
        <f aca="false">IF(D357&lt;=0.5,0,MIN(H357+N(J357),D357+E357+F357))</f>
        <v>0</v>
      </c>
      <c r="L357" s="41" t="n">
        <f aca="false">K357-E357-F357</f>
        <v>0</v>
      </c>
      <c r="M357" s="41" t="n">
        <f aca="false">D357-L357</f>
        <v>0</v>
      </c>
      <c r="N357" s="42" t="n">
        <f aca="false">K357-G357</f>
        <v>0</v>
      </c>
      <c r="O357" s="78"/>
      <c r="P357" s="79"/>
      <c r="Q357" s="16" t="str">
        <f aca="false">IF(K357=0,"",IF(R357=1,"Pagada",IF(C357&lt;$F$12,"Vencida",IF(331=$F$13,"Próxima","Pendiente"))))</f>
        <v/>
      </c>
      <c r="R357" s="62" t="n">
        <f aca="false">IF(AND(K357&gt;0,OR(O357="Sí",O357="Si")),1,0)</f>
        <v>0</v>
      </c>
      <c r="S357" s="62" t="n">
        <f aca="false">IF(AND(K357&gt;0,R357=0),1,0)</f>
        <v>0</v>
      </c>
    </row>
    <row r="358" customFormat="false" ht="15" hidden="false" customHeight="false" outlineLevel="0" collapsed="false">
      <c r="B358" s="71" t="str">
        <f aca="false">IF($F$6="Sí",N($C$11)+331,"")</f>
        <v/>
      </c>
      <c r="C358" s="72" t="str">
        <f aca="false">IF(OR($F$6&lt;&gt;"Sí",D358&lt;=0.5),"",EDATE($C$10,331))</f>
        <v/>
      </c>
      <c r="D358" s="41" t="n">
        <f aca="false">MAX(0,M357)</f>
        <v>0</v>
      </c>
      <c r="E358" s="41" t="n">
        <f aca="false">D358*$F$7</f>
        <v>0</v>
      </c>
      <c r="F358" s="41" t="n">
        <f aca="false">IF(D358&gt;0.5,N($C$15),0)</f>
        <v>0</v>
      </c>
      <c r="G358" s="41" t="n">
        <f aca="false">IF(AND(D358&gt;0.5,N($C$19)&gt;0,N(B358)&lt;=N($C$20)),D358*$F$8,0)</f>
        <v>0</v>
      </c>
      <c r="H358" s="41" t="n">
        <f aca="false">IF(D358&lt;=0.5,0,MIN(IF(N(I358)&gt;0,I358,$F$9),D358+E358+F358))</f>
        <v>0</v>
      </c>
      <c r="I358" s="77"/>
      <c r="J358" s="77"/>
      <c r="K358" s="41" t="n">
        <f aca="false">IF(D358&lt;=0.5,0,MIN(H358+N(J358),D358+E358+F358))</f>
        <v>0</v>
      </c>
      <c r="L358" s="41" t="n">
        <f aca="false">K358-E358-F358</f>
        <v>0</v>
      </c>
      <c r="M358" s="41" t="n">
        <f aca="false">D358-L358</f>
        <v>0</v>
      </c>
      <c r="N358" s="42" t="n">
        <f aca="false">K358-G358</f>
        <v>0</v>
      </c>
      <c r="O358" s="78"/>
      <c r="P358" s="79"/>
      <c r="Q358" s="16" t="str">
        <f aca="false">IF(K358=0,"",IF(R358=1,"Pagada",IF(C358&lt;$F$12,"Vencida",IF(332=$F$13,"Próxima","Pendiente"))))</f>
        <v/>
      </c>
      <c r="R358" s="62" t="n">
        <f aca="false">IF(AND(K358&gt;0,OR(O358="Sí",O358="Si")),1,0)</f>
        <v>0</v>
      </c>
      <c r="S358" s="62" t="n">
        <f aca="false">IF(AND(K358&gt;0,R358=0),1,0)</f>
        <v>0</v>
      </c>
    </row>
    <row r="359" customFormat="false" ht="15" hidden="false" customHeight="false" outlineLevel="0" collapsed="false">
      <c r="B359" s="71" t="str">
        <f aca="false">IF($F$6="Sí",N($C$11)+332,"")</f>
        <v/>
      </c>
      <c r="C359" s="72" t="str">
        <f aca="false">IF(OR($F$6&lt;&gt;"Sí",D359&lt;=0.5),"",EDATE($C$10,332))</f>
        <v/>
      </c>
      <c r="D359" s="41" t="n">
        <f aca="false">MAX(0,M358)</f>
        <v>0</v>
      </c>
      <c r="E359" s="41" t="n">
        <f aca="false">D359*$F$7</f>
        <v>0</v>
      </c>
      <c r="F359" s="41" t="n">
        <f aca="false">IF(D359&gt;0.5,N($C$15),0)</f>
        <v>0</v>
      </c>
      <c r="G359" s="41" t="n">
        <f aca="false">IF(AND(D359&gt;0.5,N($C$19)&gt;0,N(B359)&lt;=N($C$20)),D359*$F$8,0)</f>
        <v>0</v>
      </c>
      <c r="H359" s="41" t="n">
        <f aca="false">IF(D359&lt;=0.5,0,MIN(IF(N(I359)&gt;0,I359,$F$9),D359+E359+F359))</f>
        <v>0</v>
      </c>
      <c r="I359" s="77"/>
      <c r="J359" s="77"/>
      <c r="K359" s="41" t="n">
        <f aca="false">IF(D359&lt;=0.5,0,MIN(H359+N(J359),D359+E359+F359))</f>
        <v>0</v>
      </c>
      <c r="L359" s="41" t="n">
        <f aca="false">K359-E359-F359</f>
        <v>0</v>
      </c>
      <c r="M359" s="41" t="n">
        <f aca="false">D359-L359</f>
        <v>0</v>
      </c>
      <c r="N359" s="42" t="n">
        <f aca="false">K359-G359</f>
        <v>0</v>
      </c>
      <c r="O359" s="78"/>
      <c r="P359" s="79"/>
      <c r="Q359" s="16" t="str">
        <f aca="false">IF(K359=0,"",IF(R359=1,"Pagada",IF(C359&lt;$F$12,"Vencida",IF(333=$F$13,"Próxima","Pendiente"))))</f>
        <v/>
      </c>
      <c r="R359" s="62" t="n">
        <f aca="false">IF(AND(K359&gt;0,OR(O359="Sí",O359="Si")),1,0)</f>
        <v>0</v>
      </c>
      <c r="S359" s="62" t="n">
        <f aca="false">IF(AND(K359&gt;0,R359=0),1,0)</f>
        <v>0</v>
      </c>
    </row>
    <row r="360" customFormat="false" ht="15" hidden="false" customHeight="false" outlineLevel="0" collapsed="false">
      <c r="B360" s="71" t="str">
        <f aca="false">IF($F$6="Sí",N($C$11)+333,"")</f>
        <v/>
      </c>
      <c r="C360" s="72" t="str">
        <f aca="false">IF(OR($F$6&lt;&gt;"Sí",D360&lt;=0.5),"",EDATE($C$10,333))</f>
        <v/>
      </c>
      <c r="D360" s="41" t="n">
        <f aca="false">MAX(0,M359)</f>
        <v>0</v>
      </c>
      <c r="E360" s="41" t="n">
        <f aca="false">D360*$F$7</f>
        <v>0</v>
      </c>
      <c r="F360" s="41" t="n">
        <f aca="false">IF(D360&gt;0.5,N($C$15),0)</f>
        <v>0</v>
      </c>
      <c r="G360" s="41" t="n">
        <f aca="false">IF(AND(D360&gt;0.5,N($C$19)&gt;0,N(B360)&lt;=N($C$20)),D360*$F$8,0)</f>
        <v>0</v>
      </c>
      <c r="H360" s="41" t="n">
        <f aca="false">IF(D360&lt;=0.5,0,MIN(IF(N(I360)&gt;0,I360,$F$9),D360+E360+F360))</f>
        <v>0</v>
      </c>
      <c r="I360" s="77"/>
      <c r="J360" s="77"/>
      <c r="K360" s="41" t="n">
        <f aca="false">IF(D360&lt;=0.5,0,MIN(H360+N(J360),D360+E360+F360))</f>
        <v>0</v>
      </c>
      <c r="L360" s="41" t="n">
        <f aca="false">K360-E360-F360</f>
        <v>0</v>
      </c>
      <c r="M360" s="41" t="n">
        <f aca="false">D360-L360</f>
        <v>0</v>
      </c>
      <c r="N360" s="42" t="n">
        <f aca="false">K360-G360</f>
        <v>0</v>
      </c>
      <c r="O360" s="78"/>
      <c r="P360" s="79"/>
      <c r="Q360" s="16" t="str">
        <f aca="false">IF(K360=0,"",IF(R360=1,"Pagada",IF(C360&lt;$F$12,"Vencida",IF(334=$F$13,"Próxima","Pendiente"))))</f>
        <v/>
      </c>
      <c r="R360" s="62" t="n">
        <f aca="false">IF(AND(K360&gt;0,OR(O360="Sí",O360="Si")),1,0)</f>
        <v>0</v>
      </c>
      <c r="S360" s="62" t="n">
        <f aca="false">IF(AND(K360&gt;0,R360=0),1,0)</f>
        <v>0</v>
      </c>
    </row>
    <row r="361" customFormat="false" ht="15" hidden="false" customHeight="false" outlineLevel="0" collapsed="false">
      <c r="B361" s="71" t="str">
        <f aca="false">IF($F$6="Sí",N($C$11)+334,"")</f>
        <v/>
      </c>
      <c r="C361" s="72" t="str">
        <f aca="false">IF(OR($F$6&lt;&gt;"Sí",D361&lt;=0.5),"",EDATE($C$10,334))</f>
        <v/>
      </c>
      <c r="D361" s="41" t="n">
        <f aca="false">MAX(0,M360)</f>
        <v>0</v>
      </c>
      <c r="E361" s="41" t="n">
        <f aca="false">D361*$F$7</f>
        <v>0</v>
      </c>
      <c r="F361" s="41" t="n">
        <f aca="false">IF(D361&gt;0.5,N($C$15),0)</f>
        <v>0</v>
      </c>
      <c r="G361" s="41" t="n">
        <f aca="false">IF(AND(D361&gt;0.5,N($C$19)&gt;0,N(B361)&lt;=N($C$20)),D361*$F$8,0)</f>
        <v>0</v>
      </c>
      <c r="H361" s="41" t="n">
        <f aca="false">IF(D361&lt;=0.5,0,MIN(IF(N(I361)&gt;0,I361,$F$9),D361+E361+F361))</f>
        <v>0</v>
      </c>
      <c r="I361" s="77"/>
      <c r="J361" s="77"/>
      <c r="K361" s="41" t="n">
        <f aca="false">IF(D361&lt;=0.5,0,MIN(H361+N(J361),D361+E361+F361))</f>
        <v>0</v>
      </c>
      <c r="L361" s="41" t="n">
        <f aca="false">K361-E361-F361</f>
        <v>0</v>
      </c>
      <c r="M361" s="41" t="n">
        <f aca="false">D361-L361</f>
        <v>0</v>
      </c>
      <c r="N361" s="42" t="n">
        <f aca="false">K361-G361</f>
        <v>0</v>
      </c>
      <c r="O361" s="78"/>
      <c r="P361" s="79"/>
      <c r="Q361" s="16" t="str">
        <f aca="false">IF(K361=0,"",IF(R361=1,"Pagada",IF(C361&lt;$F$12,"Vencida",IF(335=$F$13,"Próxima","Pendiente"))))</f>
        <v/>
      </c>
      <c r="R361" s="62" t="n">
        <f aca="false">IF(AND(K361&gt;0,OR(O361="Sí",O361="Si")),1,0)</f>
        <v>0</v>
      </c>
      <c r="S361" s="62" t="n">
        <f aca="false">IF(AND(K361&gt;0,R361=0),1,0)</f>
        <v>0</v>
      </c>
    </row>
    <row r="362" customFormat="false" ht="15" hidden="false" customHeight="false" outlineLevel="0" collapsed="false">
      <c r="B362" s="71" t="str">
        <f aca="false">IF($F$6="Sí",N($C$11)+335,"")</f>
        <v/>
      </c>
      <c r="C362" s="72" t="str">
        <f aca="false">IF(OR($F$6&lt;&gt;"Sí",D362&lt;=0.5),"",EDATE($C$10,335))</f>
        <v/>
      </c>
      <c r="D362" s="41" t="n">
        <f aca="false">MAX(0,M361)</f>
        <v>0</v>
      </c>
      <c r="E362" s="41" t="n">
        <f aca="false">D362*$F$7</f>
        <v>0</v>
      </c>
      <c r="F362" s="41" t="n">
        <f aca="false">IF(D362&gt;0.5,N($C$15),0)</f>
        <v>0</v>
      </c>
      <c r="G362" s="41" t="n">
        <f aca="false">IF(AND(D362&gt;0.5,N($C$19)&gt;0,N(B362)&lt;=N($C$20)),D362*$F$8,0)</f>
        <v>0</v>
      </c>
      <c r="H362" s="41" t="n">
        <f aca="false">IF(D362&lt;=0.5,0,MIN(IF(N(I362)&gt;0,I362,$F$9),D362+E362+F362))</f>
        <v>0</v>
      </c>
      <c r="I362" s="77"/>
      <c r="J362" s="77"/>
      <c r="K362" s="41" t="n">
        <f aca="false">IF(D362&lt;=0.5,0,MIN(H362+N(J362),D362+E362+F362))</f>
        <v>0</v>
      </c>
      <c r="L362" s="41" t="n">
        <f aca="false">K362-E362-F362</f>
        <v>0</v>
      </c>
      <c r="M362" s="41" t="n">
        <f aca="false">D362-L362</f>
        <v>0</v>
      </c>
      <c r="N362" s="42" t="n">
        <f aca="false">K362-G362</f>
        <v>0</v>
      </c>
      <c r="O362" s="78"/>
      <c r="P362" s="79"/>
      <c r="Q362" s="16" t="str">
        <f aca="false">IF(K362=0,"",IF(R362=1,"Pagada",IF(C362&lt;$F$12,"Vencida",IF(336=$F$13,"Próxima","Pendiente"))))</f>
        <v/>
      </c>
      <c r="R362" s="62" t="n">
        <f aca="false">IF(AND(K362&gt;0,OR(O362="Sí",O362="Si")),1,0)</f>
        <v>0</v>
      </c>
      <c r="S362" s="62" t="n">
        <f aca="false">IF(AND(K362&gt;0,R362=0),1,0)</f>
        <v>0</v>
      </c>
    </row>
    <row r="363" customFormat="false" ht="15" hidden="false" customHeight="false" outlineLevel="0" collapsed="false">
      <c r="B363" s="71" t="str">
        <f aca="false">IF($F$6="Sí",N($C$11)+336,"")</f>
        <v/>
      </c>
      <c r="C363" s="72" t="str">
        <f aca="false">IF(OR($F$6&lt;&gt;"Sí",D363&lt;=0.5),"",EDATE($C$10,336))</f>
        <v/>
      </c>
      <c r="D363" s="41" t="n">
        <f aca="false">MAX(0,M362)</f>
        <v>0</v>
      </c>
      <c r="E363" s="41" t="n">
        <f aca="false">D363*$F$7</f>
        <v>0</v>
      </c>
      <c r="F363" s="41" t="n">
        <f aca="false">IF(D363&gt;0.5,N($C$15),0)</f>
        <v>0</v>
      </c>
      <c r="G363" s="41" t="n">
        <f aca="false">IF(AND(D363&gt;0.5,N($C$19)&gt;0,N(B363)&lt;=N($C$20)),D363*$F$8,0)</f>
        <v>0</v>
      </c>
      <c r="H363" s="41" t="n">
        <f aca="false">IF(D363&lt;=0.5,0,MIN(IF(N(I363)&gt;0,I363,$F$9),D363+E363+F363))</f>
        <v>0</v>
      </c>
      <c r="I363" s="77"/>
      <c r="J363" s="77"/>
      <c r="K363" s="41" t="n">
        <f aca="false">IF(D363&lt;=0.5,0,MIN(H363+N(J363),D363+E363+F363))</f>
        <v>0</v>
      </c>
      <c r="L363" s="41" t="n">
        <f aca="false">K363-E363-F363</f>
        <v>0</v>
      </c>
      <c r="M363" s="41" t="n">
        <f aca="false">D363-L363</f>
        <v>0</v>
      </c>
      <c r="N363" s="42" t="n">
        <f aca="false">K363-G363</f>
        <v>0</v>
      </c>
      <c r="O363" s="78"/>
      <c r="P363" s="79"/>
      <c r="Q363" s="16" t="str">
        <f aca="false">IF(K363=0,"",IF(R363=1,"Pagada",IF(C363&lt;$F$12,"Vencida",IF(337=$F$13,"Próxima","Pendiente"))))</f>
        <v/>
      </c>
      <c r="R363" s="62" t="n">
        <f aca="false">IF(AND(K363&gt;0,OR(O363="Sí",O363="Si")),1,0)</f>
        <v>0</v>
      </c>
      <c r="S363" s="62" t="n">
        <f aca="false">IF(AND(K363&gt;0,R363=0),1,0)</f>
        <v>0</v>
      </c>
    </row>
    <row r="364" customFormat="false" ht="15" hidden="false" customHeight="false" outlineLevel="0" collapsed="false">
      <c r="B364" s="71" t="str">
        <f aca="false">IF($F$6="Sí",N($C$11)+337,"")</f>
        <v/>
      </c>
      <c r="C364" s="72" t="str">
        <f aca="false">IF(OR($F$6&lt;&gt;"Sí",D364&lt;=0.5),"",EDATE($C$10,337))</f>
        <v/>
      </c>
      <c r="D364" s="41" t="n">
        <f aca="false">MAX(0,M363)</f>
        <v>0</v>
      </c>
      <c r="E364" s="41" t="n">
        <f aca="false">D364*$F$7</f>
        <v>0</v>
      </c>
      <c r="F364" s="41" t="n">
        <f aca="false">IF(D364&gt;0.5,N($C$15),0)</f>
        <v>0</v>
      </c>
      <c r="G364" s="41" t="n">
        <f aca="false">IF(AND(D364&gt;0.5,N($C$19)&gt;0,N(B364)&lt;=N($C$20)),D364*$F$8,0)</f>
        <v>0</v>
      </c>
      <c r="H364" s="41" t="n">
        <f aca="false">IF(D364&lt;=0.5,0,MIN(IF(N(I364)&gt;0,I364,$F$9),D364+E364+F364))</f>
        <v>0</v>
      </c>
      <c r="I364" s="77"/>
      <c r="J364" s="77"/>
      <c r="K364" s="41" t="n">
        <f aca="false">IF(D364&lt;=0.5,0,MIN(H364+N(J364),D364+E364+F364))</f>
        <v>0</v>
      </c>
      <c r="L364" s="41" t="n">
        <f aca="false">K364-E364-F364</f>
        <v>0</v>
      </c>
      <c r="M364" s="41" t="n">
        <f aca="false">D364-L364</f>
        <v>0</v>
      </c>
      <c r="N364" s="42" t="n">
        <f aca="false">K364-G364</f>
        <v>0</v>
      </c>
      <c r="O364" s="78"/>
      <c r="P364" s="79"/>
      <c r="Q364" s="16" t="str">
        <f aca="false">IF(K364=0,"",IF(R364=1,"Pagada",IF(C364&lt;$F$12,"Vencida",IF(338=$F$13,"Próxima","Pendiente"))))</f>
        <v/>
      </c>
      <c r="R364" s="62" t="n">
        <f aca="false">IF(AND(K364&gt;0,OR(O364="Sí",O364="Si")),1,0)</f>
        <v>0</v>
      </c>
      <c r="S364" s="62" t="n">
        <f aca="false">IF(AND(K364&gt;0,R364=0),1,0)</f>
        <v>0</v>
      </c>
    </row>
    <row r="365" customFormat="false" ht="15" hidden="false" customHeight="false" outlineLevel="0" collapsed="false">
      <c r="B365" s="71" t="str">
        <f aca="false">IF($F$6="Sí",N($C$11)+338,"")</f>
        <v/>
      </c>
      <c r="C365" s="72" t="str">
        <f aca="false">IF(OR($F$6&lt;&gt;"Sí",D365&lt;=0.5),"",EDATE($C$10,338))</f>
        <v/>
      </c>
      <c r="D365" s="41" t="n">
        <f aca="false">MAX(0,M364)</f>
        <v>0</v>
      </c>
      <c r="E365" s="41" t="n">
        <f aca="false">D365*$F$7</f>
        <v>0</v>
      </c>
      <c r="F365" s="41" t="n">
        <f aca="false">IF(D365&gt;0.5,N($C$15),0)</f>
        <v>0</v>
      </c>
      <c r="G365" s="41" t="n">
        <f aca="false">IF(AND(D365&gt;0.5,N($C$19)&gt;0,N(B365)&lt;=N($C$20)),D365*$F$8,0)</f>
        <v>0</v>
      </c>
      <c r="H365" s="41" t="n">
        <f aca="false">IF(D365&lt;=0.5,0,MIN(IF(N(I365)&gt;0,I365,$F$9),D365+E365+F365))</f>
        <v>0</v>
      </c>
      <c r="I365" s="77"/>
      <c r="J365" s="77"/>
      <c r="K365" s="41" t="n">
        <f aca="false">IF(D365&lt;=0.5,0,MIN(H365+N(J365),D365+E365+F365))</f>
        <v>0</v>
      </c>
      <c r="L365" s="41" t="n">
        <f aca="false">K365-E365-F365</f>
        <v>0</v>
      </c>
      <c r="M365" s="41" t="n">
        <f aca="false">D365-L365</f>
        <v>0</v>
      </c>
      <c r="N365" s="42" t="n">
        <f aca="false">K365-G365</f>
        <v>0</v>
      </c>
      <c r="O365" s="78"/>
      <c r="P365" s="79"/>
      <c r="Q365" s="16" t="str">
        <f aca="false">IF(K365=0,"",IF(R365=1,"Pagada",IF(C365&lt;$F$12,"Vencida",IF(339=$F$13,"Próxima","Pendiente"))))</f>
        <v/>
      </c>
      <c r="R365" s="62" t="n">
        <f aca="false">IF(AND(K365&gt;0,OR(O365="Sí",O365="Si")),1,0)</f>
        <v>0</v>
      </c>
      <c r="S365" s="62" t="n">
        <f aca="false">IF(AND(K365&gt;0,R365=0),1,0)</f>
        <v>0</v>
      </c>
    </row>
    <row r="366" customFormat="false" ht="15" hidden="false" customHeight="false" outlineLevel="0" collapsed="false">
      <c r="B366" s="71" t="str">
        <f aca="false">IF($F$6="Sí",N($C$11)+339,"")</f>
        <v/>
      </c>
      <c r="C366" s="72" t="str">
        <f aca="false">IF(OR($F$6&lt;&gt;"Sí",D366&lt;=0.5),"",EDATE($C$10,339))</f>
        <v/>
      </c>
      <c r="D366" s="41" t="n">
        <f aca="false">MAX(0,M365)</f>
        <v>0</v>
      </c>
      <c r="E366" s="41" t="n">
        <f aca="false">D366*$F$7</f>
        <v>0</v>
      </c>
      <c r="F366" s="41" t="n">
        <f aca="false">IF(D366&gt;0.5,N($C$15),0)</f>
        <v>0</v>
      </c>
      <c r="G366" s="41" t="n">
        <f aca="false">IF(AND(D366&gt;0.5,N($C$19)&gt;0,N(B366)&lt;=N($C$20)),D366*$F$8,0)</f>
        <v>0</v>
      </c>
      <c r="H366" s="41" t="n">
        <f aca="false">IF(D366&lt;=0.5,0,MIN(IF(N(I366)&gt;0,I366,$F$9),D366+E366+F366))</f>
        <v>0</v>
      </c>
      <c r="I366" s="77"/>
      <c r="J366" s="77"/>
      <c r="K366" s="41" t="n">
        <f aca="false">IF(D366&lt;=0.5,0,MIN(H366+N(J366),D366+E366+F366))</f>
        <v>0</v>
      </c>
      <c r="L366" s="41" t="n">
        <f aca="false">K366-E366-F366</f>
        <v>0</v>
      </c>
      <c r="M366" s="41" t="n">
        <f aca="false">D366-L366</f>
        <v>0</v>
      </c>
      <c r="N366" s="42" t="n">
        <f aca="false">K366-G366</f>
        <v>0</v>
      </c>
      <c r="O366" s="78"/>
      <c r="P366" s="79"/>
      <c r="Q366" s="16" t="str">
        <f aca="false">IF(K366=0,"",IF(R366=1,"Pagada",IF(C366&lt;$F$12,"Vencida",IF(340=$F$13,"Próxima","Pendiente"))))</f>
        <v/>
      </c>
      <c r="R366" s="62" t="n">
        <f aca="false">IF(AND(K366&gt;0,OR(O366="Sí",O366="Si")),1,0)</f>
        <v>0</v>
      </c>
      <c r="S366" s="62" t="n">
        <f aca="false">IF(AND(K366&gt;0,R366=0),1,0)</f>
        <v>0</v>
      </c>
    </row>
    <row r="367" customFormat="false" ht="15" hidden="false" customHeight="false" outlineLevel="0" collapsed="false">
      <c r="B367" s="71" t="str">
        <f aca="false">IF($F$6="Sí",N($C$11)+340,"")</f>
        <v/>
      </c>
      <c r="C367" s="72" t="str">
        <f aca="false">IF(OR($F$6&lt;&gt;"Sí",D367&lt;=0.5),"",EDATE($C$10,340))</f>
        <v/>
      </c>
      <c r="D367" s="41" t="n">
        <f aca="false">MAX(0,M366)</f>
        <v>0</v>
      </c>
      <c r="E367" s="41" t="n">
        <f aca="false">D367*$F$7</f>
        <v>0</v>
      </c>
      <c r="F367" s="41" t="n">
        <f aca="false">IF(D367&gt;0.5,N($C$15),0)</f>
        <v>0</v>
      </c>
      <c r="G367" s="41" t="n">
        <f aca="false">IF(AND(D367&gt;0.5,N($C$19)&gt;0,N(B367)&lt;=N($C$20)),D367*$F$8,0)</f>
        <v>0</v>
      </c>
      <c r="H367" s="41" t="n">
        <f aca="false">IF(D367&lt;=0.5,0,MIN(IF(N(I367)&gt;0,I367,$F$9),D367+E367+F367))</f>
        <v>0</v>
      </c>
      <c r="I367" s="77"/>
      <c r="J367" s="77"/>
      <c r="K367" s="41" t="n">
        <f aca="false">IF(D367&lt;=0.5,0,MIN(H367+N(J367),D367+E367+F367))</f>
        <v>0</v>
      </c>
      <c r="L367" s="41" t="n">
        <f aca="false">K367-E367-F367</f>
        <v>0</v>
      </c>
      <c r="M367" s="41" t="n">
        <f aca="false">D367-L367</f>
        <v>0</v>
      </c>
      <c r="N367" s="42" t="n">
        <f aca="false">K367-G367</f>
        <v>0</v>
      </c>
      <c r="O367" s="78"/>
      <c r="P367" s="79"/>
      <c r="Q367" s="16" t="str">
        <f aca="false">IF(K367=0,"",IF(R367=1,"Pagada",IF(C367&lt;$F$12,"Vencida",IF(341=$F$13,"Próxima","Pendiente"))))</f>
        <v/>
      </c>
      <c r="R367" s="62" t="n">
        <f aca="false">IF(AND(K367&gt;0,OR(O367="Sí",O367="Si")),1,0)</f>
        <v>0</v>
      </c>
      <c r="S367" s="62" t="n">
        <f aca="false">IF(AND(K367&gt;0,R367=0),1,0)</f>
        <v>0</v>
      </c>
    </row>
    <row r="368" customFormat="false" ht="15" hidden="false" customHeight="false" outlineLevel="0" collapsed="false">
      <c r="B368" s="71" t="str">
        <f aca="false">IF($F$6="Sí",N($C$11)+341,"")</f>
        <v/>
      </c>
      <c r="C368" s="72" t="str">
        <f aca="false">IF(OR($F$6&lt;&gt;"Sí",D368&lt;=0.5),"",EDATE($C$10,341))</f>
        <v/>
      </c>
      <c r="D368" s="41" t="n">
        <f aca="false">MAX(0,M367)</f>
        <v>0</v>
      </c>
      <c r="E368" s="41" t="n">
        <f aca="false">D368*$F$7</f>
        <v>0</v>
      </c>
      <c r="F368" s="41" t="n">
        <f aca="false">IF(D368&gt;0.5,N($C$15),0)</f>
        <v>0</v>
      </c>
      <c r="G368" s="41" t="n">
        <f aca="false">IF(AND(D368&gt;0.5,N($C$19)&gt;0,N(B368)&lt;=N($C$20)),D368*$F$8,0)</f>
        <v>0</v>
      </c>
      <c r="H368" s="41" t="n">
        <f aca="false">IF(D368&lt;=0.5,0,MIN(IF(N(I368)&gt;0,I368,$F$9),D368+E368+F368))</f>
        <v>0</v>
      </c>
      <c r="I368" s="77"/>
      <c r="J368" s="77"/>
      <c r="K368" s="41" t="n">
        <f aca="false">IF(D368&lt;=0.5,0,MIN(H368+N(J368),D368+E368+F368))</f>
        <v>0</v>
      </c>
      <c r="L368" s="41" t="n">
        <f aca="false">K368-E368-F368</f>
        <v>0</v>
      </c>
      <c r="M368" s="41" t="n">
        <f aca="false">D368-L368</f>
        <v>0</v>
      </c>
      <c r="N368" s="42" t="n">
        <f aca="false">K368-G368</f>
        <v>0</v>
      </c>
      <c r="O368" s="78"/>
      <c r="P368" s="79"/>
      <c r="Q368" s="16" t="str">
        <f aca="false">IF(K368=0,"",IF(R368=1,"Pagada",IF(C368&lt;$F$12,"Vencida",IF(342=$F$13,"Próxima","Pendiente"))))</f>
        <v/>
      </c>
      <c r="R368" s="62" t="n">
        <f aca="false">IF(AND(K368&gt;0,OR(O368="Sí",O368="Si")),1,0)</f>
        <v>0</v>
      </c>
      <c r="S368" s="62" t="n">
        <f aca="false">IF(AND(K368&gt;0,R368=0),1,0)</f>
        <v>0</v>
      </c>
    </row>
    <row r="369" customFormat="false" ht="15" hidden="false" customHeight="false" outlineLevel="0" collapsed="false">
      <c r="B369" s="71" t="str">
        <f aca="false">IF($F$6="Sí",N($C$11)+342,"")</f>
        <v/>
      </c>
      <c r="C369" s="72" t="str">
        <f aca="false">IF(OR($F$6&lt;&gt;"Sí",D369&lt;=0.5),"",EDATE($C$10,342))</f>
        <v/>
      </c>
      <c r="D369" s="41" t="n">
        <f aca="false">MAX(0,M368)</f>
        <v>0</v>
      </c>
      <c r="E369" s="41" t="n">
        <f aca="false">D369*$F$7</f>
        <v>0</v>
      </c>
      <c r="F369" s="41" t="n">
        <f aca="false">IF(D369&gt;0.5,N($C$15),0)</f>
        <v>0</v>
      </c>
      <c r="G369" s="41" t="n">
        <f aca="false">IF(AND(D369&gt;0.5,N($C$19)&gt;0,N(B369)&lt;=N($C$20)),D369*$F$8,0)</f>
        <v>0</v>
      </c>
      <c r="H369" s="41" t="n">
        <f aca="false">IF(D369&lt;=0.5,0,MIN(IF(N(I369)&gt;0,I369,$F$9),D369+E369+F369))</f>
        <v>0</v>
      </c>
      <c r="I369" s="77"/>
      <c r="J369" s="77"/>
      <c r="K369" s="41" t="n">
        <f aca="false">IF(D369&lt;=0.5,0,MIN(H369+N(J369),D369+E369+F369))</f>
        <v>0</v>
      </c>
      <c r="L369" s="41" t="n">
        <f aca="false">K369-E369-F369</f>
        <v>0</v>
      </c>
      <c r="M369" s="41" t="n">
        <f aca="false">D369-L369</f>
        <v>0</v>
      </c>
      <c r="N369" s="42" t="n">
        <f aca="false">K369-G369</f>
        <v>0</v>
      </c>
      <c r="O369" s="78"/>
      <c r="P369" s="79"/>
      <c r="Q369" s="16" t="str">
        <f aca="false">IF(K369=0,"",IF(R369=1,"Pagada",IF(C369&lt;$F$12,"Vencida",IF(343=$F$13,"Próxima","Pendiente"))))</f>
        <v/>
      </c>
      <c r="R369" s="62" t="n">
        <f aca="false">IF(AND(K369&gt;0,OR(O369="Sí",O369="Si")),1,0)</f>
        <v>0</v>
      </c>
      <c r="S369" s="62" t="n">
        <f aca="false">IF(AND(K369&gt;0,R369=0),1,0)</f>
        <v>0</v>
      </c>
    </row>
    <row r="370" customFormat="false" ht="15" hidden="false" customHeight="false" outlineLevel="0" collapsed="false">
      <c r="B370" s="71" t="str">
        <f aca="false">IF($F$6="Sí",N($C$11)+343,"")</f>
        <v/>
      </c>
      <c r="C370" s="72" t="str">
        <f aca="false">IF(OR($F$6&lt;&gt;"Sí",D370&lt;=0.5),"",EDATE($C$10,343))</f>
        <v/>
      </c>
      <c r="D370" s="41" t="n">
        <f aca="false">MAX(0,M369)</f>
        <v>0</v>
      </c>
      <c r="E370" s="41" t="n">
        <f aca="false">D370*$F$7</f>
        <v>0</v>
      </c>
      <c r="F370" s="41" t="n">
        <f aca="false">IF(D370&gt;0.5,N($C$15),0)</f>
        <v>0</v>
      </c>
      <c r="G370" s="41" t="n">
        <f aca="false">IF(AND(D370&gt;0.5,N($C$19)&gt;0,N(B370)&lt;=N($C$20)),D370*$F$8,0)</f>
        <v>0</v>
      </c>
      <c r="H370" s="41" t="n">
        <f aca="false">IF(D370&lt;=0.5,0,MIN(IF(N(I370)&gt;0,I370,$F$9),D370+E370+F370))</f>
        <v>0</v>
      </c>
      <c r="I370" s="77"/>
      <c r="J370" s="77"/>
      <c r="K370" s="41" t="n">
        <f aca="false">IF(D370&lt;=0.5,0,MIN(H370+N(J370),D370+E370+F370))</f>
        <v>0</v>
      </c>
      <c r="L370" s="41" t="n">
        <f aca="false">K370-E370-F370</f>
        <v>0</v>
      </c>
      <c r="M370" s="41" t="n">
        <f aca="false">D370-L370</f>
        <v>0</v>
      </c>
      <c r="N370" s="42" t="n">
        <f aca="false">K370-G370</f>
        <v>0</v>
      </c>
      <c r="O370" s="78"/>
      <c r="P370" s="79"/>
      <c r="Q370" s="16" t="str">
        <f aca="false">IF(K370=0,"",IF(R370=1,"Pagada",IF(C370&lt;$F$12,"Vencida",IF(344=$F$13,"Próxima","Pendiente"))))</f>
        <v/>
      </c>
      <c r="R370" s="62" t="n">
        <f aca="false">IF(AND(K370&gt;0,OR(O370="Sí",O370="Si")),1,0)</f>
        <v>0</v>
      </c>
      <c r="S370" s="62" t="n">
        <f aca="false">IF(AND(K370&gt;0,R370=0),1,0)</f>
        <v>0</v>
      </c>
    </row>
    <row r="371" customFormat="false" ht="15" hidden="false" customHeight="false" outlineLevel="0" collapsed="false">
      <c r="B371" s="71" t="str">
        <f aca="false">IF($F$6="Sí",N($C$11)+344,"")</f>
        <v/>
      </c>
      <c r="C371" s="72" t="str">
        <f aca="false">IF(OR($F$6&lt;&gt;"Sí",D371&lt;=0.5),"",EDATE($C$10,344))</f>
        <v/>
      </c>
      <c r="D371" s="41" t="n">
        <f aca="false">MAX(0,M370)</f>
        <v>0</v>
      </c>
      <c r="E371" s="41" t="n">
        <f aca="false">D371*$F$7</f>
        <v>0</v>
      </c>
      <c r="F371" s="41" t="n">
        <f aca="false">IF(D371&gt;0.5,N($C$15),0)</f>
        <v>0</v>
      </c>
      <c r="G371" s="41" t="n">
        <f aca="false">IF(AND(D371&gt;0.5,N($C$19)&gt;0,N(B371)&lt;=N($C$20)),D371*$F$8,0)</f>
        <v>0</v>
      </c>
      <c r="H371" s="41" t="n">
        <f aca="false">IF(D371&lt;=0.5,0,MIN(IF(N(I371)&gt;0,I371,$F$9),D371+E371+F371))</f>
        <v>0</v>
      </c>
      <c r="I371" s="77"/>
      <c r="J371" s="77"/>
      <c r="K371" s="41" t="n">
        <f aca="false">IF(D371&lt;=0.5,0,MIN(H371+N(J371),D371+E371+F371))</f>
        <v>0</v>
      </c>
      <c r="L371" s="41" t="n">
        <f aca="false">K371-E371-F371</f>
        <v>0</v>
      </c>
      <c r="M371" s="41" t="n">
        <f aca="false">D371-L371</f>
        <v>0</v>
      </c>
      <c r="N371" s="42" t="n">
        <f aca="false">K371-G371</f>
        <v>0</v>
      </c>
      <c r="O371" s="78"/>
      <c r="P371" s="79"/>
      <c r="Q371" s="16" t="str">
        <f aca="false">IF(K371=0,"",IF(R371=1,"Pagada",IF(C371&lt;$F$12,"Vencida",IF(345=$F$13,"Próxima","Pendiente"))))</f>
        <v/>
      </c>
      <c r="R371" s="62" t="n">
        <f aca="false">IF(AND(K371&gt;0,OR(O371="Sí",O371="Si")),1,0)</f>
        <v>0</v>
      </c>
      <c r="S371" s="62" t="n">
        <f aca="false">IF(AND(K371&gt;0,R371=0),1,0)</f>
        <v>0</v>
      </c>
    </row>
    <row r="372" customFormat="false" ht="15" hidden="false" customHeight="false" outlineLevel="0" collapsed="false">
      <c r="B372" s="71" t="str">
        <f aca="false">IF($F$6="Sí",N($C$11)+345,"")</f>
        <v/>
      </c>
      <c r="C372" s="72" t="str">
        <f aca="false">IF(OR($F$6&lt;&gt;"Sí",D372&lt;=0.5),"",EDATE($C$10,345))</f>
        <v/>
      </c>
      <c r="D372" s="41" t="n">
        <f aca="false">MAX(0,M371)</f>
        <v>0</v>
      </c>
      <c r="E372" s="41" t="n">
        <f aca="false">D372*$F$7</f>
        <v>0</v>
      </c>
      <c r="F372" s="41" t="n">
        <f aca="false">IF(D372&gt;0.5,N($C$15),0)</f>
        <v>0</v>
      </c>
      <c r="G372" s="41" t="n">
        <f aca="false">IF(AND(D372&gt;0.5,N($C$19)&gt;0,N(B372)&lt;=N($C$20)),D372*$F$8,0)</f>
        <v>0</v>
      </c>
      <c r="H372" s="41" t="n">
        <f aca="false">IF(D372&lt;=0.5,0,MIN(IF(N(I372)&gt;0,I372,$F$9),D372+E372+F372))</f>
        <v>0</v>
      </c>
      <c r="I372" s="77"/>
      <c r="J372" s="77"/>
      <c r="K372" s="41" t="n">
        <f aca="false">IF(D372&lt;=0.5,0,MIN(H372+N(J372),D372+E372+F372))</f>
        <v>0</v>
      </c>
      <c r="L372" s="41" t="n">
        <f aca="false">K372-E372-F372</f>
        <v>0</v>
      </c>
      <c r="M372" s="41" t="n">
        <f aca="false">D372-L372</f>
        <v>0</v>
      </c>
      <c r="N372" s="42" t="n">
        <f aca="false">K372-G372</f>
        <v>0</v>
      </c>
      <c r="O372" s="78"/>
      <c r="P372" s="79"/>
      <c r="Q372" s="16" t="str">
        <f aca="false">IF(K372=0,"",IF(R372=1,"Pagada",IF(C372&lt;$F$12,"Vencida",IF(346=$F$13,"Próxima","Pendiente"))))</f>
        <v/>
      </c>
      <c r="R372" s="62" t="n">
        <f aca="false">IF(AND(K372&gt;0,OR(O372="Sí",O372="Si")),1,0)</f>
        <v>0</v>
      </c>
      <c r="S372" s="62" t="n">
        <f aca="false">IF(AND(K372&gt;0,R372=0),1,0)</f>
        <v>0</v>
      </c>
    </row>
    <row r="373" customFormat="false" ht="15" hidden="false" customHeight="false" outlineLevel="0" collapsed="false">
      <c r="B373" s="71" t="str">
        <f aca="false">IF($F$6="Sí",N($C$11)+346,"")</f>
        <v/>
      </c>
      <c r="C373" s="72" t="str">
        <f aca="false">IF(OR($F$6&lt;&gt;"Sí",D373&lt;=0.5),"",EDATE($C$10,346))</f>
        <v/>
      </c>
      <c r="D373" s="41" t="n">
        <f aca="false">MAX(0,M372)</f>
        <v>0</v>
      </c>
      <c r="E373" s="41" t="n">
        <f aca="false">D373*$F$7</f>
        <v>0</v>
      </c>
      <c r="F373" s="41" t="n">
        <f aca="false">IF(D373&gt;0.5,N($C$15),0)</f>
        <v>0</v>
      </c>
      <c r="G373" s="41" t="n">
        <f aca="false">IF(AND(D373&gt;0.5,N($C$19)&gt;0,N(B373)&lt;=N($C$20)),D373*$F$8,0)</f>
        <v>0</v>
      </c>
      <c r="H373" s="41" t="n">
        <f aca="false">IF(D373&lt;=0.5,0,MIN(IF(N(I373)&gt;0,I373,$F$9),D373+E373+F373))</f>
        <v>0</v>
      </c>
      <c r="I373" s="77"/>
      <c r="J373" s="77"/>
      <c r="K373" s="41" t="n">
        <f aca="false">IF(D373&lt;=0.5,0,MIN(H373+N(J373),D373+E373+F373))</f>
        <v>0</v>
      </c>
      <c r="L373" s="41" t="n">
        <f aca="false">K373-E373-F373</f>
        <v>0</v>
      </c>
      <c r="M373" s="41" t="n">
        <f aca="false">D373-L373</f>
        <v>0</v>
      </c>
      <c r="N373" s="42" t="n">
        <f aca="false">K373-G373</f>
        <v>0</v>
      </c>
      <c r="O373" s="78"/>
      <c r="P373" s="79"/>
      <c r="Q373" s="16" t="str">
        <f aca="false">IF(K373=0,"",IF(R373=1,"Pagada",IF(C373&lt;$F$12,"Vencida",IF(347=$F$13,"Próxima","Pendiente"))))</f>
        <v/>
      </c>
      <c r="R373" s="62" t="n">
        <f aca="false">IF(AND(K373&gt;0,OR(O373="Sí",O373="Si")),1,0)</f>
        <v>0</v>
      </c>
      <c r="S373" s="62" t="n">
        <f aca="false">IF(AND(K373&gt;0,R373=0),1,0)</f>
        <v>0</v>
      </c>
    </row>
    <row r="374" customFormat="false" ht="15" hidden="false" customHeight="false" outlineLevel="0" collapsed="false">
      <c r="B374" s="71" t="str">
        <f aca="false">IF($F$6="Sí",N($C$11)+347,"")</f>
        <v/>
      </c>
      <c r="C374" s="72" t="str">
        <f aca="false">IF(OR($F$6&lt;&gt;"Sí",D374&lt;=0.5),"",EDATE($C$10,347))</f>
        <v/>
      </c>
      <c r="D374" s="41" t="n">
        <f aca="false">MAX(0,M373)</f>
        <v>0</v>
      </c>
      <c r="E374" s="41" t="n">
        <f aca="false">D374*$F$7</f>
        <v>0</v>
      </c>
      <c r="F374" s="41" t="n">
        <f aca="false">IF(D374&gt;0.5,N($C$15),0)</f>
        <v>0</v>
      </c>
      <c r="G374" s="41" t="n">
        <f aca="false">IF(AND(D374&gt;0.5,N($C$19)&gt;0,N(B374)&lt;=N($C$20)),D374*$F$8,0)</f>
        <v>0</v>
      </c>
      <c r="H374" s="41" t="n">
        <f aca="false">IF(D374&lt;=0.5,0,MIN(IF(N(I374)&gt;0,I374,$F$9),D374+E374+F374))</f>
        <v>0</v>
      </c>
      <c r="I374" s="77"/>
      <c r="J374" s="77"/>
      <c r="K374" s="41" t="n">
        <f aca="false">IF(D374&lt;=0.5,0,MIN(H374+N(J374),D374+E374+F374))</f>
        <v>0</v>
      </c>
      <c r="L374" s="41" t="n">
        <f aca="false">K374-E374-F374</f>
        <v>0</v>
      </c>
      <c r="M374" s="41" t="n">
        <f aca="false">D374-L374</f>
        <v>0</v>
      </c>
      <c r="N374" s="42" t="n">
        <f aca="false">K374-G374</f>
        <v>0</v>
      </c>
      <c r="O374" s="78"/>
      <c r="P374" s="79"/>
      <c r="Q374" s="16" t="str">
        <f aca="false">IF(K374=0,"",IF(R374=1,"Pagada",IF(C374&lt;$F$12,"Vencida",IF(348=$F$13,"Próxima","Pendiente"))))</f>
        <v/>
      </c>
      <c r="R374" s="62" t="n">
        <f aca="false">IF(AND(K374&gt;0,OR(O374="Sí",O374="Si")),1,0)</f>
        <v>0</v>
      </c>
      <c r="S374" s="62" t="n">
        <f aca="false">IF(AND(K374&gt;0,R374=0),1,0)</f>
        <v>0</v>
      </c>
    </row>
    <row r="375" customFormat="false" ht="15" hidden="false" customHeight="false" outlineLevel="0" collapsed="false">
      <c r="B375" s="71" t="str">
        <f aca="false">IF($F$6="Sí",N($C$11)+348,"")</f>
        <v/>
      </c>
      <c r="C375" s="72" t="str">
        <f aca="false">IF(OR($F$6&lt;&gt;"Sí",D375&lt;=0.5),"",EDATE($C$10,348))</f>
        <v/>
      </c>
      <c r="D375" s="41" t="n">
        <f aca="false">MAX(0,M374)</f>
        <v>0</v>
      </c>
      <c r="E375" s="41" t="n">
        <f aca="false">D375*$F$7</f>
        <v>0</v>
      </c>
      <c r="F375" s="41" t="n">
        <f aca="false">IF(D375&gt;0.5,N($C$15),0)</f>
        <v>0</v>
      </c>
      <c r="G375" s="41" t="n">
        <f aca="false">IF(AND(D375&gt;0.5,N($C$19)&gt;0,N(B375)&lt;=N($C$20)),D375*$F$8,0)</f>
        <v>0</v>
      </c>
      <c r="H375" s="41" t="n">
        <f aca="false">IF(D375&lt;=0.5,0,MIN(IF(N(I375)&gt;0,I375,$F$9),D375+E375+F375))</f>
        <v>0</v>
      </c>
      <c r="I375" s="77"/>
      <c r="J375" s="77"/>
      <c r="K375" s="41" t="n">
        <f aca="false">IF(D375&lt;=0.5,0,MIN(H375+N(J375),D375+E375+F375))</f>
        <v>0</v>
      </c>
      <c r="L375" s="41" t="n">
        <f aca="false">K375-E375-F375</f>
        <v>0</v>
      </c>
      <c r="M375" s="41" t="n">
        <f aca="false">D375-L375</f>
        <v>0</v>
      </c>
      <c r="N375" s="42" t="n">
        <f aca="false">K375-G375</f>
        <v>0</v>
      </c>
      <c r="O375" s="78"/>
      <c r="P375" s="79"/>
      <c r="Q375" s="16" t="str">
        <f aca="false">IF(K375=0,"",IF(R375=1,"Pagada",IF(C375&lt;$F$12,"Vencida",IF(349=$F$13,"Próxima","Pendiente"))))</f>
        <v/>
      </c>
      <c r="R375" s="62" t="n">
        <f aca="false">IF(AND(K375&gt;0,OR(O375="Sí",O375="Si")),1,0)</f>
        <v>0</v>
      </c>
      <c r="S375" s="62" t="n">
        <f aca="false">IF(AND(K375&gt;0,R375=0),1,0)</f>
        <v>0</v>
      </c>
    </row>
    <row r="376" customFormat="false" ht="15" hidden="false" customHeight="false" outlineLevel="0" collapsed="false">
      <c r="B376" s="71" t="str">
        <f aca="false">IF($F$6="Sí",N($C$11)+349,"")</f>
        <v/>
      </c>
      <c r="C376" s="72" t="str">
        <f aca="false">IF(OR($F$6&lt;&gt;"Sí",D376&lt;=0.5),"",EDATE($C$10,349))</f>
        <v/>
      </c>
      <c r="D376" s="41" t="n">
        <f aca="false">MAX(0,M375)</f>
        <v>0</v>
      </c>
      <c r="E376" s="41" t="n">
        <f aca="false">D376*$F$7</f>
        <v>0</v>
      </c>
      <c r="F376" s="41" t="n">
        <f aca="false">IF(D376&gt;0.5,N($C$15),0)</f>
        <v>0</v>
      </c>
      <c r="G376" s="41" t="n">
        <f aca="false">IF(AND(D376&gt;0.5,N($C$19)&gt;0,N(B376)&lt;=N($C$20)),D376*$F$8,0)</f>
        <v>0</v>
      </c>
      <c r="H376" s="41" t="n">
        <f aca="false">IF(D376&lt;=0.5,0,MIN(IF(N(I376)&gt;0,I376,$F$9),D376+E376+F376))</f>
        <v>0</v>
      </c>
      <c r="I376" s="77"/>
      <c r="J376" s="77"/>
      <c r="K376" s="41" t="n">
        <f aca="false">IF(D376&lt;=0.5,0,MIN(H376+N(J376),D376+E376+F376))</f>
        <v>0</v>
      </c>
      <c r="L376" s="41" t="n">
        <f aca="false">K376-E376-F376</f>
        <v>0</v>
      </c>
      <c r="M376" s="41" t="n">
        <f aca="false">D376-L376</f>
        <v>0</v>
      </c>
      <c r="N376" s="42" t="n">
        <f aca="false">K376-G376</f>
        <v>0</v>
      </c>
      <c r="O376" s="78"/>
      <c r="P376" s="79"/>
      <c r="Q376" s="16" t="str">
        <f aca="false">IF(K376=0,"",IF(R376=1,"Pagada",IF(C376&lt;$F$12,"Vencida",IF(350=$F$13,"Próxima","Pendiente"))))</f>
        <v/>
      </c>
      <c r="R376" s="62" t="n">
        <f aca="false">IF(AND(K376&gt;0,OR(O376="Sí",O376="Si")),1,0)</f>
        <v>0</v>
      </c>
      <c r="S376" s="62" t="n">
        <f aca="false">IF(AND(K376&gt;0,R376=0),1,0)</f>
        <v>0</v>
      </c>
    </row>
    <row r="377" customFormat="false" ht="15" hidden="false" customHeight="false" outlineLevel="0" collapsed="false">
      <c r="B377" s="71" t="str">
        <f aca="false">IF($F$6="Sí",N($C$11)+350,"")</f>
        <v/>
      </c>
      <c r="C377" s="72" t="str">
        <f aca="false">IF(OR($F$6&lt;&gt;"Sí",D377&lt;=0.5),"",EDATE($C$10,350))</f>
        <v/>
      </c>
      <c r="D377" s="41" t="n">
        <f aca="false">MAX(0,M376)</f>
        <v>0</v>
      </c>
      <c r="E377" s="41" t="n">
        <f aca="false">D377*$F$7</f>
        <v>0</v>
      </c>
      <c r="F377" s="41" t="n">
        <f aca="false">IF(D377&gt;0.5,N($C$15),0)</f>
        <v>0</v>
      </c>
      <c r="G377" s="41" t="n">
        <f aca="false">IF(AND(D377&gt;0.5,N($C$19)&gt;0,N(B377)&lt;=N($C$20)),D377*$F$8,0)</f>
        <v>0</v>
      </c>
      <c r="H377" s="41" t="n">
        <f aca="false">IF(D377&lt;=0.5,0,MIN(IF(N(I377)&gt;0,I377,$F$9),D377+E377+F377))</f>
        <v>0</v>
      </c>
      <c r="I377" s="77"/>
      <c r="J377" s="77"/>
      <c r="K377" s="41" t="n">
        <f aca="false">IF(D377&lt;=0.5,0,MIN(H377+N(J377),D377+E377+F377))</f>
        <v>0</v>
      </c>
      <c r="L377" s="41" t="n">
        <f aca="false">K377-E377-F377</f>
        <v>0</v>
      </c>
      <c r="M377" s="41" t="n">
        <f aca="false">D377-L377</f>
        <v>0</v>
      </c>
      <c r="N377" s="42" t="n">
        <f aca="false">K377-G377</f>
        <v>0</v>
      </c>
      <c r="O377" s="78"/>
      <c r="P377" s="79"/>
      <c r="Q377" s="16" t="str">
        <f aca="false">IF(K377=0,"",IF(R377=1,"Pagada",IF(C377&lt;$F$12,"Vencida",IF(351=$F$13,"Próxima","Pendiente"))))</f>
        <v/>
      </c>
      <c r="R377" s="62" t="n">
        <f aca="false">IF(AND(K377&gt;0,OR(O377="Sí",O377="Si")),1,0)</f>
        <v>0</v>
      </c>
      <c r="S377" s="62" t="n">
        <f aca="false">IF(AND(K377&gt;0,R377=0),1,0)</f>
        <v>0</v>
      </c>
    </row>
    <row r="378" customFormat="false" ht="15" hidden="false" customHeight="false" outlineLevel="0" collapsed="false">
      <c r="B378" s="71" t="str">
        <f aca="false">IF($F$6="Sí",N($C$11)+351,"")</f>
        <v/>
      </c>
      <c r="C378" s="72" t="str">
        <f aca="false">IF(OR($F$6&lt;&gt;"Sí",D378&lt;=0.5),"",EDATE($C$10,351))</f>
        <v/>
      </c>
      <c r="D378" s="41" t="n">
        <f aca="false">MAX(0,M377)</f>
        <v>0</v>
      </c>
      <c r="E378" s="41" t="n">
        <f aca="false">D378*$F$7</f>
        <v>0</v>
      </c>
      <c r="F378" s="41" t="n">
        <f aca="false">IF(D378&gt;0.5,N($C$15),0)</f>
        <v>0</v>
      </c>
      <c r="G378" s="41" t="n">
        <f aca="false">IF(AND(D378&gt;0.5,N($C$19)&gt;0,N(B378)&lt;=N($C$20)),D378*$F$8,0)</f>
        <v>0</v>
      </c>
      <c r="H378" s="41" t="n">
        <f aca="false">IF(D378&lt;=0.5,0,MIN(IF(N(I378)&gt;0,I378,$F$9),D378+E378+F378))</f>
        <v>0</v>
      </c>
      <c r="I378" s="77"/>
      <c r="J378" s="77"/>
      <c r="K378" s="41" t="n">
        <f aca="false">IF(D378&lt;=0.5,0,MIN(H378+N(J378),D378+E378+F378))</f>
        <v>0</v>
      </c>
      <c r="L378" s="41" t="n">
        <f aca="false">K378-E378-F378</f>
        <v>0</v>
      </c>
      <c r="M378" s="41" t="n">
        <f aca="false">D378-L378</f>
        <v>0</v>
      </c>
      <c r="N378" s="42" t="n">
        <f aca="false">K378-G378</f>
        <v>0</v>
      </c>
      <c r="O378" s="78"/>
      <c r="P378" s="79"/>
      <c r="Q378" s="16" t="str">
        <f aca="false">IF(K378=0,"",IF(R378=1,"Pagada",IF(C378&lt;$F$12,"Vencida",IF(352=$F$13,"Próxima","Pendiente"))))</f>
        <v/>
      </c>
      <c r="R378" s="62" t="n">
        <f aca="false">IF(AND(K378&gt;0,OR(O378="Sí",O378="Si")),1,0)</f>
        <v>0</v>
      </c>
      <c r="S378" s="62" t="n">
        <f aca="false">IF(AND(K378&gt;0,R378=0),1,0)</f>
        <v>0</v>
      </c>
    </row>
    <row r="379" customFormat="false" ht="15" hidden="false" customHeight="false" outlineLevel="0" collapsed="false">
      <c r="B379" s="71" t="str">
        <f aca="false">IF($F$6="Sí",N($C$11)+352,"")</f>
        <v/>
      </c>
      <c r="C379" s="72" t="str">
        <f aca="false">IF(OR($F$6&lt;&gt;"Sí",D379&lt;=0.5),"",EDATE($C$10,352))</f>
        <v/>
      </c>
      <c r="D379" s="41" t="n">
        <f aca="false">MAX(0,M378)</f>
        <v>0</v>
      </c>
      <c r="E379" s="41" t="n">
        <f aca="false">D379*$F$7</f>
        <v>0</v>
      </c>
      <c r="F379" s="41" t="n">
        <f aca="false">IF(D379&gt;0.5,N($C$15),0)</f>
        <v>0</v>
      </c>
      <c r="G379" s="41" t="n">
        <f aca="false">IF(AND(D379&gt;0.5,N($C$19)&gt;0,N(B379)&lt;=N($C$20)),D379*$F$8,0)</f>
        <v>0</v>
      </c>
      <c r="H379" s="41" t="n">
        <f aca="false">IF(D379&lt;=0.5,0,MIN(IF(N(I379)&gt;0,I379,$F$9),D379+E379+F379))</f>
        <v>0</v>
      </c>
      <c r="I379" s="77"/>
      <c r="J379" s="77"/>
      <c r="K379" s="41" t="n">
        <f aca="false">IF(D379&lt;=0.5,0,MIN(H379+N(J379),D379+E379+F379))</f>
        <v>0</v>
      </c>
      <c r="L379" s="41" t="n">
        <f aca="false">K379-E379-F379</f>
        <v>0</v>
      </c>
      <c r="M379" s="41" t="n">
        <f aca="false">D379-L379</f>
        <v>0</v>
      </c>
      <c r="N379" s="42" t="n">
        <f aca="false">K379-G379</f>
        <v>0</v>
      </c>
      <c r="O379" s="78"/>
      <c r="P379" s="79"/>
      <c r="Q379" s="16" t="str">
        <f aca="false">IF(K379=0,"",IF(R379=1,"Pagada",IF(C379&lt;$F$12,"Vencida",IF(353=$F$13,"Próxima","Pendiente"))))</f>
        <v/>
      </c>
      <c r="R379" s="62" t="n">
        <f aca="false">IF(AND(K379&gt;0,OR(O379="Sí",O379="Si")),1,0)</f>
        <v>0</v>
      </c>
      <c r="S379" s="62" t="n">
        <f aca="false">IF(AND(K379&gt;0,R379=0),1,0)</f>
        <v>0</v>
      </c>
    </row>
    <row r="380" customFormat="false" ht="15" hidden="false" customHeight="false" outlineLevel="0" collapsed="false">
      <c r="B380" s="71" t="str">
        <f aca="false">IF($F$6="Sí",N($C$11)+353,"")</f>
        <v/>
      </c>
      <c r="C380" s="72" t="str">
        <f aca="false">IF(OR($F$6&lt;&gt;"Sí",D380&lt;=0.5),"",EDATE($C$10,353))</f>
        <v/>
      </c>
      <c r="D380" s="41" t="n">
        <f aca="false">MAX(0,M379)</f>
        <v>0</v>
      </c>
      <c r="E380" s="41" t="n">
        <f aca="false">D380*$F$7</f>
        <v>0</v>
      </c>
      <c r="F380" s="41" t="n">
        <f aca="false">IF(D380&gt;0.5,N($C$15),0)</f>
        <v>0</v>
      </c>
      <c r="G380" s="41" t="n">
        <f aca="false">IF(AND(D380&gt;0.5,N($C$19)&gt;0,N(B380)&lt;=N($C$20)),D380*$F$8,0)</f>
        <v>0</v>
      </c>
      <c r="H380" s="41" t="n">
        <f aca="false">IF(D380&lt;=0.5,0,MIN(IF(N(I380)&gt;0,I380,$F$9),D380+E380+F380))</f>
        <v>0</v>
      </c>
      <c r="I380" s="77"/>
      <c r="J380" s="77"/>
      <c r="K380" s="41" t="n">
        <f aca="false">IF(D380&lt;=0.5,0,MIN(H380+N(J380),D380+E380+F380))</f>
        <v>0</v>
      </c>
      <c r="L380" s="41" t="n">
        <f aca="false">K380-E380-F380</f>
        <v>0</v>
      </c>
      <c r="M380" s="41" t="n">
        <f aca="false">D380-L380</f>
        <v>0</v>
      </c>
      <c r="N380" s="42" t="n">
        <f aca="false">K380-G380</f>
        <v>0</v>
      </c>
      <c r="O380" s="78"/>
      <c r="P380" s="79"/>
      <c r="Q380" s="16" t="str">
        <f aca="false">IF(K380=0,"",IF(R380=1,"Pagada",IF(C380&lt;$F$12,"Vencida",IF(354=$F$13,"Próxima","Pendiente"))))</f>
        <v/>
      </c>
      <c r="R380" s="62" t="n">
        <f aca="false">IF(AND(K380&gt;0,OR(O380="Sí",O380="Si")),1,0)</f>
        <v>0</v>
      </c>
      <c r="S380" s="62" t="n">
        <f aca="false">IF(AND(K380&gt;0,R380=0),1,0)</f>
        <v>0</v>
      </c>
    </row>
    <row r="381" customFormat="false" ht="15" hidden="false" customHeight="false" outlineLevel="0" collapsed="false">
      <c r="B381" s="71" t="str">
        <f aca="false">IF($F$6="Sí",N($C$11)+354,"")</f>
        <v/>
      </c>
      <c r="C381" s="72" t="str">
        <f aca="false">IF(OR($F$6&lt;&gt;"Sí",D381&lt;=0.5),"",EDATE($C$10,354))</f>
        <v/>
      </c>
      <c r="D381" s="41" t="n">
        <f aca="false">MAX(0,M380)</f>
        <v>0</v>
      </c>
      <c r="E381" s="41" t="n">
        <f aca="false">D381*$F$7</f>
        <v>0</v>
      </c>
      <c r="F381" s="41" t="n">
        <f aca="false">IF(D381&gt;0.5,N($C$15),0)</f>
        <v>0</v>
      </c>
      <c r="G381" s="41" t="n">
        <f aca="false">IF(AND(D381&gt;0.5,N($C$19)&gt;0,N(B381)&lt;=N($C$20)),D381*$F$8,0)</f>
        <v>0</v>
      </c>
      <c r="H381" s="41" t="n">
        <f aca="false">IF(D381&lt;=0.5,0,MIN(IF(N(I381)&gt;0,I381,$F$9),D381+E381+F381))</f>
        <v>0</v>
      </c>
      <c r="I381" s="77"/>
      <c r="J381" s="77"/>
      <c r="K381" s="41" t="n">
        <f aca="false">IF(D381&lt;=0.5,0,MIN(H381+N(J381),D381+E381+F381))</f>
        <v>0</v>
      </c>
      <c r="L381" s="41" t="n">
        <f aca="false">K381-E381-F381</f>
        <v>0</v>
      </c>
      <c r="M381" s="41" t="n">
        <f aca="false">D381-L381</f>
        <v>0</v>
      </c>
      <c r="N381" s="42" t="n">
        <f aca="false">K381-G381</f>
        <v>0</v>
      </c>
      <c r="O381" s="78"/>
      <c r="P381" s="79"/>
      <c r="Q381" s="16" t="str">
        <f aca="false">IF(K381=0,"",IF(R381=1,"Pagada",IF(C381&lt;$F$12,"Vencida",IF(355=$F$13,"Próxima","Pendiente"))))</f>
        <v/>
      </c>
      <c r="R381" s="62" t="n">
        <f aca="false">IF(AND(K381&gt;0,OR(O381="Sí",O381="Si")),1,0)</f>
        <v>0</v>
      </c>
      <c r="S381" s="62" t="n">
        <f aca="false">IF(AND(K381&gt;0,R381=0),1,0)</f>
        <v>0</v>
      </c>
    </row>
    <row r="382" customFormat="false" ht="15" hidden="false" customHeight="false" outlineLevel="0" collapsed="false">
      <c r="B382" s="71" t="str">
        <f aca="false">IF($F$6="Sí",N($C$11)+355,"")</f>
        <v/>
      </c>
      <c r="C382" s="72" t="str">
        <f aca="false">IF(OR($F$6&lt;&gt;"Sí",D382&lt;=0.5),"",EDATE($C$10,355))</f>
        <v/>
      </c>
      <c r="D382" s="41" t="n">
        <f aca="false">MAX(0,M381)</f>
        <v>0</v>
      </c>
      <c r="E382" s="41" t="n">
        <f aca="false">D382*$F$7</f>
        <v>0</v>
      </c>
      <c r="F382" s="41" t="n">
        <f aca="false">IF(D382&gt;0.5,N($C$15),0)</f>
        <v>0</v>
      </c>
      <c r="G382" s="41" t="n">
        <f aca="false">IF(AND(D382&gt;0.5,N($C$19)&gt;0,N(B382)&lt;=N($C$20)),D382*$F$8,0)</f>
        <v>0</v>
      </c>
      <c r="H382" s="41" t="n">
        <f aca="false">IF(D382&lt;=0.5,0,MIN(IF(N(I382)&gt;0,I382,$F$9),D382+E382+F382))</f>
        <v>0</v>
      </c>
      <c r="I382" s="77"/>
      <c r="J382" s="77"/>
      <c r="K382" s="41" t="n">
        <f aca="false">IF(D382&lt;=0.5,0,MIN(H382+N(J382),D382+E382+F382))</f>
        <v>0</v>
      </c>
      <c r="L382" s="41" t="n">
        <f aca="false">K382-E382-F382</f>
        <v>0</v>
      </c>
      <c r="M382" s="41" t="n">
        <f aca="false">D382-L382</f>
        <v>0</v>
      </c>
      <c r="N382" s="42" t="n">
        <f aca="false">K382-G382</f>
        <v>0</v>
      </c>
      <c r="O382" s="78"/>
      <c r="P382" s="79"/>
      <c r="Q382" s="16" t="str">
        <f aca="false">IF(K382=0,"",IF(R382=1,"Pagada",IF(C382&lt;$F$12,"Vencida",IF(356=$F$13,"Próxima","Pendiente"))))</f>
        <v/>
      </c>
      <c r="R382" s="62" t="n">
        <f aca="false">IF(AND(K382&gt;0,OR(O382="Sí",O382="Si")),1,0)</f>
        <v>0</v>
      </c>
      <c r="S382" s="62" t="n">
        <f aca="false">IF(AND(K382&gt;0,R382=0),1,0)</f>
        <v>0</v>
      </c>
    </row>
    <row r="383" customFormat="false" ht="15" hidden="false" customHeight="false" outlineLevel="0" collapsed="false">
      <c r="B383" s="71" t="str">
        <f aca="false">IF($F$6="Sí",N($C$11)+356,"")</f>
        <v/>
      </c>
      <c r="C383" s="72" t="str">
        <f aca="false">IF(OR($F$6&lt;&gt;"Sí",D383&lt;=0.5),"",EDATE($C$10,356))</f>
        <v/>
      </c>
      <c r="D383" s="41" t="n">
        <f aca="false">MAX(0,M382)</f>
        <v>0</v>
      </c>
      <c r="E383" s="41" t="n">
        <f aca="false">D383*$F$7</f>
        <v>0</v>
      </c>
      <c r="F383" s="41" t="n">
        <f aca="false">IF(D383&gt;0.5,N($C$15),0)</f>
        <v>0</v>
      </c>
      <c r="G383" s="41" t="n">
        <f aca="false">IF(AND(D383&gt;0.5,N($C$19)&gt;0,N(B383)&lt;=N($C$20)),D383*$F$8,0)</f>
        <v>0</v>
      </c>
      <c r="H383" s="41" t="n">
        <f aca="false">IF(D383&lt;=0.5,0,MIN(IF(N(I383)&gt;0,I383,$F$9),D383+E383+F383))</f>
        <v>0</v>
      </c>
      <c r="I383" s="77"/>
      <c r="J383" s="77"/>
      <c r="K383" s="41" t="n">
        <f aca="false">IF(D383&lt;=0.5,0,MIN(H383+N(J383),D383+E383+F383))</f>
        <v>0</v>
      </c>
      <c r="L383" s="41" t="n">
        <f aca="false">K383-E383-F383</f>
        <v>0</v>
      </c>
      <c r="M383" s="41" t="n">
        <f aca="false">D383-L383</f>
        <v>0</v>
      </c>
      <c r="N383" s="42" t="n">
        <f aca="false">K383-G383</f>
        <v>0</v>
      </c>
      <c r="O383" s="78"/>
      <c r="P383" s="79"/>
      <c r="Q383" s="16" t="str">
        <f aca="false">IF(K383=0,"",IF(R383=1,"Pagada",IF(C383&lt;$F$12,"Vencida",IF(357=$F$13,"Próxima","Pendiente"))))</f>
        <v/>
      </c>
      <c r="R383" s="62" t="n">
        <f aca="false">IF(AND(K383&gt;0,OR(O383="Sí",O383="Si")),1,0)</f>
        <v>0</v>
      </c>
      <c r="S383" s="62" t="n">
        <f aca="false">IF(AND(K383&gt;0,R383=0),1,0)</f>
        <v>0</v>
      </c>
    </row>
    <row r="384" customFormat="false" ht="15" hidden="false" customHeight="false" outlineLevel="0" collapsed="false">
      <c r="B384" s="71" t="str">
        <f aca="false">IF($F$6="Sí",N($C$11)+357,"")</f>
        <v/>
      </c>
      <c r="C384" s="72" t="str">
        <f aca="false">IF(OR($F$6&lt;&gt;"Sí",D384&lt;=0.5),"",EDATE($C$10,357))</f>
        <v/>
      </c>
      <c r="D384" s="41" t="n">
        <f aca="false">MAX(0,M383)</f>
        <v>0</v>
      </c>
      <c r="E384" s="41" t="n">
        <f aca="false">D384*$F$7</f>
        <v>0</v>
      </c>
      <c r="F384" s="41" t="n">
        <f aca="false">IF(D384&gt;0.5,N($C$15),0)</f>
        <v>0</v>
      </c>
      <c r="G384" s="41" t="n">
        <f aca="false">IF(AND(D384&gt;0.5,N($C$19)&gt;0,N(B384)&lt;=N($C$20)),D384*$F$8,0)</f>
        <v>0</v>
      </c>
      <c r="H384" s="41" t="n">
        <f aca="false">IF(D384&lt;=0.5,0,MIN(IF(N(I384)&gt;0,I384,$F$9),D384+E384+F384))</f>
        <v>0</v>
      </c>
      <c r="I384" s="77"/>
      <c r="J384" s="77"/>
      <c r="K384" s="41" t="n">
        <f aca="false">IF(D384&lt;=0.5,0,MIN(H384+N(J384),D384+E384+F384))</f>
        <v>0</v>
      </c>
      <c r="L384" s="41" t="n">
        <f aca="false">K384-E384-F384</f>
        <v>0</v>
      </c>
      <c r="M384" s="41" t="n">
        <f aca="false">D384-L384</f>
        <v>0</v>
      </c>
      <c r="N384" s="42" t="n">
        <f aca="false">K384-G384</f>
        <v>0</v>
      </c>
      <c r="O384" s="78"/>
      <c r="P384" s="79"/>
      <c r="Q384" s="16" t="str">
        <f aca="false">IF(K384=0,"",IF(R384=1,"Pagada",IF(C384&lt;$F$12,"Vencida",IF(358=$F$13,"Próxima","Pendiente"))))</f>
        <v/>
      </c>
      <c r="R384" s="62" t="n">
        <f aca="false">IF(AND(K384&gt;0,OR(O384="Sí",O384="Si")),1,0)</f>
        <v>0</v>
      </c>
      <c r="S384" s="62" t="n">
        <f aca="false">IF(AND(K384&gt;0,R384=0),1,0)</f>
        <v>0</v>
      </c>
    </row>
    <row r="385" customFormat="false" ht="15" hidden="false" customHeight="false" outlineLevel="0" collapsed="false">
      <c r="B385" s="71" t="str">
        <f aca="false">IF($F$6="Sí",N($C$11)+358,"")</f>
        <v/>
      </c>
      <c r="C385" s="72" t="str">
        <f aca="false">IF(OR($F$6&lt;&gt;"Sí",D385&lt;=0.5),"",EDATE($C$10,358))</f>
        <v/>
      </c>
      <c r="D385" s="41" t="n">
        <f aca="false">MAX(0,M384)</f>
        <v>0</v>
      </c>
      <c r="E385" s="41" t="n">
        <f aca="false">D385*$F$7</f>
        <v>0</v>
      </c>
      <c r="F385" s="41" t="n">
        <f aca="false">IF(D385&gt;0.5,N($C$15),0)</f>
        <v>0</v>
      </c>
      <c r="G385" s="41" t="n">
        <f aca="false">IF(AND(D385&gt;0.5,N($C$19)&gt;0,N(B385)&lt;=N($C$20)),D385*$F$8,0)</f>
        <v>0</v>
      </c>
      <c r="H385" s="41" t="n">
        <f aca="false">IF(D385&lt;=0.5,0,MIN(IF(N(I385)&gt;0,I385,$F$9),D385+E385+F385))</f>
        <v>0</v>
      </c>
      <c r="I385" s="77"/>
      <c r="J385" s="77"/>
      <c r="K385" s="41" t="n">
        <f aca="false">IF(D385&lt;=0.5,0,MIN(H385+N(J385),D385+E385+F385))</f>
        <v>0</v>
      </c>
      <c r="L385" s="41" t="n">
        <f aca="false">K385-E385-F385</f>
        <v>0</v>
      </c>
      <c r="M385" s="41" t="n">
        <f aca="false">D385-L385</f>
        <v>0</v>
      </c>
      <c r="N385" s="42" t="n">
        <f aca="false">K385-G385</f>
        <v>0</v>
      </c>
      <c r="O385" s="78"/>
      <c r="P385" s="79"/>
      <c r="Q385" s="16" t="str">
        <f aca="false">IF(K385=0,"",IF(R385=1,"Pagada",IF(C385&lt;$F$12,"Vencida",IF(359=$F$13,"Próxima","Pendiente"))))</f>
        <v/>
      </c>
      <c r="R385" s="62" t="n">
        <f aca="false">IF(AND(K385&gt;0,OR(O385="Sí",O385="Si")),1,0)</f>
        <v>0</v>
      </c>
      <c r="S385" s="62" t="n">
        <f aca="false">IF(AND(K385&gt;0,R385=0),1,0)</f>
        <v>0</v>
      </c>
    </row>
    <row r="386" customFormat="false" ht="15" hidden="false" customHeight="false" outlineLevel="0" collapsed="false">
      <c r="B386" s="71" t="str">
        <f aca="false">IF($F$6="Sí",N($C$11)+359,"")</f>
        <v/>
      </c>
      <c r="C386" s="72" t="str">
        <f aca="false">IF(OR($F$6&lt;&gt;"Sí",D386&lt;=0.5),"",EDATE($C$10,359))</f>
        <v/>
      </c>
      <c r="D386" s="41" t="n">
        <f aca="false">MAX(0,M385)</f>
        <v>0</v>
      </c>
      <c r="E386" s="41" t="n">
        <f aca="false">D386*$F$7</f>
        <v>0</v>
      </c>
      <c r="F386" s="41" t="n">
        <f aca="false">IF(D386&gt;0.5,N($C$15),0)</f>
        <v>0</v>
      </c>
      <c r="G386" s="41" t="n">
        <f aca="false">IF(AND(D386&gt;0.5,N($C$19)&gt;0,N(B386)&lt;=N($C$20)),D386*$F$8,0)</f>
        <v>0</v>
      </c>
      <c r="H386" s="41" t="n">
        <f aca="false">IF(D386&lt;=0.5,0,MIN(IF(N(I386)&gt;0,I386,$F$9),D386+E386+F386))</f>
        <v>0</v>
      </c>
      <c r="I386" s="77"/>
      <c r="J386" s="77"/>
      <c r="K386" s="41" t="n">
        <f aca="false">IF(D386&lt;=0.5,0,MIN(H386+N(J386),D386+E386+F386))</f>
        <v>0</v>
      </c>
      <c r="L386" s="41" t="n">
        <f aca="false">K386-E386-F386</f>
        <v>0</v>
      </c>
      <c r="M386" s="41" t="n">
        <f aca="false">D386-L386</f>
        <v>0</v>
      </c>
      <c r="N386" s="42" t="n">
        <f aca="false">K386-G386</f>
        <v>0</v>
      </c>
      <c r="O386" s="78"/>
      <c r="P386" s="79"/>
      <c r="Q386" s="16" t="str">
        <f aca="false">IF(K386=0,"",IF(R386=1,"Pagada",IF(C386&lt;$F$12,"Vencida",IF(360=$F$13,"Próxima","Pendiente"))))</f>
        <v/>
      </c>
      <c r="R386" s="62" t="n">
        <f aca="false">IF(AND(K386&gt;0,OR(O386="Sí",O386="Si")),1,0)</f>
        <v>0</v>
      </c>
      <c r="S386" s="62" t="n">
        <f aca="false">IF(AND(K386&gt;0,R386=0),1,0)</f>
        <v>0</v>
      </c>
    </row>
  </sheetData>
  <conditionalFormatting sqref="B27:Q386">
    <cfRule type="expression" priority="2" aboveAverage="0" equalAverage="0" bottom="0" percent="0" rank="0" text="" dxfId="5">
      <formula>$Q27="Pagada"</formula>
    </cfRule>
    <cfRule type="expression" priority="3" aboveAverage="0" equalAverage="0" bottom="0" percent="0" rank="0" text="" dxfId="3">
      <formula>$Q27="Vencida"</formula>
    </cfRule>
    <cfRule type="expression" priority="4" aboveAverage="0" equalAverage="0" bottom="0" percent="0" rank="0" text="" dxfId="6">
      <formula>$Q27="Próxima"</formula>
    </cfRule>
  </conditionalFormatting>
  <dataValidations count="3">
    <dataValidation allowBlank="true" error="Elige un valor de la lista." errorStyle="stop" errorTitle="Valor no válido" operator="between" showDropDown="false" showErrorMessage="true" showInputMessage="false" sqref="C8" type="list">
      <formula1>Listas!$A$2:$A$8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C17" type="list">
      <formula1>Listas!$B$2:$B$3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O27:O386" type="list">
      <formula1>Listas!$B$2:$B$3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A7"/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</cols>
  <sheetData>
    <row r="1" customFormat="false" ht="15" hidden="false" customHeight="false" outlineLevel="0" collapsed="false">
      <c r="A1" s="65" t="s">
        <v>216</v>
      </c>
      <c r="B1" s="65" t="s">
        <v>217</v>
      </c>
      <c r="C1" s="65" t="s">
        <v>71</v>
      </c>
      <c r="D1" s="65" t="s">
        <v>105</v>
      </c>
    </row>
    <row r="2" customFormat="false" ht="15" hidden="false" customHeight="false" outlineLevel="0" collapsed="false">
      <c r="A2" s="0" t="s">
        <v>218</v>
      </c>
      <c r="B2" s="0" t="s">
        <v>189</v>
      </c>
      <c r="C2" s="0" t="s">
        <v>125</v>
      </c>
      <c r="D2" s="0" t="s">
        <v>110</v>
      </c>
    </row>
    <row r="3" customFormat="false" ht="15" hidden="false" customHeight="false" outlineLevel="0" collapsed="false">
      <c r="A3" s="0" t="s">
        <v>219</v>
      </c>
      <c r="B3" s="0" t="s">
        <v>220</v>
      </c>
      <c r="C3" s="0" t="s">
        <v>221</v>
      </c>
      <c r="D3" s="0" t="s">
        <v>222</v>
      </c>
    </row>
    <row r="4" customFormat="false" ht="15" hidden="false" customHeight="false" outlineLevel="0" collapsed="false">
      <c r="A4" s="0" t="s">
        <v>223</v>
      </c>
      <c r="C4" s="0" t="s">
        <v>135</v>
      </c>
    </row>
    <row r="5" customFormat="false" ht="15" hidden="false" customHeight="false" outlineLevel="0" collapsed="false">
      <c r="A5" s="0" t="s">
        <v>224</v>
      </c>
    </row>
    <row r="6" customFormat="false" ht="15" hidden="false" customHeight="false" outlineLevel="0" collapsed="false">
      <c r="A6" s="0" t="s">
        <v>225</v>
      </c>
    </row>
    <row r="7" customFormat="false" ht="15" hidden="false" customHeight="false" outlineLevel="0" collapsed="false">
      <c r="A7" s="0" t="s">
        <v>226</v>
      </c>
    </row>
    <row r="8" customFormat="false" ht="15" hidden="false" customHeight="false" outlineLevel="0" collapsed="false">
      <c r="A8" s="0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2026-09-25T13:15:29Z</dcterms:created>
  <dc:creator>openpyxl</dc:creator>
  <dc:description/>
  <dc:language>en-US</dc:language>
  <cp:lastModifiedBy/>
  <dcterms:modified xsi:type="dcterms:W3CDTF">2026-09-25T13:15:34Z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